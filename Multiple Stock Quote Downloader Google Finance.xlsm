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540" windowWidth="9420" windowHeight="8025"/>
  </bookViews>
  <sheets>
    <sheet name="Parameters" sheetId="3" r:id="rId1"/>
    <sheet name="NYSEWMT" sheetId="5064" r:id="rId2"/>
    <sheet name="NYSEARCAVTI" sheetId="5065" r:id="rId3"/>
    <sheet name="NYSEARCAVEU" sheetId="5066" r:id="rId4"/>
    <sheet name="NYSEARCAVWO" sheetId="5067" r:id="rId5"/>
    <sheet name="NYSEARCABND" sheetId="5068" r:id="rId6"/>
    <sheet name="NYSEARCATIP" sheetId="5069" r:id="rId7"/>
    <sheet name="NYSEARCAMUB" sheetId="5070" r:id="rId8"/>
    <sheet name="NYSEARCAVNQ" sheetId="5071" r:id="rId9"/>
    <sheet name="NYSEARCARWX" sheetId="5072" r:id="rId10"/>
    <sheet name="NYSEARCADBC" sheetId="5073" r:id="rId11"/>
    <sheet name="NYSEARCAGSG" sheetId="5074" r:id="rId12"/>
    <sheet name="NYSEARCAGLD" sheetId="5075" r:id="rId13"/>
    <sheet name="NYSEBP" sheetId="5076" r:id="rId14"/>
    <sheet name="NASDAQYHOO" sheetId="5077" r:id="rId15"/>
    <sheet name="Open" sheetId="5078" r:id="rId16"/>
    <sheet name="High" sheetId="5079" r:id="rId17"/>
    <sheet name="Low" sheetId="5080" r:id="rId18"/>
    <sheet name="Close" sheetId="5081" r:id="rId19"/>
    <sheet name="Volume" sheetId="5082" r:id="rId20"/>
    <sheet name="Adjusted Close" sheetId="5083" r:id="rId21"/>
  </sheets>
  <definedNames>
    <definedName name="collateData">Parameters!$H$5</definedName>
    <definedName name="exportToCSV">Parameters!$H$4</definedName>
    <definedName name="ExternalData_1" localSheetId="20">'Adjusted Close'!$A$1:$A$505</definedName>
    <definedName name="ExternalData_1" localSheetId="18">Close!$A$1:$A$505</definedName>
    <definedName name="ExternalData_1" localSheetId="16">High!$A$1:$A$505</definedName>
    <definedName name="ExternalData_1" localSheetId="17">Low!$A$1:$A$505</definedName>
    <definedName name="ExternalData_1" localSheetId="14">NASDAQYHOO!$A$2:$A$506</definedName>
    <definedName name="ExternalData_1" localSheetId="5">NYSEARCABND!$A$2:$A$506</definedName>
    <definedName name="ExternalData_1" localSheetId="10">NYSEARCADBC!$A$2:$A$506</definedName>
    <definedName name="ExternalData_1" localSheetId="12">NYSEARCAGLD!$A$2:$A$506</definedName>
    <definedName name="ExternalData_1" localSheetId="11">NYSEARCAGSG!$A$2:$A$506</definedName>
    <definedName name="ExternalData_1" localSheetId="7">NYSEARCAMUB!$A$2:$A$506</definedName>
    <definedName name="ExternalData_1" localSheetId="9">NYSEARCARWX!$A$2:$A$506</definedName>
    <definedName name="ExternalData_1" localSheetId="6">NYSEARCATIP!$A$2:$A$506</definedName>
    <definedName name="ExternalData_1" localSheetId="3">NYSEARCAVEU!$A$2:$A$506</definedName>
    <definedName name="ExternalData_1" localSheetId="8">NYSEARCAVNQ!$A$2:$A$506</definedName>
    <definedName name="ExternalData_1" localSheetId="2">NYSEARCAVTI!$A$2:$A$506</definedName>
    <definedName name="ExternalData_1" localSheetId="4">NYSEARCAVWO!$A$2:$A$506</definedName>
    <definedName name="ExternalData_1" localSheetId="13">NYSEBP!$A$2:$A$506</definedName>
    <definedName name="ExternalData_1" localSheetId="1">NYSEWMT!$A$2:$A$506</definedName>
    <definedName name="ExternalData_1" localSheetId="15">Open!$A$1:$A$505</definedName>
    <definedName name="ExternalData_1" localSheetId="19">Volume!$A$1:$A$505</definedName>
  </definedNames>
  <calcPr calcId="145621"/>
</workbook>
</file>

<file path=xl/calcChain.xml><?xml version="1.0" encoding="utf-8"?>
<calcChain xmlns="http://schemas.openxmlformats.org/spreadsheetml/2006/main">
  <c r="O2" i="5083" l="1"/>
  <c r="O3" i="5083"/>
  <c r="O4" i="5083"/>
  <c r="O5" i="5083"/>
  <c r="O6" i="5083"/>
  <c r="O7" i="5083"/>
  <c r="O8" i="5083"/>
  <c r="O9" i="5083"/>
  <c r="O10" i="5083"/>
  <c r="O11" i="5083"/>
  <c r="O12" i="5083"/>
  <c r="O13" i="5083"/>
  <c r="O14" i="5083"/>
  <c r="O15" i="5083"/>
  <c r="O16" i="5083"/>
  <c r="O17" i="5083"/>
  <c r="O18" i="5083"/>
  <c r="O19" i="5083"/>
  <c r="O20" i="5083"/>
  <c r="O21" i="5083"/>
  <c r="O22" i="5083"/>
  <c r="O23" i="5083"/>
  <c r="O24" i="5083"/>
  <c r="O25" i="5083"/>
  <c r="O26" i="5083"/>
  <c r="O27" i="5083"/>
  <c r="O28" i="5083"/>
  <c r="O29" i="5083"/>
  <c r="O30" i="5083"/>
  <c r="O31" i="5083"/>
  <c r="O32" i="5083"/>
  <c r="O33" i="5083"/>
  <c r="O34" i="5083"/>
  <c r="O35" i="5083"/>
  <c r="O36" i="5083"/>
  <c r="O37" i="5083"/>
  <c r="O38" i="5083"/>
  <c r="O39" i="5083"/>
  <c r="O40" i="5083"/>
  <c r="O41" i="5083"/>
  <c r="O42" i="5083"/>
  <c r="O43" i="5083"/>
  <c r="O44" i="5083"/>
  <c r="O45" i="5083"/>
  <c r="O46" i="5083"/>
  <c r="O47" i="5083"/>
  <c r="O48" i="5083"/>
  <c r="O49" i="5083"/>
  <c r="O50" i="5083"/>
  <c r="O51" i="5083"/>
  <c r="O52" i="5083"/>
  <c r="O53" i="5083"/>
  <c r="O54" i="5083"/>
  <c r="O55" i="5083"/>
  <c r="O56" i="5083"/>
  <c r="O57" i="5083"/>
  <c r="O58" i="5083"/>
  <c r="O59" i="5083"/>
  <c r="O60" i="5083"/>
  <c r="O61" i="5083"/>
  <c r="O62" i="5083"/>
  <c r="O63" i="5083"/>
  <c r="O64" i="5083"/>
  <c r="O65" i="5083"/>
  <c r="O66" i="5083"/>
  <c r="O67" i="5083"/>
  <c r="O68" i="5083"/>
  <c r="O69" i="5083"/>
  <c r="O70" i="5083"/>
  <c r="O71" i="5083"/>
  <c r="O72" i="5083"/>
  <c r="O73" i="5083"/>
  <c r="O74" i="5083"/>
  <c r="O75" i="5083"/>
  <c r="O76" i="5083"/>
  <c r="O77" i="5083"/>
  <c r="O78" i="5083"/>
  <c r="O79" i="5083"/>
  <c r="O80" i="5083"/>
  <c r="O81" i="5083"/>
  <c r="O82" i="5083"/>
  <c r="O83" i="5083"/>
  <c r="O84" i="5083"/>
  <c r="O85" i="5083"/>
  <c r="O86" i="5083"/>
  <c r="O87" i="5083"/>
  <c r="O88" i="5083"/>
  <c r="O89" i="5083"/>
  <c r="O90" i="5083"/>
  <c r="O91" i="5083"/>
  <c r="O92" i="5083"/>
  <c r="O93" i="5083"/>
  <c r="O94" i="5083"/>
  <c r="O95" i="5083"/>
  <c r="O96" i="5083"/>
  <c r="O97" i="5083"/>
  <c r="O98" i="5083"/>
  <c r="O99" i="5083"/>
  <c r="O100" i="5083"/>
  <c r="O101" i="5083"/>
  <c r="O102" i="5083"/>
  <c r="O103" i="5083"/>
  <c r="O104" i="5083"/>
  <c r="O105" i="5083"/>
  <c r="O106" i="5083"/>
  <c r="O107" i="5083"/>
  <c r="O108" i="5083"/>
  <c r="O109" i="5083"/>
  <c r="O110" i="5083"/>
  <c r="O111" i="5083"/>
  <c r="O112" i="5083"/>
  <c r="O113" i="5083"/>
  <c r="O114" i="5083"/>
  <c r="O115" i="5083"/>
  <c r="O116" i="5083"/>
  <c r="O117" i="5083"/>
  <c r="O118" i="5083"/>
  <c r="O119" i="5083"/>
  <c r="O120" i="5083"/>
  <c r="O121" i="5083"/>
  <c r="O122" i="5083"/>
  <c r="O123" i="5083"/>
  <c r="O124" i="5083"/>
  <c r="O125" i="5083"/>
  <c r="O126" i="5083"/>
  <c r="O127" i="5083"/>
  <c r="O128" i="5083"/>
  <c r="O129" i="5083"/>
  <c r="O130" i="5083"/>
  <c r="O131" i="5083"/>
  <c r="O132" i="5083"/>
  <c r="O133" i="5083"/>
  <c r="O134" i="5083"/>
  <c r="O135" i="5083"/>
  <c r="O136" i="5083"/>
  <c r="O137" i="5083"/>
  <c r="O138" i="5083"/>
  <c r="O139" i="5083"/>
  <c r="O140" i="5083"/>
  <c r="O141" i="5083"/>
  <c r="O142" i="5083"/>
  <c r="O143" i="5083"/>
  <c r="O144" i="5083"/>
  <c r="O145" i="5083"/>
  <c r="O146" i="5083"/>
  <c r="O147" i="5083"/>
  <c r="O148" i="5083"/>
  <c r="O149" i="5083"/>
  <c r="O150" i="5083"/>
  <c r="O151" i="5083"/>
  <c r="O152" i="5083"/>
  <c r="O153" i="5083"/>
  <c r="O154" i="5083"/>
  <c r="O155" i="5083"/>
  <c r="O156" i="5083"/>
  <c r="O157" i="5083"/>
  <c r="O158" i="5083"/>
  <c r="O159" i="5083"/>
  <c r="O160" i="5083"/>
  <c r="O161" i="5083"/>
  <c r="O162" i="5083"/>
  <c r="O163" i="5083"/>
  <c r="O164" i="5083"/>
  <c r="O165" i="5083"/>
  <c r="O166" i="5083"/>
  <c r="O167" i="5083"/>
  <c r="O168" i="5083"/>
  <c r="O169" i="5083"/>
  <c r="O170" i="5083"/>
  <c r="O171" i="5083"/>
  <c r="O172" i="5083"/>
  <c r="O173" i="5083"/>
  <c r="O174" i="5083"/>
  <c r="O175" i="5083"/>
  <c r="O176" i="5083"/>
  <c r="O177" i="5083"/>
  <c r="O178" i="5083"/>
  <c r="O179" i="5083"/>
  <c r="O180" i="5083"/>
  <c r="O181" i="5083"/>
  <c r="O182" i="5083"/>
  <c r="O183" i="5083"/>
  <c r="O184" i="5083"/>
  <c r="O185" i="5083"/>
  <c r="O186" i="5083"/>
  <c r="O187" i="5083"/>
  <c r="O188" i="5083"/>
  <c r="O189" i="5083"/>
  <c r="O190" i="5083"/>
  <c r="O191" i="5083"/>
  <c r="O192" i="5083"/>
  <c r="O193" i="5083"/>
  <c r="O194" i="5083"/>
  <c r="O195" i="5083"/>
  <c r="O196" i="5083"/>
  <c r="O197" i="5083"/>
  <c r="O198" i="5083"/>
  <c r="O199" i="5083"/>
  <c r="O200" i="5083"/>
  <c r="O201" i="5083"/>
  <c r="O202" i="5083"/>
  <c r="O203" i="5083"/>
  <c r="O204" i="5083"/>
  <c r="O205" i="5083"/>
  <c r="O206" i="5083"/>
  <c r="O207" i="5083"/>
  <c r="O208" i="5083"/>
  <c r="O209" i="5083"/>
  <c r="O210" i="5083"/>
  <c r="O211" i="5083"/>
  <c r="O212" i="5083"/>
  <c r="O213" i="5083"/>
  <c r="O214" i="5083"/>
  <c r="O215" i="5083"/>
  <c r="O216" i="5083"/>
  <c r="O217" i="5083"/>
  <c r="O218" i="5083"/>
  <c r="O219" i="5083"/>
  <c r="O220" i="5083"/>
  <c r="O221" i="5083"/>
  <c r="O222" i="5083"/>
  <c r="O223" i="5083"/>
  <c r="O224" i="5083"/>
  <c r="O225" i="5083"/>
  <c r="O226" i="5083"/>
  <c r="O227" i="5083"/>
  <c r="O228" i="5083"/>
  <c r="O229" i="5083"/>
  <c r="O230" i="5083"/>
  <c r="O231" i="5083"/>
  <c r="O232" i="5083"/>
  <c r="O233" i="5083"/>
  <c r="O234" i="5083"/>
  <c r="O235" i="5083"/>
  <c r="O236" i="5083"/>
  <c r="O237" i="5083"/>
  <c r="O238" i="5083"/>
  <c r="O239" i="5083"/>
  <c r="O240" i="5083"/>
  <c r="O241" i="5083"/>
  <c r="O242" i="5083"/>
  <c r="O243" i="5083"/>
  <c r="O244" i="5083"/>
  <c r="O245" i="5083"/>
  <c r="O246" i="5083"/>
  <c r="O247" i="5083"/>
  <c r="O248" i="5083"/>
  <c r="O249" i="5083"/>
  <c r="O250" i="5083"/>
  <c r="O251" i="5083"/>
  <c r="O252" i="5083"/>
  <c r="O253" i="5083"/>
  <c r="O254" i="5083"/>
  <c r="O255" i="5083"/>
  <c r="O256" i="5083"/>
  <c r="O257" i="5083"/>
  <c r="O258" i="5083"/>
  <c r="O259" i="5083"/>
  <c r="O260" i="5083"/>
  <c r="O261" i="5083"/>
  <c r="O262" i="5083"/>
  <c r="O263" i="5083"/>
  <c r="O264" i="5083"/>
  <c r="O265" i="5083"/>
  <c r="O266" i="5083"/>
  <c r="O267" i="5083"/>
  <c r="O268" i="5083"/>
  <c r="O269" i="5083"/>
  <c r="O270" i="5083"/>
  <c r="O271" i="5083"/>
  <c r="O272" i="5083"/>
  <c r="O273" i="5083"/>
  <c r="O274" i="5083"/>
  <c r="O275" i="5083"/>
  <c r="O276" i="5083"/>
  <c r="O277" i="5083"/>
  <c r="O278" i="5083"/>
  <c r="O279" i="5083"/>
  <c r="O280" i="5083"/>
  <c r="O281" i="5083"/>
  <c r="O282" i="5083"/>
  <c r="O283" i="5083"/>
  <c r="O284" i="5083"/>
  <c r="O285" i="5083"/>
  <c r="O286" i="5083"/>
  <c r="O287" i="5083"/>
  <c r="O288" i="5083"/>
  <c r="O289" i="5083"/>
  <c r="O290" i="5083"/>
  <c r="O291" i="5083"/>
  <c r="O292" i="5083"/>
  <c r="O293" i="5083"/>
  <c r="O294" i="5083"/>
  <c r="O295" i="5083"/>
  <c r="O296" i="5083"/>
  <c r="O297" i="5083"/>
  <c r="O298" i="5083"/>
  <c r="O299" i="5083"/>
  <c r="O300" i="5083"/>
  <c r="O301" i="5083"/>
  <c r="O302" i="5083"/>
  <c r="O303" i="5083"/>
  <c r="O304" i="5083"/>
  <c r="O305" i="5083"/>
  <c r="O306" i="5083"/>
  <c r="O307" i="5083"/>
  <c r="O308" i="5083"/>
  <c r="O309" i="5083"/>
  <c r="O310" i="5083"/>
  <c r="O311" i="5083"/>
  <c r="O312" i="5083"/>
  <c r="O313" i="5083"/>
  <c r="O314" i="5083"/>
  <c r="O315" i="5083"/>
  <c r="O316" i="5083"/>
  <c r="O317" i="5083"/>
  <c r="O318" i="5083"/>
  <c r="O319" i="5083"/>
  <c r="O320" i="5083"/>
  <c r="O321" i="5083"/>
  <c r="O322" i="5083"/>
  <c r="O323" i="5083"/>
  <c r="O324" i="5083"/>
  <c r="O325" i="5083"/>
  <c r="O326" i="5083"/>
  <c r="O327" i="5083"/>
  <c r="O328" i="5083"/>
  <c r="O329" i="5083"/>
  <c r="O330" i="5083"/>
  <c r="O331" i="5083"/>
  <c r="O332" i="5083"/>
  <c r="O333" i="5083"/>
  <c r="O334" i="5083"/>
  <c r="O335" i="5083"/>
  <c r="O336" i="5083"/>
  <c r="O337" i="5083"/>
  <c r="O338" i="5083"/>
  <c r="O339" i="5083"/>
  <c r="O340" i="5083"/>
  <c r="O341" i="5083"/>
  <c r="O342" i="5083"/>
  <c r="O343" i="5083"/>
  <c r="O344" i="5083"/>
  <c r="O345" i="5083"/>
  <c r="O346" i="5083"/>
  <c r="O347" i="5083"/>
  <c r="O348" i="5083"/>
  <c r="O349" i="5083"/>
  <c r="O350" i="5083"/>
  <c r="O351" i="5083"/>
  <c r="O352" i="5083"/>
  <c r="O353" i="5083"/>
  <c r="O354" i="5083"/>
  <c r="O355" i="5083"/>
  <c r="O356" i="5083"/>
  <c r="O357" i="5083"/>
  <c r="O358" i="5083"/>
  <c r="O359" i="5083"/>
  <c r="O360" i="5083"/>
  <c r="O361" i="5083"/>
  <c r="O362" i="5083"/>
  <c r="O363" i="5083"/>
  <c r="O364" i="5083"/>
  <c r="O365" i="5083"/>
  <c r="O366" i="5083"/>
  <c r="O367" i="5083"/>
  <c r="O368" i="5083"/>
  <c r="O369" i="5083"/>
  <c r="O370" i="5083"/>
  <c r="O371" i="5083"/>
  <c r="O372" i="5083"/>
  <c r="O373" i="5083"/>
  <c r="O374" i="5083"/>
  <c r="O375" i="5083"/>
  <c r="O376" i="5083"/>
  <c r="O377" i="5083"/>
  <c r="O378" i="5083"/>
  <c r="O379" i="5083"/>
  <c r="O380" i="5083"/>
  <c r="O381" i="5083"/>
  <c r="O382" i="5083"/>
  <c r="O383" i="5083"/>
  <c r="O384" i="5083"/>
  <c r="O385" i="5083"/>
  <c r="O386" i="5083"/>
  <c r="O387" i="5083"/>
  <c r="O388" i="5083"/>
  <c r="O389" i="5083"/>
  <c r="O390" i="5083"/>
  <c r="O391" i="5083"/>
  <c r="O392" i="5083"/>
  <c r="O393" i="5083"/>
  <c r="O394" i="5083"/>
  <c r="O395" i="5083"/>
  <c r="O396" i="5083"/>
  <c r="O397" i="5083"/>
  <c r="O398" i="5083"/>
  <c r="O399" i="5083"/>
  <c r="O400" i="5083"/>
  <c r="O401" i="5083"/>
  <c r="O402" i="5083"/>
  <c r="O403" i="5083"/>
  <c r="O404" i="5083"/>
  <c r="O405" i="5083"/>
  <c r="O406" i="5083"/>
  <c r="O407" i="5083"/>
  <c r="O408" i="5083"/>
  <c r="O409" i="5083"/>
  <c r="O410" i="5083"/>
  <c r="O411" i="5083"/>
  <c r="O412" i="5083"/>
  <c r="O413" i="5083"/>
  <c r="O414" i="5083"/>
  <c r="O415" i="5083"/>
  <c r="O416" i="5083"/>
  <c r="O417" i="5083"/>
  <c r="O418" i="5083"/>
  <c r="O419" i="5083"/>
  <c r="O420" i="5083"/>
  <c r="O421" i="5083"/>
  <c r="O422" i="5083"/>
  <c r="O423" i="5083"/>
  <c r="O424" i="5083"/>
  <c r="O425" i="5083"/>
  <c r="O426" i="5083"/>
  <c r="O427" i="5083"/>
  <c r="O428" i="5083"/>
  <c r="O429" i="5083"/>
  <c r="O430" i="5083"/>
  <c r="O431" i="5083"/>
  <c r="O432" i="5083"/>
  <c r="O433" i="5083"/>
  <c r="O434" i="5083"/>
  <c r="O435" i="5083"/>
  <c r="O436" i="5083"/>
  <c r="O437" i="5083"/>
  <c r="O438" i="5083"/>
  <c r="O439" i="5083"/>
  <c r="O440" i="5083"/>
  <c r="O441" i="5083"/>
  <c r="O442" i="5083"/>
  <c r="O443" i="5083"/>
  <c r="O444" i="5083"/>
  <c r="O445" i="5083"/>
  <c r="O446" i="5083"/>
  <c r="O447" i="5083"/>
  <c r="O448" i="5083"/>
  <c r="O449" i="5083"/>
  <c r="O450" i="5083"/>
  <c r="O451" i="5083"/>
  <c r="O452" i="5083"/>
  <c r="O453" i="5083"/>
  <c r="O454" i="5083"/>
  <c r="O455" i="5083"/>
  <c r="O456" i="5083"/>
  <c r="O457" i="5083"/>
  <c r="O458" i="5083"/>
  <c r="O459" i="5083"/>
  <c r="O460" i="5083"/>
  <c r="O461" i="5083"/>
  <c r="O462" i="5083"/>
  <c r="O463" i="5083"/>
  <c r="O464" i="5083"/>
  <c r="O465" i="5083"/>
  <c r="O466" i="5083"/>
  <c r="O467" i="5083"/>
  <c r="O468" i="5083"/>
  <c r="O469" i="5083"/>
  <c r="O470" i="5083"/>
  <c r="O471" i="5083"/>
  <c r="O472" i="5083"/>
  <c r="O473" i="5083"/>
  <c r="O474" i="5083"/>
  <c r="O475" i="5083"/>
  <c r="O476" i="5083"/>
  <c r="O477" i="5083"/>
  <c r="O478" i="5083"/>
  <c r="O479" i="5083"/>
  <c r="O480" i="5083"/>
  <c r="O481" i="5083"/>
  <c r="O482" i="5083"/>
  <c r="O483" i="5083"/>
  <c r="O484" i="5083"/>
  <c r="O485" i="5083"/>
  <c r="O486" i="5083"/>
  <c r="O487" i="5083"/>
  <c r="O488" i="5083"/>
  <c r="O489" i="5083"/>
  <c r="O490" i="5083"/>
  <c r="O491" i="5083"/>
  <c r="O492" i="5083"/>
  <c r="O493" i="5083"/>
  <c r="O494" i="5083"/>
  <c r="O495" i="5083"/>
  <c r="O496" i="5083"/>
  <c r="O497" i="5083"/>
  <c r="O498" i="5083"/>
  <c r="O499" i="5083"/>
  <c r="O500" i="5083"/>
  <c r="O501" i="5083"/>
  <c r="O502" i="5083"/>
  <c r="O503" i="5083"/>
  <c r="O504" i="5083"/>
  <c r="O505" i="5083"/>
  <c r="O2" i="5082"/>
  <c r="O3" i="5082"/>
  <c r="O4" i="5082"/>
  <c r="O5" i="5082"/>
  <c r="O6" i="5082"/>
  <c r="O7" i="5082"/>
  <c r="O8" i="5082"/>
  <c r="O9" i="5082"/>
  <c r="O10" i="5082"/>
  <c r="O11" i="5082"/>
  <c r="O12" i="5082"/>
  <c r="O13" i="5082"/>
  <c r="O14" i="5082"/>
  <c r="O15" i="5082"/>
  <c r="O16" i="5082"/>
  <c r="O17" i="5082"/>
  <c r="O18" i="5082"/>
  <c r="O19" i="5082"/>
  <c r="O20" i="5082"/>
  <c r="O21" i="5082"/>
  <c r="O22" i="5082"/>
  <c r="O23" i="5082"/>
  <c r="O24" i="5082"/>
  <c r="O25" i="5082"/>
  <c r="O26" i="5082"/>
  <c r="O27" i="5082"/>
  <c r="O28" i="5082"/>
  <c r="O29" i="5082"/>
  <c r="O30" i="5082"/>
  <c r="O31" i="5082"/>
  <c r="O32" i="5082"/>
  <c r="O33" i="5082"/>
  <c r="O34" i="5082"/>
  <c r="O35" i="5082"/>
  <c r="O36" i="5082"/>
  <c r="O37" i="5082"/>
  <c r="O38" i="5082"/>
  <c r="O39" i="5082"/>
  <c r="O40" i="5082"/>
  <c r="O41" i="5082"/>
  <c r="O42" i="5082"/>
  <c r="O43" i="5082"/>
  <c r="O44" i="5082"/>
  <c r="O45" i="5082"/>
  <c r="O46" i="5082"/>
  <c r="O47" i="5082"/>
  <c r="O48" i="5082"/>
  <c r="O49" i="5082"/>
  <c r="O50" i="5082"/>
  <c r="O51" i="5082"/>
  <c r="O52" i="5082"/>
  <c r="O53" i="5082"/>
  <c r="O54" i="5082"/>
  <c r="O55" i="5082"/>
  <c r="O56" i="5082"/>
  <c r="O57" i="5082"/>
  <c r="O58" i="5082"/>
  <c r="O59" i="5082"/>
  <c r="O60" i="5082"/>
  <c r="O61" i="5082"/>
  <c r="O62" i="5082"/>
  <c r="O63" i="5082"/>
  <c r="O64" i="5082"/>
  <c r="O65" i="5082"/>
  <c r="O66" i="5082"/>
  <c r="O67" i="5082"/>
  <c r="O68" i="5082"/>
  <c r="O69" i="5082"/>
  <c r="O70" i="5082"/>
  <c r="O71" i="5082"/>
  <c r="O72" i="5082"/>
  <c r="O73" i="5082"/>
  <c r="O74" i="5082"/>
  <c r="O75" i="5082"/>
  <c r="O76" i="5082"/>
  <c r="O77" i="5082"/>
  <c r="O78" i="5082"/>
  <c r="O79" i="5082"/>
  <c r="O80" i="5082"/>
  <c r="O81" i="5082"/>
  <c r="O82" i="5082"/>
  <c r="O83" i="5082"/>
  <c r="O84" i="5082"/>
  <c r="O85" i="5082"/>
  <c r="O86" i="5082"/>
  <c r="O87" i="5082"/>
  <c r="O88" i="5082"/>
  <c r="O89" i="5082"/>
  <c r="O90" i="5082"/>
  <c r="O91" i="5082"/>
  <c r="O92" i="5082"/>
  <c r="O93" i="5082"/>
  <c r="O94" i="5082"/>
  <c r="O95" i="5082"/>
  <c r="O96" i="5082"/>
  <c r="O97" i="5082"/>
  <c r="O98" i="5082"/>
  <c r="O99" i="5082"/>
  <c r="O100" i="5082"/>
  <c r="O101" i="5082"/>
  <c r="O102" i="5082"/>
  <c r="O103" i="5082"/>
  <c r="O104" i="5082"/>
  <c r="O105" i="5082"/>
  <c r="O106" i="5082"/>
  <c r="O107" i="5082"/>
  <c r="O108" i="5082"/>
  <c r="O109" i="5082"/>
  <c r="O110" i="5082"/>
  <c r="O111" i="5082"/>
  <c r="O112" i="5082"/>
  <c r="O113" i="5082"/>
  <c r="O114" i="5082"/>
  <c r="O115" i="5082"/>
  <c r="O116" i="5082"/>
  <c r="O117" i="5082"/>
  <c r="O118" i="5082"/>
  <c r="O119" i="5082"/>
  <c r="O120" i="5082"/>
  <c r="O121" i="5082"/>
  <c r="O122" i="5082"/>
  <c r="O123" i="5082"/>
  <c r="O124" i="5082"/>
  <c r="O125" i="5082"/>
  <c r="O126" i="5082"/>
  <c r="O127" i="5082"/>
  <c r="O128" i="5082"/>
  <c r="O129" i="5082"/>
  <c r="O130" i="5082"/>
  <c r="O131" i="5082"/>
  <c r="O132" i="5082"/>
  <c r="O133" i="5082"/>
  <c r="O134" i="5082"/>
  <c r="O135" i="5082"/>
  <c r="O136" i="5082"/>
  <c r="O137" i="5082"/>
  <c r="O138" i="5082"/>
  <c r="O139" i="5082"/>
  <c r="O140" i="5082"/>
  <c r="O141" i="5082"/>
  <c r="O142" i="5082"/>
  <c r="O143" i="5082"/>
  <c r="O144" i="5082"/>
  <c r="O145" i="5082"/>
  <c r="O146" i="5082"/>
  <c r="O147" i="5082"/>
  <c r="O148" i="5082"/>
  <c r="O149" i="5082"/>
  <c r="O150" i="5082"/>
  <c r="O151" i="5082"/>
  <c r="O152" i="5082"/>
  <c r="O153" i="5082"/>
  <c r="O154" i="5082"/>
  <c r="O155" i="5082"/>
  <c r="O156" i="5082"/>
  <c r="O157" i="5082"/>
  <c r="O158" i="5082"/>
  <c r="O159" i="5082"/>
  <c r="O160" i="5082"/>
  <c r="O161" i="5082"/>
  <c r="O162" i="5082"/>
  <c r="O163" i="5082"/>
  <c r="O164" i="5082"/>
  <c r="O165" i="5082"/>
  <c r="O166" i="5082"/>
  <c r="O167" i="5082"/>
  <c r="O168" i="5082"/>
  <c r="O169" i="5082"/>
  <c r="O170" i="5082"/>
  <c r="O171" i="5082"/>
  <c r="O172" i="5082"/>
  <c r="O173" i="5082"/>
  <c r="O174" i="5082"/>
  <c r="O175" i="5082"/>
  <c r="O176" i="5082"/>
  <c r="O177" i="5082"/>
  <c r="O178" i="5082"/>
  <c r="O179" i="5082"/>
  <c r="O180" i="5082"/>
  <c r="O181" i="5082"/>
  <c r="O182" i="5082"/>
  <c r="O183" i="5082"/>
  <c r="O184" i="5082"/>
  <c r="O185" i="5082"/>
  <c r="O186" i="5082"/>
  <c r="O187" i="5082"/>
  <c r="O188" i="5082"/>
  <c r="O189" i="5082"/>
  <c r="O190" i="5082"/>
  <c r="O191" i="5082"/>
  <c r="O192" i="5082"/>
  <c r="O193" i="5082"/>
  <c r="O194" i="5082"/>
  <c r="O195" i="5082"/>
  <c r="O196" i="5082"/>
  <c r="O197" i="5082"/>
  <c r="O198" i="5082"/>
  <c r="O199" i="5082"/>
  <c r="O200" i="5082"/>
  <c r="O201" i="5082"/>
  <c r="O202" i="5082"/>
  <c r="O203" i="5082"/>
  <c r="O204" i="5082"/>
  <c r="O205" i="5082"/>
  <c r="O206" i="5082"/>
  <c r="O207" i="5082"/>
  <c r="O208" i="5082"/>
  <c r="O209" i="5082"/>
  <c r="O210" i="5082"/>
  <c r="O211" i="5082"/>
  <c r="O212" i="5082"/>
  <c r="O213" i="5082"/>
  <c r="O214" i="5082"/>
  <c r="O215" i="5082"/>
  <c r="O216" i="5082"/>
  <c r="O217" i="5082"/>
  <c r="O218" i="5082"/>
  <c r="O219" i="5082"/>
  <c r="O220" i="5082"/>
  <c r="O221" i="5082"/>
  <c r="O222" i="5082"/>
  <c r="O223" i="5082"/>
  <c r="O224" i="5082"/>
  <c r="O225" i="5082"/>
  <c r="O226" i="5082"/>
  <c r="O227" i="5082"/>
  <c r="O228" i="5082"/>
  <c r="O229" i="5082"/>
  <c r="O230" i="5082"/>
  <c r="O231" i="5082"/>
  <c r="O232" i="5082"/>
  <c r="O233" i="5082"/>
  <c r="O234" i="5082"/>
  <c r="O235" i="5082"/>
  <c r="O236" i="5082"/>
  <c r="O237" i="5082"/>
  <c r="O238" i="5082"/>
  <c r="O239" i="5082"/>
  <c r="O240" i="5082"/>
  <c r="O241" i="5082"/>
  <c r="O242" i="5082"/>
  <c r="O243" i="5082"/>
  <c r="O244" i="5082"/>
  <c r="O245" i="5082"/>
  <c r="O246" i="5082"/>
  <c r="O247" i="5082"/>
  <c r="O248" i="5082"/>
  <c r="O249" i="5082"/>
  <c r="O250" i="5082"/>
  <c r="O251" i="5082"/>
  <c r="O252" i="5082"/>
  <c r="O253" i="5082"/>
  <c r="O254" i="5082"/>
  <c r="O255" i="5082"/>
  <c r="O256" i="5082"/>
  <c r="O257" i="5082"/>
  <c r="O258" i="5082"/>
  <c r="O259" i="5082"/>
  <c r="O260" i="5082"/>
  <c r="O261" i="5082"/>
  <c r="O262" i="5082"/>
  <c r="O263" i="5082"/>
  <c r="O264" i="5082"/>
  <c r="O265" i="5082"/>
  <c r="O266" i="5082"/>
  <c r="O267" i="5082"/>
  <c r="O268" i="5082"/>
  <c r="O269" i="5082"/>
  <c r="O270" i="5082"/>
  <c r="O271" i="5082"/>
  <c r="O272" i="5082"/>
  <c r="O273" i="5082"/>
  <c r="O274" i="5082"/>
  <c r="O275" i="5082"/>
  <c r="O276" i="5082"/>
  <c r="O277" i="5082"/>
  <c r="O278" i="5082"/>
  <c r="O279" i="5082"/>
  <c r="O280" i="5082"/>
  <c r="O281" i="5082"/>
  <c r="O282" i="5082"/>
  <c r="O283" i="5082"/>
  <c r="O284" i="5082"/>
  <c r="O285" i="5082"/>
  <c r="O286" i="5082"/>
  <c r="O287" i="5082"/>
  <c r="O288" i="5082"/>
  <c r="O289" i="5082"/>
  <c r="O290" i="5082"/>
  <c r="O291" i="5082"/>
  <c r="O292" i="5082"/>
  <c r="O293" i="5082"/>
  <c r="O294" i="5082"/>
  <c r="O295" i="5082"/>
  <c r="O296" i="5082"/>
  <c r="O297" i="5082"/>
  <c r="O298" i="5082"/>
  <c r="O299" i="5082"/>
  <c r="O300" i="5082"/>
  <c r="O301" i="5082"/>
  <c r="O302" i="5082"/>
  <c r="O303" i="5082"/>
  <c r="O304" i="5082"/>
  <c r="O305" i="5082"/>
  <c r="O306" i="5082"/>
  <c r="O307" i="5082"/>
  <c r="O308" i="5082"/>
  <c r="O309" i="5082"/>
  <c r="O310" i="5082"/>
  <c r="O311" i="5082"/>
  <c r="O312" i="5082"/>
  <c r="O313" i="5082"/>
  <c r="O314" i="5082"/>
  <c r="O315" i="5082"/>
  <c r="O316" i="5082"/>
  <c r="O317" i="5082"/>
  <c r="O318" i="5082"/>
  <c r="O319" i="5082"/>
  <c r="O320" i="5082"/>
  <c r="O321" i="5082"/>
  <c r="O322" i="5082"/>
  <c r="O323" i="5082"/>
  <c r="O324" i="5082"/>
  <c r="O325" i="5082"/>
  <c r="O326" i="5082"/>
  <c r="O327" i="5082"/>
  <c r="O328" i="5082"/>
  <c r="O329" i="5082"/>
  <c r="O330" i="5082"/>
  <c r="O331" i="5082"/>
  <c r="O332" i="5082"/>
  <c r="O333" i="5082"/>
  <c r="O334" i="5082"/>
  <c r="O335" i="5082"/>
  <c r="O336" i="5082"/>
  <c r="O337" i="5082"/>
  <c r="O338" i="5082"/>
  <c r="O339" i="5082"/>
  <c r="O340" i="5082"/>
  <c r="O341" i="5082"/>
  <c r="O342" i="5082"/>
  <c r="O343" i="5082"/>
  <c r="O344" i="5082"/>
  <c r="O345" i="5082"/>
  <c r="O346" i="5082"/>
  <c r="O347" i="5082"/>
  <c r="O348" i="5082"/>
  <c r="O349" i="5082"/>
  <c r="O350" i="5082"/>
  <c r="O351" i="5082"/>
  <c r="O352" i="5082"/>
  <c r="O353" i="5082"/>
  <c r="O354" i="5082"/>
  <c r="O355" i="5082"/>
  <c r="O356" i="5082"/>
  <c r="O357" i="5082"/>
  <c r="O358" i="5082"/>
  <c r="O359" i="5082"/>
  <c r="O360" i="5082"/>
  <c r="O361" i="5082"/>
  <c r="O362" i="5082"/>
  <c r="O363" i="5082"/>
  <c r="O364" i="5082"/>
  <c r="O365" i="5082"/>
  <c r="O366" i="5082"/>
  <c r="O367" i="5082"/>
  <c r="O368" i="5082"/>
  <c r="O369" i="5082"/>
  <c r="O370" i="5082"/>
  <c r="O371" i="5082"/>
  <c r="O372" i="5082"/>
  <c r="O373" i="5082"/>
  <c r="O374" i="5082"/>
  <c r="O375" i="5082"/>
  <c r="O376" i="5082"/>
  <c r="O377" i="5082"/>
  <c r="O378" i="5082"/>
  <c r="O379" i="5082"/>
  <c r="O380" i="5082"/>
  <c r="O381" i="5082"/>
  <c r="O382" i="5082"/>
  <c r="O383" i="5082"/>
  <c r="O384" i="5082"/>
  <c r="O385" i="5082"/>
  <c r="O386" i="5082"/>
  <c r="O387" i="5082"/>
  <c r="O388" i="5082"/>
  <c r="O389" i="5082"/>
  <c r="O390" i="5082"/>
  <c r="O391" i="5082"/>
  <c r="O392" i="5082"/>
  <c r="O393" i="5082"/>
  <c r="O394" i="5082"/>
  <c r="O395" i="5082"/>
  <c r="O396" i="5082"/>
  <c r="O397" i="5082"/>
  <c r="O398" i="5082"/>
  <c r="O399" i="5082"/>
  <c r="O400" i="5082"/>
  <c r="O401" i="5082"/>
  <c r="O402" i="5082"/>
  <c r="O403" i="5082"/>
  <c r="O404" i="5082"/>
  <c r="O405" i="5082"/>
  <c r="O406" i="5082"/>
  <c r="O407" i="5082"/>
  <c r="O408" i="5082"/>
  <c r="O409" i="5082"/>
  <c r="O410" i="5082"/>
  <c r="O411" i="5082"/>
  <c r="O412" i="5082"/>
  <c r="O413" i="5082"/>
  <c r="O414" i="5082"/>
  <c r="O415" i="5082"/>
  <c r="O416" i="5082"/>
  <c r="O417" i="5082"/>
  <c r="O418" i="5082"/>
  <c r="O419" i="5082"/>
  <c r="O420" i="5082"/>
  <c r="O421" i="5082"/>
  <c r="O422" i="5082"/>
  <c r="O423" i="5082"/>
  <c r="O424" i="5082"/>
  <c r="O425" i="5082"/>
  <c r="O426" i="5082"/>
  <c r="O427" i="5082"/>
  <c r="O428" i="5082"/>
  <c r="O429" i="5082"/>
  <c r="O430" i="5082"/>
  <c r="O431" i="5082"/>
  <c r="O432" i="5082"/>
  <c r="O433" i="5082"/>
  <c r="O434" i="5082"/>
  <c r="O435" i="5082"/>
  <c r="O436" i="5082"/>
  <c r="O437" i="5082"/>
  <c r="O438" i="5082"/>
  <c r="O439" i="5082"/>
  <c r="O440" i="5082"/>
  <c r="O441" i="5082"/>
  <c r="O442" i="5082"/>
  <c r="O443" i="5082"/>
  <c r="O444" i="5082"/>
  <c r="O445" i="5082"/>
  <c r="O446" i="5082"/>
  <c r="O447" i="5082"/>
  <c r="O448" i="5082"/>
  <c r="O449" i="5082"/>
  <c r="O450" i="5082"/>
  <c r="O451" i="5082"/>
  <c r="O452" i="5082"/>
  <c r="O453" i="5082"/>
  <c r="O454" i="5082"/>
  <c r="O455" i="5082"/>
  <c r="O456" i="5082"/>
  <c r="O457" i="5082"/>
  <c r="O458" i="5082"/>
  <c r="O459" i="5082"/>
  <c r="O460" i="5082"/>
  <c r="O461" i="5082"/>
  <c r="O462" i="5082"/>
  <c r="O463" i="5082"/>
  <c r="O464" i="5082"/>
  <c r="O465" i="5082"/>
  <c r="O466" i="5082"/>
  <c r="O467" i="5082"/>
  <c r="O468" i="5082"/>
  <c r="O469" i="5082"/>
  <c r="O470" i="5082"/>
  <c r="O471" i="5082"/>
  <c r="O472" i="5082"/>
  <c r="O473" i="5082"/>
  <c r="O474" i="5082"/>
  <c r="O475" i="5082"/>
  <c r="O476" i="5082"/>
  <c r="O477" i="5082"/>
  <c r="O478" i="5082"/>
  <c r="O479" i="5082"/>
  <c r="O480" i="5082"/>
  <c r="O481" i="5082"/>
  <c r="O482" i="5082"/>
  <c r="O483" i="5082"/>
  <c r="O484" i="5082"/>
  <c r="O485" i="5082"/>
  <c r="O486" i="5082"/>
  <c r="O487" i="5082"/>
  <c r="O488" i="5082"/>
  <c r="O489" i="5082"/>
  <c r="O490" i="5082"/>
  <c r="O491" i="5082"/>
  <c r="O492" i="5082"/>
  <c r="O493" i="5082"/>
  <c r="O494" i="5082"/>
  <c r="O495" i="5082"/>
  <c r="O496" i="5082"/>
  <c r="O497" i="5082"/>
  <c r="O498" i="5082"/>
  <c r="O499" i="5082"/>
  <c r="O500" i="5082"/>
  <c r="O501" i="5082"/>
  <c r="O502" i="5082"/>
  <c r="O503" i="5082"/>
  <c r="O504" i="5082"/>
  <c r="O505" i="5082"/>
  <c r="O2" i="5081"/>
  <c r="O3" i="5081"/>
  <c r="O4" i="5081"/>
  <c r="O5" i="5081"/>
  <c r="O6" i="5081"/>
  <c r="O7" i="5081"/>
  <c r="O8" i="5081"/>
  <c r="O9" i="5081"/>
  <c r="O10" i="5081"/>
  <c r="O11" i="5081"/>
  <c r="O12" i="5081"/>
  <c r="O13" i="5081"/>
  <c r="O14" i="5081"/>
  <c r="O15" i="5081"/>
  <c r="O16" i="5081"/>
  <c r="O17" i="5081"/>
  <c r="O18" i="5081"/>
  <c r="O19" i="5081"/>
  <c r="O20" i="5081"/>
  <c r="O21" i="5081"/>
  <c r="O22" i="5081"/>
  <c r="O23" i="5081"/>
  <c r="O24" i="5081"/>
  <c r="O25" i="5081"/>
  <c r="O26" i="5081"/>
  <c r="O27" i="5081"/>
  <c r="O28" i="5081"/>
  <c r="O29" i="5081"/>
  <c r="O30" i="5081"/>
  <c r="O31" i="5081"/>
  <c r="O32" i="5081"/>
  <c r="O33" i="5081"/>
  <c r="O34" i="5081"/>
  <c r="O35" i="5081"/>
  <c r="O36" i="5081"/>
  <c r="O37" i="5081"/>
  <c r="O38" i="5081"/>
  <c r="O39" i="5081"/>
  <c r="O40" i="5081"/>
  <c r="O41" i="5081"/>
  <c r="O42" i="5081"/>
  <c r="O43" i="5081"/>
  <c r="O44" i="5081"/>
  <c r="O45" i="5081"/>
  <c r="O46" i="5081"/>
  <c r="O47" i="5081"/>
  <c r="O48" i="5081"/>
  <c r="O49" i="5081"/>
  <c r="O50" i="5081"/>
  <c r="O51" i="5081"/>
  <c r="O52" i="5081"/>
  <c r="O53" i="5081"/>
  <c r="O54" i="5081"/>
  <c r="O55" i="5081"/>
  <c r="O56" i="5081"/>
  <c r="O57" i="5081"/>
  <c r="O58" i="5081"/>
  <c r="O59" i="5081"/>
  <c r="O60" i="5081"/>
  <c r="O61" i="5081"/>
  <c r="O62" i="5081"/>
  <c r="O63" i="5081"/>
  <c r="O64" i="5081"/>
  <c r="O65" i="5081"/>
  <c r="O66" i="5081"/>
  <c r="O67" i="5081"/>
  <c r="O68" i="5081"/>
  <c r="O69" i="5081"/>
  <c r="O70" i="5081"/>
  <c r="O71" i="5081"/>
  <c r="O72" i="5081"/>
  <c r="O73" i="5081"/>
  <c r="O74" i="5081"/>
  <c r="O75" i="5081"/>
  <c r="O76" i="5081"/>
  <c r="O77" i="5081"/>
  <c r="O78" i="5081"/>
  <c r="O79" i="5081"/>
  <c r="O80" i="5081"/>
  <c r="O81" i="5081"/>
  <c r="O82" i="5081"/>
  <c r="O83" i="5081"/>
  <c r="O84" i="5081"/>
  <c r="O85" i="5081"/>
  <c r="O86" i="5081"/>
  <c r="O87" i="5081"/>
  <c r="O88" i="5081"/>
  <c r="O89" i="5081"/>
  <c r="O90" i="5081"/>
  <c r="O91" i="5081"/>
  <c r="O92" i="5081"/>
  <c r="O93" i="5081"/>
  <c r="O94" i="5081"/>
  <c r="O95" i="5081"/>
  <c r="O96" i="5081"/>
  <c r="O97" i="5081"/>
  <c r="O98" i="5081"/>
  <c r="O99" i="5081"/>
  <c r="O100" i="5081"/>
  <c r="O101" i="5081"/>
  <c r="O102" i="5081"/>
  <c r="O103" i="5081"/>
  <c r="O104" i="5081"/>
  <c r="O105" i="5081"/>
  <c r="O106" i="5081"/>
  <c r="O107" i="5081"/>
  <c r="O108" i="5081"/>
  <c r="O109" i="5081"/>
  <c r="O110" i="5081"/>
  <c r="O111" i="5081"/>
  <c r="O112" i="5081"/>
  <c r="O113" i="5081"/>
  <c r="O114" i="5081"/>
  <c r="O115" i="5081"/>
  <c r="O116" i="5081"/>
  <c r="O117" i="5081"/>
  <c r="O118" i="5081"/>
  <c r="O119" i="5081"/>
  <c r="O120" i="5081"/>
  <c r="O121" i="5081"/>
  <c r="O122" i="5081"/>
  <c r="O123" i="5081"/>
  <c r="O124" i="5081"/>
  <c r="O125" i="5081"/>
  <c r="O126" i="5081"/>
  <c r="O127" i="5081"/>
  <c r="O128" i="5081"/>
  <c r="O129" i="5081"/>
  <c r="O130" i="5081"/>
  <c r="O131" i="5081"/>
  <c r="O132" i="5081"/>
  <c r="O133" i="5081"/>
  <c r="O134" i="5081"/>
  <c r="O135" i="5081"/>
  <c r="O136" i="5081"/>
  <c r="O137" i="5081"/>
  <c r="O138" i="5081"/>
  <c r="O139" i="5081"/>
  <c r="O140" i="5081"/>
  <c r="O141" i="5081"/>
  <c r="O142" i="5081"/>
  <c r="O143" i="5081"/>
  <c r="O144" i="5081"/>
  <c r="O145" i="5081"/>
  <c r="O146" i="5081"/>
  <c r="O147" i="5081"/>
  <c r="O148" i="5081"/>
  <c r="O149" i="5081"/>
  <c r="O150" i="5081"/>
  <c r="O151" i="5081"/>
  <c r="O152" i="5081"/>
  <c r="O153" i="5081"/>
  <c r="O154" i="5081"/>
  <c r="O155" i="5081"/>
  <c r="O156" i="5081"/>
  <c r="O157" i="5081"/>
  <c r="O158" i="5081"/>
  <c r="O159" i="5081"/>
  <c r="O160" i="5081"/>
  <c r="O161" i="5081"/>
  <c r="O162" i="5081"/>
  <c r="O163" i="5081"/>
  <c r="O164" i="5081"/>
  <c r="O165" i="5081"/>
  <c r="O166" i="5081"/>
  <c r="O167" i="5081"/>
  <c r="O168" i="5081"/>
  <c r="O169" i="5081"/>
  <c r="O170" i="5081"/>
  <c r="O171" i="5081"/>
  <c r="O172" i="5081"/>
  <c r="O173" i="5081"/>
  <c r="O174" i="5081"/>
  <c r="O175" i="5081"/>
  <c r="O176" i="5081"/>
  <c r="O177" i="5081"/>
  <c r="O178" i="5081"/>
  <c r="O179" i="5081"/>
  <c r="O180" i="5081"/>
  <c r="O181" i="5081"/>
  <c r="O182" i="5081"/>
  <c r="O183" i="5081"/>
  <c r="O184" i="5081"/>
  <c r="O185" i="5081"/>
  <c r="O186" i="5081"/>
  <c r="O187" i="5081"/>
  <c r="O188" i="5081"/>
  <c r="O189" i="5081"/>
  <c r="O190" i="5081"/>
  <c r="O191" i="5081"/>
  <c r="O192" i="5081"/>
  <c r="O193" i="5081"/>
  <c r="O194" i="5081"/>
  <c r="O195" i="5081"/>
  <c r="O196" i="5081"/>
  <c r="O197" i="5081"/>
  <c r="O198" i="5081"/>
  <c r="O199" i="5081"/>
  <c r="O200" i="5081"/>
  <c r="O201" i="5081"/>
  <c r="O202" i="5081"/>
  <c r="O203" i="5081"/>
  <c r="O204" i="5081"/>
  <c r="O205" i="5081"/>
  <c r="O206" i="5081"/>
  <c r="O207" i="5081"/>
  <c r="O208" i="5081"/>
  <c r="O209" i="5081"/>
  <c r="O210" i="5081"/>
  <c r="O211" i="5081"/>
  <c r="O212" i="5081"/>
  <c r="O213" i="5081"/>
  <c r="O214" i="5081"/>
  <c r="O215" i="5081"/>
  <c r="O216" i="5081"/>
  <c r="O217" i="5081"/>
  <c r="O218" i="5081"/>
  <c r="O219" i="5081"/>
  <c r="O220" i="5081"/>
  <c r="O221" i="5081"/>
  <c r="O222" i="5081"/>
  <c r="O223" i="5081"/>
  <c r="O224" i="5081"/>
  <c r="O225" i="5081"/>
  <c r="O226" i="5081"/>
  <c r="O227" i="5081"/>
  <c r="O228" i="5081"/>
  <c r="O229" i="5081"/>
  <c r="O230" i="5081"/>
  <c r="O231" i="5081"/>
  <c r="O232" i="5081"/>
  <c r="O233" i="5081"/>
  <c r="O234" i="5081"/>
  <c r="O235" i="5081"/>
  <c r="O236" i="5081"/>
  <c r="O237" i="5081"/>
  <c r="O238" i="5081"/>
  <c r="O239" i="5081"/>
  <c r="O240" i="5081"/>
  <c r="O241" i="5081"/>
  <c r="O242" i="5081"/>
  <c r="O243" i="5081"/>
  <c r="O244" i="5081"/>
  <c r="O245" i="5081"/>
  <c r="O246" i="5081"/>
  <c r="O247" i="5081"/>
  <c r="O248" i="5081"/>
  <c r="O249" i="5081"/>
  <c r="O250" i="5081"/>
  <c r="O251" i="5081"/>
  <c r="O252" i="5081"/>
  <c r="O253" i="5081"/>
  <c r="O254" i="5081"/>
  <c r="O255" i="5081"/>
  <c r="O256" i="5081"/>
  <c r="O257" i="5081"/>
  <c r="O258" i="5081"/>
  <c r="O259" i="5081"/>
  <c r="O260" i="5081"/>
  <c r="O261" i="5081"/>
  <c r="O262" i="5081"/>
  <c r="O263" i="5081"/>
  <c r="O264" i="5081"/>
  <c r="O265" i="5081"/>
  <c r="O266" i="5081"/>
  <c r="O267" i="5081"/>
  <c r="O268" i="5081"/>
  <c r="O269" i="5081"/>
  <c r="O270" i="5081"/>
  <c r="O271" i="5081"/>
  <c r="O272" i="5081"/>
  <c r="O273" i="5081"/>
  <c r="O274" i="5081"/>
  <c r="O275" i="5081"/>
  <c r="O276" i="5081"/>
  <c r="O277" i="5081"/>
  <c r="O278" i="5081"/>
  <c r="O279" i="5081"/>
  <c r="O280" i="5081"/>
  <c r="O281" i="5081"/>
  <c r="O282" i="5081"/>
  <c r="O283" i="5081"/>
  <c r="O284" i="5081"/>
  <c r="O285" i="5081"/>
  <c r="O286" i="5081"/>
  <c r="O287" i="5081"/>
  <c r="O288" i="5081"/>
  <c r="O289" i="5081"/>
  <c r="O290" i="5081"/>
  <c r="O291" i="5081"/>
  <c r="O292" i="5081"/>
  <c r="O293" i="5081"/>
  <c r="O294" i="5081"/>
  <c r="O295" i="5081"/>
  <c r="O296" i="5081"/>
  <c r="O297" i="5081"/>
  <c r="O298" i="5081"/>
  <c r="O299" i="5081"/>
  <c r="O300" i="5081"/>
  <c r="O301" i="5081"/>
  <c r="O302" i="5081"/>
  <c r="O303" i="5081"/>
  <c r="O304" i="5081"/>
  <c r="O305" i="5081"/>
  <c r="O306" i="5081"/>
  <c r="O307" i="5081"/>
  <c r="O308" i="5081"/>
  <c r="O309" i="5081"/>
  <c r="O310" i="5081"/>
  <c r="O311" i="5081"/>
  <c r="O312" i="5081"/>
  <c r="O313" i="5081"/>
  <c r="O314" i="5081"/>
  <c r="O315" i="5081"/>
  <c r="O316" i="5081"/>
  <c r="O317" i="5081"/>
  <c r="O318" i="5081"/>
  <c r="O319" i="5081"/>
  <c r="O320" i="5081"/>
  <c r="O321" i="5081"/>
  <c r="O322" i="5081"/>
  <c r="O323" i="5081"/>
  <c r="O324" i="5081"/>
  <c r="O325" i="5081"/>
  <c r="O326" i="5081"/>
  <c r="O327" i="5081"/>
  <c r="O328" i="5081"/>
  <c r="O329" i="5081"/>
  <c r="O330" i="5081"/>
  <c r="O331" i="5081"/>
  <c r="O332" i="5081"/>
  <c r="O333" i="5081"/>
  <c r="O334" i="5081"/>
  <c r="O335" i="5081"/>
  <c r="O336" i="5081"/>
  <c r="O337" i="5081"/>
  <c r="O338" i="5081"/>
  <c r="O339" i="5081"/>
  <c r="O340" i="5081"/>
  <c r="O341" i="5081"/>
  <c r="O342" i="5081"/>
  <c r="O343" i="5081"/>
  <c r="O344" i="5081"/>
  <c r="O345" i="5081"/>
  <c r="O346" i="5081"/>
  <c r="O347" i="5081"/>
  <c r="O348" i="5081"/>
  <c r="O349" i="5081"/>
  <c r="O350" i="5081"/>
  <c r="O351" i="5081"/>
  <c r="O352" i="5081"/>
  <c r="O353" i="5081"/>
  <c r="O354" i="5081"/>
  <c r="O355" i="5081"/>
  <c r="O356" i="5081"/>
  <c r="O357" i="5081"/>
  <c r="O358" i="5081"/>
  <c r="O359" i="5081"/>
  <c r="O360" i="5081"/>
  <c r="O361" i="5081"/>
  <c r="O362" i="5081"/>
  <c r="O363" i="5081"/>
  <c r="O364" i="5081"/>
  <c r="O365" i="5081"/>
  <c r="O366" i="5081"/>
  <c r="O367" i="5081"/>
  <c r="O368" i="5081"/>
  <c r="O369" i="5081"/>
  <c r="O370" i="5081"/>
  <c r="O371" i="5081"/>
  <c r="O372" i="5081"/>
  <c r="O373" i="5081"/>
  <c r="O374" i="5081"/>
  <c r="O375" i="5081"/>
  <c r="O376" i="5081"/>
  <c r="O377" i="5081"/>
  <c r="O378" i="5081"/>
  <c r="O379" i="5081"/>
  <c r="O380" i="5081"/>
  <c r="O381" i="5081"/>
  <c r="O382" i="5081"/>
  <c r="O383" i="5081"/>
  <c r="O384" i="5081"/>
  <c r="O385" i="5081"/>
  <c r="O386" i="5081"/>
  <c r="O387" i="5081"/>
  <c r="O388" i="5081"/>
  <c r="O389" i="5081"/>
  <c r="O390" i="5081"/>
  <c r="O391" i="5081"/>
  <c r="O392" i="5081"/>
  <c r="O393" i="5081"/>
  <c r="O394" i="5081"/>
  <c r="O395" i="5081"/>
  <c r="O396" i="5081"/>
  <c r="O397" i="5081"/>
  <c r="O398" i="5081"/>
  <c r="O399" i="5081"/>
  <c r="O400" i="5081"/>
  <c r="O401" i="5081"/>
  <c r="O402" i="5081"/>
  <c r="O403" i="5081"/>
  <c r="O404" i="5081"/>
  <c r="O405" i="5081"/>
  <c r="O406" i="5081"/>
  <c r="O407" i="5081"/>
  <c r="O408" i="5081"/>
  <c r="O409" i="5081"/>
  <c r="O410" i="5081"/>
  <c r="O411" i="5081"/>
  <c r="O412" i="5081"/>
  <c r="O413" i="5081"/>
  <c r="O414" i="5081"/>
  <c r="O415" i="5081"/>
  <c r="O416" i="5081"/>
  <c r="O417" i="5081"/>
  <c r="O418" i="5081"/>
  <c r="O419" i="5081"/>
  <c r="O420" i="5081"/>
  <c r="O421" i="5081"/>
  <c r="O422" i="5081"/>
  <c r="O423" i="5081"/>
  <c r="O424" i="5081"/>
  <c r="O425" i="5081"/>
  <c r="O426" i="5081"/>
  <c r="O427" i="5081"/>
  <c r="O428" i="5081"/>
  <c r="O429" i="5081"/>
  <c r="O430" i="5081"/>
  <c r="O431" i="5081"/>
  <c r="O432" i="5081"/>
  <c r="O433" i="5081"/>
  <c r="O434" i="5081"/>
  <c r="O435" i="5081"/>
  <c r="O436" i="5081"/>
  <c r="O437" i="5081"/>
  <c r="O438" i="5081"/>
  <c r="O439" i="5081"/>
  <c r="O440" i="5081"/>
  <c r="O441" i="5081"/>
  <c r="O442" i="5081"/>
  <c r="O443" i="5081"/>
  <c r="O444" i="5081"/>
  <c r="O445" i="5081"/>
  <c r="O446" i="5081"/>
  <c r="O447" i="5081"/>
  <c r="O448" i="5081"/>
  <c r="O449" i="5081"/>
  <c r="O450" i="5081"/>
  <c r="O451" i="5081"/>
  <c r="O452" i="5081"/>
  <c r="O453" i="5081"/>
  <c r="O454" i="5081"/>
  <c r="O455" i="5081"/>
  <c r="O456" i="5081"/>
  <c r="O457" i="5081"/>
  <c r="O458" i="5081"/>
  <c r="O459" i="5081"/>
  <c r="O460" i="5081"/>
  <c r="O461" i="5081"/>
  <c r="O462" i="5081"/>
  <c r="O463" i="5081"/>
  <c r="O464" i="5081"/>
  <c r="O465" i="5081"/>
  <c r="O466" i="5081"/>
  <c r="O467" i="5081"/>
  <c r="O468" i="5081"/>
  <c r="O469" i="5081"/>
  <c r="O470" i="5081"/>
  <c r="O471" i="5081"/>
  <c r="O472" i="5081"/>
  <c r="O473" i="5081"/>
  <c r="O474" i="5081"/>
  <c r="O475" i="5081"/>
  <c r="O476" i="5081"/>
  <c r="O477" i="5081"/>
  <c r="O478" i="5081"/>
  <c r="O479" i="5081"/>
  <c r="O480" i="5081"/>
  <c r="O481" i="5081"/>
  <c r="O482" i="5081"/>
  <c r="O483" i="5081"/>
  <c r="O484" i="5081"/>
  <c r="O485" i="5081"/>
  <c r="O486" i="5081"/>
  <c r="O487" i="5081"/>
  <c r="O488" i="5081"/>
  <c r="O489" i="5081"/>
  <c r="O490" i="5081"/>
  <c r="O491" i="5081"/>
  <c r="O492" i="5081"/>
  <c r="O493" i="5081"/>
  <c r="O494" i="5081"/>
  <c r="O495" i="5081"/>
  <c r="O496" i="5081"/>
  <c r="O497" i="5081"/>
  <c r="O498" i="5081"/>
  <c r="O499" i="5081"/>
  <c r="O500" i="5081"/>
  <c r="O501" i="5081"/>
  <c r="O502" i="5081"/>
  <c r="O503" i="5081"/>
  <c r="O504" i="5081"/>
  <c r="O505" i="5081"/>
  <c r="O2" i="5080"/>
  <c r="O3" i="5080"/>
  <c r="O4" i="5080"/>
  <c r="O5" i="5080"/>
  <c r="O6" i="5080"/>
  <c r="O7" i="5080"/>
  <c r="O8" i="5080"/>
  <c r="O9" i="5080"/>
  <c r="O10" i="5080"/>
  <c r="O11" i="5080"/>
  <c r="O12" i="5080"/>
  <c r="O13" i="5080"/>
  <c r="O14" i="5080"/>
  <c r="O15" i="5080"/>
  <c r="O16" i="5080"/>
  <c r="O17" i="5080"/>
  <c r="O18" i="5080"/>
  <c r="O19" i="5080"/>
  <c r="O20" i="5080"/>
  <c r="O21" i="5080"/>
  <c r="O22" i="5080"/>
  <c r="O23" i="5080"/>
  <c r="O24" i="5080"/>
  <c r="O25" i="5080"/>
  <c r="O26" i="5080"/>
  <c r="O27" i="5080"/>
  <c r="O28" i="5080"/>
  <c r="O29" i="5080"/>
  <c r="O30" i="5080"/>
  <c r="O31" i="5080"/>
  <c r="O32" i="5080"/>
  <c r="O33" i="5080"/>
  <c r="O34" i="5080"/>
  <c r="O35" i="5080"/>
  <c r="O36" i="5080"/>
  <c r="O37" i="5080"/>
  <c r="O38" i="5080"/>
  <c r="O39" i="5080"/>
  <c r="O40" i="5080"/>
  <c r="O41" i="5080"/>
  <c r="O42" i="5080"/>
  <c r="O43" i="5080"/>
  <c r="O44" i="5080"/>
  <c r="O45" i="5080"/>
  <c r="O46" i="5080"/>
  <c r="O47" i="5080"/>
  <c r="O48" i="5080"/>
  <c r="O49" i="5080"/>
  <c r="O50" i="5080"/>
  <c r="O51" i="5080"/>
  <c r="O52" i="5080"/>
  <c r="O53" i="5080"/>
  <c r="O54" i="5080"/>
  <c r="O55" i="5080"/>
  <c r="O56" i="5080"/>
  <c r="O57" i="5080"/>
  <c r="O58" i="5080"/>
  <c r="O59" i="5080"/>
  <c r="O60" i="5080"/>
  <c r="O61" i="5080"/>
  <c r="O62" i="5080"/>
  <c r="O63" i="5080"/>
  <c r="O64" i="5080"/>
  <c r="O65" i="5080"/>
  <c r="O66" i="5080"/>
  <c r="O67" i="5080"/>
  <c r="O68" i="5080"/>
  <c r="O69" i="5080"/>
  <c r="O70" i="5080"/>
  <c r="O71" i="5080"/>
  <c r="O72" i="5080"/>
  <c r="O73" i="5080"/>
  <c r="O74" i="5080"/>
  <c r="O75" i="5080"/>
  <c r="O76" i="5080"/>
  <c r="O77" i="5080"/>
  <c r="O78" i="5080"/>
  <c r="O79" i="5080"/>
  <c r="O80" i="5080"/>
  <c r="O81" i="5080"/>
  <c r="O82" i="5080"/>
  <c r="O83" i="5080"/>
  <c r="O84" i="5080"/>
  <c r="O85" i="5080"/>
  <c r="O86" i="5080"/>
  <c r="O87" i="5080"/>
  <c r="O88" i="5080"/>
  <c r="O89" i="5080"/>
  <c r="O90" i="5080"/>
  <c r="O91" i="5080"/>
  <c r="O92" i="5080"/>
  <c r="O93" i="5080"/>
  <c r="O94" i="5080"/>
  <c r="O95" i="5080"/>
  <c r="O96" i="5080"/>
  <c r="O97" i="5080"/>
  <c r="O98" i="5080"/>
  <c r="O99" i="5080"/>
  <c r="O100" i="5080"/>
  <c r="O101" i="5080"/>
  <c r="O102" i="5080"/>
  <c r="O103" i="5080"/>
  <c r="O104" i="5080"/>
  <c r="O105" i="5080"/>
  <c r="O106" i="5080"/>
  <c r="O107" i="5080"/>
  <c r="O108" i="5080"/>
  <c r="O109" i="5080"/>
  <c r="O110" i="5080"/>
  <c r="O111" i="5080"/>
  <c r="O112" i="5080"/>
  <c r="O113" i="5080"/>
  <c r="O114" i="5080"/>
  <c r="O115" i="5080"/>
  <c r="O116" i="5080"/>
  <c r="O117" i="5080"/>
  <c r="O118" i="5080"/>
  <c r="O119" i="5080"/>
  <c r="O120" i="5080"/>
  <c r="O121" i="5080"/>
  <c r="O122" i="5080"/>
  <c r="O123" i="5080"/>
  <c r="O124" i="5080"/>
  <c r="O125" i="5080"/>
  <c r="O126" i="5080"/>
  <c r="O127" i="5080"/>
  <c r="O128" i="5080"/>
  <c r="O129" i="5080"/>
  <c r="O130" i="5080"/>
  <c r="O131" i="5080"/>
  <c r="O132" i="5080"/>
  <c r="O133" i="5080"/>
  <c r="O134" i="5080"/>
  <c r="O135" i="5080"/>
  <c r="O136" i="5080"/>
  <c r="O137" i="5080"/>
  <c r="O138" i="5080"/>
  <c r="O139" i="5080"/>
  <c r="O140" i="5080"/>
  <c r="O141" i="5080"/>
  <c r="O142" i="5080"/>
  <c r="O143" i="5080"/>
  <c r="O144" i="5080"/>
  <c r="O145" i="5080"/>
  <c r="O146" i="5080"/>
  <c r="O147" i="5080"/>
  <c r="O148" i="5080"/>
  <c r="O149" i="5080"/>
  <c r="O150" i="5080"/>
  <c r="O151" i="5080"/>
  <c r="O152" i="5080"/>
  <c r="O153" i="5080"/>
  <c r="O154" i="5080"/>
  <c r="O155" i="5080"/>
  <c r="O156" i="5080"/>
  <c r="O157" i="5080"/>
  <c r="O158" i="5080"/>
  <c r="O159" i="5080"/>
  <c r="O160" i="5080"/>
  <c r="O161" i="5080"/>
  <c r="O162" i="5080"/>
  <c r="O163" i="5080"/>
  <c r="O164" i="5080"/>
  <c r="O165" i="5080"/>
  <c r="O166" i="5080"/>
  <c r="O167" i="5080"/>
  <c r="O168" i="5080"/>
  <c r="O169" i="5080"/>
  <c r="O170" i="5080"/>
  <c r="O171" i="5080"/>
  <c r="O172" i="5080"/>
  <c r="O173" i="5080"/>
  <c r="O174" i="5080"/>
  <c r="O175" i="5080"/>
  <c r="O176" i="5080"/>
  <c r="O177" i="5080"/>
  <c r="O178" i="5080"/>
  <c r="O179" i="5080"/>
  <c r="O180" i="5080"/>
  <c r="O181" i="5080"/>
  <c r="O182" i="5080"/>
  <c r="O183" i="5080"/>
  <c r="O184" i="5080"/>
  <c r="O185" i="5080"/>
  <c r="O186" i="5080"/>
  <c r="O187" i="5080"/>
  <c r="O188" i="5080"/>
  <c r="O189" i="5080"/>
  <c r="O190" i="5080"/>
  <c r="O191" i="5080"/>
  <c r="O192" i="5080"/>
  <c r="O193" i="5080"/>
  <c r="O194" i="5080"/>
  <c r="O195" i="5080"/>
  <c r="O196" i="5080"/>
  <c r="O197" i="5080"/>
  <c r="O198" i="5080"/>
  <c r="O199" i="5080"/>
  <c r="O200" i="5080"/>
  <c r="O201" i="5080"/>
  <c r="O202" i="5080"/>
  <c r="O203" i="5080"/>
  <c r="O204" i="5080"/>
  <c r="O205" i="5080"/>
  <c r="O206" i="5080"/>
  <c r="O207" i="5080"/>
  <c r="O208" i="5080"/>
  <c r="O209" i="5080"/>
  <c r="O210" i="5080"/>
  <c r="O211" i="5080"/>
  <c r="O212" i="5080"/>
  <c r="O213" i="5080"/>
  <c r="O214" i="5080"/>
  <c r="O215" i="5080"/>
  <c r="O216" i="5080"/>
  <c r="O217" i="5080"/>
  <c r="O218" i="5080"/>
  <c r="O219" i="5080"/>
  <c r="O220" i="5080"/>
  <c r="O221" i="5080"/>
  <c r="O222" i="5080"/>
  <c r="O223" i="5080"/>
  <c r="O224" i="5080"/>
  <c r="O225" i="5080"/>
  <c r="O226" i="5080"/>
  <c r="O227" i="5080"/>
  <c r="O228" i="5080"/>
  <c r="O229" i="5080"/>
  <c r="O230" i="5080"/>
  <c r="O231" i="5080"/>
  <c r="O232" i="5080"/>
  <c r="O233" i="5080"/>
  <c r="O234" i="5080"/>
  <c r="O235" i="5080"/>
  <c r="O236" i="5080"/>
  <c r="O237" i="5080"/>
  <c r="O238" i="5080"/>
  <c r="O239" i="5080"/>
  <c r="O240" i="5080"/>
  <c r="O241" i="5080"/>
  <c r="O242" i="5080"/>
  <c r="O243" i="5080"/>
  <c r="O244" i="5080"/>
  <c r="O245" i="5080"/>
  <c r="O246" i="5080"/>
  <c r="O247" i="5080"/>
  <c r="O248" i="5080"/>
  <c r="O249" i="5080"/>
  <c r="O250" i="5080"/>
  <c r="O251" i="5080"/>
  <c r="O252" i="5080"/>
  <c r="O253" i="5080"/>
  <c r="O254" i="5080"/>
  <c r="O255" i="5080"/>
  <c r="O256" i="5080"/>
  <c r="O257" i="5080"/>
  <c r="O258" i="5080"/>
  <c r="O259" i="5080"/>
  <c r="O260" i="5080"/>
  <c r="O261" i="5080"/>
  <c r="O262" i="5080"/>
  <c r="O263" i="5080"/>
  <c r="O264" i="5080"/>
  <c r="O265" i="5080"/>
  <c r="O266" i="5080"/>
  <c r="O267" i="5080"/>
  <c r="O268" i="5080"/>
  <c r="O269" i="5080"/>
  <c r="O270" i="5080"/>
  <c r="O271" i="5080"/>
  <c r="O272" i="5080"/>
  <c r="O273" i="5080"/>
  <c r="O274" i="5080"/>
  <c r="O275" i="5080"/>
  <c r="O276" i="5080"/>
  <c r="O277" i="5080"/>
  <c r="O278" i="5080"/>
  <c r="O279" i="5080"/>
  <c r="O280" i="5080"/>
  <c r="O281" i="5080"/>
  <c r="O282" i="5080"/>
  <c r="O283" i="5080"/>
  <c r="O284" i="5080"/>
  <c r="O285" i="5080"/>
  <c r="O286" i="5080"/>
  <c r="O287" i="5080"/>
  <c r="O288" i="5080"/>
  <c r="O289" i="5080"/>
  <c r="O290" i="5080"/>
  <c r="O291" i="5080"/>
  <c r="O292" i="5080"/>
  <c r="O293" i="5080"/>
  <c r="O294" i="5080"/>
  <c r="O295" i="5080"/>
  <c r="O296" i="5080"/>
  <c r="O297" i="5080"/>
  <c r="O298" i="5080"/>
  <c r="O299" i="5080"/>
  <c r="O300" i="5080"/>
  <c r="O301" i="5080"/>
  <c r="O302" i="5080"/>
  <c r="O303" i="5080"/>
  <c r="O304" i="5080"/>
  <c r="O305" i="5080"/>
  <c r="O306" i="5080"/>
  <c r="O307" i="5080"/>
  <c r="O308" i="5080"/>
  <c r="O309" i="5080"/>
  <c r="O310" i="5080"/>
  <c r="O311" i="5080"/>
  <c r="O312" i="5080"/>
  <c r="O313" i="5080"/>
  <c r="O314" i="5080"/>
  <c r="O315" i="5080"/>
  <c r="O316" i="5080"/>
  <c r="O317" i="5080"/>
  <c r="O318" i="5080"/>
  <c r="O319" i="5080"/>
  <c r="O320" i="5080"/>
  <c r="O321" i="5080"/>
  <c r="O322" i="5080"/>
  <c r="O323" i="5080"/>
  <c r="O324" i="5080"/>
  <c r="O325" i="5080"/>
  <c r="O326" i="5080"/>
  <c r="O327" i="5080"/>
  <c r="O328" i="5080"/>
  <c r="O329" i="5080"/>
  <c r="O330" i="5080"/>
  <c r="O331" i="5080"/>
  <c r="O332" i="5080"/>
  <c r="O333" i="5080"/>
  <c r="O334" i="5080"/>
  <c r="O335" i="5080"/>
  <c r="O336" i="5080"/>
  <c r="O337" i="5080"/>
  <c r="O338" i="5080"/>
  <c r="O339" i="5080"/>
  <c r="O340" i="5080"/>
  <c r="O341" i="5080"/>
  <c r="O342" i="5080"/>
  <c r="O343" i="5080"/>
  <c r="O344" i="5080"/>
  <c r="O345" i="5080"/>
  <c r="O346" i="5080"/>
  <c r="O347" i="5080"/>
  <c r="O348" i="5080"/>
  <c r="O349" i="5080"/>
  <c r="O350" i="5080"/>
  <c r="O351" i="5080"/>
  <c r="O352" i="5080"/>
  <c r="O353" i="5080"/>
  <c r="O354" i="5080"/>
  <c r="O355" i="5080"/>
  <c r="O356" i="5080"/>
  <c r="O357" i="5080"/>
  <c r="O358" i="5080"/>
  <c r="O359" i="5080"/>
  <c r="O360" i="5080"/>
  <c r="O361" i="5080"/>
  <c r="O362" i="5080"/>
  <c r="O363" i="5080"/>
  <c r="O364" i="5080"/>
  <c r="O365" i="5080"/>
  <c r="O366" i="5080"/>
  <c r="O367" i="5080"/>
  <c r="O368" i="5080"/>
  <c r="O369" i="5080"/>
  <c r="O370" i="5080"/>
  <c r="O371" i="5080"/>
  <c r="O372" i="5080"/>
  <c r="O373" i="5080"/>
  <c r="O374" i="5080"/>
  <c r="O375" i="5080"/>
  <c r="O376" i="5080"/>
  <c r="O377" i="5080"/>
  <c r="O378" i="5080"/>
  <c r="O379" i="5080"/>
  <c r="O380" i="5080"/>
  <c r="O381" i="5080"/>
  <c r="O382" i="5080"/>
  <c r="O383" i="5080"/>
  <c r="O384" i="5080"/>
  <c r="O385" i="5080"/>
  <c r="O386" i="5080"/>
  <c r="O387" i="5080"/>
  <c r="O388" i="5080"/>
  <c r="O389" i="5080"/>
  <c r="O390" i="5080"/>
  <c r="O391" i="5080"/>
  <c r="O392" i="5080"/>
  <c r="O393" i="5080"/>
  <c r="O394" i="5080"/>
  <c r="O395" i="5080"/>
  <c r="O396" i="5080"/>
  <c r="O397" i="5080"/>
  <c r="O398" i="5080"/>
  <c r="O399" i="5080"/>
  <c r="O400" i="5080"/>
  <c r="O401" i="5080"/>
  <c r="O402" i="5080"/>
  <c r="O403" i="5080"/>
  <c r="O404" i="5080"/>
  <c r="O405" i="5080"/>
  <c r="O406" i="5080"/>
  <c r="O407" i="5080"/>
  <c r="O408" i="5080"/>
  <c r="O409" i="5080"/>
  <c r="O410" i="5080"/>
  <c r="O411" i="5080"/>
  <c r="O412" i="5080"/>
  <c r="O413" i="5080"/>
  <c r="O414" i="5080"/>
  <c r="O415" i="5080"/>
  <c r="O416" i="5080"/>
  <c r="O417" i="5080"/>
  <c r="O418" i="5080"/>
  <c r="O419" i="5080"/>
  <c r="O420" i="5080"/>
  <c r="O421" i="5080"/>
  <c r="O422" i="5080"/>
  <c r="O423" i="5080"/>
  <c r="O424" i="5080"/>
  <c r="O425" i="5080"/>
  <c r="O426" i="5080"/>
  <c r="O427" i="5080"/>
  <c r="O428" i="5080"/>
  <c r="O429" i="5080"/>
  <c r="O430" i="5080"/>
  <c r="O431" i="5080"/>
  <c r="O432" i="5080"/>
  <c r="O433" i="5080"/>
  <c r="O434" i="5080"/>
  <c r="O435" i="5080"/>
  <c r="O436" i="5080"/>
  <c r="O437" i="5080"/>
  <c r="O438" i="5080"/>
  <c r="O439" i="5080"/>
  <c r="O440" i="5080"/>
  <c r="O441" i="5080"/>
  <c r="O442" i="5080"/>
  <c r="O443" i="5080"/>
  <c r="O444" i="5080"/>
  <c r="O445" i="5080"/>
  <c r="O446" i="5080"/>
  <c r="O447" i="5080"/>
  <c r="O448" i="5080"/>
  <c r="O449" i="5080"/>
  <c r="O450" i="5080"/>
  <c r="O451" i="5080"/>
  <c r="O452" i="5080"/>
  <c r="O453" i="5080"/>
  <c r="O454" i="5080"/>
  <c r="O455" i="5080"/>
  <c r="O456" i="5080"/>
  <c r="O457" i="5080"/>
  <c r="O458" i="5080"/>
  <c r="O459" i="5080"/>
  <c r="O460" i="5080"/>
  <c r="O461" i="5080"/>
  <c r="O462" i="5080"/>
  <c r="O463" i="5080"/>
  <c r="O464" i="5080"/>
  <c r="O465" i="5080"/>
  <c r="O466" i="5080"/>
  <c r="O467" i="5080"/>
  <c r="O468" i="5080"/>
  <c r="O469" i="5080"/>
  <c r="O470" i="5080"/>
  <c r="O471" i="5080"/>
  <c r="O472" i="5080"/>
  <c r="O473" i="5080"/>
  <c r="O474" i="5080"/>
  <c r="O475" i="5080"/>
  <c r="O476" i="5080"/>
  <c r="O477" i="5080"/>
  <c r="O478" i="5080"/>
  <c r="O479" i="5080"/>
  <c r="O480" i="5080"/>
  <c r="O481" i="5080"/>
  <c r="O482" i="5080"/>
  <c r="O483" i="5080"/>
  <c r="O484" i="5080"/>
  <c r="O485" i="5080"/>
  <c r="O486" i="5080"/>
  <c r="O487" i="5080"/>
  <c r="O488" i="5080"/>
  <c r="O489" i="5080"/>
  <c r="O490" i="5080"/>
  <c r="O491" i="5080"/>
  <c r="O492" i="5080"/>
  <c r="O493" i="5080"/>
  <c r="O494" i="5080"/>
  <c r="O495" i="5080"/>
  <c r="O496" i="5080"/>
  <c r="O497" i="5080"/>
  <c r="O498" i="5080"/>
  <c r="O499" i="5080"/>
  <c r="O500" i="5080"/>
  <c r="O501" i="5080"/>
  <c r="O502" i="5080"/>
  <c r="O503" i="5080"/>
  <c r="O504" i="5080"/>
  <c r="O505" i="5080"/>
  <c r="O2" i="5079"/>
  <c r="O3" i="5079"/>
  <c r="O4" i="5079"/>
  <c r="O5" i="5079"/>
  <c r="O6" i="5079"/>
  <c r="O7" i="5079"/>
  <c r="O8" i="5079"/>
  <c r="O9" i="5079"/>
  <c r="O10" i="5079"/>
  <c r="O11" i="5079"/>
  <c r="O12" i="5079"/>
  <c r="O13" i="5079"/>
  <c r="O14" i="5079"/>
  <c r="O15" i="5079"/>
  <c r="O16" i="5079"/>
  <c r="O17" i="5079"/>
  <c r="O18" i="5079"/>
  <c r="O19" i="5079"/>
  <c r="O20" i="5079"/>
  <c r="O21" i="5079"/>
  <c r="O22" i="5079"/>
  <c r="O23" i="5079"/>
  <c r="O24" i="5079"/>
  <c r="O25" i="5079"/>
  <c r="O26" i="5079"/>
  <c r="O27" i="5079"/>
  <c r="O28" i="5079"/>
  <c r="O29" i="5079"/>
  <c r="O30" i="5079"/>
  <c r="O31" i="5079"/>
  <c r="O32" i="5079"/>
  <c r="O33" i="5079"/>
  <c r="O34" i="5079"/>
  <c r="O35" i="5079"/>
  <c r="O36" i="5079"/>
  <c r="O37" i="5079"/>
  <c r="O38" i="5079"/>
  <c r="O39" i="5079"/>
  <c r="O40" i="5079"/>
  <c r="O41" i="5079"/>
  <c r="O42" i="5079"/>
  <c r="O43" i="5079"/>
  <c r="O44" i="5079"/>
  <c r="O45" i="5079"/>
  <c r="O46" i="5079"/>
  <c r="O47" i="5079"/>
  <c r="O48" i="5079"/>
  <c r="O49" i="5079"/>
  <c r="O50" i="5079"/>
  <c r="O51" i="5079"/>
  <c r="O52" i="5079"/>
  <c r="O53" i="5079"/>
  <c r="O54" i="5079"/>
  <c r="O55" i="5079"/>
  <c r="O56" i="5079"/>
  <c r="O57" i="5079"/>
  <c r="O58" i="5079"/>
  <c r="O59" i="5079"/>
  <c r="O60" i="5079"/>
  <c r="O61" i="5079"/>
  <c r="O62" i="5079"/>
  <c r="O63" i="5079"/>
  <c r="O64" i="5079"/>
  <c r="O65" i="5079"/>
  <c r="O66" i="5079"/>
  <c r="O67" i="5079"/>
  <c r="O68" i="5079"/>
  <c r="O69" i="5079"/>
  <c r="O70" i="5079"/>
  <c r="O71" i="5079"/>
  <c r="O72" i="5079"/>
  <c r="O73" i="5079"/>
  <c r="O74" i="5079"/>
  <c r="O75" i="5079"/>
  <c r="O76" i="5079"/>
  <c r="O77" i="5079"/>
  <c r="O78" i="5079"/>
  <c r="O79" i="5079"/>
  <c r="O80" i="5079"/>
  <c r="O81" i="5079"/>
  <c r="O82" i="5079"/>
  <c r="O83" i="5079"/>
  <c r="O84" i="5079"/>
  <c r="O85" i="5079"/>
  <c r="O86" i="5079"/>
  <c r="O87" i="5079"/>
  <c r="O88" i="5079"/>
  <c r="O89" i="5079"/>
  <c r="O90" i="5079"/>
  <c r="O91" i="5079"/>
  <c r="O92" i="5079"/>
  <c r="O93" i="5079"/>
  <c r="O94" i="5079"/>
  <c r="O95" i="5079"/>
  <c r="O96" i="5079"/>
  <c r="O97" i="5079"/>
  <c r="O98" i="5079"/>
  <c r="O99" i="5079"/>
  <c r="O100" i="5079"/>
  <c r="O101" i="5079"/>
  <c r="O102" i="5079"/>
  <c r="O103" i="5079"/>
  <c r="O104" i="5079"/>
  <c r="O105" i="5079"/>
  <c r="O106" i="5079"/>
  <c r="O107" i="5079"/>
  <c r="O108" i="5079"/>
  <c r="O109" i="5079"/>
  <c r="O110" i="5079"/>
  <c r="O111" i="5079"/>
  <c r="O112" i="5079"/>
  <c r="O113" i="5079"/>
  <c r="O114" i="5079"/>
  <c r="O115" i="5079"/>
  <c r="O116" i="5079"/>
  <c r="O117" i="5079"/>
  <c r="O118" i="5079"/>
  <c r="O119" i="5079"/>
  <c r="O120" i="5079"/>
  <c r="O121" i="5079"/>
  <c r="O122" i="5079"/>
  <c r="O123" i="5079"/>
  <c r="O124" i="5079"/>
  <c r="O125" i="5079"/>
  <c r="O126" i="5079"/>
  <c r="O127" i="5079"/>
  <c r="O128" i="5079"/>
  <c r="O129" i="5079"/>
  <c r="O130" i="5079"/>
  <c r="O131" i="5079"/>
  <c r="O132" i="5079"/>
  <c r="O133" i="5079"/>
  <c r="O134" i="5079"/>
  <c r="O135" i="5079"/>
  <c r="O136" i="5079"/>
  <c r="O137" i="5079"/>
  <c r="O138" i="5079"/>
  <c r="O139" i="5079"/>
  <c r="O140" i="5079"/>
  <c r="O141" i="5079"/>
  <c r="O142" i="5079"/>
  <c r="O143" i="5079"/>
  <c r="O144" i="5079"/>
  <c r="O145" i="5079"/>
  <c r="O146" i="5079"/>
  <c r="O147" i="5079"/>
  <c r="O148" i="5079"/>
  <c r="O149" i="5079"/>
  <c r="O150" i="5079"/>
  <c r="O151" i="5079"/>
  <c r="O152" i="5079"/>
  <c r="O153" i="5079"/>
  <c r="O154" i="5079"/>
  <c r="O155" i="5079"/>
  <c r="O156" i="5079"/>
  <c r="O157" i="5079"/>
  <c r="O158" i="5079"/>
  <c r="O159" i="5079"/>
  <c r="O160" i="5079"/>
  <c r="O161" i="5079"/>
  <c r="O162" i="5079"/>
  <c r="O163" i="5079"/>
  <c r="O164" i="5079"/>
  <c r="O165" i="5079"/>
  <c r="O166" i="5079"/>
  <c r="O167" i="5079"/>
  <c r="O168" i="5079"/>
  <c r="O169" i="5079"/>
  <c r="O170" i="5079"/>
  <c r="O171" i="5079"/>
  <c r="O172" i="5079"/>
  <c r="O173" i="5079"/>
  <c r="O174" i="5079"/>
  <c r="O175" i="5079"/>
  <c r="O176" i="5079"/>
  <c r="O177" i="5079"/>
  <c r="O178" i="5079"/>
  <c r="O179" i="5079"/>
  <c r="O180" i="5079"/>
  <c r="O181" i="5079"/>
  <c r="O182" i="5079"/>
  <c r="O183" i="5079"/>
  <c r="O184" i="5079"/>
  <c r="O185" i="5079"/>
  <c r="O186" i="5079"/>
  <c r="O187" i="5079"/>
  <c r="O188" i="5079"/>
  <c r="O189" i="5079"/>
  <c r="O190" i="5079"/>
  <c r="O191" i="5079"/>
  <c r="O192" i="5079"/>
  <c r="O193" i="5079"/>
  <c r="O194" i="5079"/>
  <c r="O195" i="5079"/>
  <c r="O196" i="5079"/>
  <c r="O197" i="5079"/>
  <c r="O198" i="5079"/>
  <c r="O199" i="5079"/>
  <c r="O200" i="5079"/>
  <c r="O201" i="5079"/>
  <c r="O202" i="5079"/>
  <c r="O203" i="5079"/>
  <c r="O204" i="5079"/>
  <c r="O205" i="5079"/>
  <c r="O206" i="5079"/>
  <c r="O207" i="5079"/>
  <c r="O208" i="5079"/>
  <c r="O209" i="5079"/>
  <c r="O210" i="5079"/>
  <c r="O211" i="5079"/>
  <c r="O212" i="5079"/>
  <c r="O213" i="5079"/>
  <c r="O214" i="5079"/>
  <c r="O215" i="5079"/>
  <c r="O216" i="5079"/>
  <c r="O217" i="5079"/>
  <c r="O218" i="5079"/>
  <c r="O219" i="5079"/>
  <c r="O220" i="5079"/>
  <c r="O221" i="5079"/>
  <c r="O222" i="5079"/>
  <c r="O223" i="5079"/>
  <c r="O224" i="5079"/>
  <c r="O225" i="5079"/>
  <c r="O226" i="5079"/>
  <c r="O227" i="5079"/>
  <c r="O228" i="5079"/>
  <c r="O229" i="5079"/>
  <c r="O230" i="5079"/>
  <c r="O231" i="5079"/>
  <c r="O232" i="5079"/>
  <c r="O233" i="5079"/>
  <c r="O234" i="5079"/>
  <c r="O235" i="5079"/>
  <c r="O236" i="5079"/>
  <c r="O237" i="5079"/>
  <c r="O238" i="5079"/>
  <c r="O239" i="5079"/>
  <c r="O240" i="5079"/>
  <c r="O241" i="5079"/>
  <c r="O242" i="5079"/>
  <c r="O243" i="5079"/>
  <c r="O244" i="5079"/>
  <c r="O245" i="5079"/>
  <c r="O246" i="5079"/>
  <c r="O247" i="5079"/>
  <c r="O248" i="5079"/>
  <c r="O249" i="5079"/>
  <c r="O250" i="5079"/>
  <c r="O251" i="5079"/>
  <c r="O252" i="5079"/>
  <c r="O253" i="5079"/>
  <c r="O254" i="5079"/>
  <c r="O255" i="5079"/>
  <c r="O256" i="5079"/>
  <c r="O257" i="5079"/>
  <c r="O258" i="5079"/>
  <c r="O259" i="5079"/>
  <c r="O260" i="5079"/>
  <c r="O261" i="5079"/>
  <c r="O262" i="5079"/>
  <c r="O263" i="5079"/>
  <c r="O264" i="5079"/>
  <c r="O265" i="5079"/>
  <c r="O266" i="5079"/>
  <c r="O267" i="5079"/>
  <c r="O268" i="5079"/>
  <c r="O269" i="5079"/>
  <c r="O270" i="5079"/>
  <c r="O271" i="5079"/>
  <c r="O272" i="5079"/>
  <c r="O273" i="5079"/>
  <c r="O274" i="5079"/>
  <c r="O275" i="5079"/>
  <c r="O276" i="5079"/>
  <c r="O277" i="5079"/>
  <c r="O278" i="5079"/>
  <c r="O279" i="5079"/>
  <c r="O280" i="5079"/>
  <c r="O281" i="5079"/>
  <c r="O282" i="5079"/>
  <c r="O283" i="5079"/>
  <c r="O284" i="5079"/>
  <c r="O285" i="5079"/>
  <c r="O286" i="5079"/>
  <c r="O287" i="5079"/>
  <c r="O288" i="5079"/>
  <c r="O289" i="5079"/>
  <c r="O290" i="5079"/>
  <c r="O291" i="5079"/>
  <c r="O292" i="5079"/>
  <c r="O293" i="5079"/>
  <c r="O294" i="5079"/>
  <c r="O295" i="5079"/>
  <c r="O296" i="5079"/>
  <c r="O297" i="5079"/>
  <c r="O298" i="5079"/>
  <c r="O299" i="5079"/>
  <c r="O300" i="5079"/>
  <c r="O301" i="5079"/>
  <c r="O302" i="5079"/>
  <c r="O303" i="5079"/>
  <c r="O304" i="5079"/>
  <c r="O305" i="5079"/>
  <c r="O306" i="5079"/>
  <c r="O307" i="5079"/>
  <c r="O308" i="5079"/>
  <c r="O309" i="5079"/>
  <c r="O310" i="5079"/>
  <c r="O311" i="5079"/>
  <c r="O312" i="5079"/>
  <c r="O313" i="5079"/>
  <c r="O314" i="5079"/>
  <c r="O315" i="5079"/>
  <c r="O316" i="5079"/>
  <c r="O317" i="5079"/>
  <c r="O318" i="5079"/>
  <c r="O319" i="5079"/>
  <c r="O320" i="5079"/>
  <c r="O321" i="5079"/>
  <c r="O322" i="5079"/>
  <c r="O323" i="5079"/>
  <c r="O324" i="5079"/>
  <c r="O325" i="5079"/>
  <c r="O326" i="5079"/>
  <c r="O327" i="5079"/>
  <c r="O328" i="5079"/>
  <c r="O329" i="5079"/>
  <c r="O330" i="5079"/>
  <c r="O331" i="5079"/>
  <c r="O332" i="5079"/>
  <c r="O333" i="5079"/>
  <c r="O334" i="5079"/>
  <c r="O335" i="5079"/>
  <c r="O336" i="5079"/>
  <c r="O337" i="5079"/>
  <c r="O338" i="5079"/>
  <c r="O339" i="5079"/>
  <c r="O340" i="5079"/>
  <c r="O341" i="5079"/>
  <c r="O342" i="5079"/>
  <c r="O343" i="5079"/>
  <c r="O344" i="5079"/>
  <c r="O345" i="5079"/>
  <c r="O346" i="5079"/>
  <c r="O347" i="5079"/>
  <c r="O348" i="5079"/>
  <c r="O349" i="5079"/>
  <c r="O350" i="5079"/>
  <c r="O351" i="5079"/>
  <c r="O352" i="5079"/>
  <c r="O353" i="5079"/>
  <c r="O354" i="5079"/>
  <c r="O355" i="5079"/>
  <c r="O356" i="5079"/>
  <c r="O357" i="5079"/>
  <c r="O358" i="5079"/>
  <c r="O359" i="5079"/>
  <c r="O360" i="5079"/>
  <c r="O361" i="5079"/>
  <c r="O362" i="5079"/>
  <c r="O363" i="5079"/>
  <c r="O364" i="5079"/>
  <c r="O365" i="5079"/>
  <c r="O366" i="5079"/>
  <c r="O367" i="5079"/>
  <c r="O368" i="5079"/>
  <c r="O369" i="5079"/>
  <c r="O370" i="5079"/>
  <c r="O371" i="5079"/>
  <c r="O372" i="5079"/>
  <c r="O373" i="5079"/>
  <c r="O374" i="5079"/>
  <c r="O375" i="5079"/>
  <c r="O376" i="5079"/>
  <c r="O377" i="5079"/>
  <c r="O378" i="5079"/>
  <c r="O379" i="5079"/>
  <c r="O380" i="5079"/>
  <c r="O381" i="5079"/>
  <c r="O382" i="5079"/>
  <c r="O383" i="5079"/>
  <c r="O384" i="5079"/>
  <c r="O385" i="5079"/>
  <c r="O386" i="5079"/>
  <c r="O387" i="5079"/>
  <c r="O388" i="5079"/>
  <c r="O389" i="5079"/>
  <c r="O390" i="5079"/>
  <c r="O391" i="5079"/>
  <c r="O392" i="5079"/>
  <c r="O393" i="5079"/>
  <c r="O394" i="5079"/>
  <c r="O395" i="5079"/>
  <c r="O396" i="5079"/>
  <c r="O397" i="5079"/>
  <c r="O398" i="5079"/>
  <c r="O399" i="5079"/>
  <c r="O400" i="5079"/>
  <c r="O401" i="5079"/>
  <c r="O402" i="5079"/>
  <c r="O403" i="5079"/>
  <c r="O404" i="5079"/>
  <c r="O405" i="5079"/>
  <c r="O406" i="5079"/>
  <c r="O407" i="5079"/>
  <c r="O408" i="5079"/>
  <c r="O409" i="5079"/>
  <c r="O410" i="5079"/>
  <c r="O411" i="5079"/>
  <c r="O412" i="5079"/>
  <c r="O413" i="5079"/>
  <c r="O414" i="5079"/>
  <c r="O415" i="5079"/>
  <c r="O416" i="5079"/>
  <c r="O417" i="5079"/>
  <c r="O418" i="5079"/>
  <c r="O419" i="5079"/>
  <c r="O420" i="5079"/>
  <c r="O421" i="5079"/>
  <c r="O422" i="5079"/>
  <c r="O423" i="5079"/>
  <c r="O424" i="5079"/>
  <c r="O425" i="5079"/>
  <c r="O426" i="5079"/>
  <c r="O427" i="5079"/>
  <c r="O428" i="5079"/>
  <c r="O429" i="5079"/>
  <c r="O430" i="5079"/>
  <c r="O431" i="5079"/>
  <c r="O432" i="5079"/>
  <c r="O433" i="5079"/>
  <c r="O434" i="5079"/>
  <c r="O435" i="5079"/>
  <c r="O436" i="5079"/>
  <c r="O437" i="5079"/>
  <c r="O438" i="5079"/>
  <c r="O439" i="5079"/>
  <c r="O440" i="5079"/>
  <c r="O441" i="5079"/>
  <c r="O442" i="5079"/>
  <c r="O443" i="5079"/>
  <c r="O444" i="5079"/>
  <c r="O445" i="5079"/>
  <c r="O446" i="5079"/>
  <c r="O447" i="5079"/>
  <c r="O448" i="5079"/>
  <c r="O449" i="5079"/>
  <c r="O450" i="5079"/>
  <c r="O451" i="5079"/>
  <c r="O452" i="5079"/>
  <c r="O453" i="5079"/>
  <c r="O454" i="5079"/>
  <c r="O455" i="5079"/>
  <c r="O456" i="5079"/>
  <c r="O457" i="5079"/>
  <c r="O458" i="5079"/>
  <c r="O459" i="5079"/>
  <c r="O460" i="5079"/>
  <c r="O461" i="5079"/>
  <c r="O462" i="5079"/>
  <c r="O463" i="5079"/>
  <c r="O464" i="5079"/>
  <c r="O465" i="5079"/>
  <c r="O466" i="5079"/>
  <c r="O467" i="5079"/>
  <c r="O468" i="5079"/>
  <c r="O469" i="5079"/>
  <c r="O470" i="5079"/>
  <c r="O471" i="5079"/>
  <c r="O472" i="5079"/>
  <c r="O473" i="5079"/>
  <c r="O474" i="5079"/>
  <c r="O475" i="5079"/>
  <c r="O476" i="5079"/>
  <c r="O477" i="5079"/>
  <c r="O478" i="5079"/>
  <c r="O479" i="5079"/>
  <c r="O480" i="5079"/>
  <c r="O481" i="5079"/>
  <c r="O482" i="5079"/>
  <c r="O483" i="5079"/>
  <c r="O484" i="5079"/>
  <c r="O485" i="5079"/>
  <c r="O486" i="5079"/>
  <c r="O487" i="5079"/>
  <c r="O488" i="5079"/>
  <c r="O489" i="5079"/>
  <c r="O490" i="5079"/>
  <c r="O491" i="5079"/>
  <c r="O492" i="5079"/>
  <c r="O493" i="5079"/>
  <c r="O494" i="5079"/>
  <c r="O495" i="5079"/>
  <c r="O496" i="5079"/>
  <c r="O497" i="5079"/>
  <c r="O498" i="5079"/>
  <c r="O499" i="5079"/>
  <c r="O500" i="5079"/>
  <c r="O501" i="5079"/>
  <c r="O502" i="5079"/>
  <c r="O503" i="5079"/>
  <c r="O504" i="5079"/>
  <c r="O505" i="5079"/>
  <c r="O2" i="5078"/>
  <c r="O3" i="5078"/>
  <c r="O4" i="5078"/>
  <c r="O5" i="5078"/>
  <c r="O6" i="5078"/>
  <c r="O7" i="5078"/>
  <c r="O8" i="5078"/>
  <c r="O9" i="5078"/>
  <c r="O10" i="5078"/>
  <c r="O11" i="5078"/>
  <c r="O12" i="5078"/>
  <c r="O13" i="5078"/>
  <c r="O14" i="5078"/>
  <c r="O15" i="5078"/>
  <c r="O16" i="5078"/>
  <c r="O17" i="5078"/>
  <c r="O18" i="5078"/>
  <c r="O19" i="5078"/>
  <c r="O20" i="5078"/>
  <c r="O21" i="5078"/>
  <c r="O22" i="5078"/>
  <c r="O23" i="5078"/>
  <c r="O24" i="5078"/>
  <c r="O25" i="5078"/>
  <c r="O26" i="5078"/>
  <c r="O27" i="5078"/>
  <c r="O28" i="5078"/>
  <c r="O29" i="5078"/>
  <c r="O30" i="5078"/>
  <c r="O31" i="5078"/>
  <c r="O32" i="5078"/>
  <c r="O33" i="5078"/>
  <c r="O34" i="5078"/>
  <c r="O35" i="5078"/>
  <c r="O36" i="5078"/>
  <c r="O37" i="5078"/>
  <c r="O38" i="5078"/>
  <c r="O39" i="5078"/>
  <c r="O40" i="5078"/>
  <c r="O41" i="5078"/>
  <c r="O42" i="5078"/>
  <c r="O43" i="5078"/>
  <c r="O44" i="5078"/>
  <c r="O45" i="5078"/>
  <c r="O46" i="5078"/>
  <c r="O47" i="5078"/>
  <c r="O48" i="5078"/>
  <c r="O49" i="5078"/>
  <c r="O50" i="5078"/>
  <c r="O51" i="5078"/>
  <c r="O52" i="5078"/>
  <c r="O53" i="5078"/>
  <c r="O54" i="5078"/>
  <c r="O55" i="5078"/>
  <c r="O56" i="5078"/>
  <c r="O57" i="5078"/>
  <c r="O58" i="5078"/>
  <c r="O59" i="5078"/>
  <c r="O60" i="5078"/>
  <c r="O61" i="5078"/>
  <c r="O62" i="5078"/>
  <c r="O63" i="5078"/>
  <c r="O64" i="5078"/>
  <c r="O65" i="5078"/>
  <c r="O66" i="5078"/>
  <c r="O67" i="5078"/>
  <c r="O68" i="5078"/>
  <c r="O69" i="5078"/>
  <c r="O70" i="5078"/>
  <c r="O71" i="5078"/>
  <c r="O72" i="5078"/>
  <c r="O73" i="5078"/>
  <c r="O74" i="5078"/>
  <c r="O75" i="5078"/>
  <c r="O76" i="5078"/>
  <c r="O77" i="5078"/>
  <c r="O78" i="5078"/>
  <c r="O79" i="5078"/>
  <c r="O80" i="5078"/>
  <c r="O81" i="5078"/>
  <c r="O82" i="5078"/>
  <c r="O83" i="5078"/>
  <c r="O84" i="5078"/>
  <c r="O85" i="5078"/>
  <c r="O86" i="5078"/>
  <c r="O87" i="5078"/>
  <c r="O88" i="5078"/>
  <c r="O89" i="5078"/>
  <c r="O90" i="5078"/>
  <c r="O91" i="5078"/>
  <c r="O92" i="5078"/>
  <c r="O93" i="5078"/>
  <c r="O94" i="5078"/>
  <c r="O95" i="5078"/>
  <c r="O96" i="5078"/>
  <c r="O97" i="5078"/>
  <c r="O98" i="5078"/>
  <c r="O99" i="5078"/>
  <c r="O100" i="5078"/>
  <c r="O101" i="5078"/>
  <c r="O102" i="5078"/>
  <c r="O103" i="5078"/>
  <c r="O104" i="5078"/>
  <c r="O105" i="5078"/>
  <c r="O106" i="5078"/>
  <c r="O107" i="5078"/>
  <c r="O108" i="5078"/>
  <c r="O109" i="5078"/>
  <c r="O110" i="5078"/>
  <c r="O111" i="5078"/>
  <c r="O112" i="5078"/>
  <c r="O113" i="5078"/>
  <c r="O114" i="5078"/>
  <c r="O115" i="5078"/>
  <c r="O116" i="5078"/>
  <c r="O117" i="5078"/>
  <c r="O118" i="5078"/>
  <c r="O119" i="5078"/>
  <c r="O120" i="5078"/>
  <c r="O121" i="5078"/>
  <c r="O122" i="5078"/>
  <c r="O123" i="5078"/>
  <c r="O124" i="5078"/>
  <c r="O125" i="5078"/>
  <c r="O126" i="5078"/>
  <c r="O127" i="5078"/>
  <c r="O128" i="5078"/>
  <c r="O129" i="5078"/>
  <c r="O130" i="5078"/>
  <c r="O131" i="5078"/>
  <c r="O132" i="5078"/>
  <c r="O133" i="5078"/>
  <c r="O134" i="5078"/>
  <c r="O135" i="5078"/>
  <c r="O136" i="5078"/>
  <c r="O137" i="5078"/>
  <c r="O138" i="5078"/>
  <c r="O139" i="5078"/>
  <c r="O140" i="5078"/>
  <c r="O141" i="5078"/>
  <c r="O142" i="5078"/>
  <c r="O143" i="5078"/>
  <c r="O144" i="5078"/>
  <c r="O145" i="5078"/>
  <c r="O146" i="5078"/>
  <c r="O147" i="5078"/>
  <c r="O148" i="5078"/>
  <c r="O149" i="5078"/>
  <c r="O150" i="5078"/>
  <c r="O151" i="5078"/>
  <c r="O152" i="5078"/>
  <c r="O153" i="5078"/>
  <c r="O154" i="5078"/>
  <c r="O155" i="5078"/>
  <c r="O156" i="5078"/>
  <c r="O157" i="5078"/>
  <c r="O158" i="5078"/>
  <c r="O159" i="5078"/>
  <c r="O160" i="5078"/>
  <c r="O161" i="5078"/>
  <c r="O162" i="5078"/>
  <c r="O163" i="5078"/>
  <c r="O164" i="5078"/>
  <c r="O165" i="5078"/>
  <c r="O166" i="5078"/>
  <c r="O167" i="5078"/>
  <c r="O168" i="5078"/>
  <c r="O169" i="5078"/>
  <c r="O170" i="5078"/>
  <c r="O171" i="5078"/>
  <c r="O172" i="5078"/>
  <c r="O173" i="5078"/>
  <c r="O174" i="5078"/>
  <c r="O175" i="5078"/>
  <c r="O176" i="5078"/>
  <c r="O177" i="5078"/>
  <c r="O178" i="5078"/>
  <c r="O179" i="5078"/>
  <c r="O180" i="5078"/>
  <c r="O181" i="5078"/>
  <c r="O182" i="5078"/>
  <c r="O183" i="5078"/>
  <c r="O184" i="5078"/>
  <c r="O185" i="5078"/>
  <c r="O186" i="5078"/>
  <c r="O187" i="5078"/>
  <c r="O188" i="5078"/>
  <c r="O189" i="5078"/>
  <c r="O190" i="5078"/>
  <c r="O191" i="5078"/>
  <c r="O192" i="5078"/>
  <c r="O193" i="5078"/>
  <c r="O194" i="5078"/>
  <c r="O195" i="5078"/>
  <c r="O196" i="5078"/>
  <c r="O197" i="5078"/>
  <c r="O198" i="5078"/>
  <c r="O199" i="5078"/>
  <c r="O200" i="5078"/>
  <c r="O201" i="5078"/>
  <c r="O202" i="5078"/>
  <c r="O203" i="5078"/>
  <c r="O204" i="5078"/>
  <c r="O205" i="5078"/>
  <c r="O206" i="5078"/>
  <c r="O207" i="5078"/>
  <c r="O208" i="5078"/>
  <c r="O209" i="5078"/>
  <c r="O210" i="5078"/>
  <c r="O211" i="5078"/>
  <c r="O212" i="5078"/>
  <c r="O213" i="5078"/>
  <c r="O214" i="5078"/>
  <c r="O215" i="5078"/>
  <c r="O216" i="5078"/>
  <c r="O217" i="5078"/>
  <c r="O218" i="5078"/>
  <c r="O219" i="5078"/>
  <c r="O220" i="5078"/>
  <c r="O221" i="5078"/>
  <c r="O222" i="5078"/>
  <c r="O223" i="5078"/>
  <c r="O224" i="5078"/>
  <c r="O225" i="5078"/>
  <c r="O226" i="5078"/>
  <c r="O227" i="5078"/>
  <c r="O228" i="5078"/>
  <c r="O229" i="5078"/>
  <c r="O230" i="5078"/>
  <c r="O231" i="5078"/>
  <c r="O232" i="5078"/>
  <c r="O233" i="5078"/>
  <c r="O234" i="5078"/>
  <c r="O235" i="5078"/>
  <c r="O236" i="5078"/>
  <c r="O237" i="5078"/>
  <c r="O238" i="5078"/>
  <c r="O239" i="5078"/>
  <c r="O240" i="5078"/>
  <c r="O241" i="5078"/>
  <c r="O242" i="5078"/>
  <c r="O243" i="5078"/>
  <c r="O244" i="5078"/>
  <c r="O245" i="5078"/>
  <c r="O246" i="5078"/>
  <c r="O247" i="5078"/>
  <c r="O248" i="5078"/>
  <c r="O249" i="5078"/>
  <c r="O250" i="5078"/>
  <c r="O251" i="5078"/>
  <c r="O252" i="5078"/>
  <c r="O253" i="5078"/>
  <c r="O254" i="5078"/>
  <c r="O255" i="5078"/>
  <c r="O256" i="5078"/>
  <c r="O257" i="5078"/>
  <c r="O258" i="5078"/>
  <c r="O259" i="5078"/>
  <c r="O260" i="5078"/>
  <c r="O261" i="5078"/>
  <c r="O262" i="5078"/>
  <c r="O263" i="5078"/>
  <c r="O264" i="5078"/>
  <c r="O265" i="5078"/>
  <c r="O266" i="5078"/>
  <c r="O267" i="5078"/>
  <c r="O268" i="5078"/>
  <c r="O269" i="5078"/>
  <c r="O270" i="5078"/>
  <c r="O271" i="5078"/>
  <c r="O272" i="5078"/>
  <c r="O273" i="5078"/>
  <c r="O274" i="5078"/>
  <c r="O275" i="5078"/>
  <c r="O276" i="5078"/>
  <c r="O277" i="5078"/>
  <c r="O278" i="5078"/>
  <c r="O279" i="5078"/>
  <c r="O280" i="5078"/>
  <c r="O281" i="5078"/>
  <c r="O282" i="5078"/>
  <c r="O283" i="5078"/>
  <c r="O284" i="5078"/>
  <c r="O285" i="5078"/>
  <c r="O286" i="5078"/>
  <c r="O287" i="5078"/>
  <c r="O288" i="5078"/>
  <c r="O289" i="5078"/>
  <c r="O290" i="5078"/>
  <c r="O291" i="5078"/>
  <c r="O292" i="5078"/>
  <c r="O293" i="5078"/>
  <c r="O294" i="5078"/>
  <c r="O295" i="5078"/>
  <c r="O296" i="5078"/>
  <c r="O297" i="5078"/>
  <c r="O298" i="5078"/>
  <c r="O299" i="5078"/>
  <c r="O300" i="5078"/>
  <c r="O301" i="5078"/>
  <c r="O302" i="5078"/>
  <c r="O303" i="5078"/>
  <c r="O304" i="5078"/>
  <c r="O305" i="5078"/>
  <c r="O306" i="5078"/>
  <c r="O307" i="5078"/>
  <c r="O308" i="5078"/>
  <c r="O309" i="5078"/>
  <c r="O310" i="5078"/>
  <c r="O311" i="5078"/>
  <c r="O312" i="5078"/>
  <c r="O313" i="5078"/>
  <c r="O314" i="5078"/>
  <c r="O315" i="5078"/>
  <c r="O316" i="5078"/>
  <c r="O317" i="5078"/>
  <c r="O318" i="5078"/>
  <c r="O319" i="5078"/>
  <c r="O320" i="5078"/>
  <c r="O321" i="5078"/>
  <c r="O322" i="5078"/>
  <c r="O323" i="5078"/>
  <c r="O324" i="5078"/>
  <c r="O325" i="5078"/>
  <c r="O326" i="5078"/>
  <c r="O327" i="5078"/>
  <c r="O328" i="5078"/>
  <c r="O329" i="5078"/>
  <c r="O330" i="5078"/>
  <c r="O331" i="5078"/>
  <c r="O332" i="5078"/>
  <c r="O333" i="5078"/>
  <c r="O334" i="5078"/>
  <c r="O335" i="5078"/>
  <c r="O336" i="5078"/>
  <c r="O337" i="5078"/>
  <c r="O338" i="5078"/>
  <c r="O339" i="5078"/>
  <c r="O340" i="5078"/>
  <c r="O341" i="5078"/>
  <c r="O342" i="5078"/>
  <c r="O343" i="5078"/>
  <c r="O344" i="5078"/>
  <c r="O345" i="5078"/>
  <c r="O346" i="5078"/>
  <c r="O347" i="5078"/>
  <c r="O348" i="5078"/>
  <c r="O349" i="5078"/>
  <c r="O350" i="5078"/>
  <c r="O351" i="5078"/>
  <c r="O352" i="5078"/>
  <c r="O353" i="5078"/>
  <c r="O354" i="5078"/>
  <c r="O355" i="5078"/>
  <c r="O356" i="5078"/>
  <c r="O357" i="5078"/>
  <c r="O358" i="5078"/>
  <c r="O359" i="5078"/>
  <c r="O360" i="5078"/>
  <c r="O361" i="5078"/>
  <c r="O362" i="5078"/>
  <c r="O363" i="5078"/>
  <c r="O364" i="5078"/>
  <c r="O365" i="5078"/>
  <c r="O366" i="5078"/>
  <c r="O367" i="5078"/>
  <c r="O368" i="5078"/>
  <c r="O369" i="5078"/>
  <c r="O370" i="5078"/>
  <c r="O371" i="5078"/>
  <c r="O372" i="5078"/>
  <c r="O373" i="5078"/>
  <c r="O374" i="5078"/>
  <c r="O375" i="5078"/>
  <c r="O376" i="5078"/>
  <c r="O377" i="5078"/>
  <c r="O378" i="5078"/>
  <c r="O379" i="5078"/>
  <c r="O380" i="5078"/>
  <c r="O381" i="5078"/>
  <c r="O382" i="5078"/>
  <c r="O383" i="5078"/>
  <c r="O384" i="5078"/>
  <c r="O385" i="5078"/>
  <c r="O386" i="5078"/>
  <c r="O387" i="5078"/>
  <c r="O388" i="5078"/>
  <c r="O389" i="5078"/>
  <c r="O390" i="5078"/>
  <c r="O391" i="5078"/>
  <c r="O392" i="5078"/>
  <c r="O393" i="5078"/>
  <c r="O394" i="5078"/>
  <c r="O395" i="5078"/>
  <c r="O396" i="5078"/>
  <c r="O397" i="5078"/>
  <c r="O398" i="5078"/>
  <c r="O399" i="5078"/>
  <c r="O400" i="5078"/>
  <c r="O401" i="5078"/>
  <c r="O402" i="5078"/>
  <c r="O403" i="5078"/>
  <c r="O404" i="5078"/>
  <c r="O405" i="5078"/>
  <c r="O406" i="5078"/>
  <c r="O407" i="5078"/>
  <c r="O408" i="5078"/>
  <c r="O409" i="5078"/>
  <c r="O410" i="5078"/>
  <c r="O411" i="5078"/>
  <c r="O412" i="5078"/>
  <c r="O413" i="5078"/>
  <c r="O414" i="5078"/>
  <c r="O415" i="5078"/>
  <c r="O416" i="5078"/>
  <c r="O417" i="5078"/>
  <c r="O418" i="5078"/>
  <c r="O419" i="5078"/>
  <c r="O420" i="5078"/>
  <c r="O421" i="5078"/>
  <c r="O422" i="5078"/>
  <c r="O423" i="5078"/>
  <c r="O424" i="5078"/>
  <c r="O425" i="5078"/>
  <c r="O426" i="5078"/>
  <c r="O427" i="5078"/>
  <c r="O428" i="5078"/>
  <c r="O429" i="5078"/>
  <c r="O430" i="5078"/>
  <c r="O431" i="5078"/>
  <c r="O432" i="5078"/>
  <c r="O433" i="5078"/>
  <c r="O434" i="5078"/>
  <c r="O435" i="5078"/>
  <c r="O436" i="5078"/>
  <c r="O437" i="5078"/>
  <c r="O438" i="5078"/>
  <c r="O439" i="5078"/>
  <c r="O440" i="5078"/>
  <c r="O441" i="5078"/>
  <c r="O442" i="5078"/>
  <c r="O443" i="5078"/>
  <c r="O444" i="5078"/>
  <c r="O445" i="5078"/>
  <c r="O446" i="5078"/>
  <c r="O447" i="5078"/>
  <c r="O448" i="5078"/>
  <c r="O449" i="5078"/>
  <c r="O450" i="5078"/>
  <c r="O451" i="5078"/>
  <c r="O452" i="5078"/>
  <c r="O453" i="5078"/>
  <c r="O454" i="5078"/>
  <c r="O455" i="5078"/>
  <c r="O456" i="5078"/>
  <c r="O457" i="5078"/>
  <c r="O458" i="5078"/>
  <c r="O459" i="5078"/>
  <c r="O460" i="5078"/>
  <c r="O461" i="5078"/>
  <c r="O462" i="5078"/>
  <c r="O463" i="5078"/>
  <c r="O464" i="5078"/>
  <c r="O465" i="5078"/>
  <c r="O466" i="5078"/>
  <c r="O467" i="5078"/>
  <c r="O468" i="5078"/>
  <c r="O469" i="5078"/>
  <c r="O470" i="5078"/>
  <c r="O471" i="5078"/>
  <c r="O472" i="5078"/>
  <c r="O473" i="5078"/>
  <c r="O474" i="5078"/>
  <c r="O475" i="5078"/>
  <c r="O476" i="5078"/>
  <c r="O477" i="5078"/>
  <c r="O478" i="5078"/>
  <c r="O479" i="5078"/>
  <c r="O480" i="5078"/>
  <c r="O481" i="5078"/>
  <c r="O482" i="5078"/>
  <c r="O483" i="5078"/>
  <c r="O484" i="5078"/>
  <c r="O485" i="5078"/>
  <c r="O486" i="5078"/>
  <c r="O487" i="5078"/>
  <c r="O488" i="5078"/>
  <c r="O489" i="5078"/>
  <c r="O490" i="5078"/>
  <c r="O491" i="5078"/>
  <c r="O492" i="5078"/>
  <c r="O493" i="5078"/>
  <c r="O494" i="5078"/>
  <c r="O495" i="5078"/>
  <c r="O496" i="5078"/>
  <c r="O497" i="5078"/>
  <c r="O498" i="5078"/>
  <c r="O499" i="5078"/>
  <c r="O500" i="5078"/>
  <c r="O501" i="5078"/>
  <c r="O502" i="5078"/>
  <c r="O503" i="5078"/>
  <c r="O504" i="5078"/>
  <c r="O505" i="5078"/>
  <c r="N2" i="5083"/>
  <c r="N3" i="5083"/>
  <c r="N4" i="5083"/>
  <c r="N5" i="5083"/>
  <c r="N6" i="5083"/>
  <c r="N7" i="5083"/>
  <c r="N8" i="5083"/>
  <c r="N9" i="5083"/>
  <c r="N10" i="5083"/>
  <c r="N11" i="5083"/>
  <c r="N12" i="5083"/>
  <c r="N13" i="5083"/>
  <c r="N14" i="5083"/>
  <c r="N15" i="5083"/>
  <c r="N16" i="5083"/>
  <c r="N17" i="5083"/>
  <c r="N18" i="5083"/>
  <c r="N19" i="5083"/>
  <c r="N20" i="5083"/>
  <c r="N21" i="5083"/>
  <c r="N22" i="5083"/>
  <c r="N23" i="5083"/>
  <c r="N24" i="5083"/>
  <c r="N25" i="5083"/>
  <c r="N26" i="5083"/>
  <c r="N27" i="5083"/>
  <c r="N28" i="5083"/>
  <c r="N29" i="5083"/>
  <c r="N30" i="5083"/>
  <c r="N31" i="5083"/>
  <c r="N32" i="5083"/>
  <c r="N33" i="5083"/>
  <c r="N34" i="5083"/>
  <c r="N35" i="5083"/>
  <c r="N36" i="5083"/>
  <c r="N37" i="5083"/>
  <c r="N38" i="5083"/>
  <c r="N39" i="5083"/>
  <c r="N40" i="5083"/>
  <c r="N41" i="5083"/>
  <c r="N42" i="5083"/>
  <c r="N43" i="5083"/>
  <c r="N44" i="5083"/>
  <c r="N45" i="5083"/>
  <c r="N46" i="5083"/>
  <c r="N47" i="5083"/>
  <c r="N48" i="5083"/>
  <c r="N49" i="5083"/>
  <c r="N50" i="5083"/>
  <c r="N51" i="5083"/>
  <c r="N52" i="5083"/>
  <c r="N53" i="5083"/>
  <c r="N54" i="5083"/>
  <c r="N55" i="5083"/>
  <c r="N56" i="5083"/>
  <c r="N57" i="5083"/>
  <c r="N58" i="5083"/>
  <c r="N59" i="5083"/>
  <c r="N60" i="5083"/>
  <c r="N61" i="5083"/>
  <c r="N62" i="5083"/>
  <c r="N63" i="5083"/>
  <c r="N64" i="5083"/>
  <c r="N65" i="5083"/>
  <c r="N66" i="5083"/>
  <c r="N67" i="5083"/>
  <c r="N68" i="5083"/>
  <c r="N69" i="5083"/>
  <c r="N70" i="5083"/>
  <c r="N71" i="5083"/>
  <c r="N72" i="5083"/>
  <c r="N73" i="5083"/>
  <c r="N74" i="5083"/>
  <c r="N75" i="5083"/>
  <c r="N76" i="5083"/>
  <c r="N77" i="5083"/>
  <c r="N78" i="5083"/>
  <c r="N79" i="5083"/>
  <c r="N80" i="5083"/>
  <c r="N81" i="5083"/>
  <c r="N82" i="5083"/>
  <c r="N83" i="5083"/>
  <c r="N84" i="5083"/>
  <c r="N85" i="5083"/>
  <c r="N86" i="5083"/>
  <c r="N87" i="5083"/>
  <c r="N88" i="5083"/>
  <c r="N89" i="5083"/>
  <c r="N90" i="5083"/>
  <c r="N91" i="5083"/>
  <c r="N92" i="5083"/>
  <c r="N93" i="5083"/>
  <c r="N94" i="5083"/>
  <c r="N95" i="5083"/>
  <c r="N96" i="5083"/>
  <c r="N97" i="5083"/>
  <c r="N98" i="5083"/>
  <c r="N99" i="5083"/>
  <c r="N100" i="5083"/>
  <c r="N101" i="5083"/>
  <c r="N102" i="5083"/>
  <c r="N103" i="5083"/>
  <c r="N104" i="5083"/>
  <c r="N105" i="5083"/>
  <c r="N106" i="5083"/>
  <c r="N107" i="5083"/>
  <c r="N108" i="5083"/>
  <c r="N109" i="5083"/>
  <c r="N110" i="5083"/>
  <c r="N111" i="5083"/>
  <c r="N112" i="5083"/>
  <c r="N113" i="5083"/>
  <c r="N114" i="5083"/>
  <c r="N115" i="5083"/>
  <c r="N116" i="5083"/>
  <c r="N117" i="5083"/>
  <c r="N118" i="5083"/>
  <c r="N119" i="5083"/>
  <c r="N120" i="5083"/>
  <c r="N121" i="5083"/>
  <c r="N122" i="5083"/>
  <c r="N123" i="5083"/>
  <c r="N124" i="5083"/>
  <c r="N125" i="5083"/>
  <c r="N126" i="5083"/>
  <c r="N127" i="5083"/>
  <c r="N128" i="5083"/>
  <c r="N129" i="5083"/>
  <c r="N130" i="5083"/>
  <c r="N131" i="5083"/>
  <c r="N132" i="5083"/>
  <c r="N133" i="5083"/>
  <c r="N134" i="5083"/>
  <c r="N135" i="5083"/>
  <c r="N136" i="5083"/>
  <c r="N137" i="5083"/>
  <c r="N138" i="5083"/>
  <c r="N139" i="5083"/>
  <c r="N140" i="5083"/>
  <c r="N141" i="5083"/>
  <c r="N142" i="5083"/>
  <c r="N143" i="5083"/>
  <c r="N144" i="5083"/>
  <c r="N145" i="5083"/>
  <c r="N146" i="5083"/>
  <c r="N147" i="5083"/>
  <c r="N148" i="5083"/>
  <c r="N149" i="5083"/>
  <c r="N150" i="5083"/>
  <c r="N151" i="5083"/>
  <c r="N152" i="5083"/>
  <c r="N153" i="5083"/>
  <c r="N154" i="5083"/>
  <c r="N155" i="5083"/>
  <c r="N156" i="5083"/>
  <c r="N157" i="5083"/>
  <c r="N158" i="5083"/>
  <c r="N159" i="5083"/>
  <c r="N160" i="5083"/>
  <c r="N161" i="5083"/>
  <c r="N162" i="5083"/>
  <c r="N163" i="5083"/>
  <c r="N164" i="5083"/>
  <c r="N165" i="5083"/>
  <c r="N166" i="5083"/>
  <c r="N167" i="5083"/>
  <c r="N168" i="5083"/>
  <c r="N169" i="5083"/>
  <c r="N170" i="5083"/>
  <c r="N171" i="5083"/>
  <c r="N172" i="5083"/>
  <c r="N173" i="5083"/>
  <c r="N174" i="5083"/>
  <c r="N175" i="5083"/>
  <c r="N176" i="5083"/>
  <c r="N177" i="5083"/>
  <c r="N178" i="5083"/>
  <c r="N179" i="5083"/>
  <c r="N180" i="5083"/>
  <c r="N181" i="5083"/>
  <c r="N182" i="5083"/>
  <c r="N183" i="5083"/>
  <c r="N184" i="5083"/>
  <c r="N185" i="5083"/>
  <c r="N186" i="5083"/>
  <c r="N187" i="5083"/>
  <c r="N188" i="5083"/>
  <c r="N189" i="5083"/>
  <c r="N190" i="5083"/>
  <c r="N191" i="5083"/>
  <c r="N192" i="5083"/>
  <c r="N193" i="5083"/>
  <c r="N194" i="5083"/>
  <c r="N195" i="5083"/>
  <c r="N196" i="5083"/>
  <c r="N197" i="5083"/>
  <c r="N198" i="5083"/>
  <c r="N199" i="5083"/>
  <c r="N200" i="5083"/>
  <c r="N201" i="5083"/>
  <c r="N202" i="5083"/>
  <c r="N203" i="5083"/>
  <c r="N204" i="5083"/>
  <c r="N205" i="5083"/>
  <c r="N206" i="5083"/>
  <c r="N207" i="5083"/>
  <c r="N208" i="5083"/>
  <c r="N209" i="5083"/>
  <c r="N210" i="5083"/>
  <c r="N211" i="5083"/>
  <c r="N212" i="5083"/>
  <c r="N213" i="5083"/>
  <c r="N214" i="5083"/>
  <c r="N215" i="5083"/>
  <c r="N216" i="5083"/>
  <c r="N217" i="5083"/>
  <c r="N218" i="5083"/>
  <c r="N219" i="5083"/>
  <c r="N220" i="5083"/>
  <c r="N221" i="5083"/>
  <c r="N222" i="5083"/>
  <c r="N223" i="5083"/>
  <c r="N224" i="5083"/>
  <c r="N225" i="5083"/>
  <c r="N226" i="5083"/>
  <c r="N227" i="5083"/>
  <c r="N228" i="5083"/>
  <c r="N229" i="5083"/>
  <c r="N230" i="5083"/>
  <c r="N231" i="5083"/>
  <c r="N232" i="5083"/>
  <c r="N233" i="5083"/>
  <c r="N234" i="5083"/>
  <c r="N235" i="5083"/>
  <c r="N236" i="5083"/>
  <c r="N237" i="5083"/>
  <c r="N238" i="5083"/>
  <c r="N239" i="5083"/>
  <c r="N240" i="5083"/>
  <c r="N241" i="5083"/>
  <c r="N242" i="5083"/>
  <c r="N243" i="5083"/>
  <c r="N244" i="5083"/>
  <c r="N245" i="5083"/>
  <c r="N246" i="5083"/>
  <c r="N247" i="5083"/>
  <c r="N248" i="5083"/>
  <c r="N249" i="5083"/>
  <c r="N250" i="5083"/>
  <c r="N251" i="5083"/>
  <c r="N252" i="5083"/>
  <c r="N253" i="5083"/>
  <c r="N254" i="5083"/>
  <c r="N255" i="5083"/>
  <c r="N256" i="5083"/>
  <c r="N257" i="5083"/>
  <c r="N258" i="5083"/>
  <c r="N259" i="5083"/>
  <c r="N260" i="5083"/>
  <c r="N261" i="5083"/>
  <c r="N262" i="5083"/>
  <c r="N263" i="5083"/>
  <c r="N264" i="5083"/>
  <c r="N265" i="5083"/>
  <c r="N266" i="5083"/>
  <c r="N267" i="5083"/>
  <c r="N268" i="5083"/>
  <c r="N269" i="5083"/>
  <c r="N270" i="5083"/>
  <c r="N271" i="5083"/>
  <c r="N272" i="5083"/>
  <c r="N273" i="5083"/>
  <c r="N274" i="5083"/>
  <c r="N275" i="5083"/>
  <c r="N276" i="5083"/>
  <c r="N277" i="5083"/>
  <c r="N278" i="5083"/>
  <c r="N279" i="5083"/>
  <c r="N280" i="5083"/>
  <c r="N281" i="5083"/>
  <c r="N282" i="5083"/>
  <c r="N283" i="5083"/>
  <c r="N284" i="5083"/>
  <c r="N285" i="5083"/>
  <c r="N286" i="5083"/>
  <c r="N287" i="5083"/>
  <c r="N288" i="5083"/>
  <c r="N289" i="5083"/>
  <c r="N290" i="5083"/>
  <c r="N291" i="5083"/>
  <c r="N292" i="5083"/>
  <c r="N293" i="5083"/>
  <c r="N294" i="5083"/>
  <c r="N295" i="5083"/>
  <c r="N296" i="5083"/>
  <c r="N297" i="5083"/>
  <c r="N298" i="5083"/>
  <c r="N299" i="5083"/>
  <c r="N300" i="5083"/>
  <c r="N301" i="5083"/>
  <c r="N302" i="5083"/>
  <c r="N303" i="5083"/>
  <c r="N304" i="5083"/>
  <c r="N305" i="5083"/>
  <c r="N306" i="5083"/>
  <c r="N307" i="5083"/>
  <c r="N308" i="5083"/>
  <c r="N309" i="5083"/>
  <c r="N310" i="5083"/>
  <c r="N311" i="5083"/>
  <c r="N312" i="5083"/>
  <c r="N313" i="5083"/>
  <c r="N314" i="5083"/>
  <c r="N315" i="5083"/>
  <c r="N316" i="5083"/>
  <c r="N317" i="5083"/>
  <c r="N318" i="5083"/>
  <c r="N319" i="5083"/>
  <c r="N320" i="5083"/>
  <c r="N321" i="5083"/>
  <c r="N322" i="5083"/>
  <c r="N323" i="5083"/>
  <c r="N324" i="5083"/>
  <c r="N325" i="5083"/>
  <c r="N326" i="5083"/>
  <c r="N327" i="5083"/>
  <c r="N328" i="5083"/>
  <c r="N329" i="5083"/>
  <c r="N330" i="5083"/>
  <c r="N331" i="5083"/>
  <c r="N332" i="5083"/>
  <c r="N333" i="5083"/>
  <c r="N334" i="5083"/>
  <c r="N335" i="5083"/>
  <c r="N336" i="5083"/>
  <c r="N337" i="5083"/>
  <c r="N338" i="5083"/>
  <c r="N339" i="5083"/>
  <c r="N340" i="5083"/>
  <c r="N341" i="5083"/>
  <c r="N342" i="5083"/>
  <c r="N343" i="5083"/>
  <c r="N344" i="5083"/>
  <c r="N345" i="5083"/>
  <c r="N346" i="5083"/>
  <c r="N347" i="5083"/>
  <c r="N348" i="5083"/>
  <c r="N349" i="5083"/>
  <c r="N350" i="5083"/>
  <c r="N351" i="5083"/>
  <c r="N352" i="5083"/>
  <c r="N353" i="5083"/>
  <c r="N354" i="5083"/>
  <c r="N355" i="5083"/>
  <c r="N356" i="5083"/>
  <c r="N357" i="5083"/>
  <c r="N358" i="5083"/>
  <c r="N359" i="5083"/>
  <c r="N360" i="5083"/>
  <c r="N361" i="5083"/>
  <c r="N362" i="5083"/>
  <c r="N363" i="5083"/>
  <c r="N364" i="5083"/>
  <c r="N365" i="5083"/>
  <c r="N366" i="5083"/>
  <c r="N367" i="5083"/>
  <c r="N368" i="5083"/>
  <c r="N369" i="5083"/>
  <c r="N370" i="5083"/>
  <c r="N371" i="5083"/>
  <c r="N372" i="5083"/>
  <c r="N373" i="5083"/>
  <c r="N374" i="5083"/>
  <c r="N375" i="5083"/>
  <c r="N376" i="5083"/>
  <c r="N377" i="5083"/>
  <c r="N378" i="5083"/>
  <c r="N379" i="5083"/>
  <c r="N380" i="5083"/>
  <c r="N381" i="5083"/>
  <c r="N382" i="5083"/>
  <c r="N383" i="5083"/>
  <c r="N384" i="5083"/>
  <c r="N385" i="5083"/>
  <c r="N386" i="5083"/>
  <c r="N387" i="5083"/>
  <c r="N388" i="5083"/>
  <c r="N389" i="5083"/>
  <c r="N390" i="5083"/>
  <c r="N391" i="5083"/>
  <c r="N392" i="5083"/>
  <c r="N393" i="5083"/>
  <c r="N394" i="5083"/>
  <c r="N395" i="5083"/>
  <c r="N396" i="5083"/>
  <c r="N397" i="5083"/>
  <c r="N398" i="5083"/>
  <c r="N399" i="5083"/>
  <c r="N400" i="5083"/>
  <c r="N401" i="5083"/>
  <c r="N402" i="5083"/>
  <c r="N403" i="5083"/>
  <c r="N404" i="5083"/>
  <c r="N405" i="5083"/>
  <c r="N406" i="5083"/>
  <c r="N407" i="5083"/>
  <c r="N408" i="5083"/>
  <c r="N409" i="5083"/>
  <c r="N410" i="5083"/>
  <c r="N411" i="5083"/>
  <c r="N412" i="5083"/>
  <c r="N413" i="5083"/>
  <c r="N414" i="5083"/>
  <c r="N415" i="5083"/>
  <c r="N416" i="5083"/>
  <c r="N417" i="5083"/>
  <c r="N418" i="5083"/>
  <c r="N419" i="5083"/>
  <c r="N420" i="5083"/>
  <c r="N421" i="5083"/>
  <c r="N422" i="5083"/>
  <c r="N423" i="5083"/>
  <c r="N424" i="5083"/>
  <c r="N425" i="5083"/>
  <c r="N426" i="5083"/>
  <c r="N427" i="5083"/>
  <c r="N428" i="5083"/>
  <c r="N429" i="5083"/>
  <c r="N430" i="5083"/>
  <c r="N431" i="5083"/>
  <c r="N432" i="5083"/>
  <c r="N433" i="5083"/>
  <c r="N434" i="5083"/>
  <c r="N435" i="5083"/>
  <c r="N436" i="5083"/>
  <c r="N437" i="5083"/>
  <c r="N438" i="5083"/>
  <c r="N439" i="5083"/>
  <c r="N440" i="5083"/>
  <c r="N441" i="5083"/>
  <c r="N442" i="5083"/>
  <c r="N443" i="5083"/>
  <c r="N444" i="5083"/>
  <c r="N445" i="5083"/>
  <c r="N446" i="5083"/>
  <c r="N447" i="5083"/>
  <c r="N448" i="5083"/>
  <c r="N449" i="5083"/>
  <c r="N450" i="5083"/>
  <c r="N451" i="5083"/>
  <c r="N452" i="5083"/>
  <c r="N453" i="5083"/>
  <c r="N454" i="5083"/>
  <c r="N455" i="5083"/>
  <c r="N456" i="5083"/>
  <c r="N457" i="5083"/>
  <c r="N458" i="5083"/>
  <c r="N459" i="5083"/>
  <c r="N460" i="5083"/>
  <c r="N461" i="5083"/>
  <c r="N462" i="5083"/>
  <c r="N463" i="5083"/>
  <c r="N464" i="5083"/>
  <c r="N465" i="5083"/>
  <c r="N466" i="5083"/>
  <c r="N467" i="5083"/>
  <c r="N468" i="5083"/>
  <c r="N469" i="5083"/>
  <c r="N470" i="5083"/>
  <c r="N471" i="5083"/>
  <c r="N472" i="5083"/>
  <c r="N473" i="5083"/>
  <c r="N474" i="5083"/>
  <c r="N475" i="5083"/>
  <c r="N476" i="5083"/>
  <c r="N477" i="5083"/>
  <c r="N478" i="5083"/>
  <c r="N479" i="5083"/>
  <c r="N480" i="5083"/>
  <c r="N481" i="5083"/>
  <c r="N482" i="5083"/>
  <c r="N483" i="5083"/>
  <c r="N484" i="5083"/>
  <c r="N485" i="5083"/>
  <c r="N486" i="5083"/>
  <c r="N487" i="5083"/>
  <c r="N488" i="5083"/>
  <c r="N489" i="5083"/>
  <c r="N490" i="5083"/>
  <c r="N491" i="5083"/>
  <c r="N492" i="5083"/>
  <c r="N493" i="5083"/>
  <c r="N494" i="5083"/>
  <c r="N495" i="5083"/>
  <c r="N496" i="5083"/>
  <c r="N497" i="5083"/>
  <c r="N498" i="5083"/>
  <c r="N499" i="5083"/>
  <c r="N500" i="5083"/>
  <c r="N501" i="5083"/>
  <c r="N502" i="5083"/>
  <c r="N503" i="5083"/>
  <c r="N504" i="5083"/>
  <c r="N505" i="5083"/>
  <c r="N2" i="5082"/>
  <c r="N3" i="5082"/>
  <c r="N4" i="5082"/>
  <c r="N5" i="5082"/>
  <c r="N6" i="5082"/>
  <c r="N7" i="5082"/>
  <c r="N8" i="5082"/>
  <c r="N9" i="5082"/>
  <c r="N10" i="5082"/>
  <c r="N11" i="5082"/>
  <c r="N12" i="5082"/>
  <c r="N13" i="5082"/>
  <c r="N14" i="5082"/>
  <c r="N15" i="5082"/>
  <c r="N16" i="5082"/>
  <c r="N17" i="5082"/>
  <c r="N18" i="5082"/>
  <c r="N19" i="5082"/>
  <c r="N20" i="5082"/>
  <c r="N21" i="5082"/>
  <c r="N22" i="5082"/>
  <c r="N23" i="5082"/>
  <c r="N24" i="5082"/>
  <c r="N25" i="5082"/>
  <c r="N26" i="5082"/>
  <c r="N27" i="5082"/>
  <c r="N28" i="5082"/>
  <c r="N29" i="5082"/>
  <c r="N30" i="5082"/>
  <c r="N31" i="5082"/>
  <c r="N32" i="5082"/>
  <c r="N33" i="5082"/>
  <c r="N34" i="5082"/>
  <c r="N35" i="5082"/>
  <c r="N36" i="5082"/>
  <c r="N37" i="5082"/>
  <c r="N38" i="5082"/>
  <c r="N39" i="5082"/>
  <c r="N40" i="5082"/>
  <c r="N41" i="5082"/>
  <c r="N42" i="5082"/>
  <c r="N43" i="5082"/>
  <c r="N44" i="5082"/>
  <c r="N45" i="5082"/>
  <c r="N46" i="5082"/>
  <c r="N47" i="5082"/>
  <c r="N48" i="5082"/>
  <c r="N49" i="5082"/>
  <c r="N50" i="5082"/>
  <c r="N51" i="5082"/>
  <c r="N52" i="5082"/>
  <c r="N53" i="5082"/>
  <c r="N54" i="5082"/>
  <c r="N55" i="5082"/>
  <c r="N56" i="5082"/>
  <c r="N57" i="5082"/>
  <c r="N58" i="5082"/>
  <c r="N59" i="5082"/>
  <c r="N60" i="5082"/>
  <c r="N61" i="5082"/>
  <c r="N62" i="5082"/>
  <c r="N63" i="5082"/>
  <c r="N64" i="5082"/>
  <c r="N65" i="5082"/>
  <c r="N66" i="5082"/>
  <c r="N67" i="5082"/>
  <c r="N68" i="5082"/>
  <c r="N69" i="5082"/>
  <c r="N70" i="5082"/>
  <c r="N71" i="5082"/>
  <c r="N72" i="5082"/>
  <c r="N73" i="5082"/>
  <c r="N74" i="5082"/>
  <c r="N75" i="5082"/>
  <c r="N76" i="5082"/>
  <c r="N77" i="5082"/>
  <c r="N78" i="5082"/>
  <c r="N79" i="5082"/>
  <c r="N80" i="5082"/>
  <c r="N81" i="5082"/>
  <c r="N82" i="5082"/>
  <c r="N83" i="5082"/>
  <c r="N84" i="5082"/>
  <c r="N85" i="5082"/>
  <c r="N86" i="5082"/>
  <c r="N87" i="5082"/>
  <c r="N88" i="5082"/>
  <c r="N89" i="5082"/>
  <c r="N90" i="5082"/>
  <c r="N91" i="5082"/>
  <c r="N92" i="5082"/>
  <c r="N93" i="5082"/>
  <c r="N94" i="5082"/>
  <c r="N95" i="5082"/>
  <c r="N96" i="5082"/>
  <c r="N97" i="5082"/>
  <c r="N98" i="5082"/>
  <c r="N99" i="5082"/>
  <c r="N100" i="5082"/>
  <c r="N101" i="5082"/>
  <c r="N102" i="5082"/>
  <c r="N103" i="5082"/>
  <c r="N104" i="5082"/>
  <c r="N105" i="5082"/>
  <c r="N106" i="5082"/>
  <c r="N107" i="5082"/>
  <c r="N108" i="5082"/>
  <c r="N109" i="5082"/>
  <c r="N110" i="5082"/>
  <c r="N111" i="5082"/>
  <c r="N112" i="5082"/>
  <c r="N113" i="5082"/>
  <c r="N114" i="5082"/>
  <c r="N115" i="5082"/>
  <c r="N116" i="5082"/>
  <c r="N117" i="5082"/>
  <c r="N118" i="5082"/>
  <c r="N119" i="5082"/>
  <c r="N120" i="5082"/>
  <c r="N121" i="5082"/>
  <c r="N122" i="5082"/>
  <c r="N123" i="5082"/>
  <c r="N124" i="5082"/>
  <c r="N125" i="5082"/>
  <c r="N126" i="5082"/>
  <c r="N127" i="5082"/>
  <c r="N128" i="5082"/>
  <c r="N129" i="5082"/>
  <c r="N130" i="5082"/>
  <c r="N131" i="5082"/>
  <c r="N132" i="5082"/>
  <c r="N133" i="5082"/>
  <c r="N134" i="5082"/>
  <c r="N135" i="5082"/>
  <c r="N136" i="5082"/>
  <c r="N137" i="5082"/>
  <c r="N138" i="5082"/>
  <c r="N139" i="5082"/>
  <c r="N140" i="5082"/>
  <c r="N141" i="5082"/>
  <c r="N142" i="5082"/>
  <c r="N143" i="5082"/>
  <c r="N144" i="5082"/>
  <c r="N145" i="5082"/>
  <c r="N146" i="5082"/>
  <c r="N147" i="5082"/>
  <c r="N148" i="5082"/>
  <c r="N149" i="5082"/>
  <c r="N150" i="5082"/>
  <c r="N151" i="5082"/>
  <c r="N152" i="5082"/>
  <c r="N153" i="5082"/>
  <c r="N154" i="5082"/>
  <c r="N155" i="5082"/>
  <c r="N156" i="5082"/>
  <c r="N157" i="5082"/>
  <c r="N158" i="5082"/>
  <c r="N159" i="5082"/>
  <c r="N160" i="5082"/>
  <c r="N161" i="5082"/>
  <c r="N162" i="5082"/>
  <c r="N163" i="5082"/>
  <c r="N164" i="5082"/>
  <c r="N165" i="5082"/>
  <c r="N166" i="5082"/>
  <c r="N167" i="5082"/>
  <c r="N168" i="5082"/>
  <c r="N169" i="5082"/>
  <c r="N170" i="5082"/>
  <c r="N171" i="5082"/>
  <c r="N172" i="5082"/>
  <c r="N173" i="5082"/>
  <c r="N174" i="5082"/>
  <c r="N175" i="5082"/>
  <c r="N176" i="5082"/>
  <c r="N177" i="5082"/>
  <c r="N178" i="5082"/>
  <c r="N179" i="5082"/>
  <c r="N180" i="5082"/>
  <c r="N181" i="5082"/>
  <c r="N182" i="5082"/>
  <c r="N183" i="5082"/>
  <c r="N184" i="5082"/>
  <c r="N185" i="5082"/>
  <c r="N186" i="5082"/>
  <c r="N187" i="5082"/>
  <c r="N188" i="5082"/>
  <c r="N189" i="5082"/>
  <c r="N190" i="5082"/>
  <c r="N191" i="5082"/>
  <c r="N192" i="5082"/>
  <c r="N193" i="5082"/>
  <c r="N194" i="5082"/>
  <c r="N195" i="5082"/>
  <c r="N196" i="5082"/>
  <c r="N197" i="5082"/>
  <c r="N198" i="5082"/>
  <c r="N199" i="5082"/>
  <c r="N200" i="5082"/>
  <c r="N201" i="5082"/>
  <c r="N202" i="5082"/>
  <c r="N203" i="5082"/>
  <c r="N204" i="5082"/>
  <c r="N205" i="5082"/>
  <c r="N206" i="5082"/>
  <c r="N207" i="5082"/>
  <c r="N208" i="5082"/>
  <c r="N209" i="5082"/>
  <c r="N210" i="5082"/>
  <c r="N211" i="5082"/>
  <c r="N212" i="5082"/>
  <c r="N213" i="5082"/>
  <c r="N214" i="5082"/>
  <c r="N215" i="5082"/>
  <c r="N216" i="5082"/>
  <c r="N217" i="5082"/>
  <c r="N218" i="5082"/>
  <c r="N219" i="5082"/>
  <c r="N220" i="5082"/>
  <c r="N221" i="5082"/>
  <c r="N222" i="5082"/>
  <c r="N223" i="5082"/>
  <c r="N224" i="5082"/>
  <c r="N225" i="5082"/>
  <c r="N226" i="5082"/>
  <c r="N227" i="5082"/>
  <c r="N228" i="5082"/>
  <c r="N229" i="5082"/>
  <c r="N230" i="5082"/>
  <c r="N231" i="5082"/>
  <c r="N232" i="5082"/>
  <c r="N233" i="5082"/>
  <c r="N234" i="5082"/>
  <c r="N235" i="5082"/>
  <c r="N236" i="5082"/>
  <c r="N237" i="5082"/>
  <c r="N238" i="5082"/>
  <c r="N239" i="5082"/>
  <c r="N240" i="5082"/>
  <c r="N241" i="5082"/>
  <c r="N242" i="5082"/>
  <c r="N243" i="5082"/>
  <c r="N244" i="5082"/>
  <c r="N245" i="5082"/>
  <c r="N246" i="5082"/>
  <c r="N247" i="5082"/>
  <c r="N248" i="5082"/>
  <c r="N249" i="5082"/>
  <c r="N250" i="5082"/>
  <c r="N251" i="5082"/>
  <c r="N252" i="5082"/>
  <c r="N253" i="5082"/>
  <c r="N254" i="5082"/>
  <c r="N255" i="5082"/>
  <c r="N256" i="5082"/>
  <c r="N257" i="5082"/>
  <c r="N258" i="5082"/>
  <c r="N259" i="5082"/>
  <c r="N260" i="5082"/>
  <c r="N261" i="5082"/>
  <c r="N262" i="5082"/>
  <c r="N263" i="5082"/>
  <c r="N264" i="5082"/>
  <c r="N265" i="5082"/>
  <c r="N266" i="5082"/>
  <c r="N267" i="5082"/>
  <c r="N268" i="5082"/>
  <c r="N269" i="5082"/>
  <c r="N270" i="5082"/>
  <c r="N271" i="5082"/>
  <c r="N272" i="5082"/>
  <c r="N273" i="5082"/>
  <c r="N274" i="5082"/>
  <c r="N275" i="5082"/>
  <c r="N276" i="5082"/>
  <c r="N277" i="5082"/>
  <c r="N278" i="5082"/>
  <c r="N279" i="5082"/>
  <c r="N280" i="5082"/>
  <c r="N281" i="5082"/>
  <c r="N282" i="5082"/>
  <c r="N283" i="5082"/>
  <c r="N284" i="5082"/>
  <c r="N285" i="5082"/>
  <c r="N286" i="5082"/>
  <c r="N287" i="5082"/>
  <c r="N288" i="5082"/>
  <c r="N289" i="5082"/>
  <c r="N290" i="5082"/>
  <c r="N291" i="5082"/>
  <c r="N292" i="5082"/>
  <c r="N293" i="5082"/>
  <c r="N294" i="5082"/>
  <c r="N295" i="5082"/>
  <c r="N296" i="5082"/>
  <c r="N297" i="5082"/>
  <c r="N298" i="5082"/>
  <c r="N299" i="5082"/>
  <c r="N300" i="5082"/>
  <c r="N301" i="5082"/>
  <c r="N302" i="5082"/>
  <c r="N303" i="5082"/>
  <c r="N304" i="5082"/>
  <c r="N305" i="5082"/>
  <c r="N306" i="5082"/>
  <c r="N307" i="5082"/>
  <c r="N308" i="5082"/>
  <c r="N309" i="5082"/>
  <c r="N310" i="5082"/>
  <c r="N311" i="5082"/>
  <c r="N312" i="5082"/>
  <c r="N313" i="5082"/>
  <c r="N314" i="5082"/>
  <c r="N315" i="5082"/>
  <c r="N316" i="5082"/>
  <c r="N317" i="5082"/>
  <c r="N318" i="5082"/>
  <c r="N319" i="5082"/>
  <c r="N320" i="5082"/>
  <c r="N321" i="5082"/>
  <c r="N322" i="5082"/>
  <c r="N323" i="5082"/>
  <c r="N324" i="5082"/>
  <c r="N325" i="5082"/>
  <c r="N326" i="5082"/>
  <c r="N327" i="5082"/>
  <c r="N328" i="5082"/>
  <c r="N329" i="5082"/>
  <c r="N330" i="5082"/>
  <c r="N331" i="5082"/>
  <c r="N332" i="5082"/>
  <c r="N333" i="5082"/>
  <c r="N334" i="5082"/>
  <c r="N335" i="5082"/>
  <c r="N336" i="5082"/>
  <c r="N337" i="5082"/>
  <c r="N338" i="5082"/>
  <c r="N339" i="5082"/>
  <c r="N340" i="5082"/>
  <c r="N341" i="5082"/>
  <c r="N342" i="5082"/>
  <c r="N343" i="5082"/>
  <c r="N344" i="5082"/>
  <c r="N345" i="5082"/>
  <c r="N346" i="5082"/>
  <c r="N347" i="5082"/>
  <c r="N348" i="5082"/>
  <c r="N349" i="5082"/>
  <c r="N350" i="5082"/>
  <c r="N351" i="5082"/>
  <c r="N352" i="5082"/>
  <c r="N353" i="5082"/>
  <c r="N354" i="5082"/>
  <c r="N355" i="5082"/>
  <c r="N356" i="5082"/>
  <c r="N357" i="5082"/>
  <c r="N358" i="5082"/>
  <c r="N359" i="5082"/>
  <c r="N360" i="5082"/>
  <c r="N361" i="5082"/>
  <c r="N362" i="5082"/>
  <c r="N363" i="5082"/>
  <c r="N364" i="5082"/>
  <c r="N365" i="5082"/>
  <c r="N366" i="5082"/>
  <c r="N367" i="5082"/>
  <c r="N368" i="5082"/>
  <c r="N369" i="5082"/>
  <c r="N370" i="5082"/>
  <c r="N371" i="5082"/>
  <c r="N372" i="5082"/>
  <c r="N373" i="5082"/>
  <c r="N374" i="5082"/>
  <c r="N375" i="5082"/>
  <c r="N376" i="5082"/>
  <c r="N377" i="5082"/>
  <c r="N378" i="5082"/>
  <c r="N379" i="5082"/>
  <c r="N380" i="5082"/>
  <c r="N381" i="5082"/>
  <c r="N382" i="5082"/>
  <c r="N383" i="5082"/>
  <c r="N384" i="5082"/>
  <c r="N385" i="5082"/>
  <c r="N386" i="5082"/>
  <c r="N387" i="5082"/>
  <c r="N388" i="5082"/>
  <c r="N389" i="5082"/>
  <c r="N390" i="5082"/>
  <c r="N391" i="5082"/>
  <c r="N392" i="5082"/>
  <c r="N393" i="5082"/>
  <c r="N394" i="5082"/>
  <c r="N395" i="5082"/>
  <c r="N396" i="5082"/>
  <c r="N397" i="5082"/>
  <c r="N398" i="5082"/>
  <c r="N399" i="5082"/>
  <c r="N400" i="5082"/>
  <c r="N401" i="5082"/>
  <c r="N402" i="5082"/>
  <c r="N403" i="5082"/>
  <c r="N404" i="5082"/>
  <c r="N405" i="5082"/>
  <c r="N406" i="5082"/>
  <c r="N407" i="5082"/>
  <c r="N408" i="5082"/>
  <c r="N409" i="5082"/>
  <c r="N410" i="5082"/>
  <c r="N411" i="5082"/>
  <c r="N412" i="5082"/>
  <c r="N413" i="5082"/>
  <c r="N414" i="5082"/>
  <c r="N415" i="5082"/>
  <c r="N416" i="5082"/>
  <c r="N417" i="5082"/>
  <c r="N418" i="5082"/>
  <c r="N419" i="5082"/>
  <c r="N420" i="5082"/>
  <c r="N421" i="5082"/>
  <c r="N422" i="5082"/>
  <c r="N423" i="5082"/>
  <c r="N424" i="5082"/>
  <c r="N425" i="5082"/>
  <c r="N426" i="5082"/>
  <c r="N427" i="5082"/>
  <c r="N428" i="5082"/>
  <c r="N429" i="5082"/>
  <c r="N430" i="5082"/>
  <c r="N431" i="5082"/>
  <c r="N432" i="5082"/>
  <c r="N433" i="5082"/>
  <c r="N434" i="5082"/>
  <c r="N435" i="5082"/>
  <c r="N436" i="5082"/>
  <c r="N437" i="5082"/>
  <c r="N438" i="5082"/>
  <c r="N439" i="5082"/>
  <c r="N440" i="5082"/>
  <c r="N441" i="5082"/>
  <c r="N442" i="5082"/>
  <c r="N443" i="5082"/>
  <c r="N444" i="5082"/>
  <c r="N445" i="5082"/>
  <c r="N446" i="5082"/>
  <c r="N447" i="5082"/>
  <c r="N448" i="5082"/>
  <c r="N449" i="5082"/>
  <c r="N450" i="5082"/>
  <c r="N451" i="5082"/>
  <c r="N452" i="5082"/>
  <c r="N453" i="5082"/>
  <c r="N454" i="5082"/>
  <c r="N455" i="5082"/>
  <c r="N456" i="5082"/>
  <c r="N457" i="5082"/>
  <c r="N458" i="5082"/>
  <c r="N459" i="5082"/>
  <c r="N460" i="5082"/>
  <c r="N461" i="5082"/>
  <c r="N462" i="5082"/>
  <c r="N463" i="5082"/>
  <c r="N464" i="5082"/>
  <c r="N465" i="5082"/>
  <c r="N466" i="5082"/>
  <c r="N467" i="5082"/>
  <c r="N468" i="5082"/>
  <c r="N469" i="5082"/>
  <c r="N470" i="5082"/>
  <c r="N471" i="5082"/>
  <c r="N472" i="5082"/>
  <c r="N473" i="5082"/>
  <c r="N474" i="5082"/>
  <c r="N475" i="5082"/>
  <c r="N476" i="5082"/>
  <c r="N477" i="5082"/>
  <c r="N478" i="5082"/>
  <c r="N479" i="5082"/>
  <c r="N480" i="5082"/>
  <c r="N481" i="5082"/>
  <c r="N482" i="5082"/>
  <c r="N483" i="5082"/>
  <c r="N484" i="5082"/>
  <c r="N485" i="5082"/>
  <c r="N486" i="5082"/>
  <c r="N487" i="5082"/>
  <c r="N488" i="5082"/>
  <c r="N489" i="5082"/>
  <c r="N490" i="5082"/>
  <c r="N491" i="5082"/>
  <c r="N492" i="5082"/>
  <c r="N493" i="5082"/>
  <c r="N494" i="5082"/>
  <c r="N495" i="5082"/>
  <c r="N496" i="5082"/>
  <c r="N497" i="5082"/>
  <c r="N498" i="5082"/>
  <c r="N499" i="5082"/>
  <c r="N500" i="5082"/>
  <c r="N501" i="5082"/>
  <c r="N502" i="5082"/>
  <c r="N503" i="5082"/>
  <c r="N504" i="5082"/>
  <c r="N505" i="5082"/>
  <c r="N2" i="5081"/>
  <c r="N3" i="5081"/>
  <c r="N4" i="5081"/>
  <c r="N5" i="5081"/>
  <c r="N6" i="5081"/>
  <c r="N7" i="5081"/>
  <c r="N8" i="5081"/>
  <c r="N9" i="5081"/>
  <c r="N10" i="5081"/>
  <c r="N11" i="5081"/>
  <c r="N12" i="5081"/>
  <c r="N13" i="5081"/>
  <c r="N14" i="5081"/>
  <c r="N15" i="5081"/>
  <c r="N16" i="5081"/>
  <c r="N17" i="5081"/>
  <c r="N18" i="5081"/>
  <c r="N19" i="5081"/>
  <c r="N20" i="5081"/>
  <c r="N21" i="5081"/>
  <c r="N22" i="5081"/>
  <c r="N23" i="5081"/>
  <c r="N24" i="5081"/>
  <c r="N25" i="5081"/>
  <c r="N26" i="5081"/>
  <c r="N27" i="5081"/>
  <c r="N28" i="5081"/>
  <c r="N29" i="5081"/>
  <c r="N30" i="5081"/>
  <c r="N31" i="5081"/>
  <c r="N32" i="5081"/>
  <c r="N33" i="5081"/>
  <c r="N34" i="5081"/>
  <c r="N35" i="5081"/>
  <c r="N36" i="5081"/>
  <c r="N37" i="5081"/>
  <c r="N38" i="5081"/>
  <c r="N39" i="5081"/>
  <c r="N40" i="5081"/>
  <c r="N41" i="5081"/>
  <c r="N42" i="5081"/>
  <c r="N43" i="5081"/>
  <c r="N44" i="5081"/>
  <c r="N45" i="5081"/>
  <c r="N46" i="5081"/>
  <c r="N47" i="5081"/>
  <c r="N48" i="5081"/>
  <c r="N49" i="5081"/>
  <c r="N50" i="5081"/>
  <c r="N51" i="5081"/>
  <c r="N52" i="5081"/>
  <c r="N53" i="5081"/>
  <c r="N54" i="5081"/>
  <c r="N55" i="5081"/>
  <c r="N56" i="5081"/>
  <c r="N57" i="5081"/>
  <c r="N58" i="5081"/>
  <c r="N59" i="5081"/>
  <c r="N60" i="5081"/>
  <c r="N61" i="5081"/>
  <c r="N62" i="5081"/>
  <c r="N63" i="5081"/>
  <c r="N64" i="5081"/>
  <c r="N65" i="5081"/>
  <c r="N66" i="5081"/>
  <c r="N67" i="5081"/>
  <c r="N68" i="5081"/>
  <c r="N69" i="5081"/>
  <c r="N70" i="5081"/>
  <c r="N71" i="5081"/>
  <c r="N72" i="5081"/>
  <c r="N73" i="5081"/>
  <c r="N74" i="5081"/>
  <c r="N75" i="5081"/>
  <c r="N76" i="5081"/>
  <c r="N77" i="5081"/>
  <c r="N78" i="5081"/>
  <c r="N79" i="5081"/>
  <c r="N80" i="5081"/>
  <c r="N81" i="5081"/>
  <c r="N82" i="5081"/>
  <c r="N83" i="5081"/>
  <c r="N84" i="5081"/>
  <c r="N85" i="5081"/>
  <c r="N86" i="5081"/>
  <c r="N87" i="5081"/>
  <c r="N88" i="5081"/>
  <c r="N89" i="5081"/>
  <c r="N90" i="5081"/>
  <c r="N91" i="5081"/>
  <c r="N92" i="5081"/>
  <c r="N93" i="5081"/>
  <c r="N94" i="5081"/>
  <c r="N95" i="5081"/>
  <c r="N96" i="5081"/>
  <c r="N97" i="5081"/>
  <c r="N98" i="5081"/>
  <c r="N99" i="5081"/>
  <c r="N100" i="5081"/>
  <c r="N101" i="5081"/>
  <c r="N102" i="5081"/>
  <c r="N103" i="5081"/>
  <c r="N104" i="5081"/>
  <c r="N105" i="5081"/>
  <c r="N106" i="5081"/>
  <c r="N107" i="5081"/>
  <c r="N108" i="5081"/>
  <c r="N109" i="5081"/>
  <c r="N110" i="5081"/>
  <c r="N111" i="5081"/>
  <c r="N112" i="5081"/>
  <c r="N113" i="5081"/>
  <c r="N114" i="5081"/>
  <c r="N115" i="5081"/>
  <c r="N116" i="5081"/>
  <c r="N117" i="5081"/>
  <c r="N118" i="5081"/>
  <c r="N119" i="5081"/>
  <c r="N120" i="5081"/>
  <c r="N121" i="5081"/>
  <c r="N122" i="5081"/>
  <c r="N123" i="5081"/>
  <c r="N124" i="5081"/>
  <c r="N125" i="5081"/>
  <c r="N126" i="5081"/>
  <c r="N127" i="5081"/>
  <c r="N128" i="5081"/>
  <c r="N129" i="5081"/>
  <c r="N130" i="5081"/>
  <c r="N131" i="5081"/>
  <c r="N132" i="5081"/>
  <c r="N133" i="5081"/>
  <c r="N134" i="5081"/>
  <c r="N135" i="5081"/>
  <c r="N136" i="5081"/>
  <c r="N137" i="5081"/>
  <c r="N138" i="5081"/>
  <c r="N139" i="5081"/>
  <c r="N140" i="5081"/>
  <c r="N141" i="5081"/>
  <c r="N142" i="5081"/>
  <c r="N143" i="5081"/>
  <c r="N144" i="5081"/>
  <c r="N145" i="5081"/>
  <c r="N146" i="5081"/>
  <c r="N147" i="5081"/>
  <c r="N148" i="5081"/>
  <c r="N149" i="5081"/>
  <c r="N150" i="5081"/>
  <c r="N151" i="5081"/>
  <c r="N152" i="5081"/>
  <c r="N153" i="5081"/>
  <c r="N154" i="5081"/>
  <c r="N155" i="5081"/>
  <c r="N156" i="5081"/>
  <c r="N157" i="5081"/>
  <c r="N158" i="5081"/>
  <c r="N159" i="5081"/>
  <c r="N160" i="5081"/>
  <c r="N161" i="5081"/>
  <c r="N162" i="5081"/>
  <c r="N163" i="5081"/>
  <c r="N164" i="5081"/>
  <c r="N165" i="5081"/>
  <c r="N166" i="5081"/>
  <c r="N167" i="5081"/>
  <c r="N168" i="5081"/>
  <c r="N169" i="5081"/>
  <c r="N170" i="5081"/>
  <c r="N171" i="5081"/>
  <c r="N172" i="5081"/>
  <c r="N173" i="5081"/>
  <c r="N174" i="5081"/>
  <c r="N175" i="5081"/>
  <c r="N176" i="5081"/>
  <c r="N177" i="5081"/>
  <c r="N178" i="5081"/>
  <c r="N179" i="5081"/>
  <c r="N180" i="5081"/>
  <c r="N181" i="5081"/>
  <c r="N182" i="5081"/>
  <c r="N183" i="5081"/>
  <c r="N184" i="5081"/>
  <c r="N185" i="5081"/>
  <c r="N186" i="5081"/>
  <c r="N187" i="5081"/>
  <c r="N188" i="5081"/>
  <c r="N189" i="5081"/>
  <c r="N190" i="5081"/>
  <c r="N191" i="5081"/>
  <c r="N192" i="5081"/>
  <c r="N193" i="5081"/>
  <c r="N194" i="5081"/>
  <c r="N195" i="5081"/>
  <c r="N196" i="5081"/>
  <c r="N197" i="5081"/>
  <c r="N198" i="5081"/>
  <c r="N199" i="5081"/>
  <c r="N200" i="5081"/>
  <c r="N201" i="5081"/>
  <c r="N202" i="5081"/>
  <c r="N203" i="5081"/>
  <c r="N204" i="5081"/>
  <c r="N205" i="5081"/>
  <c r="N206" i="5081"/>
  <c r="N207" i="5081"/>
  <c r="N208" i="5081"/>
  <c r="N209" i="5081"/>
  <c r="N210" i="5081"/>
  <c r="N211" i="5081"/>
  <c r="N212" i="5081"/>
  <c r="N213" i="5081"/>
  <c r="N214" i="5081"/>
  <c r="N215" i="5081"/>
  <c r="N216" i="5081"/>
  <c r="N217" i="5081"/>
  <c r="N218" i="5081"/>
  <c r="N219" i="5081"/>
  <c r="N220" i="5081"/>
  <c r="N221" i="5081"/>
  <c r="N222" i="5081"/>
  <c r="N223" i="5081"/>
  <c r="N224" i="5081"/>
  <c r="N225" i="5081"/>
  <c r="N226" i="5081"/>
  <c r="N227" i="5081"/>
  <c r="N228" i="5081"/>
  <c r="N229" i="5081"/>
  <c r="N230" i="5081"/>
  <c r="N231" i="5081"/>
  <c r="N232" i="5081"/>
  <c r="N233" i="5081"/>
  <c r="N234" i="5081"/>
  <c r="N235" i="5081"/>
  <c r="N236" i="5081"/>
  <c r="N237" i="5081"/>
  <c r="N238" i="5081"/>
  <c r="N239" i="5081"/>
  <c r="N240" i="5081"/>
  <c r="N241" i="5081"/>
  <c r="N242" i="5081"/>
  <c r="N243" i="5081"/>
  <c r="N244" i="5081"/>
  <c r="N245" i="5081"/>
  <c r="N246" i="5081"/>
  <c r="N247" i="5081"/>
  <c r="N248" i="5081"/>
  <c r="N249" i="5081"/>
  <c r="N250" i="5081"/>
  <c r="N251" i="5081"/>
  <c r="N252" i="5081"/>
  <c r="N253" i="5081"/>
  <c r="N254" i="5081"/>
  <c r="N255" i="5081"/>
  <c r="N256" i="5081"/>
  <c r="N257" i="5081"/>
  <c r="N258" i="5081"/>
  <c r="N259" i="5081"/>
  <c r="N260" i="5081"/>
  <c r="N261" i="5081"/>
  <c r="N262" i="5081"/>
  <c r="N263" i="5081"/>
  <c r="N264" i="5081"/>
  <c r="N265" i="5081"/>
  <c r="N266" i="5081"/>
  <c r="N267" i="5081"/>
  <c r="N268" i="5081"/>
  <c r="N269" i="5081"/>
  <c r="N270" i="5081"/>
  <c r="N271" i="5081"/>
  <c r="N272" i="5081"/>
  <c r="N273" i="5081"/>
  <c r="N274" i="5081"/>
  <c r="N275" i="5081"/>
  <c r="N276" i="5081"/>
  <c r="N277" i="5081"/>
  <c r="N278" i="5081"/>
  <c r="N279" i="5081"/>
  <c r="N280" i="5081"/>
  <c r="N281" i="5081"/>
  <c r="N282" i="5081"/>
  <c r="N283" i="5081"/>
  <c r="N284" i="5081"/>
  <c r="N285" i="5081"/>
  <c r="N286" i="5081"/>
  <c r="N287" i="5081"/>
  <c r="N288" i="5081"/>
  <c r="N289" i="5081"/>
  <c r="N290" i="5081"/>
  <c r="N291" i="5081"/>
  <c r="N292" i="5081"/>
  <c r="N293" i="5081"/>
  <c r="N294" i="5081"/>
  <c r="N295" i="5081"/>
  <c r="N296" i="5081"/>
  <c r="N297" i="5081"/>
  <c r="N298" i="5081"/>
  <c r="N299" i="5081"/>
  <c r="N300" i="5081"/>
  <c r="N301" i="5081"/>
  <c r="N302" i="5081"/>
  <c r="N303" i="5081"/>
  <c r="N304" i="5081"/>
  <c r="N305" i="5081"/>
  <c r="N306" i="5081"/>
  <c r="N307" i="5081"/>
  <c r="N308" i="5081"/>
  <c r="N309" i="5081"/>
  <c r="N310" i="5081"/>
  <c r="N311" i="5081"/>
  <c r="N312" i="5081"/>
  <c r="N313" i="5081"/>
  <c r="N314" i="5081"/>
  <c r="N315" i="5081"/>
  <c r="N316" i="5081"/>
  <c r="N317" i="5081"/>
  <c r="N318" i="5081"/>
  <c r="N319" i="5081"/>
  <c r="N320" i="5081"/>
  <c r="N321" i="5081"/>
  <c r="N322" i="5081"/>
  <c r="N323" i="5081"/>
  <c r="N324" i="5081"/>
  <c r="N325" i="5081"/>
  <c r="N326" i="5081"/>
  <c r="N327" i="5081"/>
  <c r="N328" i="5081"/>
  <c r="N329" i="5081"/>
  <c r="N330" i="5081"/>
  <c r="N331" i="5081"/>
  <c r="N332" i="5081"/>
  <c r="N333" i="5081"/>
  <c r="N334" i="5081"/>
  <c r="N335" i="5081"/>
  <c r="N336" i="5081"/>
  <c r="N337" i="5081"/>
  <c r="N338" i="5081"/>
  <c r="N339" i="5081"/>
  <c r="N340" i="5081"/>
  <c r="N341" i="5081"/>
  <c r="N342" i="5081"/>
  <c r="N343" i="5081"/>
  <c r="N344" i="5081"/>
  <c r="N345" i="5081"/>
  <c r="N346" i="5081"/>
  <c r="N347" i="5081"/>
  <c r="N348" i="5081"/>
  <c r="N349" i="5081"/>
  <c r="N350" i="5081"/>
  <c r="N351" i="5081"/>
  <c r="N352" i="5081"/>
  <c r="N353" i="5081"/>
  <c r="N354" i="5081"/>
  <c r="N355" i="5081"/>
  <c r="N356" i="5081"/>
  <c r="N357" i="5081"/>
  <c r="N358" i="5081"/>
  <c r="N359" i="5081"/>
  <c r="N360" i="5081"/>
  <c r="N361" i="5081"/>
  <c r="N362" i="5081"/>
  <c r="N363" i="5081"/>
  <c r="N364" i="5081"/>
  <c r="N365" i="5081"/>
  <c r="N366" i="5081"/>
  <c r="N367" i="5081"/>
  <c r="N368" i="5081"/>
  <c r="N369" i="5081"/>
  <c r="N370" i="5081"/>
  <c r="N371" i="5081"/>
  <c r="N372" i="5081"/>
  <c r="N373" i="5081"/>
  <c r="N374" i="5081"/>
  <c r="N375" i="5081"/>
  <c r="N376" i="5081"/>
  <c r="N377" i="5081"/>
  <c r="N378" i="5081"/>
  <c r="N379" i="5081"/>
  <c r="N380" i="5081"/>
  <c r="N381" i="5081"/>
  <c r="N382" i="5081"/>
  <c r="N383" i="5081"/>
  <c r="N384" i="5081"/>
  <c r="N385" i="5081"/>
  <c r="N386" i="5081"/>
  <c r="N387" i="5081"/>
  <c r="N388" i="5081"/>
  <c r="N389" i="5081"/>
  <c r="N390" i="5081"/>
  <c r="N391" i="5081"/>
  <c r="N392" i="5081"/>
  <c r="N393" i="5081"/>
  <c r="N394" i="5081"/>
  <c r="N395" i="5081"/>
  <c r="N396" i="5081"/>
  <c r="N397" i="5081"/>
  <c r="N398" i="5081"/>
  <c r="N399" i="5081"/>
  <c r="N400" i="5081"/>
  <c r="N401" i="5081"/>
  <c r="N402" i="5081"/>
  <c r="N403" i="5081"/>
  <c r="N404" i="5081"/>
  <c r="N405" i="5081"/>
  <c r="N406" i="5081"/>
  <c r="N407" i="5081"/>
  <c r="N408" i="5081"/>
  <c r="N409" i="5081"/>
  <c r="N410" i="5081"/>
  <c r="N411" i="5081"/>
  <c r="N412" i="5081"/>
  <c r="N413" i="5081"/>
  <c r="N414" i="5081"/>
  <c r="N415" i="5081"/>
  <c r="N416" i="5081"/>
  <c r="N417" i="5081"/>
  <c r="N418" i="5081"/>
  <c r="N419" i="5081"/>
  <c r="N420" i="5081"/>
  <c r="N421" i="5081"/>
  <c r="N422" i="5081"/>
  <c r="N423" i="5081"/>
  <c r="N424" i="5081"/>
  <c r="N425" i="5081"/>
  <c r="N426" i="5081"/>
  <c r="N427" i="5081"/>
  <c r="N428" i="5081"/>
  <c r="N429" i="5081"/>
  <c r="N430" i="5081"/>
  <c r="N431" i="5081"/>
  <c r="N432" i="5081"/>
  <c r="N433" i="5081"/>
  <c r="N434" i="5081"/>
  <c r="N435" i="5081"/>
  <c r="N436" i="5081"/>
  <c r="N437" i="5081"/>
  <c r="N438" i="5081"/>
  <c r="N439" i="5081"/>
  <c r="N440" i="5081"/>
  <c r="N441" i="5081"/>
  <c r="N442" i="5081"/>
  <c r="N443" i="5081"/>
  <c r="N444" i="5081"/>
  <c r="N445" i="5081"/>
  <c r="N446" i="5081"/>
  <c r="N447" i="5081"/>
  <c r="N448" i="5081"/>
  <c r="N449" i="5081"/>
  <c r="N450" i="5081"/>
  <c r="N451" i="5081"/>
  <c r="N452" i="5081"/>
  <c r="N453" i="5081"/>
  <c r="N454" i="5081"/>
  <c r="N455" i="5081"/>
  <c r="N456" i="5081"/>
  <c r="N457" i="5081"/>
  <c r="N458" i="5081"/>
  <c r="N459" i="5081"/>
  <c r="N460" i="5081"/>
  <c r="N461" i="5081"/>
  <c r="N462" i="5081"/>
  <c r="N463" i="5081"/>
  <c r="N464" i="5081"/>
  <c r="N465" i="5081"/>
  <c r="N466" i="5081"/>
  <c r="N467" i="5081"/>
  <c r="N468" i="5081"/>
  <c r="N469" i="5081"/>
  <c r="N470" i="5081"/>
  <c r="N471" i="5081"/>
  <c r="N472" i="5081"/>
  <c r="N473" i="5081"/>
  <c r="N474" i="5081"/>
  <c r="N475" i="5081"/>
  <c r="N476" i="5081"/>
  <c r="N477" i="5081"/>
  <c r="N478" i="5081"/>
  <c r="N479" i="5081"/>
  <c r="N480" i="5081"/>
  <c r="N481" i="5081"/>
  <c r="N482" i="5081"/>
  <c r="N483" i="5081"/>
  <c r="N484" i="5081"/>
  <c r="N485" i="5081"/>
  <c r="N486" i="5081"/>
  <c r="N487" i="5081"/>
  <c r="N488" i="5081"/>
  <c r="N489" i="5081"/>
  <c r="N490" i="5081"/>
  <c r="N491" i="5081"/>
  <c r="N492" i="5081"/>
  <c r="N493" i="5081"/>
  <c r="N494" i="5081"/>
  <c r="N495" i="5081"/>
  <c r="N496" i="5081"/>
  <c r="N497" i="5081"/>
  <c r="N498" i="5081"/>
  <c r="N499" i="5081"/>
  <c r="N500" i="5081"/>
  <c r="N501" i="5081"/>
  <c r="N502" i="5081"/>
  <c r="N503" i="5081"/>
  <c r="N504" i="5081"/>
  <c r="N505" i="5081"/>
  <c r="N2" i="5080"/>
  <c r="N3" i="5080"/>
  <c r="N4" i="5080"/>
  <c r="N5" i="5080"/>
  <c r="N6" i="5080"/>
  <c r="N7" i="5080"/>
  <c r="N8" i="5080"/>
  <c r="N9" i="5080"/>
  <c r="N10" i="5080"/>
  <c r="N11" i="5080"/>
  <c r="N12" i="5080"/>
  <c r="N13" i="5080"/>
  <c r="N14" i="5080"/>
  <c r="N15" i="5080"/>
  <c r="N16" i="5080"/>
  <c r="N17" i="5080"/>
  <c r="N18" i="5080"/>
  <c r="N19" i="5080"/>
  <c r="N20" i="5080"/>
  <c r="N21" i="5080"/>
  <c r="N22" i="5080"/>
  <c r="N23" i="5080"/>
  <c r="N24" i="5080"/>
  <c r="N25" i="5080"/>
  <c r="N26" i="5080"/>
  <c r="N27" i="5080"/>
  <c r="N28" i="5080"/>
  <c r="N29" i="5080"/>
  <c r="N30" i="5080"/>
  <c r="N31" i="5080"/>
  <c r="N32" i="5080"/>
  <c r="N33" i="5080"/>
  <c r="N34" i="5080"/>
  <c r="N35" i="5080"/>
  <c r="N36" i="5080"/>
  <c r="N37" i="5080"/>
  <c r="N38" i="5080"/>
  <c r="N39" i="5080"/>
  <c r="N40" i="5080"/>
  <c r="N41" i="5080"/>
  <c r="N42" i="5080"/>
  <c r="N43" i="5080"/>
  <c r="N44" i="5080"/>
  <c r="N45" i="5080"/>
  <c r="N46" i="5080"/>
  <c r="N47" i="5080"/>
  <c r="N48" i="5080"/>
  <c r="N49" i="5080"/>
  <c r="N50" i="5080"/>
  <c r="N51" i="5080"/>
  <c r="N52" i="5080"/>
  <c r="N53" i="5080"/>
  <c r="N54" i="5080"/>
  <c r="N55" i="5080"/>
  <c r="N56" i="5080"/>
  <c r="N57" i="5080"/>
  <c r="N58" i="5080"/>
  <c r="N59" i="5080"/>
  <c r="N60" i="5080"/>
  <c r="N61" i="5080"/>
  <c r="N62" i="5080"/>
  <c r="N63" i="5080"/>
  <c r="N64" i="5080"/>
  <c r="N65" i="5080"/>
  <c r="N66" i="5080"/>
  <c r="N67" i="5080"/>
  <c r="N68" i="5080"/>
  <c r="N69" i="5080"/>
  <c r="N70" i="5080"/>
  <c r="N71" i="5080"/>
  <c r="N72" i="5080"/>
  <c r="N73" i="5080"/>
  <c r="N74" i="5080"/>
  <c r="N75" i="5080"/>
  <c r="N76" i="5080"/>
  <c r="N77" i="5080"/>
  <c r="N78" i="5080"/>
  <c r="N79" i="5080"/>
  <c r="N80" i="5080"/>
  <c r="N81" i="5080"/>
  <c r="N82" i="5080"/>
  <c r="N83" i="5080"/>
  <c r="N84" i="5080"/>
  <c r="N85" i="5080"/>
  <c r="N86" i="5080"/>
  <c r="N87" i="5080"/>
  <c r="N88" i="5080"/>
  <c r="N89" i="5080"/>
  <c r="N90" i="5080"/>
  <c r="N91" i="5080"/>
  <c r="N92" i="5080"/>
  <c r="N93" i="5080"/>
  <c r="N94" i="5080"/>
  <c r="N95" i="5080"/>
  <c r="N96" i="5080"/>
  <c r="N97" i="5080"/>
  <c r="N98" i="5080"/>
  <c r="N99" i="5080"/>
  <c r="N100" i="5080"/>
  <c r="N101" i="5080"/>
  <c r="N102" i="5080"/>
  <c r="N103" i="5080"/>
  <c r="N104" i="5080"/>
  <c r="N105" i="5080"/>
  <c r="N106" i="5080"/>
  <c r="N107" i="5080"/>
  <c r="N108" i="5080"/>
  <c r="N109" i="5080"/>
  <c r="N110" i="5080"/>
  <c r="N111" i="5080"/>
  <c r="N112" i="5080"/>
  <c r="N113" i="5080"/>
  <c r="N114" i="5080"/>
  <c r="N115" i="5080"/>
  <c r="N116" i="5080"/>
  <c r="N117" i="5080"/>
  <c r="N118" i="5080"/>
  <c r="N119" i="5080"/>
  <c r="N120" i="5080"/>
  <c r="N121" i="5080"/>
  <c r="N122" i="5080"/>
  <c r="N123" i="5080"/>
  <c r="N124" i="5080"/>
  <c r="N125" i="5080"/>
  <c r="N126" i="5080"/>
  <c r="N127" i="5080"/>
  <c r="N128" i="5080"/>
  <c r="N129" i="5080"/>
  <c r="N130" i="5080"/>
  <c r="N131" i="5080"/>
  <c r="N132" i="5080"/>
  <c r="N133" i="5080"/>
  <c r="N134" i="5080"/>
  <c r="N135" i="5080"/>
  <c r="N136" i="5080"/>
  <c r="N137" i="5080"/>
  <c r="N138" i="5080"/>
  <c r="N139" i="5080"/>
  <c r="N140" i="5080"/>
  <c r="N141" i="5080"/>
  <c r="N142" i="5080"/>
  <c r="N143" i="5080"/>
  <c r="N144" i="5080"/>
  <c r="N145" i="5080"/>
  <c r="N146" i="5080"/>
  <c r="N147" i="5080"/>
  <c r="N148" i="5080"/>
  <c r="N149" i="5080"/>
  <c r="N150" i="5080"/>
  <c r="N151" i="5080"/>
  <c r="N152" i="5080"/>
  <c r="N153" i="5080"/>
  <c r="N154" i="5080"/>
  <c r="N155" i="5080"/>
  <c r="N156" i="5080"/>
  <c r="N157" i="5080"/>
  <c r="N158" i="5080"/>
  <c r="N159" i="5080"/>
  <c r="N160" i="5080"/>
  <c r="N161" i="5080"/>
  <c r="N162" i="5080"/>
  <c r="N163" i="5080"/>
  <c r="N164" i="5080"/>
  <c r="N165" i="5080"/>
  <c r="N166" i="5080"/>
  <c r="N167" i="5080"/>
  <c r="N168" i="5080"/>
  <c r="N169" i="5080"/>
  <c r="N170" i="5080"/>
  <c r="N171" i="5080"/>
  <c r="N172" i="5080"/>
  <c r="N173" i="5080"/>
  <c r="N174" i="5080"/>
  <c r="N175" i="5080"/>
  <c r="N176" i="5080"/>
  <c r="N177" i="5080"/>
  <c r="N178" i="5080"/>
  <c r="N179" i="5080"/>
  <c r="N180" i="5080"/>
  <c r="N181" i="5080"/>
  <c r="N182" i="5080"/>
  <c r="N183" i="5080"/>
  <c r="N184" i="5080"/>
  <c r="N185" i="5080"/>
  <c r="N186" i="5080"/>
  <c r="N187" i="5080"/>
  <c r="N188" i="5080"/>
  <c r="N189" i="5080"/>
  <c r="N190" i="5080"/>
  <c r="N191" i="5080"/>
  <c r="N192" i="5080"/>
  <c r="N193" i="5080"/>
  <c r="N194" i="5080"/>
  <c r="N195" i="5080"/>
  <c r="N196" i="5080"/>
  <c r="N197" i="5080"/>
  <c r="N198" i="5080"/>
  <c r="N199" i="5080"/>
  <c r="N200" i="5080"/>
  <c r="N201" i="5080"/>
  <c r="N202" i="5080"/>
  <c r="N203" i="5080"/>
  <c r="N204" i="5080"/>
  <c r="N205" i="5080"/>
  <c r="N206" i="5080"/>
  <c r="N207" i="5080"/>
  <c r="N208" i="5080"/>
  <c r="N209" i="5080"/>
  <c r="N210" i="5080"/>
  <c r="N211" i="5080"/>
  <c r="N212" i="5080"/>
  <c r="N213" i="5080"/>
  <c r="N214" i="5080"/>
  <c r="N215" i="5080"/>
  <c r="N216" i="5080"/>
  <c r="N217" i="5080"/>
  <c r="N218" i="5080"/>
  <c r="N219" i="5080"/>
  <c r="N220" i="5080"/>
  <c r="N221" i="5080"/>
  <c r="N222" i="5080"/>
  <c r="N223" i="5080"/>
  <c r="N224" i="5080"/>
  <c r="N225" i="5080"/>
  <c r="N226" i="5080"/>
  <c r="N227" i="5080"/>
  <c r="N228" i="5080"/>
  <c r="N229" i="5080"/>
  <c r="N230" i="5080"/>
  <c r="N231" i="5080"/>
  <c r="N232" i="5080"/>
  <c r="N233" i="5080"/>
  <c r="N234" i="5080"/>
  <c r="N235" i="5080"/>
  <c r="N236" i="5080"/>
  <c r="N237" i="5080"/>
  <c r="N238" i="5080"/>
  <c r="N239" i="5080"/>
  <c r="N240" i="5080"/>
  <c r="N241" i="5080"/>
  <c r="N242" i="5080"/>
  <c r="N243" i="5080"/>
  <c r="N244" i="5080"/>
  <c r="N245" i="5080"/>
  <c r="N246" i="5080"/>
  <c r="N247" i="5080"/>
  <c r="N248" i="5080"/>
  <c r="N249" i="5080"/>
  <c r="N250" i="5080"/>
  <c r="N251" i="5080"/>
  <c r="N252" i="5080"/>
  <c r="N253" i="5080"/>
  <c r="N254" i="5080"/>
  <c r="N255" i="5080"/>
  <c r="N256" i="5080"/>
  <c r="N257" i="5080"/>
  <c r="N258" i="5080"/>
  <c r="N259" i="5080"/>
  <c r="N260" i="5080"/>
  <c r="N261" i="5080"/>
  <c r="N262" i="5080"/>
  <c r="N263" i="5080"/>
  <c r="N264" i="5080"/>
  <c r="N265" i="5080"/>
  <c r="N266" i="5080"/>
  <c r="N267" i="5080"/>
  <c r="N268" i="5080"/>
  <c r="N269" i="5080"/>
  <c r="N270" i="5080"/>
  <c r="N271" i="5080"/>
  <c r="N272" i="5080"/>
  <c r="N273" i="5080"/>
  <c r="N274" i="5080"/>
  <c r="N275" i="5080"/>
  <c r="N276" i="5080"/>
  <c r="N277" i="5080"/>
  <c r="N278" i="5080"/>
  <c r="N279" i="5080"/>
  <c r="N280" i="5080"/>
  <c r="N281" i="5080"/>
  <c r="N282" i="5080"/>
  <c r="N283" i="5080"/>
  <c r="N284" i="5080"/>
  <c r="N285" i="5080"/>
  <c r="N286" i="5080"/>
  <c r="N287" i="5080"/>
  <c r="N288" i="5080"/>
  <c r="N289" i="5080"/>
  <c r="N290" i="5080"/>
  <c r="N291" i="5080"/>
  <c r="N292" i="5080"/>
  <c r="N293" i="5080"/>
  <c r="N294" i="5080"/>
  <c r="N295" i="5080"/>
  <c r="N296" i="5080"/>
  <c r="N297" i="5080"/>
  <c r="N298" i="5080"/>
  <c r="N299" i="5080"/>
  <c r="N300" i="5080"/>
  <c r="N301" i="5080"/>
  <c r="N302" i="5080"/>
  <c r="N303" i="5080"/>
  <c r="N304" i="5080"/>
  <c r="N305" i="5080"/>
  <c r="N306" i="5080"/>
  <c r="N307" i="5080"/>
  <c r="N308" i="5080"/>
  <c r="N309" i="5080"/>
  <c r="N310" i="5080"/>
  <c r="N311" i="5080"/>
  <c r="N312" i="5080"/>
  <c r="N313" i="5080"/>
  <c r="N314" i="5080"/>
  <c r="N315" i="5080"/>
  <c r="N316" i="5080"/>
  <c r="N317" i="5080"/>
  <c r="N318" i="5080"/>
  <c r="N319" i="5080"/>
  <c r="N320" i="5080"/>
  <c r="N321" i="5080"/>
  <c r="N322" i="5080"/>
  <c r="N323" i="5080"/>
  <c r="N324" i="5080"/>
  <c r="N325" i="5080"/>
  <c r="N326" i="5080"/>
  <c r="N327" i="5080"/>
  <c r="N328" i="5080"/>
  <c r="N329" i="5080"/>
  <c r="N330" i="5080"/>
  <c r="N331" i="5080"/>
  <c r="N332" i="5080"/>
  <c r="N333" i="5080"/>
  <c r="N334" i="5080"/>
  <c r="N335" i="5080"/>
  <c r="N336" i="5080"/>
  <c r="N337" i="5080"/>
  <c r="N338" i="5080"/>
  <c r="N339" i="5080"/>
  <c r="N340" i="5080"/>
  <c r="N341" i="5080"/>
  <c r="N342" i="5080"/>
  <c r="N343" i="5080"/>
  <c r="N344" i="5080"/>
  <c r="N345" i="5080"/>
  <c r="N346" i="5080"/>
  <c r="N347" i="5080"/>
  <c r="N348" i="5080"/>
  <c r="N349" i="5080"/>
  <c r="N350" i="5080"/>
  <c r="N351" i="5080"/>
  <c r="N352" i="5080"/>
  <c r="N353" i="5080"/>
  <c r="N354" i="5080"/>
  <c r="N355" i="5080"/>
  <c r="N356" i="5080"/>
  <c r="N357" i="5080"/>
  <c r="N358" i="5080"/>
  <c r="N359" i="5080"/>
  <c r="N360" i="5080"/>
  <c r="N361" i="5080"/>
  <c r="N362" i="5080"/>
  <c r="N363" i="5080"/>
  <c r="N364" i="5080"/>
  <c r="N365" i="5080"/>
  <c r="N366" i="5080"/>
  <c r="N367" i="5080"/>
  <c r="N368" i="5080"/>
  <c r="N369" i="5080"/>
  <c r="N370" i="5080"/>
  <c r="N371" i="5080"/>
  <c r="N372" i="5080"/>
  <c r="N373" i="5080"/>
  <c r="N374" i="5080"/>
  <c r="N375" i="5080"/>
  <c r="N376" i="5080"/>
  <c r="N377" i="5080"/>
  <c r="N378" i="5080"/>
  <c r="N379" i="5080"/>
  <c r="N380" i="5080"/>
  <c r="N381" i="5080"/>
  <c r="N382" i="5080"/>
  <c r="N383" i="5080"/>
  <c r="N384" i="5080"/>
  <c r="N385" i="5080"/>
  <c r="N386" i="5080"/>
  <c r="N387" i="5080"/>
  <c r="N388" i="5080"/>
  <c r="N389" i="5080"/>
  <c r="N390" i="5080"/>
  <c r="N391" i="5080"/>
  <c r="N392" i="5080"/>
  <c r="N393" i="5080"/>
  <c r="N394" i="5080"/>
  <c r="N395" i="5080"/>
  <c r="N396" i="5080"/>
  <c r="N397" i="5080"/>
  <c r="N398" i="5080"/>
  <c r="N399" i="5080"/>
  <c r="N400" i="5080"/>
  <c r="N401" i="5080"/>
  <c r="N402" i="5080"/>
  <c r="N403" i="5080"/>
  <c r="N404" i="5080"/>
  <c r="N405" i="5080"/>
  <c r="N406" i="5080"/>
  <c r="N407" i="5080"/>
  <c r="N408" i="5080"/>
  <c r="N409" i="5080"/>
  <c r="N410" i="5080"/>
  <c r="N411" i="5080"/>
  <c r="N412" i="5080"/>
  <c r="N413" i="5080"/>
  <c r="N414" i="5080"/>
  <c r="N415" i="5080"/>
  <c r="N416" i="5080"/>
  <c r="N417" i="5080"/>
  <c r="N418" i="5080"/>
  <c r="N419" i="5080"/>
  <c r="N420" i="5080"/>
  <c r="N421" i="5080"/>
  <c r="N422" i="5080"/>
  <c r="N423" i="5080"/>
  <c r="N424" i="5080"/>
  <c r="N425" i="5080"/>
  <c r="N426" i="5080"/>
  <c r="N427" i="5080"/>
  <c r="N428" i="5080"/>
  <c r="N429" i="5080"/>
  <c r="N430" i="5080"/>
  <c r="N431" i="5080"/>
  <c r="N432" i="5080"/>
  <c r="N433" i="5080"/>
  <c r="N434" i="5080"/>
  <c r="N435" i="5080"/>
  <c r="N436" i="5080"/>
  <c r="N437" i="5080"/>
  <c r="N438" i="5080"/>
  <c r="N439" i="5080"/>
  <c r="N440" i="5080"/>
  <c r="N441" i="5080"/>
  <c r="N442" i="5080"/>
  <c r="N443" i="5080"/>
  <c r="N444" i="5080"/>
  <c r="N445" i="5080"/>
  <c r="N446" i="5080"/>
  <c r="N447" i="5080"/>
  <c r="N448" i="5080"/>
  <c r="N449" i="5080"/>
  <c r="N450" i="5080"/>
  <c r="N451" i="5080"/>
  <c r="N452" i="5080"/>
  <c r="N453" i="5080"/>
  <c r="N454" i="5080"/>
  <c r="N455" i="5080"/>
  <c r="N456" i="5080"/>
  <c r="N457" i="5080"/>
  <c r="N458" i="5080"/>
  <c r="N459" i="5080"/>
  <c r="N460" i="5080"/>
  <c r="N461" i="5080"/>
  <c r="N462" i="5080"/>
  <c r="N463" i="5080"/>
  <c r="N464" i="5080"/>
  <c r="N465" i="5080"/>
  <c r="N466" i="5080"/>
  <c r="N467" i="5080"/>
  <c r="N468" i="5080"/>
  <c r="N469" i="5080"/>
  <c r="N470" i="5080"/>
  <c r="N471" i="5080"/>
  <c r="N472" i="5080"/>
  <c r="N473" i="5080"/>
  <c r="N474" i="5080"/>
  <c r="N475" i="5080"/>
  <c r="N476" i="5080"/>
  <c r="N477" i="5080"/>
  <c r="N478" i="5080"/>
  <c r="N479" i="5080"/>
  <c r="N480" i="5080"/>
  <c r="N481" i="5080"/>
  <c r="N482" i="5080"/>
  <c r="N483" i="5080"/>
  <c r="N484" i="5080"/>
  <c r="N485" i="5080"/>
  <c r="N486" i="5080"/>
  <c r="N487" i="5080"/>
  <c r="N488" i="5080"/>
  <c r="N489" i="5080"/>
  <c r="N490" i="5080"/>
  <c r="N491" i="5080"/>
  <c r="N492" i="5080"/>
  <c r="N493" i="5080"/>
  <c r="N494" i="5080"/>
  <c r="N495" i="5080"/>
  <c r="N496" i="5080"/>
  <c r="N497" i="5080"/>
  <c r="N498" i="5080"/>
  <c r="N499" i="5080"/>
  <c r="N500" i="5080"/>
  <c r="N501" i="5080"/>
  <c r="N502" i="5080"/>
  <c r="N503" i="5080"/>
  <c r="N504" i="5080"/>
  <c r="N505" i="5080"/>
  <c r="N2" i="5079"/>
  <c r="N3" i="5079"/>
  <c r="N4" i="5079"/>
  <c r="N5" i="5079"/>
  <c r="N6" i="5079"/>
  <c r="N7" i="5079"/>
  <c r="N8" i="5079"/>
  <c r="N9" i="5079"/>
  <c r="N10" i="5079"/>
  <c r="N11" i="5079"/>
  <c r="N12" i="5079"/>
  <c r="N13" i="5079"/>
  <c r="N14" i="5079"/>
  <c r="N15" i="5079"/>
  <c r="N16" i="5079"/>
  <c r="N17" i="5079"/>
  <c r="N18" i="5079"/>
  <c r="N19" i="5079"/>
  <c r="N20" i="5079"/>
  <c r="N21" i="5079"/>
  <c r="N22" i="5079"/>
  <c r="N23" i="5079"/>
  <c r="N24" i="5079"/>
  <c r="N25" i="5079"/>
  <c r="N26" i="5079"/>
  <c r="N27" i="5079"/>
  <c r="N28" i="5079"/>
  <c r="N29" i="5079"/>
  <c r="N30" i="5079"/>
  <c r="N31" i="5079"/>
  <c r="N32" i="5079"/>
  <c r="N33" i="5079"/>
  <c r="N34" i="5079"/>
  <c r="N35" i="5079"/>
  <c r="N36" i="5079"/>
  <c r="N37" i="5079"/>
  <c r="N38" i="5079"/>
  <c r="N39" i="5079"/>
  <c r="N40" i="5079"/>
  <c r="N41" i="5079"/>
  <c r="N42" i="5079"/>
  <c r="N43" i="5079"/>
  <c r="N44" i="5079"/>
  <c r="N45" i="5079"/>
  <c r="N46" i="5079"/>
  <c r="N47" i="5079"/>
  <c r="N48" i="5079"/>
  <c r="N49" i="5079"/>
  <c r="N50" i="5079"/>
  <c r="N51" i="5079"/>
  <c r="N52" i="5079"/>
  <c r="N53" i="5079"/>
  <c r="N54" i="5079"/>
  <c r="N55" i="5079"/>
  <c r="N56" i="5079"/>
  <c r="N57" i="5079"/>
  <c r="N58" i="5079"/>
  <c r="N59" i="5079"/>
  <c r="N60" i="5079"/>
  <c r="N61" i="5079"/>
  <c r="N62" i="5079"/>
  <c r="N63" i="5079"/>
  <c r="N64" i="5079"/>
  <c r="N65" i="5079"/>
  <c r="N66" i="5079"/>
  <c r="N67" i="5079"/>
  <c r="N68" i="5079"/>
  <c r="N69" i="5079"/>
  <c r="N70" i="5079"/>
  <c r="N71" i="5079"/>
  <c r="N72" i="5079"/>
  <c r="N73" i="5079"/>
  <c r="N74" i="5079"/>
  <c r="N75" i="5079"/>
  <c r="N76" i="5079"/>
  <c r="N77" i="5079"/>
  <c r="N78" i="5079"/>
  <c r="N79" i="5079"/>
  <c r="N80" i="5079"/>
  <c r="N81" i="5079"/>
  <c r="N82" i="5079"/>
  <c r="N83" i="5079"/>
  <c r="N84" i="5079"/>
  <c r="N85" i="5079"/>
  <c r="N86" i="5079"/>
  <c r="N87" i="5079"/>
  <c r="N88" i="5079"/>
  <c r="N89" i="5079"/>
  <c r="N90" i="5079"/>
  <c r="N91" i="5079"/>
  <c r="N92" i="5079"/>
  <c r="N93" i="5079"/>
  <c r="N94" i="5079"/>
  <c r="N95" i="5079"/>
  <c r="N96" i="5079"/>
  <c r="N97" i="5079"/>
  <c r="N98" i="5079"/>
  <c r="N99" i="5079"/>
  <c r="N100" i="5079"/>
  <c r="N101" i="5079"/>
  <c r="N102" i="5079"/>
  <c r="N103" i="5079"/>
  <c r="N104" i="5079"/>
  <c r="N105" i="5079"/>
  <c r="N106" i="5079"/>
  <c r="N107" i="5079"/>
  <c r="N108" i="5079"/>
  <c r="N109" i="5079"/>
  <c r="N110" i="5079"/>
  <c r="N111" i="5079"/>
  <c r="N112" i="5079"/>
  <c r="N113" i="5079"/>
  <c r="N114" i="5079"/>
  <c r="N115" i="5079"/>
  <c r="N116" i="5079"/>
  <c r="N117" i="5079"/>
  <c r="N118" i="5079"/>
  <c r="N119" i="5079"/>
  <c r="N120" i="5079"/>
  <c r="N121" i="5079"/>
  <c r="N122" i="5079"/>
  <c r="N123" i="5079"/>
  <c r="N124" i="5079"/>
  <c r="N125" i="5079"/>
  <c r="N126" i="5079"/>
  <c r="N127" i="5079"/>
  <c r="N128" i="5079"/>
  <c r="N129" i="5079"/>
  <c r="N130" i="5079"/>
  <c r="N131" i="5079"/>
  <c r="N132" i="5079"/>
  <c r="N133" i="5079"/>
  <c r="N134" i="5079"/>
  <c r="N135" i="5079"/>
  <c r="N136" i="5079"/>
  <c r="N137" i="5079"/>
  <c r="N138" i="5079"/>
  <c r="N139" i="5079"/>
  <c r="N140" i="5079"/>
  <c r="N141" i="5079"/>
  <c r="N142" i="5079"/>
  <c r="N143" i="5079"/>
  <c r="N144" i="5079"/>
  <c r="N145" i="5079"/>
  <c r="N146" i="5079"/>
  <c r="N147" i="5079"/>
  <c r="N148" i="5079"/>
  <c r="N149" i="5079"/>
  <c r="N150" i="5079"/>
  <c r="N151" i="5079"/>
  <c r="N152" i="5079"/>
  <c r="N153" i="5079"/>
  <c r="N154" i="5079"/>
  <c r="N155" i="5079"/>
  <c r="N156" i="5079"/>
  <c r="N157" i="5079"/>
  <c r="N158" i="5079"/>
  <c r="N159" i="5079"/>
  <c r="N160" i="5079"/>
  <c r="N161" i="5079"/>
  <c r="N162" i="5079"/>
  <c r="N163" i="5079"/>
  <c r="N164" i="5079"/>
  <c r="N165" i="5079"/>
  <c r="N166" i="5079"/>
  <c r="N167" i="5079"/>
  <c r="N168" i="5079"/>
  <c r="N169" i="5079"/>
  <c r="N170" i="5079"/>
  <c r="N171" i="5079"/>
  <c r="N172" i="5079"/>
  <c r="N173" i="5079"/>
  <c r="N174" i="5079"/>
  <c r="N175" i="5079"/>
  <c r="N176" i="5079"/>
  <c r="N177" i="5079"/>
  <c r="N178" i="5079"/>
  <c r="N179" i="5079"/>
  <c r="N180" i="5079"/>
  <c r="N181" i="5079"/>
  <c r="N182" i="5079"/>
  <c r="N183" i="5079"/>
  <c r="N184" i="5079"/>
  <c r="N185" i="5079"/>
  <c r="N186" i="5079"/>
  <c r="N187" i="5079"/>
  <c r="N188" i="5079"/>
  <c r="N189" i="5079"/>
  <c r="N190" i="5079"/>
  <c r="N191" i="5079"/>
  <c r="N192" i="5079"/>
  <c r="N193" i="5079"/>
  <c r="N194" i="5079"/>
  <c r="N195" i="5079"/>
  <c r="N196" i="5079"/>
  <c r="N197" i="5079"/>
  <c r="N198" i="5079"/>
  <c r="N199" i="5079"/>
  <c r="N200" i="5079"/>
  <c r="N201" i="5079"/>
  <c r="N202" i="5079"/>
  <c r="N203" i="5079"/>
  <c r="N204" i="5079"/>
  <c r="N205" i="5079"/>
  <c r="N206" i="5079"/>
  <c r="N207" i="5079"/>
  <c r="N208" i="5079"/>
  <c r="N209" i="5079"/>
  <c r="N210" i="5079"/>
  <c r="N211" i="5079"/>
  <c r="N212" i="5079"/>
  <c r="N213" i="5079"/>
  <c r="N214" i="5079"/>
  <c r="N215" i="5079"/>
  <c r="N216" i="5079"/>
  <c r="N217" i="5079"/>
  <c r="N218" i="5079"/>
  <c r="N219" i="5079"/>
  <c r="N220" i="5079"/>
  <c r="N221" i="5079"/>
  <c r="N222" i="5079"/>
  <c r="N223" i="5079"/>
  <c r="N224" i="5079"/>
  <c r="N225" i="5079"/>
  <c r="N226" i="5079"/>
  <c r="N227" i="5079"/>
  <c r="N228" i="5079"/>
  <c r="N229" i="5079"/>
  <c r="N230" i="5079"/>
  <c r="N231" i="5079"/>
  <c r="N232" i="5079"/>
  <c r="N233" i="5079"/>
  <c r="N234" i="5079"/>
  <c r="N235" i="5079"/>
  <c r="N236" i="5079"/>
  <c r="N237" i="5079"/>
  <c r="N238" i="5079"/>
  <c r="N239" i="5079"/>
  <c r="N240" i="5079"/>
  <c r="N241" i="5079"/>
  <c r="N242" i="5079"/>
  <c r="N243" i="5079"/>
  <c r="N244" i="5079"/>
  <c r="N245" i="5079"/>
  <c r="N246" i="5079"/>
  <c r="N247" i="5079"/>
  <c r="N248" i="5079"/>
  <c r="N249" i="5079"/>
  <c r="N250" i="5079"/>
  <c r="N251" i="5079"/>
  <c r="N252" i="5079"/>
  <c r="N253" i="5079"/>
  <c r="N254" i="5079"/>
  <c r="N255" i="5079"/>
  <c r="N256" i="5079"/>
  <c r="N257" i="5079"/>
  <c r="N258" i="5079"/>
  <c r="N259" i="5079"/>
  <c r="N260" i="5079"/>
  <c r="N261" i="5079"/>
  <c r="N262" i="5079"/>
  <c r="N263" i="5079"/>
  <c r="N264" i="5079"/>
  <c r="N265" i="5079"/>
  <c r="N266" i="5079"/>
  <c r="N267" i="5079"/>
  <c r="N268" i="5079"/>
  <c r="N269" i="5079"/>
  <c r="N270" i="5079"/>
  <c r="N271" i="5079"/>
  <c r="N272" i="5079"/>
  <c r="N273" i="5079"/>
  <c r="N274" i="5079"/>
  <c r="N275" i="5079"/>
  <c r="N276" i="5079"/>
  <c r="N277" i="5079"/>
  <c r="N278" i="5079"/>
  <c r="N279" i="5079"/>
  <c r="N280" i="5079"/>
  <c r="N281" i="5079"/>
  <c r="N282" i="5079"/>
  <c r="N283" i="5079"/>
  <c r="N284" i="5079"/>
  <c r="N285" i="5079"/>
  <c r="N286" i="5079"/>
  <c r="N287" i="5079"/>
  <c r="N288" i="5079"/>
  <c r="N289" i="5079"/>
  <c r="N290" i="5079"/>
  <c r="N291" i="5079"/>
  <c r="N292" i="5079"/>
  <c r="N293" i="5079"/>
  <c r="N294" i="5079"/>
  <c r="N295" i="5079"/>
  <c r="N296" i="5079"/>
  <c r="N297" i="5079"/>
  <c r="N298" i="5079"/>
  <c r="N299" i="5079"/>
  <c r="N300" i="5079"/>
  <c r="N301" i="5079"/>
  <c r="N302" i="5079"/>
  <c r="N303" i="5079"/>
  <c r="N304" i="5079"/>
  <c r="N305" i="5079"/>
  <c r="N306" i="5079"/>
  <c r="N307" i="5079"/>
  <c r="N308" i="5079"/>
  <c r="N309" i="5079"/>
  <c r="N310" i="5079"/>
  <c r="N311" i="5079"/>
  <c r="N312" i="5079"/>
  <c r="N313" i="5079"/>
  <c r="N314" i="5079"/>
  <c r="N315" i="5079"/>
  <c r="N316" i="5079"/>
  <c r="N317" i="5079"/>
  <c r="N318" i="5079"/>
  <c r="N319" i="5079"/>
  <c r="N320" i="5079"/>
  <c r="N321" i="5079"/>
  <c r="N322" i="5079"/>
  <c r="N323" i="5079"/>
  <c r="N324" i="5079"/>
  <c r="N325" i="5079"/>
  <c r="N326" i="5079"/>
  <c r="N327" i="5079"/>
  <c r="N328" i="5079"/>
  <c r="N329" i="5079"/>
  <c r="N330" i="5079"/>
  <c r="N331" i="5079"/>
  <c r="N332" i="5079"/>
  <c r="N333" i="5079"/>
  <c r="N334" i="5079"/>
  <c r="N335" i="5079"/>
  <c r="N336" i="5079"/>
  <c r="N337" i="5079"/>
  <c r="N338" i="5079"/>
  <c r="N339" i="5079"/>
  <c r="N340" i="5079"/>
  <c r="N341" i="5079"/>
  <c r="N342" i="5079"/>
  <c r="N343" i="5079"/>
  <c r="N344" i="5079"/>
  <c r="N345" i="5079"/>
  <c r="N346" i="5079"/>
  <c r="N347" i="5079"/>
  <c r="N348" i="5079"/>
  <c r="N349" i="5079"/>
  <c r="N350" i="5079"/>
  <c r="N351" i="5079"/>
  <c r="N352" i="5079"/>
  <c r="N353" i="5079"/>
  <c r="N354" i="5079"/>
  <c r="N355" i="5079"/>
  <c r="N356" i="5079"/>
  <c r="N357" i="5079"/>
  <c r="N358" i="5079"/>
  <c r="N359" i="5079"/>
  <c r="N360" i="5079"/>
  <c r="N361" i="5079"/>
  <c r="N362" i="5079"/>
  <c r="N363" i="5079"/>
  <c r="N364" i="5079"/>
  <c r="N365" i="5079"/>
  <c r="N366" i="5079"/>
  <c r="N367" i="5079"/>
  <c r="N368" i="5079"/>
  <c r="N369" i="5079"/>
  <c r="N370" i="5079"/>
  <c r="N371" i="5079"/>
  <c r="N372" i="5079"/>
  <c r="N373" i="5079"/>
  <c r="N374" i="5079"/>
  <c r="N375" i="5079"/>
  <c r="N376" i="5079"/>
  <c r="N377" i="5079"/>
  <c r="N378" i="5079"/>
  <c r="N379" i="5079"/>
  <c r="N380" i="5079"/>
  <c r="N381" i="5079"/>
  <c r="N382" i="5079"/>
  <c r="N383" i="5079"/>
  <c r="N384" i="5079"/>
  <c r="N385" i="5079"/>
  <c r="N386" i="5079"/>
  <c r="N387" i="5079"/>
  <c r="N388" i="5079"/>
  <c r="N389" i="5079"/>
  <c r="N390" i="5079"/>
  <c r="N391" i="5079"/>
  <c r="N392" i="5079"/>
  <c r="N393" i="5079"/>
  <c r="N394" i="5079"/>
  <c r="N395" i="5079"/>
  <c r="N396" i="5079"/>
  <c r="N397" i="5079"/>
  <c r="N398" i="5079"/>
  <c r="N399" i="5079"/>
  <c r="N400" i="5079"/>
  <c r="N401" i="5079"/>
  <c r="N402" i="5079"/>
  <c r="N403" i="5079"/>
  <c r="N404" i="5079"/>
  <c r="N405" i="5079"/>
  <c r="N406" i="5079"/>
  <c r="N407" i="5079"/>
  <c r="N408" i="5079"/>
  <c r="N409" i="5079"/>
  <c r="N410" i="5079"/>
  <c r="N411" i="5079"/>
  <c r="N412" i="5079"/>
  <c r="N413" i="5079"/>
  <c r="N414" i="5079"/>
  <c r="N415" i="5079"/>
  <c r="N416" i="5079"/>
  <c r="N417" i="5079"/>
  <c r="N418" i="5079"/>
  <c r="N419" i="5079"/>
  <c r="N420" i="5079"/>
  <c r="N421" i="5079"/>
  <c r="N422" i="5079"/>
  <c r="N423" i="5079"/>
  <c r="N424" i="5079"/>
  <c r="N425" i="5079"/>
  <c r="N426" i="5079"/>
  <c r="N427" i="5079"/>
  <c r="N428" i="5079"/>
  <c r="N429" i="5079"/>
  <c r="N430" i="5079"/>
  <c r="N431" i="5079"/>
  <c r="N432" i="5079"/>
  <c r="N433" i="5079"/>
  <c r="N434" i="5079"/>
  <c r="N435" i="5079"/>
  <c r="N436" i="5079"/>
  <c r="N437" i="5079"/>
  <c r="N438" i="5079"/>
  <c r="N439" i="5079"/>
  <c r="N440" i="5079"/>
  <c r="N441" i="5079"/>
  <c r="N442" i="5079"/>
  <c r="N443" i="5079"/>
  <c r="N444" i="5079"/>
  <c r="N445" i="5079"/>
  <c r="N446" i="5079"/>
  <c r="N447" i="5079"/>
  <c r="N448" i="5079"/>
  <c r="N449" i="5079"/>
  <c r="N450" i="5079"/>
  <c r="N451" i="5079"/>
  <c r="N452" i="5079"/>
  <c r="N453" i="5079"/>
  <c r="N454" i="5079"/>
  <c r="N455" i="5079"/>
  <c r="N456" i="5079"/>
  <c r="N457" i="5079"/>
  <c r="N458" i="5079"/>
  <c r="N459" i="5079"/>
  <c r="N460" i="5079"/>
  <c r="N461" i="5079"/>
  <c r="N462" i="5079"/>
  <c r="N463" i="5079"/>
  <c r="N464" i="5079"/>
  <c r="N465" i="5079"/>
  <c r="N466" i="5079"/>
  <c r="N467" i="5079"/>
  <c r="N468" i="5079"/>
  <c r="N469" i="5079"/>
  <c r="N470" i="5079"/>
  <c r="N471" i="5079"/>
  <c r="N472" i="5079"/>
  <c r="N473" i="5079"/>
  <c r="N474" i="5079"/>
  <c r="N475" i="5079"/>
  <c r="N476" i="5079"/>
  <c r="N477" i="5079"/>
  <c r="N478" i="5079"/>
  <c r="N479" i="5079"/>
  <c r="N480" i="5079"/>
  <c r="N481" i="5079"/>
  <c r="N482" i="5079"/>
  <c r="N483" i="5079"/>
  <c r="N484" i="5079"/>
  <c r="N485" i="5079"/>
  <c r="N486" i="5079"/>
  <c r="N487" i="5079"/>
  <c r="N488" i="5079"/>
  <c r="N489" i="5079"/>
  <c r="N490" i="5079"/>
  <c r="N491" i="5079"/>
  <c r="N492" i="5079"/>
  <c r="N493" i="5079"/>
  <c r="N494" i="5079"/>
  <c r="N495" i="5079"/>
  <c r="N496" i="5079"/>
  <c r="N497" i="5079"/>
  <c r="N498" i="5079"/>
  <c r="N499" i="5079"/>
  <c r="N500" i="5079"/>
  <c r="N501" i="5079"/>
  <c r="N502" i="5079"/>
  <c r="N503" i="5079"/>
  <c r="N504" i="5079"/>
  <c r="N505" i="5079"/>
  <c r="N2" i="5078"/>
  <c r="N3" i="5078"/>
  <c r="N4" i="5078"/>
  <c r="N5" i="5078"/>
  <c r="N6" i="5078"/>
  <c r="N7" i="5078"/>
  <c r="N8" i="5078"/>
  <c r="N9" i="5078"/>
  <c r="N10" i="5078"/>
  <c r="N11" i="5078"/>
  <c r="N12" i="5078"/>
  <c r="N13" i="5078"/>
  <c r="N14" i="5078"/>
  <c r="N15" i="5078"/>
  <c r="N16" i="5078"/>
  <c r="N17" i="5078"/>
  <c r="N18" i="5078"/>
  <c r="N19" i="5078"/>
  <c r="N20" i="5078"/>
  <c r="N21" i="5078"/>
  <c r="N22" i="5078"/>
  <c r="N23" i="5078"/>
  <c r="N24" i="5078"/>
  <c r="N25" i="5078"/>
  <c r="N26" i="5078"/>
  <c r="N27" i="5078"/>
  <c r="N28" i="5078"/>
  <c r="N29" i="5078"/>
  <c r="N30" i="5078"/>
  <c r="N31" i="5078"/>
  <c r="N32" i="5078"/>
  <c r="N33" i="5078"/>
  <c r="N34" i="5078"/>
  <c r="N35" i="5078"/>
  <c r="N36" i="5078"/>
  <c r="N37" i="5078"/>
  <c r="N38" i="5078"/>
  <c r="N39" i="5078"/>
  <c r="N40" i="5078"/>
  <c r="N41" i="5078"/>
  <c r="N42" i="5078"/>
  <c r="N43" i="5078"/>
  <c r="N44" i="5078"/>
  <c r="N45" i="5078"/>
  <c r="N46" i="5078"/>
  <c r="N47" i="5078"/>
  <c r="N48" i="5078"/>
  <c r="N49" i="5078"/>
  <c r="N50" i="5078"/>
  <c r="N51" i="5078"/>
  <c r="N52" i="5078"/>
  <c r="N53" i="5078"/>
  <c r="N54" i="5078"/>
  <c r="N55" i="5078"/>
  <c r="N56" i="5078"/>
  <c r="N57" i="5078"/>
  <c r="N58" i="5078"/>
  <c r="N59" i="5078"/>
  <c r="N60" i="5078"/>
  <c r="N61" i="5078"/>
  <c r="N62" i="5078"/>
  <c r="N63" i="5078"/>
  <c r="N64" i="5078"/>
  <c r="N65" i="5078"/>
  <c r="N66" i="5078"/>
  <c r="N67" i="5078"/>
  <c r="N68" i="5078"/>
  <c r="N69" i="5078"/>
  <c r="N70" i="5078"/>
  <c r="N71" i="5078"/>
  <c r="N72" i="5078"/>
  <c r="N73" i="5078"/>
  <c r="N74" i="5078"/>
  <c r="N75" i="5078"/>
  <c r="N76" i="5078"/>
  <c r="N77" i="5078"/>
  <c r="N78" i="5078"/>
  <c r="N79" i="5078"/>
  <c r="N80" i="5078"/>
  <c r="N81" i="5078"/>
  <c r="N82" i="5078"/>
  <c r="N83" i="5078"/>
  <c r="N84" i="5078"/>
  <c r="N85" i="5078"/>
  <c r="N86" i="5078"/>
  <c r="N87" i="5078"/>
  <c r="N88" i="5078"/>
  <c r="N89" i="5078"/>
  <c r="N90" i="5078"/>
  <c r="N91" i="5078"/>
  <c r="N92" i="5078"/>
  <c r="N93" i="5078"/>
  <c r="N94" i="5078"/>
  <c r="N95" i="5078"/>
  <c r="N96" i="5078"/>
  <c r="N97" i="5078"/>
  <c r="N98" i="5078"/>
  <c r="N99" i="5078"/>
  <c r="N100" i="5078"/>
  <c r="N101" i="5078"/>
  <c r="N102" i="5078"/>
  <c r="N103" i="5078"/>
  <c r="N104" i="5078"/>
  <c r="N105" i="5078"/>
  <c r="N106" i="5078"/>
  <c r="N107" i="5078"/>
  <c r="N108" i="5078"/>
  <c r="N109" i="5078"/>
  <c r="N110" i="5078"/>
  <c r="N111" i="5078"/>
  <c r="N112" i="5078"/>
  <c r="N113" i="5078"/>
  <c r="N114" i="5078"/>
  <c r="N115" i="5078"/>
  <c r="N116" i="5078"/>
  <c r="N117" i="5078"/>
  <c r="N118" i="5078"/>
  <c r="N119" i="5078"/>
  <c r="N120" i="5078"/>
  <c r="N121" i="5078"/>
  <c r="N122" i="5078"/>
  <c r="N123" i="5078"/>
  <c r="N124" i="5078"/>
  <c r="N125" i="5078"/>
  <c r="N126" i="5078"/>
  <c r="N127" i="5078"/>
  <c r="N128" i="5078"/>
  <c r="N129" i="5078"/>
  <c r="N130" i="5078"/>
  <c r="N131" i="5078"/>
  <c r="N132" i="5078"/>
  <c r="N133" i="5078"/>
  <c r="N134" i="5078"/>
  <c r="N135" i="5078"/>
  <c r="N136" i="5078"/>
  <c r="N137" i="5078"/>
  <c r="N138" i="5078"/>
  <c r="N139" i="5078"/>
  <c r="N140" i="5078"/>
  <c r="N141" i="5078"/>
  <c r="N142" i="5078"/>
  <c r="N143" i="5078"/>
  <c r="N144" i="5078"/>
  <c r="N145" i="5078"/>
  <c r="N146" i="5078"/>
  <c r="N147" i="5078"/>
  <c r="N148" i="5078"/>
  <c r="N149" i="5078"/>
  <c r="N150" i="5078"/>
  <c r="N151" i="5078"/>
  <c r="N152" i="5078"/>
  <c r="N153" i="5078"/>
  <c r="N154" i="5078"/>
  <c r="N155" i="5078"/>
  <c r="N156" i="5078"/>
  <c r="N157" i="5078"/>
  <c r="N158" i="5078"/>
  <c r="N159" i="5078"/>
  <c r="N160" i="5078"/>
  <c r="N161" i="5078"/>
  <c r="N162" i="5078"/>
  <c r="N163" i="5078"/>
  <c r="N164" i="5078"/>
  <c r="N165" i="5078"/>
  <c r="N166" i="5078"/>
  <c r="N167" i="5078"/>
  <c r="N168" i="5078"/>
  <c r="N169" i="5078"/>
  <c r="N170" i="5078"/>
  <c r="N171" i="5078"/>
  <c r="N172" i="5078"/>
  <c r="N173" i="5078"/>
  <c r="N174" i="5078"/>
  <c r="N175" i="5078"/>
  <c r="N176" i="5078"/>
  <c r="N177" i="5078"/>
  <c r="N178" i="5078"/>
  <c r="N179" i="5078"/>
  <c r="N180" i="5078"/>
  <c r="N181" i="5078"/>
  <c r="N182" i="5078"/>
  <c r="N183" i="5078"/>
  <c r="N184" i="5078"/>
  <c r="N185" i="5078"/>
  <c r="N186" i="5078"/>
  <c r="N187" i="5078"/>
  <c r="N188" i="5078"/>
  <c r="N189" i="5078"/>
  <c r="N190" i="5078"/>
  <c r="N191" i="5078"/>
  <c r="N192" i="5078"/>
  <c r="N193" i="5078"/>
  <c r="N194" i="5078"/>
  <c r="N195" i="5078"/>
  <c r="N196" i="5078"/>
  <c r="N197" i="5078"/>
  <c r="N198" i="5078"/>
  <c r="N199" i="5078"/>
  <c r="N200" i="5078"/>
  <c r="N201" i="5078"/>
  <c r="N202" i="5078"/>
  <c r="N203" i="5078"/>
  <c r="N204" i="5078"/>
  <c r="N205" i="5078"/>
  <c r="N206" i="5078"/>
  <c r="N207" i="5078"/>
  <c r="N208" i="5078"/>
  <c r="N209" i="5078"/>
  <c r="N210" i="5078"/>
  <c r="N211" i="5078"/>
  <c r="N212" i="5078"/>
  <c r="N213" i="5078"/>
  <c r="N214" i="5078"/>
  <c r="N215" i="5078"/>
  <c r="N216" i="5078"/>
  <c r="N217" i="5078"/>
  <c r="N218" i="5078"/>
  <c r="N219" i="5078"/>
  <c r="N220" i="5078"/>
  <c r="N221" i="5078"/>
  <c r="N222" i="5078"/>
  <c r="N223" i="5078"/>
  <c r="N224" i="5078"/>
  <c r="N225" i="5078"/>
  <c r="N226" i="5078"/>
  <c r="N227" i="5078"/>
  <c r="N228" i="5078"/>
  <c r="N229" i="5078"/>
  <c r="N230" i="5078"/>
  <c r="N231" i="5078"/>
  <c r="N232" i="5078"/>
  <c r="N233" i="5078"/>
  <c r="N234" i="5078"/>
  <c r="N235" i="5078"/>
  <c r="N236" i="5078"/>
  <c r="N237" i="5078"/>
  <c r="N238" i="5078"/>
  <c r="N239" i="5078"/>
  <c r="N240" i="5078"/>
  <c r="N241" i="5078"/>
  <c r="N242" i="5078"/>
  <c r="N243" i="5078"/>
  <c r="N244" i="5078"/>
  <c r="N245" i="5078"/>
  <c r="N246" i="5078"/>
  <c r="N247" i="5078"/>
  <c r="N248" i="5078"/>
  <c r="N249" i="5078"/>
  <c r="N250" i="5078"/>
  <c r="N251" i="5078"/>
  <c r="N252" i="5078"/>
  <c r="N253" i="5078"/>
  <c r="N254" i="5078"/>
  <c r="N255" i="5078"/>
  <c r="N256" i="5078"/>
  <c r="N257" i="5078"/>
  <c r="N258" i="5078"/>
  <c r="N259" i="5078"/>
  <c r="N260" i="5078"/>
  <c r="N261" i="5078"/>
  <c r="N262" i="5078"/>
  <c r="N263" i="5078"/>
  <c r="N264" i="5078"/>
  <c r="N265" i="5078"/>
  <c r="N266" i="5078"/>
  <c r="N267" i="5078"/>
  <c r="N268" i="5078"/>
  <c r="N269" i="5078"/>
  <c r="N270" i="5078"/>
  <c r="N271" i="5078"/>
  <c r="N272" i="5078"/>
  <c r="N273" i="5078"/>
  <c r="N274" i="5078"/>
  <c r="N275" i="5078"/>
  <c r="N276" i="5078"/>
  <c r="N277" i="5078"/>
  <c r="N278" i="5078"/>
  <c r="N279" i="5078"/>
  <c r="N280" i="5078"/>
  <c r="N281" i="5078"/>
  <c r="N282" i="5078"/>
  <c r="N283" i="5078"/>
  <c r="N284" i="5078"/>
  <c r="N285" i="5078"/>
  <c r="N286" i="5078"/>
  <c r="N287" i="5078"/>
  <c r="N288" i="5078"/>
  <c r="N289" i="5078"/>
  <c r="N290" i="5078"/>
  <c r="N291" i="5078"/>
  <c r="N292" i="5078"/>
  <c r="N293" i="5078"/>
  <c r="N294" i="5078"/>
  <c r="N295" i="5078"/>
  <c r="N296" i="5078"/>
  <c r="N297" i="5078"/>
  <c r="N298" i="5078"/>
  <c r="N299" i="5078"/>
  <c r="N300" i="5078"/>
  <c r="N301" i="5078"/>
  <c r="N302" i="5078"/>
  <c r="N303" i="5078"/>
  <c r="N304" i="5078"/>
  <c r="N305" i="5078"/>
  <c r="N306" i="5078"/>
  <c r="N307" i="5078"/>
  <c r="N308" i="5078"/>
  <c r="N309" i="5078"/>
  <c r="N310" i="5078"/>
  <c r="N311" i="5078"/>
  <c r="N312" i="5078"/>
  <c r="N313" i="5078"/>
  <c r="N314" i="5078"/>
  <c r="N315" i="5078"/>
  <c r="N316" i="5078"/>
  <c r="N317" i="5078"/>
  <c r="N318" i="5078"/>
  <c r="N319" i="5078"/>
  <c r="N320" i="5078"/>
  <c r="N321" i="5078"/>
  <c r="N322" i="5078"/>
  <c r="N323" i="5078"/>
  <c r="N324" i="5078"/>
  <c r="N325" i="5078"/>
  <c r="N326" i="5078"/>
  <c r="N327" i="5078"/>
  <c r="N328" i="5078"/>
  <c r="N329" i="5078"/>
  <c r="N330" i="5078"/>
  <c r="N331" i="5078"/>
  <c r="N332" i="5078"/>
  <c r="N333" i="5078"/>
  <c r="N334" i="5078"/>
  <c r="N335" i="5078"/>
  <c r="N336" i="5078"/>
  <c r="N337" i="5078"/>
  <c r="N338" i="5078"/>
  <c r="N339" i="5078"/>
  <c r="N340" i="5078"/>
  <c r="N341" i="5078"/>
  <c r="N342" i="5078"/>
  <c r="N343" i="5078"/>
  <c r="N344" i="5078"/>
  <c r="N345" i="5078"/>
  <c r="N346" i="5078"/>
  <c r="N347" i="5078"/>
  <c r="N348" i="5078"/>
  <c r="N349" i="5078"/>
  <c r="N350" i="5078"/>
  <c r="N351" i="5078"/>
  <c r="N352" i="5078"/>
  <c r="N353" i="5078"/>
  <c r="N354" i="5078"/>
  <c r="N355" i="5078"/>
  <c r="N356" i="5078"/>
  <c r="N357" i="5078"/>
  <c r="N358" i="5078"/>
  <c r="N359" i="5078"/>
  <c r="N360" i="5078"/>
  <c r="N361" i="5078"/>
  <c r="N362" i="5078"/>
  <c r="N363" i="5078"/>
  <c r="N364" i="5078"/>
  <c r="N365" i="5078"/>
  <c r="N366" i="5078"/>
  <c r="N367" i="5078"/>
  <c r="N368" i="5078"/>
  <c r="N369" i="5078"/>
  <c r="N370" i="5078"/>
  <c r="N371" i="5078"/>
  <c r="N372" i="5078"/>
  <c r="N373" i="5078"/>
  <c r="N374" i="5078"/>
  <c r="N375" i="5078"/>
  <c r="N376" i="5078"/>
  <c r="N377" i="5078"/>
  <c r="N378" i="5078"/>
  <c r="N379" i="5078"/>
  <c r="N380" i="5078"/>
  <c r="N381" i="5078"/>
  <c r="N382" i="5078"/>
  <c r="N383" i="5078"/>
  <c r="N384" i="5078"/>
  <c r="N385" i="5078"/>
  <c r="N386" i="5078"/>
  <c r="N387" i="5078"/>
  <c r="N388" i="5078"/>
  <c r="N389" i="5078"/>
  <c r="N390" i="5078"/>
  <c r="N391" i="5078"/>
  <c r="N392" i="5078"/>
  <c r="N393" i="5078"/>
  <c r="N394" i="5078"/>
  <c r="N395" i="5078"/>
  <c r="N396" i="5078"/>
  <c r="N397" i="5078"/>
  <c r="N398" i="5078"/>
  <c r="N399" i="5078"/>
  <c r="N400" i="5078"/>
  <c r="N401" i="5078"/>
  <c r="N402" i="5078"/>
  <c r="N403" i="5078"/>
  <c r="N404" i="5078"/>
  <c r="N405" i="5078"/>
  <c r="N406" i="5078"/>
  <c r="N407" i="5078"/>
  <c r="N408" i="5078"/>
  <c r="N409" i="5078"/>
  <c r="N410" i="5078"/>
  <c r="N411" i="5078"/>
  <c r="N412" i="5078"/>
  <c r="N413" i="5078"/>
  <c r="N414" i="5078"/>
  <c r="N415" i="5078"/>
  <c r="N416" i="5078"/>
  <c r="N417" i="5078"/>
  <c r="N418" i="5078"/>
  <c r="N419" i="5078"/>
  <c r="N420" i="5078"/>
  <c r="N421" i="5078"/>
  <c r="N422" i="5078"/>
  <c r="N423" i="5078"/>
  <c r="N424" i="5078"/>
  <c r="N425" i="5078"/>
  <c r="N426" i="5078"/>
  <c r="N427" i="5078"/>
  <c r="N428" i="5078"/>
  <c r="N429" i="5078"/>
  <c r="N430" i="5078"/>
  <c r="N431" i="5078"/>
  <c r="N432" i="5078"/>
  <c r="N433" i="5078"/>
  <c r="N434" i="5078"/>
  <c r="N435" i="5078"/>
  <c r="N436" i="5078"/>
  <c r="N437" i="5078"/>
  <c r="N438" i="5078"/>
  <c r="N439" i="5078"/>
  <c r="N440" i="5078"/>
  <c r="N441" i="5078"/>
  <c r="N442" i="5078"/>
  <c r="N443" i="5078"/>
  <c r="N444" i="5078"/>
  <c r="N445" i="5078"/>
  <c r="N446" i="5078"/>
  <c r="N447" i="5078"/>
  <c r="N448" i="5078"/>
  <c r="N449" i="5078"/>
  <c r="N450" i="5078"/>
  <c r="N451" i="5078"/>
  <c r="N452" i="5078"/>
  <c r="N453" i="5078"/>
  <c r="N454" i="5078"/>
  <c r="N455" i="5078"/>
  <c r="N456" i="5078"/>
  <c r="N457" i="5078"/>
  <c r="N458" i="5078"/>
  <c r="N459" i="5078"/>
  <c r="N460" i="5078"/>
  <c r="N461" i="5078"/>
  <c r="N462" i="5078"/>
  <c r="N463" i="5078"/>
  <c r="N464" i="5078"/>
  <c r="N465" i="5078"/>
  <c r="N466" i="5078"/>
  <c r="N467" i="5078"/>
  <c r="N468" i="5078"/>
  <c r="N469" i="5078"/>
  <c r="N470" i="5078"/>
  <c r="N471" i="5078"/>
  <c r="N472" i="5078"/>
  <c r="N473" i="5078"/>
  <c r="N474" i="5078"/>
  <c r="N475" i="5078"/>
  <c r="N476" i="5078"/>
  <c r="N477" i="5078"/>
  <c r="N478" i="5078"/>
  <c r="N479" i="5078"/>
  <c r="N480" i="5078"/>
  <c r="N481" i="5078"/>
  <c r="N482" i="5078"/>
  <c r="N483" i="5078"/>
  <c r="N484" i="5078"/>
  <c r="N485" i="5078"/>
  <c r="N486" i="5078"/>
  <c r="N487" i="5078"/>
  <c r="N488" i="5078"/>
  <c r="N489" i="5078"/>
  <c r="N490" i="5078"/>
  <c r="N491" i="5078"/>
  <c r="N492" i="5078"/>
  <c r="N493" i="5078"/>
  <c r="N494" i="5078"/>
  <c r="N495" i="5078"/>
  <c r="N496" i="5078"/>
  <c r="N497" i="5078"/>
  <c r="N498" i="5078"/>
  <c r="N499" i="5078"/>
  <c r="N500" i="5078"/>
  <c r="N501" i="5078"/>
  <c r="N502" i="5078"/>
  <c r="N503" i="5078"/>
  <c r="N504" i="5078"/>
  <c r="N505" i="5078"/>
  <c r="M2" i="5083"/>
  <c r="M3" i="5083"/>
  <c r="M4" i="5083"/>
  <c r="M5" i="5083"/>
  <c r="M6" i="5083"/>
  <c r="M7" i="5083"/>
  <c r="M8" i="5083"/>
  <c r="M9" i="5083"/>
  <c r="M10" i="5083"/>
  <c r="M11" i="5083"/>
  <c r="M12" i="5083"/>
  <c r="M13" i="5083"/>
  <c r="M14" i="5083"/>
  <c r="M15" i="5083"/>
  <c r="M16" i="5083"/>
  <c r="M17" i="5083"/>
  <c r="M18" i="5083"/>
  <c r="M19" i="5083"/>
  <c r="M20" i="5083"/>
  <c r="M21" i="5083"/>
  <c r="M22" i="5083"/>
  <c r="M23" i="5083"/>
  <c r="M24" i="5083"/>
  <c r="M25" i="5083"/>
  <c r="M26" i="5083"/>
  <c r="M27" i="5083"/>
  <c r="M28" i="5083"/>
  <c r="M29" i="5083"/>
  <c r="M30" i="5083"/>
  <c r="M31" i="5083"/>
  <c r="M32" i="5083"/>
  <c r="M33" i="5083"/>
  <c r="M34" i="5083"/>
  <c r="M35" i="5083"/>
  <c r="M36" i="5083"/>
  <c r="M37" i="5083"/>
  <c r="M38" i="5083"/>
  <c r="M39" i="5083"/>
  <c r="M40" i="5083"/>
  <c r="M41" i="5083"/>
  <c r="M42" i="5083"/>
  <c r="M43" i="5083"/>
  <c r="M44" i="5083"/>
  <c r="M45" i="5083"/>
  <c r="M46" i="5083"/>
  <c r="M47" i="5083"/>
  <c r="M48" i="5083"/>
  <c r="M49" i="5083"/>
  <c r="M50" i="5083"/>
  <c r="M51" i="5083"/>
  <c r="M52" i="5083"/>
  <c r="M53" i="5083"/>
  <c r="M54" i="5083"/>
  <c r="M55" i="5083"/>
  <c r="M56" i="5083"/>
  <c r="M57" i="5083"/>
  <c r="M58" i="5083"/>
  <c r="M59" i="5083"/>
  <c r="M60" i="5083"/>
  <c r="M61" i="5083"/>
  <c r="M62" i="5083"/>
  <c r="M63" i="5083"/>
  <c r="M64" i="5083"/>
  <c r="M65" i="5083"/>
  <c r="M66" i="5083"/>
  <c r="M67" i="5083"/>
  <c r="M68" i="5083"/>
  <c r="M69" i="5083"/>
  <c r="M70" i="5083"/>
  <c r="M71" i="5083"/>
  <c r="M72" i="5083"/>
  <c r="M73" i="5083"/>
  <c r="M74" i="5083"/>
  <c r="M75" i="5083"/>
  <c r="M76" i="5083"/>
  <c r="M77" i="5083"/>
  <c r="M78" i="5083"/>
  <c r="M79" i="5083"/>
  <c r="M80" i="5083"/>
  <c r="M81" i="5083"/>
  <c r="M82" i="5083"/>
  <c r="M83" i="5083"/>
  <c r="M84" i="5083"/>
  <c r="M85" i="5083"/>
  <c r="M86" i="5083"/>
  <c r="M87" i="5083"/>
  <c r="M88" i="5083"/>
  <c r="M89" i="5083"/>
  <c r="M90" i="5083"/>
  <c r="M91" i="5083"/>
  <c r="M92" i="5083"/>
  <c r="M93" i="5083"/>
  <c r="M94" i="5083"/>
  <c r="M95" i="5083"/>
  <c r="M96" i="5083"/>
  <c r="M97" i="5083"/>
  <c r="M98" i="5083"/>
  <c r="M99" i="5083"/>
  <c r="M100" i="5083"/>
  <c r="M101" i="5083"/>
  <c r="M102" i="5083"/>
  <c r="M103" i="5083"/>
  <c r="M104" i="5083"/>
  <c r="M105" i="5083"/>
  <c r="M106" i="5083"/>
  <c r="M107" i="5083"/>
  <c r="M108" i="5083"/>
  <c r="M109" i="5083"/>
  <c r="M110" i="5083"/>
  <c r="M111" i="5083"/>
  <c r="M112" i="5083"/>
  <c r="M113" i="5083"/>
  <c r="M114" i="5083"/>
  <c r="M115" i="5083"/>
  <c r="M116" i="5083"/>
  <c r="M117" i="5083"/>
  <c r="M118" i="5083"/>
  <c r="M119" i="5083"/>
  <c r="M120" i="5083"/>
  <c r="M121" i="5083"/>
  <c r="M122" i="5083"/>
  <c r="M123" i="5083"/>
  <c r="M124" i="5083"/>
  <c r="M125" i="5083"/>
  <c r="M126" i="5083"/>
  <c r="M127" i="5083"/>
  <c r="M128" i="5083"/>
  <c r="M129" i="5083"/>
  <c r="M130" i="5083"/>
  <c r="M131" i="5083"/>
  <c r="M132" i="5083"/>
  <c r="M133" i="5083"/>
  <c r="M134" i="5083"/>
  <c r="M135" i="5083"/>
  <c r="M136" i="5083"/>
  <c r="M137" i="5083"/>
  <c r="M138" i="5083"/>
  <c r="M139" i="5083"/>
  <c r="M140" i="5083"/>
  <c r="M141" i="5083"/>
  <c r="M142" i="5083"/>
  <c r="M143" i="5083"/>
  <c r="M144" i="5083"/>
  <c r="M145" i="5083"/>
  <c r="M146" i="5083"/>
  <c r="M147" i="5083"/>
  <c r="M148" i="5083"/>
  <c r="M149" i="5083"/>
  <c r="M150" i="5083"/>
  <c r="M151" i="5083"/>
  <c r="M152" i="5083"/>
  <c r="M153" i="5083"/>
  <c r="M154" i="5083"/>
  <c r="M155" i="5083"/>
  <c r="M156" i="5083"/>
  <c r="M157" i="5083"/>
  <c r="M158" i="5083"/>
  <c r="M159" i="5083"/>
  <c r="M160" i="5083"/>
  <c r="M161" i="5083"/>
  <c r="M162" i="5083"/>
  <c r="M163" i="5083"/>
  <c r="M164" i="5083"/>
  <c r="M165" i="5083"/>
  <c r="M166" i="5083"/>
  <c r="M167" i="5083"/>
  <c r="M168" i="5083"/>
  <c r="M169" i="5083"/>
  <c r="M170" i="5083"/>
  <c r="M171" i="5083"/>
  <c r="M172" i="5083"/>
  <c r="M173" i="5083"/>
  <c r="M174" i="5083"/>
  <c r="M175" i="5083"/>
  <c r="M176" i="5083"/>
  <c r="M177" i="5083"/>
  <c r="M178" i="5083"/>
  <c r="M179" i="5083"/>
  <c r="M180" i="5083"/>
  <c r="M181" i="5083"/>
  <c r="M182" i="5083"/>
  <c r="M183" i="5083"/>
  <c r="M184" i="5083"/>
  <c r="M185" i="5083"/>
  <c r="M186" i="5083"/>
  <c r="M187" i="5083"/>
  <c r="M188" i="5083"/>
  <c r="M189" i="5083"/>
  <c r="M190" i="5083"/>
  <c r="M191" i="5083"/>
  <c r="M192" i="5083"/>
  <c r="M193" i="5083"/>
  <c r="M194" i="5083"/>
  <c r="M195" i="5083"/>
  <c r="M196" i="5083"/>
  <c r="M197" i="5083"/>
  <c r="M198" i="5083"/>
  <c r="M199" i="5083"/>
  <c r="M200" i="5083"/>
  <c r="M201" i="5083"/>
  <c r="M202" i="5083"/>
  <c r="M203" i="5083"/>
  <c r="M204" i="5083"/>
  <c r="M205" i="5083"/>
  <c r="M206" i="5083"/>
  <c r="M207" i="5083"/>
  <c r="M208" i="5083"/>
  <c r="M209" i="5083"/>
  <c r="M210" i="5083"/>
  <c r="M211" i="5083"/>
  <c r="M212" i="5083"/>
  <c r="M213" i="5083"/>
  <c r="M214" i="5083"/>
  <c r="M215" i="5083"/>
  <c r="M216" i="5083"/>
  <c r="M217" i="5083"/>
  <c r="M218" i="5083"/>
  <c r="M219" i="5083"/>
  <c r="M220" i="5083"/>
  <c r="M221" i="5083"/>
  <c r="M222" i="5083"/>
  <c r="M223" i="5083"/>
  <c r="M224" i="5083"/>
  <c r="M225" i="5083"/>
  <c r="M226" i="5083"/>
  <c r="M227" i="5083"/>
  <c r="M228" i="5083"/>
  <c r="M229" i="5083"/>
  <c r="M230" i="5083"/>
  <c r="M231" i="5083"/>
  <c r="M232" i="5083"/>
  <c r="M233" i="5083"/>
  <c r="M234" i="5083"/>
  <c r="M235" i="5083"/>
  <c r="M236" i="5083"/>
  <c r="M237" i="5083"/>
  <c r="M238" i="5083"/>
  <c r="M239" i="5083"/>
  <c r="M240" i="5083"/>
  <c r="M241" i="5083"/>
  <c r="M242" i="5083"/>
  <c r="M243" i="5083"/>
  <c r="M244" i="5083"/>
  <c r="M245" i="5083"/>
  <c r="M246" i="5083"/>
  <c r="M247" i="5083"/>
  <c r="M248" i="5083"/>
  <c r="M249" i="5083"/>
  <c r="M250" i="5083"/>
  <c r="M251" i="5083"/>
  <c r="M252" i="5083"/>
  <c r="M253" i="5083"/>
  <c r="M254" i="5083"/>
  <c r="M255" i="5083"/>
  <c r="M256" i="5083"/>
  <c r="M257" i="5083"/>
  <c r="M258" i="5083"/>
  <c r="M259" i="5083"/>
  <c r="M260" i="5083"/>
  <c r="M261" i="5083"/>
  <c r="M262" i="5083"/>
  <c r="M263" i="5083"/>
  <c r="M264" i="5083"/>
  <c r="M265" i="5083"/>
  <c r="M266" i="5083"/>
  <c r="M267" i="5083"/>
  <c r="M268" i="5083"/>
  <c r="M269" i="5083"/>
  <c r="M270" i="5083"/>
  <c r="M271" i="5083"/>
  <c r="M272" i="5083"/>
  <c r="M273" i="5083"/>
  <c r="M274" i="5083"/>
  <c r="M275" i="5083"/>
  <c r="M276" i="5083"/>
  <c r="M277" i="5083"/>
  <c r="M278" i="5083"/>
  <c r="M279" i="5083"/>
  <c r="M280" i="5083"/>
  <c r="M281" i="5083"/>
  <c r="M282" i="5083"/>
  <c r="M283" i="5083"/>
  <c r="M284" i="5083"/>
  <c r="M285" i="5083"/>
  <c r="M286" i="5083"/>
  <c r="M287" i="5083"/>
  <c r="M288" i="5083"/>
  <c r="M289" i="5083"/>
  <c r="M290" i="5083"/>
  <c r="M291" i="5083"/>
  <c r="M292" i="5083"/>
  <c r="M293" i="5083"/>
  <c r="M294" i="5083"/>
  <c r="M295" i="5083"/>
  <c r="M296" i="5083"/>
  <c r="M297" i="5083"/>
  <c r="M298" i="5083"/>
  <c r="M299" i="5083"/>
  <c r="M300" i="5083"/>
  <c r="M301" i="5083"/>
  <c r="M302" i="5083"/>
  <c r="M303" i="5083"/>
  <c r="M304" i="5083"/>
  <c r="M305" i="5083"/>
  <c r="M306" i="5083"/>
  <c r="M307" i="5083"/>
  <c r="M308" i="5083"/>
  <c r="M309" i="5083"/>
  <c r="M310" i="5083"/>
  <c r="M311" i="5083"/>
  <c r="M312" i="5083"/>
  <c r="M313" i="5083"/>
  <c r="M314" i="5083"/>
  <c r="M315" i="5083"/>
  <c r="M316" i="5083"/>
  <c r="M317" i="5083"/>
  <c r="M318" i="5083"/>
  <c r="M319" i="5083"/>
  <c r="M320" i="5083"/>
  <c r="M321" i="5083"/>
  <c r="M322" i="5083"/>
  <c r="M323" i="5083"/>
  <c r="M324" i="5083"/>
  <c r="M325" i="5083"/>
  <c r="M326" i="5083"/>
  <c r="M327" i="5083"/>
  <c r="M328" i="5083"/>
  <c r="M329" i="5083"/>
  <c r="M330" i="5083"/>
  <c r="M331" i="5083"/>
  <c r="M332" i="5083"/>
  <c r="M333" i="5083"/>
  <c r="M334" i="5083"/>
  <c r="M335" i="5083"/>
  <c r="M336" i="5083"/>
  <c r="M337" i="5083"/>
  <c r="M338" i="5083"/>
  <c r="M339" i="5083"/>
  <c r="M340" i="5083"/>
  <c r="M341" i="5083"/>
  <c r="M342" i="5083"/>
  <c r="M343" i="5083"/>
  <c r="M344" i="5083"/>
  <c r="M345" i="5083"/>
  <c r="M346" i="5083"/>
  <c r="M347" i="5083"/>
  <c r="M348" i="5083"/>
  <c r="M349" i="5083"/>
  <c r="M350" i="5083"/>
  <c r="M351" i="5083"/>
  <c r="M352" i="5083"/>
  <c r="M353" i="5083"/>
  <c r="M354" i="5083"/>
  <c r="M355" i="5083"/>
  <c r="M356" i="5083"/>
  <c r="M357" i="5083"/>
  <c r="M358" i="5083"/>
  <c r="M359" i="5083"/>
  <c r="M360" i="5083"/>
  <c r="M361" i="5083"/>
  <c r="M362" i="5083"/>
  <c r="M363" i="5083"/>
  <c r="M364" i="5083"/>
  <c r="M365" i="5083"/>
  <c r="M366" i="5083"/>
  <c r="M367" i="5083"/>
  <c r="M368" i="5083"/>
  <c r="M369" i="5083"/>
  <c r="M370" i="5083"/>
  <c r="M371" i="5083"/>
  <c r="M372" i="5083"/>
  <c r="M373" i="5083"/>
  <c r="M374" i="5083"/>
  <c r="M375" i="5083"/>
  <c r="M376" i="5083"/>
  <c r="M377" i="5083"/>
  <c r="M378" i="5083"/>
  <c r="M379" i="5083"/>
  <c r="M380" i="5083"/>
  <c r="M381" i="5083"/>
  <c r="M382" i="5083"/>
  <c r="M383" i="5083"/>
  <c r="M384" i="5083"/>
  <c r="M385" i="5083"/>
  <c r="M386" i="5083"/>
  <c r="M387" i="5083"/>
  <c r="M388" i="5083"/>
  <c r="M389" i="5083"/>
  <c r="M390" i="5083"/>
  <c r="M391" i="5083"/>
  <c r="M392" i="5083"/>
  <c r="M393" i="5083"/>
  <c r="M394" i="5083"/>
  <c r="M395" i="5083"/>
  <c r="M396" i="5083"/>
  <c r="M397" i="5083"/>
  <c r="M398" i="5083"/>
  <c r="M399" i="5083"/>
  <c r="M400" i="5083"/>
  <c r="M401" i="5083"/>
  <c r="M402" i="5083"/>
  <c r="M403" i="5083"/>
  <c r="M404" i="5083"/>
  <c r="M405" i="5083"/>
  <c r="M406" i="5083"/>
  <c r="M407" i="5083"/>
  <c r="M408" i="5083"/>
  <c r="M409" i="5083"/>
  <c r="M410" i="5083"/>
  <c r="M411" i="5083"/>
  <c r="M412" i="5083"/>
  <c r="M413" i="5083"/>
  <c r="M414" i="5083"/>
  <c r="M415" i="5083"/>
  <c r="M416" i="5083"/>
  <c r="M417" i="5083"/>
  <c r="M418" i="5083"/>
  <c r="M419" i="5083"/>
  <c r="M420" i="5083"/>
  <c r="M421" i="5083"/>
  <c r="M422" i="5083"/>
  <c r="M423" i="5083"/>
  <c r="M424" i="5083"/>
  <c r="M425" i="5083"/>
  <c r="M426" i="5083"/>
  <c r="M427" i="5083"/>
  <c r="M428" i="5083"/>
  <c r="M429" i="5083"/>
  <c r="M430" i="5083"/>
  <c r="M431" i="5083"/>
  <c r="M432" i="5083"/>
  <c r="M433" i="5083"/>
  <c r="M434" i="5083"/>
  <c r="M435" i="5083"/>
  <c r="M436" i="5083"/>
  <c r="M437" i="5083"/>
  <c r="M438" i="5083"/>
  <c r="M439" i="5083"/>
  <c r="M440" i="5083"/>
  <c r="M441" i="5083"/>
  <c r="M442" i="5083"/>
  <c r="M443" i="5083"/>
  <c r="M444" i="5083"/>
  <c r="M445" i="5083"/>
  <c r="M446" i="5083"/>
  <c r="M447" i="5083"/>
  <c r="M448" i="5083"/>
  <c r="M449" i="5083"/>
  <c r="M450" i="5083"/>
  <c r="M451" i="5083"/>
  <c r="M452" i="5083"/>
  <c r="M453" i="5083"/>
  <c r="M454" i="5083"/>
  <c r="M455" i="5083"/>
  <c r="M456" i="5083"/>
  <c r="M457" i="5083"/>
  <c r="M458" i="5083"/>
  <c r="M459" i="5083"/>
  <c r="M460" i="5083"/>
  <c r="M461" i="5083"/>
  <c r="M462" i="5083"/>
  <c r="M463" i="5083"/>
  <c r="M464" i="5083"/>
  <c r="M465" i="5083"/>
  <c r="M466" i="5083"/>
  <c r="M467" i="5083"/>
  <c r="M468" i="5083"/>
  <c r="M469" i="5083"/>
  <c r="M470" i="5083"/>
  <c r="M471" i="5083"/>
  <c r="M472" i="5083"/>
  <c r="M473" i="5083"/>
  <c r="M474" i="5083"/>
  <c r="M475" i="5083"/>
  <c r="M476" i="5083"/>
  <c r="M477" i="5083"/>
  <c r="M478" i="5083"/>
  <c r="M479" i="5083"/>
  <c r="M480" i="5083"/>
  <c r="M481" i="5083"/>
  <c r="M482" i="5083"/>
  <c r="M483" i="5083"/>
  <c r="M484" i="5083"/>
  <c r="M485" i="5083"/>
  <c r="M486" i="5083"/>
  <c r="M487" i="5083"/>
  <c r="M488" i="5083"/>
  <c r="M489" i="5083"/>
  <c r="M490" i="5083"/>
  <c r="M491" i="5083"/>
  <c r="M492" i="5083"/>
  <c r="M493" i="5083"/>
  <c r="M494" i="5083"/>
  <c r="M495" i="5083"/>
  <c r="M496" i="5083"/>
  <c r="M497" i="5083"/>
  <c r="M498" i="5083"/>
  <c r="M499" i="5083"/>
  <c r="M500" i="5083"/>
  <c r="M501" i="5083"/>
  <c r="M502" i="5083"/>
  <c r="M503" i="5083"/>
  <c r="M504" i="5083"/>
  <c r="M505" i="5083"/>
  <c r="M2" i="5082"/>
  <c r="M3" i="5082"/>
  <c r="M4" i="5082"/>
  <c r="M5" i="5082"/>
  <c r="M6" i="5082"/>
  <c r="M7" i="5082"/>
  <c r="M8" i="5082"/>
  <c r="M9" i="5082"/>
  <c r="M10" i="5082"/>
  <c r="M11" i="5082"/>
  <c r="M12" i="5082"/>
  <c r="M13" i="5082"/>
  <c r="M14" i="5082"/>
  <c r="M15" i="5082"/>
  <c r="M16" i="5082"/>
  <c r="M17" i="5082"/>
  <c r="M18" i="5082"/>
  <c r="M19" i="5082"/>
  <c r="M20" i="5082"/>
  <c r="M21" i="5082"/>
  <c r="M22" i="5082"/>
  <c r="M23" i="5082"/>
  <c r="M24" i="5082"/>
  <c r="M25" i="5082"/>
  <c r="M26" i="5082"/>
  <c r="M27" i="5082"/>
  <c r="M28" i="5082"/>
  <c r="M29" i="5082"/>
  <c r="M30" i="5082"/>
  <c r="M31" i="5082"/>
  <c r="M32" i="5082"/>
  <c r="M33" i="5082"/>
  <c r="M34" i="5082"/>
  <c r="M35" i="5082"/>
  <c r="M36" i="5082"/>
  <c r="M37" i="5082"/>
  <c r="M38" i="5082"/>
  <c r="M39" i="5082"/>
  <c r="M40" i="5082"/>
  <c r="M41" i="5082"/>
  <c r="M42" i="5082"/>
  <c r="M43" i="5082"/>
  <c r="M44" i="5082"/>
  <c r="M45" i="5082"/>
  <c r="M46" i="5082"/>
  <c r="M47" i="5082"/>
  <c r="M48" i="5082"/>
  <c r="M49" i="5082"/>
  <c r="M50" i="5082"/>
  <c r="M51" i="5082"/>
  <c r="M52" i="5082"/>
  <c r="M53" i="5082"/>
  <c r="M54" i="5082"/>
  <c r="M55" i="5082"/>
  <c r="M56" i="5082"/>
  <c r="M57" i="5082"/>
  <c r="M58" i="5082"/>
  <c r="M59" i="5082"/>
  <c r="M60" i="5082"/>
  <c r="M61" i="5082"/>
  <c r="M62" i="5082"/>
  <c r="M63" i="5082"/>
  <c r="M64" i="5082"/>
  <c r="M65" i="5082"/>
  <c r="M66" i="5082"/>
  <c r="M67" i="5082"/>
  <c r="M68" i="5082"/>
  <c r="M69" i="5082"/>
  <c r="M70" i="5082"/>
  <c r="M71" i="5082"/>
  <c r="M72" i="5082"/>
  <c r="M73" i="5082"/>
  <c r="M74" i="5082"/>
  <c r="M75" i="5082"/>
  <c r="M76" i="5082"/>
  <c r="M77" i="5082"/>
  <c r="M78" i="5082"/>
  <c r="M79" i="5082"/>
  <c r="M80" i="5082"/>
  <c r="M81" i="5082"/>
  <c r="M82" i="5082"/>
  <c r="M83" i="5082"/>
  <c r="M84" i="5082"/>
  <c r="M85" i="5082"/>
  <c r="M86" i="5082"/>
  <c r="M87" i="5082"/>
  <c r="M88" i="5082"/>
  <c r="M89" i="5082"/>
  <c r="M90" i="5082"/>
  <c r="M91" i="5082"/>
  <c r="M92" i="5082"/>
  <c r="M93" i="5082"/>
  <c r="M94" i="5082"/>
  <c r="M95" i="5082"/>
  <c r="M96" i="5082"/>
  <c r="M97" i="5082"/>
  <c r="M98" i="5082"/>
  <c r="M99" i="5082"/>
  <c r="M100" i="5082"/>
  <c r="M101" i="5082"/>
  <c r="M102" i="5082"/>
  <c r="M103" i="5082"/>
  <c r="M104" i="5082"/>
  <c r="M105" i="5082"/>
  <c r="M106" i="5082"/>
  <c r="M107" i="5082"/>
  <c r="M108" i="5082"/>
  <c r="M109" i="5082"/>
  <c r="M110" i="5082"/>
  <c r="M111" i="5082"/>
  <c r="M112" i="5082"/>
  <c r="M113" i="5082"/>
  <c r="M114" i="5082"/>
  <c r="M115" i="5082"/>
  <c r="M116" i="5082"/>
  <c r="M117" i="5082"/>
  <c r="M118" i="5082"/>
  <c r="M119" i="5082"/>
  <c r="M120" i="5082"/>
  <c r="M121" i="5082"/>
  <c r="M122" i="5082"/>
  <c r="M123" i="5082"/>
  <c r="M124" i="5082"/>
  <c r="M125" i="5082"/>
  <c r="M126" i="5082"/>
  <c r="M127" i="5082"/>
  <c r="M128" i="5082"/>
  <c r="M129" i="5082"/>
  <c r="M130" i="5082"/>
  <c r="M131" i="5082"/>
  <c r="M132" i="5082"/>
  <c r="M133" i="5082"/>
  <c r="M134" i="5082"/>
  <c r="M135" i="5082"/>
  <c r="M136" i="5082"/>
  <c r="M137" i="5082"/>
  <c r="M138" i="5082"/>
  <c r="M139" i="5082"/>
  <c r="M140" i="5082"/>
  <c r="M141" i="5082"/>
  <c r="M142" i="5082"/>
  <c r="M143" i="5082"/>
  <c r="M144" i="5082"/>
  <c r="M145" i="5082"/>
  <c r="M146" i="5082"/>
  <c r="M147" i="5082"/>
  <c r="M148" i="5082"/>
  <c r="M149" i="5082"/>
  <c r="M150" i="5082"/>
  <c r="M151" i="5082"/>
  <c r="M152" i="5082"/>
  <c r="M153" i="5082"/>
  <c r="M154" i="5082"/>
  <c r="M155" i="5082"/>
  <c r="M156" i="5082"/>
  <c r="M157" i="5082"/>
  <c r="M158" i="5082"/>
  <c r="M159" i="5082"/>
  <c r="M160" i="5082"/>
  <c r="M161" i="5082"/>
  <c r="M162" i="5082"/>
  <c r="M163" i="5082"/>
  <c r="M164" i="5082"/>
  <c r="M165" i="5082"/>
  <c r="M166" i="5082"/>
  <c r="M167" i="5082"/>
  <c r="M168" i="5082"/>
  <c r="M169" i="5082"/>
  <c r="M170" i="5082"/>
  <c r="M171" i="5082"/>
  <c r="M172" i="5082"/>
  <c r="M173" i="5082"/>
  <c r="M174" i="5082"/>
  <c r="M175" i="5082"/>
  <c r="M176" i="5082"/>
  <c r="M177" i="5082"/>
  <c r="M178" i="5082"/>
  <c r="M179" i="5082"/>
  <c r="M180" i="5082"/>
  <c r="M181" i="5082"/>
  <c r="M182" i="5082"/>
  <c r="M183" i="5082"/>
  <c r="M184" i="5082"/>
  <c r="M185" i="5082"/>
  <c r="M186" i="5082"/>
  <c r="M187" i="5082"/>
  <c r="M188" i="5082"/>
  <c r="M189" i="5082"/>
  <c r="M190" i="5082"/>
  <c r="M191" i="5082"/>
  <c r="M192" i="5082"/>
  <c r="M193" i="5082"/>
  <c r="M194" i="5082"/>
  <c r="M195" i="5082"/>
  <c r="M196" i="5082"/>
  <c r="M197" i="5082"/>
  <c r="M198" i="5082"/>
  <c r="M199" i="5082"/>
  <c r="M200" i="5082"/>
  <c r="M201" i="5082"/>
  <c r="M202" i="5082"/>
  <c r="M203" i="5082"/>
  <c r="M204" i="5082"/>
  <c r="M205" i="5082"/>
  <c r="M206" i="5082"/>
  <c r="M207" i="5082"/>
  <c r="M208" i="5082"/>
  <c r="M209" i="5082"/>
  <c r="M210" i="5082"/>
  <c r="M211" i="5082"/>
  <c r="M212" i="5082"/>
  <c r="M213" i="5082"/>
  <c r="M214" i="5082"/>
  <c r="M215" i="5082"/>
  <c r="M216" i="5082"/>
  <c r="M217" i="5082"/>
  <c r="M218" i="5082"/>
  <c r="M219" i="5082"/>
  <c r="M220" i="5082"/>
  <c r="M221" i="5082"/>
  <c r="M222" i="5082"/>
  <c r="M223" i="5082"/>
  <c r="M224" i="5082"/>
  <c r="M225" i="5082"/>
  <c r="M226" i="5082"/>
  <c r="M227" i="5082"/>
  <c r="M228" i="5082"/>
  <c r="M229" i="5082"/>
  <c r="M230" i="5082"/>
  <c r="M231" i="5082"/>
  <c r="M232" i="5082"/>
  <c r="M233" i="5082"/>
  <c r="M234" i="5082"/>
  <c r="M235" i="5082"/>
  <c r="M236" i="5082"/>
  <c r="M237" i="5082"/>
  <c r="M238" i="5082"/>
  <c r="M239" i="5082"/>
  <c r="M240" i="5082"/>
  <c r="M241" i="5082"/>
  <c r="M242" i="5082"/>
  <c r="M243" i="5082"/>
  <c r="M244" i="5082"/>
  <c r="M245" i="5082"/>
  <c r="M246" i="5082"/>
  <c r="M247" i="5082"/>
  <c r="M248" i="5082"/>
  <c r="M249" i="5082"/>
  <c r="M250" i="5082"/>
  <c r="M251" i="5082"/>
  <c r="M252" i="5082"/>
  <c r="M253" i="5082"/>
  <c r="M254" i="5082"/>
  <c r="M255" i="5082"/>
  <c r="M256" i="5082"/>
  <c r="M257" i="5082"/>
  <c r="M258" i="5082"/>
  <c r="M259" i="5082"/>
  <c r="M260" i="5082"/>
  <c r="M261" i="5082"/>
  <c r="M262" i="5082"/>
  <c r="M263" i="5082"/>
  <c r="M264" i="5082"/>
  <c r="M265" i="5082"/>
  <c r="M266" i="5082"/>
  <c r="M267" i="5082"/>
  <c r="M268" i="5082"/>
  <c r="M269" i="5082"/>
  <c r="M270" i="5082"/>
  <c r="M271" i="5082"/>
  <c r="M272" i="5082"/>
  <c r="M273" i="5082"/>
  <c r="M274" i="5082"/>
  <c r="M275" i="5082"/>
  <c r="M276" i="5082"/>
  <c r="M277" i="5082"/>
  <c r="M278" i="5082"/>
  <c r="M279" i="5082"/>
  <c r="M280" i="5082"/>
  <c r="M281" i="5082"/>
  <c r="M282" i="5082"/>
  <c r="M283" i="5082"/>
  <c r="M284" i="5082"/>
  <c r="M285" i="5082"/>
  <c r="M286" i="5082"/>
  <c r="M287" i="5082"/>
  <c r="M288" i="5082"/>
  <c r="M289" i="5082"/>
  <c r="M290" i="5082"/>
  <c r="M291" i="5082"/>
  <c r="M292" i="5082"/>
  <c r="M293" i="5082"/>
  <c r="M294" i="5082"/>
  <c r="M295" i="5082"/>
  <c r="M296" i="5082"/>
  <c r="M297" i="5082"/>
  <c r="M298" i="5082"/>
  <c r="M299" i="5082"/>
  <c r="M300" i="5082"/>
  <c r="M301" i="5082"/>
  <c r="M302" i="5082"/>
  <c r="M303" i="5082"/>
  <c r="M304" i="5082"/>
  <c r="M305" i="5082"/>
  <c r="M306" i="5082"/>
  <c r="M307" i="5082"/>
  <c r="M308" i="5082"/>
  <c r="M309" i="5082"/>
  <c r="M310" i="5082"/>
  <c r="M311" i="5082"/>
  <c r="M312" i="5082"/>
  <c r="M313" i="5082"/>
  <c r="M314" i="5082"/>
  <c r="M315" i="5082"/>
  <c r="M316" i="5082"/>
  <c r="M317" i="5082"/>
  <c r="M318" i="5082"/>
  <c r="M319" i="5082"/>
  <c r="M320" i="5082"/>
  <c r="M321" i="5082"/>
  <c r="M322" i="5082"/>
  <c r="M323" i="5082"/>
  <c r="M324" i="5082"/>
  <c r="M325" i="5082"/>
  <c r="M326" i="5082"/>
  <c r="M327" i="5082"/>
  <c r="M328" i="5082"/>
  <c r="M329" i="5082"/>
  <c r="M330" i="5082"/>
  <c r="M331" i="5082"/>
  <c r="M332" i="5082"/>
  <c r="M333" i="5082"/>
  <c r="M334" i="5082"/>
  <c r="M335" i="5082"/>
  <c r="M336" i="5082"/>
  <c r="M337" i="5082"/>
  <c r="M338" i="5082"/>
  <c r="M339" i="5082"/>
  <c r="M340" i="5082"/>
  <c r="M341" i="5082"/>
  <c r="M342" i="5082"/>
  <c r="M343" i="5082"/>
  <c r="M344" i="5082"/>
  <c r="M345" i="5082"/>
  <c r="M346" i="5082"/>
  <c r="M347" i="5082"/>
  <c r="M348" i="5082"/>
  <c r="M349" i="5082"/>
  <c r="M350" i="5082"/>
  <c r="M351" i="5082"/>
  <c r="M352" i="5082"/>
  <c r="M353" i="5082"/>
  <c r="M354" i="5082"/>
  <c r="M355" i="5082"/>
  <c r="M356" i="5082"/>
  <c r="M357" i="5082"/>
  <c r="M358" i="5082"/>
  <c r="M359" i="5082"/>
  <c r="M360" i="5082"/>
  <c r="M361" i="5082"/>
  <c r="M362" i="5082"/>
  <c r="M363" i="5082"/>
  <c r="M364" i="5082"/>
  <c r="M365" i="5082"/>
  <c r="M366" i="5082"/>
  <c r="M367" i="5082"/>
  <c r="M368" i="5082"/>
  <c r="M369" i="5082"/>
  <c r="M370" i="5082"/>
  <c r="M371" i="5082"/>
  <c r="M372" i="5082"/>
  <c r="M373" i="5082"/>
  <c r="M374" i="5082"/>
  <c r="M375" i="5082"/>
  <c r="M376" i="5082"/>
  <c r="M377" i="5082"/>
  <c r="M378" i="5082"/>
  <c r="M379" i="5082"/>
  <c r="M380" i="5082"/>
  <c r="M381" i="5082"/>
  <c r="M382" i="5082"/>
  <c r="M383" i="5082"/>
  <c r="M384" i="5082"/>
  <c r="M385" i="5082"/>
  <c r="M386" i="5082"/>
  <c r="M387" i="5082"/>
  <c r="M388" i="5082"/>
  <c r="M389" i="5082"/>
  <c r="M390" i="5082"/>
  <c r="M391" i="5082"/>
  <c r="M392" i="5082"/>
  <c r="M393" i="5082"/>
  <c r="M394" i="5082"/>
  <c r="M395" i="5082"/>
  <c r="M396" i="5082"/>
  <c r="M397" i="5082"/>
  <c r="M398" i="5082"/>
  <c r="M399" i="5082"/>
  <c r="M400" i="5082"/>
  <c r="M401" i="5082"/>
  <c r="M402" i="5082"/>
  <c r="M403" i="5082"/>
  <c r="M404" i="5082"/>
  <c r="M405" i="5082"/>
  <c r="M406" i="5082"/>
  <c r="M407" i="5082"/>
  <c r="M408" i="5082"/>
  <c r="M409" i="5082"/>
  <c r="M410" i="5082"/>
  <c r="M411" i="5082"/>
  <c r="M412" i="5082"/>
  <c r="M413" i="5082"/>
  <c r="M414" i="5082"/>
  <c r="M415" i="5082"/>
  <c r="M416" i="5082"/>
  <c r="M417" i="5082"/>
  <c r="M418" i="5082"/>
  <c r="M419" i="5082"/>
  <c r="M420" i="5082"/>
  <c r="M421" i="5082"/>
  <c r="M422" i="5082"/>
  <c r="M423" i="5082"/>
  <c r="M424" i="5082"/>
  <c r="M425" i="5082"/>
  <c r="M426" i="5082"/>
  <c r="M427" i="5082"/>
  <c r="M428" i="5082"/>
  <c r="M429" i="5082"/>
  <c r="M430" i="5082"/>
  <c r="M431" i="5082"/>
  <c r="M432" i="5082"/>
  <c r="M433" i="5082"/>
  <c r="M434" i="5082"/>
  <c r="M435" i="5082"/>
  <c r="M436" i="5082"/>
  <c r="M437" i="5082"/>
  <c r="M438" i="5082"/>
  <c r="M439" i="5082"/>
  <c r="M440" i="5082"/>
  <c r="M441" i="5082"/>
  <c r="M442" i="5082"/>
  <c r="M443" i="5082"/>
  <c r="M444" i="5082"/>
  <c r="M445" i="5082"/>
  <c r="M446" i="5082"/>
  <c r="M447" i="5082"/>
  <c r="M448" i="5082"/>
  <c r="M449" i="5082"/>
  <c r="M450" i="5082"/>
  <c r="M451" i="5082"/>
  <c r="M452" i="5082"/>
  <c r="M453" i="5082"/>
  <c r="M454" i="5082"/>
  <c r="M455" i="5082"/>
  <c r="M456" i="5082"/>
  <c r="M457" i="5082"/>
  <c r="M458" i="5082"/>
  <c r="M459" i="5082"/>
  <c r="M460" i="5082"/>
  <c r="M461" i="5082"/>
  <c r="M462" i="5082"/>
  <c r="M463" i="5082"/>
  <c r="M464" i="5082"/>
  <c r="M465" i="5082"/>
  <c r="M466" i="5082"/>
  <c r="M467" i="5082"/>
  <c r="M468" i="5082"/>
  <c r="M469" i="5082"/>
  <c r="M470" i="5082"/>
  <c r="M471" i="5082"/>
  <c r="M472" i="5082"/>
  <c r="M473" i="5082"/>
  <c r="M474" i="5082"/>
  <c r="M475" i="5082"/>
  <c r="M476" i="5082"/>
  <c r="M477" i="5082"/>
  <c r="M478" i="5082"/>
  <c r="M479" i="5082"/>
  <c r="M480" i="5082"/>
  <c r="M481" i="5082"/>
  <c r="M482" i="5082"/>
  <c r="M483" i="5082"/>
  <c r="M484" i="5082"/>
  <c r="M485" i="5082"/>
  <c r="M486" i="5082"/>
  <c r="M487" i="5082"/>
  <c r="M488" i="5082"/>
  <c r="M489" i="5082"/>
  <c r="M490" i="5082"/>
  <c r="M491" i="5082"/>
  <c r="M492" i="5082"/>
  <c r="M493" i="5082"/>
  <c r="M494" i="5082"/>
  <c r="M495" i="5082"/>
  <c r="M496" i="5082"/>
  <c r="M497" i="5082"/>
  <c r="M498" i="5082"/>
  <c r="M499" i="5082"/>
  <c r="M500" i="5082"/>
  <c r="M501" i="5082"/>
  <c r="M502" i="5082"/>
  <c r="M503" i="5082"/>
  <c r="M504" i="5082"/>
  <c r="M505" i="5082"/>
  <c r="M2" i="5081"/>
  <c r="M3" i="5081"/>
  <c r="M4" i="5081"/>
  <c r="M5" i="5081"/>
  <c r="M6" i="5081"/>
  <c r="M7" i="5081"/>
  <c r="M8" i="5081"/>
  <c r="M9" i="5081"/>
  <c r="M10" i="5081"/>
  <c r="M11" i="5081"/>
  <c r="M12" i="5081"/>
  <c r="M13" i="5081"/>
  <c r="M14" i="5081"/>
  <c r="M15" i="5081"/>
  <c r="M16" i="5081"/>
  <c r="M17" i="5081"/>
  <c r="M18" i="5081"/>
  <c r="M19" i="5081"/>
  <c r="M20" i="5081"/>
  <c r="M21" i="5081"/>
  <c r="M22" i="5081"/>
  <c r="M23" i="5081"/>
  <c r="M24" i="5081"/>
  <c r="M25" i="5081"/>
  <c r="M26" i="5081"/>
  <c r="M27" i="5081"/>
  <c r="M28" i="5081"/>
  <c r="M29" i="5081"/>
  <c r="M30" i="5081"/>
  <c r="M31" i="5081"/>
  <c r="M32" i="5081"/>
  <c r="M33" i="5081"/>
  <c r="M34" i="5081"/>
  <c r="M35" i="5081"/>
  <c r="M36" i="5081"/>
  <c r="M37" i="5081"/>
  <c r="M38" i="5081"/>
  <c r="M39" i="5081"/>
  <c r="M40" i="5081"/>
  <c r="M41" i="5081"/>
  <c r="M42" i="5081"/>
  <c r="M43" i="5081"/>
  <c r="M44" i="5081"/>
  <c r="M45" i="5081"/>
  <c r="M46" i="5081"/>
  <c r="M47" i="5081"/>
  <c r="M48" i="5081"/>
  <c r="M49" i="5081"/>
  <c r="M50" i="5081"/>
  <c r="M51" i="5081"/>
  <c r="M52" i="5081"/>
  <c r="M53" i="5081"/>
  <c r="M54" i="5081"/>
  <c r="M55" i="5081"/>
  <c r="M56" i="5081"/>
  <c r="M57" i="5081"/>
  <c r="M58" i="5081"/>
  <c r="M59" i="5081"/>
  <c r="M60" i="5081"/>
  <c r="M61" i="5081"/>
  <c r="M62" i="5081"/>
  <c r="M63" i="5081"/>
  <c r="M64" i="5081"/>
  <c r="M65" i="5081"/>
  <c r="M66" i="5081"/>
  <c r="M67" i="5081"/>
  <c r="M68" i="5081"/>
  <c r="M69" i="5081"/>
  <c r="M70" i="5081"/>
  <c r="M71" i="5081"/>
  <c r="M72" i="5081"/>
  <c r="M73" i="5081"/>
  <c r="M74" i="5081"/>
  <c r="M75" i="5081"/>
  <c r="M76" i="5081"/>
  <c r="M77" i="5081"/>
  <c r="M78" i="5081"/>
  <c r="M79" i="5081"/>
  <c r="M80" i="5081"/>
  <c r="M81" i="5081"/>
  <c r="M82" i="5081"/>
  <c r="M83" i="5081"/>
  <c r="M84" i="5081"/>
  <c r="M85" i="5081"/>
  <c r="M86" i="5081"/>
  <c r="M87" i="5081"/>
  <c r="M88" i="5081"/>
  <c r="M89" i="5081"/>
  <c r="M90" i="5081"/>
  <c r="M91" i="5081"/>
  <c r="M92" i="5081"/>
  <c r="M93" i="5081"/>
  <c r="M94" i="5081"/>
  <c r="M95" i="5081"/>
  <c r="M96" i="5081"/>
  <c r="M97" i="5081"/>
  <c r="M98" i="5081"/>
  <c r="M99" i="5081"/>
  <c r="M100" i="5081"/>
  <c r="M101" i="5081"/>
  <c r="M102" i="5081"/>
  <c r="M103" i="5081"/>
  <c r="M104" i="5081"/>
  <c r="M105" i="5081"/>
  <c r="M106" i="5081"/>
  <c r="M107" i="5081"/>
  <c r="M108" i="5081"/>
  <c r="M109" i="5081"/>
  <c r="M110" i="5081"/>
  <c r="M111" i="5081"/>
  <c r="M112" i="5081"/>
  <c r="M113" i="5081"/>
  <c r="M114" i="5081"/>
  <c r="M115" i="5081"/>
  <c r="M116" i="5081"/>
  <c r="M117" i="5081"/>
  <c r="M118" i="5081"/>
  <c r="M119" i="5081"/>
  <c r="M120" i="5081"/>
  <c r="M121" i="5081"/>
  <c r="M122" i="5081"/>
  <c r="M123" i="5081"/>
  <c r="M124" i="5081"/>
  <c r="M125" i="5081"/>
  <c r="M126" i="5081"/>
  <c r="M127" i="5081"/>
  <c r="M128" i="5081"/>
  <c r="M129" i="5081"/>
  <c r="M130" i="5081"/>
  <c r="M131" i="5081"/>
  <c r="M132" i="5081"/>
  <c r="M133" i="5081"/>
  <c r="M134" i="5081"/>
  <c r="M135" i="5081"/>
  <c r="M136" i="5081"/>
  <c r="M137" i="5081"/>
  <c r="M138" i="5081"/>
  <c r="M139" i="5081"/>
  <c r="M140" i="5081"/>
  <c r="M141" i="5081"/>
  <c r="M142" i="5081"/>
  <c r="M143" i="5081"/>
  <c r="M144" i="5081"/>
  <c r="M145" i="5081"/>
  <c r="M146" i="5081"/>
  <c r="M147" i="5081"/>
  <c r="M148" i="5081"/>
  <c r="M149" i="5081"/>
  <c r="M150" i="5081"/>
  <c r="M151" i="5081"/>
  <c r="M152" i="5081"/>
  <c r="M153" i="5081"/>
  <c r="M154" i="5081"/>
  <c r="M155" i="5081"/>
  <c r="M156" i="5081"/>
  <c r="M157" i="5081"/>
  <c r="M158" i="5081"/>
  <c r="M159" i="5081"/>
  <c r="M160" i="5081"/>
  <c r="M161" i="5081"/>
  <c r="M162" i="5081"/>
  <c r="M163" i="5081"/>
  <c r="M164" i="5081"/>
  <c r="M165" i="5081"/>
  <c r="M166" i="5081"/>
  <c r="M167" i="5081"/>
  <c r="M168" i="5081"/>
  <c r="M169" i="5081"/>
  <c r="M170" i="5081"/>
  <c r="M171" i="5081"/>
  <c r="M172" i="5081"/>
  <c r="M173" i="5081"/>
  <c r="M174" i="5081"/>
  <c r="M175" i="5081"/>
  <c r="M176" i="5081"/>
  <c r="M177" i="5081"/>
  <c r="M178" i="5081"/>
  <c r="M179" i="5081"/>
  <c r="M180" i="5081"/>
  <c r="M181" i="5081"/>
  <c r="M182" i="5081"/>
  <c r="M183" i="5081"/>
  <c r="M184" i="5081"/>
  <c r="M185" i="5081"/>
  <c r="M186" i="5081"/>
  <c r="M187" i="5081"/>
  <c r="M188" i="5081"/>
  <c r="M189" i="5081"/>
  <c r="M190" i="5081"/>
  <c r="M191" i="5081"/>
  <c r="M192" i="5081"/>
  <c r="M193" i="5081"/>
  <c r="M194" i="5081"/>
  <c r="M195" i="5081"/>
  <c r="M196" i="5081"/>
  <c r="M197" i="5081"/>
  <c r="M198" i="5081"/>
  <c r="M199" i="5081"/>
  <c r="M200" i="5081"/>
  <c r="M201" i="5081"/>
  <c r="M202" i="5081"/>
  <c r="M203" i="5081"/>
  <c r="M204" i="5081"/>
  <c r="M205" i="5081"/>
  <c r="M206" i="5081"/>
  <c r="M207" i="5081"/>
  <c r="M208" i="5081"/>
  <c r="M209" i="5081"/>
  <c r="M210" i="5081"/>
  <c r="M211" i="5081"/>
  <c r="M212" i="5081"/>
  <c r="M213" i="5081"/>
  <c r="M214" i="5081"/>
  <c r="M215" i="5081"/>
  <c r="M216" i="5081"/>
  <c r="M217" i="5081"/>
  <c r="M218" i="5081"/>
  <c r="M219" i="5081"/>
  <c r="M220" i="5081"/>
  <c r="M221" i="5081"/>
  <c r="M222" i="5081"/>
  <c r="M223" i="5081"/>
  <c r="M224" i="5081"/>
  <c r="M225" i="5081"/>
  <c r="M226" i="5081"/>
  <c r="M227" i="5081"/>
  <c r="M228" i="5081"/>
  <c r="M229" i="5081"/>
  <c r="M230" i="5081"/>
  <c r="M231" i="5081"/>
  <c r="M232" i="5081"/>
  <c r="M233" i="5081"/>
  <c r="M234" i="5081"/>
  <c r="M235" i="5081"/>
  <c r="M236" i="5081"/>
  <c r="M237" i="5081"/>
  <c r="M238" i="5081"/>
  <c r="M239" i="5081"/>
  <c r="M240" i="5081"/>
  <c r="M241" i="5081"/>
  <c r="M242" i="5081"/>
  <c r="M243" i="5081"/>
  <c r="M244" i="5081"/>
  <c r="M245" i="5081"/>
  <c r="M246" i="5081"/>
  <c r="M247" i="5081"/>
  <c r="M248" i="5081"/>
  <c r="M249" i="5081"/>
  <c r="M250" i="5081"/>
  <c r="M251" i="5081"/>
  <c r="M252" i="5081"/>
  <c r="M253" i="5081"/>
  <c r="M254" i="5081"/>
  <c r="M255" i="5081"/>
  <c r="M256" i="5081"/>
  <c r="M257" i="5081"/>
  <c r="M258" i="5081"/>
  <c r="M259" i="5081"/>
  <c r="M260" i="5081"/>
  <c r="M261" i="5081"/>
  <c r="M262" i="5081"/>
  <c r="M263" i="5081"/>
  <c r="M264" i="5081"/>
  <c r="M265" i="5081"/>
  <c r="M266" i="5081"/>
  <c r="M267" i="5081"/>
  <c r="M268" i="5081"/>
  <c r="M269" i="5081"/>
  <c r="M270" i="5081"/>
  <c r="M271" i="5081"/>
  <c r="M272" i="5081"/>
  <c r="M273" i="5081"/>
  <c r="M274" i="5081"/>
  <c r="M275" i="5081"/>
  <c r="M276" i="5081"/>
  <c r="M277" i="5081"/>
  <c r="M278" i="5081"/>
  <c r="M279" i="5081"/>
  <c r="M280" i="5081"/>
  <c r="M281" i="5081"/>
  <c r="M282" i="5081"/>
  <c r="M283" i="5081"/>
  <c r="M284" i="5081"/>
  <c r="M285" i="5081"/>
  <c r="M286" i="5081"/>
  <c r="M287" i="5081"/>
  <c r="M288" i="5081"/>
  <c r="M289" i="5081"/>
  <c r="M290" i="5081"/>
  <c r="M291" i="5081"/>
  <c r="M292" i="5081"/>
  <c r="M293" i="5081"/>
  <c r="M294" i="5081"/>
  <c r="M295" i="5081"/>
  <c r="M296" i="5081"/>
  <c r="M297" i="5081"/>
  <c r="M298" i="5081"/>
  <c r="M299" i="5081"/>
  <c r="M300" i="5081"/>
  <c r="M301" i="5081"/>
  <c r="M302" i="5081"/>
  <c r="M303" i="5081"/>
  <c r="M304" i="5081"/>
  <c r="M305" i="5081"/>
  <c r="M306" i="5081"/>
  <c r="M307" i="5081"/>
  <c r="M308" i="5081"/>
  <c r="M309" i="5081"/>
  <c r="M310" i="5081"/>
  <c r="M311" i="5081"/>
  <c r="M312" i="5081"/>
  <c r="M313" i="5081"/>
  <c r="M314" i="5081"/>
  <c r="M315" i="5081"/>
  <c r="M316" i="5081"/>
  <c r="M317" i="5081"/>
  <c r="M318" i="5081"/>
  <c r="M319" i="5081"/>
  <c r="M320" i="5081"/>
  <c r="M321" i="5081"/>
  <c r="M322" i="5081"/>
  <c r="M323" i="5081"/>
  <c r="M324" i="5081"/>
  <c r="M325" i="5081"/>
  <c r="M326" i="5081"/>
  <c r="M327" i="5081"/>
  <c r="M328" i="5081"/>
  <c r="M329" i="5081"/>
  <c r="M330" i="5081"/>
  <c r="M331" i="5081"/>
  <c r="M332" i="5081"/>
  <c r="M333" i="5081"/>
  <c r="M334" i="5081"/>
  <c r="M335" i="5081"/>
  <c r="M336" i="5081"/>
  <c r="M337" i="5081"/>
  <c r="M338" i="5081"/>
  <c r="M339" i="5081"/>
  <c r="M340" i="5081"/>
  <c r="M341" i="5081"/>
  <c r="M342" i="5081"/>
  <c r="M343" i="5081"/>
  <c r="M344" i="5081"/>
  <c r="M345" i="5081"/>
  <c r="M346" i="5081"/>
  <c r="M347" i="5081"/>
  <c r="M348" i="5081"/>
  <c r="M349" i="5081"/>
  <c r="M350" i="5081"/>
  <c r="M351" i="5081"/>
  <c r="M352" i="5081"/>
  <c r="M353" i="5081"/>
  <c r="M354" i="5081"/>
  <c r="M355" i="5081"/>
  <c r="M356" i="5081"/>
  <c r="M357" i="5081"/>
  <c r="M358" i="5081"/>
  <c r="M359" i="5081"/>
  <c r="M360" i="5081"/>
  <c r="M361" i="5081"/>
  <c r="M362" i="5081"/>
  <c r="M363" i="5081"/>
  <c r="M364" i="5081"/>
  <c r="M365" i="5081"/>
  <c r="M366" i="5081"/>
  <c r="M367" i="5081"/>
  <c r="M368" i="5081"/>
  <c r="M369" i="5081"/>
  <c r="M370" i="5081"/>
  <c r="M371" i="5081"/>
  <c r="M372" i="5081"/>
  <c r="M373" i="5081"/>
  <c r="M374" i="5081"/>
  <c r="M375" i="5081"/>
  <c r="M376" i="5081"/>
  <c r="M377" i="5081"/>
  <c r="M378" i="5081"/>
  <c r="M379" i="5081"/>
  <c r="M380" i="5081"/>
  <c r="M381" i="5081"/>
  <c r="M382" i="5081"/>
  <c r="M383" i="5081"/>
  <c r="M384" i="5081"/>
  <c r="M385" i="5081"/>
  <c r="M386" i="5081"/>
  <c r="M387" i="5081"/>
  <c r="M388" i="5081"/>
  <c r="M389" i="5081"/>
  <c r="M390" i="5081"/>
  <c r="M391" i="5081"/>
  <c r="M392" i="5081"/>
  <c r="M393" i="5081"/>
  <c r="M394" i="5081"/>
  <c r="M395" i="5081"/>
  <c r="M396" i="5081"/>
  <c r="M397" i="5081"/>
  <c r="M398" i="5081"/>
  <c r="M399" i="5081"/>
  <c r="M400" i="5081"/>
  <c r="M401" i="5081"/>
  <c r="M402" i="5081"/>
  <c r="M403" i="5081"/>
  <c r="M404" i="5081"/>
  <c r="M405" i="5081"/>
  <c r="M406" i="5081"/>
  <c r="M407" i="5081"/>
  <c r="M408" i="5081"/>
  <c r="M409" i="5081"/>
  <c r="M410" i="5081"/>
  <c r="M411" i="5081"/>
  <c r="M412" i="5081"/>
  <c r="M413" i="5081"/>
  <c r="M414" i="5081"/>
  <c r="M415" i="5081"/>
  <c r="M416" i="5081"/>
  <c r="M417" i="5081"/>
  <c r="M418" i="5081"/>
  <c r="M419" i="5081"/>
  <c r="M420" i="5081"/>
  <c r="M421" i="5081"/>
  <c r="M422" i="5081"/>
  <c r="M423" i="5081"/>
  <c r="M424" i="5081"/>
  <c r="M425" i="5081"/>
  <c r="M426" i="5081"/>
  <c r="M427" i="5081"/>
  <c r="M428" i="5081"/>
  <c r="M429" i="5081"/>
  <c r="M430" i="5081"/>
  <c r="M431" i="5081"/>
  <c r="M432" i="5081"/>
  <c r="M433" i="5081"/>
  <c r="M434" i="5081"/>
  <c r="M435" i="5081"/>
  <c r="M436" i="5081"/>
  <c r="M437" i="5081"/>
  <c r="M438" i="5081"/>
  <c r="M439" i="5081"/>
  <c r="M440" i="5081"/>
  <c r="M441" i="5081"/>
  <c r="M442" i="5081"/>
  <c r="M443" i="5081"/>
  <c r="M444" i="5081"/>
  <c r="M445" i="5081"/>
  <c r="M446" i="5081"/>
  <c r="M447" i="5081"/>
  <c r="M448" i="5081"/>
  <c r="M449" i="5081"/>
  <c r="M450" i="5081"/>
  <c r="M451" i="5081"/>
  <c r="M452" i="5081"/>
  <c r="M453" i="5081"/>
  <c r="M454" i="5081"/>
  <c r="M455" i="5081"/>
  <c r="M456" i="5081"/>
  <c r="M457" i="5081"/>
  <c r="M458" i="5081"/>
  <c r="M459" i="5081"/>
  <c r="M460" i="5081"/>
  <c r="M461" i="5081"/>
  <c r="M462" i="5081"/>
  <c r="M463" i="5081"/>
  <c r="M464" i="5081"/>
  <c r="M465" i="5081"/>
  <c r="M466" i="5081"/>
  <c r="M467" i="5081"/>
  <c r="M468" i="5081"/>
  <c r="M469" i="5081"/>
  <c r="M470" i="5081"/>
  <c r="M471" i="5081"/>
  <c r="M472" i="5081"/>
  <c r="M473" i="5081"/>
  <c r="M474" i="5081"/>
  <c r="M475" i="5081"/>
  <c r="M476" i="5081"/>
  <c r="M477" i="5081"/>
  <c r="M478" i="5081"/>
  <c r="M479" i="5081"/>
  <c r="M480" i="5081"/>
  <c r="M481" i="5081"/>
  <c r="M482" i="5081"/>
  <c r="M483" i="5081"/>
  <c r="M484" i="5081"/>
  <c r="M485" i="5081"/>
  <c r="M486" i="5081"/>
  <c r="M487" i="5081"/>
  <c r="M488" i="5081"/>
  <c r="M489" i="5081"/>
  <c r="M490" i="5081"/>
  <c r="M491" i="5081"/>
  <c r="M492" i="5081"/>
  <c r="M493" i="5081"/>
  <c r="M494" i="5081"/>
  <c r="M495" i="5081"/>
  <c r="M496" i="5081"/>
  <c r="M497" i="5081"/>
  <c r="M498" i="5081"/>
  <c r="M499" i="5081"/>
  <c r="M500" i="5081"/>
  <c r="M501" i="5081"/>
  <c r="M502" i="5081"/>
  <c r="M503" i="5081"/>
  <c r="M504" i="5081"/>
  <c r="M505" i="5081"/>
  <c r="M2" i="5080"/>
  <c r="M3" i="5080"/>
  <c r="M4" i="5080"/>
  <c r="M5" i="5080"/>
  <c r="M6" i="5080"/>
  <c r="M7" i="5080"/>
  <c r="M8" i="5080"/>
  <c r="M9" i="5080"/>
  <c r="M10" i="5080"/>
  <c r="M11" i="5080"/>
  <c r="M12" i="5080"/>
  <c r="M13" i="5080"/>
  <c r="M14" i="5080"/>
  <c r="M15" i="5080"/>
  <c r="M16" i="5080"/>
  <c r="M17" i="5080"/>
  <c r="M18" i="5080"/>
  <c r="M19" i="5080"/>
  <c r="M20" i="5080"/>
  <c r="M21" i="5080"/>
  <c r="M22" i="5080"/>
  <c r="M23" i="5080"/>
  <c r="M24" i="5080"/>
  <c r="M25" i="5080"/>
  <c r="M26" i="5080"/>
  <c r="M27" i="5080"/>
  <c r="M28" i="5080"/>
  <c r="M29" i="5080"/>
  <c r="M30" i="5080"/>
  <c r="M31" i="5080"/>
  <c r="M32" i="5080"/>
  <c r="M33" i="5080"/>
  <c r="M34" i="5080"/>
  <c r="M35" i="5080"/>
  <c r="M36" i="5080"/>
  <c r="M37" i="5080"/>
  <c r="M38" i="5080"/>
  <c r="M39" i="5080"/>
  <c r="M40" i="5080"/>
  <c r="M41" i="5080"/>
  <c r="M42" i="5080"/>
  <c r="M43" i="5080"/>
  <c r="M44" i="5080"/>
  <c r="M45" i="5080"/>
  <c r="M46" i="5080"/>
  <c r="M47" i="5080"/>
  <c r="M48" i="5080"/>
  <c r="M49" i="5080"/>
  <c r="M50" i="5080"/>
  <c r="M51" i="5080"/>
  <c r="M52" i="5080"/>
  <c r="M53" i="5080"/>
  <c r="M54" i="5080"/>
  <c r="M55" i="5080"/>
  <c r="M56" i="5080"/>
  <c r="M57" i="5080"/>
  <c r="M58" i="5080"/>
  <c r="M59" i="5080"/>
  <c r="M60" i="5080"/>
  <c r="M61" i="5080"/>
  <c r="M62" i="5080"/>
  <c r="M63" i="5080"/>
  <c r="M64" i="5080"/>
  <c r="M65" i="5080"/>
  <c r="M66" i="5080"/>
  <c r="M67" i="5080"/>
  <c r="M68" i="5080"/>
  <c r="M69" i="5080"/>
  <c r="M70" i="5080"/>
  <c r="M71" i="5080"/>
  <c r="M72" i="5080"/>
  <c r="M73" i="5080"/>
  <c r="M74" i="5080"/>
  <c r="M75" i="5080"/>
  <c r="M76" i="5080"/>
  <c r="M77" i="5080"/>
  <c r="M78" i="5080"/>
  <c r="M79" i="5080"/>
  <c r="M80" i="5080"/>
  <c r="M81" i="5080"/>
  <c r="M82" i="5080"/>
  <c r="M83" i="5080"/>
  <c r="M84" i="5080"/>
  <c r="M85" i="5080"/>
  <c r="M86" i="5080"/>
  <c r="M87" i="5080"/>
  <c r="M88" i="5080"/>
  <c r="M89" i="5080"/>
  <c r="M90" i="5080"/>
  <c r="M91" i="5080"/>
  <c r="M92" i="5080"/>
  <c r="M93" i="5080"/>
  <c r="M94" i="5080"/>
  <c r="M95" i="5080"/>
  <c r="M96" i="5080"/>
  <c r="M97" i="5080"/>
  <c r="M98" i="5080"/>
  <c r="M99" i="5080"/>
  <c r="M100" i="5080"/>
  <c r="M101" i="5080"/>
  <c r="M102" i="5080"/>
  <c r="M103" i="5080"/>
  <c r="M104" i="5080"/>
  <c r="M105" i="5080"/>
  <c r="M106" i="5080"/>
  <c r="M107" i="5080"/>
  <c r="M108" i="5080"/>
  <c r="M109" i="5080"/>
  <c r="M110" i="5080"/>
  <c r="M111" i="5080"/>
  <c r="M112" i="5080"/>
  <c r="M113" i="5080"/>
  <c r="M114" i="5080"/>
  <c r="M115" i="5080"/>
  <c r="M116" i="5080"/>
  <c r="M117" i="5080"/>
  <c r="M118" i="5080"/>
  <c r="M119" i="5080"/>
  <c r="M120" i="5080"/>
  <c r="M121" i="5080"/>
  <c r="M122" i="5080"/>
  <c r="M123" i="5080"/>
  <c r="M124" i="5080"/>
  <c r="M125" i="5080"/>
  <c r="M126" i="5080"/>
  <c r="M127" i="5080"/>
  <c r="M128" i="5080"/>
  <c r="M129" i="5080"/>
  <c r="M130" i="5080"/>
  <c r="M131" i="5080"/>
  <c r="M132" i="5080"/>
  <c r="M133" i="5080"/>
  <c r="M134" i="5080"/>
  <c r="M135" i="5080"/>
  <c r="M136" i="5080"/>
  <c r="M137" i="5080"/>
  <c r="M138" i="5080"/>
  <c r="M139" i="5080"/>
  <c r="M140" i="5080"/>
  <c r="M141" i="5080"/>
  <c r="M142" i="5080"/>
  <c r="M143" i="5080"/>
  <c r="M144" i="5080"/>
  <c r="M145" i="5080"/>
  <c r="M146" i="5080"/>
  <c r="M147" i="5080"/>
  <c r="M148" i="5080"/>
  <c r="M149" i="5080"/>
  <c r="M150" i="5080"/>
  <c r="M151" i="5080"/>
  <c r="M152" i="5080"/>
  <c r="M153" i="5080"/>
  <c r="M154" i="5080"/>
  <c r="M155" i="5080"/>
  <c r="M156" i="5080"/>
  <c r="M157" i="5080"/>
  <c r="M158" i="5080"/>
  <c r="M159" i="5080"/>
  <c r="M160" i="5080"/>
  <c r="M161" i="5080"/>
  <c r="M162" i="5080"/>
  <c r="M163" i="5080"/>
  <c r="M164" i="5080"/>
  <c r="M165" i="5080"/>
  <c r="M166" i="5080"/>
  <c r="M167" i="5080"/>
  <c r="M168" i="5080"/>
  <c r="M169" i="5080"/>
  <c r="M170" i="5080"/>
  <c r="M171" i="5080"/>
  <c r="M172" i="5080"/>
  <c r="M173" i="5080"/>
  <c r="M174" i="5080"/>
  <c r="M175" i="5080"/>
  <c r="M176" i="5080"/>
  <c r="M177" i="5080"/>
  <c r="M178" i="5080"/>
  <c r="M179" i="5080"/>
  <c r="M180" i="5080"/>
  <c r="M181" i="5080"/>
  <c r="M182" i="5080"/>
  <c r="M183" i="5080"/>
  <c r="M184" i="5080"/>
  <c r="M185" i="5080"/>
  <c r="M186" i="5080"/>
  <c r="M187" i="5080"/>
  <c r="M188" i="5080"/>
  <c r="M189" i="5080"/>
  <c r="M190" i="5080"/>
  <c r="M191" i="5080"/>
  <c r="M192" i="5080"/>
  <c r="M193" i="5080"/>
  <c r="M194" i="5080"/>
  <c r="M195" i="5080"/>
  <c r="M196" i="5080"/>
  <c r="M197" i="5080"/>
  <c r="M198" i="5080"/>
  <c r="M199" i="5080"/>
  <c r="M200" i="5080"/>
  <c r="M201" i="5080"/>
  <c r="M202" i="5080"/>
  <c r="M203" i="5080"/>
  <c r="M204" i="5080"/>
  <c r="M205" i="5080"/>
  <c r="M206" i="5080"/>
  <c r="M207" i="5080"/>
  <c r="M208" i="5080"/>
  <c r="M209" i="5080"/>
  <c r="M210" i="5080"/>
  <c r="M211" i="5080"/>
  <c r="M212" i="5080"/>
  <c r="M213" i="5080"/>
  <c r="M214" i="5080"/>
  <c r="M215" i="5080"/>
  <c r="M216" i="5080"/>
  <c r="M217" i="5080"/>
  <c r="M218" i="5080"/>
  <c r="M219" i="5080"/>
  <c r="M220" i="5080"/>
  <c r="M221" i="5080"/>
  <c r="M222" i="5080"/>
  <c r="M223" i="5080"/>
  <c r="M224" i="5080"/>
  <c r="M225" i="5080"/>
  <c r="M226" i="5080"/>
  <c r="M227" i="5080"/>
  <c r="M228" i="5080"/>
  <c r="M229" i="5080"/>
  <c r="M230" i="5080"/>
  <c r="M231" i="5080"/>
  <c r="M232" i="5080"/>
  <c r="M233" i="5080"/>
  <c r="M234" i="5080"/>
  <c r="M235" i="5080"/>
  <c r="M236" i="5080"/>
  <c r="M237" i="5080"/>
  <c r="M238" i="5080"/>
  <c r="M239" i="5080"/>
  <c r="M240" i="5080"/>
  <c r="M241" i="5080"/>
  <c r="M242" i="5080"/>
  <c r="M243" i="5080"/>
  <c r="M244" i="5080"/>
  <c r="M245" i="5080"/>
  <c r="M246" i="5080"/>
  <c r="M247" i="5080"/>
  <c r="M248" i="5080"/>
  <c r="M249" i="5080"/>
  <c r="M250" i="5080"/>
  <c r="M251" i="5080"/>
  <c r="M252" i="5080"/>
  <c r="M253" i="5080"/>
  <c r="M254" i="5080"/>
  <c r="M255" i="5080"/>
  <c r="M256" i="5080"/>
  <c r="M257" i="5080"/>
  <c r="M258" i="5080"/>
  <c r="M259" i="5080"/>
  <c r="M260" i="5080"/>
  <c r="M261" i="5080"/>
  <c r="M262" i="5080"/>
  <c r="M263" i="5080"/>
  <c r="M264" i="5080"/>
  <c r="M265" i="5080"/>
  <c r="M266" i="5080"/>
  <c r="M267" i="5080"/>
  <c r="M268" i="5080"/>
  <c r="M269" i="5080"/>
  <c r="M270" i="5080"/>
  <c r="M271" i="5080"/>
  <c r="M272" i="5080"/>
  <c r="M273" i="5080"/>
  <c r="M274" i="5080"/>
  <c r="M275" i="5080"/>
  <c r="M276" i="5080"/>
  <c r="M277" i="5080"/>
  <c r="M278" i="5080"/>
  <c r="M279" i="5080"/>
  <c r="M280" i="5080"/>
  <c r="M281" i="5080"/>
  <c r="M282" i="5080"/>
  <c r="M283" i="5080"/>
  <c r="M284" i="5080"/>
  <c r="M285" i="5080"/>
  <c r="M286" i="5080"/>
  <c r="M287" i="5080"/>
  <c r="M288" i="5080"/>
  <c r="M289" i="5080"/>
  <c r="M290" i="5080"/>
  <c r="M291" i="5080"/>
  <c r="M292" i="5080"/>
  <c r="M293" i="5080"/>
  <c r="M294" i="5080"/>
  <c r="M295" i="5080"/>
  <c r="M296" i="5080"/>
  <c r="M297" i="5080"/>
  <c r="M298" i="5080"/>
  <c r="M299" i="5080"/>
  <c r="M300" i="5080"/>
  <c r="M301" i="5080"/>
  <c r="M302" i="5080"/>
  <c r="M303" i="5080"/>
  <c r="M304" i="5080"/>
  <c r="M305" i="5080"/>
  <c r="M306" i="5080"/>
  <c r="M307" i="5080"/>
  <c r="M308" i="5080"/>
  <c r="M309" i="5080"/>
  <c r="M310" i="5080"/>
  <c r="M311" i="5080"/>
  <c r="M312" i="5080"/>
  <c r="M313" i="5080"/>
  <c r="M314" i="5080"/>
  <c r="M315" i="5080"/>
  <c r="M316" i="5080"/>
  <c r="M317" i="5080"/>
  <c r="M318" i="5080"/>
  <c r="M319" i="5080"/>
  <c r="M320" i="5080"/>
  <c r="M321" i="5080"/>
  <c r="M322" i="5080"/>
  <c r="M323" i="5080"/>
  <c r="M324" i="5080"/>
  <c r="M325" i="5080"/>
  <c r="M326" i="5080"/>
  <c r="M327" i="5080"/>
  <c r="M328" i="5080"/>
  <c r="M329" i="5080"/>
  <c r="M330" i="5080"/>
  <c r="M331" i="5080"/>
  <c r="M332" i="5080"/>
  <c r="M333" i="5080"/>
  <c r="M334" i="5080"/>
  <c r="M335" i="5080"/>
  <c r="M336" i="5080"/>
  <c r="M337" i="5080"/>
  <c r="M338" i="5080"/>
  <c r="M339" i="5080"/>
  <c r="M340" i="5080"/>
  <c r="M341" i="5080"/>
  <c r="M342" i="5080"/>
  <c r="M343" i="5080"/>
  <c r="M344" i="5080"/>
  <c r="M345" i="5080"/>
  <c r="M346" i="5080"/>
  <c r="M347" i="5080"/>
  <c r="M348" i="5080"/>
  <c r="M349" i="5080"/>
  <c r="M350" i="5080"/>
  <c r="M351" i="5080"/>
  <c r="M352" i="5080"/>
  <c r="M353" i="5080"/>
  <c r="M354" i="5080"/>
  <c r="M355" i="5080"/>
  <c r="M356" i="5080"/>
  <c r="M357" i="5080"/>
  <c r="M358" i="5080"/>
  <c r="M359" i="5080"/>
  <c r="M360" i="5080"/>
  <c r="M361" i="5080"/>
  <c r="M362" i="5080"/>
  <c r="M363" i="5080"/>
  <c r="M364" i="5080"/>
  <c r="M365" i="5080"/>
  <c r="M366" i="5080"/>
  <c r="M367" i="5080"/>
  <c r="M368" i="5080"/>
  <c r="M369" i="5080"/>
  <c r="M370" i="5080"/>
  <c r="M371" i="5080"/>
  <c r="M372" i="5080"/>
  <c r="M373" i="5080"/>
  <c r="M374" i="5080"/>
  <c r="M375" i="5080"/>
  <c r="M376" i="5080"/>
  <c r="M377" i="5080"/>
  <c r="M378" i="5080"/>
  <c r="M379" i="5080"/>
  <c r="M380" i="5080"/>
  <c r="M381" i="5080"/>
  <c r="M382" i="5080"/>
  <c r="M383" i="5080"/>
  <c r="M384" i="5080"/>
  <c r="M385" i="5080"/>
  <c r="M386" i="5080"/>
  <c r="M387" i="5080"/>
  <c r="M388" i="5080"/>
  <c r="M389" i="5080"/>
  <c r="M390" i="5080"/>
  <c r="M391" i="5080"/>
  <c r="M392" i="5080"/>
  <c r="M393" i="5080"/>
  <c r="M394" i="5080"/>
  <c r="M395" i="5080"/>
  <c r="M396" i="5080"/>
  <c r="M397" i="5080"/>
  <c r="M398" i="5080"/>
  <c r="M399" i="5080"/>
  <c r="M400" i="5080"/>
  <c r="M401" i="5080"/>
  <c r="M402" i="5080"/>
  <c r="M403" i="5080"/>
  <c r="M404" i="5080"/>
  <c r="M405" i="5080"/>
  <c r="M406" i="5080"/>
  <c r="M407" i="5080"/>
  <c r="M408" i="5080"/>
  <c r="M409" i="5080"/>
  <c r="M410" i="5080"/>
  <c r="M411" i="5080"/>
  <c r="M412" i="5080"/>
  <c r="M413" i="5080"/>
  <c r="M414" i="5080"/>
  <c r="M415" i="5080"/>
  <c r="M416" i="5080"/>
  <c r="M417" i="5080"/>
  <c r="M418" i="5080"/>
  <c r="M419" i="5080"/>
  <c r="M420" i="5080"/>
  <c r="M421" i="5080"/>
  <c r="M422" i="5080"/>
  <c r="M423" i="5080"/>
  <c r="M424" i="5080"/>
  <c r="M425" i="5080"/>
  <c r="M426" i="5080"/>
  <c r="M427" i="5080"/>
  <c r="M428" i="5080"/>
  <c r="M429" i="5080"/>
  <c r="M430" i="5080"/>
  <c r="M431" i="5080"/>
  <c r="M432" i="5080"/>
  <c r="M433" i="5080"/>
  <c r="M434" i="5080"/>
  <c r="M435" i="5080"/>
  <c r="M436" i="5080"/>
  <c r="M437" i="5080"/>
  <c r="M438" i="5080"/>
  <c r="M439" i="5080"/>
  <c r="M440" i="5080"/>
  <c r="M441" i="5080"/>
  <c r="M442" i="5080"/>
  <c r="M443" i="5080"/>
  <c r="M444" i="5080"/>
  <c r="M445" i="5080"/>
  <c r="M446" i="5080"/>
  <c r="M447" i="5080"/>
  <c r="M448" i="5080"/>
  <c r="M449" i="5080"/>
  <c r="M450" i="5080"/>
  <c r="M451" i="5080"/>
  <c r="M452" i="5080"/>
  <c r="M453" i="5080"/>
  <c r="M454" i="5080"/>
  <c r="M455" i="5080"/>
  <c r="M456" i="5080"/>
  <c r="M457" i="5080"/>
  <c r="M458" i="5080"/>
  <c r="M459" i="5080"/>
  <c r="M460" i="5080"/>
  <c r="M461" i="5080"/>
  <c r="M462" i="5080"/>
  <c r="M463" i="5080"/>
  <c r="M464" i="5080"/>
  <c r="M465" i="5080"/>
  <c r="M466" i="5080"/>
  <c r="M467" i="5080"/>
  <c r="M468" i="5080"/>
  <c r="M469" i="5080"/>
  <c r="M470" i="5080"/>
  <c r="M471" i="5080"/>
  <c r="M472" i="5080"/>
  <c r="M473" i="5080"/>
  <c r="M474" i="5080"/>
  <c r="M475" i="5080"/>
  <c r="M476" i="5080"/>
  <c r="M477" i="5080"/>
  <c r="M478" i="5080"/>
  <c r="M479" i="5080"/>
  <c r="M480" i="5080"/>
  <c r="M481" i="5080"/>
  <c r="M482" i="5080"/>
  <c r="M483" i="5080"/>
  <c r="M484" i="5080"/>
  <c r="M485" i="5080"/>
  <c r="M486" i="5080"/>
  <c r="M487" i="5080"/>
  <c r="M488" i="5080"/>
  <c r="M489" i="5080"/>
  <c r="M490" i="5080"/>
  <c r="M491" i="5080"/>
  <c r="M492" i="5080"/>
  <c r="M493" i="5080"/>
  <c r="M494" i="5080"/>
  <c r="M495" i="5080"/>
  <c r="M496" i="5080"/>
  <c r="M497" i="5080"/>
  <c r="M498" i="5080"/>
  <c r="M499" i="5080"/>
  <c r="M500" i="5080"/>
  <c r="M501" i="5080"/>
  <c r="M502" i="5080"/>
  <c r="M503" i="5080"/>
  <c r="M504" i="5080"/>
  <c r="M505" i="5080"/>
  <c r="M2" i="5079"/>
  <c r="M3" i="5079"/>
  <c r="M4" i="5079"/>
  <c r="M5" i="5079"/>
  <c r="M6" i="5079"/>
  <c r="M7" i="5079"/>
  <c r="M8" i="5079"/>
  <c r="M9" i="5079"/>
  <c r="M10" i="5079"/>
  <c r="M11" i="5079"/>
  <c r="M12" i="5079"/>
  <c r="M13" i="5079"/>
  <c r="M14" i="5079"/>
  <c r="M15" i="5079"/>
  <c r="M16" i="5079"/>
  <c r="M17" i="5079"/>
  <c r="M18" i="5079"/>
  <c r="M19" i="5079"/>
  <c r="M20" i="5079"/>
  <c r="M21" i="5079"/>
  <c r="M22" i="5079"/>
  <c r="M23" i="5079"/>
  <c r="M24" i="5079"/>
  <c r="M25" i="5079"/>
  <c r="M26" i="5079"/>
  <c r="M27" i="5079"/>
  <c r="M28" i="5079"/>
  <c r="M29" i="5079"/>
  <c r="M30" i="5079"/>
  <c r="M31" i="5079"/>
  <c r="M32" i="5079"/>
  <c r="M33" i="5079"/>
  <c r="M34" i="5079"/>
  <c r="M35" i="5079"/>
  <c r="M36" i="5079"/>
  <c r="M37" i="5079"/>
  <c r="M38" i="5079"/>
  <c r="M39" i="5079"/>
  <c r="M40" i="5079"/>
  <c r="M41" i="5079"/>
  <c r="M42" i="5079"/>
  <c r="M43" i="5079"/>
  <c r="M44" i="5079"/>
  <c r="M45" i="5079"/>
  <c r="M46" i="5079"/>
  <c r="M47" i="5079"/>
  <c r="M48" i="5079"/>
  <c r="M49" i="5079"/>
  <c r="M50" i="5079"/>
  <c r="M51" i="5079"/>
  <c r="M52" i="5079"/>
  <c r="M53" i="5079"/>
  <c r="M54" i="5079"/>
  <c r="M55" i="5079"/>
  <c r="M56" i="5079"/>
  <c r="M57" i="5079"/>
  <c r="M58" i="5079"/>
  <c r="M59" i="5079"/>
  <c r="M60" i="5079"/>
  <c r="M61" i="5079"/>
  <c r="M62" i="5079"/>
  <c r="M63" i="5079"/>
  <c r="M64" i="5079"/>
  <c r="M65" i="5079"/>
  <c r="M66" i="5079"/>
  <c r="M67" i="5079"/>
  <c r="M68" i="5079"/>
  <c r="M69" i="5079"/>
  <c r="M70" i="5079"/>
  <c r="M71" i="5079"/>
  <c r="M72" i="5079"/>
  <c r="M73" i="5079"/>
  <c r="M74" i="5079"/>
  <c r="M75" i="5079"/>
  <c r="M76" i="5079"/>
  <c r="M77" i="5079"/>
  <c r="M78" i="5079"/>
  <c r="M79" i="5079"/>
  <c r="M80" i="5079"/>
  <c r="M81" i="5079"/>
  <c r="M82" i="5079"/>
  <c r="M83" i="5079"/>
  <c r="M84" i="5079"/>
  <c r="M85" i="5079"/>
  <c r="M86" i="5079"/>
  <c r="M87" i="5079"/>
  <c r="M88" i="5079"/>
  <c r="M89" i="5079"/>
  <c r="M90" i="5079"/>
  <c r="M91" i="5079"/>
  <c r="M92" i="5079"/>
  <c r="M93" i="5079"/>
  <c r="M94" i="5079"/>
  <c r="M95" i="5079"/>
  <c r="M96" i="5079"/>
  <c r="M97" i="5079"/>
  <c r="M98" i="5079"/>
  <c r="M99" i="5079"/>
  <c r="M100" i="5079"/>
  <c r="M101" i="5079"/>
  <c r="M102" i="5079"/>
  <c r="M103" i="5079"/>
  <c r="M104" i="5079"/>
  <c r="M105" i="5079"/>
  <c r="M106" i="5079"/>
  <c r="M107" i="5079"/>
  <c r="M108" i="5079"/>
  <c r="M109" i="5079"/>
  <c r="M110" i="5079"/>
  <c r="M111" i="5079"/>
  <c r="M112" i="5079"/>
  <c r="M113" i="5079"/>
  <c r="M114" i="5079"/>
  <c r="M115" i="5079"/>
  <c r="M116" i="5079"/>
  <c r="M117" i="5079"/>
  <c r="M118" i="5079"/>
  <c r="M119" i="5079"/>
  <c r="M120" i="5079"/>
  <c r="M121" i="5079"/>
  <c r="M122" i="5079"/>
  <c r="M123" i="5079"/>
  <c r="M124" i="5079"/>
  <c r="M125" i="5079"/>
  <c r="M126" i="5079"/>
  <c r="M127" i="5079"/>
  <c r="M128" i="5079"/>
  <c r="M129" i="5079"/>
  <c r="M130" i="5079"/>
  <c r="M131" i="5079"/>
  <c r="M132" i="5079"/>
  <c r="M133" i="5079"/>
  <c r="M134" i="5079"/>
  <c r="M135" i="5079"/>
  <c r="M136" i="5079"/>
  <c r="M137" i="5079"/>
  <c r="M138" i="5079"/>
  <c r="M139" i="5079"/>
  <c r="M140" i="5079"/>
  <c r="M141" i="5079"/>
  <c r="M142" i="5079"/>
  <c r="M143" i="5079"/>
  <c r="M144" i="5079"/>
  <c r="M145" i="5079"/>
  <c r="M146" i="5079"/>
  <c r="M147" i="5079"/>
  <c r="M148" i="5079"/>
  <c r="M149" i="5079"/>
  <c r="M150" i="5079"/>
  <c r="M151" i="5079"/>
  <c r="M152" i="5079"/>
  <c r="M153" i="5079"/>
  <c r="M154" i="5079"/>
  <c r="M155" i="5079"/>
  <c r="M156" i="5079"/>
  <c r="M157" i="5079"/>
  <c r="M158" i="5079"/>
  <c r="M159" i="5079"/>
  <c r="M160" i="5079"/>
  <c r="M161" i="5079"/>
  <c r="M162" i="5079"/>
  <c r="M163" i="5079"/>
  <c r="M164" i="5079"/>
  <c r="M165" i="5079"/>
  <c r="M166" i="5079"/>
  <c r="M167" i="5079"/>
  <c r="M168" i="5079"/>
  <c r="M169" i="5079"/>
  <c r="M170" i="5079"/>
  <c r="M171" i="5079"/>
  <c r="M172" i="5079"/>
  <c r="M173" i="5079"/>
  <c r="M174" i="5079"/>
  <c r="M175" i="5079"/>
  <c r="M176" i="5079"/>
  <c r="M177" i="5079"/>
  <c r="M178" i="5079"/>
  <c r="M179" i="5079"/>
  <c r="M180" i="5079"/>
  <c r="M181" i="5079"/>
  <c r="M182" i="5079"/>
  <c r="M183" i="5079"/>
  <c r="M184" i="5079"/>
  <c r="M185" i="5079"/>
  <c r="M186" i="5079"/>
  <c r="M187" i="5079"/>
  <c r="M188" i="5079"/>
  <c r="M189" i="5079"/>
  <c r="M190" i="5079"/>
  <c r="M191" i="5079"/>
  <c r="M192" i="5079"/>
  <c r="M193" i="5079"/>
  <c r="M194" i="5079"/>
  <c r="M195" i="5079"/>
  <c r="M196" i="5079"/>
  <c r="M197" i="5079"/>
  <c r="M198" i="5079"/>
  <c r="M199" i="5079"/>
  <c r="M200" i="5079"/>
  <c r="M201" i="5079"/>
  <c r="M202" i="5079"/>
  <c r="M203" i="5079"/>
  <c r="M204" i="5079"/>
  <c r="M205" i="5079"/>
  <c r="M206" i="5079"/>
  <c r="M207" i="5079"/>
  <c r="M208" i="5079"/>
  <c r="M209" i="5079"/>
  <c r="M210" i="5079"/>
  <c r="M211" i="5079"/>
  <c r="M212" i="5079"/>
  <c r="M213" i="5079"/>
  <c r="M214" i="5079"/>
  <c r="M215" i="5079"/>
  <c r="M216" i="5079"/>
  <c r="M217" i="5079"/>
  <c r="M218" i="5079"/>
  <c r="M219" i="5079"/>
  <c r="M220" i="5079"/>
  <c r="M221" i="5079"/>
  <c r="M222" i="5079"/>
  <c r="M223" i="5079"/>
  <c r="M224" i="5079"/>
  <c r="M225" i="5079"/>
  <c r="M226" i="5079"/>
  <c r="M227" i="5079"/>
  <c r="M228" i="5079"/>
  <c r="M229" i="5079"/>
  <c r="M230" i="5079"/>
  <c r="M231" i="5079"/>
  <c r="M232" i="5079"/>
  <c r="M233" i="5079"/>
  <c r="M234" i="5079"/>
  <c r="M235" i="5079"/>
  <c r="M236" i="5079"/>
  <c r="M237" i="5079"/>
  <c r="M238" i="5079"/>
  <c r="M239" i="5079"/>
  <c r="M240" i="5079"/>
  <c r="M241" i="5079"/>
  <c r="M242" i="5079"/>
  <c r="M243" i="5079"/>
  <c r="M244" i="5079"/>
  <c r="M245" i="5079"/>
  <c r="M246" i="5079"/>
  <c r="M247" i="5079"/>
  <c r="M248" i="5079"/>
  <c r="M249" i="5079"/>
  <c r="M250" i="5079"/>
  <c r="M251" i="5079"/>
  <c r="M252" i="5079"/>
  <c r="M253" i="5079"/>
  <c r="M254" i="5079"/>
  <c r="M255" i="5079"/>
  <c r="M256" i="5079"/>
  <c r="M257" i="5079"/>
  <c r="M258" i="5079"/>
  <c r="M259" i="5079"/>
  <c r="M260" i="5079"/>
  <c r="M261" i="5079"/>
  <c r="M262" i="5079"/>
  <c r="M263" i="5079"/>
  <c r="M264" i="5079"/>
  <c r="M265" i="5079"/>
  <c r="M266" i="5079"/>
  <c r="M267" i="5079"/>
  <c r="M268" i="5079"/>
  <c r="M269" i="5079"/>
  <c r="M270" i="5079"/>
  <c r="M271" i="5079"/>
  <c r="M272" i="5079"/>
  <c r="M273" i="5079"/>
  <c r="M274" i="5079"/>
  <c r="M275" i="5079"/>
  <c r="M276" i="5079"/>
  <c r="M277" i="5079"/>
  <c r="M278" i="5079"/>
  <c r="M279" i="5079"/>
  <c r="M280" i="5079"/>
  <c r="M281" i="5079"/>
  <c r="M282" i="5079"/>
  <c r="M283" i="5079"/>
  <c r="M284" i="5079"/>
  <c r="M285" i="5079"/>
  <c r="M286" i="5079"/>
  <c r="M287" i="5079"/>
  <c r="M288" i="5079"/>
  <c r="M289" i="5079"/>
  <c r="M290" i="5079"/>
  <c r="M291" i="5079"/>
  <c r="M292" i="5079"/>
  <c r="M293" i="5079"/>
  <c r="M294" i="5079"/>
  <c r="M295" i="5079"/>
  <c r="M296" i="5079"/>
  <c r="M297" i="5079"/>
  <c r="M298" i="5079"/>
  <c r="M299" i="5079"/>
  <c r="M300" i="5079"/>
  <c r="M301" i="5079"/>
  <c r="M302" i="5079"/>
  <c r="M303" i="5079"/>
  <c r="M304" i="5079"/>
  <c r="M305" i="5079"/>
  <c r="M306" i="5079"/>
  <c r="M307" i="5079"/>
  <c r="M308" i="5079"/>
  <c r="M309" i="5079"/>
  <c r="M310" i="5079"/>
  <c r="M311" i="5079"/>
  <c r="M312" i="5079"/>
  <c r="M313" i="5079"/>
  <c r="M314" i="5079"/>
  <c r="M315" i="5079"/>
  <c r="M316" i="5079"/>
  <c r="M317" i="5079"/>
  <c r="M318" i="5079"/>
  <c r="M319" i="5079"/>
  <c r="M320" i="5079"/>
  <c r="M321" i="5079"/>
  <c r="M322" i="5079"/>
  <c r="M323" i="5079"/>
  <c r="M324" i="5079"/>
  <c r="M325" i="5079"/>
  <c r="M326" i="5079"/>
  <c r="M327" i="5079"/>
  <c r="M328" i="5079"/>
  <c r="M329" i="5079"/>
  <c r="M330" i="5079"/>
  <c r="M331" i="5079"/>
  <c r="M332" i="5079"/>
  <c r="M333" i="5079"/>
  <c r="M334" i="5079"/>
  <c r="M335" i="5079"/>
  <c r="M336" i="5079"/>
  <c r="M337" i="5079"/>
  <c r="M338" i="5079"/>
  <c r="M339" i="5079"/>
  <c r="M340" i="5079"/>
  <c r="M341" i="5079"/>
  <c r="M342" i="5079"/>
  <c r="M343" i="5079"/>
  <c r="M344" i="5079"/>
  <c r="M345" i="5079"/>
  <c r="M346" i="5079"/>
  <c r="M347" i="5079"/>
  <c r="M348" i="5079"/>
  <c r="M349" i="5079"/>
  <c r="M350" i="5079"/>
  <c r="M351" i="5079"/>
  <c r="M352" i="5079"/>
  <c r="M353" i="5079"/>
  <c r="M354" i="5079"/>
  <c r="M355" i="5079"/>
  <c r="M356" i="5079"/>
  <c r="M357" i="5079"/>
  <c r="M358" i="5079"/>
  <c r="M359" i="5079"/>
  <c r="M360" i="5079"/>
  <c r="M361" i="5079"/>
  <c r="M362" i="5079"/>
  <c r="M363" i="5079"/>
  <c r="M364" i="5079"/>
  <c r="M365" i="5079"/>
  <c r="M366" i="5079"/>
  <c r="M367" i="5079"/>
  <c r="M368" i="5079"/>
  <c r="M369" i="5079"/>
  <c r="M370" i="5079"/>
  <c r="M371" i="5079"/>
  <c r="M372" i="5079"/>
  <c r="M373" i="5079"/>
  <c r="M374" i="5079"/>
  <c r="M375" i="5079"/>
  <c r="M376" i="5079"/>
  <c r="M377" i="5079"/>
  <c r="M378" i="5079"/>
  <c r="M379" i="5079"/>
  <c r="M380" i="5079"/>
  <c r="M381" i="5079"/>
  <c r="M382" i="5079"/>
  <c r="M383" i="5079"/>
  <c r="M384" i="5079"/>
  <c r="M385" i="5079"/>
  <c r="M386" i="5079"/>
  <c r="M387" i="5079"/>
  <c r="M388" i="5079"/>
  <c r="M389" i="5079"/>
  <c r="M390" i="5079"/>
  <c r="M391" i="5079"/>
  <c r="M392" i="5079"/>
  <c r="M393" i="5079"/>
  <c r="M394" i="5079"/>
  <c r="M395" i="5079"/>
  <c r="M396" i="5079"/>
  <c r="M397" i="5079"/>
  <c r="M398" i="5079"/>
  <c r="M399" i="5079"/>
  <c r="M400" i="5079"/>
  <c r="M401" i="5079"/>
  <c r="M402" i="5079"/>
  <c r="M403" i="5079"/>
  <c r="M404" i="5079"/>
  <c r="M405" i="5079"/>
  <c r="M406" i="5079"/>
  <c r="M407" i="5079"/>
  <c r="M408" i="5079"/>
  <c r="M409" i="5079"/>
  <c r="M410" i="5079"/>
  <c r="M411" i="5079"/>
  <c r="M412" i="5079"/>
  <c r="M413" i="5079"/>
  <c r="M414" i="5079"/>
  <c r="M415" i="5079"/>
  <c r="M416" i="5079"/>
  <c r="M417" i="5079"/>
  <c r="M418" i="5079"/>
  <c r="M419" i="5079"/>
  <c r="M420" i="5079"/>
  <c r="M421" i="5079"/>
  <c r="M422" i="5079"/>
  <c r="M423" i="5079"/>
  <c r="M424" i="5079"/>
  <c r="M425" i="5079"/>
  <c r="M426" i="5079"/>
  <c r="M427" i="5079"/>
  <c r="M428" i="5079"/>
  <c r="M429" i="5079"/>
  <c r="M430" i="5079"/>
  <c r="M431" i="5079"/>
  <c r="M432" i="5079"/>
  <c r="M433" i="5079"/>
  <c r="M434" i="5079"/>
  <c r="M435" i="5079"/>
  <c r="M436" i="5079"/>
  <c r="M437" i="5079"/>
  <c r="M438" i="5079"/>
  <c r="M439" i="5079"/>
  <c r="M440" i="5079"/>
  <c r="M441" i="5079"/>
  <c r="M442" i="5079"/>
  <c r="M443" i="5079"/>
  <c r="M444" i="5079"/>
  <c r="M445" i="5079"/>
  <c r="M446" i="5079"/>
  <c r="M447" i="5079"/>
  <c r="M448" i="5079"/>
  <c r="M449" i="5079"/>
  <c r="M450" i="5079"/>
  <c r="M451" i="5079"/>
  <c r="M452" i="5079"/>
  <c r="M453" i="5079"/>
  <c r="M454" i="5079"/>
  <c r="M455" i="5079"/>
  <c r="M456" i="5079"/>
  <c r="M457" i="5079"/>
  <c r="M458" i="5079"/>
  <c r="M459" i="5079"/>
  <c r="M460" i="5079"/>
  <c r="M461" i="5079"/>
  <c r="M462" i="5079"/>
  <c r="M463" i="5079"/>
  <c r="M464" i="5079"/>
  <c r="M465" i="5079"/>
  <c r="M466" i="5079"/>
  <c r="M467" i="5079"/>
  <c r="M468" i="5079"/>
  <c r="M469" i="5079"/>
  <c r="M470" i="5079"/>
  <c r="M471" i="5079"/>
  <c r="M472" i="5079"/>
  <c r="M473" i="5079"/>
  <c r="M474" i="5079"/>
  <c r="M475" i="5079"/>
  <c r="M476" i="5079"/>
  <c r="M477" i="5079"/>
  <c r="M478" i="5079"/>
  <c r="M479" i="5079"/>
  <c r="M480" i="5079"/>
  <c r="M481" i="5079"/>
  <c r="M482" i="5079"/>
  <c r="M483" i="5079"/>
  <c r="M484" i="5079"/>
  <c r="M485" i="5079"/>
  <c r="M486" i="5079"/>
  <c r="M487" i="5079"/>
  <c r="M488" i="5079"/>
  <c r="M489" i="5079"/>
  <c r="M490" i="5079"/>
  <c r="M491" i="5079"/>
  <c r="M492" i="5079"/>
  <c r="M493" i="5079"/>
  <c r="M494" i="5079"/>
  <c r="M495" i="5079"/>
  <c r="M496" i="5079"/>
  <c r="M497" i="5079"/>
  <c r="M498" i="5079"/>
  <c r="M499" i="5079"/>
  <c r="M500" i="5079"/>
  <c r="M501" i="5079"/>
  <c r="M502" i="5079"/>
  <c r="M503" i="5079"/>
  <c r="M504" i="5079"/>
  <c r="M505" i="5079"/>
  <c r="M2" i="5078"/>
  <c r="M3" i="5078"/>
  <c r="M4" i="5078"/>
  <c r="M5" i="5078"/>
  <c r="M6" i="5078"/>
  <c r="M7" i="5078"/>
  <c r="M8" i="5078"/>
  <c r="M9" i="5078"/>
  <c r="M10" i="5078"/>
  <c r="M11" i="5078"/>
  <c r="M12" i="5078"/>
  <c r="M13" i="5078"/>
  <c r="M14" i="5078"/>
  <c r="M15" i="5078"/>
  <c r="M16" i="5078"/>
  <c r="M17" i="5078"/>
  <c r="M18" i="5078"/>
  <c r="M19" i="5078"/>
  <c r="M20" i="5078"/>
  <c r="M21" i="5078"/>
  <c r="M22" i="5078"/>
  <c r="M23" i="5078"/>
  <c r="M24" i="5078"/>
  <c r="M25" i="5078"/>
  <c r="M26" i="5078"/>
  <c r="M27" i="5078"/>
  <c r="M28" i="5078"/>
  <c r="M29" i="5078"/>
  <c r="M30" i="5078"/>
  <c r="M31" i="5078"/>
  <c r="M32" i="5078"/>
  <c r="M33" i="5078"/>
  <c r="M34" i="5078"/>
  <c r="M35" i="5078"/>
  <c r="M36" i="5078"/>
  <c r="M37" i="5078"/>
  <c r="M38" i="5078"/>
  <c r="M39" i="5078"/>
  <c r="M40" i="5078"/>
  <c r="M41" i="5078"/>
  <c r="M42" i="5078"/>
  <c r="M43" i="5078"/>
  <c r="M44" i="5078"/>
  <c r="M45" i="5078"/>
  <c r="M46" i="5078"/>
  <c r="M47" i="5078"/>
  <c r="M48" i="5078"/>
  <c r="M49" i="5078"/>
  <c r="M50" i="5078"/>
  <c r="M51" i="5078"/>
  <c r="M52" i="5078"/>
  <c r="M53" i="5078"/>
  <c r="M54" i="5078"/>
  <c r="M55" i="5078"/>
  <c r="M56" i="5078"/>
  <c r="M57" i="5078"/>
  <c r="M58" i="5078"/>
  <c r="M59" i="5078"/>
  <c r="M60" i="5078"/>
  <c r="M61" i="5078"/>
  <c r="M62" i="5078"/>
  <c r="M63" i="5078"/>
  <c r="M64" i="5078"/>
  <c r="M65" i="5078"/>
  <c r="M66" i="5078"/>
  <c r="M67" i="5078"/>
  <c r="M68" i="5078"/>
  <c r="M69" i="5078"/>
  <c r="M70" i="5078"/>
  <c r="M71" i="5078"/>
  <c r="M72" i="5078"/>
  <c r="M73" i="5078"/>
  <c r="M74" i="5078"/>
  <c r="M75" i="5078"/>
  <c r="M76" i="5078"/>
  <c r="M77" i="5078"/>
  <c r="M78" i="5078"/>
  <c r="M79" i="5078"/>
  <c r="M80" i="5078"/>
  <c r="M81" i="5078"/>
  <c r="M82" i="5078"/>
  <c r="M83" i="5078"/>
  <c r="M84" i="5078"/>
  <c r="M85" i="5078"/>
  <c r="M86" i="5078"/>
  <c r="M87" i="5078"/>
  <c r="M88" i="5078"/>
  <c r="M89" i="5078"/>
  <c r="M90" i="5078"/>
  <c r="M91" i="5078"/>
  <c r="M92" i="5078"/>
  <c r="M93" i="5078"/>
  <c r="M94" i="5078"/>
  <c r="M95" i="5078"/>
  <c r="M96" i="5078"/>
  <c r="M97" i="5078"/>
  <c r="M98" i="5078"/>
  <c r="M99" i="5078"/>
  <c r="M100" i="5078"/>
  <c r="M101" i="5078"/>
  <c r="M102" i="5078"/>
  <c r="M103" i="5078"/>
  <c r="M104" i="5078"/>
  <c r="M105" i="5078"/>
  <c r="M106" i="5078"/>
  <c r="M107" i="5078"/>
  <c r="M108" i="5078"/>
  <c r="M109" i="5078"/>
  <c r="M110" i="5078"/>
  <c r="M111" i="5078"/>
  <c r="M112" i="5078"/>
  <c r="M113" i="5078"/>
  <c r="M114" i="5078"/>
  <c r="M115" i="5078"/>
  <c r="M116" i="5078"/>
  <c r="M117" i="5078"/>
  <c r="M118" i="5078"/>
  <c r="M119" i="5078"/>
  <c r="M120" i="5078"/>
  <c r="M121" i="5078"/>
  <c r="M122" i="5078"/>
  <c r="M123" i="5078"/>
  <c r="M124" i="5078"/>
  <c r="M125" i="5078"/>
  <c r="M126" i="5078"/>
  <c r="M127" i="5078"/>
  <c r="M128" i="5078"/>
  <c r="M129" i="5078"/>
  <c r="M130" i="5078"/>
  <c r="M131" i="5078"/>
  <c r="M132" i="5078"/>
  <c r="M133" i="5078"/>
  <c r="M134" i="5078"/>
  <c r="M135" i="5078"/>
  <c r="M136" i="5078"/>
  <c r="M137" i="5078"/>
  <c r="M138" i="5078"/>
  <c r="M139" i="5078"/>
  <c r="M140" i="5078"/>
  <c r="M141" i="5078"/>
  <c r="M142" i="5078"/>
  <c r="M143" i="5078"/>
  <c r="M144" i="5078"/>
  <c r="M145" i="5078"/>
  <c r="M146" i="5078"/>
  <c r="M147" i="5078"/>
  <c r="M148" i="5078"/>
  <c r="M149" i="5078"/>
  <c r="M150" i="5078"/>
  <c r="M151" i="5078"/>
  <c r="M152" i="5078"/>
  <c r="M153" i="5078"/>
  <c r="M154" i="5078"/>
  <c r="M155" i="5078"/>
  <c r="M156" i="5078"/>
  <c r="M157" i="5078"/>
  <c r="M158" i="5078"/>
  <c r="M159" i="5078"/>
  <c r="M160" i="5078"/>
  <c r="M161" i="5078"/>
  <c r="M162" i="5078"/>
  <c r="M163" i="5078"/>
  <c r="M164" i="5078"/>
  <c r="M165" i="5078"/>
  <c r="M166" i="5078"/>
  <c r="M167" i="5078"/>
  <c r="M168" i="5078"/>
  <c r="M169" i="5078"/>
  <c r="M170" i="5078"/>
  <c r="M171" i="5078"/>
  <c r="M172" i="5078"/>
  <c r="M173" i="5078"/>
  <c r="M174" i="5078"/>
  <c r="M175" i="5078"/>
  <c r="M176" i="5078"/>
  <c r="M177" i="5078"/>
  <c r="M178" i="5078"/>
  <c r="M179" i="5078"/>
  <c r="M180" i="5078"/>
  <c r="M181" i="5078"/>
  <c r="M182" i="5078"/>
  <c r="M183" i="5078"/>
  <c r="M184" i="5078"/>
  <c r="M185" i="5078"/>
  <c r="M186" i="5078"/>
  <c r="M187" i="5078"/>
  <c r="M188" i="5078"/>
  <c r="M189" i="5078"/>
  <c r="M190" i="5078"/>
  <c r="M191" i="5078"/>
  <c r="M192" i="5078"/>
  <c r="M193" i="5078"/>
  <c r="M194" i="5078"/>
  <c r="M195" i="5078"/>
  <c r="M196" i="5078"/>
  <c r="M197" i="5078"/>
  <c r="M198" i="5078"/>
  <c r="M199" i="5078"/>
  <c r="M200" i="5078"/>
  <c r="M201" i="5078"/>
  <c r="M202" i="5078"/>
  <c r="M203" i="5078"/>
  <c r="M204" i="5078"/>
  <c r="M205" i="5078"/>
  <c r="M206" i="5078"/>
  <c r="M207" i="5078"/>
  <c r="M208" i="5078"/>
  <c r="M209" i="5078"/>
  <c r="M210" i="5078"/>
  <c r="M211" i="5078"/>
  <c r="M212" i="5078"/>
  <c r="M213" i="5078"/>
  <c r="M214" i="5078"/>
  <c r="M215" i="5078"/>
  <c r="M216" i="5078"/>
  <c r="M217" i="5078"/>
  <c r="M218" i="5078"/>
  <c r="M219" i="5078"/>
  <c r="M220" i="5078"/>
  <c r="M221" i="5078"/>
  <c r="M222" i="5078"/>
  <c r="M223" i="5078"/>
  <c r="M224" i="5078"/>
  <c r="M225" i="5078"/>
  <c r="M226" i="5078"/>
  <c r="M227" i="5078"/>
  <c r="M228" i="5078"/>
  <c r="M229" i="5078"/>
  <c r="M230" i="5078"/>
  <c r="M231" i="5078"/>
  <c r="M232" i="5078"/>
  <c r="M233" i="5078"/>
  <c r="M234" i="5078"/>
  <c r="M235" i="5078"/>
  <c r="M236" i="5078"/>
  <c r="M237" i="5078"/>
  <c r="M238" i="5078"/>
  <c r="M239" i="5078"/>
  <c r="M240" i="5078"/>
  <c r="M241" i="5078"/>
  <c r="M242" i="5078"/>
  <c r="M243" i="5078"/>
  <c r="M244" i="5078"/>
  <c r="M245" i="5078"/>
  <c r="M246" i="5078"/>
  <c r="M247" i="5078"/>
  <c r="M248" i="5078"/>
  <c r="M249" i="5078"/>
  <c r="M250" i="5078"/>
  <c r="M251" i="5078"/>
  <c r="M252" i="5078"/>
  <c r="M253" i="5078"/>
  <c r="M254" i="5078"/>
  <c r="M255" i="5078"/>
  <c r="M256" i="5078"/>
  <c r="M257" i="5078"/>
  <c r="M258" i="5078"/>
  <c r="M259" i="5078"/>
  <c r="M260" i="5078"/>
  <c r="M261" i="5078"/>
  <c r="M262" i="5078"/>
  <c r="M263" i="5078"/>
  <c r="M264" i="5078"/>
  <c r="M265" i="5078"/>
  <c r="M266" i="5078"/>
  <c r="M267" i="5078"/>
  <c r="M268" i="5078"/>
  <c r="M269" i="5078"/>
  <c r="M270" i="5078"/>
  <c r="M271" i="5078"/>
  <c r="M272" i="5078"/>
  <c r="M273" i="5078"/>
  <c r="M274" i="5078"/>
  <c r="M275" i="5078"/>
  <c r="M276" i="5078"/>
  <c r="M277" i="5078"/>
  <c r="M278" i="5078"/>
  <c r="M279" i="5078"/>
  <c r="M280" i="5078"/>
  <c r="M281" i="5078"/>
  <c r="M282" i="5078"/>
  <c r="M283" i="5078"/>
  <c r="M284" i="5078"/>
  <c r="M285" i="5078"/>
  <c r="M286" i="5078"/>
  <c r="M287" i="5078"/>
  <c r="M288" i="5078"/>
  <c r="M289" i="5078"/>
  <c r="M290" i="5078"/>
  <c r="M291" i="5078"/>
  <c r="M292" i="5078"/>
  <c r="M293" i="5078"/>
  <c r="M294" i="5078"/>
  <c r="M295" i="5078"/>
  <c r="M296" i="5078"/>
  <c r="M297" i="5078"/>
  <c r="M298" i="5078"/>
  <c r="M299" i="5078"/>
  <c r="M300" i="5078"/>
  <c r="M301" i="5078"/>
  <c r="M302" i="5078"/>
  <c r="M303" i="5078"/>
  <c r="M304" i="5078"/>
  <c r="M305" i="5078"/>
  <c r="M306" i="5078"/>
  <c r="M307" i="5078"/>
  <c r="M308" i="5078"/>
  <c r="M309" i="5078"/>
  <c r="M310" i="5078"/>
  <c r="M311" i="5078"/>
  <c r="M312" i="5078"/>
  <c r="M313" i="5078"/>
  <c r="M314" i="5078"/>
  <c r="M315" i="5078"/>
  <c r="M316" i="5078"/>
  <c r="M317" i="5078"/>
  <c r="M318" i="5078"/>
  <c r="M319" i="5078"/>
  <c r="M320" i="5078"/>
  <c r="M321" i="5078"/>
  <c r="M322" i="5078"/>
  <c r="M323" i="5078"/>
  <c r="M324" i="5078"/>
  <c r="M325" i="5078"/>
  <c r="M326" i="5078"/>
  <c r="M327" i="5078"/>
  <c r="M328" i="5078"/>
  <c r="M329" i="5078"/>
  <c r="M330" i="5078"/>
  <c r="M331" i="5078"/>
  <c r="M332" i="5078"/>
  <c r="M333" i="5078"/>
  <c r="M334" i="5078"/>
  <c r="M335" i="5078"/>
  <c r="M336" i="5078"/>
  <c r="M337" i="5078"/>
  <c r="M338" i="5078"/>
  <c r="M339" i="5078"/>
  <c r="M340" i="5078"/>
  <c r="M341" i="5078"/>
  <c r="M342" i="5078"/>
  <c r="M343" i="5078"/>
  <c r="M344" i="5078"/>
  <c r="M345" i="5078"/>
  <c r="M346" i="5078"/>
  <c r="M347" i="5078"/>
  <c r="M348" i="5078"/>
  <c r="M349" i="5078"/>
  <c r="M350" i="5078"/>
  <c r="M351" i="5078"/>
  <c r="M352" i="5078"/>
  <c r="M353" i="5078"/>
  <c r="M354" i="5078"/>
  <c r="M355" i="5078"/>
  <c r="M356" i="5078"/>
  <c r="M357" i="5078"/>
  <c r="M358" i="5078"/>
  <c r="M359" i="5078"/>
  <c r="M360" i="5078"/>
  <c r="M361" i="5078"/>
  <c r="M362" i="5078"/>
  <c r="M363" i="5078"/>
  <c r="M364" i="5078"/>
  <c r="M365" i="5078"/>
  <c r="M366" i="5078"/>
  <c r="M367" i="5078"/>
  <c r="M368" i="5078"/>
  <c r="M369" i="5078"/>
  <c r="M370" i="5078"/>
  <c r="M371" i="5078"/>
  <c r="M372" i="5078"/>
  <c r="M373" i="5078"/>
  <c r="M374" i="5078"/>
  <c r="M375" i="5078"/>
  <c r="M376" i="5078"/>
  <c r="M377" i="5078"/>
  <c r="M378" i="5078"/>
  <c r="M379" i="5078"/>
  <c r="M380" i="5078"/>
  <c r="M381" i="5078"/>
  <c r="M382" i="5078"/>
  <c r="M383" i="5078"/>
  <c r="M384" i="5078"/>
  <c r="M385" i="5078"/>
  <c r="M386" i="5078"/>
  <c r="M387" i="5078"/>
  <c r="M388" i="5078"/>
  <c r="M389" i="5078"/>
  <c r="M390" i="5078"/>
  <c r="M391" i="5078"/>
  <c r="M392" i="5078"/>
  <c r="M393" i="5078"/>
  <c r="M394" i="5078"/>
  <c r="M395" i="5078"/>
  <c r="M396" i="5078"/>
  <c r="M397" i="5078"/>
  <c r="M398" i="5078"/>
  <c r="M399" i="5078"/>
  <c r="M400" i="5078"/>
  <c r="M401" i="5078"/>
  <c r="M402" i="5078"/>
  <c r="M403" i="5078"/>
  <c r="M404" i="5078"/>
  <c r="M405" i="5078"/>
  <c r="M406" i="5078"/>
  <c r="M407" i="5078"/>
  <c r="M408" i="5078"/>
  <c r="M409" i="5078"/>
  <c r="M410" i="5078"/>
  <c r="M411" i="5078"/>
  <c r="M412" i="5078"/>
  <c r="M413" i="5078"/>
  <c r="M414" i="5078"/>
  <c r="M415" i="5078"/>
  <c r="M416" i="5078"/>
  <c r="M417" i="5078"/>
  <c r="M418" i="5078"/>
  <c r="M419" i="5078"/>
  <c r="M420" i="5078"/>
  <c r="M421" i="5078"/>
  <c r="M422" i="5078"/>
  <c r="M423" i="5078"/>
  <c r="M424" i="5078"/>
  <c r="M425" i="5078"/>
  <c r="M426" i="5078"/>
  <c r="M427" i="5078"/>
  <c r="M428" i="5078"/>
  <c r="M429" i="5078"/>
  <c r="M430" i="5078"/>
  <c r="M431" i="5078"/>
  <c r="M432" i="5078"/>
  <c r="M433" i="5078"/>
  <c r="M434" i="5078"/>
  <c r="M435" i="5078"/>
  <c r="M436" i="5078"/>
  <c r="M437" i="5078"/>
  <c r="M438" i="5078"/>
  <c r="M439" i="5078"/>
  <c r="M440" i="5078"/>
  <c r="M441" i="5078"/>
  <c r="M442" i="5078"/>
  <c r="M443" i="5078"/>
  <c r="M444" i="5078"/>
  <c r="M445" i="5078"/>
  <c r="M446" i="5078"/>
  <c r="M447" i="5078"/>
  <c r="M448" i="5078"/>
  <c r="M449" i="5078"/>
  <c r="M450" i="5078"/>
  <c r="M451" i="5078"/>
  <c r="M452" i="5078"/>
  <c r="M453" i="5078"/>
  <c r="M454" i="5078"/>
  <c r="M455" i="5078"/>
  <c r="M456" i="5078"/>
  <c r="M457" i="5078"/>
  <c r="M458" i="5078"/>
  <c r="M459" i="5078"/>
  <c r="M460" i="5078"/>
  <c r="M461" i="5078"/>
  <c r="M462" i="5078"/>
  <c r="M463" i="5078"/>
  <c r="M464" i="5078"/>
  <c r="M465" i="5078"/>
  <c r="M466" i="5078"/>
  <c r="M467" i="5078"/>
  <c r="M468" i="5078"/>
  <c r="M469" i="5078"/>
  <c r="M470" i="5078"/>
  <c r="M471" i="5078"/>
  <c r="M472" i="5078"/>
  <c r="M473" i="5078"/>
  <c r="M474" i="5078"/>
  <c r="M475" i="5078"/>
  <c r="M476" i="5078"/>
  <c r="M477" i="5078"/>
  <c r="M478" i="5078"/>
  <c r="M479" i="5078"/>
  <c r="M480" i="5078"/>
  <c r="M481" i="5078"/>
  <c r="M482" i="5078"/>
  <c r="M483" i="5078"/>
  <c r="M484" i="5078"/>
  <c r="M485" i="5078"/>
  <c r="M486" i="5078"/>
  <c r="M487" i="5078"/>
  <c r="M488" i="5078"/>
  <c r="M489" i="5078"/>
  <c r="M490" i="5078"/>
  <c r="M491" i="5078"/>
  <c r="M492" i="5078"/>
  <c r="M493" i="5078"/>
  <c r="M494" i="5078"/>
  <c r="M495" i="5078"/>
  <c r="M496" i="5078"/>
  <c r="M497" i="5078"/>
  <c r="M498" i="5078"/>
  <c r="M499" i="5078"/>
  <c r="M500" i="5078"/>
  <c r="M501" i="5078"/>
  <c r="M502" i="5078"/>
  <c r="M503" i="5078"/>
  <c r="M504" i="5078"/>
  <c r="M505" i="5078"/>
  <c r="L2" i="5083"/>
  <c r="L3" i="5083"/>
  <c r="L4" i="5083"/>
  <c r="L5" i="5083"/>
  <c r="L6" i="5083"/>
  <c r="L7" i="5083"/>
  <c r="L8" i="5083"/>
  <c r="L9" i="5083"/>
  <c r="L10" i="5083"/>
  <c r="L11" i="5083"/>
  <c r="L12" i="5083"/>
  <c r="L13" i="5083"/>
  <c r="L14" i="5083"/>
  <c r="L15" i="5083"/>
  <c r="L16" i="5083"/>
  <c r="L17" i="5083"/>
  <c r="L18" i="5083"/>
  <c r="L19" i="5083"/>
  <c r="L20" i="5083"/>
  <c r="L21" i="5083"/>
  <c r="L22" i="5083"/>
  <c r="L23" i="5083"/>
  <c r="L24" i="5083"/>
  <c r="L25" i="5083"/>
  <c r="L26" i="5083"/>
  <c r="L27" i="5083"/>
  <c r="L28" i="5083"/>
  <c r="L29" i="5083"/>
  <c r="L30" i="5083"/>
  <c r="L31" i="5083"/>
  <c r="L32" i="5083"/>
  <c r="L33" i="5083"/>
  <c r="L34" i="5083"/>
  <c r="L35" i="5083"/>
  <c r="L36" i="5083"/>
  <c r="L37" i="5083"/>
  <c r="L38" i="5083"/>
  <c r="L39" i="5083"/>
  <c r="L40" i="5083"/>
  <c r="L41" i="5083"/>
  <c r="L42" i="5083"/>
  <c r="L43" i="5083"/>
  <c r="L44" i="5083"/>
  <c r="L45" i="5083"/>
  <c r="L46" i="5083"/>
  <c r="L47" i="5083"/>
  <c r="L48" i="5083"/>
  <c r="L49" i="5083"/>
  <c r="L50" i="5083"/>
  <c r="L51" i="5083"/>
  <c r="L52" i="5083"/>
  <c r="L53" i="5083"/>
  <c r="L54" i="5083"/>
  <c r="L55" i="5083"/>
  <c r="L56" i="5083"/>
  <c r="L57" i="5083"/>
  <c r="L58" i="5083"/>
  <c r="L59" i="5083"/>
  <c r="L60" i="5083"/>
  <c r="L61" i="5083"/>
  <c r="L62" i="5083"/>
  <c r="L63" i="5083"/>
  <c r="L64" i="5083"/>
  <c r="L65" i="5083"/>
  <c r="L66" i="5083"/>
  <c r="L67" i="5083"/>
  <c r="L68" i="5083"/>
  <c r="L69" i="5083"/>
  <c r="L70" i="5083"/>
  <c r="L71" i="5083"/>
  <c r="L72" i="5083"/>
  <c r="L73" i="5083"/>
  <c r="L74" i="5083"/>
  <c r="L75" i="5083"/>
  <c r="L76" i="5083"/>
  <c r="L77" i="5083"/>
  <c r="L78" i="5083"/>
  <c r="L79" i="5083"/>
  <c r="L80" i="5083"/>
  <c r="L81" i="5083"/>
  <c r="L82" i="5083"/>
  <c r="L83" i="5083"/>
  <c r="L84" i="5083"/>
  <c r="L85" i="5083"/>
  <c r="L86" i="5083"/>
  <c r="L87" i="5083"/>
  <c r="L88" i="5083"/>
  <c r="L89" i="5083"/>
  <c r="L90" i="5083"/>
  <c r="L91" i="5083"/>
  <c r="L92" i="5083"/>
  <c r="L93" i="5083"/>
  <c r="L94" i="5083"/>
  <c r="L95" i="5083"/>
  <c r="L96" i="5083"/>
  <c r="L97" i="5083"/>
  <c r="L98" i="5083"/>
  <c r="L99" i="5083"/>
  <c r="L100" i="5083"/>
  <c r="L101" i="5083"/>
  <c r="L102" i="5083"/>
  <c r="L103" i="5083"/>
  <c r="L104" i="5083"/>
  <c r="L105" i="5083"/>
  <c r="L106" i="5083"/>
  <c r="L107" i="5083"/>
  <c r="L108" i="5083"/>
  <c r="L109" i="5083"/>
  <c r="L110" i="5083"/>
  <c r="L111" i="5083"/>
  <c r="L112" i="5083"/>
  <c r="L113" i="5083"/>
  <c r="L114" i="5083"/>
  <c r="L115" i="5083"/>
  <c r="L116" i="5083"/>
  <c r="L117" i="5083"/>
  <c r="L118" i="5083"/>
  <c r="L119" i="5083"/>
  <c r="L120" i="5083"/>
  <c r="L121" i="5083"/>
  <c r="L122" i="5083"/>
  <c r="L123" i="5083"/>
  <c r="L124" i="5083"/>
  <c r="L125" i="5083"/>
  <c r="L126" i="5083"/>
  <c r="L127" i="5083"/>
  <c r="L128" i="5083"/>
  <c r="L129" i="5083"/>
  <c r="L130" i="5083"/>
  <c r="L131" i="5083"/>
  <c r="L132" i="5083"/>
  <c r="L133" i="5083"/>
  <c r="L134" i="5083"/>
  <c r="L135" i="5083"/>
  <c r="L136" i="5083"/>
  <c r="L137" i="5083"/>
  <c r="L138" i="5083"/>
  <c r="L139" i="5083"/>
  <c r="L140" i="5083"/>
  <c r="L141" i="5083"/>
  <c r="L142" i="5083"/>
  <c r="L143" i="5083"/>
  <c r="L144" i="5083"/>
  <c r="L145" i="5083"/>
  <c r="L146" i="5083"/>
  <c r="L147" i="5083"/>
  <c r="L148" i="5083"/>
  <c r="L149" i="5083"/>
  <c r="L150" i="5083"/>
  <c r="L151" i="5083"/>
  <c r="L152" i="5083"/>
  <c r="L153" i="5083"/>
  <c r="L154" i="5083"/>
  <c r="L155" i="5083"/>
  <c r="L156" i="5083"/>
  <c r="L157" i="5083"/>
  <c r="L158" i="5083"/>
  <c r="L159" i="5083"/>
  <c r="L160" i="5083"/>
  <c r="L161" i="5083"/>
  <c r="L162" i="5083"/>
  <c r="L163" i="5083"/>
  <c r="L164" i="5083"/>
  <c r="L165" i="5083"/>
  <c r="L166" i="5083"/>
  <c r="L167" i="5083"/>
  <c r="L168" i="5083"/>
  <c r="L169" i="5083"/>
  <c r="L170" i="5083"/>
  <c r="L171" i="5083"/>
  <c r="L172" i="5083"/>
  <c r="L173" i="5083"/>
  <c r="L174" i="5083"/>
  <c r="L175" i="5083"/>
  <c r="L176" i="5083"/>
  <c r="L177" i="5083"/>
  <c r="L178" i="5083"/>
  <c r="L179" i="5083"/>
  <c r="L180" i="5083"/>
  <c r="L181" i="5083"/>
  <c r="L182" i="5083"/>
  <c r="L183" i="5083"/>
  <c r="L184" i="5083"/>
  <c r="L185" i="5083"/>
  <c r="L186" i="5083"/>
  <c r="L187" i="5083"/>
  <c r="L188" i="5083"/>
  <c r="L189" i="5083"/>
  <c r="L190" i="5083"/>
  <c r="L191" i="5083"/>
  <c r="L192" i="5083"/>
  <c r="L193" i="5083"/>
  <c r="L194" i="5083"/>
  <c r="L195" i="5083"/>
  <c r="L196" i="5083"/>
  <c r="L197" i="5083"/>
  <c r="L198" i="5083"/>
  <c r="L199" i="5083"/>
  <c r="L200" i="5083"/>
  <c r="L201" i="5083"/>
  <c r="L202" i="5083"/>
  <c r="L203" i="5083"/>
  <c r="L204" i="5083"/>
  <c r="L205" i="5083"/>
  <c r="L206" i="5083"/>
  <c r="L207" i="5083"/>
  <c r="L208" i="5083"/>
  <c r="L209" i="5083"/>
  <c r="L210" i="5083"/>
  <c r="L211" i="5083"/>
  <c r="L212" i="5083"/>
  <c r="L213" i="5083"/>
  <c r="L214" i="5083"/>
  <c r="L215" i="5083"/>
  <c r="L216" i="5083"/>
  <c r="L217" i="5083"/>
  <c r="L218" i="5083"/>
  <c r="L219" i="5083"/>
  <c r="L220" i="5083"/>
  <c r="L221" i="5083"/>
  <c r="L222" i="5083"/>
  <c r="L223" i="5083"/>
  <c r="L224" i="5083"/>
  <c r="L225" i="5083"/>
  <c r="L226" i="5083"/>
  <c r="L227" i="5083"/>
  <c r="L228" i="5083"/>
  <c r="L229" i="5083"/>
  <c r="L230" i="5083"/>
  <c r="L231" i="5083"/>
  <c r="L232" i="5083"/>
  <c r="L233" i="5083"/>
  <c r="L234" i="5083"/>
  <c r="L235" i="5083"/>
  <c r="L236" i="5083"/>
  <c r="L237" i="5083"/>
  <c r="L238" i="5083"/>
  <c r="L239" i="5083"/>
  <c r="L240" i="5083"/>
  <c r="L241" i="5083"/>
  <c r="L242" i="5083"/>
  <c r="L243" i="5083"/>
  <c r="L244" i="5083"/>
  <c r="L245" i="5083"/>
  <c r="L246" i="5083"/>
  <c r="L247" i="5083"/>
  <c r="L248" i="5083"/>
  <c r="L249" i="5083"/>
  <c r="L250" i="5083"/>
  <c r="L251" i="5083"/>
  <c r="L252" i="5083"/>
  <c r="L253" i="5083"/>
  <c r="L254" i="5083"/>
  <c r="L255" i="5083"/>
  <c r="L256" i="5083"/>
  <c r="L257" i="5083"/>
  <c r="L258" i="5083"/>
  <c r="L259" i="5083"/>
  <c r="L260" i="5083"/>
  <c r="L261" i="5083"/>
  <c r="L262" i="5083"/>
  <c r="L263" i="5083"/>
  <c r="L264" i="5083"/>
  <c r="L265" i="5083"/>
  <c r="L266" i="5083"/>
  <c r="L267" i="5083"/>
  <c r="L268" i="5083"/>
  <c r="L269" i="5083"/>
  <c r="L270" i="5083"/>
  <c r="L271" i="5083"/>
  <c r="L272" i="5083"/>
  <c r="L273" i="5083"/>
  <c r="L274" i="5083"/>
  <c r="L275" i="5083"/>
  <c r="L276" i="5083"/>
  <c r="L277" i="5083"/>
  <c r="L278" i="5083"/>
  <c r="L279" i="5083"/>
  <c r="L280" i="5083"/>
  <c r="L281" i="5083"/>
  <c r="L282" i="5083"/>
  <c r="L283" i="5083"/>
  <c r="L284" i="5083"/>
  <c r="L285" i="5083"/>
  <c r="L286" i="5083"/>
  <c r="L287" i="5083"/>
  <c r="L288" i="5083"/>
  <c r="L289" i="5083"/>
  <c r="L290" i="5083"/>
  <c r="L291" i="5083"/>
  <c r="L292" i="5083"/>
  <c r="L293" i="5083"/>
  <c r="L294" i="5083"/>
  <c r="L295" i="5083"/>
  <c r="L296" i="5083"/>
  <c r="L297" i="5083"/>
  <c r="L298" i="5083"/>
  <c r="L299" i="5083"/>
  <c r="L300" i="5083"/>
  <c r="L301" i="5083"/>
  <c r="L302" i="5083"/>
  <c r="L303" i="5083"/>
  <c r="L304" i="5083"/>
  <c r="L305" i="5083"/>
  <c r="L306" i="5083"/>
  <c r="L307" i="5083"/>
  <c r="L308" i="5083"/>
  <c r="L309" i="5083"/>
  <c r="L310" i="5083"/>
  <c r="L311" i="5083"/>
  <c r="L312" i="5083"/>
  <c r="L313" i="5083"/>
  <c r="L314" i="5083"/>
  <c r="L315" i="5083"/>
  <c r="L316" i="5083"/>
  <c r="L317" i="5083"/>
  <c r="L318" i="5083"/>
  <c r="L319" i="5083"/>
  <c r="L320" i="5083"/>
  <c r="L321" i="5083"/>
  <c r="L322" i="5083"/>
  <c r="L323" i="5083"/>
  <c r="L324" i="5083"/>
  <c r="L325" i="5083"/>
  <c r="L326" i="5083"/>
  <c r="L327" i="5083"/>
  <c r="L328" i="5083"/>
  <c r="L329" i="5083"/>
  <c r="L330" i="5083"/>
  <c r="L331" i="5083"/>
  <c r="L332" i="5083"/>
  <c r="L333" i="5083"/>
  <c r="L334" i="5083"/>
  <c r="L335" i="5083"/>
  <c r="L336" i="5083"/>
  <c r="L337" i="5083"/>
  <c r="L338" i="5083"/>
  <c r="L339" i="5083"/>
  <c r="L340" i="5083"/>
  <c r="L341" i="5083"/>
  <c r="L342" i="5083"/>
  <c r="L343" i="5083"/>
  <c r="L344" i="5083"/>
  <c r="L345" i="5083"/>
  <c r="L346" i="5083"/>
  <c r="L347" i="5083"/>
  <c r="L348" i="5083"/>
  <c r="L349" i="5083"/>
  <c r="L350" i="5083"/>
  <c r="L351" i="5083"/>
  <c r="L352" i="5083"/>
  <c r="L353" i="5083"/>
  <c r="L354" i="5083"/>
  <c r="L355" i="5083"/>
  <c r="L356" i="5083"/>
  <c r="L357" i="5083"/>
  <c r="L358" i="5083"/>
  <c r="L359" i="5083"/>
  <c r="L360" i="5083"/>
  <c r="L361" i="5083"/>
  <c r="L362" i="5083"/>
  <c r="L363" i="5083"/>
  <c r="L364" i="5083"/>
  <c r="L365" i="5083"/>
  <c r="L366" i="5083"/>
  <c r="L367" i="5083"/>
  <c r="L368" i="5083"/>
  <c r="L369" i="5083"/>
  <c r="L370" i="5083"/>
  <c r="L371" i="5083"/>
  <c r="L372" i="5083"/>
  <c r="L373" i="5083"/>
  <c r="L374" i="5083"/>
  <c r="L375" i="5083"/>
  <c r="L376" i="5083"/>
  <c r="L377" i="5083"/>
  <c r="L378" i="5083"/>
  <c r="L379" i="5083"/>
  <c r="L380" i="5083"/>
  <c r="L381" i="5083"/>
  <c r="L382" i="5083"/>
  <c r="L383" i="5083"/>
  <c r="L384" i="5083"/>
  <c r="L385" i="5083"/>
  <c r="L386" i="5083"/>
  <c r="L387" i="5083"/>
  <c r="L388" i="5083"/>
  <c r="L389" i="5083"/>
  <c r="L390" i="5083"/>
  <c r="L391" i="5083"/>
  <c r="L392" i="5083"/>
  <c r="L393" i="5083"/>
  <c r="L394" i="5083"/>
  <c r="L395" i="5083"/>
  <c r="L396" i="5083"/>
  <c r="L397" i="5083"/>
  <c r="L398" i="5083"/>
  <c r="L399" i="5083"/>
  <c r="L400" i="5083"/>
  <c r="L401" i="5083"/>
  <c r="L402" i="5083"/>
  <c r="L403" i="5083"/>
  <c r="L404" i="5083"/>
  <c r="L405" i="5083"/>
  <c r="L406" i="5083"/>
  <c r="L407" i="5083"/>
  <c r="L408" i="5083"/>
  <c r="L409" i="5083"/>
  <c r="L410" i="5083"/>
  <c r="L411" i="5083"/>
  <c r="L412" i="5083"/>
  <c r="L413" i="5083"/>
  <c r="L414" i="5083"/>
  <c r="L415" i="5083"/>
  <c r="L416" i="5083"/>
  <c r="L417" i="5083"/>
  <c r="L418" i="5083"/>
  <c r="L419" i="5083"/>
  <c r="L420" i="5083"/>
  <c r="L421" i="5083"/>
  <c r="L422" i="5083"/>
  <c r="L423" i="5083"/>
  <c r="L424" i="5083"/>
  <c r="L425" i="5083"/>
  <c r="L426" i="5083"/>
  <c r="L427" i="5083"/>
  <c r="L428" i="5083"/>
  <c r="L429" i="5083"/>
  <c r="L430" i="5083"/>
  <c r="L431" i="5083"/>
  <c r="L432" i="5083"/>
  <c r="L433" i="5083"/>
  <c r="L434" i="5083"/>
  <c r="L435" i="5083"/>
  <c r="L436" i="5083"/>
  <c r="L437" i="5083"/>
  <c r="L438" i="5083"/>
  <c r="L439" i="5083"/>
  <c r="L440" i="5083"/>
  <c r="L441" i="5083"/>
  <c r="L442" i="5083"/>
  <c r="L443" i="5083"/>
  <c r="L444" i="5083"/>
  <c r="L445" i="5083"/>
  <c r="L446" i="5083"/>
  <c r="L447" i="5083"/>
  <c r="L448" i="5083"/>
  <c r="L449" i="5083"/>
  <c r="L450" i="5083"/>
  <c r="L451" i="5083"/>
  <c r="L452" i="5083"/>
  <c r="L453" i="5083"/>
  <c r="L454" i="5083"/>
  <c r="L455" i="5083"/>
  <c r="L456" i="5083"/>
  <c r="L457" i="5083"/>
  <c r="L458" i="5083"/>
  <c r="L459" i="5083"/>
  <c r="L460" i="5083"/>
  <c r="L461" i="5083"/>
  <c r="L462" i="5083"/>
  <c r="L463" i="5083"/>
  <c r="L464" i="5083"/>
  <c r="L465" i="5083"/>
  <c r="L466" i="5083"/>
  <c r="L467" i="5083"/>
  <c r="L468" i="5083"/>
  <c r="L469" i="5083"/>
  <c r="L470" i="5083"/>
  <c r="L471" i="5083"/>
  <c r="L472" i="5083"/>
  <c r="L473" i="5083"/>
  <c r="L474" i="5083"/>
  <c r="L475" i="5083"/>
  <c r="L476" i="5083"/>
  <c r="L477" i="5083"/>
  <c r="L478" i="5083"/>
  <c r="L479" i="5083"/>
  <c r="L480" i="5083"/>
  <c r="L481" i="5083"/>
  <c r="L482" i="5083"/>
  <c r="L483" i="5083"/>
  <c r="L484" i="5083"/>
  <c r="L485" i="5083"/>
  <c r="L486" i="5083"/>
  <c r="L487" i="5083"/>
  <c r="L488" i="5083"/>
  <c r="L489" i="5083"/>
  <c r="L490" i="5083"/>
  <c r="L491" i="5083"/>
  <c r="L492" i="5083"/>
  <c r="L493" i="5083"/>
  <c r="L494" i="5083"/>
  <c r="L495" i="5083"/>
  <c r="L496" i="5083"/>
  <c r="L497" i="5083"/>
  <c r="L498" i="5083"/>
  <c r="L499" i="5083"/>
  <c r="L500" i="5083"/>
  <c r="L501" i="5083"/>
  <c r="L502" i="5083"/>
  <c r="L503" i="5083"/>
  <c r="L504" i="5083"/>
  <c r="L505" i="5083"/>
  <c r="L2" i="5082"/>
  <c r="L3" i="5082"/>
  <c r="L4" i="5082"/>
  <c r="L5" i="5082"/>
  <c r="L6" i="5082"/>
  <c r="L7" i="5082"/>
  <c r="L8" i="5082"/>
  <c r="L9" i="5082"/>
  <c r="L10" i="5082"/>
  <c r="L11" i="5082"/>
  <c r="L12" i="5082"/>
  <c r="L13" i="5082"/>
  <c r="L14" i="5082"/>
  <c r="L15" i="5082"/>
  <c r="L16" i="5082"/>
  <c r="L17" i="5082"/>
  <c r="L18" i="5082"/>
  <c r="L19" i="5082"/>
  <c r="L20" i="5082"/>
  <c r="L21" i="5082"/>
  <c r="L22" i="5082"/>
  <c r="L23" i="5082"/>
  <c r="L24" i="5082"/>
  <c r="L25" i="5082"/>
  <c r="L26" i="5082"/>
  <c r="L27" i="5082"/>
  <c r="L28" i="5082"/>
  <c r="L29" i="5082"/>
  <c r="L30" i="5082"/>
  <c r="L31" i="5082"/>
  <c r="L32" i="5082"/>
  <c r="L33" i="5082"/>
  <c r="L34" i="5082"/>
  <c r="L35" i="5082"/>
  <c r="L36" i="5082"/>
  <c r="L37" i="5082"/>
  <c r="L38" i="5082"/>
  <c r="L39" i="5082"/>
  <c r="L40" i="5082"/>
  <c r="L41" i="5082"/>
  <c r="L42" i="5082"/>
  <c r="L43" i="5082"/>
  <c r="L44" i="5082"/>
  <c r="L45" i="5082"/>
  <c r="L46" i="5082"/>
  <c r="L47" i="5082"/>
  <c r="L48" i="5082"/>
  <c r="L49" i="5082"/>
  <c r="L50" i="5082"/>
  <c r="L51" i="5082"/>
  <c r="L52" i="5082"/>
  <c r="L53" i="5082"/>
  <c r="L54" i="5082"/>
  <c r="L55" i="5082"/>
  <c r="L56" i="5082"/>
  <c r="L57" i="5082"/>
  <c r="L58" i="5082"/>
  <c r="L59" i="5082"/>
  <c r="L60" i="5082"/>
  <c r="L61" i="5082"/>
  <c r="L62" i="5082"/>
  <c r="L63" i="5082"/>
  <c r="L64" i="5082"/>
  <c r="L65" i="5082"/>
  <c r="L66" i="5082"/>
  <c r="L67" i="5082"/>
  <c r="L68" i="5082"/>
  <c r="L69" i="5082"/>
  <c r="L70" i="5082"/>
  <c r="L71" i="5082"/>
  <c r="L72" i="5082"/>
  <c r="L73" i="5082"/>
  <c r="L74" i="5082"/>
  <c r="L75" i="5082"/>
  <c r="L76" i="5082"/>
  <c r="L77" i="5082"/>
  <c r="L78" i="5082"/>
  <c r="L79" i="5082"/>
  <c r="L80" i="5082"/>
  <c r="L81" i="5082"/>
  <c r="L82" i="5082"/>
  <c r="L83" i="5082"/>
  <c r="L84" i="5082"/>
  <c r="L85" i="5082"/>
  <c r="L86" i="5082"/>
  <c r="L87" i="5082"/>
  <c r="L88" i="5082"/>
  <c r="L89" i="5082"/>
  <c r="L90" i="5082"/>
  <c r="L91" i="5082"/>
  <c r="L92" i="5082"/>
  <c r="L93" i="5082"/>
  <c r="L94" i="5082"/>
  <c r="L95" i="5082"/>
  <c r="L96" i="5082"/>
  <c r="L97" i="5082"/>
  <c r="L98" i="5082"/>
  <c r="L99" i="5082"/>
  <c r="L100" i="5082"/>
  <c r="L101" i="5082"/>
  <c r="L102" i="5082"/>
  <c r="L103" i="5082"/>
  <c r="L104" i="5082"/>
  <c r="L105" i="5082"/>
  <c r="L106" i="5082"/>
  <c r="L107" i="5082"/>
  <c r="L108" i="5082"/>
  <c r="L109" i="5082"/>
  <c r="L110" i="5082"/>
  <c r="L111" i="5082"/>
  <c r="L112" i="5082"/>
  <c r="L113" i="5082"/>
  <c r="L114" i="5082"/>
  <c r="L115" i="5082"/>
  <c r="L116" i="5082"/>
  <c r="L117" i="5082"/>
  <c r="L118" i="5082"/>
  <c r="L119" i="5082"/>
  <c r="L120" i="5082"/>
  <c r="L121" i="5082"/>
  <c r="L122" i="5082"/>
  <c r="L123" i="5082"/>
  <c r="L124" i="5082"/>
  <c r="L125" i="5082"/>
  <c r="L126" i="5082"/>
  <c r="L127" i="5082"/>
  <c r="L128" i="5082"/>
  <c r="L129" i="5082"/>
  <c r="L130" i="5082"/>
  <c r="L131" i="5082"/>
  <c r="L132" i="5082"/>
  <c r="L133" i="5082"/>
  <c r="L134" i="5082"/>
  <c r="L135" i="5082"/>
  <c r="L136" i="5082"/>
  <c r="L137" i="5082"/>
  <c r="L138" i="5082"/>
  <c r="L139" i="5082"/>
  <c r="L140" i="5082"/>
  <c r="L141" i="5082"/>
  <c r="L142" i="5082"/>
  <c r="L143" i="5082"/>
  <c r="L144" i="5082"/>
  <c r="L145" i="5082"/>
  <c r="L146" i="5082"/>
  <c r="L147" i="5082"/>
  <c r="L148" i="5082"/>
  <c r="L149" i="5082"/>
  <c r="L150" i="5082"/>
  <c r="L151" i="5082"/>
  <c r="L152" i="5082"/>
  <c r="L153" i="5082"/>
  <c r="L154" i="5082"/>
  <c r="L155" i="5082"/>
  <c r="L156" i="5082"/>
  <c r="L157" i="5082"/>
  <c r="L158" i="5082"/>
  <c r="L159" i="5082"/>
  <c r="L160" i="5082"/>
  <c r="L161" i="5082"/>
  <c r="L162" i="5082"/>
  <c r="L163" i="5082"/>
  <c r="L164" i="5082"/>
  <c r="L165" i="5082"/>
  <c r="L166" i="5082"/>
  <c r="L167" i="5082"/>
  <c r="L168" i="5082"/>
  <c r="L169" i="5082"/>
  <c r="L170" i="5082"/>
  <c r="L171" i="5082"/>
  <c r="L172" i="5082"/>
  <c r="L173" i="5082"/>
  <c r="L174" i="5082"/>
  <c r="L175" i="5082"/>
  <c r="L176" i="5082"/>
  <c r="L177" i="5082"/>
  <c r="L178" i="5082"/>
  <c r="L179" i="5082"/>
  <c r="L180" i="5082"/>
  <c r="L181" i="5082"/>
  <c r="L182" i="5082"/>
  <c r="L183" i="5082"/>
  <c r="L184" i="5082"/>
  <c r="L185" i="5082"/>
  <c r="L186" i="5082"/>
  <c r="L187" i="5082"/>
  <c r="L188" i="5082"/>
  <c r="L189" i="5082"/>
  <c r="L190" i="5082"/>
  <c r="L191" i="5082"/>
  <c r="L192" i="5082"/>
  <c r="L193" i="5082"/>
  <c r="L194" i="5082"/>
  <c r="L195" i="5082"/>
  <c r="L196" i="5082"/>
  <c r="L197" i="5082"/>
  <c r="L198" i="5082"/>
  <c r="L199" i="5082"/>
  <c r="L200" i="5082"/>
  <c r="L201" i="5082"/>
  <c r="L202" i="5082"/>
  <c r="L203" i="5082"/>
  <c r="L204" i="5082"/>
  <c r="L205" i="5082"/>
  <c r="L206" i="5082"/>
  <c r="L207" i="5082"/>
  <c r="L208" i="5082"/>
  <c r="L209" i="5082"/>
  <c r="L210" i="5082"/>
  <c r="L211" i="5082"/>
  <c r="L212" i="5082"/>
  <c r="L213" i="5082"/>
  <c r="L214" i="5082"/>
  <c r="L215" i="5082"/>
  <c r="L216" i="5082"/>
  <c r="L217" i="5082"/>
  <c r="L218" i="5082"/>
  <c r="L219" i="5082"/>
  <c r="L220" i="5082"/>
  <c r="L221" i="5082"/>
  <c r="L222" i="5082"/>
  <c r="L223" i="5082"/>
  <c r="L224" i="5082"/>
  <c r="L225" i="5082"/>
  <c r="L226" i="5082"/>
  <c r="L227" i="5082"/>
  <c r="L228" i="5082"/>
  <c r="L229" i="5082"/>
  <c r="L230" i="5082"/>
  <c r="L231" i="5082"/>
  <c r="L232" i="5082"/>
  <c r="L233" i="5082"/>
  <c r="L234" i="5082"/>
  <c r="L235" i="5082"/>
  <c r="L236" i="5082"/>
  <c r="L237" i="5082"/>
  <c r="L238" i="5082"/>
  <c r="L239" i="5082"/>
  <c r="L240" i="5082"/>
  <c r="L241" i="5082"/>
  <c r="L242" i="5082"/>
  <c r="L243" i="5082"/>
  <c r="L244" i="5082"/>
  <c r="L245" i="5082"/>
  <c r="L246" i="5082"/>
  <c r="L247" i="5082"/>
  <c r="L248" i="5082"/>
  <c r="L249" i="5082"/>
  <c r="L250" i="5082"/>
  <c r="L251" i="5082"/>
  <c r="L252" i="5082"/>
  <c r="L253" i="5082"/>
  <c r="L254" i="5082"/>
  <c r="L255" i="5082"/>
  <c r="L256" i="5082"/>
  <c r="L257" i="5082"/>
  <c r="L258" i="5082"/>
  <c r="L259" i="5082"/>
  <c r="L260" i="5082"/>
  <c r="L261" i="5082"/>
  <c r="L262" i="5082"/>
  <c r="L263" i="5082"/>
  <c r="L264" i="5082"/>
  <c r="L265" i="5082"/>
  <c r="L266" i="5082"/>
  <c r="L267" i="5082"/>
  <c r="L268" i="5082"/>
  <c r="L269" i="5082"/>
  <c r="L270" i="5082"/>
  <c r="L271" i="5082"/>
  <c r="L272" i="5082"/>
  <c r="L273" i="5082"/>
  <c r="L274" i="5082"/>
  <c r="L275" i="5082"/>
  <c r="L276" i="5082"/>
  <c r="L277" i="5082"/>
  <c r="L278" i="5082"/>
  <c r="L279" i="5082"/>
  <c r="L280" i="5082"/>
  <c r="L281" i="5082"/>
  <c r="L282" i="5082"/>
  <c r="L283" i="5082"/>
  <c r="L284" i="5082"/>
  <c r="L285" i="5082"/>
  <c r="L286" i="5082"/>
  <c r="L287" i="5082"/>
  <c r="L288" i="5082"/>
  <c r="L289" i="5082"/>
  <c r="L290" i="5082"/>
  <c r="L291" i="5082"/>
  <c r="L292" i="5082"/>
  <c r="L293" i="5082"/>
  <c r="L294" i="5082"/>
  <c r="L295" i="5082"/>
  <c r="L296" i="5082"/>
  <c r="L297" i="5082"/>
  <c r="L298" i="5082"/>
  <c r="L299" i="5082"/>
  <c r="L300" i="5082"/>
  <c r="L301" i="5082"/>
  <c r="L302" i="5082"/>
  <c r="L303" i="5082"/>
  <c r="L304" i="5082"/>
  <c r="L305" i="5082"/>
  <c r="L306" i="5082"/>
  <c r="L307" i="5082"/>
  <c r="L308" i="5082"/>
  <c r="L309" i="5082"/>
  <c r="L310" i="5082"/>
  <c r="L311" i="5082"/>
  <c r="L312" i="5082"/>
  <c r="L313" i="5082"/>
  <c r="L314" i="5082"/>
  <c r="L315" i="5082"/>
  <c r="L316" i="5082"/>
  <c r="L317" i="5082"/>
  <c r="L318" i="5082"/>
  <c r="L319" i="5082"/>
  <c r="L320" i="5082"/>
  <c r="L321" i="5082"/>
  <c r="L322" i="5082"/>
  <c r="L323" i="5082"/>
  <c r="L324" i="5082"/>
  <c r="L325" i="5082"/>
  <c r="L326" i="5082"/>
  <c r="L327" i="5082"/>
  <c r="L328" i="5082"/>
  <c r="L329" i="5082"/>
  <c r="L330" i="5082"/>
  <c r="L331" i="5082"/>
  <c r="L332" i="5082"/>
  <c r="L333" i="5082"/>
  <c r="L334" i="5082"/>
  <c r="L335" i="5082"/>
  <c r="L336" i="5082"/>
  <c r="L337" i="5082"/>
  <c r="L338" i="5082"/>
  <c r="L339" i="5082"/>
  <c r="L340" i="5082"/>
  <c r="L341" i="5082"/>
  <c r="L342" i="5082"/>
  <c r="L343" i="5082"/>
  <c r="L344" i="5082"/>
  <c r="L345" i="5082"/>
  <c r="L346" i="5082"/>
  <c r="L347" i="5082"/>
  <c r="L348" i="5082"/>
  <c r="L349" i="5082"/>
  <c r="L350" i="5082"/>
  <c r="L351" i="5082"/>
  <c r="L352" i="5082"/>
  <c r="L353" i="5082"/>
  <c r="L354" i="5082"/>
  <c r="L355" i="5082"/>
  <c r="L356" i="5082"/>
  <c r="L357" i="5082"/>
  <c r="L358" i="5082"/>
  <c r="L359" i="5082"/>
  <c r="L360" i="5082"/>
  <c r="L361" i="5082"/>
  <c r="L362" i="5082"/>
  <c r="L363" i="5082"/>
  <c r="L364" i="5082"/>
  <c r="L365" i="5082"/>
  <c r="L366" i="5082"/>
  <c r="L367" i="5082"/>
  <c r="L368" i="5082"/>
  <c r="L369" i="5082"/>
  <c r="L370" i="5082"/>
  <c r="L371" i="5082"/>
  <c r="L372" i="5082"/>
  <c r="L373" i="5082"/>
  <c r="L374" i="5082"/>
  <c r="L375" i="5082"/>
  <c r="L376" i="5082"/>
  <c r="L377" i="5082"/>
  <c r="L378" i="5082"/>
  <c r="L379" i="5082"/>
  <c r="L380" i="5082"/>
  <c r="L381" i="5082"/>
  <c r="L382" i="5082"/>
  <c r="L383" i="5082"/>
  <c r="L384" i="5082"/>
  <c r="L385" i="5082"/>
  <c r="L386" i="5082"/>
  <c r="L387" i="5082"/>
  <c r="L388" i="5082"/>
  <c r="L389" i="5082"/>
  <c r="L390" i="5082"/>
  <c r="L391" i="5082"/>
  <c r="L392" i="5082"/>
  <c r="L393" i="5082"/>
  <c r="L394" i="5082"/>
  <c r="L395" i="5082"/>
  <c r="L396" i="5082"/>
  <c r="L397" i="5082"/>
  <c r="L398" i="5082"/>
  <c r="L399" i="5082"/>
  <c r="L400" i="5082"/>
  <c r="L401" i="5082"/>
  <c r="L402" i="5082"/>
  <c r="L403" i="5082"/>
  <c r="L404" i="5082"/>
  <c r="L405" i="5082"/>
  <c r="L406" i="5082"/>
  <c r="L407" i="5082"/>
  <c r="L408" i="5082"/>
  <c r="L409" i="5082"/>
  <c r="L410" i="5082"/>
  <c r="L411" i="5082"/>
  <c r="L412" i="5082"/>
  <c r="L413" i="5082"/>
  <c r="L414" i="5082"/>
  <c r="L415" i="5082"/>
  <c r="L416" i="5082"/>
  <c r="L417" i="5082"/>
  <c r="L418" i="5082"/>
  <c r="L419" i="5082"/>
  <c r="L420" i="5082"/>
  <c r="L421" i="5082"/>
  <c r="L422" i="5082"/>
  <c r="L423" i="5082"/>
  <c r="L424" i="5082"/>
  <c r="L425" i="5082"/>
  <c r="L426" i="5082"/>
  <c r="L427" i="5082"/>
  <c r="L428" i="5082"/>
  <c r="L429" i="5082"/>
  <c r="L430" i="5082"/>
  <c r="L431" i="5082"/>
  <c r="L432" i="5082"/>
  <c r="L433" i="5082"/>
  <c r="L434" i="5082"/>
  <c r="L435" i="5082"/>
  <c r="L436" i="5082"/>
  <c r="L437" i="5082"/>
  <c r="L438" i="5082"/>
  <c r="L439" i="5082"/>
  <c r="L440" i="5082"/>
  <c r="L441" i="5082"/>
  <c r="L442" i="5082"/>
  <c r="L443" i="5082"/>
  <c r="L444" i="5082"/>
  <c r="L445" i="5082"/>
  <c r="L446" i="5082"/>
  <c r="L447" i="5082"/>
  <c r="L448" i="5082"/>
  <c r="L449" i="5082"/>
  <c r="L450" i="5082"/>
  <c r="L451" i="5082"/>
  <c r="L452" i="5082"/>
  <c r="L453" i="5082"/>
  <c r="L454" i="5082"/>
  <c r="L455" i="5082"/>
  <c r="L456" i="5082"/>
  <c r="L457" i="5082"/>
  <c r="L458" i="5082"/>
  <c r="L459" i="5082"/>
  <c r="L460" i="5082"/>
  <c r="L461" i="5082"/>
  <c r="L462" i="5082"/>
  <c r="L463" i="5082"/>
  <c r="L464" i="5082"/>
  <c r="L465" i="5082"/>
  <c r="L466" i="5082"/>
  <c r="L467" i="5082"/>
  <c r="L468" i="5082"/>
  <c r="L469" i="5082"/>
  <c r="L470" i="5082"/>
  <c r="L471" i="5082"/>
  <c r="L472" i="5082"/>
  <c r="L473" i="5082"/>
  <c r="L474" i="5082"/>
  <c r="L475" i="5082"/>
  <c r="L476" i="5082"/>
  <c r="L477" i="5082"/>
  <c r="L478" i="5082"/>
  <c r="L479" i="5082"/>
  <c r="L480" i="5082"/>
  <c r="L481" i="5082"/>
  <c r="L482" i="5082"/>
  <c r="L483" i="5082"/>
  <c r="L484" i="5082"/>
  <c r="L485" i="5082"/>
  <c r="L486" i="5082"/>
  <c r="L487" i="5082"/>
  <c r="L488" i="5082"/>
  <c r="L489" i="5082"/>
  <c r="L490" i="5082"/>
  <c r="L491" i="5082"/>
  <c r="L492" i="5082"/>
  <c r="L493" i="5082"/>
  <c r="L494" i="5082"/>
  <c r="L495" i="5082"/>
  <c r="L496" i="5082"/>
  <c r="L497" i="5082"/>
  <c r="L498" i="5082"/>
  <c r="L499" i="5082"/>
  <c r="L500" i="5082"/>
  <c r="L501" i="5082"/>
  <c r="L502" i="5082"/>
  <c r="L503" i="5082"/>
  <c r="L504" i="5082"/>
  <c r="L505" i="5082"/>
  <c r="L2" i="5081"/>
  <c r="L3" i="5081"/>
  <c r="L4" i="5081"/>
  <c r="L5" i="5081"/>
  <c r="L6" i="5081"/>
  <c r="L7" i="5081"/>
  <c r="L8" i="5081"/>
  <c r="L9" i="5081"/>
  <c r="L10" i="5081"/>
  <c r="L11" i="5081"/>
  <c r="L12" i="5081"/>
  <c r="L13" i="5081"/>
  <c r="L14" i="5081"/>
  <c r="L15" i="5081"/>
  <c r="L16" i="5081"/>
  <c r="L17" i="5081"/>
  <c r="L18" i="5081"/>
  <c r="L19" i="5081"/>
  <c r="L20" i="5081"/>
  <c r="L21" i="5081"/>
  <c r="L22" i="5081"/>
  <c r="L23" i="5081"/>
  <c r="L24" i="5081"/>
  <c r="L25" i="5081"/>
  <c r="L26" i="5081"/>
  <c r="L27" i="5081"/>
  <c r="L28" i="5081"/>
  <c r="L29" i="5081"/>
  <c r="L30" i="5081"/>
  <c r="L31" i="5081"/>
  <c r="L32" i="5081"/>
  <c r="L33" i="5081"/>
  <c r="L34" i="5081"/>
  <c r="L35" i="5081"/>
  <c r="L36" i="5081"/>
  <c r="L37" i="5081"/>
  <c r="L38" i="5081"/>
  <c r="L39" i="5081"/>
  <c r="L40" i="5081"/>
  <c r="L41" i="5081"/>
  <c r="L42" i="5081"/>
  <c r="L43" i="5081"/>
  <c r="L44" i="5081"/>
  <c r="L45" i="5081"/>
  <c r="L46" i="5081"/>
  <c r="L47" i="5081"/>
  <c r="L48" i="5081"/>
  <c r="L49" i="5081"/>
  <c r="L50" i="5081"/>
  <c r="L51" i="5081"/>
  <c r="L52" i="5081"/>
  <c r="L53" i="5081"/>
  <c r="L54" i="5081"/>
  <c r="L55" i="5081"/>
  <c r="L56" i="5081"/>
  <c r="L57" i="5081"/>
  <c r="L58" i="5081"/>
  <c r="L59" i="5081"/>
  <c r="L60" i="5081"/>
  <c r="L61" i="5081"/>
  <c r="L62" i="5081"/>
  <c r="L63" i="5081"/>
  <c r="L64" i="5081"/>
  <c r="L65" i="5081"/>
  <c r="L66" i="5081"/>
  <c r="L67" i="5081"/>
  <c r="L68" i="5081"/>
  <c r="L69" i="5081"/>
  <c r="L70" i="5081"/>
  <c r="L71" i="5081"/>
  <c r="L72" i="5081"/>
  <c r="L73" i="5081"/>
  <c r="L74" i="5081"/>
  <c r="L75" i="5081"/>
  <c r="L76" i="5081"/>
  <c r="L77" i="5081"/>
  <c r="L78" i="5081"/>
  <c r="L79" i="5081"/>
  <c r="L80" i="5081"/>
  <c r="L81" i="5081"/>
  <c r="L82" i="5081"/>
  <c r="L83" i="5081"/>
  <c r="L84" i="5081"/>
  <c r="L85" i="5081"/>
  <c r="L86" i="5081"/>
  <c r="L87" i="5081"/>
  <c r="L88" i="5081"/>
  <c r="L89" i="5081"/>
  <c r="L90" i="5081"/>
  <c r="L91" i="5081"/>
  <c r="L92" i="5081"/>
  <c r="L93" i="5081"/>
  <c r="L94" i="5081"/>
  <c r="L95" i="5081"/>
  <c r="L96" i="5081"/>
  <c r="L97" i="5081"/>
  <c r="L98" i="5081"/>
  <c r="L99" i="5081"/>
  <c r="L100" i="5081"/>
  <c r="L101" i="5081"/>
  <c r="L102" i="5081"/>
  <c r="L103" i="5081"/>
  <c r="L104" i="5081"/>
  <c r="L105" i="5081"/>
  <c r="L106" i="5081"/>
  <c r="L107" i="5081"/>
  <c r="L108" i="5081"/>
  <c r="L109" i="5081"/>
  <c r="L110" i="5081"/>
  <c r="L111" i="5081"/>
  <c r="L112" i="5081"/>
  <c r="L113" i="5081"/>
  <c r="L114" i="5081"/>
  <c r="L115" i="5081"/>
  <c r="L116" i="5081"/>
  <c r="L117" i="5081"/>
  <c r="L118" i="5081"/>
  <c r="L119" i="5081"/>
  <c r="L120" i="5081"/>
  <c r="L121" i="5081"/>
  <c r="L122" i="5081"/>
  <c r="L123" i="5081"/>
  <c r="L124" i="5081"/>
  <c r="L125" i="5081"/>
  <c r="L126" i="5081"/>
  <c r="L127" i="5081"/>
  <c r="L128" i="5081"/>
  <c r="L129" i="5081"/>
  <c r="L130" i="5081"/>
  <c r="L131" i="5081"/>
  <c r="L132" i="5081"/>
  <c r="L133" i="5081"/>
  <c r="L134" i="5081"/>
  <c r="L135" i="5081"/>
  <c r="L136" i="5081"/>
  <c r="L137" i="5081"/>
  <c r="L138" i="5081"/>
  <c r="L139" i="5081"/>
  <c r="L140" i="5081"/>
  <c r="L141" i="5081"/>
  <c r="L142" i="5081"/>
  <c r="L143" i="5081"/>
  <c r="L144" i="5081"/>
  <c r="L145" i="5081"/>
  <c r="L146" i="5081"/>
  <c r="L147" i="5081"/>
  <c r="L148" i="5081"/>
  <c r="L149" i="5081"/>
  <c r="L150" i="5081"/>
  <c r="L151" i="5081"/>
  <c r="L152" i="5081"/>
  <c r="L153" i="5081"/>
  <c r="L154" i="5081"/>
  <c r="L155" i="5081"/>
  <c r="L156" i="5081"/>
  <c r="L157" i="5081"/>
  <c r="L158" i="5081"/>
  <c r="L159" i="5081"/>
  <c r="L160" i="5081"/>
  <c r="L161" i="5081"/>
  <c r="L162" i="5081"/>
  <c r="L163" i="5081"/>
  <c r="L164" i="5081"/>
  <c r="L165" i="5081"/>
  <c r="L166" i="5081"/>
  <c r="L167" i="5081"/>
  <c r="L168" i="5081"/>
  <c r="L169" i="5081"/>
  <c r="L170" i="5081"/>
  <c r="L171" i="5081"/>
  <c r="L172" i="5081"/>
  <c r="L173" i="5081"/>
  <c r="L174" i="5081"/>
  <c r="L175" i="5081"/>
  <c r="L176" i="5081"/>
  <c r="L177" i="5081"/>
  <c r="L178" i="5081"/>
  <c r="L179" i="5081"/>
  <c r="L180" i="5081"/>
  <c r="L181" i="5081"/>
  <c r="L182" i="5081"/>
  <c r="L183" i="5081"/>
  <c r="L184" i="5081"/>
  <c r="L185" i="5081"/>
  <c r="L186" i="5081"/>
  <c r="L187" i="5081"/>
  <c r="L188" i="5081"/>
  <c r="L189" i="5081"/>
  <c r="L190" i="5081"/>
  <c r="L191" i="5081"/>
  <c r="L192" i="5081"/>
  <c r="L193" i="5081"/>
  <c r="L194" i="5081"/>
  <c r="L195" i="5081"/>
  <c r="L196" i="5081"/>
  <c r="L197" i="5081"/>
  <c r="L198" i="5081"/>
  <c r="L199" i="5081"/>
  <c r="L200" i="5081"/>
  <c r="L201" i="5081"/>
  <c r="L202" i="5081"/>
  <c r="L203" i="5081"/>
  <c r="L204" i="5081"/>
  <c r="L205" i="5081"/>
  <c r="L206" i="5081"/>
  <c r="L207" i="5081"/>
  <c r="L208" i="5081"/>
  <c r="L209" i="5081"/>
  <c r="L210" i="5081"/>
  <c r="L211" i="5081"/>
  <c r="L212" i="5081"/>
  <c r="L213" i="5081"/>
  <c r="L214" i="5081"/>
  <c r="L215" i="5081"/>
  <c r="L216" i="5081"/>
  <c r="L217" i="5081"/>
  <c r="L218" i="5081"/>
  <c r="L219" i="5081"/>
  <c r="L220" i="5081"/>
  <c r="L221" i="5081"/>
  <c r="L222" i="5081"/>
  <c r="L223" i="5081"/>
  <c r="L224" i="5081"/>
  <c r="L225" i="5081"/>
  <c r="L226" i="5081"/>
  <c r="L227" i="5081"/>
  <c r="L228" i="5081"/>
  <c r="L229" i="5081"/>
  <c r="L230" i="5081"/>
  <c r="L231" i="5081"/>
  <c r="L232" i="5081"/>
  <c r="L233" i="5081"/>
  <c r="L234" i="5081"/>
  <c r="L235" i="5081"/>
  <c r="L236" i="5081"/>
  <c r="L237" i="5081"/>
  <c r="L238" i="5081"/>
  <c r="L239" i="5081"/>
  <c r="L240" i="5081"/>
  <c r="L241" i="5081"/>
  <c r="L242" i="5081"/>
  <c r="L243" i="5081"/>
  <c r="L244" i="5081"/>
  <c r="L245" i="5081"/>
  <c r="L246" i="5081"/>
  <c r="L247" i="5081"/>
  <c r="L248" i="5081"/>
  <c r="L249" i="5081"/>
  <c r="L250" i="5081"/>
  <c r="L251" i="5081"/>
  <c r="L252" i="5081"/>
  <c r="L253" i="5081"/>
  <c r="L254" i="5081"/>
  <c r="L255" i="5081"/>
  <c r="L256" i="5081"/>
  <c r="L257" i="5081"/>
  <c r="L258" i="5081"/>
  <c r="L259" i="5081"/>
  <c r="L260" i="5081"/>
  <c r="L261" i="5081"/>
  <c r="L262" i="5081"/>
  <c r="L263" i="5081"/>
  <c r="L264" i="5081"/>
  <c r="L265" i="5081"/>
  <c r="L266" i="5081"/>
  <c r="L267" i="5081"/>
  <c r="L268" i="5081"/>
  <c r="L269" i="5081"/>
  <c r="L270" i="5081"/>
  <c r="L271" i="5081"/>
  <c r="L272" i="5081"/>
  <c r="L273" i="5081"/>
  <c r="L274" i="5081"/>
  <c r="L275" i="5081"/>
  <c r="L276" i="5081"/>
  <c r="L277" i="5081"/>
  <c r="L278" i="5081"/>
  <c r="L279" i="5081"/>
  <c r="L280" i="5081"/>
  <c r="L281" i="5081"/>
  <c r="L282" i="5081"/>
  <c r="L283" i="5081"/>
  <c r="L284" i="5081"/>
  <c r="L285" i="5081"/>
  <c r="L286" i="5081"/>
  <c r="L287" i="5081"/>
  <c r="L288" i="5081"/>
  <c r="L289" i="5081"/>
  <c r="L290" i="5081"/>
  <c r="L291" i="5081"/>
  <c r="L292" i="5081"/>
  <c r="L293" i="5081"/>
  <c r="L294" i="5081"/>
  <c r="L295" i="5081"/>
  <c r="L296" i="5081"/>
  <c r="L297" i="5081"/>
  <c r="L298" i="5081"/>
  <c r="L299" i="5081"/>
  <c r="L300" i="5081"/>
  <c r="L301" i="5081"/>
  <c r="L302" i="5081"/>
  <c r="L303" i="5081"/>
  <c r="L304" i="5081"/>
  <c r="L305" i="5081"/>
  <c r="L306" i="5081"/>
  <c r="L307" i="5081"/>
  <c r="L308" i="5081"/>
  <c r="L309" i="5081"/>
  <c r="L310" i="5081"/>
  <c r="L311" i="5081"/>
  <c r="L312" i="5081"/>
  <c r="L313" i="5081"/>
  <c r="L314" i="5081"/>
  <c r="L315" i="5081"/>
  <c r="L316" i="5081"/>
  <c r="L317" i="5081"/>
  <c r="L318" i="5081"/>
  <c r="L319" i="5081"/>
  <c r="L320" i="5081"/>
  <c r="L321" i="5081"/>
  <c r="L322" i="5081"/>
  <c r="L323" i="5081"/>
  <c r="L324" i="5081"/>
  <c r="L325" i="5081"/>
  <c r="L326" i="5081"/>
  <c r="L327" i="5081"/>
  <c r="L328" i="5081"/>
  <c r="L329" i="5081"/>
  <c r="L330" i="5081"/>
  <c r="L331" i="5081"/>
  <c r="L332" i="5081"/>
  <c r="L333" i="5081"/>
  <c r="L334" i="5081"/>
  <c r="L335" i="5081"/>
  <c r="L336" i="5081"/>
  <c r="L337" i="5081"/>
  <c r="L338" i="5081"/>
  <c r="L339" i="5081"/>
  <c r="L340" i="5081"/>
  <c r="L341" i="5081"/>
  <c r="L342" i="5081"/>
  <c r="L343" i="5081"/>
  <c r="L344" i="5081"/>
  <c r="L345" i="5081"/>
  <c r="L346" i="5081"/>
  <c r="L347" i="5081"/>
  <c r="L348" i="5081"/>
  <c r="L349" i="5081"/>
  <c r="L350" i="5081"/>
  <c r="L351" i="5081"/>
  <c r="L352" i="5081"/>
  <c r="L353" i="5081"/>
  <c r="L354" i="5081"/>
  <c r="L355" i="5081"/>
  <c r="L356" i="5081"/>
  <c r="L357" i="5081"/>
  <c r="L358" i="5081"/>
  <c r="L359" i="5081"/>
  <c r="L360" i="5081"/>
  <c r="L361" i="5081"/>
  <c r="L362" i="5081"/>
  <c r="L363" i="5081"/>
  <c r="L364" i="5081"/>
  <c r="L365" i="5081"/>
  <c r="L366" i="5081"/>
  <c r="L367" i="5081"/>
  <c r="L368" i="5081"/>
  <c r="L369" i="5081"/>
  <c r="L370" i="5081"/>
  <c r="L371" i="5081"/>
  <c r="L372" i="5081"/>
  <c r="L373" i="5081"/>
  <c r="L374" i="5081"/>
  <c r="L375" i="5081"/>
  <c r="L376" i="5081"/>
  <c r="L377" i="5081"/>
  <c r="L378" i="5081"/>
  <c r="L379" i="5081"/>
  <c r="L380" i="5081"/>
  <c r="L381" i="5081"/>
  <c r="L382" i="5081"/>
  <c r="L383" i="5081"/>
  <c r="L384" i="5081"/>
  <c r="L385" i="5081"/>
  <c r="L386" i="5081"/>
  <c r="L387" i="5081"/>
  <c r="L388" i="5081"/>
  <c r="L389" i="5081"/>
  <c r="L390" i="5081"/>
  <c r="L391" i="5081"/>
  <c r="L392" i="5081"/>
  <c r="L393" i="5081"/>
  <c r="L394" i="5081"/>
  <c r="L395" i="5081"/>
  <c r="L396" i="5081"/>
  <c r="L397" i="5081"/>
  <c r="L398" i="5081"/>
  <c r="L399" i="5081"/>
  <c r="L400" i="5081"/>
  <c r="L401" i="5081"/>
  <c r="L402" i="5081"/>
  <c r="L403" i="5081"/>
  <c r="L404" i="5081"/>
  <c r="L405" i="5081"/>
  <c r="L406" i="5081"/>
  <c r="L407" i="5081"/>
  <c r="L408" i="5081"/>
  <c r="L409" i="5081"/>
  <c r="L410" i="5081"/>
  <c r="L411" i="5081"/>
  <c r="L412" i="5081"/>
  <c r="L413" i="5081"/>
  <c r="L414" i="5081"/>
  <c r="L415" i="5081"/>
  <c r="L416" i="5081"/>
  <c r="L417" i="5081"/>
  <c r="L418" i="5081"/>
  <c r="L419" i="5081"/>
  <c r="L420" i="5081"/>
  <c r="L421" i="5081"/>
  <c r="L422" i="5081"/>
  <c r="L423" i="5081"/>
  <c r="L424" i="5081"/>
  <c r="L425" i="5081"/>
  <c r="L426" i="5081"/>
  <c r="L427" i="5081"/>
  <c r="L428" i="5081"/>
  <c r="L429" i="5081"/>
  <c r="L430" i="5081"/>
  <c r="L431" i="5081"/>
  <c r="L432" i="5081"/>
  <c r="L433" i="5081"/>
  <c r="L434" i="5081"/>
  <c r="L435" i="5081"/>
  <c r="L436" i="5081"/>
  <c r="L437" i="5081"/>
  <c r="L438" i="5081"/>
  <c r="L439" i="5081"/>
  <c r="L440" i="5081"/>
  <c r="L441" i="5081"/>
  <c r="L442" i="5081"/>
  <c r="L443" i="5081"/>
  <c r="L444" i="5081"/>
  <c r="L445" i="5081"/>
  <c r="L446" i="5081"/>
  <c r="L447" i="5081"/>
  <c r="L448" i="5081"/>
  <c r="L449" i="5081"/>
  <c r="L450" i="5081"/>
  <c r="L451" i="5081"/>
  <c r="L452" i="5081"/>
  <c r="L453" i="5081"/>
  <c r="L454" i="5081"/>
  <c r="L455" i="5081"/>
  <c r="L456" i="5081"/>
  <c r="L457" i="5081"/>
  <c r="L458" i="5081"/>
  <c r="L459" i="5081"/>
  <c r="L460" i="5081"/>
  <c r="L461" i="5081"/>
  <c r="L462" i="5081"/>
  <c r="L463" i="5081"/>
  <c r="L464" i="5081"/>
  <c r="L465" i="5081"/>
  <c r="L466" i="5081"/>
  <c r="L467" i="5081"/>
  <c r="L468" i="5081"/>
  <c r="L469" i="5081"/>
  <c r="L470" i="5081"/>
  <c r="L471" i="5081"/>
  <c r="L472" i="5081"/>
  <c r="L473" i="5081"/>
  <c r="L474" i="5081"/>
  <c r="L475" i="5081"/>
  <c r="L476" i="5081"/>
  <c r="L477" i="5081"/>
  <c r="L478" i="5081"/>
  <c r="L479" i="5081"/>
  <c r="L480" i="5081"/>
  <c r="L481" i="5081"/>
  <c r="L482" i="5081"/>
  <c r="L483" i="5081"/>
  <c r="L484" i="5081"/>
  <c r="L485" i="5081"/>
  <c r="L486" i="5081"/>
  <c r="L487" i="5081"/>
  <c r="L488" i="5081"/>
  <c r="L489" i="5081"/>
  <c r="L490" i="5081"/>
  <c r="L491" i="5081"/>
  <c r="L492" i="5081"/>
  <c r="L493" i="5081"/>
  <c r="L494" i="5081"/>
  <c r="L495" i="5081"/>
  <c r="L496" i="5081"/>
  <c r="L497" i="5081"/>
  <c r="L498" i="5081"/>
  <c r="L499" i="5081"/>
  <c r="L500" i="5081"/>
  <c r="L501" i="5081"/>
  <c r="L502" i="5081"/>
  <c r="L503" i="5081"/>
  <c r="L504" i="5081"/>
  <c r="L505" i="5081"/>
  <c r="L2" i="5080"/>
  <c r="L3" i="5080"/>
  <c r="L4" i="5080"/>
  <c r="L5" i="5080"/>
  <c r="L6" i="5080"/>
  <c r="L7" i="5080"/>
  <c r="L8" i="5080"/>
  <c r="L9" i="5080"/>
  <c r="L10" i="5080"/>
  <c r="L11" i="5080"/>
  <c r="L12" i="5080"/>
  <c r="L13" i="5080"/>
  <c r="L14" i="5080"/>
  <c r="L15" i="5080"/>
  <c r="L16" i="5080"/>
  <c r="L17" i="5080"/>
  <c r="L18" i="5080"/>
  <c r="L19" i="5080"/>
  <c r="L20" i="5080"/>
  <c r="L21" i="5080"/>
  <c r="L22" i="5080"/>
  <c r="L23" i="5080"/>
  <c r="L24" i="5080"/>
  <c r="L25" i="5080"/>
  <c r="L26" i="5080"/>
  <c r="L27" i="5080"/>
  <c r="L28" i="5080"/>
  <c r="L29" i="5080"/>
  <c r="L30" i="5080"/>
  <c r="L31" i="5080"/>
  <c r="L32" i="5080"/>
  <c r="L33" i="5080"/>
  <c r="L34" i="5080"/>
  <c r="L35" i="5080"/>
  <c r="L36" i="5080"/>
  <c r="L37" i="5080"/>
  <c r="L38" i="5080"/>
  <c r="L39" i="5080"/>
  <c r="L40" i="5080"/>
  <c r="L41" i="5080"/>
  <c r="L42" i="5080"/>
  <c r="L43" i="5080"/>
  <c r="L44" i="5080"/>
  <c r="L45" i="5080"/>
  <c r="L46" i="5080"/>
  <c r="L47" i="5080"/>
  <c r="L48" i="5080"/>
  <c r="L49" i="5080"/>
  <c r="L50" i="5080"/>
  <c r="L51" i="5080"/>
  <c r="L52" i="5080"/>
  <c r="L53" i="5080"/>
  <c r="L54" i="5080"/>
  <c r="L55" i="5080"/>
  <c r="L56" i="5080"/>
  <c r="L57" i="5080"/>
  <c r="L58" i="5080"/>
  <c r="L59" i="5080"/>
  <c r="L60" i="5080"/>
  <c r="L61" i="5080"/>
  <c r="L62" i="5080"/>
  <c r="L63" i="5080"/>
  <c r="L64" i="5080"/>
  <c r="L65" i="5080"/>
  <c r="L66" i="5080"/>
  <c r="L67" i="5080"/>
  <c r="L68" i="5080"/>
  <c r="L69" i="5080"/>
  <c r="L70" i="5080"/>
  <c r="L71" i="5080"/>
  <c r="L72" i="5080"/>
  <c r="L73" i="5080"/>
  <c r="L74" i="5080"/>
  <c r="L75" i="5080"/>
  <c r="L76" i="5080"/>
  <c r="L77" i="5080"/>
  <c r="L78" i="5080"/>
  <c r="L79" i="5080"/>
  <c r="L80" i="5080"/>
  <c r="L81" i="5080"/>
  <c r="L82" i="5080"/>
  <c r="L83" i="5080"/>
  <c r="L84" i="5080"/>
  <c r="L85" i="5080"/>
  <c r="L86" i="5080"/>
  <c r="L87" i="5080"/>
  <c r="L88" i="5080"/>
  <c r="L89" i="5080"/>
  <c r="L90" i="5080"/>
  <c r="L91" i="5080"/>
  <c r="L92" i="5080"/>
  <c r="L93" i="5080"/>
  <c r="L94" i="5080"/>
  <c r="L95" i="5080"/>
  <c r="L96" i="5080"/>
  <c r="L97" i="5080"/>
  <c r="L98" i="5080"/>
  <c r="L99" i="5080"/>
  <c r="L100" i="5080"/>
  <c r="L101" i="5080"/>
  <c r="L102" i="5080"/>
  <c r="L103" i="5080"/>
  <c r="L104" i="5080"/>
  <c r="L105" i="5080"/>
  <c r="L106" i="5080"/>
  <c r="L107" i="5080"/>
  <c r="L108" i="5080"/>
  <c r="L109" i="5080"/>
  <c r="L110" i="5080"/>
  <c r="L111" i="5080"/>
  <c r="L112" i="5080"/>
  <c r="L113" i="5080"/>
  <c r="L114" i="5080"/>
  <c r="L115" i="5080"/>
  <c r="L116" i="5080"/>
  <c r="L117" i="5080"/>
  <c r="L118" i="5080"/>
  <c r="L119" i="5080"/>
  <c r="L120" i="5080"/>
  <c r="L121" i="5080"/>
  <c r="L122" i="5080"/>
  <c r="L123" i="5080"/>
  <c r="L124" i="5080"/>
  <c r="L125" i="5080"/>
  <c r="L126" i="5080"/>
  <c r="L127" i="5080"/>
  <c r="L128" i="5080"/>
  <c r="L129" i="5080"/>
  <c r="L130" i="5080"/>
  <c r="L131" i="5080"/>
  <c r="L132" i="5080"/>
  <c r="L133" i="5080"/>
  <c r="L134" i="5080"/>
  <c r="L135" i="5080"/>
  <c r="L136" i="5080"/>
  <c r="L137" i="5080"/>
  <c r="L138" i="5080"/>
  <c r="L139" i="5080"/>
  <c r="L140" i="5080"/>
  <c r="L141" i="5080"/>
  <c r="L142" i="5080"/>
  <c r="L143" i="5080"/>
  <c r="L144" i="5080"/>
  <c r="L145" i="5080"/>
  <c r="L146" i="5080"/>
  <c r="L147" i="5080"/>
  <c r="L148" i="5080"/>
  <c r="L149" i="5080"/>
  <c r="L150" i="5080"/>
  <c r="L151" i="5080"/>
  <c r="L152" i="5080"/>
  <c r="L153" i="5080"/>
  <c r="L154" i="5080"/>
  <c r="L155" i="5080"/>
  <c r="L156" i="5080"/>
  <c r="L157" i="5080"/>
  <c r="L158" i="5080"/>
  <c r="L159" i="5080"/>
  <c r="L160" i="5080"/>
  <c r="L161" i="5080"/>
  <c r="L162" i="5080"/>
  <c r="L163" i="5080"/>
  <c r="L164" i="5080"/>
  <c r="L165" i="5080"/>
  <c r="L166" i="5080"/>
  <c r="L167" i="5080"/>
  <c r="L168" i="5080"/>
  <c r="L169" i="5080"/>
  <c r="L170" i="5080"/>
  <c r="L171" i="5080"/>
  <c r="L172" i="5080"/>
  <c r="L173" i="5080"/>
  <c r="L174" i="5080"/>
  <c r="L175" i="5080"/>
  <c r="L176" i="5080"/>
  <c r="L177" i="5080"/>
  <c r="L178" i="5080"/>
  <c r="L179" i="5080"/>
  <c r="L180" i="5080"/>
  <c r="L181" i="5080"/>
  <c r="L182" i="5080"/>
  <c r="L183" i="5080"/>
  <c r="L184" i="5080"/>
  <c r="L185" i="5080"/>
  <c r="L186" i="5080"/>
  <c r="L187" i="5080"/>
  <c r="L188" i="5080"/>
  <c r="L189" i="5080"/>
  <c r="L190" i="5080"/>
  <c r="L191" i="5080"/>
  <c r="L192" i="5080"/>
  <c r="L193" i="5080"/>
  <c r="L194" i="5080"/>
  <c r="L195" i="5080"/>
  <c r="L196" i="5080"/>
  <c r="L197" i="5080"/>
  <c r="L198" i="5080"/>
  <c r="L199" i="5080"/>
  <c r="L200" i="5080"/>
  <c r="L201" i="5080"/>
  <c r="L202" i="5080"/>
  <c r="L203" i="5080"/>
  <c r="L204" i="5080"/>
  <c r="L205" i="5080"/>
  <c r="L206" i="5080"/>
  <c r="L207" i="5080"/>
  <c r="L208" i="5080"/>
  <c r="L209" i="5080"/>
  <c r="L210" i="5080"/>
  <c r="L211" i="5080"/>
  <c r="L212" i="5080"/>
  <c r="L213" i="5080"/>
  <c r="L214" i="5080"/>
  <c r="L215" i="5080"/>
  <c r="L216" i="5080"/>
  <c r="L217" i="5080"/>
  <c r="L218" i="5080"/>
  <c r="L219" i="5080"/>
  <c r="L220" i="5080"/>
  <c r="L221" i="5080"/>
  <c r="L222" i="5080"/>
  <c r="L223" i="5080"/>
  <c r="L224" i="5080"/>
  <c r="L225" i="5080"/>
  <c r="L226" i="5080"/>
  <c r="L227" i="5080"/>
  <c r="L228" i="5080"/>
  <c r="L229" i="5080"/>
  <c r="L230" i="5080"/>
  <c r="L231" i="5080"/>
  <c r="L232" i="5080"/>
  <c r="L233" i="5080"/>
  <c r="L234" i="5080"/>
  <c r="L235" i="5080"/>
  <c r="L236" i="5080"/>
  <c r="L237" i="5080"/>
  <c r="L238" i="5080"/>
  <c r="L239" i="5080"/>
  <c r="L240" i="5080"/>
  <c r="L241" i="5080"/>
  <c r="L242" i="5080"/>
  <c r="L243" i="5080"/>
  <c r="L244" i="5080"/>
  <c r="L245" i="5080"/>
  <c r="L246" i="5080"/>
  <c r="L247" i="5080"/>
  <c r="L248" i="5080"/>
  <c r="L249" i="5080"/>
  <c r="L250" i="5080"/>
  <c r="L251" i="5080"/>
  <c r="L252" i="5080"/>
  <c r="L253" i="5080"/>
  <c r="L254" i="5080"/>
  <c r="L255" i="5080"/>
  <c r="L256" i="5080"/>
  <c r="L257" i="5080"/>
  <c r="L258" i="5080"/>
  <c r="L259" i="5080"/>
  <c r="L260" i="5080"/>
  <c r="L261" i="5080"/>
  <c r="L262" i="5080"/>
  <c r="L263" i="5080"/>
  <c r="L264" i="5080"/>
  <c r="L265" i="5080"/>
  <c r="L266" i="5080"/>
  <c r="L267" i="5080"/>
  <c r="L268" i="5080"/>
  <c r="L269" i="5080"/>
  <c r="L270" i="5080"/>
  <c r="L271" i="5080"/>
  <c r="L272" i="5080"/>
  <c r="L273" i="5080"/>
  <c r="L274" i="5080"/>
  <c r="L275" i="5080"/>
  <c r="L276" i="5080"/>
  <c r="L277" i="5080"/>
  <c r="L278" i="5080"/>
  <c r="L279" i="5080"/>
  <c r="L280" i="5080"/>
  <c r="L281" i="5080"/>
  <c r="L282" i="5080"/>
  <c r="L283" i="5080"/>
  <c r="L284" i="5080"/>
  <c r="L285" i="5080"/>
  <c r="L286" i="5080"/>
  <c r="L287" i="5080"/>
  <c r="L288" i="5080"/>
  <c r="L289" i="5080"/>
  <c r="L290" i="5080"/>
  <c r="L291" i="5080"/>
  <c r="L292" i="5080"/>
  <c r="L293" i="5080"/>
  <c r="L294" i="5080"/>
  <c r="L295" i="5080"/>
  <c r="L296" i="5080"/>
  <c r="L297" i="5080"/>
  <c r="L298" i="5080"/>
  <c r="L299" i="5080"/>
  <c r="L300" i="5080"/>
  <c r="L301" i="5080"/>
  <c r="L302" i="5080"/>
  <c r="L303" i="5080"/>
  <c r="L304" i="5080"/>
  <c r="L305" i="5080"/>
  <c r="L306" i="5080"/>
  <c r="L307" i="5080"/>
  <c r="L308" i="5080"/>
  <c r="L309" i="5080"/>
  <c r="L310" i="5080"/>
  <c r="L311" i="5080"/>
  <c r="L312" i="5080"/>
  <c r="L313" i="5080"/>
  <c r="L314" i="5080"/>
  <c r="L315" i="5080"/>
  <c r="L316" i="5080"/>
  <c r="L317" i="5080"/>
  <c r="L318" i="5080"/>
  <c r="L319" i="5080"/>
  <c r="L320" i="5080"/>
  <c r="L321" i="5080"/>
  <c r="L322" i="5080"/>
  <c r="L323" i="5080"/>
  <c r="L324" i="5080"/>
  <c r="L325" i="5080"/>
  <c r="L326" i="5080"/>
  <c r="L327" i="5080"/>
  <c r="L328" i="5080"/>
  <c r="L329" i="5080"/>
  <c r="L330" i="5080"/>
  <c r="L331" i="5080"/>
  <c r="L332" i="5080"/>
  <c r="L333" i="5080"/>
  <c r="L334" i="5080"/>
  <c r="L335" i="5080"/>
  <c r="L336" i="5080"/>
  <c r="L337" i="5080"/>
  <c r="L338" i="5080"/>
  <c r="L339" i="5080"/>
  <c r="L340" i="5080"/>
  <c r="L341" i="5080"/>
  <c r="L342" i="5080"/>
  <c r="L343" i="5080"/>
  <c r="L344" i="5080"/>
  <c r="L345" i="5080"/>
  <c r="L346" i="5080"/>
  <c r="L347" i="5080"/>
  <c r="L348" i="5080"/>
  <c r="L349" i="5080"/>
  <c r="L350" i="5080"/>
  <c r="L351" i="5080"/>
  <c r="L352" i="5080"/>
  <c r="L353" i="5080"/>
  <c r="L354" i="5080"/>
  <c r="L355" i="5080"/>
  <c r="L356" i="5080"/>
  <c r="L357" i="5080"/>
  <c r="L358" i="5080"/>
  <c r="L359" i="5080"/>
  <c r="L360" i="5080"/>
  <c r="L361" i="5080"/>
  <c r="L362" i="5080"/>
  <c r="L363" i="5080"/>
  <c r="L364" i="5080"/>
  <c r="L365" i="5080"/>
  <c r="L366" i="5080"/>
  <c r="L367" i="5080"/>
  <c r="L368" i="5080"/>
  <c r="L369" i="5080"/>
  <c r="L370" i="5080"/>
  <c r="L371" i="5080"/>
  <c r="L372" i="5080"/>
  <c r="L373" i="5080"/>
  <c r="L374" i="5080"/>
  <c r="L375" i="5080"/>
  <c r="L376" i="5080"/>
  <c r="L377" i="5080"/>
  <c r="L378" i="5080"/>
  <c r="L379" i="5080"/>
  <c r="L380" i="5080"/>
  <c r="L381" i="5080"/>
  <c r="L382" i="5080"/>
  <c r="L383" i="5080"/>
  <c r="L384" i="5080"/>
  <c r="L385" i="5080"/>
  <c r="L386" i="5080"/>
  <c r="L387" i="5080"/>
  <c r="L388" i="5080"/>
  <c r="L389" i="5080"/>
  <c r="L390" i="5080"/>
  <c r="L391" i="5080"/>
  <c r="L392" i="5080"/>
  <c r="L393" i="5080"/>
  <c r="L394" i="5080"/>
  <c r="L395" i="5080"/>
  <c r="L396" i="5080"/>
  <c r="L397" i="5080"/>
  <c r="L398" i="5080"/>
  <c r="L399" i="5080"/>
  <c r="L400" i="5080"/>
  <c r="L401" i="5080"/>
  <c r="L402" i="5080"/>
  <c r="L403" i="5080"/>
  <c r="L404" i="5080"/>
  <c r="L405" i="5080"/>
  <c r="L406" i="5080"/>
  <c r="L407" i="5080"/>
  <c r="L408" i="5080"/>
  <c r="L409" i="5080"/>
  <c r="L410" i="5080"/>
  <c r="L411" i="5080"/>
  <c r="L412" i="5080"/>
  <c r="L413" i="5080"/>
  <c r="L414" i="5080"/>
  <c r="L415" i="5080"/>
  <c r="L416" i="5080"/>
  <c r="L417" i="5080"/>
  <c r="L418" i="5080"/>
  <c r="L419" i="5080"/>
  <c r="L420" i="5080"/>
  <c r="L421" i="5080"/>
  <c r="L422" i="5080"/>
  <c r="L423" i="5080"/>
  <c r="L424" i="5080"/>
  <c r="L425" i="5080"/>
  <c r="L426" i="5080"/>
  <c r="L427" i="5080"/>
  <c r="L428" i="5080"/>
  <c r="L429" i="5080"/>
  <c r="L430" i="5080"/>
  <c r="L431" i="5080"/>
  <c r="L432" i="5080"/>
  <c r="L433" i="5080"/>
  <c r="L434" i="5080"/>
  <c r="L435" i="5080"/>
  <c r="L436" i="5080"/>
  <c r="L437" i="5080"/>
  <c r="L438" i="5080"/>
  <c r="L439" i="5080"/>
  <c r="L440" i="5080"/>
  <c r="L441" i="5080"/>
  <c r="L442" i="5080"/>
  <c r="L443" i="5080"/>
  <c r="L444" i="5080"/>
  <c r="L445" i="5080"/>
  <c r="L446" i="5080"/>
  <c r="L447" i="5080"/>
  <c r="L448" i="5080"/>
  <c r="L449" i="5080"/>
  <c r="L450" i="5080"/>
  <c r="L451" i="5080"/>
  <c r="L452" i="5080"/>
  <c r="L453" i="5080"/>
  <c r="L454" i="5080"/>
  <c r="L455" i="5080"/>
  <c r="L456" i="5080"/>
  <c r="L457" i="5080"/>
  <c r="L458" i="5080"/>
  <c r="L459" i="5080"/>
  <c r="L460" i="5080"/>
  <c r="L461" i="5080"/>
  <c r="L462" i="5080"/>
  <c r="L463" i="5080"/>
  <c r="L464" i="5080"/>
  <c r="L465" i="5080"/>
  <c r="L466" i="5080"/>
  <c r="L467" i="5080"/>
  <c r="L468" i="5080"/>
  <c r="L469" i="5080"/>
  <c r="L470" i="5080"/>
  <c r="L471" i="5080"/>
  <c r="L472" i="5080"/>
  <c r="L473" i="5080"/>
  <c r="L474" i="5080"/>
  <c r="L475" i="5080"/>
  <c r="L476" i="5080"/>
  <c r="L477" i="5080"/>
  <c r="L478" i="5080"/>
  <c r="L479" i="5080"/>
  <c r="L480" i="5080"/>
  <c r="L481" i="5080"/>
  <c r="L482" i="5080"/>
  <c r="L483" i="5080"/>
  <c r="L484" i="5080"/>
  <c r="L485" i="5080"/>
  <c r="L486" i="5080"/>
  <c r="L487" i="5080"/>
  <c r="L488" i="5080"/>
  <c r="L489" i="5080"/>
  <c r="L490" i="5080"/>
  <c r="L491" i="5080"/>
  <c r="L492" i="5080"/>
  <c r="L493" i="5080"/>
  <c r="L494" i="5080"/>
  <c r="L495" i="5080"/>
  <c r="L496" i="5080"/>
  <c r="L497" i="5080"/>
  <c r="L498" i="5080"/>
  <c r="L499" i="5080"/>
  <c r="L500" i="5080"/>
  <c r="L501" i="5080"/>
  <c r="L502" i="5080"/>
  <c r="L503" i="5080"/>
  <c r="L504" i="5080"/>
  <c r="L505" i="5080"/>
  <c r="L2" i="5079"/>
  <c r="L3" i="5079"/>
  <c r="L4" i="5079"/>
  <c r="L5" i="5079"/>
  <c r="L6" i="5079"/>
  <c r="L7" i="5079"/>
  <c r="L8" i="5079"/>
  <c r="L9" i="5079"/>
  <c r="L10" i="5079"/>
  <c r="L11" i="5079"/>
  <c r="L12" i="5079"/>
  <c r="L13" i="5079"/>
  <c r="L14" i="5079"/>
  <c r="L15" i="5079"/>
  <c r="L16" i="5079"/>
  <c r="L17" i="5079"/>
  <c r="L18" i="5079"/>
  <c r="L19" i="5079"/>
  <c r="L20" i="5079"/>
  <c r="L21" i="5079"/>
  <c r="L22" i="5079"/>
  <c r="L23" i="5079"/>
  <c r="L24" i="5079"/>
  <c r="L25" i="5079"/>
  <c r="L26" i="5079"/>
  <c r="L27" i="5079"/>
  <c r="L28" i="5079"/>
  <c r="L29" i="5079"/>
  <c r="L30" i="5079"/>
  <c r="L31" i="5079"/>
  <c r="L32" i="5079"/>
  <c r="L33" i="5079"/>
  <c r="L34" i="5079"/>
  <c r="L35" i="5079"/>
  <c r="L36" i="5079"/>
  <c r="L37" i="5079"/>
  <c r="L38" i="5079"/>
  <c r="L39" i="5079"/>
  <c r="L40" i="5079"/>
  <c r="L41" i="5079"/>
  <c r="L42" i="5079"/>
  <c r="L43" i="5079"/>
  <c r="L44" i="5079"/>
  <c r="L45" i="5079"/>
  <c r="L46" i="5079"/>
  <c r="L47" i="5079"/>
  <c r="L48" i="5079"/>
  <c r="L49" i="5079"/>
  <c r="L50" i="5079"/>
  <c r="L51" i="5079"/>
  <c r="L52" i="5079"/>
  <c r="L53" i="5079"/>
  <c r="L54" i="5079"/>
  <c r="L55" i="5079"/>
  <c r="L56" i="5079"/>
  <c r="L57" i="5079"/>
  <c r="L58" i="5079"/>
  <c r="L59" i="5079"/>
  <c r="L60" i="5079"/>
  <c r="L61" i="5079"/>
  <c r="L62" i="5079"/>
  <c r="L63" i="5079"/>
  <c r="L64" i="5079"/>
  <c r="L65" i="5079"/>
  <c r="L66" i="5079"/>
  <c r="L67" i="5079"/>
  <c r="L68" i="5079"/>
  <c r="L69" i="5079"/>
  <c r="L70" i="5079"/>
  <c r="L71" i="5079"/>
  <c r="L72" i="5079"/>
  <c r="L73" i="5079"/>
  <c r="L74" i="5079"/>
  <c r="L75" i="5079"/>
  <c r="L76" i="5079"/>
  <c r="L77" i="5079"/>
  <c r="L78" i="5079"/>
  <c r="L79" i="5079"/>
  <c r="L80" i="5079"/>
  <c r="L81" i="5079"/>
  <c r="L82" i="5079"/>
  <c r="L83" i="5079"/>
  <c r="L84" i="5079"/>
  <c r="L85" i="5079"/>
  <c r="L86" i="5079"/>
  <c r="L87" i="5079"/>
  <c r="L88" i="5079"/>
  <c r="L89" i="5079"/>
  <c r="L90" i="5079"/>
  <c r="L91" i="5079"/>
  <c r="L92" i="5079"/>
  <c r="L93" i="5079"/>
  <c r="L94" i="5079"/>
  <c r="L95" i="5079"/>
  <c r="L96" i="5079"/>
  <c r="L97" i="5079"/>
  <c r="L98" i="5079"/>
  <c r="L99" i="5079"/>
  <c r="L100" i="5079"/>
  <c r="L101" i="5079"/>
  <c r="L102" i="5079"/>
  <c r="L103" i="5079"/>
  <c r="L104" i="5079"/>
  <c r="L105" i="5079"/>
  <c r="L106" i="5079"/>
  <c r="L107" i="5079"/>
  <c r="L108" i="5079"/>
  <c r="L109" i="5079"/>
  <c r="L110" i="5079"/>
  <c r="L111" i="5079"/>
  <c r="L112" i="5079"/>
  <c r="L113" i="5079"/>
  <c r="L114" i="5079"/>
  <c r="L115" i="5079"/>
  <c r="L116" i="5079"/>
  <c r="L117" i="5079"/>
  <c r="L118" i="5079"/>
  <c r="L119" i="5079"/>
  <c r="L120" i="5079"/>
  <c r="L121" i="5079"/>
  <c r="L122" i="5079"/>
  <c r="L123" i="5079"/>
  <c r="L124" i="5079"/>
  <c r="L125" i="5079"/>
  <c r="L126" i="5079"/>
  <c r="L127" i="5079"/>
  <c r="L128" i="5079"/>
  <c r="L129" i="5079"/>
  <c r="L130" i="5079"/>
  <c r="L131" i="5079"/>
  <c r="L132" i="5079"/>
  <c r="L133" i="5079"/>
  <c r="L134" i="5079"/>
  <c r="L135" i="5079"/>
  <c r="L136" i="5079"/>
  <c r="L137" i="5079"/>
  <c r="L138" i="5079"/>
  <c r="L139" i="5079"/>
  <c r="L140" i="5079"/>
  <c r="L141" i="5079"/>
  <c r="L142" i="5079"/>
  <c r="L143" i="5079"/>
  <c r="L144" i="5079"/>
  <c r="L145" i="5079"/>
  <c r="L146" i="5079"/>
  <c r="L147" i="5079"/>
  <c r="L148" i="5079"/>
  <c r="L149" i="5079"/>
  <c r="L150" i="5079"/>
  <c r="L151" i="5079"/>
  <c r="L152" i="5079"/>
  <c r="L153" i="5079"/>
  <c r="L154" i="5079"/>
  <c r="L155" i="5079"/>
  <c r="L156" i="5079"/>
  <c r="L157" i="5079"/>
  <c r="L158" i="5079"/>
  <c r="L159" i="5079"/>
  <c r="L160" i="5079"/>
  <c r="L161" i="5079"/>
  <c r="L162" i="5079"/>
  <c r="L163" i="5079"/>
  <c r="L164" i="5079"/>
  <c r="L165" i="5079"/>
  <c r="L166" i="5079"/>
  <c r="L167" i="5079"/>
  <c r="L168" i="5079"/>
  <c r="L169" i="5079"/>
  <c r="L170" i="5079"/>
  <c r="L171" i="5079"/>
  <c r="L172" i="5079"/>
  <c r="L173" i="5079"/>
  <c r="L174" i="5079"/>
  <c r="L175" i="5079"/>
  <c r="L176" i="5079"/>
  <c r="L177" i="5079"/>
  <c r="L178" i="5079"/>
  <c r="L179" i="5079"/>
  <c r="L180" i="5079"/>
  <c r="L181" i="5079"/>
  <c r="L182" i="5079"/>
  <c r="L183" i="5079"/>
  <c r="L184" i="5079"/>
  <c r="L185" i="5079"/>
  <c r="L186" i="5079"/>
  <c r="L187" i="5079"/>
  <c r="L188" i="5079"/>
  <c r="L189" i="5079"/>
  <c r="L190" i="5079"/>
  <c r="L191" i="5079"/>
  <c r="L192" i="5079"/>
  <c r="L193" i="5079"/>
  <c r="L194" i="5079"/>
  <c r="L195" i="5079"/>
  <c r="L196" i="5079"/>
  <c r="L197" i="5079"/>
  <c r="L198" i="5079"/>
  <c r="L199" i="5079"/>
  <c r="L200" i="5079"/>
  <c r="L201" i="5079"/>
  <c r="L202" i="5079"/>
  <c r="L203" i="5079"/>
  <c r="L204" i="5079"/>
  <c r="L205" i="5079"/>
  <c r="L206" i="5079"/>
  <c r="L207" i="5079"/>
  <c r="L208" i="5079"/>
  <c r="L209" i="5079"/>
  <c r="L210" i="5079"/>
  <c r="L211" i="5079"/>
  <c r="L212" i="5079"/>
  <c r="L213" i="5079"/>
  <c r="L214" i="5079"/>
  <c r="L215" i="5079"/>
  <c r="L216" i="5079"/>
  <c r="L217" i="5079"/>
  <c r="L218" i="5079"/>
  <c r="L219" i="5079"/>
  <c r="L220" i="5079"/>
  <c r="L221" i="5079"/>
  <c r="L222" i="5079"/>
  <c r="L223" i="5079"/>
  <c r="L224" i="5079"/>
  <c r="L225" i="5079"/>
  <c r="L226" i="5079"/>
  <c r="L227" i="5079"/>
  <c r="L228" i="5079"/>
  <c r="L229" i="5079"/>
  <c r="L230" i="5079"/>
  <c r="L231" i="5079"/>
  <c r="L232" i="5079"/>
  <c r="L233" i="5079"/>
  <c r="L234" i="5079"/>
  <c r="L235" i="5079"/>
  <c r="L236" i="5079"/>
  <c r="L237" i="5079"/>
  <c r="L238" i="5079"/>
  <c r="L239" i="5079"/>
  <c r="L240" i="5079"/>
  <c r="L241" i="5079"/>
  <c r="L242" i="5079"/>
  <c r="L243" i="5079"/>
  <c r="L244" i="5079"/>
  <c r="L245" i="5079"/>
  <c r="L246" i="5079"/>
  <c r="L247" i="5079"/>
  <c r="L248" i="5079"/>
  <c r="L249" i="5079"/>
  <c r="L250" i="5079"/>
  <c r="L251" i="5079"/>
  <c r="L252" i="5079"/>
  <c r="L253" i="5079"/>
  <c r="L254" i="5079"/>
  <c r="L255" i="5079"/>
  <c r="L256" i="5079"/>
  <c r="L257" i="5079"/>
  <c r="L258" i="5079"/>
  <c r="L259" i="5079"/>
  <c r="L260" i="5079"/>
  <c r="L261" i="5079"/>
  <c r="L262" i="5079"/>
  <c r="L263" i="5079"/>
  <c r="L264" i="5079"/>
  <c r="L265" i="5079"/>
  <c r="L266" i="5079"/>
  <c r="L267" i="5079"/>
  <c r="L268" i="5079"/>
  <c r="L269" i="5079"/>
  <c r="L270" i="5079"/>
  <c r="L271" i="5079"/>
  <c r="L272" i="5079"/>
  <c r="L273" i="5079"/>
  <c r="L274" i="5079"/>
  <c r="L275" i="5079"/>
  <c r="L276" i="5079"/>
  <c r="L277" i="5079"/>
  <c r="L278" i="5079"/>
  <c r="L279" i="5079"/>
  <c r="L280" i="5079"/>
  <c r="L281" i="5079"/>
  <c r="L282" i="5079"/>
  <c r="L283" i="5079"/>
  <c r="L284" i="5079"/>
  <c r="L285" i="5079"/>
  <c r="L286" i="5079"/>
  <c r="L287" i="5079"/>
  <c r="L288" i="5079"/>
  <c r="L289" i="5079"/>
  <c r="L290" i="5079"/>
  <c r="L291" i="5079"/>
  <c r="L292" i="5079"/>
  <c r="L293" i="5079"/>
  <c r="L294" i="5079"/>
  <c r="L295" i="5079"/>
  <c r="L296" i="5079"/>
  <c r="L297" i="5079"/>
  <c r="L298" i="5079"/>
  <c r="L299" i="5079"/>
  <c r="L300" i="5079"/>
  <c r="L301" i="5079"/>
  <c r="L302" i="5079"/>
  <c r="L303" i="5079"/>
  <c r="L304" i="5079"/>
  <c r="L305" i="5079"/>
  <c r="L306" i="5079"/>
  <c r="L307" i="5079"/>
  <c r="L308" i="5079"/>
  <c r="L309" i="5079"/>
  <c r="L310" i="5079"/>
  <c r="L311" i="5079"/>
  <c r="L312" i="5079"/>
  <c r="L313" i="5079"/>
  <c r="L314" i="5079"/>
  <c r="L315" i="5079"/>
  <c r="L316" i="5079"/>
  <c r="L317" i="5079"/>
  <c r="L318" i="5079"/>
  <c r="L319" i="5079"/>
  <c r="L320" i="5079"/>
  <c r="L321" i="5079"/>
  <c r="L322" i="5079"/>
  <c r="L323" i="5079"/>
  <c r="L324" i="5079"/>
  <c r="L325" i="5079"/>
  <c r="L326" i="5079"/>
  <c r="L327" i="5079"/>
  <c r="L328" i="5079"/>
  <c r="L329" i="5079"/>
  <c r="L330" i="5079"/>
  <c r="L331" i="5079"/>
  <c r="L332" i="5079"/>
  <c r="L333" i="5079"/>
  <c r="L334" i="5079"/>
  <c r="L335" i="5079"/>
  <c r="L336" i="5079"/>
  <c r="L337" i="5079"/>
  <c r="L338" i="5079"/>
  <c r="L339" i="5079"/>
  <c r="L340" i="5079"/>
  <c r="L341" i="5079"/>
  <c r="L342" i="5079"/>
  <c r="L343" i="5079"/>
  <c r="L344" i="5079"/>
  <c r="L345" i="5079"/>
  <c r="L346" i="5079"/>
  <c r="L347" i="5079"/>
  <c r="L348" i="5079"/>
  <c r="L349" i="5079"/>
  <c r="L350" i="5079"/>
  <c r="L351" i="5079"/>
  <c r="L352" i="5079"/>
  <c r="L353" i="5079"/>
  <c r="L354" i="5079"/>
  <c r="L355" i="5079"/>
  <c r="L356" i="5079"/>
  <c r="L357" i="5079"/>
  <c r="L358" i="5079"/>
  <c r="L359" i="5079"/>
  <c r="L360" i="5079"/>
  <c r="L361" i="5079"/>
  <c r="L362" i="5079"/>
  <c r="L363" i="5079"/>
  <c r="L364" i="5079"/>
  <c r="L365" i="5079"/>
  <c r="L366" i="5079"/>
  <c r="L367" i="5079"/>
  <c r="L368" i="5079"/>
  <c r="L369" i="5079"/>
  <c r="L370" i="5079"/>
  <c r="L371" i="5079"/>
  <c r="L372" i="5079"/>
  <c r="L373" i="5079"/>
  <c r="L374" i="5079"/>
  <c r="L375" i="5079"/>
  <c r="L376" i="5079"/>
  <c r="L377" i="5079"/>
  <c r="L378" i="5079"/>
  <c r="L379" i="5079"/>
  <c r="L380" i="5079"/>
  <c r="L381" i="5079"/>
  <c r="L382" i="5079"/>
  <c r="L383" i="5079"/>
  <c r="L384" i="5079"/>
  <c r="L385" i="5079"/>
  <c r="L386" i="5079"/>
  <c r="L387" i="5079"/>
  <c r="L388" i="5079"/>
  <c r="L389" i="5079"/>
  <c r="L390" i="5079"/>
  <c r="L391" i="5079"/>
  <c r="L392" i="5079"/>
  <c r="L393" i="5079"/>
  <c r="L394" i="5079"/>
  <c r="L395" i="5079"/>
  <c r="L396" i="5079"/>
  <c r="L397" i="5079"/>
  <c r="L398" i="5079"/>
  <c r="L399" i="5079"/>
  <c r="L400" i="5079"/>
  <c r="L401" i="5079"/>
  <c r="L402" i="5079"/>
  <c r="L403" i="5079"/>
  <c r="L404" i="5079"/>
  <c r="L405" i="5079"/>
  <c r="L406" i="5079"/>
  <c r="L407" i="5079"/>
  <c r="L408" i="5079"/>
  <c r="L409" i="5079"/>
  <c r="L410" i="5079"/>
  <c r="L411" i="5079"/>
  <c r="L412" i="5079"/>
  <c r="L413" i="5079"/>
  <c r="L414" i="5079"/>
  <c r="L415" i="5079"/>
  <c r="L416" i="5079"/>
  <c r="L417" i="5079"/>
  <c r="L418" i="5079"/>
  <c r="L419" i="5079"/>
  <c r="L420" i="5079"/>
  <c r="L421" i="5079"/>
  <c r="L422" i="5079"/>
  <c r="L423" i="5079"/>
  <c r="L424" i="5079"/>
  <c r="L425" i="5079"/>
  <c r="L426" i="5079"/>
  <c r="L427" i="5079"/>
  <c r="L428" i="5079"/>
  <c r="L429" i="5079"/>
  <c r="L430" i="5079"/>
  <c r="L431" i="5079"/>
  <c r="L432" i="5079"/>
  <c r="L433" i="5079"/>
  <c r="L434" i="5079"/>
  <c r="L435" i="5079"/>
  <c r="L436" i="5079"/>
  <c r="L437" i="5079"/>
  <c r="L438" i="5079"/>
  <c r="L439" i="5079"/>
  <c r="L440" i="5079"/>
  <c r="L441" i="5079"/>
  <c r="L442" i="5079"/>
  <c r="L443" i="5079"/>
  <c r="L444" i="5079"/>
  <c r="L445" i="5079"/>
  <c r="L446" i="5079"/>
  <c r="L447" i="5079"/>
  <c r="L448" i="5079"/>
  <c r="L449" i="5079"/>
  <c r="L450" i="5079"/>
  <c r="L451" i="5079"/>
  <c r="L452" i="5079"/>
  <c r="L453" i="5079"/>
  <c r="L454" i="5079"/>
  <c r="L455" i="5079"/>
  <c r="L456" i="5079"/>
  <c r="L457" i="5079"/>
  <c r="L458" i="5079"/>
  <c r="L459" i="5079"/>
  <c r="L460" i="5079"/>
  <c r="L461" i="5079"/>
  <c r="L462" i="5079"/>
  <c r="L463" i="5079"/>
  <c r="L464" i="5079"/>
  <c r="L465" i="5079"/>
  <c r="L466" i="5079"/>
  <c r="L467" i="5079"/>
  <c r="L468" i="5079"/>
  <c r="L469" i="5079"/>
  <c r="L470" i="5079"/>
  <c r="L471" i="5079"/>
  <c r="L472" i="5079"/>
  <c r="L473" i="5079"/>
  <c r="L474" i="5079"/>
  <c r="L475" i="5079"/>
  <c r="L476" i="5079"/>
  <c r="L477" i="5079"/>
  <c r="L478" i="5079"/>
  <c r="L479" i="5079"/>
  <c r="L480" i="5079"/>
  <c r="L481" i="5079"/>
  <c r="L482" i="5079"/>
  <c r="L483" i="5079"/>
  <c r="L484" i="5079"/>
  <c r="L485" i="5079"/>
  <c r="L486" i="5079"/>
  <c r="L487" i="5079"/>
  <c r="L488" i="5079"/>
  <c r="L489" i="5079"/>
  <c r="L490" i="5079"/>
  <c r="L491" i="5079"/>
  <c r="L492" i="5079"/>
  <c r="L493" i="5079"/>
  <c r="L494" i="5079"/>
  <c r="L495" i="5079"/>
  <c r="L496" i="5079"/>
  <c r="L497" i="5079"/>
  <c r="L498" i="5079"/>
  <c r="L499" i="5079"/>
  <c r="L500" i="5079"/>
  <c r="L501" i="5079"/>
  <c r="L502" i="5079"/>
  <c r="L503" i="5079"/>
  <c r="L504" i="5079"/>
  <c r="L505" i="5079"/>
  <c r="L2" i="5078"/>
  <c r="L3" i="5078"/>
  <c r="L4" i="5078"/>
  <c r="L5" i="5078"/>
  <c r="L6" i="5078"/>
  <c r="L7" i="5078"/>
  <c r="L8" i="5078"/>
  <c r="L9" i="5078"/>
  <c r="L10" i="5078"/>
  <c r="L11" i="5078"/>
  <c r="L12" i="5078"/>
  <c r="L13" i="5078"/>
  <c r="L14" i="5078"/>
  <c r="L15" i="5078"/>
  <c r="L16" i="5078"/>
  <c r="L17" i="5078"/>
  <c r="L18" i="5078"/>
  <c r="L19" i="5078"/>
  <c r="L20" i="5078"/>
  <c r="L21" i="5078"/>
  <c r="L22" i="5078"/>
  <c r="L23" i="5078"/>
  <c r="L24" i="5078"/>
  <c r="L25" i="5078"/>
  <c r="L26" i="5078"/>
  <c r="L27" i="5078"/>
  <c r="L28" i="5078"/>
  <c r="L29" i="5078"/>
  <c r="L30" i="5078"/>
  <c r="L31" i="5078"/>
  <c r="L32" i="5078"/>
  <c r="L33" i="5078"/>
  <c r="L34" i="5078"/>
  <c r="L35" i="5078"/>
  <c r="L36" i="5078"/>
  <c r="L37" i="5078"/>
  <c r="L38" i="5078"/>
  <c r="L39" i="5078"/>
  <c r="L40" i="5078"/>
  <c r="L41" i="5078"/>
  <c r="L42" i="5078"/>
  <c r="L43" i="5078"/>
  <c r="L44" i="5078"/>
  <c r="L45" i="5078"/>
  <c r="L46" i="5078"/>
  <c r="L47" i="5078"/>
  <c r="L48" i="5078"/>
  <c r="L49" i="5078"/>
  <c r="L50" i="5078"/>
  <c r="L51" i="5078"/>
  <c r="L52" i="5078"/>
  <c r="L53" i="5078"/>
  <c r="L54" i="5078"/>
  <c r="L55" i="5078"/>
  <c r="L56" i="5078"/>
  <c r="L57" i="5078"/>
  <c r="L58" i="5078"/>
  <c r="L59" i="5078"/>
  <c r="L60" i="5078"/>
  <c r="L61" i="5078"/>
  <c r="L62" i="5078"/>
  <c r="L63" i="5078"/>
  <c r="L64" i="5078"/>
  <c r="L65" i="5078"/>
  <c r="L66" i="5078"/>
  <c r="L67" i="5078"/>
  <c r="L68" i="5078"/>
  <c r="L69" i="5078"/>
  <c r="L70" i="5078"/>
  <c r="L71" i="5078"/>
  <c r="L72" i="5078"/>
  <c r="L73" i="5078"/>
  <c r="L74" i="5078"/>
  <c r="L75" i="5078"/>
  <c r="L76" i="5078"/>
  <c r="L77" i="5078"/>
  <c r="L78" i="5078"/>
  <c r="L79" i="5078"/>
  <c r="L80" i="5078"/>
  <c r="L81" i="5078"/>
  <c r="L82" i="5078"/>
  <c r="L83" i="5078"/>
  <c r="L84" i="5078"/>
  <c r="L85" i="5078"/>
  <c r="L86" i="5078"/>
  <c r="L87" i="5078"/>
  <c r="L88" i="5078"/>
  <c r="L89" i="5078"/>
  <c r="L90" i="5078"/>
  <c r="L91" i="5078"/>
  <c r="L92" i="5078"/>
  <c r="L93" i="5078"/>
  <c r="L94" i="5078"/>
  <c r="L95" i="5078"/>
  <c r="L96" i="5078"/>
  <c r="L97" i="5078"/>
  <c r="L98" i="5078"/>
  <c r="L99" i="5078"/>
  <c r="L100" i="5078"/>
  <c r="L101" i="5078"/>
  <c r="L102" i="5078"/>
  <c r="L103" i="5078"/>
  <c r="L104" i="5078"/>
  <c r="L105" i="5078"/>
  <c r="L106" i="5078"/>
  <c r="L107" i="5078"/>
  <c r="L108" i="5078"/>
  <c r="L109" i="5078"/>
  <c r="L110" i="5078"/>
  <c r="L111" i="5078"/>
  <c r="L112" i="5078"/>
  <c r="L113" i="5078"/>
  <c r="L114" i="5078"/>
  <c r="L115" i="5078"/>
  <c r="L116" i="5078"/>
  <c r="L117" i="5078"/>
  <c r="L118" i="5078"/>
  <c r="L119" i="5078"/>
  <c r="L120" i="5078"/>
  <c r="L121" i="5078"/>
  <c r="L122" i="5078"/>
  <c r="L123" i="5078"/>
  <c r="L124" i="5078"/>
  <c r="L125" i="5078"/>
  <c r="L126" i="5078"/>
  <c r="L127" i="5078"/>
  <c r="L128" i="5078"/>
  <c r="L129" i="5078"/>
  <c r="L130" i="5078"/>
  <c r="L131" i="5078"/>
  <c r="L132" i="5078"/>
  <c r="L133" i="5078"/>
  <c r="L134" i="5078"/>
  <c r="L135" i="5078"/>
  <c r="L136" i="5078"/>
  <c r="L137" i="5078"/>
  <c r="L138" i="5078"/>
  <c r="L139" i="5078"/>
  <c r="L140" i="5078"/>
  <c r="L141" i="5078"/>
  <c r="L142" i="5078"/>
  <c r="L143" i="5078"/>
  <c r="L144" i="5078"/>
  <c r="L145" i="5078"/>
  <c r="L146" i="5078"/>
  <c r="L147" i="5078"/>
  <c r="L148" i="5078"/>
  <c r="L149" i="5078"/>
  <c r="L150" i="5078"/>
  <c r="L151" i="5078"/>
  <c r="L152" i="5078"/>
  <c r="L153" i="5078"/>
  <c r="L154" i="5078"/>
  <c r="L155" i="5078"/>
  <c r="L156" i="5078"/>
  <c r="L157" i="5078"/>
  <c r="L158" i="5078"/>
  <c r="L159" i="5078"/>
  <c r="L160" i="5078"/>
  <c r="L161" i="5078"/>
  <c r="L162" i="5078"/>
  <c r="L163" i="5078"/>
  <c r="L164" i="5078"/>
  <c r="L165" i="5078"/>
  <c r="L166" i="5078"/>
  <c r="L167" i="5078"/>
  <c r="L168" i="5078"/>
  <c r="L169" i="5078"/>
  <c r="L170" i="5078"/>
  <c r="L171" i="5078"/>
  <c r="L172" i="5078"/>
  <c r="L173" i="5078"/>
  <c r="L174" i="5078"/>
  <c r="L175" i="5078"/>
  <c r="L176" i="5078"/>
  <c r="L177" i="5078"/>
  <c r="L178" i="5078"/>
  <c r="L179" i="5078"/>
  <c r="L180" i="5078"/>
  <c r="L181" i="5078"/>
  <c r="L182" i="5078"/>
  <c r="L183" i="5078"/>
  <c r="L184" i="5078"/>
  <c r="L185" i="5078"/>
  <c r="L186" i="5078"/>
  <c r="L187" i="5078"/>
  <c r="L188" i="5078"/>
  <c r="L189" i="5078"/>
  <c r="L190" i="5078"/>
  <c r="L191" i="5078"/>
  <c r="L192" i="5078"/>
  <c r="L193" i="5078"/>
  <c r="L194" i="5078"/>
  <c r="L195" i="5078"/>
  <c r="L196" i="5078"/>
  <c r="L197" i="5078"/>
  <c r="L198" i="5078"/>
  <c r="L199" i="5078"/>
  <c r="L200" i="5078"/>
  <c r="L201" i="5078"/>
  <c r="L202" i="5078"/>
  <c r="L203" i="5078"/>
  <c r="L204" i="5078"/>
  <c r="L205" i="5078"/>
  <c r="L206" i="5078"/>
  <c r="L207" i="5078"/>
  <c r="L208" i="5078"/>
  <c r="L209" i="5078"/>
  <c r="L210" i="5078"/>
  <c r="L211" i="5078"/>
  <c r="L212" i="5078"/>
  <c r="L213" i="5078"/>
  <c r="L214" i="5078"/>
  <c r="L215" i="5078"/>
  <c r="L216" i="5078"/>
  <c r="L217" i="5078"/>
  <c r="L218" i="5078"/>
  <c r="L219" i="5078"/>
  <c r="L220" i="5078"/>
  <c r="L221" i="5078"/>
  <c r="L222" i="5078"/>
  <c r="L223" i="5078"/>
  <c r="L224" i="5078"/>
  <c r="L225" i="5078"/>
  <c r="L226" i="5078"/>
  <c r="L227" i="5078"/>
  <c r="L228" i="5078"/>
  <c r="L229" i="5078"/>
  <c r="L230" i="5078"/>
  <c r="L231" i="5078"/>
  <c r="L232" i="5078"/>
  <c r="L233" i="5078"/>
  <c r="L234" i="5078"/>
  <c r="L235" i="5078"/>
  <c r="L236" i="5078"/>
  <c r="L237" i="5078"/>
  <c r="L238" i="5078"/>
  <c r="L239" i="5078"/>
  <c r="L240" i="5078"/>
  <c r="L241" i="5078"/>
  <c r="L242" i="5078"/>
  <c r="L243" i="5078"/>
  <c r="L244" i="5078"/>
  <c r="L245" i="5078"/>
  <c r="L246" i="5078"/>
  <c r="L247" i="5078"/>
  <c r="L248" i="5078"/>
  <c r="L249" i="5078"/>
  <c r="L250" i="5078"/>
  <c r="L251" i="5078"/>
  <c r="L252" i="5078"/>
  <c r="L253" i="5078"/>
  <c r="L254" i="5078"/>
  <c r="L255" i="5078"/>
  <c r="L256" i="5078"/>
  <c r="L257" i="5078"/>
  <c r="L258" i="5078"/>
  <c r="L259" i="5078"/>
  <c r="L260" i="5078"/>
  <c r="L261" i="5078"/>
  <c r="L262" i="5078"/>
  <c r="L263" i="5078"/>
  <c r="L264" i="5078"/>
  <c r="L265" i="5078"/>
  <c r="L266" i="5078"/>
  <c r="L267" i="5078"/>
  <c r="L268" i="5078"/>
  <c r="L269" i="5078"/>
  <c r="L270" i="5078"/>
  <c r="L271" i="5078"/>
  <c r="L272" i="5078"/>
  <c r="L273" i="5078"/>
  <c r="L274" i="5078"/>
  <c r="L275" i="5078"/>
  <c r="L276" i="5078"/>
  <c r="L277" i="5078"/>
  <c r="L278" i="5078"/>
  <c r="L279" i="5078"/>
  <c r="L280" i="5078"/>
  <c r="L281" i="5078"/>
  <c r="L282" i="5078"/>
  <c r="L283" i="5078"/>
  <c r="L284" i="5078"/>
  <c r="L285" i="5078"/>
  <c r="L286" i="5078"/>
  <c r="L287" i="5078"/>
  <c r="L288" i="5078"/>
  <c r="L289" i="5078"/>
  <c r="L290" i="5078"/>
  <c r="L291" i="5078"/>
  <c r="L292" i="5078"/>
  <c r="L293" i="5078"/>
  <c r="L294" i="5078"/>
  <c r="L295" i="5078"/>
  <c r="L296" i="5078"/>
  <c r="L297" i="5078"/>
  <c r="L298" i="5078"/>
  <c r="L299" i="5078"/>
  <c r="L300" i="5078"/>
  <c r="L301" i="5078"/>
  <c r="L302" i="5078"/>
  <c r="L303" i="5078"/>
  <c r="L304" i="5078"/>
  <c r="L305" i="5078"/>
  <c r="L306" i="5078"/>
  <c r="L307" i="5078"/>
  <c r="L308" i="5078"/>
  <c r="L309" i="5078"/>
  <c r="L310" i="5078"/>
  <c r="L311" i="5078"/>
  <c r="L312" i="5078"/>
  <c r="L313" i="5078"/>
  <c r="L314" i="5078"/>
  <c r="L315" i="5078"/>
  <c r="L316" i="5078"/>
  <c r="L317" i="5078"/>
  <c r="L318" i="5078"/>
  <c r="L319" i="5078"/>
  <c r="L320" i="5078"/>
  <c r="L321" i="5078"/>
  <c r="L322" i="5078"/>
  <c r="L323" i="5078"/>
  <c r="L324" i="5078"/>
  <c r="L325" i="5078"/>
  <c r="L326" i="5078"/>
  <c r="L327" i="5078"/>
  <c r="L328" i="5078"/>
  <c r="L329" i="5078"/>
  <c r="L330" i="5078"/>
  <c r="L331" i="5078"/>
  <c r="L332" i="5078"/>
  <c r="L333" i="5078"/>
  <c r="L334" i="5078"/>
  <c r="L335" i="5078"/>
  <c r="L336" i="5078"/>
  <c r="L337" i="5078"/>
  <c r="L338" i="5078"/>
  <c r="L339" i="5078"/>
  <c r="L340" i="5078"/>
  <c r="L341" i="5078"/>
  <c r="L342" i="5078"/>
  <c r="L343" i="5078"/>
  <c r="L344" i="5078"/>
  <c r="L345" i="5078"/>
  <c r="L346" i="5078"/>
  <c r="L347" i="5078"/>
  <c r="L348" i="5078"/>
  <c r="L349" i="5078"/>
  <c r="L350" i="5078"/>
  <c r="L351" i="5078"/>
  <c r="L352" i="5078"/>
  <c r="L353" i="5078"/>
  <c r="L354" i="5078"/>
  <c r="L355" i="5078"/>
  <c r="L356" i="5078"/>
  <c r="L357" i="5078"/>
  <c r="L358" i="5078"/>
  <c r="L359" i="5078"/>
  <c r="L360" i="5078"/>
  <c r="L361" i="5078"/>
  <c r="L362" i="5078"/>
  <c r="L363" i="5078"/>
  <c r="L364" i="5078"/>
  <c r="L365" i="5078"/>
  <c r="L366" i="5078"/>
  <c r="L367" i="5078"/>
  <c r="L368" i="5078"/>
  <c r="L369" i="5078"/>
  <c r="L370" i="5078"/>
  <c r="L371" i="5078"/>
  <c r="L372" i="5078"/>
  <c r="L373" i="5078"/>
  <c r="L374" i="5078"/>
  <c r="L375" i="5078"/>
  <c r="L376" i="5078"/>
  <c r="L377" i="5078"/>
  <c r="L378" i="5078"/>
  <c r="L379" i="5078"/>
  <c r="L380" i="5078"/>
  <c r="L381" i="5078"/>
  <c r="L382" i="5078"/>
  <c r="L383" i="5078"/>
  <c r="L384" i="5078"/>
  <c r="L385" i="5078"/>
  <c r="L386" i="5078"/>
  <c r="L387" i="5078"/>
  <c r="L388" i="5078"/>
  <c r="L389" i="5078"/>
  <c r="L390" i="5078"/>
  <c r="L391" i="5078"/>
  <c r="L392" i="5078"/>
  <c r="L393" i="5078"/>
  <c r="L394" i="5078"/>
  <c r="L395" i="5078"/>
  <c r="L396" i="5078"/>
  <c r="L397" i="5078"/>
  <c r="L398" i="5078"/>
  <c r="L399" i="5078"/>
  <c r="L400" i="5078"/>
  <c r="L401" i="5078"/>
  <c r="L402" i="5078"/>
  <c r="L403" i="5078"/>
  <c r="L404" i="5078"/>
  <c r="L405" i="5078"/>
  <c r="L406" i="5078"/>
  <c r="L407" i="5078"/>
  <c r="L408" i="5078"/>
  <c r="L409" i="5078"/>
  <c r="L410" i="5078"/>
  <c r="L411" i="5078"/>
  <c r="L412" i="5078"/>
  <c r="L413" i="5078"/>
  <c r="L414" i="5078"/>
  <c r="L415" i="5078"/>
  <c r="L416" i="5078"/>
  <c r="L417" i="5078"/>
  <c r="L418" i="5078"/>
  <c r="L419" i="5078"/>
  <c r="L420" i="5078"/>
  <c r="L421" i="5078"/>
  <c r="L422" i="5078"/>
  <c r="L423" i="5078"/>
  <c r="L424" i="5078"/>
  <c r="L425" i="5078"/>
  <c r="L426" i="5078"/>
  <c r="L427" i="5078"/>
  <c r="L428" i="5078"/>
  <c r="L429" i="5078"/>
  <c r="L430" i="5078"/>
  <c r="L431" i="5078"/>
  <c r="L432" i="5078"/>
  <c r="L433" i="5078"/>
  <c r="L434" i="5078"/>
  <c r="L435" i="5078"/>
  <c r="L436" i="5078"/>
  <c r="L437" i="5078"/>
  <c r="L438" i="5078"/>
  <c r="L439" i="5078"/>
  <c r="L440" i="5078"/>
  <c r="L441" i="5078"/>
  <c r="L442" i="5078"/>
  <c r="L443" i="5078"/>
  <c r="L444" i="5078"/>
  <c r="L445" i="5078"/>
  <c r="L446" i="5078"/>
  <c r="L447" i="5078"/>
  <c r="L448" i="5078"/>
  <c r="L449" i="5078"/>
  <c r="L450" i="5078"/>
  <c r="L451" i="5078"/>
  <c r="L452" i="5078"/>
  <c r="L453" i="5078"/>
  <c r="L454" i="5078"/>
  <c r="L455" i="5078"/>
  <c r="L456" i="5078"/>
  <c r="L457" i="5078"/>
  <c r="L458" i="5078"/>
  <c r="L459" i="5078"/>
  <c r="L460" i="5078"/>
  <c r="L461" i="5078"/>
  <c r="L462" i="5078"/>
  <c r="L463" i="5078"/>
  <c r="L464" i="5078"/>
  <c r="L465" i="5078"/>
  <c r="L466" i="5078"/>
  <c r="L467" i="5078"/>
  <c r="L468" i="5078"/>
  <c r="L469" i="5078"/>
  <c r="L470" i="5078"/>
  <c r="L471" i="5078"/>
  <c r="L472" i="5078"/>
  <c r="L473" i="5078"/>
  <c r="L474" i="5078"/>
  <c r="L475" i="5078"/>
  <c r="L476" i="5078"/>
  <c r="L477" i="5078"/>
  <c r="L478" i="5078"/>
  <c r="L479" i="5078"/>
  <c r="L480" i="5078"/>
  <c r="L481" i="5078"/>
  <c r="L482" i="5078"/>
  <c r="L483" i="5078"/>
  <c r="L484" i="5078"/>
  <c r="L485" i="5078"/>
  <c r="L486" i="5078"/>
  <c r="L487" i="5078"/>
  <c r="L488" i="5078"/>
  <c r="L489" i="5078"/>
  <c r="L490" i="5078"/>
  <c r="L491" i="5078"/>
  <c r="L492" i="5078"/>
  <c r="L493" i="5078"/>
  <c r="L494" i="5078"/>
  <c r="L495" i="5078"/>
  <c r="L496" i="5078"/>
  <c r="L497" i="5078"/>
  <c r="L498" i="5078"/>
  <c r="L499" i="5078"/>
  <c r="L500" i="5078"/>
  <c r="L501" i="5078"/>
  <c r="L502" i="5078"/>
  <c r="L503" i="5078"/>
  <c r="L504" i="5078"/>
  <c r="L505" i="5078"/>
  <c r="K2" i="5083"/>
  <c r="K3" i="5083"/>
  <c r="K4" i="5083"/>
  <c r="K5" i="5083"/>
  <c r="K6" i="5083"/>
  <c r="K7" i="5083"/>
  <c r="K8" i="5083"/>
  <c r="K9" i="5083"/>
  <c r="K10" i="5083"/>
  <c r="K11" i="5083"/>
  <c r="K12" i="5083"/>
  <c r="K13" i="5083"/>
  <c r="K14" i="5083"/>
  <c r="K15" i="5083"/>
  <c r="K16" i="5083"/>
  <c r="K17" i="5083"/>
  <c r="K18" i="5083"/>
  <c r="K19" i="5083"/>
  <c r="K20" i="5083"/>
  <c r="K21" i="5083"/>
  <c r="K22" i="5083"/>
  <c r="K23" i="5083"/>
  <c r="K24" i="5083"/>
  <c r="K25" i="5083"/>
  <c r="K26" i="5083"/>
  <c r="K27" i="5083"/>
  <c r="K28" i="5083"/>
  <c r="K29" i="5083"/>
  <c r="K30" i="5083"/>
  <c r="K31" i="5083"/>
  <c r="K32" i="5083"/>
  <c r="K33" i="5083"/>
  <c r="K34" i="5083"/>
  <c r="K35" i="5083"/>
  <c r="K36" i="5083"/>
  <c r="K37" i="5083"/>
  <c r="K38" i="5083"/>
  <c r="K39" i="5083"/>
  <c r="K40" i="5083"/>
  <c r="K41" i="5083"/>
  <c r="K42" i="5083"/>
  <c r="K43" i="5083"/>
  <c r="K44" i="5083"/>
  <c r="K45" i="5083"/>
  <c r="K46" i="5083"/>
  <c r="K47" i="5083"/>
  <c r="K48" i="5083"/>
  <c r="K49" i="5083"/>
  <c r="K50" i="5083"/>
  <c r="K51" i="5083"/>
  <c r="K52" i="5083"/>
  <c r="K53" i="5083"/>
  <c r="K54" i="5083"/>
  <c r="K55" i="5083"/>
  <c r="K56" i="5083"/>
  <c r="K57" i="5083"/>
  <c r="K58" i="5083"/>
  <c r="K59" i="5083"/>
  <c r="K60" i="5083"/>
  <c r="K61" i="5083"/>
  <c r="K62" i="5083"/>
  <c r="K63" i="5083"/>
  <c r="K64" i="5083"/>
  <c r="K65" i="5083"/>
  <c r="K66" i="5083"/>
  <c r="K67" i="5083"/>
  <c r="K68" i="5083"/>
  <c r="K69" i="5083"/>
  <c r="K70" i="5083"/>
  <c r="K71" i="5083"/>
  <c r="K72" i="5083"/>
  <c r="K73" i="5083"/>
  <c r="K74" i="5083"/>
  <c r="K75" i="5083"/>
  <c r="K76" i="5083"/>
  <c r="K77" i="5083"/>
  <c r="K78" i="5083"/>
  <c r="K79" i="5083"/>
  <c r="K80" i="5083"/>
  <c r="K81" i="5083"/>
  <c r="K82" i="5083"/>
  <c r="K83" i="5083"/>
  <c r="K84" i="5083"/>
  <c r="K85" i="5083"/>
  <c r="K86" i="5083"/>
  <c r="K87" i="5083"/>
  <c r="K88" i="5083"/>
  <c r="K89" i="5083"/>
  <c r="K90" i="5083"/>
  <c r="K91" i="5083"/>
  <c r="K92" i="5083"/>
  <c r="K93" i="5083"/>
  <c r="K94" i="5083"/>
  <c r="K95" i="5083"/>
  <c r="K96" i="5083"/>
  <c r="K97" i="5083"/>
  <c r="K98" i="5083"/>
  <c r="K99" i="5083"/>
  <c r="K100" i="5083"/>
  <c r="K101" i="5083"/>
  <c r="K102" i="5083"/>
  <c r="K103" i="5083"/>
  <c r="K104" i="5083"/>
  <c r="K105" i="5083"/>
  <c r="K106" i="5083"/>
  <c r="K107" i="5083"/>
  <c r="K108" i="5083"/>
  <c r="K109" i="5083"/>
  <c r="K110" i="5083"/>
  <c r="K111" i="5083"/>
  <c r="K112" i="5083"/>
  <c r="K113" i="5083"/>
  <c r="K114" i="5083"/>
  <c r="K115" i="5083"/>
  <c r="K116" i="5083"/>
  <c r="K117" i="5083"/>
  <c r="K118" i="5083"/>
  <c r="K119" i="5083"/>
  <c r="K120" i="5083"/>
  <c r="K121" i="5083"/>
  <c r="K122" i="5083"/>
  <c r="K123" i="5083"/>
  <c r="K124" i="5083"/>
  <c r="K125" i="5083"/>
  <c r="K126" i="5083"/>
  <c r="K127" i="5083"/>
  <c r="K128" i="5083"/>
  <c r="K129" i="5083"/>
  <c r="K130" i="5083"/>
  <c r="K131" i="5083"/>
  <c r="K132" i="5083"/>
  <c r="K133" i="5083"/>
  <c r="K134" i="5083"/>
  <c r="K135" i="5083"/>
  <c r="K136" i="5083"/>
  <c r="K137" i="5083"/>
  <c r="K138" i="5083"/>
  <c r="K139" i="5083"/>
  <c r="K140" i="5083"/>
  <c r="K141" i="5083"/>
  <c r="K142" i="5083"/>
  <c r="K143" i="5083"/>
  <c r="K144" i="5083"/>
  <c r="K145" i="5083"/>
  <c r="K146" i="5083"/>
  <c r="K147" i="5083"/>
  <c r="K148" i="5083"/>
  <c r="K149" i="5083"/>
  <c r="K150" i="5083"/>
  <c r="K151" i="5083"/>
  <c r="K152" i="5083"/>
  <c r="K153" i="5083"/>
  <c r="K154" i="5083"/>
  <c r="K155" i="5083"/>
  <c r="K156" i="5083"/>
  <c r="K157" i="5083"/>
  <c r="K158" i="5083"/>
  <c r="K159" i="5083"/>
  <c r="K160" i="5083"/>
  <c r="K161" i="5083"/>
  <c r="K162" i="5083"/>
  <c r="K163" i="5083"/>
  <c r="K164" i="5083"/>
  <c r="K165" i="5083"/>
  <c r="K166" i="5083"/>
  <c r="K167" i="5083"/>
  <c r="K168" i="5083"/>
  <c r="K169" i="5083"/>
  <c r="K170" i="5083"/>
  <c r="K171" i="5083"/>
  <c r="K172" i="5083"/>
  <c r="K173" i="5083"/>
  <c r="K174" i="5083"/>
  <c r="K175" i="5083"/>
  <c r="K176" i="5083"/>
  <c r="K177" i="5083"/>
  <c r="K178" i="5083"/>
  <c r="K179" i="5083"/>
  <c r="K180" i="5083"/>
  <c r="K181" i="5083"/>
  <c r="K182" i="5083"/>
  <c r="K183" i="5083"/>
  <c r="K184" i="5083"/>
  <c r="K185" i="5083"/>
  <c r="K186" i="5083"/>
  <c r="K187" i="5083"/>
  <c r="K188" i="5083"/>
  <c r="K189" i="5083"/>
  <c r="K190" i="5083"/>
  <c r="K191" i="5083"/>
  <c r="K192" i="5083"/>
  <c r="K193" i="5083"/>
  <c r="K194" i="5083"/>
  <c r="K195" i="5083"/>
  <c r="K196" i="5083"/>
  <c r="K197" i="5083"/>
  <c r="K198" i="5083"/>
  <c r="K199" i="5083"/>
  <c r="K200" i="5083"/>
  <c r="K201" i="5083"/>
  <c r="K202" i="5083"/>
  <c r="K203" i="5083"/>
  <c r="K204" i="5083"/>
  <c r="K205" i="5083"/>
  <c r="K206" i="5083"/>
  <c r="K207" i="5083"/>
  <c r="K208" i="5083"/>
  <c r="K209" i="5083"/>
  <c r="K210" i="5083"/>
  <c r="K211" i="5083"/>
  <c r="K212" i="5083"/>
  <c r="K213" i="5083"/>
  <c r="K214" i="5083"/>
  <c r="K215" i="5083"/>
  <c r="K216" i="5083"/>
  <c r="K217" i="5083"/>
  <c r="K218" i="5083"/>
  <c r="K219" i="5083"/>
  <c r="K220" i="5083"/>
  <c r="K221" i="5083"/>
  <c r="K222" i="5083"/>
  <c r="K223" i="5083"/>
  <c r="K224" i="5083"/>
  <c r="K225" i="5083"/>
  <c r="K226" i="5083"/>
  <c r="K227" i="5083"/>
  <c r="K228" i="5083"/>
  <c r="K229" i="5083"/>
  <c r="K230" i="5083"/>
  <c r="K231" i="5083"/>
  <c r="K232" i="5083"/>
  <c r="K233" i="5083"/>
  <c r="K234" i="5083"/>
  <c r="K235" i="5083"/>
  <c r="K236" i="5083"/>
  <c r="K237" i="5083"/>
  <c r="K238" i="5083"/>
  <c r="K239" i="5083"/>
  <c r="K240" i="5083"/>
  <c r="K241" i="5083"/>
  <c r="K242" i="5083"/>
  <c r="K243" i="5083"/>
  <c r="K244" i="5083"/>
  <c r="K245" i="5083"/>
  <c r="K246" i="5083"/>
  <c r="K247" i="5083"/>
  <c r="K248" i="5083"/>
  <c r="K249" i="5083"/>
  <c r="K250" i="5083"/>
  <c r="K251" i="5083"/>
  <c r="K252" i="5083"/>
  <c r="K253" i="5083"/>
  <c r="K254" i="5083"/>
  <c r="K255" i="5083"/>
  <c r="K256" i="5083"/>
  <c r="K257" i="5083"/>
  <c r="K258" i="5083"/>
  <c r="K259" i="5083"/>
  <c r="K260" i="5083"/>
  <c r="K261" i="5083"/>
  <c r="K262" i="5083"/>
  <c r="K263" i="5083"/>
  <c r="K264" i="5083"/>
  <c r="K265" i="5083"/>
  <c r="K266" i="5083"/>
  <c r="K267" i="5083"/>
  <c r="K268" i="5083"/>
  <c r="K269" i="5083"/>
  <c r="K270" i="5083"/>
  <c r="K271" i="5083"/>
  <c r="K272" i="5083"/>
  <c r="K273" i="5083"/>
  <c r="K274" i="5083"/>
  <c r="K275" i="5083"/>
  <c r="K276" i="5083"/>
  <c r="K277" i="5083"/>
  <c r="K278" i="5083"/>
  <c r="K279" i="5083"/>
  <c r="K280" i="5083"/>
  <c r="K281" i="5083"/>
  <c r="K282" i="5083"/>
  <c r="K283" i="5083"/>
  <c r="K284" i="5083"/>
  <c r="K285" i="5083"/>
  <c r="K286" i="5083"/>
  <c r="K287" i="5083"/>
  <c r="K288" i="5083"/>
  <c r="K289" i="5083"/>
  <c r="K290" i="5083"/>
  <c r="K291" i="5083"/>
  <c r="K292" i="5083"/>
  <c r="K293" i="5083"/>
  <c r="K294" i="5083"/>
  <c r="K295" i="5083"/>
  <c r="K296" i="5083"/>
  <c r="K297" i="5083"/>
  <c r="K298" i="5083"/>
  <c r="K299" i="5083"/>
  <c r="K300" i="5083"/>
  <c r="K301" i="5083"/>
  <c r="K302" i="5083"/>
  <c r="K303" i="5083"/>
  <c r="K304" i="5083"/>
  <c r="K305" i="5083"/>
  <c r="K306" i="5083"/>
  <c r="K307" i="5083"/>
  <c r="K308" i="5083"/>
  <c r="K309" i="5083"/>
  <c r="K310" i="5083"/>
  <c r="K311" i="5083"/>
  <c r="K312" i="5083"/>
  <c r="K313" i="5083"/>
  <c r="K314" i="5083"/>
  <c r="K315" i="5083"/>
  <c r="K316" i="5083"/>
  <c r="K317" i="5083"/>
  <c r="K318" i="5083"/>
  <c r="K319" i="5083"/>
  <c r="K320" i="5083"/>
  <c r="K321" i="5083"/>
  <c r="K322" i="5083"/>
  <c r="K323" i="5083"/>
  <c r="K324" i="5083"/>
  <c r="K325" i="5083"/>
  <c r="K326" i="5083"/>
  <c r="K327" i="5083"/>
  <c r="K328" i="5083"/>
  <c r="K329" i="5083"/>
  <c r="K330" i="5083"/>
  <c r="K331" i="5083"/>
  <c r="K332" i="5083"/>
  <c r="K333" i="5083"/>
  <c r="K334" i="5083"/>
  <c r="K335" i="5083"/>
  <c r="K336" i="5083"/>
  <c r="K337" i="5083"/>
  <c r="K338" i="5083"/>
  <c r="K339" i="5083"/>
  <c r="K340" i="5083"/>
  <c r="K341" i="5083"/>
  <c r="K342" i="5083"/>
  <c r="K343" i="5083"/>
  <c r="K344" i="5083"/>
  <c r="K345" i="5083"/>
  <c r="K346" i="5083"/>
  <c r="K347" i="5083"/>
  <c r="K348" i="5083"/>
  <c r="K349" i="5083"/>
  <c r="K350" i="5083"/>
  <c r="K351" i="5083"/>
  <c r="K352" i="5083"/>
  <c r="K353" i="5083"/>
  <c r="K354" i="5083"/>
  <c r="K355" i="5083"/>
  <c r="K356" i="5083"/>
  <c r="K357" i="5083"/>
  <c r="K358" i="5083"/>
  <c r="K359" i="5083"/>
  <c r="K360" i="5083"/>
  <c r="K361" i="5083"/>
  <c r="K362" i="5083"/>
  <c r="K363" i="5083"/>
  <c r="K364" i="5083"/>
  <c r="K365" i="5083"/>
  <c r="K366" i="5083"/>
  <c r="K367" i="5083"/>
  <c r="K368" i="5083"/>
  <c r="K369" i="5083"/>
  <c r="K370" i="5083"/>
  <c r="K371" i="5083"/>
  <c r="K372" i="5083"/>
  <c r="K373" i="5083"/>
  <c r="K374" i="5083"/>
  <c r="K375" i="5083"/>
  <c r="K376" i="5083"/>
  <c r="K377" i="5083"/>
  <c r="K378" i="5083"/>
  <c r="K379" i="5083"/>
  <c r="K380" i="5083"/>
  <c r="K381" i="5083"/>
  <c r="K382" i="5083"/>
  <c r="K383" i="5083"/>
  <c r="K384" i="5083"/>
  <c r="K385" i="5083"/>
  <c r="K386" i="5083"/>
  <c r="K387" i="5083"/>
  <c r="K388" i="5083"/>
  <c r="K389" i="5083"/>
  <c r="K390" i="5083"/>
  <c r="K391" i="5083"/>
  <c r="K392" i="5083"/>
  <c r="K393" i="5083"/>
  <c r="K394" i="5083"/>
  <c r="K395" i="5083"/>
  <c r="K396" i="5083"/>
  <c r="K397" i="5083"/>
  <c r="K398" i="5083"/>
  <c r="K399" i="5083"/>
  <c r="K400" i="5083"/>
  <c r="K401" i="5083"/>
  <c r="K402" i="5083"/>
  <c r="K403" i="5083"/>
  <c r="K404" i="5083"/>
  <c r="K405" i="5083"/>
  <c r="K406" i="5083"/>
  <c r="K407" i="5083"/>
  <c r="K408" i="5083"/>
  <c r="K409" i="5083"/>
  <c r="K410" i="5083"/>
  <c r="K411" i="5083"/>
  <c r="K412" i="5083"/>
  <c r="K413" i="5083"/>
  <c r="K414" i="5083"/>
  <c r="K415" i="5083"/>
  <c r="K416" i="5083"/>
  <c r="K417" i="5083"/>
  <c r="K418" i="5083"/>
  <c r="K419" i="5083"/>
  <c r="K420" i="5083"/>
  <c r="K421" i="5083"/>
  <c r="K422" i="5083"/>
  <c r="K423" i="5083"/>
  <c r="K424" i="5083"/>
  <c r="K425" i="5083"/>
  <c r="K426" i="5083"/>
  <c r="K427" i="5083"/>
  <c r="K428" i="5083"/>
  <c r="K429" i="5083"/>
  <c r="K430" i="5083"/>
  <c r="K431" i="5083"/>
  <c r="K432" i="5083"/>
  <c r="K433" i="5083"/>
  <c r="K434" i="5083"/>
  <c r="K435" i="5083"/>
  <c r="K436" i="5083"/>
  <c r="K437" i="5083"/>
  <c r="K438" i="5083"/>
  <c r="K439" i="5083"/>
  <c r="K440" i="5083"/>
  <c r="K441" i="5083"/>
  <c r="K442" i="5083"/>
  <c r="K443" i="5083"/>
  <c r="K444" i="5083"/>
  <c r="K445" i="5083"/>
  <c r="K446" i="5083"/>
  <c r="K447" i="5083"/>
  <c r="K448" i="5083"/>
  <c r="K449" i="5083"/>
  <c r="K450" i="5083"/>
  <c r="K451" i="5083"/>
  <c r="K452" i="5083"/>
  <c r="K453" i="5083"/>
  <c r="K454" i="5083"/>
  <c r="K455" i="5083"/>
  <c r="K456" i="5083"/>
  <c r="K457" i="5083"/>
  <c r="K458" i="5083"/>
  <c r="K459" i="5083"/>
  <c r="K460" i="5083"/>
  <c r="K461" i="5083"/>
  <c r="K462" i="5083"/>
  <c r="K463" i="5083"/>
  <c r="K464" i="5083"/>
  <c r="K465" i="5083"/>
  <c r="K466" i="5083"/>
  <c r="K467" i="5083"/>
  <c r="K468" i="5083"/>
  <c r="K469" i="5083"/>
  <c r="K470" i="5083"/>
  <c r="K471" i="5083"/>
  <c r="K472" i="5083"/>
  <c r="K473" i="5083"/>
  <c r="K474" i="5083"/>
  <c r="K475" i="5083"/>
  <c r="K476" i="5083"/>
  <c r="K477" i="5083"/>
  <c r="K478" i="5083"/>
  <c r="K479" i="5083"/>
  <c r="K480" i="5083"/>
  <c r="K481" i="5083"/>
  <c r="K482" i="5083"/>
  <c r="K483" i="5083"/>
  <c r="K484" i="5083"/>
  <c r="K485" i="5083"/>
  <c r="K486" i="5083"/>
  <c r="K487" i="5083"/>
  <c r="K488" i="5083"/>
  <c r="K489" i="5083"/>
  <c r="K490" i="5083"/>
  <c r="K491" i="5083"/>
  <c r="K492" i="5083"/>
  <c r="K493" i="5083"/>
  <c r="K494" i="5083"/>
  <c r="K495" i="5083"/>
  <c r="K496" i="5083"/>
  <c r="K497" i="5083"/>
  <c r="K498" i="5083"/>
  <c r="K499" i="5083"/>
  <c r="K500" i="5083"/>
  <c r="K501" i="5083"/>
  <c r="K502" i="5083"/>
  <c r="K503" i="5083"/>
  <c r="K504" i="5083"/>
  <c r="K505" i="5083"/>
  <c r="K2" i="5082"/>
  <c r="K3" i="5082"/>
  <c r="K4" i="5082"/>
  <c r="K5" i="5082"/>
  <c r="K6" i="5082"/>
  <c r="K7" i="5082"/>
  <c r="K8" i="5082"/>
  <c r="K9" i="5082"/>
  <c r="K10" i="5082"/>
  <c r="K11" i="5082"/>
  <c r="K12" i="5082"/>
  <c r="K13" i="5082"/>
  <c r="K14" i="5082"/>
  <c r="K15" i="5082"/>
  <c r="K16" i="5082"/>
  <c r="K17" i="5082"/>
  <c r="K18" i="5082"/>
  <c r="K19" i="5082"/>
  <c r="K20" i="5082"/>
  <c r="K21" i="5082"/>
  <c r="K22" i="5082"/>
  <c r="K23" i="5082"/>
  <c r="K24" i="5082"/>
  <c r="K25" i="5082"/>
  <c r="K26" i="5082"/>
  <c r="K27" i="5082"/>
  <c r="K28" i="5082"/>
  <c r="K29" i="5082"/>
  <c r="K30" i="5082"/>
  <c r="K31" i="5082"/>
  <c r="K32" i="5082"/>
  <c r="K33" i="5082"/>
  <c r="K34" i="5082"/>
  <c r="K35" i="5082"/>
  <c r="K36" i="5082"/>
  <c r="K37" i="5082"/>
  <c r="K38" i="5082"/>
  <c r="K39" i="5082"/>
  <c r="K40" i="5082"/>
  <c r="K41" i="5082"/>
  <c r="K42" i="5082"/>
  <c r="K43" i="5082"/>
  <c r="K44" i="5082"/>
  <c r="K45" i="5082"/>
  <c r="K46" i="5082"/>
  <c r="K47" i="5082"/>
  <c r="K48" i="5082"/>
  <c r="K49" i="5082"/>
  <c r="K50" i="5082"/>
  <c r="K51" i="5082"/>
  <c r="K52" i="5082"/>
  <c r="K53" i="5082"/>
  <c r="K54" i="5082"/>
  <c r="K55" i="5082"/>
  <c r="K56" i="5082"/>
  <c r="K57" i="5082"/>
  <c r="K58" i="5082"/>
  <c r="K59" i="5082"/>
  <c r="K60" i="5082"/>
  <c r="K61" i="5082"/>
  <c r="K62" i="5082"/>
  <c r="K63" i="5082"/>
  <c r="K64" i="5082"/>
  <c r="K65" i="5082"/>
  <c r="K66" i="5082"/>
  <c r="K67" i="5082"/>
  <c r="K68" i="5082"/>
  <c r="K69" i="5082"/>
  <c r="K70" i="5082"/>
  <c r="K71" i="5082"/>
  <c r="K72" i="5082"/>
  <c r="K73" i="5082"/>
  <c r="K74" i="5082"/>
  <c r="K75" i="5082"/>
  <c r="K76" i="5082"/>
  <c r="K77" i="5082"/>
  <c r="K78" i="5082"/>
  <c r="K79" i="5082"/>
  <c r="K80" i="5082"/>
  <c r="K81" i="5082"/>
  <c r="K82" i="5082"/>
  <c r="K83" i="5082"/>
  <c r="K84" i="5082"/>
  <c r="K85" i="5082"/>
  <c r="K86" i="5082"/>
  <c r="K87" i="5082"/>
  <c r="K88" i="5082"/>
  <c r="K89" i="5082"/>
  <c r="K90" i="5082"/>
  <c r="K91" i="5082"/>
  <c r="K92" i="5082"/>
  <c r="K93" i="5082"/>
  <c r="K94" i="5082"/>
  <c r="K95" i="5082"/>
  <c r="K96" i="5082"/>
  <c r="K97" i="5082"/>
  <c r="K98" i="5082"/>
  <c r="K99" i="5082"/>
  <c r="K100" i="5082"/>
  <c r="K101" i="5082"/>
  <c r="K102" i="5082"/>
  <c r="K103" i="5082"/>
  <c r="K104" i="5082"/>
  <c r="K105" i="5082"/>
  <c r="K106" i="5082"/>
  <c r="K107" i="5082"/>
  <c r="K108" i="5082"/>
  <c r="K109" i="5082"/>
  <c r="K110" i="5082"/>
  <c r="K111" i="5082"/>
  <c r="K112" i="5082"/>
  <c r="K113" i="5082"/>
  <c r="K114" i="5082"/>
  <c r="K115" i="5082"/>
  <c r="K116" i="5082"/>
  <c r="K117" i="5082"/>
  <c r="K118" i="5082"/>
  <c r="K119" i="5082"/>
  <c r="K120" i="5082"/>
  <c r="K121" i="5082"/>
  <c r="K122" i="5082"/>
  <c r="K123" i="5082"/>
  <c r="K124" i="5082"/>
  <c r="K125" i="5082"/>
  <c r="K126" i="5082"/>
  <c r="K127" i="5082"/>
  <c r="K128" i="5082"/>
  <c r="K129" i="5082"/>
  <c r="K130" i="5082"/>
  <c r="K131" i="5082"/>
  <c r="K132" i="5082"/>
  <c r="K133" i="5082"/>
  <c r="K134" i="5082"/>
  <c r="K135" i="5082"/>
  <c r="K136" i="5082"/>
  <c r="K137" i="5082"/>
  <c r="K138" i="5082"/>
  <c r="K139" i="5082"/>
  <c r="K140" i="5082"/>
  <c r="K141" i="5082"/>
  <c r="K142" i="5082"/>
  <c r="K143" i="5082"/>
  <c r="K144" i="5082"/>
  <c r="K145" i="5082"/>
  <c r="K146" i="5082"/>
  <c r="K147" i="5082"/>
  <c r="K148" i="5082"/>
  <c r="K149" i="5082"/>
  <c r="K150" i="5082"/>
  <c r="K151" i="5082"/>
  <c r="K152" i="5082"/>
  <c r="K153" i="5082"/>
  <c r="K154" i="5082"/>
  <c r="K155" i="5082"/>
  <c r="K156" i="5082"/>
  <c r="K157" i="5082"/>
  <c r="K158" i="5082"/>
  <c r="K159" i="5082"/>
  <c r="K160" i="5082"/>
  <c r="K161" i="5082"/>
  <c r="K162" i="5082"/>
  <c r="K163" i="5082"/>
  <c r="K164" i="5082"/>
  <c r="K165" i="5082"/>
  <c r="K166" i="5082"/>
  <c r="K167" i="5082"/>
  <c r="K168" i="5082"/>
  <c r="K169" i="5082"/>
  <c r="K170" i="5082"/>
  <c r="K171" i="5082"/>
  <c r="K172" i="5082"/>
  <c r="K173" i="5082"/>
  <c r="K174" i="5082"/>
  <c r="K175" i="5082"/>
  <c r="K176" i="5082"/>
  <c r="K177" i="5082"/>
  <c r="K178" i="5082"/>
  <c r="K179" i="5082"/>
  <c r="K180" i="5082"/>
  <c r="K181" i="5082"/>
  <c r="K182" i="5082"/>
  <c r="K183" i="5082"/>
  <c r="K184" i="5082"/>
  <c r="K185" i="5082"/>
  <c r="K186" i="5082"/>
  <c r="K187" i="5082"/>
  <c r="K188" i="5082"/>
  <c r="K189" i="5082"/>
  <c r="K190" i="5082"/>
  <c r="K191" i="5082"/>
  <c r="K192" i="5082"/>
  <c r="K193" i="5082"/>
  <c r="K194" i="5082"/>
  <c r="K195" i="5082"/>
  <c r="K196" i="5082"/>
  <c r="K197" i="5082"/>
  <c r="K198" i="5082"/>
  <c r="K199" i="5082"/>
  <c r="K200" i="5082"/>
  <c r="K201" i="5082"/>
  <c r="K202" i="5082"/>
  <c r="K203" i="5082"/>
  <c r="K204" i="5082"/>
  <c r="K205" i="5082"/>
  <c r="K206" i="5082"/>
  <c r="K207" i="5082"/>
  <c r="K208" i="5082"/>
  <c r="K209" i="5082"/>
  <c r="K210" i="5082"/>
  <c r="K211" i="5082"/>
  <c r="K212" i="5082"/>
  <c r="K213" i="5082"/>
  <c r="K214" i="5082"/>
  <c r="K215" i="5082"/>
  <c r="K216" i="5082"/>
  <c r="K217" i="5082"/>
  <c r="K218" i="5082"/>
  <c r="K219" i="5082"/>
  <c r="K220" i="5082"/>
  <c r="K221" i="5082"/>
  <c r="K222" i="5082"/>
  <c r="K223" i="5082"/>
  <c r="K224" i="5082"/>
  <c r="K225" i="5082"/>
  <c r="K226" i="5082"/>
  <c r="K227" i="5082"/>
  <c r="K228" i="5082"/>
  <c r="K229" i="5082"/>
  <c r="K230" i="5082"/>
  <c r="K231" i="5082"/>
  <c r="K232" i="5082"/>
  <c r="K233" i="5082"/>
  <c r="K234" i="5082"/>
  <c r="K235" i="5082"/>
  <c r="K236" i="5082"/>
  <c r="K237" i="5082"/>
  <c r="K238" i="5082"/>
  <c r="K239" i="5082"/>
  <c r="K240" i="5082"/>
  <c r="K241" i="5082"/>
  <c r="K242" i="5082"/>
  <c r="K243" i="5082"/>
  <c r="K244" i="5082"/>
  <c r="K245" i="5082"/>
  <c r="K246" i="5082"/>
  <c r="K247" i="5082"/>
  <c r="K248" i="5082"/>
  <c r="K249" i="5082"/>
  <c r="K250" i="5082"/>
  <c r="K251" i="5082"/>
  <c r="K252" i="5082"/>
  <c r="K253" i="5082"/>
  <c r="K254" i="5082"/>
  <c r="K255" i="5082"/>
  <c r="K256" i="5082"/>
  <c r="K257" i="5082"/>
  <c r="K258" i="5082"/>
  <c r="K259" i="5082"/>
  <c r="K260" i="5082"/>
  <c r="K261" i="5082"/>
  <c r="K262" i="5082"/>
  <c r="K263" i="5082"/>
  <c r="K264" i="5082"/>
  <c r="K265" i="5082"/>
  <c r="K266" i="5082"/>
  <c r="K267" i="5082"/>
  <c r="K268" i="5082"/>
  <c r="K269" i="5082"/>
  <c r="K270" i="5082"/>
  <c r="K271" i="5082"/>
  <c r="K272" i="5082"/>
  <c r="K273" i="5082"/>
  <c r="K274" i="5082"/>
  <c r="K275" i="5082"/>
  <c r="K276" i="5082"/>
  <c r="K277" i="5082"/>
  <c r="K278" i="5082"/>
  <c r="K279" i="5082"/>
  <c r="K280" i="5082"/>
  <c r="K281" i="5082"/>
  <c r="K282" i="5082"/>
  <c r="K283" i="5082"/>
  <c r="K284" i="5082"/>
  <c r="K285" i="5082"/>
  <c r="K286" i="5082"/>
  <c r="K287" i="5082"/>
  <c r="K288" i="5082"/>
  <c r="K289" i="5082"/>
  <c r="K290" i="5082"/>
  <c r="K291" i="5082"/>
  <c r="K292" i="5082"/>
  <c r="K293" i="5082"/>
  <c r="K294" i="5082"/>
  <c r="K295" i="5082"/>
  <c r="K296" i="5082"/>
  <c r="K297" i="5082"/>
  <c r="K298" i="5082"/>
  <c r="K299" i="5082"/>
  <c r="K300" i="5082"/>
  <c r="K301" i="5082"/>
  <c r="K302" i="5082"/>
  <c r="K303" i="5082"/>
  <c r="K304" i="5082"/>
  <c r="K305" i="5082"/>
  <c r="K306" i="5082"/>
  <c r="K307" i="5082"/>
  <c r="K308" i="5082"/>
  <c r="K309" i="5082"/>
  <c r="K310" i="5082"/>
  <c r="K311" i="5082"/>
  <c r="K312" i="5082"/>
  <c r="K313" i="5082"/>
  <c r="K314" i="5082"/>
  <c r="K315" i="5082"/>
  <c r="K316" i="5082"/>
  <c r="K317" i="5082"/>
  <c r="K318" i="5082"/>
  <c r="K319" i="5082"/>
  <c r="K320" i="5082"/>
  <c r="K321" i="5082"/>
  <c r="K322" i="5082"/>
  <c r="K323" i="5082"/>
  <c r="K324" i="5082"/>
  <c r="K325" i="5082"/>
  <c r="K326" i="5082"/>
  <c r="K327" i="5082"/>
  <c r="K328" i="5082"/>
  <c r="K329" i="5082"/>
  <c r="K330" i="5082"/>
  <c r="K331" i="5082"/>
  <c r="K332" i="5082"/>
  <c r="K333" i="5082"/>
  <c r="K334" i="5082"/>
  <c r="K335" i="5082"/>
  <c r="K336" i="5082"/>
  <c r="K337" i="5082"/>
  <c r="K338" i="5082"/>
  <c r="K339" i="5082"/>
  <c r="K340" i="5082"/>
  <c r="K341" i="5082"/>
  <c r="K342" i="5082"/>
  <c r="K343" i="5082"/>
  <c r="K344" i="5082"/>
  <c r="K345" i="5082"/>
  <c r="K346" i="5082"/>
  <c r="K347" i="5082"/>
  <c r="K348" i="5082"/>
  <c r="K349" i="5082"/>
  <c r="K350" i="5082"/>
  <c r="K351" i="5082"/>
  <c r="K352" i="5082"/>
  <c r="K353" i="5082"/>
  <c r="K354" i="5082"/>
  <c r="K355" i="5082"/>
  <c r="K356" i="5082"/>
  <c r="K357" i="5082"/>
  <c r="K358" i="5082"/>
  <c r="K359" i="5082"/>
  <c r="K360" i="5082"/>
  <c r="K361" i="5082"/>
  <c r="K362" i="5082"/>
  <c r="K363" i="5082"/>
  <c r="K364" i="5082"/>
  <c r="K365" i="5082"/>
  <c r="K366" i="5082"/>
  <c r="K367" i="5082"/>
  <c r="K368" i="5082"/>
  <c r="K369" i="5082"/>
  <c r="K370" i="5082"/>
  <c r="K371" i="5082"/>
  <c r="K372" i="5082"/>
  <c r="K373" i="5082"/>
  <c r="K374" i="5082"/>
  <c r="K375" i="5082"/>
  <c r="K376" i="5082"/>
  <c r="K377" i="5082"/>
  <c r="K378" i="5082"/>
  <c r="K379" i="5082"/>
  <c r="K380" i="5082"/>
  <c r="K381" i="5082"/>
  <c r="K382" i="5082"/>
  <c r="K383" i="5082"/>
  <c r="K384" i="5082"/>
  <c r="K385" i="5082"/>
  <c r="K386" i="5082"/>
  <c r="K387" i="5082"/>
  <c r="K388" i="5082"/>
  <c r="K389" i="5082"/>
  <c r="K390" i="5082"/>
  <c r="K391" i="5082"/>
  <c r="K392" i="5082"/>
  <c r="K393" i="5082"/>
  <c r="K394" i="5082"/>
  <c r="K395" i="5082"/>
  <c r="K396" i="5082"/>
  <c r="K397" i="5082"/>
  <c r="K398" i="5082"/>
  <c r="K399" i="5082"/>
  <c r="K400" i="5082"/>
  <c r="K401" i="5082"/>
  <c r="K402" i="5082"/>
  <c r="K403" i="5082"/>
  <c r="K404" i="5082"/>
  <c r="K405" i="5082"/>
  <c r="K406" i="5082"/>
  <c r="K407" i="5082"/>
  <c r="K408" i="5082"/>
  <c r="K409" i="5082"/>
  <c r="K410" i="5082"/>
  <c r="K411" i="5082"/>
  <c r="K412" i="5082"/>
  <c r="K413" i="5082"/>
  <c r="K414" i="5082"/>
  <c r="K415" i="5082"/>
  <c r="K416" i="5082"/>
  <c r="K417" i="5082"/>
  <c r="K418" i="5082"/>
  <c r="K419" i="5082"/>
  <c r="K420" i="5082"/>
  <c r="K421" i="5082"/>
  <c r="K422" i="5082"/>
  <c r="K423" i="5082"/>
  <c r="K424" i="5082"/>
  <c r="K425" i="5082"/>
  <c r="K426" i="5082"/>
  <c r="K427" i="5082"/>
  <c r="K428" i="5082"/>
  <c r="K429" i="5082"/>
  <c r="K430" i="5082"/>
  <c r="K431" i="5082"/>
  <c r="K432" i="5082"/>
  <c r="K433" i="5082"/>
  <c r="K434" i="5082"/>
  <c r="K435" i="5082"/>
  <c r="K436" i="5082"/>
  <c r="K437" i="5082"/>
  <c r="K438" i="5082"/>
  <c r="K439" i="5082"/>
  <c r="K440" i="5082"/>
  <c r="K441" i="5082"/>
  <c r="K442" i="5082"/>
  <c r="K443" i="5082"/>
  <c r="K444" i="5082"/>
  <c r="K445" i="5082"/>
  <c r="K446" i="5082"/>
  <c r="K447" i="5082"/>
  <c r="K448" i="5082"/>
  <c r="K449" i="5082"/>
  <c r="K450" i="5082"/>
  <c r="K451" i="5082"/>
  <c r="K452" i="5082"/>
  <c r="K453" i="5082"/>
  <c r="K454" i="5082"/>
  <c r="K455" i="5082"/>
  <c r="K456" i="5082"/>
  <c r="K457" i="5082"/>
  <c r="K458" i="5082"/>
  <c r="K459" i="5082"/>
  <c r="K460" i="5082"/>
  <c r="K461" i="5082"/>
  <c r="K462" i="5082"/>
  <c r="K463" i="5082"/>
  <c r="K464" i="5082"/>
  <c r="K465" i="5082"/>
  <c r="K466" i="5082"/>
  <c r="K467" i="5082"/>
  <c r="K468" i="5082"/>
  <c r="K469" i="5082"/>
  <c r="K470" i="5082"/>
  <c r="K471" i="5082"/>
  <c r="K472" i="5082"/>
  <c r="K473" i="5082"/>
  <c r="K474" i="5082"/>
  <c r="K475" i="5082"/>
  <c r="K476" i="5082"/>
  <c r="K477" i="5082"/>
  <c r="K478" i="5082"/>
  <c r="K479" i="5082"/>
  <c r="K480" i="5082"/>
  <c r="K481" i="5082"/>
  <c r="K482" i="5082"/>
  <c r="K483" i="5082"/>
  <c r="K484" i="5082"/>
  <c r="K485" i="5082"/>
  <c r="K486" i="5082"/>
  <c r="K487" i="5082"/>
  <c r="K488" i="5082"/>
  <c r="K489" i="5082"/>
  <c r="K490" i="5082"/>
  <c r="K491" i="5082"/>
  <c r="K492" i="5082"/>
  <c r="K493" i="5082"/>
  <c r="K494" i="5082"/>
  <c r="K495" i="5082"/>
  <c r="K496" i="5082"/>
  <c r="K497" i="5082"/>
  <c r="K498" i="5082"/>
  <c r="K499" i="5082"/>
  <c r="K500" i="5082"/>
  <c r="K501" i="5082"/>
  <c r="K502" i="5082"/>
  <c r="K503" i="5082"/>
  <c r="K504" i="5082"/>
  <c r="K505" i="5082"/>
  <c r="K2" i="5081"/>
  <c r="K3" i="5081"/>
  <c r="K4" i="5081"/>
  <c r="K5" i="5081"/>
  <c r="K6" i="5081"/>
  <c r="K7" i="5081"/>
  <c r="K8" i="5081"/>
  <c r="K9" i="5081"/>
  <c r="K10" i="5081"/>
  <c r="K11" i="5081"/>
  <c r="K12" i="5081"/>
  <c r="K13" i="5081"/>
  <c r="K14" i="5081"/>
  <c r="K15" i="5081"/>
  <c r="K16" i="5081"/>
  <c r="K17" i="5081"/>
  <c r="K18" i="5081"/>
  <c r="K19" i="5081"/>
  <c r="K20" i="5081"/>
  <c r="K21" i="5081"/>
  <c r="K22" i="5081"/>
  <c r="K23" i="5081"/>
  <c r="K24" i="5081"/>
  <c r="K25" i="5081"/>
  <c r="K26" i="5081"/>
  <c r="K27" i="5081"/>
  <c r="K28" i="5081"/>
  <c r="K29" i="5081"/>
  <c r="K30" i="5081"/>
  <c r="K31" i="5081"/>
  <c r="K32" i="5081"/>
  <c r="K33" i="5081"/>
  <c r="K34" i="5081"/>
  <c r="K35" i="5081"/>
  <c r="K36" i="5081"/>
  <c r="K37" i="5081"/>
  <c r="K38" i="5081"/>
  <c r="K39" i="5081"/>
  <c r="K40" i="5081"/>
  <c r="K41" i="5081"/>
  <c r="K42" i="5081"/>
  <c r="K43" i="5081"/>
  <c r="K44" i="5081"/>
  <c r="K45" i="5081"/>
  <c r="K46" i="5081"/>
  <c r="K47" i="5081"/>
  <c r="K48" i="5081"/>
  <c r="K49" i="5081"/>
  <c r="K50" i="5081"/>
  <c r="K51" i="5081"/>
  <c r="K52" i="5081"/>
  <c r="K53" i="5081"/>
  <c r="K54" i="5081"/>
  <c r="K55" i="5081"/>
  <c r="K56" i="5081"/>
  <c r="K57" i="5081"/>
  <c r="K58" i="5081"/>
  <c r="K59" i="5081"/>
  <c r="K60" i="5081"/>
  <c r="K61" i="5081"/>
  <c r="K62" i="5081"/>
  <c r="K63" i="5081"/>
  <c r="K64" i="5081"/>
  <c r="K65" i="5081"/>
  <c r="K66" i="5081"/>
  <c r="K67" i="5081"/>
  <c r="K68" i="5081"/>
  <c r="K69" i="5081"/>
  <c r="K70" i="5081"/>
  <c r="K71" i="5081"/>
  <c r="K72" i="5081"/>
  <c r="K73" i="5081"/>
  <c r="K74" i="5081"/>
  <c r="K75" i="5081"/>
  <c r="K76" i="5081"/>
  <c r="K77" i="5081"/>
  <c r="K78" i="5081"/>
  <c r="K79" i="5081"/>
  <c r="K80" i="5081"/>
  <c r="K81" i="5081"/>
  <c r="K82" i="5081"/>
  <c r="K83" i="5081"/>
  <c r="K84" i="5081"/>
  <c r="K85" i="5081"/>
  <c r="K86" i="5081"/>
  <c r="K87" i="5081"/>
  <c r="K88" i="5081"/>
  <c r="K89" i="5081"/>
  <c r="K90" i="5081"/>
  <c r="K91" i="5081"/>
  <c r="K92" i="5081"/>
  <c r="K93" i="5081"/>
  <c r="K94" i="5081"/>
  <c r="K95" i="5081"/>
  <c r="K96" i="5081"/>
  <c r="K97" i="5081"/>
  <c r="K98" i="5081"/>
  <c r="K99" i="5081"/>
  <c r="K100" i="5081"/>
  <c r="K101" i="5081"/>
  <c r="K102" i="5081"/>
  <c r="K103" i="5081"/>
  <c r="K104" i="5081"/>
  <c r="K105" i="5081"/>
  <c r="K106" i="5081"/>
  <c r="K107" i="5081"/>
  <c r="K108" i="5081"/>
  <c r="K109" i="5081"/>
  <c r="K110" i="5081"/>
  <c r="K111" i="5081"/>
  <c r="K112" i="5081"/>
  <c r="K113" i="5081"/>
  <c r="K114" i="5081"/>
  <c r="K115" i="5081"/>
  <c r="K116" i="5081"/>
  <c r="K117" i="5081"/>
  <c r="K118" i="5081"/>
  <c r="K119" i="5081"/>
  <c r="K120" i="5081"/>
  <c r="K121" i="5081"/>
  <c r="K122" i="5081"/>
  <c r="K123" i="5081"/>
  <c r="K124" i="5081"/>
  <c r="K125" i="5081"/>
  <c r="K126" i="5081"/>
  <c r="K127" i="5081"/>
  <c r="K128" i="5081"/>
  <c r="K129" i="5081"/>
  <c r="K130" i="5081"/>
  <c r="K131" i="5081"/>
  <c r="K132" i="5081"/>
  <c r="K133" i="5081"/>
  <c r="K134" i="5081"/>
  <c r="K135" i="5081"/>
  <c r="K136" i="5081"/>
  <c r="K137" i="5081"/>
  <c r="K138" i="5081"/>
  <c r="K139" i="5081"/>
  <c r="K140" i="5081"/>
  <c r="K141" i="5081"/>
  <c r="K142" i="5081"/>
  <c r="K143" i="5081"/>
  <c r="K144" i="5081"/>
  <c r="K145" i="5081"/>
  <c r="K146" i="5081"/>
  <c r="K147" i="5081"/>
  <c r="K148" i="5081"/>
  <c r="K149" i="5081"/>
  <c r="K150" i="5081"/>
  <c r="K151" i="5081"/>
  <c r="K152" i="5081"/>
  <c r="K153" i="5081"/>
  <c r="K154" i="5081"/>
  <c r="K155" i="5081"/>
  <c r="K156" i="5081"/>
  <c r="K157" i="5081"/>
  <c r="K158" i="5081"/>
  <c r="K159" i="5081"/>
  <c r="K160" i="5081"/>
  <c r="K161" i="5081"/>
  <c r="K162" i="5081"/>
  <c r="K163" i="5081"/>
  <c r="K164" i="5081"/>
  <c r="K165" i="5081"/>
  <c r="K166" i="5081"/>
  <c r="K167" i="5081"/>
  <c r="K168" i="5081"/>
  <c r="K169" i="5081"/>
  <c r="K170" i="5081"/>
  <c r="K171" i="5081"/>
  <c r="K172" i="5081"/>
  <c r="K173" i="5081"/>
  <c r="K174" i="5081"/>
  <c r="K175" i="5081"/>
  <c r="K176" i="5081"/>
  <c r="K177" i="5081"/>
  <c r="K178" i="5081"/>
  <c r="K179" i="5081"/>
  <c r="K180" i="5081"/>
  <c r="K181" i="5081"/>
  <c r="K182" i="5081"/>
  <c r="K183" i="5081"/>
  <c r="K184" i="5081"/>
  <c r="K185" i="5081"/>
  <c r="K186" i="5081"/>
  <c r="K187" i="5081"/>
  <c r="K188" i="5081"/>
  <c r="K189" i="5081"/>
  <c r="K190" i="5081"/>
  <c r="K191" i="5081"/>
  <c r="K192" i="5081"/>
  <c r="K193" i="5081"/>
  <c r="K194" i="5081"/>
  <c r="K195" i="5081"/>
  <c r="K196" i="5081"/>
  <c r="K197" i="5081"/>
  <c r="K198" i="5081"/>
  <c r="K199" i="5081"/>
  <c r="K200" i="5081"/>
  <c r="K201" i="5081"/>
  <c r="K202" i="5081"/>
  <c r="K203" i="5081"/>
  <c r="K204" i="5081"/>
  <c r="K205" i="5081"/>
  <c r="K206" i="5081"/>
  <c r="K207" i="5081"/>
  <c r="K208" i="5081"/>
  <c r="K209" i="5081"/>
  <c r="K210" i="5081"/>
  <c r="K211" i="5081"/>
  <c r="K212" i="5081"/>
  <c r="K213" i="5081"/>
  <c r="K214" i="5081"/>
  <c r="K215" i="5081"/>
  <c r="K216" i="5081"/>
  <c r="K217" i="5081"/>
  <c r="K218" i="5081"/>
  <c r="K219" i="5081"/>
  <c r="K220" i="5081"/>
  <c r="K221" i="5081"/>
  <c r="K222" i="5081"/>
  <c r="K223" i="5081"/>
  <c r="K224" i="5081"/>
  <c r="K225" i="5081"/>
  <c r="K226" i="5081"/>
  <c r="K227" i="5081"/>
  <c r="K228" i="5081"/>
  <c r="K229" i="5081"/>
  <c r="K230" i="5081"/>
  <c r="K231" i="5081"/>
  <c r="K232" i="5081"/>
  <c r="K233" i="5081"/>
  <c r="K234" i="5081"/>
  <c r="K235" i="5081"/>
  <c r="K236" i="5081"/>
  <c r="K237" i="5081"/>
  <c r="K238" i="5081"/>
  <c r="K239" i="5081"/>
  <c r="K240" i="5081"/>
  <c r="K241" i="5081"/>
  <c r="K242" i="5081"/>
  <c r="K243" i="5081"/>
  <c r="K244" i="5081"/>
  <c r="K245" i="5081"/>
  <c r="K246" i="5081"/>
  <c r="K247" i="5081"/>
  <c r="K248" i="5081"/>
  <c r="K249" i="5081"/>
  <c r="K250" i="5081"/>
  <c r="K251" i="5081"/>
  <c r="K252" i="5081"/>
  <c r="K253" i="5081"/>
  <c r="K254" i="5081"/>
  <c r="K255" i="5081"/>
  <c r="K256" i="5081"/>
  <c r="K257" i="5081"/>
  <c r="K258" i="5081"/>
  <c r="K259" i="5081"/>
  <c r="K260" i="5081"/>
  <c r="K261" i="5081"/>
  <c r="K262" i="5081"/>
  <c r="K263" i="5081"/>
  <c r="K264" i="5081"/>
  <c r="K265" i="5081"/>
  <c r="K266" i="5081"/>
  <c r="K267" i="5081"/>
  <c r="K268" i="5081"/>
  <c r="K269" i="5081"/>
  <c r="K270" i="5081"/>
  <c r="K271" i="5081"/>
  <c r="K272" i="5081"/>
  <c r="K273" i="5081"/>
  <c r="K274" i="5081"/>
  <c r="K275" i="5081"/>
  <c r="K276" i="5081"/>
  <c r="K277" i="5081"/>
  <c r="K278" i="5081"/>
  <c r="K279" i="5081"/>
  <c r="K280" i="5081"/>
  <c r="K281" i="5081"/>
  <c r="K282" i="5081"/>
  <c r="K283" i="5081"/>
  <c r="K284" i="5081"/>
  <c r="K285" i="5081"/>
  <c r="K286" i="5081"/>
  <c r="K287" i="5081"/>
  <c r="K288" i="5081"/>
  <c r="K289" i="5081"/>
  <c r="K290" i="5081"/>
  <c r="K291" i="5081"/>
  <c r="K292" i="5081"/>
  <c r="K293" i="5081"/>
  <c r="K294" i="5081"/>
  <c r="K295" i="5081"/>
  <c r="K296" i="5081"/>
  <c r="K297" i="5081"/>
  <c r="K298" i="5081"/>
  <c r="K299" i="5081"/>
  <c r="K300" i="5081"/>
  <c r="K301" i="5081"/>
  <c r="K302" i="5081"/>
  <c r="K303" i="5081"/>
  <c r="K304" i="5081"/>
  <c r="K305" i="5081"/>
  <c r="K306" i="5081"/>
  <c r="K307" i="5081"/>
  <c r="K308" i="5081"/>
  <c r="K309" i="5081"/>
  <c r="K310" i="5081"/>
  <c r="K311" i="5081"/>
  <c r="K312" i="5081"/>
  <c r="K313" i="5081"/>
  <c r="K314" i="5081"/>
  <c r="K315" i="5081"/>
  <c r="K316" i="5081"/>
  <c r="K317" i="5081"/>
  <c r="K318" i="5081"/>
  <c r="K319" i="5081"/>
  <c r="K320" i="5081"/>
  <c r="K321" i="5081"/>
  <c r="K322" i="5081"/>
  <c r="K323" i="5081"/>
  <c r="K324" i="5081"/>
  <c r="K325" i="5081"/>
  <c r="K326" i="5081"/>
  <c r="K327" i="5081"/>
  <c r="K328" i="5081"/>
  <c r="K329" i="5081"/>
  <c r="K330" i="5081"/>
  <c r="K331" i="5081"/>
  <c r="K332" i="5081"/>
  <c r="K333" i="5081"/>
  <c r="K334" i="5081"/>
  <c r="K335" i="5081"/>
  <c r="K336" i="5081"/>
  <c r="K337" i="5081"/>
  <c r="K338" i="5081"/>
  <c r="K339" i="5081"/>
  <c r="K340" i="5081"/>
  <c r="K341" i="5081"/>
  <c r="K342" i="5081"/>
  <c r="K343" i="5081"/>
  <c r="K344" i="5081"/>
  <c r="K345" i="5081"/>
  <c r="K346" i="5081"/>
  <c r="K347" i="5081"/>
  <c r="K348" i="5081"/>
  <c r="K349" i="5081"/>
  <c r="K350" i="5081"/>
  <c r="K351" i="5081"/>
  <c r="K352" i="5081"/>
  <c r="K353" i="5081"/>
  <c r="K354" i="5081"/>
  <c r="K355" i="5081"/>
  <c r="K356" i="5081"/>
  <c r="K357" i="5081"/>
  <c r="K358" i="5081"/>
  <c r="K359" i="5081"/>
  <c r="K360" i="5081"/>
  <c r="K361" i="5081"/>
  <c r="K362" i="5081"/>
  <c r="K363" i="5081"/>
  <c r="K364" i="5081"/>
  <c r="K365" i="5081"/>
  <c r="K366" i="5081"/>
  <c r="K367" i="5081"/>
  <c r="K368" i="5081"/>
  <c r="K369" i="5081"/>
  <c r="K370" i="5081"/>
  <c r="K371" i="5081"/>
  <c r="K372" i="5081"/>
  <c r="K373" i="5081"/>
  <c r="K374" i="5081"/>
  <c r="K375" i="5081"/>
  <c r="K376" i="5081"/>
  <c r="K377" i="5081"/>
  <c r="K378" i="5081"/>
  <c r="K379" i="5081"/>
  <c r="K380" i="5081"/>
  <c r="K381" i="5081"/>
  <c r="K382" i="5081"/>
  <c r="K383" i="5081"/>
  <c r="K384" i="5081"/>
  <c r="K385" i="5081"/>
  <c r="K386" i="5081"/>
  <c r="K387" i="5081"/>
  <c r="K388" i="5081"/>
  <c r="K389" i="5081"/>
  <c r="K390" i="5081"/>
  <c r="K391" i="5081"/>
  <c r="K392" i="5081"/>
  <c r="K393" i="5081"/>
  <c r="K394" i="5081"/>
  <c r="K395" i="5081"/>
  <c r="K396" i="5081"/>
  <c r="K397" i="5081"/>
  <c r="K398" i="5081"/>
  <c r="K399" i="5081"/>
  <c r="K400" i="5081"/>
  <c r="K401" i="5081"/>
  <c r="K402" i="5081"/>
  <c r="K403" i="5081"/>
  <c r="K404" i="5081"/>
  <c r="K405" i="5081"/>
  <c r="K406" i="5081"/>
  <c r="K407" i="5081"/>
  <c r="K408" i="5081"/>
  <c r="K409" i="5081"/>
  <c r="K410" i="5081"/>
  <c r="K411" i="5081"/>
  <c r="K412" i="5081"/>
  <c r="K413" i="5081"/>
  <c r="K414" i="5081"/>
  <c r="K415" i="5081"/>
  <c r="K416" i="5081"/>
  <c r="K417" i="5081"/>
  <c r="K418" i="5081"/>
  <c r="K419" i="5081"/>
  <c r="K420" i="5081"/>
  <c r="K421" i="5081"/>
  <c r="K422" i="5081"/>
  <c r="K423" i="5081"/>
  <c r="K424" i="5081"/>
  <c r="K425" i="5081"/>
  <c r="K426" i="5081"/>
  <c r="K427" i="5081"/>
  <c r="K428" i="5081"/>
  <c r="K429" i="5081"/>
  <c r="K430" i="5081"/>
  <c r="K431" i="5081"/>
  <c r="K432" i="5081"/>
  <c r="K433" i="5081"/>
  <c r="K434" i="5081"/>
  <c r="K435" i="5081"/>
  <c r="K436" i="5081"/>
  <c r="K437" i="5081"/>
  <c r="K438" i="5081"/>
  <c r="K439" i="5081"/>
  <c r="K440" i="5081"/>
  <c r="K441" i="5081"/>
  <c r="K442" i="5081"/>
  <c r="K443" i="5081"/>
  <c r="K444" i="5081"/>
  <c r="K445" i="5081"/>
  <c r="K446" i="5081"/>
  <c r="K447" i="5081"/>
  <c r="K448" i="5081"/>
  <c r="K449" i="5081"/>
  <c r="K450" i="5081"/>
  <c r="K451" i="5081"/>
  <c r="K452" i="5081"/>
  <c r="K453" i="5081"/>
  <c r="K454" i="5081"/>
  <c r="K455" i="5081"/>
  <c r="K456" i="5081"/>
  <c r="K457" i="5081"/>
  <c r="K458" i="5081"/>
  <c r="K459" i="5081"/>
  <c r="K460" i="5081"/>
  <c r="K461" i="5081"/>
  <c r="K462" i="5081"/>
  <c r="K463" i="5081"/>
  <c r="K464" i="5081"/>
  <c r="K465" i="5081"/>
  <c r="K466" i="5081"/>
  <c r="K467" i="5081"/>
  <c r="K468" i="5081"/>
  <c r="K469" i="5081"/>
  <c r="K470" i="5081"/>
  <c r="K471" i="5081"/>
  <c r="K472" i="5081"/>
  <c r="K473" i="5081"/>
  <c r="K474" i="5081"/>
  <c r="K475" i="5081"/>
  <c r="K476" i="5081"/>
  <c r="K477" i="5081"/>
  <c r="K478" i="5081"/>
  <c r="K479" i="5081"/>
  <c r="K480" i="5081"/>
  <c r="K481" i="5081"/>
  <c r="K482" i="5081"/>
  <c r="K483" i="5081"/>
  <c r="K484" i="5081"/>
  <c r="K485" i="5081"/>
  <c r="K486" i="5081"/>
  <c r="K487" i="5081"/>
  <c r="K488" i="5081"/>
  <c r="K489" i="5081"/>
  <c r="K490" i="5081"/>
  <c r="K491" i="5081"/>
  <c r="K492" i="5081"/>
  <c r="K493" i="5081"/>
  <c r="K494" i="5081"/>
  <c r="K495" i="5081"/>
  <c r="K496" i="5081"/>
  <c r="K497" i="5081"/>
  <c r="K498" i="5081"/>
  <c r="K499" i="5081"/>
  <c r="K500" i="5081"/>
  <c r="K501" i="5081"/>
  <c r="K502" i="5081"/>
  <c r="K503" i="5081"/>
  <c r="K504" i="5081"/>
  <c r="K505" i="5081"/>
  <c r="K2" i="5080"/>
  <c r="K3" i="5080"/>
  <c r="K4" i="5080"/>
  <c r="K5" i="5080"/>
  <c r="K6" i="5080"/>
  <c r="K7" i="5080"/>
  <c r="K8" i="5080"/>
  <c r="K9" i="5080"/>
  <c r="K10" i="5080"/>
  <c r="K11" i="5080"/>
  <c r="K12" i="5080"/>
  <c r="K13" i="5080"/>
  <c r="K14" i="5080"/>
  <c r="K15" i="5080"/>
  <c r="K16" i="5080"/>
  <c r="K17" i="5080"/>
  <c r="K18" i="5080"/>
  <c r="K19" i="5080"/>
  <c r="K20" i="5080"/>
  <c r="K21" i="5080"/>
  <c r="K22" i="5080"/>
  <c r="K23" i="5080"/>
  <c r="K24" i="5080"/>
  <c r="K25" i="5080"/>
  <c r="K26" i="5080"/>
  <c r="K27" i="5080"/>
  <c r="K28" i="5080"/>
  <c r="K29" i="5080"/>
  <c r="K30" i="5080"/>
  <c r="K31" i="5080"/>
  <c r="K32" i="5080"/>
  <c r="K33" i="5080"/>
  <c r="K34" i="5080"/>
  <c r="K35" i="5080"/>
  <c r="K36" i="5080"/>
  <c r="K37" i="5080"/>
  <c r="K38" i="5080"/>
  <c r="K39" i="5080"/>
  <c r="K40" i="5080"/>
  <c r="K41" i="5080"/>
  <c r="K42" i="5080"/>
  <c r="K43" i="5080"/>
  <c r="K44" i="5080"/>
  <c r="K45" i="5080"/>
  <c r="K46" i="5080"/>
  <c r="K47" i="5080"/>
  <c r="K48" i="5080"/>
  <c r="K49" i="5080"/>
  <c r="K50" i="5080"/>
  <c r="K51" i="5080"/>
  <c r="K52" i="5080"/>
  <c r="K53" i="5080"/>
  <c r="K54" i="5080"/>
  <c r="K55" i="5080"/>
  <c r="K56" i="5080"/>
  <c r="K57" i="5080"/>
  <c r="K58" i="5080"/>
  <c r="K59" i="5080"/>
  <c r="K60" i="5080"/>
  <c r="K61" i="5080"/>
  <c r="K62" i="5080"/>
  <c r="K63" i="5080"/>
  <c r="K64" i="5080"/>
  <c r="K65" i="5080"/>
  <c r="K66" i="5080"/>
  <c r="K67" i="5080"/>
  <c r="K68" i="5080"/>
  <c r="K69" i="5080"/>
  <c r="K70" i="5080"/>
  <c r="K71" i="5080"/>
  <c r="K72" i="5080"/>
  <c r="K73" i="5080"/>
  <c r="K74" i="5080"/>
  <c r="K75" i="5080"/>
  <c r="K76" i="5080"/>
  <c r="K77" i="5080"/>
  <c r="K78" i="5080"/>
  <c r="K79" i="5080"/>
  <c r="K80" i="5080"/>
  <c r="K81" i="5080"/>
  <c r="K82" i="5080"/>
  <c r="K83" i="5080"/>
  <c r="K84" i="5080"/>
  <c r="K85" i="5080"/>
  <c r="K86" i="5080"/>
  <c r="K87" i="5080"/>
  <c r="K88" i="5080"/>
  <c r="K89" i="5080"/>
  <c r="K90" i="5080"/>
  <c r="K91" i="5080"/>
  <c r="K92" i="5080"/>
  <c r="K93" i="5080"/>
  <c r="K94" i="5080"/>
  <c r="K95" i="5080"/>
  <c r="K96" i="5080"/>
  <c r="K97" i="5080"/>
  <c r="K98" i="5080"/>
  <c r="K99" i="5080"/>
  <c r="K100" i="5080"/>
  <c r="K101" i="5080"/>
  <c r="K102" i="5080"/>
  <c r="K103" i="5080"/>
  <c r="K104" i="5080"/>
  <c r="K105" i="5080"/>
  <c r="K106" i="5080"/>
  <c r="K107" i="5080"/>
  <c r="K108" i="5080"/>
  <c r="K109" i="5080"/>
  <c r="K110" i="5080"/>
  <c r="K111" i="5080"/>
  <c r="K112" i="5080"/>
  <c r="K113" i="5080"/>
  <c r="K114" i="5080"/>
  <c r="K115" i="5080"/>
  <c r="K116" i="5080"/>
  <c r="K117" i="5080"/>
  <c r="K118" i="5080"/>
  <c r="K119" i="5080"/>
  <c r="K120" i="5080"/>
  <c r="K121" i="5080"/>
  <c r="K122" i="5080"/>
  <c r="K123" i="5080"/>
  <c r="K124" i="5080"/>
  <c r="K125" i="5080"/>
  <c r="K126" i="5080"/>
  <c r="K127" i="5080"/>
  <c r="K128" i="5080"/>
  <c r="K129" i="5080"/>
  <c r="K130" i="5080"/>
  <c r="K131" i="5080"/>
  <c r="K132" i="5080"/>
  <c r="K133" i="5080"/>
  <c r="K134" i="5080"/>
  <c r="K135" i="5080"/>
  <c r="K136" i="5080"/>
  <c r="K137" i="5080"/>
  <c r="K138" i="5080"/>
  <c r="K139" i="5080"/>
  <c r="K140" i="5080"/>
  <c r="K141" i="5080"/>
  <c r="K142" i="5080"/>
  <c r="K143" i="5080"/>
  <c r="K144" i="5080"/>
  <c r="K145" i="5080"/>
  <c r="K146" i="5080"/>
  <c r="K147" i="5080"/>
  <c r="K148" i="5080"/>
  <c r="K149" i="5080"/>
  <c r="K150" i="5080"/>
  <c r="K151" i="5080"/>
  <c r="K152" i="5080"/>
  <c r="K153" i="5080"/>
  <c r="K154" i="5080"/>
  <c r="K155" i="5080"/>
  <c r="K156" i="5080"/>
  <c r="K157" i="5080"/>
  <c r="K158" i="5080"/>
  <c r="K159" i="5080"/>
  <c r="K160" i="5080"/>
  <c r="K161" i="5080"/>
  <c r="K162" i="5080"/>
  <c r="K163" i="5080"/>
  <c r="K164" i="5080"/>
  <c r="K165" i="5080"/>
  <c r="K166" i="5080"/>
  <c r="K167" i="5080"/>
  <c r="K168" i="5080"/>
  <c r="K169" i="5080"/>
  <c r="K170" i="5080"/>
  <c r="K171" i="5080"/>
  <c r="K172" i="5080"/>
  <c r="K173" i="5080"/>
  <c r="K174" i="5080"/>
  <c r="K175" i="5080"/>
  <c r="K176" i="5080"/>
  <c r="K177" i="5080"/>
  <c r="K178" i="5080"/>
  <c r="K179" i="5080"/>
  <c r="K180" i="5080"/>
  <c r="K181" i="5080"/>
  <c r="K182" i="5080"/>
  <c r="K183" i="5080"/>
  <c r="K184" i="5080"/>
  <c r="K185" i="5080"/>
  <c r="K186" i="5080"/>
  <c r="K187" i="5080"/>
  <c r="K188" i="5080"/>
  <c r="K189" i="5080"/>
  <c r="K190" i="5080"/>
  <c r="K191" i="5080"/>
  <c r="K192" i="5080"/>
  <c r="K193" i="5080"/>
  <c r="K194" i="5080"/>
  <c r="K195" i="5080"/>
  <c r="K196" i="5080"/>
  <c r="K197" i="5080"/>
  <c r="K198" i="5080"/>
  <c r="K199" i="5080"/>
  <c r="K200" i="5080"/>
  <c r="K201" i="5080"/>
  <c r="K202" i="5080"/>
  <c r="K203" i="5080"/>
  <c r="K204" i="5080"/>
  <c r="K205" i="5080"/>
  <c r="K206" i="5080"/>
  <c r="K207" i="5080"/>
  <c r="K208" i="5080"/>
  <c r="K209" i="5080"/>
  <c r="K210" i="5080"/>
  <c r="K211" i="5080"/>
  <c r="K212" i="5080"/>
  <c r="K213" i="5080"/>
  <c r="K214" i="5080"/>
  <c r="K215" i="5080"/>
  <c r="K216" i="5080"/>
  <c r="K217" i="5080"/>
  <c r="K218" i="5080"/>
  <c r="K219" i="5080"/>
  <c r="K220" i="5080"/>
  <c r="K221" i="5080"/>
  <c r="K222" i="5080"/>
  <c r="K223" i="5080"/>
  <c r="K224" i="5080"/>
  <c r="K225" i="5080"/>
  <c r="K226" i="5080"/>
  <c r="K227" i="5080"/>
  <c r="K228" i="5080"/>
  <c r="K229" i="5080"/>
  <c r="K230" i="5080"/>
  <c r="K231" i="5080"/>
  <c r="K232" i="5080"/>
  <c r="K233" i="5080"/>
  <c r="K234" i="5080"/>
  <c r="K235" i="5080"/>
  <c r="K236" i="5080"/>
  <c r="K237" i="5080"/>
  <c r="K238" i="5080"/>
  <c r="K239" i="5080"/>
  <c r="K240" i="5080"/>
  <c r="K241" i="5080"/>
  <c r="K242" i="5080"/>
  <c r="K243" i="5080"/>
  <c r="K244" i="5080"/>
  <c r="K245" i="5080"/>
  <c r="K246" i="5080"/>
  <c r="K247" i="5080"/>
  <c r="K248" i="5080"/>
  <c r="K249" i="5080"/>
  <c r="K250" i="5080"/>
  <c r="K251" i="5080"/>
  <c r="K252" i="5080"/>
  <c r="K253" i="5080"/>
  <c r="K254" i="5080"/>
  <c r="K255" i="5080"/>
  <c r="K256" i="5080"/>
  <c r="K257" i="5080"/>
  <c r="K258" i="5080"/>
  <c r="K259" i="5080"/>
  <c r="K260" i="5080"/>
  <c r="K261" i="5080"/>
  <c r="K262" i="5080"/>
  <c r="K263" i="5080"/>
  <c r="K264" i="5080"/>
  <c r="K265" i="5080"/>
  <c r="K266" i="5080"/>
  <c r="K267" i="5080"/>
  <c r="K268" i="5080"/>
  <c r="K269" i="5080"/>
  <c r="K270" i="5080"/>
  <c r="K271" i="5080"/>
  <c r="K272" i="5080"/>
  <c r="K273" i="5080"/>
  <c r="K274" i="5080"/>
  <c r="K275" i="5080"/>
  <c r="K276" i="5080"/>
  <c r="K277" i="5080"/>
  <c r="K278" i="5080"/>
  <c r="K279" i="5080"/>
  <c r="K280" i="5080"/>
  <c r="K281" i="5080"/>
  <c r="K282" i="5080"/>
  <c r="K283" i="5080"/>
  <c r="K284" i="5080"/>
  <c r="K285" i="5080"/>
  <c r="K286" i="5080"/>
  <c r="K287" i="5080"/>
  <c r="K288" i="5080"/>
  <c r="K289" i="5080"/>
  <c r="K290" i="5080"/>
  <c r="K291" i="5080"/>
  <c r="K292" i="5080"/>
  <c r="K293" i="5080"/>
  <c r="K294" i="5080"/>
  <c r="K295" i="5080"/>
  <c r="K296" i="5080"/>
  <c r="K297" i="5080"/>
  <c r="K298" i="5080"/>
  <c r="K299" i="5080"/>
  <c r="K300" i="5080"/>
  <c r="K301" i="5080"/>
  <c r="K302" i="5080"/>
  <c r="K303" i="5080"/>
  <c r="K304" i="5080"/>
  <c r="K305" i="5080"/>
  <c r="K306" i="5080"/>
  <c r="K307" i="5080"/>
  <c r="K308" i="5080"/>
  <c r="K309" i="5080"/>
  <c r="K310" i="5080"/>
  <c r="K311" i="5080"/>
  <c r="K312" i="5080"/>
  <c r="K313" i="5080"/>
  <c r="K314" i="5080"/>
  <c r="K315" i="5080"/>
  <c r="K316" i="5080"/>
  <c r="K317" i="5080"/>
  <c r="K318" i="5080"/>
  <c r="K319" i="5080"/>
  <c r="K320" i="5080"/>
  <c r="K321" i="5080"/>
  <c r="K322" i="5080"/>
  <c r="K323" i="5080"/>
  <c r="K324" i="5080"/>
  <c r="K325" i="5080"/>
  <c r="K326" i="5080"/>
  <c r="K327" i="5080"/>
  <c r="K328" i="5080"/>
  <c r="K329" i="5080"/>
  <c r="K330" i="5080"/>
  <c r="K331" i="5080"/>
  <c r="K332" i="5080"/>
  <c r="K333" i="5080"/>
  <c r="K334" i="5080"/>
  <c r="K335" i="5080"/>
  <c r="K336" i="5080"/>
  <c r="K337" i="5080"/>
  <c r="K338" i="5080"/>
  <c r="K339" i="5080"/>
  <c r="K340" i="5080"/>
  <c r="K341" i="5080"/>
  <c r="K342" i="5080"/>
  <c r="K343" i="5080"/>
  <c r="K344" i="5080"/>
  <c r="K345" i="5080"/>
  <c r="K346" i="5080"/>
  <c r="K347" i="5080"/>
  <c r="K348" i="5080"/>
  <c r="K349" i="5080"/>
  <c r="K350" i="5080"/>
  <c r="K351" i="5080"/>
  <c r="K352" i="5080"/>
  <c r="K353" i="5080"/>
  <c r="K354" i="5080"/>
  <c r="K355" i="5080"/>
  <c r="K356" i="5080"/>
  <c r="K357" i="5080"/>
  <c r="K358" i="5080"/>
  <c r="K359" i="5080"/>
  <c r="K360" i="5080"/>
  <c r="K361" i="5080"/>
  <c r="K362" i="5080"/>
  <c r="K363" i="5080"/>
  <c r="K364" i="5080"/>
  <c r="K365" i="5080"/>
  <c r="K366" i="5080"/>
  <c r="K367" i="5080"/>
  <c r="K368" i="5080"/>
  <c r="K369" i="5080"/>
  <c r="K370" i="5080"/>
  <c r="K371" i="5080"/>
  <c r="K372" i="5080"/>
  <c r="K373" i="5080"/>
  <c r="K374" i="5080"/>
  <c r="K375" i="5080"/>
  <c r="K376" i="5080"/>
  <c r="K377" i="5080"/>
  <c r="K378" i="5080"/>
  <c r="K379" i="5080"/>
  <c r="K380" i="5080"/>
  <c r="K381" i="5080"/>
  <c r="K382" i="5080"/>
  <c r="K383" i="5080"/>
  <c r="K384" i="5080"/>
  <c r="K385" i="5080"/>
  <c r="K386" i="5080"/>
  <c r="K387" i="5080"/>
  <c r="K388" i="5080"/>
  <c r="K389" i="5080"/>
  <c r="K390" i="5080"/>
  <c r="K391" i="5080"/>
  <c r="K392" i="5080"/>
  <c r="K393" i="5080"/>
  <c r="K394" i="5080"/>
  <c r="K395" i="5080"/>
  <c r="K396" i="5080"/>
  <c r="K397" i="5080"/>
  <c r="K398" i="5080"/>
  <c r="K399" i="5080"/>
  <c r="K400" i="5080"/>
  <c r="K401" i="5080"/>
  <c r="K402" i="5080"/>
  <c r="K403" i="5080"/>
  <c r="K404" i="5080"/>
  <c r="K405" i="5080"/>
  <c r="K406" i="5080"/>
  <c r="K407" i="5080"/>
  <c r="K408" i="5080"/>
  <c r="K409" i="5080"/>
  <c r="K410" i="5080"/>
  <c r="K411" i="5080"/>
  <c r="K412" i="5080"/>
  <c r="K413" i="5080"/>
  <c r="K414" i="5080"/>
  <c r="K415" i="5080"/>
  <c r="K416" i="5080"/>
  <c r="K417" i="5080"/>
  <c r="K418" i="5080"/>
  <c r="K419" i="5080"/>
  <c r="K420" i="5080"/>
  <c r="K421" i="5080"/>
  <c r="K422" i="5080"/>
  <c r="K423" i="5080"/>
  <c r="K424" i="5080"/>
  <c r="K425" i="5080"/>
  <c r="K426" i="5080"/>
  <c r="K427" i="5080"/>
  <c r="K428" i="5080"/>
  <c r="K429" i="5080"/>
  <c r="K430" i="5080"/>
  <c r="K431" i="5080"/>
  <c r="K432" i="5080"/>
  <c r="K433" i="5080"/>
  <c r="K434" i="5080"/>
  <c r="K435" i="5080"/>
  <c r="K436" i="5080"/>
  <c r="K437" i="5080"/>
  <c r="K438" i="5080"/>
  <c r="K439" i="5080"/>
  <c r="K440" i="5080"/>
  <c r="K441" i="5080"/>
  <c r="K442" i="5080"/>
  <c r="K443" i="5080"/>
  <c r="K444" i="5080"/>
  <c r="K445" i="5080"/>
  <c r="K446" i="5080"/>
  <c r="K447" i="5080"/>
  <c r="K448" i="5080"/>
  <c r="K449" i="5080"/>
  <c r="K450" i="5080"/>
  <c r="K451" i="5080"/>
  <c r="K452" i="5080"/>
  <c r="K453" i="5080"/>
  <c r="K454" i="5080"/>
  <c r="K455" i="5080"/>
  <c r="K456" i="5080"/>
  <c r="K457" i="5080"/>
  <c r="K458" i="5080"/>
  <c r="K459" i="5080"/>
  <c r="K460" i="5080"/>
  <c r="K461" i="5080"/>
  <c r="K462" i="5080"/>
  <c r="K463" i="5080"/>
  <c r="K464" i="5080"/>
  <c r="K465" i="5080"/>
  <c r="K466" i="5080"/>
  <c r="K467" i="5080"/>
  <c r="K468" i="5080"/>
  <c r="K469" i="5080"/>
  <c r="K470" i="5080"/>
  <c r="K471" i="5080"/>
  <c r="K472" i="5080"/>
  <c r="K473" i="5080"/>
  <c r="K474" i="5080"/>
  <c r="K475" i="5080"/>
  <c r="K476" i="5080"/>
  <c r="K477" i="5080"/>
  <c r="K478" i="5080"/>
  <c r="K479" i="5080"/>
  <c r="K480" i="5080"/>
  <c r="K481" i="5080"/>
  <c r="K482" i="5080"/>
  <c r="K483" i="5080"/>
  <c r="K484" i="5080"/>
  <c r="K485" i="5080"/>
  <c r="K486" i="5080"/>
  <c r="K487" i="5080"/>
  <c r="K488" i="5080"/>
  <c r="K489" i="5080"/>
  <c r="K490" i="5080"/>
  <c r="K491" i="5080"/>
  <c r="K492" i="5080"/>
  <c r="K493" i="5080"/>
  <c r="K494" i="5080"/>
  <c r="K495" i="5080"/>
  <c r="K496" i="5080"/>
  <c r="K497" i="5080"/>
  <c r="K498" i="5080"/>
  <c r="K499" i="5080"/>
  <c r="K500" i="5080"/>
  <c r="K501" i="5080"/>
  <c r="K502" i="5080"/>
  <c r="K503" i="5080"/>
  <c r="K504" i="5080"/>
  <c r="K505" i="5080"/>
  <c r="K2" i="5079"/>
  <c r="K3" i="5079"/>
  <c r="K4" i="5079"/>
  <c r="K5" i="5079"/>
  <c r="K6" i="5079"/>
  <c r="K7" i="5079"/>
  <c r="K8" i="5079"/>
  <c r="K9" i="5079"/>
  <c r="K10" i="5079"/>
  <c r="K11" i="5079"/>
  <c r="K12" i="5079"/>
  <c r="K13" i="5079"/>
  <c r="K14" i="5079"/>
  <c r="K15" i="5079"/>
  <c r="K16" i="5079"/>
  <c r="K17" i="5079"/>
  <c r="K18" i="5079"/>
  <c r="K19" i="5079"/>
  <c r="K20" i="5079"/>
  <c r="K21" i="5079"/>
  <c r="K22" i="5079"/>
  <c r="K23" i="5079"/>
  <c r="K24" i="5079"/>
  <c r="K25" i="5079"/>
  <c r="K26" i="5079"/>
  <c r="K27" i="5079"/>
  <c r="K28" i="5079"/>
  <c r="K29" i="5079"/>
  <c r="K30" i="5079"/>
  <c r="K31" i="5079"/>
  <c r="K32" i="5079"/>
  <c r="K33" i="5079"/>
  <c r="K34" i="5079"/>
  <c r="K35" i="5079"/>
  <c r="K36" i="5079"/>
  <c r="K37" i="5079"/>
  <c r="K38" i="5079"/>
  <c r="K39" i="5079"/>
  <c r="K40" i="5079"/>
  <c r="K41" i="5079"/>
  <c r="K42" i="5079"/>
  <c r="K43" i="5079"/>
  <c r="K44" i="5079"/>
  <c r="K45" i="5079"/>
  <c r="K46" i="5079"/>
  <c r="K47" i="5079"/>
  <c r="K48" i="5079"/>
  <c r="K49" i="5079"/>
  <c r="K50" i="5079"/>
  <c r="K51" i="5079"/>
  <c r="K52" i="5079"/>
  <c r="K53" i="5079"/>
  <c r="K54" i="5079"/>
  <c r="K55" i="5079"/>
  <c r="K56" i="5079"/>
  <c r="K57" i="5079"/>
  <c r="K58" i="5079"/>
  <c r="K59" i="5079"/>
  <c r="K60" i="5079"/>
  <c r="K61" i="5079"/>
  <c r="K62" i="5079"/>
  <c r="K63" i="5079"/>
  <c r="K64" i="5079"/>
  <c r="K65" i="5079"/>
  <c r="K66" i="5079"/>
  <c r="K67" i="5079"/>
  <c r="K68" i="5079"/>
  <c r="K69" i="5079"/>
  <c r="K70" i="5079"/>
  <c r="K71" i="5079"/>
  <c r="K72" i="5079"/>
  <c r="K73" i="5079"/>
  <c r="K74" i="5079"/>
  <c r="K75" i="5079"/>
  <c r="K76" i="5079"/>
  <c r="K77" i="5079"/>
  <c r="K78" i="5079"/>
  <c r="K79" i="5079"/>
  <c r="K80" i="5079"/>
  <c r="K81" i="5079"/>
  <c r="K82" i="5079"/>
  <c r="K83" i="5079"/>
  <c r="K84" i="5079"/>
  <c r="K85" i="5079"/>
  <c r="K86" i="5079"/>
  <c r="K87" i="5079"/>
  <c r="K88" i="5079"/>
  <c r="K89" i="5079"/>
  <c r="K90" i="5079"/>
  <c r="K91" i="5079"/>
  <c r="K92" i="5079"/>
  <c r="K93" i="5079"/>
  <c r="K94" i="5079"/>
  <c r="K95" i="5079"/>
  <c r="K96" i="5079"/>
  <c r="K97" i="5079"/>
  <c r="K98" i="5079"/>
  <c r="K99" i="5079"/>
  <c r="K100" i="5079"/>
  <c r="K101" i="5079"/>
  <c r="K102" i="5079"/>
  <c r="K103" i="5079"/>
  <c r="K104" i="5079"/>
  <c r="K105" i="5079"/>
  <c r="K106" i="5079"/>
  <c r="K107" i="5079"/>
  <c r="K108" i="5079"/>
  <c r="K109" i="5079"/>
  <c r="K110" i="5079"/>
  <c r="K111" i="5079"/>
  <c r="K112" i="5079"/>
  <c r="K113" i="5079"/>
  <c r="K114" i="5079"/>
  <c r="K115" i="5079"/>
  <c r="K116" i="5079"/>
  <c r="K117" i="5079"/>
  <c r="K118" i="5079"/>
  <c r="K119" i="5079"/>
  <c r="K120" i="5079"/>
  <c r="K121" i="5079"/>
  <c r="K122" i="5079"/>
  <c r="K123" i="5079"/>
  <c r="K124" i="5079"/>
  <c r="K125" i="5079"/>
  <c r="K126" i="5079"/>
  <c r="K127" i="5079"/>
  <c r="K128" i="5079"/>
  <c r="K129" i="5079"/>
  <c r="K130" i="5079"/>
  <c r="K131" i="5079"/>
  <c r="K132" i="5079"/>
  <c r="K133" i="5079"/>
  <c r="K134" i="5079"/>
  <c r="K135" i="5079"/>
  <c r="K136" i="5079"/>
  <c r="K137" i="5079"/>
  <c r="K138" i="5079"/>
  <c r="K139" i="5079"/>
  <c r="K140" i="5079"/>
  <c r="K141" i="5079"/>
  <c r="K142" i="5079"/>
  <c r="K143" i="5079"/>
  <c r="K144" i="5079"/>
  <c r="K145" i="5079"/>
  <c r="K146" i="5079"/>
  <c r="K147" i="5079"/>
  <c r="K148" i="5079"/>
  <c r="K149" i="5079"/>
  <c r="K150" i="5079"/>
  <c r="K151" i="5079"/>
  <c r="K152" i="5079"/>
  <c r="K153" i="5079"/>
  <c r="K154" i="5079"/>
  <c r="K155" i="5079"/>
  <c r="K156" i="5079"/>
  <c r="K157" i="5079"/>
  <c r="K158" i="5079"/>
  <c r="K159" i="5079"/>
  <c r="K160" i="5079"/>
  <c r="K161" i="5079"/>
  <c r="K162" i="5079"/>
  <c r="K163" i="5079"/>
  <c r="K164" i="5079"/>
  <c r="K165" i="5079"/>
  <c r="K166" i="5079"/>
  <c r="K167" i="5079"/>
  <c r="K168" i="5079"/>
  <c r="K169" i="5079"/>
  <c r="K170" i="5079"/>
  <c r="K171" i="5079"/>
  <c r="K172" i="5079"/>
  <c r="K173" i="5079"/>
  <c r="K174" i="5079"/>
  <c r="K175" i="5079"/>
  <c r="K176" i="5079"/>
  <c r="K177" i="5079"/>
  <c r="K178" i="5079"/>
  <c r="K179" i="5079"/>
  <c r="K180" i="5079"/>
  <c r="K181" i="5079"/>
  <c r="K182" i="5079"/>
  <c r="K183" i="5079"/>
  <c r="K184" i="5079"/>
  <c r="K185" i="5079"/>
  <c r="K186" i="5079"/>
  <c r="K187" i="5079"/>
  <c r="K188" i="5079"/>
  <c r="K189" i="5079"/>
  <c r="K190" i="5079"/>
  <c r="K191" i="5079"/>
  <c r="K192" i="5079"/>
  <c r="K193" i="5079"/>
  <c r="K194" i="5079"/>
  <c r="K195" i="5079"/>
  <c r="K196" i="5079"/>
  <c r="K197" i="5079"/>
  <c r="K198" i="5079"/>
  <c r="K199" i="5079"/>
  <c r="K200" i="5079"/>
  <c r="K201" i="5079"/>
  <c r="K202" i="5079"/>
  <c r="K203" i="5079"/>
  <c r="K204" i="5079"/>
  <c r="K205" i="5079"/>
  <c r="K206" i="5079"/>
  <c r="K207" i="5079"/>
  <c r="K208" i="5079"/>
  <c r="K209" i="5079"/>
  <c r="K210" i="5079"/>
  <c r="K211" i="5079"/>
  <c r="K212" i="5079"/>
  <c r="K213" i="5079"/>
  <c r="K214" i="5079"/>
  <c r="K215" i="5079"/>
  <c r="K216" i="5079"/>
  <c r="K217" i="5079"/>
  <c r="K218" i="5079"/>
  <c r="K219" i="5079"/>
  <c r="K220" i="5079"/>
  <c r="K221" i="5079"/>
  <c r="K222" i="5079"/>
  <c r="K223" i="5079"/>
  <c r="K224" i="5079"/>
  <c r="K225" i="5079"/>
  <c r="K226" i="5079"/>
  <c r="K227" i="5079"/>
  <c r="K228" i="5079"/>
  <c r="K229" i="5079"/>
  <c r="K230" i="5079"/>
  <c r="K231" i="5079"/>
  <c r="K232" i="5079"/>
  <c r="K233" i="5079"/>
  <c r="K234" i="5079"/>
  <c r="K235" i="5079"/>
  <c r="K236" i="5079"/>
  <c r="K237" i="5079"/>
  <c r="K238" i="5079"/>
  <c r="K239" i="5079"/>
  <c r="K240" i="5079"/>
  <c r="K241" i="5079"/>
  <c r="K242" i="5079"/>
  <c r="K243" i="5079"/>
  <c r="K244" i="5079"/>
  <c r="K245" i="5079"/>
  <c r="K246" i="5079"/>
  <c r="K247" i="5079"/>
  <c r="K248" i="5079"/>
  <c r="K249" i="5079"/>
  <c r="K250" i="5079"/>
  <c r="K251" i="5079"/>
  <c r="K252" i="5079"/>
  <c r="K253" i="5079"/>
  <c r="K254" i="5079"/>
  <c r="K255" i="5079"/>
  <c r="K256" i="5079"/>
  <c r="K257" i="5079"/>
  <c r="K258" i="5079"/>
  <c r="K259" i="5079"/>
  <c r="K260" i="5079"/>
  <c r="K261" i="5079"/>
  <c r="K262" i="5079"/>
  <c r="K263" i="5079"/>
  <c r="K264" i="5079"/>
  <c r="K265" i="5079"/>
  <c r="K266" i="5079"/>
  <c r="K267" i="5079"/>
  <c r="K268" i="5079"/>
  <c r="K269" i="5079"/>
  <c r="K270" i="5079"/>
  <c r="K271" i="5079"/>
  <c r="K272" i="5079"/>
  <c r="K273" i="5079"/>
  <c r="K274" i="5079"/>
  <c r="K275" i="5079"/>
  <c r="K276" i="5079"/>
  <c r="K277" i="5079"/>
  <c r="K278" i="5079"/>
  <c r="K279" i="5079"/>
  <c r="K280" i="5079"/>
  <c r="K281" i="5079"/>
  <c r="K282" i="5079"/>
  <c r="K283" i="5079"/>
  <c r="K284" i="5079"/>
  <c r="K285" i="5079"/>
  <c r="K286" i="5079"/>
  <c r="K287" i="5079"/>
  <c r="K288" i="5079"/>
  <c r="K289" i="5079"/>
  <c r="K290" i="5079"/>
  <c r="K291" i="5079"/>
  <c r="K292" i="5079"/>
  <c r="K293" i="5079"/>
  <c r="K294" i="5079"/>
  <c r="K295" i="5079"/>
  <c r="K296" i="5079"/>
  <c r="K297" i="5079"/>
  <c r="K298" i="5079"/>
  <c r="K299" i="5079"/>
  <c r="K300" i="5079"/>
  <c r="K301" i="5079"/>
  <c r="K302" i="5079"/>
  <c r="K303" i="5079"/>
  <c r="K304" i="5079"/>
  <c r="K305" i="5079"/>
  <c r="K306" i="5079"/>
  <c r="K307" i="5079"/>
  <c r="K308" i="5079"/>
  <c r="K309" i="5079"/>
  <c r="K310" i="5079"/>
  <c r="K311" i="5079"/>
  <c r="K312" i="5079"/>
  <c r="K313" i="5079"/>
  <c r="K314" i="5079"/>
  <c r="K315" i="5079"/>
  <c r="K316" i="5079"/>
  <c r="K317" i="5079"/>
  <c r="K318" i="5079"/>
  <c r="K319" i="5079"/>
  <c r="K320" i="5079"/>
  <c r="K321" i="5079"/>
  <c r="K322" i="5079"/>
  <c r="K323" i="5079"/>
  <c r="K324" i="5079"/>
  <c r="K325" i="5079"/>
  <c r="K326" i="5079"/>
  <c r="K327" i="5079"/>
  <c r="K328" i="5079"/>
  <c r="K329" i="5079"/>
  <c r="K330" i="5079"/>
  <c r="K331" i="5079"/>
  <c r="K332" i="5079"/>
  <c r="K333" i="5079"/>
  <c r="K334" i="5079"/>
  <c r="K335" i="5079"/>
  <c r="K336" i="5079"/>
  <c r="K337" i="5079"/>
  <c r="K338" i="5079"/>
  <c r="K339" i="5079"/>
  <c r="K340" i="5079"/>
  <c r="K341" i="5079"/>
  <c r="K342" i="5079"/>
  <c r="K343" i="5079"/>
  <c r="K344" i="5079"/>
  <c r="K345" i="5079"/>
  <c r="K346" i="5079"/>
  <c r="K347" i="5079"/>
  <c r="K348" i="5079"/>
  <c r="K349" i="5079"/>
  <c r="K350" i="5079"/>
  <c r="K351" i="5079"/>
  <c r="K352" i="5079"/>
  <c r="K353" i="5079"/>
  <c r="K354" i="5079"/>
  <c r="K355" i="5079"/>
  <c r="K356" i="5079"/>
  <c r="K357" i="5079"/>
  <c r="K358" i="5079"/>
  <c r="K359" i="5079"/>
  <c r="K360" i="5079"/>
  <c r="K361" i="5079"/>
  <c r="K362" i="5079"/>
  <c r="K363" i="5079"/>
  <c r="K364" i="5079"/>
  <c r="K365" i="5079"/>
  <c r="K366" i="5079"/>
  <c r="K367" i="5079"/>
  <c r="K368" i="5079"/>
  <c r="K369" i="5079"/>
  <c r="K370" i="5079"/>
  <c r="K371" i="5079"/>
  <c r="K372" i="5079"/>
  <c r="K373" i="5079"/>
  <c r="K374" i="5079"/>
  <c r="K375" i="5079"/>
  <c r="K376" i="5079"/>
  <c r="K377" i="5079"/>
  <c r="K378" i="5079"/>
  <c r="K379" i="5079"/>
  <c r="K380" i="5079"/>
  <c r="K381" i="5079"/>
  <c r="K382" i="5079"/>
  <c r="K383" i="5079"/>
  <c r="K384" i="5079"/>
  <c r="K385" i="5079"/>
  <c r="K386" i="5079"/>
  <c r="K387" i="5079"/>
  <c r="K388" i="5079"/>
  <c r="K389" i="5079"/>
  <c r="K390" i="5079"/>
  <c r="K391" i="5079"/>
  <c r="K392" i="5079"/>
  <c r="K393" i="5079"/>
  <c r="K394" i="5079"/>
  <c r="K395" i="5079"/>
  <c r="K396" i="5079"/>
  <c r="K397" i="5079"/>
  <c r="K398" i="5079"/>
  <c r="K399" i="5079"/>
  <c r="K400" i="5079"/>
  <c r="K401" i="5079"/>
  <c r="K402" i="5079"/>
  <c r="K403" i="5079"/>
  <c r="K404" i="5079"/>
  <c r="K405" i="5079"/>
  <c r="K406" i="5079"/>
  <c r="K407" i="5079"/>
  <c r="K408" i="5079"/>
  <c r="K409" i="5079"/>
  <c r="K410" i="5079"/>
  <c r="K411" i="5079"/>
  <c r="K412" i="5079"/>
  <c r="K413" i="5079"/>
  <c r="K414" i="5079"/>
  <c r="K415" i="5079"/>
  <c r="K416" i="5079"/>
  <c r="K417" i="5079"/>
  <c r="K418" i="5079"/>
  <c r="K419" i="5079"/>
  <c r="K420" i="5079"/>
  <c r="K421" i="5079"/>
  <c r="K422" i="5079"/>
  <c r="K423" i="5079"/>
  <c r="K424" i="5079"/>
  <c r="K425" i="5079"/>
  <c r="K426" i="5079"/>
  <c r="K427" i="5079"/>
  <c r="K428" i="5079"/>
  <c r="K429" i="5079"/>
  <c r="K430" i="5079"/>
  <c r="K431" i="5079"/>
  <c r="K432" i="5079"/>
  <c r="K433" i="5079"/>
  <c r="K434" i="5079"/>
  <c r="K435" i="5079"/>
  <c r="K436" i="5079"/>
  <c r="K437" i="5079"/>
  <c r="K438" i="5079"/>
  <c r="K439" i="5079"/>
  <c r="K440" i="5079"/>
  <c r="K441" i="5079"/>
  <c r="K442" i="5079"/>
  <c r="K443" i="5079"/>
  <c r="K444" i="5079"/>
  <c r="K445" i="5079"/>
  <c r="K446" i="5079"/>
  <c r="K447" i="5079"/>
  <c r="K448" i="5079"/>
  <c r="K449" i="5079"/>
  <c r="K450" i="5079"/>
  <c r="K451" i="5079"/>
  <c r="K452" i="5079"/>
  <c r="K453" i="5079"/>
  <c r="K454" i="5079"/>
  <c r="K455" i="5079"/>
  <c r="K456" i="5079"/>
  <c r="K457" i="5079"/>
  <c r="K458" i="5079"/>
  <c r="K459" i="5079"/>
  <c r="K460" i="5079"/>
  <c r="K461" i="5079"/>
  <c r="K462" i="5079"/>
  <c r="K463" i="5079"/>
  <c r="K464" i="5079"/>
  <c r="K465" i="5079"/>
  <c r="K466" i="5079"/>
  <c r="K467" i="5079"/>
  <c r="K468" i="5079"/>
  <c r="K469" i="5079"/>
  <c r="K470" i="5079"/>
  <c r="K471" i="5079"/>
  <c r="K472" i="5079"/>
  <c r="K473" i="5079"/>
  <c r="K474" i="5079"/>
  <c r="K475" i="5079"/>
  <c r="K476" i="5079"/>
  <c r="K477" i="5079"/>
  <c r="K478" i="5079"/>
  <c r="K479" i="5079"/>
  <c r="K480" i="5079"/>
  <c r="K481" i="5079"/>
  <c r="K482" i="5079"/>
  <c r="K483" i="5079"/>
  <c r="K484" i="5079"/>
  <c r="K485" i="5079"/>
  <c r="K486" i="5079"/>
  <c r="K487" i="5079"/>
  <c r="K488" i="5079"/>
  <c r="K489" i="5079"/>
  <c r="K490" i="5079"/>
  <c r="K491" i="5079"/>
  <c r="K492" i="5079"/>
  <c r="K493" i="5079"/>
  <c r="K494" i="5079"/>
  <c r="K495" i="5079"/>
  <c r="K496" i="5079"/>
  <c r="K497" i="5079"/>
  <c r="K498" i="5079"/>
  <c r="K499" i="5079"/>
  <c r="K500" i="5079"/>
  <c r="K501" i="5079"/>
  <c r="K502" i="5079"/>
  <c r="K503" i="5079"/>
  <c r="K504" i="5079"/>
  <c r="K505" i="5079"/>
  <c r="K2" i="5078"/>
  <c r="K3" i="5078"/>
  <c r="K4" i="5078"/>
  <c r="K5" i="5078"/>
  <c r="K6" i="5078"/>
  <c r="K7" i="5078"/>
  <c r="K8" i="5078"/>
  <c r="K9" i="5078"/>
  <c r="K10" i="5078"/>
  <c r="K11" i="5078"/>
  <c r="K12" i="5078"/>
  <c r="K13" i="5078"/>
  <c r="K14" i="5078"/>
  <c r="K15" i="5078"/>
  <c r="K16" i="5078"/>
  <c r="K17" i="5078"/>
  <c r="K18" i="5078"/>
  <c r="K19" i="5078"/>
  <c r="K20" i="5078"/>
  <c r="K21" i="5078"/>
  <c r="K22" i="5078"/>
  <c r="K23" i="5078"/>
  <c r="K24" i="5078"/>
  <c r="K25" i="5078"/>
  <c r="K26" i="5078"/>
  <c r="K27" i="5078"/>
  <c r="K28" i="5078"/>
  <c r="K29" i="5078"/>
  <c r="K30" i="5078"/>
  <c r="K31" i="5078"/>
  <c r="K32" i="5078"/>
  <c r="K33" i="5078"/>
  <c r="K34" i="5078"/>
  <c r="K35" i="5078"/>
  <c r="K36" i="5078"/>
  <c r="K37" i="5078"/>
  <c r="K38" i="5078"/>
  <c r="K39" i="5078"/>
  <c r="K40" i="5078"/>
  <c r="K41" i="5078"/>
  <c r="K42" i="5078"/>
  <c r="K43" i="5078"/>
  <c r="K44" i="5078"/>
  <c r="K45" i="5078"/>
  <c r="K46" i="5078"/>
  <c r="K47" i="5078"/>
  <c r="K48" i="5078"/>
  <c r="K49" i="5078"/>
  <c r="K50" i="5078"/>
  <c r="K51" i="5078"/>
  <c r="K52" i="5078"/>
  <c r="K53" i="5078"/>
  <c r="K54" i="5078"/>
  <c r="K55" i="5078"/>
  <c r="K56" i="5078"/>
  <c r="K57" i="5078"/>
  <c r="K58" i="5078"/>
  <c r="K59" i="5078"/>
  <c r="K60" i="5078"/>
  <c r="K61" i="5078"/>
  <c r="K62" i="5078"/>
  <c r="K63" i="5078"/>
  <c r="K64" i="5078"/>
  <c r="K65" i="5078"/>
  <c r="K66" i="5078"/>
  <c r="K67" i="5078"/>
  <c r="K68" i="5078"/>
  <c r="K69" i="5078"/>
  <c r="K70" i="5078"/>
  <c r="K71" i="5078"/>
  <c r="K72" i="5078"/>
  <c r="K73" i="5078"/>
  <c r="K74" i="5078"/>
  <c r="K75" i="5078"/>
  <c r="K76" i="5078"/>
  <c r="K77" i="5078"/>
  <c r="K78" i="5078"/>
  <c r="K79" i="5078"/>
  <c r="K80" i="5078"/>
  <c r="K81" i="5078"/>
  <c r="K82" i="5078"/>
  <c r="K83" i="5078"/>
  <c r="K84" i="5078"/>
  <c r="K85" i="5078"/>
  <c r="K86" i="5078"/>
  <c r="K87" i="5078"/>
  <c r="K88" i="5078"/>
  <c r="K89" i="5078"/>
  <c r="K90" i="5078"/>
  <c r="K91" i="5078"/>
  <c r="K92" i="5078"/>
  <c r="K93" i="5078"/>
  <c r="K94" i="5078"/>
  <c r="K95" i="5078"/>
  <c r="K96" i="5078"/>
  <c r="K97" i="5078"/>
  <c r="K98" i="5078"/>
  <c r="K99" i="5078"/>
  <c r="K100" i="5078"/>
  <c r="K101" i="5078"/>
  <c r="K102" i="5078"/>
  <c r="K103" i="5078"/>
  <c r="K104" i="5078"/>
  <c r="K105" i="5078"/>
  <c r="K106" i="5078"/>
  <c r="K107" i="5078"/>
  <c r="K108" i="5078"/>
  <c r="K109" i="5078"/>
  <c r="K110" i="5078"/>
  <c r="K111" i="5078"/>
  <c r="K112" i="5078"/>
  <c r="K113" i="5078"/>
  <c r="K114" i="5078"/>
  <c r="K115" i="5078"/>
  <c r="K116" i="5078"/>
  <c r="K117" i="5078"/>
  <c r="K118" i="5078"/>
  <c r="K119" i="5078"/>
  <c r="K120" i="5078"/>
  <c r="K121" i="5078"/>
  <c r="K122" i="5078"/>
  <c r="K123" i="5078"/>
  <c r="K124" i="5078"/>
  <c r="K125" i="5078"/>
  <c r="K126" i="5078"/>
  <c r="K127" i="5078"/>
  <c r="K128" i="5078"/>
  <c r="K129" i="5078"/>
  <c r="K130" i="5078"/>
  <c r="K131" i="5078"/>
  <c r="K132" i="5078"/>
  <c r="K133" i="5078"/>
  <c r="K134" i="5078"/>
  <c r="K135" i="5078"/>
  <c r="K136" i="5078"/>
  <c r="K137" i="5078"/>
  <c r="K138" i="5078"/>
  <c r="K139" i="5078"/>
  <c r="K140" i="5078"/>
  <c r="K141" i="5078"/>
  <c r="K142" i="5078"/>
  <c r="K143" i="5078"/>
  <c r="K144" i="5078"/>
  <c r="K145" i="5078"/>
  <c r="K146" i="5078"/>
  <c r="K147" i="5078"/>
  <c r="K148" i="5078"/>
  <c r="K149" i="5078"/>
  <c r="K150" i="5078"/>
  <c r="K151" i="5078"/>
  <c r="K152" i="5078"/>
  <c r="K153" i="5078"/>
  <c r="K154" i="5078"/>
  <c r="K155" i="5078"/>
  <c r="K156" i="5078"/>
  <c r="K157" i="5078"/>
  <c r="K158" i="5078"/>
  <c r="K159" i="5078"/>
  <c r="K160" i="5078"/>
  <c r="K161" i="5078"/>
  <c r="K162" i="5078"/>
  <c r="K163" i="5078"/>
  <c r="K164" i="5078"/>
  <c r="K165" i="5078"/>
  <c r="K166" i="5078"/>
  <c r="K167" i="5078"/>
  <c r="K168" i="5078"/>
  <c r="K169" i="5078"/>
  <c r="K170" i="5078"/>
  <c r="K171" i="5078"/>
  <c r="K172" i="5078"/>
  <c r="K173" i="5078"/>
  <c r="K174" i="5078"/>
  <c r="K175" i="5078"/>
  <c r="K176" i="5078"/>
  <c r="K177" i="5078"/>
  <c r="K178" i="5078"/>
  <c r="K179" i="5078"/>
  <c r="K180" i="5078"/>
  <c r="K181" i="5078"/>
  <c r="K182" i="5078"/>
  <c r="K183" i="5078"/>
  <c r="K184" i="5078"/>
  <c r="K185" i="5078"/>
  <c r="K186" i="5078"/>
  <c r="K187" i="5078"/>
  <c r="K188" i="5078"/>
  <c r="K189" i="5078"/>
  <c r="K190" i="5078"/>
  <c r="K191" i="5078"/>
  <c r="K192" i="5078"/>
  <c r="K193" i="5078"/>
  <c r="K194" i="5078"/>
  <c r="K195" i="5078"/>
  <c r="K196" i="5078"/>
  <c r="K197" i="5078"/>
  <c r="K198" i="5078"/>
  <c r="K199" i="5078"/>
  <c r="K200" i="5078"/>
  <c r="K201" i="5078"/>
  <c r="K202" i="5078"/>
  <c r="K203" i="5078"/>
  <c r="K204" i="5078"/>
  <c r="K205" i="5078"/>
  <c r="K206" i="5078"/>
  <c r="K207" i="5078"/>
  <c r="K208" i="5078"/>
  <c r="K209" i="5078"/>
  <c r="K210" i="5078"/>
  <c r="K211" i="5078"/>
  <c r="K212" i="5078"/>
  <c r="K213" i="5078"/>
  <c r="K214" i="5078"/>
  <c r="K215" i="5078"/>
  <c r="K216" i="5078"/>
  <c r="K217" i="5078"/>
  <c r="K218" i="5078"/>
  <c r="K219" i="5078"/>
  <c r="K220" i="5078"/>
  <c r="K221" i="5078"/>
  <c r="K222" i="5078"/>
  <c r="K223" i="5078"/>
  <c r="K224" i="5078"/>
  <c r="K225" i="5078"/>
  <c r="K226" i="5078"/>
  <c r="K227" i="5078"/>
  <c r="K228" i="5078"/>
  <c r="K229" i="5078"/>
  <c r="K230" i="5078"/>
  <c r="K231" i="5078"/>
  <c r="K232" i="5078"/>
  <c r="K233" i="5078"/>
  <c r="K234" i="5078"/>
  <c r="K235" i="5078"/>
  <c r="K236" i="5078"/>
  <c r="K237" i="5078"/>
  <c r="K238" i="5078"/>
  <c r="K239" i="5078"/>
  <c r="K240" i="5078"/>
  <c r="K241" i="5078"/>
  <c r="K242" i="5078"/>
  <c r="K243" i="5078"/>
  <c r="K244" i="5078"/>
  <c r="K245" i="5078"/>
  <c r="K246" i="5078"/>
  <c r="K247" i="5078"/>
  <c r="K248" i="5078"/>
  <c r="K249" i="5078"/>
  <c r="K250" i="5078"/>
  <c r="K251" i="5078"/>
  <c r="K252" i="5078"/>
  <c r="K253" i="5078"/>
  <c r="K254" i="5078"/>
  <c r="K255" i="5078"/>
  <c r="K256" i="5078"/>
  <c r="K257" i="5078"/>
  <c r="K258" i="5078"/>
  <c r="K259" i="5078"/>
  <c r="K260" i="5078"/>
  <c r="K261" i="5078"/>
  <c r="K262" i="5078"/>
  <c r="K263" i="5078"/>
  <c r="K264" i="5078"/>
  <c r="K265" i="5078"/>
  <c r="K266" i="5078"/>
  <c r="K267" i="5078"/>
  <c r="K268" i="5078"/>
  <c r="K269" i="5078"/>
  <c r="K270" i="5078"/>
  <c r="K271" i="5078"/>
  <c r="K272" i="5078"/>
  <c r="K273" i="5078"/>
  <c r="K274" i="5078"/>
  <c r="K275" i="5078"/>
  <c r="K276" i="5078"/>
  <c r="K277" i="5078"/>
  <c r="K278" i="5078"/>
  <c r="K279" i="5078"/>
  <c r="K280" i="5078"/>
  <c r="K281" i="5078"/>
  <c r="K282" i="5078"/>
  <c r="K283" i="5078"/>
  <c r="K284" i="5078"/>
  <c r="K285" i="5078"/>
  <c r="K286" i="5078"/>
  <c r="K287" i="5078"/>
  <c r="K288" i="5078"/>
  <c r="K289" i="5078"/>
  <c r="K290" i="5078"/>
  <c r="K291" i="5078"/>
  <c r="K292" i="5078"/>
  <c r="K293" i="5078"/>
  <c r="K294" i="5078"/>
  <c r="K295" i="5078"/>
  <c r="K296" i="5078"/>
  <c r="K297" i="5078"/>
  <c r="K298" i="5078"/>
  <c r="K299" i="5078"/>
  <c r="K300" i="5078"/>
  <c r="K301" i="5078"/>
  <c r="K302" i="5078"/>
  <c r="K303" i="5078"/>
  <c r="K304" i="5078"/>
  <c r="K305" i="5078"/>
  <c r="K306" i="5078"/>
  <c r="K307" i="5078"/>
  <c r="K308" i="5078"/>
  <c r="K309" i="5078"/>
  <c r="K310" i="5078"/>
  <c r="K311" i="5078"/>
  <c r="K312" i="5078"/>
  <c r="K313" i="5078"/>
  <c r="K314" i="5078"/>
  <c r="K315" i="5078"/>
  <c r="K316" i="5078"/>
  <c r="K317" i="5078"/>
  <c r="K318" i="5078"/>
  <c r="K319" i="5078"/>
  <c r="K320" i="5078"/>
  <c r="K321" i="5078"/>
  <c r="K322" i="5078"/>
  <c r="K323" i="5078"/>
  <c r="K324" i="5078"/>
  <c r="K325" i="5078"/>
  <c r="K326" i="5078"/>
  <c r="K327" i="5078"/>
  <c r="K328" i="5078"/>
  <c r="K329" i="5078"/>
  <c r="K330" i="5078"/>
  <c r="K331" i="5078"/>
  <c r="K332" i="5078"/>
  <c r="K333" i="5078"/>
  <c r="K334" i="5078"/>
  <c r="K335" i="5078"/>
  <c r="K336" i="5078"/>
  <c r="K337" i="5078"/>
  <c r="K338" i="5078"/>
  <c r="K339" i="5078"/>
  <c r="K340" i="5078"/>
  <c r="K341" i="5078"/>
  <c r="K342" i="5078"/>
  <c r="K343" i="5078"/>
  <c r="K344" i="5078"/>
  <c r="K345" i="5078"/>
  <c r="K346" i="5078"/>
  <c r="K347" i="5078"/>
  <c r="K348" i="5078"/>
  <c r="K349" i="5078"/>
  <c r="K350" i="5078"/>
  <c r="K351" i="5078"/>
  <c r="K352" i="5078"/>
  <c r="K353" i="5078"/>
  <c r="K354" i="5078"/>
  <c r="K355" i="5078"/>
  <c r="K356" i="5078"/>
  <c r="K357" i="5078"/>
  <c r="K358" i="5078"/>
  <c r="K359" i="5078"/>
  <c r="K360" i="5078"/>
  <c r="K361" i="5078"/>
  <c r="K362" i="5078"/>
  <c r="K363" i="5078"/>
  <c r="K364" i="5078"/>
  <c r="K365" i="5078"/>
  <c r="K366" i="5078"/>
  <c r="K367" i="5078"/>
  <c r="K368" i="5078"/>
  <c r="K369" i="5078"/>
  <c r="K370" i="5078"/>
  <c r="K371" i="5078"/>
  <c r="K372" i="5078"/>
  <c r="K373" i="5078"/>
  <c r="K374" i="5078"/>
  <c r="K375" i="5078"/>
  <c r="K376" i="5078"/>
  <c r="K377" i="5078"/>
  <c r="K378" i="5078"/>
  <c r="K379" i="5078"/>
  <c r="K380" i="5078"/>
  <c r="K381" i="5078"/>
  <c r="K382" i="5078"/>
  <c r="K383" i="5078"/>
  <c r="K384" i="5078"/>
  <c r="K385" i="5078"/>
  <c r="K386" i="5078"/>
  <c r="K387" i="5078"/>
  <c r="K388" i="5078"/>
  <c r="K389" i="5078"/>
  <c r="K390" i="5078"/>
  <c r="K391" i="5078"/>
  <c r="K392" i="5078"/>
  <c r="K393" i="5078"/>
  <c r="K394" i="5078"/>
  <c r="K395" i="5078"/>
  <c r="K396" i="5078"/>
  <c r="K397" i="5078"/>
  <c r="K398" i="5078"/>
  <c r="K399" i="5078"/>
  <c r="K400" i="5078"/>
  <c r="K401" i="5078"/>
  <c r="K402" i="5078"/>
  <c r="K403" i="5078"/>
  <c r="K404" i="5078"/>
  <c r="K405" i="5078"/>
  <c r="K406" i="5078"/>
  <c r="K407" i="5078"/>
  <c r="K408" i="5078"/>
  <c r="K409" i="5078"/>
  <c r="K410" i="5078"/>
  <c r="K411" i="5078"/>
  <c r="K412" i="5078"/>
  <c r="K413" i="5078"/>
  <c r="K414" i="5078"/>
  <c r="K415" i="5078"/>
  <c r="K416" i="5078"/>
  <c r="K417" i="5078"/>
  <c r="K418" i="5078"/>
  <c r="K419" i="5078"/>
  <c r="K420" i="5078"/>
  <c r="K421" i="5078"/>
  <c r="K422" i="5078"/>
  <c r="K423" i="5078"/>
  <c r="K424" i="5078"/>
  <c r="K425" i="5078"/>
  <c r="K426" i="5078"/>
  <c r="K427" i="5078"/>
  <c r="K428" i="5078"/>
  <c r="K429" i="5078"/>
  <c r="K430" i="5078"/>
  <c r="K431" i="5078"/>
  <c r="K432" i="5078"/>
  <c r="K433" i="5078"/>
  <c r="K434" i="5078"/>
  <c r="K435" i="5078"/>
  <c r="K436" i="5078"/>
  <c r="K437" i="5078"/>
  <c r="K438" i="5078"/>
  <c r="K439" i="5078"/>
  <c r="K440" i="5078"/>
  <c r="K441" i="5078"/>
  <c r="K442" i="5078"/>
  <c r="K443" i="5078"/>
  <c r="K444" i="5078"/>
  <c r="K445" i="5078"/>
  <c r="K446" i="5078"/>
  <c r="K447" i="5078"/>
  <c r="K448" i="5078"/>
  <c r="K449" i="5078"/>
  <c r="K450" i="5078"/>
  <c r="K451" i="5078"/>
  <c r="K452" i="5078"/>
  <c r="K453" i="5078"/>
  <c r="K454" i="5078"/>
  <c r="K455" i="5078"/>
  <c r="K456" i="5078"/>
  <c r="K457" i="5078"/>
  <c r="K458" i="5078"/>
  <c r="K459" i="5078"/>
  <c r="K460" i="5078"/>
  <c r="K461" i="5078"/>
  <c r="K462" i="5078"/>
  <c r="K463" i="5078"/>
  <c r="K464" i="5078"/>
  <c r="K465" i="5078"/>
  <c r="K466" i="5078"/>
  <c r="K467" i="5078"/>
  <c r="K468" i="5078"/>
  <c r="K469" i="5078"/>
  <c r="K470" i="5078"/>
  <c r="K471" i="5078"/>
  <c r="K472" i="5078"/>
  <c r="K473" i="5078"/>
  <c r="K474" i="5078"/>
  <c r="K475" i="5078"/>
  <c r="K476" i="5078"/>
  <c r="K477" i="5078"/>
  <c r="K478" i="5078"/>
  <c r="K479" i="5078"/>
  <c r="K480" i="5078"/>
  <c r="K481" i="5078"/>
  <c r="K482" i="5078"/>
  <c r="K483" i="5078"/>
  <c r="K484" i="5078"/>
  <c r="K485" i="5078"/>
  <c r="K486" i="5078"/>
  <c r="K487" i="5078"/>
  <c r="K488" i="5078"/>
  <c r="K489" i="5078"/>
  <c r="K490" i="5078"/>
  <c r="K491" i="5078"/>
  <c r="K492" i="5078"/>
  <c r="K493" i="5078"/>
  <c r="K494" i="5078"/>
  <c r="K495" i="5078"/>
  <c r="K496" i="5078"/>
  <c r="K497" i="5078"/>
  <c r="K498" i="5078"/>
  <c r="K499" i="5078"/>
  <c r="K500" i="5078"/>
  <c r="K501" i="5078"/>
  <c r="K502" i="5078"/>
  <c r="K503" i="5078"/>
  <c r="K504" i="5078"/>
  <c r="K505" i="5078"/>
  <c r="J2" i="5083"/>
  <c r="J3" i="5083"/>
  <c r="J4" i="5083"/>
  <c r="J5" i="5083"/>
  <c r="J6" i="5083"/>
  <c r="J7" i="5083"/>
  <c r="J8" i="5083"/>
  <c r="J9" i="5083"/>
  <c r="J10" i="5083"/>
  <c r="J11" i="5083"/>
  <c r="J12" i="5083"/>
  <c r="J13" i="5083"/>
  <c r="J14" i="5083"/>
  <c r="J15" i="5083"/>
  <c r="J16" i="5083"/>
  <c r="J17" i="5083"/>
  <c r="J18" i="5083"/>
  <c r="J19" i="5083"/>
  <c r="J20" i="5083"/>
  <c r="J21" i="5083"/>
  <c r="J22" i="5083"/>
  <c r="J23" i="5083"/>
  <c r="J24" i="5083"/>
  <c r="J25" i="5083"/>
  <c r="J26" i="5083"/>
  <c r="J27" i="5083"/>
  <c r="J28" i="5083"/>
  <c r="J29" i="5083"/>
  <c r="J30" i="5083"/>
  <c r="J31" i="5083"/>
  <c r="J32" i="5083"/>
  <c r="J33" i="5083"/>
  <c r="J34" i="5083"/>
  <c r="J35" i="5083"/>
  <c r="J36" i="5083"/>
  <c r="J37" i="5083"/>
  <c r="J38" i="5083"/>
  <c r="J39" i="5083"/>
  <c r="J40" i="5083"/>
  <c r="J41" i="5083"/>
  <c r="J42" i="5083"/>
  <c r="J43" i="5083"/>
  <c r="J44" i="5083"/>
  <c r="J45" i="5083"/>
  <c r="J46" i="5083"/>
  <c r="J47" i="5083"/>
  <c r="J48" i="5083"/>
  <c r="J49" i="5083"/>
  <c r="J50" i="5083"/>
  <c r="J51" i="5083"/>
  <c r="J52" i="5083"/>
  <c r="J53" i="5083"/>
  <c r="J54" i="5083"/>
  <c r="J55" i="5083"/>
  <c r="J56" i="5083"/>
  <c r="J57" i="5083"/>
  <c r="J58" i="5083"/>
  <c r="J59" i="5083"/>
  <c r="J60" i="5083"/>
  <c r="J61" i="5083"/>
  <c r="J62" i="5083"/>
  <c r="J63" i="5083"/>
  <c r="J64" i="5083"/>
  <c r="J65" i="5083"/>
  <c r="J66" i="5083"/>
  <c r="J67" i="5083"/>
  <c r="J68" i="5083"/>
  <c r="J69" i="5083"/>
  <c r="J70" i="5083"/>
  <c r="J71" i="5083"/>
  <c r="J72" i="5083"/>
  <c r="J73" i="5083"/>
  <c r="J74" i="5083"/>
  <c r="J75" i="5083"/>
  <c r="J76" i="5083"/>
  <c r="J77" i="5083"/>
  <c r="J78" i="5083"/>
  <c r="J79" i="5083"/>
  <c r="J80" i="5083"/>
  <c r="J81" i="5083"/>
  <c r="J82" i="5083"/>
  <c r="J83" i="5083"/>
  <c r="J84" i="5083"/>
  <c r="J85" i="5083"/>
  <c r="J86" i="5083"/>
  <c r="J87" i="5083"/>
  <c r="J88" i="5083"/>
  <c r="J89" i="5083"/>
  <c r="J90" i="5083"/>
  <c r="J91" i="5083"/>
  <c r="J92" i="5083"/>
  <c r="J93" i="5083"/>
  <c r="J94" i="5083"/>
  <c r="J95" i="5083"/>
  <c r="J96" i="5083"/>
  <c r="J97" i="5083"/>
  <c r="J98" i="5083"/>
  <c r="J99" i="5083"/>
  <c r="J100" i="5083"/>
  <c r="J101" i="5083"/>
  <c r="J102" i="5083"/>
  <c r="J103" i="5083"/>
  <c r="J104" i="5083"/>
  <c r="J105" i="5083"/>
  <c r="J106" i="5083"/>
  <c r="J107" i="5083"/>
  <c r="J108" i="5083"/>
  <c r="J109" i="5083"/>
  <c r="J110" i="5083"/>
  <c r="J111" i="5083"/>
  <c r="J112" i="5083"/>
  <c r="J113" i="5083"/>
  <c r="J114" i="5083"/>
  <c r="J115" i="5083"/>
  <c r="J116" i="5083"/>
  <c r="J117" i="5083"/>
  <c r="J118" i="5083"/>
  <c r="J119" i="5083"/>
  <c r="J120" i="5083"/>
  <c r="J121" i="5083"/>
  <c r="J122" i="5083"/>
  <c r="J123" i="5083"/>
  <c r="J124" i="5083"/>
  <c r="J125" i="5083"/>
  <c r="J126" i="5083"/>
  <c r="J127" i="5083"/>
  <c r="J128" i="5083"/>
  <c r="J129" i="5083"/>
  <c r="J130" i="5083"/>
  <c r="J131" i="5083"/>
  <c r="J132" i="5083"/>
  <c r="J133" i="5083"/>
  <c r="J134" i="5083"/>
  <c r="J135" i="5083"/>
  <c r="J136" i="5083"/>
  <c r="J137" i="5083"/>
  <c r="J138" i="5083"/>
  <c r="J139" i="5083"/>
  <c r="J140" i="5083"/>
  <c r="J141" i="5083"/>
  <c r="J142" i="5083"/>
  <c r="J143" i="5083"/>
  <c r="J144" i="5083"/>
  <c r="J145" i="5083"/>
  <c r="J146" i="5083"/>
  <c r="J147" i="5083"/>
  <c r="J148" i="5083"/>
  <c r="J149" i="5083"/>
  <c r="J150" i="5083"/>
  <c r="J151" i="5083"/>
  <c r="J152" i="5083"/>
  <c r="J153" i="5083"/>
  <c r="J154" i="5083"/>
  <c r="J155" i="5083"/>
  <c r="J156" i="5083"/>
  <c r="J157" i="5083"/>
  <c r="J158" i="5083"/>
  <c r="J159" i="5083"/>
  <c r="J160" i="5083"/>
  <c r="J161" i="5083"/>
  <c r="J162" i="5083"/>
  <c r="J163" i="5083"/>
  <c r="J164" i="5083"/>
  <c r="J165" i="5083"/>
  <c r="J166" i="5083"/>
  <c r="J167" i="5083"/>
  <c r="J168" i="5083"/>
  <c r="J169" i="5083"/>
  <c r="J170" i="5083"/>
  <c r="J171" i="5083"/>
  <c r="J172" i="5083"/>
  <c r="J173" i="5083"/>
  <c r="J174" i="5083"/>
  <c r="J175" i="5083"/>
  <c r="J176" i="5083"/>
  <c r="J177" i="5083"/>
  <c r="J178" i="5083"/>
  <c r="J179" i="5083"/>
  <c r="J180" i="5083"/>
  <c r="J181" i="5083"/>
  <c r="J182" i="5083"/>
  <c r="J183" i="5083"/>
  <c r="J184" i="5083"/>
  <c r="J185" i="5083"/>
  <c r="J186" i="5083"/>
  <c r="J187" i="5083"/>
  <c r="J188" i="5083"/>
  <c r="J189" i="5083"/>
  <c r="J190" i="5083"/>
  <c r="J191" i="5083"/>
  <c r="J192" i="5083"/>
  <c r="J193" i="5083"/>
  <c r="J194" i="5083"/>
  <c r="J195" i="5083"/>
  <c r="J196" i="5083"/>
  <c r="J197" i="5083"/>
  <c r="J198" i="5083"/>
  <c r="J199" i="5083"/>
  <c r="J200" i="5083"/>
  <c r="J201" i="5083"/>
  <c r="J202" i="5083"/>
  <c r="J203" i="5083"/>
  <c r="J204" i="5083"/>
  <c r="J205" i="5083"/>
  <c r="J206" i="5083"/>
  <c r="J207" i="5083"/>
  <c r="J208" i="5083"/>
  <c r="J209" i="5083"/>
  <c r="J210" i="5083"/>
  <c r="J211" i="5083"/>
  <c r="J212" i="5083"/>
  <c r="J213" i="5083"/>
  <c r="J214" i="5083"/>
  <c r="J215" i="5083"/>
  <c r="J216" i="5083"/>
  <c r="J217" i="5083"/>
  <c r="J218" i="5083"/>
  <c r="J219" i="5083"/>
  <c r="J220" i="5083"/>
  <c r="J221" i="5083"/>
  <c r="J222" i="5083"/>
  <c r="J223" i="5083"/>
  <c r="J224" i="5083"/>
  <c r="J225" i="5083"/>
  <c r="J226" i="5083"/>
  <c r="J227" i="5083"/>
  <c r="J228" i="5083"/>
  <c r="J229" i="5083"/>
  <c r="J230" i="5083"/>
  <c r="J231" i="5083"/>
  <c r="J232" i="5083"/>
  <c r="J233" i="5083"/>
  <c r="J234" i="5083"/>
  <c r="J235" i="5083"/>
  <c r="J236" i="5083"/>
  <c r="J237" i="5083"/>
  <c r="J238" i="5083"/>
  <c r="J239" i="5083"/>
  <c r="J240" i="5083"/>
  <c r="J241" i="5083"/>
  <c r="J242" i="5083"/>
  <c r="J243" i="5083"/>
  <c r="J244" i="5083"/>
  <c r="J245" i="5083"/>
  <c r="J246" i="5083"/>
  <c r="J247" i="5083"/>
  <c r="J248" i="5083"/>
  <c r="J249" i="5083"/>
  <c r="J250" i="5083"/>
  <c r="J251" i="5083"/>
  <c r="J252" i="5083"/>
  <c r="J253" i="5083"/>
  <c r="J254" i="5083"/>
  <c r="J255" i="5083"/>
  <c r="J256" i="5083"/>
  <c r="J257" i="5083"/>
  <c r="J258" i="5083"/>
  <c r="J259" i="5083"/>
  <c r="J260" i="5083"/>
  <c r="J261" i="5083"/>
  <c r="J262" i="5083"/>
  <c r="J263" i="5083"/>
  <c r="J264" i="5083"/>
  <c r="J265" i="5083"/>
  <c r="J266" i="5083"/>
  <c r="J267" i="5083"/>
  <c r="J268" i="5083"/>
  <c r="J269" i="5083"/>
  <c r="J270" i="5083"/>
  <c r="J271" i="5083"/>
  <c r="J272" i="5083"/>
  <c r="J273" i="5083"/>
  <c r="J274" i="5083"/>
  <c r="J275" i="5083"/>
  <c r="J276" i="5083"/>
  <c r="J277" i="5083"/>
  <c r="J278" i="5083"/>
  <c r="J279" i="5083"/>
  <c r="J280" i="5083"/>
  <c r="J281" i="5083"/>
  <c r="J282" i="5083"/>
  <c r="J283" i="5083"/>
  <c r="J284" i="5083"/>
  <c r="J285" i="5083"/>
  <c r="J286" i="5083"/>
  <c r="J287" i="5083"/>
  <c r="J288" i="5083"/>
  <c r="J289" i="5083"/>
  <c r="J290" i="5083"/>
  <c r="J291" i="5083"/>
  <c r="J292" i="5083"/>
  <c r="J293" i="5083"/>
  <c r="J294" i="5083"/>
  <c r="J295" i="5083"/>
  <c r="J296" i="5083"/>
  <c r="J297" i="5083"/>
  <c r="J298" i="5083"/>
  <c r="J299" i="5083"/>
  <c r="J300" i="5083"/>
  <c r="J301" i="5083"/>
  <c r="J302" i="5083"/>
  <c r="J303" i="5083"/>
  <c r="J304" i="5083"/>
  <c r="J305" i="5083"/>
  <c r="J306" i="5083"/>
  <c r="J307" i="5083"/>
  <c r="J308" i="5083"/>
  <c r="J309" i="5083"/>
  <c r="J310" i="5083"/>
  <c r="J311" i="5083"/>
  <c r="J312" i="5083"/>
  <c r="J313" i="5083"/>
  <c r="J314" i="5083"/>
  <c r="J315" i="5083"/>
  <c r="J316" i="5083"/>
  <c r="J317" i="5083"/>
  <c r="J318" i="5083"/>
  <c r="J319" i="5083"/>
  <c r="J320" i="5083"/>
  <c r="J321" i="5083"/>
  <c r="J322" i="5083"/>
  <c r="J323" i="5083"/>
  <c r="J324" i="5083"/>
  <c r="J325" i="5083"/>
  <c r="J326" i="5083"/>
  <c r="J327" i="5083"/>
  <c r="J328" i="5083"/>
  <c r="J329" i="5083"/>
  <c r="J330" i="5083"/>
  <c r="J331" i="5083"/>
  <c r="J332" i="5083"/>
  <c r="J333" i="5083"/>
  <c r="J334" i="5083"/>
  <c r="J335" i="5083"/>
  <c r="J336" i="5083"/>
  <c r="J337" i="5083"/>
  <c r="J338" i="5083"/>
  <c r="J339" i="5083"/>
  <c r="J340" i="5083"/>
  <c r="J341" i="5083"/>
  <c r="J342" i="5083"/>
  <c r="J343" i="5083"/>
  <c r="J344" i="5083"/>
  <c r="J345" i="5083"/>
  <c r="J346" i="5083"/>
  <c r="J347" i="5083"/>
  <c r="J348" i="5083"/>
  <c r="J349" i="5083"/>
  <c r="J350" i="5083"/>
  <c r="J351" i="5083"/>
  <c r="J352" i="5083"/>
  <c r="J353" i="5083"/>
  <c r="J354" i="5083"/>
  <c r="J355" i="5083"/>
  <c r="J356" i="5083"/>
  <c r="J357" i="5083"/>
  <c r="J358" i="5083"/>
  <c r="J359" i="5083"/>
  <c r="J360" i="5083"/>
  <c r="J361" i="5083"/>
  <c r="J362" i="5083"/>
  <c r="J363" i="5083"/>
  <c r="J364" i="5083"/>
  <c r="J365" i="5083"/>
  <c r="J366" i="5083"/>
  <c r="J367" i="5083"/>
  <c r="J368" i="5083"/>
  <c r="J369" i="5083"/>
  <c r="J370" i="5083"/>
  <c r="J371" i="5083"/>
  <c r="J372" i="5083"/>
  <c r="J373" i="5083"/>
  <c r="J374" i="5083"/>
  <c r="J375" i="5083"/>
  <c r="J376" i="5083"/>
  <c r="J377" i="5083"/>
  <c r="J378" i="5083"/>
  <c r="J379" i="5083"/>
  <c r="J380" i="5083"/>
  <c r="J381" i="5083"/>
  <c r="J382" i="5083"/>
  <c r="J383" i="5083"/>
  <c r="J384" i="5083"/>
  <c r="J385" i="5083"/>
  <c r="J386" i="5083"/>
  <c r="J387" i="5083"/>
  <c r="J388" i="5083"/>
  <c r="J389" i="5083"/>
  <c r="J390" i="5083"/>
  <c r="J391" i="5083"/>
  <c r="J392" i="5083"/>
  <c r="J393" i="5083"/>
  <c r="J394" i="5083"/>
  <c r="J395" i="5083"/>
  <c r="J396" i="5083"/>
  <c r="J397" i="5083"/>
  <c r="J398" i="5083"/>
  <c r="J399" i="5083"/>
  <c r="J400" i="5083"/>
  <c r="J401" i="5083"/>
  <c r="J402" i="5083"/>
  <c r="J403" i="5083"/>
  <c r="J404" i="5083"/>
  <c r="J405" i="5083"/>
  <c r="J406" i="5083"/>
  <c r="J407" i="5083"/>
  <c r="J408" i="5083"/>
  <c r="J409" i="5083"/>
  <c r="J410" i="5083"/>
  <c r="J411" i="5083"/>
  <c r="J412" i="5083"/>
  <c r="J413" i="5083"/>
  <c r="J414" i="5083"/>
  <c r="J415" i="5083"/>
  <c r="J416" i="5083"/>
  <c r="J417" i="5083"/>
  <c r="J418" i="5083"/>
  <c r="J419" i="5083"/>
  <c r="J420" i="5083"/>
  <c r="J421" i="5083"/>
  <c r="J422" i="5083"/>
  <c r="J423" i="5083"/>
  <c r="J424" i="5083"/>
  <c r="J425" i="5083"/>
  <c r="J426" i="5083"/>
  <c r="J427" i="5083"/>
  <c r="J428" i="5083"/>
  <c r="J429" i="5083"/>
  <c r="J430" i="5083"/>
  <c r="J431" i="5083"/>
  <c r="J432" i="5083"/>
  <c r="J433" i="5083"/>
  <c r="J434" i="5083"/>
  <c r="J435" i="5083"/>
  <c r="J436" i="5083"/>
  <c r="J437" i="5083"/>
  <c r="J438" i="5083"/>
  <c r="J439" i="5083"/>
  <c r="J440" i="5083"/>
  <c r="J441" i="5083"/>
  <c r="J442" i="5083"/>
  <c r="J443" i="5083"/>
  <c r="J444" i="5083"/>
  <c r="J445" i="5083"/>
  <c r="J446" i="5083"/>
  <c r="J447" i="5083"/>
  <c r="J448" i="5083"/>
  <c r="J449" i="5083"/>
  <c r="J450" i="5083"/>
  <c r="J451" i="5083"/>
  <c r="J452" i="5083"/>
  <c r="J453" i="5083"/>
  <c r="J454" i="5083"/>
  <c r="J455" i="5083"/>
  <c r="J456" i="5083"/>
  <c r="J457" i="5083"/>
  <c r="J458" i="5083"/>
  <c r="J459" i="5083"/>
  <c r="J460" i="5083"/>
  <c r="J461" i="5083"/>
  <c r="J462" i="5083"/>
  <c r="J463" i="5083"/>
  <c r="J464" i="5083"/>
  <c r="J465" i="5083"/>
  <c r="J466" i="5083"/>
  <c r="J467" i="5083"/>
  <c r="J468" i="5083"/>
  <c r="J469" i="5083"/>
  <c r="J470" i="5083"/>
  <c r="J471" i="5083"/>
  <c r="J472" i="5083"/>
  <c r="J473" i="5083"/>
  <c r="J474" i="5083"/>
  <c r="J475" i="5083"/>
  <c r="J476" i="5083"/>
  <c r="J477" i="5083"/>
  <c r="J478" i="5083"/>
  <c r="J479" i="5083"/>
  <c r="J480" i="5083"/>
  <c r="J481" i="5083"/>
  <c r="J482" i="5083"/>
  <c r="J483" i="5083"/>
  <c r="J484" i="5083"/>
  <c r="J485" i="5083"/>
  <c r="J486" i="5083"/>
  <c r="J487" i="5083"/>
  <c r="J488" i="5083"/>
  <c r="J489" i="5083"/>
  <c r="J490" i="5083"/>
  <c r="J491" i="5083"/>
  <c r="J492" i="5083"/>
  <c r="J493" i="5083"/>
  <c r="J494" i="5083"/>
  <c r="J495" i="5083"/>
  <c r="J496" i="5083"/>
  <c r="J497" i="5083"/>
  <c r="J498" i="5083"/>
  <c r="J499" i="5083"/>
  <c r="J500" i="5083"/>
  <c r="J501" i="5083"/>
  <c r="J502" i="5083"/>
  <c r="J503" i="5083"/>
  <c r="J504" i="5083"/>
  <c r="J505" i="5083"/>
  <c r="J2" i="5082"/>
  <c r="J3" i="5082"/>
  <c r="J4" i="5082"/>
  <c r="J5" i="5082"/>
  <c r="J6" i="5082"/>
  <c r="J7" i="5082"/>
  <c r="J8" i="5082"/>
  <c r="J9" i="5082"/>
  <c r="J10" i="5082"/>
  <c r="J11" i="5082"/>
  <c r="J12" i="5082"/>
  <c r="J13" i="5082"/>
  <c r="J14" i="5082"/>
  <c r="J15" i="5082"/>
  <c r="J16" i="5082"/>
  <c r="J17" i="5082"/>
  <c r="J18" i="5082"/>
  <c r="J19" i="5082"/>
  <c r="J20" i="5082"/>
  <c r="J21" i="5082"/>
  <c r="J22" i="5082"/>
  <c r="J23" i="5082"/>
  <c r="J24" i="5082"/>
  <c r="J25" i="5082"/>
  <c r="J26" i="5082"/>
  <c r="J27" i="5082"/>
  <c r="J28" i="5082"/>
  <c r="J29" i="5082"/>
  <c r="J30" i="5082"/>
  <c r="J31" i="5082"/>
  <c r="J32" i="5082"/>
  <c r="J33" i="5082"/>
  <c r="J34" i="5082"/>
  <c r="J35" i="5082"/>
  <c r="J36" i="5082"/>
  <c r="J37" i="5082"/>
  <c r="J38" i="5082"/>
  <c r="J39" i="5082"/>
  <c r="J40" i="5082"/>
  <c r="J41" i="5082"/>
  <c r="J42" i="5082"/>
  <c r="J43" i="5082"/>
  <c r="J44" i="5082"/>
  <c r="J45" i="5082"/>
  <c r="J46" i="5082"/>
  <c r="J47" i="5082"/>
  <c r="J48" i="5082"/>
  <c r="J49" i="5082"/>
  <c r="J50" i="5082"/>
  <c r="J51" i="5082"/>
  <c r="J52" i="5082"/>
  <c r="J53" i="5082"/>
  <c r="J54" i="5082"/>
  <c r="J55" i="5082"/>
  <c r="J56" i="5082"/>
  <c r="J57" i="5082"/>
  <c r="J58" i="5082"/>
  <c r="J59" i="5082"/>
  <c r="J60" i="5082"/>
  <c r="J61" i="5082"/>
  <c r="J62" i="5082"/>
  <c r="J63" i="5082"/>
  <c r="J64" i="5082"/>
  <c r="J65" i="5082"/>
  <c r="J66" i="5082"/>
  <c r="J67" i="5082"/>
  <c r="J68" i="5082"/>
  <c r="J69" i="5082"/>
  <c r="J70" i="5082"/>
  <c r="J71" i="5082"/>
  <c r="J72" i="5082"/>
  <c r="J73" i="5082"/>
  <c r="J74" i="5082"/>
  <c r="J75" i="5082"/>
  <c r="J76" i="5082"/>
  <c r="J77" i="5082"/>
  <c r="J78" i="5082"/>
  <c r="J79" i="5082"/>
  <c r="J80" i="5082"/>
  <c r="J81" i="5082"/>
  <c r="J82" i="5082"/>
  <c r="J83" i="5082"/>
  <c r="J84" i="5082"/>
  <c r="J85" i="5082"/>
  <c r="J86" i="5082"/>
  <c r="J87" i="5082"/>
  <c r="J88" i="5082"/>
  <c r="J89" i="5082"/>
  <c r="J90" i="5082"/>
  <c r="J91" i="5082"/>
  <c r="J92" i="5082"/>
  <c r="J93" i="5082"/>
  <c r="J94" i="5082"/>
  <c r="J95" i="5082"/>
  <c r="J96" i="5082"/>
  <c r="J97" i="5082"/>
  <c r="J98" i="5082"/>
  <c r="J99" i="5082"/>
  <c r="J100" i="5082"/>
  <c r="J101" i="5082"/>
  <c r="J102" i="5082"/>
  <c r="J103" i="5082"/>
  <c r="J104" i="5082"/>
  <c r="J105" i="5082"/>
  <c r="J106" i="5082"/>
  <c r="J107" i="5082"/>
  <c r="J108" i="5082"/>
  <c r="J109" i="5082"/>
  <c r="J110" i="5082"/>
  <c r="J111" i="5082"/>
  <c r="J112" i="5082"/>
  <c r="J113" i="5082"/>
  <c r="J114" i="5082"/>
  <c r="J115" i="5082"/>
  <c r="J116" i="5082"/>
  <c r="J117" i="5082"/>
  <c r="J118" i="5082"/>
  <c r="J119" i="5082"/>
  <c r="J120" i="5082"/>
  <c r="J121" i="5082"/>
  <c r="J122" i="5082"/>
  <c r="J123" i="5082"/>
  <c r="J124" i="5082"/>
  <c r="J125" i="5082"/>
  <c r="J126" i="5082"/>
  <c r="J127" i="5082"/>
  <c r="J128" i="5082"/>
  <c r="J129" i="5082"/>
  <c r="J130" i="5082"/>
  <c r="J131" i="5082"/>
  <c r="J132" i="5082"/>
  <c r="J133" i="5082"/>
  <c r="J134" i="5082"/>
  <c r="J135" i="5082"/>
  <c r="J136" i="5082"/>
  <c r="J137" i="5082"/>
  <c r="J138" i="5082"/>
  <c r="J139" i="5082"/>
  <c r="J140" i="5082"/>
  <c r="J141" i="5082"/>
  <c r="J142" i="5082"/>
  <c r="J143" i="5082"/>
  <c r="J144" i="5082"/>
  <c r="J145" i="5082"/>
  <c r="J146" i="5082"/>
  <c r="J147" i="5082"/>
  <c r="J148" i="5082"/>
  <c r="J149" i="5082"/>
  <c r="J150" i="5082"/>
  <c r="J151" i="5082"/>
  <c r="J152" i="5082"/>
  <c r="J153" i="5082"/>
  <c r="J154" i="5082"/>
  <c r="J155" i="5082"/>
  <c r="J156" i="5082"/>
  <c r="J157" i="5082"/>
  <c r="J158" i="5082"/>
  <c r="J159" i="5082"/>
  <c r="J160" i="5082"/>
  <c r="J161" i="5082"/>
  <c r="J162" i="5082"/>
  <c r="J163" i="5082"/>
  <c r="J164" i="5082"/>
  <c r="J165" i="5082"/>
  <c r="J166" i="5082"/>
  <c r="J167" i="5082"/>
  <c r="J168" i="5082"/>
  <c r="J169" i="5082"/>
  <c r="J170" i="5082"/>
  <c r="J171" i="5082"/>
  <c r="J172" i="5082"/>
  <c r="J173" i="5082"/>
  <c r="J174" i="5082"/>
  <c r="J175" i="5082"/>
  <c r="J176" i="5082"/>
  <c r="J177" i="5082"/>
  <c r="J178" i="5082"/>
  <c r="J179" i="5082"/>
  <c r="J180" i="5082"/>
  <c r="J181" i="5082"/>
  <c r="J182" i="5082"/>
  <c r="J183" i="5082"/>
  <c r="J184" i="5082"/>
  <c r="J185" i="5082"/>
  <c r="J186" i="5082"/>
  <c r="J187" i="5082"/>
  <c r="J188" i="5082"/>
  <c r="J189" i="5082"/>
  <c r="J190" i="5082"/>
  <c r="J191" i="5082"/>
  <c r="J192" i="5082"/>
  <c r="J193" i="5082"/>
  <c r="J194" i="5082"/>
  <c r="J195" i="5082"/>
  <c r="J196" i="5082"/>
  <c r="J197" i="5082"/>
  <c r="J198" i="5082"/>
  <c r="J199" i="5082"/>
  <c r="J200" i="5082"/>
  <c r="J201" i="5082"/>
  <c r="J202" i="5082"/>
  <c r="J203" i="5082"/>
  <c r="J204" i="5082"/>
  <c r="J205" i="5082"/>
  <c r="J206" i="5082"/>
  <c r="J207" i="5082"/>
  <c r="J208" i="5082"/>
  <c r="J209" i="5082"/>
  <c r="J210" i="5082"/>
  <c r="J211" i="5082"/>
  <c r="J212" i="5082"/>
  <c r="J213" i="5082"/>
  <c r="J214" i="5082"/>
  <c r="J215" i="5082"/>
  <c r="J216" i="5082"/>
  <c r="J217" i="5082"/>
  <c r="J218" i="5082"/>
  <c r="J219" i="5082"/>
  <c r="J220" i="5082"/>
  <c r="J221" i="5082"/>
  <c r="J222" i="5082"/>
  <c r="J223" i="5082"/>
  <c r="J224" i="5082"/>
  <c r="J225" i="5082"/>
  <c r="J226" i="5082"/>
  <c r="J227" i="5082"/>
  <c r="J228" i="5082"/>
  <c r="J229" i="5082"/>
  <c r="J230" i="5082"/>
  <c r="J231" i="5082"/>
  <c r="J232" i="5082"/>
  <c r="J233" i="5082"/>
  <c r="J234" i="5082"/>
  <c r="J235" i="5082"/>
  <c r="J236" i="5082"/>
  <c r="J237" i="5082"/>
  <c r="J238" i="5082"/>
  <c r="J239" i="5082"/>
  <c r="J240" i="5082"/>
  <c r="J241" i="5082"/>
  <c r="J242" i="5082"/>
  <c r="J243" i="5082"/>
  <c r="J244" i="5082"/>
  <c r="J245" i="5082"/>
  <c r="J246" i="5082"/>
  <c r="J247" i="5082"/>
  <c r="J248" i="5082"/>
  <c r="J249" i="5082"/>
  <c r="J250" i="5082"/>
  <c r="J251" i="5082"/>
  <c r="J252" i="5082"/>
  <c r="J253" i="5082"/>
  <c r="J254" i="5082"/>
  <c r="J255" i="5082"/>
  <c r="J256" i="5082"/>
  <c r="J257" i="5082"/>
  <c r="J258" i="5082"/>
  <c r="J259" i="5082"/>
  <c r="J260" i="5082"/>
  <c r="J261" i="5082"/>
  <c r="J262" i="5082"/>
  <c r="J263" i="5082"/>
  <c r="J264" i="5082"/>
  <c r="J265" i="5082"/>
  <c r="J266" i="5082"/>
  <c r="J267" i="5082"/>
  <c r="J268" i="5082"/>
  <c r="J269" i="5082"/>
  <c r="J270" i="5082"/>
  <c r="J271" i="5082"/>
  <c r="J272" i="5082"/>
  <c r="J273" i="5082"/>
  <c r="J274" i="5082"/>
  <c r="J275" i="5082"/>
  <c r="J276" i="5082"/>
  <c r="J277" i="5082"/>
  <c r="J278" i="5082"/>
  <c r="J279" i="5082"/>
  <c r="J280" i="5082"/>
  <c r="J281" i="5082"/>
  <c r="J282" i="5082"/>
  <c r="J283" i="5082"/>
  <c r="J284" i="5082"/>
  <c r="J285" i="5082"/>
  <c r="J286" i="5082"/>
  <c r="J287" i="5082"/>
  <c r="J288" i="5082"/>
  <c r="J289" i="5082"/>
  <c r="J290" i="5082"/>
  <c r="J291" i="5082"/>
  <c r="J292" i="5082"/>
  <c r="J293" i="5082"/>
  <c r="J294" i="5082"/>
  <c r="J295" i="5082"/>
  <c r="J296" i="5082"/>
  <c r="J297" i="5082"/>
  <c r="J298" i="5082"/>
  <c r="J299" i="5082"/>
  <c r="J300" i="5082"/>
  <c r="J301" i="5082"/>
  <c r="J302" i="5082"/>
  <c r="J303" i="5082"/>
  <c r="J304" i="5082"/>
  <c r="J305" i="5082"/>
  <c r="J306" i="5082"/>
  <c r="J307" i="5082"/>
  <c r="J308" i="5082"/>
  <c r="J309" i="5082"/>
  <c r="J310" i="5082"/>
  <c r="J311" i="5082"/>
  <c r="J312" i="5082"/>
  <c r="J313" i="5082"/>
  <c r="J314" i="5082"/>
  <c r="J315" i="5082"/>
  <c r="J316" i="5082"/>
  <c r="J317" i="5082"/>
  <c r="J318" i="5082"/>
  <c r="J319" i="5082"/>
  <c r="J320" i="5082"/>
  <c r="J321" i="5082"/>
  <c r="J322" i="5082"/>
  <c r="J323" i="5082"/>
  <c r="J324" i="5082"/>
  <c r="J325" i="5082"/>
  <c r="J326" i="5082"/>
  <c r="J327" i="5082"/>
  <c r="J328" i="5082"/>
  <c r="J329" i="5082"/>
  <c r="J330" i="5082"/>
  <c r="J331" i="5082"/>
  <c r="J332" i="5082"/>
  <c r="J333" i="5082"/>
  <c r="J334" i="5082"/>
  <c r="J335" i="5082"/>
  <c r="J336" i="5082"/>
  <c r="J337" i="5082"/>
  <c r="J338" i="5082"/>
  <c r="J339" i="5082"/>
  <c r="J340" i="5082"/>
  <c r="J341" i="5082"/>
  <c r="J342" i="5082"/>
  <c r="J343" i="5082"/>
  <c r="J344" i="5082"/>
  <c r="J345" i="5082"/>
  <c r="J346" i="5082"/>
  <c r="J347" i="5082"/>
  <c r="J348" i="5082"/>
  <c r="J349" i="5082"/>
  <c r="J350" i="5082"/>
  <c r="J351" i="5082"/>
  <c r="J352" i="5082"/>
  <c r="J353" i="5082"/>
  <c r="J354" i="5082"/>
  <c r="J355" i="5082"/>
  <c r="J356" i="5082"/>
  <c r="J357" i="5082"/>
  <c r="J358" i="5082"/>
  <c r="J359" i="5082"/>
  <c r="J360" i="5082"/>
  <c r="J361" i="5082"/>
  <c r="J362" i="5082"/>
  <c r="J363" i="5082"/>
  <c r="J364" i="5082"/>
  <c r="J365" i="5082"/>
  <c r="J366" i="5082"/>
  <c r="J367" i="5082"/>
  <c r="J368" i="5082"/>
  <c r="J369" i="5082"/>
  <c r="J370" i="5082"/>
  <c r="J371" i="5082"/>
  <c r="J372" i="5082"/>
  <c r="J373" i="5082"/>
  <c r="J374" i="5082"/>
  <c r="J375" i="5082"/>
  <c r="J376" i="5082"/>
  <c r="J377" i="5082"/>
  <c r="J378" i="5082"/>
  <c r="J379" i="5082"/>
  <c r="J380" i="5082"/>
  <c r="J381" i="5082"/>
  <c r="J382" i="5082"/>
  <c r="J383" i="5082"/>
  <c r="J384" i="5082"/>
  <c r="J385" i="5082"/>
  <c r="J386" i="5082"/>
  <c r="J387" i="5082"/>
  <c r="J388" i="5082"/>
  <c r="J389" i="5082"/>
  <c r="J390" i="5082"/>
  <c r="J391" i="5082"/>
  <c r="J392" i="5082"/>
  <c r="J393" i="5082"/>
  <c r="J394" i="5082"/>
  <c r="J395" i="5082"/>
  <c r="J396" i="5082"/>
  <c r="J397" i="5082"/>
  <c r="J398" i="5082"/>
  <c r="J399" i="5082"/>
  <c r="J400" i="5082"/>
  <c r="J401" i="5082"/>
  <c r="J402" i="5082"/>
  <c r="J403" i="5082"/>
  <c r="J404" i="5082"/>
  <c r="J405" i="5082"/>
  <c r="J406" i="5082"/>
  <c r="J407" i="5082"/>
  <c r="J408" i="5082"/>
  <c r="J409" i="5082"/>
  <c r="J410" i="5082"/>
  <c r="J411" i="5082"/>
  <c r="J412" i="5082"/>
  <c r="J413" i="5082"/>
  <c r="J414" i="5082"/>
  <c r="J415" i="5082"/>
  <c r="J416" i="5082"/>
  <c r="J417" i="5082"/>
  <c r="J418" i="5082"/>
  <c r="J419" i="5082"/>
  <c r="J420" i="5082"/>
  <c r="J421" i="5082"/>
  <c r="J422" i="5082"/>
  <c r="J423" i="5082"/>
  <c r="J424" i="5082"/>
  <c r="J425" i="5082"/>
  <c r="J426" i="5082"/>
  <c r="J427" i="5082"/>
  <c r="J428" i="5082"/>
  <c r="J429" i="5082"/>
  <c r="J430" i="5082"/>
  <c r="J431" i="5082"/>
  <c r="J432" i="5082"/>
  <c r="J433" i="5082"/>
  <c r="J434" i="5082"/>
  <c r="J435" i="5082"/>
  <c r="J436" i="5082"/>
  <c r="J437" i="5082"/>
  <c r="J438" i="5082"/>
  <c r="J439" i="5082"/>
  <c r="J440" i="5082"/>
  <c r="J441" i="5082"/>
  <c r="J442" i="5082"/>
  <c r="J443" i="5082"/>
  <c r="J444" i="5082"/>
  <c r="J445" i="5082"/>
  <c r="J446" i="5082"/>
  <c r="J447" i="5082"/>
  <c r="J448" i="5082"/>
  <c r="J449" i="5082"/>
  <c r="J450" i="5082"/>
  <c r="J451" i="5082"/>
  <c r="J452" i="5082"/>
  <c r="J453" i="5082"/>
  <c r="J454" i="5082"/>
  <c r="J455" i="5082"/>
  <c r="J456" i="5082"/>
  <c r="J457" i="5082"/>
  <c r="J458" i="5082"/>
  <c r="J459" i="5082"/>
  <c r="J460" i="5082"/>
  <c r="J461" i="5082"/>
  <c r="J462" i="5082"/>
  <c r="J463" i="5082"/>
  <c r="J464" i="5082"/>
  <c r="J465" i="5082"/>
  <c r="J466" i="5082"/>
  <c r="J467" i="5082"/>
  <c r="J468" i="5082"/>
  <c r="J469" i="5082"/>
  <c r="J470" i="5082"/>
  <c r="J471" i="5082"/>
  <c r="J472" i="5082"/>
  <c r="J473" i="5082"/>
  <c r="J474" i="5082"/>
  <c r="J475" i="5082"/>
  <c r="J476" i="5082"/>
  <c r="J477" i="5082"/>
  <c r="J478" i="5082"/>
  <c r="J479" i="5082"/>
  <c r="J480" i="5082"/>
  <c r="J481" i="5082"/>
  <c r="J482" i="5082"/>
  <c r="J483" i="5082"/>
  <c r="J484" i="5082"/>
  <c r="J485" i="5082"/>
  <c r="J486" i="5082"/>
  <c r="J487" i="5082"/>
  <c r="J488" i="5082"/>
  <c r="J489" i="5082"/>
  <c r="J490" i="5082"/>
  <c r="J491" i="5082"/>
  <c r="J492" i="5082"/>
  <c r="J493" i="5082"/>
  <c r="J494" i="5082"/>
  <c r="J495" i="5082"/>
  <c r="J496" i="5082"/>
  <c r="J497" i="5082"/>
  <c r="J498" i="5082"/>
  <c r="J499" i="5082"/>
  <c r="J500" i="5082"/>
  <c r="J501" i="5082"/>
  <c r="J502" i="5082"/>
  <c r="J503" i="5082"/>
  <c r="J504" i="5082"/>
  <c r="J505" i="5082"/>
  <c r="J2" i="5081"/>
  <c r="J3" i="5081"/>
  <c r="J4" i="5081"/>
  <c r="J5" i="5081"/>
  <c r="J6" i="5081"/>
  <c r="J7" i="5081"/>
  <c r="J8" i="5081"/>
  <c r="J9" i="5081"/>
  <c r="J10" i="5081"/>
  <c r="J11" i="5081"/>
  <c r="J12" i="5081"/>
  <c r="J13" i="5081"/>
  <c r="J14" i="5081"/>
  <c r="J15" i="5081"/>
  <c r="J16" i="5081"/>
  <c r="J17" i="5081"/>
  <c r="J18" i="5081"/>
  <c r="J19" i="5081"/>
  <c r="J20" i="5081"/>
  <c r="J21" i="5081"/>
  <c r="J22" i="5081"/>
  <c r="J23" i="5081"/>
  <c r="J24" i="5081"/>
  <c r="J25" i="5081"/>
  <c r="J26" i="5081"/>
  <c r="J27" i="5081"/>
  <c r="J28" i="5081"/>
  <c r="J29" i="5081"/>
  <c r="J30" i="5081"/>
  <c r="J31" i="5081"/>
  <c r="J32" i="5081"/>
  <c r="J33" i="5081"/>
  <c r="J34" i="5081"/>
  <c r="J35" i="5081"/>
  <c r="J36" i="5081"/>
  <c r="J37" i="5081"/>
  <c r="J38" i="5081"/>
  <c r="J39" i="5081"/>
  <c r="J40" i="5081"/>
  <c r="J41" i="5081"/>
  <c r="J42" i="5081"/>
  <c r="J43" i="5081"/>
  <c r="J44" i="5081"/>
  <c r="J45" i="5081"/>
  <c r="J46" i="5081"/>
  <c r="J47" i="5081"/>
  <c r="J48" i="5081"/>
  <c r="J49" i="5081"/>
  <c r="J50" i="5081"/>
  <c r="J51" i="5081"/>
  <c r="J52" i="5081"/>
  <c r="J53" i="5081"/>
  <c r="J54" i="5081"/>
  <c r="J55" i="5081"/>
  <c r="J56" i="5081"/>
  <c r="J57" i="5081"/>
  <c r="J58" i="5081"/>
  <c r="J59" i="5081"/>
  <c r="J60" i="5081"/>
  <c r="J61" i="5081"/>
  <c r="J62" i="5081"/>
  <c r="J63" i="5081"/>
  <c r="J64" i="5081"/>
  <c r="J65" i="5081"/>
  <c r="J66" i="5081"/>
  <c r="J67" i="5081"/>
  <c r="J68" i="5081"/>
  <c r="J69" i="5081"/>
  <c r="J70" i="5081"/>
  <c r="J71" i="5081"/>
  <c r="J72" i="5081"/>
  <c r="J73" i="5081"/>
  <c r="J74" i="5081"/>
  <c r="J75" i="5081"/>
  <c r="J76" i="5081"/>
  <c r="J77" i="5081"/>
  <c r="J78" i="5081"/>
  <c r="J79" i="5081"/>
  <c r="J80" i="5081"/>
  <c r="J81" i="5081"/>
  <c r="J82" i="5081"/>
  <c r="J83" i="5081"/>
  <c r="J84" i="5081"/>
  <c r="J85" i="5081"/>
  <c r="J86" i="5081"/>
  <c r="J87" i="5081"/>
  <c r="J88" i="5081"/>
  <c r="J89" i="5081"/>
  <c r="J90" i="5081"/>
  <c r="J91" i="5081"/>
  <c r="J92" i="5081"/>
  <c r="J93" i="5081"/>
  <c r="J94" i="5081"/>
  <c r="J95" i="5081"/>
  <c r="J96" i="5081"/>
  <c r="J97" i="5081"/>
  <c r="J98" i="5081"/>
  <c r="J99" i="5081"/>
  <c r="J100" i="5081"/>
  <c r="J101" i="5081"/>
  <c r="J102" i="5081"/>
  <c r="J103" i="5081"/>
  <c r="J104" i="5081"/>
  <c r="J105" i="5081"/>
  <c r="J106" i="5081"/>
  <c r="J107" i="5081"/>
  <c r="J108" i="5081"/>
  <c r="J109" i="5081"/>
  <c r="J110" i="5081"/>
  <c r="J111" i="5081"/>
  <c r="J112" i="5081"/>
  <c r="J113" i="5081"/>
  <c r="J114" i="5081"/>
  <c r="J115" i="5081"/>
  <c r="J116" i="5081"/>
  <c r="J117" i="5081"/>
  <c r="J118" i="5081"/>
  <c r="J119" i="5081"/>
  <c r="J120" i="5081"/>
  <c r="J121" i="5081"/>
  <c r="J122" i="5081"/>
  <c r="J123" i="5081"/>
  <c r="J124" i="5081"/>
  <c r="J125" i="5081"/>
  <c r="J126" i="5081"/>
  <c r="J127" i="5081"/>
  <c r="J128" i="5081"/>
  <c r="J129" i="5081"/>
  <c r="J130" i="5081"/>
  <c r="J131" i="5081"/>
  <c r="J132" i="5081"/>
  <c r="J133" i="5081"/>
  <c r="J134" i="5081"/>
  <c r="J135" i="5081"/>
  <c r="J136" i="5081"/>
  <c r="J137" i="5081"/>
  <c r="J138" i="5081"/>
  <c r="J139" i="5081"/>
  <c r="J140" i="5081"/>
  <c r="J141" i="5081"/>
  <c r="J142" i="5081"/>
  <c r="J143" i="5081"/>
  <c r="J144" i="5081"/>
  <c r="J145" i="5081"/>
  <c r="J146" i="5081"/>
  <c r="J147" i="5081"/>
  <c r="J148" i="5081"/>
  <c r="J149" i="5081"/>
  <c r="J150" i="5081"/>
  <c r="J151" i="5081"/>
  <c r="J152" i="5081"/>
  <c r="J153" i="5081"/>
  <c r="J154" i="5081"/>
  <c r="J155" i="5081"/>
  <c r="J156" i="5081"/>
  <c r="J157" i="5081"/>
  <c r="J158" i="5081"/>
  <c r="J159" i="5081"/>
  <c r="J160" i="5081"/>
  <c r="J161" i="5081"/>
  <c r="J162" i="5081"/>
  <c r="J163" i="5081"/>
  <c r="J164" i="5081"/>
  <c r="J165" i="5081"/>
  <c r="J166" i="5081"/>
  <c r="J167" i="5081"/>
  <c r="J168" i="5081"/>
  <c r="J169" i="5081"/>
  <c r="J170" i="5081"/>
  <c r="J171" i="5081"/>
  <c r="J172" i="5081"/>
  <c r="J173" i="5081"/>
  <c r="J174" i="5081"/>
  <c r="J175" i="5081"/>
  <c r="J176" i="5081"/>
  <c r="J177" i="5081"/>
  <c r="J178" i="5081"/>
  <c r="J179" i="5081"/>
  <c r="J180" i="5081"/>
  <c r="J181" i="5081"/>
  <c r="J182" i="5081"/>
  <c r="J183" i="5081"/>
  <c r="J184" i="5081"/>
  <c r="J185" i="5081"/>
  <c r="J186" i="5081"/>
  <c r="J187" i="5081"/>
  <c r="J188" i="5081"/>
  <c r="J189" i="5081"/>
  <c r="J190" i="5081"/>
  <c r="J191" i="5081"/>
  <c r="J192" i="5081"/>
  <c r="J193" i="5081"/>
  <c r="J194" i="5081"/>
  <c r="J195" i="5081"/>
  <c r="J196" i="5081"/>
  <c r="J197" i="5081"/>
  <c r="J198" i="5081"/>
  <c r="J199" i="5081"/>
  <c r="J200" i="5081"/>
  <c r="J201" i="5081"/>
  <c r="J202" i="5081"/>
  <c r="J203" i="5081"/>
  <c r="J204" i="5081"/>
  <c r="J205" i="5081"/>
  <c r="J206" i="5081"/>
  <c r="J207" i="5081"/>
  <c r="J208" i="5081"/>
  <c r="J209" i="5081"/>
  <c r="J210" i="5081"/>
  <c r="J211" i="5081"/>
  <c r="J212" i="5081"/>
  <c r="J213" i="5081"/>
  <c r="J214" i="5081"/>
  <c r="J215" i="5081"/>
  <c r="J216" i="5081"/>
  <c r="J217" i="5081"/>
  <c r="J218" i="5081"/>
  <c r="J219" i="5081"/>
  <c r="J220" i="5081"/>
  <c r="J221" i="5081"/>
  <c r="J222" i="5081"/>
  <c r="J223" i="5081"/>
  <c r="J224" i="5081"/>
  <c r="J225" i="5081"/>
  <c r="J226" i="5081"/>
  <c r="J227" i="5081"/>
  <c r="J228" i="5081"/>
  <c r="J229" i="5081"/>
  <c r="J230" i="5081"/>
  <c r="J231" i="5081"/>
  <c r="J232" i="5081"/>
  <c r="J233" i="5081"/>
  <c r="J234" i="5081"/>
  <c r="J235" i="5081"/>
  <c r="J236" i="5081"/>
  <c r="J237" i="5081"/>
  <c r="J238" i="5081"/>
  <c r="J239" i="5081"/>
  <c r="J240" i="5081"/>
  <c r="J241" i="5081"/>
  <c r="J242" i="5081"/>
  <c r="J243" i="5081"/>
  <c r="J244" i="5081"/>
  <c r="J245" i="5081"/>
  <c r="J246" i="5081"/>
  <c r="J247" i="5081"/>
  <c r="J248" i="5081"/>
  <c r="J249" i="5081"/>
  <c r="J250" i="5081"/>
  <c r="J251" i="5081"/>
  <c r="J252" i="5081"/>
  <c r="J253" i="5081"/>
  <c r="J254" i="5081"/>
  <c r="J255" i="5081"/>
  <c r="J256" i="5081"/>
  <c r="J257" i="5081"/>
  <c r="J258" i="5081"/>
  <c r="J259" i="5081"/>
  <c r="J260" i="5081"/>
  <c r="J261" i="5081"/>
  <c r="J262" i="5081"/>
  <c r="J263" i="5081"/>
  <c r="J264" i="5081"/>
  <c r="J265" i="5081"/>
  <c r="J266" i="5081"/>
  <c r="J267" i="5081"/>
  <c r="J268" i="5081"/>
  <c r="J269" i="5081"/>
  <c r="J270" i="5081"/>
  <c r="J271" i="5081"/>
  <c r="J272" i="5081"/>
  <c r="J273" i="5081"/>
  <c r="J274" i="5081"/>
  <c r="J275" i="5081"/>
  <c r="J276" i="5081"/>
  <c r="J277" i="5081"/>
  <c r="J278" i="5081"/>
  <c r="J279" i="5081"/>
  <c r="J280" i="5081"/>
  <c r="J281" i="5081"/>
  <c r="J282" i="5081"/>
  <c r="J283" i="5081"/>
  <c r="J284" i="5081"/>
  <c r="J285" i="5081"/>
  <c r="J286" i="5081"/>
  <c r="J287" i="5081"/>
  <c r="J288" i="5081"/>
  <c r="J289" i="5081"/>
  <c r="J290" i="5081"/>
  <c r="J291" i="5081"/>
  <c r="J292" i="5081"/>
  <c r="J293" i="5081"/>
  <c r="J294" i="5081"/>
  <c r="J295" i="5081"/>
  <c r="J296" i="5081"/>
  <c r="J297" i="5081"/>
  <c r="J298" i="5081"/>
  <c r="J299" i="5081"/>
  <c r="J300" i="5081"/>
  <c r="J301" i="5081"/>
  <c r="J302" i="5081"/>
  <c r="J303" i="5081"/>
  <c r="J304" i="5081"/>
  <c r="J305" i="5081"/>
  <c r="J306" i="5081"/>
  <c r="J307" i="5081"/>
  <c r="J308" i="5081"/>
  <c r="J309" i="5081"/>
  <c r="J310" i="5081"/>
  <c r="J311" i="5081"/>
  <c r="J312" i="5081"/>
  <c r="J313" i="5081"/>
  <c r="J314" i="5081"/>
  <c r="J315" i="5081"/>
  <c r="J316" i="5081"/>
  <c r="J317" i="5081"/>
  <c r="J318" i="5081"/>
  <c r="J319" i="5081"/>
  <c r="J320" i="5081"/>
  <c r="J321" i="5081"/>
  <c r="J322" i="5081"/>
  <c r="J323" i="5081"/>
  <c r="J324" i="5081"/>
  <c r="J325" i="5081"/>
  <c r="J326" i="5081"/>
  <c r="J327" i="5081"/>
  <c r="J328" i="5081"/>
  <c r="J329" i="5081"/>
  <c r="J330" i="5081"/>
  <c r="J331" i="5081"/>
  <c r="J332" i="5081"/>
  <c r="J333" i="5081"/>
  <c r="J334" i="5081"/>
  <c r="J335" i="5081"/>
  <c r="J336" i="5081"/>
  <c r="J337" i="5081"/>
  <c r="J338" i="5081"/>
  <c r="J339" i="5081"/>
  <c r="J340" i="5081"/>
  <c r="J341" i="5081"/>
  <c r="J342" i="5081"/>
  <c r="J343" i="5081"/>
  <c r="J344" i="5081"/>
  <c r="J345" i="5081"/>
  <c r="J346" i="5081"/>
  <c r="J347" i="5081"/>
  <c r="J348" i="5081"/>
  <c r="J349" i="5081"/>
  <c r="J350" i="5081"/>
  <c r="J351" i="5081"/>
  <c r="J352" i="5081"/>
  <c r="J353" i="5081"/>
  <c r="J354" i="5081"/>
  <c r="J355" i="5081"/>
  <c r="J356" i="5081"/>
  <c r="J357" i="5081"/>
  <c r="J358" i="5081"/>
  <c r="J359" i="5081"/>
  <c r="J360" i="5081"/>
  <c r="J361" i="5081"/>
  <c r="J362" i="5081"/>
  <c r="J363" i="5081"/>
  <c r="J364" i="5081"/>
  <c r="J365" i="5081"/>
  <c r="J366" i="5081"/>
  <c r="J367" i="5081"/>
  <c r="J368" i="5081"/>
  <c r="J369" i="5081"/>
  <c r="J370" i="5081"/>
  <c r="J371" i="5081"/>
  <c r="J372" i="5081"/>
  <c r="J373" i="5081"/>
  <c r="J374" i="5081"/>
  <c r="J375" i="5081"/>
  <c r="J376" i="5081"/>
  <c r="J377" i="5081"/>
  <c r="J378" i="5081"/>
  <c r="J379" i="5081"/>
  <c r="J380" i="5081"/>
  <c r="J381" i="5081"/>
  <c r="J382" i="5081"/>
  <c r="J383" i="5081"/>
  <c r="J384" i="5081"/>
  <c r="J385" i="5081"/>
  <c r="J386" i="5081"/>
  <c r="J387" i="5081"/>
  <c r="J388" i="5081"/>
  <c r="J389" i="5081"/>
  <c r="J390" i="5081"/>
  <c r="J391" i="5081"/>
  <c r="J392" i="5081"/>
  <c r="J393" i="5081"/>
  <c r="J394" i="5081"/>
  <c r="J395" i="5081"/>
  <c r="J396" i="5081"/>
  <c r="J397" i="5081"/>
  <c r="J398" i="5081"/>
  <c r="J399" i="5081"/>
  <c r="J400" i="5081"/>
  <c r="J401" i="5081"/>
  <c r="J402" i="5081"/>
  <c r="J403" i="5081"/>
  <c r="J404" i="5081"/>
  <c r="J405" i="5081"/>
  <c r="J406" i="5081"/>
  <c r="J407" i="5081"/>
  <c r="J408" i="5081"/>
  <c r="J409" i="5081"/>
  <c r="J410" i="5081"/>
  <c r="J411" i="5081"/>
  <c r="J412" i="5081"/>
  <c r="J413" i="5081"/>
  <c r="J414" i="5081"/>
  <c r="J415" i="5081"/>
  <c r="J416" i="5081"/>
  <c r="J417" i="5081"/>
  <c r="J418" i="5081"/>
  <c r="J419" i="5081"/>
  <c r="J420" i="5081"/>
  <c r="J421" i="5081"/>
  <c r="J422" i="5081"/>
  <c r="J423" i="5081"/>
  <c r="J424" i="5081"/>
  <c r="J425" i="5081"/>
  <c r="J426" i="5081"/>
  <c r="J427" i="5081"/>
  <c r="J428" i="5081"/>
  <c r="J429" i="5081"/>
  <c r="J430" i="5081"/>
  <c r="J431" i="5081"/>
  <c r="J432" i="5081"/>
  <c r="J433" i="5081"/>
  <c r="J434" i="5081"/>
  <c r="J435" i="5081"/>
  <c r="J436" i="5081"/>
  <c r="J437" i="5081"/>
  <c r="J438" i="5081"/>
  <c r="J439" i="5081"/>
  <c r="J440" i="5081"/>
  <c r="J441" i="5081"/>
  <c r="J442" i="5081"/>
  <c r="J443" i="5081"/>
  <c r="J444" i="5081"/>
  <c r="J445" i="5081"/>
  <c r="J446" i="5081"/>
  <c r="J447" i="5081"/>
  <c r="J448" i="5081"/>
  <c r="J449" i="5081"/>
  <c r="J450" i="5081"/>
  <c r="J451" i="5081"/>
  <c r="J452" i="5081"/>
  <c r="J453" i="5081"/>
  <c r="J454" i="5081"/>
  <c r="J455" i="5081"/>
  <c r="J456" i="5081"/>
  <c r="J457" i="5081"/>
  <c r="J458" i="5081"/>
  <c r="J459" i="5081"/>
  <c r="J460" i="5081"/>
  <c r="J461" i="5081"/>
  <c r="J462" i="5081"/>
  <c r="J463" i="5081"/>
  <c r="J464" i="5081"/>
  <c r="J465" i="5081"/>
  <c r="J466" i="5081"/>
  <c r="J467" i="5081"/>
  <c r="J468" i="5081"/>
  <c r="J469" i="5081"/>
  <c r="J470" i="5081"/>
  <c r="J471" i="5081"/>
  <c r="J472" i="5081"/>
  <c r="J473" i="5081"/>
  <c r="J474" i="5081"/>
  <c r="J475" i="5081"/>
  <c r="J476" i="5081"/>
  <c r="J477" i="5081"/>
  <c r="J478" i="5081"/>
  <c r="J479" i="5081"/>
  <c r="J480" i="5081"/>
  <c r="J481" i="5081"/>
  <c r="J482" i="5081"/>
  <c r="J483" i="5081"/>
  <c r="J484" i="5081"/>
  <c r="J485" i="5081"/>
  <c r="J486" i="5081"/>
  <c r="J487" i="5081"/>
  <c r="J488" i="5081"/>
  <c r="J489" i="5081"/>
  <c r="J490" i="5081"/>
  <c r="J491" i="5081"/>
  <c r="J492" i="5081"/>
  <c r="J493" i="5081"/>
  <c r="J494" i="5081"/>
  <c r="J495" i="5081"/>
  <c r="J496" i="5081"/>
  <c r="J497" i="5081"/>
  <c r="J498" i="5081"/>
  <c r="J499" i="5081"/>
  <c r="J500" i="5081"/>
  <c r="J501" i="5081"/>
  <c r="J502" i="5081"/>
  <c r="J503" i="5081"/>
  <c r="J504" i="5081"/>
  <c r="J505" i="5081"/>
  <c r="J2" i="5080"/>
  <c r="J3" i="5080"/>
  <c r="J4" i="5080"/>
  <c r="J5" i="5080"/>
  <c r="J6" i="5080"/>
  <c r="J7" i="5080"/>
  <c r="J8" i="5080"/>
  <c r="J9" i="5080"/>
  <c r="J10" i="5080"/>
  <c r="J11" i="5080"/>
  <c r="J12" i="5080"/>
  <c r="J13" i="5080"/>
  <c r="J14" i="5080"/>
  <c r="J15" i="5080"/>
  <c r="J16" i="5080"/>
  <c r="J17" i="5080"/>
  <c r="J18" i="5080"/>
  <c r="J19" i="5080"/>
  <c r="J20" i="5080"/>
  <c r="J21" i="5080"/>
  <c r="J22" i="5080"/>
  <c r="J23" i="5080"/>
  <c r="J24" i="5080"/>
  <c r="J25" i="5080"/>
  <c r="J26" i="5080"/>
  <c r="J27" i="5080"/>
  <c r="J28" i="5080"/>
  <c r="J29" i="5080"/>
  <c r="J30" i="5080"/>
  <c r="J31" i="5080"/>
  <c r="J32" i="5080"/>
  <c r="J33" i="5080"/>
  <c r="J34" i="5080"/>
  <c r="J35" i="5080"/>
  <c r="J36" i="5080"/>
  <c r="J37" i="5080"/>
  <c r="J38" i="5080"/>
  <c r="J39" i="5080"/>
  <c r="J40" i="5080"/>
  <c r="J41" i="5080"/>
  <c r="J42" i="5080"/>
  <c r="J43" i="5080"/>
  <c r="J44" i="5080"/>
  <c r="J45" i="5080"/>
  <c r="J46" i="5080"/>
  <c r="J47" i="5080"/>
  <c r="J48" i="5080"/>
  <c r="J49" i="5080"/>
  <c r="J50" i="5080"/>
  <c r="J51" i="5080"/>
  <c r="J52" i="5080"/>
  <c r="J53" i="5080"/>
  <c r="J54" i="5080"/>
  <c r="J55" i="5080"/>
  <c r="J56" i="5080"/>
  <c r="J57" i="5080"/>
  <c r="J58" i="5080"/>
  <c r="J59" i="5080"/>
  <c r="J60" i="5080"/>
  <c r="J61" i="5080"/>
  <c r="J62" i="5080"/>
  <c r="J63" i="5080"/>
  <c r="J64" i="5080"/>
  <c r="J65" i="5080"/>
  <c r="J66" i="5080"/>
  <c r="J67" i="5080"/>
  <c r="J68" i="5080"/>
  <c r="J69" i="5080"/>
  <c r="J70" i="5080"/>
  <c r="J71" i="5080"/>
  <c r="J72" i="5080"/>
  <c r="J73" i="5080"/>
  <c r="J74" i="5080"/>
  <c r="J75" i="5080"/>
  <c r="J76" i="5080"/>
  <c r="J77" i="5080"/>
  <c r="J78" i="5080"/>
  <c r="J79" i="5080"/>
  <c r="J80" i="5080"/>
  <c r="J81" i="5080"/>
  <c r="J82" i="5080"/>
  <c r="J83" i="5080"/>
  <c r="J84" i="5080"/>
  <c r="J85" i="5080"/>
  <c r="J86" i="5080"/>
  <c r="J87" i="5080"/>
  <c r="J88" i="5080"/>
  <c r="J89" i="5080"/>
  <c r="J90" i="5080"/>
  <c r="J91" i="5080"/>
  <c r="J92" i="5080"/>
  <c r="J93" i="5080"/>
  <c r="J94" i="5080"/>
  <c r="J95" i="5080"/>
  <c r="J96" i="5080"/>
  <c r="J97" i="5080"/>
  <c r="J98" i="5080"/>
  <c r="J99" i="5080"/>
  <c r="J100" i="5080"/>
  <c r="J101" i="5080"/>
  <c r="J102" i="5080"/>
  <c r="J103" i="5080"/>
  <c r="J104" i="5080"/>
  <c r="J105" i="5080"/>
  <c r="J106" i="5080"/>
  <c r="J107" i="5080"/>
  <c r="J108" i="5080"/>
  <c r="J109" i="5080"/>
  <c r="J110" i="5080"/>
  <c r="J111" i="5080"/>
  <c r="J112" i="5080"/>
  <c r="J113" i="5080"/>
  <c r="J114" i="5080"/>
  <c r="J115" i="5080"/>
  <c r="J116" i="5080"/>
  <c r="J117" i="5080"/>
  <c r="J118" i="5080"/>
  <c r="J119" i="5080"/>
  <c r="J120" i="5080"/>
  <c r="J121" i="5080"/>
  <c r="J122" i="5080"/>
  <c r="J123" i="5080"/>
  <c r="J124" i="5080"/>
  <c r="J125" i="5080"/>
  <c r="J126" i="5080"/>
  <c r="J127" i="5080"/>
  <c r="J128" i="5080"/>
  <c r="J129" i="5080"/>
  <c r="J130" i="5080"/>
  <c r="J131" i="5080"/>
  <c r="J132" i="5080"/>
  <c r="J133" i="5080"/>
  <c r="J134" i="5080"/>
  <c r="J135" i="5080"/>
  <c r="J136" i="5080"/>
  <c r="J137" i="5080"/>
  <c r="J138" i="5080"/>
  <c r="J139" i="5080"/>
  <c r="J140" i="5080"/>
  <c r="J141" i="5080"/>
  <c r="J142" i="5080"/>
  <c r="J143" i="5080"/>
  <c r="J144" i="5080"/>
  <c r="J145" i="5080"/>
  <c r="J146" i="5080"/>
  <c r="J147" i="5080"/>
  <c r="J148" i="5080"/>
  <c r="J149" i="5080"/>
  <c r="J150" i="5080"/>
  <c r="J151" i="5080"/>
  <c r="J152" i="5080"/>
  <c r="J153" i="5080"/>
  <c r="J154" i="5080"/>
  <c r="J155" i="5080"/>
  <c r="J156" i="5080"/>
  <c r="J157" i="5080"/>
  <c r="J158" i="5080"/>
  <c r="J159" i="5080"/>
  <c r="J160" i="5080"/>
  <c r="J161" i="5080"/>
  <c r="J162" i="5080"/>
  <c r="J163" i="5080"/>
  <c r="J164" i="5080"/>
  <c r="J165" i="5080"/>
  <c r="J166" i="5080"/>
  <c r="J167" i="5080"/>
  <c r="J168" i="5080"/>
  <c r="J169" i="5080"/>
  <c r="J170" i="5080"/>
  <c r="J171" i="5080"/>
  <c r="J172" i="5080"/>
  <c r="J173" i="5080"/>
  <c r="J174" i="5080"/>
  <c r="J175" i="5080"/>
  <c r="J176" i="5080"/>
  <c r="J177" i="5080"/>
  <c r="J178" i="5080"/>
  <c r="J179" i="5080"/>
  <c r="J180" i="5080"/>
  <c r="J181" i="5080"/>
  <c r="J182" i="5080"/>
  <c r="J183" i="5080"/>
  <c r="J184" i="5080"/>
  <c r="J185" i="5080"/>
  <c r="J186" i="5080"/>
  <c r="J187" i="5080"/>
  <c r="J188" i="5080"/>
  <c r="J189" i="5080"/>
  <c r="J190" i="5080"/>
  <c r="J191" i="5080"/>
  <c r="J192" i="5080"/>
  <c r="J193" i="5080"/>
  <c r="J194" i="5080"/>
  <c r="J195" i="5080"/>
  <c r="J196" i="5080"/>
  <c r="J197" i="5080"/>
  <c r="J198" i="5080"/>
  <c r="J199" i="5080"/>
  <c r="J200" i="5080"/>
  <c r="J201" i="5080"/>
  <c r="J202" i="5080"/>
  <c r="J203" i="5080"/>
  <c r="J204" i="5080"/>
  <c r="J205" i="5080"/>
  <c r="J206" i="5080"/>
  <c r="J207" i="5080"/>
  <c r="J208" i="5080"/>
  <c r="J209" i="5080"/>
  <c r="J210" i="5080"/>
  <c r="J211" i="5080"/>
  <c r="J212" i="5080"/>
  <c r="J213" i="5080"/>
  <c r="J214" i="5080"/>
  <c r="J215" i="5080"/>
  <c r="J216" i="5080"/>
  <c r="J217" i="5080"/>
  <c r="J218" i="5080"/>
  <c r="J219" i="5080"/>
  <c r="J220" i="5080"/>
  <c r="J221" i="5080"/>
  <c r="J222" i="5080"/>
  <c r="J223" i="5080"/>
  <c r="J224" i="5080"/>
  <c r="J225" i="5080"/>
  <c r="J226" i="5080"/>
  <c r="J227" i="5080"/>
  <c r="J228" i="5080"/>
  <c r="J229" i="5080"/>
  <c r="J230" i="5080"/>
  <c r="J231" i="5080"/>
  <c r="J232" i="5080"/>
  <c r="J233" i="5080"/>
  <c r="J234" i="5080"/>
  <c r="J235" i="5080"/>
  <c r="J236" i="5080"/>
  <c r="J237" i="5080"/>
  <c r="J238" i="5080"/>
  <c r="J239" i="5080"/>
  <c r="J240" i="5080"/>
  <c r="J241" i="5080"/>
  <c r="J242" i="5080"/>
  <c r="J243" i="5080"/>
  <c r="J244" i="5080"/>
  <c r="J245" i="5080"/>
  <c r="J246" i="5080"/>
  <c r="J247" i="5080"/>
  <c r="J248" i="5080"/>
  <c r="J249" i="5080"/>
  <c r="J250" i="5080"/>
  <c r="J251" i="5080"/>
  <c r="J252" i="5080"/>
  <c r="J253" i="5080"/>
  <c r="J254" i="5080"/>
  <c r="J255" i="5080"/>
  <c r="J256" i="5080"/>
  <c r="J257" i="5080"/>
  <c r="J258" i="5080"/>
  <c r="J259" i="5080"/>
  <c r="J260" i="5080"/>
  <c r="J261" i="5080"/>
  <c r="J262" i="5080"/>
  <c r="J263" i="5080"/>
  <c r="J264" i="5080"/>
  <c r="J265" i="5080"/>
  <c r="J266" i="5080"/>
  <c r="J267" i="5080"/>
  <c r="J268" i="5080"/>
  <c r="J269" i="5080"/>
  <c r="J270" i="5080"/>
  <c r="J271" i="5080"/>
  <c r="J272" i="5080"/>
  <c r="J273" i="5080"/>
  <c r="J274" i="5080"/>
  <c r="J275" i="5080"/>
  <c r="J276" i="5080"/>
  <c r="J277" i="5080"/>
  <c r="J278" i="5080"/>
  <c r="J279" i="5080"/>
  <c r="J280" i="5080"/>
  <c r="J281" i="5080"/>
  <c r="J282" i="5080"/>
  <c r="J283" i="5080"/>
  <c r="J284" i="5080"/>
  <c r="J285" i="5080"/>
  <c r="J286" i="5080"/>
  <c r="J287" i="5080"/>
  <c r="J288" i="5080"/>
  <c r="J289" i="5080"/>
  <c r="J290" i="5080"/>
  <c r="J291" i="5080"/>
  <c r="J292" i="5080"/>
  <c r="J293" i="5080"/>
  <c r="J294" i="5080"/>
  <c r="J295" i="5080"/>
  <c r="J296" i="5080"/>
  <c r="J297" i="5080"/>
  <c r="J298" i="5080"/>
  <c r="J299" i="5080"/>
  <c r="J300" i="5080"/>
  <c r="J301" i="5080"/>
  <c r="J302" i="5080"/>
  <c r="J303" i="5080"/>
  <c r="J304" i="5080"/>
  <c r="J305" i="5080"/>
  <c r="J306" i="5080"/>
  <c r="J307" i="5080"/>
  <c r="J308" i="5080"/>
  <c r="J309" i="5080"/>
  <c r="J310" i="5080"/>
  <c r="J311" i="5080"/>
  <c r="J312" i="5080"/>
  <c r="J313" i="5080"/>
  <c r="J314" i="5080"/>
  <c r="J315" i="5080"/>
  <c r="J316" i="5080"/>
  <c r="J317" i="5080"/>
  <c r="J318" i="5080"/>
  <c r="J319" i="5080"/>
  <c r="J320" i="5080"/>
  <c r="J321" i="5080"/>
  <c r="J322" i="5080"/>
  <c r="J323" i="5080"/>
  <c r="J324" i="5080"/>
  <c r="J325" i="5080"/>
  <c r="J326" i="5080"/>
  <c r="J327" i="5080"/>
  <c r="J328" i="5080"/>
  <c r="J329" i="5080"/>
  <c r="J330" i="5080"/>
  <c r="J331" i="5080"/>
  <c r="J332" i="5080"/>
  <c r="J333" i="5080"/>
  <c r="J334" i="5080"/>
  <c r="J335" i="5080"/>
  <c r="J336" i="5080"/>
  <c r="J337" i="5080"/>
  <c r="J338" i="5080"/>
  <c r="J339" i="5080"/>
  <c r="J340" i="5080"/>
  <c r="J341" i="5080"/>
  <c r="J342" i="5080"/>
  <c r="J343" i="5080"/>
  <c r="J344" i="5080"/>
  <c r="J345" i="5080"/>
  <c r="J346" i="5080"/>
  <c r="J347" i="5080"/>
  <c r="J348" i="5080"/>
  <c r="J349" i="5080"/>
  <c r="J350" i="5080"/>
  <c r="J351" i="5080"/>
  <c r="J352" i="5080"/>
  <c r="J353" i="5080"/>
  <c r="J354" i="5080"/>
  <c r="J355" i="5080"/>
  <c r="J356" i="5080"/>
  <c r="J357" i="5080"/>
  <c r="J358" i="5080"/>
  <c r="J359" i="5080"/>
  <c r="J360" i="5080"/>
  <c r="J361" i="5080"/>
  <c r="J362" i="5080"/>
  <c r="J363" i="5080"/>
  <c r="J364" i="5080"/>
  <c r="J365" i="5080"/>
  <c r="J366" i="5080"/>
  <c r="J367" i="5080"/>
  <c r="J368" i="5080"/>
  <c r="J369" i="5080"/>
  <c r="J370" i="5080"/>
  <c r="J371" i="5080"/>
  <c r="J372" i="5080"/>
  <c r="J373" i="5080"/>
  <c r="J374" i="5080"/>
  <c r="J375" i="5080"/>
  <c r="J376" i="5080"/>
  <c r="J377" i="5080"/>
  <c r="J378" i="5080"/>
  <c r="J379" i="5080"/>
  <c r="J380" i="5080"/>
  <c r="J381" i="5080"/>
  <c r="J382" i="5080"/>
  <c r="J383" i="5080"/>
  <c r="J384" i="5080"/>
  <c r="J385" i="5080"/>
  <c r="J386" i="5080"/>
  <c r="J387" i="5080"/>
  <c r="J388" i="5080"/>
  <c r="J389" i="5080"/>
  <c r="J390" i="5080"/>
  <c r="J391" i="5080"/>
  <c r="J392" i="5080"/>
  <c r="J393" i="5080"/>
  <c r="J394" i="5080"/>
  <c r="J395" i="5080"/>
  <c r="J396" i="5080"/>
  <c r="J397" i="5080"/>
  <c r="J398" i="5080"/>
  <c r="J399" i="5080"/>
  <c r="J400" i="5080"/>
  <c r="J401" i="5080"/>
  <c r="J402" i="5080"/>
  <c r="J403" i="5080"/>
  <c r="J404" i="5080"/>
  <c r="J405" i="5080"/>
  <c r="J406" i="5080"/>
  <c r="J407" i="5080"/>
  <c r="J408" i="5080"/>
  <c r="J409" i="5080"/>
  <c r="J410" i="5080"/>
  <c r="J411" i="5080"/>
  <c r="J412" i="5080"/>
  <c r="J413" i="5080"/>
  <c r="J414" i="5080"/>
  <c r="J415" i="5080"/>
  <c r="J416" i="5080"/>
  <c r="J417" i="5080"/>
  <c r="J418" i="5080"/>
  <c r="J419" i="5080"/>
  <c r="J420" i="5080"/>
  <c r="J421" i="5080"/>
  <c r="J422" i="5080"/>
  <c r="J423" i="5080"/>
  <c r="J424" i="5080"/>
  <c r="J425" i="5080"/>
  <c r="J426" i="5080"/>
  <c r="J427" i="5080"/>
  <c r="J428" i="5080"/>
  <c r="J429" i="5080"/>
  <c r="J430" i="5080"/>
  <c r="J431" i="5080"/>
  <c r="J432" i="5080"/>
  <c r="J433" i="5080"/>
  <c r="J434" i="5080"/>
  <c r="J435" i="5080"/>
  <c r="J436" i="5080"/>
  <c r="J437" i="5080"/>
  <c r="J438" i="5080"/>
  <c r="J439" i="5080"/>
  <c r="J440" i="5080"/>
  <c r="J441" i="5080"/>
  <c r="J442" i="5080"/>
  <c r="J443" i="5080"/>
  <c r="J444" i="5080"/>
  <c r="J445" i="5080"/>
  <c r="J446" i="5080"/>
  <c r="J447" i="5080"/>
  <c r="J448" i="5080"/>
  <c r="J449" i="5080"/>
  <c r="J450" i="5080"/>
  <c r="J451" i="5080"/>
  <c r="J452" i="5080"/>
  <c r="J453" i="5080"/>
  <c r="J454" i="5080"/>
  <c r="J455" i="5080"/>
  <c r="J456" i="5080"/>
  <c r="J457" i="5080"/>
  <c r="J458" i="5080"/>
  <c r="J459" i="5080"/>
  <c r="J460" i="5080"/>
  <c r="J461" i="5080"/>
  <c r="J462" i="5080"/>
  <c r="J463" i="5080"/>
  <c r="J464" i="5080"/>
  <c r="J465" i="5080"/>
  <c r="J466" i="5080"/>
  <c r="J467" i="5080"/>
  <c r="J468" i="5080"/>
  <c r="J469" i="5080"/>
  <c r="J470" i="5080"/>
  <c r="J471" i="5080"/>
  <c r="J472" i="5080"/>
  <c r="J473" i="5080"/>
  <c r="J474" i="5080"/>
  <c r="J475" i="5080"/>
  <c r="J476" i="5080"/>
  <c r="J477" i="5080"/>
  <c r="J478" i="5080"/>
  <c r="J479" i="5080"/>
  <c r="J480" i="5080"/>
  <c r="J481" i="5080"/>
  <c r="J482" i="5080"/>
  <c r="J483" i="5080"/>
  <c r="J484" i="5080"/>
  <c r="J485" i="5080"/>
  <c r="J486" i="5080"/>
  <c r="J487" i="5080"/>
  <c r="J488" i="5080"/>
  <c r="J489" i="5080"/>
  <c r="J490" i="5080"/>
  <c r="J491" i="5080"/>
  <c r="J492" i="5080"/>
  <c r="J493" i="5080"/>
  <c r="J494" i="5080"/>
  <c r="J495" i="5080"/>
  <c r="J496" i="5080"/>
  <c r="J497" i="5080"/>
  <c r="J498" i="5080"/>
  <c r="J499" i="5080"/>
  <c r="J500" i="5080"/>
  <c r="J501" i="5080"/>
  <c r="J502" i="5080"/>
  <c r="J503" i="5080"/>
  <c r="J504" i="5080"/>
  <c r="J505" i="5080"/>
  <c r="J2" i="5079"/>
  <c r="J3" i="5079"/>
  <c r="J4" i="5079"/>
  <c r="J5" i="5079"/>
  <c r="J6" i="5079"/>
  <c r="J7" i="5079"/>
  <c r="J8" i="5079"/>
  <c r="J9" i="5079"/>
  <c r="J10" i="5079"/>
  <c r="J11" i="5079"/>
  <c r="J12" i="5079"/>
  <c r="J13" i="5079"/>
  <c r="J14" i="5079"/>
  <c r="J15" i="5079"/>
  <c r="J16" i="5079"/>
  <c r="J17" i="5079"/>
  <c r="J18" i="5079"/>
  <c r="J19" i="5079"/>
  <c r="J20" i="5079"/>
  <c r="J21" i="5079"/>
  <c r="J22" i="5079"/>
  <c r="J23" i="5079"/>
  <c r="J24" i="5079"/>
  <c r="J25" i="5079"/>
  <c r="J26" i="5079"/>
  <c r="J27" i="5079"/>
  <c r="J28" i="5079"/>
  <c r="J29" i="5079"/>
  <c r="J30" i="5079"/>
  <c r="J31" i="5079"/>
  <c r="J32" i="5079"/>
  <c r="J33" i="5079"/>
  <c r="J34" i="5079"/>
  <c r="J35" i="5079"/>
  <c r="J36" i="5079"/>
  <c r="J37" i="5079"/>
  <c r="J38" i="5079"/>
  <c r="J39" i="5079"/>
  <c r="J40" i="5079"/>
  <c r="J41" i="5079"/>
  <c r="J42" i="5079"/>
  <c r="J43" i="5079"/>
  <c r="J44" i="5079"/>
  <c r="J45" i="5079"/>
  <c r="J46" i="5079"/>
  <c r="J47" i="5079"/>
  <c r="J48" i="5079"/>
  <c r="J49" i="5079"/>
  <c r="J50" i="5079"/>
  <c r="J51" i="5079"/>
  <c r="J52" i="5079"/>
  <c r="J53" i="5079"/>
  <c r="J54" i="5079"/>
  <c r="J55" i="5079"/>
  <c r="J56" i="5079"/>
  <c r="J57" i="5079"/>
  <c r="J58" i="5079"/>
  <c r="J59" i="5079"/>
  <c r="J60" i="5079"/>
  <c r="J61" i="5079"/>
  <c r="J62" i="5079"/>
  <c r="J63" i="5079"/>
  <c r="J64" i="5079"/>
  <c r="J65" i="5079"/>
  <c r="J66" i="5079"/>
  <c r="J67" i="5079"/>
  <c r="J68" i="5079"/>
  <c r="J69" i="5079"/>
  <c r="J70" i="5079"/>
  <c r="J71" i="5079"/>
  <c r="J72" i="5079"/>
  <c r="J73" i="5079"/>
  <c r="J74" i="5079"/>
  <c r="J75" i="5079"/>
  <c r="J76" i="5079"/>
  <c r="J77" i="5079"/>
  <c r="J78" i="5079"/>
  <c r="J79" i="5079"/>
  <c r="J80" i="5079"/>
  <c r="J81" i="5079"/>
  <c r="J82" i="5079"/>
  <c r="J83" i="5079"/>
  <c r="J84" i="5079"/>
  <c r="J85" i="5079"/>
  <c r="J86" i="5079"/>
  <c r="J87" i="5079"/>
  <c r="J88" i="5079"/>
  <c r="J89" i="5079"/>
  <c r="J90" i="5079"/>
  <c r="J91" i="5079"/>
  <c r="J92" i="5079"/>
  <c r="J93" i="5079"/>
  <c r="J94" i="5079"/>
  <c r="J95" i="5079"/>
  <c r="J96" i="5079"/>
  <c r="J97" i="5079"/>
  <c r="J98" i="5079"/>
  <c r="J99" i="5079"/>
  <c r="J100" i="5079"/>
  <c r="J101" i="5079"/>
  <c r="J102" i="5079"/>
  <c r="J103" i="5079"/>
  <c r="J104" i="5079"/>
  <c r="J105" i="5079"/>
  <c r="J106" i="5079"/>
  <c r="J107" i="5079"/>
  <c r="J108" i="5079"/>
  <c r="J109" i="5079"/>
  <c r="J110" i="5079"/>
  <c r="J111" i="5079"/>
  <c r="J112" i="5079"/>
  <c r="J113" i="5079"/>
  <c r="J114" i="5079"/>
  <c r="J115" i="5079"/>
  <c r="J116" i="5079"/>
  <c r="J117" i="5079"/>
  <c r="J118" i="5079"/>
  <c r="J119" i="5079"/>
  <c r="J120" i="5079"/>
  <c r="J121" i="5079"/>
  <c r="J122" i="5079"/>
  <c r="J123" i="5079"/>
  <c r="J124" i="5079"/>
  <c r="J125" i="5079"/>
  <c r="J126" i="5079"/>
  <c r="J127" i="5079"/>
  <c r="J128" i="5079"/>
  <c r="J129" i="5079"/>
  <c r="J130" i="5079"/>
  <c r="J131" i="5079"/>
  <c r="J132" i="5079"/>
  <c r="J133" i="5079"/>
  <c r="J134" i="5079"/>
  <c r="J135" i="5079"/>
  <c r="J136" i="5079"/>
  <c r="J137" i="5079"/>
  <c r="J138" i="5079"/>
  <c r="J139" i="5079"/>
  <c r="J140" i="5079"/>
  <c r="J141" i="5079"/>
  <c r="J142" i="5079"/>
  <c r="J143" i="5079"/>
  <c r="J144" i="5079"/>
  <c r="J145" i="5079"/>
  <c r="J146" i="5079"/>
  <c r="J147" i="5079"/>
  <c r="J148" i="5079"/>
  <c r="J149" i="5079"/>
  <c r="J150" i="5079"/>
  <c r="J151" i="5079"/>
  <c r="J152" i="5079"/>
  <c r="J153" i="5079"/>
  <c r="J154" i="5079"/>
  <c r="J155" i="5079"/>
  <c r="J156" i="5079"/>
  <c r="J157" i="5079"/>
  <c r="J158" i="5079"/>
  <c r="J159" i="5079"/>
  <c r="J160" i="5079"/>
  <c r="J161" i="5079"/>
  <c r="J162" i="5079"/>
  <c r="J163" i="5079"/>
  <c r="J164" i="5079"/>
  <c r="J165" i="5079"/>
  <c r="J166" i="5079"/>
  <c r="J167" i="5079"/>
  <c r="J168" i="5079"/>
  <c r="J169" i="5079"/>
  <c r="J170" i="5079"/>
  <c r="J171" i="5079"/>
  <c r="J172" i="5079"/>
  <c r="J173" i="5079"/>
  <c r="J174" i="5079"/>
  <c r="J175" i="5079"/>
  <c r="J176" i="5079"/>
  <c r="J177" i="5079"/>
  <c r="J178" i="5079"/>
  <c r="J179" i="5079"/>
  <c r="J180" i="5079"/>
  <c r="J181" i="5079"/>
  <c r="J182" i="5079"/>
  <c r="J183" i="5079"/>
  <c r="J184" i="5079"/>
  <c r="J185" i="5079"/>
  <c r="J186" i="5079"/>
  <c r="J187" i="5079"/>
  <c r="J188" i="5079"/>
  <c r="J189" i="5079"/>
  <c r="J190" i="5079"/>
  <c r="J191" i="5079"/>
  <c r="J192" i="5079"/>
  <c r="J193" i="5079"/>
  <c r="J194" i="5079"/>
  <c r="J195" i="5079"/>
  <c r="J196" i="5079"/>
  <c r="J197" i="5079"/>
  <c r="J198" i="5079"/>
  <c r="J199" i="5079"/>
  <c r="J200" i="5079"/>
  <c r="J201" i="5079"/>
  <c r="J202" i="5079"/>
  <c r="J203" i="5079"/>
  <c r="J204" i="5079"/>
  <c r="J205" i="5079"/>
  <c r="J206" i="5079"/>
  <c r="J207" i="5079"/>
  <c r="J208" i="5079"/>
  <c r="J209" i="5079"/>
  <c r="J210" i="5079"/>
  <c r="J211" i="5079"/>
  <c r="J212" i="5079"/>
  <c r="J213" i="5079"/>
  <c r="J214" i="5079"/>
  <c r="J215" i="5079"/>
  <c r="J216" i="5079"/>
  <c r="J217" i="5079"/>
  <c r="J218" i="5079"/>
  <c r="J219" i="5079"/>
  <c r="J220" i="5079"/>
  <c r="J221" i="5079"/>
  <c r="J222" i="5079"/>
  <c r="J223" i="5079"/>
  <c r="J224" i="5079"/>
  <c r="J225" i="5079"/>
  <c r="J226" i="5079"/>
  <c r="J227" i="5079"/>
  <c r="J228" i="5079"/>
  <c r="J229" i="5079"/>
  <c r="J230" i="5079"/>
  <c r="J231" i="5079"/>
  <c r="J232" i="5079"/>
  <c r="J233" i="5079"/>
  <c r="J234" i="5079"/>
  <c r="J235" i="5079"/>
  <c r="J236" i="5079"/>
  <c r="J237" i="5079"/>
  <c r="J238" i="5079"/>
  <c r="J239" i="5079"/>
  <c r="J240" i="5079"/>
  <c r="J241" i="5079"/>
  <c r="J242" i="5079"/>
  <c r="J243" i="5079"/>
  <c r="J244" i="5079"/>
  <c r="J245" i="5079"/>
  <c r="J246" i="5079"/>
  <c r="J247" i="5079"/>
  <c r="J248" i="5079"/>
  <c r="J249" i="5079"/>
  <c r="J250" i="5079"/>
  <c r="J251" i="5079"/>
  <c r="J252" i="5079"/>
  <c r="J253" i="5079"/>
  <c r="J254" i="5079"/>
  <c r="J255" i="5079"/>
  <c r="J256" i="5079"/>
  <c r="J257" i="5079"/>
  <c r="J258" i="5079"/>
  <c r="J259" i="5079"/>
  <c r="J260" i="5079"/>
  <c r="J261" i="5079"/>
  <c r="J262" i="5079"/>
  <c r="J263" i="5079"/>
  <c r="J264" i="5079"/>
  <c r="J265" i="5079"/>
  <c r="J266" i="5079"/>
  <c r="J267" i="5079"/>
  <c r="J268" i="5079"/>
  <c r="J269" i="5079"/>
  <c r="J270" i="5079"/>
  <c r="J271" i="5079"/>
  <c r="J272" i="5079"/>
  <c r="J273" i="5079"/>
  <c r="J274" i="5079"/>
  <c r="J275" i="5079"/>
  <c r="J276" i="5079"/>
  <c r="J277" i="5079"/>
  <c r="J278" i="5079"/>
  <c r="J279" i="5079"/>
  <c r="J280" i="5079"/>
  <c r="J281" i="5079"/>
  <c r="J282" i="5079"/>
  <c r="J283" i="5079"/>
  <c r="J284" i="5079"/>
  <c r="J285" i="5079"/>
  <c r="J286" i="5079"/>
  <c r="J287" i="5079"/>
  <c r="J288" i="5079"/>
  <c r="J289" i="5079"/>
  <c r="J290" i="5079"/>
  <c r="J291" i="5079"/>
  <c r="J292" i="5079"/>
  <c r="J293" i="5079"/>
  <c r="J294" i="5079"/>
  <c r="J295" i="5079"/>
  <c r="J296" i="5079"/>
  <c r="J297" i="5079"/>
  <c r="J298" i="5079"/>
  <c r="J299" i="5079"/>
  <c r="J300" i="5079"/>
  <c r="J301" i="5079"/>
  <c r="J302" i="5079"/>
  <c r="J303" i="5079"/>
  <c r="J304" i="5079"/>
  <c r="J305" i="5079"/>
  <c r="J306" i="5079"/>
  <c r="J307" i="5079"/>
  <c r="J308" i="5079"/>
  <c r="J309" i="5079"/>
  <c r="J310" i="5079"/>
  <c r="J311" i="5079"/>
  <c r="J312" i="5079"/>
  <c r="J313" i="5079"/>
  <c r="J314" i="5079"/>
  <c r="J315" i="5079"/>
  <c r="J316" i="5079"/>
  <c r="J317" i="5079"/>
  <c r="J318" i="5079"/>
  <c r="J319" i="5079"/>
  <c r="J320" i="5079"/>
  <c r="J321" i="5079"/>
  <c r="J322" i="5079"/>
  <c r="J323" i="5079"/>
  <c r="J324" i="5079"/>
  <c r="J325" i="5079"/>
  <c r="J326" i="5079"/>
  <c r="J327" i="5079"/>
  <c r="J328" i="5079"/>
  <c r="J329" i="5079"/>
  <c r="J330" i="5079"/>
  <c r="J331" i="5079"/>
  <c r="J332" i="5079"/>
  <c r="J333" i="5079"/>
  <c r="J334" i="5079"/>
  <c r="J335" i="5079"/>
  <c r="J336" i="5079"/>
  <c r="J337" i="5079"/>
  <c r="J338" i="5079"/>
  <c r="J339" i="5079"/>
  <c r="J340" i="5079"/>
  <c r="J341" i="5079"/>
  <c r="J342" i="5079"/>
  <c r="J343" i="5079"/>
  <c r="J344" i="5079"/>
  <c r="J345" i="5079"/>
  <c r="J346" i="5079"/>
  <c r="J347" i="5079"/>
  <c r="J348" i="5079"/>
  <c r="J349" i="5079"/>
  <c r="J350" i="5079"/>
  <c r="J351" i="5079"/>
  <c r="J352" i="5079"/>
  <c r="J353" i="5079"/>
  <c r="J354" i="5079"/>
  <c r="J355" i="5079"/>
  <c r="J356" i="5079"/>
  <c r="J357" i="5079"/>
  <c r="J358" i="5079"/>
  <c r="J359" i="5079"/>
  <c r="J360" i="5079"/>
  <c r="J361" i="5079"/>
  <c r="J362" i="5079"/>
  <c r="J363" i="5079"/>
  <c r="J364" i="5079"/>
  <c r="J365" i="5079"/>
  <c r="J366" i="5079"/>
  <c r="J367" i="5079"/>
  <c r="J368" i="5079"/>
  <c r="J369" i="5079"/>
  <c r="J370" i="5079"/>
  <c r="J371" i="5079"/>
  <c r="J372" i="5079"/>
  <c r="J373" i="5079"/>
  <c r="J374" i="5079"/>
  <c r="J375" i="5079"/>
  <c r="J376" i="5079"/>
  <c r="J377" i="5079"/>
  <c r="J378" i="5079"/>
  <c r="J379" i="5079"/>
  <c r="J380" i="5079"/>
  <c r="J381" i="5079"/>
  <c r="J382" i="5079"/>
  <c r="J383" i="5079"/>
  <c r="J384" i="5079"/>
  <c r="J385" i="5079"/>
  <c r="J386" i="5079"/>
  <c r="J387" i="5079"/>
  <c r="J388" i="5079"/>
  <c r="J389" i="5079"/>
  <c r="J390" i="5079"/>
  <c r="J391" i="5079"/>
  <c r="J392" i="5079"/>
  <c r="J393" i="5079"/>
  <c r="J394" i="5079"/>
  <c r="J395" i="5079"/>
  <c r="J396" i="5079"/>
  <c r="J397" i="5079"/>
  <c r="J398" i="5079"/>
  <c r="J399" i="5079"/>
  <c r="J400" i="5079"/>
  <c r="J401" i="5079"/>
  <c r="J402" i="5079"/>
  <c r="J403" i="5079"/>
  <c r="J404" i="5079"/>
  <c r="J405" i="5079"/>
  <c r="J406" i="5079"/>
  <c r="J407" i="5079"/>
  <c r="J408" i="5079"/>
  <c r="J409" i="5079"/>
  <c r="J410" i="5079"/>
  <c r="J411" i="5079"/>
  <c r="J412" i="5079"/>
  <c r="J413" i="5079"/>
  <c r="J414" i="5079"/>
  <c r="J415" i="5079"/>
  <c r="J416" i="5079"/>
  <c r="J417" i="5079"/>
  <c r="J418" i="5079"/>
  <c r="J419" i="5079"/>
  <c r="J420" i="5079"/>
  <c r="J421" i="5079"/>
  <c r="J422" i="5079"/>
  <c r="J423" i="5079"/>
  <c r="J424" i="5079"/>
  <c r="J425" i="5079"/>
  <c r="J426" i="5079"/>
  <c r="J427" i="5079"/>
  <c r="J428" i="5079"/>
  <c r="J429" i="5079"/>
  <c r="J430" i="5079"/>
  <c r="J431" i="5079"/>
  <c r="J432" i="5079"/>
  <c r="J433" i="5079"/>
  <c r="J434" i="5079"/>
  <c r="J435" i="5079"/>
  <c r="J436" i="5079"/>
  <c r="J437" i="5079"/>
  <c r="J438" i="5079"/>
  <c r="J439" i="5079"/>
  <c r="J440" i="5079"/>
  <c r="J441" i="5079"/>
  <c r="J442" i="5079"/>
  <c r="J443" i="5079"/>
  <c r="J444" i="5079"/>
  <c r="J445" i="5079"/>
  <c r="J446" i="5079"/>
  <c r="J447" i="5079"/>
  <c r="J448" i="5079"/>
  <c r="J449" i="5079"/>
  <c r="J450" i="5079"/>
  <c r="J451" i="5079"/>
  <c r="J452" i="5079"/>
  <c r="J453" i="5079"/>
  <c r="J454" i="5079"/>
  <c r="J455" i="5079"/>
  <c r="J456" i="5079"/>
  <c r="J457" i="5079"/>
  <c r="J458" i="5079"/>
  <c r="J459" i="5079"/>
  <c r="J460" i="5079"/>
  <c r="J461" i="5079"/>
  <c r="J462" i="5079"/>
  <c r="J463" i="5079"/>
  <c r="J464" i="5079"/>
  <c r="J465" i="5079"/>
  <c r="J466" i="5079"/>
  <c r="J467" i="5079"/>
  <c r="J468" i="5079"/>
  <c r="J469" i="5079"/>
  <c r="J470" i="5079"/>
  <c r="J471" i="5079"/>
  <c r="J472" i="5079"/>
  <c r="J473" i="5079"/>
  <c r="J474" i="5079"/>
  <c r="J475" i="5079"/>
  <c r="J476" i="5079"/>
  <c r="J477" i="5079"/>
  <c r="J478" i="5079"/>
  <c r="J479" i="5079"/>
  <c r="J480" i="5079"/>
  <c r="J481" i="5079"/>
  <c r="J482" i="5079"/>
  <c r="J483" i="5079"/>
  <c r="J484" i="5079"/>
  <c r="J485" i="5079"/>
  <c r="J486" i="5079"/>
  <c r="J487" i="5079"/>
  <c r="J488" i="5079"/>
  <c r="J489" i="5079"/>
  <c r="J490" i="5079"/>
  <c r="J491" i="5079"/>
  <c r="J492" i="5079"/>
  <c r="J493" i="5079"/>
  <c r="J494" i="5079"/>
  <c r="J495" i="5079"/>
  <c r="J496" i="5079"/>
  <c r="J497" i="5079"/>
  <c r="J498" i="5079"/>
  <c r="J499" i="5079"/>
  <c r="J500" i="5079"/>
  <c r="J501" i="5079"/>
  <c r="J502" i="5079"/>
  <c r="J503" i="5079"/>
  <c r="J504" i="5079"/>
  <c r="J505" i="5079"/>
  <c r="J2" i="5078"/>
  <c r="J3" i="5078"/>
  <c r="J4" i="5078"/>
  <c r="J5" i="5078"/>
  <c r="J6" i="5078"/>
  <c r="J7" i="5078"/>
  <c r="J8" i="5078"/>
  <c r="J9" i="5078"/>
  <c r="J10" i="5078"/>
  <c r="J11" i="5078"/>
  <c r="J12" i="5078"/>
  <c r="J13" i="5078"/>
  <c r="J14" i="5078"/>
  <c r="J15" i="5078"/>
  <c r="J16" i="5078"/>
  <c r="J17" i="5078"/>
  <c r="J18" i="5078"/>
  <c r="J19" i="5078"/>
  <c r="J20" i="5078"/>
  <c r="J21" i="5078"/>
  <c r="J22" i="5078"/>
  <c r="J23" i="5078"/>
  <c r="J24" i="5078"/>
  <c r="J25" i="5078"/>
  <c r="J26" i="5078"/>
  <c r="J27" i="5078"/>
  <c r="J28" i="5078"/>
  <c r="J29" i="5078"/>
  <c r="J30" i="5078"/>
  <c r="J31" i="5078"/>
  <c r="J32" i="5078"/>
  <c r="J33" i="5078"/>
  <c r="J34" i="5078"/>
  <c r="J35" i="5078"/>
  <c r="J36" i="5078"/>
  <c r="J37" i="5078"/>
  <c r="J38" i="5078"/>
  <c r="J39" i="5078"/>
  <c r="J40" i="5078"/>
  <c r="J41" i="5078"/>
  <c r="J42" i="5078"/>
  <c r="J43" i="5078"/>
  <c r="J44" i="5078"/>
  <c r="J45" i="5078"/>
  <c r="J46" i="5078"/>
  <c r="J47" i="5078"/>
  <c r="J48" i="5078"/>
  <c r="J49" i="5078"/>
  <c r="J50" i="5078"/>
  <c r="J51" i="5078"/>
  <c r="J52" i="5078"/>
  <c r="J53" i="5078"/>
  <c r="J54" i="5078"/>
  <c r="J55" i="5078"/>
  <c r="J56" i="5078"/>
  <c r="J57" i="5078"/>
  <c r="J58" i="5078"/>
  <c r="J59" i="5078"/>
  <c r="J60" i="5078"/>
  <c r="J61" i="5078"/>
  <c r="J62" i="5078"/>
  <c r="J63" i="5078"/>
  <c r="J64" i="5078"/>
  <c r="J65" i="5078"/>
  <c r="J66" i="5078"/>
  <c r="J67" i="5078"/>
  <c r="J68" i="5078"/>
  <c r="J69" i="5078"/>
  <c r="J70" i="5078"/>
  <c r="J71" i="5078"/>
  <c r="J72" i="5078"/>
  <c r="J73" i="5078"/>
  <c r="J74" i="5078"/>
  <c r="J75" i="5078"/>
  <c r="J76" i="5078"/>
  <c r="J77" i="5078"/>
  <c r="J78" i="5078"/>
  <c r="J79" i="5078"/>
  <c r="J80" i="5078"/>
  <c r="J81" i="5078"/>
  <c r="J82" i="5078"/>
  <c r="J83" i="5078"/>
  <c r="J84" i="5078"/>
  <c r="J85" i="5078"/>
  <c r="J86" i="5078"/>
  <c r="J87" i="5078"/>
  <c r="J88" i="5078"/>
  <c r="J89" i="5078"/>
  <c r="J90" i="5078"/>
  <c r="J91" i="5078"/>
  <c r="J92" i="5078"/>
  <c r="J93" i="5078"/>
  <c r="J94" i="5078"/>
  <c r="J95" i="5078"/>
  <c r="J96" i="5078"/>
  <c r="J97" i="5078"/>
  <c r="J98" i="5078"/>
  <c r="J99" i="5078"/>
  <c r="J100" i="5078"/>
  <c r="J101" i="5078"/>
  <c r="J102" i="5078"/>
  <c r="J103" i="5078"/>
  <c r="J104" i="5078"/>
  <c r="J105" i="5078"/>
  <c r="J106" i="5078"/>
  <c r="J107" i="5078"/>
  <c r="J108" i="5078"/>
  <c r="J109" i="5078"/>
  <c r="J110" i="5078"/>
  <c r="J111" i="5078"/>
  <c r="J112" i="5078"/>
  <c r="J113" i="5078"/>
  <c r="J114" i="5078"/>
  <c r="J115" i="5078"/>
  <c r="J116" i="5078"/>
  <c r="J117" i="5078"/>
  <c r="J118" i="5078"/>
  <c r="J119" i="5078"/>
  <c r="J120" i="5078"/>
  <c r="J121" i="5078"/>
  <c r="J122" i="5078"/>
  <c r="J123" i="5078"/>
  <c r="J124" i="5078"/>
  <c r="J125" i="5078"/>
  <c r="J126" i="5078"/>
  <c r="J127" i="5078"/>
  <c r="J128" i="5078"/>
  <c r="J129" i="5078"/>
  <c r="J130" i="5078"/>
  <c r="J131" i="5078"/>
  <c r="J132" i="5078"/>
  <c r="J133" i="5078"/>
  <c r="J134" i="5078"/>
  <c r="J135" i="5078"/>
  <c r="J136" i="5078"/>
  <c r="J137" i="5078"/>
  <c r="J138" i="5078"/>
  <c r="J139" i="5078"/>
  <c r="J140" i="5078"/>
  <c r="J141" i="5078"/>
  <c r="J142" i="5078"/>
  <c r="J143" i="5078"/>
  <c r="J144" i="5078"/>
  <c r="J145" i="5078"/>
  <c r="J146" i="5078"/>
  <c r="J147" i="5078"/>
  <c r="J148" i="5078"/>
  <c r="J149" i="5078"/>
  <c r="J150" i="5078"/>
  <c r="J151" i="5078"/>
  <c r="J152" i="5078"/>
  <c r="J153" i="5078"/>
  <c r="J154" i="5078"/>
  <c r="J155" i="5078"/>
  <c r="J156" i="5078"/>
  <c r="J157" i="5078"/>
  <c r="J158" i="5078"/>
  <c r="J159" i="5078"/>
  <c r="J160" i="5078"/>
  <c r="J161" i="5078"/>
  <c r="J162" i="5078"/>
  <c r="J163" i="5078"/>
  <c r="J164" i="5078"/>
  <c r="J165" i="5078"/>
  <c r="J166" i="5078"/>
  <c r="J167" i="5078"/>
  <c r="J168" i="5078"/>
  <c r="J169" i="5078"/>
  <c r="J170" i="5078"/>
  <c r="J171" i="5078"/>
  <c r="J172" i="5078"/>
  <c r="J173" i="5078"/>
  <c r="J174" i="5078"/>
  <c r="J175" i="5078"/>
  <c r="J176" i="5078"/>
  <c r="J177" i="5078"/>
  <c r="J178" i="5078"/>
  <c r="J179" i="5078"/>
  <c r="J180" i="5078"/>
  <c r="J181" i="5078"/>
  <c r="J182" i="5078"/>
  <c r="J183" i="5078"/>
  <c r="J184" i="5078"/>
  <c r="J185" i="5078"/>
  <c r="J186" i="5078"/>
  <c r="J187" i="5078"/>
  <c r="J188" i="5078"/>
  <c r="J189" i="5078"/>
  <c r="J190" i="5078"/>
  <c r="J191" i="5078"/>
  <c r="J192" i="5078"/>
  <c r="J193" i="5078"/>
  <c r="J194" i="5078"/>
  <c r="J195" i="5078"/>
  <c r="J196" i="5078"/>
  <c r="J197" i="5078"/>
  <c r="J198" i="5078"/>
  <c r="J199" i="5078"/>
  <c r="J200" i="5078"/>
  <c r="J201" i="5078"/>
  <c r="J202" i="5078"/>
  <c r="J203" i="5078"/>
  <c r="J204" i="5078"/>
  <c r="J205" i="5078"/>
  <c r="J206" i="5078"/>
  <c r="J207" i="5078"/>
  <c r="J208" i="5078"/>
  <c r="J209" i="5078"/>
  <c r="J210" i="5078"/>
  <c r="J211" i="5078"/>
  <c r="J212" i="5078"/>
  <c r="J213" i="5078"/>
  <c r="J214" i="5078"/>
  <c r="J215" i="5078"/>
  <c r="J216" i="5078"/>
  <c r="J217" i="5078"/>
  <c r="J218" i="5078"/>
  <c r="J219" i="5078"/>
  <c r="J220" i="5078"/>
  <c r="J221" i="5078"/>
  <c r="J222" i="5078"/>
  <c r="J223" i="5078"/>
  <c r="J224" i="5078"/>
  <c r="J225" i="5078"/>
  <c r="J226" i="5078"/>
  <c r="J227" i="5078"/>
  <c r="J228" i="5078"/>
  <c r="J229" i="5078"/>
  <c r="J230" i="5078"/>
  <c r="J231" i="5078"/>
  <c r="J232" i="5078"/>
  <c r="J233" i="5078"/>
  <c r="J234" i="5078"/>
  <c r="J235" i="5078"/>
  <c r="J236" i="5078"/>
  <c r="J237" i="5078"/>
  <c r="J238" i="5078"/>
  <c r="J239" i="5078"/>
  <c r="J240" i="5078"/>
  <c r="J241" i="5078"/>
  <c r="J242" i="5078"/>
  <c r="J243" i="5078"/>
  <c r="J244" i="5078"/>
  <c r="J245" i="5078"/>
  <c r="J246" i="5078"/>
  <c r="J247" i="5078"/>
  <c r="J248" i="5078"/>
  <c r="J249" i="5078"/>
  <c r="J250" i="5078"/>
  <c r="J251" i="5078"/>
  <c r="J252" i="5078"/>
  <c r="J253" i="5078"/>
  <c r="J254" i="5078"/>
  <c r="J255" i="5078"/>
  <c r="J256" i="5078"/>
  <c r="J257" i="5078"/>
  <c r="J258" i="5078"/>
  <c r="J259" i="5078"/>
  <c r="J260" i="5078"/>
  <c r="J261" i="5078"/>
  <c r="J262" i="5078"/>
  <c r="J263" i="5078"/>
  <c r="J264" i="5078"/>
  <c r="J265" i="5078"/>
  <c r="J266" i="5078"/>
  <c r="J267" i="5078"/>
  <c r="J268" i="5078"/>
  <c r="J269" i="5078"/>
  <c r="J270" i="5078"/>
  <c r="J271" i="5078"/>
  <c r="J272" i="5078"/>
  <c r="J273" i="5078"/>
  <c r="J274" i="5078"/>
  <c r="J275" i="5078"/>
  <c r="J276" i="5078"/>
  <c r="J277" i="5078"/>
  <c r="J278" i="5078"/>
  <c r="J279" i="5078"/>
  <c r="J280" i="5078"/>
  <c r="J281" i="5078"/>
  <c r="J282" i="5078"/>
  <c r="J283" i="5078"/>
  <c r="J284" i="5078"/>
  <c r="J285" i="5078"/>
  <c r="J286" i="5078"/>
  <c r="J287" i="5078"/>
  <c r="J288" i="5078"/>
  <c r="J289" i="5078"/>
  <c r="J290" i="5078"/>
  <c r="J291" i="5078"/>
  <c r="J292" i="5078"/>
  <c r="J293" i="5078"/>
  <c r="J294" i="5078"/>
  <c r="J295" i="5078"/>
  <c r="J296" i="5078"/>
  <c r="J297" i="5078"/>
  <c r="J298" i="5078"/>
  <c r="J299" i="5078"/>
  <c r="J300" i="5078"/>
  <c r="J301" i="5078"/>
  <c r="J302" i="5078"/>
  <c r="J303" i="5078"/>
  <c r="J304" i="5078"/>
  <c r="J305" i="5078"/>
  <c r="J306" i="5078"/>
  <c r="J307" i="5078"/>
  <c r="J308" i="5078"/>
  <c r="J309" i="5078"/>
  <c r="J310" i="5078"/>
  <c r="J311" i="5078"/>
  <c r="J312" i="5078"/>
  <c r="J313" i="5078"/>
  <c r="J314" i="5078"/>
  <c r="J315" i="5078"/>
  <c r="J316" i="5078"/>
  <c r="J317" i="5078"/>
  <c r="J318" i="5078"/>
  <c r="J319" i="5078"/>
  <c r="J320" i="5078"/>
  <c r="J321" i="5078"/>
  <c r="J322" i="5078"/>
  <c r="J323" i="5078"/>
  <c r="J324" i="5078"/>
  <c r="J325" i="5078"/>
  <c r="J326" i="5078"/>
  <c r="J327" i="5078"/>
  <c r="J328" i="5078"/>
  <c r="J329" i="5078"/>
  <c r="J330" i="5078"/>
  <c r="J331" i="5078"/>
  <c r="J332" i="5078"/>
  <c r="J333" i="5078"/>
  <c r="J334" i="5078"/>
  <c r="J335" i="5078"/>
  <c r="J336" i="5078"/>
  <c r="J337" i="5078"/>
  <c r="J338" i="5078"/>
  <c r="J339" i="5078"/>
  <c r="J340" i="5078"/>
  <c r="J341" i="5078"/>
  <c r="J342" i="5078"/>
  <c r="J343" i="5078"/>
  <c r="J344" i="5078"/>
  <c r="J345" i="5078"/>
  <c r="J346" i="5078"/>
  <c r="J347" i="5078"/>
  <c r="J348" i="5078"/>
  <c r="J349" i="5078"/>
  <c r="J350" i="5078"/>
  <c r="J351" i="5078"/>
  <c r="J352" i="5078"/>
  <c r="J353" i="5078"/>
  <c r="J354" i="5078"/>
  <c r="J355" i="5078"/>
  <c r="J356" i="5078"/>
  <c r="J357" i="5078"/>
  <c r="J358" i="5078"/>
  <c r="J359" i="5078"/>
  <c r="J360" i="5078"/>
  <c r="J361" i="5078"/>
  <c r="J362" i="5078"/>
  <c r="J363" i="5078"/>
  <c r="J364" i="5078"/>
  <c r="J365" i="5078"/>
  <c r="J366" i="5078"/>
  <c r="J367" i="5078"/>
  <c r="J368" i="5078"/>
  <c r="J369" i="5078"/>
  <c r="J370" i="5078"/>
  <c r="J371" i="5078"/>
  <c r="J372" i="5078"/>
  <c r="J373" i="5078"/>
  <c r="J374" i="5078"/>
  <c r="J375" i="5078"/>
  <c r="J376" i="5078"/>
  <c r="J377" i="5078"/>
  <c r="J378" i="5078"/>
  <c r="J379" i="5078"/>
  <c r="J380" i="5078"/>
  <c r="J381" i="5078"/>
  <c r="J382" i="5078"/>
  <c r="J383" i="5078"/>
  <c r="J384" i="5078"/>
  <c r="J385" i="5078"/>
  <c r="J386" i="5078"/>
  <c r="J387" i="5078"/>
  <c r="J388" i="5078"/>
  <c r="J389" i="5078"/>
  <c r="J390" i="5078"/>
  <c r="J391" i="5078"/>
  <c r="J392" i="5078"/>
  <c r="J393" i="5078"/>
  <c r="J394" i="5078"/>
  <c r="J395" i="5078"/>
  <c r="J396" i="5078"/>
  <c r="J397" i="5078"/>
  <c r="J398" i="5078"/>
  <c r="J399" i="5078"/>
  <c r="J400" i="5078"/>
  <c r="J401" i="5078"/>
  <c r="J402" i="5078"/>
  <c r="J403" i="5078"/>
  <c r="J404" i="5078"/>
  <c r="J405" i="5078"/>
  <c r="J406" i="5078"/>
  <c r="J407" i="5078"/>
  <c r="J408" i="5078"/>
  <c r="J409" i="5078"/>
  <c r="J410" i="5078"/>
  <c r="J411" i="5078"/>
  <c r="J412" i="5078"/>
  <c r="J413" i="5078"/>
  <c r="J414" i="5078"/>
  <c r="J415" i="5078"/>
  <c r="J416" i="5078"/>
  <c r="J417" i="5078"/>
  <c r="J418" i="5078"/>
  <c r="J419" i="5078"/>
  <c r="J420" i="5078"/>
  <c r="J421" i="5078"/>
  <c r="J422" i="5078"/>
  <c r="J423" i="5078"/>
  <c r="J424" i="5078"/>
  <c r="J425" i="5078"/>
  <c r="J426" i="5078"/>
  <c r="J427" i="5078"/>
  <c r="J428" i="5078"/>
  <c r="J429" i="5078"/>
  <c r="J430" i="5078"/>
  <c r="J431" i="5078"/>
  <c r="J432" i="5078"/>
  <c r="J433" i="5078"/>
  <c r="J434" i="5078"/>
  <c r="J435" i="5078"/>
  <c r="J436" i="5078"/>
  <c r="J437" i="5078"/>
  <c r="J438" i="5078"/>
  <c r="J439" i="5078"/>
  <c r="J440" i="5078"/>
  <c r="J441" i="5078"/>
  <c r="J442" i="5078"/>
  <c r="J443" i="5078"/>
  <c r="J444" i="5078"/>
  <c r="J445" i="5078"/>
  <c r="J446" i="5078"/>
  <c r="J447" i="5078"/>
  <c r="J448" i="5078"/>
  <c r="J449" i="5078"/>
  <c r="J450" i="5078"/>
  <c r="J451" i="5078"/>
  <c r="J452" i="5078"/>
  <c r="J453" i="5078"/>
  <c r="J454" i="5078"/>
  <c r="J455" i="5078"/>
  <c r="J456" i="5078"/>
  <c r="J457" i="5078"/>
  <c r="J458" i="5078"/>
  <c r="J459" i="5078"/>
  <c r="J460" i="5078"/>
  <c r="J461" i="5078"/>
  <c r="J462" i="5078"/>
  <c r="J463" i="5078"/>
  <c r="J464" i="5078"/>
  <c r="J465" i="5078"/>
  <c r="J466" i="5078"/>
  <c r="J467" i="5078"/>
  <c r="J468" i="5078"/>
  <c r="J469" i="5078"/>
  <c r="J470" i="5078"/>
  <c r="J471" i="5078"/>
  <c r="J472" i="5078"/>
  <c r="J473" i="5078"/>
  <c r="J474" i="5078"/>
  <c r="J475" i="5078"/>
  <c r="J476" i="5078"/>
  <c r="J477" i="5078"/>
  <c r="J478" i="5078"/>
  <c r="J479" i="5078"/>
  <c r="J480" i="5078"/>
  <c r="J481" i="5078"/>
  <c r="J482" i="5078"/>
  <c r="J483" i="5078"/>
  <c r="J484" i="5078"/>
  <c r="J485" i="5078"/>
  <c r="J486" i="5078"/>
  <c r="J487" i="5078"/>
  <c r="J488" i="5078"/>
  <c r="J489" i="5078"/>
  <c r="J490" i="5078"/>
  <c r="J491" i="5078"/>
  <c r="J492" i="5078"/>
  <c r="J493" i="5078"/>
  <c r="J494" i="5078"/>
  <c r="J495" i="5078"/>
  <c r="J496" i="5078"/>
  <c r="J497" i="5078"/>
  <c r="J498" i="5078"/>
  <c r="J499" i="5078"/>
  <c r="J500" i="5078"/>
  <c r="J501" i="5078"/>
  <c r="J502" i="5078"/>
  <c r="J503" i="5078"/>
  <c r="J504" i="5078"/>
  <c r="J505" i="5078"/>
  <c r="I2" i="5083"/>
  <c r="I3" i="5083"/>
  <c r="I4" i="5083"/>
  <c r="I5" i="5083"/>
  <c r="I6" i="5083"/>
  <c r="I7" i="5083"/>
  <c r="I8" i="5083"/>
  <c r="I9" i="5083"/>
  <c r="I10" i="5083"/>
  <c r="I11" i="5083"/>
  <c r="I12" i="5083"/>
  <c r="I13" i="5083"/>
  <c r="I14" i="5083"/>
  <c r="I15" i="5083"/>
  <c r="I16" i="5083"/>
  <c r="I17" i="5083"/>
  <c r="I18" i="5083"/>
  <c r="I19" i="5083"/>
  <c r="I20" i="5083"/>
  <c r="I21" i="5083"/>
  <c r="I22" i="5083"/>
  <c r="I23" i="5083"/>
  <c r="I24" i="5083"/>
  <c r="I25" i="5083"/>
  <c r="I26" i="5083"/>
  <c r="I27" i="5083"/>
  <c r="I28" i="5083"/>
  <c r="I29" i="5083"/>
  <c r="I30" i="5083"/>
  <c r="I31" i="5083"/>
  <c r="I32" i="5083"/>
  <c r="I33" i="5083"/>
  <c r="I34" i="5083"/>
  <c r="I35" i="5083"/>
  <c r="I36" i="5083"/>
  <c r="I37" i="5083"/>
  <c r="I38" i="5083"/>
  <c r="I39" i="5083"/>
  <c r="I40" i="5083"/>
  <c r="I41" i="5083"/>
  <c r="I42" i="5083"/>
  <c r="I43" i="5083"/>
  <c r="I44" i="5083"/>
  <c r="I45" i="5083"/>
  <c r="I46" i="5083"/>
  <c r="I47" i="5083"/>
  <c r="I48" i="5083"/>
  <c r="I49" i="5083"/>
  <c r="I50" i="5083"/>
  <c r="I51" i="5083"/>
  <c r="I52" i="5083"/>
  <c r="I53" i="5083"/>
  <c r="I54" i="5083"/>
  <c r="I55" i="5083"/>
  <c r="I56" i="5083"/>
  <c r="I57" i="5083"/>
  <c r="I58" i="5083"/>
  <c r="I59" i="5083"/>
  <c r="I60" i="5083"/>
  <c r="I61" i="5083"/>
  <c r="I62" i="5083"/>
  <c r="I63" i="5083"/>
  <c r="I64" i="5083"/>
  <c r="I65" i="5083"/>
  <c r="I66" i="5083"/>
  <c r="I67" i="5083"/>
  <c r="I68" i="5083"/>
  <c r="I69" i="5083"/>
  <c r="I70" i="5083"/>
  <c r="I71" i="5083"/>
  <c r="I72" i="5083"/>
  <c r="I73" i="5083"/>
  <c r="I74" i="5083"/>
  <c r="I75" i="5083"/>
  <c r="I76" i="5083"/>
  <c r="I77" i="5083"/>
  <c r="I78" i="5083"/>
  <c r="I79" i="5083"/>
  <c r="I80" i="5083"/>
  <c r="I81" i="5083"/>
  <c r="I82" i="5083"/>
  <c r="I83" i="5083"/>
  <c r="I84" i="5083"/>
  <c r="I85" i="5083"/>
  <c r="I86" i="5083"/>
  <c r="I87" i="5083"/>
  <c r="I88" i="5083"/>
  <c r="I89" i="5083"/>
  <c r="I90" i="5083"/>
  <c r="I91" i="5083"/>
  <c r="I92" i="5083"/>
  <c r="I93" i="5083"/>
  <c r="I94" i="5083"/>
  <c r="I95" i="5083"/>
  <c r="I96" i="5083"/>
  <c r="I97" i="5083"/>
  <c r="I98" i="5083"/>
  <c r="I99" i="5083"/>
  <c r="I100" i="5083"/>
  <c r="I101" i="5083"/>
  <c r="I102" i="5083"/>
  <c r="I103" i="5083"/>
  <c r="I104" i="5083"/>
  <c r="I105" i="5083"/>
  <c r="I106" i="5083"/>
  <c r="I107" i="5083"/>
  <c r="I108" i="5083"/>
  <c r="I109" i="5083"/>
  <c r="I110" i="5083"/>
  <c r="I111" i="5083"/>
  <c r="I112" i="5083"/>
  <c r="I113" i="5083"/>
  <c r="I114" i="5083"/>
  <c r="I115" i="5083"/>
  <c r="I116" i="5083"/>
  <c r="I117" i="5083"/>
  <c r="I118" i="5083"/>
  <c r="I119" i="5083"/>
  <c r="I120" i="5083"/>
  <c r="I121" i="5083"/>
  <c r="I122" i="5083"/>
  <c r="I123" i="5083"/>
  <c r="I124" i="5083"/>
  <c r="I125" i="5083"/>
  <c r="I126" i="5083"/>
  <c r="I127" i="5083"/>
  <c r="I128" i="5083"/>
  <c r="I129" i="5083"/>
  <c r="I130" i="5083"/>
  <c r="I131" i="5083"/>
  <c r="I132" i="5083"/>
  <c r="I133" i="5083"/>
  <c r="I134" i="5083"/>
  <c r="I135" i="5083"/>
  <c r="I136" i="5083"/>
  <c r="I137" i="5083"/>
  <c r="I138" i="5083"/>
  <c r="I139" i="5083"/>
  <c r="I140" i="5083"/>
  <c r="I141" i="5083"/>
  <c r="I142" i="5083"/>
  <c r="I143" i="5083"/>
  <c r="I144" i="5083"/>
  <c r="I145" i="5083"/>
  <c r="I146" i="5083"/>
  <c r="I147" i="5083"/>
  <c r="I148" i="5083"/>
  <c r="I149" i="5083"/>
  <c r="I150" i="5083"/>
  <c r="I151" i="5083"/>
  <c r="I152" i="5083"/>
  <c r="I153" i="5083"/>
  <c r="I154" i="5083"/>
  <c r="I155" i="5083"/>
  <c r="I156" i="5083"/>
  <c r="I157" i="5083"/>
  <c r="I158" i="5083"/>
  <c r="I159" i="5083"/>
  <c r="I160" i="5083"/>
  <c r="I161" i="5083"/>
  <c r="I162" i="5083"/>
  <c r="I163" i="5083"/>
  <c r="I164" i="5083"/>
  <c r="I165" i="5083"/>
  <c r="I166" i="5083"/>
  <c r="I167" i="5083"/>
  <c r="I168" i="5083"/>
  <c r="I169" i="5083"/>
  <c r="I170" i="5083"/>
  <c r="I171" i="5083"/>
  <c r="I172" i="5083"/>
  <c r="I173" i="5083"/>
  <c r="I174" i="5083"/>
  <c r="I175" i="5083"/>
  <c r="I176" i="5083"/>
  <c r="I177" i="5083"/>
  <c r="I178" i="5083"/>
  <c r="I179" i="5083"/>
  <c r="I180" i="5083"/>
  <c r="I181" i="5083"/>
  <c r="I182" i="5083"/>
  <c r="I183" i="5083"/>
  <c r="I184" i="5083"/>
  <c r="I185" i="5083"/>
  <c r="I186" i="5083"/>
  <c r="I187" i="5083"/>
  <c r="I188" i="5083"/>
  <c r="I189" i="5083"/>
  <c r="I190" i="5083"/>
  <c r="I191" i="5083"/>
  <c r="I192" i="5083"/>
  <c r="I193" i="5083"/>
  <c r="I194" i="5083"/>
  <c r="I195" i="5083"/>
  <c r="I196" i="5083"/>
  <c r="I197" i="5083"/>
  <c r="I198" i="5083"/>
  <c r="I199" i="5083"/>
  <c r="I200" i="5083"/>
  <c r="I201" i="5083"/>
  <c r="I202" i="5083"/>
  <c r="I203" i="5083"/>
  <c r="I204" i="5083"/>
  <c r="I205" i="5083"/>
  <c r="I206" i="5083"/>
  <c r="I207" i="5083"/>
  <c r="I208" i="5083"/>
  <c r="I209" i="5083"/>
  <c r="I210" i="5083"/>
  <c r="I211" i="5083"/>
  <c r="I212" i="5083"/>
  <c r="I213" i="5083"/>
  <c r="I214" i="5083"/>
  <c r="I215" i="5083"/>
  <c r="I216" i="5083"/>
  <c r="I217" i="5083"/>
  <c r="I218" i="5083"/>
  <c r="I219" i="5083"/>
  <c r="I220" i="5083"/>
  <c r="I221" i="5083"/>
  <c r="I222" i="5083"/>
  <c r="I223" i="5083"/>
  <c r="I224" i="5083"/>
  <c r="I225" i="5083"/>
  <c r="I226" i="5083"/>
  <c r="I227" i="5083"/>
  <c r="I228" i="5083"/>
  <c r="I229" i="5083"/>
  <c r="I230" i="5083"/>
  <c r="I231" i="5083"/>
  <c r="I232" i="5083"/>
  <c r="I233" i="5083"/>
  <c r="I234" i="5083"/>
  <c r="I235" i="5083"/>
  <c r="I236" i="5083"/>
  <c r="I237" i="5083"/>
  <c r="I238" i="5083"/>
  <c r="I239" i="5083"/>
  <c r="I240" i="5083"/>
  <c r="I241" i="5083"/>
  <c r="I242" i="5083"/>
  <c r="I243" i="5083"/>
  <c r="I244" i="5083"/>
  <c r="I245" i="5083"/>
  <c r="I246" i="5083"/>
  <c r="I247" i="5083"/>
  <c r="I248" i="5083"/>
  <c r="I249" i="5083"/>
  <c r="I250" i="5083"/>
  <c r="I251" i="5083"/>
  <c r="I252" i="5083"/>
  <c r="I253" i="5083"/>
  <c r="I254" i="5083"/>
  <c r="I255" i="5083"/>
  <c r="I256" i="5083"/>
  <c r="I257" i="5083"/>
  <c r="I258" i="5083"/>
  <c r="I259" i="5083"/>
  <c r="I260" i="5083"/>
  <c r="I261" i="5083"/>
  <c r="I262" i="5083"/>
  <c r="I263" i="5083"/>
  <c r="I264" i="5083"/>
  <c r="I265" i="5083"/>
  <c r="I266" i="5083"/>
  <c r="I267" i="5083"/>
  <c r="I268" i="5083"/>
  <c r="I269" i="5083"/>
  <c r="I270" i="5083"/>
  <c r="I271" i="5083"/>
  <c r="I272" i="5083"/>
  <c r="I273" i="5083"/>
  <c r="I274" i="5083"/>
  <c r="I275" i="5083"/>
  <c r="I276" i="5083"/>
  <c r="I277" i="5083"/>
  <c r="I278" i="5083"/>
  <c r="I279" i="5083"/>
  <c r="I280" i="5083"/>
  <c r="I281" i="5083"/>
  <c r="I282" i="5083"/>
  <c r="I283" i="5083"/>
  <c r="I284" i="5083"/>
  <c r="I285" i="5083"/>
  <c r="I286" i="5083"/>
  <c r="I287" i="5083"/>
  <c r="I288" i="5083"/>
  <c r="I289" i="5083"/>
  <c r="I290" i="5083"/>
  <c r="I291" i="5083"/>
  <c r="I292" i="5083"/>
  <c r="I293" i="5083"/>
  <c r="I294" i="5083"/>
  <c r="I295" i="5083"/>
  <c r="I296" i="5083"/>
  <c r="I297" i="5083"/>
  <c r="I298" i="5083"/>
  <c r="I299" i="5083"/>
  <c r="I300" i="5083"/>
  <c r="I301" i="5083"/>
  <c r="I302" i="5083"/>
  <c r="I303" i="5083"/>
  <c r="I304" i="5083"/>
  <c r="I305" i="5083"/>
  <c r="I306" i="5083"/>
  <c r="I307" i="5083"/>
  <c r="I308" i="5083"/>
  <c r="I309" i="5083"/>
  <c r="I310" i="5083"/>
  <c r="I311" i="5083"/>
  <c r="I312" i="5083"/>
  <c r="I313" i="5083"/>
  <c r="I314" i="5083"/>
  <c r="I315" i="5083"/>
  <c r="I316" i="5083"/>
  <c r="I317" i="5083"/>
  <c r="I318" i="5083"/>
  <c r="I319" i="5083"/>
  <c r="I320" i="5083"/>
  <c r="I321" i="5083"/>
  <c r="I322" i="5083"/>
  <c r="I323" i="5083"/>
  <c r="I324" i="5083"/>
  <c r="I325" i="5083"/>
  <c r="I326" i="5083"/>
  <c r="I327" i="5083"/>
  <c r="I328" i="5083"/>
  <c r="I329" i="5083"/>
  <c r="I330" i="5083"/>
  <c r="I331" i="5083"/>
  <c r="I332" i="5083"/>
  <c r="I333" i="5083"/>
  <c r="I334" i="5083"/>
  <c r="I335" i="5083"/>
  <c r="I336" i="5083"/>
  <c r="I337" i="5083"/>
  <c r="I338" i="5083"/>
  <c r="I339" i="5083"/>
  <c r="I340" i="5083"/>
  <c r="I341" i="5083"/>
  <c r="I342" i="5083"/>
  <c r="I343" i="5083"/>
  <c r="I344" i="5083"/>
  <c r="I345" i="5083"/>
  <c r="I346" i="5083"/>
  <c r="I347" i="5083"/>
  <c r="I348" i="5083"/>
  <c r="I349" i="5083"/>
  <c r="I350" i="5083"/>
  <c r="I351" i="5083"/>
  <c r="I352" i="5083"/>
  <c r="I353" i="5083"/>
  <c r="I354" i="5083"/>
  <c r="I355" i="5083"/>
  <c r="I356" i="5083"/>
  <c r="I357" i="5083"/>
  <c r="I358" i="5083"/>
  <c r="I359" i="5083"/>
  <c r="I360" i="5083"/>
  <c r="I361" i="5083"/>
  <c r="I362" i="5083"/>
  <c r="I363" i="5083"/>
  <c r="I364" i="5083"/>
  <c r="I365" i="5083"/>
  <c r="I366" i="5083"/>
  <c r="I367" i="5083"/>
  <c r="I368" i="5083"/>
  <c r="I369" i="5083"/>
  <c r="I370" i="5083"/>
  <c r="I371" i="5083"/>
  <c r="I372" i="5083"/>
  <c r="I373" i="5083"/>
  <c r="I374" i="5083"/>
  <c r="I375" i="5083"/>
  <c r="I376" i="5083"/>
  <c r="I377" i="5083"/>
  <c r="I378" i="5083"/>
  <c r="I379" i="5083"/>
  <c r="I380" i="5083"/>
  <c r="I381" i="5083"/>
  <c r="I382" i="5083"/>
  <c r="I383" i="5083"/>
  <c r="I384" i="5083"/>
  <c r="I385" i="5083"/>
  <c r="I386" i="5083"/>
  <c r="I387" i="5083"/>
  <c r="I388" i="5083"/>
  <c r="I389" i="5083"/>
  <c r="I390" i="5083"/>
  <c r="I391" i="5083"/>
  <c r="I392" i="5083"/>
  <c r="I393" i="5083"/>
  <c r="I394" i="5083"/>
  <c r="I395" i="5083"/>
  <c r="I396" i="5083"/>
  <c r="I397" i="5083"/>
  <c r="I398" i="5083"/>
  <c r="I399" i="5083"/>
  <c r="I400" i="5083"/>
  <c r="I401" i="5083"/>
  <c r="I402" i="5083"/>
  <c r="I403" i="5083"/>
  <c r="I404" i="5083"/>
  <c r="I405" i="5083"/>
  <c r="I406" i="5083"/>
  <c r="I407" i="5083"/>
  <c r="I408" i="5083"/>
  <c r="I409" i="5083"/>
  <c r="I410" i="5083"/>
  <c r="I411" i="5083"/>
  <c r="I412" i="5083"/>
  <c r="I413" i="5083"/>
  <c r="I414" i="5083"/>
  <c r="I415" i="5083"/>
  <c r="I416" i="5083"/>
  <c r="I417" i="5083"/>
  <c r="I418" i="5083"/>
  <c r="I419" i="5083"/>
  <c r="I420" i="5083"/>
  <c r="I421" i="5083"/>
  <c r="I422" i="5083"/>
  <c r="I423" i="5083"/>
  <c r="I424" i="5083"/>
  <c r="I425" i="5083"/>
  <c r="I426" i="5083"/>
  <c r="I427" i="5083"/>
  <c r="I428" i="5083"/>
  <c r="I429" i="5083"/>
  <c r="I430" i="5083"/>
  <c r="I431" i="5083"/>
  <c r="I432" i="5083"/>
  <c r="I433" i="5083"/>
  <c r="I434" i="5083"/>
  <c r="I435" i="5083"/>
  <c r="I436" i="5083"/>
  <c r="I437" i="5083"/>
  <c r="I438" i="5083"/>
  <c r="I439" i="5083"/>
  <c r="I440" i="5083"/>
  <c r="I441" i="5083"/>
  <c r="I442" i="5083"/>
  <c r="I443" i="5083"/>
  <c r="I444" i="5083"/>
  <c r="I445" i="5083"/>
  <c r="I446" i="5083"/>
  <c r="I447" i="5083"/>
  <c r="I448" i="5083"/>
  <c r="I449" i="5083"/>
  <c r="I450" i="5083"/>
  <c r="I451" i="5083"/>
  <c r="I452" i="5083"/>
  <c r="I453" i="5083"/>
  <c r="I454" i="5083"/>
  <c r="I455" i="5083"/>
  <c r="I456" i="5083"/>
  <c r="I457" i="5083"/>
  <c r="I458" i="5083"/>
  <c r="I459" i="5083"/>
  <c r="I460" i="5083"/>
  <c r="I461" i="5083"/>
  <c r="I462" i="5083"/>
  <c r="I463" i="5083"/>
  <c r="I464" i="5083"/>
  <c r="I465" i="5083"/>
  <c r="I466" i="5083"/>
  <c r="I467" i="5083"/>
  <c r="I468" i="5083"/>
  <c r="I469" i="5083"/>
  <c r="I470" i="5083"/>
  <c r="I471" i="5083"/>
  <c r="I472" i="5083"/>
  <c r="I473" i="5083"/>
  <c r="I474" i="5083"/>
  <c r="I475" i="5083"/>
  <c r="I476" i="5083"/>
  <c r="I477" i="5083"/>
  <c r="I478" i="5083"/>
  <c r="I479" i="5083"/>
  <c r="I480" i="5083"/>
  <c r="I481" i="5083"/>
  <c r="I482" i="5083"/>
  <c r="I483" i="5083"/>
  <c r="I484" i="5083"/>
  <c r="I485" i="5083"/>
  <c r="I486" i="5083"/>
  <c r="I487" i="5083"/>
  <c r="I488" i="5083"/>
  <c r="I489" i="5083"/>
  <c r="I490" i="5083"/>
  <c r="I491" i="5083"/>
  <c r="I492" i="5083"/>
  <c r="I493" i="5083"/>
  <c r="I494" i="5083"/>
  <c r="I495" i="5083"/>
  <c r="I496" i="5083"/>
  <c r="I497" i="5083"/>
  <c r="I498" i="5083"/>
  <c r="I499" i="5083"/>
  <c r="I500" i="5083"/>
  <c r="I501" i="5083"/>
  <c r="I502" i="5083"/>
  <c r="I503" i="5083"/>
  <c r="I504" i="5083"/>
  <c r="I505" i="5083"/>
  <c r="I2" i="5082"/>
  <c r="I3" i="5082"/>
  <c r="I4" i="5082"/>
  <c r="I5" i="5082"/>
  <c r="I6" i="5082"/>
  <c r="I7" i="5082"/>
  <c r="I8" i="5082"/>
  <c r="I9" i="5082"/>
  <c r="I10" i="5082"/>
  <c r="I11" i="5082"/>
  <c r="I12" i="5082"/>
  <c r="I13" i="5082"/>
  <c r="I14" i="5082"/>
  <c r="I15" i="5082"/>
  <c r="I16" i="5082"/>
  <c r="I17" i="5082"/>
  <c r="I18" i="5082"/>
  <c r="I19" i="5082"/>
  <c r="I20" i="5082"/>
  <c r="I21" i="5082"/>
  <c r="I22" i="5082"/>
  <c r="I23" i="5082"/>
  <c r="I24" i="5082"/>
  <c r="I25" i="5082"/>
  <c r="I26" i="5082"/>
  <c r="I27" i="5082"/>
  <c r="I28" i="5082"/>
  <c r="I29" i="5082"/>
  <c r="I30" i="5082"/>
  <c r="I31" i="5082"/>
  <c r="I32" i="5082"/>
  <c r="I33" i="5082"/>
  <c r="I34" i="5082"/>
  <c r="I35" i="5082"/>
  <c r="I36" i="5082"/>
  <c r="I37" i="5082"/>
  <c r="I38" i="5082"/>
  <c r="I39" i="5082"/>
  <c r="I40" i="5082"/>
  <c r="I41" i="5082"/>
  <c r="I42" i="5082"/>
  <c r="I43" i="5082"/>
  <c r="I44" i="5082"/>
  <c r="I45" i="5082"/>
  <c r="I46" i="5082"/>
  <c r="I47" i="5082"/>
  <c r="I48" i="5082"/>
  <c r="I49" i="5082"/>
  <c r="I50" i="5082"/>
  <c r="I51" i="5082"/>
  <c r="I52" i="5082"/>
  <c r="I53" i="5082"/>
  <c r="I54" i="5082"/>
  <c r="I55" i="5082"/>
  <c r="I56" i="5082"/>
  <c r="I57" i="5082"/>
  <c r="I58" i="5082"/>
  <c r="I59" i="5082"/>
  <c r="I60" i="5082"/>
  <c r="I61" i="5082"/>
  <c r="I62" i="5082"/>
  <c r="I63" i="5082"/>
  <c r="I64" i="5082"/>
  <c r="I65" i="5082"/>
  <c r="I66" i="5082"/>
  <c r="I67" i="5082"/>
  <c r="I68" i="5082"/>
  <c r="I69" i="5082"/>
  <c r="I70" i="5082"/>
  <c r="I71" i="5082"/>
  <c r="I72" i="5082"/>
  <c r="I73" i="5082"/>
  <c r="I74" i="5082"/>
  <c r="I75" i="5082"/>
  <c r="I76" i="5082"/>
  <c r="I77" i="5082"/>
  <c r="I78" i="5082"/>
  <c r="I79" i="5082"/>
  <c r="I80" i="5082"/>
  <c r="I81" i="5082"/>
  <c r="I82" i="5082"/>
  <c r="I83" i="5082"/>
  <c r="I84" i="5082"/>
  <c r="I85" i="5082"/>
  <c r="I86" i="5082"/>
  <c r="I87" i="5082"/>
  <c r="I88" i="5082"/>
  <c r="I89" i="5082"/>
  <c r="I90" i="5082"/>
  <c r="I91" i="5082"/>
  <c r="I92" i="5082"/>
  <c r="I93" i="5082"/>
  <c r="I94" i="5082"/>
  <c r="I95" i="5082"/>
  <c r="I96" i="5082"/>
  <c r="I97" i="5082"/>
  <c r="I98" i="5082"/>
  <c r="I99" i="5082"/>
  <c r="I100" i="5082"/>
  <c r="I101" i="5082"/>
  <c r="I102" i="5082"/>
  <c r="I103" i="5082"/>
  <c r="I104" i="5082"/>
  <c r="I105" i="5082"/>
  <c r="I106" i="5082"/>
  <c r="I107" i="5082"/>
  <c r="I108" i="5082"/>
  <c r="I109" i="5082"/>
  <c r="I110" i="5082"/>
  <c r="I111" i="5082"/>
  <c r="I112" i="5082"/>
  <c r="I113" i="5082"/>
  <c r="I114" i="5082"/>
  <c r="I115" i="5082"/>
  <c r="I116" i="5082"/>
  <c r="I117" i="5082"/>
  <c r="I118" i="5082"/>
  <c r="I119" i="5082"/>
  <c r="I120" i="5082"/>
  <c r="I121" i="5082"/>
  <c r="I122" i="5082"/>
  <c r="I123" i="5082"/>
  <c r="I124" i="5082"/>
  <c r="I125" i="5082"/>
  <c r="I126" i="5082"/>
  <c r="I127" i="5082"/>
  <c r="I128" i="5082"/>
  <c r="I129" i="5082"/>
  <c r="I130" i="5082"/>
  <c r="I131" i="5082"/>
  <c r="I132" i="5082"/>
  <c r="I133" i="5082"/>
  <c r="I134" i="5082"/>
  <c r="I135" i="5082"/>
  <c r="I136" i="5082"/>
  <c r="I137" i="5082"/>
  <c r="I138" i="5082"/>
  <c r="I139" i="5082"/>
  <c r="I140" i="5082"/>
  <c r="I141" i="5082"/>
  <c r="I142" i="5082"/>
  <c r="I143" i="5082"/>
  <c r="I144" i="5082"/>
  <c r="I145" i="5082"/>
  <c r="I146" i="5082"/>
  <c r="I147" i="5082"/>
  <c r="I148" i="5082"/>
  <c r="I149" i="5082"/>
  <c r="I150" i="5082"/>
  <c r="I151" i="5082"/>
  <c r="I152" i="5082"/>
  <c r="I153" i="5082"/>
  <c r="I154" i="5082"/>
  <c r="I155" i="5082"/>
  <c r="I156" i="5082"/>
  <c r="I157" i="5082"/>
  <c r="I158" i="5082"/>
  <c r="I159" i="5082"/>
  <c r="I160" i="5082"/>
  <c r="I161" i="5082"/>
  <c r="I162" i="5082"/>
  <c r="I163" i="5082"/>
  <c r="I164" i="5082"/>
  <c r="I165" i="5082"/>
  <c r="I166" i="5082"/>
  <c r="I167" i="5082"/>
  <c r="I168" i="5082"/>
  <c r="I169" i="5082"/>
  <c r="I170" i="5082"/>
  <c r="I171" i="5082"/>
  <c r="I172" i="5082"/>
  <c r="I173" i="5082"/>
  <c r="I174" i="5082"/>
  <c r="I175" i="5082"/>
  <c r="I176" i="5082"/>
  <c r="I177" i="5082"/>
  <c r="I178" i="5082"/>
  <c r="I179" i="5082"/>
  <c r="I180" i="5082"/>
  <c r="I181" i="5082"/>
  <c r="I182" i="5082"/>
  <c r="I183" i="5082"/>
  <c r="I184" i="5082"/>
  <c r="I185" i="5082"/>
  <c r="I186" i="5082"/>
  <c r="I187" i="5082"/>
  <c r="I188" i="5082"/>
  <c r="I189" i="5082"/>
  <c r="I190" i="5082"/>
  <c r="I191" i="5082"/>
  <c r="I192" i="5082"/>
  <c r="I193" i="5082"/>
  <c r="I194" i="5082"/>
  <c r="I195" i="5082"/>
  <c r="I196" i="5082"/>
  <c r="I197" i="5082"/>
  <c r="I198" i="5082"/>
  <c r="I199" i="5082"/>
  <c r="I200" i="5082"/>
  <c r="I201" i="5082"/>
  <c r="I202" i="5082"/>
  <c r="I203" i="5082"/>
  <c r="I204" i="5082"/>
  <c r="I205" i="5082"/>
  <c r="I206" i="5082"/>
  <c r="I207" i="5082"/>
  <c r="I208" i="5082"/>
  <c r="I209" i="5082"/>
  <c r="I210" i="5082"/>
  <c r="I211" i="5082"/>
  <c r="I212" i="5082"/>
  <c r="I213" i="5082"/>
  <c r="I214" i="5082"/>
  <c r="I215" i="5082"/>
  <c r="I216" i="5082"/>
  <c r="I217" i="5082"/>
  <c r="I218" i="5082"/>
  <c r="I219" i="5082"/>
  <c r="I220" i="5082"/>
  <c r="I221" i="5082"/>
  <c r="I222" i="5082"/>
  <c r="I223" i="5082"/>
  <c r="I224" i="5082"/>
  <c r="I225" i="5082"/>
  <c r="I226" i="5082"/>
  <c r="I227" i="5082"/>
  <c r="I228" i="5082"/>
  <c r="I229" i="5082"/>
  <c r="I230" i="5082"/>
  <c r="I231" i="5082"/>
  <c r="I232" i="5082"/>
  <c r="I233" i="5082"/>
  <c r="I234" i="5082"/>
  <c r="I235" i="5082"/>
  <c r="I236" i="5082"/>
  <c r="I237" i="5082"/>
  <c r="I238" i="5082"/>
  <c r="I239" i="5082"/>
  <c r="I240" i="5082"/>
  <c r="I241" i="5082"/>
  <c r="I242" i="5082"/>
  <c r="I243" i="5082"/>
  <c r="I244" i="5082"/>
  <c r="I245" i="5082"/>
  <c r="I246" i="5082"/>
  <c r="I247" i="5082"/>
  <c r="I248" i="5082"/>
  <c r="I249" i="5082"/>
  <c r="I250" i="5082"/>
  <c r="I251" i="5082"/>
  <c r="I252" i="5082"/>
  <c r="I253" i="5082"/>
  <c r="I254" i="5082"/>
  <c r="I255" i="5082"/>
  <c r="I256" i="5082"/>
  <c r="I257" i="5082"/>
  <c r="I258" i="5082"/>
  <c r="I259" i="5082"/>
  <c r="I260" i="5082"/>
  <c r="I261" i="5082"/>
  <c r="I262" i="5082"/>
  <c r="I263" i="5082"/>
  <c r="I264" i="5082"/>
  <c r="I265" i="5082"/>
  <c r="I266" i="5082"/>
  <c r="I267" i="5082"/>
  <c r="I268" i="5082"/>
  <c r="I269" i="5082"/>
  <c r="I270" i="5082"/>
  <c r="I271" i="5082"/>
  <c r="I272" i="5082"/>
  <c r="I273" i="5082"/>
  <c r="I274" i="5082"/>
  <c r="I275" i="5082"/>
  <c r="I276" i="5082"/>
  <c r="I277" i="5082"/>
  <c r="I278" i="5082"/>
  <c r="I279" i="5082"/>
  <c r="I280" i="5082"/>
  <c r="I281" i="5082"/>
  <c r="I282" i="5082"/>
  <c r="I283" i="5082"/>
  <c r="I284" i="5082"/>
  <c r="I285" i="5082"/>
  <c r="I286" i="5082"/>
  <c r="I287" i="5082"/>
  <c r="I288" i="5082"/>
  <c r="I289" i="5082"/>
  <c r="I290" i="5082"/>
  <c r="I291" i="5082"/>
  <c r="I292" i="5082"/>
  <c r="I293" i="5082"/>
  <c r="I294" i="5082"/>
  <c r="I295" i="5082"/>
  <c r="I296" i="5082"/>
  <c r="I297" i="5082"/>
  <c r="I298" i="5082"/>
  <c r="I299" i="5082"/>
  <c r="I300" i="5082"/>
  <c r="I301" i="5082"/>
  <c r="I302" i="5082"/>
  <c r="I303" i="5082"/>
  <c r="I304" i="5082"/>
  <c r="I305" i="5082"/>
  <c r="I306" i="5082"/>
  <c r="I307" i="5082"/>
  <c r="I308" i="5082"/>
  <c r="I309" i="5082"/>
  <c r="I310" i="5082"/>
  <c r="I311" i="5082"/>
  <c r="I312" i="5082"/>
  <c r="I313" i="5082"/>
  <c r="I314" i="5082"/>
  <c r="I315" i="5082"/>
  <c r="I316" i="5082"/>
  <c r="I317" i="5082"/>
  <c r="I318" i="5082"/>
  <c r="I319" i="5082"/>
  <c r="I320" i="5082"/>
  <c r="I321" i="5082"/>
  <c r="I322" i="5082"/>
  <c r="I323" i="5082"/>
  <c r="I324" i="5082"/>
  <c r="I325" i="5082"/>
  <c r="I326" i="5082"/>
  <c r="I327" i="5082"/>
  <c r="I328" i="5082"/>
  <c r="I329" i="5082"/>
  <c r="I330" i="5082"/>
  <c r="I331" i="5082"/>
  <c r="I332" i="5082"/>
  <c r="I333" i="5082"/>
  <c r="I334" i="5082"/>
  <c r="I335" i="5082"/>
  <c r="I336" i="5082"/>
  <c r="I337" i="5082"/>
  <c r="I338" i="5082"/>
  <c r="I339" i="5082"/>
  <c r="I340" i="5082"/>
  <c r="I341" i="5082"/>
  <c r="I342" i="5082"/>
  <c r="I343" i="5082"/>
  <c r="I344" i="5082"/>
  <c r="I345" i="5082"/>
  <c r="I346" i="5082"/>
  <c r="I347" i="5082"/>
  <c r="I348" i="5082"/>
  <c r="I349" i="5082"/>
  <c r="I350" i="5082"/>
  <c r="I351" i="5082"/>
  <c r="I352" i="5082"/>
  <c r="I353" i="5082"/>
  <c r="I354" i="5082"/>
  <c r="I355" i="5082"/>
  <c r="I356" i="5082"/>
  <c r="I357" i="5082"/>
  <c r="I358" i="5082"/>
  <c r="I359" i="5082"/>
  <c r="I360" i="5082"/>
  <c r="I361" i="5082"/>
  <c r="I362" i="5082"/>
  <c r="I363" i="5082"/>
  <c r="I364" i="5082"/>
  <c r="I365" i="5082"/>
  <c r="I366" i="5082"/>
  <c r="I367" i="5082"/>
  <c r="I368" i="5082"/>
  <c r="I369" i="5082"/>
  <c r="I370" i="5082"/>
  <c r="I371" i="5082"/>
  <c r="I372" i="5082"/>
  <c r="I373" i="5082"/>
  <c r="I374" i="5082"/>
  <c r="I375" i="5082"/>
  <c r="I376" i="5082"/>
  <c r="I377" i="5082"/>
  <c r="I378" i="5082"/>
  <c r="I379" i="5082"/>
  <c r="I380" i="5082"/>
  <c r="I381" i="5082"/>
  <c r="I382" i="5082"/>
  <c r="I383" i="5082"/>
  <c r="I384" i="5082"/>
  <c r="I385" i="5082"/>
  <c r="I386" i="5082"/>
  <c r="I387" i="5082"/>
  <c r="I388" i="5082"/>
  <c r="I389" i="5082"/>
  <c r="I390" i="5082"/>
  <c r="I391" i="5082"/>
  <c r="I392" i="5082"/>
  <c r="I393" i="5082"/>
  <c r="I394" i="5082"/>
  <c r="I395" i="5082"/>
  <c r="I396" i="5082"/>
  <c r="I397" i="5082"/>
  <c r="I398" i="5082"/>
  <c r="I399" i="5082"/>
  <c r="I400" i="5082"/>
  <c r="I401" i="5082"/>
  <c r="I402" i="5082"/>
  <c r="I403" i="5082"/>
  <c r="I404" i="5082"/>
  <c r="I405" i="5082"/>
  <c r="I406" i="5082"/>
  <c r="I407" i="5082"/>
  <c r="I408" i="5082"/>
  <c r="I409" i="5082"/>
  <c r="I410" i="5082"/>
  <c r="I411" i="5082"/>
  <c r="I412" i="5082"/>
  <c r="I413" i="5082"/>
  <c r="I414" i="5082"/>
  <c r="I415" i="5082"/>
  <c r="I416" i="5082"/>
  <c r="I417" i="5082"/>
  <c r="I418" i="5082"/>
  <c r="I419" i="5082"/>
  <c r="I420" i="5082"/>
  <c r="I421" i="5082"/>
  <c r="I422" i="5082"/>
  <c r="I423" i="5082"/>
  <c r="I424" i="5082"/>
  <c r="I425" i="5082"/>
  <c r="I426" i="5082"/>
  <c r="I427" i="5082"/>
  <c r="I428" i="5082"/>
  <c r="I429" i="5082"/>
  <c r="I430" i="5082"/>
  <c r="I431" i="5082"/>
  <c r="I432" i="5082"/>
  <c r="I433" i="5082"/>
  <c r="I434" i="5082"/>
  <c r="I435" i="5082"/>
  <c r="I436" i="5082"/>
  <c r="I437" i="5082"/>
  <c r="I438" i="5082"/>
  <c r="I439" i="5082"/>
  <c r="I440" i="5082"/>
  <c r="I441" i="5082"/>
  <c r="I442" i="5082"/>
  <c r="I443" i="5082"/>
  <c r="I444" i="5082"/>
  <c r="I445" i="5082"/>
  <c r="I446" i="5082"/>
  <c r="I447" i="5082"/>
  <c r="I448" i="5082"/>
  <c r="I449" i="5082"/>
  <c r="I450" i="5082"/>
  <c r="I451" i="5082"/>
  <c r="I452" i="5082"/>
  <c r="I453" i="5082"/>
  <c r="I454" i="5082"/>
  <c r="I455" i="5082"/>
  <c r="I456" i="5082"/>
  <c r="I457" i="5082"/>
  <c r="I458" i="5082"/>
  <c r="I459" i="5082"/>
  <c r="I460" i="5082"/>
  <c r="I461" i="5082"/>
  <c r="I462" i="5082"/>
  <c r="I463" i="5082"/>
  <c r="I464" i="5082"/>
  <c r="I465" i="5082"/>
  <c r="I466" i="5082"/>
  <c r="I467" i="5082"/>
  <c r="I468" i="5082"/>
  <c r="I469" i="5082"/>
  <c r="I470" i="5082"/>
  <c r="I471" i="5082"/>
  <c r="I472" i="5082"/>
  <c r="I473" i="5082"/>
  <c r="I474" i="5082"/>
  <c r="I475" i="5082"/>
  <c r="I476" i="5082"/>
  <c r="I477" i="5082"/>
  <c r="I478" i="5082"/>
  <c r="I479" i="5082"/>
  <c r="I480" i="5082"/>
  <c r="I481" i="5082"/>
  <c r="I482" i="5082"/>
  <c r="I483" i="5082"/>
  <c r="I484" i="5082"/>
  <c r="I485" i="5082"/>
  <c r="I486" i="5082"/>
  <c r="I487" i="5082"/>
  <c r="I488" i="5082"/>
  <c r="I489" i="5082"/>
  <c r="I490" i="5082"/>
  <c r="I491" i="5082"/>
  <c r="I492" i="5082"/>
  <c r="I493" i="5082"/>
  <c r="I494" i="5082"/>
  <c r="I495" i="5082"/>
  <c r="I496" i="5082"/>
  <c r="I497" i="5082"/>
  <c r="I498" i="5082"/>
  <c r="I499" i="5082"/>
  <c r="I500" i="5082"/>
  <c r="I501" i="5082"/>
  <c r="I502" i="5082"/>
  <c r="I503" i="5082"/>
  <c r="I504" i="5082"/>
  <c r="I505" i="5082"/>
  <c r="I2" i="5081"/>
  <c r="I3" i="5081"/>
  <c r="I4" i="5081"/>
  <c r="I5" i="5081"/>
  <c r="I6" i="5081"/>
  <c r="I7" i="5081"/>
  <c r="I8" i="5081"/>
  <c r="I9" i="5081"/>
  <c r="I10" i="5081"/>
  <c r="I11" i="5081"/>
  <c r="I12" i="5081"/>
  <c r="I13" i="5081"/>
  <c r="I14" i="5081"/>
  <c r="I15" i="5081"/>
  <c r="I16" i="5081"/>
  <c r="I17" i="5081"/>
  <c r="I18" i="5081"/>
  <c r="I19" i="5081"/>
  <c r="I20" i="5081"/>
  <c r="I21" i="5081"/>
  <c r="I22" i="5081"/>
  <c r="I23" i="5081"/>
  <c r="I24" i="5081"/>
  <c r="I25" i="5081"/>
  <c r="I26" i="5081"/>
  <c r="I27" i="5081"/>
  <c r="I28" i="5081"/>
  <c r="I29" i="5081"/>
  <c r="I30" i="5081"/>
  <c r="I31" i="5081"/>
  <c r="I32" i="5081"/>
  <c r="I33" i="5081"/>
  <c r="I34" i="5081"/>
  <c r="I35" i="5081"/>
  <c r="I36" i="5081"/>
  <c r="I37" i="5081"/>
  <c r="I38" i="5081"/>
  <c r="I39" i="5081"/>
  <c r="I40" i="5081"/>
  <c r="I41" i="5081"/>
  <c r="I42" i="5081"/>
  <c r="I43" i="5081"/>
  <c r="I44" i="5081"/>
  <c r="I45" i="5081"/>
  <c r="I46" i="5081"/>
  <c r="I47" i="5081"/>
  <c r="I48" i="5081"/>
  <c r="I49" i="5081"/>
  <c r="I50" i="5081"/>
  <c r="I51" i="5081"/>
  <c r="I52" i="5081"/>
  <c r="I53" i="5081"/>
  <c r="I54" i="5081"/>
  <c r="I55" i="5081"/>
  <c r="I56" i="5081"/>
  <c r="I57" i="5081"/>
  <c r="I58" i="5081"/>
  <c r="I59" i="5081"/>
  <c r="I60" i="5081"/>
  <c r="I61" i="5081"/>
  <c r="I62" i="5081"/>
  <c r="I63" i="5081"/>
  <c r="I64" i="5081"/>
  <c r="I65" i="5081"/>
  <c r="I66" i="5081"/>
  <c r="I67" i="5081"/>
  <c r="I68" i="5081"/>
  <c r="I69" i="5081"/>
  <c r="I70" i="5081"/>
  <c r="I71" i="5081"/>
  <c r="I72" i="5081"/>
  <c r="I73" i="5081"/>
  <c r="I74" i="5081"/>
  <c r="I75" i="5081"/>
  <c r="I76" i="5081"/>
  <c r="I77" i="5081"/>
  <c r="I78" i="5081"/>
  <c r="I79" i="5081"/>
  <c r="I80" i="5081"/>
  <c r="I81" i="5081"/>
  <c r="I82" i="5081"/>
  <c r="I83" i="5081"/>
  <c r="I84" i="5081"/>
  <c r="I85" i="5081"/>
  <c r="I86" i="5081"/>
  <c r="I87" i="5081"/>
  <c r="I88" i="5081"/>
  <c r="I89" i="5081"/>
  <c r="I90" i="5081"/>
  <c r="I91" i="5081"/>
  <c r="I92" i="5081"/>
  <c r="I93" i="5081"/>
  <c r="I94" i="5081"/>
  <c r="I95" i="5081"/>
  <c r="I96" i="5081"/>
  <c r="I97" i="5081"/>
  <c r="I98" i="5081"/>
  <c r="I99" i="5081"/>
  <c r="I100" i="5081"/>
  <c r="I101" i="5081"/>
  <c r="I102" i="5081"/>
  <c r="I103" i="5081"/>
  <c r="I104" i="5081"/>
  <c r="I105" i="5081"/>
  <c r="I106" i="5081"/>
  <c r="I107" i="5081"/>
  <c r="I108" i="5081"/>
  <c r="I109" i="5081"/>
  <c r="I110" i="5081"/>
  <c r="I111" i="5081"/>
  <c r="I112" i="5081"/>
  <c r="I113" i="5081"/>
  <c r="I114" i="5081"/>
  <c r="I115" i="5081"/>
  <c r="I116" i="5081"/>
  <c r="I117" i="5081"/>
  <c r="I118" i="5081"/>
  <c r="I119" i="5081"/>
  <c r="I120" i="5081"/>
  <c r="I121" i="5081"/>
  <c r="I122" i="5081"/>
  <c r="I123" i="5081"/>
  <c r="I124" i="5081"/>
  <c r="I125" i="5081"/>
  <c r="I126" i="5081"/>
  <c r="I127" i="5081"/>
  <c r="I128" i="5081"/>
  <c r="I129" i="5081"/>
  <c r="I130" i="5081"/>
  <c r="I131" i="5081"/>
  <c r="I132" i="5081"/>
  <c r="I133" i="5081"/>
  <c r="I134" i="5081"/>
  <c r="I135" i="5081"/>
  <c r="I136" i="5081"/>
  <c r="I137" i="5081"/>
  <c r="I138" i="5081"/>
  <c r="I139" i="5081"/>
  <c r="I140" i="5081"/>
  <c r="I141" i="5081"/>
  <c r="I142" i="5081"/>
  <c r="I143" i="5081"/>
  <c r="I144" i="5081"/>
  <c r="I145" i="5081"/>
  <c r="I146" i="5081"/>
  <c r="I147" i="5081"/>
  <c r="I148" i="5081"/>
  <c r="I149" i="5081"/>
  <c r="I150" i="5081"/>
  <c r="I151" i="5081"/>
  <c r="I152" i="5081"/>
  <c r="I153" i="5081"/>
  <c r="I154" i="5081"/>
  <c r="I155" i="5081"/>
  <c r="I156" i="5081"/>
  <c r="I157" i="5081"/>
  <c r="I158" i="5081"/>
  <c r="I159" i="5081"/>
  <c r="I160" i="5081"/>
  <c r="I161" i="5081"/>
  <c r="I162" i="5081"/>
  <c r="I163" i="5081"/>
  <c r="I164" i="5081"/>
  <c r="I165" i="5081"/>
  <c r="I166" i="5081"/>
  <c r="I167" i="5081"/>
  <c r="I168" i="5081"/>
  <c r="I169" i="5081"/>
  <c r="I170" i="5081"/>
  <c r="I171" i="5081"/>
  <c r="I172" i="5081"/>
  <c r="I173" i="5081"/>
  <c r="I174" i="5081"/>
  <c r="I175" i="5081"/>
  <c r="I176" i="5081"/>
  <c r="I177" i="5081"/>
  <c r="I178" i="5081"/>
  <c r="I179" i="5081"/>
  <c r="I180" i="5081"/>
  <c r="I181" i="5081"/>
  <c r="I182" i="5081"/>
  <c r="I183" i="5081"/>
  <c r="I184" i="5081"/>
  <c r="I185" i="5081"/>
  <c r="I186" i="5081"/>
  <c r="I187" i="5081"/>
  <c r="I188" i="5081"/>
  <c r="I189" i="5081"/>
  <c r="I190" i="5081"/>
  <c r="I191" i="5081"/>
  <c r="I192" i="5081"/>
  <c r="I193" i="5081"/>
  <c r="I194" i="5081"/>
  <c r="I195" i="5081"/>
  <c r="I196" i="5081"/>
  <c r="I197" i="5081"/>
  <c r="I198" i="5081"/>
  <c r="I199" i="5081"/>
  <c r="I200" i="5081"/>
  <c r="I201" i="5081"/>
  <c r="I202" i="5081"/>
  <c r="I203" i="5081"/>
  <c r="I204" i="5081"/>
  <c r="I205" i="5081"/>
  <c r="I206" i="5081"/>
  <c r="I207" i="5081"/>
  <c r="I208" i="5081"/>
  <c r="I209" i="5081"/>
  <c r="I210" i="5081"/>
  <c r="I211" i="5081"/>
  <c r="I212" i="5081"/>
  <c r="I213" i="5081"/>
  <c r="I214" i="5081"/>
  <c r="I215" i="5081"/>
  <c r="I216" i="5081"/>
  <c r="I217" i="5081"/>
  <c r="I218" i="5081"/>
  <c r="I219" i="5081"/>
  <c r="I220" i="5081"/>
  <c r="I221" i="5081"/>
  <c r="I222" i="5081"/>
  <c r="I223" i="5081"/>
  <c r="I224" i="5081"/>
  <c r="I225" i="5081"/>
  <c r="I226" i="5081"/>
  <c r="I227" i="5081"/>
  <c r="I228" i="5081"/>
  <c r="I229" i="5081"/>
  <c r="I230" i="5081"/>
  <c r="I231" i="5081"/>
  <c r="I232" i="5081"/>
  <c r="I233" i="5081"/>
  <c r="I234" i="5081"/>
  <c r="I235" i="5081"/>
  <c r="I236" i="5081"/>
  <c r="I237" i="5081"/>
  <c r="I238" i="5081"/>
  <c r="I239" i="5081"/>
  <c r="I240" i="5081"/>
  <c r="I241" i="5081"/>
  <c r="I242" i="5081"/>
  <c r="I243" i="5081"/>
  <c r="I244" i="5081"/>
  <c r="I245" i="5081"/>
  <c r="I246" i="5081"/>
  <c r="I247" i="5081"/>
  <c r="I248" i="5081"/>
  <c r="I249" i="5081"/>
  <c r="I250" i="5081"/>
  <c r="I251" i="5081"/>
  <c r="I252" i="5081"/>
  <c r="I253" i="5081"/>
  <c r="I254" i="5081"/>
  <c r="I255" i="5081"/>
  <c r="I256" i="5081"/>
  <c r="I257" i="5081"/>
  <c r="I258" i="5081"/>
  <c r="I259" i="5081"/>
  <c r="I260" i="5081"/>
  <c r="I261" i="5081"/>
  <c r="I262" i="5081"/>
  <c r="I263" i="5081"/>
  <c r="I264" i="5081"/>
  <c r="I265" i="5081"/>
  <c r="I266" i="5081"/>
  <c r="I267" i="5081"/>
  <c r="I268" i="5081"/>
  <c r="I269" i="5081"/>
  <c r="I270" i="5081"/>
  <c r="I271" i="5081"/>
  <c r="I272" i="5081"/>
  <c r="I273" i="5081"/>
  <c r="I274" i="5081"/>
  <c r="I275" i="5081"/>
  <c r="I276" i="5081"/>
  <c r="I277" i="5081"/>
  <c r="I278" i="5081"/>
  <c r="I279" i="5081"/>
  <c r="I280" i="5081"/>
  <c r="I281" i="5081"/>
  <c r="I282" i="5081"/>
  <c r="I283" i="5081"/>
  <c r="I284" i="5081"/>
  <c r="I285" i="5081"/>
  <c r="I286" i="5081"/>
  <c r="I287" i="5081"/>
  <c r="I288" i="5081"/>
  <c r="I289" i="5081"/>
  <c r="I290" i="5081"/>
  <c r="I291" i="5081"/>
  <c r="I292" i="5081"/>
  <c r="I293" i="5081"/>
  <c r="I294" i="5081"/>
  <c r="I295" i="5081"/>
  <c r="I296" i="5081"/>
  <c r="I297" i="5081"/>
  <c r="I298" i="5081"/>
  <c r="I299" i="5081"/>
  <c r="I300" i="5081"/>
  <c r="I301" i="5081"/>
  <c r="I302" i="5081"/>
  <c r="I303" i="5081"/>
  <c r="I304" i="5081"/>
  <c r="I305" i="5081"/>
  <c r="I306" i="5081"/>
  <c r="I307" i="5081"/>
  <c r="I308" i="5081"/>
  <c r="I309" i="5081"/>
  <c r="I310" i="5081"/>
  <c r="I311" i="5081"/>
  <c r="I312" i="5081"/>
  <c r="I313" i="5081"/>
  <c r="I314" i="5081"/>
  <c r="I315" i="5081"/>
  <c r="I316" i="5081"/>
  <c r="I317" i="5081"/>
  <c r="I318" i="5081"/>
  <c r="I319" i="5081"/>
  <c r="I320" i="5081"/>
  <c r="I321" i="5081"/>
  <c r="I322" i="5081"/>
  <c r="I323" i="5081"/>
  <c r="I324" i="5081"/>
  <c r="I325" i="5081"/>
  <c r="I326" i="5081"/>
  <c r="I327" i="5081"/>
  <c r="I328" i="5081"/>
  <c r="I329" i="5081"/>
  <c r="I330" i="5081"/>
  <c r="I331" i="5081"/>
  <c r="I332" i="5081"/>
  <c r="I333" i="5081"/>
  <c r="I334" i="5081"/>
  <c r="I335" i="5081"/>
  <c r="I336" i="5081"/>
  <c r="I337" i="5081"/>
  <c r="I338" i="5081"/>
  <c r="I339" i="5081"/>
  <c r="I340" i="5081"/>
  <c r="I341" i="5081"/>
  <c r="I342" i="5081"/>
  <c r="I343" i="5081"/>
  <c r="I344" i="5081"/>
  <c r="I345" i="5081"/>
  <c r="I346" i="5081"/>
  <c r="I347" i="5081"/>
  <c r="I348" i="5081"/>
  <c r="I349" i="5081"/>
  <c r="I350" i="5081"/>
  <c r="I351" i="5081"/>
  <c r="I352" i="5081"/>
  <c r="I353" i="5081"/>
  <c r="I354" i="5081"/>
  <c r="I355" i="5081"/>
  <c r="I356" i="5081"/>
  <c r="I357" i="5081"/>
  <c r="I358" i="5081"/>
  <c r="I359" i="5081"/>
  <c r="I360" i="5081"/>
  <c r="I361" i="5081"/>
  <c r="I362" i="5081"/>
  <c r="I363" i="5081"/>
  <c r="I364" i="5081"/>
  <c r="I365" i="5081"/>
  <c r="I366" i="5081"/>
  <c r="I367" i="5081"/>
  <c r="I368" i="5081"/>
  <c r="I369" i="5081"/>
  <c r="I370" i="5081"/>
  <c r="I371" i="5081"/>
  <c r="I372" i="5081"/>
  <c r="I373" i="5081"/>
  <c r="I374" i="5081"/>
  <c r="I375" i="5081"/>
  <c r="I376" i="5081"/>
  <c r="I377" i="5081"/>
  <c r="I378" i="5081"/>
  <c r="I379" i="5081"/>
  <c r="I380" i="5081"/>
  <c r="I381" i="5081"/>
  <c r="I382" i="5081"/>
  <c r="I383" i="5081"/>
  <c r="I384" i="5081"/>
  <c r="I385" i="5081"/>
  <c r="I386" i="5081"/>
  <c r="I387" i="5081"/>
  <c r="I388" i="5081"/>
  <c r="I389" i="5081"/>
  <c r="I390" i="5081"/>
  <c r="I391" i="5081"/>
  <c r="I392" i="5081"/>
  <c r="I393" i="5081"/>
  <c r="I394" i="5081"/>
  <c r="I395" i="5081"/>
  <c r="I396" i="5081"/>
  <c r="I397" i="5081"/>
  <c r="I398" i="5081"/>
  <c r="I399" i="5081"/>
  <c r="I400" i="5081"/>
  <c r="I401" i="5081"/>
  <c r="I402" i="5081"/>
  <c r="I403" i="5081"/>
  <c r="I404" i="5081"/>
  <c r="I405" i="5081"/>
  <c r="I406" i="5081"/>
  <c r="I407" i="5081"/>
  <c r="I408" i="5081"/>
  <c r="I409" i="5081"/>
  <c r="I410" i="5081"/>
  <c r="I411" i="5081"/>
  <c r="I412" i="5081"/>
  <c r="I413" i="5081"/>
  <c r="I414" i="5081"/>
  <c r="I415" i="5081"/>
  <c r="I416" i="5081"/>
  <c r="I417" i="5081"/>
  <c r="I418" i="5081"/>
  <c r="I419" i="5081"/>
  <c r="I420" i="5081"/>
  <c r="I421" i="5081"/>
  <c r="I422" i="5081"/>
  <c r="I423" i="5081"/>
  <c r="I424" i="5081"/>
  <c r="I425" i="5081"/>
  <c r="I426" i="5081"/>
  <c r="I427" i="5081"/>
  <c r="I428" i="5081"/>
  <c r="I429" i="5081"/>
  <c r="I430" i="5081"/>
  <c r="I431" i="5081"/>
  <c r="I432" i="5081"/>
  <c r="I433" i="5081"/>
  <c r="I434" i="5081"/>
  <c r="I435" i="5081"/>
  <c r="I436" i="5081"/>
  <c r="I437" i="5081"/>
  <c r="I438" i="5081"/>
  <c r="I439" i="5081"/>
  <c r="I440" i="5081"/>
  <c r="I441" i="5081"/>
  <c r="I442" i="5081"/>
  <c r="I443" i="5081"/>
  <c r="I444" i="5081"/>
  <c r="I445" i="5081"/>
  <c r="I446" i="5081"/>
  <c r="I447" i="5081"/>
  <c r="I448" i="5081"/>
  <c r="I449" i="5081"/>
  <c r="I450" i="5081"/>
  <c r="I451" i="5081"/>
  <c r="I452" i="5081"/>
  <c r="I453" i="5081"/>
  <c r="I454" i="5081"/>
  <c r="I455" i="5081"/>
  <c r="I456" i="5081"/>
  <c r="I457" i="5081"/>
  <c r="I458" i="5081"/>
  <c r="I459" i="5081"/>
  <c r="I460" i="5081"/>
  <c r="I461" i="5081"/>
  <c r="I462" i="5081"/>
  <c r="I463" i="5081"/>
  <c r="I464" i="5081"/>
  <c r="I465" i="5081"/>
  <c r="I466" i="5081"/>
  <c r="I467" i="5081"/>
  <c r="I468" i="5081"/>
  <c r="I469" i="5081"/>
  <c r="I470" i="5081"/>
  <c r="I471" i="5081"/>
  <c r="I472" i="5081"/>
  <c r="I473" i="5081"/>
  <c r="I474" i="5081"/>
  <c r="I475" i="5081"/>
  <c r="I476" i="5081"/>
  <c r="I477" i="5081"/>
  <c r="I478" i="5081"/>
  <c r="I479" i="5081"/>
  <c r="I480" i="5081"/>
  <c r="I481" i="5081"/>
  <c r="I482" i="5081"/>
  <c r="I483" i="5081"/>
  <c r="I484" i="5081"/>
  <c r="I485" i="5081"/>
  <c r="I486" i="5081"/>
  <c r="I487" i="5081"/>
  <c r="I488" i="5081"/>
  <c r="I489" i="5081"/>
  <c r="I490" i="5081"/>
  <c r="I491" i="5081"/>
  <c r="I492" i="5081"/>
  <c r="I493" i="5081"/>
  <c r="I494" i="5081"/>
  <c r="I495" i="5081"/>
  <c r="I496" i="5081"/>
  <c r="I497" i="5081"/>
  <c r="I498" i="5081"/>
  <c r="I499" i="5081"/>
  <c r="I500" i="5081"/>
  <c r="I501" i="5081"/>
  <c r="I502" i="5081"/>
  <c r="I503" i="5081"/>
  <c r="I504" i="5081"/>
  <c r="I505" i="5081"/>
  <c r="I2" i="5080"/>
  <c r="I3" i="5080"/>
  <c r="I4" i="5080"/>
  <c r="I5" i="5080"/>
  <c r="I6" i="5080"/>
  <c r="I7" i="5080"/>
  <c r="I8" i="5080"/>
  <c r="I9" i="5080"/>
  <c r="I10" i="5080"/>
  <c r="I11" i="5080"/>
  <c r="I12" i="5080"/>
  <c r="I13" i="5080"/>
  <c r="I14" i="5080"/>
  <c r="I15" i="5080"/>
  <c r="I16" i="5080"/>
  <c r="I17" i="5080"/>
  <c r="I18" i="5080"/>
  <c r="I19" i="5080"/>
  <c r="I20" i="5080"/>
  <c r="I21" i="5080"/>
  <c r="I22" i="5080"/>
  <c r="I23" i="5080"/>
  <c r="I24" i="5080"/>
  <c r="I25" i="5080"/>
  <c r="I26" i="5080"/>
  <c r="I27" i="5080"/>
  <c r="I28" i="5080"/>
  <c r="I29" i="5080"/>
  <c r="I30" i="5080"/>
  <c r="I31" i="5080"/>
  <c r="I32" i="5080"/>
  <c r="I33" i="5080"/>
  <c r="I34" i="5080"/>
  <c r="I35" i="5080"/>
  <c r="I36" i="5080"/>
  <c r="I37" i="5080"/>
  <c r="I38" i="5080"/>
  <c r="I39" i="5080"/>
  <c r="I40" i="5080"/>
  <c r="I41" i="5080"/>
  <c r="I42" i="5080"/>
  <c r="I43" i="5080"/>
  <c r="I44" i="5080"/>
  <c r="I45" i="5080"/>
  <c r="I46" i="5080"/>
  <c r="I47" i="5080"/>
  <c r="I48" i="5080"/>
  <c r="I49" i="5080"/>
  <c r="I50" i="5080"/>
  <c r="I51" i="5080"/>
  <c r="I52" i="5080"/>
  <c r="I53" i="5080"/>
  <c r="I54" i="5080"/>
  <c r="I55" i="5080"/>
  <c r="I56" i="5080"/>
  <c r="I57" i="5080"/>
  <c r="I58" i="5080"/>
  <c r="I59" i="5080"/>
  <c r="I60" i="5080"/>
  <c r="I61" i="5080"/>
  <c r="I62" i="5080"/>
  <c r="I63" i="5080"/>
  <c r="I64" i="5080"/>
  <c r="I65" i="5080"/>
  <c r="I66" i="5080"/>
  <c r="I67" i="5080"/>
  <c r="I68" i="5080"/>
  <c r="I69" i="5080"/>
  <c r="I70" i="5080"/>
  <c r="I71" i="5080"/>
  <c r="I72" i="5080"/>
  <c r="I73" i="5080"/>
  <c r="I74" i="5080"/>
  <c r="I75" i="5080"/>
  <c r="I76" i="5080"/>
  <c r="I77" i="5080"/>
  <c r="I78" i="5080"/>
  <c r="I79" i="5080"/>
  <c r="I80" i="5080"/>
  <c r="I81" i="5080"/>
  <c r="I82" i="5080"/>
  <c r="I83" i="5080"/>
  <c r="I84" i="5080"/>
  <c r="I85" i="5080"/>
  <c r="I86" i="5080"/>
  <c r="I87" i="5080"/>
  <c r="I88" i="5080"/>
  <c r="I89" i="5080"/>
  <c r="I90" i="5080"/>
  <c r="I91" i="5080"/>
  <c r="I92" i="5080"/>
  <c r="I93" i="5080"/>
  <c r="I94" i="5080"/>
  <c r="I95" i="5080"/>
  <c r="I96" i="5080"/>
  <c r="I97" i="5080"/>
  <c r="I98" i="5080"/>
  <c r="I99" i="5080"/>
  <c r="I100" i="5080"/>
  <c r="I101" i="5080"/>
  <c r="I102" i="5080"/>
  <c r="I103" i="5080"/>
  <c r="I104" i="5080"/>
  <c r="I105" i="5080"/>
  <c r="I106" i="5080"/>
  <c r="I107" i="5080"/>
  <c r="I108" i="5080"/>
  <c r="I109" i="5080"/>
  <c r="I110" i="5080"/>
  <c r="I111" i="5080"/>
  <c r="I112" i="5080"/>
  <c r="I113" i="5080"/>
  <c r="I114" i="5080"/>
  <c r="I115" i="5080"/>
  <c r="I116" i="5080"/>
  <c r="I117" i="5080"/>
  <c r="I118" i="5080"/>
  <c r="I119" i="5080"/>
  <c r="I120" i="5080"/>
  <c r="I121" i="5080"/>
  <c r="I122" i="5080"/>
  <c r="I123" i="5080"/>
  <c r="I124" i="5080"/>
  <c r="I125" i="5080"/>
  <c r="I126" i="5080"/>
  <c r="I127" i="5080"/>
  <c r="I128" i="5080"/>
  <c r="I129" i="5080"/>
  <c r="I130" i="5080"/>
  <c r="I131" i="5080"/>
  <c r="I132" i="5080"/>
  <c r="I133" i="5080"/>
  <c r="I134" i="5080"/>
  <c r="I135" i="5080"/>
  <c r="I136" i="5080"/>
  <c r="I137" i="5080"/>
  <c r="I138" i="5080"/>
  <c r="I139" i="5080"/>
  <c r="I140" i="5080"/>
  <c r="I141" i="5080"/>
  <c r="I142" i="5080"/>
  <c r="I143" i="5080"/>
  <c r="I144" i="5080"/>
  <c r="I145" i="5080"/>
  <c r="I146" i="5080"/>
  <c r="I147" i="5080"/>
  <c r="I148" i="5080"/>
  <c r="I149" i="5080"/>
  <c r="I150" i="5080"/>
  <c r="I151" i="5080"/>
  <c r="I152" i="5080"/>
  <c r="I153" i="5080"/>
  <c r="I154" i="5080"/>
  <c r="I155" i="5080"/>
  <c r="I156" i="5080"/>
  <c r="I157" i="5080"/>
  <c r="I158" i="5080"/>
  <c r="I159" i="5080"/>
  <c r="I160" i="5080"/>
  <c r="I161" i="5080"/>
  <c r="I162" i="5080"/>
  <c r="I163" i="5080"/>
  <c r="I164" i="5080"/>
  <c r="I165" i="5080"/>
  <c r="I166" i="5080"/>
  <c r="I167" i="5080"/>
  <c r="I168" i="5080"/>
  <c r="I169" i="5080"/>
  <c r="I170" i="5080"/>
  <c r="I171" i="5080"/>
  <c r="I172" i="5080"/>
  <c r="I173" i="5080"/>
  <c r="I174" i="5080"/>
  <c r="I175" i="5080"/>
  <c r="I176" i="5080"/>
  <c r="I177" i="5080"/>
  <c r="I178" i="5080"/>
  <c r="I179" i="5080"/>
  <c r="I180" i="5080"/>
  <c r="I181" i="5080"/>
  <c r="I182" i="5080"/>
  <c r="I183" i="5080"/>
  <c r="I184" i="5080"/>
  <c r="I185" i="5080"/>
  <c r="I186" i="5080"/>
  <c r="I187" i="5080"/>
  <c r="I188" i="5080"/>
  <c r="I189" i="5080"/>
  <c r="I190" i="5080"/>
  <c r="I191" i="5080"/>
  <c r="I192" i="5080"/>
  <c r="I193" i="5080"/>
  <c r="I194" i="5080"/>
  <c r="I195" i="5080"/>
  <c r="I196" i="5080"/>
  <c r="I197" i="5080"/>
  <c r="I198" i="5080"/>
  <c r="I199" i="5080"/>
  <c r="I200" i="5080"/>
  <c r="I201" i="5080"/>
  <c r="I202" i="5080"/>
  <c r="I203" i="5080"/>
  <c r="I204" i="5080"/>
  <c r="I205" i="5080"/>
  <c r="I206" i="5080"/>
  <c r="I207" i="5080"/>
  <c r="I208" i="5080"/>
  <c r="I209" i="5080"/>
  <c r="I210" i="5080"/>
  <c r="I211" i="5080"/>
  <c r="I212" i="5080"/>
  <c r="I213" i="5080"/>
  <c r="I214" i="5080"/>
  <c r="I215" i="5080"/>
  <c r="I216" i="5080"/>
  <c r="I217" i="5080"/>
  <c r="I218" i="5080"/>
  <c r="I219" i="5080"/>
  <c r="I220" i="5080"/>
  <c r="I221" i="5080"/>
  <c r="I222" i="5080"/>
  <c r="I223" i="5080"/>
  <c r="I224" i="5080"/>
  <c r="I225" i="5080"/>
  <c r="I226" i="5080"/>
  <c r="I227" i="5080"/>
  <c r="I228" i="5080"/>
  <c r="I229" i="5080"/>
  <c r="I230" i="5080"/>
  <c r="I231" i="5080"/>
  <c r="I232" i="5080"/>
  <c r="I233" i="5080"/>
  <c r="I234" i="5080"/>
  <c r="I235" i="5080"/>
  <c r="I236" i="5080"/>
  <c r="I237" i="5080"/>
  <c r="I238" i="5080"/>
  <c r="I239" i="5080"/>
  <c r="I240" i="5080"/>
  <c r="I241" i="5080"/>
  <c r="I242" i="5080"/>
  <c r="I243" i="5080"/>
  <c r="I244" i="5080"/>
  <c r="I245" i="5080"/>
  <c r="I246" i="5080"/>
  <c r="I247" i="5080"/>
  <c r="I248" i="5080"/>
  <c r="I249" i="5080"/>
  <c r="I250" i="5080"/>
  <c r="I251" i="5080"/>
  <c r="I252" i="5080"/>
  <c r="I253" i="5080"/>
  <c r="I254" i="5080"/>
  <c r="I255" i="5080"/>
  <c r="I256" i="5080"/>
  <c r="I257" i="5080"/>
  <c r="I258" i="5080"/>
  <c r="I259" i="5080"/>
  <c r="I260" i="5080"/>
  <c r="I261" i="5080"/>
  <c r="I262" i="5080"/>
  <c r="I263" i="5080"/>
  <c r="I264" i="5080"/>
  <c r="I265" i="5080"/>
  <c r="I266" i="5080"/>
  <c r="I267" i="5080"/>
  <c r="I268" i="5080"/>
  <c r="I269" i="5080"/>
  <c r="I270" i="5080"/>
  <c r="I271" i="5080"/>
  <c r="I272" i="5080"/>
  <c r="I273" i="5080"/>
  <c r="I274" i="5080"/>
  <c r="I275" i="5080"/>
  <c r="I276" i="5080"/>
  <c r="I277" i="5080"/>
  <c r="I278" i="5080"/>
  <c r="I279" i="5080"/>
  <c r="I280" i="5080"/>
  <c r="I281" i="5080"/>
  <c r="I282" i="5080"/>
  <c r="I283" i="5080"/>
  <c r="I284" i="5080"/>
  <c r="I285" i="5080"/>
  <c r="I286" i="5080"/>
  <c r="I287" i="5080"/>
  <c r="I288" i="5080"/>
  <c r="I289" i="5080"/>
  <c r="I290" i="5080"/>
  <c r="I291" i="5080"/>
  <c r="I292" i="5080"/>
  <c r="I293" i="5080"/>
  <c r="I294" i="5080"/>
  <c r="I295" i="5080"/>
  <c r="I296" i="5080"/>
  <c r="I297" i="5080"/>
  <c r="I298" i="5080"/>
  <c r="I299" i="5080"/>
  <c r="I300" i="5080"/>
  <c r="I301" i="5080"/>
  <c r="I302" i="5080"/>
  <c r="I303" i="5080"/>
  <c r="I304" i="5080"/>
  <c r="I305" i="5080"/>
  <c r="I306" i="5080"/>
  <c r="I307" i="5080"/>
  <c r="I308" i="5080"/>
  <c r="I309" i="5080"/>
  <c r="I310" i="5080"/>
  <c r="I311" i="5080"/>
  <c r="I312" i="5080"/>
  <c r="I313" i="5080"/>
  <c r="I314" i="5080"/>
  <c r="I315" i="5080"/>
  <c r="I316" i="5080"/>
  <c r="I317" i="5080"/>
  <c r="I318" i="5080"/>
  <c r="I319" i="5080"/>
  <c r="I320" i="5080"/>
  <c r="I321" i="5080"/>
  <c r="I322" i="5080"/>
  <c r="I323" i="5080"/>
  <c r="I324" i="5080"/>
  <c r="I325" i="5080"/>
  <c r="I326" i="5080"/>
  <c r="I327" i="5080"/>
  <c r="I328" i="5080"/>
  <c r="I329" i="5080"/>
  <c r="I330" i="5080"/>
  <c r="I331" i="5080"/>
  <c r="I332" i="5080"/>
  <c r="I333" i="5080"/>
  <c r="I334" i="5080"/>
  <c r="I335" i="5080"/>
  <c r="I336" i="5080"/>
  <c r="I337" i="5080"/>
  <c r="I338" i="5080"/>
  <c r="I339" i="5080"/>
  <c r="I340" i="5080"/>
  <c r="I341" i="5080"/>
  <c r="I342" i="5080"/>
  <c r="I343" i="5080"/>
  <c r="I344" i="5080"/>
  <c r="I345" i="5080"/>
  <c r="I346" i="5080"/>
  <c r="I347" i="5080"/>
  <c r="I348" i="5080"/>
  <c r="I349" i="5080"/>
  <c r="I350" i="5080"/>
  <c r="I351" i="5080"/>
  <c r="I352" i="5080"/>
  <c r="I353" i="5080"/>
  <c r="I354" i="5080"/>
  <c r="I355" i="5080"/>
  <c r="I356" i="5080"/>
  <c r="I357" i="5080"/>
  <c r="I358" i="5080"/>
  <c r="I359" i="5080"/>
  <c r="I360" i="5080"/>
  <c r="I361" i="5080"/>
  <c r="I362" i="5080"/>
  <c r="I363" i="5080"/>
  <c r="I364" i="5080"/>
  <c r="I365" i="5080"/>
  <c r="I366" i="5080"/>
  <c r="I367" i="5080"/>
  <c r="I368" i="5080"/>
  <c r="I369" i="5080"/>
  <c r="I370" i="5080"/>
  <c r="I371" i="5080"/>
  <c r="I372" i="5080"/>
  <c r="I373" i="5080"/>
  <c r="I374" i="5080"/>
  <c r="I375" i="5080"/>
  <c r="I376" i="5080"/>
  <c r="I377" i="5080"/>
  <c r="I378" i="5080"/>
  <c r="I379" i="5080"/>
  <c r="I380" i="5080"/>
  <c r="I381" i="5080"/>
  <c r="I382" i="5080"/>
  <c r="I383" i="5080"/>
  <c r="I384" i="5080"/>
  <c r="I385" i="5080"/>
  <c r="I386" i="5080"/>
  <c r="I387" i="5080"/>
  <c r="I388" i="5080"/>
  <c r="I389" i="5080"/>
  <c r="I390" i="5080"/>
  <c r="I391" i="5080"/>
  <c r="I392" i="5080"/>
  <c r="I393" i="5080"/>
  <c r="I394" i="5080"/>
  <c r="I395" i="5080"/>
  <c r="I396" i="5080"/>
  <c r="I397" i="5080"/>
  <c r="I398" i="5080"/>
  <c r="I399" i="5080"/>
  <c r="I400" i="5080"/>
  <c r="I401" i="5080"/>
  <c r="I402" i="5080"/>
  <c r="I403" i="5080"/>
  <c r="I404" i="5080"/>
  <c r="I405" i="5080"/>
  <c r="I406" i="5080"/>
  <c r="I407" i="5080"/>
  <c r="I408" i="5080"/>
  <c r="I409" i="5080"/>
  <c r="I410" i="5080"/>
  <c r="I411" i="5080"/>
  <c r="I412" i="5080"/>
  <c r="I413" i="5080"/>
  <c r="I414" i="5080"/>
  <c r="I415" i="5080"/>
  <c r="I416" i="5080"/>
  <c r="I417" i="5080"/>
  <c r="I418" i="5080"/>
  <c r="I419" i="5080"/>
  <c r="I420" i="5080"/>
  <c r="I421" i="5080"/>
  <c r="I422" i="5080"/>
  <c r="I423" i="5080"/>
  <c r="I424" i="5080"/>
  <c r="I425" i="5080"/>
  <c r="I426" i="5080"/>
  <c r="I427" i="5080"/>
  <c r="I428" i="5080"/>
  <c r="I429" i="5080"/>
  <c r="I430" i="5080"/>
  <c r="I431" i="5080"/>
  <c r="I432" i="5080"/>
  <c r="I433" i="5080"/>
  <c r="I434" i="5080"/>
  <c r="I435" i="5080"/>
  <c r="I436" i="5080"/>
  <c r="I437" i="5080"/>
  <c r="I438" i="5080"/>
  <c r="I439" i="5080"/>
  <c r="I440" i="5080"/>
  <c r="I441" i="5080"/>
  <c r="I442" i="5080"/>
  <c r="I443" i="5080"/>
  <c r="I444" i="5080"/>
  <c r="I445" i="5080"/>
  <c r="I446" i="5080"/>
  <c r="I447" i="5080"/>
  <c r="I448" i="5080"/>
  <c r="I449" i="5080"/>
  <c r="I450" i="5080"/>
  <c r="I451" i="5080"/>
  <c r="I452" i="5080"/>
  <c r="I453" i="5080"/>
  <c r="I454" i="5080"/>
  <c r="I455" i="5080"/>
  <c r="I456" i="5080"/>
  <c r="I457" i="5080"/>
  <c r="I458" i="5080"/>
  <c r="I459" i="5080"/>
  <c r="I460" i="5080"/>
  <c r="I461" i="5080"/>
  <c r="I462" i="5080"/>
  <c r="I463" i="5080"/>
  <c r="I464" i="5080"/>
  <c r="I465" i="5080"/>
  <c r="I466" i="5080"/>
  <c r="I467" i="5080"/>
  <c r="I468" i="5080"/>
  <c r="I469" i="5080"/>
  <c r="I470" i="5080"/>
  <c r="I471" i="5080"/>
  <c r="I472" i="5080"/>
  <c r="I473" i="5080"/>
  <c r="I474" i="5080"/>
  <c r="I475" i="5080"/>
  <c r="I476" i="5080"/>
  <c r="I477" i="5080"/>
  <c r="I478" i="5080"/>
  <c r="I479" i="5080"/>
  <c r="I480" i="5080"/>
  <c r="I481" i="5080"/>
  <c r="I482" i="5080"/>
  <c r="I483" i="5080"/>
  <c r="I484" i="5080"/>
  <c r="I485" i="5080"/>
  <c r="I486" i="5080"/>
  <c r="I487" i="5080"/>
  <c r="I488" i="5080"/>
  <c r="I489" i="5080"/>
  <c r="I490" i="5080"/>
  <c r="I491" i="5080"/>
  <c r="I492" i="5080"/>
  <c r="I493" i="5080"/>
  <c r="I494" i="5080"/>
  <c r="I495" i="5080"/>
  <c r="I496" i="5080"/>
  <c r="I497" i="5080"/>
  <c r="I498" i="5080"/>
  <c r="I499" i="5080"/>
  <c r="I500" i="5080"/>
  <c r="I501" i="5080"/>
  <c r="I502" i="5080"/>
  <c r="I503" i="5080"/>
  <c r="I504" i="5080"/>
  <c r="I505" i="5080"/>
  <c r="I2" i="5079"/>
  <c r="I3" i="5079"/>
  <c r="I4" i="5079"/>
  <c r="I5" i="5079"/>
  <c r="I6" i="5079"/>
  <c r="I7" i="5079"/>
  <c r="I8" i="5079"/>
  <c r="I9" i="5079"/>
  <c r="I10" i="5079"/>
  <c r="I11" i="5079"/>
  <c r="I12" i="5079"/>
  <c r="I13" i="5079"/>
  <c r="I14" i="5079"/>
  <c r="I15" i="5079"/>
  <c r="I16" i="5079"/>
  <c r="I17" i="5079"/>
  <c r="I18" i="5079"/>
  <c r="I19" i="5079"/>
  <c r="I20" i="5079"/>
  <c r="I21" i="5079"/>
  <c r="I22" i="5079"/>
  <c r="I23" i="5079"/>
  <c r="I24" i="5079"/>
  <c r="I25" i="5079"/>
  <c r="I26" i="5079"/>
  <c r="I27" i="5079"/>
  <c r="I28" i="5079"/>
  <c r="I29" i="5079"/>
  <c r="I30" i="5079"/>
  <c r="I31" i="5079"/>
  <c r="I32" i="5079"/>
  <c r="I33" i="5079"/>
  <c r="I34" i="5079"/>
  <c r="I35" i="5079"/>
  <c r="I36" i="5079"/>
  <c r="I37" i="5079"/>
  <c r="I38" i="5079"/>
  <c r="I39" i="5079"/>
  <c r="I40" i="5079"/>
  <c r="I41" i="5079"/>
  <c r="I42" i="5079"/>
  <c r="I43" i="5079"/>
  <c r="I44" i="5079"/>
  <c r="I45" i="5079"/>
  <c r="I46" i="5079"/>
  <c r="I47" i="5079"/>
  <c r="I48" i="5079"/>
  <c r="I49" i="5079"/>
  <c r="I50" i="5079"/>
  <c r="I51" i="5079"/>
  <c r="I52" i="5079"/>
  <c r="I53" i="5079"/>
  <c r="I54" i="5079"/>
  <c r="I55" i="5079"/>
  <c r="I56" i="5079"/>
  <c r="I57" i="5079"/>
  <c r="I58" i="5079"/>
  <c r="I59" i="5079"/>
  <c r="I60" i="5079"/>
  <c r="I61" i="5079"/>
  <c r="I62" i="5079"/>
  <c r="I63" i="5079"/>
  <c r="I64" i="5079"/>
  <c r="I65" i="5079"/>
  <c r="I66" i="5079"/>
  <c r="I67" i="5079"/>
  <c r="I68" i="5079"/>
  <c r="I69" i="5079"/>
  <c r="I70" i="5079"/>
  <c r="I71" i="5079"/>
  <c r="I72" i="5079"/>
  <c r="I73" i="5079"/>
  <c r="I74" i="5079"/>
  <c r="I75" i="5079"/>
  <c r="I76" i="5079"/>
  <c r="I77" i="5079"/>
  <c r="I78" i="5079"/>
  <c r="I79" i="5079"/>
  <c r="I80" i="5079"/>
  <c r="I81" i="5079"/>
  <c r="I82" i="5079"/>
  <c r="I83" i="5079"/>
  <c r="I84" i="5079"/>
  <c r="I85" i="5079"/>
  <c r="I86" i="5079"/>
  <c r="I87" i="5079"/>
  <c r="I88" i="5079"/>
  <c r="I89" i="5079"/>
  <c r="I90" i="5079"/>
  <c r="I91" i="5079"/>
  <c r="I92" i="5079"/>
  <c r="I93" i="5079"/>
  <c r="I94" i="5079"/>
  <c r="I95" i="5079"/>
  <c r="I96" i="5079"/>
  <c r="I97" i="5079"/>
  <c r="I98" i="5079"/>
  <c r="I99" i="5079"/>
  <c r="I100" i="5079"/>
  <c r="I101" i="5079"/>
  <c r="I102" i="5079"/>
  <c r="I103" i="5079"/>
  <c r="I104" i="5079"/>
  <c r="I105" i="5079"/>
  <c r="I106" i="5079"/>
  <c r="I107" i="5079"/>
  <c r="I108" i="5079"/>
  <c r="I109" i="5079"/>
  <c r="I110" i="5079"/>
  <c r="I111" i="5079"/>
  <c r="I112" i="5079"/>
  <c r="I113" i="5079"/>
  <c r="I114" i="5079"/>
  <c r="I115" i="5079"/>
  <c r="I116" i="5079"/>
  <c r="I117" i="5079"/>
  <c r="I118" i="5079"/>
  <c r="I119" i="5079"/>
  <c r="I120" i="5079"/>
  <c r="I121" i="5079"/>
  <c r="I122" i="5079"/>
  <c r="I123" i="5079"/>
  <c r="I124" i="5079"/>
  <c r="I125" i="5079"/>
  <c r="I126" i="5079"/>
  <c r="I127" i="5079"/>
  <c r="I128" i="5079"/>
  <c r="I129" i="5079"/>
  <c r="I130" i="5079"/>
  <c r="I131" i="5079"/>
  <c r="I132" i="5079"/>
  <c r="I133" i="5079"/>
  <c r="I134" i="5079"/>
  <c r="I135" i="5079"/>
  <c r="I136" i="5079"/>
  <c r="I137" i="5079"/>
  <c r="I138" i="5079"/>
  <c r="I139" i="5079"/>
  <c r="I140" i="5079"/>
  <c r="I141" i="5079"/>
  <c r="I142" i="5079"/>
  <c r="I143" i="5079"/>
  <c r="I144" i="5079"/>
  <c r="I145" i="5079"/>
  <c r="I146" i="5079"/>
  <c r="I147" i="5079"/>
  <c r="I148" i="5079"/>
  <c r="I149" i="5079"/>
  <c r="I150" i="5079"/>
  <c r="I151" i="5079"/>
  <c r="I152" i="5079"/>
  <c r="I153" i="5079"/>
  <c r="I154" i="5079"/>
  <c r="I155" i="5079"/>
  <c r="I156" i="5079"/>
  <c r="I157" i="5079"/>
  <c r="I158" i="5079"/>
  <c r="I159" i="5079"/>
  <c r="I160" i="5079"/>
  <c r="I161" i="5079"/>
  <c r="I162" i="5079"/>
  <c r="I163" i="5079"/>
  <c r="I164" i="5079"/>
  <c r="I165" i="5079"/>
  <c r="I166" i="5079"/>
  <c r="I167" i="5079"/>
  <c r="I168" i="5079"/>
  <c r="I169" i="5079"/>
  <c r="I170" i="5079"/>
  <c r="I171" i="5079"/>
  <c r="I172" i="5079"/>
  <c r="I173" i="5079"/>
  <c r="I174" i="5079"/>
  <c r="I175" i="5079"/>
  <c r="I176" i="5079"/>
  <c r="I177" i="5079"/>
  <c r="I178" i="5079"/>
  <c r="I179" i="5079"/>
  <c r="I180" i="5079"/>
  <c r="I181" i="5079"/>
  <c r="I182" i="5079"/>
  <c r="I183" i="5079"/>
  <c r="I184" i="5079"/>
  <c r="I185" i="5079"/>
  <c r="I186" i="5079"/>
  <c r="I187" i="5079"/>
  <c r="I188" i="5079"/>
  <c r="I189" i="5079"/>
  <c r="I190" i="5079"/>
  <c r="I191" i="5079"/>
  <c r="I192" i="5079"/>
  <c r="I193" i="5079"/>
  <c r="I194" i="5079"/>
  <c r="I195" i="5079"/>
  <c r="I196" i="5079"/>
  <c r="I197" i="5079"/>
  <c r="I198" i="5079"/>
  <c r="I199" i="5079"/>
  <c r="I200" i="5079"/>
  <c r="I201" i="5079"/>
  <c r="I202" i="5079"/>
  <c r="I203" i="5079"/>
  <c r="I204" i="5079"/>
  <c r="I205" i="5079"/>
  <c r="I206" i="5079"/>
  <c r="I207" i="5079"/>
  <c r="I208" i="5079"/>
  <c r="I209" i="5079"/>
  <c r="I210" i="5079"/>
  <c r="I211" i="5079"/>
  <c r="I212" i="5079"/>
  <c r="I213" i="5079"/>
  <c r="I214" i="5079"/>
  <c r="I215" i="5079"/>
  <c r="I216" i="5079"/>
  <c r="I217" i="5079"/>
  <c r="I218" i="5079"/>
  <c r="I219" i="5079"/>
  <c r="I220" i="5079"/>
  <c r="I221" i="5079"/>
  <c r="I222" i="5079"/>
  <c r="I223" i="5079"/>
  <c r="I224" i="5079"/>
  <c r="I225" i="5079"/>
  <c r="I226" i="5079"/>
  <c r="I227" i="5079"/>
  <c r="I228" i="5079"/>
  <c r="I229" i="5079"/>
  <c r="I230" i="5079"/>
  <c r="I231" i="5079"/>
  <c r="I232" i="5079"/>
  <c r="I233" i="5079"/>
  <c r="I234" i="5079"/>
  <c r="I235" i="5079"/>
  <c r="I236" i="5079"/>
  <c r="I237" i="5079"/>
  <c r="I238" i="5079"/>
  <c r="I239" i="5079"/>
  <c r="I240" i="5079"/>
  <c r="I241" i="5079"/>
  <c r="I242" i="5079"/>
  <c r="I243" i="5079"/>
  <c r="I244" i="5079"/>
  <c r="I245" i="5079"/>
  <c r="I246" i="5079"/>
  <c r="I247" i="5079"/>
  <c r="I248" i="5079"/>
  <c r="I249" i="5079"/>
  <c r="I250" i="5079"/>
  <c r="I251" i="5079"/>
  <c r="I252" i="5079"/>
  <c r="I253" i="5079"/>
  <c r="I254" i="5079"/>
  <c r="I255" i="5079"/>
  <c r="I256" i="5079"/>
  <c r="I257" i="5079"/>
  <c r="I258" i="5079"/>
  <c r="I259" i="5079"/>
  <c r="I260" i="5079"/>
  <c r="I261" i="5079"/>
  <c r="I262" i="5079"/>
  <c r="I263" i="5079"/>
  <c r="I264" i="5079"/>
  <c r="I265" i="5079"/>
  <c r="I266" i="5079"/>
  <c r="I267" i="5079"/>
  <c r="I268" i="5079"/>
  <c r="I269" i="5079"/>
  <c r="I270" i="5079"/>
  <c r="I271" i="5079"/>
  <c r="I272" i="5079"/>
  <c r="I273" i="5079"/>
  <c r="I274" i="5079"/>
  <c r="I275" i="5079"/>
  <c r="I276" i="5079"/>
  <c r="I277" i="5079"/>
  <c r="I278" i="5079"/>
  <c r="I279" i="5079"/>
  <c r="I280" i="5079"/>
  <c r="I281" i="5079"/>
  <c r="I282" i="5079"/>
  <c r="I283" i="5079"/>
  <c r="I284" i="5079"/>
  <c r="I285" i="5079"/>
  <c r="I286" i="5079"/>
  <c r="I287" i="5079"/>
  <c r="I288" i="5079"/>
  <c r="I289" i="5079"/>
  <c r="I290" i="5079"/>
  <c r="I291" i="5079"/>
  <c r="I292" i="5079"/>
  <c r="I293" i="5079"/>
  <c r="I294" i="5079"/>
  <c r="I295" i="5079"/>
  <c r="I296" i="5079"/>
  <c r="I297" i="5079"/>
  <c r="I298" i="5079"/>
  <c r="I299" i="5079"/>
  <c r="I300" i="5079"/>
  <c r="I301" i="5079"/>
  <c r="I302" i="5079"/>
  <c r="I303" i="5079"/>
  <c r="I304" i="5079"/>
  <c r="I305" i="5079"/>
  <c r="I306" i="5079"/>
  <c r="I307" i="5079"/>
  <c r="I308" i="5079"/>
  <c r="I309" i="5079"/>
  <c r="I310" i="5079"/>
  <c r="I311" i="5079"/>
  <c r="I312" i="5079"/>
  <c r="I313" i="5079"/>
  <c r="I314" i="5079"/>
  <c r="I315" i="5079"/>
  <c r="I316" i="5079"/>
  <c r="I317" i="5079"/>
  <c r="I318" i="5079"/>
  <c r="I319" i="5079"/>
  <c r="I320" i="5079"/>
  <c r="I321" i="5079"/>
  <c r="I322" i="5079"/>
  <c r="I323" i="5079"/>
  <c r="I324" i="5079"/>
  <c r="I325" i="5079"/>
  <c r="I326" i="5079"/>
  <c r="I327" i="5079"/>
  <c r="I328" i="5079"/>
  <c r="I329" i="5079"/>
  <c r="I330" i="5079"/>
  <c r="I331" i="5079"/>
  <c r="I332" i="5079"/>
  <c r="I333" i="5079"/>
  <c r="I334" i="5079"/>
  <c r="I335" i="5079"/>
  <c r="I336" i="5079"/>
  <c r="I337" i="5079"/>
  <c r="I338" i="5079"/>
  <c r="I339" i="5079"/>
  <c r="I340" i="5079"/>
  <c r="I341" i="5079"/>
  <c r="I342" i="5079"/>
  <c r="I343" i="5079"/>
  <c r="I344" i="5079"/>
  <c r="I345" i="5079"/>
  <c r="I346" i="5079"/>
  <c r="I347" i="5079"/>
  <c r="I348" i="5079"/>
  <c r="I349" i="5079"/>
  <c r="I350" i="5079"/>
  <c r="I351" i="5079"/>
  <c r="I352" i="5079"/>
  <c r="I353" i="5079"/>
  <c r="I354" i="5079"/>
  <c r="I355" i="5079"/>
  <c r="I356" i="5079"/>
  <c r="I357" i="5079"/>
  <c r="I358" i="5079"/>
  <c r="I359" i="5079"/>
  <c r="I360" i="5079"/>
  <c r="I361" i="5079"/>
  <c r="I362" i="5079"/>
  <c r="I363" i="5079"/>
  <c r="I364" i="5079"/>
  <c r="I365" i="5079"/>
  <c r="I366" i="5079"/>
  <c r="I367" i="5079"/>
  <c r="I368" i="5079"/>
  <c r="I369" i="5079"/>
  <c r="I370" i="5079"/>
  <c r="I371" i="5079"/>
  <c r="I372" i="5079"/>
  <c r="I373" i="5079"/>
  <c r="I374" i="5079"/>
  <c r="I375" i="5079"/>
  <c r="I376" i="5079"/>
  <c r="I377" i="5079"/>
  <c r="I378" i="5079"/>
  <c r="I379" i="5079"/>
  <c r="I380" i="5079"/>
  <c r="I381" i="5079"/>
  <c r="I382" i="5079"/>
  <c r="I383" i="5079"/>
  <c r="I384" i="5079"/>
  <c r="I385" i="5079"/>
  <c r="I386" i="5079"/>
  <c r="I387" i="5079"/>
  <c r="I388" i="5079"/>
  <c r="I389" i="5079"/>
  <c r="I390" i="5079"/>
  <c r="I391" i="5079"/>
  <c r="I392" i="5079"/>
  <c r="I393" i="5079"/>
  <c r="I394" i="5079"/>
  <c r="I395" i="5079"/>
  <c r="I396" i="5079"/>
  <c r="I397" i="5079"/>
  <c r="I398" i="5079"/>
  <c r="I399" i="5079"/>
  <c r="I400" i="5079"/>
  <c r="I401" i="5079"/>
  <c r="I402" i="5079"/>
  <c r="I403" i="5079"/>
  <c r="I404" i="5079"/>
  <c r="I405" i="5079"/>
  <c r="I406" i="5079"/>
  <c r="I407" i="5079"/>
  <c r="I408" i="5079"/>
  <c r="I409" i="5079"/>
  <c r="I410" i="5079"/>
  <c r="I411" i="5079"/>
  <c r="I412" i="5079"/>
  <c r="I413" i="5079"/>
  <c r="I414" i="5079"/>
  <c r="I415" i="5079"/>
  <c r="I416" i="5079"/>
  <c r="I417" i="5079"/>
  <c r="I418" i="5079"/>
  <c r="I419" i="5079"/>
  <c r="I420" i="5079"/>
  <c r="I421" i="5079"/>
  <c r="I422" i="5079"/>
  <c r="I423" i="5079"/>
  <c r="I424" i="5079"/>
  <c r="I425" i="5079"/>
  <c r="I426" i="5079"/>
  <c r="I427" i="5079"/>
  <c r="I428" i="5079"/>
  <c r="I429" i="5079"/>
  <c r="I430" i="5079"/>
  <c r="I431" i="5079"/>
  <c r="I432" i="5079"/>
  <c r="I433" i="5079"/>
  <c r="I434" i="5079"/>
  <c r="I435" i="5079"/>
  <c r="I436" i="5079"/>
  <c r="I437" i="5079"/>
  <c r="I438" i="5079"/>
  <c r="I439" i="5079"/>
  <c r="I440" i="5079"/>
  <c r="I441" i="5079"/>
  <c r="I442" i="5079"/>
  <c r="I443" i="5079"/>
  <c r="I444" i="5079"/>
  <c r="I445" i="5079"/>
  <c r="I446" i="5079"/>
  <c r="I447" i="5079"/>
  <c r="I448" i="5079"/>
  <c r="I449" i="5079"/>
  <c r="I450" i="5079"/>
  <c r="I451" i="5079"/>
  <c r="I452" i="5079"/>
  <c r="I453" i="5079"/>
  <c r="I454" i="5079"/>
  <c r="I455" i="5079"/>
  <c r="I456" i="5079"/>
  <c r="I457" i="5079"/>
  <c r="I458" i="5079"/>
  <c r="I459" i="5079"/>
  <c r="I460" i="5079"/>
  <c r="I461" i="5079"/>
  <c r="I462" i="5079"/>
  <c r="I463" i="5079"/>
  <c r="I464" i="5079"/>
  <c r="I465" i="5079"/>
  <c r="I466" i="5079"/>
  <c r="I467" i="5079"/>
  <c r="I468" i="5079"/>
  <c r="I469" i="5079"/>
  <c r="I470" i="5079"/>
  <c r="I471" i="5079"/>
  <c r="I472" i="5079"/>
  <c r="I473" i="5079"/>
  <c r="I474" i="5079"/>
  <c r="I475" i="5079"/>
  <c r="I476" i="5079"/>
  <c r="I477" i="5079"/>
  <c r="I478" i="5079"/>
  <c r="I479" i="5079"/>
  <c r="I480" i="5079"/>
  <c r="I481" i="5079"/>
  <c r="I482" i="5079"/>
  <c r="I483" i="5079"/>
  <c r="I484" i="5079"/>
  <c r="I485" i="5079"/>
  <c r="I486" i="5079"/>
  <c r="I487" i="5079"/>
  <c r="I488" i="5079"/>
  <c r="I489" i="5079"/>
  <c r="I490" i="5079"/>
  <c r="I491" i="5079"/>
  <c r="I492" i="5079"/>
  <c r="I493" i="5079"/>
  <c r="I494" i="5079"/>
  <c r="I495" i="5079"/>
  <c r="I496" i="5079"/>
  <c r="I497" i="5079"/>
  <c r="I498" i="5079"/>
  <c r="I499" i="5079"/>
  <c r="I500" i="5079"/>
  <c r="I501" i="5079"/>
  <c r="I502" i="5079"/>
  <c r="I503" i="5079"/>
  <c r="I504" i="5079"/>
  <c r="I505" i="5079"/>
  <c r="I2" i="5078"/>
  <c r="I3" i="5078"/>
  <c r="I4" i="5078"/>
  <c r="I5" i="5078"/>
  <c r="I6" i="5078"/>
  <c r="I7" i="5078"/>
  <c r="I8" i="5078"/>
  <c r="I9" i="5078"/>
  <c r="I10" i="5078"/>
  <c r="I11" i="5078"/>
  <c r="I12" i="5078"/>
  <c r="I13" i="5078"/>
  <c r="I14" i="5078"/>
  <c r="I15" i="5078"/>
  <c r="I16" i="5078"/>
  <c r="I17" i="5078"/>
  <c r="I18" i="5078"/>
  <c r="I19" i="5078"/>
  <c r="I20" i="5078"/>
  <c r="I21" i="5078"/>
  <c r="I22" i="5078"/>
  <c r="I23" i="5078"/>
  <c r="I24" i="5078"/>
  <c r="I25" i="5078"/>
  <c r="I26" i="5078"/>
  <c r="I27" i="5078"/>
  <c r="I28" i="5078"/>
  <c r="I29" i="5078"/>
  <c r="I30" i="5078"/>
  <c r="I31" i="5078"/>
  <c r="I32" i="5078"/>
  <c r="I33" i="5078"/>
  <c r="I34" i="5078"/>
  <c r="I35" i="5078"/>
  <c r="I36" i="5078"/>
  <c r="I37" i="5078"/>
  <c r="I38" i="5078"/>
  <c r="I39" i="5078"/>
  <c r="I40" i="5078"/>
  <c r="I41" i="5078"/>
  <c r="I42" i="5078"/>
  <c r="I43" i="5078"/>
  <c r="I44" i="5078"/>
  <c r="I45" i="5078"/>
  <c r="I46" i="5078"/>
  <c r="I47" i="5078"/>
  <c r="I48" i="5078"/>
  <c r="I49" i="5078"/>
  <c r="I50" i="5078"/>
  <c r="I51" i="5078"/>
  <c r="I52" i="5078"/>
  <c r="I53" i="5078"/>
  <c r="I54" i="5078"/>
  <c r="I55" i="5078"/>
  <c r="I56" i="5078"/>
  <c r="I57" i="5078"/>
  <c r="I58" i="5078"/>
  <c r="I59" i="5078"/>
  <c r="I60" i="5078"/>
  <c r="I61" i="5078"/>
  <c r="I62" i="5078"/>
  <c r="I63" i="5078"/>
  <c r="I64" i="5078"/>
  <c r="I65" i="5078"/>
  <c r="I66" i="5078"/>
  <c r="I67" i="5078"/>
  <c r="I68" i="5078"/>
  <c r="I69" i="5078"/>
  <c r="I70" i="5078"/>
  <c r="I71" i="5078"/>
  <c r="I72" i="5078"/>
  <c r="I73" i="5078"/>
  <c r="I74" i="5078"/>
  <c r="I75" i="5078"/>
  <c r="I76" i="5078"/>
  <c r="I77" i="5078"/>
  <c r="I78" i="5078"/>
  <c r="I79" i="5078"/>
  <c r="I80" i="5078"/>
  <c r="I81" i="5078"/>
  <c r="I82" i="5078"/>
  <c r="I83" i="5078"/>
  <c r="I84" i="5078"/>
  <c r="I85" i="5078"/>
  <c r="I86" i="5078"/>
  <c r="I87" i="5078"/>
  <c r="I88" i="5078"/>
  <c r="I89" i="5078"/>
  <c r="I90" i="5078"/>
  <c r="I91" i="5078"/>
  <c r="I92" i="5078"/>
  <c r="I93" i="5078"/>
  <c r="I94" i="5078"/>
  <c r="I95" i="5078"/>
  <c r="I96" i="5078"/>
  <c r="I97" i="5078"/>
  <c r="I98" i="5078"/>
  <c r="I99" i="5078"/>
  <c r="I100" i="5078"/>
  <c r="I101" i="5078"/>
  <c r="I102" i="5078"/>
  <c r="I103" i="5078"/>
  <c r="I104" i="5078"/>
  <c r="I105" i="5078"/>
  <c r="I106" i="5078"/>
  <c r="I107" i="5078"/>
  <c r="I108" i="5078"/>
  <c r="I109" i="5078"/>
  <c r="I110" i="5078"/>
  <c r="I111" i="5078"/>
  <c r="I112" i="5078"/>
  <c r="I113" i="5078"/>
  <c r="I114" i="5078"/>
  <c r="I115" i="5078"/>
  <c r="I116" i="5078"/>
  <c r="I117" i="5078"/>
  <c r="I118" i="5078"/>
  <c r="I119" i="5078"/>
  <c r="I120" i="5078"/>
  <c r="I121" i="5078"/>
  <c r="I122" i="5078"/>
  <c r="I123" i="5078"/>
  <c r="I124" i="5078"/>
  <c r="I125" i="5078"/>
  <c r="I126" i="5078"/>
  <c r="I127" i="5078"/>
  <c r="I128" i="5078"/>
  <c r="I129" i="5078"/>
  <c r="I130" i="5078"/>
  <c r="I131" i="5078"/>
  <c r="I132" i="5078"/>
  <c r="I133" i="5078"/>
  <c r="I134" i="5078"/>
  <c r="I135" i="5078"/>
  <c r="I136" i="5078"/>
  <c r="I137" i="5078"/>
  <c r="I138" i="5078"/>
  <c r="I139" i="5078"/>
  <c r="I140" i="5078"/>
  <c r="I141" i="5078"/>
  <c r="I142" i="5078"/>
  <c r="I143" i="5078"/>
  <c r="I144" i="5078"/>
  <c r="I145" i="5078"/>
  <c r="I146" i="5078"/>
  <c r="I147" i="5078"/>
  <c r="I148" i="5078"/>
  <c r="I149" i="5078"/>
  <c r="I150" i="5078"/>
  <c r="I151" i="5078"/>
  <c r="I152" i="5078"/>
  <c r="I153" i="5078"/>
  <c r="I154" i="5078"/>
  <c r="I155" i="5078"/>
  <c r="I156" i="5078"/>
  <c r="I157" i="5078"/>
  <c r="I158" i="5078"/>
  <c r="I159" i="5078"/>
  <c r="I160" i="5078"/>
  <c r="I161" i="5078"/>
  <c r="I162" i="5078"/>
  <c r="I163" i="5078"/>
  <c r="I164" i="5078"/>
  <c r="I165" i="5078"/>
  <c r="I166" i="5078"/>
  <c r="I167" i="5078"/>
  <c r="I168" i="5078"/>
  <c r="I169" i="5078"/>
  <c r="I170" i="5078"/>
  <c r="I171" i="5078"/>
  <c r="I172" i="5078"/>
  <c r="I173" i="5078"/>
  <c r="I174" i="5078"/>
  <c r="I175" i="5078"/>
  <c r="I176" i="5078"/>
  <c r="I177" i="5078"/>
  <c r="I178" i="5078"/>
  <c r="I179" i="5078"/>
  <c r="I180" i="5078"/>
  <c r="I181" i="5078"/>
  <c r="I182" i="5078"/>
  <c r="I183" i="5078"/>
  <c r="I184" i="5078"/>
  <c r="I185" i="5078"/>
  <c r="I186" i="5078"/>
  <c r="I187" i="5078"/>
  <c r="I188" i="5078"/>
  <c r="I189" i="5078"/>
  <c r="I190" i="5078"/>
  <c r="I191" i="5078"/>
  <c r="I192" i="5078"/>
  <c r="I193" i="5078"/>
  <c r="I194" i="5078"/>
  <c r="I195" i="5078"/>
  <c r="I196" i="5078"/>
  <c r="I197" i="5078"/>
  <c r="I198" i="5078"/>
  <c r="I199" i="5078"/>
  <c r="I200" i="5078"/>
  <c r="I201" i="5078"/>
  <c r="I202" i="5078"/>
  <c r="I203" i="5078"/>
  <c r="I204" i="5078"/>
  <c r="I205" i="5078"/>
  <c r="I206" i="5078"/>
  <c r="I207" i="5078"/>
  <c r="I208" i="5078"/>
  <c r="I209" i="5078"/>
  <c r="I210" i="5078"/>
  <c r="I211" i="5078"/>
  <c r="I212" i="5078"/>
  <c r="I213" i="5078"/>
  <c r="I214" i="5078"/>
  <c r="I215" i="5078"/>
  <c r="I216" i="5078"/>
  <c r="I217" i="5078"/>
  <c r="I218" i="5078"/>
  <c r="I219" i="5078"/>
  <c r="I220" i="5078"/>
  <c r="I221" i="5078"/>
  <c r="I222" i="5078"/>
  <c r="I223" i="5078"/>
  <c r="I224" i="5078"/>
  <c r="I225" i="5078"/>
  <c r="I226" i="5078"/>
  <c r="I227" i="5078"/>
  <c r="I228" i="5078"/>
  <c r="I229" i="5078"/>
  <c r="I230" i="5078"/>
  <c r="I231" i="5078"/>
  <c r="I232" i="5078"/>
  <c r="I233" i="5078"/>
  <c r="I234" i="5078"/>
  <c r="I235" i="5078"/>
  <c r="I236" i="5078"/>
  <c r="I237" i="5078"/>
  <c r="I238" i="5078"/>
  <c r="I239" i="5078"/>
  <c r="I240" i="5078"/>
  <c r="I241" i="5078"/>
  <c r="I242" i="5078"/>
  <c r="I243" i="5078"/>
  <c r="I244" i="5078"/>
  <c r="I245" i="5078"/>
  <c r="I246" i="5078"/>
  <c r="I247" i="5078"/>
  <c r="I248" i="5078"/>
  <c r="I249" i="5078"/>
  <c r="I250" i="5078"/>
  <c r="I251" i="5078"/>
  <c r="I252" i="5078"/>
  <c r="I253" i="5078"/>
  <c r="I254" i="5078"/>
  <c r="I255" i="5078"/>
  <c r="I256" i="5078"/>
  <c r="I257" i="5078"/>
  <c r="I258" i="5078"/>
  <c r="I259" i="5078"/>
  <c r="I260" i="5078"/>
  <c r="I261" i="5078"/>
  <c r="I262" i="5078"/>
  <c r="I263" i="5078"/>
  <c r="I264" i="5078"/>
  <c r="I265" i="5078"/>
  <c r="I266" i="5078"/>
  <c r="I267" i="5078"/>
  <c r="I268" i="5078"/>
  <c r="I269" i="5078"/>
  <c r="I270" i="5078"/>
  <c r="I271" i="5078"/>
  <c r="I272" i="5078"/>
  <c r="I273" i="5078"/>
  <c r="I274" i="5078"/>
  <c r="I275" i="5078"/>
  <c r="I276" i="5078"/>
  <c r="I277" i="5078"/>
  <c r="I278" i="5078"/>
  <c r="I279" i="5078"/>
  <c r="I280" i="5078"/>
  <c r="I281" i="5078"/>
  <c r="I282" i="5078"/>
  <c r="I283" i="5078"/>
  <c r="I284" i="5078"/>
  <c r="I285" i="5078"/>
  <c r="I286" i="5078"/>
  <c r="I287" i="5078"/>
  <c r="I288" i="5078"/>
  <c r="I289" i="5078"/>
  <c r="I290" i="5078"/>
  <c r="I291" i="5078"/>
  <c r="I292" i="5078"/>
  <c r="I293" i="5078"/>
  <c r="I294" i="5078"/>
  <c r="I295" i="5078"/>
  <c r="I296" i="5078"/>
  <c r="I297" i="5078"/>
  <c r="I298" i="5078"/>
  <c r="I299" i="5078"/>
  <c r="I300" i="5078"/>
  <c r="I301" i="5078"/>
  <c r="I302" i="5078"/>
  <c r="I303" i="5078"/>
  <c r="I304" i="5078"/>
  <c r="I305" i="5078"/>
  <c r="I306" i="5078"/>
  <c r="I307" i="5078"/>
  <c r="I308" i="5078"/>
  <c r="I309" i="5078"/>
  <c r="I310" i="5078"/>
  <c r="I311" i="5078"/>
  <c r="I312" i="5078"/>
  <c r="I313" i="5078"/>
  <c r="I314" i="5078"/>
  <c r="I315" i="5078"/>
  <c r="I316" i="5078"/>
  <c r="I317" i="5078"/>
  <c r="I318" i="5078"/>
  <c r="I319" i="5078"/>
  <c r="I320" i="5078"/>
  <c r="I321" i="5078"/>
  <c r="I322" i="5078"/>
  <c r="I323" i="5078"/>
  <c r="I324" i="5078"/>
  <c r="I325" i="5078"/>
  <c r="I326" i="5078"/>
  <c r="I327" i="5078"/>
  <c r="I328" i="5078"/>
  <c r="I329" i="5078"/>
  <c r="I330" i="5078"/>
  <c r="I331" i="5078"/>
  <c r="I332" i="5078"/>
  <c r="I333" i="5078"/>
  <c r="I334" i="5078"/>
  <c r="I335" i="5078"/>
  <c r="I336" i="5078"/>
  <c r="I337" i="5078"/>
  <c r="I338" i="5078"/>
  <c r="I339" i="5078"/>
  <c r="I340" i="5078"/>
  <c r="I341" i="5078"/>
  <c r="I342" i="5078"/>
  <c r="I343" i="5078"/>
  <c r="I344" i="5078"/>
  <c r="I345" i="5078"/>
  <c r="I346" i="5078"/>
  <c r="I347" i="5078"/>
  <c r="I348" i="5078"/>
  <c r="I349" i="5078"/>
  <c r="I350" i="5078"/>
  <c r="I351" i="5078"/>
  <c r="I352" i="5078"/>
  <c r="I353" i="5078"/>
  <c r="I354" i="5078"/>
  <c r="I355" i="5078"/>
  <c r="I356" i="5078"/>
  <c r="I357" i="5078"/>
  <c r="I358" i="5078"/>
  <c r="I359" i="5078"/>
  <c r="I360" i="5078"/>
  <c r="I361" i="5078"/>
  <c r="I362" i="5078"/>
  <c r="I363" i="5078"/>
  <c r="I364" i="5078"/>
  <c r="I365" i="5078"/>
  <c r="I366" i="5078"/>
  <c r="I367" i="5078"/>
  <c r="I368" i="5078"/>
  <c r="I369" i="5078"/>
  <c r="I370" i="5078"/>
  <c r="I371" i="5078"/>
  <c r="I372" i="5078"/>
  <c r="I373" i="5078"/>
  <c r="I374" i="5078"/>
  <c r="I375" i="5078"/>
  <c r="I376" i="5078"/>
  <c r="I377" i="5078"/>
  <c r="I378" i="5078"/>
  <c r="I379" i="5078"/>
  <c r="I380" i="5078"/>
  <c r="I381" i="5078"/>
  <c r="I382" i="5078"/>
  <c r="I383" i="5078"/>
  <c r="I384" i="5078"/>
  <c r="I385" i="5078"/>
  <c r="I386" i="5078"/>
  <c r="I387" i="5078"/>
  <c r="I388" i="5078"/>
  <c r="I389" i="5078"/>
  <c r="I390" i="5078"/>
  <c r="I391" i="5078"/>
  <c r="I392" i="5078"/>
  <c r="I393" i="5078"/>
  <c r="I394" i="5078"/>
  <c r="I395" i="5078"/>
  <c r="I396" i="5078"/>
  <c r="I397" i="5078"/>
  <c r="I398" i="5078"/>
  <c r="I399" i="5078"/>
  <c r="I400" i="5078"/>
  <c r="I401" i="5078"/>
  <c r="I402" i="5078"/>
  <c r="I403" i="5078"/>
  <c r="I404" i="5078"/>
  <c r="I405" i="5078"/>
  <c r="I406" i="5078"/>
  <c r="I407" i="5078"/>
  <c r="I408" i="5078"/>
  <c r="I409" i="5078"/>
  <c r="I410" i="5078"/>
  <c r="I411" i="5078"/>
  <c r="I412" i="5078"/>
  <c r="I413" i="5078"/>
  <c r="I414" i="5078"/>
  <c r="I415" i="5078"/>
  <c r="I416" i="5078"/>
  <c r="I417" i="5078"/>
  <c r="I418" i="5078"/>
  <c r="I419" i="5078"/>
  <c r="I420" i="5078"/>
  <c r="I421" i="5078"/>
  <c r="I422" i="5078"/>
  <c r="I423" i="5078"/>
  <c r="I424" i="5078"/>
  <c r="I425" i="5078"/>
  <c r="I426" i="5078"/>
  <c r="I427" i="5078"/>
  <c r="I428" i="5078"/>
  <c r="I429" i="5078"/>
  <c r="I430" i="5078"/>
  <c r="I431" i="5078"/>
  <c r="I432" i="5078"/>
  <c r="I433" i="5078"/>
  <c r="I434" i="5078"/>
  <c r="I435" i="5078"/>
  <c r="I436" i="5078"/>
  <c r="I437" i="5078"/>
  <c r="I438" i="5078"/>
  <c r="I439" i="5078"/>
  <c r="I440" i="5078"/>
  <c r="I441" i="5078"/>
  <c r="I442" i="5078"/>
  <c r="I443" i="5078"/>
  <c r="I444" i="5078"/>
  <c r="I445" i="5078"/>
  <c r="I446" i="5078"/>
  <c r="I447" i="5078"/>
  <c r="I448" i="5078"/>
  <c r="I449" i="5078"/>
  <c r="I450" i="5078"/>
  <c r="I451" i="5078"/>
  <c r="I452" i="5078"/>
  <c r="I453" i="5078"/>
  <c r="I454" i="5078"/>
  <c r="I455" i="5078"/>
  <c r="I456" i="5078"/>
  <c r="I457" i="5078"/>
  <c r="I458" i="5078"/>
  <c r="I459" i="5078"/>
  <c r="I460" i="5078"/>
  <c r="I461" i="5078"/>
  <c r="I462" i="5078"/>
  <c r="I463" i="5078"/>
  <c r="I464" i="5078"/>
  <c r="I465" i="5078"/>
  <c r="I466" i="5078"/>
  <c r="I467" i="5078"/>
  <c r="I468" i="5078"/>
  <c r="I469" i="5078"/>
  <c r="I470" i="5078"/>
  <c r="I471" i="5078"/>
  <c r="I472" i="5078"/>
  <c r="I473" i="5078"/>
  <c r="I474" i="5078"/>
  <c r="I475" i="5078"/>
  <c r="I476" i="5078"/>
  <c r="I477" i="5078"/>
  <c r="I478" i="5078"/>
  <c r="I479" i="5078"/>
  <c r="I480" i="5078"/>
  <c r="I481" i="5078"/>
  <c r="I482" i="5078"/>
  <c r="I483" i="5078"/>
  <c r="I484" i="5078"/>
  <c r="I485" i="5078"/>
  <c r="I486" i="5078"/>
  <c r="I487" i="5078"/>
  <c r="I488" i="5078"/>
  <c r="I489" i="5078"/>
  <c r="I490" i="5078"/>
  <c r="I491" i="5078"/>
  <c r="I492" i="5078"/>
  <c r="I493" i="5078"/>
  <c r="I494" i="5078"/>
  <c r="I495" i="5078"/>
  <c r="I496" i="5078"/>
  <c r="I497" i="5078"/>
  <c r="I498" i="5078"/>
  <c r="I499" i="5078"/>
  <c r="I500" i="5078"/>
  <c r="I501" i="5078"/>
  <c r="I502" i="5078"/>
  <c r="I503" i="5078"/>
  <c r="I504" i="5078"/>
  <c r="I505" i="5078"/>
  <c r="H2" i="5083"/>
  <c r="H3" i="5083"/>
  <c r="H4" i="5083"/>
  <c r="H5" i="5083"/>
  <c r="H6" i="5083"/>
  <c r="H7" i="5083"/>
  <c r="H8" i="5083"/>
  <c r="H9" i="5083"/>
  <c r="H10" i="5083"/>
  <c r="H11" i="5083"/>
  <c r="H12" i="5083"/>
  <c r="H13" i="5083"/>
  <c r="H14" i="5083"/>
  <c r="H15" i="5083"/>
  <c r="H16" i="5083"/>
  <c r="H17" i="5083"/>
  <c r="H18" i="5083"/>
  <c r="H19" i="5083"/>
  <c r="H20" i="5083"/>
  <c r="H21" i="5083"/>
  <c r="H22" i="5083"/>
  <c r="H23" i="5083"/>
  <c r="H24" i="5083"/>
  <c r="H25" i="5083"/>
  <c r="H26" i="5083"/>
  <c r="H27" i="5083"/>
  <c r="H28" i="5083"/>
  <c r="H29" i="5083"/>
  <c r="H30" i="5083"/>
  <c r="H31" i="5083"/>
  <c r="H32" i="5083"/>
  <c r="H33" i="5083"/>
  <c r="H34" i="5083"/>
  <c r="H35" i="5083"/>
  <c r="H36" i="5083"/>
  <c r="H37" i="5083"/>
  <c r="H38" i="5083"/>
  <c r="H39" i="5083"/>
  <c r="H40" i="5083"/>
  <c r="H41" i="5083"/>
  <c r="H42" i="5083"/>
  <c r="H43" i="5083"/>
  <c r="H44" i="5083"/>
  <c r="H45" i="5083"/>
  <c r="H46" i="5083"/>
  <c r="H47" i="5083"/>
  <c r="H48" i="5083"/>
  <c r="H49" i="5083"/>
  <c r="H50" i="5083"/>
  <c r="H51" i="5083"/>
  <c r="H52" i="5083"/>
  <c r="H53" i="5083"/>
  <c r="H54" i="5083"/>
  <c r="H55" i="5083"/>
  <c r="H56" i="5083"/>
  <c r="H57" i="5083"/>
  <c r="H58" i="5083"/>
  <c r="H59" i="5083"/>
  <c r="H60" i="5083"/>
  <c r="H61" i="5083"/>
  <c r="H62" i="5083"/>
  <c r="H63" i="5083"/>
  <c r="H64" i="5083"/>
  <c r="H65" i="5083"/>
  <c r="H66" i="5083"/>
  <c r="H67" i="5083"/>
  <c r="H68" i="5083"/>
  <c r="H69" i="5083"/>
  <c r="H70" i="5083"/>
  <c r="H71" i="5083"/>
  <c r="H72" i="5083"/>
  <c r="H73" i="5083"/>
  <c r="H74" i="5083"/>
  <c r="H75" i="5083"/>
  <c r="H76" i="5083"/>
  <c r="H77" i="5083"/>
  <c r="H78" i="5083"/>
  <c r="H79" i="5083"/>
  <c r="H80" i="5083"/>
  <c r="H81" i="5083"/>
  <c r="H82" i="5083"/>
  <c r="H83" i="5083"/>
  <c r="H84" i="5083"/>
  <c r="H85" i="5083"/>
  <c r="H86" i="5083"/>
  <c r="H87" i="5083"/>
  <c r="H88" i="5083"/>
  <c r="H89" i="5083"/>
  <c r="H90" i="5083"/>
  <c r="H91" i="5083"/>
  <c r="H92" i="5083"/>
  <c r="H93" i="5083"/>
  <c r="H94" i="5083"/>
  <c r="H95" i="5083"/>
  <c r="H96" i="5083"/>
  <c r="H97" i="5083"/>
  <c r="H98" i="5083"/>
  <c r="H99" i="5083"/>
  <c r="H100" i="5083"/>
  <c r="H101" i="5083"/>
  <c r="H102" i="5083"/>
  <c r="H103" i="5083"/>
  <c r="H104" i="5083"/>
  <c r="H105" i="5083"/>
  <c r="H106" i="5083"/>
  <c r="H107" i="5083"/>
  <c r="H108" i="5083"/>
  <c r="H109" i="5083"/>
  <c r="H110" i="5083"/>
  <c r="H111" i="5083"/>
  <c r="H112" i="5083"/>
  <c r="H113" i="5083"/>
  <c r="H114" i="5083"/>
  <c r="H115" i="5083"/>
  <c r="H116" i="5083"/>
  <c r="H117" i="5083"/>
  <c r="H118" i="5083"/>
  <c r="H119" i="5083"/>
  <c r="H120" i="5083"/>
  <c r="H121" i="5083"/>
  <c r="H122" i="5083"/>
  <c r="H123" i="5083"/>
  <c r="H124" i="5083"/>
  <c r="H125" i="5083"/>
  <c r="H126" i="5083"/>
  <c r="H127" i="5083"/>
  <c r="H128" i="5083"/>
  <c r="H129" i="5083"/>
  <c r="H130" i="5083"/>
  <c r="H131" i="5083"/>
  <c r="H132" i="5083"/>
  <c r="H133" i="5083"/>
  <c r="H134" i="5083"/>
  <c r="H135" i="5083"/>
  <c r="H136" i="5083"/>
  <c r="H137" i="5083"/>
  <c r="H138" i="5083"/>
  <c r="H139" i="5083"/>
  <c r="H140" i="5083"/>
  <c r="H141" i="5083"/>
  <c r="H142" i="5083"/>
  <c r="H143" i="5083"/>
  <c r="H144" i="5083"/>
  <c r="H145" i="5083"/>
  <c r="H146" i="5083"/>
  <c r="H147" i="5083"/>
  <c r="H148" i="5083"/>
  <c r="H149" i="5083"/>
  <c r="H150" i="5083"/>
  <c r="H151" i="5083"/>
  <c r="H152" i="5083"/>
  <c r="H153" i="5083"/>
  <c r="H154" i="5083"/>
  <c r="H155" i="5083"/>
  <c r="H156" i="5083"/>
  <c r="H157" i="5083"/>
  <c r="H158" i="5083"/>
  <c r="H159" i="5083"/>
  <c r="H160" i="5083"/>
  <c r="H161" i="5083"/>
  <c r="H162" i="5083"/>
  <c r="H163" i="5083"/>
  <c r="H164" i="5083"/>
  <c r="H165" i="5083"/>
  <c r="H166" i="5083"/>
  <c r="H167" i="5083"/>
  <c r="H168" i="5083"/>
  <c r="H169" i="5083"/>
  <c r="H170" i="5083"/>
  <c r="H171" i="5083"/>
  <c r="H172" i="5083"/>
  <c r="H173" i="5083"/>
  <c r="H174" i="5083"/>
  <c r="H175" i="5083"/>
  <c r="H176" i="5083"/>
  <c r="H177" i="5083"/>
  <c r="H178" i="5083"/>
  <c r="H179" i="5083"/>
  <c r="H180" i="5083"/>
  <c r="H181" i="5083"/>
  <c r="H182" i="5083"/>
  <c r="H183" i="5083"/>
  <c r="H184" i="5083"/>
  <c r="H185" i="5083"/>
  <c r="H186" i="5083"/>
  <c r="H187" i="5083"/>
  <c r="H188" i="5083"/>
  <c r="H189" i="5083"/>
  <c r="H190" i="5083"/>
  <c r="H191" i="5083"/>
  <c r="H192" i="5083"/>
  <c r="H193" i="5083"/>
  <c r="H194" i="5083"/>
  <c r="H195" i="5083"/>
  <c r="H196" i="5083"/>
  <c r="H197" i="5083"/>
  <c r="H198" i="5083"/>
  <c r="H199" i="5083"/>
  <c r="H200" i="5083"/>
  <c r="H201" i="5083"/>
  <c r="H202" i="5083"/>
  <c r="H203" i="5083"/>
  <c r="H204" i="5083"/>
  <c r="H205" i="5083"/>
  <c r="H206" i="5083"/>
  <c r="H207" i="5083"/>
  <c r="H208" i="5083"/>
  <c r="H209" i="5083"/>
  <c r="H210" i="5083"/>
  <c r="H211" i="5083"/>
  <c r="H212" i="5083"/>
  <c r="H213" i="5083"/>
  <c r="H214" i="5083"/>
  <c r="H215" i="5083"/>
  <c r="H216" i="5083"/>
  <c r="H217" i="5083"/>
  <c r="H218" i="5083"/>
  <c r="H219" i="5083"/>
  <c r="H220" i="5083"/>
  <c r="H221" i="5083"/>
  <c r="H222" i="5083"/>
  <c r="H223" i="5083"/>
  <c r="H224" i="5083"/>
  <c r="H225" i="5083"/>
  <c r="H226" i="5083"/>
  <c r="H227" i="5083"/>
  <c r="H228" i="5083"/>
  <c r="H229" i="5083"/>
  <c r="H230" i="5083"/>
  <c r="H231" i="5083"/>
  <c r="H232" i="5083"/>
  <c r="H233" i="5083"/>
  <c r="H234" i="5083"/>
  <c r="H235" i="5083"/>
  <c r="H236" i="5083"/>
  <c r="H237" i="5083"/>
  <c r="H238" i="5083"/>
  <c r="H239" i="5083"/>
  <c r="H240" i="5083"/>
  <c r="H241" i="5083"/>
  <c r="H242" i="5083"/>
  <c r="H243" i="5083"/>
  <c r="H244" i="5083"/>
  <c r="H245" i="5083"/>
  <c r="H246" i="5083"/>
  <c r="H247" i="5083"/>
  <c r="H248" i="5083"/>
  <c r="H249" i="5083"/>
  <c r="H250" i="5083"/>
  <c r="H251" i="5083"/>
  <c r="H252" i="5083"/>
  <c r="H253" i="5083"/>
  <c r="H254" i="5083"/>
  <c r="H255" i="5083"/>
  <c r="H256" i="5083"/>
  <c r="H257" i="5083"/>
  <c r="H258" i="5083"/>
  <c r="H259" i="5083"/>
  <c r="H260" i="5083"/>
  <c r="H261" i="5083"/>
  <c r="H262" i="5083"/>
  <c r="H263" i="5083"/>
  <c r="H264" i="5083"/>
  <c r="H265" i="5083"/>
  <c r="H266" i="5083"/>
  <c r="H267" i="5083"/>
  <c r="H268" i="5083"/>
  <c r="H269" i="5083"/>
  <c r="H270" i="5083"/>
  <c r="H271" i="5083"/>
  <c r="H272" i="5083"/>
  <c r="H273" i="5083"/>
  <c r="H274" i="5083"/>
  <c r="H275" i="5083"/>
  <c r="H276" i="5083"/>
  <c r="H277" i="5083"/>
  <c r="H278" i="5083"/>
  <c r="H279" i="5083"/>
  <c r="H280" i="5083"/>
  <c r="H281" i="5083"/>
  <c r="H282" i="5083"/>
  <c r="H283" i="5083"/>
  <c r="H284" i="5083"/>
  <c r="H285" i="5083"/>
  <c r="H286" i="5083"/>
  <c r="H287" i="5083"/>
  <c r="H288" i="5083"/>
  <c r="H289" i="5083"/>
  <c r="H290" i="5083"/>
  <c r="H291" i="5083"/>
  <c r="H292" i="5083"/>
  <c r="H293" i="5083"/>
  <c r="H294" i="5083"/>
  <c r="H295" i="5083"/>
  <c r="H296" i="5083"/>
  <c r="H297" i="5083"/>
  <c r="H298" i="5083"/>
  <c r="H299" i="5083"/>
  <c r="H300" i="5083"/>
  <c r="H301" i="5083"/>
  <c r="H302" i="5083"/>
  <c r="H303" i="5083"/>
  <c r="H304" i="5083"/>
  <c r="H305" i="5083"/>
  <c r="H306" i="5083"/>
  <c r="H307" i="5083"/>
  <c r="H308" i="5083"/>
  <c r="H309" i="5083"/>
  <c r="H310" i="5083"/>
  <c r="H311" i="5083"/>
  <c r="H312" i="5083"/>
  <c r="H313" i="5083"/>
  <c r="H314" i="5083"/>
  <c r="H315" i="5083"/>
  <c r="H316" i="5083"/>
  <c r="H317" i="5083"/>
  <c r="H318" i="5083"/>
  <c r="H319" i="5083"/>
  <c r="H320" i="5083"/>
  <c r="H321" i="5083"/>
  <c r="H322" i="5083"/>
  <c r="H323" i="5083"/>
  <c r="H324" i="5083"/>
  <c r="H325" i="5083"/>
  <c r="H326" i="5083"/>
  <c r="H327" i="5083"/>
  <c r="H328" i="5083"/>
  <c r="H329" i="5083"/>
  <c r="H330" i="5083"/>
  <c r="H331" i="5083"/>
  <c r="H332" i="5083"/>
  <c r="H333" i="5083"/>
  <c r="H334" i="5083"/>
  <c r="H335" i="5083"/>
  <c r="H336" i="5083"/>
  <c r="H337" i="5083"/>
  <c r="H338" i="5083"/>
  <c r="H339" i="5083"/>
  <c r="H340" i="5083"/>
  <c r="H341" i="5083"/>
  <c r="H342" i="5083"/>
  <c r="H343" i="5083"/>
  <c r="H344" i="5083"/>
  <c r="H345" i="5083"/>
  <c r="H346" i="5083"/>
  <c r="H347" i="5083"/>
  <c r="H348" i="5083"/>
  <c r="H349" i="5083"/>
  <c r="H350" i="5083"/>
  <c r="H351" i="5083"/>
  <c r="H352" i="5083"/>
  <c r="H353" i="5083"/>
  <c r="H354" i="5083"/>
  <c r="H355" i="5083"/>
  <c r="H356" i="5083"/>
  <c r="H357" i="5083"/>
  <c r="H358" i="5083"/>
  <c r="H359" i="5083"/>
  <c r="H360" i="5083"/>
  <c r="H361" i="5083"/>
  <c r="H362" i="5083"/>
  <c r="H363" i="5083"/>
  <c r="H364" i="5083"/>
  <c r="H365" i="5083"/>
  <c r="H366" i="5083"/>
  <c r="H367" i="5083"/>
  <c r="H368" i="5083"/>
  <c r="H369" i="5083"/>
  <c r="H370" i="5083"/>
  <c r="H371" i="5083"/>
  <c r="H372" i="5083"/>
  <c r="H373" i="5083"/>
  <c r="H374" i="5083"/>
  <c r="H375" i="5083"/>
  <c r="H376" i="5083"/>
  <c r="H377" i="5083"/>
  <c r="H378" i="5083"/>
  <c r="H379" i="5083"/>
  <c r="H380" i="5083"/>
  <c r="H381" i="5083"/>
  <c r="H382" i="5083"/>
  <c r="H383" i="5083"/>
  <c r="H384" i="5083"/>
  <c r="H385" i="5083"/>
  <c r="H386" i="5083"/>
  <c r="H387" i="5083"/>
  <c r="H388" i="5083"/>
  <c r="H389" i="5083"/>
  <c r="H390" i="5083"/>
  <c r="H391" i="5083"/>
  <c r="H392" i="5083"/>
  <c r="H393" i="5083"/>
  <c r="H394" i="5083"/>
  <c r="H395" i="5083"/>
  <c r="H396" i="5083"/>
  <c r="H397" i="5083"/>
  <c r="H398" i="5083"/>
  <c r="H399" i="5083"/>
  <c r="H400" i="5083"/>
  <c r="H401" i="5083"/>
  <c r="H402" i="5083"/>
  <c r="H403" i="5083"/>
  <c r="H404" i="5083"/>
  <c r="H405" i="5083"/>
  <c r="H406" i="5083"/>
  <c r="H407" i="5083"/>
  <c r="H408" i="5083"/>
  <c r="H409" i="5083"/>
  <c r="H410" i="5083"/>
  <c r="H411" i="5083"/>
  <c r="H412" i="5083"/>
  <c r="H413" i="5083"/>
  <c r="H414" i="5083"/>
  <c r="H415" i="5083"/>
  <c r="H416" i="5083"/>
  <c r="H417" i="5083"/>
  <c r="H418" i="5083"/>
  <c r="H419" i="5083"/>
  <c r="H420" i="5083"/>
  <c r="H421" i="5083"/>
  <c r="H422" i="5083"/>
  <c r="H423" i="5083"/>
  <c r="H424" i="5083"/>
  <c r="H425" i="5083"/>
  <c r="H426" i="5083"/>
  <c r="H427" i="5083"/>
  <c r="H428" i="5083"/>
  <c r="H429" i="5083"/>
  <c r="H430" i="5083"/>
  <c r="H431" i="5083"/>
  <c r="H432" i="5083"/>
  <c r="H433" i="5083"/>
  <c r="H434" i="5083"/>
  <c r="H435" i="5083"/>
  <c r="H436" i="5083"/>
  <c r="H437" i="5083"/>
  <c r="H438" i="5083"/>
  <c r="H439" i="5083"/>
  <c r="H440" i="5083"/>
  <c r="H441" i="5083"/>
  <c r="H442" i="5083"/>
  <c r="H443" i="5083"/>
  <c r="H444" i="5083"/>
  <c r="H445" i="5083"/>
  <c r="H446" i="5083"/>
  <c r="H447" i="5083"/>
  <c r="H448" i="5083"/>
  <c r="H449" i="5083"/>
  <c r="H450" i="5083"/>
  <c r="H451" i="5083"/>
  <c r="H452" i="5083"/>
  <c r="H453" i="5083"/>
  <c r="H454" i="5083"/>
  <c r="H455" i="5083"/>
  <c r="H456" i="5083"/>
  <c r="H457" i="5083"/>
  <c r="H458" i="5083"/>
  <c r="H459" i="5083"/>
  <c r="H460" i="5083"/>
  <c r="H461" i="5083"/>
  <c r="H462" i="5083"/>
  <c r="H463" i="5083"/>
  <c r="H464" i="5083"/>
  <c r="H465" i="5083"/>
  <c r="H466" i="5083"/>
  <c r="H467" i="5083"/>
  <c r="H468" i="5083"/>
  <c r="H469" i="5083"/>
  <c r="H470" i="5083"/>
  <c r="H471" i="5083"/>
  <c r="H472" i="5083"/>
  <c r="H473" i="5083"/>
  <c r="H474" i="5083"/>
  <c r="H475" i="5083"/>
  <c r="H476" i="5083"/>
  <c r="H477" i="5083"/>
  <c r="H478" i="5083"/>
  <c r="H479" i="5083"/>
  <c r="H480" i="5083"/>
  <c r="H481" i="5083"/>
  <c r="H482" i="5083"/>
  <c r="H483" i="5083"/>
  <c r="H484" i="5083"/>
  <c r="H485" i="5083"/>
  <c r="H486" i="5083"/>
  <c r="H487" i="5083"/>
  <c r="H488" i="5083"/>
  <c r="H489" i="5083"/>
  <c r="H490" i="5083"/>
  <c r="H491" i="5083"/>
  <c r="H492" i="5083"/>
  <c r="H493" i="5083"/>
  <c r="H494" i="5083"/>
  <c r="H495" i="5083"/>
  <c r="H496" i="5083"/>
  <c r="H497" i="5083"/>
  <c r="H498" i="5083"/>
  <c r="H499" i="5083"/>
  <c r="H500" i="5083"/>
  <c r="H501" i="5083"/>
  <c r="H502" i="5083"/>
  <c r="H503" i="5083"/>
  <c r="H504" i="5083"/>
  <c r="H505" i="5083"/>
  <c r="H2" i="5082"/>
  <c r="H3" i="5082"/>
  <c r="H4" i="5082"/>
  <c r="H5" i="5082"/>
  <c r="H6" i="5082"/>
  <c r="H7" i="5082"/>
  <c r="H8" i="5082"/>
  <c r="H9" i="5082"/>
  <c r="H10" i="5082"/>
  <c r="H11" i="5082"/>
  <c r="H12" i="5082"/>
  <c r="H13" i="5082"/>
  <c r="H14" i="5082"/>
  <c r="H15" i="5082"/>
  <c r="H16" i="5082"/>
  <c r="H17" i="5082"/>
  <c r="H18" i="5082"/>
  <c r="H19" i="5082"/>
  <c r="H20" i="5082"/>
  <c r="H21" i="5082"/>
  <c r="H22" i="5082"/>
  <c r="H23" i="5082"/>
  <c r="H24" i="5082"/>
  <c r="H25" i="5082"/>
  <c r="H26" i="5082"/>
  <c r="H27" i="5082"/>
  <c r="H28" i="5082"/>
  <c r="H29" i="5082"/>
  <c r="H30" i="5082"/>
  <c r="H31" i="5082"/>
  <c r="H32" i="5082"/>
  <c r="H33" i="5082"/>
  <c r="H34" i="5082"/>
  <c r="H35" i="5082"/>
  <c r="H36" i="5082"/>
  <c r="H37" i="5082"/>
  <c r="H38" i="5082"/>
  <c r="H39" i="5082"/>
  <c r="H40" i="5082"/>
  <c r="H41" i="5082"/>
  <c r="H42" i="5082"/>
  <c r="H43" i="5082"/>
  <c r="H44" i="5082"/>
  <c r="H45" i="5082"/>
  <c r="H46" i="5082"/>
  <c r="H47" i="5082"/>
  <c r="H48" i="5082"/>
  <c r="H49" i="5082"/>
  <c r="H50" i="5082"/>
  <c r="H51" i="5082"/>
  <c r="H52" i="5082"/>
  <c r="H53" i="5082"/>
  <c r="H54" i="5082"/>
  <c r="H55" i="5082"/>
  <c r="H56" i="5082"/>
  <c r="H57" i="5082"/>
  <c r="H58" i="5082"/>
  <c r="H59" i="5082"/>
  <c r="H60" i="5082"/>
  <c r="H61" i="5082"/>
  <c r="H62" i="5082"/>
  <c r="H63" i="5082"/>
  <c r="H64" i="5082"/>
  <c r="H65" i="5082"/>
  <c r="H66" i="5082"/>
  <c r="H67" i="5082"/>
  <c r="H68" i="5082"/>
  <c r="H69" i="5082"/>
  <c r="H70" i="5082"/>
  <c r="H71" i="5082"/>
  <c r="H72" i="5082"/>
  <c r="H73" i="5082"/>
  <c r="H74" i="5082"/>
  <c r="H75" i="5082"/>
  <c r="H76" i="5082"/>
  <c r="H77" i="5082"/>
  <c r="H78" i="5082"/>
  <c r="H79" i="5082"/>
  <c r="H80" i="5082"/>
  <c r="H81" i="5082"/>
  <c r="H82" i="5082"/>
  <c r="H83" i="5082"/>
  <c r="H84" i="5082"/>
  <c r="H85" i="5082"/>
  <c r="H86" i="5082"/>
  <c r="H87" i="5082"/>
  <c r="H88" i="5082"/>
  <c r="H89" i="5082"/>
  <c r="H90" i="5082"/>
  <c r="H91" i="5082"/>
  <c r="H92" i="5082"/>
  <c r="H93" i="5082"/>
  <c r="H94" i="5082"/>
  <c r="H95" i="5082"/>
  <c r="H96" i="5082"/>
  <c r="H97" i="5082"/>
  <c r="H98" i="5082"/>
  <c r="H99" i="5082"/>
  <c r="H100" i="5082"/>
  <c r="H101" i="5082"/>
  <c r="H102" i="5082"/>
  <c r="H103" i="5082"/>
  <c r="H104" i="5082"/>
  <c r="H105" i="5082"/>
  <c r="H106" i="5082"/>
  <c r="H107" i="5082"/>
  <c r="H108" i="5082"/>
  <c r="H109" i="5082"/>
  <c r="H110" i="5082"/>
  <c r="H111" i="5082"/>
  <c r="H112" i="5082"/>
  <c r="H113" i="5082"/>
  <c r="H114" i="5082"/>
  <c r="H115" i="5082"/>
  <c r="H116" i="5082"/>
  <c r="H117" i="5082"/>
  <c r="H118" i="5082"/>
  <c r="H119" i="5082"/>
  <c r="H120" i="5082"/>
  <c r="H121" i="5082"/>
  <c r="H122" i="5082"/>
  <c r="H123" i="5082"/>
  <c r="H124" i="5082"/>
  <c r="H125" i="5082"/>
  <c r="H126" i="5082"/>
  <c r="H127" i="5082"/>
  <c r="H128" i="5082"/>
  <c r="H129" i="5082"/>
  <c r="H130" i="5082"/>
  <c r="H131" i="5082"/>
  <c r="H132" i="5082"/>
  <c r="H133" i="5082"/>
  <c r="H134" i="5082"/>
  <c r="H135" i="5082"/>
  <c r="H136" i="5082"/>
  <c r="H137" i="5082"/>
  <c r="H138" i="5082"/>
  <c r="H139" i="5082"/>
  <c r="H140" i="5082"/>
  <c r="H141" i="5082"/>
  <c r="H142" i="5082"/>
  <c r="H143" i="5082"/>
  <c r="H144" i="5082"/>
  <c r="H145" i="5082"/>
  <c r="H146" i="5082"/>
  <c r="H147" i="5082"/>
  <c r="H148" i="5082"/>
  <c r="H149" i="5082"/>
  <c r="H150" i="5082"/>
  <c r="H151" i="5082"/>
  <c r="H152" i="5082"/>
  <c r="H153" i="5082"/>
  <c r="H154" i="5082"/>
  <c r="H155" i="5082"/>
  <c r="H156" i="5082"/>
  <c r="H157" i="5082"/>
  <c r="H158" i="5082"/>
  <c r="H159" i="5082"/>
  <c r="H160" i="5082"/>
  <c r="H161" i="5082"/>
  <c r="H162" i="5082"/>
  <c r="H163" i="5082"/>
  <c r="H164" i="5082"/>
  <c r="H165" i="5082"/>
  <c r="H166" i="5082"/>
  <c r="H167" i="5082"/>
  <c r="H168" i="5082"/>
  <c r="H169" i="5082"/>
  <c r="H170" i="5082"/>
  <c r="H171" i="5082"/>
  <c r="H172" i="5082"/>
  <c r="H173" i="5082"/>
  <c r="H174" i="5082"/>
  <c r="H175" i="5082"/>
  <c r="H176" i="5082"/>
  <c r="H177" i="5082"/>
  <c r="H178" i="5082"/>
  <c r="H179" i="5082"/>
  <c r="H180" i="5082"/>
  <c r="H181" i="5082"/>
  <c r="H182" i="5082"/>
  <c r="H183" i="5082"/>
  <c r="H184" i="5082"/>
  <c r="H185" i="5082"/>
  <c r="H186" i="5082"/>
  <c r="H187" i="5082"/>
  <c r="H188" i="5082"/>
  <c r="H189" i="5082"/>
  <c r="H190" i="5082"/>
  <c r="H191" i="5082"/>
  <c r="H192" i="5082"/>
  <c r="H193" i="5082"/>
  <c r="H194" i="5082"/>
  <c r="H195" i="5082"/>
  <c r="H196" i="5082"/>
  <c r="H197" i="5082"/>
  <c r="H198" i="5082"/>
  <c r="H199" i="5082"/>
  <c r="H200" i="5082"/>
  <c r="H201" i="5082"/>
  <c r="H202" i="5082"/>
  <c r="H203" i="5082"/>
  <c r="H204" i="5082"/>
  <c r="H205" i="5082"/>
  <c r="H206" i="5082"/>
  <c r="H207" i="5082"/>
  <c r="H208" i="5082"/>
  <c r="H209" i="5082"/>
  <c r="H210" i="5082"/>
  <c r="H211" i="5082"/>
  <c r="H212" i="5082"/>
  <c r="H213" i="5082"/>
  <c r="H214" i="5082"/>
  <c r="H215" i="5082"/>
  <c r="H216" i="5082"/>
  <c r="H217" i="5082"/>
  <c r="H218" i="5082"/>
  <c r="H219" i="5082"/>
  <c r="H220" i="5082"/>
  <c r="H221" i="5082"/>
  <c r="H222" i="5082"/>
  <c r="H223" i="5082"/>
  <c r="H224" i="5082"/>
  <c r="H225" i="5082"/>
  <c r="H226" i="5082"/>
  <c r="H227" i="5082"/>
  <c r="H228" i="5082"/>
  <c r="H229" i="5082"/>
  <c r="H230" i="5082"/>
  <c r="H231" i="5082"/>
  <c r="H232" i="5082"/>
  <c r="H233" i="5082"/>
  <c r="H234" i="5082"/>
  <c r="H235" i="5082"/>
  <c r="H236" i="5082"/>
  <c r="H237" i="5082"/>
  <c r="H238" i="5082"/>
  <c r="H239" i="5082"/>
  <c r="H240" i="5082"/>
  <c r="H241" i="5082"/>
  <c r="H242" i="5082"/>
  <c r="H243" i="5082"/>
  <c r="H244" i="5082"/>
  <c r="H245" i="5082"/>
  <c r="H246" i="5082"/>
  <c r="H247" i="5082"/>
  <c r="H248" i="5082"/>
  <c r="H249" i="5082"/>
  <c r="H250" i="5082"/>
  <c r="H251" i="5082"/>
  <c r="H252" i="5082"/>
  <c r="H253" i="5082"/>
  <c r="H254" i="5082"/>
  <c r="H255" i="5082"/>
  <c r="H256" i="5082"/>
  <c r="H257" i="5082"/>
  <c r="H258" i="5082"/>
  <c r="H259" i="5082"/>
  <c r="H260" i="5082"/>
  <c r="H261" i="5082"/>
  <c r="H262" i="5082"/>
  <c r="H263" i="5082"/>
  <c r="H264" i="5082"/>
  <c r="H265" i="5082"/>
  <c r="H266" i="5082"/>
  <c r="H267" i="5082"/>
  <c r="H268" i="5082"/>
  <c r="H269" i="5082"/>
  <c r="H270" i="5082"/>
  <c r="H271" i="5082"/>
  <c r="H272" i="5082"/>
  <c r="H273" i="5082"/>
  <c r="H274" i="5082"/>
  <c r="H275" i="5082"/>
  <c r="H276" i="5082"/>
  <c r="H277" i="5082"/>
  <c r="H278" i="5082"/>
  <c r="H279" i="5082"/>
  <c r="H280" i="5082"/>
  <c r="H281" i="5082"/>
  <c r="H282" i="5082"/>
  <c r="H283" i="5082"/>
  <c r="H284" i="5082"/>
  <c r="H285" i="5082"/>
  <c r="H286" i="5082"/>
  <c r="H287" i="5082"/>
  <c r="H288" i="5082"/>
  <c r="H289" i="5082"/>
  <c r="H290" i="5082"/>
  <c r="H291" i="5082"/>
  <c r="H292" i="5082"/>
  <c r="H293" i="5082"/>
  <c r="H294" i="5082"/>
  <c r="H295" i="5082"/>
  <c r="H296" i="5082"/>
  <c r="H297" i="5082"/>
  <c r="H298" i="5082"/>
  <c r="H299" i="5082"/>
  <c r="H300" i="5082"/>
  <c r="H301" i="5082"/>
  <c r="H302" i="5082"/>
  <c r="H303" i="5082"/>
  <c r="H304" i="5082"/>
  <c r="H305" i="5082"/>
  <c r="H306" i="5082"/>
  <c r="H307" i="5082"/>
  <c r="H308" i="5082"/>
  <c r="H309" i="5082"/>
  <c r="H310" i="5082"/>
  <c r="H311" i="5082"/>
  <c r="H312" i="5082"/>
  <c r="H313" i="5082"/>
  <c r="H314" i="5082"/>
  <c r="H315" i="5082"/>
  <c r="H316" i="5082"/>
  <c r="H317" i="5082"/>
  <c r="H318" i="5082"/>
  <c r="H319" i="5082"/>
  <c r="H320" i="5082"/>
  <c r="H321" i="5082"/>
  <c r="H322" i="5082"/>
  <c r="H323" i="5082"/>
  <c r="H324" i="5082"/>
  <c r="H325" i="5082"/>
  <c r="H326" i="5082"/>
  <c r="H327" i="5082"/>
  <c r="H328" i="5082"/>
  <c r="H329" i="5082"/>
  <c r="H330" i="5082"/>
  <c r="H331" i="5082"/>
  <c r="H332" i="5082"/>
  <c r="H333" i="5082"/>
  <c r="H334" i="5082"/>
  <c r="H335" i="5082"/>
  <c r="H336" i="5082"/>
  <c r="H337" i="5082"/>
  <c r="H338" i="5082"/>
  <c r="H339" i="5082"/>
  <c r="H340" i="5082"/>
  <c r="H341" i="5082"/>
  <c r="H342" i="5082"/>
  <c r="H343" i="5082"/>
  <c r="H344" i="5082"/>
  <c r="H345" i="5082"/>
  <c r="H346" i="5082"/>
  <c r="H347" i="5082"/>
  <c r="H348" i="5082"/>
  <c r="H349" i="5082"/>
  <c r="H350" i="5082"/>
  <c r="H351" i="5082"/>
  <c r="H352" i="5082"/>
  <c r="H353" i="5082"/>
  <c r="H354" i="5082"/>
  <c r="H355" i="5082"/>
  <c r="H356" i="5082"/>
  <c r="H357" i="5082"/>
  <c r="H358" i="5082"/>
  <c r="H359" i="5082"/>
  <c r="H360" i="5082"/>
  <c r="H361" i="5082"/>
  <c r="H362" i="5082"/>
  <c r="H363" i="5082"/>
  <c r="H364" i="5082"/>
  <c r="H365" i="5082"/>
  <c r="H366" i="5082"/>
  <c r="H367" i="5082"/>
  <c r="H368" i="5082"/>
  <c r="H369" i="5082"/>
  <c r="H370" i="5082"/>
  <c r="H371" i="5082"/>
  <c r="H372" i="5082"/>
  <c r="H373" i="5082"/>
  <c r="H374" i="5082"/>
  <c r="H375" i="5082"/>
  <c r="H376" i="5082"/>
  <c r="H377" i="5082"/>
  <c r="H378" i="5082"/>
  <c r="H379" i="5082"/>
  <c r="H380" i="5082"/>
  <c r="H381" i="5082"/>
  <c r="H382" i="5082"/>
  <c r="H383" i="5082"/>
  <c r="H384" i="5082"/>
  <c r="H385" i="5082"/>
  <c r="H386" i="5082"/>
  <c r="H387" i="5082"/>
  <c r="H388" i="5082"/>
  <c r="H389" i="5082"/>
  <c r="H390" i="5082"/>
  <c r="H391" i="5082"/>
  <c r="H392" i="5082"/>
  <c r="H393" i="5082"/>
  <c r="H394" i="5082"/>
  <c r="H395" i="5082"/>
  <c r="H396" i="5082"/>
  <c r="H397" i="5082"/>
  <c r="H398" i="5082"/>
  <c r="H399" i="5082"/>
  <c r="H400" i="5082"/>
  <c r="H401" i="5082"/>
  <c r="H402" i="5082"/>
  <c r="H403" i="5082"/>
  <c r="H404" i="5082"/>
  <c r="H405" i="5082"/>
  <c r="H406" i="5082"/>
  <c r="H407" i="5082"/>
  <c r="H408" i="5082"/>
  <c r="H409" i="5082"/>
  <c r="H410" i="5082"/>
  <c r="H411" i="5082"/>
  <c r="H412" i="5082"/>
  <c r="H413" i="5082"/>
  <c r="H414" i="5082"/>
  <c r="H415" i="5082"/>
  <c r="H416" i="5082"/>
  <c r="H417" i="5082"/>
  <c r="H418" i="5082"/>
  <c r="H419" i="5082"/>
  <c r="H420" i="5082"/>
  <c r="H421" i="5082"/>
  <c r="H422" i="5082"/>
  <c r="H423" i="5082"/>
  <c r="H424" i="5082"/>
  <c r="H425" i="5082"/>
  <c r="H426" i="5082"/>
  <c r="H427" i="5082"/>
  <c r="H428" i="5082"/>
  <c r="H429" i="5082"/>
  <c r="H430" i="5082"/>
  <c r="H431" i="5082"/>
  <c r="H432" i="5082"/>
  <c r="H433" i="5082"/>
  <c r="H434" i="5082"/>
  <c r="H435" i="5082"/>
  <c r="H436" i="5082"/>
  <c r="H437" i="5082"/>
  <c r="H438" i="5082"/>
  <c r="H439" i="5082"/>
  <c r="H440" i="5082"/>
  <c r="H441" i="5082"/>
  <c r="H442" i="5082"/>
  <c r="H443" i="5082"/>
  <c r="H444" i="5082"/>
  <c r="H445" i="5082"/>
  <c r="H446" i="5082"/>
  <c r="H447" i="5082"/>
  <c r="H448" i="5082"/>
  <c r="H449" i="5082"/>
  <c r="H450" i="5082"/>
  <c r="H451" i="5082"/>
  <c r="H452" i="5082"/>
  <c r="H453" i="5082"/>
  <c r="H454" i="5082"/>
  <c r="H455" i="5082"/>
  <c r="H456" i="5082"/>
  <c r="H457" i="5082"/>
  <c r="H458" i="5082"/>
  <c r="H459" i="5082"/>
  <c r="H460" i="5082"/>
  <c r="H461" i="5082"/>
  <c r="H462" i="5082"/>
  <c r="H463" i="5082"/>
  <c r="H464" i="5082"/>
  <c r="H465" i="5082"/>
  <c r="H466" i="5082"/>
  <c r="H467" i="5082"/>
  <c r="H468" i="5082"/>
  <c r="H469" i="5082"/>
  <c r="H470" i="5082"/>
  <c r="H471" i="5082"/>
  <c r="H472" i="5082"/>
  <c r="H473" i="5082"/>
  <c r="H474" i="5082"/>
  <c r="H475" i="5082"/>
  <c r="H476" i="5082"/>
  <c r="H477" i="5082"/>
  <c r="H478" i="5082"/>
  <c r="H479" i="5082"/>
  <c r="H480" i="5082"/>
  <c r="H481" i="5082"/>
  <c r="H482" i="5082"/>
  <c r="H483" i="5082"/>
  <c r="H484" i="5082"/>
  <c r="H485" i="5082"/>
  <c r="H486" i="5082"/>
  <c r="H487" i="5082"/>
  <c r="H488" i="5082"/>
  <c r="H489" i="5082"/>
  <c r="H490" i="5082"/>
  <c r="H491" i="5082"/>
  <c r="H492" i="5082"/>
  <c r="H493" i="5082"/>
  <c r="H494" i="5082"/>
  <c r="H495" i="5082"/>
  <c r="H496" i="5082"/>
  <c r="H497" i="5082"/>
  <c r="H498" i="5082"/>
  <c r="H499" i="5082"/>
  <c r="H500" i="5082"/>
  <c r="H501" i="5082"/>
  <c r="H502" i="5082"/>
  <c r="H503" i="5082"/>
  <c r="H504" i="5082"/>
  <c r="H505" i="5082"/>
  <c r="H2" i="5081"/>
  <c r="H3" i="5081"/>
  <c r="H4" i="5081"/>
  <c r="H5" i="5081"/>
  <c r="H6" i="5081"/>
  <c r="H7" i="5081"/>
  <c r="H8" i="5081"/>
  <c r="H9" i="5081"/>
  <c r="H10" i="5081"/>
  <c r="H11" i="5081"/>
  <c r="H12" i="5081"/>
  <c r="H13" i="5081"/>
  <c r="H14" i="5081"/>
  <c r="H15" i="5081"/>
  <c r="H16" i="5081"/>
  <c r="H17" i="5081"/>
  <c r="H18" i="5081"/>
  <c r="H19" i="5081"/>
  <c r="H20" i="5081"/>
  <c r="H21" i="5081"/>
  <c r="H22" i="5081"/>
  <c r="H23" i="5081"/>
  <c r="H24" i="5081"/>
  <c r="H25" i="5081"/>
  <c r="H26" i="5081"/>
  <c r="H27" i="5081"/>
  <c r="H28" i="5081"/>
  <c r="H29" i="5081"/>
  <c r="H30" i="5081"/>
  <c r="H31" i="5081"/>
  <c r="H32" i="5081"/>
  <c r="H33" i="5081"/>
  <c r="H34" i="5081"/>
  <c r="H35" i="5081"/>
  <c r="H36" i="5081"/>
  <c r="H37" i="5081"/>
  <c r="H38" i="5081"/>
  <c r="H39" i="5081"/>
  <c r="H40" i="5081"/>
  <c r="H41" i="5081"/>
  <c r="H42" i="5081"/>
  <c r="H43" i="5081"/>
  <c r="H44" i="5081"/>
  <c r="H45" i="5081"/>
  <c r="H46" i="5081"/>
  <c r="H47" i="5081"/>
  <c r="H48" i="5081"/>
  <c r="H49" i="5081"/>
  <c r="H50" i="5081"/>
  <c r="H51" i="5081"/>
  <c r="H52" i="5081"/>
  <c r="H53" i="5081"/>
  <c r="H54" i="5081"/>
  <c r="H55" i="5081"/>
  <c r="H56" i="5081"/>
  <c r="H57" i="5081"/>
  <c r="H58" i="5081"/>
  <c r="H59" i="5081"/>
  <c r="H60" i="5081"/>
  <c r="H61" i="5081"/>
  <c r="H62" i="5081"/>
  <c r="H63" i="5081"/>
  <c r="H64" i="5081"/>
  <c r="H65" i="5081"/>
  <c r="H66" i="5081"/>
  <c r="H67" i="5081"/>
  <c r="H68" i="5081"/>
  <c r="H69" i="5081"/>
  <c r="H70" i="5081"/>
  <c r="H71" i="5081"/>
  <c r="H72" i="5081"/>
  <c r="H73" i="5081"/>
  <c r="H74" i="5081"/>
  <c r="H75" i="5081"/>
  <c r="H76" i="5081"/>
  <c r="H77" i="5081"/>
  <c r="H78" i="5081"/>
  <c r="H79" i="5081"/>
  <c r="H80" i="5081"/>
  <c r="H81" i="5081"/>
  <c r="H82" i="5081"/>
  <c r="H83" i="5081"/>
  <c r="H84" i="5081"/>
  <c r="H85" i="5081"/>
  <c r="H86" i="5081"/>
  <c r="H87" i="5081"/>
  <c r="H88" i="5081"/>
  <c r="H89" i="5081"/>
  <c r="H90" i="5081"/>
  <c r="H91" i="5081"/>
  <c r="H92" i="5081"/>
  <c r="H93" i="5081"/>
  <c r="H94" i="5081"/>
  <c r="H95" i="5081"/>
  <c r="H96" i="5081"/>
  <c r="H97" i="5081"/>
  <c r="H98" i="5081"/>
  <c r="H99" i="5081"/>
  <c r="H100" i="5081"/>
  <c r="H101" i="5081"/>
  <c r="H102" i="5081"/>
  <c r="H103" i="5081"/>
  <c r="H104" i="5081"/>
  <c r="H105" i="5081"/>
  <c r="H106" i="5081"/>
  <c r="H107" i="5081"/>
  <c r="H108" i="5081"/>
  <c r="H109" i="5081"/>
  <c r="H110" i="5081"/>
  <c r="H111" i="5081"/>
  <c r="H112" i="5081"/>
  <c r="H113" i="5081"/>
  <c r="H114" i="5081"/>
  <c r="H115" i="5081"/>
  <c r="H116" i="5081"/>
  <c r="H117" i="5081"/>
  <c r="H118" i="5081"/>
  <c r="H119" i="5081"/>
  <c r="H120" i="5081"/>
  <c r="H121" i="5081"/>
  <c r="H122" i="5081"/>
  <c r="H123" i="5081"/>
  <c r="H124" i="5081"/>
  <c r="H125" i="5081"/>
  <c r="H126" i="5081"/>
  <c r="H127" i="5081"/>
  <c r="H128" i="5081"/>
  <c r="H129" i="5081"/>
  <c r="H130" i="5081"/>
  <c r="H131" i="5081"/>
  <c r="H132" i="5081"/>
  <c r="H133" i="5081"/>
  <c r="H134" i="5081"/>
  <c r="H135" i="5081"/>
  <c r="H136" i="5081"/>
  <c r="H137" i="5081"/>
  <c r="H138" i="5081"/>
  <c r="H139" i="5081"/>
  <c r="H140" i="5081"/>
  <c r="H141" i="5081"/>
  <c r="H142" i="5081"/>
  <c r="H143" i="5081"/>
  <c r="H144" i="5081"/>
  <c r="H145" i="5081"/>
  <c r="H146" i="5081"/>
  <c r="H147" i="5081"/>
  <c r="H148" i="5081"/>
  <c r="H149" i="5081"/>
  <c r="H150" i="5081"/>
  <c r="H151" i="5081"/>
  <c r="H152" i="5081"/>
  <c r="H153" i="5081"/>
  <c r="H154" i="5081"/>
  <c r="H155" i="5081"/>
  <c r="H156" i="5081"/>
  <c r="H157" i="5081"/>
  <c r="H158" i="5081"/>
  <c r="H159" i="5081"/>
  <c r="H160" i="5081"/>
  <c r="H161" i="5081"/>
  <c r="H162" i="5081"/>
  <c r="H163" i="5081"/>
  <c r="H164" i="5081"/>
  <c r="H165" i="5081"/>
  <c r="H166" i="5081"/>
  <c r="H167" i="5081"/>
  <c r="H168" i="5081"/>
  <c r="H169" i="5081"/>
  <c r="H170" i="5081"/>
  <c r="H171" i="5081"/>
  <c r="H172" i="5081"/>
  <c r="H173" i="5081"/>
  <c r="H174" i="5081"/>
  <c r="H175" i="5081"/>
  <c r="H176" i="5081"/>
  <c r="H177" i="5081"/>
  <c r="H178" i="5081"/>
  <c r="H179" i="5081"/>
  <c r="H180" i="5081"/>
  <c r="H181" i="5081"/>
  <c r="H182" i="5081"/>
  <c r="H183" i="5081"/>
  <c r="H184" i="5081"/>
  <c r="H185" i="5081"/>
  <c r="H186" i="5081"/>
  <c r="H187" i="5081"/>
  <c r="H188" i="5081"/>
  <c r="H189" i="5081"/>
  <c r="H190" i="5081"/>
  <c r="H191" i="5081"/>
  <c r="H192" i="5081"/>
  <c r="H193" i="5081"/>
  <c r="H194" i="5081"/>
  <c r="H195" i="5081"/>
  <c r="H196" i="5081"/>
  <c r="H197" i="5081"/>
  <c r="H198" i="5081"/>
  <c r="H199" i="5081"/>
  <c r="H200" i="5081"/>
  <c r="H201" i="5081"/>
  <c r="H202" i="5081"/>
  <c r="H203" i="5081"/>
  <c r="H204" i="5081"/>
  <c r="H205" i="5081"/>
  <c r="H206" i="5081"/>
  <c r="H207" i="5081"/>
  <c r="H208" i="5081"/>
  <c r="H209" i="5081"/>
  <c r="H210" i="5081"/>
  <c r="H211" i="5081"/>
  <c r="H212" i="5081"/>
  <c r="H213" i="5081"/>
  <c r="H214" i="5081"/>
  <c r="H215" i="5081"/>
  <c r="H216" i="5081"/>
  <c r="H217" i="5081"/>
  <c r="H218" i="5081"/>
  <c r="H219" i="5081"/>
  <c r="H220" i="5081"/>
  <c r="H221" i="5081"/>
  <c r="H222" i="5081"/>
  <c r="H223" i="5081"/>
  <c r="H224" i="5081"/>
  <c r="H225" i="5081"/>
  <c r="H226" i="5081"/>
  <c r="H227" i="5081"/>
  <c r="H228" i="5081"/>
  <c r="H229" i="5081"/>
  <c r="H230" i="5081"/>
  <c r="H231" i="5081"/>
  <c r="H232" i="5081"/>
  <c r="H233" i="5081"/>
  <c r="H234" i="5081"/>
  <c r="H235" i="5081"/>
  <c r="H236" i="5081"/>
  <c r="H237" i="5081"/>
  <c r="H238" i="5081"/>
  <c r="H239" i="5081"/>
  <c r="H240" i="5081"/>
  <c r="H241" i="5081"/>
  <c r="H242" i="5081"/>
  <c r="H243" i="5081"/>
  <c r="H244" i="5081"/>
  <c r="H245" i="5081"/>
  <c r="H246" i="5081"/>
  <c r="H247" i="5081"/>
  <c r="H248" i="5081"/>
  <c r="H249" i="5081"/>
  <c r="H250" i="5081"/>
  <c r="H251" i="5081"/>
  <c r="H252" i="5081"/>
  <c r="H253" i="5081"/>
  <c r="H254" i="5081"/>
  <c r="H255" i="5081"/>
  <c r="H256" i="5081"/>
  <c r="H257" i="5081"/>
  <c r="H258" i="5081"/>
  <c r="H259" i="5081"/>
  <c r="H260" i="5081"/>
  <c r="H261" i="5081"/>
  <c r="H262" i="5081"/>
  <c r="H263" i="5081"/>
  <c r="H264" i="5081"/>
  <c r="H265" i="5081"/>
  <c r="H266" i="5081"/>
  <c r="H267" i="5081"/>
  <c r="H268" i="5081"/>
  <c r="H269" i="5081"/>
  <c r="H270" i="5081"/>
  <c r="H271" i="5081"/>
  <c r="H272" i="5081"/>
  <c r="H273" i="5081"/>
  <c r="H274" i="5081"/>
  <c r="H275" i="5081"/>
  <c r="H276" i="5081"/>
  <c r="H277" i="5081"/>
  <c r="H278" i="5081"/>
  <c r="H279" i="5081"/>
  <c r="H280" i="5081"/>
  <c r="H281" i="5081"/>
  <c r="H282" i="5081"/>
  <c r="H283" i="5081"/>
  <c r="H284" i="5081"/>
  <c r="H285" i="5081"/>
  <c r="H286" i="5081"/>
  <c r="H287" i="5081"/>
  <c r="H288" i="5081"/>
  <c r="H289" i="5081"/>
  <c r="H290" i="5081"/>
  <c r="H291" i="5081"/>
  <c r="H292" i="5081"/>
  <c r="H293" i="5081"/>
  <c r="H294" i="5081"/>
  <c r="H295" i="5081"/>
  <c r="H296" i="5081"/>
  <c r="H297" i="5081"/>
  <c r="H298" i="5081"/>
  <c r="H299" i="5081"/>
  <c r="H300" i="5081"/>
  <c r="H301" i="5081"/>
  <c r="H302" i="5081"/>
  <c r="H303" i="5081"/>
  <c r="H304" i="5081"/>
  <c r="H305" i="5081"/>
  <c r="H306" i="5081"/>
  <c r="H307" i="5081"/>
  <c r="H308" i="5081"/>
  <c r="H309" i="5081"/>
  <c r="H310" i="5081"/>
  <c r="H311" i="5081"/>
  <c r="H312" i="5081"/>
  <c r="H313" i="5081"/>
  <c r="H314" i="5081"/>
  <c r="H315" i="5081"/>
  <c r="H316" i="5081"/>
  <c r="H317" i="5081"/>
  <c r="H318" i="5081"/>
  <c r="H319" i="5081"/>
  <c r="H320" i="5081"/>
  <c r="H321" i="5081"/>
  <c r="H322" i="5081"/>
  <c r="H323" i="5081"/>
  <c r="H324" i="5081"/>
  <c r="H325" i="5081"/>
  <c r="H326" i="5081"/>
  <c r="H327" i="5081"/>
  <c r="H328" i="5081"/>
  <c r="H329" i="5081"/>
  <c r="H330" i="5081"/>
  <c r="H331" i="5081"/>
  <c r="H332" i="5081"/>
  <c r="H333" i="5081"/>
  <c r="H334" i="5081"/>
  <c r="H335" i="5081"/>
  <c r="H336" i="5081"/>
  <c r="H337" i="5081"/>
  <c r="H338" i="5081"/>
  <c r="H339" i="5081"/>
  <c r="H340" i="5081"/>
  <c r="H341" i="5081"/>
  <c r="H342" i="5081"/>
  <c r="H343" i="5081"/>
  <c r="H344" i="5081"/>
  <c r="H345" i="5081"/>
  <c r="H346" i="5081"/>
  <c r="H347" i="5081"/>
  <c r="H348" i="5081"/>
  <c r="H349" i="5081"/>
  <c r="H350" i="5081"/>
  <c r="H351" i="5081"/>
  <c r="H352" i="5081"/>
  <c r="H353" i="5081"/>
  <c r="H354" i="5081"/>
  <c r="H355" i="5081"/>
  <c r="H356" i="5081"/>
  <c r="H357" i="5081"/>
  <c r="H358" i="5081"/>
  <c r="H359" i="5081"/>
  <c r="H360" i="5081"/>
  <c r="H361" i="5081"/>
  <c r="H362" i="5081"/>
  <c r="H363" i="5081"/>
  <c r="H364" i="5081"/>
  <c r="H365" i="5081"/>
  <c r="H366" i="5081"/>
  <c r="H367" i="5081"/>
  <c r="H368" i="5081"/>
  <c r="H369" i="5081"/>
  <c r="H370" i="5081"/>
  <c r="H371" i="5081"/>
  <c r="H372" i="5081"/>
  <c r="H373" i="5081"/>
  <c r="H374" i="5081"/>
  <c r="H375" i="5081"/>
  <c r="H376" i="5081"/>
  <c r="H377" i="5081"/>
  <c r="H378" i="5081"/>
  <c r="H379" i="5081"/>
  <c r="H380" i="5081"/>
  <c r="H381" i="5081"/>
  <c r="H382" i="5081"/>
  <c r="H383" i="5081"/>
  <c r="H384" i="5081"/>
  <c r="H385" i="5081"/>
  <c r="H386" i="5081"/>
  <c r="H387" i="5081"/>
  <c r="H388" i="5081"/>
  <c r="H389" i="5081"/>
  <c r="H390" i="5081"/>
  <c r="H391" i="5081"/>
  <c r="H392" i="5081"/>
  <c r="H393" i="5081"/>
  <c r="H394" i="5081"/>
  <c r="H395" i="5081"/>
  <c r="H396" i="5081"/>
  <c r="H397" i="5081"/>
  <c r="H398" i="5081"/>
  <c r="H399" i="5081"/>
  <c r="H400" i="5081"/>
  <c r="H401" i="5081"/>
  <c r="H402" i="5081"/>
  <c r="H403" i="5081"/>
  <c r="H404" i="5081"/>
  <c r="H405" i="5081"/>
  <c r="H406" i="5081"/>
  <c r="H407" i="5081"/>
  <c r="H408" i="5081"/>
  <c r="H409" i="5081"/>
  <c r="H410" i="5081"/>
  <c r="H411" i="5081"/>
  <c r="H412" i="5081"/>
  <c r="H413" i="5081"/>
  <c r="H414" i="5081"/>
  <c r="H415" i="5081"/>
  <c r="H416" i="5081"/>
  <c r="H417" i="5081"/>
  <c r="H418" i="5081"/>
  <c r="H419" i="5081"/>
  <c r="H420" i="5081"/>
  <c r="H421" i="5081"/>
  <c r="H422" i="5081"/>
  <c r="H423" i="5081"/>
  <c r="H424" i="5081"/>
  <c r="H425" i="5081"/>
  <c r="H426" i="5081"/>
  <c r="H427" i="5081"/>
  <c r="H428" i="5081"/>
  <c r="H429" i="5081"/>
  <c r="H430" i="5081"/>
  <c r="H431" i="5081"/>
  <c r="H432" i="5081"/>
  <c r="H433" i="5081"/>
  <c r="H434" i="5081"/>
  <c r="H435" i="5081"/>
  <c r="H436" i="5081"/>
  <c r="H437" i="5081"/>
  <c r="H438" i="5081"/>
  <c r="H439" i="5081"/>
  <c r="H440" i="5081"/>
  <c r="H441" i="5081"/>
  <c r="H442" i="5081"/>
  <c r="H443" i="5081"/>
  <c r="H444" i="5081"/>
  <c r="H445" i="5081"/>
  <c r="H446" i="5081"/>
  <c r="H447" i="5081"/>
  <c r="H448" i="5081"/>
  <c r="H449" i="5081"/>
  <c r="H450" i="5081"/>
  <c r="H451" i="5081"/>
  <c r="H452" i="5081"/>
  <c r="H453" i="5081"/>
  <c r="H454" i="5081"/>
  <c r="H455" i="5081"/>
  <c r="H456" i="5081"/>
  <c r="H457" i="5081"/>
  <c r="H458" i="5081"/>
  <c r="H459" i="5081"/>
  <c r="H460" i="5081"/>
  <c r="H461" i="5081"/>
  <c r="H462" i="5081"/>
  <c r="H463" i="5081"/>
  <c r="H464" i="5081"/>
  <c r="H465" i="5081"/>
  <c r="H466" i="5081"/>
  <c r="H467" i="5081"/>
  <c r="H468" i="5081"/>
  <c r="H469" i="5081"/>
  <c r="H470" i="5081"/>
  <c r="H471" i="5081"/>
  <c r="H472" i="5081"/>
  <c r="H473" i="5081"/>
  <c r="H474" i="5081"/>
  <c r="H475" i="5081"/>
  <c r="H476" i="5081"/>
  <c r="H477" i="5081"/>
  <c r="H478" i="5081"/>
  <c r="H479" i="5081"/>
  <c r="H480" i="5081"/>
  <c r="H481" i="5081"/>
  <c r="H482" i="5081"/>
  <c r="H483" i="5081"/>
  <c r="H484" i="5081"/>
  <c r="H485" i="5081"/>
  <c r="H486" i="5081"/>
  <c r="H487" i="5081"/>
  <c r="H488" i="5081"/>
  <c r="H489" i="5081"/>
  <c r="H490" i="5081"/>
  <c r="H491" i="5081"/>
  <c r="H492" i="5081"/>
  <c r="H493" i="5081"/>
  <c r="H494" i="5081"/>
  <c r="H495" i="5081"/>
  <c r="H496" i="5081"/>
  <c r="H497" i="5081"/>
  <c r="H498" i="5081"/>
  <c r="H499" i="5081"/>
  <c r="H500" i="5081"/>
  <c r="H501" i="5081"/>
  <c r="H502" i="5081"/>
  <c r="H503" i="5081"/>
  <c r="H504" i="5081"/>
  <c r="H505" i="5081"/>
  <c r="H2" i="5080"/>
  <c r="H3" i="5080"/>
  <c r="H4" i="5080"/>
  <c r="H5" i="5080"/>
  <c r="H6" i="5080"/>
  <c r="H7" i="5080"/>
  <c r="H8" i="5080"/>
  <c r="H9" i="5080"/>
  <c r="H10" i="5080"/>
  <c r="H11" i="5080"/>
  <c r="H12" i="5080"/>
  <c r="H13" i="5080"/>
  <c r="H14" i="5080"/>
  <c r="H15" i="5080"/>
  <c r="H16" i="5080"/>
  <c r="H17" i="5080"/>
  <c r="H18" i="5080"/>
  <c r="H19" i="5080"/>
  <c r="H20" i="5080"/>
  <c r="H21" i="5080"/>
  <c r="H22" i="5080"/>
  <c r="H23" i="5080"/>
  <c r="H24" i="5080"/>
  <c r="H25" i="5080"/>
  <c r="H26" i="5080"/>
  <c r="H27" i="5080"/>
  <c r="H28" i="5080"/>
  <c r="H29" i="5080"/>
  <c r="H30" i="5080"/>
  <c r="H31" i="5080"/>
  <c r="H32" i="5080"/>
  <c r="H33" i="5080"/>
  <c r="H34" i="5080"/>
  <c r="H35" i="5080"/>
  <c r="H36" i="5080"/>
  <c r="H37" i="5080"/>
  <c r="H38" i="5080"/>
  <c r="H39" i="5080"/>
  <c r="H40" i="5080"/>
  <c r="H41" i="5080"/>
  <c r="H42" i="5080"/>
  <c r="H43" i="5080"/>
  <c r="H44" i="5080"/>
  <c r="H45" i="5080"/>
  <c r="H46" i="5080"/>
  <c r="H47" i="5080"/>
  <c r="H48" i="5080"/>
  <c r="H49" i="5080"/>
  <c r="H50" i="5080"/>
  <c r="H51" i="5080"/>
  <c r="H52" i="5080"/>
  <c r="H53" i="5080"/>
  <c r="H54" i="5080"/>
  <c r="H55" i="5080"/>
  <c r="H56" i="5080"/>
  <c r="H57" i="5080"/>
  <c r="H58" i="5080"/>
  <c r="H59" i="5080"/>
  <c r="H60" i="5080"/>
  <c r="H61" i="5080"/>
  <c r="H62" i="5080"/>
  <c r="H63" i="5080"/>
  <c r="H64" i="5080"/>
  <c r="H65" i="5080"/>
  <c r="H66" i="5080"/>
  <c r="H67" i="5080"/>
  <c r="H68" i="5080"/>
  <c r="H69" i="5080"/>
  <c r="H70" i="5080"/>
  <c r="H71" i="5080"/>
  <c r="H72" i="5080"/>
  <c r="H73" i="5080"/>
  <c r="H74" i="5080"/>
  <c r="H75" i="5080"/>
  <c r="H76" i="5080"/>
  <c r="H77" i="5080"/>
  <c r="H78" i="5080"/>
  <c r="H79" i="5080"/>
  <c r="H80" i="5080"/>
  <c r="H81" i="5080"/>
  <c r="H82" i="5080"/>
  <c r="H83" i="5080"/>
  <c r="H84" i="5080"/>
  <c r="H85" i="5080"/>
  <c r="H86" i="5080"/>
  <c r="H87" i="5080"/>
  <c r="H88" i="5080"/>
  <c r="H89" i="5080"/>
  <c r="H90" i="5080"/>
  <c r="H91" i="5080"/>
  <c r="H92" i="5080"/>
  <c r="H93" i="5080"/>
  <c r="H94" i="5080"/>
  <c r="H95" i="5080"/>
  <c r="H96" i="5080"/>
  <c r="H97" i="5080"/>
  <c r="H98" i="5080"/>
  <c r="H99" i="5080"/>
  <c r="H100" i="5080"/>
  <c r="H101" i="5080"/>
  <c r="H102" i="5080"/>
  <c r="H103" i="5080"/>
  <c r="H104" i="5080"/>
  <c r="H105" i="5080"/>
  <c r="H106" i="5080"/>
  <c r="H107" i="5080"/>
  <c r="H108" i="5080"/>
  <c r="H109" i="5080"/>
  <c r="H110" i="5080"/>
  <c r="H111" i="5080"/>
  <c r="H112" i="5080"/>
  <c r="H113" i="5080"/>
  <c r="H114" i="5080"/>
  <c r="H115" i="5080"/>
  <c r="H116" i="5080"/>
  <c r="H117" i="5080"/>
  <c r="H118" i="5080"/>
  <c r="H119" i="5080"/>
  <c r="H120" i="5080"/>
  <c r="H121" i="5080"/>
  <c r="H122" i="5080"/>
  <c r="H123" i="5080"/>
  <c r="H124" i="5080"/>
  <c r="H125" i="5080"/>
  <c r="H126" i="5080"/>
  <c r="H127" i="5080"/>
  <c r="H128" i="5080"/>
  <c r="H129" i="5080"/>
  <c r="H130" i="5080"/>
  <c r="H131" i="5080"/>
  <c r="H132" i="5080"/>
  <c r="H133" i="5080"/>
  <c r="H134" i="5080"/>
  <c r="H135" i="5080"/>
  <c r="H136" i="5080"/>
  <c r="H137" i="5080"/>
  <c r="H138" i="5080"/>
  <c r="H139" i="5080"/>
  <c r="H140" i="5080"/>
  <c r="H141" i="5080"/>
  <c r="H142" i="5080"/>
  <c r="H143" i="5080"/>
  <c r="H144" i="5080"/>
  <c r="H145" i="5080"/>
  <c r="H146" i="5080"/>
  <c r="H147" i="5080"/>
  <c r="H148" i="5080"/>
  <c r="H149" i="5080"/>
  <c r="H150" i="5080"/>
  <c r="H151" i="5080"/>
  <c r="H152" i="5080"/>
  <c r="H153" i="5080"/>
  <c r="H154" i="5080"/>
  <c r="H155" i="5080"/>
  <c r="H156" i="5080"/>
  <c r="H157" i="5080"/>
  <c r="H158" i="5080"/>
  <c r="H159" i="5080"/>
  <c r="H160" i="5080"/>
  <c r="H161" i="5080"/>
  <c r="H162" i="5080"/>
  <c r="H163" i="5080"/>
  <c r="H164" i="5080"/>
  <c r="H165" i="5080"/>
  <c r="H166" i="5080"/>
  <c r="H167" i="5080"/>
  <c r="H168" i="5080"/>
  <c r="H169" i="5080"/>
  <c r="H170" i="5080"/>
  <c r="H171" i="5080"/>
  <c r="H172" i="5080"/>
  <c r="H173" i="5080"/>
  <c r="H174" i="5080"/>
  <c r="H175" i="5080"/>
  <c r="H176" i="5080"/>
  <c r="H177" i="5080"/>
  <c r="H178" i="5080"/>
  <c r="H179" i="5080"/>
  <c r="H180" i="5080"/>
  <c r="H181" i="5080"/>
  <c r="H182" i="5080"/>
  <c r="H183" i="5080"/>
  <c r="H184" i="5080"/>
  <c r="H185" i="5080"/>
  <c r="H186" i="5080"/>
  <c r="H187" i="5080"/>
  <c r="H188" i="5080"/>
  <c r="H189" i="5080"/>
  <c r="H190" i="5080"/>
  <c r="H191" i="5080"/>
  <c r="H192" i="5080"/>
  <c r="H193" i="5080"/>
  <c r="H194" i="5080"/>
  <c r="H195" i="5080"/>
  <c r="H196" i="5080"/>
  <c r="H197" i="5080"/>
  <c r="H198" i="5080"/>
  <c r="H199" i="5080"/>
  <c r="H200" i="5080"/>
  <c r="H201" i="5080"/>
  <c r="H202" i="5080"/>
  <c r="H203" i="5080"/>
  <c r="H204" i="5080"/>
  <c r="H205" i="5080"/>
  <c r="H206" i="5080"/>
  <c r="H207" i="5080"/>
  <c r="H208" i="5080"/>
  <c r="H209" i="5080"/>
  <c r="H210" i="5080"/>
  <c r="H211" i="5080"/>
  <c r="H212" i="5080"/>
  <c r="H213" i="5080"/>
  <c r="H214" i="5080"/>
  <c r="H215" i="5080"/>
  <c r="H216" i="5080"/>
  <c r="H217" i="5080"/>
  <c r="H218" i="5080"/>
  <c r="H219" i="5080"/>
  <c r="H220" i="5080"/>
  <c r="H221" i="5080"/>
  <c r="H222" i="5080"/>
  <c r="H223" i="5080"/>
  <c r="H224" i="5080"/>
  <c r="H225" i="5080"/>
  <c r="H226" i="5080"/>
  <c r="H227" i="5080"/>
  <c r="H228" i="5080"/>
  <c r="H229" i="5080"/>
  <c r="H230" i="5080"/>
  <c r="H231" i="5080"/>
  <c r="H232" i="5080"/>
  <c r="H233" i="5080"/>
  <c r="H234" i="5080"/>
  <c r="H235" i="5080"/>
  <c r="H236" i="5080"/>
  <c r="H237" i="5080"/>
  <c r="H238" i="5080"/>
  <c r="H239" i="5080"/>
  <c r="H240" i="5080"/>
  <c r="H241" i="5080"/>
  <c r="H242" i="5080"/>
  <c r="H243" i="5080"/>
  <c r="H244" i="5080"/>
  <c r="H245" i="5080"/>
  <c r="H246" i="5080"/>
  <c r="H247" i="5080"/>
  <c r="H248" i="5080"/>
  <c r="H249" i="5080"/>
  <c r="H250" i="5080"/>
  <c r="H251" i="5080"/>
  <c r="H252" i="5080"/>
  <c r="H253" i="5080"/>
  <c r="H254" i="5080"/>
  <c r="H255" i="5080"/>
  <c r="H256" i="5080"/>
  <c r="H257" i="5080"/>
  <c r="H258" i="5080"/>
  <c r="H259" i="5080"/>
  <c r="H260" i="5080"/>
  <c r="H261" i="5080"/>
  <c r="H262" i="5080"/>
  <c r="H263" i="5080"/>
  <c r="H264" i="5080"/>
  <c r="H265" i="5080"/>
  <c r="H266" i="5080"/>
  <c r="H267" i="5080"/>
  <c r="H268" i="5080"/>
  <c r="H269" i="5080"/>
  <c r="H270" i="5080"/>
  <c r="H271" i="5080"/>
  <c r="H272" i="5080"/>
  <c r="H273" i="5080"/>
  <c r="H274" i="5080"/>
  <c r="H275" i="5080"/>
  <c r="H276" i="5080"/>
  <c r="H277" i="5080"/>
  <c r="H278" i="5080"/>
  <c r="H279" i="5080"/>
  <c r="H280" i="5080"/>
  <c r="H281" i="5080"/>
  <c r="H282" i="5080"/>
  <c r="H283" i="5080"/>
  <c r="H284" i="5080"/>
  <c r="H285" i="5080"/>
  <c r="H286" i="5080"/>
  <c r="H287" i="5080"/>
  <c r="H288" i="5080"/>
  <c r="H289" i="5080"/>
  <c r="H290" i="5080"/>
  <c r="H291" i="5080"/>
  <c r="H292" i="5080"/>
  <c r="H293" i="5080"/>
  <c r="H294" i="5080"/>
  <c r="H295" i="5080"/>
  <c r="H296" i="5080"/>
  <c r="H297" i="5080"/>
  <c r="H298" i="5080"/>
  <c r="H299" i="5080"/>
  <c r="H300" i="5080"/>
  <c r="H301" i="5080"/>
  <c r="H302" i="5080"/>
  <c r="H303" i="5080"/>
  <c r="H304" i="5080"/>
  <c r="H305" i="5080"/>
  <c r="H306" i="5080"/>
  <c r="H307" i="5080"/>
  <c r="H308" i="5080"/>
  <c r="H309" i="5080"/>
  <c r="H310" i="5080"/>
  <c r="H311" i="5080"/>
  <c r="H312" i="5080"/>
  <c r="H313" i="5080"/>
  <c r="H314" i="5080"/>
  <c r="H315" i="5080"/>
  <c r="H316" i="5080"/>
  <c r="H317" i="5080"/>
  <c r="H318" i="5080"/>
  <c r="H319" i="5080"/>
  <c r="H320" i="5080"/>
  <c r="H321" i="5080"/>
  <c r="H322" i="5080"/>
  <c r="H323" i="5080"/>
  <c r="H324" i="5080"/>
  <c r="H325" i="5080"/>
  <c r="H326" i="5080"/>
  <c r="H327" i="5080"/>
  <c r="H328" i="5080"/>
  <c r="H329" i="5080"/>
  <c r="H330" i="5080"/>
  <c r="H331" i="5080"/>
  <c r="H332" i="5080"/>
  <c r="H333" i="5080"/>
  <c r="H334" i="5080"/>
  <c r="H335" i="5080"/>
  <c r="H336" i="5080"/>
  <c r="H337" i="5080"/>
  <c r="H338" i="5080"/>
  <c r="H339" i="5080"/>
  <c r="H340" i="5080"/>
  <c r="H341" i="5080"/>
  <c r="H342" i="5080"/>
  <c r="H343" i="5080"/>
  <c r="H344" i="5080"/>
  <c r="H345" i="5080"/>
  <c r="H346" i="5080"/>
  <c r="H347" i="5080"/>
  <c r="H348" i="5080"/>
  <c r="H349" i="5080"/>
  <c r="H350" i="5080"/>
  <c r="H351" i="5080"/>
  <c r="H352" i="5080"/>
  <c r="H353" i="5080"/>
  <c r="H354" i="5080"/>
  <c r="H355" i="5080"/>
  <c r="H356" i="5080"/>
  <c r="H357" i="5080"/>
  <c r="H358" i="5080"/>
  <c r="H359" i="5080"/>
  <c r="H360" i="5080"/>
  <c r="H361" i="5080"/>
  <c r="H362" i="5080"/>
  <c r="H363" i="5080"/>
  <c r="H364" i="5080"/>
  <c r="H365" i="5080"/>
  <c r="H366" i="5080"/>
  <c r="H367" i="5080"/>
  <c r="H368" i="5080"/>
  <c r="H369" i="5080"/>
  <c r="H370" i="5080"/>
  <c r="H371" i="5080"/>
  <c r="H372" i="5080"/>
  <c r="H373" i="5080"/>
  <c r="H374" i="5080"/>
  <c r="H375" i="5080"/>
  <c r="H376" i="5080"/>
  <c r="H377" i="5080"/>
  <c r="H378" i="5080"/>
  <c r="H379" i="5080"/>
  <c r="H380" i="5080"/>
  <c r="H381" i="5080"/>
  <c r="H382" i="5080"/>
  <c r="H383" i="5080"/>
  <c r="H384" i="5080"/>
  <c r="H385" i="5080"/>
  <c r="H386" i="5080"/>
  <c r="H387" i="5080"/>
  <c r="H388" i="5080"/>
  <c r="H389" i="5080"/>
  <c r="H390" i="5080"/>
  <c r="H391" i="5080"/>
  <c r="H392" i="5080"/>
  <c r="H393" i="5080"/>
  <c r="H394" i="5080"/>
  <c r="H395" i="5080"/>
  <c r="H396" i="5080"/>
  <c r="H397" i="5080"/>
  <c r="H398" i="5080"/>
  <c r="H399" i="5080"/>
  <c r="H400" i="5080"/>
  <c r="H401" i="5080"/>
  <c r="H402" i="5080"/>
  <c r="H403" i="5080"/>
  <c r="H404" i="5080"/>
  <c r="H405" i="5080"/>
  <c r="H406" i="5080"/>
  <c r="H407" i="5080"/>
  <c r="H408" i="5080"/>
  <c r="H409" i="5080"/>
  <c r="H410" i="5080"/>
  <c r="H411" i="5080"/>
  <c r="H412" i="5080"/>
  <c r="H413" i="5080"/>
  <c r="H414" i="5080"/>
  <c r="H415" i="5080"/>
  <c r="H416" i="5080"/>
  <c r="H417" i="5080"/>
  <c r="H418" i="5080"/>
  <c r="H419" i="5080"/>
  <c r="H420" i="5080"/>
  <c r="H421" i="5080"/>
  <c r="H422" i="5080"/>
  <c r="H423" i="5080"/>
  <c r="H424" i="5080"/>
  <c r="H425" i="5080"/>
  <c r="H426" i="5080"/>
  <c r="H427" i="5080"/>
  <c r="H428" i="5080"/>
  <c r="H429" i="5080"/>
  <c r="H430" i="5080"/>
  <c r="H431" i="5080"/>
  <c r="H432" i="5080"/>
  <c r="H433" i="5080"/>
  <c r="H434" i="5080"/>
  <c r="H435" i="5080"/>
  <c r="H436" i="5080"/>
  <c r="H437" i="5080"/>
  <c r="H438" i="5080"/>
  <c r="H439" i="5080"/>
  <c r="H440" i="5080"/>
  <c r="H441" i="5080"/>
  <c r="H442" i="5080"/>
  <c r="H443" i="5080"/>
  <c r="H444" i="5080"/>
  <c r="H445" i="5080"/>
  <c r="H446" i="5080"/>
  <c r="H447" i="5080"/>
  <c r="H448" i="5080"/>
  <c r="H449" i="5080"/>
  <c r="H450" i="5080"/>
  <c r="H451" i="5080"/>
  <c r="H452" i="5080"/>
  <c r="H453" i="5080"/>
  <c r="H454" i="5080"/>
  <c r="H455" i="5080"/>
  <c r="H456" i="5080"/>
  <c r="H457" i="5080"/>
  <c r="H458" i="5080"/>
  <c r="H459" i="5080"/>
  <c r="H460" i="5080"/>
  <c r="H461" i="5080"/>
  <c r="H462" i="5080"/>
  <c r="H463" i="5080"/>
  <c r="H464" i="5080"/>
  <c r="H465" i="5080"/>
  <c r="H466" i="5080"/>
  <c r="H467" i="5080"/>
  <c r="H468" i="5080"/>
  <c r="H469" i="5080"/>
  <c r="H470" i="5080"/>
  <c r="H471" i="5080"/>
  <c r="H472" i="5080"/>
  <c r="H473" i="5080"/>
  <c r="H474" i="5080"/>
  <c r="H475" i="5080"/>
  <c r="H476" i="5080"/>
  <c r="H477" i="5080"/>
  <c r="H478" i="5080"/>
  <c r="H479" i="5080"/>
  <c r="H480" i="5080"/>
  <c r="H481" i="5080"/>
  <c r="H482" i="5080"/>
  <c r="H483" i="5080"/>
  <c r="H484" i="5080"/>
  <c r="H485" i="5080"/>
  <c r="H486" i="5080"/>
  <c r="H487" i="5080"/>
  <c r="H488" i="5080"/>
  <c r="H489" i="5080"/>
  <c r="H490" i="5080"/>
  <c r="H491" i="5080"/>
  <c r="H492" i="5080"/>
  <c r="H493" i="5080"/>
  <c r="H494" i="5080"/>
  <c r="H495" i="5080"/>
  <c r="H496" i="5080"/>
  <c r="H497" i="5080"/>
  <c r="H498" i="5080"/>
  <c r="H499" i="5080"/>
  <c r="H500" i="5080"/>
  <c r="H501" i="5080"/>
  <c r="H502" i="5080"/>
  <c r="H503" i="5080"/>
  <c r="H504" i="5080"/>
  <c r="H505" i="5080"/>
  <c r="H2" i="5079"/>
  <c r="H3" i="5079"/>
  <c r="H4" i="5079"/>
  <c r="H5" i="5079"/>
  <c r="H6" i="5079"/>
  <c r="H7" i="5079"/>
  <c r="H8" i="5079"/>
  <c r="H9" i="5079"/>
  <c r="H10" i="5079"/>
  <c r="H11" i="5079"/>
  <c r="H12" i="5079"/>
  <c r="H13" i="5079"/>
  <c r="H14" i="5079"/>
  <c r="H15" i="5079"/>
  <c r="H16" i="5079"/>
  <c r="H17" i="5079"/>
  <c r="H18" i="5079"/>
  <c r="H19" i="5079"/>
  <c r="H20" i="5079"/>
  <c r="H21" i="5079"/>
  <c r="H22" i="5079"/>
  <c r="H23" i="5079"/>
  <c r="H24" i="5079"/>
  <c r="H25" i="5079"/>
  <c r="H26" i="5079"/>
  <c r="H27" i="5079"/>
  <c r="H28" i="5079"/>
  <c r="H29" i="5079"/>
  <c r="H30" i="5079"/>
  <c r="H31" i="5079"/>
  <c r="H32" i="5079"/>
  <c r="H33" i="5079"/>
  <c r="H34" i="5079"/>
  <c r="H35" i="5079"/>
  <c r="H36" i="5079"/>
  <c r="H37" i="5079"/>
  <c r="H38" i="5079"/>
  <c r="H39" i="5079"/>
  <c r="H40" i="5079"/>
  <c r="H41" i="5079"/>
  <c r="H42" i="5079"/>
  <c r="H43" i="5079"/>
  <c r="H44" i="5079"/>
  <c r="H45" i="5079"/>
  <c r="H46" i="5079"/>
  <c r="H47" i="5079"/>
  <c r="H48" i="5079"/>
  <c r="H49" i="5079"/>
  <c r="H50" i="5079"/>
  <c r="H51" i="5079"/>
  <c r="H52" i="5079"/>
  <c r="H53" i="5079"/>
  <c r="H54" i="5079"/>
  <c r="H55" i="5079"/>
  <c r="H56" i="5079"/>
  <c r="H57" i="5079"/>
  <c r="H58" i="5079"/>
  <c r="H59" i="5079"/>
  <c r="H60" i="5079"/>
  <c r="H61" i="5079"/>
  <c r="H62" i="5079"/>
  <c r="H63" i="5079"/>
  <c r="H64" i="5079"/>
  <c r="H65" i="5079"/>
  <c r="H66" i="5079"/>
  <c r="H67" i="5079"/>
  <c r="H68" i="5079"/>
  <c r="H69" i="5079"/>
  <c r="H70" i="5079"/>
  <c r="H71" i="5079"/>
  <c r="H72" i="5079"/>
  <c r="H73" i="5079"/>
  <c r="H74" i="5079"/>
  <c r="H75" i="5079"/>
  <c r="H76" i="5079"/>
  <c r="H77" i="5079"/>
  <c r="H78" i="5079"/>
  <c r="H79" i="5079"/>
  <c r="H80" i="5079"/>
  <c r="H81" i="5079"/>
  <c r="H82" i="5079"/>
  <c r="H83" i="5079"/>
  <c r="H84" i="5079"/>
  <c r="H85" i="5079"/>
  <c r="H86" i="5079"/>
  <c r="H87" i="5079"/>
  <c r="H88" i="5079"/>
  <c r="H89" i="5079"/>
  <c r="H90" i="5079"/>
  <c r="H91" i="5079"/>
  <c r="H92" i="5079"/>
  <c r="H93" i="5079"/>
  <c r="H94" i="5079"/>
  <c r="H95" i="5079"/>
  <c r="H96" i="5079"/>
  <c r="H97" i="5079"/>
  <c r="H98" i="5079"/>
  <c r="H99" i="5079"/>
  <c r="H100" i="5079"/>
  <c r="H101" i="5079"/>
  <c r="H102" i="5079"/>
  <c r="H103" i="5079"/>
  <c r="H104" i="5079"/>
  <c r="H105" i="5079"/>
  <c r="H106" i="5079"/>
  <c r="H107" i="5079"/>
  <c r="H108" i="5079"/>
  <c r="H109" i="5079"/>
  <c r="H110" i="5079"/>
  <c r="H111" i="5079"/>
  <c r="H112" i="5079"/>
  <c r="H113" i="5079"/>
  <c r="H114" i="5079"/>
  <c r="H115" i="5079"/>
  <c r="H116" i="5079"/>
  <c r="H117" i="5079"/>
  <c r="H118" i="5079"/>
  <c r="H119" i="5079"/>
  <c r="H120" i="5079"/>
  <c r="H121" i="5079"/>
  <c r="H122" i="5079"/>
  <c r="H123" i="5079"/>
  <c r="H124" i="5079"/>
  <c r="H125" i="5079"/>
  <c r="H126" i="5079"/>
  <c r="H127" i="5079"/>
  <c r="H128" i="5079"/>
  <c r="H129" i="5079"/>
  <c r="H130" i="5079"/>
  <c r="H131" i="5079"/>
  <c r="H132" i="5079"/>
  <c r="H133" i="5079"/>
  <c r="H134" i="5079"/>
  <c r="H135" i="5079"/>
  <c r="H136" i="5079"/>
  <c r="H137" i="5079"/>
  <c r="H138" i="5079"/>
  <c r="H139" i="5079"/>
  <c r="H140" i="5079"/>
  <c r="H141" i="5079"/>
  <c r="H142" i="5079"/>
  <c r="H143" i="5079"/>
  <c r="H144" i="5079"/>
  <c r="H145" i="5079"/>
  <c r="H146" i="5079"/>
  <c r="H147" i="5079"/>
  <c r="H148" i="5079"/>
  <c r="H149" i="5079"/>
  <c r="H150" i="5079"/>
  <c r="H151" i="5079"/>
  <c r="H152" i="5079"/>
  <c r="H153" i="5079"/>
  <c r="H154" i="5079"/>
  <c r="H155" i="5079"/>
  <c r="H156" i="5079"/>
  <c r="H157" i="5079"/>
  <c r="H158" i="5079"/>
  <c r="H159" i="5079"/>
  <c r="H160" i="5079"/>
  <c r="H161" i="5079"/>
  <c r="H162" i="5079"/>
  <c r="H163" i="5079"/>
  <c r="H164" i="5079"/>
  <c r="H165" i="5079"/>
  <c r="H166" i="5079"/>
  <c r="H167" i="5079"/>
  <c r="H168" i="5079"/>
  <c r="H169" i="5079"/>
  <c r="H170" i="5079"/>
  <c r="H171" i="5079"/>
  <c r="H172" i="5079"/>
  <c r="H173" i="5079"/>
  <c r="H174" i="5079"/>
  <c r="H175" i="5079"/>
  <c r="H176" i="5079"/>
  <c r="H177" i="5079"/>
  <c r="H178" i="5079"/>
  <c r="H179" i="5079"/>
  <c r="H180" i="5079"/>
  <c r="H181" i="5079"/>
  <c r="H182" i="5079"/>
  <c r="H183" i="5079"/>
  <c r="H184" i="5079"/>
  <c r="H185" i="5079"/>
  <c r="H186" i="5079"/>
  <c r="H187" i="5079"/>
  <c r="H188" i="5079"/>
  <c r="H189" i="5079"/>
  <c r="H190" i="5079"/>
  <c r="H191" i="5079"/>
  <c r="H192" i="5079"/>
  <c r="H193" i="5079"/>
  <c r="H194" i="5079"/>
  <c r="H195" i="5079"/>
  <c r="H196" i="5079"/>
  <c r="H197" i="5079"/>
  <c r="H198" i="5079"/>
  <c r="H199" i="5079"/>
  <c r="H200" i="5079"/>
  <c r="H201" i="5079"/>
  <c r="H202" i="5079"/>
  <c r="H203" i="5079"/>
  <c r="H204" i="5079"/>
  <c r="H205" i="5079"/>
  <c r="H206" i="5079"/>
  <c r="H207" i="5079"/>
  <c r="H208" i="5079"/>
  <c r="H209" i="5079"/>
  <c r="H210" i="5079"/>
  <c r="H211" i="5079"/>
  <c r="H212" i="5079"/>
  <c r="H213" i="5079"/>
  <c r="H214" i="5079"/>
  <c r="H215" i="5079"/>
  <c r="H216" i="5079"/>
  <c r="H217" i="5079"/>
  <c r="H218" i="5079"/>
  <c r="H219" i="5079"/>
  <c r="H220" i="5079"/>
  <c r="H221" i="5079"/>
  <c r="H222" i="5079"/>
  <c r="H223" i="5079"/>
  <c r="H224" i="5079"/>
  <c r="H225" i="5079"/>
  <c r="H226" i="5079"/>
  <c r="H227" i="5079"/>
  <c r="H228" i="5079"/>
  <c r="H229" i="5079"/>
  <c r="H230" i="5079"/>
  <c r="H231" i="5079"/>
  <c r="H232" i="5079"/>
  <c r="H233" i="5079"/>
  <c r="H234" i="5079"/>
  <c r="H235" i="5079"/>
  <c r="H236" i="5079"/>
  <c r="H237" i="5079"/>
  <c r="H238" i="5079"/>
  <c r="H239" i="5079"/>
  <c r="H240" i="5079"/>
  <c r="H241" i="5079"/>
  <c r="H242" i="5079"/>
  <c r="H243" i="5079"/>
  <c r="H244" i="5079"/>
  <c r="H245" i="5079"/>
  <c r="H246" i="5079"/>
  <c r="H247" i="5079"/>
  <c r="H248" i="5079"/>
  <c r="H249" i="5079"/>
  <c r="H250" i="5079"/>
  <c r="H251" i="5079"/>
  <c r="H252" i="5079"/>
  <c r="H253" i="5079"/>
  <c r="H254" i="5079"/>
  <c r="H255" i="5079"/>
  <c r="H256" i="5079"/>
  <c r="H257" i="5079"/>
  <c r="H258" i="5079"/>
  <c r="H259" i="5079"/>
  <c r="H260" i="5079"/>
  <c r="H261" i="5079"/>
  <c r="H262" i="5079"/>
  <c r="H263" i="5079"/>
  <c r="H264" i="5079"/>
  <c r="H265" i="5079"/>
  <c r="H266" i="5079"/>
  <c r="H267" i="5079"/>
  <c r="H268" i="5079"/>
  <c r="H269" i="5079"/>
  <c r="H270" i="5079"/>
  <c r="H271" i="5079"/>
  <c r="H272" i="5079"/>
  <c r="H273" i="5079"/>
  <c r="H274" i="5079"/>
  <c r="H275" i="5079"/>
  <c r="H276" i="5079"/>
  <c r="H277" i="5079"/>
  <c r="H278" i="5079"/>
  <c r="H279" i="5079"/>
  <c r="H280" i="5079"/>
  <c r="H281" i="5079"/>
  <c r="H282" i="5079"/>
  <c r="H283" i="5079"/>
  <c r="H284" i="5079"/>
  <c r="H285" i="5079"/>
  <c r="H286" i="5079"/>
  <c r="H287" i="5079"/>
  <c r="H288" i="5079"/>
  <c r="H289" i="5079"/>
  <c r="H290" i="5079"/>
  <c r="H291" i="5079"/>
  <c r="H292" i="5079"/>
  <c r="H293" i="5079"/>
  <c r="H294" i="5079"/>
  <c r="H295" i="5079"/>
  <c r="H296" i="5079"/>
  <c r="H297" i="5079"/>
  <c r="H298" i="5079"/>
  <c r="H299" i="5079"/>
  <c r="H300" i="5079"/>
  <c r="H301" i="5079"/>
  <c r="H302" i="5079"/>
  <c r="H303" i="5079"/>
  <c r="H304" i="5079"/>
  <c r="H305" i="5079"/>
  <c r="H306" i="5079"/>
  <c r="H307" i="5079"/>
  <c r="H308" i="5079"/>
  <c r="H309" i="5079"/>
  <c r="H310" i="5079"/>
  <c r="H311" i="5079"/>
  <c r="H312" i="5079"/>
  <c r="H313" i="5079"/>
  <c r="H314" i="5079"/>
  <c r="H315" i="5079"/>
  <c r="H316" i="5079"/>
  <c r="H317" i="5079"/>
  <c r="H318" i="5079"/>
  <c r="H319" i="5079"/>
  <c r="H320" i="5079"/>
  <c r="H321" i="5079"/>
  <c r="H322" i="5079"/>
  <c r="H323" i="5079"/>
  <c r="H324" i="5079"/>
  <c r="H325" i="5079"/>
  <c r="H326" i="5079"/>
  <c r="H327" i="5079"/>
  <c r="H328" i="5079"/>
  <c r="H329" i="5079"/>
  <c r="H330" i="5079"/>
  <c r="H331" i="5079"/>
  <c r="H332" i="5079"/>
  <c r="H333" i="5079"/>
  <c r="H334" i="5079"/>
  <c r="H335" i="5079"/>
  <c r="H336" i="5079"/>
  <c r="H337" i="5079"/>
  <c r="H338" i="5079"/>
  <c r="H339" i="5079"/>
  <c r="H340" i="5079"/>
  <c r="H341" i="5079"/>
  <c r="H342" i="5079"/>
  <c r="H343" i="5079"/>
  <c r="H344" i="5079"/>
  <c r="H345" i="5079"/>
  <c r="H346" i="5079"/>
  <c r="H347" i="5079"/>
  <c r="H348" i="5079"/>
  <c r="H349" i="5079"/>
  <c r="H350" i="5079"/>
  <c r="H351" i="5079"/>
  <c r="H352" i="5079"/>
  <c r="H353" i="5079"/>
  <c r="H354" i="5079"/>
  <c r="H355" i="5079"/>
  <c r="H356" i="5079"/>
  <c r="H357" i="5079"/>
  <c r="H358" i="5079"/>
  <c r="H359" i="5079"/>
  <c r="H360" i="5079"/>
  <c r="H361" i="5079"/>
  <c r="H362" i="5079"/>
  <c r="H363" i="5079"/>
  <c r="H364" i="5079"/>
  <c r="H365" i="5079"/>
  <c r="H366" i="5079"/>
  <c r="H367" i="5079"/>
  <c r="H368" i="5079"/>
  <c r="H369" i="5079"/>
  <c r="H370" i="5079"/>
  <c r="H371" i="5079"/>
  <c r="H372" i="5079"/>
  <c r="H373" i="5079"/>
  <c r="H374" i="5079"/>
  <c r="H375" i="5079"/>
  <c r="H376" i="5079"/>
  <c r="H377" i="5079"/>
  <c r="H378" i="5079"/>
  <c r="H379" i="5079"/>
  <c r="H380" i="5079"/>
  <c r="H381" i="5079"/>
  <c r="H382" i="5079"/>
  <c r="H383" i="5079"/>
  <c r="H384" i="5079"/>
  <c r="H385" i="5079"/>
  <c r="H386" i="5079"/>
  <c r="H387" i="5079"/>
  <c r="H388" i="5079"/>
  <c r="H389" i="5079"/>
  <c r="H390" i="5079"/>
  <c r="H391" i="5079"/>
  <c r="H392" i="5079"/>
  <c r="H393" i="5079"/>
  <c r="H394" i="5079"/>
  <c r="H395" i="5079"/>
  <c r="H396" i="5079"/>
  <c r="H397" i="5079"/>
  <c r="H398" i="5079"/>
  <c r="H399" i="5079"/>
  <c r="H400" i="5079"/>
  <c r="H401" i="5079"/>
  <c r="H402" i="5079"/>
  <c r="H403" i="5079"/>
  <c r="H404" i="5079"/>
  <c r="H405" i="5079"/>
  <c r="H406" i="5079"/>
  <c r="H407" i="5079"/>
  <c r="H408" i="5079"/>
  <c r="H409" i="5079"/>
  <c r="H410" i="5079"/>
  <c r="H411" i="5079"/>
  <c r="H412" i="5079"/>
  <c r="H413" i="5079"/>
  <c r="H414" i="5079"/>
  <c r="H415" i="5079"/>
  <c r="H416" i="5079"/>
  <c r="H417" i="5079"/>
  <c r="H418" i="5079"/>
  <c r="H419" i="5079"/>
  <c r="H420" i="5079"/>
  <c r="H421" i="5079"/>
  <c r="H422" i="5079"/>
  <c r="H423" i="5079"/>
  <c r="H424" i="5079"/>
  <c r="H425" i="5079"/>
  <c r="H426" i="5079"/>
  <c r="H427" i="5079"/>
  <c r="H428" i="5079"/>
  <c r="H429" i="5079"/>
  <c r="H430" i="5079"/>
  <c r="H431" i="5079"/>
  <c r="H432" i="5079"/>
  <c r="H433" i="5079"/>
  <c r="H434" i="5079"/>
  <c r="H435" i="5079"/>
  <c r="H436" i="5079"/>
  <c r="H437" i="5079"/>
  <c r="H438" i="5079"/>
  <c r="H439" i="5079"/>
  <c r="H440" i="5079"/>
  <c r="H441" i="5079"/>
  <c r="H442" i="5079"/>
  <c r="H443" i="5079"/>
  <c r="H444" i="5079"/>
  <c r="H445" i="5079"/>
  <c r="H446" i="5079"/>
  <c r="H447" i="5079"/>
  <c r="H448" i="5079"/>
  <c r="H449" i="5079"/>
  <c r="H450" i="5079"/>
  <c r="H451" i="5079"/>
  <c r="H452" i="5079"/>
  <c r="H453" i="5079"/>
  <c r="H454" i="5079"/>
  <c r="H455" i="5079"/>
  <c r="H456" i="5079"/>
  <c r="H457" i="5079"/>
  <c r="H458" i="5079"/>
  <c r="H459" i="5079"/>
  <c r="H460" i="5079"/>
  <c r="H461" i="5079"/>
  <c r="H462" i="5079"/>
  <c r="H463" i="5079"/>
  <c r="H464" i="5079"/>
  <c r="H465" i="5079"/>
  <c r="H466" i="5079"/>
  <c r="H467" i="5079"/>
  <c r="H468" i="5079"/>
  <c r="H469" i="5079"/>
  <c r="H470" i="5079"/>
  <c r="H471" i="5079"/>
  <c r="H472" i="5079"/>
  <c r="H473" i="5079"/>
  <c r="H474" i="5079"/>
  <c r="H475" i="5079"/>
  <c r="H476" i="5079"/>
  <c r="H477" i="5079"/>
  <c r="H478" i="5079"/>
  <c r="H479" i="5079"/>
  <c r="H480" i="5079"/>
  <c r="H481" i="5079"/>
  <c r="H482" i="5079"/>
  <c r="H483" i="5079"/>
  <c r="H484" i="5079"/>
  <c r="H485" i="5079"/>
  <c r="H486" i="5079"/>
  <c r="H487" i="5079"/>
  <c r="H488" i="5079"/>
  <c r="H489" i="5079"/>
  <c r="H490" i="5079"/>
  <c r="H491" i="5079"/>
  <c r="H492" i="5079"/>
  <c r="H493" i="5079"/>
  <c r="H494" i="5079"/>
  <c r="H495" i="5079"/>
  <c r="H496" i="5079"/>
  <c r="H497" i="5079"/>
  <c r="H498" i="5079"/>
  <c r="H499" i="5079"/>
  <c r="H500" i="5079"/>
  <c r="H501" i="5079"/>
  <c r="H502" i="5079"/>
  <c r="H503" i="5079"/>
  <c r="H504" i="5079"/>
  <c r="H505" i="5079"/>
  <c r="H2" i="5078"/>
  <c r="H3" i="5078"/>
  <c r="H4" i="5078"/>
  <c r="H5" i="5078"/>
  <c r="H6" i="5078"/>
  <c r="H7" i="5078"/>
  <c r="H8" i="5078"/>
  <c r="H9" i="5078"/>
  <c r="H10" i="5078"/>
  <c r="H11" i="5078"/>
  <c r="H12" i="5078"/>
  <c r="H13" i="5078"/>
  <c r="H14" i="5078"/>
  <c r="H15" i="5078"/>
  <c r="H16" i="5078"/>
  <c r="H17" i="5078"/>
  <c r="H18" i="5078"/>
  <c r="H19" i="5078"/>
  <c r="H20" i="5078"/>
  <c r="H21" i="5078"/>
  <c r="H22" i="5078"/>
  <c r="H23" i="5078"/>
  <c r="H24" i="5078"/>
  <c r="H25" i="5078"/>
  <c r="H26" i="5078"/>
  <c r="H27" i="5078"/>
  <c r="H28" i="5078"/>
  <c r="H29" i="5078"/>
  <c r="H30" i="5078"/>
  <c r="H31" i="5078"/>
  <c r="H32" i="5078"/>
  <c r="H33" i="5078"/>
  <c r="H34" i="5078"/>
  <c r="H35" i="5078"/>
  <c r="H36" i="5078"/>
  <c r="H37" i="5078"/>
  <c r="H38" i="5078"/>
  <c r="H39" i="5078"/>
  <c r="H40" i="5078"/>
  <c r="H41" i="5078"/>
  <c r="H42" i="5078"/>
  <c r="H43" i="5078"/>
  <c r="H44" i="5078"/>
  <c r="H45" i="5078"/>
  <c r="H46" i="5078"/>
  <c r="H47" i="5078"/>
  <c r="H48" i="5078"/>
  <c r="H49" i="5078"/>
  <c r="H50" i="5078"/>
  <c r="H51" i="5078"/>
  <c r="H52" i="5078"/>
  <c r="H53" i="5078"/>
  <c r="H54" i="5078"/>
  <c r="H55" i="5078"/>
  <c r="H56" i="5078"/>
  <c r="H57" i="5078"/>
  <c r="H58" i="5078"/>
  <c r="H59" i="5078"/>
  <c r="H60" i="5078"/>
  <c r="H61" i="5078"/>
  <c r="H62" i="5078"/>
  <c r="H63" i="5078"/>
  <c r="H64" i="5078"/>
  <c r="H65" i="5078"/>
  <c r="H66" i="5078"/>
  <c r="H67" i="5078"/>
  <c r="H68" i="5078"/>
  <c r="H69" i="5078"/>
  <c r="H70" i="5078"/>
  <c r="H71" i="5078"/>
  <c r="H72" i="5078"/>
  <c r="H73" i="5078"/>
  <c r="H74" i="5078"/>
  <c r="H75" i="5078"/>
  <c r="H76" i="5078"/>
  <c r="H77" i="5078"/>
  <c r="H78" i="5078"/>
  <c r="H79" i="5078"/>
  <c r="H80" i="5078"/>
  <c r="H81" i="5078"/>
  <c r="H82" i="5078"/>
  <c r="H83" i="5078"/>
  <c r="H84" i="5078"/>
  <c r="H85" i="5078"/>
  <c r="H86" i="5078"/>
  <c r="H87" i="5078"/>
  <c r="H88" i="5078"/>
  <c r="H89" i="5078"/>
  <c r="H90" i="5078"/>
  <c r="H91" i="5078"/>
  <c r="H92" i="5078"/>
  <c r="H93" i="5078"/>
  <c r="H94" i="5078"/>
  <c r="H95" i="5078"/>
  <c r="H96" i="5078"/>
  <c r="H97" i="5078"/>
  <c r="H98" i="5078"/>
  <c r="H99" i="5078"/>
  <c r="H100" i="5078"/>
  <c r="H101" i="5078"/>
  <c r="H102" i="5078"/>
  <c r="H103" i="5078"/>
  <c r="H104" i="5078"/>
  <c r="H105" i="5078"/>
  <c r="H106" i="5078"/>
  <c r="H107" i="5078"/>
  <c r="H108" i="5078"/>
  <c r="H109" i="5078"/>
  <c r="H110" i="5078"/>
  <c r="H111" i="5078"/>
  <c r="H112" i="5078"/>
  <c r="H113" i="5078"/>
  <c r="H114" i="5078"/>
  <c r="H115" i="5078"/>
  <c r="H116" i="5078"/>
  <c r="H117" i="5078"/>
  <c r="H118" i="5078"/>
  <c r="H119" i="5078"/>
  <c r="H120" i="5078"/>
  <c r="H121" i="5078"/>
  <c r="H122" i="5078"/>
  <c r="H123" i="5078"/>
  <c r="H124" i="5078"/>
  <c r="H125" i="5078"/>
  <c r="H126" i="5078"/>
  <c r="H127" i="5078"/>
  <c r="H128" i="5078"/>
  <c r="H129" i="5078"/>
  <c r="H130" i="5078"/>
  <c r="H131" i="5078"/>
  <c r="H132" i="5078"/>
  <c r="H133" i="5078"/>
  <c r="H134" i="5078"/>
  <c r="H135" i="5078"/>
  <c r="H136" i="5078"/>
  <c r="H137" i="5078"/>
  <c r="H138" i="5078"/>
  <c r="H139" i="5078"/>
  <c r="H140" i="5078"/>
  <c r="H141" i="5078"/>
  <c r="H142" i="5078"/>
  <c r="H143" i="5078"/>
  <c r="H144" i="5078"/>
  <c r="H145" i="5078"/>
  <c r="H146" i="5078"/>
  <c r="H147" i="5078"/>
  <c r="H148" i="5078"/>
  <c r="H149" i="5078"/>
  <c r="H150" i="5078"/>
  <c r="H151" i="5078"/>
  <c r="H152" i="5078"/>
  <c r="H153" i="5078"/>
  <c r="H154" i="5078"/>
  <c r="H155" i="5078"/>
  <c r="H156" i="5078"/>
  <c r="H157" i="5078"/>
  <c r="H158" i="5078"/>
  <c r="H159" i="5078"/>
  <c r="H160" i="5078"/>
  <c r="H161" i="5078"/>
  <c r="H162" i="5078"/>
  <c r="H163" i="5078"/>
  <c r="H164" i="5078"/>
  <c r="H165" i="5078"/>
  <c r="H166" i="5078"/>
  <c r="H167" i="5078"/>
  <c r="H168" i="5078"/>
  <c r="H169" i="5078"/>
  <c r="H170" i="5078"/>
  <c r="H171" i="5078"/>
  <c r="H172" i="5078"/>
  <c r="H173" i="5078"/>
  <c r="H174" i="5078"/>
  <c r="H175" i="5078"/>
  <c r="H176" i="5078"/>
  <c r="H177" i="5078"/>
  <c r="H178" i="5078"/>
  <c r="H179" i="5078"/>
  <c r="H180" i="5078"/>
  <c r="H181" i="5078"/>
  <c r="H182" i="5078"/>
  <c r="H183" i="5078"/>
  <c r="H184" i="5078"/>
  <c r="H185" i="5078"/>
  <c r="H186" i="5078"/>
  <c r="H187" i="5078"/>
  <c r="H188" i="5078"/>
  <c r="H189" i="5078"/>
  <c r="H190" i="5078"/>
  <c r="H191" i="5078"/>
  <c r="H192" i="5078"/>
  <c r="H193" i="5078"/>
  <c r="H194" i="5078"/>
  <c r="H195" i="5078"/>
  <c r="H196" i="5078"/>
  <c r="H197" i="5078"/>
  <c r="H198" i="5078"/>
  <c r="H199" i="5078"/>
  <c r="H200" i="5078"/>
  <c r="H201" i="5078"/>
  <c r="H202" i="5078"/>
  <c r="H203" i="5078"/>
  <c r="H204" i="5078"/>
  <c r="H205" i="5078"/>
  <c r="H206" i="5078"/>
  <c r="H207" i="5078"/>
  <c r="H208" i="5078"/>
  <c r="H209" i="5078"/>
  <c r="H210" i="5078"/>
  <c r="H211" i="5078"/>
  <c r="H212" i="5078"/>
  <c r="H213" i="5078"/>
  <c r="H214" i="5078"/>
  <c r="H215" i="5078"/>
  <c r="H216" i="5078"/>
  <c r="H217" i="5078"/>
  <c r="H218" i="5078"/>
  <c r="H219" i="5078"/>
  <c r="H220" i="5078"/>
  <c r="H221" i="5078"/>
  <c r="H222" i="5078"/>
  <c r="H223" i="5078"/>
  <c r="H224" i="5078"/>
  <c r="H225" i="5078"/>
  <c r="H226" i="5078"/>
  <c r="H227" i="5078"/>
  <c r="H228" i="5078"/>
  <c r="H229" i="5078"/>
  <c r="H230" i="5078"/>
  <c r="H231" i="5078"/>
  <c r="H232" i="5078"/>
  <c r="H233" i="5078"/>
  <c r="H234" i="5078"/>
  <c r="H235" i="5078"/>
  <c r="H236" i="5078"/>
  <c r="H237" i="5078"/>
  <c r="H238" i="5078"/>
  <c r="H239" i="5078"/>
  <c r="H240" i="5078"/>
  <c r="H241" i="5078"/>
  <c r="H242" i="5078"/>
  <c r="H243" i="5078"/>
  <c r="H244" i="5078"/>
  <c r="H245" i="5078"/>
  <c r="H246" i="5078"/>
  <c r="H247" i="5078"/>
  <c r="H248" i="5078"/>
  <c r="H249" i="5078"/>
  <c r="H250" i="5078"/>
  <c r="H251" i="5078"/>
  <c r="H252" i="5078"/>
  <c r="H253" i="5078"/>
  <c r="H254" i="5078"/>
  <c r="H255" i="5078"/>
  <c r="H256" i="5078"/>
  <c r="H257" i="5078"/>
  <c r="H258" i="5078"/>
  <c r="H259" i="5078"/>
  <c r="H260" i="5078"/>
  <c r="H261" i="5078"/>
  <c r="H262" i="5078"/>
  <c r="H263" i="5078"/>
  <c r="H264" i="5078"/>
  <c r="H265" i="5078"/>
  <c r="H266" i="5078"/>
  <c r="H267" i="5078"/>
  <c r="H268" i="5078"/>
  <c r="H269" i="5078"/>
  <c r="H270" i="5078"/>
  <c r="H271" i="5078"/>
  <c r="H272" i="5078"/>
  <c r="H273" i="5078"/>
  <c r="H274" i="5078"/>
  <c r="H275" i="5078"/>
  <c r="H276" i="5078"/>
  <c r="H277" i="5078"/>
  <c r="H278" i="5078"/>
  <c r="H279" i="5078"/>
  <c r="H280" i="5078"/>
  <c r="H281" i="5078"/>
  <c r="H282" i="5078"/>
  <c r="H283" i="5078"/>
  <c r="H284" i="5078"/>
  <c r="H285" i="5078"/>
  <c r="H286" i="5078"/>
  <c r="H287" i="5078"/>
  <c r="H288" i="5078"/>
  <c r="H289" i="5078"/>
  <c r="H290" i="5078"/>
  <c r="H291" i="5078"/>
  <c r="H292" i="5078"/>
  <c r="H293" i="5078"/>
  <c r="H294" i="5078"/>
  <c r="H295" i="5078"/>
  <c r="H296" i="5078"/>
  <c r="H297" i="5078"/>
  <c r="H298" i="5078"/>
  <c r="H299" i="5078"/>
  <c r="H300" i="5078"/>
  <c r="H301" i="5078"/>
  <c r="H302" i="5078"/>
  <c r="H303" i="5078"/>
  <c r="H304" i="5078"/>
  <c r="H305" i="5078"/>
  <c r="H306" i="5078"/>
  <c r="H307" i="5078"/>
  <c r="H308" i="5078"/>
  <c r="H309" i="5078"/>
  <c r="H310" i="5078"/>
  <c r="H311" i="5078"/>
  <c r="H312" i="5078"/>
  <c r="H313" i="5078"/>
  <c r="H314" i="5078"/>
  <c r="H315" i="5078"/>
  <c r="H316" i="5078"/>
  <c r="H317" i="5078"/>
  <c r="H318" i="5078"/>
  <c r="H319" i="5078"/>
  <c r="H320" i="5078"/>
  <c r="H321" i="5078"/>
  <c r="H322" i="5078"/>
  <c r="H323" i="5078"/>
  <c r="H324" i="5078"/>
  <c r="H325" i="5078"/>
  <c r="H326" i="5078"/>
  <c r="H327" i="5078"/>
  <c r="H328" i="5078"/>
  <c r="H329" i="5078"/>
  <c r="H330" i="5078"/>
  <c r="H331" i="5078"/>
  <c r="H332" i="5078"/>
  <c r="H333" i="5078"/>
  <c r="H334" i="5078"/>
  <c r="H335" i="5078"/>
  <c r="H336" i="5078"/>
  <c r="H337" i="5078"/>
  <c r="H338" i="5078"/>
  <c r="H339" i="5078"/>
  <c r="H340" i="5078"/>
  <c r="H341" i="5078"/>
  <c r="H342" i="5078"/>
  <c r="H343" i="5078"/>
  <c r="H344" i="5078"/>
  <c r="H345" i="5078"/>
  <c r="H346" i="5078"/>
  <c r="H347" i="5078"/>
  <c r="H348" i="5078"/>
  <c r="H349" i="5078"/>
  <c r="H350" i="5078"/>
  <c r="H351" i="5078"/>
  <c r="H352" i="5078"/>
  <c r="H353" i="5078"/>
  <c r="H354" i="5078"/>
  <c r="H355" i="5078"/>
  <c r="H356" i="5078"/>
  <c r="H357" i="5078"/>
  <c r="H358" i="5078"/>
  <c r="H359" i="5078"/>
  <c r="H360" i="5078"/>
  <c r="H361" i="5078"/>
  <c r="H362" i="5078"/>
  <c r="H363" i="5078"/>
  <c r="H364" i="5078"/>
  <c r="H365" i="5078"/>
  <c r="H366" i="5078"/>
  <c r="H367" i="5078"/>
  <c r="H368" i="5078"/>
  <c r="H369" i="5078"/>
  <c r="H370" i="5078"/>
  <c r="H371" i="5078"/>
  <c r="H372" i="5078"/>
  <c r="H373" i="5078"/>
  <c r="H374" i="5078"/>
  <c r="H375" i="5078"/>
  <c r="H376" i="5078"/>
  <c r="H377" i="5078"/>
  <c r="H378" i="5078"/>
  <c r="H379" i="5078"/>
  <c r="H380" i="5078"/>
  <c r="H381" i="5078"/>
  <c r="H382" i="5078"/>
  <c r="H383" i="5078"/>
  <c r="H384" i="5078"/>
  <c r="H385" i="5078"/>
  <c r="H386" i="5078"/>
  <c r="H387" i="5078"/>
  <c r="H388" i="5078"/>
  <c r="H389" i="5078"/>
  <c r="H390" i="5078"/>
  <c r="H391" i="5078"/>
  <c r="H392" i="5078"/>
  <c r="H393" i="5078"/>
  <c r="H394" i="5078"/>
  <c r="H395" i="5078"/>
  <c r="H396" i="5078"/>
  <c r="H397" i="5078"/>
  <c r="H398" i="5078"/>
  <c r="H399" i="5078"/>
  <c r="H400" i="5078"/>
  <c r="H401" i="5078"/>
  <c r="H402" i="5078"/>
  <c r="H403" i="5078"/>
  <c r="H404" i="5078"/>
  <c r="H405" i="5078"/>
  <c r="H406" i="5078"/>
  <c r="H407" i="5078"/>
  <c r="H408" i="5078"/>
  <c r="H409" i="5078"/>
  <c r="H410" i="5078"/>
  <c r="H411" i="5078"/>
  <c r="H412" i="5078"/>
  <c r="H413" i="5078"/>
  <c r="H414" i="5078"/>
  <c r="H415" i="5078"/>
  <c r="H416" i="5078"/>
  <c r="H417" i="5078"/>
  <c r="H418" i="5078"/>
  <c r="H419" i="5078"/>
  <c r="H420" i="5078"/>
  <c r="H421" i="5078"/>
  <c r="H422" i="5078"/>
  <c r="H423" i="5078"/>
  <c r="H424" i="5078"/>
  <c r="H425" i="5078"/>
  <c r="H426" i="5078"/>
  <c r="H427" i="5078"/>
  <c r="H428" i="5078"/>
  <c r="H429" i="5078"/>
  <c r="H430" i="5078"/>
  <c r="H431" i="5078"/>
  <c r="H432" i="5078"/>
  <c r="H433" i="5078"/>
  <c r="H434" i="5078"/>
  <c r="H435" i="5078"/>
  <c r="H436" i="5078"/>
  <c r="H437" i="5078"/>
  <c r="H438" i="5078"/>
  <c r="H439" i="5078"/>
  <c r="H440" i="5078"/>
  <c r="H441" i="5078"/>
  <c r="H442" i="5078"/>
  <c r="H443" i="5078"/>
  <c r="H444" i="5078"/>
  <c r="H445" i="5078"/>
  <c r="H446" i="5078"/>
  <c r="H447" i="5078"/>
  <c r="H448" i="5078"/>
  <c r="H449" i="5078"/>
  <c r="H450" i="5078"/>
  <c r="H451" i="5078"/>
  <c r="H452" i="5078"/>
  <c r="H453" i="5078"/>
  <c r="H454" i="5078"/>
  <c r="H455" i="5078"/>
  <c r="H456" i="5078"/>
  <c r="H457" i="5078"/>
  <c r="H458" i="5078"/>
  <c r="H459" i="5078"/>
  <c r="H460" i="5078"/>
  <c r="H461" i="5078"/>
  <c r="H462" i="5078"/>
  <c r="H463" i="5078"/>
  <c r="H464" i="5078"/>
  <c r="H465" i="5078"/>
  <c r="H466" i="5078"/>
  <c r="H467" i="5078"/>
  <c r="H468" i="5078"/>
  <c r="H469" i="5078"/>
  <c r="H470" i="5078"/>
  <c r="H471" i="5078"/>
  <c r="H472" i="5078"/>
  <c r="H473" i="5078"/>
  <c r="H474" i="5078"/>
  <c r="H475" i="5078"/>
  <c r="H476" i="5078"/>
  <c r="H477" i="5078"/>
  <c r="H478" i="5078"/>
  <c r="H479" i="5078"/>
  <c r="H480" i="5078"/>
  <c r="H481" i="5078"/>
  <c r="H482" i="5078"/>
  <c r="H483" i="5078"/>
  <c r="H484" i="5078"/>
  <c r="H485" i="5078"/>
  <c r="H486" i="5078"/>
  <c r="H487" i="5078"/>
  <c r="H488" i="5078"/>
  <c r="H489" i="5078"/>
  <c r="H490" i="5078"/>
  <c r="H491" i="5078"/>
  <c r="H492" i="5078"/>
  <c r="H493" i="5078"/>
  <c r="H494" i="5078"/>
  <c r="H495" i="5078"/>
  <c r="H496" i="5078"/>
  <c r="H497" i="5078"/>
  <c r="H498" i="5078"/>
  <c r="H499" i="5078"/>
  <c r="H500" i="5078"/>
  <c r="H501" i="5078"/>
  <c r="H502" i="5078"/>
  <c r="H503" i="5078"/>
  <c r="H504" i="5078"/>
  <c r="H505" i="5078"/>
  <c r="G2" i="5083"/>
  <c r="G3" i="5083"/>
  <c r="G4" i="5083"/>
  <c r="G5" i="5083"/>
  <c r="G6" i="5083"/>
  <c r="G7" i="5083"/>
  <c r="G8" i="5083"/>
  <c r="G9" i="5083"/>
  <c r="G10" i="5083"/>
  <c r="G11" i="5083"/>
  <c r="G12" i="5083"/>
  <c r="G13" i="5083"/>
  <c r="G14" i="5083"/>
  <c r="G15" i="5083"/>
  <c r="G16" i="5083"/>
  <c r="G17" i="5083"/>
  <c r="G18" i="5083"/>
  <c r="G19" i="5083"/>
  <c r="G20" i="5083"/>
  <c r="G21" i="5083"/>
  <c r="G22" i="5083"/>
  <c r="G23" i="5083"/>
  <c r="G24" i="5083"/>
  <c r="G25" i="5083"/>
  <c r="G26" i="5083"/>
  <c r="G27" i="5083"/>
  <c r="G28" i="5083"/>
  <c r="G29" i="5083"/>
  <c r="G30" i="5083"/>
  <c r="G31" i="5083"/>
  <c r="G32" i="5083"/>
  <c r="G33" i="5083"/>
  <c r="G34" i="5083"/>
  <c r="G35" i="5083"/>
  <c r="G36" i="5083"/>
  <c r="G37" i="5083"/>
  <c r="G38" i="5083"/>
  <c r="G39" i="5083"/>
  <c r="G40" i="5083"/>
  <c r="G41" i="5083"/>
  <c r="G42" i="5083"/>
  <c r="G43" i="5083"/>
  <c r="G44" i="5083"/>
  <c r="G45" i="5083"/>
  <c r="G46" i="5083"/>
  <c r="G47" i="5083"/>
  <c r="G48" i="5083"/>
  <c r="G49" i="5083"/>
  <c r="G50" i="5083"/>
  <c r="G51" i="5083"/>
  <c r="G52" i="5083"/>
  <c r="G53" i="5083"/>
  <c r="G54" i="5083"/>
  <c r="G55" i="5083"/>
  <c r="G56" i="5083"/>
  <c r="G57" i="5083"/>
  <c r="G58" i="5083"/>
  <c r="G59" i="5083"/>
  <c r="G60" i="5083"/>
  <c r="G61" i="5083"/>
  <c r="G62" i="5083"/>
  <c r="G63" i="5083"/>
  <c r="G64" i="5083"/>
  <c r="G65" i="5083"/>
  <c r="G66" i="5083"/>
  <c r="G67" i="5083"/>
  <c r="G68" i="5083"/>
  <c r="G69" i="5083"/>
  <c r="G70" i="5083"/>
  <c r="G71" i="5083"/>
  <c r="G72" i="5083"/>
  <c r="G73" i="5083"/>
  <c r="G74" i="5083"/>
  <c r="G75" i="5083"/>
  <c r="G76" i="5083"/>
  <c r="G77" i="5083"/>
  <c r="G78" i="5083"/>
  <c r="G79" i="5083"/>
  <c r="G80" i="5083"/>
  <c r="G81" i="5083"/>
  <c r="G82" i="5083"/>
  <c r="G83" i="5083"/>
  <c r="G84" i="5083"/>
  <c r="G85" i="5083"/>
  <c r="G86" i="5083"/>
  <c r="G87" i="5083"/>
  <c r="G88" i="5083"/>
  <c r="G89" i="5083"/>
  <c r="G90" i="5083"/>
  <c r="G91" i="5083"/>
  <c r="G92" i="5083"/>
  <c r="G93" i="5083"/>
  <c r="G94" i="5083"/>
  <c r="G95" i="5083"/>
  <c r="G96" i="5083"/>
  <c r="G97" i="5083"/>
  <c r="G98" i="5083"/>
  <c r="G99" i="5083"/>
  <c r="G100" i="5083"/>
  <c r="G101" i="5083"/>
  <c r="G102" i="5083"/>
  <c r="G103" i="5083"/>
  <c r="G104" i="5083"/>
  <c r="G105" i="5083"/>
  <c r="G106" i="5083"/>
  <c r="G107" i="5083"/>
  <c r="G108" i="5083"/>
  <c r="G109" i="5083"/>
  <c r="G110" i="5083"/>
  <c r="G111" i="5083"/>
  <c r="G112" i="5083"/>
  <c r="G113" i="5083"/>
  <c r="G114" i="5083"/>
  <c r="G115" i="5083"/>
  <c r="G116" i="5083"/>
  <c r="G117" i="5083"/>
  <c r="G118" i="5083"/>
  <c r="G119" i="5083"/>
  <c r="G120" i="5083"/>
  <c r="G121" i="5083"/>
  <c r="G122" i="5083"/>
  <c r="G123" i="5083"/>
  <c r="G124" i="5083"/>
  <c r="G125" i="5083"/>
  <c r="G126" i="5083"/>
  <c r="G127" i="5083"/>
  <c r="G128" i="5083"/>
  <c r="G129" i="5083"/>
  <c r="G130" i="5083"/>
  <c r="G131" i="5083"/>
  <c r="G132" i="5083"/>
  <c r="G133" i="5083"/>
  <c r="G134" i="5083"/>
  <c r="G135" i="5083"/>
  <c r="G136" i="5083"/>
  <c r="G137" i="5083"/>
  <c r="G138" i="5083"/>
  <c r="G139" i="5083"/>
  <c r="G140" i="5083"/>
  <c r="G141" i="5083"/>
  <c r="G142" i="5083"/>
  <c r="G143" i="5083"/>
  <c r="G144" i="5083"/>
  <c r="G145" i="5083"/>
  <c r="G146" i="5083"/>
  <c r="G147" i="5083"/>
  <c r="G148" i="5083"/>
  <c r="G149" i="5083"/>
  <c r="G150" i="5083"/>
  <c r="G151" i="5083"/>
  <c r="G152" i="5083"/>
  <c r="G153" i="5083"/>
  <c r="G154" i="5083"/>
  <c r="G155" i="5083"/>
  <c r="G156" i="5083"/>
  <c r="G157" i="5083"/>
  <c r="G158" i="5083"/>
  <c r="G159" i="5083"/>
  <c r="G160" i="5083"/>
  <c r="G161" i="5083"/>
  <c r="G162" i="5083"/>
  <c r="G163" i="5083"/>
  <c r="G164" i="5083"/>
  <c r="G165" i="5083"/>
  <c r="G166" i="5083"/>
  <c r="G167" i="5083"/>
  <c r="G168" i="5083"/>
  <c r="G169" i="5083"/>
  <c r="G170" i="5083"/>
  <c r="G171" i="5083"/>
  <c r="G172" i="5083"/>
  <c r="G173" i="5083"/>
  <c r="G174" i="5083"/>
  <c r="G175" i="5083"/>
  <c r="G176" i="5083"/>
  <c r="G177" i="5083"/>
  <c r="G178" i="5083"/>
  <c r="G179" i="5083"/>
  <c r="G180" i="5083"/>
  <c r="G181" i="5083"/>
  <c r="G182" i="5083"/>
  <c r="G183" i="5083"/>
  <c r="G184" i="5083"/>
  <c r="G185" i="5083"/>
  <c r="G186" i="5083"/>
  <c r="G187" i="5083"/>
  <c r="G188" i="5083"/>
  <c r="G189" i="5083"/>
  <c r="G190" i="5083"/>
  <c r="G191" i="5083"/>
  <c r="G192" i="5083"/>
  <c r="G193" i="5083"/>
  <c r="G194" i="5083"/>
  <c r="G195" i="5083"/>
  <c r="G196" i="5083"/>
  <c r="G197" i="5083"/>
  <c r="G198" i="5083"/>
  <c r="G199" i="5083"/>
  <c r="G200" i="5083"/>
  <c r="G201" i="5083"/>
  <c r="G202" i="5083"/>
  <c r="G203" i="5083"/>
  <c r="G204" i="5083"/>
  <c r="G205" i="5083"/>
  <c r="G206" i="5083"/>
  <c r="G207" i="5083"/>
  <c r="G208" i="5083"/>
  <c r="G209" i="5083"/>
  <c r="G210" i="5083"/>
  <c r="G211" i="5083"/>
  <c r="G212" i="5083"/>
  <c r="G213" i="5083"/>
  <c r="G214" i="5083"/>
  <c r="G215" i="5083"/>
  <c r="G216" i="5083"/>
  <c r="G217" i="5083"/>
  <c r="G218" i="5083"/>
  <c r="G219" i="5083"/>
  <c r="G220" i="5083"/>
  <c r="G221" i="5083"/>
  <c r="G222" i="5083"/>
  <c r="G223" i="5083"/>
  <c r="G224" i="5083"/>
  <c r="G225" i="5083"/>
  <c r="G226" i="5083"/>
  <c r="G227" i="5083"/>
  <c r="G228" i="5083"/>
  <c r="G229" i="5083"/>
  <c r="G230" i="5083"/>
  <c r="G231" i="5083"/>
  <c r="G232" i="5083"/>
  <c r="G233" i="5083"/>
  <c r="G234" i="5083"/>
  <c r="G235" i="5083"/>
  <c r="G236" i="5083"/>
  <c r="G237" i="5083"/>
  <c r="G238" i="5083"/>
  <c r="G239" i="5083"/>
  <c r="G240" i="5083"/>
  <c r="G241" i="5083"/>
  <c r="G242" i="5083"/>
  <c r="G243" i="5083"/>
  <c r="G244" i="5083"/>
  <c r="G245" i="5083"/>
  <c r="G246" i="5083"/>
  <c r="G247" i="5083"/>
  <c r="G248" i="5083"/>
  <c r="G249" i="5083"/>
  <c r="G250" i="5083"/>
  <c r="G251" i="5083"/>
  <c r="G252" i="5083"/>
  <c r="G253" i="5083"/>
  <c r="G254" i="5083"/>
  <c r="G255" i="5083"/>
  <c r="G256" i="5083"/>
  <c r="G257" i="5083"/>
  <c r="G258" i="5083"/>
  <c r="G259" i="5083"/>
  <c r="G260" i="5083"/>
  <c r="G261" i="5083"/>
  <c r="G262" i="5083"/>
  <c r="G263" i="5083"/>
  <c r="G264" i="5083"/>
  <c r="G265" i="5083"/>
  <c r="G266" i="5083"/>
  <c r="G267" i="5083"/>
  <c r="G268" i="5083"/>
  <c r="G269" i="5083"/>
  <c r="G270" i="5083"/>
  <c r="G271" i="5083"/>
  <c r="G272" i="5083"/>
  <c r="G273" i="5083"/>
  <c r="G274" i="5083"/>
  <c r="G275" i="5083"/>
  <c r="G276" i="5083"/>
  <c r="G277" i="5083"/>
  <c r="G278" i="5083"/>
  <c r="G279" i="5083"/>
  <c r="G280" i="5083"/>
  <c r="G281" i="5083"/>
  <c r="G282" i="5083"/>
  <c r="G283" i="5083"/>
  <c r="G284" i="5083"/>
  <c r="G285" i="5083"/>
  <c r="G286" i="5083"/>
  <c r="G287" i="5083"/>
  <c r="G288" i="5083"/>
  <c r="G289" i="5083"/>
  <c r="G290" i="5083"/>
  <c r="G291" i="5083"/>
  <c r="G292" i="5083"/>
  <c r="G293" i="5083"/>
  <c r="G294" i="5083"/>
  <c r="G295" i="5083"/>
  <c r="G296" i="5083"/>
  <c r="G297" i="5083"/>
  <c r="G298" i="5083"/>
  <c r="G299" i="5083"/>
  <c r="G300" i="5083"/>
  <c r="G301" i="5083"/>
  <c r="G302" i="5083"/>
  <c r="G303" i="5083"/>
  <c r="G304" i="5083"/>
  <c r="G305" i="5083"/>
  <c r="G306" i="5083"/>
  <c r="G307" i="5083"/>
  <c r="G308" i="5083"/>
  <c r="G309" i="5083"/>
  <c r="G310" i="5083"/>
  <c r="G311" i="5083"/>
  <c r="G312" i="5083"/>
  <c r="G313" i="5083"/>
  <c r="G314" i="5083"/>
  <c r="G315" i="5083"/>
  <c r="G316" i="5083"/>
  <c r="G317" i="5083"/>
  <c r="G318" i="5083"/>
  <c r="G319" i="5083"/>
  <c r="G320" i="5083"/>
  <c r="G321" i="5083"/>
  <c r="G322" i="5083"/>
  <c r="G323" i="5083"/>
  <c r="G324" i="5083"/>
  <c r="G325" i="5083"/>
  <c r="G326" i="5083"/>
  <c r="G327" i="5083"/>
  <c r="G328" i="5083"/>
  <c r="G329" i="5083"/>
  <c r="G330" i="5083"/>
  <c r="G331" i="5083"/>
  <c r="G332" i="5083"/>
  <c r="G333" i="5083"/>
  <c r="G334" i="5083"/>
  <c r="G335" i="5083"/>
  <c r="G336" i="5083"/>
  <c r="G337" i="5083"/>
  <c r="G338" i="5083"/>
  <c r="G339" i="5083"/>
  <c r="G340" i="5083"/>
  <c r="G341" i="5083"/>
  <c r="G342" i="5083"/>
  <c r="G343" i="5083"/>
  <c r="G344" i="5083"/>
  <c r="G345" i="5083"/>
  <c r="G346" i="5083"/>
  <c r="G347" i="5083"/>
  <c r="G348" i="5083"/>
  <c r="G349" i="5083"/>
  <c r="G350" i="5083"/>
  <c r="G351" i="5083"/>
  <c r="G352" i="5083"/>
  <c r="G353" i="5083"/>
  <c r="G354" i="5083"/>
  <c r="G355" i="5083"/>
  <c r="G356" i="5083"/>
  <c r="G357" i="5083"/>
  <c r="G358" i="5083"/>
  <c r="G359" i="5083"/>
  <c r="G360" i="5083"/>
  <c r="G361" i="5083"/>
  <c r="G362" i="5083"/>
  <c r="G363" i="5083"/>
  <c r="G364" i="5083"/>
  <c r="G365" i="5083"/>
  <c r="G366" i="5083"/>
  <c r="G367" i="5083"/>
  <c r="G368" i="5083"/>
  <c r="G369" i="5083"/>
  <c r="G370" i="5083"/>
  <c r="G371" i="5083"/>
  <c r="G372" i="5083"/>
  <c r="G373" i="5083"/>
  <c r="G374" i="5083"/>
  <c r="G375" i="5083"/>
  <c r="G376" i="5083"/>
  <c r="G377" i="5083"/>
  <c r="G378" i="5083"/>
  <c r="G379" i="5083"/>
  <c r="G380" i="5083"/>
  <c r="G381" i="5083"/>
  <c r="G382" i="5083"/>
  <c r="G383" i="5083"/>
  <c r="G384" i="5083"/>
  <c r="G385" i="5083"/>
  <c r="G386" i="5083"/>
  <c r="G387" i="5083"/>
  <c r="G388" i="5083"/>
  <c r="G389" i="5083"/>
  <c r="G390" i="5083"/>
  <c r="G391" i="5083"/>
  <c r="G392" i="5083"/>
  <c r="G393" i="5083"/>
  <c r="G394" i="5083"/>
  <c r="G395" i="5083"/>
  <c r="G396" i="5083"/>
  <c r="G397" i="5083"/>
  <c r="G398" i="5083"/>
  <c r="G399" i="5083"/>
  <c r="G400" i="5083"/>
  <c r="G401" i="5083"/>
  <c r="G402" i="5083"/>
  <c r="G403" i="5083"/>
  <c r="G404" i="5083"/>
  <c r="G405" i="5083"/>
  <c r="G406" i="5083"/>
  <c r="G407" i="5083"/>
  <c r="G408" i="5083"/>
  <c r="G409" i="5083"/>
  <c r="G410" i="5083"/>
  <c r="G411" i="5083"/>
  <c r="G412" i="5083"/>
  <c r="G413" i="5083"/>
  <c r="G414" i="5083"/>
  <c r="G415" i="5083"/>
  <c r="G416" i="5083"/>
  <c r="G417" i="5083"/>
  <c r="G418" i="5083"/>
  <c r="G419" i="5083"/>
  <c r="G420" i="5083"/>
  <c r="G421" i="5083"/>
  <c r="G422" i="5083"/>
  <c r="G423" i="5083"/>
  <c r="G424" i="5083"/>
  <c r="G425" i="5083"/>
  <c r="G426" i="5083"/>
  <c r="G427" i="5083"/>
  <c r="G428" i="5083"/>
  <c r="G429" i="5083"/>
  <c r="G430" i="5083"/>
  <c r="G431" i="5083"/>
  <c r="G432" i="5083"/>
  <c r="G433" i="5083"/>
  <c r="G434" i="5083"/>
  <c r="G435" i="5083"/>
  <c r="G436" i="5083"/>
  <c r="G437" i="5083"/>
  <c r="G438" i="5083"/>
  <c r="G439" i="5083"/>
  <c r="G440" i="5083"/>
  <c r="G441" i="5083"/>
  <c r="G442" i="5083"/>
  <c r="G443" i="5083"/>
  <c r="G444" i="5083"/>
  <c r="G445" i="5083"/>
  <c r="G446" i="5083"/>
  <c r="G447" i="5083"/>
  <c r="G448" i="5083"/>
  <c r="G449" i="5083"/>
  <c r="G450" i="5083"/>
  <c r="G451" i="5083"/>
  <c r="G452" i="5083"/>
  <c r="G453" i="5083"/>
  <c r="G454" i="5083"/>
  <c r="G455" i="5083"/>
  <c r="G456" i="5083"/>
  <c r="G457" i="5083"/>
  <c r="G458" i="5083"/>
  <c r="G459" i="5083"/>
  <c r="G460" i="5083"/>
  <c r="G461" i="5083"/>
  <c r="G462" i="5083"/>
  <c r="G463" i="5083"/>
  <c r="G464" i="5083"/>
  <c r="G465" i="5083"/>
  <c r="G466" i="5083"/>
  <c r="G467" i="5083"/>
  <c r="G468" i="5083"/>
  <c r="G469" i="5083"/>
  <c r="G470" i="5083"/>
  <c r="G471" i="5083"/>
  <c r="G472" i="5083"/>
  <c r="G473" i="5083"/>
  <c r="G474" i="5083"/>
  <c r="G475" i="5083"/>
  <c r="G476" i="5083"/>
  <c r="G477" i="5083"/>
  <c r="G478" i="5083"/>
  <c r="G479" i="5083"/>
  <c r="G480" i="5083"/>
  <c r="G481" i="5083"/>
  <c r="G482" i="5083"/>
  <c r="G483" i="5083"/>
  <c r="G484" i="5083"/>
  <c r="G485" i="5083"/>
  <c r="G486" i="5083"/>
  <c r="G487" i="5083"/>
  <c r="G488" i="5083"/>
  <c r="G489" i="5083"/>
  <c r="G490" i="5083"/>
  <c r="G491" i="5083"/>
  <c r="G492" i="5083"/>
  <c r="G493" i="5083"/>
  <c r="G494" i="5083"/>
  <c r="G495" i="5083"/>
  <c r="G496" i="5083"/>
  <c r="G497" i="5083"/>
  <c r="G498" i="5083"/>
  <c r="G499" i="5083"/>
  <c r="G500" i="5083"/>
  <c r="G501" i="5083"/>
  <c r="G502" i="5083"/>
  <c r="G503" i="5083"/>
  <c r="G504" i="5083"/>
  <c r="G505" i="5083"/>
  <c r="G2" i="5082"/>
  <c r="G3" i="5082"/>
  <c r="G4" i="5082"/>
  <c r="G5" i="5082"/>
  <c r="G6" i="5082"/>
  <c r="G7" i="5082"/>
  <c r="G8" i="5082"/>
  <c r="G9" i="5082"/>
  <c r="G10" i="5082"/>
  <c r="G11" i="5082"/>
  <c r="G12" i="5082"/>
  <c r="G13" i="5082"/>
  <c r="G14" i="5082"/>
  <c r="G15" i="5082"/>
  <c r="G16" i="5082"/>
  <c r="G17" i="5082"/>
  <c r="G18" i="5082"/>
  <c r="G19" i="5082"/>
  <c r="G20" i="5082"/>
  <c r="G21" i="5082"/>
  <c r="G22" i="5082"/>
  <c r="G23" i="5082"/>
  <c r="G24" i="5082"/>
  <c r="G25" i="5082"/>
  <c r="G26" i="5082"/>
  <c r="G27" i="5082"/>
  <c r="G28" i="5082"/>
  <c r="G29" i="5082"/>
  <c r="G30" i="5082"/>
  <c r="G31" i="5082"/>
  <c r="G32" i="5082"/>
  <c r="G33" i="5082"/>
  <c r="G34" i="5082"/>
  <c r="G35" i="5082"/>
  <c r="G36" i="5082"/>
  <c r="G37" i="5082"/>
  <c r="G38" i="5082"/>
  <c r="G39" i="5082"/>
  <c r="G40" i="5082"/>
  <c r="G41" i="5082"/>
  <c r="G42" i="5082"/>
  <c r="G43" i="5082"/>
  <c r="G44" i="5082"/>
  <c r="G45" i="5082"/>
  <c r="G46" i="5082"/>
  <c r="G47" i="5082"/>
  <c r="G48" i="5082"/>
  <c r="G49" i="5082"/>
  <c r="G50" i="5082"/>
  <c r="G51" i="5082"/>
  <c r="G52" i="5082"/>
  <c r="G53" i="5082"/>
  <c r="G54" i="5082"/>
  <c r="G55" i="5082"/>
  <c r="G56" i="5082"/>
  <c r="G57" i="5082"/>
  <c r="G58" i="5082"/>
  <c r="G59" i="5082"/>
  <c r="G60" i="5082"/>
  <c r="G61" i="5082"/>
  <c r="G62" i="5082"/>
  <c r="G63" i="5082"/>
  <c r="G64" i="5082"/>
  <c r="G65" i="5082"/>
  <c r="G66" i="5082"/>
  <c r="G67" i="5082"/>
  <c r="G68" i="5082"/>
  <c r="G69" i="5082"/>
  <c r="G70" i="5082"/>
  <c r="G71" i="5082"/>
  <c r="G72" i="5082"/>
  <c r="G73" i="5082"/>
  <c r="G74" i="5082"/>
  <c r="G75" i="5082"/>
  <c r="G76" i="5082"/>
  <c r="G77" i="5082"/>
  <c r="G78" i="5082"/>
  <c r="G79" i="5082"/>
  <c r="G80" i="5082"/>
  <c r="G81" i="5082"/>
  <c r="G82" i="5082"/>
  <c r="G83" i="5082"/>
  <c r="G84" i="5082"/>
  <c r="G85" i="5082"/>
  <c r="G86" i="5082"/>
  <c r="G87" i="5082"/>
  <c r="G88" i="5082"/>
  <c r="G89" i="5082"/>
  <c r="G90" i="5082"/>
  <c r="G91" i="5082"/>
  <c r="G92" i="5082"/>
  <c r="G93" i="5082"/>
  <c r="G94" i="5082"/>
  <c r="G95" i="5082"/>
  <c r="G96" i="5082"/>
  <c r="G97" i="5082"/>
  <c r="G98" i="5082"/>
  <c r="G99" i="5082"/>
  <c r="G100" i="5082"/>
  <c r="G101" i="5082"/>
  <c r="G102" i="5082"/>
  <c r="G103" i="5082"/>
  <c r="G104" i="5082"/>
  <c r="G105" i="5082"/>
  <c r="G106" i="5082"/>
  <c r="G107" i="5082"/>
  <c r="G108" i="5082"/>
  <c r="G109" i="5082"/>
  <c r="G110" i="5082"/>
  <c r="G111" i="5082"/>
  <c r="G112" i="5082"/>
  <c r="G113" i="5082"/>
  <c r="G114" i="5082"/>
  <c r="G115" i="5082"/>
  <c r="G116" i="5082"/>
  <c r="G117" i="5082"/>
  <c r="G118" i="5082"/>
  <c r="G119" i="5082"/>
  <c r="G120" i="5082"/>
  <c r="G121" i="5082"/>
  <c r="G122" i="5082"/>
  <c r="G123" i="5082"/>
  <c r="G124" i="5082"/>
  <c r="G125" i="5082"/>
  <c r="G126" i="5082"/>
  <c r="G127" i="5082"/>
  <c r="G128" i="5082"/>
  <c r="G129" i="5082"/>
  <c r="G130" i="5082"/>
  <c r="G131" i="5082"/>
  <c r="G132" i="5082"/>
  <c r="G133" i="5082"/>
  <c r="G134" i="5082"/>
  <c r="G135" i="5082"/>
  <c r="G136" i="5082"/>
  <c r="G137" i="5082"/>
  <c r="G138" i="5082"/>
  <c r="G139" i="5082"/>
  <c r="G140" i="5082"/>
  <c r="G141" i="5082"/>
  <c r="G142" i="5082"/>
  <c r="G143" i="5082"/>
  <c r="G144" i="5082"/>
  <c r="G145" i="5082"/>
  <c r="G146" i="5082"/>
  <c r="G147" i="5082"/>
  <c r="G148" i="5082"/>
  <c r="G149" i="5082"/>
  <c r="G150" i="5082"/>
  <c r="G151" i="5082"/>
  <c r="G152" i="5082"/>
  <c r="G153" i="5082"/>
  <c r="G154" i="5082"/>
  <c r="G155" i="5082"/>
  <c r="G156" i="5082"/>
  <c r="G157" i="5082"/>
  <c r="G158" i="5082"/>
  <c r="G159" i="5082"/>
  <c r="G160" i="5082"/>
  <c r="G161" i="5082"/>
  <c r="G162" i="5082"/>
  <c r="G163" i="5082"/>
  <c r="G164" i="5082"/>
  <c r="G165" i="5082"/>
  <c r="G166" i="5082"/>
  <c r="G167" i="5082"/>
  <c r="G168" i="5082"/>
  <c r="G169" i="5082"/>
  <c r="G170" i="5082"/>
  <c r="G171" i="5082"/>
  <c r="G172" i="5082"/>
  <c r="G173" i="5082"/>
  <c r="G174" i="5082"/>
  <c r="G175" i="5082"/>
  <c r="G176" i="5082"/>
  <c r="G177" i="5082"/>
  <c r="G178" i="5082"/>
  <c r="G179" i="5082"/>
  <c r="G180" i="5082"/>
  <c r="G181" i="5082"/>
  <c r="G182" i="5082"/>
  <c r="G183" i="5082"/>
  <c r="G184" i="5082"/>
  <c r="G185" i="5082"/>
  <c r="G186" i="5082"/>
  <c r="G187" i="5082"/>
  <c r="G188" i="5082"/>
  <c r="G189" i="5082"/>
  <c r="G190" i="5082"/>
  <c r="G191" i="5082"/>
  <c r="G192" i="5082"/>
  <c r="G193" i="5082"/>
  <c r="G194" i="5082"/>
  <c r="G195" i="5082"/>
  <c r="G196" i="5082"/>
  <c r="G197" i="5082"/>
  <c r="G198" i="5082"/>
  <c r="G199" i="5082"/>
  <c r="G200" i="5082"/>
  <c r="G201" i="5082"/>
  <c r="G202" i="5082"/>
  <c r="G203" i="5082"/>
  <c r="G204" i="5082"/>
  <c r="G205" i="5082"/>
  <c r="G206" i="5082"/>
  <c r="G207" i="5082"/>
  <c r="G208" i="5082"/>
  <c r="G209" i="5082"/>
  <c r="G210" i="5082"/>
  <c r="G211" i="5082"/>
  <c r="G212" i="5082"/>
  <c r="G213" i="5082"/>
  <c r="G214" i="5082"/>
  <c r="G215" i="5082"/>
  <c r="G216" i="5082"/>
  <c r="G217" i="5082"/>
  <c r="G218" i="5082"/>
  <c r="G219" i="5082"/>
  <c r="G220" i="5082"/>
  <c r="G221" i="5082"/>
  <c r="G222" i="5082"/>
  <c r="G223" i="5082"/>
  <c r="G224" i="5082"/>
  <c r="G225" i="5082"/>
  <c r="G226" i="5082"/>
  <c r="G227" i="5082"/>
  <c r="G228" i="5082"/>
  <c r="G229" i="5082"/>
  <c r="G230" i="5082"/>
  <c r="G231" i="5082"/>
  <c r="G232" i="5082"/>
  <c r="G233" i="5082"/>
  <c r="G234" i="5082"/>
  <c r="G235" i="5082"/>
  <c r="G236" i="5082"/>
  <c r="G237" i="5082"/>
  <c r="G238" i="5082"/>
  <c r="G239" i="5082"/>
  <c r="G240" i="5082"/>
  <c r="G241" i="5082"/>
  <c r="G242" i="5082"/>
  <c r="G243" i="5082"/>
  <c r="G244" i="5082"/>
  <c r="G245" i="5082"/>
  <c r="G246" i="5082"/>
  <c r="G247" i="5082"/>
  <c r="G248" i="5082"/>
  <c r="G249" i="5082"/>
  <c r="G250" i="5082"/>
  <c r="G251" i="5082"/>
  <c r="G252" i="5082"/>
  <c r="G253" i="5082"/>
  <c r="G254" i="5082"/>
  <c r="G255" i="5082"/>
  <c r="G256" i="5082"/>
  <c r="G257" i="5082"/>
  <c r="G258" i="5082"/>
  <c r="G259" i="5082"/>
  <c r="G260" i="5082"/>
  <c r="G261" i="5082"/>
  <c r="G262" i="5082"/>
  <c r="G263" i="5082"/>
  <c r="G264" i="5082"/>
  <c r="G265" i="5082"/>
  <c r="G266" i="5082"/>
  <c r="G267" i="5082"/>
  <c r="G268" i="5082"/>
  <c r="G269" i="5082"/>
  <c r="G270" i="5082"/>
  <c r="G271" i="5082"/>
  <c r="G272" i="5082"/>
  <c r="G273" i="5082"/>
  <c r="G274" i="5082"/>
  <c r="G275" i="5082"/>
  <c r="G276" i="5082"/>
  <c r="G277" i="5082"/>
  <c r="G278" i="5082"/>
  <c r="G279" i="5082"/>
  <c r="G280" i="5082"/>
  <c r="G281" i="5082"/>
  <c r="G282" i="5082"/>
  <c r="G283" i="5082"/>
  <c r="G284" i="5082"/>
  <c r="G285" i="5082"/>
  <c r="G286" i="5082"/>
  <c r="G287" i="5082"/>
  <c r="G288" i="5082"/>
  <c r="G289" i="5082"/>
  <c r="G290" i="5082"/>
  <c r="G291" i="5082"/>
  <c r="G292" i="5082"/>
  <c r="G293" i="5082"/>
  <c r="G294" i="5082"/>
  <c r="G295" i="5082"/>
  <c r="G296" i="5082"/>
  <c r="G297" i="5082"/>
  <c r="G298" i="5082"/>
  <c r="G299" i="5082"/>
  <c r="G300" i="5082"/>
  <c r="G301" i="5082"/>
  <c r="G302" i="5082"/>
  <c r="G303" i="5082"/>
  <c r="G304" i="5082"/>
  <c r="G305" i="5082"/>
  <c r="G306" i="5082"/>
  <c r="G307" i="5082"/>
  <c r="G308" i="5082"/>
  <c r="G309" i="5082"/>
  <c r="G310" i="5082"/>
  <c r="G311" i="5082"/>
  <c r="G312" i="5082"/>
  <c r="G313" i="5082"/>
  <c r="G314" i="5082"/>
  <c r="G315" i="5082"/>
  <c r="G316" i="5082"/>
  <c r="G317" i="5082"/>
  <c r="G318" i="5082"/>
  <c r="G319" i="5082"/>
  <c r="G320" i="5082"/>
  <c r="G321" i="5082"/>
  <c r="G322" i="5082"/>
  <c r="G323" i="5082"/>
  <c r="G324" i="5082"/>
  <c r="G325" i="5082"/>
  <c r="G326" i="5082"/>
  <c r="G327" i="5082"/>
  <c r="G328" i="5082"/>
  <c r="G329" i="5082"/>
  <c r="G330" i="5082"/>
  <c r="G331" i="5082"/>
  <c r="G332" i="5082"/>
  <c r="G333" i="5082"/>
  <c r="G334" i="5082"/>
  <c r="G335" i="5082"/>
  <c r="G336" i="5082"/>
  <c r="G337" i="5082"/>
  <c r="G338" i="5082"/>
  <c r="G339" i="5082"/>
  <c r="G340" i="5082"/>
  <c r="G341" i="5082"/>
  <c r="G342" i="5082"/>
  <c r="G343" i="5082"/>
  <c r="G344" i="5082"/>
  <c r="G345" i="5082"/>
  <c r="G346" i="5082"/>
  <c r="G347" i="5082"/>
  <c r="G348" i="5082"/>
  <c r="G349" i="5082"/>
  <c r="G350" i="5082"/>
  <c r="G351" i="5082"/>
  <c r="G352" i="5082"/>
  <c r="G353" i="5082"/>
  <c r="G354" i="5082"/>
  <c r="G355" i="5082"/>
  <c r="G356" i="5082"/>
  <c r="G357" i="5082"/>
  <c r="G358" i="5082"/>
  <c r="G359" i="5082"/>
  <c r="G360" i="5082"/>
  <c r="G361" i="5082"/>
  <c r="G362" i="5082"/>
  <c r="G363" i="5082"/>
  <c r="G364" i="5082"/>
  <c r="G365" i="5082"/>
  <c r="G366" i="5082"/>
  <c r="G367" i="5082"/>
  <c r="G368" i="5082"/>
  <c r="G369" i="5082"/>
  <c r="G370" i="5082"/>
  <c r="G371" i="5082"/>
  <c r="G372" i="5082"/>
  <c r="G373" i="5082"/>
  <c r="G374" i="5082"/>
  <c r="G375" i="5082"/>
  <c r="G376" i="5082"/>
  <c r="G377" i="5082"/>
  <c r="G378" i="5082"/>
  <c r="G379" i="5082"/>
  <c r="G380" i="5082"/>
  <c r="G381" i="5082"/>
  <c r="G382" i="5082"/>
  <c r="G383" i="5082"/>
  <c r="G384" i="5082"/>
  <c r="G385" i="5082"/>
  <c r="G386" i="5082"/>
  <c r="G387" i="5082"/>
  <c r="G388" i="5082"/>
  <c r="G389" i="5082"/>
  <c r="G390" i="5082"/>
  <c r="G391" i="5082"/>
  <c r="G392" i="5082"/>
  <c r="G393" i="5082"/>
  <c r="G394" i="5082"/>
  <c r="G395" i="5082"/>
  <c r="G396" i="5082"/>
  <c r="G397" i="5082"/>
  <c r="G398" i="5082"/>
  <c r="G399" i="5082"/>
  <c r="G400" i="5082"/>
  <c r="G401" i="5082"/>
  <c r="G402" i="5082"/>
  <c r="G403" i="5082"/>
  <c r="G404" i="5082"/>
  <c r="G405" i="5082"/>
  <c r="G406" i="5082"/>
  <c r="G407" i="5082"/>
  <c r="G408" i="5082"/>
  <c r="G409" i="5082"/>
  <c r="G410" i="5082"/>
  <c r="G411" i="5082"/>
  <c r="G412" i="5082"/>
  <c r="G413" i="5082"/>
  <c r="G414" i="5082"/>
  <c r="G415" i="5082"/>
  <c r="G416" i="5082"/>
  <c r="G417" i="5082"/>
  <c r="G418" i="5082"/>
  <c r="G419" i="5082"/>
  <c r="G420" i="5082"/>
  <c r="G421" i="5082"/>
  <c r="G422" i="5082"/>
  <c r="G423" i="5082"/>
  <c r="G424" i="5082"/>
  <c r="G425" i="5082"/>
  <c r="G426" i="5082"/>
  <c r="G427" i="5082"/>
  <c r="G428" i="5082"/>
  <c r="G429" i="5082"/>
  <c r="G430" i="5082"/>
  <c r="G431" i="5082"/>
  <c r="G432" i="5082"/>
  <c r="G433" i="5082"/>
  <c r="G434" i="5082"/>
  <c r="G435" i="5082"/>
  <c r="G436" i="5082"/>
  <c r="G437" i="5082"/>
  <c r="G438" i="5082"/>
  <c r="G439" i="5082"/>
  <c r="G440" i="5082"/>
  <c r="G441" i="5082"/>
  <c r="G442" i="5082"/>
  <c r="G443" i="5082"/>
  <c r="G444" i="5082"/>
  <c r="G445" i="5082"/>
  <c r="G446" i="5082"/>
  <c r="G447" i="5082"/>
  <c r="G448" i="5082"/>
  <c r="G449" i="5082"/>
  <c r="G450" i="5082"/>
  <c r="G451" i="5082"/>
  <c r="G452" i="5082"/>
  <c r="G453" i="5082"/>
  <c r="G454" i="5082"/>
  <c r="G455" i="5082"/>
  <c r="G456" i="5082"/>
  <c r="G457" i="5082"/>
  <c r="G458" i="5082"/>
  <c r="G459" i="5082"/>
  <c r="G460" i="5082"/>
  <c r="G461" i="5082"/>
  <c r="G462" i="5082"/>
  <c r="G463" i="5082"/>
  <c r="G464" i="5082"/>
  <c r="G465" i="5082"/>
  <c r="G466" i="5082"/>
  <c r="G467" i="5082"/>
  <c r="G468" i="5082"/>
  <c r="G469" i="5082"/>
  <c r="G470" i="5082"/>
  <c r="G471" i="5082"/>
  <c r="G472" i="5082"/>
  <c r="G473" i="5082"/>
  <c r="G474" i="5082"/>
  <c r="G475" i="5082"/>
  <c r="G476" i="5082"/>
  <c r="G477" i="5082"/>
  <c r="G478" i="5082"/>
  <c r="G479" i="5082"/>
  <c r="G480" i="5082"/>
  <c r="G481" i="5082"/>
  <c r="G482" i="5082"/>
  <c r="G483" i="5082"/>
  <c r="G484" i="5082"/>
  <c r="G485" i="5082"/>
  <c r="G486" i="5082"/>
  <c r="G487" i="5082"/>
  <c r="G488" i="5082"/>
  <c r="G489" i="5082"/>
  <c r="G490" i="5082"/>
  <c r="G491" i="5082"/>
  <c r="G492" i="5082"/>
  <c r="G493" i="5082"/>
  <c r="G494" i="5082"/>
  <c r="G495" i="5082"/>
  <c r="G496" i="5082"/>
  <c r="G497" i="5082"/>
  <c r="G498" i="5082"/>
  <c r="G499" i="5082"/>
  <c r="G500" i="5082"/>
  <c r="G501" i="5082"/>
  <c r="G502" i="5082"/>
  <c r="G503" i="5082"/>
  <c r="G504" i="5082"/>
  <c r="G505" i="5082"/>
  <c r="G2" i="5081"/>
  <c r="G3" i="5081"/>
  <c r="G4" i="5081"/>
  <c r="G5" i="5081"/>
  <c r="G6" i="5081"/>
  <c r="G7" i="5081"/>
  <c r="G8" i="5081"/>
  <c r="G9" i="5081"/>
  <c r="G10" i="5081"/>
  <c r="G11" i="5081"/>
  <c r="G12" i="5081"/>
  <c r="G13" i="5081"/>
  <c r="G14" i="5081"/>
  <c r="G15" i="5081"/>
  <c r="G16" i="5081"/>
  <c r="G17" i="5081"/>
  <c r="G18" i="5081"/>
  <c r="G19" i="5081"/>
  <c r="G20" i="5081"/>
  <c r="G21" i="5081"/>
  <c r="G22" i="5081"/>
  <c r="G23" i="5081"/>
  <c r="G24" i="5081"/>
  <c r="G25" i="5081"/>
  <c r="G26" i="5081"/>
  <c r="G27" i="5081"/>
  <c r="G28" i="5081"/>
  <c r="G29" i="5081"/>
  <c r="G30" i="5081"/>
  <c r="G31" i="5081"/>
  <c r="G32" i="5081"/>
  <c r="G33" i="5081"/>
  <c r="G34" i="5081"/>
  <c r="G35" i="5081"/>
  <c r="G36" i="5081"/>
  <c r="G37" i="5081"/>
  <c r="G38" i="5081"/>
  <c r="G39" i="5081"/>
  <c r="G40" i="5081"/>
  <c r="G41" i="5081"/>
  <c r="G42" i="5081"/>
  <c r="G43" i="5081"/>
  <c r="G44" i="5081"/>
  <c r="G45" i="5081"/>
  <c r="G46" i="5081"/>
  <c r="G47" i="5081"/>
  <c r="G48" i="5081"/>
  <c r="G49" i="5081"/>
  <c r="G50" i="5081"/>
  <c r="G51" i="5081"/>
  <c r="G52" i="5081"/>
  <c r="G53" i="5081"/>
  <c r="G54" i="5081"/>
  <c r="G55" i="5081"/>
  <c r="G56" i="5081"/>
  <c r="G57" i="5081"/>
  <c r="G58" i="5081"/>
  <c r="G59" i="5081"/>
  <c r="G60" i="5081"/>
  <c r="G61" i="5081"/>
  <c r="G62" i="5081"/>
  <c r="G63" i="5081"/>
  <c r="G64" i="5081"/>
  <c r="G65" i="5081"/>
  <c r="G66" i="5081"/>
  <c r="G67" i="5081"/>
  <c r="G68" i="5081"/>
  <c r="G69" i="5081"/>
  <c r="G70" i="5081"/>
  <c r="G71" i="5081"/>
  <c r="G72" i="5081"/>
  <c r="G73" i="5081"/>
  <c r="G74" i="5081"/>
  <c r="G75" i="5081"/>
  <c r="G76" i="5081"/>
  <c r="G77" i="5081"/>
  <c r="G78" i="5081"/>
  <c r="G79" i="5081"/>
  <c r="G80" i="5081"/>
  <c r="G81" i="5081"/>
  <c r="G82" i="5081"/>
  <c r="G83" i="5081"/>
  <c r="G84" i="5081"/>
  <c r="G85" i="5081"/>
  <c r="G86" i="5081"/>
  <c r="G87" i="5081"/>
  <c r="G88" i="5081"/>
  <c r="G89" i="5081"/>
  <c r="G90" i="5081"/>
  <c r="G91" i="5081"/>
  <c r="G92" i="5081"/>
  <c r="G93" i="5081"/>
  <c r="G94" i="5081"/>
  <c r="G95" i="5081"/>
  <c r="G96" i="5081"/>
  <c r="G97" i="5081"/>
  <c r="G98" i="5081"/>
  <c r="G99" i="5081"/>
  <c r="G100" i="5081"/>
  <c r="G101" i="5081"/>
  <c r="G102" i="5081"/>
  <c r="G103" i="5081"/>
  <c r="G104" i="5081"/>
  <c r="G105" i="5081"/>
  <c r="G106" i="5081"/>
  <c r="G107" i="5081"/>
  <c r="G108" i="5081"/>
  <c r="G109" i="5081"/>
  <c r="G110" i="5081"/>
  <c r="G111" i="5081"/>
  <c r="G112" i="5081"/>
  <c r="G113" i="5081"/>
  <c r="G114" i="5081"/>
  <c r="G115" i="5081"/>
  <c r="G116" i="5081"/>
  <c r="G117" i="5081"/>
  <c r="G118" i="5081"/>
  <c r="G119" i="5081"/>
  <c r="G120" i="5081"/>
  <c r="G121" i="5081"/>
  <c r="G122" i="5081"/>
  <c r="G123" i="5081"/>
  <c r="G124" i="5081"/>
  <c r="G125" i="5081"/>
  <c r="G126" i="5081"/>
  <c r="G127" i="5081"/>
  <c r="G128" i="5081"/>
  <c r="G129" i="5081"/>
  <c r="G130" i="5081"/>
  <c r="G131" i="5081"/>
  <c r="G132" i="5081"/>
  <c r="G133" i="5081"/>
  <c r="G134" i="5081"/>
  <c r="G135" i="5081"/>
  <c r="G136" i="5081"/>
  <c r="G137" i="5081"/>
  <c r="G138" i="5081"/>
  <c r="G139" i="5081"/>
  <c r="G140" i="5081"/>
  <c r="G141" i="5081"/>
  <c r="G142" i="5081"/>
  <c r="G143" i="5081"/>
  <c r="G144" i="5081"/>
  <c r="G145" i="5081"/>
  <c r="G146" i="5081"/>
  <c r="G147" i="5081"/>
  <c r="G148" i="5081"/>
  <c r="G149" i="5081"/>
  <c r="G150" i="5081"/>
  <c r="G151" i="5081"/>
  <c r="G152" i="5081"/>
  <c r="G153" i="5081"/>
  <c r="G154" i="5081"/>
  <c r="G155" i="5081"/>
  <c r="G156" i="5081"/>
  <c r="G157" i="5081"/>
  <c r="G158" i="5081"/>
  <c r="G159" i="5081"/>
  <c r="G160" i="5081"/>
  <c r="G161" i="5081"/>
  <c r="G162" i="5081"/>
  <c r="G163" i="5081"/>
  <c r="G164" i="5081"/>
  <c r="G165" i="5081"/>
  <c r="G166" i="5081"/>
  <c r="G167" i="5081"/>
  <c r="G168" i="5081"/>
  <c r="G169" i="5081"/>
  <c r="G170" i="5081"/>
  <c r="G171" i="5081"/>
  <c r="G172" i="5081"/>
  <c r="G173" i="5081"/>
  <c r="G174" i="5081"/>
  <c r="G175" i="5081"/>
  <c r="G176" i="5081"/>
  <c r="G177" i="5081"/>
  <c r="G178" i="5081"/>
  <c r="G179" i="5081"/>
  <c r="G180" i="5081"/>
  <c r="G181" i="5081"/>
  <c r="G182" i="5081"/>
  <c r="G183" i="5081"/>
  <c r="G184" i="5081"/>
  <c r="G185" i="5081"/>
  <c r="G186" i="5081"/>
  <c r="G187" i="5081"/>
  <c r="G188" i="5081"/>
  <c r="G189" i="5081"/>
  <c r="G190" i="5081"/>
  <c r="G191" i="5081"/>
  <c r="G192" i="5081"/>
  <c r="G193" i="5081"/>
  <c r="G194" i="5081"/>
  <c r="G195" i="5081"/>
  <c r="G196" i="5081"/>
  <c r="G197" i="5081"/>
  <c r="G198" i="5081"/>
  <c r="G199" i="5081"/>
  <c r="G200" i="5081"/>
  <c r="G201" i="5081"/>
  <c r="G202" i="5081"/>
  <c r="G203" i="5081"/>
  <c r="G204" i="5081"/>
  <c r="G205" i="5081"/>
  <c r="G206" i="5081"/>
  <c r="G207" i="5081"/>
  <c r="G208" i="5081"/>
  <c r="G209" i="5081"/>
  <c r="G210" i="5081"/>
  <c r="G211" i="5081"/>
  <c r="G212" i="5081"/>
  <c r="G213" i="5081"/>
  <c r="G214" i="5081"/>
  <c r="G215" i="5081"/>
  <c r="G216" i="5081"/>
  <c r="G217" i="5081"/>
  <c r="G218" i="5081"/>
  <c r="G219" i="5081"/>
  <c r="G220" i="5081"/>
  <c r="G221" i="5081"/>
  <c r="G222" i="5081"/>
  <c r="G223" i="5081"/>
  <c r="G224" i="5081"/>
  <c r="G225" i="5081"/>
  <c r="G226" i="5081"/>
  <c r="G227" i="5081"/>
  <c r="G228" i="5081"/>
  <c r="G229" i="5081"/>
  <c r="G230" i="5081"/>
  <c r="G231" i="5081"/>
  <c r="G232" i="5081"/>
  <c r="G233" i="5081"/>
  <c r="G234" i="5081"/>
  <c r="G235" i="5081"/>
  <c r="G236" i="5081"/>
  <c r="G237" i="5081"/>
  <c r="G238" i="5081"/>
  <c r="G239" i="5081"/>
  <c r="G240" i="5081"/>
  <c r="G241" i="5081"/>
  <c r="G242" i="5081"/>
  <c r="G243" i="5081"/>
  <c r="G244" i="5081"/>
  <c r="G245" i="5081"/>
  <c r="G246" i="5081"/>
  <c r="G247" i="5081"/>
  <c r="G248" i="5081"/>
  <c r="G249" i="5081"/>
  <c r="G250" i="5081"/>
  <c r="G251" i="5081"/>
  <c r="G252" i="5081"/>
  <c r="G253" i="5081"/>
  <c r="G254" i="5081"/>
  <c r="G255" i="5081"/>
  <c r="G256" i="5081"/>
  <c r="G257" i="5081"/>
  <c r="G258" i="5081"/>
  <c r="G259" i="5081"/>
  <c r="G260" i="5081"/>
  <c r="G261" i="5081"/>
  <c r="G262" i="5081"/>
  <c r="G263" i="5081"/>
  <c r="G264" i="5081"/>
  <c r="G265" i="5081"/>
  <c r="G266" i="5081"/>
  <c r="G267" i="5081"/>
  <c r="G268" i="5081"/>
  <c r="G269" i="5081"/>
  <c r="G270" i="5081"/>
  <c r="G271" i="5081"/>
  <c r="G272" i="5081"/>
  <c r="G273" i="5081"/>
  <c r="G274" i="5081"/>
  <c r="G275" i="5081"/>
  <c r="G276" i="5081"/>
  <c r="G277" i="5081"/>
  <c r="G278" i="5081"/>
  <c r="G279" i="5081"/>
  <c r="G280" i="5081"/>
  <c r="G281" i="5081"/>
  <c r="G282" i="5081"/>
  <c r="G283" i="5081"/>
  <c r="G284" i="5081"/>
  <c r="G285" i="5081"/>
  <c r="G286" i="5081"/>
  <c r="G287" i="5081"/>
  <c r="G288" i="5081"/>
  <c r="G289" i="5081"/>
  <c r="G290" i="5081"/>
  <c r="G291" i="5081"/>
  <c r="G292" i="5081"/>
  <c r="G293" i="5081"/>
  <c r="G294" i="5081"/>
  <c r="G295" i="5081"/>
  <c r="G296" i="5081"/>
  <c r="G297" i="5081"/>
  <c r="G298" i="5081"/>
  <c r="G299" i="5081"/>
  <c r="G300" i="5081"/>
  <c r="G301" i="5081"/>
  <c r="G302" i="5081"/>
  <c r="G303" i="5081"/>
  <c r="G304" i="5081"/>
  <c r="G305" i="5081"/>
  <c r="G306" i="5081"/>
  <c r="G307" i="5081"/>
  <c r="G308" i="5081"/>
  <c r="G309" i="5081"/>
  <c r="G310" i="5081"/>
  <c r="G311" i="5081"/>
  <c r="G312" i="5081"/>
  <c r="G313" i="5081"/>
  <c r="G314" i="5081"/>
  <c r="G315" i="5081"/>
  <c r="G316" i="5081"/>
  <c r="G317" i="5081"/>
  <c r="G318" i="5081"/>
  <c r="G319" i="5081"/>
  <c r="G320" i="5081"/>
  <c r="G321" i="5081"/>
  <c r="G322" i="5081"/>
  <c r="G323" i="5081"/>
  <c r="G324" i="5081"/>
  <c r="G325" i="5081"/>
  <c r="G326" i="5081"/>
  <c r="G327" i="5081"/>
  <c r="G328" i="5081"/>
  <c r="G329" i="5081"/>
  <c r="G330" i="5081"/>
  <c r="G331" i="5081"/>
  <c r="G332" i="5081"/>
  <c r="G333" i="5081"/>
  <c r="G334" i="5081"/>
  <c r="G335" i="5081"/>
  <c r="G336" i="5081"/>
  <c r="G337" i="5081"/>
  <c r="G338" i="5081"/>
  <c r="G339" i="5081"/>
  <c r="G340" i="5081"/>
  <c r="G341" i="5081"/>
  <c r="G342" i="5081"/>
  <c r="G343" i="5081"/>
  <c r="G344" i="5081"/>
  <c r="G345" i="5081"/>
  <c r="G346" i="5081"/>
  <c r="G347" i="5081"/>
  <c r="G348" i="5081"/>
  <c r="G349" i="5081"/>
  <c r="G350" i="5081"/>
  <c r="G351" i="5081"/>
  <c r="G352" i="5081"/>
  <c r="G353" i="5081"/>
  <c r="G354" i="5081"/>
  <c r="G355" i="5081"/>
  <c r="G356" i="5081"/>
  <c r="G357" i="5081"/>
  <c r="G358" i="5081"/>
  <c r="G359" i="5081"/>
  <c r="G360" i="5081"/>
  <c r="G361" i="5081"/>
  <c r="G362" i="5081"/>
  <c r="G363" i="5081"/>
  <c r="G364" i="5081"/>
  <c r="G365" i="5081"/>
  <c r="G366" i="5081"/>
  <c r="G367" i="5081"/>
  <c r="G368" i="5081"/>
  <c r="G369" i="5081"/>
  <c r="G370" i="5081"/>
  <c r="G371" i="5081"/>
  <c r="G372" i="5081"/>
  <c r="G373" i="5081"/>
  <c r="G374" i="5081"/>
  <c r="G375" i="5081"/>
  <c r="G376" i="5081"/>
  <c r="G377" i="5081"/>
  <c r="G378" i="5081"/>
  <c r="G379" i="5081"/>
  <c r="G380" i="5081"/>
  <c r="G381" i="5081"/>
  <c r="G382" i="5081"/>
  <c r="G383" i="5081"/>
  <c r="G384" i="5081"/>
  <c r="G385" i="5081"/>
  <c r="G386" i="5081"/>
  <c r="G387" i="5081"/>
  <c r="G388" i="5081"/>
  <c r="G389" i="5081"/>
  <c r="G390" i="5081"/>
  <c r="G391" i="5081"/>
  <c r="G392" i="5081"/>
  <c r="G393" i="5081"/>
  <c r="G394" i="5081"/>
  <c r="G395" i="5081"/>
  <c r="G396" i="5081"/>
  <c r="G397" i="5081"/>
  <c r="G398" i="5081"/>
  <c r="G399" i="5081"/>
  <c r="G400" i="5081"/>
  <c r="G401" i="5081"/>
  <c r="G402" i="5081"/>
  <c r="G403" i="5081"/>
  <c r="G404" i="5081"/>
  <c r="G405" i="5081"/>
  <c r="G406" i="5081"/>
  <c r="G407" i="5081"/>
  <c r="G408" i="5081"/>
  <c r="G409" i="5081"/>
  <c r="G410" i="5081"/>
  <c r="G411" i="5081"/>
  <c r="G412" i="5081"/>
  <c r="G413" i="5081"/>
  <c r="G414" i="5081"/>
  <c r="G415" i="5081"/>
  <c r="G416" i="5081"/>
  <c r="G417" i="5081"/>
  <c r="G418" i="5081"/>
  <c r="G419" i="5081"/>
  <c r="G420" i="5081"/>
  <c r="G421" i="5081"/>
  <c r="G422" i="5081"/>
  <c r="G423" i="5081"/>
  <c r="G424" i="5081"/>
  <c r="G425" i="5081"/>
  <c r="G426" i="5081"/>
  <c r="G427" i="5081"/>
  <c r="G428" i="5081"/>
  <c r="G429" i="5081"/>
  <c r="G430" i="5081"/>
  <c r="G431" i="5081"/>
  <c r="G432" i="5081"/>
  <c r="G433" i="5081"/>
  <c r="G434" i="5081"/>
  <c r="G435" i="5081"/>
  <c r="G436" i="5081"/>
  <c r="G437" i="5081"/>
  <c r="G438" i="5081"/>
  <c r="G439" i="5081"/>
  <c r="G440" i="5081"/>
  <c r="G441" i="5081"/>
  <c r="G442" i="5081"/>
  <c r="G443" i="5081"/>
  <c r="G444" i="5081"/>
  <c r="G445" i="5081"/>
  <c r="G446" i="5081"/>
  <c r="G447" i="5081"/>
  <c r="G448" i="5081"/>
  <c r="G449" i="5081"/>
  <c r="G450" i="5081"/>
  <c r="G451" i="5081"/>
  <c r="G452" i="5081"/>
  <c r="G453" i="5081"/>
  <c r="G454" i="5081"/>
  <c r="G455" i="5081"/>
  <c r="G456" i="5081"/>
  <c r="G457" i="5081"/>
  <c r="G458" i="5081"/>
  <c r="G459" i="5081"/>
  <c r="G460" i="5081"/>
  <c r="G461" i="5081"/>
  <c r="G462" i="5081"/>
  <c r="G463" i="5081"/>
  <c r="G464" i="5081"/>
  <c r="G465" i="5081"/>
  <c r="G466" i="5081"/>
  <c r="G467" i="5081"/>
  <c r="G468" i="5081"/>
  <c r="G469" i="5081"/>
  <c r="G470" i="5081"/>
  <c r="G471" i="5081"/>
  <c r="G472" i="5081"/>
  <c r="G473" i="5081"/>
  <c r="G474" i="5081"/>
  <c r="G475" i="5081"/>
  <c r="G476" i="5081"/>
  <c r="G477" i="5081"/>
  <c r="G478" i="5081"/>
  <c r="G479" i="5081"/>
  <c r="G480" i="5081"/>
  <c r="G481" i="5081"/>
  <c r="G482" i="5081"/>
  <c r="G483" i="5081"/>
  <c r="G484" i="5081"/>
  <c r="G485" i="5081"/>
  <c r="G486" i="5081"/>
  <c r="G487" i="5081"/>
  <c r="G488" i="5081"/>
  <c r="G489" i="5081"/>
  <c r="G490" i="5081"/>
  <c r="G491" i="5081"/>
  <c r="G492" i="5081"/>
  <c r="G493" i="5081"/>
  <c r="G494" i="5081"/>
  <c r="G495" i="5081"/>
  <c r="G496" i="5081"/>
  <c r="G497" i="5081"/>
  <c r="G498" i="5081"/>
  <c r="G499" i="5081"/>
  <c r="G500" i="5081"/>
  <c r="G501" i="5081"/>
  <c r="G502" i="5081"/>
  <c r="G503" i="5081"/>
  <c r="G504" i="5081"/>
  <c r="G505" i="5081"/>
  <c r="G2" i="5080"/>
  <c r="G3" i="5080"/>
  <c r="G4" i="5080"/>
  <c r="G5" i="5080"/>
  <c r="G6" i="5080"/>
  <c r="G7" i="5080"/>
  <c r="G8" i="5080"/>
  <c r="G9" i="5080"/>
  <c r="G10" i="5080"/>
  <c r="G11" i="5080"/>
  <c r="G12" i="5080"/>
  <c r="G13" i="5080"/>
  <c r="G14" i="5080"/>
  <c r="G15" i="5080"/>
  <c r="G16" i="5080"/>
  <c r="G17" i="5080"/>
  <c r="G18" i="5080"/>
  <c r="G19" i="5080"/>
  <c r="G20" i="5080"/>
  <c r="G21" i="5080"/>
  <c r="G22" i="5080"/>
  <c r="G23" i="5080"/>
  <c r="G24" i="5080"/>
  <c r="G25" i="5080"/>
  <c r="G26" i="5080"/>
  <c r="G27" i="5080"/>
  <c r="G28" i="5080"/>
  <c r="G29" i="5080"/>
  <c r="G30" i="5080"/>
  <c r="G31" i="5080"/>
  <c r="G32" i="5080"/>
  <c r="G33" i="5080"/>
  <c r="G34" i="5080"/>
  <c r="G35" i="5080"/>
  <c r="G36" i="5080"/>
  <c r="G37" i="5080"/>
  <c r="G38" i="5080"/>
  <c r="G39" i="5080"/>
  <c r="G40" i="5080"/>
  <c r="G41" i="5080"/>
  <c r="G42" i="5080"/>
  <c r="G43" i="5080"/>
  <c r="G44" i="5080"/>
  <c r="G45" i="5080"/>
  <c r="G46" i="5080"/>
  <c r="G47" i="5080"/>
  <c r="G48" i="5080"/>
  <c r="G49" i="5080"/>
  <c r="G50" i="5080"/>
  <c r="G51" i="5080"/>
  <c r="G52" i="5080"/>
  <c r="G53" i="5080"/>
  <c r="G54" i="5080"/>
  <c r="G55" i="5080"/>
  <c r="G56" i="5080"/>
  <c r="G57" i="5080"/>
  <c r="G58" i="5080"/>
  <c r="G59" i="5080"/>
  <c r="G60" i="5080"/>
  <c r="G61" i="5080"/>
  <c r="G62" i="5080"/>
  <c r="G63" i="5080"/>
  <c r="G64" i="5080"/>
  <c r="G65" i="5080"/>
  <c r="G66" i="5080"/>
  <c r="G67" i="5080"/>
  <c r="G68" i="5080"/>
  <c r="G69" i="5080"/>
  <c r="G70" i="5080"/>
  <c r="G71" i="5080"/>
  <c r="G72" i="5080"/>
  <c r="G73" i="5080"/>
  <c r="G74" i="5080"/>
  <c r="G75" i="5080"/>
  <c r="G76" i="5080"/>
  <c r="G77" i="5080"/>
  <c r="G78" i="5080"/>
  <c r="G79" i="5080"/>
  <c r="G80" i="5080"/>
  <c r="G81" i="5080"/>
  <c r="G82" i="5080"/>
  <c r="G83" i="5080"/>
  <c r="G84" i="5080"/>
  <c r="G85" i="5080"/>
  <c r="G86" i="5080"/>
  <c r="G87" i="5080"/>
  <c r="G88" i="5080"/>
  <c r="G89" i="5080"/>
  <c r="G90" i="5080"/>
  <c r="G91" i="5080"/>
  <c r="G92" i="5080"/>
  <c r="G93" i="5080"/>
  <c r="G94" i="5080"/>
  <c r="G95" i="5080"/>
  <c r="G96" i="5080"/>
  <c r="G97" i="5080"/>
  <c r="G98" i="5080"/>
  <c r="G99" i="5080"/>
  <c r="G100" i="5080"/>
  <c r="G101" i="5080"/>
  <c r="G102" i="5080"/>
  <c r="G103" i="5080"/>
  <c r="G104" i="5080"/>
  <c r="G105" i="5080"/>
  <c r="G106" i="5080"/>
  <c r="G107" i="5080"/>
  <c r="G108" i="5080"/>
  <c r="G109" i="5080"/>
  <c r="G110" i="5080"/>
  <c r="G111" i="5080"/>
  <c r="G112" i="5080"/>
  <c r="G113" i="5080"/>
  <c r="G114" i="5080"/>
  <c r="G115" i="5080"/>
  <c r="G116" i="5080"/>
  <c r="G117" i="5080"/>
  <c r="G118" i="5080"/>
  <c r="G119" i="5080"/>
  <c r="G120" i="5080"/>
  <c r="G121" i="5080"/>
  <c r="G122" i="5080"/>
  <c r="G123" i="5080"/>
  <c r="G124" i="5080"/>
  <c r="G125" i="5080"/>
  <c r="G126" i="5080"/>
  <c r="G127" i="5080"/>
  <c r="G128" i="5080"/>
  <c r="G129" i="5080"/>
  <c r="G130" i="5080"/>
  <c r="G131" i="5080"/>
  <c r="G132" i="5080"/>
  <c r="G133" i="5080"/>
  <c r="G134" i="5080"/>
  <c r="G135" i="5080"/>
  <c r="G136" i="5080"/>
  <c r="G137" i="5080"/>
  <c r="G138" i="5080"/>
  <c r="G139" i="5080"/>
  <c r="G140" i="5080"/>
  <c r="G141" i="5080"/>
  <c r="G142" i="5080"/>
  <c r="G143" i="5080"/>
  <c r="G144" i="5080"/>
  <c r="G145" i="5080"/>
  <c r="G146" i="5080"/>
  <c r="G147" i="5080"/>
  <c r="G148" i="5080"/>
  <c r="G149" i="5080"/>
  <c r="G150" i="5080"/>
  <c r="G151" i="5080"/>
  <c r="G152" i="5080"/>
  <c r="G153" i="5080"/>
  <c r="G154" i="5080"/>
  <c r="G155" i="5080"/>
  <c r="G156" i="5080"/>
  <c r="G157" i="5080"/>
  <c r="G158" i="5080"/>
  <c r="G159" i="5080"/>
  <c r="G160" i="5080"/>
  <c r="G161" i="5080"/>
  <c r="G162" i="5080"/>
  <c r="G163" i="5080"/>
  <c r="G164" i="5080"/>
  <c r="G165" i="5080"/>
  <c r="G166" i="5080"/>
  <c r="G167" i="5080"/>
  <c r="G168" i="5080"/>
  <c r="G169" i="5080"/>
  <c r="G170" i="5080"/>
  <c r="G171" i="5080"/>
  <c r="G172" i="5080"/>
  <c r="G173" i="5080"/>
  <c r="G174" i="5080"/>
  <c r="G175" i="5080"/>
  <c r="G176" i="5080"/>
  <c r="G177" i="5080"/>
  <c r="G178" i="5080"/>
  <c r="G179" i="5080"/>
  <c r="G180" i="5080"/>
  <c r="G181" i="5080"/>
  <c r="G182" i="5080"/>
  <c r="G183" i="5080"/>
  <c r="G184" i="5080"/>
  <c r="G185" i="5080"/>
  <c r="G186" i="5080"/>
  <c r="G187" i="5080"/>
  <c r="G188" i="5080"/>
  <c r="G189" i="5080"/>
  <c r="G190" i="5080"/>
  <c r="G191" i="5080"/>
  <c r="G192" i="5080"/>
  <c r="G193" i="5080"/>
  <c r="G194" i="5080"/>
  <c r="G195" i="5080"/>
  <c r="G196" i="5080"/>
  <c r="G197" i="5080"/>
  <c r="G198" i="5080"/>
  <c r="G199" i="5080"/>
  <c r="G200" i="5080"/>
  <c r="G201" i="5080"/>
  <c r="G202" i="5080"/>
  <c r="G203" i="5080"/>
  <c r="G204" i="5080"/>
  <c r="G205" i="5080"/>
  <c r="G206" i="5080"/>
  <c r="G207" i="5080"/>
  <c r="G208" i="5080"/>
  <c r="G209" i="5080"/>
  <c r="G210" i="5080"/>
  <c r="G211" i="5080"/>
  <c r="G212" i="5080"/>
  <c r="G213" i="5080"/>
  <c r="G214" i="5080"/>
  <c r="G215" i="5080"/>
  <c r="G216" i="5080"/>
  <c r="G217" i="5080"/>
  <c r="G218" i="5080"/>
  <c r="G219" i="5080"/>
  <c r="G220" i="5080"/>
  <c r="G221" i="5080"/>
  <c r="G222" i="5080"/>
  <c r="G223" i="5080"/>
  <c r="G224" i="5080"/>
  <c r="G225" i="5080"/>
  <c r="G226" i="5080"/>
  <c r="G227" i="5080"/>
  <c r="G228" i="5080"/>
  <c r="G229" i="5080"/>
  <c r="G230" i="5080"/>
  <c r="G231" i="5080"/>
  <c r="G232" i="5080"/>
  <c r="G233" i="5080"/>
  <c r="G234" i="5080"/>
  <c r="G235" i="5080"/>
  <c r="G236" i="5080"/>
  <c r="G237" i="5080"/>
  <c r="G238" i="5080"/>
  <c r="G239" i="5080"/>
  <c r="G240" i="5080"/>
  <c r="G241" i="5080"/>
  <c r="G242" i="5080"/>
  <c r="G243" i="5080"/>
  <c r="G244" i="5080"/>
  <c r="G245" i="5080"/>
  <c r="G246" i="5080"/>
  <c r="G247" i="5080"/>
  <c r="G248" i="5080"/>
  <c r="G249" i="5080"/>
  <c r="G250" i="5080"/>
  <c r="G251" i="5080"/>
  <c r="G252" i="5080"/>
  <c r="G253" i="5080"/>
  <c r="G254" i="5080"/>
  <c r="G255" i="5080"/>
  <c r="G256" i="5080"/>
  <c r="G257" i="5080"/>
  <c r="G258" i="5080"/>
  <c r="G259" i="5080"/>
  <c r="G260" i="5080"/>
  <c r="G261" i="5080"/>
  <c r="G262" i="5080"/>
  <c r="G263" i="5080"/>
  <c r="G264" i="5080"/>
  <c r="G265" i="5080"/>
  <c r="G266" i="5080"/>
  <c r="G267" i="5080"/>
  <c r="G268" i="5080"/>
  <c r="G269" i="5080"/>
  <c r="G270" i="5080"/>
  <c r="G271" i="5080"/>
  <c r="G272" i="5080"/>
  <c r="G273" i="5080"/>
  <c r="G274" i="5080"/>
  <c r="G275" i="5080"/>
  <c r="G276" i="5080"/>
  <c r="G277" i="5080"/>
  <c r="G278" i="5080"/>
  <c r="G279" i="5080"/>
  <c r="G280" i="5080"/>
  <c r="G281" i="5080"/>
  <c r="G282" i="5080"/>
  <c r="G283" i="5080"/>
  <c r="G284" i="5080"/>
  <c r="G285" i="5080"/>
  <c r="G286" i="5080"/>
  <c r="G287" i="5080"/>
  <c r="G288" i="5080"/>
  <c r="G289" i="5080"/>
  <c r="G290" i="5080"/>
  <c r="G291" i="5080"/>
  <c r="G292" i="5080"/>
  <c r="G293" i="5080"/>
  <c r="G294" i="5080"/>
  <c r="G295" i="5080"/>
  <c r="G296" i="5080"/>
  <c r="G297" i="5080"/>
  <c r="G298" i="5080"/>
  <c r="G299" i="5080"/>
  <c r="G300" i="5080"/>
  <c r="G301" i="5080"/>
  <c r="G302" i="5080"/>
  <c r="G303" i="5080"/>
  <c r="G304" i="5080"/>
  <c r="G305" i="5080"/>
  <c r="G306" i="5080"/>
  <c r="G307" i="5080"/>
  <c r="G308" i="5080"/>
  <c r="G309" i="5080"/>
  <c r="G310" i="5080"/>
  <c r="G311" i="5080"/>
  <c r="G312" i="5080"/>
  <c r="G313" i="5080"/>
  <c r="G314" i="5080"/>
  <c r="G315" i="5080"/>
  <c r="G316" i="5080"/>
  <c r="G317" i="5080"/>
  <c r="G318" i="5080"/>
  <c r="G319" i="5080"/>
  <c r="G320" i="5080"/>
  <c r="G321" i="5080"/>
  <c r="G322" i="5080"/>
  <c r="G323" i="5080"/>
  <c r="G324" i="5080"/>
  <c r="G325" i="5080"/>
  <c r="G326" i="5080"/>
  <c r="G327" i="5080"/>
  <c r="G328" i="5080"/>
  <c r="G329" i="5080"/>
  <c r="G330" i="5080"/>
  <c r="G331" i="5080"/>
  <c r="G332" i="5080"/>
  <c r="G333" i="5080"/>
  <c r="G334" i="5080"/>
  <c r="G335" i="5080"/>
  <c r="G336" i="5080"/>
  <c r="G337" i="5080"/>
  <c r="G338" i="5080"/>
  <c r="G339" i="5080"/>
  <c r="G340" i="5080"/>
  <c r="G341" i="5080"/>
  <c r="G342" i="5080"/>
  <c r="G343" i="5080"/>
  <c r="G344" i="5080"/>
  <c r="G345" i="5080"/>
  <c r="G346" i="5080"/>
  <c r="G347" i="5080"/>
  <c r="G348" i="5080"/>
  <c r="G349" i="5080"/>
  <c r="G350" i="5080"/>
  <c r="G351" i="5080"/>
  <c r="G352" i="5080"/>
  <c r="G353" i="5080"/>
  <c r="G354" i="5080"/>
  <c r="G355" i="5080"/>
  <c r="G356" i="5080"/>
  <c r="G357" i="5080"/>
  <c r="G358" i="5080"/>
  <c r="G359" i="5080"/>
  <c r="G360" i="5080"/>
  <c r="G361" i="5080"/>
  <c r="G362" i="5080"/>
  <c r="G363" i="5080"/>
  <c r="G364" i="5080"/>
  <c r="G365" i="5080"/>
  <c r="G366" i="5080"/>
  <c r="G367" i="5080"/>
  <c r="G368" i="5080"/>
  <c r="G369" i="5080"/>
  <c r="G370" i="5080"/>
  <c r="G371" i="5080"/>
  <c r="G372" i="5080"/>
  <c r="G373" i="5080"/>
  <c r="G374" i="5080"/>
  <c r="G375" i="5080"/>
  <c r="G376" i="5080"/>
  <c r="G377" i="5080"/>
  <c r="G378" i="5080"/>
  <c r="G379" i="5080"/>
  <c r="G380" i="5080"/>
  <c r="G381" i="5080"/>
  <c r="G382" i="5080"/>
  <c r="G383" i="5080"/>
  <c r="G384" i="5080"/>
  <c r="G385" i="5080"/>
  <c r="G386" i="5080"/>
  <c r="G387" i="5080"/>
  <c r="G388" i="5080"/>
  <c r="G389" i="5080"/>
  <c r="G390" i="5080"/>
  <c r="G391" i="5080"/>
  <c r="G392" i="5080"/>
  <c r="G393" i="5080"/>
  <c r="G394" i="5080"/>
  <c r="G395" i="5080"/>
  <c r="G396" i="5080"/>
  <c r="G397" i="5080"/>
  <c r="G398" i="5080"/>
  <c r="G399" i="5080"/>
  <c r="G400" i="5080"/>
  <c r="G401" i="5080"/>
  <c r="G402" i="5080"/>
  <c r="G403" i="5080"/>
  <c r="G404" i="5080"/>
  <c r="G405" i="5080"/>
  <c r="G406" i="5080"/>
  <c r="G407" i="5080"/>
  <c r="G408" i="5080"/>
  <c r="G409" i="5080"/>
  <c r="G410" i="5080"/>
  <c r="G411" i="5080"/>
  <c r="G412" i="5080"/>
  <c r="G413" i="5080"/>
  <c r="G414" i="5080"/>
  <c r="G415" i="5080"/>
  <c r="G416" i="5080"/>
  <c r="G417" i="5080"/>
  <c r="G418" i="5080"/>
  <c r="G419" i="5080"/>
  <c r="G420" i="5080"/>
  <c r="G421" i="5080"/>
  <c r="G422" i="5080"/>
  <c r="G423" i="5080"/>
  <c r="G424" i="5080"/>
  <c r="G425" i="5080"/>
  <c r="G426" i="5080"/>
  <c r="G427" i="5080"/>
  <c r="G428" i="5080"/>
  <c r="G429" i="5080"/>
  <c r="G430" i="5080"/>
  <c r="G431" i="5080"/>
  <c r="G432" i="5080"/>
  <c r="G433" i="5080"/>
  <c r="G434" i="5080"/>
  <c r="G435" i="5080"/>
  <c r="G436" i="5080"/>
  <c r="G437" i="5080"/>
  <c r="G438" i="5080"/>
  <c r="G439" i="5080"/>
  <c r="G440" i="5080"/>
  <c r="G441" i="5080"/>
  <c r="G442" i="5080"/>
  <c r="G443" i="5080"/>
  <c r="G444" i="5080"/>
  <c r="G445" i="5080"/>
  <c r="G446" i="5080"/>
  <c r="G447" i="5080"/>
  <c r="G448" i="5080"/>
  <c r="G449" i="5080"/>
  <c r="G450" i="5080"/>
  <c r="G451" i="5080"/>
  <c r="G452" i="5080"/>
  <c r="G453" i="5080"/>
  <c r="G454" i="5080"/>
  <c r="G455" i="5080"/>
  <c r="G456" i="5080"/>
  <c r="G457" i="5080"/>
  <c r="G458" i="5080"/>
  <c r="G459" i="5080"/>
  <c r="G460" i="5080"/>
  <c r="G461" i="5080"/>
  <c r="G462" i="5080"/>
  <c r="G463" i="5080"/>
  <c r="G464" i="5080"/>
  <c r="G465" i="5080"/>
  <c r="G466" i="5080"/>
  <c r="G467" i="5080"/>
  <c r="G468" i="5080"/>
  <c r="G469" i="5080"/>
  <c r="G470" i="5080"/>
  <c r="G471" i="5080"/>
  <c r="G472" i="5080"/>
  <c r="G473" i="5080"/>
  <c r="G474" i="5080"/>
  <c r="G475" i="5080"/>
  <c r="G476" i="5080"/>
  <c r="G477" i="5080"/>
  <c r="G478" i="5080"/>
  <c r="G479" i="5080"/>
  <c r="G480" i="5080"/>
  <c r="G481" i="5080"/>
  <c r="G482" i="5080"/>
  <c r="G483" i="5080"/>
  <c r="G484" i="5080"/>
  <c r="G485" i="5080"/>
  <c r="G486" i="5080"/>
  <c r="G487" i="5080"/>
  <c r="G488" i="5080"/>
  <c r="G489" i="5080"/>
  <c r="G490" i="5080"/>
  <c r="G491" i="5080"/>
  <c r="G492" i="5080"/>
  <c r="G493" i="5080"/>
  <c r="G494" i="5080"/>
  <c r="G495" i="5080"/>
  <c r="G496" i="5080"/>
  <c r="G497" i="5080"/>
  <c r="G498" i="5080"/>
  <c r="G499" i="5080"/>
  <c r="G500" i="5080"/>
  <c r="G501" i="5080"/>
  <c r="G502" i="5080"/>
  <c r="G503" i="5080"/>
  <c r="G504" i="5080"/>
  <c r="G505" i="5080"/>
  <c r="G2" i="5079"/>
  <c r="G3" i="5079"/>
  <c r="G4" i="5079"/>
  <c r="G5" i="5079"/>
  <c r="G6" i="5079"/>
  <c r="G7" i="5079"/>
  <c r="G8" i="5079"/>
  <c r="G9" i="5079"/>
  <c r="G10" i="5079"/>
  <c r="G11" i="5079"/>
  <c r="G12" i="5079"/>
  <c r="G13" i="5079"/>
  <c r="G14" i="5079"/>
  <c r="G15" i="5079"/>
  <c r="G16" i="5079"/>
  <c r="G17" i="5079"/>
  <c r="G18" i="5079"/>
  <c r="G19" i="5079"/>
  <c r="G20" i="5079"/>
  <c r="G21" i="5079"/>
  <c r="G22" i="5079"/>
  <c r="G23" i="5079"/>
  <c r="G24" i="5079"/>
  <c r="G25" i="5079"/>
  <c r="G26" i="5079"/>
  <c r="G27" i="5079"/>
  <c r="G28" i="5079"/>
  <c r="G29" i="5079"/>
  <c r="G30" i="5079"/>
  <c r="G31" i="5079"/>
  <c r="G32" i="5079"/>
  <c r="G33" i="5079"/>
  <c r="G34" i="5079"/>
  <c r="G35" i="5079"/>
  <c r="G36" i="5079"/>
  <c r="G37" i="5079"/>
  <c r="G38" i="5079"/>
  <c r="G39" i="5079"/>
  <c r="G40" i="5079"/>
  <c r="G41" i="5079"/>
  <c r="G42" i="5079"/>
  <c r="G43" i="5079"/>
  <c r="G44" i="5079"/>
  <c r="G45" i="5079"/>
  <c r="G46" i="5079"/>
  <c r="G47" i="5079"/>
  <c r="G48" i="5079"/>
  <c r="G49" i="5079"/>
  <c r="G50" i="5079"/>
  <c r="G51" i="5079"/>
  <c r="G52" i="5079"/>
  <c r="G53" i="5079"/>
  <c r="G54" i="5079"/>
  <c r="G55" i="5079"/>
  <c r="G56" i="5079"/>
  <c r="G57" i="5079"/>
  <c r="G58" i="5079"/>
  <c r="G59" i="5079"/>
  <c r="G60" i="5079"/>
  <c r="G61" i="5079"/>
  <c r="G62" i="5079"/>
  <c r="G63" i="5079"/>
  <c r="G64" i="5079"/>
  <c r="G65" i="5079"/>
  <c r="G66" i="5079"/>
  <c r="G67" i="5079"/>
  <c r="G68" i="5079"/>
  <c r="G69" i="5079"/>
  <c r="G70" i="5079"/>
  <c r="G71" i="5079"/>
  <c r="G72" i="5079"/>
  <c r="G73" i="5079"/>
  <c r="G74" i="5079"/>
  <c r="G75" i="5079"/>
  <c r="G76" i="5079"/>
  <c r="G77" i="5079"/>
  <c r="G78" i="5079"/>
  <c r="G79" i="5079"/>
  <c r="G80" i="5079"/>
  <c r="G81" i="5079"/>
  <c r="G82" i="5079"/>
  <c r="G83" i="5079"/>
  <c r="G84" i="5079"/>
  <c r="G85" i="5079"/>
  <c r="G86" i="5079"/>
  <c r="G87" i="5079"/>
  <c r="G88" i="5079"/>
  <c r="G89" i="5079"/>
  <c r="G90" i="5079"/>
  <c r="G91" i="5079"/>
  <c r="G92" i="5079"/>
  <c r="G93" i="5079"/>
  <c r="G94" i="5079"/>
  <c r="G95" i="5079"/>
  <c r="G96" i="5079"/>
  <c r="G97" i="5079"/>
  <c r="G98" i="5079"/>
  <c r="G99" i="5079"/>
  <c r="G100" i="5079"/>
  <c r="G101" i="5079"/>
  <c r="G102" i="5079"/>
  <c r="G103" i="5079"/>
  <c r="G104" i="5079"/>
  <c r="G105" i="5079"/>
  <c r="G106" i="5079"/>
  <c r="G107" i="5079"/>
  <c r="G108" i="5079"/>
  <c r="G109" i="5079"/>
  <c r="G110" i="5079"/>
  <c r="G111" i="5079"/>
  <c r="G112" i="5079"/>
  <c r="G113" i="5079"/>
  <c r="G114" i="5079"/>
  <c r="G115" i="5079"/>
  <c r="G116" i="5079"/>
  <c r="G117" i="5079"/>
  <c r="G118" i="5079"/>
  <c r="G119" i="5079"/>
  <c r="G120" i="5079"/>
  <c r="G121" i="5079"/>
  <c r="G122" i="5079"/>
  <c r="G123" i="5079"/>
  <c r="G124" i="5079"/>
  <c r="G125" i="5079"/>
  <c r="G126" i="5079"/>
  <c r="G127" i="5079"/>
  <c r="G128" i="5079"/>
  <c r="G129" i="5079"/>
  <c r="G130" i="5079"/>
  <c r="G131" i="5079"/>
  <c r="G132" i="5079"/>
  <c r="G133" i="5079"/>
  <c r="G134" i="5079"/>
  <c r="G135" i="5079"/>
  <c r="G136" i="5079"/>
  <c r="G137" i="5079"/>
  <c r="G138" i="5079"/>
  <c r="G139" i="5079"/>
  <c r="G140" i="5079"/>
  <c r="G141" i="5079"/>
  <c r="G142" i="5079"/>
  <c r="G143" i="5079"/>
  <c r="G144" i="5079"/>
  <c r="G145" i="5079"/>
  <c r="G146" i="5079"/>
  <c r="G147" i="5079"/>
  <c r="G148" i="5079"/>
  <c r="G149" i="5079"/>
  <c r="G150" i="5079"/>
  <c r="G151" i="5079"/>
  <c r="G152" i="5079"/>
  <c r="G153" i="5079"/>
  <c r="G154" i="5079"/>
  <c r="G155" i="5079"/>
  <c r="G156" i="5079"/>
  <c r="G157" i="5079"/>
  <c r="G158" i="5079"/>
  <c r="G159" i="5079"/>
  <c r="G160" i="5079"/>
  <c r="G161" i="5079"/>
  <c r="G162" i="5079"/>
  <c r="G163" i="5079"/>
  <c r="G164" i="5079"/>
  <c r="G165" i="5079"/>
  <c r="G166" i="5079"/>
  <c r="G167" i="5079"/>
  <c r="G168" i="5079"/>
  <c r="G169" i="5079"/>
  <c r="G170" i="5079"/>
  <c r="G171" i="5079"/>
  <c r="G172" i="5079"/>
  <c r="G173" i="5079"/>
  <c r="G174" i="5079"/>
  <c r="G175" i="5079"/>
  <c r="G176" i="5079"/>
  <c r="G177" i="5079"/>
  <c r="G178" i="5079"/>
  <c r="G179" i="5079"/>
  <c r="G180" i="5079"/>
  <c r="G181" i="5079"/>
  <c r="G182" i="5079"/>
  <c r="G183" i="5079"/>
  <c r="G184" i="5079"/>
  <c r="G185" i="5079"/>
  <c r="G186" i="5079"/>
  <c r="G187" i="5079"/>
  <c r="G188" i="5079"/>
  <c r="G189" i="5079"/>
  <c r="G190" i="5079"/>
  <c r="G191" i="5079"/>
  <c r="G192" i="5079"/>
  <c r="G193" i="5079"/>
  <c r="G194" i="5079"/>
  <c r="G195" i="5079"/>
  <c r="G196" i="5079"/>
  <c r="G197" i="5079"/>
  <c r="G198" i="5079"/>
  <c r="G199" i="5079"/>
  <c r="G200" i="5079"/>
  <c r="G201" i="5079"/>
  <c r="G202" i="5079"/>
  <c r="G203" i="5079"/>
  <c r="G204" i="5079"/>
  <c r="G205" i="5079"/>
  <c r="G206" i="5079"/>
  <c r="G207" i="5079"/>
  <c r="G208" i="5079"/>
  <c r="G209" i="5079"/>
  <c r="G210" i="5079"/>
  <c r="G211" i="5079"/>
  <c r="G212" i="5079"/>
  <c r="G213" i="5079"/>
  <c r="G214" i="5079"/>
  <c r="G215" i="5079"/>
  <c r="G216" i="5079"/>
  <c r="G217" i="5079"/>
  <c r="G218" i="5079"/>
  <c r="G219" i="5079"/>
  <c r="G220" i="5079"/>
  <c r="G221" i="5079"/>
  <c r="G222" i="5079"/>
  <c r="G223" i="5079"/>
  <c r="G224" i="5079"/>
  <c r="G225" i="5079"/>
  <c r="G226" i="5079"/>
  <c r="G227" i="5079"/>
  <c r="G228" i="5079"/>
  <c r="G229" i="5079"/>
  <c r="G230" i="5079"/>
  <c r="G231" i="5079"/>
  <c r="G232" i="5079"/>
  <c r="G233" i="5079"/>
  <c r="G234" i="5079"/>
  <c r="G235" i="5079"/>
  <c r="G236" i="5079"/>
  <c r="G237" i="5079"/>
  <c r="G238" i="5079"/>
  <c r="G239" i="5079"/>
  <c r="G240" i="5079"/>
  <c r="G241" i="5079"/>
  <c r="G242" i="5079"/>
  <c r="G243" i="5079"/>
  <c r="G244" i="5079"/>
  <c r="G245" i="5079"/>
  <c r="G246" i="5079"/>
  <c r="G247" i="5079"/>
  <c r="G248" i="5079"/>
  <c r="G249" i="5079"/>
  <c r="G250" i="5079"/>
  <c r="G251" i="5079"/>
  <c r="G252" i="5079"/>
  <c r="G253" i="5079"/>
  <c r="G254" i="5079"/>
  <c r="G255" i="5079"/>
  <c r="G256" i="5079"/>
  <c r="G257" i="5079"/>
  <c r="G258" i="5079"/>
  <c r="G259" i="5079"/>
  <c r="G260" i="5079"/>
  <c r="G261" i="5079"/>
  <c r="G262" i="5079"/>
  <c r="G263" i="5079"/>
  <c r="G264" i="5079"/>
  <c r="G265" i="5079"/>
  <c r="G266" i="5079"/>
  <c r="G267" i="5079"/>
  <c r="G268" i="5079"/>
  <c r="G269" i="5079"/>
  <c r="G270" i="5079"/>
  <c r="G271" i="5079"/>
  <c r="G272" i="5079"/>
  <c r="G273" i="5079"/>
  <c r="G274" i="5079"/>
  <c r="G275" i="5079"/>
  <c r="G276" i="5079"/>
  <c r="G277" i="5079"/>
  <c r="G278" i="5079"/>
  <c r="G279" i="5079"/>
  <c r="G280" i="5079"/>
  <c r="G281" i="5079"/>
  <c r="G282" i="5079"/>
  <c r="G283" i="5079"/>
  <c r="G284" i="5079"/>
  <c r="G285" i="5079"/>
  <c r="G286" i="5079"/>
  <c r="G287" i="5079"/>
  <c r="G288" i="5079"/>
  <c r="G289" i="5079"/>
  <c r="G290" i="5079"/>
  <c r="G291" i="5079"/>
  <c r="G292" i="5079"/>
  <c r="G293" i="5079"/>
  <c r="G294" i="5079"/>
  <c r="G295" i="5079"/>
  <c r="G296" i="5079"/>
  <c r="G297" i="5079"/>
  <c r="G298" i="5079"/>
  <c r="G299" i="5079"/>
  <c r="G300" i="5079"/>
  <c r="G301" i="5079"/>
  <c r="G302" i="5079"/>
  <c r="G303" i="5079"/>
  <c r="G304" i="5079"/>
  <c r="G305" i="5079"/>
  <c r="G306" i="5079"/>
  <c r="G307" i="5079"/>
  <c r="G308" i="5079"/>
  <c r="G309" i="5079"/>
  <c r="G310" i="5079"/>
  <c r="G311" i="5079"/>
  <c r="G312" i="5079"/>
  <c r="G313" i="5079"/>
  <c r="G314" i="5079"/>
  <c r="G315" i="5079"/>
  <c r="G316" i="5079"/>
  <c r="G317" i="5079"/>
  <c r="G318" i="5079"/>
  <c r="G319" i="5079"/>
  <c r="G320" i="5079"/>
  <c r="G321" i="5079"/>
  <c r="G322" i="5079"/>
  <c r="G323" i="5079"/>
  <c r="G324" i="5079"/>
  <c r="G325" i="5079"/>
  <c r="G326" i="5079"/>
  <c r="G327" i="5079"/>
  <c r="G328" i="5079"/>
  <c r="G329" i="5079"/>
  <c r="G330" i="5079"/>
  <c r="G331" i="5079"/>
  <c r="G332" i="5079"/>
  <c r="G333" i="5079"/>
  <c r="G334" i="5079"/>
  <c r="G335" i="5079"/>
  <c r="G336" i="5079"/>
  <c r="G337" i="5079"/>
  <c r="G338" i="5079"/>
  <c r="G339" i="5079"/>
  <c r="G340" i="5079"/>
  <c r="G341" i="5079"/>
  <c r="G342" i="5079"/>
  <c r="G343" i="5079"/>
  <c r="G344" i="5079"/>
  <c r="G345" i="5079"/>
  <c r="G346" i="5079"/>
  <c r="G347" i="5079"/>
  <c r="G348" i="5079"/>
  <c r="G349" i="5079"/>
  <c r="G350" i="5079"/>
  <c r="G351" i="5079"/>
  <c r="G352" i="5079"/>
  <c r="G353" i="5079"/>
  <c r="G354" i="5079"/>
  <c r="G355" i="5079"/>
  <c r="G356" i="5079"/>
  <c r="G357" i="5079"/>
  <c r="G358" i="5079"/>
  <c r="G359" i="5079"/>
  <c r="G360" i="5079"/>
  <c r="G361" i="5079"/>
  <c r="G362" i="5079"/>
  <c r="G363" i="5079"/>
  <c r="G364" i="5079"/>
  <c r="G365" i="5079"/>
  <c r="G366" i="5079"/>
  <c r="G367" i="5079"/>
  <c r="G368" i="5079"/>
  <c r="G369" i="5079"/>
  <c r="G370" i="5079"/>
  <c r="G371" i="5079"/>
  <c r="G372" i="5079"/>
  <c r="G373" i="5079"/>
  <c r="G374" i="5079"/>
  <c r="G375" i="5079"/>
  <c r="G376" i="5079"/>
  <c r="G377" i="5079"/>
  <c r="G378" i="5079"/>
  <c r="G379" i="5079"/>
  <c r="G380" i="5079"/>
  <c r="G381" i="5079"/>
  <c r="G382" i="5079"/>
  <c r="G383" i="5079"/>
  <c r="G384" i="5079"/>
  <c r="G385" i="5079"/>
  <c r="G386" i="5079"/>
  <c r="G387" i="5079"/>
  <c r="G388" i="5079"/>
  <c r="G389" i="5079"/>
  <c r="G390" i="5079"/>
  <c r="G391" i="5079"/>
  <c r="G392" i="5079"/>
  <c r="G393" i="5079"/>
  <c r="G394" i="5079"/>
  <c r="G395" i="5079"/>
  <c r="G396" i="5079"/>
  <c r="G397" i="5079"/>
  <c r="G398" i="5079"/>
  <c r="G399" i="5079"/>
  <c r="G400" i="5079"/>
  <c r="G401" i="5079"/>
  <c r="G402" i="5079"/>
  <c r="G403" i="5079"/>
  <c r="G404" i="5079"/>
  <c r="G405" i="5079"/>
  <c r="G406" i="5079"/>
  <c r="G407" i="5079"/>
  <c r="G408" i="5079"/>
  <c r="G409" i="5079"/>
  <c r="G410" i="5079"/>
  <c r="G411" i="5079"/>
  <c r="G412" i="5079"/>
  <c r="G413" i="5079"/>
  <c r="G414" i="5079"/>
  <c r="G415" i="5079"/>
  <c r="G416" i="5079"/>
  <c r="G417" i="5079"/>
  <c r="G418" i="5079"/>
  <c r="G419" i="5079"/>
  <c r="G420" i="5079"/>
  <c r="G421" i="5079"/>
  <c r="G422" i="5079"/>
  <c r="G423" i="5079"/>
  <c r="G424" i="5079"/>
  <c r="G425" i="5079"/>
  <c r="G426" i="5079"/>
  <c r="G427" i="5079"/>
  <c r="G428" i="5079"/>
  <c r="G429" i="5079"/>
  <c r="G430" i="5079"/>
  <c r="G431" i="5079"/>
  <c r="G432" i="5079"/>
  <c r="G433" i="5079"/>
  <c r="G434" i="5079"/>
  <c r="G435" i="5079"/>
  <c r="G436" i="5079"/>
  <c r="G437" i="5079"/>
  <c r="G438" i="5079"/>
  <c r="G439" i="5079"/>
  <c r="G440" i="5079"/>
  <c r="G441" i="5079"/>
  <c r="G442" i="5079"/>
  <c r="G443" i="5079"/>
  <c r="G444" i="5079"/>
  <c r="G445" i="5079"/>
  <c r="G446" i="5079"/>
  <c r="G447" i="5079"/>
  <c r="G448" i="5079"/>
  <c r="G449" i="5079"/>
  <c r="G450" i="5079"/>
  <c r="G451" i="5079"/>
  <c r="G452" i="5079"/>
  <c r="G453" i="5079"/>
  <c r="G454" i="5079"/>
  <c r="G455" i="5079"/>
  <c r="G456" i="5079"/>
  <c r="G457" i="5079"/>
  <c r="G458" i="5079"/>
  <c r="G459" i="5079"/>
  <c r="G460" i="5079"/>
  <c r="G461" i="5079"/>
  <c r="G462" i="5079"/>
  <c r="G463" i="5079"/>
  <c r="G464" i="5079"/>
  <c r="G465" i="5079"/>
  <c r="G466" i="5079"/>
  <c r="G467" i="5079"/>
  <c r="G468" i="5079"/>
  <c r="G469" i="5079"/>
  <c r="G470" i="5079"/>
  <c r="G471" i="5079"/>
  <c r="G472" i="5079"/>
  <c r="G473" i="5079"/>
  <c r="G474" i="5079"/>
  <c r="G475" i="5079"/>
  <c r="G476" i="5079"/>
  <c r="G477" i="5079"/>
  <c r="G478" i="5079"/>
  <c r="G479" i="5079"/>
  <c r="G480" i="5079"/>
  <c r="G481" i="5079"/>
  <c r="G482" i="5079"/>
  <c r="G483" i="5079"/>
  <c r="G484" i="5079"/>
  <c r="G485" i="5079"/>
  <c r="G486" i="5079"/>
  <c r="G487" i="5079"/>
  <c r="G488" i="5079"/>
  <c r="G489" i="5079"/>
  <c r="G490" i="5079"/>
  <c r="G491" i="5079"/>
  <c r="G492" i="5079"/>
  <c r="G493" i="5079"/>
  <c r="G494" i="5079"/>
  <c r="G495" i="5079"/>
  <c r="G496" i="5079"/>
  <c r="G497" i="5079"/>
  <c r="G498" i="5079"/>
  <c r="G499" i="5079"/>
  <c r="G500" i="5079"/>
  <c r="G501" i="5079"/>
  <c r="G502" i="5079"/>
  <c r="G503" i="5079"/>
  <c r="G504" i="5079"/>
  <c r="G505" i="5079"/>
  <c r="G2" i="5078"/>
  <c r="G3" i="5078"/>
  <c r="G4" i="5078"/>
  <c r="G5" i="5078"/>
  <c r="G6" i="5078"/>
  <c r="G7" i="5078"/>
  <c r="G8" i="5078"/>
  <c r="G9" i="5078"/>
  <c r="G10" i="5078"/>
  <c r="G11" i="5078"/>
  <c r="G12" i="5078"/>
  <c r="G13" i="5078"/>
  <c r="G14" i="5078"/>
  <c r="G15" i="5078"/>
  <c r="G16" i="5078"/>
  <c r="G17" i="5078"/>
  <c r="G18" i="5078"/>
  <c r="G19" i="5078"/>
  <c r="G20" i="5078"/>
  <c r="G21" i="5078"/>
  <c r="G22" i="5078"/>
  <c r="G23" i="5078"/>
  <c r="G24" i="5078"/>
  <c r="G25" i="5078"/>
  <c r="G26" i="5078"/>
  <c r="G27" i="5078"/>
  <c r="G28" i="5078"/>
  <c r="G29" i="5078"/>
  <c r="G30" i="5078"/>
  <c r="G31" i="5078"/>
  <c r="G32" i="5078"/>
  <c r="G33" i="5078"/>
  <c r="G34" i="5078"/>
  <c r="G35" i="5078"/>
  <c r="G36" i="5078"/>
  <c r="G37" i="5078"/>
  <c r="G38" i="5078"/>
  <c r="G39" i="5078"/>
  <c r="G40" i="5078"/>
  <c r="G41" i="5078"/>
  <c r="G42" i="5078"/>
  <c r="G43" i="5078"/>
  <c r="G44" i="5078"/>
  <c r="G45" i="5078"/>
  <c r="G46" i="5078"/>
  <c r="G47" i="5078"/>
  <c r="G48" i="5078"/>
  <c r="G49" i="5078"/>
  <c r="G50" i="5078"/>
  <c r="G51" i="5078"/>
  <c r="G52" i="5078"/>
  <c r="G53" i="5078"/>
  <c r="G54" i="5078"/>
  <c r="G55" i="5078"/>
  <c r="G56" i="5078"/>
  <c r="G57" i="5078"/>
  <c r="G58" i="5078"/>
  <c r="G59" i="5078"/>
  <c r="G60" i="5078"/>
  <c r="G61" i="5078"/>
  <c r="G62" i="5078"/>
  <c r="G63" i="5078"/>
  <c r="G64" i="5078"/>
  <c r="G65" i="5078"/>
  <c r="G66" i="5078"/>
  <c r="G67" i="5078"/>
  <c r="G68" i="5078"/>
  <c r="G69" i="5078"/>
  <c r="G70" i="5078"/>
  <c r="G71" i="5078"/>
  <c r="G72" i="5078"/>
  <c r="G73" i="5078"/>
  <c r="G74" i="5078"/>
  <c r="G75" i="5078"/>
  <c r="G76" i="5078"/>
  <c r="G77" i="5078"/>
  <c r="G78" i="5078"/>
  <c r="G79" i="5078"/>
  <c r="G80" i="5078"/>
  <c r="G81" i="5078"/>
  <c r="G82" i="5078"/>
  <c r="G83" i="5078"/>
  <c r="G84" i="5078"/>
  <c r="G85" i="5078"/>
  <c r="G86" i="5078"/>
  <c r="G87" i="5078"/>
  <c r="G88" i="5078"/>
  <c r="G89" i="5078"/>
  <c r="G90" i="5078"/>
  <c r="G91" i="5078"/>
  <c r="G92" i="5078"/>
  <c r="G93" i="5078"/>
  <c r="G94" i="5078"/>
  <c r="G95" i="5078"/>
  <c r="G96" i="5078"/>
  <c r="G97" i="5078"/>
  <c r="G98" i="5078"/>
  <c r="G99" i="5078"/>
  <c r="G100" i="5078"/>
  <c r="G101" i="5078"/>
  <c r="G102" i="5078"/>
  <c r="G103" i="5078"/>
  <c r="G104" i="5078"/>
  <c r="G105" i="5078"/>
  <c r="G106" i="5078"/>
  <c r="G107" i="5078"/>
  <c r="G108" i="5078"/>
  <c r="G109" i="5078"/>
  <c r="G110" i="5078"/>
  <c r="G111" i="5078"/>
  <c r="G112" i="5078"/>
  <c r="G113" i="5078"/>
  <c r="G114" i="5078"/>
  <c r="G115" i="5078"/>
  <c r="G116" i="5078"/>
  <c r="G117" i="5078"/>
  <c r="G118" i="5078"/>
  <c r="G119" i="5078"/>
  <c r="G120" i="5078"/>
  <c r="G121" i="5078"/>
  <c r="G122" i="5078"/>
  <c r="G123" i="5078"/>
  <c r="G124" i="5078"/>
  <c r="G125" i="5078"/>
  <c r="G126" i="5078"/>
  <c r="G127" i="5078"/>
  <c r="G128" i="5078"/>
  <c r="G129" i="5078"/>
  <c r="G130" i="5078"/>
  <c r="G131" i="5078"/>
  <c r="G132" i="5078"/>
  <c r="G133" i="5078"/>
  <c r="G134" i="5078"/>
  <c r="G135" i="5078"/>
  <c r="G136" i="5078"/>
  <c r="G137" i="5078"/>
  <c r="G138" i="5078"/>
  <c r="G139" i="5078"/>
  <c r="G140" i="5078"/>
  <c r="G141" i="5078"/>
  <c r="G142" i="5078"/>
  <c r="G143" i="5078"/>
  <c r="G144" i="5078"/>
  <c r="G145" i="5078"/>
  <c r="G146" i="5078"/>
  <c r="G147" i="5078"/>
  <c r="G148" i="5078"/>
  <c r="G149" i="5078"/>
  <c r="G150" i="5078"/>
  <c r="G151" i="5078"/>
  <c r="G152" i="5078"/>
  <c r="G153" i="5078"/>
  <c r="G154" i="5078"/>
  <c r="G155" i="5078"/>
  <c r="G156" i="5078"/>
  <c r="G157" i="5078"/>
  <c r="G158" i="5078"/>
  <c r="G159" i="5078"/>
  <c r="G160" i="5078"/>
  <c r="G161" i="5078"/>
  <c r="G162" i="5078"/>
  <c r="G163" i="5078"/>
  <c r="G164" i="5078"/>
  <c r="G165" i="5078"/>
  <c r="G166" i="5078"/>
  <c r="G167" i="5078"/>
  <c r="G168" i="5078"/>
  <c r="G169" i="5078"/>
  <c r="G170" i="5078"/>
  <c r="G171" i="5078"/>
  <c r="G172" i="5078"/>
  <c r="G173" i="5078"/>
  <c r="G174" i="5078"/>
  <c r="G175" i="5078"/>
  <c r="G176" i="5078"/>
  <c r="G177" i="5078"/>
  <c r="G178" i="5078"/>
  <c r="G179" i="5078"/>
  <c r="G180" i="5078"/>
  <c r="G181" i="5078"/>
  <c r="G182" i="5078"/>
  <c r="G183" i="5078"/>
  <c r="G184" i="5078"/>
  <c r="G185" i="5078"/>
  <c r="G186" i="5078"/>
  <c r="G187" i="5078"/>
  <c r="G188" i="5078"/>
  <c r="G189" i="5078"/>
  <c r="G190" i="5078"/>
  <c r="G191" i="5078"/>
  <c r="G192" i="5078"/>
  <c r="G193" i="5078"/>
  <c r="G194" i="5078"/>
  <c r="G195" i="5078"/>
  <c r="G196" i="5078"/>
  <c r="G197" i="5078"/>
  <c r="G198" i="5078"/>
  <c r="G199" i="5078"/>
  <c r="G200" i="5078"/>
  <c r="G201" i="5078"/>
  <c r="G202" i="5078"/>
  <c r="G203" i="5078"/>
  <c r="G204" i="5078"/>
  <c r="G205" i="5078"/>
  <c r="G206" i="5078"/>
  <c r="G207" i="5078"/>
  <c r="G208" i="5078"/>
  <c r="G209" i="5078"/>
  <c r="G210" i="5078"/>
  <c r="G211" i="5078"/>
  <c r="G212" i="5078"/>
  <c r="G213" i="5078"/>
  <c r="G214" i="5078"/>
  <c r="G215" i="5078"/>
  <c r="G216" i="5078"/>
  <c r="G217" i="5078"/>
  <c r="G218" i="5078"/>
  <c r="G219" i="5078"/>
  <c r="G220" i="5078"/>
  <c r="G221" i="5078"/>
  <c r="G222" i="5078"/>
  <c r="G223" i="5078"/>
  <c r="G224" i="5078"/>
  <c r="G225" i="5078"/>
  <c r="G226" i="5078"/>
  <c r="G227" i="5078"/>
  <c r="G228" i="5078"/>
  <c r="G229" i="5078"/>
  <c r="G230" i="5078"/>
  <c r="G231" i="5078"/>
  <c r="G232" i="5078"/>
  <c r="G233" i="5078"/>
  <c r="G234" i="5078"/>
  <c r="G235" i="5078"/>
  <c r="G236" i="5078"/>
  <c r="G237" i="5078"/>
  <c r="G238" i="5078"/>
  <c r="G239" i="5078"/>
  <c r="G240" i="5078"/>
  <c r="G241" i="5078"/>
  <c r="G242" i="5078"/>
  <c r="G243" i="5078"/>
  <c r="G244" i="5078"/>
  <c r="G245" i="5078"/>
  <c r="G246" i="5078"/>
  <c r="G247" i="5078"/>
  <c r="G248" i="5078"/>
  <c r="G249" i="5078"/>
  <c r="G250" i="5078"/>
  <c r="G251" i="5078"/>
  <c r="G252" i="5078"/>
  <c r="G253" i="5078"/>
  <c r="G254" i="5078"/>
  <c r="G255" i="5078"/>
  <c r="G256" i="5078"/>
  <c r="G257" i="5078"/>
  <c r="G258" i="5078"/>
  <c r="G259" i="5078"/>
  <c r="G260" i="5078"/>
  <c r="G261" i="5078"/>
  <c r="G262" i="5078"/>
  <c r="G263" i="5078"/>
  <c r="G264" i="5078"/>
  <c r="G265" i="5078"/>
  <c r="G266" i="5078"/>
  <c r="G267" i="5078"/>
  <c r="G268" i="5078"/>
  <c r="G269" i="5078"/>
  <c r="G270" i="5078"/>
  <c r="G271" i="5078"/>
  <c r="G272" i="5078"/>
  <c r="G273" i="5078"/>
  <c r="G274" i="5078"/>
  <c r="G275" i="5078"/>
  <c r="G276" i="5078"/>
  <c r="G277" i="5078"/>
  <c r="G278" i="5078"/>
  <c r="G279" i="5078"/>
  <c r="G280" i="5078"/>
  <c r="G281" i="5078"/>
  <c r="G282" i="5078"/>
  <c r="G283" i="5078"/>
  <c r="G284" i="5078"/>
  <c r="G285" i="5078"/>
  <c r="G286" i="5078"/>
  <c r="G287" i="5078"/>
  <c r="G288" i="5078"/>
  <c r="G289" i="5078"/>
  <c r="G290" i="5078"/>
  <c r="G291" i="5078"/>
  <c r="G292" i="5078"/>
  <c r="G293" i="5078"/>
  <c r="G294" i="5078"/>
  <c r="G295" i="5078"/>
  <c r="G296" i="5078"/>
  <c r="G297" i="5078"/>
  <c r="G298" i="5078"/>
  <c r="G299" i="5078"/>
  <c r="G300" i="5078"/>
  <c r="G301" i="5078"/>
  <c r="G302" i="5078"/>
  <c r="G303" i="5078"/>
  <c r="G304" i="5078"/>
  <c r="G305" i="5078"/>
  <c r="G306" i="5078"/>
  <c r="G307" i="5078"/>
  <c r="G308" i="5078"/>
  <c r="G309" i="5078"/>
  <c r="G310" i="5078"/>
  <c r="G311" i="5078"/>
  <c r="G312" i="5078"/>
  <c r="G313" i="5078"/>
  <c r="G314" i="5078"/>
  <c r="G315" i="5078"/>
  <c r="G316" i="5078"/>
  <c r="G317" i="5078"/>
  <c r="G318" i="5078"/>
  <c r="G319" i="5078"/>
  <c r="G320" i="5078"/>
  <c r="G321" i="5078"/>
  <c r="G322" i="5078"/>
  <c r="G323" i="5078"/>
  <c r="G324" i="5078"/>
  <c r="G325" i="5078"/>
  <c r="G326" i="5078"/>
  <c r="G327" i="5078"/>
  <c r="G328" i="5078"/>
  <c r="G329" i="5078"/>
  <c r="G330" i="5078"/>
  <c r="G331" i="5078"/>
  <c r="G332" i="5078"/>
  <c r="G333" i="5078"/>
  <c r="G334" i="5078"/>
  <c r="G335" i="5078"/>
  <c r="G336" i="5078"/>
  <c r="G337" i="5078"/>
  <c r="G338" i="5078"/>
  <c r="G339" i="5078"/>
  <c r="G340" i="5078"/>
  <c r="G341" i="5078"/>
  <c r="G342" i="5078"/>
  <c r="G343" i="5078"/>
  <c r="G344" i="5078"/>
  <c r="G345" i="5078"/>
  <c r="G346" i="5078"/>
  <c r="G347" i="5078"/>
  <c r="G348" i="5078"/>
  <c r="G349" i="5078"/>
  <c r="G350" i="5078"/>
  <c r="G351" i="5078"/>
  <c r="G352" i="5078"/>
  <c r="G353" i="5078"/>
  <c r="G354" i="5078"/>
  <c r="G355" i="5078"/>
  <c r="G356" i="5078"/>
  <c r="G357" i="5078"/>
  <c r="G358" i="5078"/>
  <c r="G359" i="5078"/>
  <c r="G360" i="5078"/>
  <c r="G361" i="5078"/>
  <c r="G362" i="5078"/>
  <c r="G363" i="5078"/>
  <c r="G364" i="5078"/>
  <c r="G365" i="5078"/>
  <c r="G366" i="5078"/>
  <c r="G367" i="5078"/>
  <c r="G368" i="5078"/>
  <c r="G369" i="5078"/>
  <c r="G370" i="5078"/>
  <c r="G371" i="5078"/>
  <c r="G372" i="5078"/>
  <c r="G373" i="5078"/>
  <c r="G374" i="5078"/>
  <c r="G375" i="5078"/>
  <c r="G376" i="5078"/>
  <c r="G377" i="5078"/>
  <c r="G378" i="5078"/>
  <c r="G379" i="5078"/>
  <c r="G380" i="5078"/>
  <c r="G381" i="5078"/>
  <c r="G382" i="5078"/>
  <c r="G383" i="5078"/>
  <c r="G384" i="5078"/>
  <c r="G385" i="5078"/>
  <c r="G386" i="5078"/>
  <c r="G387" i="5078"/>
  <c r="G388" i="5078"/>
  <c r="G389" i="5078"/>
  <c r="G390" i="5078"/>
  <c r="G391" i="5078"/>
  <c r="G392" i="5078"/>
  <c r="G393" i="5078"/>
  <c r="G394" i="5078"/>
  <c r="G395" i="5078"/>
  <c r="G396" i="5078"/>
  <c r="G397" i="5078"/>
  <c r="G398" i="5078"/>
  <c r="G399" i="5078"/>
  <c r="G400" i="5078"/>
  <c r="G401" i="5078"/>
  <c r="G402" i="5078"/>
  <c r="G403" i="5078"/>
  <c r="G404" i="5078"/>
  <c r="G405" i="5078"/>
  <c r="G406" i="5078"/>
  <c r="G407" i="5078"/>
  <c r="G408" i="5078"/>
  <c r="G409" i="5078"/>
  <c r="G410" i="5078"/>
  <c r="G411" i="5078"/>
  <c r="G412" i="5078"/>
  <c r="G413" i="5078"/>
  <c r="G414" i="5078"/>
  <c r="G415" i="5078"/>
  <c r="G416" i="5078"/>
  <c r="G417" i="5078"/>
  <c r="G418" i="5078"/>
  <c r="G419" i="5078"/>
  <c r="G420" i="5078"/>
  <c r="G421" i="5078"/>
  <c r="G422" i="5078"/>
  <c r="G423" i="5078"/>
  <c r="G424" i="5078"/>
  <c r="G425" i="5078"/>
  <c r="G426" i="5078"/>
  <c r="G427" i="5078"/>
  <c r="G428" i="5078"/>
  <c r="G429" i="5078"/>
  <c r="G430" i="5078"/>
  <c r="G431" i="5078"/>
  <c r="G432" i="5078"/>
  <c r="G433" i="5078"/>
  <c r="G434" i="5078"/>
  <c r="G435" i="5078"/>
  <c r="G436" i="5078"/>
  <c r="G437" i="5078"/>
  <c r="G438" i="5078"/>
  <c r="G439" i="5078"/>
  <c r="G440" i="5078"/>
  <c r="G441" i="5078"/>
  <c r="G442" i="5078"/>
  <c r="G443" i="5078"/>
  <c r="G444" i="5078"/>
  <c r="G445" i="5078"/>
  <c r="G446" i="5078"/>
  <c r="G447" i="5078"/>
  <c r="G448" i="5078"/>
  <c r="G449" i="5078"/>
  <c r="G450" i="5078"/>
  <c r="G451" i="5078"/>
  <c r="G452" i="5078"/>
  <c r="G453" i="5078"/>
  <c r="G454" i="5078"/>
  <c r="G455" i="5078"/>
  <c r="G456" i="5078"/>
  <c r="G457" i="5078"/>
  <c r="G458" i="5078"/>
  <c r="G459" i="5078"/>
  <c r="G460" i="5078"/>
  <c r="G461" i="5078"/>
  <c r="G462" i="5078"/>
  <c r="G463" i="5078"/>
  <c r="G464" i="5078"/>
  <c r="G465" i="5078"/>
  <c r="G466" i="5078"/>
  <c r="G467" i="5078"/>
  <c r="G468" i="5078"/>
  <c r="G469" i="5078"/>
  <c r="G470" i="5078"/>
  <c r="G471" i="5078"/>
  <c r="G472" i="5078"/>
  <c r="G473" i="5078"/>
  <c r="G474" i="5078"/>
  <c r="G475" i="5078"/>
  <c r="G476" i="5078"/>
  <c r="G477" i="5078"/>
  <c r="G478" i="5078"/>
  <c r="G479" i="5078"/>
  <c r="G480" i="5078"/>
  <c r="G481" i="5078"/>
  <c r="G482" i="5078"/>
  <c r="G483" i="5078"/>
  <c r="G484" i="5078"/>
  <c r="G485" i="5078"/>
  <c r="G486" i="5078"/>
  <c r="G487" i="5078"/>
  <c r="G488" i="5078"/>
  <c r="G489" i="5078"/>
  <c r="G490" i="5078"/>
  <c r="G491" i="5078"/>
  <c r="G492" i="5078"/>
  <c r="G493" i="5078"/>
  <c r="G494" i="5078"/>
  <c r="G495" i="5078"/>
  <c r="G496" i="5078"/>
  <c r="G497" i="5078"/>
  <c r="G498" i="5078"/>
  <c r="G499" i="5078"/>
  <c r="G500" i="5078"/>
  <c r="G501" i="5078"/>
  <c r="G502" i="5078"/>
  <c r="G503" i="5078"/>
  <c r="G504" i="5078"/>
  <c r="G505" i="5078"/>
  <c r="F2" i="5083"/>
  <c r="F3" i="5083"/>
  <c r="F4" i="5083"/>
  <c r="F5" i="5083"/>
  <c r="F6" i="5083"/>
  <c r="F7" i="5083"/>
  <c r="F8" i="5083"/>
  <c r="F9" i="5083"/>
  <c r="F10" i="5083"/>
  <c r="F11" i="5083"/>
  <c r="F12" i="5083"/>
  <c r="F13" i="5083"/>
  <c r="F14" i="5083"/>
  <c r="F15" i="5083"/>
  <c r="F16" i="5083"/>
  <c r="F17" i="5083"/>
  <c r="F18" i="5083"/>
  <c r="F19" i="5083"/>
  <c r="F20" i="5083"/>
  <c r="F21" i="5083"/>
  <c r="F22" i="5083"/>
  <c r="F23" i="5083"/>
  <c r="F24" i="5083"/>
  <c r="F25" i="5083"/>
  <c r="F26" i="5083"/>
  <c r="F27" i="5083"/>
  <c r="F28" i="5083"/>
  <c r="F29" i="5083"/>
  <c r="F30" i="5083"/>
  <c r="F31" i="5083"/>
  <c r="F32" i="5083"/>
  <c r="F33" i="5083"/>
  <c r="F34" i="5083"/>
  <c r="F35" i="5083"/>
  <c r="F36" i="5083"/>
  <c r="F37" i="5083"/>
  <c r="F38" i="5083"/>
  <c r="F39" i="5083"/>
  <c r="F40" i="5083"/>
  <c r="F41" i="5083"/>
  <c r="F42" i="5083"/>
  <c r="F43" i="5083"/>
  <c r="F44" i="5083"/>
  <c r="F45" i="5083"/>
  <c r="F46" i="5083"/>
  <c r="F47" i="5083"/>
  <c r="F48" i="5083"/>
  <c r="F49" i="5083"/>
  <c r="F50" i="5083"/>
  <c r="F51" i="5083"/>
  <c r="F52" i="5083"/>
  <c r="F53" i="5083"/>
  <c r="F54" i="5083"/>
  <c r="F55" i="5083"/>
  <c r="F56" i="5083"/>
  <c r="F57" i="5083"/>
  <c r="F58" i="5083"/>
  <c r="F59" i="5083"/>
  <c r="F60" i="5083"/>
  <c r="F61" i="5083"/>
  <c r="F62" i="5083"/>
  <c r="F63" i="5083"/>
  <c r="F64" i="5083"/>
  <c r="F65" i="5083"/>
  <c r="F66" i="5083"/>
  <c r="F67" i="5083"/>
  <c r="F68" i="5083"/>
  <c r="F69" i="5083"/>
  <c r="F70" i="5083"/>
  <c r="F71" i="5083"/>
  <c r="F72" i="5083"/>
  <c r="F73" i="5083"/>
  <c r="F74" i="5083"/>
  <c r="F75" i="5083"/>
  <c r="F76" i="5083"/>
  <c r="F77" i="5083"/>
  <c r="F78" i="5083"/>
  <c r="F79" i="5083"/>
  <c r="F80" i="5083"/>
  <c r="F81" i="5083"/>
  <c r="F82" i="5083"/>
  <c r="F83" i="5083"/>
  <c r="F84" i="5083"/>
  <c r="F85" i="5083"/>
  <c r="F86" i="5083"/>
  <c r="F87" i="5083"/>
  <c r="F88" i="5083"/>
  <c r="F89" i="5083"/>
  <c r="F90" i="5083"/>
  <c r="F91" i="5083"/>
  <c r="F92" i="5083"/>
  <c r="F93" i="5083"/>
  <c r="F94" i="5083"/>
  <c r="F95" i="5083"/>
  <c r="F96" i="5083"/>
  <c r="F97" i="5083"/>
  <c r="F98" i="5083"/>
  <c r="F99" i="5083"/>
  <c r="F100" i="5083"/>
  <c r="F101" i="5083"/>
  <c r="F102" i="5083"/>
  <c r="F103" i="5083"/>
  <c r="F104" i="5083"/>
  <c r="F105" i="5083"/>
  <c r="F106" i="5083"/>
  <c r="F107" i="5083"/>
  <c r="F108" i="5083"/>
  <c r="F109" i="5083"/>
  <c r="F110" i="5083"/>
  <c r="F111" i="5083"/>
  <c r="F112" i="5083"/>
  <c r="F113" i="5083"/>
  <c r="F114" i="5083"/>
  <c r="F115" i="5083"/>
  <c r="F116" i="5083"/>
  <c r="F117" i="5083"/>
  <c r="F118" i="5083"/>
  <c r="F119" i="5083"/>
  <c r="F120" i="5083"/>
  <c r="F121" i="5083"/>
  <c r="F122" i="5083"/>
  <c r="F123" i="5083"/>
  <c r="F124" i="5083"/>
  <c r="F125" i="5083"/>
  <c r="F126" i="5083"/>
  <c r="F127" i="5083"/>
  <c r="F128" i="5083"/>
  <c r="F129" i="5083"/>
  <c r="F130" i="5083"/>
  <c r="F131" i="5083"/>
  <c r="F132" i="5083"/>
  <c r="F133" i="5083"/>
  <c r="F134" i="5083"/>
  <c r="F135" i="5083"/>
  <c r="F136" i="5083"/>
  <c r="F137" i="5083"/>
  <c r="F138" i="5083"/>
  <c r="F139" i="5083"/>
  <c r="F140" i="5083"/>
  <c r="F141" i="5083"/>
  <c r="F142" i="5083"/>
  <c r="F143" i="5083"/>
  <c r="F144" i="5083"/>
  <c r="F145" i="5083"/>
  <c r="F146" i="5083"/>
  <c r="F147" i="5083"/>
  <c r="F148" i="5083"/>
  <c r="F149" i="5083"/>
  <c r="F150" i="5083"/>
  <c r="F151" i="5083"/>
  <c r="F152" i="5083"/>
  <c r="F153" i="5083"/>
  <c r="F154" i="5083"/>
  <c r="F155" i="5083"/>
  <c r="F156" i="5083"/>
  <c r="F157" i="5083"/>
  <c r="F158" i="5083"/>
  <c r="F159" i="5083"/>
  <c r="F160" i="5083"/>
  <c r="F161" i="5083"/>
  <c r="F162" i="5083"/>
  <c r="F163" i="5083"/>
  <c r="F164" i="5083"/>
  <c r="F165" i="5083"/>
  <c r="F166" i="5083"/>
  <c r="F167" i="5083"/>
  <c r="F168" i="5083"/>
  <c r="F169" i="5083"/>
  <c r="F170" i="5083"/>
  <c r="F171" i="5083"/>
  <c r="F172" i="5083"/>
  <c r="F173" i="5083"/>
  <c r="F174" i="5083"/>
  <c r="F175" i="5083"/>
  <c r="F176" i="5083"/>
  <c r="F177" i="5083"/>
  <c r="F178" i="5083"/>
  <c r="F179" i="5083"/>
  <c r="F180" i="5083"/>
  <c r="F181" i="5083"/>
  <c r="F182" i="5083"/>
  <c r="F183" i="5083"/>
  <c r="F184" i="5083"/>
  <c r="F185" i="5083"/>
  <c r="F186" i="5083"/>
  <c r="F187" i="5083"/>
  <c r="F188" i="5083"/>
  <c r="F189" i="5083"/>
  <c r="F190" i="5083"/>
  <c r="F191" i="5083"/>
  <c r="F192" i="5083"/>
  <c r="F193" i="5083"/>
  <c r="F194" i="5083"/>
  <c r="F195" i="5083"/>
  <c r="F196" i="5083"/>
  <c r="F197" i="5083"/>
  <c r="F198" i="5083"/>
  <c r="F199" i="5083"/>
  <c r="F200" i="5083"/>
  <c r="F201" i="5083"/>
  <c r="F202" i="5083"/>
  <c r="F203" i="5083"/>
  <c r="F204" i="5083"/>
  <c r="F205" i="5083"/>
  <c r="F206" i="5083"/>
  <c r="F207" i="5083"/>
  <c r="F208" i="5083"/>
  <c r="F209" i="5083"/>
  <c r="F210" i="5083"/>
  <c r="F211" i="5083"/>
  <c r="F212" i="5083"/>
  <c r="F213" i="5083"/>
  <c r="F214" i="5083"/>
  <c r="F215" i="5083"/>
  <c r="F216" i="5083"/>
  <c r="F217" i="5083"/>
  <c r="F218" i="5083"/>
  <c r="F219" i="5083"/>
  <c r="F220" i="5083"/>
  <c r="F221" i="5083"/>
  <c r="F222" i="5083"/>
  <c r="F223" i="5083"/>
  <c r="F224" i="5083"/>
  <c r="F225" i="5083"/>
  <c r="F226" i="5083"/>
  <c r="F227" i="5083"/>
  <c r="F228" i="5083"/>
  <c r="F229" i="5083"/>
  <c r="F230" i="5083"/>
  <c r="F231" i="5083"/>
  <c r="F232" i="5083"/>
  <c r="F233" i="5083"/>
  <c r="F234" i="5083"/>
  <c r="F235" i="5083"/>
  <c r="F236" i="5083"/>
  <c r="F237" i="5083"/>
  <c r="F238" i="5083"/>
  <c r="F239" i="5083"/>
  <c r="F240" i="5083"/>
  <c r="F241" i="5083"/>
  <c r="F242" i="5083"/>
  <c r="F243" i="5083"/>
  <c r="F244" i="5083"/>
  <c r="F245" i="5083"/>
  <c r="F246" i="5083"/>
  <c r="F247" i="5083"/>
  <c r="F248" i="5083"/>
  <c r="F249" i="5083"/>
  <c r="F250" i="5083"/>
  <c r="F251" i="5083"/>
  <c r="F252" i="5083"/>
  <c r="F253" i="5083"/>
  <c r="F254" i="5083"/>
  <c r="F255" i="5083"/>
  <c r="F256" i="5083"/>
  <c r="F257" i="5083"/>
  <c r="F258" i="5083"/>
  <c r="F259" i="5083"/>
  <c r="F260" i="5083"/>
  <c r="F261" i="5083"/>
  <c r="F262" i="5083"/>
  <c r="F263" i="5083"/>
  <c r="F264" i="5083"/>
  <c r="F265" i="5083"/>
  <c r="F266" i="5083"/>
  <c r="F267" i="5083"/>
  <c r="F268" i="5083"/>
  <c r="F269" i="5083"/>
  <c r="F270" i="5083"/>
  <c r="F271" i="5083"/>
  <c r="F272" i="5083"/>
  <c r="F273" i="5083"/>
  <c r="F274" i="5083"/>
  <c r="F275" i="5083"/>
  <c r="F276" i="5083"/>
  <c r="F277" i="5083"/>
  <c r="F278" i="5083"/>
  <c r="F279" i="5083"/>
  <c r="F280" i="5083"/>
  <c r="F281" i="5083"/>
  <c r="F282" i="5083"/>
  <c r="F283" i="5083"/>
  <c r="F284" i="5083"/>
  <c r="F285" i="5083"/>
  <c r="F286" i="5083"/>
  <c r="F287" i="5083"/>
  <c r="F288" i="5083"/>
  <c r="F289" i="5083"/>
  <c r="F290" i="5083"/>
  <c r="F291" i="5083"/>
  <c r="F292" i="5083"/>
  <c r="F293" i="5083"/>
  <c r="F294" i="5083"/>
  <c r="F295" i="5083"/>
  <c r="F296" i="5083"/>
  <c r="F297" i="5083"/>
  <c r="F298" i="5083"/>
  <c r="F299" i="5083"/>
  <c r="F300" i="5083"/>
  <c r="F301" i="5083"/>
  <c r="F302" i="5083"/>
  <c r="F303" i="5083"/>
  <c r="F304" i="5083"/>
  <c r="F305" i="5083"/>
  <c r="F306" i="5083"/>
  <c r="F307" i="5083"/>
  <c r="F308" i="5083"/>
  <c r="F309" i="5083"/>
  <c r="F310" i="5083"/>
  <c r="F311" i="5083"/>
  <c r="F312" i="5083"/>
  <c r="F313" i="5083"/>
  <c r="F314" i="5083"/>
  <c r="F315" i="5083"/>
  <c r="F316" i="5083"/>
  <c r="F317" i="5083"/>
  <c r="F318" i="5083"/>
  <c r="F319" i="5083"/>
  <c r="F320" i="5083"/>
  <c r="F321" i="5083"/>
  <c r="F322" i="5083"/>
  <c r="F323" i="5083"/>
  <c r="F324" i="5083"/>
  <c r="F325" i="5083"/>
  <c r="F326" i="5083"/>
  <c r="F327" i="5083"/>
  <c r="F328" i="5083"/>
  <c r="F329" i="5083"/>
  <c r="F330" i="5083"/>
  <c r="F331" i="5083"/>
  <c r="F332" i="5083"/>
  <c r="F333" i="5083"/>
  <c r="F334" i="5083"/>
  <c r="F335" i="5083"/>
  <c r="F336" i="5083"/>
  <c r="F337" i="5083"/>
  <c r="F338" i="5083"/>
  <c r="F339" i="5083"/>
  <c r="F340" i="5083"/>
  <c r="F341" i="5083"/>
  <c r="F342" i="5083"/>
  <c r="F343" i="5083"/>
  <c r="F344" i="5083"/>
  <c r="F345" i="5083"/>
  <c r="F346" i="5083"/>
  <c r="F347" i="5083"/>
  <c r="F348" i="5083"/>
  <c r="F349" i="5083"/>
  <c r="F350" i="5083"/>
  <c r="F351" i="5083"/>
  <c r="F352" i="5083"/>
  <c r="F353" i="5083"/>
  <c r="F354" i="5083"/>
  <c r="F355" i="5083"/>
  <c r="F356" i="5083"/>
  <c r="F357" i="5083"/>
  <c r="F358" i="5083"/>
  <c r="F359" i="5083"/>
  <c r="F360" i="5083"/>
  <c r="F361" i="5083"/>
  <c r="F362" i="5083"/>
  <c r="F363" i="5083"/>
  <c r="F364" i="5083"/>
  <c r="F365" i="5083"/>
  <c r="F366" i="5083"/>
  <c r="F367" i="5083"/>
  <c r="F368" i="5083"/>
  <c r="F369" i="5083"/>
  <c r="F370" i="5083"/>
  <c r="F371" i="5083"/>
  <c r="F372" i="5083"/>
  <c r="F373" i="5083"/>
  <c r="F374" i="5083"/>
  <c r="F375" i="5083"/>
  <c r="F376" i="5083"/>
  <c r="F377" i="5083"/>
  <c r="F378" i="5083"/>
  <c r="F379" i="5083"/>
  <c r="F380" i="5083"/>
  <c r="F381" i="5083"/>
  <c r="F382" i="5083"/>
  <c r="F383" i="5083"/>
  <c r="F384" i="5083"/>
  <c r="F385" i="5083"/>
  <c r="F386" i="5083"/>
  <c r="F387" i="5083"/>
  <c r="F388" i="5083"/>
  <c r="F389" i="5083"/>
  <c r="F390" i="5083"/>
  <c r="F391" i="5083"/>
  <c r="F392" i="5083"/>
  <c r="F393" i="5083"/>
  <c r="F394" i="5083"/>
  <c r="F395" i="5083"/>
  <c r="F396" i="5083"/>
  <c r="F397" i="5083"/>
  <c r="F398" i="5083"/>
  <c r="F399" i="5083"/>
  <c r="F400" i="5083"/>
  <c r="F401" i="5083"/>
  <c r="F402" i="5083"/>
  <c r="F403" i="5083"/>
  <c r="F404" i="5083"/>
  <c r="F405" i="5083"/>
  <c r="F406" i="5083"/>
  <c r="F407" i="5083"/>
  <c r="F408" i="5083"/>
  <c r="F409" i="5083"/>
  <c r="F410" i="5083"/>
  <c r="F411" i="5083"/>
  <c r="F412" i="5083"/>
  <c r="F413" i="5083"/>
  <c r="F414" i="5083"/>
  <c r="F415" i="5083"/>
  <c r="F416" i="5083"/>
  <c r="F417" i="5083"/>
  <c r="F418" i="5083"/>
  <c r="F419" i="5083"/>
  <c r="F420" i="5083"/>
  <c r="F421" i="5083"/>
  <c r="F422" i="5083"/>
  <c r="F423" i="5083"/>
  <c r="F424" i="5083"/>
  <c r="F425" i="5083"/>
  <c r="F426" i="5083"/>
  <c r="F427" i="5083"/>
  <c r="F428" i="5083"/>
  <c r="F429" i="5083"/>
  <c r="F430" i="5083"/>
  <c r="F431" i="5083"/>
  <c r="F432" i="5083"/>
  <c r="F433" i="5083"/>
  <c r="F434" i="5083"/>
  <c r="F435" i="5083"/>
  <c r="F436" i="5083"/>
  <c r="F437" i="5083"/>
  <c r="F438" i="5083"/>
  <c r="F439" i="5083"/>
  <c r="F440" i="5083"/>
  <c r="F441" i="5083"/>
  <c r="F442" i="5083"/>
  <c r="F443" i="5083"/>
  <c r="F444" i="5083"/>
  <c r="F445" i="5083"/>
  <c r="F446" i="5083"/>
  <c r="F447" i="5083"/>
  <c r="F448" i="5083"/>
  <c r="F449" i="5083"/>
  <c r="F450" i="5083"/>
  <c r="F451" i="5083"/>
  <c r="F452" i="5083"/>
  <c r="F453" i="5083"/>
  <c r="F454" i="5083"/>
  <c r="F455" i="5083"/>
  <c r="F456" i="5083"/>
  <c r="F457" i="5083"/>
  <c r="F458" i="5083"/>
  <c r="F459" i="5083"/>
  <c r="F460" i="5083"/>
  <c r="F461" i="5083"/>
  <c r="F462" i="5083"/>
  <c r="F463" i="5083"/>
  <c r="F464" i="5083"/>
  <c r="F465" i="5083"/>
  <c r="F466" i="5083"/>
  <c r="F467" i="5083"/>
  <c r="F468" i="5083"/>
  <c r="F469" i="5083"/>
  <c r="F470" i="5083"/>
  <c r="F471" i="5083"/>
  <c r="F472" i="5083"/>
  <c r="F473" i="5083"/>
  <c r="F474" i="5083"/>
  <c r="F475" i="5083"/>
  <c r="F476" i="5083"/>
  <c r="F477" i="5083"/>
  <c r="F478" i="5083"/>
  <c r="F479" i="5083"/>
  <c r="F480" i="5083"/>
  <c r="F481" i="5083"/>
  <c r="F482" i="5083"/>
  <c r="F483" i="5083"/>
  <c r="F484" i="5083"/>
  <c r="F485" i="5083"/>
  <c r="F486" i="5083"/>
  <c r="F487" i="5083"/>
  <c r="F488" i="5083"/>
  <c r="F489" i="5083"/>
  <c r="F490" i="5083"/>
  <c r="F491" i="5083"/>
  <c r="F492" i="5083"/>
  <c r="F493" i="5083"/>
  <c r="F494" i="5083"/>
  <c r="F495" i="5083"/>
  <c r="F496" i="5083"/>
  <c r="F497" i="5083"/>
  <c r="F498" i="5083"/>
  <c r="F499" i="5083"/>
  <c r="F500" i="5083"/>
  <c r="F501" i="5083"/>
  <c r="F502" i="5083"/>
  <c r="F503" i="5083"/>
  <c r="F504" i="5083"/>
  <c r="F505" i="5083"/>
  <c r="F2" i="5082"/>
  <c r="F3" i="5082"/>
  <c r="F4" i="5082"/>
  <c r="F5" i="5082"/>
  <c r="F6" i="5082"/>
  <c r="F7" i="5082"/>
  <c r="F8" i="5082"/>
  <c r="F9" i="5082"/>
  <c r="F10" i="5082"/>
  <c r="F11" i="5082"/>
  <c r="F12" i="5082"/>
  <c r="F13" i="5082"/>
  <c r="F14" i="5082"/>
  <c r="F15" i="5082"/>
  <c r="F16" i="5082"/>
  <c r="F17" i="5082"/>
  <c r="F18" i="5082"/>
  <c r="F19" i="5082"/>
  <c r="F20" i="5082"/>
  <c r="F21" i="5082"/>
  <c r="F22" i="5082"/>
  <c r="F23" i="5082"/>
  <c r="F24" i="5082"/>
  <c r="F25" i="5082"/>
  <c r="F26" i="5082"/>
  <c r="F27" i="5082"/>
  <c r="F28" i="5082"/>
  <c r="F29" i="5082"/>
  <c r="F30" i="5082"/>
  <c r="F31" i="5082"/>
  <c r="F32" i="5082"/>
  <c r="F33" i="5082"/>
  <c r="F34" i="5082"/>
  <c r="F35" i="5082"/>
  <c r="F36" i="5082"/>
  <c r="F37" i="5082"/>
  <c r="F38" i="5082"/>
  <c r="F39" i="5082"/>
  <c r="F40" i="5082"/>
  <c r="F41" i="5082"/>
  <c r="F42" i="5082"/>
  <c r="F43" i="5082"/>
  <c r="F44" i="5082"/>
  <c r="F45" i="5082"/>
  <c r="F46" i="5082"/>
  <c r="F47" i="5082"/>
  <c r="F48" i="5082"/>
  <c r="F49" i="5082"/>
  <c r="F50" i="5082"/>
  <c r="F51" i="5082"/>
  <c r="F52" i="5082"/>
  <c r="F53" i="5082"/>
  <c r="F54" i="5082"/>
  <c r="F55" i="5082"/>
  <c r="F56" i="5082"/>
  <c r="F57" i="5082"/>
  <c r="F58" i="5082"/>
  <c r="F59" i="5082"/>
  <c r="F60" i="5082"/>
  <c r="F61" i="5082"/>
  <c r="F62" i="5082"/>
  <c r="F63" i="5082"/>
  <c r="F64" i="5082"/>
  <c r="F65" i="5082"/>
  <c r="F66" i="5082"/>
  <c r="F67" i="5082"/>
  <c r="F68" i="5082"/>
  <c r="F69" i="5082"/>
  <c r="F70" i="5082"/>
  <c r="F71" i="5082"/>
  <c r="F72" i="5082"/>
  <c r="F73" i="5082"/>
  <c r="F74" i="5082"/>
  <c r="F75" i="5082"/>
  <c r="F76" i="5082"/>
  <c r="F77" i="5082"/>
  <c r="F78" i="5082"/>
  <c r="F79" i="5082"/>
  <c r="F80" i="5082"/>
  <c r="F81" i="5082"/>
  <c r="F82" i="5082"/>
  <c r="F83" i="5082"/>
  <c r="F84" i="5082"/>
  <c r="F85" i="5082"/>
  <c r="F86" i="5082"/>
  <c r="F87" i="5082"/>
  <c r="F88" i="5082"/>
  <c r="F89" i="5082"/>
  <c r="F90" i="5082"/>
  <c r="F91" i="5082"/>
  <c r="F92" i="5082"/>
  <c r="F93" i="5082"/>
  <c r="F94" i="5082"/>
  <c r="F95" i="5082"/>
  <c r="F96" i="5082"/>
  <c r="F97" i="5082"/>
  <c r="F98" i="5082"/>
  <c r="F99" i="5082"/>
  <c r="F100" i="5082"/>
  <c r="F101" i="5082"/>
  <c r="F102" i="5082"/>
  <c r="F103" i="5082"/>
  <c r="F104" i="5082"/>
  <c r="F105" i="5082"/>
  <c r="F106" i="5082"/>
  <c r="F107" i="5082"/>
  <c r="F108" i="5082"/>
  <c r="F109" i="5082"/>
  <c r="F110" i="5082"/>
  <c r="F111" i="5082"/>
  <c r="F112" i="5082"/>
  <c r="F113" i="5082"/>
  <c r="F114" i="5082"/>
  <c r="F115" i="5082"/>
  <c r="F116" i="5082"/>
  <c r="F117" i="5082"/>
  <c r="F118" i="5082"/>
  <c r="F119" i="5082"/>
  <c r="F120" i="5082"/>
  <c r="F121" i="5082"/>
  <c r="F122" i="5082"/>
  <c r="F123" i="5082"/>
  <c r="F124" i="5082"/>
  <c r="F125" i="5082"/>
  <c r="F126" i="5082"/>
  <c r="F127" i="5082"/>
  <c r="F128" i="5082"/>
  <c r="F129" i="5082"/>
  <c r="F130" i="5082"/>
  <c r="F131" i="5082"/>
  <c r="F132" i="5082"/>
  <c r="F133" i="5082"/>
  <c r="F134" i="5082"/>
  <c r="F135" i="5082"/>
  <c r="F136" i="5082"/>
  <c r="F137" i="5082"/>
  <c r="F138" i="5082"/>
  <c r="F139" i="5082"/>
  <c r="F140" i="5082"/>
  <c r="F141" i="5082"/>
  <c r="F142" i="5082"/>
  <c r="F143" i="5082"/>
  <c r="F144" i="5082"/>
  <c r="F145" i="5082"/>
  <c r="F146" i="5082"/>
  <c r="F147" i="5082"/>
  <c r="F148" i="5082"/>
  <c r="F149" i="5082"/>
  <c r="F150" i="5082"/>
  <c r="F151" i="5082"/>
  <c r="F152" i="5082"/>
  <c r="F153" i="5082"/>
  <c r="F154" i="5082"/>
  <c r="F155" i="5082"/>
  <c r="F156" i="5082"/>
  <c r="F157" i="5082"/>
  <c r="F158" i="5082"/>
  <c r="F159" i="5082"/>
  <c r="F160" i="5082"/>
  <c r="F161" i="5082"/>
  <c r="F162" i="5082"/>
  <c r="F163" i="5082"/>
  <c r="F164" i="5082"/>
  <c r="F165" i="5082"/>
  <c r="F166" i="5082"/>
  <c r="F167" i="5082"/>
  <c r="F168" i="5082"/>
  <c r="F169" i="5082"/>
  <c r="F170" i="5082"/>
  <c r="F171" i="5082"/>
  <c r="F172" i="5082"/>
  <c r="F173" i="5082"/>
  <c r="F174" i="5082"/>
  <c r="F175" i="5082"/>
  <c r="F176" i="5082"/>
  <c r="F177" i="5082"/>
  <c r="F178" i="5082"/>
  <c r="F179" i="5082"/>
  <c r="F180" i="5082"/>
  <c r="F181" i="5082"/>
  <c r="F182" i="5082"/>
  <c r="F183" i="5082"/>
  <c r="F184" i="5082"/>
  <c r="F185" i="5082"/>
  <c r="F186" i="5082"/>
  <c r="F187" i="5082"/>
  <c r="F188" i="5082"/>
  <c r="F189" i="5082"/>
  <c r="F190" i="5082"/>
  <c r="F191" i="5082"/>
  <c r="F192" i="5082"/>
  <c r="F193" i="5082"/>
  <c r="F194" i="5082"/>
  <c r="F195" i="5082"/>
  <c r="F196" i="5082"/>
  <c r="F197" i="5082"/>
  <c r="F198" i="5082"/>
  <c r="F199" i="5082"/>
  <c r="F200" i="5082"/>
  <c r="F201" i="5082"/>
  <c r="F202" i="5082"/>
  <c r="F203" i="5082"/>
  <c r="F204" i="5082"/>
  <c r="F205" i="5082"/>
  <c r="F206" i="5082"/>
  <c r="F207" i="5082"/>
  <c r="F208" i="5082"/>
  <c r="F209" i="5082"/>
  <c r="F210" i="5082"/>
  <c r="F211" i="5082"/>
  <c r="F212" i="5082"/>
  <c r="F213" i="5082"/>
  <c r="F214" i="5082"/>
  <c r="F215" i="5082"/>
  <c r="F216" i="5082"/>
  <c r="F217" i="5082"/>
  <c r="F218" i="5082"/>
  <c r="F219" i="5082"/>
  <c r="F220" i="5082"/>
  <c r="F221" i="5082"/>
  <c r="F222" i="5082"/>
  <c r="F223" i="5082"/>
  <c r="F224" i="5082"/>
  <c r="F225" i="5082"/>
  <c r="F226" i="5082"/>
  <c r="F227" i="5082"/>
  <c r="F228" i="5082"/>
  <c r="F229" i="5082"/>
  <c r="F230" i="5082"/>
  <c r="F231" i="5082"/>
  <c r="F232" i="5082"/>
  <c r="F233" i="5082"/>
  <c r="F234" i="5082"/>
  <c r="F235" i="5082"/>
  <c r="F236" i="5082"/>
  <c r="F237" i="5082"/>
  <c r="F238" i="5082"/>
  <c r="F239" i="5082"/>
  <c r="F240" i="5082"/>
  <c r="F241" i="5082"/>
  <c r="F242" i="5082"/>
  <c r="F243" i="5082"/>
  <c r="F244" i="5082"/>
  <c r="F245" i="5082"/>
  <c r="F246" i="5082"/>
  <c r="F247" i="5082"/>
  <c r="F248" i="5082"/>
  <c r="F249" i="5082"/>
  <c r="F250" i="5082"/>
  <c r="F251" i="5082"/>
  <c r="F252" i="5082"/>
  <c r="F253" i="5082"/>
  <c r="F254" i="5082"/>
  <c r="F255" i="5082"/>
  <c r="F256" i="5082"/>
  <c r="F257" i="5082"/>
  <c r="F258" i="5082"/>
  <c r="F259" i="5082"/>
  <c r="F260" i="5082"/>
  <c r="F261" i="5082"/>
  <c r="F262" i="5082"/>
  <c r="F263" i="5082"/>
  <c r="F264" i="5082"/>
  <c r="F265" i="5082"/>
  <c r="F266" i="5082"/>
  <c r="F267" i="5082"/>
  <c r="F268" i="5082"/>
  <c r="F269" i="5082"/>
  <c r="F270" i="5082"/>
  <c r="F271" i="5082"/>
  <c r="F272" i="5082"/>
  <c r="F273" i="5082"/>
  <c r="F274" i="5082"/>
  <c r="F275" i="5082"/>
  <c r="F276" i="5082"/>
  <c r="F277" i="5082"/>
  <c r="F278" i="5082"/>
  <c r="F279" i="5082"/>
  <c r="F280" i="5082"/>
  <c r="F281" i="5082"/>
  <c r="F282" i="5082"/>
  <c r="F283" i="5082"/>
  <c r="F284" i="5082"/>
  <c r="F285" i="5082"/>
  <c r="F286" i="5082"/>
  <c r="F287" i="5082"/>
  <c r="F288" i="5082"/>
  <c r="F289" i="5082"/>
  <c r="F290" i="5082"/>
  <c r="F291" i="5082"/>
  <c r="F292" i="5082"/>
  <c r="F293" i="5082"/>
  <c r="F294" i="5082"/>
  <c r="F295" i="5082"/>
  <c r="F296" i="5082"/>
  <c r="F297" i="5082"/>
  <c r="F298" i="5082"/>
  <c r="F299" i="5082"/>
  <c r="F300" i="5082"/>
  <c r="F301" i="5082"/>
  <c r="F302" i="5082"/>
  <c r="F303" i="5082"/>
  <c r="F304" i="5082"/>
  <c r="F305" i="5082"/>
  <c r="F306" i="5082"/>
  <c r="F307" i="5082"/>
  <c r="F308" i="5082"/>
  <c r="F309" i="5082"/>
  <c r="F310" i="5082"/>
  <c r="F311" i="5082"/>
  <c r="F312" i="5082"/>
  <c r="F313" i="5082"/>
  <c r="F314" i="5082"/>
  <c r="F315" i="5082"/>
  <c r="F316" i="5082"/>
  <c r="F317" i="5082"/>
  <c r="F318" i="5082"/>
  <c r="F319" i="5082"/>
  <c r="F320" i="5082"/>
  <c r="F321" i="5082"/>
  <c r="F322" i="5082"/>
  <c r="F323" i="5082"/>
  <c r="F324" i="5082"/>
  <c r="F325" i="5082"/>
  <c r="F326" i="5082"/>
  <c r="F327" i="5082"/>
  <c r="F328" i="5082"/>
  <c r="F329" i="5082"/>
  <c r="F330" i="5082"/>
  <c r="F331" i="5082"/>
  <c r="F332" i="5082"/>
  <c r="F333" i="5082"/>
  <c r="F334" i="5082"/>
  <c r="F335" i="5082"/>
  <c r="F336" i="5082"/>
  <c r="F337" i="5082"/>
  <c r="F338" i="5082"/>
  <c r="F339" i="5082"/>
  <c r="F340" i="5082"/>
  <c r="F341" i="5082"/>
  <c r="F342" i="5082"/>
  <c r="F343" i="5082"/>
  <c r="F344" i="5082"/>
  <c r="F345" i="5082"/>
  <c r="F346" i="5082"/>
  <c r="F347" i="5082"/>
  <c r="F348" i="5082"/>
  <c r="F349" i="5082"/>
  <c r="F350" i="5082"/>
  <c r="F351" i="5082"/>
  <c r="F352" i="5082"/>
  <c r="F353" i="5082"/>
  <c r="F354" i="5082"/>
  <c r="F355" i="5082"/>
  <c r="F356" i="5082"/>
  <c r="F357" i="5082"/>
  <c r="F358" i="5082"/>
  <c r="F359" i="5082"/>
  <c r="F360" i="5082"/>
  <c r="F361" i="5082"/>
  <c r="F362" i="5082"/>
  <c r="F363" i="5082"/>
  <c r="F364" i="5082"/>
  <c r="F365" i="5082"/>
  <c r="F366" i="5082"/>
  <c r="F367" i="5082"/>
  <c r="F368" i="5082"/>
  <c r="F369" i="5082"/>
  <c r="F370" i="5082"/>
  <c r="F371" i="5082"/>
  <c r="F372" i="5082"/>
  <c r="F373" i="5082"/>
  <c r="F374" i="5082"/>
  <c r="F375" i="5082"/>
  <c r="F376" i="5082"/>
  <c r="F377" i="5082"/>
  <c r="F378" i="5082"/>
  <c r="F379" i="5082"/>
  <c r="F380" i="5082"/>
  <c r="F381" i="5082"/>
  <c r="F382" i="5082"/>
  <c r="F383" i="5082"/>
  <c r="F384" i="5082"/>
  <c r="F385" i="5082"/>
  <c r="F386" i="5082"/>
  <c r="F387" i="5082"/>
  <c r="F388" i="5082"/>
  <c r="F389" i="5082"/>
  <c r="F390" i="5082"/>
  <c r="F391" i="5082"/>
  <c r="F392" i="5082"/>
  <c r="F393" i="5082"/>
  <c r="F394" i="5082"/>
  <c r="F395" i="5082"/>
  <c r="F396" i="5082"/>
  <c r="F397" i="5082"/>
  <c r="F398" i="5082"/>
  <c r="F399" i="5082"/>
  <c r="F400" i="5082"/>
  <c r="F401" i="5082"/>
  <c r="F402" i="5082"/>
  <c r="F403" i="5082"/>
  <c r="F404" i="5082"/>
  <c r="F405" i="5082"/>
  <c r="F406" i="5082"/>
  <c r="F407" i="5082"/>
  <c r="F408" i="5082"/>
  <c r="F409" i="5082"/>
  <c r="F410" i="5082"/>
  <c r="F411" i="5082"/>
  <c r="F412" i="5082"/>
  <c r="F413" i="5082"/>
  <c r="F414" i="5082"/>
  <c r="F415" i="5082"/>
  <c r="F416" i="5082"/>
  <c r="F417" i="5082"/>
  <c r="F418" i="5082"/>
  <c r="F419" i="5082"/>
  <c r="F420" i="5082"/>
  <c r="F421" i="5082"/>
  <c r="F422" i="5082"/>
  <c r="F423" i="5082"/>
  <c r="F424" i="5082"/>
  <c r="F425" i="5082"/>
  <c r="F426" i="5082"/>
  <c r="F427" i="5082"/>
  <c r="F428" i="5082"/>
  <c r="F429" i="5082"/>
  <c r="F430" i="5082"/>
  <c r="F431" i="5082"/>
  <c r="F432" i="5082"/>
  <c r="F433" i="5082"/>
  <c r="F434" i="5082"/>
  <c r="F435" i="5082"/>
  <c r="F436" i="5082"/>
  <c r="F437" i="5082"/>
  <c r="F438" i="5082"/>
  <c r="F439" i="5082"/>
  <c r="F440" i="5082"/>
  <c r="F441" i="5082"/>
  <c r="F442" i="5082"/>
  <c r="F443" i="5082"/>
  <c r="F444" i="5082"/>
  <c r="F445" i="5082"/>
  <c r="F446" i="5082"/>
  <c r="F447" i="5082"/>
  <c r="F448" i="5082"/>
  <c r="F449" i="5082"/>
  <c r="F450" i="5082"/>
  <c r="F451" i="5082"/>
  <c r="F452" i="5082"/>
  <c r="F453" i="5082"/>
  <c r="F454" i="5082"/>
  <c r="F455" i="5082"/>
  <c r="F456" i="5082"/>
  <c r="F457" i="5082"/>
  <c r="F458" i="5082"/>
  <c r="F459" i="5082"/>
  <c r="F460" i="5082"/>
  <c r="F461" i="5082"/>
  <c r="F462" i="5082"/>
  <c r="F463" i="5082"/>
  <c r="F464" i="5082"/>
  <c r="F465" i="5082"/>
  <c r="F466" i="5082"/>
  <c r="F467" i="5082"/>
  <c r="F468" i="5082"/>
  <c r="F469" i="5082"/>
  <c r="F470" i="5082"/>
  <c r="F471" i="5082"/>
  <c r="F472" i="5082"/>
  <c r="F473" i="5082"/>
  <c r="F474" i="5082"/>
  <c r="F475" i="5082"/>
  <c r="F476" i="5082"/>
  <c r="F477" i="5082"/>
  <c r="F478" i="5082"/>
  <c r="F479" i="5082"/>
  <c r="F480" i="5082"/>
  <c r="F481" i="5082"/>
  <c r="F482" i="5082"/>
  <c r="F483" i="5082"/>
  <c r="F484" i="5082"/>
  <c r="F485" i="5082"/>
  <c r="F486" i="5082"/>
  <c r="F487" i="5082"/>
  <c r="F488" i="5082"/>
  <c r="F489" i="5082"/>
  <c r="F490" i="5082"/>
  <c r="F491" i="5082"/>
  <c r="F492" i="5082"/>
  <c r="F493" i="5082"/>
  <c r="F494" i="5082"/>
  <c r="F495" i="5082"/>
  <c r="F496" i="5082"/>
  <c r="F497" i="5082"/>
  <c r="F498" i="5082"/>
  <c r="F499" i="5082"/>
  <c r="F500" i="5082"/>
  <c r="F501" i="5082"/>
  <c r="F502" i="5082"/>
  <c r="F503" i="5082"/>
  <c r="F504" i="5082"/>
  <c r="F505" i="5082"/>
  <c r="F2" i="5081"/>
  <c r="F3" i="5081"/>
  <c r="F4" i="5081"/>
  <c r="F5" i="5081"/>
  <c r="F6" i="5081"/>
  <c r="F7" i="5081"/>
  <c r="F8" i="5081"/>
  <c r="F9" i="5081"/>
  <c r="F10" i="5081"/>
  <c r="F11" i="5081"/>
  <c r="F12" i="5081"/>
  <c r="F13" i="5081"/>
  <c r="F14" i="5081"/>
  <c r="F15" i="5081"/>
  <c r="F16" i="5081"/>
  <c r="F17" i="5081"/>
  <c r="F18" i="5081"/>
  <c r="F19" i="5081"/>
  <c r="F20" i="5081"/>
  <c r="F21" i="5081"/>
  <c r="F22" i="5081"/>
  <c r="F23" i="5081"/>
  <c r="F24" i="5081"/>
  <c r="F25" i="5081"/>
  <c r="F26" i="5081"/>
  <c r="F27" i="5081"/>
  <c r="F28" i="5081"/>
  <c r="F29" i="5081"/>
  <c r="F30" i="5081"/>
  <c r="F31" i="5081"/>
  <c r="F32" i="5081"/>
  <c r="F33" i="5081"/>
  <c r="F34" i="5081"/>
  <c r="F35" i="5081"/>
  <c r="F36" i="5081"/>
  <c r="F37" i="5081"/>
  <c r="F38" i="5081"/>
  <c r="F39" i="5081"/>
  <c r="F40" i="5081"/>
  <c r="F41" i="5081"/>
  <c r="F42" i="5081"/>
  <c r="F43" i="5081"/>
  <c r="F44" i="5081"/>
  <c r="F45" i="5081"/>
  <c r="F46" i="5081"/>
  <c r="F47" i="5081"/>
  <c r="F48" i="5081"/>
  <c r="F49" i="5081"/>
  <c r="F50" i="5081"/>
  <c r="F51" i="5081"/>
  <c r="F52" i="5081"/>
  <c r="F53" i="5081"/>
  <c r="F54" i="5081"/>
  <c r="F55" i="5081"/>
  <c r="F56" i="5081"/>
  <c r="F57" i="5081"/>
  <c r="F58" i="5081"/>
  <c r="F59" i="5081"/>
  <c r="F60" i="5081"/>
  <c r="F61" i="5081"/>
  <c r="F62" i="5081"/>
  <c r="F63" i="5081"/>
  <c r="F64" i="5081"/>
  <c r="F65" i="5081"/>
  <c r="F66" i="5081"/>
  <c r="F67" i="5081"/>
  <c r="F68" i="5081"/>
  <c r="F69" i="5081"/>
  <c r="F70" i="5081"/>
  <c r="F71" i="5081"/>
  <c r="F72" i="5081"/>
  <c r="F73" i="5081"/>
  <c r="F74" i="5081"/>
  <c r="F75" i="5081"/>
  <c r="F76" i="5081"/>
  <c r="F77" i="5081"/>
  <c r="F78" i="5081"/>
  <c r="F79" i="5081"/>
  <c r="F80" i="5081"/>
  <c r="F81" i="5081"/>
  <c r="F82" i="5081"/>
  <c r="F83" i="5081"/>
  <c r="F84" i="5081"/>
  <c r="F85" i="5081"/>
  <c r="F86" i="5081"/>
  <c r="F87" i="5081"/>
  <c r="F88" i="5081"/>
  <c r="F89" i="5081"/>
  <c r="F90" i="5081"/>
  <c r="F91" i="5081"/>
  <c r="F92" i="5081"/>
  <c r="F93" i="5081"/>
  <c r="F94" i="5081"/>
  <c r="F95" i="5081"/>
  <c r="F96" i="5081"/>
  <c r="F97" i="5081"/>
  <c r="F98" i="5081"/>
  <c r="F99" i="5081"/>
  <c r="F100" i="5081"/>
  <c r="F101" i="5081"/>
  <c r="F102" i="5081"/>
  <c r="F103" i="5081"/>
  <c r="F104" i="5081"/>
  <c r="F105" i="5081"/>
  <c r="F106" i="5081"/>
  <c r="F107" i="5081"/>
  <c r="F108" i="5081"/>
  <c r="F109" i="5081"/>
  <c r="F110" i="5081"/>
  <c r="F111" i="5081"/>
  <c r="F112" i="5081"/>
  <c r="F113" i="5081"/>
  <c r="F114" i="5081"/>
  <c r="F115" i="5081"/>
  <c r="F116" i="5081"/>
  <c r="F117" i="5081"/>
  <c r="F118" i="5081"/>
  <c r="F119" i="5081"/>
  <c r="F120" i="5081"/>
  <c r="F121" i="5081"/>
  <c r="F122" i="5081"/>
  <c r="F123" i="5081"/>
  <c r="F124" i="5081"/>
  <c r="F125" i="5081"/>
  <c r="F126" i="5081"/>
  <c r="F127" i="5081"/>
  <c r="F128" i="5081"/>
  <c r="F129" i="5081"/>
  <c r="F130" i="5081"/>
  <c r="F131" i="5081"/>
  <c r="F132" i="5081"/>
  <c r="F133" i="5081"/>
  <c r="F134" i="5081"/>
  <c r="F135" i="5081"/>
  <c r="F136" i="5081"/>
  <c r="F137" i="5081"/>
  <c r="F138" i="5081"/>
  <c r="F139" i="5081"/>
  <c r="F140" i="5081"/>
  <c r="F141" i="5081"/>
  <c r="F142" i="5081"/>
  <c r="F143" i="5081"/>
  <c r="F144" i="5081"/>
  <c r="F145" i="5081"/>
  <c r="F146" i="5081"/>
  <c r="F147" i="5081"/>
  <c r="F148" i="5081"/>
  <c r="F149" i="5081"/>
  <c r="F150" i="5081"/>
  <c r="F151" i="5081"/>
  <c r="F152" i="5081"/>
  <c r="F153" i="5081"/>
  <c r="F154" i="5081"/>
  <c r="F155" i="5081"/>
  <c r="F156" i="5081"/>
  <c r="F157" i="5081"/>
  <c r="F158" i="5081"/>
  <c r="F159" i="5081"/>
  <c r="F160" i="5081"/>
  <c r="F161" i="5081"/>
  <c r="F162" i="5081"/>
  <c r="F163" i="5081"/>
  <c r="F164" i="5081"/>
  <c r="F165" i="5081"/>
  <c r="F166" i="5081"/>
  <c r="F167" i="5081"/>
  <c r="F168" i="5081"/>
  <c r="F169" i="5081"/>
  <c r="F170" i="5081"/>
  <c r="F171" i="5081"/>
  <c r="F172" i="5081"/>
  <c r="F173" i="5081"/>
  <c r="F174" i="5081"/>
  <c r="F175" i="5081"/>
  <c r="F176" i="5081"/>
  <c r="F177" i="5081"/>
  <c r="F178" i="5081"/>
  <c r="F179" i="5081"/>
  <c r="F180" i="5081"/>
  <c r="F181" i="5081"/>
  <c r="F182" i="5081"/>
  <c r="F183" i="5081"/>
  <c r="F184" i="5081"/>
  <c r="F185" i="5081"/>
  <c r="F186" i="5081"/>
  <c r="F187" i="5081"/>
  <c r="F188" i="5081"/>
  <c r="F189" i="5081"/>
  <c r="F190" i="5081"/>
  <c r="F191" i="5081"/>
  <c r="F192" i="5081"/>
  <c r="F193" i="5081"/>
  <c r="F194" i="5081"/>
  <c r="F195" i="5081"/>
  <c r="F196" i="5081"/>
  <c r="F197" i="5081"/>
  <c r="F198" i="5081"/>
  <c r="F199" i="5081"/>
  <c r="F200" i="5081"/>
  <c r="F201" i="5081"/>
  <c r="F202" i="5081"/>
  <c r="F203" i="5081"/>
  <c r="F204" i="5081"/>
  <c r="F205" i="5081"/>
  <c r="F206" i="5081"/>
  <c r="F207" i="5081"/>
  <c r="F208" i="5081"/>
  <c r="F209" i="5081"/>
  <c r="F210" i="5081"/>
  <c r="F211" i="5081"/>
  <c r="F212" i="5081"/>
  <c r="F213" i="5081"/>
  <c r="F214" i="5081"/>
  <c r="F215" i="5081"/>
  <c r="F216" i="5081"/>
  <c r="F217" i="5081"/>
  <c r="F218" i="5081"/>
  <c r="F219" i="5081"/>
  <c r="F220" i="5081"/>
  <c r="F221" i="5081"/>
  <c r="F222" i="5081"/>
  <c r="F223" i="5081"/>
  <c r="F224" i="5081"/>
  <c r="F225" i="5081"/>
  <c r="F226" i="5081"/>
  <c r="F227" i="5081"/>
  <c r="F228" i="5081"/>
  <c r="F229" i="5081"/>
  <c r="F230" i="5081"/>
  <c r="F231" i="5081"/>
  <c r="F232" i="5081"/>
  <c r="F233" i="5081"/>
  <c r="F234" i="5081"/>
  <c r="F235" i="5081"/>
  <c r="F236" i="5081"/>
  <c r="F237" i="5081"/>
  <c r="F238" i="5081"/>
  <c r="F239" i="5081"/>
  <c r="F240" i="5081"/>
  <c r="F241" i="5081"/>
  <c r="F242" i="5081"/>
  <c r="F243" i="5081"/>
  <c r="F244" i="5081"/>
  <c r="F245" i="5081"/>
  <c r="F246" i="5081"/>
  <c r="F247" i="5081"/>
  <c r="F248" i="5081"/>
  <c r="F249" i="5081"/>
  <c r="F250" i="5081"/>
  <c r="F251" i="5081"/>
  <c r="F252" i="5081"/>
  <c r="F253" i="5081"/>
  <c r="F254" i="5081"/>
  <c r="F255" i="5081"/>
  <c r="F256" i="5081"/>
  <c r="F257" i="5081"/>
  <c r="F258" i="5081"/>
  <c r="F259" i="5081"/>
  <c r="F260" i="5081"/>
  <c r="F261" i="5081"/>
  <c r="F262" i="5081"/>
  <c r="F263" i="5081"/>
  <c r="F264" i="5081"/>
  <c r="F265" i="5081"/>
  <c r="F266" i="5081"/>
  <c r="F267" i="5081"/>
  <c r="F268" i="5081"/>
  <c r="F269" i="5081"/>
  <c r="F270" i="5081"/>
  <c r="F271" i="5081"/>
  <c r="F272" i="5081"/>
  <c r="F273" i="5081"/>
  <c r="F274" i="5081"/>
  <c r="F275" i="5081"/>
  <c r="F276" i="5081"/>
  <c r="F277" i="5081"/>
  <c r="F278" i="5081"/>
  <c r="F279" i="5081"/>
  <c r="F280" i="5081"/>
  <c r="F281" i="5081"/>
  <c r="F282" i="5081"/>
  <c r="F283" i="5081"/>
  <c r="F284" i="5081"/>
  <c r="F285" i="5081"/>
  <c r="F286" i="5081"/>
  <c r="F287" i="5081"/>
  <c r="F288" i="5081"/>
  <c r="F289" i="5081"/>
  <c r="F290" i="5081"/>
  <c r="F291" i="5081"/>
  <c r="F292" i="5081"/>
  <c r="F293" i="5081"/>
  <c r="F294" i="5081"/>
  <c r="F295" i="5081"/>
  <c r="F296" i="5081"/>
  <c r="F297" i="5081"/>
  <c r="F298" i="5081"/>
  <c r="F299" i="5081"/>
  <c r="F300" i="5081"/>
  <c r="F301" i="5081"/>
  <c r="F302" i="5081"/>
  <c r="F303" i="5081"/>
  <c r="F304" i="5081"/>
  <c r="F305" i="5081"/>
  <c r="F306" i="5081"/>
  <c r="F307" i="5081"/>
  <c r="F308" i="5081"/>
  <c r="F309" i="5081"/>
  <c r="F310" i="5081"/>
  <c r="F311" i="5081"/>
  <c r="F312" i="5081"/>
  <c r="F313" i="5081"/>
  <c r="F314" i="5081"/>
  <c r="F315" i="5081"/>
  <c r="F316" i="5081"/>
  <c r="F317" i="5081"/>
  <c r="F318" i="5081"/>
  <c r="F319" i="5081"/>
  <c r="F320" i="5081"/>
  <c r="F321" i="5081"/>
  <c r="F322" i="5081"/>
  <c r="F323" i="5081"/>
  <c r="F324" i="5081"/>
  <c r="F325" i="5081"/>
  <c r="F326" i="5081"/>
  <c r="F327" i="5081"/>
  <c r="F328" i="5081"/>
  <c r="F329" i="5081"/>
  <c r="F330" i="5081"/>
  <c r="F331" i="5081"/>
  <c r="F332" i="5081"/>
  <c r="F333" i="5081"/>
  <c r="F334" i="5081"/>
  <c r="F335" i="5081"/>
  <c r="F336" i="5081"/>
  <c r="F337" i="5081"/>
  <c r="F338" i="5081"/>
  <c r="F339" i="5081"/>
  <c r="F340" i="5081"/>
  <c r="F341" i="5081"/>
  <c r="F342" i="5081"/>
  <c r="F343" i="5081"/>
  <c r="F344" i="5081"/>
  <c r="F345" i="5081"/>
  <c r="F346" i="5081"/>
  <c r="F347" i="5081"/>
  <c r="F348" i="5081"/>
  <c r="F349" i="5081"/>
  <c r="F350" i="5081"/>
  <c r="F351" i="5081"/>
  <c r="F352" i="5081"/>
  <c r="F353" i="5081"/>
  <c r="F354" i="5081"/>
  <c r="F355" i="5081"/>
  <c r="F356" i="5081"/>
  <c r="F357" i="5081"/>
  <c r="F358" i="5081"/>
  <c r="F359" i="5081"/>
  <c r="F360" i="5081"/>
  <c r="F361" i="5081"/>
  <c r="F362" i="5081"/>
  <c r="F363" i="5081"/>
  <c r="F364" i="5081"/>
  <c r="F365" i="5081"/>
  <c r="F366" i="5081"/>
  <c r="F367" i="5081"/>
  <c r="F368" i="5081"/>
  <c r="F369" i="5081"/>
  <c r="F370" i="5081"/>
  <c r="F371" i="5081"/>
  <c r="F372" i="5081"/>
  <c r="F373" i="5081"/>
  <c r="F374" i="5081"/>
  <c r="F375" i="5081"/>
  <c r="F376" i="5081"/>
  <c r="F377" i="5081"/>
  <c r="F378" i="5081"/>
  <c r="F379" i="5081"/>
  <c r="F380" i="5081"/>
  <c r="F381" i="5081"/>
  <c r="F382" i="5081"/>
  <c r="F383" i="5081"/>
  <c r="F384" i="5081"/>
  <c r="F385" i="5081"/>
  <c r="F386" i="5081"/>
  <c r="F387" i="5081"/>
  <c r="F388" i="5081"/>
  <c r="F389" i="5081"/>
  <c r="F390" i="5081"/>
  <c r="F391" i="5081"/>
  <c r="F392" i="5081"/>
  <c r="F393" i="5081"/>
  <c r="F394" i="5081"/>
  <c r="F395" i="5081"/>
  <c r="F396" i="5081"/>
  <c r="F397" i="5081"/>
  <c r="F398" i="5081"/>
  <c r="F399" i="5081"/>
  <c r="F400" i="5081"/>
  <c r="F401" i="5081"/>
  <c r="F402" i="5081"/>
  <c r="F403" i="5081"/>
  <c r="F404" i="5081"/>
  <c r="F405" i="5081"/>
  <c r="F406" i="5081"/>
  <c r="F407" i="5081"/>
  <c r="F408" i="5081"/>
  <c r="F409" i="5081"/>
  <c r="F410" i="5081"/>
  <c r="F411" i="5081"/>
  <c r="F412" i="5081"/>
  <c r="F413" i="5081"/>
  <c r="F414" i="5081"/>
  <c r="F415" i="5081"/>
  <c r="F416" i="5081"/>
  <c r="F417" i="5081"/>
  <c r="F418" i="5081"/>
  <c r="F419" i="5081"/>
  <c r="F420" i="5081"/>
  <c r="F421" i="5081"/>
  <c r="F422" i="5081"/>
  <c r="F423" i="5081"/>
  <c r="F424" i="5081"/>
  <c r="F425" i="5081"/>
  <c r="F426" i="5081"/>
  <c r="F427" i="5081"/>
  <c r="F428" i="5081"/>
  <c r="F429" i="5081"/>
  <c r="F430" i="5081"/>
  <c r="F431" i="5081"/>
  <c r="F432" i="5081"/>
  <c r="F433" i="5081"/>
  <c r="F434" i="5081"/>
  <c r="F435" i="5081"/>
  <c r="F436" i="5081"/>
  <c r="F437" i="5081"/>
  <c r="F438" i="5081"/>
  <c r="F439" i="5081"/>
  <c r="F440" i="5081"/>
  <c r="F441" i="5081"/>
  <c r="F442" i="5081"/>
  <c r="F443" i="5081"/>
  <c r="F444" i="5081"/>
  <c r="F445" i="5081"/>
  <c r="F446" i="5081"/>
  <c r="F447" i="5081"/>
  <c r="F448" i="5081"/>
  <c r="F449" i="5081"/>
  <c r="F450" i="5081"/>
  <c r="F451" i="5081"/>
  <c r="F452" i="5081"/>
  <c r="F453" i="5081"/>
  <c r="F454" i="5081"/>
  <c r="F455" i="5081"/>
  <c r="F456" i="5081"/>
  <c r="F457" i="5081"/>
  <c r="F458" i="5081"/>
  <c r="F459" i="5081"/>
  <c r="F460" i="5081"/>
  <c r="F461" i="5081"/>
  <c r="F462" i="5081"/>
  <c r="F463" i="5081"/>
  <c r="F464" i="5081"/>
  <c r="F465" i="5081"/>
  <c r="F466" i="5081"/>
  <c r="F467" i="5081"/>
  <c r="F468" i="5081"/>
  <c r="F469" i="5081"/>
  <c r="F470" i="5081"/>
  <c r="F471" i="5081"/>
  <c r="F472" i="5081"/>
  <c r="F473" i="5081"/>
  <c r="F474" i="5081"/>
  <c r="F475" i="5081"/>
  <c r="F476" i="5081"/>
  <c r="F477" i="5081"/>
  <c r="F478" i="5081"/>
  <c r="F479" i="5081"/>
  <c r="F480" i="5081"/>
  <c r="F481" i="5081"/>
  <c r="F482" i="5081"/>
  <c r="F483" i="5081"/>
  <c r="F484" i="5081"/>
  <c r="F485" i="5081"/>
  <c r="F486" i="5081"/>
  <c r="F487" i="5081"/>
  <c r="F488" i="5081"/>
  <c r="F489" i="5081"/>
  <c r="F490" i="5081"/>
  <c r="F491" i="5081"/>
  <c r="F492" i="5081"/>
  <c r="F493" i="5081"/>
  <c r="F494" i="5081"/>
  <c r="F495" i="5081"/>
  <c r="F496" i="5081"/>
  <c r="F497" i="5081"/>
  <c r="F498" i="5081"/>
  <c r="F499" i="5081"/>
  <c r="F500" i="5081"/>
  <c r="F501" i="5081"/>
  <c r="F502" i="5081"/>
  <c r="F503" i="5081"/>
  <c r="F504" i="5081"/>
  <c r="F505" i="5081"/>
  <c r="F2" i="5080"/>
  <c r="F3" i="5080"/>
  <c r="F4" i="5080"/>
  <c r="F5" i="5080"/>
  <c r="F6" i="5080"/>
  <c r="F7" i="5080"/>
  <c r="F8" i="5080"/>
  <c r="F9" i="5080"/>
  <c r="F10" i="5080"/>
  <c r="F11" i="5080"/>
  <c r="F12" i="5080"/>
  <c r="F13" i="5080"/>
  <c r="F14" i="5080"/>
  <c r="F15" i="5080"/>
  <c r="F16" i="5080"/>
  <c r="F17" i="5080"/>
  <c r="F18" i="5080"/>
  <c r="F19" i="5080"/>
  <c r="F20" i="5080"/>
  <c r="F21" i="5080"/>
  <c r="F22" i="5080"/>
  <c r="F23" i="5080"/>
  <c r="F24" i="5080"/>
  <c r="F25" i="5080"/>
  <c r="F26" i="5080"/>
  <c r="F27" i="5080"/>
  <c r="F28" i="5080"/>
  <c r="F29" i="5080"/>
  <c r="F30" i="5080"/>
  <c r="F31" i="5080"/>
  <c r="F32" i="5080"/>
  <c r="F33" i="5080"/>
  <c r="F34" i="5080"/>
  <c r="F35" i="5080"/>
  <c r="F36" i="5080"/>
  <c r="F37" i="5080"/>
  <c r="F38" i="5080"/>
  <c r="F39" i="5080"/>
  <c r="F40" i="5080"/>
  <c r="F41" i="5080"/>
  <c r="F42" i="5080"/>
  <c r="F43" i="5080"/>
  <c r="F44" i="5080"/>
  <c r="F45" i="5080"/>
  <c r="F46" i="5080"/>
  <c r="F47" i="5080"/>
  <c r="F48" i="5080"/>
  <c r="F49" i="5080"/>
  <c r="F50" i="5080"/>
  <c r="F51" i="5080"/>
  <c r="F52" i="5080"/>
  <c r="F53" i="5080"/>
  <c r="F54" i="5080"/>
  <c r="F55" i="5080"/>
  <c r="F56" i="5080"/>
  <c r="F57" i="5080"/>
  <c r="F58" i="5080"/>
  <c r="F59" i="5080"/>
  <c r="F60" i="5080"/>
  <c r="F61" i="5080"/>
  <c r="F62" i="5080"/>
  <c r="F63" i="5080"/>
  <c r="F64" i="5080"/>
  <c r="F65" i="5080"/>
  <c r="F66" i="5080"/>
  <c r="F67" i="5080"/>
  <c r="F68" i="5080"/>
  <c r="F69" i="5080"/>
  <c r="F70" i="5080"/>
  <c r="F71" i="5080"/>
  <c r="F72" i="5080"/>
  <c r="F73" i="5080"/>
  <c r="F74" i="5080"/>
  <c r="F75" i="5080"/>
  <c r="F76" i="5080"/>
  <c r="F77" i="5080"/>
  <c r="F78" i="5080"/>
  <c r="F79" i="5080"/>
  <c r="F80" i="5080"/>
  <c r="F81" i="5080"/>
  <c r="F82" i="5080"/>
  <c r="F83" i="5080"/>
  <c r="F84" i="5080"/>
  <c r="F85" i="5080"/>
  <c r="F86" i="5080"/>
  <c r="F87" i="5080"/>
  <c r="F88" i="5080"/>
  <c r="F89" i="5080"/>
  <c r="F90" i="5080"/>
  <c r="F91" i="5080"/>
  <c r="F92" i="5080"/>
  <c r="F93" i="5080"/>
  <c r="F94" i="5080"/>
  <c r="F95" i="5080"/>
  <c r="F96" i="5080"/>
  <c r="F97" i="5080"/>
  <c r="F98" i="5080"/>
  <c r="F99" i="5080"/>
  <c r="F100" i="5080"/>
  <c r="F101" i="5080"/>
  <c r="F102" i="5080"/>
  <c r="F103" i="5080"/>
  <c r="F104" i="5080"/>
  <c r="F105" i="5080"/>
  <c r="F106" i="5080"/>
  <c r="F107" i="5080"/>
  <c r="F108" i="5080"/>
  <c r="F109" i="5080"/>
  <c r="F110" i="5080"/>
  <c r="F111" i="5080"/>
  <c r="F112" i="5080"/>
  <c r="F113" i="5080"/>
  <c r="F114" i="5080"/>
  <c r="F115" i="5080"/>
  <c r="F116" i="5080"/>
  <c r="F117" i="5080"/>
  <c r="F118" i="5080"/>
  <c r="F119" i="5080"/>
  <c r="F120" i="5080"/>
  <c r="F121" i="5080"/>
  <c r="F122" i="5080"/>
  <c r="F123" i="5080"/>
  <c r="F124" i="5080"/>
  <c r="F125" i="5080"/>
  <c r="F126" i="5080"/>
  <c r="F127" i="5080"/>
  <c r="F128" i="5080"/>
  <c r="F129" i="5080"/>
  <c r="F130" i="5080"/>
  <c r="F131" i="5080"/>
  <c r="F132" i="5080"/>
  <c r="F133" i="5080"/>
  <c r="F134" i="5080"/>
  <c r="F135" i="5080"/>
  <c r="F136" i="5080"/>
  <c r="F137" i="5080"/>
  <c r="F138" i="5080"/>
  <c r="F139" i="5080"/>
  <c r="F140" i="5080"/>
  <c r="F141" i="5080"/>
  <c r="F142" i="5080"/>
  <c r="F143" i="5080"/>
  <c r="F144" i="5080"/>
  <c r="F145" i="5080"/>
  <c r="F146" i="5080"/>
  <c r="F147" i="5080"/>
  <c r="F148" i="5080"/>
  <c r="F149" i="5080"/>
  <c r="F150" i="5080"/>
  <c r="F151" i="5080"/>
  <c r="F152" i="5080"/>
  <c r="F153" i="5080"/>
  <c r="F154" i="5080"/>
  <c r="F155" i="5080"/>
  <c r="F156" i="5080"/>
  <c r="F157" i="5080"/>
  <c r="F158" i="5080"/>
  <c r="F159" i="5080"/>
  <c r="F160" i="5080"/>
  <c r="F161" i="5080"/>
  <c r="F162" i="5080"/>
  <c r="F163" i="5080"/>
  <c r="F164" i="5080"/>
  <c r="F165" i="5080"/>
  <c r="F166" i="5080"/>
  <c r="F167" i="5080"/>
  <c r="F168" i="5080"/>
  <c r="F169" i="5080"/>
  <c r="F170" i="5080"/>
  <c r="F171" i="5080"/>
  <c r="F172" i="5080"/>
  <c r="F173" i="5080"/>
  <c r="F174" i="5080"/>
  <c r="F175" i="5080"/>
  <c r="F176" i="5080"/>
  <c r="F177" i="5080"/>
  <c r="F178" i="5080"/>
  <c r="F179" i="5080"/>
  <c r="F180" i="5080"/>
  <c r="F181" i="5080"/>
  <c r="F182" i="5080"/>
  <c r="F183" i="5080"/>
  <c r="F184" i="5080"/>
  <c r="F185" i="5080"/>
  <c r="F186" i="5080"/>
  <c r="F187" i="5080"/>
  <c r="F188" i="5080"/>
  <c r="F189" i="5080"/>
  <c r="F190" i="5080"/>
  <c r="F191" i="5080"/>
  <c r="F192" i="5080"/>
  <c r="F193" i="5080"/>
  <c r="F194" i="5080"/>
  <c r="F195" i="5080"/>
  <c r="F196" i="5080"/>
  <c r="F197" i="5080"/>
  <c r="F198" i="5080"/>
  <c r="F199" i="5080"/>
  <c r="F200" i="5080"/>
  <c r="F201" i="5080"/>
  <c r="F202" i="5080"/>
  <c r="F203" i="5080"/>
  <c r="F204" i="5080"/>
  <c r="F205" i="5080"/>
  <c r="F206" i="5080"/>
  <c r="F207" i="5080"/>
  <c r="F208" i="5080"/>
  <c r="F209" i="5080"/>
  <c r="F210" i="5080"/>
  <c r="F211" i="5080"/>
  <c r="F212" i="5080"/>
  <c r="F213" i="5080"/>
  <c r="F214" i="5080"/>
  <c r="F215" i="5080"/>
  <c r="F216" i="5080"/>
  <c r="F217" i="5080"/>
  <c r="F218" i="5080"/>
  <c r="F219" i="5080"/>
  <c r="F220" i="5080"/>
  <c r="F221" i="5080"/>
  <c r="F222" i="5080"/>
  <c r="F223" i="5080"/>
  <c r="F224" i="5080"/>
  <c r="F225" i="5080"/>
  <c r="F226" i="5080"/>
  <c r="F227" i="5080"/>
  <c r="F228" i="5080"/>
  <c r="F229" i="5080"/>
  <c r="F230" i="5080"/>
  <c r="F231" i="5080"/>
  <c r="F232" i="5080"/>
  <c r="F233" i="5080"/>
  <c r="F234" i="5080"/>
  <c r="F235" i="5080"/>
  <c r="F236" i="5080"/>
  <c r="F237" i="5080"/>
  <c r="F238" i="5080"/>
  <c r="F239" i="5080"/>
  <c r="F240" i="5080"/>
  <c r="F241" i="5080"/>
  <c r="F242" i="5080"/>
  <c r="F243" i="5080"/>
  <c r="F244" i="5080"/>
  <c r="F245" i="5080"/>
  <c r="F246" i="5080"/>
  <c r="F247" i="5080"/>
  <c r="F248" i="5080"/>
  <c r="F249" i="5080"/>
  <c r="F250" i="5080"/>
  <c r="F251" i="5080"/>
  <c r="F252" i="5080"/>
  <c r="F253" i="5080"/>
  <c r="F254" i="5080"/>
  <c r="F255" i="5080"/>
  <c r="F256" i="5080"/>
  <c r="F257" i="5080"/>
  <c r="F258" i="5080"/>
  <c r="F259" i="5080"/>
  <c r="F260" i="5080"/>
  <c r="F261" i="5080"/>
  <c r="F262" i="5080"/>
  <c r="F263" i="5080"/>
  <c r="F264" i="5080"/>
  <c r="F265" i="5080"/>
  <c r="F266" i="5080"/>
  <c r="F267" i="5080"/>
  <c r="F268" i="5080"/>
  <c r="F269" i="5080"/>
  <c r="F270" i="5080"/>
  <c r="F271" i="5080"/>
  <c r="F272" i="5080"/>
  <c r="F273" i="5080"/>
  <c r="F274" i="5080"/>
  <c r="F275" i="5080"/>
  <c r="F276" i="5080"/>
  <c r="F277" i="5080"/>
  <c r="F278" i="5080"/>
  <c r="F279" i="5080"/>
  <c r="F280" i="5080"/>
  <c r="F281" i="5080"/>
  <c r="F282" i="5080"/>
  <c r="F283" i="5080"/>
  <c r="F284" i="5080"/>
  <c r="F285" i="5080"/>
  <c r="F286" i="5080"/>
  <c r="F287" i="5080"/>
  <c r="F288" i="5080"/>
  <c r="F289" i="5080"/>
  <c r="F290" i="5080"/>
  <c r="F291" i="5080"/>
  <c r="F292" i="5080"/>
  <c r="F293" i="5080"/>
  <c r="F294" i="5080"/>
  <c r="F295" i="5080"/>
  <c r="F296" i="5080"/>
  <c r="F297" i="5080"/>
  <c r="F298" i="5080"/>
  <c r="F299" i="5080"/>
  <c r="F300" i="5080"/>
  <c r="F301" i="5080"/>
  <c r="F302" i="5080"/>
  <c r="F303" i="5080"/>
  <c r="F304" i="5080"/>
  <c r="F305" i="5080"/>
  <c r="F306" i="5080"/>
  <c r="F307" i="5080"/>
  <c r="F308" i="5080"/>
  <c r="F309" i="5080"/>
  <c r="F310" i="5080"/>
  <c r="F311" i="5080"/>
  <c r="F312" i="5080"/>
  <c r="F313" i="5080"/>
  <c r="F314" i="5080"/>
  <c r="F315" i="5080"/>
  <c r="F316" i="5080"/>
  <c r="F317" i="5080"/>
  <c r="F318" i="5080"/>
  <c r="F319" i="5080"/>
  <c r="F320" i="5080"/>
  <c r="F321" i="5080"/>
  <c r="F322" i="5080"/>
  <c r="F323" i="5080"/>
  <c r="F324" i="5080"/>
  <c r="F325" i="5080"/>
  <c r="F326" i="5080"/>
  <c r="F327" i="5080"/>
  <c r="F328" i="5080"/>
  <c r="F329" i="5080"/>
  <c r="F330" i="5080"/>
  <c r="F331" i="5080"/>
  <c r="F332" i="5080"/>
  <c r="F333" i="5080"/>
  <c r="F334" i="5080"/>
  <c r="F335" i="5080"/>
  <c r="F336" i="5080"/>
  <c r="F337" i="5080"/>
  <c r="F338" i="5080"/>
  <c r="F339" i="5080"/>
  <c r="F340" i="5080"/>
  <c r="F341" i="5080"/>
  <c r="F342" i="5080"/>
  <c r="F343" i="5080"/>
  <c r="F344" i="5080"/>
  <c r="F345" i="5080"/>
  <c r="F346" i="5080"/>
  <c r="F347" i="5080"/>
  <c r="F348" i="5080"/>
  <c r="F349" i="5080"/>
  <c r="F350" i="5080"/>
  <c r="F351" i="5080"/>
  <c r="F352" i="5080"/>
  <c r="F353" i="5080"/>
  <c r="F354" i="5080"/>
  <c r="F355" i="5080"/>
  <c r="F356" i="5080"/>
  <c r="F357" i="5080"/>
  <c r="F358" i="5080"/>
  <c r="F359" i="5080"/>
  <c r="F360" i="5080"/>
  <c r="F361" i="5080"/>
  <c r="F362" i="5080"/>
  <c r="F363" i="5080"/>
  <c r="F364" i="5080"/>
  <c r="F365" i="5080"/>
  <c r="F366" i="5080"/>
  <c r="F367" i="5080"/>
  <c r="F368" i="5080"/>
  <c r="F369" i="5080"/>
  <c r="F370" i="5080"/>
  <c r="F371" i="5080"/>
  <c r="F372" i="5080"/>
  <c r="F373" i="5080"/>
  <c r="F374" i="5080"/>
  <c r="F375" i="5080"/>
  <c r="F376" i="5080"/>
  <c r="F377" i="5080"/>
  <c r="F378" i="5080"/>
  <c r="F379" i="5080"/>
  <c r="F380" i="5080"/>
  <c r="F381" i="5080"/>
  <c r="F382" i="5080"/>
  <c r="F383" i="5080"/>
  <c r="F384" i="5080"/>
  <c r="F385" i="5080"/>
  <c r="F386" i="5080"/>
  <c r="F387" i="5080"/>
  <c r="F388" i="5080"/>
  <c r="F389" i="5080"/>
  <c r="F390" i="5080"/>
  <c r="F391" i="5080"/>
  <c r="F392" i="5080"/>
  <c r="F393" i="5080"/>
  <c r="F394" i="5080"/>
  <c r="F395" i="5080"/>
  <c r="F396" i="5080"/>
  <c r="F397" i="5080"/>
  <c r="F398" i="5080"/>
  <c r="F399" i="5080"/>
  <c r="F400" i="5080"/>
  <c r="F401" i="5080"/>
  <c r="F402" i="5080"/>
  <c r="F403" i="5080"/>
  <c r="F404" i="5080"/>
  <c r="F405" i="5080"/>
  <c r="F406" i="5080"/>
  <c r="F407" i="5080"/>
  <c r="F408" i="5080"/>
  <c r="F409" i="5080"/>
  <c r="F410" i="5080"/>
  <c r="F411" i="5080"/>
  <c r="F412" i="5080"/>
  <c r="F413" i="5080"/>
  <c r="F414" i="5080"/>
  <c r="F415" i="5080"/>
  <c r="F416" i="5080"/>
  <c r="F417" i="5080"/>
  <c r="F418" i="5080"/>
  <c r="F419" i="5080"/>
  <c r="F420" i="5080"/>
  <c r="F421" i="5080"/>
  <c r="F422" i="5080"/>
  <c r="F423" i="5080"/>
  <c r="F424" i="5080"/>
  <c r="F425" i="5080"/>
  <c r="F426" i="5080"/>
  <c r="F427" i="5080"/>
  <c r="F428" i="5080"/>
  <c r="F429" i="5080"/>
  <c r="F430" i="5080"/>
  <c r="F431" i="5080"/>
  <c r="F432" i="5080"/>
  <c r="F433" i="5080"/>
  <c r="F434" i="5080"/>
  <c r="F435" i="5080"/>
  <c r="F436" i="5080"/>
  <c r="F437" i="5080"/>
  <c r="F438" i="5080"/>
  <c r="F439" i="5080"/>
  <c r="F440" i="5080"/>
  <c r="F441" i="5080"/>
  <c r="F442" i="5080"/>
  <c r="F443" i="5080"/>
  <c r="F444" i="5080"/>
  <c r="F445" i="5080"/>
  <c r="F446" i="5080"/>
  <c r="F447" i="5080"/>
  <c r="F448" i="5080"/>
  <c r="F449" i="5080"/>
  <c r="F450" i="5080"/>
  <c r="F451" i="5080"/>
  <c r="F452" i="5080"/>
  <c r="F453" i="5080"/>
  <c r="F454" i="5080"/>
  <c r="F455" i="5080"/>
  <c r="F456" i="5080"/>
  <c r="F457" i="5080"/>
  <c r="F458" i="5080"/>
  <c r="F459" i="5080"/>
  <c r="F460" i="5080"/>
  <c r="F461" i="5080"/>
  <c r="F462" i="5080"/>
  <c r="F463" i="5080"/>
  <c r="F464" i="5080"/>
  <c r="F465" i="5080"/>
  <c r="F466" i="5080"/>
  <c r="F467" i="5080"/>
  <c r="F468" i="5080"/>
  <c r="F469" i="5080"/>
  <c r="F470" i="5080"/>
  <c r="F471" i="5080"/>
  <c r="F472" i="5080"/>
  <c r="F473" i="5080"/>
  <c r="F474" i="5080"/>
  <c r="F475" i="5080"/>
  <c r="F476" i="5080"/>
  <c r="F477" i="5080"/>
  <c r="F478" i="5080"/>
  <c r="F479" i="5080"/>
  <c r="F480" i="5080"/>
  <c r="F481" i="5080"/>
  <c r="F482" i="5080"/>
  <c r="F483" i="5080"/>
  <c r="F484" i="5080"/>
  <c r="F485" i="5080"/>
  <c r="F486" i="5080"/>
  <c r="F487" i="5080"/>
  <c r="F488" i="5080"/>
  <c r="F489" i="5080"/>
  <c r="F490" i="5080"/>
  <c r="F491" i="5080"/>
  <c r="F492" i="5080"/>
  <c r="F493" i="5080"/>
  <c r="F494" i="5080"/>
  <c r="F495" i="5080"/>
  <c r="F496" i="5080"/>
  <c r="F497" i="5080"/>
  <c r="F498" i="5080"/>
  <c r="F499" i="5080"/>
  <c r="F500" i="5080"/>
  <c r="F501" i="5080"/>
  <c r="F502" i="5080"/>
  <c r="F503" i="5080"/>
  <c r="F504" i="5080"/>
  <c r="F505" i="5080"/>
  <c r="F2" i="5079"/>
  <c r="F3" i="5079"/>
  <c r="F4" i="5079"/>
  <c r="F5" i="5079"/>
  <c r="F6" i="5079"/>
  <c r="F7" i="5079"/>
  <c r="F8" i="5079"/>
  <c r="F9" i="5079"/>
  <c r="F10" i="5079"/>
  <c r="F11" i="5079"/>
  <c r="F12" i="5079"/>
  <c r="F13" i="5079"/>
  <c r="F14" i="5079"/>
  <c r="F15" i="5079"/>
  <c r="F16" i="5079"/>
  <c r="F17" i="5079"/>
  <c r="F18" i="5079"/>
  <c r="F19" i="5079"/>
  <c r="F20" i="5079"/>
  <c r="F21" i="5079"/>
  <c r="F22" i="5079"/>
  <c r="F23" i="5079"/>
  <c r="F24" i="5079"/>
  <c r="F25" i="5079"/>
  <c r="F26" i="5079"/>
  <c r="F27" i="5079"/>
  <c r="F28" i="5079"/>
  <c r="F29" i="5079"/>
  <c r="F30" i="5079"/>
  <c r="F31" i="5079"/>
  <c r="F32" i="5079"/>
  <c r="F33" i="5079"/>
  <c r="F34" i="5079"/>
  <c r="F35" i="5079"/>
  <c r="F36" i="5079"/>
  <c r="F37" i="5079"/>
  <c r="F38" i="5079"/>
  <c r="F39" i="5079"/>
  <c r="F40" i="5079"/>
  <c r="F41" i="5079"/>
  <c r="F42" i="5079"/>
  <c r="F43" i="5079"/>
  <c r="F44" i="5079"/>
  <c r="F45" i="5079"/>
  <c r="F46" i="5079"/>
  <c r="F47" i="5079"/>
  <c r="F48" i="5079"/>
  <c r="F49" i="5079"/>
  <c r="F50" i="5079"/>
  <c r="F51" i="5079"/>
  <c r="F52" i="5079"/>
  <c r="F53" i="5079"/>
  <c r="F54" i="5079"/>
  <c r="F55" i="5079"/>
  <c r="F56" i="5079"/>
  <c r="F57" i="5079"/>
  <c r="F58" i="5079"/>
  <c r="F59" i="5079"/>
  <c r="F60" i="5079"/>
  <c r="F61" i="5079"/>
  <c r="F62" i="5079"/>
  <c r="F63" i="5079"/>
  <c r="F64" i="5079"/>
  <c r="F65" i="5079"/>
  <c r="F66" i="5079"/>
  <c r="F67" i="5079"/>
  <c r="F68" i="5079"/>
  <c r="F69" i="5079"/>
  <c r="F70" i="5079"/>
  <c r="F71" i="5079"/>
  <c r="F72" i="5079"/>
  <c r="F73" i="5079"/>
  <c r="F74" i="5079"/>
  <c r="F75" i="5079"/>
  <c r="F76" i="5079"/>
  <c r="F77" i="5079"/>
  <c r="F78" i="5079"/>
  <c r="F79" i="5079"/>
  <c r="F80" i="5079"/>
  <c r="F81" i="5079"/>
  <c r="F82" i="5079"/>
  <c r="F83" i="5079"/>
  <c r="F84" i="5079"/>
  <c r="F85" i="5079"/>
  <c r="F86" i="5079"/>
  <c r="F87" i="5079"/>
  <c r="F88" i="5079"/>
  <c r="F89" i="5079"/>
  <c r="F90" i="5079"/>
  <c r="F91" i="5079"/>
  <c r="F92" i="5079"/>
  <c r="F93" i="5079"/>
  <c r="F94" i="5079"/>
  <c r="F95" i="5079"/>
  <c r="F96" i="5079"/>
  <c r="F97" i="5079"/>
  <c r="F98" i="5079"/>
  <c r="F99" i="5079"/>
  <c r="F100" i="5079"/>
  <c r="F101" i="5079"/>
  <c r="F102" i="5079"/>
  <c r="F103" i="5079"/>
  <c r="F104" i="5079"/>
  <c r="F105" i="5079"/>
  <c r="F106" i="5079"/>
  <c r="F107" i="5079"/>
  <c r="F108" i="5079"/>
  <c r="F109" i="5079"/>
  <c r="F110" i="5079"/>
  <c r="F111" i="5079"/>
  <c r="F112" i="5079"/>
  <c r="F113" i="5079"/>
  <c r="F114" i="5079"/>
  <c r="F115" i="5079"/>
  <c r="F116" i="5079"/>
  <c r="F117" i="5079"/>
  <c r="F118" i="5079"/>
  <c r="F119" i="5079"/>
  <c r="F120" i="5079"/>
  <c r="F121" i="5079"/>
  <c r="F122" i="5079"/>
  <c r="F123" i="5079"/>
  <c r="F124" i="5079"/>
  <c r="F125" i="5079"/>
  <c r="F126" i="5079"/>
  <c r="F127" i="5079"/>
  <c r="F128" i="5079"/>
  <c r="F129" i="5079"/>
  <c r="F130" i="5079"/>
  <c r="F131" i="5079"/>
  <c r="F132" i="5079"/>
  <c r="F133" i="5079"/>
  <c r="F134" i="5079"/>
  <c r="F135" i="5079"/>
  <c r="F136" i="5079"/>
  <c r="F137" i="5079"/>
  <c r="F138" i="5079"/>
  <c r="F139" i="5079"/>
  <c r="F140" i="5079"/>
  <c r="F141" i="5079"/>
  <c r="F142" i="5079"/>
  <c r="F143" i="5079"/>
  <c r="F144" i="5079"/>
  <c r="F145" i="5079"/>
  <c r="F146" i="5079"/>
  <c r="F147" i="5079"/>
  <c r="F148" i="5079"/>
  <c r="F149" i="5079"/>
  <c r="F150" i="5079"/>
  <c r="F151" i="5079"/>
  <c r="F152" i="5079"/>
  <c r="F153" i="5079"/>
  <c r="F154" i="5079"/>
  <c r="F155" i="5079"/>
  <c r="F156" i="5079"/>
  <c r="F157" i="5079"/>
  <c r="F158" i="5079"/>
  <c r="F159" i="5079"/>
  <c r="F160" i="5079"/>
  <c r="F161" i="5079"/>
  <c r="F162" i="5079"/>
  <c r="F163" i="5079"/>
  <c r="F164" i="5079"/>
  <c r="F165" i="5079"/>
  <c r="F166" i="5079"/>
  <c r="F167" i="5079"/>
  <c r="F168" i="5079"/>
  <c r="F169" i="5079"/>
  <c r="F170" i="5079"/>
  <c r="F171" i="5079"/>
  <c r="F172" i="5079"/>
  <c r="F173" i="5079"/>
  <c r="F174" i="5079"/>
  <c r="F175" i="5079"/>
  <c r="F176" i="5079"/>
  <c r="F177" i="5079"/>
  <c r="F178" i="5079"/>
  <c r="F179" i="5079"/>
  <c r="F180" i="5079"/>
  <c r="F181" i="5079"/>
  <c r="F182" i="5079"/>
  <c r="F183" i="5079"/>
  <c r="F184" i="5079"/>
  <c r="F185" i="5079"/>
  <c r="F186" i="5079"/>
  <c r="F187" i="5079"/>
  <c r="F188" i="5079"/>
  <c r="F189" i="5079"/>
  <c r="F190" i="5079"/>
  <c r="F191" i="5079"/>
  <c r="F192" i="5079"/>
  <c r="F193" i="5079"/>
  <c r="F194" i="5079"/>
  <c r="F195" i="5079"/>
  <c r="F196" i="5079"/>
  <c r="F197" i="5079"/>
  <c r="F198" i="5079"/>
  <c r="F199" i="5079"/>
  <c r="F200" i="5079"/>
  <c r="F201" i="5079"/>
  <c r="F202" i="5079"/>
  <c r="F203" i="5079"/>
  <c r="F204" i="5079"/>
  <c r="F205" i="5079"/>
  <c r="F206" i="5079"/>
  <c r="F207" i="5079"/>
  <c r="F208" i="5079"/>
  <c r="F209" i="5079"/>
  <c r="F210" i="5079"/>
  <c r="F211" i="5079"/>
  <c r="F212" i="5079"/>
  <c r="F213" i="5079"/>
  <c r="F214" i="5079"/>
  <c r="F215" i="5079"/>
  <c r="F216" i="5079"/>
  <c r="F217" i="5079"/>
  <c r="F218" i="5079"/>
  <c r="F219" i="5079"/>
  <c r="F220" i="5079"/>
  <c r="F221" i="5079"/>
  <c r="F222" i="5079"/>
  <c r="F223" i="5079"/>
  <c r="F224" i="5079"/>
  <c r="F225" i="5079"/>
  <c r="F226" i="5079"/>
  <c r="F227" i="5079"/>
  <c r="F228" i="5079"/>
  <c r="F229" i="5079"/>
  <c r="F230" i="5079"/>
  <c r="F231" i="5079"/>
  <c r="F232" i="5079"/>
  <c r="F233" i="5079"/>
  <c r="F234" i="5079"/>
  <c r="F235" i="5079"/>
  <c r="F236" i="5079"/>
  <c r="F237" i="5079"/>
  <c r="F238" i="5079"/>
  <c r="F239" i="5079"/>
  <c r="F240" i="5079"/>
  <c r="F241" i="5079"/>
  <c r="F242" i="5079"/>
  <c r="F243" i="5079"/>
  <c r="F244" i="5079"/>
  <c r="F245" i="5079"/>
  <c r="F246" i="5079"/>
  <c r="F247" i="5079"/>
  <c r="F248" i="5079"/>
  <c r="F249" i="5079"/>
  <c r="F250" i="5079"/>
  <c r="F251" i="5079"/>
  <c r="F252" i="5079"/>
  <c r="F253" i="5079"/>
  <c r="F254" i="5079"/>
  <c r="F255" i="5079"/>
  <c r="F256" i="5079"/>
  <c r="F257" i="5079"/>
  <c r="F258" i="5079"/>
  <c r="F259" i="5079"/>
  <c r="F260" i="5079"/>
  <c r="F261" i="5079"/>
  <c r="F262" i="5079"/>
  <c r="F263" i="5079"/>
  <c r="F264" i="5079"/>
  <c r="F265" i="5079"/>
  <c r="F266" i="5079"/>
  <c r="F267" i="5079"/>
  <c r="F268" i="5079"/>
  <c r="F269" i="5079"/>
  <c r="F270" i="5079"/>
  <c r="F271" i="5079"/>
  <c r="F272" i="5079"/>
  <c r="F273" i="5079"/>
  <c r="F274" i="5079"/>
  <c r="F275" i="5079"/>
  <c r="F276" i="5079"/>
  <c r="F277" i="5079"/>
  <c r="F278" i="5079"/>
  <c r="F279" i="5079"/>
  <c r="F280" i="5079"/>
  <c r="F281" i="5079"/>
  <c r="F282" i="5079"/>
  <c r="F283" i="5079"/>
  <c r="F284" i="5079"/>
  <c r="F285" i="5079"/>
  <c r="F286" i="5079"/>
  <c r="F287" i="5079"/>
  <c r="F288" i="5079"/>
  <c r="F289" i="5079"/>
  <c r="F290" i="5079"/>
  <c r="F291" i="5079"/>
  <c r="F292" i="5079"/>
  <c r="F293" i="5079"/>
  <c r="F294" i="5079"/>
  <c r="F295" i="5079"/>
  <c r="F296" i="5079"/>
  <c r="F297" i="5079"/>
  <c r="F298" i="5079"/>
  <c r="F299" i="5079"/>
  <c r="F300" i="5079"/>
  <c r="F301" i="5079"/>
  <c r="F302" i="5079"/>
  <c r="F303" i="5079"/>
  <c r="F304" i="5079"/>
  <c r="F305" i="5079"/>
  <c r="F306" i="5079"/>
  <c r="F307" i="5079"/>
  <c r="F308" i="5079"/>
  <c r="F309" i="5079"/>
  <c r="F310" i="5079"/>
  <c r="F311" i="5079"/>
  <c r="F312" i="5079"/>
  <c r="F313" i="5079"/>
  <c r="F314" i="5079"/>
  <c r="F315" i="5079"/>
  <c r="F316" i="5079"/>
  <c r="F317" i="5079"/>
  <c r="F318" i="5079"/>
  <c r="F319" i="5079"/>
  <c r="F320" i="5079"/>
  <c r="F321" i="5079"/>
  <c r="F322" i="5079"/>
  <c r="F323" i="5079"/>
  <c r="F324" i="5079"/>
  <c r="F325" i="5079"/>
  <c r="F326" i="5079"/>
  <c r="F327" i="5079"/>
  <c r="F328" i="5079"/>
  <c r="F329" i="5079"/>
  <c r="F330" i="5079"/>
  <c r="F331" i="5079"/>
  <c r="F332" i="5079"/>
  <c r="F333" i="5079"/>
  <c r="F334" i="5079"/>
  <c r="F335" i="5079"/>
  <c r="F336" i="5079"/>
  <c r="F337" i="5079"/>
  <c r="F338" i="5079"/>
  <c r="F339" i="5079"/>
  <c r="F340" i="5079"/>
  <c r="F341" i="5079"/>
  <c r="F342" i="5079"/>
  <c r="F343" i="5079"/>
  <c r="F344" i="5079"/>
  <c r="F345" i="5079"/>
  <c r="F346" i="5079"/>
  <c r="F347" i="5079"/>
  <c r="F348" i="5079"/>
  <c r="F349" i="5079"/>
  <c r="F350" i="5079"/>
  <c r="F351" i="5079"/>
  <c r="F352" i="5079"/>
  <c r="F353" i="5079"/>
  <c r="F354" i="5079"/>
  <c r="F355" i="5079"/>
  <c r="F356" i="5079"/>
  <c r="F357" i="5079"/>
  <c r="F358" i="5079"/>
  <c r="F359" i="5079"/>
  <c r="F360" i="5079"/>
  <c r="F361" i="5079"/>
  <c r="F362" i="5079"/>
  <c r="F363" i="5079"/>
  <c r="F364" i="5079"/>
  <c r="F365" i="5079"/>
  <c r="F366" i="5079"/>
  <c r="F367" i="5079"/>
  <c r="F368" i="5079"/>
  <c r="F369" i="5079"/>
  <c r="F370" i="5079"/>
  <c r="F371" i="5079"/>
  <c r="F372" i="5079"/>
  <c r="F373" i="5079"/>
  <c r="F374" i="5079"/>
  <c r="F375" i="5079"/>
  <c r="F376" i="5079"/>
  <c r="F377" i="5079"/>
  <c r="F378" i="5079"/>
  <c r="F379" i="5079"/>
  <c r="F380" i="5079"/>
  <c r="F381" i="5079"/>
  <c r="F382" i="5079"/>
  <c r="F383" i="5079"/>
  <c r="F384" i="5079"/>
  <c r="F385" i="5079"/>
  <c r="F386" i="5079"/>
  <c r="F387" i="5079"/>
  <c r="F388" i="5079"/>
  <c r="F389" i="5079"/>
  <c r="F390" i="5079"/>
  <c r="F391" i="5079"/>
  <c r="F392" i="5079"/>
  <c r="F393" i="5079"/>
  <c r="F394" i="5079"/>
  <c r="F395" i="5079"/>
  <c r="F396" i="5079"/>
  <c r="F397" i="5079"/>
  <c r="F398" i="5079"/>
  <c r="F399" i="5079"/>
  <c r="F400" i="5079"/>
  <c r="F401" i="5079"/>
  <c r="F402" i="5079"/>
  <c r="F403" i="5079"/>
  <c r="F404" i="5079"/>
  <c r="F405" i="5079"/>
  <c r="F406" i="5079"/>
  <c r="F407" i="5079"/>
  <c r="F408" i="5079"/>
  <c r="F409" i="5079"/>
  <c r="F410" i="5079"/>
  <c r="F411" i="5079"/>
  <c r="F412" i="5079"/>
  <c r="F413" i="5079"/>
  <c r="F414" i="5079"/>
  <c r="F415" i="5079"/>
  <c r="F416" i="5079"/>
  <c r="F417" i="5079"/>
  <c r="F418" i="5079"/>
  <c r="F419" i="5079"/>
  <c r="F420" i="5079"/>
  <c r="F421" i="5079"/>
  <c r="F422" i="5079"/>
  <c r="F423" i="5079"/>
  <c r="F424" i="5079"/>
  <c r="F425" i="5079"/>
  <c r="F426" i="5079"/>
  <c r="F427" i="5079"/>
  <c r="F428" i="5079"/>
  <c r="F429" i="5079"/>
  <c r="F430" i="5079"/>
  <c r="F431" i="5079"/>
  <c r="F432" i="5079"/>
  <c r="F433" i="5079"/>
  <c r="F434" i="5079"/>
  <c r="F435" i="5079"/>
  <c r="F436" i="5079"/>
  <c r="F437" i="5079"/>
  <c r="F438" i="5079"/>
  <c r="F439" i="5079"/>
  <c r="F440" i="5079"/>
  <c r="F441" i="5079"/>
  <c r="F442" i="5079"/>
  <c r="F443" i="5079"/>
  <c r="F444" i="5079"/>
  <c r="F445" i="5079"/>
  <c r="F446" i="5079"/>
  <c r="F447" i="5079"/>
  <c r="F448" i="5079"/>
  <c r="F449" i="5079"/>
  <c r="F450" i="5079"/>
  <c r="F451" i="5079"/>
  <c r="F452" i="5079"/>
  <c r="F453" i="5079"/>
  <c r="F454" i="5079"/>
  <c r="F455" i="5079"/>
  <c r="F456" i="5079"/>
  <c r="F457" i="5079"/>
  <c r="F458" i="5079"/>
  <c r="F459" i="5079"/>
  <c r="F460" i="5079"/>
  <c r="F461" i="5079"/>
  <c r="F462" i="5079"/>
  <c r="F463" i="5079"/>
  <c r="F464" i="5079"/>
  <c r="F465" i="5079"/>
  <c r="F466" i="5079"/>
  <c r="F467" i="5079"/>
  <c r="F468" i="5079"/>
  <c r="F469" i="5079"/>
  <c r="F470" i="5079"/>
  <c r="F471" i="5079"/>
  <c r="F472" i="5079"/>
  <c r="F473" i="5079"/>
  <c r="F474" i="5079"/>
  <c r="F475" i="5079"/>
  <c r="F476" i="5079"/>
  <c r="F477" i="5079"/>
  <c r="F478" i="5079"/>
  <c r="F479" i="5079"/>
  <c r="F480" i="5079"/>
  <c r="F481" i="5079"/>
  <c r="F482" i="5079"/>
  <c r="F483" i="5079"/>
  <c r="F484" i="5079"/>
  <c r="F485" i="5079"/>
  <c r="F486" i="5079"/>
  <c r="F487" i="5079"/>
  <c r="F488" i="5079"/>
  <c r="F489" i="5079"/>
  <c r="F490" i="5079"/>
  <c r="F491" i="5079"/>
  <c r="F492" i="5079"/>
  <c r="F493" i="5079"/>
  <c r="F494" i="5079"/>
  <c r="F495" i="5079"/>
  <c r="F496" i="5079"/>
  <c r="F497" i="5079"/>
  <c r="F498" i="5079"/>
  <c r="F499" i="5079"/>
  <c r="F500" i="5079"/>
  <c r="F501" i="5079"/>
  <c r="F502" i="5079"/>
  <c r="F503" i="5079"/>
  <c r="F504" i="5079"/>
  <c r="F505" i="5079"/>
  <c r="F2" i="5078"/>
  <c r="F3" i="5078"/>
  <c r="F4" i="5078"/>
  <c r="F5" i="5078"/>
  <c r="F6" i="5078"/>
  <c r="F7" i="5078"/>
  <c r="F8" i="5078"/>
  <c r="F9" i="5078"/>
  <c r="F10" i="5078"/>
  <c r="F11" i="5078"/>
  <c r="F12" i="5078"/>
  <c r="F13" i="5078"/>
  <c r="F14" i="5078"/>
  <c r="F15" i="5078"/>
  <c r="F16" i="5078"/>
  <c r="F17" i="5078"/>
  <c r="F18" i="5078"/>
  <c r="F19" i="5078"/>
  <c r="F20" i="5078"/>
  <c r="F21" i="5078"/>
  <c r="F22" i="5078"/>
  <c r="F23" i="5078"/>
  <c r="F24" i="5078"/>
  <c r="F25" i="5078"/>
  <c r="F26" i="5078"/>
  <c r="F27" i="5078"/>
  <c r="F28" i="5078"/>
  <c r="F29" i="5078"/>
  <c r="F30" i="5078"/>
  <c r="F31" i="5078"/>
  <c r="F32" i="5078"/>
  <c r="F33" i="5078"/>
  <c r="F34" i="5078"/>
  <c r="F35" i="5078"/>
  <c r="F36" i="5078"/>
  <c r="F37" i="5078"/>
  <c r="F38" i="5078"/>
  <c r="F39" i="5078"/>
  <c r="F40" i="5078"/>
  <c r="F41" i="5078"/>
  <c r="F42" i="5078"/>
  <c r="F43" i="5078"/>
  <c r="F44" i="5078"/>
  <c r="F45" i="5078"/>
  <c r="F46" i="5078"/>
  <c r="F47" i="5078"/>
  <c r="F48" i="5078"/>
  <c r="F49" i="5078"/>
  <c r="F50" i="5078"/>
  <c r="F51" i="5078"/>
  <c r="F52" i="5078"/>
  <c r="F53" i="5078"/>
  <c r="F54" i="5078"/>
  <c r="F55" i="5078"/>
  <c r="F56" i="5078"/>
  <c r="F57" i="5078"/>
  <c r="F58" i="5078"/>
  <c r="F59" i="5078"/>
  <c r="F60" i="5078"/>
  <c r="F61" i="5078"/>
  <c r="F62" i="5078"/>
  <c r="F63" i="5078"/>
  <c r="F64" i="5078"/>
  <c r="F65" i="5078"/>
  <c r="F66" i="5078"/>
  <c r="F67" i="5078"/>
  <c r="F68" i="5078"/>
  <c r="F69" i="5078"/>
  <c r="F70" i="5078"/>
  <c r="F71" i="5078"/>
  <c r="F72" i="5078"/>
  <c r="F73" i="5078"/>
  <c r="F74" i="5078"/>
  <c r="F75" i="5078"/>
  <c r="F76" i="5078"/>
  <c r="F77" i="5078"/>
  <c r="F78" i="5078"/>
  <c r="F79" i="5078"/>
  <c r="F80" i="5078"/>
  <c r="F81" i="5078"/>
  <c r="F82" i="5078"/>
  <c r="F83" i="5078"/>
  <c r="F84" i="5078"/>
  <c r="F85" i="5078"/>
  <c r="F86" i="5078"/>
  <c r="F87" i="5078"/>
  <c r="F88" i="5078"/>
  <c r="F89" i="5078"/>
  <c r="F90" i="5078"/>
  <c r="F91" i="5078"/>
  <c r="F92" i="5078"/>
  <c r="F93" i="5078"/>
  <c r="F94" i="5078"/>
  <c r="F95" i="5078"/>
  <c r="F96" i="5078"/>
  <c r="F97" i="5078"/>
  <c r="F98" i="5078"/>
  <c r="F99" i="5078"/>
  <c r="F100" i="5078"/>
  <c r="F101" i="5078"/>
  <c r="F102" i="5078"/>
  <c r="F103" i="5078"/>
  <c r="F104" i="5078"/>
  <c r="F105" i="5078"/>
  <c r="F106" i="5078"/>
  <c r="F107" i="5078"/>
  <c r="F108" i="5078"/>
  <c r="F109" i="5078"/>
  <c r="F110" i="5078"/>
  <c r="F111" i="5078"/>
  <c r="F112" i="5078"/>
  <c r="F113" i="5078"/>
  <c r="F114" i="5078"/>
  <c r="F115" i="5078"/>
  <c r="F116" i="5078"/>
  <c r="F117" i="5078"/>
  <c r="F118" i="5078"/>
  <c r="F119" i="5078"/>
  <c r="F120" i="5078"/>
  <c r="F121" i="5078"/>
  <c r="F122" i="5078"/>
  <c r="F123" i="5078"/>
  <c r="F124" i="5078"/>
  <c r="F125" i="5078"/>
  <c r="F126" i="5078"/>
  <c r="F127" i="5078"/>
  <c r="F128" i="5078"/>
  <c r="F129" i="5078"/>
  <c r="F130" i="5078"/>
  <c r="F131" i="5078"/>
  <c r="F132" i="5078"/>
  <c r="F133" i="5078"/>
  <c r="F134" i="5078"/>
  <c r="F135" i="5078"/>
  <c r="F136" i="5078"/>
  <c r="F137" i="5078"/>
  <c r="F138" i="5078"/>
  <c r="F139" i="5078"/>
  <c r="F140" i="5078"/>
  <c r="F141" i="5078"/>
  <c r="F142" i="5078"/>
  <c r="F143" i="5078"/>
  <c r="F144" i="5078"/>
  <c r="F145" i="5078"/>
  <c r="F146" i="5078"/>
  <c r="F147" i="5078"/>
  <c r="F148" i="5078"/>
  <c r="F149" i="5078"/>
  <c r="F150" i="5078"/>
  <c r="F151" i="5078"/>
  <c r="F152" i="5078"/>
  <c r="F153" i="5078"/>
  <c r="F154" i="5078"/>
  <c r="F155" i="5078"/>
  <c r="F156" i="5078"/>
  <c r="F157" i="5078"/>
  <c r="F158" i="5078"/>
  <c r="F159" i="5078"/>
  <c r="F160" i="5078"/>
  <c r="F161" i="5078"/>
  <c r="F162" i="5078"/>
  <c r="F163" i="5078"/>
  <c r="F164" i="5078"/>
  <c r="F165" i="5078"/>
  <c r="F166" i="5078"/>
  <c r="F167" i="5078"/>
  <c r="F168" i="5078"/>
  <c r="F169" i="5078"/>
  <c r="F170" i="5078"/>
  <c r="F171" i="5078"/>
  <c r="F172" i="5078"/>
  <c r="F173" i="5078"/>
  <c r="F174" i="5078"/>
  <c r="F175" i="5078"/>
  <c r="F176" i="5078"/>
  <c r="F177" i="5078"/>
  <c r="F178" i="5078"/>
  <c r="F179" i="5078"/>
  <c r="F180" i="5078"/>
  <c r="F181" i="5078"/>
  <c r="F182" i="5078"/>
  <c r="F183" i="5078"/>
  <c r="F184" i="5078"/>
  <c r="F185" i="5078"/>
  <c r="F186" i="5078"/>
  <c r="F187" i="5078"/>
  <c r="F188" i="5078"/>
  <c r="F189" i="5078"/>
  <c r="F190" i="5078"/>
  <c r="F191" i="5078"/>
  <c r="F192" i="5078"/>
  <c r="F193" i="5078"/>
  <c r="F194" i="5078"/>
  <c r="F195" i="5078"/>
  <c r="F196" i="5078"/>
  <c r="F197" i="5078"/>
  <c r="F198" i="5078"/>
  <c r="F199" i="5078"/>
  <c r="F200" i="5078"/>
  <c r="F201" i="5078"/>
  <c r="F202" i="5078"/>
  <c r="F203" i="5078"/>
  <c r="F204" i="5078"/>
  <c r="F205" i="5078"/>
  <c r="F206" i="5078"/>
  <c r="F207" i="5078"/>
  <c r="F208" i="5078"/>
  <c r="F209" i="5078"/>
  <c r="F210" i="5078"/>
  <c r="F211" i="5078"/>
  <c r="F212" i="5078"/>
  <c r="F213" i="5078"/>
  <c r="F214" i="5078"/>
  <c r="F215" i="5078"/>
  <c r="F216" i="5078"/>
  <c r="F217" i="5078"/>
  <c r="F218" i="5078"/>
  <c r="F219" i="5078"/>
  <c r="F220" i="5078"/>
  <c r="F221" i="5078"/>
  <c r="F222" i="5078"/>
  <c r="F223" i="5078"/>
  <c r="F224" i="5078"/>
  <c r="F225" i="5078"/>
  <c r="F226" i="5078"/>
  <c r="F227" i="5078"/>
  <c r="F228" i="5078"/>
  <c r="F229" i="5078"/>
  <c r="F230" i="5078"/>
  <c r="F231" i="5078"/>
  <c r="F232" i="5078"/>
  <c r="F233" i="5078"/>
  <c r="F234" i="5078"/>
  <c r="F235" i="5078"/>
  <c r="F236" i="5078"/>
  <c r="F237" i="5078"/>
  <c r="F238" i="5078"/>
  <c r="F239" i="5078"/>
  <c r="F240" i="5078"/>
  <c r="F241" i="5078"/>
  <c r="F242" i="5078"/>
  <c r="F243" i="5078"/>
  <c r="F244" i="5078"/>
  <c r="F245" i="5078"/>
  <c r="F246" i="5078"/>
  <c r="F247" i="5078"/>
  <c r="F248" i="5078"/>
  <c r="F249" i="5078"/>
  <c r="F250" i="5078"/>
  <c r="F251" i="5078"/>
  <c r="F252" i="5078"/>
  <c r="F253" i="5078"/>
  <c r="F254" i="5078"/>
  <c r="F255" i="5078"/>
  <c r="F256" i="5078"/>
  <c r="F257" i="5078"/>
  <c r="F258" i="5078"/>
  <c r="F259" i="5078"/>
  <c r="F260" i="5078"/>
  <c r="F261" i="5078"/>
  <c r="F262" i="5078"/>
  <c r="F263" i="5078"/>
  <c r="F264" i="5078"/>
  <c r="F265" i="5078"/>
  <c r="F266" i="5078"/>
  <c r="F267" i="5078"/>
  <c r="F268" i="5078"/>
  <c r="F269" i="5078"/>
  <c r="F270" i="5078"/>
  <c r="F271" i="5078"/>
  <c r="F272" i="5078"/>
  <c r="F273" i="5078"/>
  <c r="F274" i="5078"/>
  <c r="F275" i="5078"/>
  <c r="F276" i="5078"/>
  <c r="F277" i="5078"/>
  <c r="F278" i="5078"/>
  <c r="F279" i="5078"/>
  <c r="F280" i="5078"/>
  <c r="F281" i="5078"/>
  <c r="F282" i="5078"/>
  <c r="F283" i="5078"/>
  <c r="F284" i="5078"/>
  <c r="F285" i="5078"/>
  <c r="F286" i="5078"/>
  <c r="F287" i="5078"/>
  <c r="F288" i="5078"/>
  <c r="F289" i="5078"/>
  <c r="F290" i="5078"/>
  <c r="F291" i="5078"/>
  <c r="F292" i="5078"/>
  <c r="F293" i="5078"/>
  <c r="F294" i="5078"/>
  <c r="F295" i="5078"/>
  <c r="F296" i="5078"/>
  <c r="F297" i="5078"/>
  <c r="F298" i="5078"/>
  <c r="F299" i="5078"/>
  <c r="F300" i="5078"/>
  <c r="F301" i="5078"/>
  <c r="F302" i="5078"/>
  <c r="F303" i="5078"/>
  <c r="F304" i="5078"/>
  <c r="F305" i="5078"/>
  <c r="F306" i="5078"/>
  <c r="F307" i="5078"/>
  <c r="F308" i="5078"/>
  <c r="F309" i="5078"/>
  <c r="F310" i="5078"/>
  <c r="F311" i="5078"/>
  <c r="F312" i="5078"/>
  <c r="F313" i="5078"/>
  <c r="F314" i="5078"/>
  <c r="F315" i="5078"/>
  <c r="F316" i="5078"/>
  <c r="F317" i="5078"/>
  <c r="F318" i="5078"/>
  <c r="F319" i="5078"/>
  <c r="F320" i="5078"/>
  <c r="F321" i="5078"/>
  <c r="F322" i="5078"/>
  <c r="F323" i="5078"/>
  <c r="F324" i="5078"/>
  <c r="F325" i="5078"/>
  <c r="F326" i="5078"/>
  <c r="F327" i="5078"/>
  <c r="F328" i="5078"/>
  <c r="F329" i="5078"/>
  <c r="F330" i="5078"/>
  <c r="F331" i="5078"/>
  <c r="F332" i="5078"/>
  <c r="F333" i="5078"/>
  <c r="F334" i="5078"/>
  <c r="F335" i="5078"/>
  <c r="F336" i="5078"/>
  <c r="F337" i="5078"/>
  <c r="F338" i="5078"/>
  <c r="F339" i="5078"/>
  <c r="F340" i="5078"/>
  <c r="F341" i="5078"/>
  <c r="F342" i="5078"/>
  <c r="F343" i="5078"/>
  <c r="F344" i="5078"/>
  <c r="F345" i="5078"/>
  <c r="F346" i="5078"/>
  <c r="F347" i="5078"/>
  <c r="F348" i="5078"/>
  <c r="F349" i="5078"/>
  <c r="F350" i="5078"/>
  <c r="F351" i="5078"/>
  <c r="F352" i="5078"/>
  <c r="F353" i="5078"/>
  <c r="F354" i="5078"/>
  <c r="F355" i="5078"/>
  <c r="F356" i="5078"/>
  <c r="F357" i="5078"/>
  <c r="F358" i="5078"/>
  <c r="F359" i="5078"/>
  <c r="F360" i="5078"/>
  <c r="F361" i="5078"/>
  <c r="F362" i="5078"/>
  <c r="F363" i="5078"/>
  <c r="F364" i="5078"/>
  <c r="F365" i="5078"/>
  <c r="F366" i="5078"/>
  <c r="F367" i="5078"/>
  <c r="F368" i="5078"/>
  <c r="F369" i="5078"/>
  <c r="F370" i="5078"/>
  <c r="F371" i="5078"/>
  <c r="F372" i="5078"/>
  <c r="F373" i="5078"/>
  <c r="F374" i="5078"/>
  <c r="F375" i="5078"/>
  <c r="F376" i="5078"/>
  <c r="F377" i="5078"/>
  <c r="F378" i="5078"/>
  <c r="F379" i="5078"/>
  <c r="F380" i="5078"/>
  <c r="F381" i="5078"/>
  <c r="F382" i="5078"/>
  <c r="F383" i="5078"/>
  <c r="F384" i="5078"/>
  <c r="F385" i="5078"/>
  <c r="F386" i="5078"/>
  <c r="F387" i="5078"/>
  <c r="F388" i="5078"/>
  <c r="F389" i="5078"/>
  <c r="F390" i="5078"/>
  <c r="F391" i="5078"/>
  <c r="F392" i="5078"/>
  <c r="F393" i="5078"/>
  <c r="F394" i="5078"/>
  <c r="F395" i="5078"/>
  <c r="F396" i="5078"/>
  <c r="F397" i="5078"/>
  <c r="F398" i="5078"/>
  <c r="F399" i="5078"/>
  <c r="F400" i="5078"/>
  <c r="F401" i="5078"/>
  <c r="F402" i="5078"/>
  <c r="F403" i="5078"/>
  <c r="F404" i="5078"/>
  <c r="F405" i="5078"/>
  <c r="F406" i="5078"/>
  <c r="F407" i="5078"/>
  <c r="F408" i="5078"/>
  <c r="F409" i="5078"/>
  <c r="F410" i="5078"/>
  <c r="F411" i="5078"/>
  <c r="F412" i="5078"/>
  <c r="F413" i="5078"/>
  <c r="F414" i="5078"/>
  <c r="F415" i="5078"/>
  <c r="F416" i="5078"/>
  <c r="F417" i="5078"/>
  <c r="F418" i="5078"/>
  <c r="F419" i="5078"/>
  <c r="F420" i="5078"/>
  <c r="F421" i="5078"/>
  <c r="F422" i="5078"/>
  <c r="F423" i="5078"/>
  <c r="F424" i="5078"/>
  <c r="F425" i="5078"/>
  <c r="F426" i="5078"/>
  <c r="F427" i="5078"/>
  <c r="F428" i="5078"/>
  <c r="F429" i="5078"/>
  <c r="F430" i="5078"/>
  <c r="F431" i="5078"/>
  <c r="F432" i="5078"/>
  <c r="F433" i="5078"/>
  <c r="F434" i="5078"/>
  <c r="F435" i="5078"/>
  <c r="F436" i="5078"/>
  <c r="F437" i="5078"/>
  <c r="F438" i="5078"/>
  <c r="F439" i="5078"/>
  <c r="F440" i="5078"/>
  <c r="F441" i="5078"/>
  <c r="F442" i="5078"/>
  <c r="F443" i="5078"/>
  <c r="F444" i="5078"/>
  <c r="F445" i="5078"/>
  <c r="F446" i="5078"/>
  <c r="F447" i="5078"/>
  <c r="F448" i="5078"/>
  <c r="F449" i="5078"/>
  <c r="F450" i="5078"/>
  <c r="F451" i="5078"/>
  <c r="F452" i="5078"/>
  <c r="F453" i="5078"/>
  <c r="F454" i="5078"/>
  <c r="F455" i="5078"/>
  <c r="F456" i="5078"/>
  <c r="F457" i="5078"/>
  <c r="F458" i="5078"/>
  <c r="F459" i="5078"/>
  <c r="F460" i="5078"/>
  <c r="F461" i="5078"/>
  <c r="F462" i="5078"/>
  <c r="F463" i="5078"/>
  <c r="F464" i="5078"/>
  <c r="F465" i="5078"/>
  <c r="F466" i="5078"/>
  <c r="F467" i="5078"/>
  <c r="F468" i="5078"/>
  <c r="F469" i="5078"/>
  <c r="F470" i="5078"/>
  <c r="F471" i="5078"/>
  <c r="F472" i="5078"/>
  <c r="F473" i="5078"/>
  <c r="F474" i="5078"/>
  <c r="F475" i="5078"/>
  <c r="F476" i="5078"/>
  <c r="F477" i="5078"/>
  <c r="F478" i="5078"/>
  <c r="F479" i="5078"/>
  <c r="F480" i="5078"/>
  <c r="F481" i="5078"/>
  <c r="F482" i="5078"/>
  <c r="F483" i="5078"/>
  <c r="F484" i="5078"/>
  <c r="F485" i="5078"/>
  <c r="F486" i="5078"/>
  <c r="F487" i="5078"/>
  <c r="F488" i="5078"/>
  <c r="F489" i="5078"/>
  <c r="F490" i="5078"/>
  <c r="F491" i="5078"/>
  <c r="F492" i="5078"/>
  <c r="F493" i="5078"/>
  <c r="F494" i="5078"/>
  <c r="F495" i="5078"/>
  <c r="F496" i="5078"/>
  <c r="F497" i="5078"/>
  <c r="F498" i="5078"/>
  <c r="F499" i="5078"/>
  <c r="F500" i="5078"/>
  <c r="F501" i="5078"/>
  <c r="F502" i="5078"/>
  <c r="F503" i="5078"/>
  <c r="F504" i="5078"/>
  <c r="F505" i="5078"/>
  <c r="E2" i="5083"/>
  <c r="E3" i="5083"/>
  <c r="E4" i="5083"/>
  <c r="E5" i="5083"/>
  <c r="E6" i="5083"/>
  <c r="E7" i="5083"/>
  <c r="E8" i="5083"/>
  <c r="E9" i="5083"/>
  <c r="E10" i="5083"/>
  <c r="E11" i="5083"/>
  <c r="E12" i="5083"/>
  <c r="E13" i="5083"/>
  <c r="E14" i="5083"/>
  <c r="E15" i="5083"/>
  <c r="E16" i="5083"/>
  <c r="E17" i="5083"/>
  <c r="E18" i="5083"/>
  <c r="E19" i="5083"/>
  <c r="E20" i="5083"/>
  <c r="E21" i="5083"/>
  <c r="E22" i="5083"/>
  <c r="E23" i="5083"/>
  <c r="E24" i="5083"/>
  <c r="E25" i="5083"/>
  <c r="E26" i="5083"/>
  <c r="E27" i="5083"/>
  <c r="E28" i="5083"/>
  <c r="E29" i="5083"/>
  <c r="E30" i="5083"/>
  <c r="E31" i="5083"/>
  <c r="E32" i="5083"/>
  <c r="E33" i="5083"/>
  <c r="E34" i="5083"/>
  <c r="E35" i="5083"/>
  <c r="E36" i="5083"/>
  <c r="E37" i="5083"/>
  <c r="E38" i="5083"/>
  <c r="E39" i="5083"/>
  <c r="E40" i="5083"/>
  <c r="E41" i="5083"/>
  <c r="E42" i="5083"/>
  <c r="E43" i="5083"/>
  <c r="E44" i="5083"/>
  <c r="E45" i="5083"/>
  <c r="E46" i="5083"/>
  <c r="E47" i="5083"/>
  <c r="E48" i="5083"/>
  <c r="E49" i="5083"/>
  <c r="E50" i="5083"/>
  <c r="E51" i="5083"/>
  <c r="E52" i="5083"/>
  <c r="E53" i="5083"/>
  <c r="E54" i="5083"/>
  <c r="E55" i="5083"/>
  <c r="E56" i="5083"/>
  <c r="E57" i="5083"/>
  <c r="E58" i="5083"/>
  <c r="E59" i="5083"/>
  <c r="E60" i="5083"/>
  <c r="E61" i="5083"/>
  <c r="E62" i="5083"/>
  <c r="E63" i="5083"/>
  <c r="E64" i="5083"/>
  <c r="E65" i="5083"/>
  <c r="E66" i="5083"/>
  <c r="E67" i="5083"/>
  <c r="E68" i="5083"/>
  <c r="E69" i="5083"/>
  <c r="E70" i="5083"/>
  <c r="E71" i="5083"/>
  <c r="E72" i="5083"/>
  <c r="E73" i="5083"/>
  <c r="E74" i="5083"/>
  <c r="E75" i="5083"/>
  <c r="E76" i="5083"/>
  <c r="E77" i="5083"/>
  <c r="E78" i="5083"/>
  <c r="E79" i="5083"/>
  <c r="E80" i="5083"/>
  <c r="E81" i="5083"/>
  <c r="E82" i="5083"/>
  <c r="E83" i="5083"/>
  <c r="E84" i="5083"/>
  <c r="E85" i="5083"/>
  <c r="E86" i="5083"/>
  <c r="E87" i="5083"/>
  <c r="E88" i="5083"/>
  <c r="E89" i="5083"/>
  <c r="E90" i="5083"/>
  <c r="E91" i="5083"/>
  <c r="E92" i="5083"/>
  <c r="E93" i="5083"/>
  <c r="E94" i="5083"/>
  <c r="E95" i="5083"/>
  <c r="E96" i="5083"/>
  <c r="E97" i="5083"/>
  <c r="E98" i="5083"/>
  <c r="E99" i="5083"/>
  <c r="E100" i="5083"/>
  <c r="E101" i="5083"/>
  <c r="E102" i="5083"/>
  <c r="E103" i="5083"/>
  <c r="E104" i="5083"/>
  <c r="E105" i="5083"/>
  <c r="E106" i="5083"/>
  <c r="E107" i="5083"/>
  <c r="E108" i="5083"/>
  <c r="E109" i="5083"/>
  <c r="E110" i="5083"/>
  <c r="E111" i="5083"/>
  <c r="E112" i="5083"/>
  <c r="E113" i="5083"/>
  <c r="E114" i="5083"/>
  <c r="E115" i="5083"/>
  <c r="E116" i="5083"/>
  <c r="E117" i="5083"/>
  <c r="E118" i="5083"/>
  <c r="E119" i="5083"/>
  <c r="E120" i="5083"/>
  <c r="E121" i="5083"/>
  <c r="E122" i="5083"/>
  <c r="E123" i="5083"/>
  <c r="E124" i="5083"/>
  <c r="E125" i="5083"/>
  <c r="E126" i="5083"/>
  <c r="E127" i="5083"/>
  <c r="E128" i="5083"/>
  <c r="E129" i="5083"/>
  <c r="E130" i="5083"/>
  <c r="E131" i="5083"/>
  <c r="E132" i="5083"/>
  <c r="E133" i="5083"/>
  <c r="E134" i="5083"/>
  <c r="E135" i="5083"/>
  <c r="E136" i="5083"/>
  <c r="E137" i="5083"/>
  <c r="E138" i="5083"/>
  <c r="E139" i="5083"/>
  <c r="E140" i="5083"/>
  <c r="E141" i="5083"/>
  <c r="E142" i="5083"/>
  <c r="E143" i="5083"/>
  <c r="E144" i="5083"/>
  <c r="E145" i="5083"/>
  <c r="E146" i="5083"/>
  <c r="E147" i="5083"/>
  <c r="E148" i="5083"/>
  <c r="E149" i="5083"/>
  <c r="E150" i="5083"/>
  <c r="E151" i="5083"/>
  <c r="E152" i="5083"/>
  <c r="E153" i="5083"/>
  <c r="E154" i="5083"/>
  <c r="E155" i="5083"/>
  <c r="E156" i="5083"/>
  <c r="E157" i="5083"/>
  <c r="E158" i="5083"/>
  <c r="E159" i="5083"/>
  <c r="E160" i="5083"/>
  <c r="E161" i="5083"/>
  <c r="E162" i="5083"/>
  <c r="E163" i="5083"/>
  <c r="E164" i="5083"/>
  <c r="E165" i="5083"/>
  <c r="E166" i="5083"/>
  <c r="E167" i="5083"/>
  <c r="E168" i="5083"/>
  <c r="E169" i="5083"/>
  <c r="E170" i="5083"/>
  <c r="E171" i="5083"/>
  <c r="E172" i="5083"/>
  <c r="E173" i="5083"/>
  <c r="E174" i="5083"/>
  <c r="E175" i="5083"/>
  <c r="E176" i="5083"/>
  <c r="E177" i="5083"/>
  <c r="E178" i="5083"/>
  <c r="E179" i="5083"/>
  <c r="E180" i="5083"/>
  <c r="E181" i="5083"/>
  <c r="E182" i="5083"/>
  <c r="E183" i="5083"/>
  <c r="E184" i="5083"/>
  <c r="E185" i="5083"/>
  <c r="E186" i="5083"/>
  <c r="E187" i="5083"/>
  <c r="E188" i="5083"/>
  <c r="E189" i="5083"/>
  <c r="E190" i="5083"/>
  <c r="E191" i="5083"/>
  <c r="E192" i="5083"/>
  <c r="E193" i="5083"/>
  <c r="E194" i="5083"/>
  <c r="E195" i="5083"/>
  <c r="E196" i="5083"/>
  <c r="E197" i="5083"/>
  <c r="E198" i="5083"/>
  <c r="E199" i="5083"/>
  <c r="E200" i="5083"/>
  <c r="E201" i="5083"/>
  <c r="E202" i="5083"/>
  <c r="E203" i="5083"/>
  <c r="E204" i="5083"/>
  <c r="E205" i="5083"/>
  <c r="E206" i="5083"/>
  <c r="E207" i="5083"/>
  <c r="E208" i="5083"/>
  <c r="E209" i="5083"/>
  <c r="E210" i="5083"/>
  <c r="E211" i="5083"/>
  <c r="E212" i="5083"/>
  <c r="E213" i="5083"/>
  <c r="E214" i="5083"/>
  <c r="E215" i="5083"/>
  <c r="E216" i="5083"/>
  <c r="E217" i="5083"/>
  <c r="E218" i="5083"/>
  <c r="E219" i="5083"/>
  <c r="E220" i="5083"/>
  <c r="E221" i="5083"/>
  <c r="E222" i="5083"/>
  <c r="E223" i="5083"/>
  <c r="E224" i="5083"/>
  <c r="E225" i="5083"/>
  <c r="E226" i="5083"/>
  <c r="E227" i="5083"/>
  <c r="E228" i="5083"/>
  <c r="E229" i="5083"/>
  <c r="E230" i="5083"/>
  <c r="E231" i="5083"/>
  <c r="E232" i="5083"/>
  <c r="E233" i="5083"/>
  <c r="E234" i="5083"/>
  <c r="E235" i="5083"/>
  <c r="E236" i="5083"/>
  <c r="E237" i="5083"/>
  <c r="E238" i="5083"/>
  <c r="E239" i="5083"/>
  <c r="E240" i="5083"/>
  <c r="E241" i="5083"/>
  <c r="E242" i="5083"/>
  <c r="E243" i="5083"/>
  <c r="E244" i="5083"/>
  <c r="E245" i="5083"/>
  <c r="E246" i="5083"/>
  <c r="E247" i="5083"/>
  <c r="E248" i="5083"/>
  <c r="E249" i="5083"/>
  <c r="E250" i="5083"/>
  <c r="E251" i="5083"/>
  <c r="E252" i="5083"/>
  <c r="E253" i="5083"/>
  <c r="E254" i="5083"/>
  <c r="E255" i="5083"/>
  <c r="E256" i="5083"/>
  <c r="E257" i="5083"/>
  <c r="E258" i="5083"/>
  <c r="E259" i="5083"/>
  <c r="E260" i="5083"/>
  <c r="E261" i="5083"/>
  <c r="E262" i="5083"/>
  <c r="E263" i="5083"/>
  <c r="E264" i="5083"/>
  <c r="E265" i="5083"/>
  <c r="E266" i="5083"/>
  <c r="E267" i="5083"/>
  <c r="E268" i="5083"/>
  <c r="E269" i="5083"/>
  <c r="E270" i="5083"/>
  <c r="E271" i="5083"/>
  <c r="E272" i="5083"/>
  <c r="E273" i="5083"/>
  <c r="E274" i="5083"/>
  <c r="E275" i="5083"/>
  <c r="E276" i="5083"/>
  <c r="E277" i="5083"/>
  <c r="E278" i="5083"/>
  <c r="E279" i="5083"/>
  <c r="E280" i="5083"/>
  <c r="E281" i="5083"/>
  <c r="E282" i="5083"/>
  <c r="E283" i="5083"/>
  <c r="E284" i="5083"/>
  <c r="E285" i="5083"/>
  <c r="E286" i="5083"/>
  <c r="E287" i="5083"/>
  <c r="E288" i="5083"/>
  <c r="E289" i="5083"/>
  <c r="E290" i="5083"/>
  <c r="E291" i="5083"/>
  <c r="E292" i="5083"/>
  <c r="E293" i="5083"/>
  <c r="E294" i="5083"/>
  <c r="E295" i="5083"/>
  <c r="E296" i="5083"/>
  <c r="E297" i="5083"/>
  <c r="E298" i="5083"/>
  <c r="E299" i="5083"/>
  <c r="E300" i="5083"/>
  <c r="E301" i="5083"/>
  <c r="E302" i="5083"/>
  <c r="E303" i="5083"/>
  <c r="E304" i="5083"/>
  <c r="E305" i="5083"/>
  <c r="E306" i="5083"/>
  <c r="E307" i="5083"/>
  <c r="E308" i="5083"/>
  <c r="E309" i="5083"/>
  <c r="E310" i="5083"/>
  <c r="E311" i="5083"/>
  <c r="E312" i="5083"/>
  <c r="E313" i="5083"/>
  <c r="E314" i="5083"/>
  <c r="E315" i="5083"/>
  <c r="E316" i="5083"/>
  <c r="E317" i="5083"/>
  <c r="E318" i="5083"/>
  <c r="E319" i="5083"/>
  <c r="E320" i="5083"/>
  <c r="E321" i="5083"/>
  <c r="E322" i="5083"/>
  <c r="E323" i="5083"/>
  <c r="E324" i="5083"/>
  <c r="E325" i="5083"/>
  <c r="E326" i="5083"/>
  <c r="E327" i="5083"/>
  <c r="E328" i="5083"/>
  <c r="E329" i="5083"/>
  <c r="E330" i="5083"/>
  <c r="E331" i="5083"/>
  <c r="E332" i="5083"/>
  <c r="E333" i="5083"/>
  <c r="E334" i="5083"/>
  <c r="E335" i="5083"/>
  <c r="E336" i="5083"/>
  <c r="E337" i="5083"/>
  <c r="E338" i="5083"/>
  <c r="E339" i="5083"/>
  <c r="E340" i="5083"/>
  <c r="E341" i="5083"/>
  <c r="E342" i="5083"/>
  <c r="E343" i="5083"/>
  <c r="E344" i="5083"/>
  <c r="E345" i="5083"/>
  <c r="E346" i="5083"/>
  <c r="E347" i="5083"/>
  <c r="E348" i="5083"/>
  <c r="E349" i="5083"/>
  <c r="E350" i="5083"/>
  <c r="E351" i="5083"/>
  <c r="E352" i="5083"/>
  <c r="E353" i="5083"/>
  <c r="E354" i="5083"/>
  <c r="E355" i="5083"/>
  <c r="E356" i="5083"/>
  <c r="E357" i="5083"/>
  <c r="E358" i="5083"/>
  <c r="E359" i="5083"/>
  <c r="E360" i="5083"/>
  <c r="E361" i="5083"/>
  <c r="E362" i="5083"/>
  <c r="E363" i="5083"/>
  <c r="E364" i="5083"/>
  <c r="E365" i="5083"/>
  <c r="E366" i="5083"/>
  <c r="E367" i="5083"/>
  <c r="E368" i="5083"/>
  <c r="E369" i="5083"/>
  <c r="E370" i="5083"/>
  <c r="E371" i="5083"/>
  <c r="E372" i="5083"/>
  <c r="E373" i="5083"/>
  <c r="E374" i="5083"/>
  <c r="E375" i="5083"/>
  <c r="E376" i="5083"/>
  <c r="E377" i="5083"/>
  <c r="E378" i="5083"/>
  <c r="E379" i="5083"/>
  <c r="E380" i="5083"/>
  <c r="E381" i="5083"/>
  <c r="E382" i="5083"/>
  <c r="E383" i="5083"/>
  <c r="E384" i="5083"/>
  <c r="E385" i="5083"/>
  <c r="E386" i="5083"/>
  <c r="E387" i="5083"/>
  <c r="E388" i="5083"/>
  <c r="E389" i="5083"/>
  <c r="E390" i="5083"/>
  <c r="E391" i="5083"/>
  <c r="E392" i="5083"/>
  <c r="E393" i="5083"/>
  <c r="E394" i="5083"/>
  <c r="E395" i="5083"/>
  <c r="E396" i="5083"/>
  <c r="E397" i="5083"/>
  <c r="E398" i="5083"/>
  <c r="E399" i="5083"/>
  <c r="E400" i="5083"/>
  <c r="E401" i="5083"/>
  <c r="E402" i="5083"/>
  <c r="E403" i="5083"/>
  <c r="E404" i="5083"/>
  <c r="E405" i="5083"/>
  <c r="E406" i="5083"/>
  <c r="E407" i="5083"/>
  <c r="E408" i="5083"/>
  <c r="E409" i="5083"/>
  <c r="E410" i="5083"/>
  <c r="E411" i="5083"/>
  <c r="E412" i="5083"/>
  <c r="E413" i="5083"/>
  <c r="E414" i="5083"/>
  <c r="E415" i="5083"/>
  <c r="E416" i="5083"/>
  <c r="E417" i="5083"/>
  <c r="E418" i="5083"/>
  <c r="E419" i="5083"/>
  <c r="E420" i="5083"/>
  <c r="E421" i="5083"/>
  <c r="E422" i="5083"/>
  <c r="E423" i="5083"/>
  <c r="E424" i="5083"/>
  <c r="E425" i="5083"/>
  <c r="E426" i="5083"/>
  <c r="E427" i="5083"/>
  <c r="E428" i="5083"/>
  <c r="E429" i="5083"/>
  <c r="E430" i="5083"/>
  <c r="E431" i="5083"/>
  <c r="E432" i="5083"/>
  <c r="E433" i="5083"/>
  <c r="E434" i="5083"/>
  <c r="E435" i="5083"/>
  <c r="E436" i="5083"/>
  <c r="E437" i="5083"/>
  <c r="E438" i="5083"/>
  <c r="E439" i="5083"/>
  <c r="E440" i="5083"/>
  <c r="E441" i="5083"/>
  <c r="E442" i="5083"/>
  <c r="E443" i="5083"/>
  <c r="E444" i="5083"/>
  <c r="E445" i="5083"/>
  <c r="E446" i="5083"/>
  <c r="E447" i="5083"/>
  <c r="E448" i="5083"/>
  <c r="E449" i="5083"/>
  <c r="E450" i="5083"/>
  <c r="E451" i="5083"/>
  <c r="E452" i="5083"/>
  <c r="E453" i="5083"/>
  <c r="E454" i="5083"/>
  <c r="E455" i="5083"/>
  <c r="E456" i="5083"/>
  <c r="E457" i="5083"/>
  <c r="E458" i="5083"/>
  <c r="E459" i="5083"/>
  <c r="E460" i="5083"/>
  <c r="E461" i="5083"/>
  <c r="E462" i="5083"/>
  <c r="E463" i="5083"/>
  <c r="E464" i="5083"/>
  <c r="E465" i="5083"/>
  <c r="E466" i="5083"/>
  <c r="E467" i="5083"/>
  <c r="E468" i="5083"/>
  <c r="E469" i="5083"/>
  <c r="E470" i="5083"/>
  <c r="E471" i="5083"/>
  <c r="E472" i="5083"/>
  <c r="E473" i="5083"/>
  <c r="E474" i="5083"/>
  <c r="E475" i="5083"/>
  <c r="E476" i="5083"/>
  <c r="E477" i="5083"/>
  <c r="E478" i="5083"/>
  <c r="E479" i="5083"/>
  <c r="E480" i="5083"/>
  <c r="E481" i="5083"/>
  <c r="E482" i="5083"/>
  <c r="E483" i="5083"/>
  <c r="E484" i="5083"/>
  <c r="E485" i="5083"/>
  <c r="E486" i="5083"/>
  <c r="E487" i="5083"/>
  <c r="E488" i="5083"/>
  <c r="E489" i="5083"/>
  <c r="E490" i="5083"/>
  <c r="E491" i="5083"/>
  <c r="E492" i="5083"/>
  <c r="E493" i="5083"/>
  <c r="E494" i="5083"/>
  <c r="E495" i="5083"/>
  <c r="E496" i="5083"/>
  <c r="E497" i="5083"/>
  <c r="E498" i="5083"/>
  <c r="E499" i="5083"/>
  <c r="E500" i="5083"/>
  <c r="E501" i="5083"/>
  <c r="E502" i="5083"/>
  <c r="E503" i="5083"/>
  <c r="E504" i="5083"/>
  <c r="E505" i="5083"/>
  <c r="E2" i="5082"/>
  <c r="E3" i="5082"/>
  <c r="E4" i="5082"/>
  <c r="E5" i="5082"/>
  <c r="E6" i="5082"/>
  <c r="E7" i="5082"/>
  <c r="E8" i="5082"/>
  <c r="E9" i="5082"/>
  <c r="E10" i="5082"/>
  <c r="E11" i="5082"/>
  <c r="E12" i="5082"/>
  <c r="E13" i="5082"/>
  <c r="E14" i="5082"/>
  <c r="E15" i="5082"/>
  <c r="E16" i="5082"/>
  <c r="E17" i="5082"/>
  <c r="E18" i="5082"/>
  <c r="E19" i="5082"/>
  <c r="E20" i="5082"/>
  <c r="E21" i="5082"/>
  <c r="E22" i="5082"/>
  <c r="E23" i="5082"/>
  <c r="E24" i="5082"/>
  <c r="E25" i="5082"/>
  <c r="E26" i="5082"/>
  <c r="E27" i="5082"/>
  <c r="E28" i="5082"/>
  <c r="E29" i="5082"/>
  <c r="E30" i="5082"/>
  <c r="E31" i="5082"/>
  <c r="E32" i="5082"/>
  <c r="E33" i="5082"/>
  <c r="E34" i="5082"/>
  <c r="E35" i="5082"/>
  <c r="E36" i="5082"/>
  <c r="E37" i="5082"/>
  <c r="E38" i="5082"/>
  <c r="E39" i="5082"/>
  <c r="E40" i="5082"/>
  <c r="E41" i="5082"/>
  <c r="E42" i="5082"/>
  <c r="E43" i="5082"/>
  <c r="E44" i="5082"/>
  <c r="E45" i="5082"/>
  <c r="E46" i="5082"/>
  <c r="E47" i="5082"/>
  <c r="E48" i="5082"/>
  <c r="E49" i="5082"/>
  <c r="E50" i="5082"/>
  <c r="E51" i="5082"/>
  <c r="E52" i="5082"/>
  <c r="E53" i="5082"/>
  <c r="E54" i="5082"/>
  <c r="E55" i="5082"/>
  <c r="E56" i="5082"/>
  <c r="E57" i="5082"/>
  <c r="E58" i="5082"/>
  <c r="E59" i="5082"/>
  <c r="E60" i="5082"/>
  <c r="E61" i="5082"/>
  <c r="E62" i="5082"/>
  <c r="E63" i="5082"/>
  <c r="E64" i="5082"/>
  <c r="E65" i="5082"/>
  <c r="E66" i="5082"/>
  <c r="E67" i="5082"/>
  <c r="E68" i="5082"/>
  <c r="E69" i="5082"/>
  <c r="E70" i="5082"/>
  <c r="E71" i="5082"/>
  <c r="E72" i="5082"/>
  <c r="E73" i="5082"/>
  <c r="E74" i="5082"/>
  <c r="E75" i="5082"/>
  <c r="E76" i="5082"/>
  <c r="E77" i="5082"/>
  <c r="E78" i="5082"/>
  <c r="E79" i="5082"/>
  <c r="E80" i="5082"/>
  <c r="E81" i="5082"/>
  <c r="E82" i="5082"/>
  <c r="E83" i="5082"/>
  <c r="E84" i="5082"/>
  <c r="E85" i="5082"/>
  <c r="E86" i="5082"/>
  <c r="E87" i="5082"/>
  <c r="E88" i="5082"/>
  <c r="E89" i="5082"/>
  <c r="E90" i="5082"/>
  <c r="E91" i="5082"/>
  <c r="E92" i="5082"/>
  <c r="E93" i="5082"/>
  <c r="E94" i="5082"/>
  <c r="E95" i="5082"/>
  <c r="E96" i="5082"/>
  <c r="E97" i="5082"/>
  <c r="E98" i="5082"/>
  <c r="E99" i="5082"/>
  <c r="E100" i="5082"/>
  <c r="E101" i="5082"/>
  <c r="E102" i="5082"/>
  <c r="E103" i="5082"/>
  <c r="E104" i="5082"/>
  <c r="E105" i="5082"/>
  <c r="E106" i="5082"/>
  <c r="E107" i="5082"/>
  <c r="E108" i="5082"/>
  <c r="E109" i="5082"/>
  <c r="E110" i="5082"/>
  <c r="E111" i="5082"/>
  <c r="E112" i="5082"/>
  <c r="E113" i="5082"/>
  <c r="E114" i="5082"/>
  <c r="E115" i="5082"/>
  <c r="E116" i="5082"/>
  <c r="E117" i="5082"/>
  <c r="E118" i="5082"/>
  <c r="E119" i="5082"/>
  <c r="E120" i="5082"/>
  <c r="E121" i="5082"/>
  <c r="E122" i="5082"/>
  <c r="E123" i="5082"/>
  <c r="E124" i="5082"/>
  <c r="E125" i="5082"/>
  <c r="E126" i="5082"/>
  <c r="E127" i="5082"/>
  <c r="E128" i="5082"/>
  <c r="E129" i="5082"/>
  <c r="E130" i="5082"/>
  <c r="E131" i="5082"/>
  <c r="E132" i="5082"/>
  <c r="E133" i="5082"/>
  <c r="E134" i="5082"/>
  <c r="E135" i="5082"/>
  <c r="E136" i="5082"/>
  <c r="E137" i="5082"/>
  <c r="E138" i="5082"/>
  <c r="E139" i="5082"/>
  <c r="E140" i="5082"/>
  <c r="E141" i="5082"/>
  <c r="E142" i="5082"/>
  <c r="E143" i="5082"/>
  <c r="E144" i="5082"/>
  <c r="E145" i="5082"/>
  <c r="E146" i="5082"/>
  <c r="E147" i="5082"/>
  <c r="E148" i="5082"/>
  <c r="E149" i="5082"/>
  <c r="E150" i="5082"/>
  <c r="E151" i="5082"/>
  <c r="E152" i="5082"/>
  <c r="E153" i="5082"/>
  <c r="E154" i="5082"/>
  <c r="E155" i="5082"/>
  <c r="E156" i="5082"/>
  <c r="E157" i="5082"/>
  <c r="E158" i="5082"/>
  <c r="E159" i="5082"/>
  <c r="E160" i="5082"/>
  <c r="E161" i="5082"/>
  <c r="E162" i="5082"/>
  <c r="E163" i="5082"/>
  <c r="E164" i="5082"/>
  <c r="E165" i="5082"/>
  <c r="E166" i="5082"/>
  <c r="E167" i="5082"/>
  <c r="E168" i="5082"/>
  <c r="E169" i="5082"/>
  <c r="E170" i="5082"/>
  <c r="E171" i="5082"/>
  <c r="E172" i="5082"/>
  <c r="E173" i="5082"/>
  <c r="E174" i="5082"/>
  <c r="E175" i="5082"/>
  <c r="E176" i="5082"/>
  <c r="E177" i="5082"/>
  <c r="E178" i="5082"/>
  <c r="E179" i="5082"/>
  <c r="E180" i="5082"/>
  <c r="E181" i="5082"/>
  <c r="E182" i="5082"/>
  <c r="E183" i="5082"/>
  <c r="E184" i="5082"/>
  <c r="E185" i="5082"/>
  <c r="E186" i="5082"/>
  <c r="E187" i="5082"/>
  <c r="E188" i="5082"/>
  <c r="E189" i="5082"/>
  <c r="E190" i="5082"/>
  <c r="E191" i="5082"/>
  <c r="E192" i="5082"/>
  <c r="E193" i="5082"/>
  <c r="E194" i="5082"/>
  <c r="E195" i="5082"/>
  <c r="E196" i="5082"/>
  <c r="E197" i="5082"/>
  <c r="E198" i="5082"/>
  <c r="E199" i="5082"/>
  <c r="E200" i="5082"/>
  <c r="E201" i="5082"/>
  <c r="E202" i="5082"/>
  <c r="E203" i="5082"/>
  <c r="E204" i="5082"/>
  <c r="E205" i="5082"/>
  <c r="E206" i="5082"/>
  <c r="E207" i="5082"/>
  <c r="E208" i="5082"/>
  <c r="E209" i="5082"/>
  <c r="E210" i="5082"/>
  <c r="E211" i="5082"/>
  <c r="E212" i="5082"/>
  <c r="E213" i="5082"/>
  <c r="E214" i="5082"/>
  <c r="E215" i="5082"/>
  <c r="E216" i="5082"/>
  <c r="E217" i="5082"/>
  <c r="E218" i="5082"/>
  <c r="E219" i="5082"/>
  <c r="E220" i="5082"/>
  <c r="E221" i="5082"/>
  <c r="E222" i="5082"/>
  <c r="E223" i="5082"/>
  <c r="E224" i="5082"/>
  <c r="E225" i="5082"/>
  <c r="E226" i="5082"/>
  <c r="E227" i="5082"/>
  <c r="E228" i="5082"/>
  <c r="E229" i="5082"/>
  <c r="E230" i="5082"/>
  <c r="E231" i="5082"/>
  <c r="E232" i="5082"/>
  <c r="E233" i="5082"/>
  <c r="E234" i="5082"/>
  <c r="E235" i="5082"/>
  <c r="E236" i="5082"/>
  <c r="E237" i="5082"/>
  <c r="E238" i="5082"/>
  <c r="E239" i="5082"/>
  <c r="E240" i="5082"/>
  <c r="E241" i="5082"/>
  <c r="E242" i="5082"/>
  <c r="E243" i="5082"/>
  <c r="E244" i="5082"/>
  <c r="E245" i="5082"/>
  <c r="E246" i="5082"/>
  <c r="E247" i="5082"/>
  <c r="E248" i="5082"/>
  <c r="E249" i="5082"/>
  <c r="E250" i="5082"/>
  <c r="E251" i="5082"/>
  <c r="E252" i="5082"/>
  <c r="E253" i="5082"/>
  <c r="E254" i="5082"/>
  <c r="E255" i="5082"/>
  <c r="E256" i="5082"/>
  <c r="E257" i="5082"/>
  <c r="E258" i="5082"/>
  <c r="E259" i="5082"/>
  <c r="E260" i="5082"/>
  <c r="E261" i="5082"/>
  <c r="E262" i="5082"/>
  <c r="E263" i="5082"/>
  <c r="E264" i="5082"/>
  <c r="E265" i="5082"/>
  <c r="E266" i="5082"/>
  <c r="E267" i="5082"/>
  <c r="E268" i="5082"/>
  <c r="E269" i="5082"/>
  <c r="E270" i="5082"/>
  <c r="E271" i="5082"/>
  <c r="E272" i="5082"/>
  <c r="E273" i="5082"/>
  <c r="E274" i="5082"/>
  <c r="E275" i="5082"/>
  <c r="E276" i="5082"/>
  <c r="E277" i="5082"/>
  <c r="E278" i="5082"/>
  <c r="E279" i="5082"/>
  <c r="E280" i="5082"/>
  <c r="E281" i="5082"/>
  <c r="E282" i="5082"/>
  <c r="E283" i="5082"/>
  <c r="E284" i="5082"/>
  <c r="E285" i="5082"/>
  <c r="E286" i="5082"/>
  <c r="E287" i="5082"/>
  <c r="E288" i="5082"/>
  <c r="E289" i="5082"/>
  <c r="E290" i="5082"/>
  <c r="E291" i="5082"/>
  <c r="E292" i="5082"/>
  <c r="E293" i="5082"/>
  <c r="E294" i="5082"/>
  <c r="E295" i="5082"/>
  <c r="E296" i="5082"/>
  <c r="E297" i="5082"/>
  <c r="E298" i="5082"/>
  <c r="E299" i="5082"/>
  <c r="E300" i="5082"/>
  <c r="E301" i="5082"/>
  <c r="E302" i="5082"/>
  <c r="E303" i="5082"/>
  <c r="E304" i="5082"/>
  <c r="E305" i="5082"/>
  <c r="E306" i="5082"/>
  <c r="E307" i="5082"/>
  <c r="E308" i="5082"/>
  <c r="E309" i="5082"/>
  <c r="E310" i="5082"/>
  <c r="E311" i="5082"/>
  <c r="E312" i="5082"/>
  <c r="E313" i="5082"/>
  <c r="E314" i="5082"/>
  <c r="E315" i="5082"/>
  <c r="E316" i="5082"/>
  <c r="E317" i="5082"/>
  <c r="E318" i="5082"/>
  <c r="E319" i="5082"/>
  <c r="E320" i="5082"/>
  <c r="E321" i="5082"/>
  <c r="E322" i="5082"/>
  <c r="E323" i="5082"/>
  <c r="E324" i="5082"/>
  <c r="E325" i="5082"/>
  <c r="E326" i="5082"/>
  <c r="E327" i="5082"/>
  <c r="E328" i="5082"/>
  <c r="E329" i="5082"/>
  <c r="E330" i="5082"/>
  <c r="E331" i="5082"/>
  <c r="E332" i="5082"/>
  <c r="E333" i="5082"/>
  <c r="E334" i="5082"/>
  <c r="E335" i="5082"/>
  <c r="E336" i="5082"/>
  <c r="E337" i="5082"/>
  <c r="E338" i="5082"/>
  <c r="E339" i="5082"/>
  <c r="E340" i="5082"/>
  <c r="E341" i="5082"/>
  <c r="E342" i="5082"/>
  <c r="E343" i="5082"/>
  <c r="E344" i="5082"/>
  <c r="E345" i="5082"/>
  <c r="E346" i="5082"/>
  <c r="E347" i="5082"/>
  <c r="E348" i="5082"/>
  <c r="E349" i="5082"/>
  <c r="E350" i="5082"/>
  <c r="E351" i="5082"/>
  <c r="E352" i="5082"/>
  <c r="E353" i="5082"/>
  <c r="E354" i="5082"/>
  <c r="E355" i="5082"/>
  <c r="E356" i="5082"/>
  <c r="E357" i="5082"/>
  <c r="E358" i="5082"/>
  <c r="E359" i="5082"/>
  <c r="E360" i="5082"/>
  <c r="E361" i="5082"/>
  <c r="E362" i="5082"/>
  <c r="E363" i="5082"/>
  <c r="E364" i="5082"/>
  <c r="E365" i="5082"/>
  <c r="E366" i="5082"/>
  <c r="E367" i="5082"/>
  <c r="E368" i="5082"/>
  <c r="E369" i="5082"/>
  <c r="E370" i="5082"/>
  <c r="E371" i="5082"/>
  <c r="E372" i="5082"/>
  <c r="E373" i="5082"/>
  <c r="E374" i="5082"/>
  <c r="E375" i="5082"/>
  <c r="E376" i="5082"/>
  <c r="E377" i="5082"/>
  <c r="E378" i="5082"/>
  <c r="E379" i="5082"/>
  <c r="E380" i="5082"/>
  <c r="E381" i="5082"/>
  <c r="E382" i="5082"/>
  <c r="E383" i="5082"/>
  <c r="E384" i="5082"/>
  <c r="E385" i="5082"/>
  <c r="E386" i="5082"/>
  <c r="E387" i="5082"/>
  <c r="E388" i="5082"/>
  <c r="E389" i="5082"/>
  <c r="E390" i="5082"/>
  <c r="E391" i="5082"/>
  <c r="E392" i="5082"/>
  <c r="E393" i="5082"/>
  <c r="E394" i="5082"/>
  <c r="E395" i="5082"/>
  <c r="E396" i="5082"/>
  <c r="E397" i="5082"/>
  <c r="E398" i="5082"/>
  <c r="E399" i="5082"/>
  <c r="E400" i="5082"/>
  <c r="E401" i="5082"/>
  <c r="E402" i="5082"/>
  <c r="E403" i="5082"/>
  <c r="E404" i="5082"/>
  <c r="E405" i="5082"/>
  <c r="E406" i="5082"/>
  <c r="E407" i="5082"/>
  <c r="E408" i="5082"/>
  <c r="E409" i="5082"/>
  <c r="E410" i="5082"/>
  <c r="E411" i="5082"/>
  <c r="E412" i="5082"/>
  <c r="E413" i="5082"/>
  <c r="E414" i="5082"/>
  <c r="E415" i="5082"/>
  <c r="E416" i="5082"/>
  <c r="E417" i="5082"/>
  <c r="E418" i="5082"/>
  <c r="E419" i="5082"/>
  <c r="E420" i="5082"/>
  <c r="E421" i="5082"/>
  <c r="E422" i="5082"/>
  <c r="E423" i="5082"/>
  <c r="E424" i="5082"/>
  <c r="E425" i="5082"/>
  <c r="E426" i="5082"/>
  <c r="E427" i="5082"/>
  <c r="E428" i="5082"/>
  <c r="E429" i="5082"/>
  <c r="E430" i="5082"/>
  <c r="E431" i="5082"/>
  <c r="E432" i="5082"/>
  <c r="E433" i="5082"/>
  <c r="E434" i="5082"/>
  <c r="E435" i="5082"/>
  <c r="E436" i="5082"/>
  <c r="E437" i="5082"/>
  <c r="E438" i="5082"/>
  <c r="E439" i="5082"/>
  <c r="E440" i="5082"/>
  <c r="E441" i="5082"/>
  <c r="E442" i="5082"/>
  <c r="E443" i="5082"/>
  <c r="E444" i="5082"/>
  <c r="E445" i="5082"/>
  <c r="E446" i="5082"/>
  <c r="E447" i="5082"/>
  <c r="E448" i="5082"/>
  <c r="E449" i="5082"/>
  <c r="E450" i="5082"/>
  <c r="E451" i="5082"/>
  <c r="E452" i="5082"/>
  <c r="E453" i="5082"/>
  <c r="E454" i="5082"/>
  <c r="E455" i="5082"/>
  <c r="E456" i="5082"/>
  <c r="E457" i="5082"/>
  <c r="E458" i="5082"/>
  <c r="E459" i="5082"/>
  <c r="E460" i="5082"/>
  <c r="E461" i="5082"/>
  <c r="E462" i="5082"/>
  <c r="E463" i="5082"/>
  <c r="E464" i="5082"/>
  <c r="E465" i="5082"/>
  <c r="E466" i="5082"/>
  <c r="E467" i="5082"/>
  <c r="E468" i="5082"/>
  <c r="E469" i="5082"/>
  <c r="E470" i="5082"/>
  <c r="E471" i="5082"/>
  <c r="E472" i="5082"/>
  <c r="E473" i="5082"/>
  <c r="E474" i="5082"/>
  <c r="E475" i="5082"/>
  <c r="E476" i="5082"/>
  <c r="E477" i="5082"/>
  <c r="E478" i="5082"/>
  <c r="E479" i="5082"/>
  <c r="E480" i="5082"/>
  <c r="E481" i="5082"/>
  <c r="E482" i="5082"/>
  <c r="E483" i="5082"/>
  <c r="E484" i="5082"/>
  <c r="E485" i="5082"/>
  <c r="E486" i="5082"/>
  <c r="E487" i="5082"/>
  <c r="E488" i="5082"/>
  <c r="E489" i="5082"/>
  <c r="E490" i="5082"/>
  <c r="E491" i="5082"/>
  <c r="E492" i="5082"/>
  <c r="E493" i="5082"/>
  <c r="E494" i="5082"/>
  <c r="E495" i="5082"/>
  <c r="E496" i="5082"/>
  <c r="E497" i="5082"/>
  <c r="E498" i="5082"/>
  <c r="E499" i="5082"/>
  <c r="E500" i="5082"/>
  <c r="E501" i="5082"/>
  <c r="E502" i="5082"/>
  <c r="E503" i="5082"/>
  <c r="E504" i="5082"/>
  <c r="E505" i="5082"/>
  <c r="E2" i="5081"/>
  <c r="E3" i="5081"/>
  <c r="E4" i="5081"/>
  <c r="E5" i="5081"/>
  <c r="E6" i="5081"/>
  <c r="E7" i="5081"/>
  <c r="E8" i="5081"/>
  <c r="E9" i="5081"/>
  <c r="E10" i="5081"/>
  <c r="E11" i="5081"/>
  <c r="E12" i="5081"/>
  <c r="E13" i="5081"/>
  <c r="E14" i="5081"/>
  <c r="E15" i="5081"/>
  <c r="E16" i="5081"/>
  <c r="E17" i="5081"/>
  <c r="E18" i="5081"/>
  <c r="E19" i="5081"/>
  <c r="E20" i="5081"/>
  <c r="E21" i="5081"/>
  <c r="E22" i="5081"/>
  <c r="E23" i="5081"/>
  <c r="E24" i="5081"/>
  <c r="E25" i="5081"/>
  <c r="E26" i="5081"/>
  <c r="E27" i="5081"/>
  <c r="E28" i="5081"/>
  <c r="E29" i="5081"/>
  <c r="E30" i="5081"/>
  <c r="E31" i="5081"/>
  <c r="E32" i="5081"/>
  <c r="E33" i="5081"/>
  <c r="E34" i="5081"/>
  <c r="E35" i="5081"/>
  <c r="E36" i="5081"/>
  <c r="E37" i="5081"/>
  <c r="E38" i="5081"/>
  <c r="E39" i="5081"/>
  <c r="E40" i="5081"/>
  <c r="E41" i="5081"/>
  <c r="E42" i="5081"/>
  <c r="E43" i="5081"/>
  <c r="E44" i="5081"/>
  <c r="E45" i="5081"/>
  <c r="E46" i="5081"/>
  <c r="E47" i="5081"/>
  <c r="E48" i="5081"/>
  <c r="E49" i="5081"/>
  <c r="E50" i="5081"/>
  <c r="E51" i="5081"/>
  <c r="E52" i="5081"/>
  <c r="E53" i="5081"/>
  <c r="E54" i="5081"/>
  <c r="E55" i="5081"/>
  <c r="E56" i="5081"/>
  <c r="E57" i="5081"/>
  <c r="E58" i="5081"/>
  <c r="E59" i="5081"/>
  <c r="E60" i="5081"/>
  <c r="E61" i="5081"/>
  <c r="E62" i="5081"/>
  <c r="E63" i="5081"/>
  <c r="E64" i="5081"/>
  <c r="E65" i="5081"/>
  <c r="E66" i="5081"/>
  <c r="E67" i="5081"/>
  <c r="E68" i="5081"/>
  <c r="E69" i="5081"/>
  <c r="E70" i="5081"/>
  <c r="E71" i="5081"/>
  <c r="E72" i="5081"/>
  <c r="E73" i="5081"/>
  <c r="E74" i="5081"/>
  <c r="E75" i="5081"/>
  <c r="E76" i="5081"/>
  <c r="E77" i="5081"/>
  <c r="E78" i="5081"/>
  <c r="E79" i="5081"/>
  <c r="E80" i="5081"/>
  <c r="E81" i="5081"/>
  <c r="E82" i="5081"/>
  <c r="E83" i="5081"/>
  <c r="E84" i="5081"/>
  <c r="E85" i="5081"/>
  <c r="E86" i="5081"/>
  <c r="E87" i="5081"/>
  <c r="E88" i="5081"/>
  <c r="E89" i="5081"/>
  <c r="E90" i="5081"/>
  <c r="E91" i="5081"/>
  <c r="E92" i="5081"/>
  <c r="E93" i="5081"/>
  <c r="E94" i="5081"/>
  <c r="E95" i="5081"/>
  <c r="E96" i="5081"/>
  <c r="E97" i="5081"/>
  <c r="E98" i="5081"/>
  <c r="E99" i="5081"/>
  <c r="E100" i="5081"/>
  <c r="E101" i="5081"/>
  <c r="E102" i="5081"/>
  <c r="E103" i="5081"/>
  <c r="E104" i="5081"/>
  <c r="E105" i="5081"/>
  <c r="E106" i="5081"/>
  <c r="E107" i="5081"/>
  <c r="E108" i="5081"/>
  <c r="E109" i="5081"/>
  <c r="E110" i="5081"/>
  <c r="E111" i="5081"/>
  <c r="E112" i="5081"/>
  <c r="E113" i="5081"/>
  <c r="E114" i="5081"/>
  <c r="E115" i="5081"/>
  <c r="E116" i="5081"/>
  <c r="E117" i="5081"/>
  <c r="E118" i="5081"/>
  <c r="E119" i="5081"/>
  <c r="E120" i="5081"/>
  <c r="E121" i="5081"/>
  <c r="E122" i="5081"/>
  <c r="E123" i="5081"/>
  <c r="E124" i="5081"/>
  <c r="E125" i="5081"/>
  <c r="E126" i="5081"/>
  <c r="E127" i="5081"/>
  <c r="E128" i="5081"/>
  <c r="E129" i="5081"/>
  <c r="E130" i="5081"/>
  <c r="E131" i="5081"/>
  <c r="E132" i="5081"/>
  <c r="E133" i="5081"/>
  <c r="E134" i="5081"/>
  <c r="E135" i="5081"/>
  <c r="E136" i="5081"/>
  <c r="E137" i="5081"/>
  <c r="E138" i="5081"/>
  <c r="E139" i="5081"/>
  <c r="E140" i="5081"/>
  <c r="E141" i="5081"/>
  <c r="E142" i="5081"/>
  <c r="E143" i="5081"/>
  <c r="E144" i="5081"/>
  <c r="E145" i="5081"/>
  <c r="E146" i="5081"/>
  <c r="E147" i="5081"/>
  <c r="E148" i="5081"/>
  <c r="E149" i="5081"/>
  <c r="E150" i="5081"/>
  <c r="E151" i="5081"/>
  <c r="E152" i="5081"/>
  <c r="E153" i="5081"/>
  <c r="E154" i="5081"/>
  <c r="E155" i="5081"/>
  <c r="E156" i="5081"/>
  <c r="E157" i="5081"/>
  <c r="E158" i="5081"/>
  <c r="E159" i="5081"/>
  <c r="E160" i="5081"/>
  <c r="E161" i="5081"/>
  <c r="E162" i="5081"/>
  <c r="E163" i="5081"/>
  <c r="E164" i="5081"/>
  <c r="E165" i="5081"/>
  <c r="E166" i="5081"/>
  <c r="E167" i="5081"/>
  <c r="E168" i="5081"/>
  <c r="E169" i="5081"/>
  <c r="E170" i="5081"/>
  <c r="E171" i="5081"/>
  <c r="E172" i="5081"/>
  <c r="E173" i="5081"/>
  <c r="E174" i="5081"/>
  <c r="E175" i="5081"/>
  <c r="E176" i="5081"/>
  <c r="E177" i="5081"/>
  <c r="E178" i="5081"/>
  <c r="E179" i="5081"/>
  <c r="E180" i="5081"/>
  <c r="E181" i="5081"/>
  <c r="E182" i="5081"/>
  <c r="E183" i="5081"/>
  <c r="E184" i="5081"/>
  <c r="E185" i="5081"/>
  <c r="E186" i="5081"/>
  <c r="E187" i="5081"/>
  <c r="E188" i="5081"/>
  <c r="E189" i="5081"/>
  <c r="E190" i="5081"/>
  <c r="E191" i="5081"/>
  <c r="E192" i="5081"/>
  <c r="E193" i="5081"/>
  <c r="E194" i="5081"/>
  <c r="E195" i="5081"/>
  <c r="E196" i="5081"/>
  <c r="E197" i="5081"/>
  <c r="E198" i="5081"/>
  <c r="E199" i="5081"/>
  <c r="E200" i="5081"/>
  <c r="E201" i="5081"/>
  <c r="E202" i="5081"/>
  <c r="E203" i="5081"/>
  <c r="E204" i="5081"/>
  <c r="E205" i="5081"/>
  <c r="E206" i="5081"/>
  <c r="E207" i="5081"/>
  <c r="E208" i="5081"/>
  <c r="E209" i="5081"/>
  <c r="E210" i="5081"/>
  <c r="E211" i="5081"/>
  <c r="E212" i="5081"/>
  <c r="E213" i="5081"/>
  <c r="E214" i="5081"/>
  <c r="E215" i="5081"/>
  <c r="E216" i="5081"/>
  <c r="E217" i="5081"/>
  <c r="E218" i="5081"/>
  <c r="E219" i="5081"/>
  <c r="E220" i="5081"/>
  <c r="E221" i="5081"/>
  <c r="E222" i="5081"/>
  <c r="E223" i="5081"/>
  <c r="E224" i="5081"/>
  <c r="E225" i="5081"/>
  <c r="E226" i="5081"/>
  <c r="E227" i="5081"/>
  <c r="E228" i="5081"/>
  <c r="E229" i="5081"/>
  <c r="E230" i="5081"/>
  <c r="E231" i="5081"/>
  <c r="E232" i="5081"/>
  <c r="E233" i="5081"/>
  <c r="E234" i="5081"/>
  <c r="E235" i="5081"/>
  <c r="E236" i="5081"/>
  <c r="E237" i="5081"/>
  <c r="E238" i="5081"/>
  <c r="E239" i="5081"/>
  <c r="E240" i="5081"/>
  <c r="E241" i="5081"/>
  <c r="E242" i="5081"/>
  <c r="E243" i="5081"/>
  <c r="E244" i="5081"/>
  <c r="E245" i="5081"/>
  <c r="E246" i="5081"/>
  <c r="E247" i="5081"/>
  <c r="E248" i="5081"/>
  <c r="E249" i="5081"/>
  <c r="E250" i="5081"/>
  <c r="E251" i="5081"/>
  <c r="E252" i="5081"/>
  <c r="E253" i="5081"/>
  <c r="E254" i="5081"/>
  <c r="E255" i="5081"/>
  <c r="E256" i="5081"/>
  <c r="E257" i="5081"/>
  <c r="E258" i="5081"/>
  <c r="E259" i="5081"/>
  <c r="E260" i="5081"/>
  <c r="E261" i="5081"/>
  <c r="E262" i="5081"/>
  <c r="E263" i="5081"/>
  <c r="E264" i="5081"/>
  <c r="E265" i="5081"/>
  <c r="E266" i="5081"/>
  <c r="E267" i="5081"/>
  <c r="E268" i="5081"/>
  <c r="E269" i="5081"/>
  <c r="E270" i="5081"/>
  <c r="E271" i="5081"/>
  <c r="E272" i="5081"/>
  <c r="E273" i="5081"/>
  <c r="E274" i="5081"/>
  <c r="E275" i="5081"/>
  <c r="E276" i="5081"/>
  <c r="E277" i="5081"/>
  <c r="E278" i="5081"/>
  <c r="E279" i="5081"/>
  <c r="E280" i="5081"/>
  <c r="E281" i="5081"/>
  <c r="E282" i="5081"/>
  <c r="E283" i="5081"/>
  <c r="E284" i="5081"/>
  <c r="E285" i="5081"/>
  <c r="E286" i="5081"/>
  <c r="E287" i="5081"/>
  <c r="E288" i="5081"/>
  <c r="E289" i="5081"/>
  <c r="E290" i="5081"/>
  <c r="E291" i="5081"/>
  <c r="E292" i="5081"/>
  <c r="E293" i="5081"/>
  <c r="E294" i="5081"/>
  <c r="E295" i="5081"/>
  <c r="E296" i="5081"/>
  <c r="E297" i="5081"/>
  <c r="E298" i="5081"/>
  <c r="E299" i="5081"/>
  <c r="E300" i="5081"/>
  <c r="E301" i="5081"/>
  <c r="E302" i="5081"/>
  <c r="E303" i="5081"/>
  <c r="E304" i="5081"/>
  <c r="E305" i="5081"/>
  <c r="E306" i="5081"/>
  <c r="E307" i="5081"/>
  <c r="E308" i="5081"/>
  <c r="E309" i="5081"/>
  <c r="E310" i="5081"/>
  <c r="E311" i="5081"/>
  <c r="E312" i="5081"/>
  <c r="E313" i="5081"/>
  <c r="E314" i="5081"/>
  <c r="E315" i="5081"/>
  <c r="E316" i="5081"/>
  <c r="E317" i="5081"/>
  <c r="E318" i="5081"/>
  <c r="E319" i="5081"/>
  <c r="E320" i="5081"/>
  <c r="E321" i="5081"/>
  <c r="E322" i="5081"/>
  <c r="E323" i="5081"/>
  <c r="E324" i="5081"/>
  <c r="E325" i="5081"/>
  <c r="E326" i="5081"/>
  <c r="E327" i="5081"/>
  <c r="E328" i="5081"/>
  <c r="E329" i="5081"/>
  <c r="E330" i="5081"/>
  <c r="E331" i="5081"/>
  <c r="E332" i="5081"/>
  <c r="E333" i="5081"/>
  <c r="E334" i="5081"/>
  <c r="E335" i="5081"/>
  <c r="E336" i="5081"/>
  <c r="E337" i="5081"/>
  <c r="E338" i="5081"/>
  <c r="E339" i="5081"/>
  <c r="E340" i="5081"/>
  <c r="E341" i="5081"/>
  <c r="E342" i="5081"/>
  <c r="E343" i="5081"/>
  <c r="E344" i="5081"/>
  <c r="E345" i="5081"/>
  <c r="E346" i="5081"/>
  <c r="E347" i="5081"/>
  <c r="E348" i="5081"/>
  <c r="E349" i="5081"/>
  <c r="E350" i="5081"/>
  <c r="E351" i="5081"/>
  <c r="E352" i="5081"/>
  <c r="E353" i="5081"/>
  <c r="E354" i="5081"/>
  <c r="E355" i="5081"/>
  <c r="E356" i="5081"/>
  <c r="E357" i="5081"/>
  <c r="E358" i="5081"/>
  <c r="E359" i="5081"/>
  <c r="E360" i="5081"/>
  <c r="E361" i="5081"/>
  <c r="E362" i="5081"/>
  <c r="E363" i="5081"/>
  <c r="E364" i="5081"/>
  <c r="E365" i="5081"/>
  <c r="E366" i="5081"/>
  <c r="E367" i="5081"/>
  <c r="E368" i="5081"/>
  <c r="E369" i="5081"/>
  <c r="E370" i="5081"/>
  <c r="E371" i="5081"/>
  <c r="E372" i="5081"/>
  <c r="E373" i="5081"/>
  <c r="E374" i="5081"/>
  <c r="E375" i="5081"/>
  <c r="E376" i="5081"/>
  <c r="E377" i="5081"/>
  <c r="E378" i="5081"/>
  <c r="E379" i="5081"/>
  <c r="E380" i="5081"/>
  <c r="E381" i="5081"/>
  <c r="E382" i="5081"/>
  <c r="E383" i="5081"/>
  <c r="E384" i="5081"/>
  <c r="E385" i="5081"/>
  <c r="E386" i="5081"/>
  <c r="E387" i="5081"/>
  <c r="E388" i="5081"/>
  <c r="E389" i="5081"/>
  <c r="E390" i="5081"/>
  <c r="E391" i="5081"/>
  <c r="E392" i="5081"/>
  <c r="E393" i="5081"/>
  <c r="E394" i="5081"/>
  <c r="E395" i="5081"/>
  <c r="E396" i="5081"/>
  <c r="E397" i="5081"/>
  <c r="E398" i="5081"/>
  <c r="E399" i="5081"/>
  <c r="E400" i="5081"/>
  <c r="E401" i="5081"/>
  <c r="E402" i="5081"/>
  <c r="E403" i="5081"/>
  <c r="E404" i="5081"/>
  <c r="E405" i="5081"/>
  <c r="E406" i="5081"/>
  <c r="E407" i="5081"/>
  <c r="E408" i="5081"/>
  <c r="E409" i="5081"/>
  <c r="E410" i="5081"/>
  <c r="E411" i="5081"/>
  <c r="E412" i="5081"/>
  <c r="E413" i="5081"/>
  <c r="E414" i="5081"/>
  <c r="E415" i="5081"/>
  <c r="E416" i="5081"/>
  <c r="E417" i="5081"/>
  <c r="E418" i="5081"/>
  <c r="E419" i="5081"/>
  <c r="E420" i="5081"/>
  <c r="E421" i="5081"/>
  <c r="E422" i="5081"/>
  <c r="E423" i="5081"/>
  <c r="E424" i="5081"/>
  <c r="E425" i="5081"/>
  <c r="E426" i="5081"/>
  <c r="E427" i="5081"/>
  <c r="E428" i="5081"/>
  <c r="E429" i="5081"/>
  <c r="E430" i="5081"/>
  <c r="E431" i="5081"/>
  <c r="E432" i="5081"/>
  <c r="E433" i="5081"/>
  <c r="E434" i="5081"/>
  <c r="E435" i="5081"/>
  <c r="E436" i="5081"/>
  <c r="E437" i="5081"/>
  <c r="E438" i="5081"/>
  <c r="E439" i="5081"/>
  <c r="E440" i="5081"/>
  <c r="E441" i="5081"/>
  <c r="E442" i="5081"/>
  <c r="E443" i="5081"/>
  <c r="E444" i="5081"/>
  <c r="E445" i="5081"/>
  <c r="E446" i="5081"/>
  <c r="E447" i="5081"/>
  <c r="E448" i="5081"/>
  <c r="E449" i="5081"/>
  <c r="E450" i="5081"/>
  <c r="E451" i="5081"/>
  <c r="E452" i="5081"/>
  <c r="E453" i="5081"/>
  <c r="E454" i="5081"/>
  <c r="E455" i="5081"/>
  <c r="E456" i="5081"/>
  <c r="E457" i="5081"/>
  <c r="E458" i="5081"/>
  <c r="E459" i="5081"/>
  <c r="E460" i="5081"/>
  <c r="E461" i="5081"/>
  <c r="E462" i="5081"/>
  <c r="E463" i="5081"/>
  <c r="E464" i="5081"/>
  <c r="E465" i="5081"/>
  <c r="E466" i="5081"/>
  <c r="E467" i="5081"/>
  <c r="E468" i="5081"/>
  <c r="E469" i="5081"/>
  <c r="E470" i="5081"/>
  <c r="E471" i="5081"/>
  <c r="E472" i="5081"/>
  <c r="E473" i="5081"/>
  <c r="E474" i="5081"/>
  <c r="E475" i="5081"/>
  <c r="E476" i="5081"/>
  <c r="E477" i="5081"/>
  <c r="E478" i="5081"/>
  <c r="E479" i="5081"/>
  <c r="E480" i="5081"/>
  <c r="E481" i="5081"/>
  <c r="E482" i="5081"/>
  <c r="E483" i="5081"/>
  <c r="E484" i="5081"/>
  <c r="E485" i="5081"/>
  <c r="E486" i="5081"/>
  <c r="E487" i="5081"/>
  <c r="E488" i="5081"/>
  <c r="E489" i="5081"/>
  <c r="E490" i="5081"/>
  <c r="E491" i="5081"/>
  <c r="E492" i="5081"/>
  <c r="E493" i="5081"/>
  <c r="E494" i="5081"/>
  <c r="E495" i="5081"/>
  <c r="E496" i="5081"/>
  <c r="E497" i="5081"/>
  <c r="E498" i="5081"/>
  <c r="E499" i="5081"/>
  <c r="E500" i="5081"/>
  <c r="E501" i="5081"/>
  <c r="E502" i="5081"/>
  <c r="E503" i="5081"/>
  <c r="E504" i="5081"/>
  <c r="E505" i="5081"/>
  <c r="E2" i="5080"/>
  <c r="E3" i="5080"/>
  <c r="E4" i="5080"/>
  <c r="E5" i="5080"/>
  <c r="E6" i="5080"/>
  <c r="E7" i="5080"/>
  <c r="E8" i="5080"/>
  <c r="E9" i="5080"/>
  <c r="E10" i="5080"/>
  <c r="E11" i="5080"/>
  <c r="E12" i="5080"/>
  <c r="E13" i="5080"/>
  <c r="E14" i="5080"/>
  <c r="E15" i="5080"/>
  <c r="E16" i="5080"/>
  <c r="E17" i="5080"/>
  <c r="E18" i="5080"/>
  <c r="E19" i="5080"/>
  <c r="E20" i="5080"/>
  <c r="E21" i="5080"/>
  <c r="E22" i="5080"/>
  <c r="E23" i="5080"/>
  <c r="E24" i="5080"/>
  <c r="E25" i="5080"/>
  <c r="E26" i="5080"/>
  <c r="E27" i="5080"/>
  <c r="E28" i="5080"/>
  <c r="E29" i="5080"/>
  <c r="E30" i="5080"/>
  <c r="E31" i="5080"/>
  <c r="E32" i="5080"/>
  <c r="E33" i="5080"/>
  <c r="E34" i="5080"/>
  <c r="E35" i="5080"/>
  <c r="E36" i="5080"/>
  <c r="E37" i="5080"/>
  <c r="E38" i="5080"/>
  <c r="E39" i="5080"/>
  <c r="E40" i="5080"/>
  <c r="E41" i="5080"/>
  <c r="E42" i="5080"/>
  <c r="E43" i="5080"/>
  <c r="E44" i="5080"/>
  <c r="E45" i="5080"/>
  <c r="E46" i="5080"/>
  <c r="E47" i="5080"/>
  <c r="E48" i="5080"/>
  <c r="E49" i="5080"/>
  <c r="E50" i="5080"/>
  <c r="E51" i="5080"/>
  <c r="E52" i="5080"/>
  <c r="E53" i="5080"/>
  <c r="E54" i="5080"/>
  <c r="E55" i="5080"/>
  <c r="E56" i="5080"/>
  <c r="E57" i="5080"/>
  <c r="E58" i="5080"/>
  <c r="E59" i="5080"/>
  <c r="E60" i="5080"/>
  <c r="E61" i="5080"/>
  <c r="E62" i="5080"/>
  <c r="E63" i="5080"/>
  <c r="E64" i="5080"/>
  <c r="E65" i="5080"/>
  <c r="E66" i="5080"/>
  <c r="E67" i="5080"/>
  <c r="E68" i="5080"/>
  <c r="E69" i="5080"/>
  <c r="E70" i="5080"/>
  <c r="E71" i="5080"/>
  <c r="E72" i="5080"/>
  <c r="E73" i="5080"/>
  <c r="E74" i="5080"/>
  <c r="E75" i="5080"/>
  <c r="E76" i="5080"/>
  <c r="E77" i="5080"/>
  <c r="E78" i="5080"/>
  <c r="E79" i="5080"/>
  <c r="E80" i="5080"/>
  <c r="E81" i="5080"/>
  <c r="E82" i="5080"/>
  <c r="E83" i="5080"/>
  <c r="E84" i="5080"/>
  <c r="E85" i="5080"/>
  <c r="E86" i="5080"/>
  <c r="E87" i="5080"/>
  <c r="E88" i="5080"/>
  <c r="E89" i="5080"/>
  <c r="E90" i="5080"/>
  <c r="E91" i="5080"/>
  <c r="E92" i="5080"/>
  <c r="E93" i="5080"/>
  <c r="E94" i="5080"/>
  <c r="E95" i="5080"/>
  <c r="E96" i="5080"/>
  <c r="E97" i="5080"/>
  <c r="E98" i="5080"/>
  <c r="E99" i="5080"/>
  <c r="E100" i="5080"/>
  <c r="E101" i="5080"/>
  <c r="E102" i="5080"/>
  <c r="E103" i="5080"/>
  <c r="E104" i="5080"/>
  <c r="E105" i="5080"/>
  <c r="E106" i="5080"/>
  <c r="E107" i="5080"/>
  <c r="E108" i="5080"/>
  <c r="E109" i="5080"/>
  <c r="E110" i="5080"/>
  <c r="E111" i="5080"/>
  <c r="E112" i="5080"/>
  <c r="E113" i="5080"/>
  <c r="E114" i="5080"/>
  <c r="E115" i="5080"/>
  <c r="E116" i="5080"/>
  <c r="E117" i="5080"/>
  <c r="E118" i="5080"/>
  <c r="E119" i="5080"/>
  <c r="E120" i="5080"/>
  <c r="E121" i="5080"/>
  <c r="E122" i="5080"/>
  <c r="E123" i="5080"/>
  <c r="E124" i="5080"/>
  <c r="E125" i="5080"/>
  <c r="E126" i="5080"/>
  <c r="E127" i="5080"/>
  <c r="E128" i="5080"/>
  <c r="E129" i="5080"/>
  <c r="E130" i="5080"/>
  <c r="E131" i="5080"/>
  <c r="E132" i="5080"/>
  <c r="E133" i="5080"/>
  <c r="E134" i="5080"/>
  <c r="E135" i="5080"/>
  <c r="E136" i="5080"/>
  <c r="E137" i="5080"/>
  <c r="E138" i="5080"/>
  <c r="E139" i="5080"/>
  <c r="E140" i="5080"/>
  <c r="E141" i="5080"/>
  <c r="E142" i="5080"/>
  <c r="E143" i="5080"/>
  <c r="E144" i="5080"/>
  <c r="E145" i="5080"/>
  <c r="E146" i="5080"/>
  <c r="E147" i="5080"/>
  <c r="E148" i="5080"/>
  <c r="E149" i="5080"/>
  <c r="E150" i="5080"/>
  <c r="E151" i="5080"/>
  <c r="E152" i="5080"/>
  <c r="E153" i="5080"/>
  <c r="E154" i="5080"/>
  <c r="E155" i="5080"/>
  <c r="E156" i="5080"/>
  <c r="E157" i="5080"/>
  <c r="E158" i="5080"/>
  <c r="E159" i="5080"/>
  <c r="E160" i="5080"/>
  <c r="E161" i="5080"/>
  <c r="E162" i="5080"/>
  <c r="E163" i="5080"/>
  <c r="E164" i="5080"/>
  <c r="E165" i="5080"/>
  <c r="E166" i="5080"/>
  <c r="E167" i="5080"/>
  <c r="E168" i="5080"/>
  <c r="E169" i="5080"/>
  <c r="E170" i="5080"/>
  <c r="E171" i="5080"/>
  <c r="E172" i="5080"/>
  <c r="E173" i="5080"/>
  <c r="E174" i="5080"/>
  <c r="E175" i="5080"/>
  <c r="E176" i="5080"/>
  <c r="E177" i="5080"/>
  <c r="E178" i="5080"/>
  <c r="E179" i="5080"/>
  <c r="E180" i="5080"/>
  <c r="E181" i="5080"/>
  <c r="E182" i="5080"/>
  <c r="E183" i="5080"/>
  <c r="E184" i="5080"/>
  <c r="E185" i="5080"/>
  <c r="E186" i="5080"/>
  <c r="E187" i="5080"/>
  <c r="E188" i="5080"/>
  <c r="E189" i="5080"/>
  <c r="E190" i="5080"/>
  <c r="E191" i="5080"/>
  <c r="E192" i="5080"/>
  <c r="E193" i="5080"/>
  <c r="E194" i="5080"/>
  <c r="E195" i="5080"/>
  <c r="E196" i="5080"/>
  <c r="E197" i="5080"/>
  <c r="E198" i="5080"/>
  <c r="E199" i="5080"/>
  <c r="E200" i="5080"/>
  <c r="E201" i="5080"/>
  <c r="E202" i="5080"/>
  <c r="E203" i="5080"/>
  <c r="E204" i="5080"/>
  <c r="E205" i="5080"/>
  <c r="E206" i="5080"/>
  <c r="E207" i="5080"/>
  <c r="E208" i="5080"/>
  <c r="E209" i="5080"/>
  <c r="E210" i="5080"/>
  <c r="E211" i="5080"/>
  <c r="E212" i="5080"/>
  <c r="E213" i="5080"/>
  <c r="E214" i="5080"/>
  <c r="E215" i="5080"/>
  <c r="E216" i="5080"/>
  <c r="E217" i="5080"/>
  <c r="E218" i="5080"/>
  <c r="E219" i="5080"/>
  <c r="E220" i="5080"/>
  <c r="E221" i="5080"/>
  <c r="E222" i="5080"/>
  <c r="E223" i="5080"/>
  <c r="E224" i="5080"/>
  <c r="E225" i="5080"/>
  <c r="E226" i="5080"/>
  <c r="E227" i="5080"/>
  <c r="E228" i="5080"/>
  <c r="E229" i="5080"/>
  <c r="E230" i="5080"/>
  <c r="E231" i="5080"/>
  <c r="E232" i="5080"/>
  <c r="E233" i="5080"/>
  <c r="E234" i="5080"/>
  <c r="E235" i="5080"/>
  <c r="E236" i="5080"/>
  <c r="E237" i="5080"/>
  <c r="E238" i="5080"/>
  <c r="E239" i="5080"/>
  <c r="E240" i="5080"/>
  <c r="E241" i="5080"/>
  <c r="E242" i="5080"/>
  <c r="E243" i="5080"/>
  <c r="E244" i="5080"/>
  <c r="E245" i="5080"/>
  <c r="E246" i="5080"/>
  <c r="E247" i="5080"/>
  <c r="E248" i="5080"/>
  <c r="E249" i="5080"/>
  <c r="E250" i="5080"/>
  <c r="E251" i="5080"/>
  <c r="E252" i="5080"/>
  <c r="E253" i="5080"/>
  <c r="E254" i="5080"/>
  <c r="E255" i="5080"/>
  <c r="E256" i="5080"/>
  <c r="E257" i="5080"/>
  <c r="E258" i="5080"/>
  <c r="E259" i="5080"/>
  <c r="E260" i="5080"/>
  <c r="E261" i="5080"/>
  <c r="E262" i="5080"/>
  <c r="E263" i="5080"/>
  <c r="E264" i="5080"/>
  <c r="E265" i="5080"/>
  <c r="E266" i="5080"/>
  <c r="E267" i="5080"/>
  <c r="E268" i="5080"/>
  <c r="E269" i="5080"/>
  <c r="E270" i="5080"/>
  <c r="E271" i="5080"/>
  <c r="E272" i="5080"/>
  <c r="E273" i="5080"/>
  <c r="E274" i="5080"/>
  <c r="E275" i="5080"/>
  <c r="E276" i="5080"/>
  <c r="E277" i="5080"/>
  <c r="E278" i="5080"/>
  <c r="E279" i="5080"/>
  <c r="E280" i="5080"/>
  <c r="E281" i="5080"/>
  <c r="E282" i="5080"/>
  <c r="E283" i="5080"/>
  <c r="E284" i="5080"/>
  <c r="E285" i="5080"/>
  <c r="E286" i="5080"/>
  <c r="E287" i="5080"/>
  <c r="E288" i="5080"/>
  <c r="E289" i="5080"/>
  <c r="E290" i="5080"/>
  <c r="E291" i="5080"/>
  <c r="E292" i="5080"/>
  <c r="E293" i="5080"/>
  <c r="E294" i="5080"/>
  <c r="E295" i="5080"/>
  <c r="E296" i="5080"/>
  <c r="E297" i="5080"/>
  <c r="E298" i="5080"/>
  <c r="E299" i="5080"/>
  <c r="E300" i="5080"/>
  <c r="E301" i="5080"/>
  <c r="E302" i="5080"/>
  <c r="E303" i="5080"/>
  <c r="E304" i="5080"/>
  <c r="E305" i="5080"/>
  <c r="E306" i="5080"/>
  <c r="E307" i="5080"/>
  <c r="E308" i="5080"/>
  <c r="E309" i="5080"/>
  <c r="E310" i="5080"/>
  <c r="E311" i="5080"/>
  <c r="E312" i="5080"/>
  <c r="E313" i="5080"/>
  <c r="E314" i="5080"/>
  <c r="E315" i="5080"/>
  <c r="E316" i="5080"/>
  <c r="E317" i="5080"/>
  <c r="E318" i="5080"/>
  <c r="E319" i="5080"/>
  <c r="E320" i="5080"/>
  <c r="E321" i="5080"/>
  <c r="E322" i="5080"/>
  <c r="E323" i="5080"/>
  <c r="E324" i="5080"/>
  <c r="E325" i="5080"/>
  <c r="E326" i="5080"/>
  <c r="E327" i="5080"/>
  <c r="E328" i="5080"/>
  <c r="E329" i="5080"/>
  <c r="E330" i="5080"/>
  <c r="E331" i="5080"/>
  <c r="E332" i="5080"/>
  <c r="E333" i="5080"/>
  <c r="E334" i="5080"/>
  <c r="E335" i="5080"/>
  <c r="E336" i="5080"/>
  <c r="E337" i="5080"/>
  <c r="E338" i="5080"/>
  <c r="E339" i="5080"/>
  <c r="E340" i="5080"/>
  <c r="E341" i="5080"/>
  <c r="E342" i="5080"/>
  <c r="E343" i="5080"/>
  <c r="E344" i="5080"/>
  <c r="E345" i="5080"/>
  <c r="E346" i="5080"/>
  <c r="E347" i="5080"/>
  <c r="E348" i="5080"/>
  <c r="E349" i="5080"/>
  <c r="E350" i="5080"/>
  <c r="E351" i="5080"/>
  <c r="E352" i="5080"/>
  <c r="E353" i="5080"/>
  <c r="E354" i="5080"/>
  <c r="E355" i="5080"/>
  <c r="E356" i="5080"/>
  <c r="E357" i="5080"/>
  <c r="E358" i="5080"/>
  <c r="E359" i="5080"/>
  <c r="E360" i="5080"/>
  <c r="E361" i="5080"/>
  <c r="E362" i="5080"/>
  <c r="E363" i="5080"/>
  <c r="E364" i="5080"/>
  <c r="E365" i="5080"/>
  <c r="E366" i="5080"/>
  <c r="E367" i="5080"/>
  <c r="E368" i="5080"/>
  <c r="E369" i="5080"/>
  <c r="E370" i="5080"/>
  <c r="E371" i="5080"/>
  <c r="E372" i="5080"/>
  <c r="E373" i="5080"/>
  <c r="E374" i="5080"/>
  <c r="E375" i="5080"/>
  <c r="E376" i="5080"/>
  <c r="E377" i="5080"/>
  <c r="E378" i="5080"/>
  <c r="E379" i="5080"/>
  <c r="E380" i="5080"/>
  <c r="E381" i="5080"/>
  <c r="E382" i="5080"/>
  <c r="E383" i="5080"/>
  <c r="E384" i="5080"/>
  <c r="E385" i="5080"/>
  <c r="E386" i="5080"/>
  <c r="E387" i="5080"/>
  <c r="E388" i="5080"/>
  <c r="E389" i="5080"/>
  <c r="E390" i="5080"/>
  <c r="E391" i="5080"/>
  <c r="E392" i="5080"/>
  <c r="E393" i="5080"/>
  <c r="E394" i="5080"/>
  <c r="E395" i="5080"/>
  <c r="E396" i="5080"/>
  <c r="E397" i="5080"/>
  <c r="E398" i="5080"/>
  <c r="E399" i="5080"/>
  <c r="E400" i="5080"/>
  <c r="E401" i="5080"/>
  <c r="E402" i="5080"/>
  <c r="E403" i="5080"/>
  <c r="E404" i="5080"/>
  <c r="E405" i="5080"/>
  <c r="E406" i="5080"/>
  <c r="E407" i="5080"/>
  <c r="E408" i="5080"/>
  <c r="E409" i="5080"/>
  <c r="E410" i="5080"/>
  <c r="E411" i="5080"/>
  <c r="E412" i="5080"/>
  <c r="E413" i="5080"/>
  <c r="E414" i="5080"/>
  <c r="E415" i="5080"/>
  <c r="E416" i="5080"/>
  <c r="E417" i="5080"/>
  <c r="E418" i="5080"/>
  <c r="E419" i="5080"/>
  <c r="E420" i="5080"/>
  <c r="E421" i="5080"/>
  <c r="E422" i="5080"/>
  <c r="E423" i="5080"/>
  <c r="E424" i="5080"/>
  <c r="E425" i="5080"/>
  <c r="E426" i="5080"/>
  <c r="E427" i="5080"/>
  <c r="E428" i="5080"/>
  <c r="E429" i="5080"/>
  <c r="E430" i="5080"/>
  <c r="E431" i="5080"/>
  <c r="E432" i="5080"/>
  <c r="E433" i="5080"/>
  <c r="E434" i="5080"/>
  <c r="E435" i="5080"/>
  <c r="E436" i="5080"/>
  <c r="E437" i="5080"/>
  <c r="E438" i="5080"/>
  <c r="E439" i="5080"/>
  <c r="E440" i="5080"/>
  <c r="E441" i="5080"/>
  <c r="E442" i="5080"/>
  <c r="E443" i="5080"/>
  <c r="E444" i="5080"/>
  <c r="E445" i="5080"/>
  <c r="E446" i="5080"/>
  <c r="E447" i="5080"/>
  <c r="E448" i="5080"/>
  <c r="E449" i="5080"/>
  <c r="E450" i="5080"/>
  <c r="E451" i="5080"/>
  <c r="E452" i="5080"/>
  <c r="E453" i="5080"/>
  <c r="E454" i="5080"/>
  <c r="E455" i="5080"/>
  <c r="E456" i="5080"/>
  <c r="E457" i="5080"/>
  <c r="E458" i="5080"/>
  <c r="E459" i="5080"/>
  <c r="E460" i="5080"/>
  <c r="E461" i="5080"/>
  <c r="E462" i="5080"/>
  <c r="E463" i="5080"/>
  <c r="E464" i="5080"/>
  <c r="E465" i="5080"/>
  <c r="E466" i="5080"/>
  <c r="E467" i="5080"/>
  <c r="E468" i="5080"/>
  <c r="E469" i="5080"/>
  <c r="E470" i="5080"/>
  <c r="E471" i="5080"/>
  <c r="E472" i="5080"/>
  <c r="E473" i="5080"/>
  <c r="E474" i="5080"/>
  <c r="E475" i="5080"/>
  <c r="E476" i="5080"/>
  <c r="E477" i="5080"/>
  <c r="E478" i="5080"/>
  <c r="E479" i="5080"/>
  <c r="E480" i="5080"/>
  <c r="E481" i="5080"/>
  <c r="E482" i="5080"/>
  <c r="E483" i="5080"/>
  <c r="E484" i="5080"/>
  <c r="E485" i="5080"/>
  <c r="E486" i="5080"/>
  <c r="E487" i="5080"/>
  <c r="E488" i="5080"/>
  <c r="E489" i="5080"/>
  <c r="E490" i="5080"/>
  <c r="E491" i="5080"/>
  <c r="E492" i="5080"/>
  <c r="E493" i="5080"/>
  <c r="E494" i="5080"/>
  <c r="E495" i="5080"/>
  <c r="E496" i="5080"/>
  <c r="E497" i="5080"/>
  <c r="E498" i="5080"/>
  <c r="E499" i="5080"/>
  <c r="E500" i="5080"/>
  <c r="E501" i="5080"/>
  <c r="E502" i="5080"/>
  <c r="E503" i="5080"/>
  <c r="E504" i="5080"/>
  <c r="E505" i="5080"/>
  <c r="E2" i="5079"/>
  <c r="E3" i="5079"/>
  <c r="E4" i="5079"/>
  <c r="E5" i="5079"/>
  <c r="E6" i="5079"/>
  <c r="E7" i="5079"/>
  <c r="E8" i="5079"/>
  <c r="E9" i="5079"/>
  <c r="E10" i="5079"/>
  <c r="E11" i="5079"/>
  <c r="E12" i="5079"/>
  <c r="E13" i="5079"/>
  <c r="E14" i="5079"/>
  <c r="E15" i="5079"/>
  <c r="E16" i="5079"/>
  <c r="E17" i="5079"/>
  <c r="E18" i="5079"/>
  <c r="E19" i="5079"/>
  <c r="E20" i="5079"/>
  <c r="E21" i="5079"/>
  <c r="E22" i="5079"/>
  <c r="E23" i="5079"/>
  <c r="E24" i="5079"/>
  <c r="E25" i="5079"/>
  <c r="E26" i="5079"/>
  <c r="E27" i="5079"/>
  <c r="E28" i="5079"/>
  <c r="E29" i="5079"/>
  <c r="E30" i="5079"/>
  <c r="E31" i="5079"/>
  <c r="E32" i="5079"/>
  <c r="E33" i="5079"/>
  <c r="E34" i="5079"/>
  <c r="E35" i="5079"/>
  <c r="E36" i="5079"/>
  <c r="E37" i="5079"/>
  <c r="E38" i="5079"/>
  <c r="E39" i="5079"/>
  <c r="E40" i="5079"/>
  <c r="E41" i="5079"/>
  <c r="E42" i="5079"/>
  <c r="E43" i="5079"/>
  <c r="E44" i="5079"/>
  <c r="E45" i="5079"/>
  <c r="E46" i="5079"/>
  <c r="E47" i="5079"/>
  <c r="E48" i="5079"/>
  <c r="E49" i="5079"/>
  <c r="E50" i="5079"/>
  <c r="E51" i="5079"/>
  <c r="E52" i="5079"/>
  <c r="E53" i="5079"/>
  <c r="E54" i="5079"/>
  <c r="E55" i="5079"/>
  <c r="E56" i="5079"/>
  <c r="E57" i="5079"/>
  <c r="E58" i="5079"/>
  <c r="E59" i="5079"/>
  <c r="E60" i="5079"/>
  <c r="E61" i="5079"/>
  <c r="E62" i="5079"/>
  <c r="E63" i="5079"/>
  <c r="E64" i="5079"/>
  <c r="E65" i="5079"/>
  <c r="E66" i="5079"/>
  <c r="E67" i="5079"/>
  <c r="E68" i="5079"/>
  <c r="E69" i="5079"/>
  <c r="E70" i="5079"/>
  <c r="E71" i="5079"/>
  <c r="E72" i="5079"/>
  <c r="E73" i="5079"/>
  <c r="E74" i="5079"/>
  <c r="E75" i="5079"/>
  <c r="E76" i="5079"/>
  <c r="E77" i="5079"/>
  <c r="E78" i="5079"/>
  <c r="E79" i="5079"/>
  <c r="E80" i="5079"/>
  <c r="E81" i="5079"/>
  <c r="E82" i="5079"/>
  <c r="E83" i="5079"/>
  <c r="E84" i="5079"/>
  <c r="E85" i="5079"/>
  <c r="E86" i="5079"/>
  <c r="E87" i="5079"/>
  <c r="E88" i="5079"/>
  <c r="E89" i="5079"/>
  <c r="E90" i="5079"/>
  <c r="E91" i="5079"/>
  <c r="E92" i="5079"/>
  <c r="E93" i="5079"/>
  <c r="E94" i="5079"/>
  <c r="E95" i="5079"/>
  <c r="E96" i="5079"/>
  <c r="E97" i="5079"/>
  <c r="E98" i="5079"/>
  <c r="E99" i="5079"/>
  <c r="E100" i="5079"/>
  <c r="E101" i="5079"/>
  <c r="E102" i="5079"/>
  <c r="E103" i="5079"/>
  <c r="E104" i="5079"/>
  <c r="E105" i="5079"/>
  <c r="E106" i="5079"/>
  <c r="E107" i="5079"/>
  <c r="E108" i="5079"/>
  <c r="E109" i="5079"/>
  <c r="E110" i="5079"/>
  <c r="E111" i="5079"/>
  <c r="E112" i="5079"/>
  <c r="E113" i="5079"/>
  <c r="E114" i="5079"/>
  <c r="E115" i="5079"/>
  <c r="E116" i="5079"/>
  <c r="E117" i="5079"/>
  <c r="E118" i="5079"/>
  <c r="E119" i="5079"/>
  <c r="E120" i="5079"/>
  <c r="E121" i="5079"/>
  <c r="E122" i="5079"/>
  <c r="E123" i="5079"/>
  <c r="E124" i="5079"/>
  <c r="E125" i="5079"/>
  <c r="E126" i="5079"/>
  <c r="E127" i="5079"/>
  <c r="E128" i="5079"/>
  <c r="E129" i="5079"/>
  <c r="E130" i="5079"/>
  <c r="E131" i="5079"/>
  <c r="E132" i="5079"/>
  <c r="E133" i="5079"/>
  <c r="E134" i="5079"/>
  <c r="E135" i="5079"/>
  <c r="E136" i="5079"/>
  <c r="E137" i="5079"/>
  <c r="E138" i="5079"/>
  <c r="E139" i="5079"/>
  <c r="E140" i="5079"/>
  <c r="E141" i="5079"/>
  <c r="E142" i="5079"/>
  <c r="E143" i="5079"/>
  <c r="E144" i="5079"/>
  <c r="E145" i="5079"/>
  <c r="E146" i="5079"/>
  <c r="E147" i="5079"/>
  <c r="E148" i="5079"/>
  <c r="E149" i="5079"/>
  <c r="E150" i="5079"/>
  <c r="E151" i="5079"/>
  <c r="E152" i="5079"/>
  <c r="E153" i="5079"/>
  <c r="E154" i="5079"/>
  <c r="E155" i="5079"/>
  <c r="E156" i="5079"/>
  <c r="E157" i="5079"/>
  <c r="E158" i="5079"/>
  <c r="E159" i="5079"/>
  <c r="E160" i="5079"/>
  <c r="E161" i="5079"/>
  <c r="E162" i="5079"/>
  <c r="E163" i="5079"/>
  <c r="E164" i="5079"/>
  <c r="E165" i="5079"/>
  <c r="E166" i="5079"/>
  <c r="E167" i="5079"/>
  <c r="E168" i="5079"/>
  <c r="E169" i="5079"/>
  <c r="E170" i="5079"/>
  <c r="E171" i="5079"/>
  <c r="E172" i="5079"/>
  <c r="E173" i="5079"/>
  <c r="E174" i="5079"/>
  <c r="E175" i="5079"/>
  <c r="E176" i="5079"/>
  <c r="E177" i="5079"/>
  <c r="E178" i="5079"/>
  <c r="E179" i="5079"/>
  <c r="E180" i="5079"/>
  <c r="E181" i="5079"/>
  <c r="E182" i="5079"/>
  <c r="E183" i="5079"/>
  <c r="E184" i="5079"/>
  <c r="E185" i="5079"/>
  <c r="E186" i="5079"/>
  <c r="E187" i="5079"/>
  <c r="E188" i="5079"/>
  <c r="E189" i="5079"/>
  <c r="E190" i="5079"/>
  <c r="E191" i="5079"/>
  <c r="E192" i="5079"/>
  <c r="E193" i="5079"/>
  <c r="E194" i="5079"/>
  <c r="E195" i="5079"/>
  <c r="E196" i="5079"/>
  <c r="E197" i="5079"/>
  <c r="E198" i="5079"/>
  <c r="E199" i="5079"/>
  <c r="E200" i="5079"/>
  <c r="E201" i="5079"/>
  <c r="E202" i="5079"/>
  <c r="E203" i="5079"/>
  <c r="E204" i="5079"/>
  <c r="E205" i="5079"/>
  <c r="E206" i="5079"/>
  <c r="E207" i="5079"/>
  <c r="E208" i="5079"/>
  <c r="E209" i="5079"/>
  <c r="E210" i="5079"/>
  <c r="E211" i="5079"/>
  <c r="E212" i="5079"/>
  <c r="E213" i="5079"/>
  <c r="E214" i="5079"/>
  <c r="E215" i="5079"/>
  <c r="E216" i="5079"/>
  <c r="E217" i="5079"/>
  <c r="E218" i="5079"/>
  <c r="E219" i="5079"/>
  <c r="E220" i="5079"/>
  <c r="E221" i="5079"/>
  <c r="E222" i="5079"/>
  <c r="E223" i="5079"/>
  <c r="E224" i="5079"/>
  <c r="E225" i="5079"/>
  <c r="E226" i="5079"/>
  <c r="E227" i="5079"/>
  <c r="E228" i="5079"/>
  <c r="E229" i="5079"/>
  <c r="E230" i="5079"/>
  <c r="E231" i="5079"/>
  <c r="E232" i="5079"/>
  <c r="E233" i="5079"/>
  <c r="E234" i="5079"/>
  <c r="E235" i="5079"/>
  <c r="E236" i="5079"/>
  <c r="E237" i="5079"/>
  <c r="E238" i="5079"/>
  <c r="E239" i="5079"/>
  <c r="E240" i="5079"/>
  <c r="E241" i="5079"/>
  <c r="E242" i="5079"/>
  <c r="E243" i="5079"/>
  <c r="E244" i="5079"/>
  <c r="E245" i="5079"/>
  <c r="E246" i="5079"/>
  <c r="E247" i="5079"/>
  <c r="E248" i="5079"/>
  <c r="E249" i="5079"/>
  <c r="E250" i="5079"/>
  <c r="E251" i="5079"/>
  <c r="E252" i="5079"/>
  <c r="E253" i="5079"/>
  <c r="E254" i="5079"/>
  <c r="E255" i="5079"/>
  <c r="E256" i="5079"/>
  <c r="E257" i="5079"/>
  <c r="E258" i="5079"/>
  <c r="E259" i="5079"/>
  <c r="E260" i="5079"/>
  <c r="E261" i="5079"/>
  <c r="E262" i="5079"/>
  <c r="E263" i="5079"/>
  <c r="E264" i="5079"/>
  <c r="E265" i="5079"/>
  <c r="E266" i="5079"/>
  <c r="E267" i="5079"/>
  <c r="E268" i="5079"/>
  <c r="E269" i="5079"/>
  <c r="E270" i="5079"/>
  <c r="E271" i="5079"/>
  <c r="E272" i="5079"/>
  <c r="E273" i="5079"/>
  <c r="E274" i="5079"/>
  <c r="E275" i="5079"/>
  <c r="E276" i="5079"/>
  <c r="E277" i="5079"/>
  <c r="E278" i="5079"/>
  <c r="E279" i="5079"/>
  <c r="E280" i="5079"/>
  <c r="E281" i="5079"/>
  <c r="E282" i="5079"/>
  <c r="E283" i="5079"/>
  <c r="E284" i="5079"/>
  <c r="E285" i="5079"/>
  <c r="E286" i="5079"/>
  <c r="E287" i="5079"/>
  <c r="E288" i="5079"/>
  <c r="E289" i="5079"/>
  <c r="E290" i="5079"/>
  <c r="E291" i="5079"/>
  <c r="E292" i="5079"/>
  <c r="E293" i="5079"/>
  <c r="E294" i="5079"/>
  <c r="E295" i="5079"/>
  <c r="E296" i="5079"/>
  <c r="E297" i="5079"/>
  <c r="E298" i="5079"/>
  <c r="E299" i="5079"/>
  <c r="E300" i="5079"/>
  <c r="E301" i="5079"/>
  <c r="E302" i="5079"/>
  <c r="E303" i="5079"/>
  <c r="E304" i="5079"/>
  <c r="E305" i="5079"/>
  <c r="E306" i="5079"/>
  <c r="E307" i="5079"/>
  <c r="E308" i="5079"/>
  <c r="E309" i="5079"/>
  <c r="E310" i="5079"/>
  <c r="E311" i="5079"/>
  <c r="E312" i="5079"/>
  <c r="E313" i="5079"/>
  <c r="E314" i="5079"/>
  <c r="E315" i="5079"/>
  <c r="E316" i="5079"/>
  <c r="E317" i="5079"/>
  <c r="E318" i="5079"/>
  <c r="E319" i="5079"/>
  <c r="E320" i="5079"/>
  <c r="E321" i="5079"/>
  <c r="E322" i="5079"/>
  <c r="E323" i="5079"/>
  <c r="E324" i="5079"/>
  <c r="E325" i="5079"/>
  <c r="E326" i="5079"/>
  <c r="E327" i="5079"/>
  <c r="E328" i="5079"/>
  <c r="E329" i="5079"/>
  <c r="E330" i="5079"/>
  <c r="E331" i="5079"/>
  <c r="E332" i="5079"/>
  <c r="E333" i="5079"/>
  <c r="E334" i="5079"/>
  <c r="E335" i="5079"/>
  <c r="E336" i="5079"/>
  <c r="E337" i="5079"/>
  <c r="E338" i="5079"/>
  <c r="E339" i="5079"/>
  <c r="E340" i="5079"/>
  <c r="E341" i="5079"/>
  <c r="E342" i="5079"/>
  <c r="E343" i="5079"/>
  <c r="E344" i="5079"/>
  <c r="E345" i="5079"/>
  <c r="E346" i="5079"/>
  <c r="E347" i="5079"/>
  <c r="E348" i="5079"/>
  <c r="E349" i="5079"/>
  <c r="E350" i="5079"/>
  <c r="E351" i="5079"/>
  <c r="E352" i="5079"/>
  <c r="E353" i="5079"/>
  <c r="E354" i="5079"/>
  <c r="E355" i="5079"/>
  <c r="E356" i="5079"/>
  <c r="E357" i="5079"/>
  <c r="E358" i="5079"/>
  <c r="E359" i="5079"/>
  <c r="E360" i="5079"/>
  <c r="E361" i="5079"/>
  <c r="E362" i="5079"/>
  <c r="E363" i="5079"/>
  <c r="E364" i="5079"/>
  <c r="E365" i="5079"/>
  <c r="E366" i="5079"/>
  <c r="E367" i="5079"/>
  <c r="E368" i="5079"/>
  <c r="E369" i="5079"/>
  <c r="E370" i="5079"/>
  <c r="E371" i="5079"/>
  <c r="E372" i="5079"/>
  <c r="E373" i="5079"/>
  <c r="E374" i="5079"/>
  <c r="E375" i="5079"/>
  <c r="E376" i="5079"/>
  <c r="E377" i="5079"/>
  <c r="E378" i="5079"/>
  <c r="E379" i="5079"/>
  <c r="E380" i="5079"/>
  <c r="E381" i="5079"/>
  <c r="E382" i="5079"/>
  <c r="E383" i="5079"/>
  <c r="E384" i="5079"/>
  <c r="E385" i="5079"/>
  <c r="E386" i="5079"/>
  <c r="E387" i="5079"/>
  <c r="E388" i="5079"/>
  <c r="E389" i="5079"/>
  <c r="E390" i="5079"/>
  <c r="E391" i="5079"/>
  <c r="E392" i="5079"/>
  <c r="E393" i="5079"/>
  <c r="E394" i="5079"/>
  <c r="E395" i="5079"/>
  <c r="E396" i="5079"/>
  <c r="E397" i="5079"/>
  <c r="E398" i="5079"/>
  <c r="E399" i="5079"/>
  <c r="E400" i="5079"/>
  <c r="E401" i="5079"/>
  <c r="E402" i="5079"/>
  <c r="E403" i="5079"/>
  <c r="E404" i="5079"/>
  <c r="E405" i="5079"/>
  <c r="E406" i="5079"/>
  <c r="E407" i="5079"/>
  <c r="E408" i="5079"/>
  <c r="E409" i="5079"/>
  <c r="E410" i="5079"/>
  <c r="E411" i="5079"/>
  <c r="E412" i="5079"/>
  <c r="E413" i="5079"/>
  <c r="E414" i="5079"/>
  <c r="E415" i="5079"/>
  <c r="E416" i="5079"/>
  <c r="E417" i="5079"/>
  <c r="E418" i="5079"/>
  <c r="E419" i="5079"/>
  <c r="E420" i="5079"/>
  <c r="E421" i="5079"/>
  <c r="E422" i="5079"/>
  <c r="E423" i="5079"/>
  <c r="E424" i="5079"/>
  <c r="E425" i="5079"/>
  <c r="E426" i="5079"/>
  <c r="E427" i="5079"/>
  <c r="E428" i="5079"/>
  <c r="E429" i="5079"/>
  <c r="E430" i="5079"/>
  <c r="E431" i="5079"/>
  <c r="E432" i="5079"/>
  <c r="E433" i="5079"/>
  <c r="E434" i="5079"/>
  <c r="E435" i="5079"/>
  <c r="E436" i="5079"/>
  <c r="E437" i="5079"/>
  <c r="E438" i="5079"/>
  <c r="E439" i="5079"/>
  <c r="E440" i="5079"/>
  <c r="E441" i="5079"/>
  <c r="E442" i="5079"/>
  <c r="E443" i="5079"/>
  <c r="E444" i="5079"/>
  <c r="E445" i="5079"/>
  <c r="E446" i="5079"/>
  <c r="E447" i="5079"/>
  <c r="E448" i="5079"/>
  <c r="E449" i="5079"/>
  <c r="E450" i="5079"/>
  <c r="E451" i="5079"/>
  <c r="E452" i="5079"/>
  <c r="E453" i="5079"/>
  <c r="E454" i="5079"/>
  <c r="E455" i="5079"/>
  <c r="E456" i="5079"/>
  <c r="E457" i="5079"/>
  <c r="E458" i="5079"/>
  <c r="E459" i="5079"/>
  <c r="E460" i="5079"/>
  <c r="E461" i="5079"/>
  <c r="E462" i="5079"/>
  <c r="E463" i="5079"/>
  <c r="E464" i="5079"/>
  <c r="E465" i="5079"/>
  <c r="E466" i="5079"/>
  <c r="E467" i="5079"/>
  <c r="E468" i="5079"/>
  <c r="E469" i="5079"/>
  <c r="E470" i="5079"/>
  <c r="E471" i="5079"/>
  <c r="E472" i="5079"/>
  <c r="E473" i="5079"/>
  <c r="E474" i="5079"/>
  <c r="E475" i="5079"/>
  <c r="E476" i="5079"/>
  <c r="E477" i="5079"/>
  <c r="E478" i="5079"/>
  <c r="E479" i="5079"/>
  <c r="E480" i="5079"/>
  <c r="E481" i="5079"/>
  <c r="E482" i="5079"/>
  <c r="E483" i="5079"/>
  <c r="E484" i="5079"/>
  <c r="E485" i="5079"/>
  <c r="E486" i="5079"/>
  <c r="E487" i="5079"/>
  <c r="E488" i="5079"/>
  <c r="E489" i="5079"/>
  <c r="E490" i="5079"/>
  <c r="E491" i="5079"/>
  <c r="E492" i="5079"/>
  <c r="E493" i="5079"/>
  <c r="E494" i="5079"/>
  <c r="E495" i="5079"/>
  <c r="E496" i="5079"/>
  <c r="E497" i="5079"/>
  <c r="E498" i="5079"/>
  <c r="E499" i="5079"/>
  <c r="E500" i="5079"/>
  <c r="E501" i="5079"/>
  <c r="E502" i="5079"/>
  <c r="E503" i="5079"/>
  <c r="E504" i="5079"/>
  <c r="E505" i="5079"/>
  <c r="E2" i="5078"/>
  <c r="E3" i="5078"/>
  <c r="E4" i="5078"/>
  <c r="E5" i="5078"/>
  <c r="E6" i="5078"/>
  <c r="E7" i="5078"/>
  <c r="E8" i="5078"/>
  <c r="E9" i="5078"/>
  <c r="E10" i="5078"/>
  <c r="E11" i="5078"/>
  <c r="E12" i="5078"/>
  <c r="E13" i="5078"/>
  <c r="E14" i="5078"/>
  <c r="E15" i="5078"/>
  <c r="E16" i="5078"/>
  <c r="E17" i="5078"/>
  <c r="E18" i="5078"/>
  <c r="E19" i="5078"/>
  <c r="E20" i="5078"/>
  <c r="E21" i="5078"/>
  <c r="E22" i="5078"/>
  <c r="E23" i="5078"/>
  <c r="E24" i="5078"/>
  <c r="E25" i="5078"/>
  <c r="E26" i="5078"/>
  <c r="E27" i="5078"/>
  <c r="E28" i="5078"/>
  <c r="E29" i="5078"/>
  <c r="E30" i="5078"/>
  <c r="E31" i="5078"/>
  <c r="E32" i="5078"/>
  <c r="E33" i="5078"/>
  <c r="E34" i="5078"/>
  <c r="E35" i="5078"/>
  <c r="E36" i="5078"/>
  <c r="E37" i="5078"/>
  <c r="E38" i="5078"/>
  <c r="E39" i="5078"/>
  <c r="E40" i="5078"/>
  <c r="E41" i="5078"/>
  <c r="E42" i="5078"/>
  <c r="E43" i="5078"/>
  <c r="E44" i="5078"/>
  <c r="E45" i="5078"/>
  <c r="E46" i="5078"/>
  <c r="E47" i="5078"/>
  <c r="E48" i="5078"/>
  <c r="E49" i="5078"/>
  <c r="E50" i="5078"/>
  <c r="E51" i="5078"/>
  <c r="E52" i="5078"/>
  <c r="E53" i="5078"/>
  <c r="E54" i="5078"/>
  <c r="E55" i="5078"/>
  <c r="E56" i="5078"/>
  <c r="E57" i="5078"/>
  <c r="E58" i="5078"/>
  <c r="E59" i="5078"/>
  <c r="E60" i="5078"/>
  <c r="E61" i="5078"/>
  <c r="E62" i="5078"/>
  <c r="E63" i="5078"/>
  <c r="E64" i="5078"/>
  <c r="E65" i="5078"/>
  <c r="E66" i="5078"/>
  <c r="E67" i="5078"/>
  <c r="E68" i="5078"/>
  <c r="E69" i="5078"/>
  <c r="E70" i="5078"/>
  <c r="E71" i="5078"/>
  <c r="E72" i="5078"/>
  <c r="E73" i="5078"/>
  <c r="E74" i="5078"/>
  <c r="E75" i="5078"/>
  <c r="E76" i="5078"/>
  <c r="E77" i="5078"/>
  <c r="E78" i="5078"/>
  <c r="E79" i="5078"/>
  <c r="E80" i="5078"/>
  <c r="E81" i="5078"/>
  <c r="E82" i="5078"/>
  <c r="E83" i="5078"/>
  <c r="E84" i="5078"/>
  <c r="E85" i="5078"/>
  <c r="E86" i="5078"/>
  <c r="E87" i="5078"/>
  <c r="E88" i="5078"/>
  <c r="E89" i="5078"/>
  <c r="E90" i="5078"/>
  <c r="E91" i="5078"/>
  <c r="E92" i="5078"/>
  <c r="E93" i="5078"/>
  <c r="E94" i="5078"/>
  <c r="E95" i="5078"/>
  <c r="E96" i="5078"/>
  <c r="E97" i="5078"/>
  <c r="E98" i="5078"/>
  <c r="E99" i="5078"/>
  <c r="E100" i="5078"/>
  <c r="E101" i="5078"/>
  <c r="E102" i="5078"/>
  <c r="E103" i="5078"/>
  <c r="E104" i="5078"/>
  <c r="E105" i="5078"/>
  <c r="E106" i="5078"/>
  <c r="E107" i="5078"/>
  <c r="E108" i="5078"/>
  <c r="E109" i="5078"/>
  <c r="E110" i="5078"/>
  <c r="E111" i="5078"/>
  <c r="E112" i="5078"/>
  <c r="E113" i="5078"/>
  <c r="E114" i="5078"/>
  <c r="E115" i="5078"/>
  <c r="E116" i="5078"/>
  <c r="E117" i="5078"/>
  <c r="E118" i="5078"/>
  <c r="E119" i="5078"/>
  <c r="E120" i="5078"/>
  <c r="E121" i="5078"/>
  <c r="E122" i="5078"/>
  <c r="E123" i="5078"/>
  <c r="E124" i="5078"/>
  <c r="E125" i="5078"/>
  <c r="E126" i="5078"/>
  <c r="E127" i="5078"/>
  <c r="E128" i="5078"/>
  <c r="E129" i="5078"/>
  <c r="E130" i="5078"/>
  <c r="E131" i="5078"/>
  <c r="E132" i="5078"/>
  <c r="E133" i="5078"/>
  <c r="E134" i="5078"/>
  <c r="E135" i="5078"/>
  <c r="E136" i="5078"/>
  <c r="E137" i="5078"/>
  <c r="E138" i="5078"/>
  <c r="E139" i="5078"/>
  <c r="E140" i="5078"/>
  <c r="E141" i="5078"/>
  <c r="E142" i="5078"/>
  <c r="E143" i="5078"/>
  <c r="E144" i="5078"/>
  <c r="E145" i="5078"/>
  <c r="E146" i="5078"/>
  <c r="E147" i="5078"/>
  <c r="E148" i="5078"/>
  <c r="E149" i="5078"/>
  <c r="E150" i="5078"/>
  <c r="E151" i="5078"/>
  <c r="E152" i="5078"/>
  <c r="E153" i="5078"/>
  <c r="E154" i="5078"/>
  <c r="E155" i="5078"/>
  <c r="E156" i="5078"/>
  <c r="E157" i="5078"/>
  <c r="E158" i="5078"/>
  <c r="E159" i="5078"/>
  <c r="E160" i="5078"/>
  <c r="E161" i="5078"/>
  <c r="E162" i="5078"/>
  <c r="E163" i="5078"/>
  <c r="E164" i="5078"/>
  <c r="E165" i="5078"/>
  <c r="E166" i="5078"/>
  <c r="E167" i="5078"/>
  <c r="E168" i="5078"/>
  <c r="E169" i="5078"/>
  <c r="E170" i="5078"/>
  <c r="E171" i="5078"/>
  <c r="E172" i="5078"/>
  <c r="E173" i="5078"/>
  <c r="E174" i="5078"/>
  <c r="E175" i="5078"/>
  <c r="E176" i="5078"/>
  <c r="E177" i="5078"/>
  <c r="E178" i="5078"/>
  <c r="E179" i="5078"/>
  <c r="E180" i="5078"/>
  <c r="E181" i="5078"/>
  <c r="E182" i="5078"/>
  <c r="E183" i="5078"/>
  <c r="E184" i="5078"/>
  <c r="E185" i="5078"/>
  <c r="E186" i="5078"/>
  <c r="E187" i="5078"/>
  <c r="E188" i="5078"/>
  <c r="E189" i="5078"/>
  <c r="E190" i="5078"/>
  <c r="E191" i="5078"/>
  <c r="E192" i="5078"/>
  <c r="E193" i="5078"/>
  <c r="E194" i="5078"/>
  <c r="E195" i="5078"/>
  <c r="E196" i="5078"/>
  <c r="E197" i="5078"/>
  <c r="E198" i="5078"/>
  <c r="E199" i="5078"/>
  <c r="E200" i="5078"/>
  <c r="E201" i="5078"/>
  <c r="E202" i="5078"/>
  <c r="E203" i="5078"/>
  <c r="E204" i="5078"/>
  <c r="E205" i="5078"/>
  <c r="E206" i="5078"/>
  <c r="E207" i="5078"/>
  <c r="E208" i="5078"/>
  <c r="E209" i="5078"/>
  <c r="E210" i="5078"/>
  <c r="E211" i="5078"/>
  <c r="E212" i="5078"/>
  <c r="E213" i="5078"/>
  <c r="E214" i="5078"/>
  <c r="E215" i="5078"/>
  <c r="E216" i="5078"/>
  <c r="E217" i="5078"/>
  <c r="E218" i="5078"/>
  <c r="E219" i="5078"/>
  <c r="E220" i="5078"/>
  <c r="E221" i="5078"/>
  <c r="E222" i="5078"/>
  <c r="E223" i="5078"/>
  <c r="E224" i="5078"/>
  <c r="E225" i="5078"/>
  <c r="E226" i="5078"/>
  <c r="E227" i="5078"/>
  <c r="E228" i="5078"/>
  <c r="E229" i="5078"/>
  <c r="E230" i="5078"/>
  <c r="E231" i="5078"/>
  <c r="E232" i="5078"/>
  <c r="E233" i="5078"/>
  <c r="E234" i="5078"/>
  <c r="E235" i="5078"/>
  <c r="E236" i="5078"/>
  <c r="E237" i="5078"/>
  <c r="E238" i="5078"/>
  <c r="E239" i="5078"/>
  <c r="E240" i="5078"/>
  <c r="E241" i="5078"/>
  <c r="E242" i="5078"/>
  <c r="E243" i="5078"/>
  <c r="E244" i="5078"/>
  <c r="E245" i="5078"/>
  <c r="E246" i="5078"/>
  <c r="E247" i="5078"/>
  <c r="E248" i="5078"/>
  <c r="E249" i="5078"/>
  <c r="E250" i="5078"/>
  <c r="E251" i="5078"/>
  <c r="E252" i="5078"/>
  <c r="E253" i="5078"/>
  <c r="E254" i="5078"/>
  <c r="E255" i="5078"/>
  <c r="E256" i="5078"/>
  <c r="E257" i="5078"/>
  <c r="E258" i="5078"/>
  <c r="E259" i="5078"/>
  <c r="E260" i="5078"/>
  <c r="E261" i="5078"/>
  <c r="E262" i="5078"/>
  <c r="E263" i="5078"/>
  <c r="E264" i="5078"/>
  <c r="E265" i="5078"/>
  <c r="E266" i="5078"/>
  <c r="E267" i="5078"/>
  <c r="E268" i="5078"/>
  <c r="E269" i="5078"/>
  <c r="E270" i="5078"/>
  <c r="E271" i="5078"/>
  <c r="E272" i="5078"/>
  <c r="E273" i="5078"/>
  <c r="E274" i="5078"/>
  <c r="E275" i="5078"/>
  <c r="E276" i="5078"/>
  <c r="E277" i="5078"/>
  <c r="E278" i="5078"/>
  <c r="E279" i="5078"/>
  <c r="E280" i="5078"/>
  <c r="E281" i="5078"/>
  <c r="E282" i="5078"/>
  <c r="E283" i="5078"/>
  <c r="E284" i="5078"/>
  <c r="E285" i="5078"/>
  <c r="E286" i="5078"/>
  <c r="E287" i="5078"/>
  <c r="E288" i="5078"/>
  <c r="E289" i="5078"/>
  <c r="E290" i="5078"/>
  <c r="E291" i="5078"/>
  <c r="E292" i="5078"/>
  <c r="E293" i="5078"/>
  <c r="E294" i="5078"/>
  <c r="E295" i="5078"/>
  <c r="E296" i="5078"/>
  <c r="E297" i="5078"/>
  <c r="E298" i="5078"/>
  <c r="E299" i="5078"/>
  <c r="E300" i="5078"/>
  <c r="E301" i="5078"/>
  <c r="E302" i="5078"/>
  <c r="E303" i="5078"/>
  <c r="E304" i="5078"/>
  <c r="E305" i="5078"/>
  <c r="E306" i="5078"/>
  <c r="E307" i="5078"/>
  <c r="E308" i="5078"/>
  <c r="E309" i="5078"/>
  <c r="E310" i="5078"/>
  <c r="E311" i="5078"/>
  <c r="E312" i="5078"/>
  <c r="E313" i="5078"/>
  <c r="E314" i="5078"/>
  <c r="E315" i="5078"/>
  <c r="E316" i="5078"/>
  <c r="E317" i="5078"/>
  <c r="E318" i="5078"/>
  <c r="E319" i="5078"/>
  <c r="E320" i="5078"/>
  <c r="E321" i="5078"/>
  <c r="E322" i="5078"/>
  <c r="E323" i="5078"/>
  <c r="E324" i="5078"/>
  <c r="E325" i="5078"/>
  <c r="E326" i="5078"/>
  <c r="E327" i="5078"/>
  <c r="E328" i="5078"/>
  <c r="E329" i="5078"/>
  <c r="E330" i="5078"/>
  <c r="E331" i="5078"/>
  <c r="E332" i="5078"/>
  <c r="E333" i="5078"/>
  <c r="E334" i="5078"/>
  <c r="E335" i="5078"/>
  <c r="E336" i="5078"/>
  <c r="E337" i="5078"/>
  <c r="E338" i="5078"/>
  <c r="E339" i="5078"/>
  <c r="E340" i="5078"/>
  <c r="E341" i="5078"/>
  <c r="E342" i="5078"/>
  <c r="E343" i="5078"/>
  <c r="E344" i="5078"/>
  <c r="E345" i="5078"/>
  <c r="E346" i="5078"/>
  <c r="E347" i="5078"/>
  <c r="E348" i="5078"/>
  <c r="E349" i="5078"/>
  <c r="E350" i="5078"/>
  <c r="E351" i="5078"/>
  <c r="E352" i="5078"/>
  <c r="E353" i="5078"/>
  <c r="E354" i="5078"/>
  <c r="E355" i="5078"/>
  <c r="E356" i="5078"/>
  <c r="E357" i="5078"/>
  <c r="E358" i="5078"/>
  <c r="E359" i="5078"/>
  <c r="E360" i="5078"/>
  <c r="E361" i="5078"/>
  <c r="E362" i="5078"/>
  <c r="E363" i="5078"/>
  <c r="E364" i="5078"/>
  <c r="E365" i="5078"/>
  <c r="E366" i="5078"/>
  <c r="E367" i="5078"/>
  <c r="E368" i="5078"/>
  <c r="E369" i="5078"/>
  <c r="E370" i="5078"/>
  <c r="E371" i="5078"/>
  <c r="E372" i="5078"/>
  <c r="E373" i="5078"/>
  <c r="E374" i="5078"/>
  <c r="E375" i="5078"/>
  <c r="E376" i="5078"/>
  <c r="E377" i="5078"/>
  <c r="E378" i="5078"/>
  <c r="E379" i="5078"/>
  <c r="E380" i="5078"/>
  <c r="E381" i="5078"/>
  <c r="E382" i="5078"/>
  <c r="E383" i="5078"/>
  <c r="E384" i="5078"/>
  <c r="E385" i="5078"/>
  <c r="E386" i="5078"/>
  <c r="E387" i="5078"/>
  <c r="E388" i="5078"/>
  <c r="E389" i="5078"/>
  <c r="E390" i="5078"/>
  <c r="E391" i="5078"/>
  <c r="E392" i="5078"/>
  <c r="E393" i="5078"/>
  <c r="E394" i="5078"/>
  <c r="E395" i="5078"/>
  <c r="E396" i="5078"/>
  <c r="E397" i="5078"/>
  <c r="E398" i="5078"/>
  <c r="E399" i="5078"/>
  <c r="E400" i="5078"/>
  <c r="E401" i="5078"/>
  <c r="E402" i="5078"/>
  <c r="E403" i="5078"/>
  <c r="E404" i="5078"/>
  <c r="E405" i="5078"/>
  <c r="E406" i="5078"/>
  <c r="E407" i="5078"/>
  <c r="E408" i="5078"/>
  <c r="E409" i="5078"/>
  <c r="E410" i="5078"/>
  <c r="E411" i="5078"/>
  <c r="E412" i="5078"/>
  <c r="E413" i="5078"/>
  <c r="E414" i="5078"/>
  <c r="E415" i="5078"/>
  <c r="E416" i="5078"/>
  <c r="E417" i="5078"/>
  <c r="E418" i="5078"/>
  <c r="E419" i="5078"/>
  <c r="E420" i="5078"/>
  <c r="E421" i="5078"/>
  <c r="E422" i="5078"/>
  <c r="E423" i="5078"/>
  <c r="E424" i="5078"/>
  <c r="E425" i="5078"/>
  <c r="E426" i="5078"/>
  <c r="E427" i="5078"/>
  <c r="E428" i="5078"/>
  <c r="E429" i="5078"/>
  <c r="E430" i="5078"/>
  <c r="E431" i="5078"/>
  <c r="E432" i="5078"/>
  <c r="E433" i="5078"/>
  <c r="E434" i="5078"/>
  <c r="E435" i="5078"/>
  <c r="E436" i="5078"/>
  <c r="E437" i="5078"/>
  <c r="E438" i="5078"/>
  <c r="E439" i="5078"/>
  <c r="E440" i="5078"/>
  <c r="E441" i="5078"/>
  <c r="E442" i="5078"/>
  <c r="E443" i="5078"/>
  <c r="E444" i="5078"/>
  <c r="E445" i="5078"/>
  <c r="E446" i="5078"/>
  <c r="E447" i="5078"/>
  <c r="E448" i="5078"/>
  <c r="E449" i="5078"/>
  <c r="E450" i="5078"/>
  <c r="E451" i="5078"/>
  <c r="E452" i="5078"/>
  <c r="E453" i="5078"/>
  <c r="E454" i="5078"/>
  <c r="E455" i="5078"/>
  <c r="E456" i="5078"/>
  <c r="E457" i="5078"/>
  <c r="E458" i="5078"/>
  <c r="E459" i="5078"/>
  <c r="E460" i="5078"/>
  <c r="E461" i="5078"/>
  <c r="E462" i="5078"/>
  <c r="E463" i="5078"/>
  <c r="E464" i="5078"/>
  <c r="E465" i="5078"/>
  <c r="E466" i="5078"/>
  <c r="E467" i="5078"/>
  <c r="E468" i="5078"/>
  <c r="E469" i="5078"/>
  <c r="E470" i="5078"/>
  <c r="E471" i="5078"/>
  <c r="E472" i="5078"/>
  <c r="E473" i="5078"/>
  <c r="E474" i="5078"/>
  <c r="E475" i="5078"/>
  <c r="E476" i="5078"/>
  <c r="E477" i="5078"/>
  <c r="E478" i="5078"/>
  <c r="E479" i="5078"/>
  <c r="E480" i="5078"/>
  <c r="E481" i="5078"/>
  <c r="E482" i="5078"/>
  <c r="E483" i="5078"/>
  <c r="E484" i="5078"/>
  <c r="E485" i="5078"/>
  <c r="E486" i="5078"/>
  <c r="E487" i="5078"/>
  <c r="E488" i="5078"/>
  <c r="E489" i="5078"/>
  <c r="E490" i="5078"/>
  <c r="E491" i="5078"/>
  <c r="E492" i="5078"/>
  <c r="E493" i="5078"/>
  <c r="E494" i="5078"/>
  <c r="E495" i="5078"/>
  <c r="E496" i="5078"/>
  <c r="E497" i="5078"/>
  <c r="E498" i="5078"/>
  <c r="E499" i="5078"/>
  <c r="E500" i="5078"/>
  <c r="E501" i="5078"/>
  <c r="E502" i="5078"/>
  <c r="E503" i="5078"/>
  <c r="E504" i="5078"/>
  <c r="E505" i="5078"/>
  <c r="D2" i="5083"/>
  <c r="D3" i="5083"/>
  <c r="D4" i="5083"/>
  <c r="D5" i="5083"/>
  <c r="D6" i="5083"/>
  <c r="D7" i="5083"/>
  <c r="D8" i="5083"/>
  <c r="D9" i="5083"/>
  <c r="D10" i="5083"/>
  <c r="D11" i="5083"/>
  <c r="D12" i="5083"/>
  <c r="D13" i="5083"/>
  <c r="D14" i="5083"/>
  <c r="D15" i="5083"/>
  <c r="D16" i="5083"/>
  <c r="D17" i="5083"/>
  <c r="D18" i="5083"/>
  <c r="D19" i="5083"/>
  <c r="D20" i="5083"/>
  <c r="D21" i="5083"/>
  <c r="D22" i="5083"/>
  <c r="D23" i="5083"/>
  <c r="D24" i="5083"/>
  <c r="D25" i="5083"/>
  <c r="D26" i="5083"/>
  <c r="D27" i="5083"/>
  <c r="D28" i="5083"/>
  <c r="D29" i="5083"/>
  <c r="D30" i="5083"/>
  <c r="D31" i="5083"/>
  <c r="D32" i="5083"/>
  <c r="D33" i="5083"/>
  <c r="D34" i="5083"/>
  <c r="D35" i="5083"/>
  <c r="D36" i="5083"/>
  <c r="D37" i="5083"/>
  <c r="D38" i="5083"/>
  <c r="D39" i="5083"/>
  <c r="D40" i="5083"/>
  <c r="D41" i="5083"/>
  <c r="D42" i="5083"/>
  <c r="D43" i="5083"/>
  <c r="D44" i="5083"/>
  <c r="D45" i="5083"/>
  <c r="D46" i="5083"/>
  <c r="D47" i="5083"/>
  <c r="D48" i="5083"/>
  <c r="D49" i="5083"/>
  <c r="D50" i="5083"/>
  <c r="D51" i="5083"/>
  <c r="D52" i="5083"/>
  <c r="D53" i="5083"/>
  <c r="D54" i="5083"/>
  <c r="D55" i="5083"/>
  <c r="D56" i="5083"/>
  <c r="D57" i="5083"/>
  <c r="D58" i="5083"/>
  <c r="D59" i="5083"/>
  <c r="D60" i="5083"/>
  <c r="D61" i="5083"/>
  <c r="D62" i="5083"/>
  <c r="D63" i="5083"/>
  <c r="D64" i="5083"/>
  <c r="D65" i="5083"/>
  <c r="D66" i="5083"/>
  <c r="D67" i="5083"/>
  <c r="D68" i="5083"/>
  <c r="D69" i="5083"/>
  <c r="D70" i="5083"/>
  <c r="D71" i="5083"/>
  <c r="D72" i="5083"/>
  <c r="D73" i="5083"/>
  <c r="D74" i="5083"/>
  <c r="D75" i="5083"/>
  <c r="D76" i="5083"/>
  <c r="D77" i="5083"/>
  <c r="D78" i="5083"/>
  <c r="D79" i="5083"/>
  <c r="D80" i="5083"/>
  <c r="D81" i="5083"/>
  <c r="D82" i="5083"/>
  <c r="D83" i="5083"/>
  <c r="D84" i="5083"/>
  <c r="D85" i="5083"/>
  <c r="D86" i="5083"/>
  <c r="D87" i="5083"/>
  <c r="D88" i="5083"/>
  <c r="D89" i="5083"/>
  <c r="D90" i="5083"/>
  <c r="D91" i="5083"/>
  <c r="D92" i="5083"/>
  <c r="D93" i="5083"/>
  <c r="D94" i="5083"/>
  <c r="D95" i="5083"/>
  <c r="D96" i="5083"/>
  <c r="D97" i="5083"/>
  <c r="D98" i="5083"/>
  <c r="D99" i="5083"/>
  <c r="D100" i="5083"/>
  <c r="D101" i="5083"/>
  <c r="D102" i="5083"/>
  <c r="D103" i="5083"/>
  <c r="D104" i="5083"/>
  <c r="D105" i="5083"/>
  <c r="D106" i="5083"/>
  <c r="D107" i="5083"/>
  <c r="D108" i="5083"/>
  <c r="D109" i="5083"/>
  <c r="D110" i="5083"/>
  <c r="D111" i="5083"/>
  <c r="D112" i="5083"/>
  <c r="D113" i="5083"/>
  <c r="D114" i="5083"/>
  <c r="D115" i="5083"/>
  <c r="D116" i="5083"/>
  <c r="D117" i="5083"/>
  <c r="D118" i="5083"/>
  <c r="D119" i="5083"/>
  <c r="D120" i="5083"/>
  <c r="D121" i="5083"/>
  <c r="D122" i="5083"/>
  <c r="D123" i="5083"/>
  <c r="D124" i="5083"/>
  <c r="D125" i="5083"/>
  <c r="D126" i="5083"/>
  <c r="D127" i="5083"/>
  <c r="D128" i="5083"/>
  <c r="D129" i="5083"/>
  <c r="D130" i="5083"/>
  <c r="D131" i="5083"/>
  <c r="D132" i="5083"/>
  <c r="D133" i="5083"/>
  <c r="D134" i="5083"/>
  <c r="D135" i="5083"/>
  <c r="D136" i="5083"/>
  <c r="D137" i="5083"/>
  <c r="D138" i="5083"/>
  <c r="D139" i="5083"/>
  <c r="D140" i="5083"/>
  <c r="D141" i="5083"/>
  <c r="D142" i="5083"/>
  <c r="D143" i="5083"/>
  <c r="D144" i="5083"/>
  <c r="D145" i="5083"/>
  <c r="D146" i="5083"/>
  <c r="D147" i="5083"/>
  <c r="D148" i="5083"/>
  <c r="D149" i="5083"/>
  <c r="D150" i="5083"/>
  <c r="D151" i="5083"/>
  <c r="D152" i="5083"/>
  <c r="D153" i="5083"/>
  <c r="D154" i="5083"/>
  <c r="D155" i="5083"/>
  <c r="D156" i="5083"/>
  <c r="D157" i="5083"/>
  <c r="D158" i="5083"/>
  <c r="D159" i="5083"/>
  <c r="D160" i="5083"/>
  <c r="D161" i="5083"/>
  <c r="D162" i="5083"/>
  <c r="D163" i="5083"/>
  <c r="D164" i="5083"/>
  <c r="D165" i="5083"/>
  <c r="D166" i="5083"/>
  <c r="D167" i="5083"/>
  <c r="D168" i="5083"/>
  <c r="D169" i="5083"/>
  <c r="D170" i="5083"/>
  <c r="D171" i="5083"/>
  <c r="D172" i="5083"/>
  <c r="D173" i="5083"/>
  <c r="D174" i="5083"/>
  <c r="D175" i="5083"/>
  <c r="D176" i="5083"/>
  <c r="D177" i="5083"/>
  <c r="D178" i="5083"/>
  <c r="D179" i="5083"/>
  <c r="D180" i="5083"/>
  <c r="D181" i="5083"/>
  <c r="D182" i="5083"/>
  <c r="D183" i="5083"/>
  <c r="D184" i="5083"/>
  <c r="D185" i="5083"/>
  <c r="D186" i="5083"/>
  <c r="D187" i="5083"/>
  <c r="D188" i="5083"/>
  <c r="D189" i="5083"/>
  <c r="D190" i="5083"/>
  <c r="D191" i="5083"/>
  <c r="D192" i="5083"/>
  <c r="D193" i="5083"/>
  <c r="D194" i="5083"/>
  <c r="D195" i="5083"/>
  <c r="D196" i="5083"/>
  <c r="D197" i="5083"/>
  <c r="D198" i="5083"/>
  <c r="D199" i="5083"/>
  <c r="D200" i="5083"/>
  <c r="D201" i="5083"/>
  <c r="D202" i="5083"/>
  <c r="D203" i="5083"/>
  <c r="D204" i="5083"/>
  <c r="D205" i="5083"/>
  <c r="D206" i="5083"/>
  <c r="D207" i="5083"/>
  <c r="D208" i="5083"/>
  <c r="D209" i="5083"/>
  <c r="D210" i="5083"/>
  <c r="D211" i="5083"/>
  <c r="D212" i="5083"/>
  <c r="D213" i="5083"/>
  <c r="D214" i="5083"/>
  <c r="D215" i="5083"/>
  <c r="D216" i="5083"/>
  <c r="D217" i="5083"/>
  <c r="D218" i="5083"/>
  <c r="D219" i="5083"/>
  <c r="D220" i="5083"/>
  <c r="D221" i="5083"/>
  <c r="D222" i="5083"/>
  <c r="D223" i="5083"/>
  <c r="D224" i="5083"/>
  <c r="D225" i="5083"/>
  <c r="D226" i="5083"/>
  <c r="D227" i="5083"/>
  <c r="D228" i="5083"/>
  <c r="D229" i="5083"/>
  <c r="D230" i="5083"/>
  <c r="D231" i="5083"/>
  <c r="D232" i="5083"/>
  <c r="D233" i="5083"/>
  <c r="D234" i="5083"/>
  <c r="D235" i="5083"/>
  <c r="D236" i="5083"/>
  <c r="D237" i="5083"/>
  <c r="D238" i="5083"/>
  <c r="D239" i="5083"/>
  <c r="D240" i="5083"/>
  <c r="D241" i="5083"/>
  <c r="D242" i="5083"/>
  <c r="D243" i="5083"/>
  <c r="D244" i="5083"/>
  <c r="D245" i="5083"/>
  <c r="D246" i="5083"/>
  <c r="D247" i="5083"/>
  <c r="D248" i="5083"/>
  <c r="D249" i="5083"/>
  <c r="D250" i="5083"/>
  <c r="D251" i="5083"/>
  <c r="D252" i="5083"/>
  <c r="D253" i="5083"/>
  <c r="D254" i="5083"/>
  <c r="D255" i="5083"/>
  <c r="D256" i="5083"/>
  <c r="D257" i="5083"/>
  <c r="D258" i="5083"/>
  <c r="D259" i="5083"/>
  <c r="D260" i="5083"/>
  <c r="D261" i="5083"/>
  <c r="D262" i="5083"/>
  <c r="D263" i="5083"/>
  <c r="D264" i="5083"/>
  <c r="D265" i="5083"/>
  <c r="D266" i="5083"/>
  <c r="D267" i="5083"/>
  <c r="D268" i="5083"/>
  <c r="D269" i="5083"/>
  <c r="D270" i="5083"/>
  <c r="D271" i="5083"/>
  <c r="D272" i="5083"/>
  <c r="D273" i="5083"/>
  <c r="D274" i="5083"/>
  <c r="D275" i="5083"/>
  <c r="D276" i="5083"/>
  <c r="D277" i="5083"/>
  <c r="D278" i="5083"/>
  <c r="D279" i="5083"/>
  <c r="D280" i="5083"/>
  <c r="D281" i="5083"/>
  <c r="D282" i="5083"/>
  <c r="D283" i="5083"/>
  <c r="D284" i="5083"/>
  <c r="D285" i="5083"/>
  <c r="D286" i="5083"/>
  <c r="D287" i="5083"/>
  <c r="D288" i="5083"/>
  <c r="D289" i="5083"/>
  <c r="D290" i="5083"/>
  <c r="D291" i="5083"/>
  <c r="D292" i="5083"/>
  <c r="D293" i="5083"/>
  <c r="D294" i="5083"/>
  <c r="D295" i="5083"/>
  <c r="D296" i="5083"/>
  <c r="D297" i="5083"/>
  <c r="D298" i="5083"/>
  <c r="D299" i="5083"/>
  <c r="D300" i="5083"/>
  <c r="D301" i="5083"/>
  <c r="D302" i="5083"/>
  <c r="D303" i="5083"/>
  <c r="D304" i="5083"/>
  <c r="D305" i="5083"/>
  <c r="D306" i="5083"/>
  <c r="D307" i="5083"/>
  <c r="D308" i="5083"/>
  <c r="D309" i="5083"/>
  <c r="D310" i="5083"/>
  <c r="D311" i="5083"/>
  <c r="D312" i="5083"/>
  <c r="D313" i="5083"/>
  <c r="D314" i="5083"/>
  <c r="D315" i="5083"/>
  <c r="D316" i="5083"/>
  <c r="D317" i="5083"/>
  <c r="D318" i="5083"/>
  <c r="D319" i="5083"/>
  <c r="D320" i="5083"/>
  <c r="D321" i="5083"/>
  <c r="D322" i="5083"/>
  <c r="D323" i="5083"/>
  <c r="D324" i="5083"/>
  <c r="D325" i="5083"/>
  <c r="D326" i="5083"/>
  <c r="D327" i="5083"/>
  <c r="D328" i="5083"/>
  <c r="D329" i="5083"/>
  <c r="D330" i="5083"/>
  <c r="D331" i="5083"/>
  <c r="D332" i="5083"/>
  <c r="D333" i="5083"/>
  <c r="D334" i="5083"/>
  <c r="D335" i="5083"/>
  <c r="D336" i="5083"/>
  <c r="D337" i="5083"/>
  <c r="D338" i="5083"/>
  <c r="D339" i="5083"/>
  <c r="D340" i="5083"/>
  <c r="D341" i="5083"/>
  <c r="D342" i="5083"/>
  <c r="D343" i="5083"/>
  <c r="D344" i="5083"/>
  <c r="D345" i="5083"/>
  <c r="D346" i="5083"/>
  <c r="D347" i="5083"/>
  <c r="D348" i="5083"/>
  <c r="D349" i="5083"/>
  <c r="D350" i="5083"/>
  <c r="D351" i="5083"/>
  <c r="D352" i="5083"/>
  <c r="D353" i="5083"/>
  <c r="D354" i="5083"/>
  <c r="D355" i="5083"/>
  <c r="D356" i="5083"/>
  <c r="D357" i="5083"/>
  <c r="D358" i="5083"/>
  <c r="D359" i="5083"/>
  <c r="D360" i="5083"/>
  <c r="D361" i="5083"/>
  <c r="D362" i="5083"/>
  <c r="D363" i="5083"/>
  <c r="D364" i="5083"/>
  <c r="D365" i="5083"/>
  <c r="D366" i="5083"/>
  <c r="D367" i="5083"/>
  <c r="D368" i="5083"/>
  <c r="D369" i="5083"/>
  <c r="D370" i="5083"/>
  <c r="D371" i="5083"/>
  <c r="D372" i="5083"/>
  <c r="D373" i="5083"/>
  <c r="D374" i="5083"/>
  <c r="D375" i="5083"/>
  <c r="D376" i="5083"/>
  <c r="D377" i="5083"/>
  <c r="D378" i="5083"/>
  <c r="D379" i="5083"/>
  <c r="D380" i="5083"/>
  <c r="D381" i="5083"/>
  <c r="D382" i="5083"/>
  <c r="D383" i="5083"/>
  <c r="D384" i="5083"/>
  <c r="D385" i="5083"/>
  <c r="D386" i="5083"/>
  <c r="D387" i="5083"/>
  <c r="D388" i="5083"/>
  <c r="D389" i="5083"/>
  <c r="D390" i="5083"/>
  <c r="D391" i="5083"/>
  <c r="D392" i="5083"/>
  <c r="D393" i="5083"/>
  <c r="D394" i="5083"/>
  <c r="D395" i="5083"/>
  <c r="D396" i="5083"/>
  <c r="D397" i="5083"/>
  <c r="D398" i="5083"/>
  <c r="D399" i="5083"/>
  <c r="D400" i="5083"/>
  <c r="D401" i="5083"/>
  <c r="D402" i="5083"/>
  <c r="D403" i="5083"/>
  <c r="D404" i="5083"/>
  <c r="D405" i="5083"/>
  <c r="D406" i="5083"/>
  <c r="D407" i="5083"/>
  <c r="D408" i="5083"/>
  <c r="D409" i="5083"/>
  <c r="D410" i="5083"/>
  <c r="D411" i="5083"/>
  <c r="D412" i="5083"/>
  <c r="D413" i="5083"/>
  <c r="D414" i="5083"/>
  <c r="D415" i="5083"/>
  <c r="D416" i="5083"/>
  <c r="D417" i="5083"/>
  <c r="D418" i="5083"/>
  <c r="D419" i="5083"/>
  <c r="D420" i="5083"/>
  <c r="D421" i="5083"/>
  <c r="D422" i="5083"/>
  <c r="D423" i="5083"/>
  <c r="D424" i="5083"/>
  <c r="D425" i="5083"/>
  <c r="D426" i="5083"/>
  <c r="D427" i="5083"/>
  <c r="D428" i="5083"/>
  <c r="D429" i="5083"/>
  <c r="D430" i="5083"/>
  <c r="D431" i="5083"/>
  <c r="D432" i="5083"/>
  <c r="D433" i="5083"/>
  <c r="D434" i="5083"/>
  <c r="D435" i="5083"/>
  <c r="D436" i="5083"/>
  <c r="D437" i="5083"/>
  <c r="D438" i="5083"/>
  <c r="D439" i="5083"/>
  <c r="D440" i="5083"/>
  <c r="D441" i="5083"/>
  <c r="D442" i="5083"/>
  <c r="D443" i="5083"/>
  <c r="D444" i="5083"/>
  <c r="D445" i="5083"/>
  <c r="D446" i="5083"/>
  <c r="D447" i="5083"/>
  <c r="D448" i="5083"/>
  <c r="D449" i="5083"/>
  <c r="D450" i="5083"/>
  <c r="D451" i="5083"/>
  <c r="D452" i="5083"/>
  <c r="D453" i="5083"/>
  <c r="D454" i="5083"/>
  <c r="D455" i="5083"/>
  <c r="D456" i="5083"/>
  <c r="D457" i="5083"/>
  <c r="D458" i="5083"/>
  <c r="D459" i="5083"/>
  <c r="D460" i="5083"/>
  <c r="D461" i="5083"/>
  <c r="D462" i="5083"/>
  <c r="D463" i="5083"/>
  <c r="D464" i="5083"/>
  <c r="D465" i="5083"/>
  <c r="D466" i="5083"/>
  <c r="D467" i="5083"/>
  <c r="D468" i="5083"/>
  <c r="D469" i="5083"/>
  <c r="D470" i="5083"/>
  <c r="D471" i="5083"/>
  <c r="D472" i="5083"/>
  <c r="D473" i="5083"/>
  <c r="D474" i="5083"/>
  <c r="D475" i="5083"/>
  <c r="D476" i="5083"/>
  <c r="D477" i="5083"/>
  <c r="D478" i="5083"/>
  <c r="D479" i="5083"/>
  <c r="D480" i="5083"/>
  <c r="D481" i="5083"/>
  <c r="D482" i="5083"/>
  <c r="D483" i="5083"/>
  <c r="D484" i="5083"/>
  <c r="D485" i="5083"/>
  <c r="D486" i="5083"/>
  <c r="D487" i="5083"/>
  <c r="D488" i="5083"/>
  <c r="D489" i="5083"/>
  <c r="D490" i="5083"/>
  <c r="D491" i="5083"/>
  <c r="D492" i="5083"/>
  <c r="D493" i="5083"/>
  <c r="D494" i="5083"/>
  <c r="D495" i="5083"/>
  <c r="D496" i="5083"/>
  <c r="D497" i="5083"/>
  <c r="D498" i="5083"/>
  <c r="D499" i="5083"/>
  <c r="D500" i="5083"/>
  <c r="D501" i="5083"/>
  <c r="D502" i="5083"/>
  <c r="D503" i="5083"/>
  <c r="D504" i="5083"/>
  <c r="D505" i="5083"/>
  <c r="D2" i="5082"/>
  <c r="D3" i="5082"/>
  <c r="D4" i="5082"/>
  <c r="D5" i="5082"/>
  <c r="D6" i="5082"/>
  <c r="D7" i="5082"/>
  <c r="D8" i="5082"/>
  <c r="D9" i="5082"/>
  <c r="D10" i="5082"/>
  <c r="D11" i="5082"/>
  <c r="D12" i="5082"/>
  <c r="D13" i="5082"/>
  <c r="D14" i="5082"/>
  <c r="D15" i="5082"/>
  <c r="D16" i="5082"/>
  <c r="D17" i="5082"/>
  <c r="D18" i="5082"/>
  <c r="D19" i="5082"/>
  <c r="D20" i="5082"/>
  <c r="D21" i="5082"/>
  <c r="D22" i="5082"/>
  <c r="D23" i="5082"/>
  <c r="D24" i="5082"/>
  <c r="D25" i="5082"/>
  <c r="D26" i="5082"/>
  <c r="D27" i="5082"/>
  <c r="D28" i="5082"/>
  <c r="D29" i="5082"/>
  <c r="D30" i="5082"/>
  <c r="D31" i="5082"/>
  <c r="D32" i="5082"/>
  <c r="D33" i="5082"/>
  <c r="D34" i="5082"/>
  <c r="D35" i="5082"/>
  <c r="D36" i="5082"/>
  <c r="D37" i="5082"/>
  <c r="D38" i="5082"/>
  <c r="D39" i="5082"/>
  <c r="D40" i="5082"/>
  <c r="D41" i="5082"/>
  <c r="D42" i="5082"/>
  <c r="D43" i="5082"/>
  <c r="D44" i="5082"/>
  <c r="D45" i="5082"/>
  <c r="D46" i="5082"/>
  <c r="D47" i="5082"/>
  <c r="D48" i="5082"/>
  <c r="D49" i="5082"/>
  <c r="D50" i="5082"/>
  <c r="D51" i="5082"/>
  <c r="D52" i="5082"/>
  <c r="D53" i="5082"/>
  <c r="D54" i="5082"/>
  <c r="D55" i="5082"/>
  <c r="D56" i="5082"/>
  <c r="D57" i="5082"/>
  <c r="D58" i="5082"/>
  <c r="D59" i="5082"/>
  <c r="D60" i="5082"/>
  <c r="D61" i="5082"/>
  <c r="D62" i="5082"/>
  <c r="D63" i="5082"/>
  <c r="D64" i="5082"/>
  <c r="D65" i="5082"/>
  <c r="D66" i="5082"/>
  <c r="D67" i="5082"/>
  <c r="D68" i="5082"/>
  <c r="D69" i="5082"/>
  <c r="D70" i="5082"/>
  <c r="D71" i="5082"/>
  <c r="D72" i="5082"/>
  <c r="D73" i="5082"/>
  <c r="D74" i="5082"/>
  <c r="D75" i="5082"/>
  <c r="D76" i="5082"/>
  <c r="D77" i="5082"/>
  <c r="D78" i="5082"/>
  <c r="D79" i="5082"/>
  <c r="D80" i="5082"/>
  <c r="D81" i="5082"/>
  <c r="D82" i="5082"/>
  <c r="D83" i="5082"/>
  <c r="D84" i="5082"/>
  <c r="D85" i="5082"/>
  <c r="D86" i="5082"/>
  <c r="D87" i="5082"/>
  <c r="D88" i="5082"/>
  <c r="D89" i="5082"/>
  <c r="D90" i="5082"/>
  <c r="D91" i="5082"/>
  <c r="D92" i="5082"/>
  <c r="D93" i="5082"/>
  <c r="D94" i="5082"/>
  <c r="D95" i="5082"/>
  <c r="D96" i="5082"/>
  <c r="D97" i="5082"/>
  <c r="D98" i="5082"/>
  <c r="D99" i="5082"/>
  <c r="D100" i="5082"/>
  <c r="D101" i="5082"/>
  <c r="D102" i="5082"/>
  <c r="D103" i="5082"/>
  <c r="D104" i="5082"/>
  <c r="D105" i="5082"/>
  <c r="D106" i="5082"/>
  <c r="D107" i="5082"/>
  <c r="D108" i="5082"/>
  <c r="D109" i="5082"/>
  <c r="D110" i="5082"/>
  <c r="D111" i="5082"/>
  <c r="D112" i="5082"/>
  <c r="D113" i="5082"/>
  <c r="D114" i="5082"/>
  <c r="D115" i="5082"/>
  <c r="D116" i="5082"/>
  <c r="D117" i="5082"/>
  <c r="D118" i="5082"/>
  <c r="D119" i="5082"/>
  <c r="D120" i="5082"/>
  <c r="D121" i="5082"/>
  <c r="D122" i="5082"/>
  <c r="D123" i="5082"/>
  <c r="D124" i="5082"/>
  <c r="D125" i="5082"/>
  <c r="D126" i="5082"/>
  <c r="D127" i="5082"/>
  <c r="D128" i="5082"/>
  <c r="D129" i="5082"/>
  <c r="D130" i="5082"/>
  <c r="D131" i="5082"/>
  <c r="D132" i="5082"/>
  <c r="D133" i="5082"/>
  <c r="D134" i="5082"/>
  <c r="D135" i="5082"/>
  <c r="D136" i="5082"/>
  <c r="D137" i="5082"/>
  <c r="D138" i="5082"/>
  <c r="D139" i="5082"/>
  <c r="D140" i="5082"/>
  <c r="D141" i="5082"/>
  <c r="D142" i="5082"/>
  <c r="D143" i="5082"/>
  <c r="D144" i="5082"/>
  <c r="D145" i="5082"/>
  <c r="D146" i="5082"/>
  <c r="D147" i="5082"/>
  <c r="D148" i="5082"/>
  <c r="D149" i="5082"/>
  <c r="D150" i="5082"/>
  <c r="D151" i="5082"/>
  <c r="D152" i="5082"/>
  <c r="D153" i="5082"/>
  <c r="D154" i="5082"/>
  <c r="D155" i="5082"/>
  <c r="D156" i="5082"/>
  <c r="D157" i="5082"/>
  <c r="D158" i="5082"/>
  <c r="D159" i="5082"/>
  <c r="D160" i="5082"/>
  <c r="D161" i="5082"/>
  <c r="D162" i="5082"/>
  <c r="D163" i="5082"/>
  <c r="D164" i="5082"/>
  <c r="D165" i="5082"/>
  <c r="D166" i="5082"/>
  <c r="D167" i="5082"/>
  <c r="D168" i="5082"/>
  <c r="D169" i="5082"/>
  <c r="D170" i="5082"/>
  <c r="D171" i="5082"/>
  <c r="D172" i="5082"/>
  <c r="D173" i="5082"/>
  <c r="D174" i="5082"/>
  <c r="D175" i="5082"/>
  <c r="D176" i="5082"/>
  <c r="D177" i="5082"/>
  <c r="D178" i="5082"/>
  <c r="D179" i="5082"/>
  <c r="D180" i="5082"/>
  <c r="D181" i="5082"/>
  <c r="D182" i="5082"/>
  <c r="D183" i="5082"/>
  <c r="D184" i="5082"/>
  <c r="D185" i="5082"/>
  <c r="D186" i="5082"/>
  <c r="D187" i="5082"/>
  <c r="D188" i="5082"/>
  <c r="D189" i="5082"/>
  <c r="D190" i="5082"/>
  <c r="D191" i="5082"/>
  <c r="D192" i="5082"/>
  <c r="D193" i="5082"/>
  <c r="D194" i="5082"/>
  <c r="D195" i="5082"/>
  <c r="D196" i="5082"/>
  <c r="D197" i="5082"/>
  <c r="D198" i="5082"/>
  <c r="D199" i="5082"/>
  <c r="D200" i="5082"/>
  <c r="D201" i="5082"/>
  <c r="D202" i="5082"/>
  <c r="D203" i="5082"/>
  <c r="D204" i="5082"/>
  <c r="D205" i="5082"/>
  <c r="D206" i="5082"/>
  <c r="D207" i="5082"/>
  <c r="D208" i="5082"/>
  <c r="D209" i="5082"/>
  <c r="D210" i="5082"/>
  <c r="D211" i="5082"/>
  <c r="D212" i="5082"/>
  <c r="D213" i="5082"/>
  <c r="D214" i="5082"/>
  <c r="D215" i="5082"/>
  <c r="D216" i="5082"/>
  <c r="D217" i="5082"/>
  <c r="D218" i="5082"/>
  <c r="D219" i="5082"/>
  <c r="D220" i="5082"/>
  <c r="D221" i="5082"/>
  <c r="D222" i="5082"/>
  <c r="D223" i="5082"/>
  <c r="D224" i="5082"/>
  <c r="D225" i="5082"/>
  <c r="D226" i="5082"/>
  <c r="D227" i="5082"/>
  <c r="D228" i="5082"/>
  <c r="D229" i="5082"/>
  <c r="D230" i="5082"/>
  <c r="D231" i="5082"/>
  <c r="D232" i="5082"/>
  <c r="D233" i="5082"/>
  <c r="D234" i="5082"/>
  <c r="D235" i="5082"/>
  <c r="D236" i="5082"/>
  <c r="D237" i="5082"/>
  <c r="D238" i="5082"/>
  <c r="D239" i="5082"/>
  <c r="D240" i="5082"/>
  <c r="D241" i="5082"/>
  <c r="D242" i="5082"/>
  <c r="D243" i="5082"/>
  <c r="D244" i="5082"/>
  <c r="D245" i="5082"/>
  <c r="D246" i="5082"/>
  <c r="D247" i="5082"/>
  <c r="D248" i="5082"/>
  <c r="D249" i="5082"/>
  <c r="D250" i="5082"/>
  <c r="D251" i="5082"/>
  <c r="D252" i="5082"/>
  <c r="D253" i="5082"/>
  <c r="D254" i="5082"/>
  <c r="D255" i="5082"/>
  <c r="D256" i="5082"/>
  <c r="D257" i="5082"/>
  <c r="D258" i="5082"/>
  <c r="D259" i="5082"/>
  <c r="D260" i="5082"/>
  <c r="D261" i="5082"/>
  <c r="D262" i="5082"/>
  <c r="D263" i="5082"/>
  <c r="D264" i="5082"/>
  <c r="D265" i="5082"/>
  <c r="D266" i="5082"/>
  <c r="D267" i="5082"/>
  <c r="D268" i="5082"/>
  <c r="D269" i="5082"/>
  <c r="D270" i="5082"/>
  <c r="D271" i="5082"/>
  <c r="D272" i="5082"/>
  <c r="D273" i="5082"/>
  <c r="D274" i="5082"/>
  <c r="D275" i="5082"/>
  <c r="D276" i="5082"/>
  <c r="D277" i="5082"/>
  <c r="D278" i="5082"/>
  <c r="D279" i="5082"/>
  <c r="D280" i="5082"/>
  <c r="D281" i="5082"/>
  <c r="D282" i="5082"/>
  <c r="D283" i="5082"/>
  <c r="D284" i="5082"/>
  <c r="D285" i="5082"/>
  <c r="D286" i="5082"/>
  <c r="D287" i="5082"/>
  <c r="D288" i="5082"/>
  <c r="D289" i="5082"/>
  <c r="D290" i="5082"/>
  <c r="D291" i="5082"/>
  <c r="D292" i="5082"/>
  <c r="D293" i="5082"/>
  <c r="D294" i="5082"/>
  <c r="D295" i="5082"/>
  <c r="D296" i="5082"/>
  <c r="D297" i="5082"/>
  <c r="D298" i="5082"/>
  <c r="D299" i="5082"/>
  <c r="D300" i="5082"/>
  <c r="D301" i="5082"/>
  <c r="D302" i="5082"/>
  <c r="D303" i="5082"/>
  <c r="D304" i="5082"/>
  <c r="D305" i="5082"/>
  <c r="D306" i="5082"/>
  <c r="D307" i="5082"/>
  <c r="D308" i="5082"/>
  <c r="D309" i="5082"/>
  <c r="D310" i="5082"/>
  <c r="D311" i="5082"/>
  <c r="D312" i="5082"/>
  <c r="D313" i="5082"/>
  <c r="D314" i="5082"/>
  <c r="D315" i="5082"/>
  <c r="D316" i="5082"/>
  <c r="D317" i="5082"/>
  <c r="D318" i="5082"/>
  <c r="D319" i="5082"/>
  <c r="D320" i="5082"/>
  <c r="D321" i="5082"/>
  <c r="D322" i="5082"/>
  <c r="D323" i="5082"/>
  <c r="D324" i="5082"/>
  <c r="D325" i="5082"/>
  <c r="D326" i="5082"/>
  <c r="D327" i="5082"/>
  <c r="D328" i="5082"/>
  <c r="D329" i="5082"/>
  <c r="D330" i="5082"/>
  <c r="D331" i="5082"/>
  <c r="D332" i="5082"/>
  <c r="D333" i="5082"/>
  <c r="D334" i="5082"/>
  <c r="D335" i="5082"/>
  <c r="D336" i="5082"/>
  <c r="D337" i="5082"/>
  <c r="D338" i="5082"/>
  <c r="D339" i="5082"/>
  <c r="D340" i="5082"/>
  <c r="D341" i="5082"/>
  <c r="D342" i="5082"/>
  <c r="D343" i="5082"/>
  <c r="D344" i="5082"/>
  <c r="D345" i="5082"/>
  <c r="D346" i="5082"/>
  <c r="D347" i="5082"/>
  <c r="D348" i="5082"/>
  <c r="D349" i="5082"/>
  <c r="D350" i="5082"/>
  <c r="D351" i="5082"/>
  <c r="D352" i="5082"/>
  <c r="D353" i="5082"/>
  <c r="D354" i="5082"/>
  <c r="D355" i="5082"/>
  <c r="D356" i="5082"/>
  <c r="D357" i="5082"/>
  <c r="D358" i="5082"/>
  <c r="D359" i="5082"/>
  <c r="D360" i="5082"/>
  <c r="D361" i="5082"/>
  <c r="D362" i="5082"/>
  <c r="D363" i="5082"/>
  <c r="D364" i="5082"/>
  <c r="D365" i="5082"/>
  <c r="D366" i="5082"/>
  <c r="D367" i="5082"/>
  <c r="D368" i="5082"/>
  <c r="D369" i="5082"/>
  <c r="D370" i="5082"/>
  <c r="D371" i="5082"/>
  <c r="D372" i="5082"/>
  <c r="D373" i="5082"/>
  <c r="D374" i="5082"/>
  <c r="D375" i="5082"/>
  <c r="D376" i="5082"/>
  <c r="D377" i="5082"/>
  <c r="D378" i="5082"/>
  <c r="D379" i="5082"/>
  <c r="D380" i="5082"/>
  <c r="D381" i="5082"/>
  <c r="D382" i="5082"/>
  <c r="D383" i="5082"/>
  <c r="D384" i="5082"/>
  <c r="D385" i="5082"/>
  <c r="D386" i="5082"/>
  <c r="D387" i="5082"/>
  <c r="D388" i="5082"/>
  <c r="D389" i="5082"/>
  <c r="D390" i="5082"/>
  <c r="D391" i="5082"/>
  <c r="D392" i="5082"/>
  <c r="D393" i="5082"/>
  <c r="D394" i="5082"/>
  <c r="D395" i="5082"/>
  <c r="D396" i="5082"/>
  <c r="D397" i="5082"/>
  <c r="D398" i="5082"/>
  <c r="D399" i="5082"/>
  <c r="D400" i="5082"/>
  <c r="D401" i="5082"/>
  <c r="D402" i="5082"/>
  <c r="D403" i="5082"/>
  <c r="D404" i="5082"/>
  <c r="D405" i="5082"/>
  <c r="D406" i="5082"/>
  <c r="D407" i="5082"/>
  <c r="D408" i="5082"/>
  <c r="D409" i="5082"/>
  <c r="D410" i="5082"/>
  <c r="D411" i="5082"/>
  <c r="D412" i="5082"/>
  <c r="D413" i="5082"/>
  <c r="D414" i="5082"/>
  <c r="D415" i="5082"/>
  <c r="D416" i="5082"/>
  <c r="D417" i="5082"/>
  <c r="D418" i="5082"/>
  <c r="D419" i="5082"/>
  <c r="D420" i="5082"/>
  <c r="D421" i="5082"/>
  <c r="D422" i="5082"/>
  <c r="D423" i="5082"/>
  <c r="D424" i="5082"/>
  <c r="D425" i="5082"/>
  <c r="D426" i="5082"/>
  <c r="D427" i="5082"/>
  <c r="D428" i="5082"/>
  <c r="D429" i="5082"/>
  <c r="D430" i="5082"/>
  <c r="D431" i="5082"/>
  <c r="D432" i="5082"/>
  <c r="D433" i="5082"/>
  <c r="D434" i="5082"/>
  <c r="D435" i="5082"/>
  <c r="D436" i="5082"/>
  <c r="D437" i="5082"/>
  <c r="D438" i="5082"/>
  <c r="D439" i="5082"/>
  <c r="D440" i="5082"/>
  <c r="D441" i="5082"/>
  <c r="D442" i="5082"/>
  <c r="D443" i="5082"/>
  <c r="D444" i="5082"/>
  <c r="D445" i="5082"/>
  <c r="D446" i="5082"/>
  <c r="D447" i="5082"/>
  <c r="D448" i="5082"/>
  <c r="D449" i="5082"/>
  <c r="D450" i="5082"/>
  <c r="D451" i="5082"/>
  <c r="D452" i="5082"/>
  <c r="D453" i="5082"/>
  <c r="D454" i="5082"/>
  <c r="D455" i="5082"/>
  <c r="D456" i="5082"/>
  <c r="D457" i="5082"/>
  <c r="D458" i="5082"/>
  <c r="D459" i="5082"/>
  <c r="D460" i="5082"/>
  <c r="D461" i="5082"/>
  <c r="D462" i="5082"/>
  <c r="D463" i="5082"/>
  <c r="D464" i="5082"/>
  <c r="D465" i="5082"/>
  <c r="D466" i="5082"/>
  <c r="D467" i="5082"/>
  <c r="D468" i="5082"/>
  <c r="D469" i="5082"/>
  <c r="D470" i="5082"/>
  <c r="D471" i="5082"/>
  <c r="D472" i="5082"/>
  <c r="D473" i="5082"/>
  <c r="D474" i="5082"/>
  <c r="D475" i="5082"/>
  <c r="D476" i="5082"/>
  <c r="D477" i="5082"/>
  <c r="D478" i="5082"/>
  <c r="D479" i="5082"/>
  <c r="D480" i="5082"/>
  <c r="D481" i="5082"/>
  <c r="D482" i="5082"/>
  <c r="D483" i="5082"/>
  <c r="D484" i="5082"/>
  <c r="D485" i="5082"/>
  <c r="D486" i="5082"/>
  <c r="D487" i="5082"/>
  <c r="D488" i="5082"/>
  <c r="D489" i="5082"/>
  <c r="D490" i="5082"/>
  <c r="D491" i="5082"/>
  <c r="D492" i="5082"/>
  <c r="D493" i="5082"/>
  <c r="D494" i="5082"/>
  <c r="D495" i="5082"/>
  <c r="D496" i="5082"/>
  <c r="D497" i="5082"/>
  <c r="D498" i="5082"/>
  <c r="D499" i="5082"/>
  <c r="D500" i="5082"/>
  <c r="D501" i="5082"/>
  <c r="D502" i="5082"/>
  <c r="D503" i="5082"/>
  <c r="D504" i="5082"/>
  <c r="D505" i="5082"/>
  <c r="D2" i="5081"/>
  <c r="D3" i="5081"/>
  <c r="D4" i="5081"/>
  <c r="D5" i="5081"/>
  <c r="D6" i="5081"/>
  <c r="D7" i="5081"/>
  <c r="D8" i="5081"/>
  <c r="D9" i="5081"/>
  <c r="D10" i="5081"/>
  <c r="D11" i="5081"/>
  <c r="D12" i="5081"/>
  <c r="D13" i="5081"/>
  <c r="D14" i="5081"/>
  <c r="D15" i="5081"/>
  <c r="D16" i="5081"/>
  <c r="D17" i="5081"/>
  <c r="D18" i="5081"/>
  <c r="D19" i="5081"/>
  <c r="D20" i="5081"/>
  <c r="D21" i="5081"/>
  <c r="D22" i="5081"/>
  <c r="D23" i="5081"/>
  <c r="D24" i="5081"/>
  <c r="D25" i="5081"/>
  <c r="D26" i="5081"/>
  <c r="D27" i="5081"/>
  <c r="D28" i="5081"/>
  <c r="D29" i="5081"/>
  <c r="D30" i="5081"/>
  <c r="D31" i="5081"/>
  <c r="D32" i="5081"/>
  <c r="D33" i="5081"/>
  <c r="D34" i="5081"/>
  <c r="D35" i="5081"/>
  <c r="D36" i="5081"/>
  <c r="D37" i="5081"/>
  <c r="D38" i="5081"/>
  <c r="D39" i="5081"/>
  <c r="D40" i="5081"/>
  <c r="D41" i="5081"/>
  <c r="D42" i="5081"/>
  <c r="D43" i="5081"/>
  <c r="D44" i="5081"/>
  <c r="D45" i="5081"/>
  <c r="D46" i="5081"/>
  <c r="D47" i="5081"/>
  <c r="D48" i="5081"/>
  <c r="D49" i="5081"/>
  <c r="D50" i="5081"/>
  <c r="D51" i="5081"/>
  <c r="D52" i="5081"/>
  <c r="D53" i="5081"/>
  <c r="D54" i="5081"/>
  <c r="D55" i="5081"/>
  <c r="D56" i="5081"/>
  <c r="D57" i="5081"/>
  <c r="D58" i="5081"/>
  <c r="D59" i="5081"/>
  <c r="D60" i="5081"/>
  <c r="D61" i="5081"/>
  <c r="D62" i="5081"/>
  <c r="D63" i="5081"/>
  <c r="D64" i="5081"/>
  <c r="D65" i="5081"/>
  <c r="D66" i="5081"/>
  <c r="D67" i="5081"/>
  <c r="D68" i="5081"/>
  <c r="D69" i="5081"/>
  <c r="D70" i="5081"/>
  <c r="D71" i="5081"/>
  <c r="D72" i="5081"/>
  <c r="D73" i="5081"/>
  <c r="D74" i="5081"/>
  <c r="D75" i="5081"/>
  <c r="D76" i="5081"/>
  <c r="D77" i="5081"/>
  <c r="D78" i="5081"/>
  <c r="D79" i="5081"/>
  <c r="D80" i="5081"/>
  <c r="D81" i="5081"/>
  <c r="D82" i="5081"/>
  <c r="D83" i="5081"/>
  <c r="D84" i="5081"/>
  <c r="D85" i="5081"/>
  <c r="D86" i="5081"/>
  <c r="D87" i="5081"/>
  <c r="D88" i="5081"/>
  <c r="D89" i="5081"/>
  <c r="D90" i="5081"/>
  <c r="D91" i="5081"/>
  <c r="D92" i="5081"/>
  <c r="D93" i="5081"/>
  <c r="D94" i="5081"/>
  <c r="D95" i="5081"/>
  <c r="D96" i="5081"/>
  <c r="D97" i="5081"/>
  <c r="D98" i="5081"/>
  <c r="D99" i="5081"/>
  <c r="D100" i="5081"/>
  <c r="D101" i="5081"/>
  <c r="D102" i="5081"/>
  <c r="D103" i="5081"/>
  <c r="D104" i="5081"/>
  <c r="D105" i="5081"/>
  <c r="D106" i="5081"/>
  <c r="D107" i="5081"/>
  <c r="D108" i="5081"/>
  <c r="D109" i="5081"/>
  <c r="D110" i="5081"/>
  <c r="D111" i="5081"/>
  <c r="D112" i="5081"/>
  <c r="D113" i="5081"/>
  <c r="D114" i="5081"/>
  <c r="D115" i="5081"/>
  <c r="D116" i="5081"/>
  <c r="D117" i="5081"/>
  <c r="D118" i="5081"/>
  <c r="D119" i="5081"/>
  <c r="D120" i="5081"/>
  <c r="D121" i="5081"/>
  <c r="D122" i="5081"/>
  <c r="D123" i="5081"/>
  <c r="D124" i="5081"/>
  <c r="D125" i="5081"/>
  <c r="D126" i="5081"/>
  <c r="D127" i="5081"/>
  <c r="D128" i="5081"/>
  <c r="D129" i="5081"/>
  <c r="D130" i="5081"/>
  <c r="D131" i="5081"/>
  <c r="D132" i="5081"/>
  <c r="D133" i="5081"/>
  <c r="D134" i="5081"/>
  <c r="D135" i="5081"/>
  <c r="D136" i="5081"/>
  <c r="D137" i="5081"/>
  <c r="D138" i="5081"/>
  <c r="D139" i="5081"/>
  <c r="D140" i="5081"/>
  <c r="D141" i="5081"/>
  <c r="D142" i="5081"/>
  <c r="D143" i="5081"/>
  <c r="D144" i="5081"/>
  <c r="D145" i="5081"/>
  <c r="D146" i="5081"/>
  <c r="D147" i="5081"/>
  <c r="D148" i="5081"/>
  <c r="D149" i="5081"/>
  <c r="D150" i="5081"/>
  <c r="D151" i="5081"/>
  <c r="D152" i="5081"/>
  <c r="D153" i="5081"/>
  <c r="D154" i="5081"/>
  <c r="D155" i="5081"/>
  <c r="D156" i="5081"/>
  <c r="D157" i="5081"/>
  <c r="D158" i="5081"/>
  <c r="D159" i="5081"/>
  <c r="D160" i="5081"/>
  <c r="D161" i="5081"/>
  <c r="D162" i="5081"/>
  <c r="D163" i="5081"/>
  <c r="D164" i="5081"/>
  <c r="D165" i="5081"/>
  <c r="D166" i="5081"/>
  <c r="D167" i="5081"/>
  <c r="D168" i="5081"/>
  <c r="D169" i="5081"/>
  <c r="D170" i="5081"/>
  <c r="D171" i="5081"/>
  <c r="D172" i="5081"/>
  <c r="D173" i="5081"/>
  <c r="D174" i="5081"/>
  <c r="D175" i="5081"/>
  <c r="D176" i="5081"/>
  <c r="D177" i="5081"/>
  <c r="D178" i="5081"/>
  <c r="D179" i="5081"/>
  <c r="D180" i="5081"/>
  <c r="D181" i="5081"/>
  <c r="D182" i="5081"/>
  <c r="D183" i="5081"/>
  <c r="D184" i="5081"/>
  <c r="D185" i="5081"/>
  <c r="D186" i="5081"/>
  <c r="D187" i="5081"/>
  <c r="D188" i="5081"/>
  <c r="D189" i="5081"/>
  <c r="D190" i="5081"/>
  <c r="D191" i="5081"/>
  <c r="D192" i="5081"/>
  <c r="D193" i="5081"/>
  <c r="D194" i="5081"/>
  <c r="D195" i="5081"/>
  <c r="D196" i="5081"/>
  <c r="D197" i="5081"/>
  <c r="D198" i="5081"/>
  <c r="D199" i="5081"/>
  <c r="D200" i="5081"/>
  <c r="D201" i="5081"/>
  <c r="D202" i="5081"/>
  <c r="D203" i="5081"/>
  <c r="D204" i="5081"/>
  <c r="D205" i="5081"/>
  <c r="D206" i="5081"/>
  <c r="D207" i="5081"/>
  <c r="D208" i="5081"/>
  <c r="D209" i="5081"/>
  <c r="D210" i="5081"/>
  <c r="D211" i="5081"/>
  <c r="D212" i="5081"/>
  <c r="D213" i="5081"/>
  <c r="D214" i="5081"/>
  <c r="D215" i="5081"/>
  <c r="D216" i="5081"/>
  <c r="D217" i="5081"/>
  <c r="D218" i="5081"/>
  <c r="D219" i="5081"/>
  <c r="D220" i="5081"/>
  <c r="D221" i="5081"/>
  <c r="D222" i="5081"/>
  <c r="D223" i="5081"/>
  <c r="D224" i="5081"/>
  <c r="D225" i="5081"/>
  <c r="D226" i="5081"/>
  <c r="D227" i="5081"/>
  <c r="D228" i="5081"/>
  <c r="D229" i="5081"/>
  <c r="D230" i="5081"/>
  <c r="D231" i="5081"/>
  <c r="D232" i="5081"/>
  <c r="D233" i="5081"/>
  <c r="D234" i="5081"/>
  <c r="D235" i="5081"/>
  <c r="D236" i="5081"/>
  <c r="D237" i="5081"/>
  <c r="D238" i="5081"/>
  <c r="D239" i="5081"/>
  <c r="D240" i="5081"/>
  <c r="D241" i="5081"/>
  <c r="D242" i="5081"/>
  <c r="D243" i="5081"/>
  <c r="D244" i="5081"/>
  <c r="D245" i="5081"/>
  <c r="D246" i="5081"/>
  <c r="D247" i="5081"/>
  <c r="D248" i="5081"/>
  <c r="D249" i="5081"/>
  <c r="D250" i="5081"/>
  <c r="D251" i="5081"/>
  <c r="D252" i="5081"/>
  <c r="D253" i="5081"/>
  <c r="D254" i="5081"/>
  <c r="D255" i="5081"/>
  <c r="D256" i="5081"/>
  <c r="D257" i="5081"/>
  <c r="D258" i="5081"/>
  <c r="D259" i="5081"/>
  <c r="D260" i="5081"/>
  <c r="D261" i="5081"/>
  <c r="D262" i="5081"/>
  <c r="D263" i="5081"/>
  <c r="D264" i="5081"/>
  <c r="D265" i="5081"/>
  <c r="D266" i="5081"/>
  <c r="D267" i="5081"/>
  <c r="D268" i="5081"/>
  <c r="D269" i="5081"/>
  <c r="D270" i="5081"/>
  <c r="D271" i="5081"/>
  <c r="D272" i="5081"/>
  <c r="D273" i="5081"/>
  <c r="D274" i="5081"/>
  <c r="D275" i="5081"/>
  <c r="D276" i="5081"/>
  <c r="D277" i="5081"/>
  <c r="D278" i="5081"/>
  <c r="D279" i="5081"/>
  <c r="D280" i="5081"/>
  <c r="D281" i="5081"/>
  <c r="D282" i="5081"/>
  <c r="D283" i="5081"/>
  <c r="D284" i="5081"/>
  <c r="D285" i="5081"/>
  <c r="D286" i="5081"/>
  <c r="D287" i="5081"/>
  <c r="D288" i="5081"/>
  <c r="D289" i="5081"/>
  <c r="D290" i="5081"/>
  <c r="D291" i="5081"/>
  <c r="D292" i="5081"/>
  <c r="D293" i="5081"/>
  <c r="D294" i="5081"/>
  <c r="D295" i="5081"/>
  <c r="D296" i="5081"/>
  <c r="D297" i="5081"/>
  <c r="D298" i="5081"/>
  <c r="D299" i="5081"/>
  <c r="D300" i="5081"/>
  <c r="D301" i="5081"/>
  <c r="D302" i="5081"/>
  <c r="D303" i="5081"/>
  <c r="D304" i="5081"/>
  <c r="D305" i="5081"/>
  <c r="D306" i="5081"/>
  <c r="D307" i="5081"/>
  <c r="D308" i="5081"/>
  <c r="D309" i="5081"/>
  <c r="D310" i="5081"/>
  <c r="D311" i="5081"/>
  <c r="D312" i="5081"/>
  <c r="D313" i="5081"/>
  <c r="D314" i="5081"/>
  <c r="D315" i="5081"/>
  <c r="D316" i="5081"/>
  <c r="D317" i="5081"/>
  <c r="D318" i="5081"/>
  <c r="D319" i="5081"/>
  <c r="D320" i="5081"/>
  <c r="D321" i="5081"/>
  <c r="D322" i="5081"/>
  <c r="D323" i="5081"/>
  <c r="D324" i="5081"/>
  <c r="D325" i="5081"/>
  <c r="D326" i="5081"/>
  <c r="D327" i="5081"/>
  <c r="D328" i="5081"/>
  <c r="D329" i="5081"/>
  <c r="D330" i="5081"/>
  <c r="D331" i="5081"/>
  <c r="D332" i="5081"/>
  <c r="D333" i="5081"/>
  <c r="D334" i="5081"/>
  <c r="D335" i="5081"/>
  <c r="D336" i="5081"/>
  <c r="D337" i="5081"/>
  <c r="D338" i="5081"/>
  <c r="D339" i="5081"/>
  <c r="D340" i="5081"/>
  <c r="D341" i="5081"/>
  <c r="D342" i="5081"/>
  <c r="D343" i="5081"/>
  <c r="D344" i="5081"/>
  <c r="D345" i="5081"/>
  <c r="D346" i="5081"/>
  <c r="D347" i="5081"/>
  <c r="D348" i="5081"/>
  <c r="D349" i="5081"/>
  <c r="D350" i="5081"/>
  <c r="D351" i="5081"/>
  <c r="D352" i="5081"/>
  <c r="D353" i="5081"/>
  <c r="D354" i="5081"/>
  <c r="D355" i="5081"/>
  <c r="D356" i="5081"/>
  <c r="D357" i="5081"/>
  <c r="D358" i="5081"/>
  <c r="D359" i="5081"/>
  <c r="D360" i="5081"/>
  <c r="D361" i="5081"/>
  <c r="D362" i="5081"/>
  <c r="D363" i="5081"/>
  <c r="D364" i="5081"/>
  <c r="D365" i="5081"/>
  <c r="D366" i="5081"/>
  <c r="D367" i="5081"/>
  <c r="D368" i="5081"/>
  <c r="D369" i="5081"/>
  <c r="D370" i="5081"/>
  <c r="D371" i="5081"/>
  <c r="D372" i="5081"/>
  <c r="D373" i="5081"/>
  <c r="D374" i="5081"/>
  <c r="D375" i="5081"/>
  <c r="D376" i="5081"/>
  <c r="D377" i="5081"/>
  <c r="D378" i="5081"/>
  <c r="D379" i="5081"/>
  <c r="D380" i="5081"/>
  <c r="D381" i="5081"/>
  <c r="D382" i="5081"/>
  <c r="D383" i="5081"/>
  <c r="D384" i="5081"/>
  <c r="D385" i="5081"/>
  <c r="D386" i="5081"/>
  <c r="D387" i="5081"/>
  <c r="D388" i="5081"/>
  <c r="D389" i="5081"/>
  <c r="D390" i="5081"/>
  <c r="D391" i="5081"/>
  <c r="D392" i="5081"/>
  <c r="D393" i="5081"/>
  <c r="D394" i="5081"/>
  <c r="D395" i="5081"/>
  <c r="D396" i="5081"/>
  <c r="D397" i="5081"/>
  <c r="D398" i="5081"/>
  <c r="D399" i="5081"/>
  <c r="D400" i="5081"/>
  <c r="D401" i="5081"/>
  <c r="D402" i="5081"/>
  <c r="D403" i="5081"/>
  <c r="D404" i="5081"/>
  <c r="D405" i="5081"/>
  <c r="D406" i="5081"/>
  <c r="D407" i="5081"/>
  <c r="D408" i="5081"/>
  <c r="D409" i="5081"/>
  <c r="D410" i="5081"/>
  <c r="D411" i="5081"/>
  <c r="D412" i="5081"/>
  <c r="D413" i="5081"/>
  <c r="D414" i="5081"/>
  <c r="D415" i="5081"/>
  <c r="D416" i="5081"/>
  <c r="D417" i="5081"/>
  <c r="D418" i="5081"/>
  <c r="D419" i="5081"/>
  <c r="D420" i="5081"/>
  <c r="D421" i="5081"/>
  <c r="D422" i="5081"/>
  <c r="D423" i="5081"/>
  <c r="D424" i="5081"/>
  <c r="D425" i="5081"/>
  <c r="D426" i="5081"/>
  <c r="D427" i="5081"/>
  <c r="D428" i="5081"/>
  <c r="D429" i="5081"/>
  <c r="D430" i="5081"/>
  <c r="D431" i="5081"/>
  <c r="D432" i="5081"/>
  <c r="D433" i="5081"/>
  <c r="D434" i="5081"/>
  <c r="D435" i="5081"/>
  <c r="D436" i="5081"/>
  <c r="D437" i="5081"/>
  <c r="D438" i="5081"/>
  <c r="D439" i="5081"/>
  <c r="D440" i="5081"/>
  <c r="D441" i="5081"/>
  <c r="D442" i="5081"/>
  <c r="D443" i="5081"/>
  <c r="D444" i="5081"/>
  <c r="D445" i="5081"/>
  <c r="D446" i="5081"/>
  <c r="D447" i="5081"/>
  <c r="D448" i="5081"/>
  <c r="D449" i="5081"/>
  <c r="D450" i="5081"/>
  <c r="D451" i="5081"/>
  <c r="D452" i="5081"/>
  <c r="D453" i="5081"/>
  <c r="D454" i="5081"/>
  <c r="D455" i="5081"/>
  <c r="D456" i="5081"/>
  <c r="D457" i="5081"/>
  <c r="D458" i="5081"/>
  <c r="D459" i="5081"/>
  <c r="D460" i="5081"/>
  <c r="D461" i="5081"/>
  <c r="D462" i="5081"/>
  <c r="D463" i="5081"/>
  <c r="D464" i="5081"/>
  <c r="D465" i="5081"/>
  <c r="D466" i="5081"/>
  <c r="D467" i="5081"/>
  <c r="D468" i="5081"/>
  <c r="D469" i="5081"/>
  <c r="D470" i="5081"/>
  <c r="D471" i="5081"/>
  <c r="D472" i="5081"/>
  <c r="D473" i="5081"/>
  <c r="D474" i="5081"/>
  <c r="D475" i="5081"/>
  <c r="D476" i="5081"/>
  <c r="D477" i="5081"/>
  <c r="D478" i="5081"/>
  <c r="D479" i="5081"/>
  <c r="D480" i="5081"/>
  <c r="D481" i="5081"/>
  <c r="D482" i="5081"/>
  <c r="D483" i="5081"/>
  <c r="D484" i="5081"/>
  <c r="D485" i="5081"/>
  <c r="D486" i="5081"/>
  <c r="D487" i="5081"/>
  <c r="D488" i="5081"/>
  <c r="D489" i="5081"/>
  <c r="D490" i="5081"/>
  <c r="D491" i="5081"/>
  <c r="D492" i="5081"/>
  <c r="D493" i="5081"/>
  <c r="D494" i="5081"/>
  <c r="D495" i="5081"/>
  <c r="D496" i="5081"/>
  <c r="D497" i="5081"/>
  <c r="D498" i="5081"/>
  <c r="D499" i="5081"/>
  <c r="D500" i="5081"/>
  <c r="D501" i="5081"/>
  <c r="D502" i="5081"/>
  <c r="D503" i="5081"/>
  <c r="D504" i="5081"/>
  <c r="D505" i="5081"/>
  <c r="D2" i="5080"/>
  <c r="D3" i="5080"/>
  <c r="D4" i="5080"/>
  <c r="D5" i="5080"/>
  <c r="D6" i="5080"/>
  <c r="D7" i="5080"/>
  <c r="D8" i="5080"/>
  <c r="D9" i="5080"/>
  <c r="D10" i="5080"/>
  <c r="D11" i="5080"/>
  <c r="D12" i="5080"/>
  <c r="D13" i="5080"/>
  <c r="D14" i="5080"/>
  <c r="D15" i="5080"/>
  <c r="D16" i="5080"/>
  <c r="D17" i="5080"/>
  <c r="D18" i="5080"/>
  <c r="D19" i="5080"/>
  <c r="D20" i="5080"/>
  <c r="D21" i="5080"/>
  <c r="D22" i="5080"/>
  <c r="D23" i="5080"/>
  <c r="D24" i="5080"/>
  <c r="D25" i="5080"/>
  <c r="D26" i="5080"/>
  <c r="D27" i="5080"/>
  <c r="D28" i="5080"/>
  <c r="D29" i="5080"/>
  <c r="D30" i="5080"/>
  <c r="D31" i="5080"/>
  <c r="D32" i="5080"/>
  <c r="D33" i="5080"/>
  <c r="D34" i="5080"/>
  <c r="D35" i="5080"/>
  <c r="D36" i="5080"/>
  <c r="D37" i="5080"/>
  <c r="D38" i="5080"/>
  <c r="D39" i="5080"/>
  <c r="D40" i="5080"/>
  <c r="D41" i="5080"/>
  <c r="D42" i="5080"/>
  <c r="D43" i="5080"/>
  <c r="D44" i="5080"/>
  <c r="D45" i="5080"/>
  <c r="D46" i="5080"/>
  <c r="D47" i="5080"/>
  <c r="D48" i="5080"/>
  <c r="D49" i="5080"/>
  <c r="D50" i="5080"/>
  <c r="D51" i="5080"/>
  <c r="D52" i="5080"/>
  <c r="D53" i="5080"/>
  <c r="D54" i="5080"/>
  <c r="D55" i="5080"/>
  <c r="D56" i="5080"/>
  <c r="D57" i="5080"/>
  <c r="D58" i="5080"/>
  <c r="D59" i="5080"/>
  <c r="D60" i="5080"/>
  <c r="D61" i="5080"/>
  <c r="D62" i="5080"/>
  <c r="D63" i="5080"/>
  <c r="D64" i="5080"/>
  <c r="D65" i="5080"/>
  <c r="D66" i="5080"/>
  <c r="D67" i="5080"/>
  <c r="D68" i="5080"/>
  <c r="D69" i="5080"/>
  <c r="D70" i="5080"/>
  <c r="D71" i="5080"/>
  <c r="D72" i="5080"/>
  <c r="D73" i="5080"/>
  <c r="D74" i="5080"/>
  <c r="D75" i="5080"/>
  <c r="D76" i="5080"/>
  <c r="D77" i="5080"/>
  <c r="D78" i="5080"/>
  <c r="D79" i="5080"/>
  <c r="D80" i="5080"/>
  <c r="D81" i="5080"/>
  <c r="D82" i="5080"/>
  <c r="D83" i="5080"/>
  <c r="D84" i="5080"/>
  <c r="D85" i="5080"/>
  <c r="D86" i="5080"/>
  <c r="D87" i="5080"/>
  <c r="D88" i="5080"/>
  <c r="D89" i="5080"/>
  <c r="D90" i="5080"/>
  <c r="D91" i="5080"/>
  <c r="D92" i="5080"/>
  <c r="D93" i="5080"/>
  <c r="D94" i="5080"/>
  <c r="D95" i="5080"/>
  <c r="D96" i="5080"/>
  <c r="D97" i="5080"/>
  <c r="D98" i="5080"/>
  <c r="D99" i="5080"/>
  <c r="D100" i="5080"/>
  <c r="D101" i="5080"/>
  <c r="D102" i="5080"/>
  <c r="D103" i="5080"/>
  <c r="D104" i="5080"/>
  <c r="D105" i="5080"/>
  <c r="D106" i="5080"/>
  <c r="D107" i="5080"/>
  <c r="D108" i="5080"/>
  <c r="D109" i="5080"/>
  <c r="D110" i="5080"/>
  <c r="D111" i="5080"/>
  <c r="D112" i="5080"/>
  <c r="D113" i="5080"/>
  <c r="D114" i="5080"/>
  <c r="D115" i="5080"/>
  <c r="D116" i="5080"/>
  <c r="D117" i="5080"/>
  <c r="D118" i="5080"/>
  <c r="D119" i="5080"/>
  <c r="D120" i="5080"/>
  <c r="D121" i="5080"/>
  <c r="D122" i="5080"/>
  <c r="D123" i="5080"/>
  <c r="D124" i="5080"/>
  <c r="D125" i="5080"/>
  <c r="D126" i="5080"/>
  <c r="D127" i="5080"/>
  <c r="D128" i="5080"/>
  <c r="D129" i="5080"/>
  <c r="D130" i="5080"/>
  <c r="D131" i="5080"/>
  <c r="D132" i="5080"/>
  <c r="D133" i="5080"/>
  <c r="D134" i="5080"/>
  <c r="D135" i="5080"/>
  <c r="D136" i="5080"/>
  <c r="D137" i="5080"/>
  <c r="D138" i="5080"/>
  <c r="D139" i="5080"/>
  <c r="D140" i="5080"/>
  <c r="D141" i="5080"/>
  <c r="D142" i="5080"/>
  <c r="D143" i="5080"/>
  <c r="D144" i="5080"/>
  <c r="D145" i="5080"/>
  <c r="D146" i="5080"/>
  <c r="D147" i="5080"/>
  <c r="D148" i="5080"/>
  <c r="D149" i="5080"/>
  <c r="D150" i="5080"/>
  <c r="D151" i="5080"/>
  <c r="D152" i="5080"/>
  <c r="D153" i="5080"/>
  <c r="D154" i="5080"/>
  <c r="D155" i="5080"/>
  <c r="D156" i="5080"/>
  <c r="D157" i="5080"/>
  <c r="D158" i="5080"/>
  <c r="D159" i="5080"/>
  <c r="D160" i="5080"/>
  <c r="D161" i="5080"/>
  <c r="D162" i="5080"/>
  <c r="D163" i="5080"/>
  <c r="D164" i="5080"/>
  <c r="D165" i="5080"/>
  <c r="D166" i="5080"/>
  <c r="D167" i="5080"/>
  <c r="D168" i="5080"/>
  <c r="D169" i="5080"/>
  <c r="D170" i="5080"/>
  <c r="D171" i="5080"/>
  <c r="D172" i="5080"/>
  <c r="D173" i="5080"/>
  <c r="D174" i="5080"/>
  <c r="D175" i="5080"/>
  <c r="D176" i="5080"/>
  <c r="D177" i="5080"/>
  <c r="D178" i="5080"/>
  <c r="D179" i="5080"/>
  <c r="D180" i="5080"/>
  <c r="D181" i="5080"/>
  <c r="D182" i="5080"/>
  <c r="D183" i="5080"/>
  <c r="D184" i="5080"/>
  <c r="D185" i="5080"/>
  <c r="D186" i="5080"/>
  <c r="D187" i="5080"/>
  <c r="D188" i="5080"/>
  <c r="D189" i="5080"/>
  <c r="D190" i="5080"/>
  <c r="D191" i="5080"/>
  <c r="D192" i="5080"/>
  <c r="D193" i="5080"/>
  <c r="D194" i="5080"/>
  <c r="D195" i="5080"/>
  <c r="D196" i="5080"/>
  <c r="D197" i="5080"/>
  <c r="D198" i="5080"/>
  <c r="D199" i="5080"/>
  <c r="D200" i="5080"/>
  <c r="D201" i="5080"/>
  <c r="D202" i="5080"/>
  <c r="D203" i="5080"/>
  <c r="D204" i="5080"/>
  <c r="D205" i="5080"/>
  <c r="D206" i="5080"/>
  <c r="D207" i="5080"/>
  <c r="D208" i="5080"/>
  <c r="D209" i="5080"/>
  <c r="D210" i="5080"/>
  <c r="D211" i="5080"/>
  <c r="D212" i="5080"/>
  <c r="D213" i="5080"/>
  <c r="D214" i="5080"/>
  <c r="D215" i="5080"/>
  <c r="D216" i="5080"/>
  <c r="D217" i="5080"/>
  <c r="D218" i="5080"/>
  <c r="D219" i="5080"/>
  <c r="D220" i="5080"/>
  <c r="D221" i="5080"/>
  <c r="D222" i="5080"/>
  <c r="D223" i="5080"/>
  <c r="D224" i="5080"/>
  <c r="D225" i="5080"/>
  <c r="D226" i="5080"/>
  <c r="D227" i="5080"/>
  <c r="D228" i="5080"/>
  <c r="D229" i="5080"/>
  <c r="D230" i="5080"/>
  <c r="D231" i="5080"/>
  <c r="D232" i="5080"/>
  <c r="D233" i="5080"/>
  <c r="D234" i="5080"/>
  <c r="D235" i="5080"/>
  <c r="D236" i="5080"/>
  <c r="D237" i="5080"/>
  <c r="D238" i="5080"/>
  <c r="D239" i="5080"/>
  <c r="D240" i="5080"/>
  <c r="D241" i="5080"/>
  <c r="D242" i="5080"/>
  <c r="D243" i="5080"/>
  <c r="D244" i="5080"/>
  <c r="D245" i="5080"/>
  <c r="D246" i="5080"/>
  <c r="D247" i="5080"/>
  <c r="D248" i="5080"/>
  <c r="D249" i="5080"/>
  <c r="D250" i="5080"/>
  <c r="D251" i="5080"/>
  <c r="D252" i="5080"/>
  <c r="D253" i="5080"/>
  <c r="D254" i="5080"/>
  <c r="D255" i="5080"/>
  <c r="D256" i="5080"/>
  <c r="D257" i="5080"/>
  <c r="D258" i="5080"/>
  <c r="D259" i="5080"/>
  <c r="D260" i="5080"/>
  <c r="D261" i="5080"/>
  <c r="D262" i="5080"/>
  <c r="D263" i="5080"/>
  <c r="D264" i="5080"/>
  <c r="D265" i="5080"/>
  <c r="D266" i="5080"/>
  <c r="D267" i="5080"/>
  <c r="D268" i="5080"/>
  <c r="D269" i="5080"/>
  <c r="D270" i="5080"/>
  <c r="D271" i="5080"/>
  <c r="D272" i="5080"/>
  <c r="D273" i="5080"/>
  <c r="D274" i="5080"/>
  <c r="D275" i="5080"/>
  <c r="D276" i="5080"/>
  <c r="D277" i="5080"/>
  <c r="D278" i="5080"/>
  <c r="D279" i="5080"/>
  <c r="D280" i="5080"/>
  <c r="D281" i="5080"/>
  <c r="D282" i="5080"/>
  <c r="D283" i="5080"/>
  <c r="D284" i="5080"/>
  <c r="D285" i="5080"/>
  <c r="D286" i="5080"/>
  <c r="D287" i="5080"/>
  <c r="D288" i="5080"/>
  <c r="D289" i="5080"/>
  <c r="D290" i="5080"/>
  <c r="D291" i="5080"/>
  <c r="D292" i="5080"/>
  <c r="D293" i="5080"/>
  <c r="D294" i="5080"/>
  <c r="D295" i="5080"/>
  <c r="D296" i="5080"/>
  <c r="D297" i="5080"/>
  <c r="D298" i="5080"/>
  <c r="D299" i="5080"/>
  <c r="D300" i="5080"/>
  <c r="D301" i="5080"/>
  <c r="D302" i="5080"/>
  <c r="D303" i="5080"/>
  <c r="D304" i="5080"/>
  <c r="D305" i="5080"/>
  <c r="D306" i="5080"/>
  <c r="D307" i="5080"/>
  <c r="D308" i="5080"/>
  <c r="D309" i="5080"/>
  <c r="D310" i="5080"/>
  <c r="D311" i="5080"/>
  <c r="D312" i="5080"/>
  <c r="D313" i="5080"/>
  <c r="D314" i="5080"/>
  <c r="D315" i="5080"/>
  <c r="D316" i="5080"/>
  <c r="D317" i="5080"/>
  <c r="D318" i="5080"/>
  <c r="D319" i="5080"/>
  <c r="D320" i="5080"/>
  <c r="D321" i="5080"/>
  <c r="D322" i="5080"/>
  <c r="D323" i="5080"/>
  <c r="D324" i="5080"/>
  <c r="D325" i="5080"/>
  <c r="D326" i="5080"/>
  <c r="D327" i="5080"/>
  <c r="D328" i="5080"/>
  <c r="D329" i="5080"/>
  <c r="D330" i="5080"/>
  <c r="D331" i="5080"/>
  <c r="D332" i="5080"/>
  <c r="D333" i="5080"/>
  <c r="D334" i="5080"/>
  <c r="D335" i="5080"/>
  <c r="D336" i="5080"/>
  <c r="D337" i="5080"/>
  <c r="D338" i="5080"/>
  <c r="D339" i="5080"/>
  <c r="D340" i="5080"/>
  <c r="D341" i="5080"/>
  <c r="D342" i="5080"/>
  <c r="D343" i="5080"/>
  <c r="D344" i="5080"/>
  <c r="D345" i="5080"/>
  <c r="D346" i="5080"/>
  <c r="D347" i="5080"/>
  <c r="D348" i="5080"/>
  <c r="D349" i="5080"/>
  <c r="D350" i="5080"/>
  <c r="D351" i="5080"/>
  <c r="D352" i="5080"/>
  <c r="D353" i="5080"/>
  <c r="D354" i="5080"/>
  <c r="D355" i="5080"/>
  <c r="D356" i="5080"/>
  <c r="D357" i="5080"/>
  <c r="D358" i="5080"/>
  <c r="D359" i="5080"/>
  <c r="D360" i="5080"/>
  <c r="D361" i="5080"/>
  <c r="D362" i="5080"/>
  <c r="D363" i="5080"/>
  <c r="D364" i="5080"/>
  <c r="D365" i="5080"/>
  <c r="D366" i="5080"/>
  <c r="D367" i="5080"/>
  <c r="D368" i="5080"/>
  <c r="D369" i="5080"/>
  <c r="D370" i="5080"/>
  <c r="D371" i="5080"/>
  <c r="D372" i="5080"/>
  <c r="D373" i="5080"/>
  <c r="D374" i="5080"/>
  <c r="D375" i="5080"/>
  <c r="D376" i="5080"/>
  <c r="D377" i="5080"/>
  <c r="D378" i="5080"/>
  <c r="D379" i="5080"/>
  <c r="D380" i="5080"/>
  <c r="D381" i="5080"/>
  <c r="D382" i="5080"/>
  <c r="D383" i="5080"/>
  <c r="D384" i="5080"/>
  <c r="D385" i="5080"/>
  <c r="D386" i="5080"/>
  <c r="D387" i="5080"/>
  <c r="D388" i="5080"/>
  <c r="D389" i="5080"/>
  <c r="D390" i="5080"/>
  <c r="D391" i="5080"/>
  <c r="D392" i="5080"/>
  <c r="D393" i="5080"/>
  <c r="D394" i="5080"/>
  <c r="D395" i="5080"/>
  <c r="D396" i="5080"/>
  <c r="D397" i="5080"/>
  <c r="D398" i="5080"/>
  <c r="D399" i="5080"/>
  <c r="D400" i="5080"/>
  <c r="D401" i="5080"/>
  <c r="D402" i="5080"/>
  <c r="D403" i="5080"/>
  <c r="D404" i="5080"/>
  <c r="D405" i="5080"/>
  <c r="D406" i="5080"/>
  <c r="D407" i="5080"/>
  <c r="D408" i="5080"/>
  <c r="D409" i="5080"/>
  <c r="D410" i="5080"/>
  <c r="D411" i="5080"/>
  <c r="D412" i="5080"/>
  <c r="D413" i="5080"/>
  <c r="D414" i="5080"/>
  <c r="D415" i="5080"/>
  <c r="D416" i="5080"/>
  <c r="D417" i="5080"/>
  <c r="D418" i="5080"/>
  <c r="D419" i="5080"/>
  <c r="D420" i="5080"/>
  <c r="D421" i="5080"/>
  <c r="D422" i="5080"/>
  <c r="D423" i="5080"/>
  <c r="D424" i="5080"/>
  <c r="D425" i="5080"/>
  <c r="D426" i="5080"/>
  <c r="D427" i="5080"/>
  <c r="D428" i="5080"/>
  <c r="D429" i="5080"/>
  <c r="D430" i="5080"/>
  <c r="D431" i="5080"/>
  <c r="D432" i="5080"/>
  <c r="D433" i="5080"/>
  <c r="D434" i="5080"/>
  <c r="D435" i="5080"/>
  <c r="D436" i="5080"/>
  <c r="D437" i="5080"/>
  <c r="D438" i="5080"/>
  <c r="D439" i="5080"/>
  <c r="D440" i="5080"/>
  <c r="D441" i="5080"/>
  <c r="D442" i="5080"/>
  <c r="D443" i="5080"/>
  <c r="D444" i="5080"/>
  <c r="D445" i="5080"/>
  <c r="D446" i="5080"/>
  <c r="D447" i="5080"/>
  <c r="D448" i="5080"/>
  <c r="D449" i="5080"/>
  <c r="D450" i="5080"/>
  <c r="D451" i="5080"/>
  <c r="D452" i="5080"/>
  <c r="D453" i="5080"/>
  <c r="D454" i="5080"/>
  <c r="D455" i="5080"/>
  <c r="D456" i="5080"/>
  <c r="D457" i="5080"/>
  <c r="D458" i="5080"/>
  <c r="D459" i="5080"/>
  <c r="D460" i="5080"/>
  <c r="D461" i="5080"/>
  <c r="D462" i="5080"/>
  <c r="D463" i="5080"/>
  <c r="D464" i="5080"/>
  <c r="D465" i="5080"/>
  <c r="D466" i="5080"/>
  <c r="D467" i="5080"/>
  <c r="D468" i="5080"/>
  <c r="D469" i="5080"/>
  <c r="D470" i="5080"/>
  <c r="D471" i="5080"/>
  <c r="D472" i="5080"/>
  <c r="D473" i="5080"/>
  <c r="D474" i="5080"/>
  <c r="D475" i="5080"/>
  <c r="D476" i="5080"/>
  <c r="D477" i="5080"/>
  <c r="D478" i="5080"/>
  <c r="D479" i="5080"/>
  <c r="D480" i="5080"/>
  <c r="D481" i="5080"/>
  <c r="D482" i="5080"/>
  <c r="D483" i="5080"/>
  <c r="D484" i="5080"/>
  <c r="D485" i="5080"/>
  <c r="D486" i="5080"/>
  <c r="D487" i="5080"/>
  <c r="D488" i="5080"/>
  <c r="D489" i="5080"/>
  <c r="D490" i="5080"/>
  <c r="D491" i="5080"/>
  <c r="D492" i="5080"/>
  <c r="D493" i="5080"/>
  <c r="D494" i="5080"/>
  <c r="D495" i="5080"/>
  <c r="D496" i="5080"/>
  <c r="D497" i="5080"/>
  <c r="D498" i="5080"/>
  <c r="D499" i="5080"/>
  <c r="D500" i="5080"/>
  <c r="D501" i="5080"/>
  <c r="D502" i="5080"/>
  <c r="D503" i="5080"/>
  <c r="D504" i="5080"/>
  <c r="D505" i="5080"/>
  <c r="D2" i="5079"/>
  <c r="D3" i="5079"/>
  <c r="D4" i="5079"/>
  <c r="D5" i="5079"/>
  <c r="D6" i="5079"/>
  <c r="D7" i="5079"/>
  <c r="D8" i="5079"/>
  <c r="D9" i="5079"/>
  <c r="D10" i="5079"/>
  <c r="D11" i="5079"/>
  <c r="D12" i="5079"/>
  <c r="D13" i="5079"/>
  <c r="D14" i="5079"/>
  <c r="D15" i="5079"/>
  <c r="D16" i="5079"/>
  <c r="D17" i="5079"/>
  <c r="D18" i="5079"/>
  <c r="D19" i="5079"/>
  <c r="D20" i="5079"/>
  <c r="D21" i="5079"/>
  <c r="D22" i="5079"/>
  <c r="D23" i="5079"/>
  <c r="D24" i="5079"/>
  <c r="D25" i="5079"/>
  <c r="D26" i="5079"/>
  <c r="D27" i="5079"/>
  <c r="D28" i="5079"/>
  <c r="D29" i="5079"/>
  <c r="D30" i="5079"/>
  <c r="D31" i="5079"/>
  <c r="D32" i="5079"/>
  <c r="D33" i="5079"/>
  <c r="D34" i="5079"/>
  <c r="D35" i="5079"/>
  <c r="D36" i="5079"/>
  <c r="D37" i="5079"/>
  <c r="D38" i="5079"/>
  <c r="D39" i="5079"/>
  <c r="D40" i="5079"/>
  <c r="D41" i="5079"/>
  <c r="D42" i="5079"/>
  <c r="D43" i="5079"/>
  <c r="D44" i="5079"/>
  <c r="D45" i="5079"/>
  <c r="D46" i="5079"/>
  <c r="D47" i="5079"/>
  <c r="D48" i="5079"/>
  <c r="D49" i="5079"/>
  <c r="D50" i="5079"/>
  <c r="D51" i="5079"/>
  <c r="D52" i="5079"/>
  <c r="D53" i="5079"/>
  <c r="D54" i="5079"/>
  <c r="D55" i="5079"/>
  <c r="D56" i="5079"/>
  <c r="D57" i="5079"/>
  <c r="D58" i="5079"/>
  <c r="D59" i="5079"/>
  <c r="D60" i="5079"/>
  <c r="D61" i="5079"/>
  <c r="D62" i="5079"/>
  <c r="D63" i="5079"/>
  <c r="D64" i="5079"/>
  <c r="D65" i="5079"/>
  <c r="D66" i="5079"/>
  <c r="D67" i="5079"/>
  <c r="D68" i="5079"/>
  <c r="D69" i="5079"/>
  <c r="D70" i="5079"/>
  <c r="D71" i="5079"/>
  <c r="D72" i="5079"/>
  <c r="D73" i="5079"/>
  <c r="D74" i="5079"/>
  <c r="D75" i="5079"/>
  <c r="D76" i="5079"/>
  <c r="D77" i="5079"/>
  <c r="D78" i="5079"/>
  <c r="D79" i="5079"/>
  <c r="D80" i="5079"/>
  <c r="D81" i="5079"/>
  <c r="D82" i="5079"/>
  <c r="D83" i="5079"/>
  <c r="D84" i="5079"/>
  <c r="D85" i="5079"/>
  <c r="D86" i="5079"/>
  <c r="D87" i="5079"/>
  <c r="D88" i="5079"/>
  <c r="D89" i="5079"/>
  <c r="D90" i="5079"/>
  <c r="D91" i="5079"/>
  <c r="D92" i="5079"/>
  <c r="D93" i="5079"/>
  <c r="D94" i="5079"/>
  <c r="D95" i="5079"/>
  <c r="D96" i="5079"/>
  <c r="D97" i="5079"/>
  <c r="D98" i="5079"/>
  <c r="D99" i="5079"/>
  <c r="D100" i="5079"/>
  <c r="D101" i="5079"/>
  <c r="D102" i="5079"/>
  <c r="D103" i="5079"/>
  <c r="D104" i="5079"/>
  <c r="D105" i="5079"/>
  <c r="D106" i="5079"/>
  <c r="D107" i="5079"/>
  <c r="D108" i="5079"/>
  <c r="D109" i="5079"/>
  <c r="D110" i="5079"/>
  <c r="D111" i="5079"/>
  <c r="D112" i="5079"/>
  <c r="D113" i="5079"/>
  <c r="D114" i="5079"/>
  <c r="D115" i="5079"/>
  <c r="D116" i="5079"/>
  <c r="D117" i="5079"/>
  <c r="D118" i="5079"/>
  <c r="D119" i="5079"/>
  <c r="D120" i="5079"/>
  <c r="D121" i="5079"/>
  <c r="D122" i="5079"/>
  <c r="D123" i="5079"/>
  <c r="D124" i="5079"/>
  <c r="D125" i="5079"/>
  <c r="D126" i="5079"/>
  <c r="D127" i="5079"/>
  <c r="D128" i="5079"/>
  <c r="D129" i="5079"/>
  <c r="D130" i="5079"/>
  <c r="D131" i="5079"/>
  <c r="D132" i="5079"/>
  <c r="D133" i="5079"/>
  <c r="D134" i="5079"/>
  <c r="D135" i="5079"/>
  <c r="D136" i="5079"/>
  <c r="D137" i="5079"/>
  <c r="D138" i="5079"/>
  <c r="D139" i="5079"/>
  <c r="D140" i="5079"/>
  <c r="D141" i="5079"/>
  <c r="D142" i="5079"/>
  <c r="D143" i="5079"/>
  <c r="D144" i="5079"/>
  <c r="D145" i="5079"/>
  <c r="D146" i="5079"/>
  <c r="D147" i="5079"/>
  <c r="D148" i="5079"/>
  <c r="D149" i="5079"/>
  <c r="D150" i="5079"/>
  <c r="D151" i="5079"/>
  <c r="D152" i="5079"/>
  <c r="D153" i="5079"/>
  <c r="D154" i="5079"/>
  <c r="D155" i="5079"/>
  <c r="D156" i="5079"/>
  <c r="D157" i="5079"/>
  <c r="D158" i="5079"/>
  <c r="D159" i="5079"/>
  <c r="D160" i="5079"/>
  <c r="D161" i="5079"/>
  <c r="D162" i="5079"/>
  <c r="D163" i="5079"/>
  <c r="D164" i="5079"/>
  <c r="D165" i="5079"/>
  <c r="D166" i="5079"/>
  <c r="D167" i="5079"/>
  <c r="D168" i="5079"/>
  <c r="D169" i="5079"/>
  <c r="D170" i="5079"/>
  <c r="D171" i="5079"/>
  <c r="D172" i="5079"/>
  <c r="D173" i="5079"/>
  <c r="D174" i="5079"/>
  <c r="D175" i="5079"/>
  <c r="D176" i="5079"/>
  <c r="D177" i="5079"/>
  <c r="D178" i="5079"/>
  <c r="D179" i="5079"/>
  <c r="D180" i="5079"/>
  <c r="D181" i="5079"/>
  <c r="D182" i="5079"/>
  <c r="D183" i="5079"/>
  <c r="D184" i="5079"/>
  <c r="D185" i="5079"/>
  <c r="D186" i="5079"/>
  <c r="D187" i="5079"/>
  <c r="D188" i="5079"/>
  <c r="D189" i="5079"/>
  <c r="D190" i="5079"/>
  <c r="D191" i="5079"/>
  <c r="D192" i="5079"/>
  <c r="D193" i="5079"/>
  <c r="D194" i="5079"/>
  <c r="D195" i="5079"/>
  <c r="D196" i="5079"/>
  <c r="D197" i="5079"/>
  <c r="D198" i="5079"/>
  <c r="D199" i="5079"/>
  <c r="D200" i="5079"/>
  <c r="D201" i="5079"/>
  <c r="D202" i="5079"/>
  <c r="D203" i="5079"/>
  <c r="D204" i="5079"/>
  <c r="D205" i="5079"/>
  <c r="D206" i="5079"/>
  <c r="D207" i="5079"/>
  <c r="D208" i="5079"/>
  <c r="D209" i="5079"/>
  <c r="D210" i="5079"/>
  <c r="D211" i="5079"/>
  <c r="D212" i="5079"/>
  <c r="D213" i="5079"/>
  <c r="D214" i="5079"/>
  <c r="D215" i="5079"/>
  <c r="D216" i="5079"/>
  <c r="D217" i="5079"/>
  <c r="D218" i="5079"/>
  <c r="D219" i="5079"/>
  <c r="D220" i="5079"/>
  <c r="D221" i="5079"/>
  <c r="D222" i="5079"/>
  <c r="D223" i="5079"/>
  <c r="D224" i="5079"/>
  <c r="D225" i="5079"/>
  <c r="D226" i="5079"/>
  <c r="D227" i="5079"/>
  <c r="D228" i="5079"/>
  <c r="D229" i="5079"/>
  <c r="D230" i="5079"/>
  <c r="D231" i="5079"/>
  <c r="D232" i="5079"/>
  <c r="D233" i="5079"/>
  <c r="D234" i="5079"/>
  <c r="D235" i="5079"/>
  <c r="D236" i="5079"/>
  <c r="D237" i="5079"/>
  <c r="D238" i="5079"/>
  <c r="D239" i="5079"/>
  <c r="D240" i="5079"/>
  <c r="D241" i="5079"/>
  <c r="D242" i="5079"/>
  <c r="D243" i="5079"/>
  <c r="D244" i="5079"/>
  <c r="D245" i="5079"/>
  <c r="D246" i="5079"/>
  <c r="D247" i="5079"/>
  <c r="D248" i="5079"/>
  <c r="D249" i="5079"/>
  <c r="D250" i="5079"/>
  <c r="D251" i="5079"/>
  <c r="D252" i="5079"/>
  <c r="D253" i="5079"/>
  <c r="D254" i="5079"/>
  <c r="D255" i="5079"/>
  <c r="D256" i="5079"/>
  <c r="D257" i="5079"/>
  <c r="D258" i="5079"/>
  <c r="D259" i="5079"/>
  <c r="D260" i="5079"/>
  <c r="D261" i="5079"/>
  <c r="D262" i="5079"/>
  <c r="D263" i="5079"/>
  <c r="D264" i="5079"/>
  <c r="D265" i="5079"/>
  <c r="D266" i="5079"/>
  <c r="D267" i="5079"/>
  <c r="D268" i="5079"/>
  <c r="D269" i="5079"/>
  <c r="D270" i="5079"/>
  <c r="D271" i="5079"/>
  <c r="D272" i="5079"/>
  <c r="D273" i="5079"/>
  <c r="D274" i="5079"/>
  <c r="D275" i="5079"/>
  <c r="D276" i="5079"/>
  <c r="D277" i="5079"/>
  <c r="D278" i="5079"/>
  <c r="D279" i="5079"/>
  <c r="D280" i="5079"/>
  <c r="D281" i="5079"/>
  <c r="D282" i="5079"/>
  <c r="D283" i="5079"/>
  <c r="D284" i="5079"/>
  <c r="D285" i="5079"/>
  <c r="D286" i="5079"/>
  <c r="D287" i="5079"/>
  <c r="D288" i="5079"/>
  <c r="D289" i="5079"/>
  <c r="D290" i="5079"/>
  <c r="D291" i="5079"/>
  <c r="D292" i="5079"/>
  <c r="D293" i="5079"/>
  <c r="D294" i="5079"/>
  <c r="D295" i="5079"/>
  <c r="D296" i="5079"/>
  <c r="D297" i="5079"/>
  <c r="D298" i="5079"/>
  <c r="D299" i="5079"/>
  <c r="D300" i="5079"/>
  <c r="D301" i="5079"/>
  <c r="D302" i="5079"/>
  <c r="D303" i="5079"/>
  <c r="D304" i="5079"/>
  <c r="D305" i="5079"/>
  <c r="D306" i="5079"/>
  <c r="D307" i="5079"/>
  <c r="D308" i="5079"/>
  <c r="D309" i="5079"/>
  <c r="D310" i="5079"/>
  <c r="D311" i="5079"/>
  <c r="D312" i="5079"/>
  <c r="D313" i="5079"/>
  <c r="D314" i="5079"/>
  <c r="D315" i="5079"/>
  <c r="D316" i="5079"/>
  <c r="D317" i="5079"/>
  <c r="D318" i="5079"/>
  <c r="D319" i="5079"/>
  <c r="D320" i="5079"/>
  <c r="D321" i="5079"/>
  <c r="D322" i="5079"/>
  <c r="D323" i="5079"/>
  <c r="D324" i="5079"/>
  <c r="D325" i="5079"/>
  <c r="D326" i="5079"/>
  <c r="D327" i="5079"/>
  <c r="D328" i="5079"/>
  <c r="D329" i="5079"/>
  <c r="D330" i="5079"/>
  <c r="D331" i="5079"/>
  <c r="D332" i="5079"/>
  <c r="D333" i="5079"/>
  <c r="D334" i="5079"/>
  <c r="D335" i="5079"/>
  <c r="D336" i="5079"/>
  <c r="D337" i="5079"/>
  <c r="D338" i="5079"/>
  <c r="D339" i="5079"/>
  <c r="D340" i="5079"/>
  <c r="D341" i="5079"/>
  <c r="D342" i="5079"/>
  <c r="D343" i="5079"/>
  <c r="D344" i="5079"/>
  <c r="D345" i="5079"/>
  <c r="D346" i="5079"/>
  <c r="D347" i="5079"/>
  <c r="D348" i="5079"/>
  <c r="D349" i="5079"/>
  <c r="D350" i="5079"/>
  <c r="D351" i="5079"/>
  <c r="D352" i="5079"/>
  <c r="D353" i="5079"/>
  <c r="D354" i="5079"/>
  <c r="D355" i="5079"/>
  <c r="D356" i="5079"/>
  <c r="D357" i="5079"/>
  <c r="D358" i="5079"/>
  <c r="D359" i="5079"/>
  <c r="D360" i="5079"/>
  <c r="D361" i="5079"/>
  <c r="D362" i="5079"/>
  <c r="D363" i="5079"/>
  <c r="D364" i="5079"/>
  <c r="D365" i="5079"/>
  <c r="D366" i="5079"/>
  <c r="D367" i="5079"/>
  <c r="D368" i="5079"/>
  <c r="D369" i="5079"/>
  <c r="D370" i="5079"/>
  <c r="D371" i="5079"/>
  <c r="D372" i="5079"/>
  <c r="D373" i="5079"/>
  <c r="D374" i="5079"/>
  <c r="D375" i="5079"/>
  <c r="D376" i="5079"/>
  <c r="D377" i="5079"/>
  <c r="D378" i="5079"/>
  <c r="D379" i="5079"/>
  <c r="D380" i="5079"/>
  <c r="D381" i="5079"/>
  <c r="D382" i="5079"/>
  <c r="D383" i="5079"/>
  <c r="D384" i="5079"/>
  <c r="D385" i="5079"/>
  <c r="D386" i="5079"/>
  <c r="D387" i="5079"/>
  <c r="D388" i="5079"/>
  <c r="D389" i="5079"/>
  <c r="D390" i="5079"/>
  <c r="D391" i="5079"/>
  <c r="D392" i="5079"/>
  <c r="D393" i="5079"/>
  <c r="D394" i="5079"/>
  <c r="D395" i="5079"/>
  <c r="D396" i="5079"/>
  <c r="D397" i="5079"/>
  <c r="D398" i="5079"/>
  <c r="D399" i="5079"/>
  <c r="D400" i="5079"/>
  <c r="D401" i="5079"/>
  <c r="D402" i="5079"/>
  <c r="D403" i="5079"/>
  <c r="D404" i="5079"/>
  <c r="D405" i="5079"/>
  <c r="D406" i="5079"/>
  <c r="D407" i="5079"/>
  <c r="D408" i="5079"/>
  <c r="D409" i="5079"/>
  <c r="D410" i="5079"/>
  <c r="D411" i="5079"/>
  <c r="D412" i="5079"/>
  <c r="D413" i="5079"/>
  <c r="D414" i="5079"/>
  <c r="D415" i="5079"/>
  <c r="D416" i="5079"/>
  <c r="D417" i="5079"/>
  <c r="D418" i="5079"/>
  <c r="D419" i="5079"/>
  <c r="D420" i="5079"/>
  <c r="D421" i="5079"/>
  <c r="D422" i="5079"/>
  <c r="D423" i="5079"/>
  <c r="D424" i="5079"/>
  <c r="D425" i="5079"/>
  <c r="D426" i="5079"/>
  <c r="D427" i="5079"/>
  <c r="D428" i="5079"/>
  <c r="D429" i="5079"/>
  <c r="D430" i="5079"/>
  <c r="D431" i="5079"/>
  <c r="D432" i="5079"/>
  <c r="D433" i="5079"/>
  <c r="D434" i="5079"/>
  <c r="D435" i="5079"/>
  <c r="D436" i="5079"/>
  <c r="D437" i="5079"/>
  <c r="D438" i="5079"/>
  <c r="D439" i="5079"/>
  <c r="D440" i="5079"/>
  <c r="D441" i="5079"/>
  <c r="D442" i="5079"/>
  <c r="D443" i="5079"/>
  <c r="D444" i="5079"/>
  <c r="D445" i="5079"/>
  <c r="D446" i="5079"/>
  <c r="D447" i="5079"/>
  <c r="D448" i="5079"/>
  <c r="D449" i="5079"/>
  <c r="D450" i="5079"/>
  <c r="D451" i="5079"/>
  <c r="D452" i="5079"/>
  <c r="D453" i="5079"/>
  <c r="D454" i="5079"/>
  <c r="D455" i="5079"/>
  <c r="D456" i="5079"/>
  <c r="D457" i="5079"/>
  <c r="D458" i="5079"/>
  <c r="D459" i="5079"/>
  <c r="D460" i="5079"/>
  <c r="D461" i="5079"/>
  <c r="D462" i="5079"/>
  <c r="D463" i="5079"/>
  <c r="D464" i="5079"/>
  <c r="D465" i="5079"/>
  <c r="D466" i="5079"/>
  <c r="D467" i="5079"/>
  <c r="D468" i="5079"/>
  <c r="D469" i="5079"/>
  <c r="D470" i="5079"/>
  <c r="D471" i="5079"/>
  <c r="D472" i="5079"/>
  <c r="D473" i="5079"/>
  <c r="D474" i="5079"/>
  <c r="D475" i="5079"/>
  <c r="D476" i="5079"/>
  <c r="D477" i="5079"/>
  <c r="D478" i="5079"/>
  <c r="D479" i="5079"/>
  <c r="D480" i="5079"/>
  <c r="D481" i="5079"/>
  <c r="D482" i="5079"/>
  <c r="D483" i="5079"/>
  <c r="D484" i="5079"/>
  <c r="D485" i="5079"/>
  <c r="D486" i="5079"/>
  <c r="D487" i="5079"/>
  <c r="D488" i="5079"/>
  <c r="D489" i="5079"/>
  <c r="D490" i="5079"/>
  <c r="D491" i="5079"/>
  <c r="D492" i="5079"/>
  <c r="D493" i="5079"/>
  <c r="D494" i="5079"/>
  <c r="D495" i="5079"/>
  <c r="D496" i="5079"/>
  <c r="D497" i="5079"/>
  <c r="D498" i="5079"/>
  <c r="D499" i="5079"/>
  <c r="D500" i="5079"/>
  <c r="D501" i="5079"/>
  <c r="D502" i="5079"/>
  <c r="D503" i="5079"/>
  <c r="D504" i="5079"/>
  <c r="D505" i="5079"/>
  <c r="D2" i="5078"/>
  <c r="D3" i="5078"/>
  <c r="D4" i="5078"/>
  <c r="D5" i="5078"/>
  <c r="D6" i="5078"/>
  <c r="D7" i="5078"/>
  <c r="D8" i="5078"/>
  <c r="D9" i="5078"/>
  <c r="D10" i="5078"/>
  <c r="D11" i="5078"/>
  <c r="D12" i="5078"/>
  <c r="D13" i="5078"/>
  <c r="D14" i="5078"/>
  <c r="D15" i="5078"/>
  <c r="D16" i="5078"/>
  <c r="D17" i="5078"/>
  <c r="D18" i="5078"/>
  <c r="D19" i="5078"/>
  <c r="D20" i="5078"/>
  <c r="D21" i="5078"/>
  <c r="D22" i="5078"/>
  <c r="D23" i="5078"/>
  <c r="D24" i="5078"/>
  <c r="D25" i="5078"/>
  <c r="D26" i="5078"/>
  <c r="D27" i="5078"/>
  <c r="D28" i="5078"/>
  <c r="D29" i="5078"/>
  <c r="D30" i="5078"/>
  <c r="D31" i="5078"/>
  <c r="D32" i="5078"/>
  <c r="D33" i="5078"/>
  <c r="D34" i="5078"/>
  <c r="D35" i="5078"/>
  <c r="D36" i="5078"/>
  <c r="D37" i="5078"/>
  <c r="D38" i="5078"/>
  <c r="D39" i="5078"/>
  <c r="D40" i="5078"/>
  <c r="D41" i="5078"/>
  <c r="D42" i="5078"/>
  <c r="D43" i="5078"/>
  <c r="D44" i="5078"/>
  <c r="D45" i="5078"/>
  <c r="D46" i="5078"/>
  <c r="D47" i="5078"/>
  <c r="D48" i="5078"/>
  <c r="D49" i="5078"/>
  <c r="D50" i="5078"/>
  <c r="D51" i="5078"/>
  <c r="D52" i="5078"/>
  <c r="D53" i="5078"/>
  <c r="D54" i="5078"/>
  <c r="D55" i="5078"/>
  <c r="D56" i="5078"/>
  <c r="D57" i="5078"/>
  <c r="D58" i="5078"/>
  <c r="D59" i="5078"/>
  <c r="D60" i="5078"/>
  <c r="D61" i="5078"/>
  <c r="D62" i="5078"/>
  <c r="D63" i="5078"/>
  <c r="D64" i="5078"/>
  <c r="D65" i="5078"/>
  <c r="D66" i="5078"/>
  <c r="D67" i="5078"/>
  <c r="D68" i="5078"/>
  <c r="D69" i="5078"/>
  <c r="D70" i="5078"/>
  <c r="D71" i="5078"/>
  <c r="D72" i="5078"/>
  <c r="D73" i="5078"/>
  <c r="D74" i="5078"/>
  <c r="D75" i="5078"/>
  <c r="D76" i="5078"/>
  <c r="D77" i="5078"/>
  <c r="D78" i="5078"/>
  <c r="D79" i="5078"/>
  <c r="D80" i="5078"/>
  <c r="D81" i="5078"/>
  <c r="D82" i="5078"/>
  <c r="D83" i="5078"/>
  <c r="D84" i="5078"/>
  <c r="D85" i="5078"/>
  <c r="D86" i="5078"/>
  <c r="D87" i="5078"/>
  <c r="D88" i="5078"/>
  <c r="D89" i="5078"/>
  <c r="D90" i="5078"/>
  <c r="D91" i="5078"/>
  <c r="D92" i="5078"/>
  <c r="D93" i="5078"/>
  <c r="D94" i="5078"/>
  <c r="D95" i="5078"/>
  <c r="D96" i="5078"/>
  <c r="D97" i="5078"/>
  <c r="D98" i="5078"/>
  <c r="D99" i="5078"/>
  <c r="D100" i="5078"/>
  <c r="D101" i="5078"/>
  <c r="D102" i="5078"/>
  <c r="D103" i="5078"/>
  <c r="D104" i="5078"/>
  <c r="D105" i="5078"/>
  <c r="D106" i="5078"/>
  <c r="D107" i="5078"/>
  <c r="D108" i="5078"/>
  <c r="D109" i="5078"/>
  <c r="D110" i="5078"/>
  <c r="D111" i="5078"/>
  <c r="D112" i="5078"/>
  <c r="D113" i="5078"/>
  <c r="D114" i="5078"/>
  <c r="D115" i="5078"/>
  <c r="D116" i="5078"/>
  <c r="D117" i="5078"/>
  <c r="D118" i="5078"/>
  <c r="D119" i="5078"/>
  <c r="D120" i="5078"/>
  <c r="D121" i="5078"/>
  <c r="D122" i="5078"/>
  <c r="D123" i="5078"/>
  <c r="D124" i="5078"/>
  <c r="D125" i="5078"/>
  <c r="D126" i="5078"/>
  <c r="D127" i="5078"/>
  <c r="D128" i="5078"/>
  <c r="D129" i="5078"/>
  <c r="D130" i="5078"/>
  <c r="D131" i="5078"/>
  <c r="D132" i="5078"/>
  <c r="D133" i="5078"/>
  <c r="D134" i="5078"/>
  <c r="D135" i="5078"/>
  <c r="D136" i="5078"/>
  <c r="D137" i="5078"/>
  <c r="D138" i="5078"/>
  <c r="D139" i="5078"/>
  <c r="D140" i="5078"/>
  <c r="D141" i="5078"/>
  <c r="D142" i="5078"/>
  <c r="D143" i="5078"/>
  <c r="D144" i="5078"/>
  <c r="D145" i="5078"/>
  <c r="D146" i="5078"/>
  <c r="D147" i="5078"/>
  <c r="D148" i="5078"/>
  <c r="D149" i="5078"/>
  <c r="D150" i="5078"/>
  <c r="D151" i="5078"/>
  <c r="D152" i="5078"/>
  <c r="D153" i="5078"/>
  <c r="D154" i="5078"/>
  <c r="D155" i="5078"/>
  <c r="D156" i="5078"/>
  <c r="D157" i="5078"/>
  <c r="D158" i="5078"/>
  <c r="D159" i="5078"/>
  <c r="D160" i="5078"/>
  <c r="D161" i="5078"/>
  <c r="D162" i="5078"/>
  <c r="D163" i="5078"/>
  <c r="D164" i="5078"/>
  <c r="D165" i="5078"/>
  <c r="D166" i="5078"/>
  <c r="D167" i="5078"/>
  <c r="D168" i="5078"/>
  <c r="D169" i="5078"/>
  <c r="D170" i="5078"/>
  <c r="D171" i="5078"/>
  <c r="D172" i="5078"/>
  <c r="D173" i="5078"/>
  <c r="D174" i="5078"/>
  <c r="D175" i="5078"/>
  <c r="D176" i="5078"/>
  <c r="D177" i="5078"/>
  <c r="D178" i="5078"/>
  <c r="D179" i="5078"/>
  <c r="D180" i="5078"/>
  <c r="D181" i="5078"/>
  <c r="D182" i="5078"/>
  <c r="D183" i="5078"/>
  <c r="D184" i="5078"/>
  <c r="D185" i="5078"/>
  <c r="D186" i="5078"/>
  <c r="D187" i="5078"/>
  <c r="D188" i="5078"/>
  <c r="D189" i="5078"/>
  <c r="D190" i="5078"/>
  <c r="D191" i="5078"/>
  <c r="D192" i="5078"/>
  <c r="D193" i="5078"/>
  <c r="D194" i="5078"/>
  <c r="D195" i="5078"/>
  <c r="D196" i="5078"/>
  <c r="D197" i="5078"/>
  <c r="D198" i="5078"/>
  <c r="D199" i="5078"/>
  <c r="D200" i="5078"/>
  <c r="D201" i="5078"/>
  <c r="D202" i="5078"/>
  <c r="D203" i="5078"/>
  <c r="D204" i="5078"/>
  <c r="D205" i="5078"/>
  <c r="D206" i="5078"/>
  <c r="D207" i="5078"/>
  <c r="D208" i="5078"/>
  <c r="D209" i="5078"/>
  <c r="D210" i="5078"/>
  <c r="D211" i="5078"/>
  <c r="D212" i="5078"/>
  <c r="D213" i="5078"/>
  <c r="D214" i="5078"/>
  <c r="D215" i="5078"/>
  <c r="D216" i="5078"/>
  <c r="D217" i="5078"/>
  <c r="D218" i="5078"/>
  <c r="D219" i="5078"/>
  <c r="D220" i="5078"/>
  <c r="D221" i="5078"/>
  <c r="D222" i="5078"/>
  <c r="D223" i="5078"/>
  <c r="D224" i="5078"/>
  <c r="D225" i="5078"/>
  <c r="D226" i="5078"/>
  <c r="D227" i="5078"/>
  <c r="D228" i="5078"/>
  <c r="D229" i="5078"/>
  <c r="D230" i="5078"/>
  <c r="D231" i="5078"/>
  <c r="D232" i="5078"/>
  <c r="D233" i="5078"/>
  <c r="D234" i="5078"/>
  <c r="D235" i="5078"/>
  <c r="D236" i="5078"/>
  <c r="D237" i="5078"/>
  <c r="D238" i="5078"/>
  <c r="D239" i="5078"/>
  <c r="D240" i="5078"/>
  <c r="D241" i="5078"/>
  <c r="D242" i="5078"/>
  <c r="D243" i="5078"/>
  <c r="D244" i="5078"/>
  <c r="D245" i="5078"/>
  <c r="D246" i="5078"/>
  <c r="D247" i="5078"/>
  <c r="D248" i="5078"/>
  <c r="D249" i="5078"/>
  <c r="D250" i="5078"/>
  <c r="D251" i="5078"/>
  <c r="D252" i="5078"/>
  <c r="D253" i="5078"/>
  <c r="D254" i="5078"/>
  <c r="D255" i="5078"/>
  <c r="D256" i="5078"/>
  <c r="D257" i="5078"/>
  <c r="D258" i="5078"/>
  <c r="D259" i="5078"/>
  <c r="D260" i="5078"/>
  <c r="D261" i="5078"/>
  <c r="D262" i="5078"/>
  <c r="D263" i="5078"/>
  <c r="D264" i="5078"/>
  <c r="D265" i="5078"/>
  <c r="D266" i="5078"/>
  <c r="D267" i="5078"/>
  <c r="D268" i="5078"/>
  <c r="D269" i="5078"/>
  <c r="D270" i="5078"/>
  <c r="D271" i="5078"/>
  <c r="D272" i="5078"/>
  <c r="D273" i="5078"/>
  <c r="D274" i="5078"/>
  <c r="D275" i="5078"/>
  <c r="D276" i="5078"/>
  <c r="D277" i="5078"/>
  <c r="D278" i="5078"/>
  <c r="D279" i="5078"/>
  <c r="D280" i="5078"/>
  <c r="D281" i="5078"/>
  <c r="D282" i="5078"/>
  <c r="D283" i="5078"/>
  <c r="D284" i="5078"/>
  <c r="D285" i="5078"/>
  <c r="D286" i="5078"/>
  <c r="D287" i="5078"/>
  <c r="D288" i="5078"/>
  <c r="D289" i="5078"/>
  <c r="D290" i="5078"/>
  <c r="D291" i="5078"/>
  <c r="D292" i="5078"/>
  <c r="D293" i="5078"/>
  <c r="D294" i="5078"/>
  <c r="D295" i="5078"/>
  <c r="D296" i="5078"/>
  <c r="D297" i="5078"/>
  <c r="D298" i="5078"/>
  <c r="D299" i="5078"/>
  <c r="D300" i="5078"/>
  <c r="D301" i="5078"/>
  <c r="D302" i="5078"/>
  <c r="D303" i="5078"/>
  <c r="D304" i="5078"/>
  <c r="D305" i="5078"/>
  <c r="D306" i="5078"/>
  <c r="D307" i="5078"/>
  <c r="D308" i="5078"/>
  <c r="D309" i="5078"/>
  <c r="D310" i="5078"/>
  <c r="D311" i="5078"/>
  <c r="D312" i="5078"/>
  <c r="D313" i="5078"/>
  <c r="D314" i="5078"/>
  <c r="D315" i="5078"/>
  <c r="D316" i="5078"/>
  <c r="D317" i="5078"/>
  <c r="D318" i="5078"/>
  <c r="D319" i="5078"/>
  <c r="D320" i="5078"/>
  <c r="D321" i="5078"/>
  <c r="D322" i="5078"/>
  <c r="D323" i="5078"/>
  <c r="D324" i="5078"/>
  <c r="D325" i="5078"/>
  <c r="D326" i="5078"/>
  <c r="D327" i="5078"/>
  <c r="D328" i="5078"/>
  <c r="D329" i="5078"/>
  <c r="D330" i="5078"/>
  <c r="D331" i="5078"/>
  <c r="D332" i="5078"/>
  <c r="D333" i="5078"/>
  <c r="D334" i="5078"/>
  <c r="D335" i="5078"/>
  <c r="D336" i="5078"/>
  <c r="D337" i="5078"/>
  <c r="D338" i="5078"/>
  <c r="D339" i="5078"/>
  <c r="D340" i="5078"/>
  <c r="D341" i="5078"/>
  <c r="D342" i="5078"/>
  <c r="D343" i="5078"/>
  <c r="D344" i="5078"/>
  <c r="D345" i="5078"/>
  <c r="D346" i="5078"/>
  <c r="D347" i="5078"/>
  <c r="D348" i="5078"/>
  <c r="D349" i="5078"/>
  <c r="D350" i="5078"/>
  <c r="D351" i="5078"/>
  <c r="D352" i="5078"/>
  <c r="D353" i="5078"/>
  <c r="D354" i="5078"/>
  <c r="D355" i="5078"/>
  <c r="D356" i="5078"/>
  <c r="D357" i="5078"/>
  <c r="D358" i="5078"/>
  <c r="D359" i="5078"/>
  <c r="D360" i="5078"/>
  <c r="D361" i="5078"/>
  <c r="D362" i="5078"/>
  <c r="D363" i="5078"/>
  <c r="D364" i="5078"/>
  <c r="D365" i="5078"/>
  <c r="D366" i="5078"/>
  <c r="D367" i="5078"/>
  <c r="D368" i="5078"/>
  <c r="D369" i="5078"/>
  <c r="D370" i="5078"/>
  <c r="D371" i="5078"/>
  <c r="D372" i="5078"/>
  <c r="D373" i="5078"/>
  <c r="D374" i="5078"/>
  <c r="D375" i="5078"/>
  <c r="D376" i="5078"/>
  <c r="D377" i="5078"/>
  <c r="D378" i="5078"/>
  <c r="D379" i="5078"/>
  <c r="D380" i="5078"/>
  <c r="D381" i="5078"/>
  <c r="D382" i="5078"/>
  <c r="D383" i="5078"/>
  <c r="D384" i="5078"/>
  <c r="D385" i="5078"/>
  <c r="D386" i="5078"/>
  <c r="D387" i="5078"/>
  <c r="D388" i="5078"/>
  <c r="D389" i="5078"/>
  <c r="D390" i="5078"/>
  <c r="D391" i="5078"/>
  <c r="D392" i="5078"/>
  <c r="D393" i="5078"/>
  <c r="D394" i="5078"/>
  <c r="D395" i="5078"/>
  <c r="D396" i="5078"/>
  <c r="D397" i="5078"/>
  <c r="D398" i="5078"/>
  <c r="D399" i="5078"/>
  <c r="D400" i="5078"/>
  <c r="D401" i="5078"/>
  <c r="D402" i="5078"/>
  <c r="D403" i="5078"/>
  <c r="D404" i="5078"/>
  <c r="D405" i="5078"/>
  <c r="D406" i="5078"/>
  <c r="D407" i="5078"/>
  <c r="D408" i="5078"/>
  <c r="D409" i="5078"/>
  <c r="D410" i="5078"/>
  <c r="D411" i="5078"/>
  <c r="D412" i="5078"/>
  <c r="D413" i="5078"/>
  <c r="D414" i="5078"/>
  <c r="D415" i="5078"/>
  <c r="D416" i="5078"/>
  <c r="D417" i="5078"/>
  <c r="D418" i="5078"/>
  <c r="D419" i="5078"/>
  <c r="D420" i="5078"/>
  <c r="D421" i="5078"/>
  <c r="D422" i="5078"/>
  <c r="D423" i="5078"/>
  <c r="D424" i="5078"/>
  <c r="D425" i="5078"/>
  <c r="D426" i="5078"/>
  <c r="D427" i="5078"/>
  <c r="D428" i="5078"/>
  <c r="D429" i="5078"/>
  <c r="D430" i="5078"/>
  <c r="D431" i="5078"/>
  <c r="D432" i="5078"/>
  <c r="D433" i="5078"/>
  <c r="D434" i="5078"/>
  <c r="D435" i="5078"/>
  <c r="D436" i="5078"/>
  <c r="D437" i="5078"/>
  <c r="D438" i="5078"/>
  <c r="D439" i="5078"/>
  <c r="D440" i="5078"/>
  <c r="D441" i="5078"/>
  <c r="D442" i="5078"/>
  <c r="D443" i="5078"/>
  <c r="D444" i="5078"/>
  <c r="D445" i="5078"/>
  <c r="D446" i="5078"/>
  <c r="D447" i="5078"/>
  <c r="D448" i="5078"/>
  <c r="D449" i="5078"/>
  <c r="D450" i="5078"/>
  <c r="D451" i="5078"/>
  <c r="D452" i="5078"/>
  <c r="D453" i="5078"/>
  <c r="D454" i="5078"/>
  <c r="D455" i="5078"/>
  <c r="D456" i="5078"/>
  <c r="D457" i="5078"/>
  <c r="D458" i="5078"/>
  <c r="D459" i="5078"/>
  <c r="D460" i="5078"/>
  <c r="D461" i="5078"/>
  <c r="D462" i="5078"/>
  <c r="D463" i="5078"/>
  <c r="D464" i="5078"/>
  <c r="D465" i="5078"/>
  <c r="D466" i="5078"/>
  <c r="D467" i="5078"/>
  <c r="D468" i="5078"/>
  <c r="D469" i="5078"/>
  <c r="D470" i="5078"/>
  <c r="D471" i="5078"/>
  <c r="D472" i="5078"/>
  <c r="D473" i="5078"/>
  <c r="D474" i="5078"/>
  <c r="D475" i="5078"/>
  <c r="D476" i="5078"/>
  <c r="D477" i="5078"/>
  <c r="D478" i="5078"/>
  <c r="D479" i="5078"/>
  <c r="D480" i="5078"/>
  <c r="D481" i="5078"/>
  <c r="D482" i="5078"/>
  <c r="D483" i="5078"/>
  <c r="D484" i="5078"/>
  <c r="D485" i="5078"/>
  <c r="D486" i="5078"/>
  <c r="D487" i="5078"/>
  <c r="D488" i="5078"/>
  <c r="D489" i="5078"/>
  <c r="D490" i="5078"/>
  <c r="D491" i="5078"/>
  <c r="D492" i="5078"/>
  <c r="D493" i="5078"/>
  <c r="D494" i="5078"/>
  <c r="D495" i="5078"/>
  <c r="D496" i="5078"/>
  <c r="D497" i="5078"/>
  <c r="D498" i="5078"/>
  <c r="D499" i="5078"/>
  <c r="D500" i="5078"/>
  <c r="D501" i="5078"/>
  <c r="D502" i="5078"/>
  <c r="D503" i="5078"/>
  <c r="D504" i="5078"/>
  <c r="D505" i="5078"/>
  <c r="C2" i="5083"/>
  <c r="C3" i="5083"/>
  <c r="C4" i="5083"/>
  <c r="C5" i="5083"/>
  <c r="C6" i="5083"/>
  <c r="C7" i="5083"/>
  <c r="C8" i="5083"/>
  <c r="C9" i="5083"/>
  <c r="C10" i="5083"/>
  <c r="C11" i="5083"/>
  <c r="C12" i="5083"/>
  <c r="C13" i="5083"/>
  <c r="C14" i="5083"/>
  <c r="C15" i="5083"/>
  <c r="C16" i="5083"/>
  <c r="C17" i="5083"/>
  <c r="C18" i="5083"/>
  <c r="C19" i="5083"/>
  <c r="C20" i="5083"/>
  <c r="C21" i="5083"/>
  <c r="C22" i="5083"/>
  <c r="C23" i="5083"/>
  <c r="C24" i="5083"/>
  <c r="C25" i="5083"/>
  <c r="C26" i="5083"/>
  <c r="C27" i="5083"/>
  <c r="C28" i="5083"/>
  <c r="C29" i="5083"/>
  <c r="C30" i="5083"/>
  <c r="C31" i="5083"/>
  <c r="C32" i="5083"/>
  <c r="C33" i="5083"/>
  <c r="C34" i="5083"/>
  <c r="C35" i="5083"/>
  <c r="C36" i="5083"/>
  <c r="C37" i="5083"/>
  <c r="C38" i="5083"/>
  <c r="C39" i="5083"/>
  <c r="C40" i="5083"/>
  <c r="C41" i="5083"/>
  <c r="C42" i="5083"/>
  <c r="C43" i="5083"/>
  <c r="C44" i="5083"/>
  <c r="C45" i="5083"/>
  <c r="C46" i="5083"/>
  <c r="C47" i="5083"/>
  <c r="C48" i="5083"/>
  <c r="C49" i="5083"/>
  <c r="C50" i="5083"/>
  <c r="C51" i="5083"/>
  <c r="C52" i="5083"/>
  <c r="C53" i="5083"/>
  <c r="C54" i="5083"/>
  <c r="C55" i="5083"/>
  <c r="C56" i="5083"/>
  <c r="C57" i="5083"/>
  <c r="C58" i="5083"/>
  <c r="C59" i="5083"/>
  <c r="C60" i="5083"/>
  <c r="C61" i="5083"/>
  <c r="C62" i="5083"/>
  <c r="C63" i="5083"/>
  <c r="C64" i="5083"/>
  <c r="C65" i="5083"/>
  <c r="C66" i="5083"/>
  <c r="C67" i="5083"/>
  <c r="C68" i="5083"/>
  <c r="C69" i="5083"/>
  <c r="C70" i="5083"/>
  <c r="C71" i="5083"/>
  <c r="C72" i="5083"/>
  <c r="C73" i="5083"/>
  <c r="C74" i="5083"/>
  <c r="C75" i="5083"/>
  <c r="C76" i="5083"/>
  <c r="C77" i="5083"/>
  <c r="C78" i="5083"/>
  <c r="C79" i="5083"/>
  <c r="C80" i="5083"/>
  <c r="C81" i="5083"/>
  <c r="C82" i="5083"/>
  <c r="C83" i="5083"/>
  <c r="C84" i="5083"/>
  <c r="C85" i="5083"/>
  <c r="C86" i="5083"/>
  <c r="C87" i="5083"/>
  <c r="C88" i="5083"/>
  <c r="C89" i="5083"/>
  <c r="C90" i="5083"/>
  <c r="C91" i="5083"/>
  <c r="C92" i="5083"/>
  <c r="C93" i="5083"/>
  <c r="C94" i="5083"/>
  <c r="C95" i="5083"/>
  <c r="C96" i="5083"/>
  <c r="C97" i="5083"/>
  <c r="C98" i="5083"/>
  <c r="C99" i="5083"/>
  <c r="C100" i="5083"/>
  <c r="C101" i="5083"/>
  <c r="C102" i="5083"/>
  <c r="C103" i="5083"/>
  <c r="C104" i="5083"/>
  <c r="C105" i="5083"/>
  <c r="C106" i="5083"/>
  <c r="C107" i="5083"/>
  <c r="C108" i="5083"/>
  <c r="C109" i="5083"/>
  <c r="C110" i="5083"/>
  <c r="C111" i="5083"/>
  <c r="C112" i="5083"/>
  <c r="C113" i="5083"/>
  <c r="C114" i="5083"/>
  <c r="C115" i="5083"/>
  <c r="C116" i="5083"/>
  <c r="C117" i="5083"/>
  <c r="C118" i="5083"/>
  <c r="C119" i="5083"/>
  <c r="C120" i="5083"/>
  <c r="C121" i="5083"/>
  <c r="C122" i="5083"/>
  <c r="C123" i="5083"/>
  <c r="C124" i="5083"/>
  <c r="C125" i="5083"/>
  <c r="C126" i="5083"/>
  <c r="C127" i="5083"/>
  <c r="C128" i="5083"/>
  <c r="C129" i="5083"/>
  <c r="C130" i="5083"/>
  <c r="C131" i="5083"/>
  <c r="C132" i="5083"/>
  <c r="C133" i="5083"/>
  <c r="C134" i="5083"/>
  <c r="C135" i="5083"/>
  <c r="C136" i="5083"/>
  <c r="C137" i="5083"/>
  <c r="C138" i="5083"/>
  <c r="C139" i="5083"/>
  <c r="C140" i="5083"/>
  <c r="C141" i="5083"/>
  <c r="C142" i="5083"/>
  <c r="C143" i="5083"/>
  <c r="C144" i="5083"/>
  <c r="C145" i="5083"/>
  <c r="C146" i="5083"/>
  <c r="C147" i="5083"/>
  <c r="C148" i="5083"/>
  <c r="C149" i="5083"/>
  <c r="C150" i="5083"/>
  <c r="C151" i="5083"/>
  <c r="C152" i="5083"/>
  <c r="C153" i="5083"/>
  <c r="C154" i="5083"/>
  <c r="C155" i="5083"/>
  <c r="C156" i="5083"/>
  <c r="C157" i="5083"/>
  <c r="C158" i="5083"/>
  <c r="C159" i="5083"/>
  <c r="C160" i="5083"/>
  <c r="C161" i="5083"/>
  <c r="C162" i="5083"/>
  <c r="C163" i="5083"/>
  <c r="C164" i="5083"/>
  <c r="C165" i="5083"/>
  <c r="C166" i="5083"/>
  <c r="C167" i="5083"/>
  <c r="C168" i="5083"/>
  <c r="C169" i="5083"/>
  <c r="C170" i="5083"/>
  <c r="C171" i="5083"/>
  <c r="C172" i="5083"/>
  <c r="C173" i="5083"/>
  <c r="C174" i="5083"/>
  <c r="C175" i="5083"/>
  <c r="C176" i="5083"/>
  <c r="C177" i="5083"/>
  <c r="C178" i="5083"/>
  <c r="C179" i="5083"/>
  <c r="C180" i="5083"/>
  <c r="C181" i="5083"/>
  <c r="C182" i="5083"/>
  <c r="C183" i="5083"/>
  <c r="C184" i="5083"/>
  <c r="C185" i="5083"/>
  <c r="C186" i="5083"/>
  <c r="C187" i="5083"/>
  <c r="C188" i="5083"/>
  <c r="C189" i="5083"/>
  <c r="C190" i="5083"/>
  <c r="C191" i="5083"/>
  <c r="C192" i="5083"/>
  <c r="C193" i="5083"/>
  <c r="C194" i="5083"/>
  <c r="C195" i="5083"/>
  <c r="C196" i="5083"/>
  <c r="C197" i="5083"/>
  <c r="C198" i="5083"/>
  <c r="C199" i="5083"/>
  <c r="C200" i="5083"/>
  <c r="C201" i="5083"/>
  <c r="C202" i="5083"/>
  <c r="C203" i="5083"/>
  <c r="C204" i="5083"/>
  <c r="C205" i="5083"/>
  <c r="C206" i="5083"/>
  <c r="C207" i="5083"/>
  <c r="C208" i="5083"/>
  <c r="C209" i="5083"/>
  <c r="C210" i="5083"/>
  <c r="C211" i="5083"/>
  <c r="C212" i="5083"/>
  <c r="C213" i="5083"/>
  <c r="C214" i="5083"/>
  <c r="C215" i="5083"/>
  <c r="C216" i="5083"/>
  <c r="C217" i="5083"/>
  <c r="C218" i="5083"/>
  <c r="C219" i="5083"/>
  <c r="C220" i="5083"/>
  <c r="C221" i="5083"/>
  <c r="C222" i="5083"/>
  <c r="C223" i="5083"/>
  <c r="C224" i="5083"/>
  <c r="C225" i="5083"/>
  <c r="C226" i="5083"/>
  <c r="C227" i="5083"/>
  <c r="C228" i="5083"/>
  <c r="C229" i="5083"/>
  <c r="C230" i="5083"/>
  <c r="C231" i="5083"/>
  <c r="C232" i="5083"/>
  <c r="C233" i="5083"/>
  <c r="C234" i="5083"/>
  <c r="C235" i="5083"/>
  <c r="C236" i="5083"/>
  <c r="C237" i="5083"/>
  <c r="C238" i="5083"/>
  <c r="C239" i="5083"/>
  <c r="C240" i="5083"/>
  <c r="C241" i="5083"/>
  <c r="C242" i="5083"/>
  <c r="C243" i="5083"/>
  <c r="C244" i="5083"/>
  <c r="C245" i="5083"/>
  <c r="C246" i="5083"/>
  <c r="C247" i="5083"/>
  <c r="C248" i="5083"/>
  <c r="C249" i="5083"/>
  <c r="C250" i="5083"/>
  <c r="C251" i="5083"/>
  <c r="C252" i="5083"/>
  <c r="C253" i="5083"/>
  <c r="C254" i="5083"/>
  <c r="C255" i="5083"/>
  <c r="C256" i="5083"/>
  <c r="C257" i="5083"/>
  <c r="C258" i="5083"/>
  <c r="C259" i="5083"/>
  <c r="C260" i="5083"/>
  <c r="C261" i="5083"/>
  <c r="C262" i="5083"/>
  <c r="C263" i="5083"/>
  <c r="C264" i="5083"/>
  <c r="C265" i="5083"/>
  <c r="C266" i="5083"/>
  <c r="C267" i="5083"/>
  <c r="C268" i="5083"/>
  <c r="C269" i="5083"/>
  <c r="C270" i="5083"/>
  <c r="C271" i="5083"/>
  <c r="C272" i="5083"/>
  <c r="C273" i="5083"/>
  <c r="C274" i="5083"/>
  <c r="C275" i="5083"/>
  <c r="C276" i="5083"/>
  <c r="C277" i="5083"/>
  <c r="C278" i="5083"/>
  <c r="C279" i="5083"/>
  <c r="C280" i="5083"/>
  <c r="C281" i="5083"/>
  <c r="C282" i="5083"/>
  <c r="C283" i="5083"/>
  <c r="C284" i="5083"/>
  <c r="C285" i="5083"/>
  <c r="C286" i="5083"/>
  <c r="C287" i="5083"/>
  <c r="C288" i="5083"/>
  <c r="C289" i="5083"/>
  <c r="C290" i="5083"/>
  <c r="C291" i="5083"/>
  <c r="C292" i="5083"/>
  <c r="C293" i="5083"/>
  <c r="C294" i="5083"/>
  <c r="C295" i="5083"/>
  <c r="C296" i="5083"/>
  <c r="C297" i="5083"/>
  <c r="C298" i="5083"/>
  <c r="C299" i="5083"/>
  <c r="C300" i="5083"/>
  <c r="C301" i="5083"/>
  <c r="C302" i="5083"/>
  <c r="C303" i="5083"/>
  <c r="C304" i="5083"/>
  <c r="C305" i="5083"/>
  <c r="C306" i="5083"/>
  <c r="C307" i="5083"/>
  <c r="C308" i="5083"/>
  <c r="C309" i="5083"/>
  <c r="C310" i="5083"/>
  <c r="C311" i="5083"/>
  <c r="C312" i="5083"/>
  <c r="C313" i="5083"/>
  <c r="C314" i="5083"/>
  <c r="C315" i="5083"/>
  <c r="C316" i="5083"/>
  <c r="C317" i="5083"/>
  <c r="C318" i="5083"/>
  <c r="C319" i="5083"/>
  <c r="C320" i="5083"/>
  <c r="C321" i="5083"/>
  <c r="C322" i="5083"/>
  <c r="C323" i="5083"/>
  <c r="C324" i="5083"/>
  <c r="C325" i="5083"/>
  <c r="C326" i="5083"/>
  <c r="C327" i="5083"/>
  <c r="C328" i="5083"/>
  <c r="C329" i="5083"/>
  <c r="C330" i="5083"/>
  <c r="C331" i="5083"/>
  <c r="C332" i="5083"/>
  <c r="C333" i="5083"/>
  <c r="C334" i="5083"/>
  <c r="C335" i="5083"/>
  <c r="C336" i="5083"/>
  <c r="C337" i="5083"/>
  <c r="C338" i="5083"/>
  <c r="C339" i="5083"/>
  <c r="C340" i="5083"/>
  <c r="C341" i="5083"/>
  <c r="C342" i="5083"/>
  <c r="C343" i="5083"/>
  <c r="C344" i="5083"/>
  <c r="C345" i="5083"/>
  <c r="C346" i="5083"/>
  <c r="C347" i="5083"/>
  <c r="C348" i="5083"/>
  <c r="C349" i="5083"/>
  <c r="C350" i="5083"/>
  <c r="C351" i="5083"/>
  <c r="C352" i="5083"/>
  <c r="C353" i="5083"/>
  <c r="C354" i="5083"/>
  <c r="C355" i="5083"/>
  <c r="C356" i="5083"/>
  <c r="C357" i="5083"/>
  <c r="C358" i="5083"/>
  <c r="C359" i="5083"/>
  <c r="C360" i="5083"/>
  <c r="C361" i="5083"/>
  <c r="C362" i="5083"/>
  <c r="C363" i="5083"/>
  <c r="C364" i="5083"/>
  <c r="C365" i="5083"/>
  <c r="C366" i="5083"/>
  <c r="C367" i="5083"/>
  <c r="C368" i="5083"/>
  <c r="C369" i="5083"/>
  <c r="C370" i="5083"/>
  <c r="C371" i="5083"/>
  <c r="C372" i="5083"/>
  <c r="C373" i="5083"/>
  <c r="C374" i="5083"/>
  <c r="C375" i="5083"/>
  <c r="C376" i="5083"/>
  <c r="C377" i="5083"/>
  <c r="C378" i="5083"/>
  <c r="C379" i="5083"/>
  <c r="C380" i="5083"/>
  <c r="C381" i="5083"/>
  <c r="C382" i="5083"/>
  <c r="C383" i="5083"/>
  <c r="C384" i="5083"/>
  <c r="C385" i="5083"/>
  <c r="C386" i="5083"/>
  <c r="C387" i="5083"/>
  <c r="C388" i="5083"/>
  <c r="C389" i="5083"/>
  <c r="C390" i="5083"/>
  <c r="C391" i="5083"/>
  <c r="C392" i="5083"/>
  <c r="C393" i="5083"/>
  <c r="C394" i="5083"/>
  <c r="C395" i="5083"/>
  <c r="C396" i="5083"/>
  <c r="C397" i="5083"/>
  <c r="C398" i="5083"/>
  <c r="C399" i="5083"/>
  <c r="C400" i="5083"/>
  <c r="C401" i="5083"/>
  <c r="C402" i="5083"/>
  <c r="C403" i="5083"/>
  <c r="C404" i="5083"/>
  <c r="C405" i="5083"/>
  <c r="C406" i="5083"/>
  <c r="C407" i="5083"/>
  <c r="C408" i="5083"/>
  <c r="C409" i="5083"/>
  <c r="C410" i="5083"/>
  <c r="C411" i="5083"/>
  <c r="C412" i="5083"/>
  <c r="C413" i="5083"/>
  <c r="C414" i="5083"/>
  <c r="C415" i="5083"/>
  <c r="C416" i="5083"/>
  <c r="C417" i="5083"/>
  <c r="C418" i="5083"/>
  <c r="C419" i="5083"/>
  <c r="C420" i="5083"/>
  <c r="C421" i="5083"/>
  <c r="C422" i="5083"/>
  <c r="C423" i="5083"/>
  <c r="C424" i="5083"/>
  <c r="C425" i="5083"/>
  <c r="C426" i="5083"/>
  <c r="C427" i="5083"/>
  <c r="C428" i="5083"/>
  <c r="C429" i="5083"/>
  <c r="C430" i="5083"/>
  <c r="C431" i="5083"/>
  <c r="C432" i="5083"/>
  <c r="C433" i="5083"/>
  <c r="C434" i="5083"/>
  <c r="C435" i="5083"/>
  <c r="C436" i="5083"/>
  <c r="C437" i="5083"/>
  <c r="C438" i="5083"/>
  <c r="C439" i="5083"/>
  <c r="C440" i="5083"/>
  <c r="C441" i="5083"/>
  <c r="C442" i="5083"/>
  <c r="C443" i="5083"/>
  <c r="C444" i="5083"/>
  <c r="C445" i="5083"/>
  <c r="C446" i="5083"/>
  <c r="C447" i="5083"/>
  <c r="C448" i="5083"/>
  <c r="C449" i="5083"/>
  <c r="C450" i="5083"/>
  <c r="C451" i="5083"/>
  <c r="C452" i="5083"/>
  <c r="C453" i="5083"/>
  <c r="C454" i="5083"/>
  <c r="C455" i="5083"/>
  <c r="C456" i="5083"/>
  <c r="C457" i="5083"/>
  <c r="C458" i="5083"/>
  <c r="C459" i="5083"/>
  <c r="C460" i="5083"/>
  <c r="C461" i="5083"/>
  <c r="C462" i="5083"/>
  <c r="C463" i="5083"/>
  <c r="C464" i="5083"/>
  <c r="C465" i="5083"/>
  <c r="C466" i="5083"/>
  <c r="C467" i="5083"/>
  <c r="C468" i="5083"/>
  <c r="C469" i="5083"/>
  <c r="C470" i="5083"/>
  <c r="C471" i="5083"/>
  <c r="C472" i="5083"/>
  <c r="C473" i="5083"/>
  <c r="C474" i="5083"/>
  <c r="C475" i="5083"/>
  <c r="C476" i="5083"/>
  <c r="C477" i="5083"/>
  <c r="C478" i="5083"/>
  <c r="C479" i="5083"/>
  <c r="C480" i="5083"/>
  <c r="C481" i="5083"/>
  <c r="C482" i="5083"/>
  <c r="C483" i="5083"/>
  <c r="C484" i="5083"/>
  <c r="C485" i="5083"/>
  <c r="C486" i="5083"/>
  <c r="C487" i="5083"/>
  <c r="C488" i="5083"/>
  <c r="C489" i="5083"/>
  <c r="C490" i="5083"/>
  <c r="C491" i="5083"/>
  <c r="C492" i="5083"/>
  <c r="C493" i="5083"/>
  <c r="C494" i="5083"/>
  <c r="C495" i="5083"/>
  <c r="C496" i="5083"/>
  <c r="C497" i="5083"/>
  <c r="C498" i="5083"/>
  <c r="C499" i="5083"/>
  <c r="C500" i="5083"/>
  <c r="C501" i="5083"/>
  <c r="C502" i="5083"/>
  <c r="C503" i="5083"/>
  <c r="C504" i="5083"/>
  <c r="C505" i="5083"/>
  <c r="C2" i="5082"/>
  <c r="C3" i="5082"/>
  <c r="C4" i="5082"/>
  <c r="C5" i="5082"/>
  <c r="C6" i="5082"/>
  <c r="C7" i="5082"/>
  <c r="C8" i="5082"/>
  <c r="C9" i="5082"/>
  <c r="C10" i="5082"/>
  <c r="C11" i="5082"/>
  <c r="C12" i="5082"/>
  <c r="C13" i="5082"/>
  <c r="C14" i="5082"/>
  <c r="C15" i="5082"/>
  <c r="C16" i="5082"/>
  <c r="C17" i="5082"/>
  <c r="C18" i="5082"/>
  <c r="C19" i="5082"/>
  <c r="C20" i="5082"/>
  <c r="C21" i="5082"/>
  <c r="C22" i="5082"/>
  <c r="C23" i="5082"/>
  <c r="C24" i="5082"/>
  <c r="C25" i="5082"/>
  <c r="C26" i="5082"/>
  <c r="C27" i="5082"/>
  <c r="C28" i="5082"/>
  <c r="C29" i="5082"/>
  <c r="C30" i="5082"/>
  <c r="C31" i="5082"/>
  <c r="C32" i="5082"/>
  <c r="C33" i="5082"/>
  <c r="C34" i="5082"/>
  <c r="C35" i="5082"/>
  <c r="C36" i="5082"/>
  <c r="C37" i="5082"/>
  <c r="C38" i="5082"/>
  <c r="C39" i="5082"/>
  <c r="C40" i="5082"/>
  <c r="C41" i="5082"/>
  <c r="C42" i="5082"/>
  <c r="C43" i="5082"/>
  <c r="C44" i="5082"/>
  <c r="C45" i="5082"/>
  <c r="C46" i="5082"/>
  <c r="C47" i="5082"/>
  <c r="C48" i="5082"/>
  <c r="C49" i="5082"/>
  <c r="C50" i="5082"/>
  <c r="C51" i="5082"/>
  <c r="C52" i="5082"/>
  <c r="C53" i="5082"/>
  <c r="C54" i="5082"/>
  <c r="C55" i="5082"/>
  <c r="C56" i="5082"/>
  <c r="C57" i="5082"/>
  <c r="C58" i="5082"/>
  <c r="C59" i="5082"/>
  <c r="C60" i="5082"/>
  <c r="C61" i="5082"/>
  <c r="C62" i="5082"/>
  <c r="C63" i="5082"/>
  <c r="C64" i="5082"/>
  <c r="C65" i="5082"/>
  <c r="C66" i="5082"/>
  <c r="C67" i="5082"/>
  <c r="C68" i="5082"/>
  <c r="C69" i="5082"/>
  <c r="C70" i="5082"/>
  <c r="C71" i="5082"/>
  <c r="C72" i="5082"/>
  <c r="C73" i="5082"/>
  <c r="C74" i="5082"/>
  <c r="C75" i="5082"/>
  <c r="C76" i="5082"/>
  <c r="C77" i="5082"/>
  <c r="C78" i="5082"/>
  <c r="C79" i="5082"/>
  <c r="C80" i="5082"/>
  <c r="C81" i="5082"/>
  <c r="C82" i="5082"/>
  <c r="C83" i="5082"/>
  <c r="C84" i="5082"/>
  <c r="C85" i="5082"/>
  <c r="C86" i="5082"/>
  <c r="C87" i="5082"/>
  <c r="C88" i="5082"/>
  <c r="C89" i="5082"/>
  <c r="C90" i="5082"/>
  <c r="C91" i="5082"/>
  <c r="C92" i="5082"/>
  <c r="C93" i="5082"/>
  <c r="C94" i="5082"/>
  <c r="C95" i="5082"/>
  <c r="C96" i="5082"/>
  <c r="C97" i="5082"/>
  <c r="C98" i="5082"/>
  <c r="C99" i="5082"/>
  <c r="C100" i="5082"/>
  <c r="C101" i="5082"/>
  <c r="C102" i="5082"/>
  <c r="C103" i="5082"/>
  <c r="C104" i="5082"/>
  <c r="C105" i="5082"/>
  <c r="C106" i="5082"/>
  <c r="C107" i="5082"/>
  <c r="C108" i="5082"/>
  <c r="C109" i="5082"/>
  <c r="C110" i="5082"/>
  <c r="C111" i="5082"/>
  <c r="C112" i="5082"/>
  <c r="C113" i="5082"/>
  <c r="C114" i="5082"/>
  <c r="C115" i="5082"/>
  <c r="C116" i="5082"/>
  <c r="C117" i="5082"/>
  <c r="C118" i="5082"/>
  <c r="C119" i="5082"/>
  <c r="C120" i="5082"/>
  <c r="C121" i="5082"/>
  <c r="C122" i="5082"/>
  <c r="C123" i="5082"/>
  <c r="C124" i="5082"/>
  <c r="C125" i="5082"/>
  <c r="C126" i="5082"/>
  <c r="C127" i="5082"/>
  <c r="C128" i="5082"/>
  <c r="C129" i="5082"/>
  <c r="C130" i="5082"/>
  <c r="C131" i="5082"/>
  <c r="C132" i="5082"/>
  <c r="C133" i="5082"/>
  <c r="C134" i="5082"/>
  <c r="C135" i="5082"/>
  <c r="C136" i="5082"/>
  <c r="C137" i="5082"/>
  <c r="C138" i="5082"/>
  <c r="C139" i="5082"/>
  <c r="C140" i="5082"/>
  <c r="C141" i="5082"/>
  <c r="C142" i="5082"/>
  <c r="C143" i="5082"/>
  <c r="C144" i="5082"/>
  <c r="C145" i="5082"/>
  <c r="C146" i="5082"/>
  <c r="C147" i="5082"/>
  <c r="C148" i="5082"/>
  <c r="C149" i="5082"/>
  <c r="C150" i="5082"/>
  <c r="C151" i="5082"/>
  <c r="C152" i="5082"/>
  <c r="C153" i="5082"/>
  <c r="C154" i="5082"/>
  <c r="C155" i="5082"/>
  <c r="C156" i="5082"/>
  <c r="C157" i="5082"/>
  <c r="C158" i="5082"/>
  <c r="C159" i="5082"/>
  <c r="C160" i="5082"/>
  <c r="C161" i="5082"/>
  <c r="C162" i="5082"/>
  <c r="C163" i="5082"/>
  <c r="C164" i="5082"/>
  <c r="C165" i="5082"/>
  <c r="C166" i="5082"/>
  <c r="C167" i="5082"/>
  <c r="C168" i="5082"/>
  <c r="C169" i="5082"/>
  <c r="C170" i="5082"/>
  <c r="C171" i="5082"/>
  <c r="C172" i="5082"/>
  <c r="C173" i="5082"/>
  <c r="C174" i="5082"/>
  <c r="C175" i="5082"/>
  <c r="C176" i="5082"/>
  <c r="C177" i="5082"/>
  <c r="C178" i="5082"/>
  <c r="C179" i="5082"/>
  <c r="C180" i="5082"/>
  <c r="C181" i="5082"/>
  <c r="C182" i="5082"/>
  <c r="C183" i="5082"/>
  <c r="C184" i="5082"/>
  <c r="C185" i="5082"/>
  <c r="C186" i="5082"/>
  <c r="C187" i="5082"/>
  <c r="C188" i="5082"/>
  <c r="C189" i="5082"/>
  <c r="C190" i="5082"/>
  <c r="C191" i="5082"/>
  <c r="C192" i="5082"/>
  <c r="C193" i="5082"/>
  <c r="C194" i="5082"/>
  <c r="C195" i="5082"/>
  <c r="C196" i="5082"/>
  <c r="C197" i="5082"/>
  <c r="C198" i="5082"/>
  <c r="C199" i="5082"/>
  <c r="C200" i="5082"/>
  <c r="C201" i="5082"/>
  <c r="C202" i="5082"/>
  <c r="C203" i="5082"/>
  <c r="C204" i="5082"/>
  <c r="C205" i="5082"/>
  <c r="C206" i="5082"/>
  <c r="C207" i="5082"/>
  <c r="C208" i="5082"/>
  <c r="C209" i="5082"/>
  <c r="C210" i="5082"/>
  <c r="C211" i="5082"/>
  <c r="C212" i="5082"/>
  <c r="C213" i="5082"/>
  <c r="C214" i="5082"/>
  <c r="C215" i="5082"/>
  <c r="C216" i="5082"/>
  <c r="C217" i="5082"/>
  <c r="C218" i="5082"/>
  <c r="C219" i="5082"/>
  <c r="C220" i="5082"/>
  <c r="C221" i="5082"/>
  <c r="C222" i="5082"/>
  <c r="C223" i="5082"/>
  <c r="C224" i="5082"/>
  <c r="C225" i="5082"/>
  <c r="C226" i="5082"/>
  <c r="C227" i="5082"/>
  <c r="C228" i="5082"/>
  <c r="C229" i="5082"/>
  <c r="C230" i="5082"/>
  <c r="C231" i="5082"/>
  <c r="C232" i="5082"/>
  <c r="C233" i="5082"/>
  <c r="C234" i="5082"/>
  <c r="C235" i="5082"/>
  <c r="C236" i="5082"/>
  <c r="C237" i="5082"/>
  <c r="C238" i="5082"/>
  <c r="C239" i="5082"/>
  <c r="C240" i="5082"/>
  <c r="C241" i="5082"/>
  <c r="C242" i="5082"/>
  <c r="C243" i="5082"/>
  <c r="C244" i="5082"/>
  <c r="C245" i="5082"/>
  <c r="C246" i="5082"/>
  <c r="C247" i="5082"/>
  <c r="C248" i="5082"/>
  <c r="C249" i="5082"/>
  <c r="C250" i="5082"/>
  <c r="C251" i="5082"/>
  <c r="C252" i="5082"/>
  <c r="C253" i="5082"/>
  <c r="C254" i="5082"/>
  <c r="C255" i="5082"/>
  <c r="C256" i="5082"/>
  <c r="C257" i="5082"/>
  <c r="C258" i="5082"/>
  <c r="C259" i="5082"/>
  <c r="C260" i="5082"/>
  <c r="C261" i="5082"/>
  <c r="C262" i="5082"/>
  <c r="C263" i="5082"/>
  <c r="C264" i="5082"/>
  <c r="C265" i="5082"/>
  <c r="C266" i="5082"/>
  <c r="C267" i="5082"/>
  <c r="C268" i="5082"/>
  <c r="C269" i="5082"/>
  <c r="C270" i="5082"/>
  <c r="C271" i="5082"/>
  <c r="C272" i="5082"/>
  <c r="C273" i="5082"/>
  <c r="C274" i="5082"/>
  <c r="C275" i="5082"/>
  <c r="C276" i="5082"/>
  <c r="C277" i="5082"/>
  <c r="C278" i="5082"/>
  <c r="C279" i="5082"/>
  <c r="C280" i="5082"/>
  <c r="C281" i="5082"/>
  <c r="C282" i="5082"/>
  <c r="C283" i="5082"/>
  <c r="C284" i="5082"/>
  <c r="C285" i="5082"/>
  <c r="C286" i="5082"/>
  <c r="C287" i="5082"/>
  <c r="C288" i="5082"/>
  <c r="C289" i="5082"/>
  <c r="C290" i="5082"/>
  <c r="C291" i="5082"/>
  <c r="C292" i="5082"/>
  <c r="C293" i="5082"/>
  <c r="C294" i="5082"/>
  <c r="C295" i="5082"/>
  <c r="C296" i="5082"/>
  <c r="C297" i="5082"/>
  <c r="C298" i="5082"/>
  <c r="C299" i="5082"/>
  <c r="C300" i="5082"/>
  <c r="C301" i="5082"/>
  <c r="C302" i="5082"/>
  <c r="C303" i="5082"/>
  <c r="C304" i="5082"/>
  <c r="C305" i="5082"/>
  <c r="C306" i="5082"/>
  <c r="C307" i="5082"/>
  <c r="C308" i="5082"/>
  <c r="C309" i="5082"/>
  <c r="C310" i="5082"/>
  <c r="C311" i="5082"/>
  <c r="C312" i="5082"/>
  <c r="C313" i="5082"/>
  <c r="C314" i="5082"/>
  <c r="C315" i="5082"/>
  <c r="C316" i="5082"/>
  <c r="C317" i="5082"/>
  <c r="C318" i="5082"/>
  <c r="C319" i="5082"/>
  <c r="C320" i="5082"/>
  <c r="C321" i="5082"/>
  <c r="C322" i="5082"/>
  <c r="C323" i="5082"/>
  <c r="C324" i="5082"/>
  <c r="C325" i="5082"/>
  <c r="C326" i="5082"/>
  <c r="C327" i="5082"/>
  <c r="C328" i="5082"/>
  <c r="C329" i="5082"/>
  <c r="C330" i="5082"/>
  <c r="C331" i="5082"/>
  <c r="C332" i="5082"/>
  <c r="C333" i="5082"/>
  <c r="C334" i="5082"/>
  <c r="C335" i="5082"/>
  <c r="C336" i="5082"/>
  <c r="C337" i="5082"/>
  <c r="C338" i="5082"/>
  <c r="C339" i="5082"/>
  <c r="C340" i="5082"/>
  <c r="C341" i="5082"/>
  <c r="C342" i="5082"/>
  <c r="C343" i="5082"/>
  <c r="C344" i="5082"/>
  <c r="C345" i="5082"/>
  <c r="C346" i="5082"/>
  <c r="C347" i="5082"/>
  <c r="C348" i="5082"/>
  <c r="C349" i="5082"/>
  <c r="C350" i="5082"/>
  <c r="C351" i="5082"/>
  <c r="C352" i="5082"/>
  <c r="C353" i="5082"/>
  <c r="C354" i="5082"/>
  <c r="C355" i="5082"/>
  <c r="C356" i="5082"/>
  <c r="C357" i="5082"/>
  <c r="C358" i="5082"/>
  <c r="C359" i="5082"/>
  <c r="C360" i="5082"/>
  <c r="C361" i="5082"/>
  <c r="C362" i="5082"/>
  <c r="C363" i="5082"/>
  <c r="C364" i="5082"/>
  <c r="C365" i="5082"/>
  <c r="C366" i="5082"/>
  <c r="C367" i="5082"/>
  <c r="C368" i="5082"/>
  <c r="C369" i="5082"/>
  <c r="C370" i="5082"/>
  <c r="C371" i="5082"/>
  <c r="C372" i="5082"/>
  <c r="C373" i="5082"/>
  <c r="C374" i="5082"/>
  <c r="C375" i="5082"/>
  <c r="C376" i="5082"/>
  <c r="C377" i="5082"/>
  <c r="C378" i="5082"/>
  <c r="C379" i="5082"/>
  <c r="C380" i="5082"/>
  <c r="C381" i="5082"/>
  <c r="C382" i="5082"/>
  <c r="C383" i="5082"/>
  <c r="C384" i="5082"/>
  <c r="C385" i="5082"/>
  <c r="C386" i="5082"/>
  <c r="C387" i="5082"/>
  <c r="C388" i="5082"/>
  <c r="C389" i="5082"/>
  <c r="C390" i="5082"/>
  <c r="C391" i="5082"/>
  <c r="C392" i="5082"/>
  <c r="C393" i="5082"/>
  <c r="C394" i="5082"/>
  <c r="C395" i="5082"/>
  <c r="C396" i="5082"/>
  <c r="C397" i="5082"/>
  <c r="C398" i="5082"/>
  <c r="C399" i="5082"/>
  <c r="C400" i="5082"/>
  <c r="C401" i="5082"/>
  <c r="C402" i="5082"/>
  <c r="C403" i="5082"/>
  <c r="C404" i="5082"/>
  <c r="C405" i="5082"/>
  <c r="C406" i="5082"/>
  <c r="C407" i="5082"/>
  <c r="C408" i="5082"/>
  <c r="C409" i="5082"/>
  <c r="C410" i="5082"/>
  <c r="C411" i="5082"/>
  <c r="C412" i="5082"/>
  <c r="C413" i="5082"/>
  <c r="C414" i="5082"/>
  <c r="C415" i="5082"/>
  <c r="C416" i="5082"/>
  <c r="C417" i="5082"/>
  <c r="C418" i="5082"/>
  <c r="C419" i="5082"/>
  <c r="C420" i="5082"/>
  <c r="C421" i="5082"/>
  <c r="C422" i="5082"/>
  <c r="C423" i="5082"/>
  <c r="C424" i="5082"/>
  <c r="C425" i="5082"/>
  <c r="C426" i="5082"/>
  <c r="C427" i="5082"/>
  <c r="C428" i="5082"/>
  <c r="C429" i="5082"/>
  <c r="C430" i="5082"/>
  <c r="C431" i="5082"/>
  <c r="C432" i="5082"/>
  <c r="C433" i="5082"/>
  <c r="C434" i="5082"/>
  <c r="C435" i="5082"/>
  <c r="C436" i="5082"/>
  <c r="C437" i="5082"/>
  <c r="C438" i="5082"/>
  <c r="C439" i="5082"/>
  <c r="C440" i="5082"/>
  <c r="C441" i="5082"/>
  <c r="C442" i="5082"/>
  <c r="C443" i="5082"/>
  <c r="C444" i="5082"/>
  <c r="C445" i="5082"/>
  <c r="C446" i="5082"/>
  <c r="C447" i="5082"/>
  <c r="C448" i="5082"/>
  <c r="C449" i="5082"/>
  <c r="C450" i="5082"/>
  <c r="C451" i="5082"/>
  <c r="C452" i="5082"/>
  <c r="C453" i="5082"/>
  <c r="C454" i="5082"/>
  <c r="C455" i="5082"/>
  <c r="C456" i="5082"/>
  <c r="C457" i="5082"/>
  <c r="C458" i="5082"/>
  <c r="C459" i="5082"/>
  <c r="C460" i="5082"/>
  <c r="C461" i="5082"/>
  <c r="C462" i="5082"/>
  <c r="C463" i="5082"/>
  <c r="C464" i="5082"/>
  <c r="C465" i="5082"/>
  <c r="C466" i="5082"/>
  <c r="C467" i="5082"/>
  <c r="C468" i="5082"/>
  <c r="C469" i="5082"/>
  <c r="C470" i="5082"/>
  <c r="C471" i="5082"/>
  <c r="C472" i="5082"/>
  <c r="C473" i="5082"/>
  <c r="C474" i="5082"/>
  <c r="C475" i="5082"/>
  <c r="C476" i="5082"/>
  <c r="C477" i="5082"/>
  <c r="C478" i="5082"/>
  <c r="C479" i="5082"/>
  <c r="C480" i="5082"/>
  <c r="C481" i="5082"/>
  <c r="C482" i="5082"/>
  <c r="C483" i="5082"/>
  <c r="C484" i="5082"/>
  <c r="C485" i="5082"/>
  <c r="C486" i="5082"/>
  <c r="C487" i="5082"/>
  <c r="C488" i="5082"/>
  <c r="C489" i="5082"/>
  <c r="C490" i="5082"/>
  <c r="C491" i="5082"/>
  <c r="C492" i="5082"/>
  <c r="C493" i="5082"/>
  <c r="C494" i="5082"/>
  <c r="C495" i="5082"/>
  <c r="C496" i="5082"/>
  <c r="C497" i="5082"/>
  <c r="C498" i="5082"/>
  <c r="C499" i="5082"/>
  <c r="C500" i="5082"/>
  <c r="C501" i="5082"/>
  <c r="C502" i="5082"/>
  <c r="C503" i="5082"/>
  <c r="C504" i="5082"/>
  <c r="C505" i="5082"/>
  <c r="C2" i="5081"/>
  <c r="C3" i="5081"/>
  <c r="C4" i="5081"/>
  <c r="C5" i="5081"/>
  <c r="C6" i="5081"/>
  <c r="C7" i="5081"/>
  <c r="C8" i="5081"/>
  <c r="C9" i="5081"/>
  <c r="C10" i="5081"/>
  <c r="C11" i="5081"/>
  <c r="C12" i="5081"/>
  <c r="C13" i="5081"/>
  <c r="C14" i="5081"/>
  <c r="C15" i="5081"/>
  <c r="C16" i="5081"/>
  <c r="C17" i="5081"/>
  <c r="C18" i="5081"/>
  <c r="C19" i="5081"/>
  <c r="C20" i="5081"/>
  <c r="C21" i="5081"/>
  <c r="C22" i="5081"/>
  <c r="C23" i="5081"/>
  <c r="C24" i="5081"/>
  <c r="C25" i="5081"/>
  <c r="C26" i="5081"/>
  <c r="C27" i="5081"/>
  <c r="C28" i="5081"/>
  <c r="C29" i="5081"/>
  <c r="C30" i="5081"/>
  <c r="C31" i="5081"/>
  <c r="C32" i="5081"/>
  <c r="C33" i="5081"/>
  <c r="C34" i="5081"/>
  <c r="C35" i="5081"/>
  <c r="C36" i="5081"/>
  <c r="C37" i="5081"/>
  <c r="C38" i="5081"/>
  <c r="C39" i="5081"/>
  <c r="C40" i="5081"/>
  <c r="C41" i="5081"/>
  <c r="C42" i="5081"/>
  <c r="C43" i="5081"/>
  <c r="C44" i="5081"/>
  <c r="C45" i="5081"/>
  <c r="C46" i="5081"/>
  <c r="C47" i="5081"/>
  <c r="C48" i="5081"/>
  <c r="C49" i="5081"/>
  <c r="C50" i="5081"/>
  <c r="C51" i="5081"/>
  <c r="C52" i="5081"/>
  <c r="C53" i="5081"/>
  <c r="C54" i="5081"/>
  <c r="C55" i="5081"/>
  <c r="C56" i="5081"/>
  <c r="C57" i="5081"/>
  <c r="C58" i="5081"/>
  <c r="C59" i="5081"/>
  <c r="C60" i="5081"/>
  <c r="C61" i="5081"/>
  <c r="C62" i="5081"/>
  <c r="C63" i="5081"/>
  <c r="C64" i="5081"/>
  <c r="C65" i="5081"/>
  <c r="C66" i="5081"/>
  <c r="C67" i="5081"/>
  <c r="C68" i="5081"/>
  <c r="C69" i="5081"/>
  <c r="C70" i="5081"/>
  <c r="C71" i="5081"/>
  <c r="C72" i="5081"/>
  <c r="C73" i="5081"/>
  <c r="C74" i="5081"/>
  <c r="C75" i="5081"/>
  <c r="C76" i="5081"/>
  <c r="C77" i="5081"/>
  <c r="C78" i="5081"/>
  <c r="C79" i="5081"/>
  <c r="C80" i="5081"/>
  <c r="C81" i="5081"/>
  <c r="C82" i="5081"/>
  <c r="C83" i="5081"/>
  <c r="C84" i="5081"/>
  <c r="C85" i="5081"/>
  <c r="C86" i="5081"/>
  <c r="C87" i="5081"/>
  <c r="C88" i="5081"/>
  <c r="C89" i="5081"/>
  <c r="C90" i="5081"/>
  <c r="C91" i="5081"/>
  <c r="C92" i="5081"/>
  <c r="C93" i="5081"/>
  <c r="C94" i="5081"/>
  <c r="C95" i="5081"/>
  <c r="C96" i="5081"/>
  <c r="C97" i="5081"/>
  <c r="C98" i="5081"/>
  <c r="C99" i="5081"/>
  <c r="C100" i="5081"/>
  <c r="C101" i="5081"/>
  <c r="C102" i="5081"/>
  <c r="C103" i="5081"/>
  <c r="C104" i="5081"/>
  <c r="C105" i="5081"/>
  <c r="C106" i="5081"/>
  <c r="C107" i="5081"/>
  <c r="C108" i="5081"/>
  <c r="C109" i="5081"/>
  <c r="C110" i="5081"/>
  <c r="C111" i="5081"/>
  <c r="C112" i="5081"/>
  <c r="C113" i="5081"/>
  <c r="C114" i="5081"/>
  <c r="C115" i="5081"/>
  <c r="C116" i="5081"/>
  <c r="C117" i="5081"/>
  <c r="C118" i="5081"/>
  <c r="C119" i="5081"/>
  <c r="C120" i="5081"/>
  <c r="C121" i="5081"/>
  <c r="C122" i="5081"/>
  <c r="C123" i="5081"/>
  <c r="C124" i="5081"/>
  <c r="C125" i="5081"/>
  <c r="C126" i="5081"/>
  <c r="C127" i="5081"/>
  <c r="C128" i="5081"/>
  <c r="C129" i="5081"/>
  <c r="C130" i="5081"/>
  <c r="C131" i="5081"/>
  <c r="C132" i="5081"/>
  <c r="C133" i="5081"/>
  <c r="C134" i="5081"/>
  <c r="C135" i="5081"/>
  <c r="C136" i="5081"/>
  <c r="C137" i="5081"/>
  <c r="C138" i="5081"/>
  <c r="C139" i="5081"/>
  <c r="C140" i="5081"/>
  <c r="C141" i="5081"/>
  <c r="C142" i="5081"/>
  <c r="C143" i="5081"/>
  <c r="C144" i="5081"/>
  <c r="C145" i="5081"/>
  <c r="C146" i="5081"/>
  <c r="C147" i="5081"/>
  <c r="C148" i="5081"/>
  <c r="C149" i="5081"/>
  <c r="C150" i="5081"/>
  <c r="C151" i="5081"/>
  <c r="C152" i="5081"/>
  <c r="C153" i="5081"/>
  <c r="C154" i="5081"/>
  <c r="C155" i="5081"/>
  <c r="C156" i="5081"/>
  <c r="C157" i="5081"/>
  <c r="C158" i="5081"/>
  <c r="C159" i="5081"/>
  <c r="C160" i="5081"/>
  <c r="C161" i="5081"/>
  <c r="C162" i="5081"/>
  <c r="C163" i="5081"/>
  <c r="C164" i="5081"/>
  <c r="C165" i="5081"/>
  <c r="C166" i="5081"/>
  <c r="C167" i="5081"/>
  <c r="C168" i="5081"/>
  <c r="C169" i="5081"/>
  <c r="C170" i="5081"/>
  <c r="C171" i="5081"/>
  <c r="C172" i="5081"/>
  <c r="C173" i="5081"/>
  <c r="C174" i="5081"/>
  <c r="C175" i="5081"/>
  <c r="C176" i="5081"/>
  <c r="C177" i="5081"/>
  <c r="C178" i="5081"/>
  <c r="C179" i="5081"/>
  <c r="C180" i="5081"/>
  <c r="C181" i="5081"/>
  <c r="C182" i="5081"/>
  <c r="C183" i="5081"/>
  <c r="C184" i="5081"/>
  <c r="C185" i="5081"/>
  <c r="C186" i="5081"/>
  <c r="C187" i="5081"/>
  <c r="C188" i="5081"/>
  <c r="C189" i="5081"/>
  <c r="C190" i="5081"/>
  <c r="C191" i="5081"/>
  <c r="C192" i="5081"/>
  <c r="C193" i="5081"/>
  <c r="C194" i="5081"/>
  <c r="C195" i="5081"/>
  <c r="C196" i="5081"/>
  <c r="C197" i="5081"/>
  <c r="C198" i="5081"/>
  <c r="C199" i="5081"/>
  <c r="C200" i="5081"/>
  <c r="C201" i="5081"/>
  <c r="C202" i="5081"/>
  <c r="C203" i="5081"/>
  <c r="C204" i="5081"/>
  <c r="C205" i="5081"/>
  <c r="C206" i="5081"/>
  <c r="C207" i="5081"/>
  <c r="C208" i="5081"/>
  <c r="C209" i="5081"/>
  <c r="C210" i="5081"/>
  <c r="C211" i="5081"/>
  <c r="C212" i="5081"/>
  <c r="C213" i="5081"/>
  <c r="C214" i="5081"/>
  <c r="C215" i="5081"/>
  <c r="C216" i="5081"/>
  <c r="C217" i="5081"/>
  <c r="C218" i="5081"/>
  <c r="C219" i="5081"/>
  <c r="C220" i="5081"/>
  <c r="C221" i="5081"/>
  <c r="C222" i="5081"/>
  <c r="C223" i="5081"/>
  <c r="C224" i="5081"/>
  <c r="C225" i="5081"/>
  <c r="C226" i="5081"/>
  <c r="C227" i="5081"/>
  <c r="C228" i="5081"/>
  <c r="C229" i="5081"/>
  <c r="C230" i="5081"/>
  <c r="C231" i="5081"/>
  <c r="C232" i="5081"/>
  <c r="C233" i="5081"/>
  <c r="C234" i="5081"/>
  <c r="C235" i="5081"/>
  <c r="C236" i="5081"/>
  <c r="C237" i="5081"/>
  <c r="C238" i="5081"/>
  <c r="C239" i="5081"/>
  <c r="C240" i="5081"/>
  <c r="C241" i="5081"/>
  <c r="C242" i="5081"/>
  <c r="C243" i="5081"/>
  <c r="C244" i="5081"/>
  <c r="C245" i="5081"/>
  <c r="C246" i="5081"/>
  <c r="C247" i="5081"/>
  <c r="C248" i="5081"/>
  <c r="C249" i="5081"/>
  <c r="C250" i="5081"/>
  <c r="C251" i="5081"/>
  <c r="C252" i="5081"/>
  <c r="C253" i="5081"/>
  <c r="C254" i="5081"/>
  <c r="C255" i="5081"/>
  <c r="C256" i="5081"/>
  <c r="C257" i="5081"/>
  <c r="C258" i="5081"/>
  <c r="C259" i="5081"/>
  <c r="C260" i="5081"/>
  <c r="C261" i="5081"/>
  <c r="C262" i="5081"/>
  <c r="C263" i="5081"/>
  <c r="C264" i="5081"/>
  <c r="C265" i="5081"/>
  <c r="C266" i="5081"/>
  <c r="C267" i="5081"/>
  <c r="C268" i="5081"/>
  <c r="C269" i="5081"/>
  <c r="C270" i="5081"/>
  <c r="C271" i="5081"/>
  <c r="C272" i="5081"/>
  <c r="C273" i="5081"/>
  <c r="C274" i="5081"/>
  <c r="C275" i="5081"/>
  <c r="C276" i="5081"/>
  <c r="C277" i="5081"/>
  <c r="C278" i="5081"/>
  <c r="C279" i="5081"/>
  <c r="C280" i="5081"/>
  <c r="C281" i="5081"/>
  <c r="C282" i="5081"/>
  <c r="C283" i="5081"/>
  <c r="C284" i="5081"/>
  <c r="C285" i="5081"/>
  <c r="C286" i="5081"/>
  <c r="C287" i="5081"/>
  <c r="C288" i="5081"/>
  <c r="C289" i="5081"/>
  <c r="C290" i="5081"/>
  <c r="C291" i="5081"/>
  <c r="C292" i="5081"/>
  <c r="C293" i="5081"/>
  <c r="C294" i="5081"/>
  <c r="C295" i="5081"/>
  <c r="C296" i="5081"/>
  <c r="C297" i="5081"/>
  <c r="C298" i="5081"/>
  <c r="C299" i="5081"/>
  <c r="C300" i="5081"/>
  <c r="C301" i="5081"/>
  <c r="C302" i="5081"/>
  <c r="C303" i="5081"/>
  <c r="C304" i="5081"/>
  <c r="C305" i="5081"/>
  <c r="C306" i="5081"/>
  <c r="C307" i="5081"/>
  <c r="C308" i="5081"/>
  <c r="C309" i="5081"/>
  <c r="C310" i="5081"/>
  <c r="C311" i="5081"/>
  <c r="C312" i="5081"/>
  <c r="C313" i="5081"/>
  <c r="C314" i="5081"/>
  <c r="C315" i="5081"/>
  <c r="C316" i="5081"/>
  <c r="C317" i="5081"/>
  <c r="C318" i="5081"/>
  <c r="C319" i="5081"/>
  <c r="C320" i="5081"/>
  <c r="C321" i="5081"/>
  <c r="C322" i="5081"/>
  <c r="C323" i="5081"/>
  <c r="C324" i="5081"/>
  <c r="C325" i="5081"/>
  <c r="C326" i="5081"/>
  <c r="C327" i="5081"/>
  <c r="C328" i="5081"/>
  <c r="C329" i="5081"/>
  <c r="C330" i="5081"/>
  <c r="C331" i="5081"/>
  <c r="C332" i="5081"/>
  <c r="C333" i="5081"/>
  <c r="C334" i="5081"/>
  <c r="C335" i="5081"/>
  <c r="C336" i="5081"/>
  <c r="C337" i="5081"/>
  <c r="C338" i="5081"/>
  <c r="C339" i="5081"/>
  <c r="C340" i="5081"/>
  <c r="C341" i="5081"/>
  <c r="C342" i="5081"/>
  <c r="C343" i="5081"/>
  <c r="C344" i="5081"/>
  <c r="C345" i="5081"/>
  <c r="C346" i="5081"/>
  <c r="C347" i="5081"/>
  <c r="C348" i="5081"/>
  <c r="C349" i="5081"/>
  <c r="C350" i="5081"/>
  <c r="C351" i="5081"/>
  <c r="C352" i="5081"/>
  <c r="C353" i="5081"/>
  <c r="C354" i="5081"/>
  <c r="C355" i="5081"/>
  <c r="C356" i="5081"/>
  <c r="C357" i="5081"/>
  <c r="C358" i="5081"/>
  <c r="C359" i="5081"/>
  <c r="C360" i="5081"/>
  <c r="C361" i="5081"/>
  <c r="C362" i="5081"/>
  <c r="C363" i="5081"/>
  <c r="C364" i="5081"/>
  <c r="C365" i="5081"/>
  <c r="C366" i="5081"/>
  <c r="C367" i="5081"/>
  <c r="C368" i="5081"/>
  <c r="C369" i="5081"/>
  <c r="C370" i="5081"/>
  <c r="C371" i="5081"/>
  <c r="C372" i="5081"/>
  <c r="C373" i="5081"/>
  <c r="C374" i="5081"/>
  <c r="C375" i="5081"/>
  <c r="C376" i="5081"/>
  <c r="C377" i="5081"/>
  <c r="C378" i="5081"/>
  <c r="C379" i="5081"/>
  <c r="C380" i="5081"/>
  <c r="C381" i="5081"/>
  <c r="C382" i="5081"/>
  <c r="C383" i="5081"/>
  <c r="C384" i="5081"/>
  <c r="C385" i="5081"/>
  <c r="C386" i="5081"/>
  <c r="C387" i="5081"/>
  <c r="C388" i="5081"/>
  <c r="C389" i="5081"/>
  <c r="C390" i="5081"/>
  <c r="C391" i="5081"/>
  <c r="C392" i="5081"/>
  <c r="C393" i="5081"/>
  <c r="C394" i="5081"/>
  <c r="C395" i="5081"/>
  <c r="C396" i="5081"/>
  <c r="C397" i="5081"/>
  <c r="C398" i="5081"/>
  <c r="C399" i="5081"/>
  <c r="C400" i="5081"/>
  <c r="C401" i="5081"/>
  <c r="C402" i="5081"/>
  <c r="C403" i="5081"/>
  <c r="C404" i="5081"/>
  <c r="C405" i="5081"/>
  <c r="C406" i="5081"/>
  <c r="C407" i="5081"/>
  <c r="C408" i="5081"/>
  <c r="C409" i="5081"/>
  <c r="C410" i="5081"/>
  <c r="C411" i="5081"/>
  <c r="C412" i="5081"/>
  <c r="C413" i="5081"/>
  <c r="C414" i="5081"/>
  <c r="C415" i="5081"/>
  <c r="C416" i="5081"/>
  <c r="C417" i="5081"/>
  <c r="C418" i="5081"/>
  <c r="C419" i="5081"/>
  <c r="C420" i="5081"/>
  <c r="C421" i="5081"/>
  <c r="C422" i="5081"/>
  <c r="C423" i="5081"/>
  <c r="C424" i="5081"/>
  <c r="C425" i="5081"/>
  <c r="C426" i="5081"/>
  <c r="C427" i="5081"/>
  <c r="C428" i="5081"/>
  <c r="C429" i="5081"/>
  <c r="C430" i="5081"/>
  <c r="C431" i="5081"/>
  <c r="C432" i="5081"/>
  <c r="C433" i="5081"/>
  <c r="C434" i="5081"/>
  <c r="C435" i="5081"/>
  <c r="C436" i="5081"/>
  <c r="C437" i="5081"/>
  <c r="C438" i="5081"/>
  <c r="C439" i="5081"/>
  <c r="C440" i="5081"/>
  <c r="C441" i="5081"/>
  <c r="C442" i="5081"/>
  <c r="C443" i="5081"/>
  <c r="C444" i="5081"/>
  <c r="C445" i="5081"/>
  <c r="C446" i="5081"/>
  <c r="C447" i="5081"/>
  <c r="C448" i="5081"/>
  <c r="C449" i="5081"/>
  <c r="C450" i="5081"/>
  <c r="C451" i="5081"/>
  <c r="C452" i="5081"/>
  <c r="C453" i="5081"/>
  <c r="C454" i="5081"/>
  <c r="C455" i="5081"/>
  <c r="C456" i="5081"/>
  <c r="C457" i="5081"/>
  <c r="C458" i="5081"/>
  <c r="C459" i="5081"/>
  <c r="C460" i="5081"/>
  <c r="C461" i="5081"/>
  <c r="C462" i="5081"/>
  <c r="C463" i="5081"/>
  <c r="C464" i="5081"/>
  <c r="C465" i="5081"/>
  <c r="C466" i="5081"/>
  <c r="C467" i="5081"/>
  <c r="C468" i="5081"/>
  <c r="C469" i="5081"/>
  <c r="C470" i="5081"/>
  <c r="C471" i="5081"/>
  <c r="C472" i="5081"/>
  <c r="C473" i="5081"/>
  <c r="C474" i="5081"/>
  <c r="C475" i="5081"/>
  <c r="C476" i="5081"/>
  <c r="C477" i="5081"/>
  <c r="C478" i="5081"/>
  <c r="C479" i="5081"/>
  <c r="C480" i="5081"/>
  <c r="C481" i="5081"/>
  <c r="C482" i="5081"/>
  <c r="C483" i="5081"/>
  <c r="C484" i="5081"/>
  <c r="C485" i="5081"/>
  <c r="C486" i="5081"/>
  <c r="C487" i="5081"/>
  <c r="C488" i="5081"/>
  <c r="C489" i="5081"/>
  <c r="C490" i="5081"/>
  <c r="C491" i="5081"/>
  <c r="C492" i="5081"/>
  <c r="C493" i="5081"/>
  <c r="C494" i="5081"/>
  <c r="C495" i="5081"/>
  <c r="C496" i="5081"/>
  <c r="C497" i="5081"/>
  <c r="C498" i="5081"/>
  <c r="C499" i="5081"/>
  <c r="C500" i="5081"/>
  <c r="C501" i="5081"/>
  <c r="C502" i="5081"/>
  <c r="C503" i="5081"/>
  <c r="C504" i="5081"/>
  <c r="C505" i="5081"/>
  <c r="C2" i="5080"/>
  <c r="C3" i="5080"/>
  <c r="C4" i="5080"/>
  <c r="C5" i="5080"/>
  <c r="C6" i="5080"/>
  <c r="C7" i="5080"/>
  <c r="C8" i="5080"/>
  <c r="C9" i="5080"/>
  <c r="C10" i="5080"/>
  <c r="C11" i="5080"/>
  <c r="C12" i="5080"/>
  <c r="C13" i="5080"/>
  <c r="C14" i="5080"/>
  <c r="C15" i="5080"/>
  <c r="C16" i="5080"/>
  <c r="C17" i="5080"/>
  <c r="C18" i="5080"/>
  <c r="C19" i="5080"/>
  <c r="C20" i="5080"/>
  <c r="C21" i="5080"/>
  <c r="C22" i="5080"/>
  <c r="C23" i="5080"/>
  <c r="C24" i="5080"/>
  <c r="C25" i="5080"/>
  <c r="C26" i="5080"/>
  <c r="C27" i="5080"/>
  <c r="C28" i="5080"/>
  <c r="C29" i="5080"/>
  <c r="C30" i="5080"/>
  <c r="C31" i="5080"/>
  <c r="C32" i="5080"/>
  <c r="C33" i="5080"/>
  <c r="C34" i="5080"/>
  <c r="C35" i="5080"/>
  <c r="C36" i="5080"/>
  <c r="C37" i="5080"/>
  <c r="C38" i="5080"/>
  <c r="C39" i="5080"/>
  <c r="C40" i="5080"/>
  <c r="C41" i="5080"/>
  <c r="C42" i="5080"/>
  <c r="C43" i="5080"/>
  <c r="C44" i="5080"/>
  <c r="C45" i="5080"/>
  <c r="C46" i="5080"/>
  <c r="C47" i="5080"/>
  <c r="C48" i="5080"/>
  <c r="C49" i="5080"/>
  <c r="C50" i="5080"/>
  <c r="C51" i="5080"/>
  <c r="C52" i="5080"/>
  <c r="C53" i="5080"/>
  <c r="C54" i="5080"/>
  <c r="C55" i="5080"/>
  <c r="C56" i="5080"/>
  <c r="C57" i="5080"/>
  <c r="C58" i="5080"/>
  <c r="C59" i="5080"/>
  <c r="C60" i="5080"/>
  <c r="C61" i="5080"/>
  <c r="C62" i="5080"/>
  <c r="C63" i="5080"/>
  <c r="C64" i="5080"/>
  <c r="C65" i="5080"/>
  <c r="C66" i="5080"/>
  <c r="C67" i="5080"/>
  <c r="C68" i="5080"/>
  <c r="C69" i="5080"/>
  <c r="C70" i="5080"/>
  <c r="C71" i="5080"/>
  <c r="C72" i="5080"/>
  <c r="C73" i="5080"/>
  <c r="C74" i="5080"/>
  <c r="C75" i="5080"/>
  <c r="C76" i="5080"/>
  <c r="C77" i="5080"/>
  <c r="C78" i="5080"/>
  <c r="C79" i="5080"/>
  <c r="C80" i="5080"/>
  <c r="C81" i="5080"/>
  <c r="C82" i="5080"/>
  <c r="C83" i="5080"/>
  <c r="C84" i="5080"/>
  <c r="C85" i="5080"/>
  <c r="C86" i="5080"/>
  <c r="C87" i="5080"/>
  <c r="C88" i="5080"/>
  <c r="C89" i="5080"/>
  <c r="C90" i="5080"/>
  <c r="C91" i="5080"/>
  <c r="C92" i="5080"/>
  <c r="C93" i="5080"/>
  <c r="C94" i="5080"/>
  <c r="C95" i="5080"/>
  <c r="C96" i="5080"/>
  <c r="C97" i="5080"/>
  <c r="C98" i="5080"/>
  <c r="C99" i="5080"/>
  <c r="C100" i="5080"/>
  <c r="C101" i="5080"/>
  <c r="C102" i="5080"/>
  <c r="C103" i="5080"/>
  <c r="C104" i="5080"/>
  <c r="C105" i="5080"/>
  <c r="C106" i="5080"/>
  <c r="C107" i="5080"/>
  <c r="C108" i="5080"/>
  <c r="C109" i="5080"/>
  <c r="C110" i="5080"/>
  <c r="C111" i="5080"/>
  <c r="C112" i="5080"/>
  <c r="C113" i="5080"/>
  <c r="C114" i="5080"/>
  <c r="C115" i="5080"/>
  <c r="C116" i="5080"/>
  <c r="C117" i="5080"/>
  <c r="C118" i="5080"/>
  <c r="C119" i="5080"/>
  <c r="C120" i="5080"/>
  <c r="C121" i="5080"/>
  <c r="C122" i="5080"/>
  <c r="C123" i="5080"/>
  <c r="C124" i="5080"/>
  <c r="C125" i="5080"/>
  <c r="C126" i="5080"/>
  <c r="C127" i="5080"/>
  <c r="C128" i="5080"/>
  <c r="C129" i="5080"/>
  <c r="C130" i="5080"/>
  <c r="C131" i="5080"/>
  <c r="C132" i="5080"/>
  <c r="C133" i="5080"/>
  <c r="C134" i="5080"/>
  <c r="C135" i="5080"/>
  <c r="C136" i="5080"/>
  <c r="C137" i="5080"/>
  <c r="C138" i="5080"/>
  <c r="C139" i="5080"/>
  <c r="C140" i="5080"/>
  <c r="C141" i="5080"/>
  <c r="C142" i="5080"/>
  <c r="C143" i="5080"/>
  <c r="C144" i="5080"/>
  <c r="C145" i="5080"/>
  <c r="C146" i="5080"/>
  <c r="C147" i="5080"/>
  <c r="C148" i="5080"/>
  <c r="C149" i="5080"/>
  <c r="C150" i="5080"/>
  <c r="C151" i="5080"/>
  <c r="C152" i="5080"/>
  <c r="C153" i="5080"/>
  <c r="C154" i="5080"/>
  <c r="C155" i="5080"/>
  <c r="C156" i="5080"/>
  <c r="C157" i="5080"/>
  <c r="C158" i="5080"/>
  <c r="C159" i="5080"/>
  <c r="C160" i="5080"/>
  <c r="C161" i="5080"/>
  <c r="C162" i="5080"/>
  <c r="C163" i="5080"/>
  <c r="C164" i="5080"/>
  <c r="C165" i="5080"/>
  <c r="C166" i="5080"/>
  <c r="C167" i="5080"/>
  <c r="C168" i="5080"/>
  <c r="C169" i="5080"/>
  <c r="C170" i="5080"/>
  <c r="C171" i="5080"/>
  <c r="C172" i="5080"/>
  <c r="C173" i="5080"/>
  <c r="C174" i="5080"/>
  <c r="C175" i="5080"/>
  <c r="C176" i="5080"/>
  <c r="C177" i="5080"/>
  <c r="C178" i="5080"/>
  <c r="C179" i="5080"/>
  <c r="C180" i="5080"/>
  <c r="C181" i="5080"/>
  <c r="C182" i="5080"/>
  <c r="C183" i="5080"/>
  <c r="C184" i="5080"/>
  <c r="C185" i="5080"/>
  <c r="C186" i="5080"/>
  <c r="C187" i="5080"/>
  <c r="C188" i="5080"/>
  <c r="C189" i="5080"/>
  <c r="C190" i="5080"/>
  <c r="C191" i="5080"/>
  <c r="C192" i="5080"/>
  <c r="C193" i="5080"/>
  <c r="C194" i="5080"/>
  <c r="C195" i="5080"/>
  <c r="C196" i="5080"/>
  <c r="C197" i="5080"/>
  <c r="C198" i="5080"/>
  <c r="C199" i="5080"/>
  <c r="C200" i="5080"/>
  <c r="C201" i="5080"/>
  <c r="C202" i="5080"/>
  <c r="C203" i="5080"/>
  <c r="C204" i="5080"/>
  <c r="C205" i="5080"/>
  <c r="C206" i="5080"/>
  <c r="C207" i="5080"/>
  <c r="C208" i="5080"/>
  <c r="C209" i="5080"/>
  <c r="C210" i="5080"/>
  <c r="C211" i="5080"/>
  <c r="C212" i="5080"/>
  <c r="C213" i="5080"/>
  <c r="C214" i="5080"/>
  <c r="C215" i="5080"/>
  <c r="C216" i="5080"/>
  <c r="C217" i="5080"/>
  <c r="C218" i="5080"/>
  <c r="C219" i="5080"/>
  <c r="C220" i="5080"/>
  <c r="C221" i="5080"/>
  <c r="C222" i="5080"/>
  <c r="C223" i="5080"/>
  <c r="C224" i="5080"/>
  <c r="C225" i="5080"/>
  <c r="C226" i="5080"/>
  <c r="C227" i="5080"/>
  <c r="C228" i="5080"/>
  <c r="C229" i="5080"/>
  <c r="C230" i="5080"/>
  <c r="C231" i="5080"/>
  <c r="C232" i="5080"/>
  <c r="C233" i="5080"/>
  <c r="C234" i="5080"/>
  <c r="C235" i="5080"/>
  <c r="C236" i="5080"/>
  <c r="C237" i="5080"/>
  <c r="C238" i="5080"/>
  <c r="C239" i="5080"/>
  <c r="C240" i="5080"/>
  <c r="C241" i="5080"/>
  <c r="C242" i="5080"/>
  <c r="C243" i="5080"/>
  <c r="C244" i="5080"/>
  <c r="C245" i="5080"/>
  <c r="C246" i="5080"/>
  <c r="C247" i="5080"/>
  <c r="C248" i="5080"/>
  <c r="C249" i="5080"/>
  <c r="C250" i="5080"/>
  <c r="C251" i="5080"/>
  <c r="C252" i="5080"/>
  <c r="C253" i="5080"/>
  <c r="C254" i="5080"/>
  <c r="C255" i="5080"/>
  <c r="C256" i="5080"/>
  <c r="C257" i="5080"/>
  <c r="C258" i="5080"/>
  <c r="C259" i="5080"/>
  <c r="C260" i="5080"/>
  <c r="C261" i="5080"/>
  <c r="C262" i="5080"/>
  <c r="C263" i="5080"/>
  <c r="C264" i="5080"/>
  <c r="C265" i="5080"/>
  <c r="C266" i="5080"/>
  <c r="C267" i="5080"/>
  <c r="C268" i="5080"/>
  <c r="C269" i="5080"/>
  <c r="C270" i="5080"/>
  <c r="C271" i="5080"/>
  <c r="C272" i="5080"/>
  <c r="C273" i="5080"/>
  <c r="C274" i="5080"/>
  <c r="C275" i="5080"/>
  <c r="C276" i="5080"/>
  <c r="C277" i="5080"/>
  <c r="C278" i="5080"/>
  <c r="C279" i="5080"/>
  <c r="C280" i="5080"/>
  <c r="C281" i="5080"/>
  <c r="C282" i="5080"/>
  <c r="C283" i="5080"/>
  <c r="C284" i="5080"/>
  <c r="C285" i="5080"/>
  <c r="C286" i="5080"/>
  <c r="C287" i="5080"/>
  <c r="C288" i="5080"/>
  <c r="C289" i="5080"/>
  <c r="C290" i="5080"/>
  <c r="C291" i="5080"/>
  <c r="C292" i="5080"/>
  <c r="C293" i="5080"/>
  <c r="C294" i="5080"/>
  <c r="C295" i="5080"/>
  <c r="C296" i="5080"/>
  <c r="C297" i="5080"/>
  <c r="C298" i="5080"/>
  <c r="C299" i="5080"/>
  <c r="C300" i="5080"/>
  <c r="C301" i="5080"/>
  <c r="C302" i="5080"/>
  <c r="C303" i="5080"/>
  <c r="C304" i="5080"/>
  <c r="C305" i="5080"/>
  <c r="C306" i="5080"/>
  <c r="C307" i="5080"/>
  <c r="C308" i="5080"/>
  <c r="C309" i="5080"/>
  <c r="C310" i="5080"/>
  <c r="C311" i="5080"/>
  <c r="C312" i="5080"/>
  <c r="C313" i="5080"/>
  <c r="C314" i="5080"/>
  <c r="C315" i="5080"/>
  <c r="C316" i="5080"/>
  <c r="C317" i="5080"/>
  <c r="C318" i="5080"/>
  <c r="C319" i="5080"/>
  <c r="C320" i="5080"/>
  <c r="C321" i="5080"/>
  <c r="C322" i="5080"/>
  <c r="C323" i="5080"/>
  <c r="C324" i="5080"/>
  <c r="C325" i="5080"/>
  <c r="C326" i="5080"/>
  <c r="C327" i="5080"/>
  <c r="C328" i="5080"/>
  <c r="C329" i="5080"/>
  <c r="C330" i="5080"/>
  <c r="C331" i="5080"/>
  <c r="C332" i="5080"/>
  <c r="C333" i="5080"/>
  <c r="C334" i="5080"/>
  <c r="C335" i="5080"/>
  <c r="C336" i="5080"/>
  <c r="C337" i="5080"/>
  <c r="C338" i="5080"/>
  <c r="C339" i="5080"/>
  <c r="C340" i="5080"/>
  <c r="C341" i="5080"/>
  <c r="C342" i="5080"/>
  <c r="C343" i="5080"/>
  <c r="C344" i="5080"/>
  <c r="C345" i="5080"/>
  <c r="C346" i="5080"/>
  <c r="C347" i="5080"/>
  <c r="C348" i="5080"/>
  <c r="C349" i="5080"/>
  <c r="C350" i="5080"/>
  <c r="C351" i="5080"/>
  <c r="C352" i="5080"/>
  <c r="C353" i="5080"/>
  <c r="C354" i="5080"/>
  <c r="C355" i="5080"/>
  <c r="C356" i="5080"/>
  <c r="C357" i="5080"/>
  <c r="C358" i="5080"/>
  <c r="C359" i="5080"/>
  <c r="C360" i="5080"/>
  <c r="C361" i="5080"/>
  <c r="C362" i="5080"/>
  <c r="C363" i="5080"/>
  <c r="C364" i="5080"/>
  <c r="C365" i="5080"/>
  <c r="C366" i="5080"/>
  <c r="C367" i="5080"/>
  <c r="C368" i="5080"/>
  <c r="C369" i="5080"/>
  <c r="C370" i="5080"/>
  <c r="C371" i="5080"/>
  <c r="C372" i="5080"/>
  <c r="C373" i="5080"/>
  <c r="C374" i="5080"/>
  <c r="C375" i="5080"/>
  <c r="C376" i="5080"/>
  <c r="C377" i="5080"/>
  <c r="C378" i="5080"/>
  <c r="C379" i="5080"/>
  <c r="C380" i="5080"/>
  <c r="C381" i="5080"/>
  <c r="C382" i="5080"/>
  <c r="C383" i="5080"/>
  <c r="C384" i="5080"/>
  <c r="C385" i="5080"/>
  <c r="C386" i="5080"/>
  <c r="C387" i="5080"/>
  <c r="C388" i="5080"/>
  <c r="C389" i="5080"/>
  <c r="C390" i="5080"/>
  <c r="C391" i="5080"/>
  <c r="C392" i="5080"/>
  <c r="C393" i="5080"/>
  <c r="C394" i="5080"/>
  <c r="C395" i="5080"/>
  <c r="C396" i="5080"/>
  <c r="C397" i="5080"/>
  <c r="C398" i="5080"/>
  <c r="C399" i="5080"/>
  <c r="C400" i="5080"/>
  <c r="C401" i="5080"/>
  <c r="C402" i="5080"/>
  <c r="C403" i="5080"/>
  <c r="C404" i="5080"/>
  <c r="C405" i="5080"/>
  <c r="C406" i="5080"/>
  <c r="C407" i="5080"/>
  <c r="C408" i="5080"/>
  <c r="C409" i="5080"/>
  <c r="C410" i="5080"/>
  <c r="C411" i="5080"/>
  <c r="C412" i="5080"/>
  <c r="C413" i="5080"/>
  <c r="C414" i="5080"/>
  <c r="C415" i="5080"/>
  <c r="C416" i="5080"/>
  <c r="C417" i="5080"/>
  <c r="C418" i="5080"/>
  <c r="C419" i="5080"/>
  <c r="C420" i="5080"/>
  <c r="C421" i="5080"/>
  <c r="C422" i="5080"/>
  <c r="C423" i="5080"/>
  <c r="C424" i="5080"/>
  <c r="C425" i="5080"/>
  <c r="C426" i="5080"/>
  <c r="C427" i="5080"/>
  <c r="C428" i="5080"/>
  <c r="C429" i="5080"/>
  <c r="C430" i="5080"/>
  <c r="C431" i="5080"/>
  <c r="C432" i="5080"/>
  <c r="C433" i="5080"/>
  <c r="C434" i="5080"/>
  <c r="C435" i="5080"/>
  <c r="C436" i="5080"/>
  <c r="C437" i="5080"/>
  <c r="C438" i="5080"/>
  <c r="C439" i="5080"/>
  <c r="C440" i="5080"/>
  <c r="C441" i="5080"/>
  <c r="C442" i="5080"/>
  <c r="C443" i="5080"/>
  <c r="C444" i="5080"/>
  <c r="C445" i="5080"/>
  <c r="C446" i="5080"/>
  <c r="C447" i="5080"/>
  <c r="C448" i="5080"/>
  <c r="C449" i="5080"/>
  <c r="C450" i="5080"/>
  <c r="C451" i="5080"/>
  <c r="C452" i="5080"/>
  <c r="C453" i="5080"/>
  <c r="C454" i="5080"/>
  <c r="C455" i="5080"/>
  <c r="C456" i="5080"/>
  <c r="C457" i="5080"/>
  <c r="C458" i="5080"/>
  <c r="C459" i="5080"/>
  <c r="C460" i="5080"/>
  <c r="C461" i="5080"/>
  <c r="C462" i="5080"/>
  <c r="C463" i="5080"/>
  <c r="C464" i="5080"/>
  <c r="C465" i="5080"/>
  <c r="C466" i="5080"/>
  <c r="C467" i="5080"/>
  <c r="C468" i="5080"/>
  <c r="C469" i="5080"/>
  <c r="C470" i="5080"/>
  <c r="C471" i="5080"/>
  <c r="C472" i="5080"/>
  <c r="C473" i="5080"/>
  <c r="C474" i="5080"/>
  <c r="C475" i="5080"/>
  <c r="C476" i="5080"/>
  <c r="C477" i="5080"/>
  <c r="C478" i="5080"/>
  <c r="C479" i="5080"/>
  <c r="C480" i="5080"/>
  <c r="C481" i="5080"/>
  <c r="C482" i="5080"/>
  <c r="C483" i="5080"/>
  <c r="C484" i="5080"/>
  <c r="C485" i="5080"/>
  <c r="C486" i="5080"/>
  <c r="C487" i="5080"/>
  <c r="C488" i="5080"/>
  <c r="C489" i="5080"/>
  <c r="C490" i="5080"/>
  <c r="C491" i="5080"/>
  <c r="C492" i="5080"/>
  <c r="C493" i="5080"/>
  <c r="C494" i="5080"/>
  <c r="C495" i="5080"/>
  <c r="C496" i="5080"/>
  <c r="C497" i="5080"/>
  <c r="C498" i="5080"/>
  <c r="C499" i="5080"/>
  <c r="C500" i="5080"/>
  <c r="C501" i="5080"/>
  <c r="C502" i="5080"/>
  <c r="C503" i="5080"/>
  <c r="C504" i="5080"/>
  <c r="C505" i="5080"/>
  <c r="C2" i="5079"/>
  <c r="C3" i="5079"/>
  <c r="C4" i="5079"/>
  <c r="C5" i="5079"/>
  <c r="C6" i="5079"/>
  <c r="C7" i="5079"/>
  <c r="C8" i="5079"/>
  <c r="C9" i="5079"/>
  <c r="C10" i="5079"/>
  <c r="C11" i="5079"/>
  <c r="C12" i="5079"/>
  <c r="C13" i="5079"/>
  <c r="C14" i="5079"/>
  <c r="C15" i="5079"/>
  <c r="C16" i="5079"/>
  <c r="C17" i="5079"/>
  <c r="C18" i="5079"/>
  <c r="C19" i="5079"/>
  <c r="C20" i="5079"/>
  <c r="C21" i="5079"/>
  <c r="C22" i="5079"/>
  <c r="C23" i="5079"/>
  <c r="C24" i="5079"/>
  <c r="C25" i="5079"/>
  <c r="C26" i="5079"/>
  <c r="C27" i="5079"/>
  <c r="C28" i="5079"/>
  <c r="C29" i="5079"/>
  <c r="C30" i="5079"/>
  <c r="C31" i="5079"/>
  <c r="C32" i="5079"/>
  <c r="C33" i="5079"/>
  <c r="C34" i="5079"/>
  <c r="C35" i="5079"/>
  <c r="C36" i="5079"/>
  <c r="C37" i="5079"/>
  <c r="C38" i="5079"/>
  <c r="C39" i="5079"/>
  <c r="C40" i="5079"/>
  <c r="C41" i="5079"/>
  <c r="C42" i="5079"/>
  <c r="C43" i="5079"/>
  <c r="C44" i="5079"/>
  <c r="C45" i="5079"/>
  <c r="C46" i="5079"/>
  <c r="C47" i="5079"/>
  <c r="C48" i="5079"/>
  <c r="C49" i="5079"/>
  <c r="C50" i="5079"/>
  <c r="C51" i="5079"/>
  <c r="C52" i="5079"/>
  <c r="C53" i="5079"/>
  <c r="C54" i="5079"/>
  <c r="C55" i="5079"/>
  <c r="C56" i="5079"/>
  <c r="C57" i="5079"/>
  <c r="C58" i="5079"/>
  <c r="C59" i="5079"/>
  <c r="C60" i="5079"/>
  <c r="C61" i="5079"/>
  <c r="C62" i="5079"/>
  <c r="C63" i="5079"/>
  <c r="C64" i="5079"/>
  <c r="C65" i="5079"/>
  <c r="C66" i="5079"/>
  <c r="C67" i="5079"/>
  <c r="C68" i="5079"/>
  <c r="C69" i="5079"/>
  <c r="C70" i="5079"/>
  <c r="C71" i="5079"/>
  <c r="C72" i="5079"/>
  <c r="C73" i="5079"/>
  <c r="C74" i="5079"/>
  <c r="C75" i="5079"/>
  <c r="C76" i="5079"/>
  <c r="C77" i="5079"/>
  <c r="C78" i="5079"/>
  <c r="C79" i="5079"/>
  <c r="C80" i="5079"/>
  <c r="C81" i="5079"/>
  <c r="C82" i="5079"/>
  <c r="C83" i="5079"/>
  <c r="C84" i="5079"/>
  <c r="C85" i="5079"/>
  <c r="C86" i="5079"/>
  <c r="C87" i="5079"/>
  <c r="C88" i="5079"/>
  <c r="C89" i="5079"/>
  <c r="C90" i="5079"/>
  <c r="C91" i="5079"/>
  <c r="C92" i="5079"/>
  <c r="C93" i="5079"/>
  <c r="C94" i="5079"/>
  <c r="C95" i="5079"/>
  <c r="C96" i="5079"/>
  <c r="C97" i="5079"/>
  <c r="C98" i="5079"/>
  <c r="C99" i="5079"/>
  <c r="C100" i="5079"/>
  <c r="C101" i="5079"/>
  <c r="C102" i="5079"/>
  <c r="C103" i="5079"/>
  <c r="C104" i="5079"/>
  <c r="C105" i="5079"/>
  <c r="C106" i="5079"/>
  <c r="C107" i="5079"/>
  <c r="C108" i="5079"/>
  <c r="C109" i="5079"/>
  <c r="C110" i="5079"/>
  <c r="C111" i="5079"/>
  <c r="C112" i="5079"/>
  <c r="C113" i="5079"/>
  <c r="C114" i="5079"/>
  <c r="C115" i="5079"/>
  <c r="C116" i="5079"/>
  <c r="C117" i="5079"/>
  <c r="C118" i="5079"/>
  <c r="C119" i="5079"/>
  <c r="C120" i="5079"/>
  <c r="C121" i="5079"/>
  <c r="C122" i="5079"/>
  <c r="C123" i="5079"/>
  <c r="C124" i="5079"/>
  <c r="C125" i="5079"/>
  <c r="C126" i="5079"/>
  <c r="C127" i="5079"/>
  <c r="C128" i="5079"/>
  <c r="C129" i="5079"/>
  <c r="C130" i="5079"/>
  <c r="C131" i="5079"/>
  <c r="C132" i="5079"/>
  <c r="C133" i="5079"/>
  <c r="C134" i="5079"/>
  <c r="C135" i="5079"/>
  <c r="C136" i="5079"/>
  <c r="C137" i="5079"/>
  <c r="C138" i="5079"/>
  <c r="C139" i="5079"/>
  <c r="C140" i="5079"/>
  <c r="C141" i="5079"/>
  <c r="C142" i="5079"/>
  <c r="C143" i="5079"/>
  <c r="C144" i="5079"/>
  <c r="C145" i="5079"/>
  <c r="C146" i="5079"/>
  <c r="C147" i="5079"/>
  <c r="C148" i="5079"/>
  <c r="C149" i="5079"/>
  <c r="C150" i="5079"/>
  <c r="C151" i="5079"/>
  <c r="C152" i="5079"/>
  <c r="C153" i="5079"/>
  <c r="C154" i="5079"/>
  <c r="C155" i="5079"/>
  <c r="C156" i="5079"/>
  <c r="C157" i="5079"/>
  <c r="C158" i="5079"/>
  <c r="C159" i="5079"/>
  <c r="C160" i="5079"/>
  <c r="C161" i="5079"/>
  <c r="C162" i="5079"/>
  <c r="C163" i="5079"/>
  <c r="C164" i="5079"/>
  <c r="C165" i="5079"/>
  <c r="C166" i="5079"/>
  <c r="C167" i="5079"/>
  <c r="C168" i="5079"/>
  <c r="C169" i="5079"/>
  <c r="C170" i="5079"/>
  <c r="C171" i="5079"/>
  <c r="C172" i="5079"/>
  <c r="C173" i="5079"/>
  <c r="C174" i="5079"/>
  <c r="C175" i="5079"/>
  <c r="C176" i="5079"/>
  <c r="C177" i="5079"/>
  <c r="C178" i="5079"/>
  <c r="C179" i="5079"/>
  <c r="C180" i="5079"/>
  <c r="C181" i="5079"/>
  <c r="C182" i="5079"/>
  <c r="C183" i="5079"/>
  <c r="C184" i="5079"/>
  <c r="C185" i="5079"/>
  <c r="C186" i="5079"/>
  <c r="C187" i="5079"/>
  <c r="C188" i="5079"/>
  <c r="C189" i="5079"/>
  <c r="C190" i="5079"/>
  <c r="C191" i="5079"/>
  <c r="C192" i="5079"/>
  <c r="C193" i="5079"/>
  <c r="C194" i="5079"/>
  <c r="C195" i="5079"/>
  <c r="C196" i="5079"/>
  <c r="C197" i="5079"/>
  <c r="C198" i="5079"/>
  <c r="C199" i="5079"/>
  <c r="C200" i="5079"/>
  <c r="C201" i="5079"/>
  <c r="C202" i="5079"/>
  <c r="C203" i="5079"/>
  <c r="C204" i="5079"/>
  <c r="C205" i="5079"/>
  <c r="C206" i="5079"/>
  <c r="C207" i="5079"/>
  <c r="C208" i="5079"/>
  <c r="C209" i="5079"/>
  <c r="C210" i="5079"/>
  <c r="C211" i="5079"/>
  <c r="C212" i="5079"/>
  <c r="C213" i="5079"/>
  <c r="C214" i="5079"/>
  <c r="C215" i="5079"/>
  <c r="C216" i="5079"/>
  <c r="C217" i="5079"/>
  <c r="C218" i="5079"/>
  <c r="C219" i="5079"/>
  <c r="C220" i="5079"/>
  <c r="C221" i="5079"/>
  <c r="C222" i="5079"/>
  <c r="C223" i="5079"/>
  <c r="C224" i="5079"/>
  <c r="C225" i="5079"/>
  <c r="C226" i="5079"/>
  <c r="C227" i="5079"/>
  <c r="C228" i="5079"/>
  <c r="C229" i="5079"/>
  <c r="C230" i="5079"/>
  <c r="C231" i="5079"/>
  <c r="C232" i="5079"/>
  <c r="C233" i="5079"/>
  <c r="C234" i="5079"/>
  <c r="C235" i="5079"/>
  <c r="C236" i="5079"/>
  <c r="C237" i="5079"/>
  <c r="C238" i="5079"/>
  <c r="C239" i="5079"/>
  <c r="C240" i="5079"/>
  <c r="C241" i="5079"/>
  <c r="C242" i="5079"/>
  <c r="C243" i="5079"/>
  <c r="C244" i="5079"/>
  <c r="C245" i="5079"/>
  <c r="C246" i="5079"/>
  <c r="C247" i="5079"/>
  <c r="C248" i="5079"/>
  <c r="C249" i="5079"/>
  <c r="C250" i="5079"/>
  <c r="C251" i="5079"/>
  <c r="C252" i="5079"/>
  <c r="C253" i="5079"/>
  <c r="C254" i="5079"/>
  <c r="C255" i="5079"/>
  <c r="C256" i="5079"/>
  <c r="C257" i="5079"/>
  <c r="C258" i="5079"/>
  <c r="C259" i="5079"/>
  <c r="C260" i="5079"/>
  <c r="C261" i="5079"/>
  <c r="C262" i="5079"/>
  <c r="C263" i="5079"/>
  <c r="C264" i="5079"/>
  <c r="C265" i="5079"/>
  <c r="C266" i="5079"/>
  <c r="C267" i="5079"/>
  <c r="C268" i="5079"/>
  <c r="C269" i="5079"/>
  <c r="C270" i="5079"/>
  <c r="C271" i="5079"/>
  <c r="C272" i="5079"/>
  <c r="C273" i="5079"/>
  <c r="C274" i="5079"/>
  <c r="C275" i="5079"/>
  <c r="C276" i="5079"/>
  <c r="C277" i="5079"/>
  <c r="C278" i="5079"/>
  <c r="C279" i="5079"/>
  <c r="C280" i="5079"/>
  <c r="C281" i="5079"/>
  <c r="C282" i="5079"/>
  <c r="C283" i="5079"/>
  <c r="C284" i="5079"/>
  <c r="C285" i="5079"/>
  <c r="C286" i="5079"/>
  <c r="C287" i="5079"/>
  <c r="C288" i="5079"/>
  <c r="C289" i="5079"/>
  <c r="C290" i="5079"/>
  <c r="C291" i="5079"/>
  <c r="C292" i="5079"/>
  <c r="C293" i="5079"/>
  <c r="C294" i="5079"/>
  <c r="C295" i="5079"/>
  <c r="C296" i="5079"/>
  <c r="C297" i="5079"/>
  <c r="C298" i="5079"/>
  <c r="C299" i="5079"/>
  <c r="C300" i="5079"/>
  <c r="C301" i="5079"/>
  <c r="C302" i="5079"/>
  <c r="C303" i="5079"/>
  <c r="C304" i="5079"/>
  <c r="C305" i="5079"/>
  <c r="C306" i="5079"/>
  <c r="C307" i="5079"/>
  <c r="C308" i="5079"/>
  <c r="C309" i="5079"/>
  <c r="C310" i="5079"/>
  <c r="C311" i="5079"/>
  <c r="C312" i="5079"/>
  <c r="C313" i="5079"/>
  <c r="C314" i="5079"/>
  <c r="C315" i="5079"/>
  <c r="C316" i="5079"/>
  <c r="C317" i="5079"/>
  <c r="C318" i="5079"/>
  <c r="C319" i="5079"/>
  <c r="C320" i="5079"/>
  <c r="C321" i="5079"/>
  <c r="C322" i="5079"/>
  <c r="C323" i="5079"/>
  <c r="C324" i="5079"/>
  <c r="C325" i="5079"/>
  <c r="C326" i="5079"/>
  <c r="C327" i="5079"/>
  <c r="C328" i="5079"/>
  <c r="C329" i="5079"/>
  <c r="C330" i="5079"/>
  <c r="C331" i="5079"/>
  <c r="C332" i="5079"/>
  <c r="C333" i="5079"/>
  <c r="C334" i="5079"/>
  <c r="C335" i="5079"/>
  <c r="C336" i="5079"/>
  <c r="C337" i="5079"/>
  <c r="C338" i="5079"/>
  <c r="C339" i="5079"/>
  <c r="C340" i="5079"/>
  <c r="C341" i="5079"/>
  <c r="C342" i="5079"/>
  <c r="C343" i="5079"/>
  <c r="C344" i="5079"/>
  <c r="C345" i="5079"/>
  <c r="C346" i="5079"/>
  <c r="C347" i="5079"/>
  <c r="C348" i="5079"/>
  <c r="C349" i="5079"/>
  <c r="C350" i="5079"/>
  <c r="C351" i="5079"/>
  <c r="C352" i="5079"/>
  <c r="C353" i="5079"/>
  <c r="C354" i="5079"/>
  <c r="C355" i="5079"/>
  <c r="C356" i="5079"/>
  <c r="C357" i="5079"/>
  <c r="C358" i="5079"/>
  <c r="C359" i="5079"/>
  <c r="C360" i="5079"/>
  <c r="C361" i="5079"/>
  <c r="C362" i="5079"/>
  <c r="C363" i="5079"/>
  <c r="C364" i="5079"/>
  <c r="C365" i="5079"/>
  <c r="C366" i="5079"/>
  <c r="C367" i="5079"/>
  <c r="C368" i="5079"/>
  <c r="C369" i="5079"/>
  <c r="C370" i="5079"/>
  <c r="C371" i="5079"/>
  <c r="C372" i="5079"/>
  <c r="C373" i="5079"/>
  <c r="C374" i="5079"/>
  <c r="C375" i="5079"/>
  <c r="C376" i="5079"/>
  <c r="C377" i="5079"/>
  <c r="C378" i="5079"/>
  <c r="C379" i="5079"/>
  <c r="C380" i="5079"/>
  <c r="C381" i="5079"/>
  <c r="C382" i="5079"/>
  <c r="C383" i="5079"/>
  <c r="C384" i="5079"/>
  <c r="C385" i="5079"/>
  <c r="C386" i="5079"/>
  <c r="C387" i="5079"/>
  <c r="C388" i="5079"/>
  <c r="C389" i="5079"/>
  <c r="C390" i="5079"/>
  <c r="C391" i="5079"/>
  <c r="C392" i="5079"/>
  <c r="C393" i="5079"/>
  <c r="C394" i="5079"/>
  <c r="C395" i="5079"/>
  <c r="C396" i="5079"/>
  <c r="C397" i="5079"/>
  <c r="C398" i="5079"/>
  <c r="C399" i="5079"/>
  <c r="C400" i="5079"/>
  <c r="C401" i="5079"/>
  <c r="C402" i="5079"/>
  <c r="C403" i="5079"/>
  <c r="C404" i="5079"/>
  <c r="C405" i="5079"/>
  <c r="C406" i="5079"/>
  <c r="C407" i="5079"/>
  <c r="C408" i="5079"/>
  <c r="C409" i="5079"/>
  <c r="C410" i="5079"/>
  <c r="C411" i="5079"/>
  <c r="C412" i="5079"/>
  <c r="C413" i="5079"/>
  <c r="C414" i="5079"/>
  <c r="C415" i="5079"/>
  <c r="C416" i="5079"/>
  <c r="C417" i="5079"/>
  <c r="C418" i="5079"/>
  <c r="C419" i="5079"/>
  <c r="C420" i="5079"/>
  <c r="C421" i="5079"/>
  <c r="C422" i="5079"/>
  <c r="C423" i="5079"/>
  <c r="C424" i="5079"/>
  <c r="C425" i="5079"/>
  <c r="C426" i="5079"/>
  <c r="C427" i="5079"/>
  <c r="C428" i="5079"/>
  <c r="C429" i="5079"/>
  <c r="C430" i="5079"/>
  <c r="C431" i="5079"/>
  <c r="C432" i="5079"/>
  <c r="C433" i="5079"/>
  <c r="C434" i="5079"/>
  <c r="C435" i="5079"/>
  <c r="C436" i="5079"/>
  <c r="C437" i="5079"/>
  <c r="C438" i="5079"/>
  <c r="C439" i="5079"/>
  <c r="C440" i="5079"/>
  <c r="C441" i="5079"/>
  <c r="C442" i="5079"/>
  <c r="C443" i="5079"/>
  <c r="C444" i="5079"/>
  <c r="C445" i="5079"/>
  <c r="C446" i="5079"/>
  <c r="C447" i="5079"/>
  <c r="C448" i="5079"/>
  <c r="C449" i="5079"/>
  <c r="C450" i="5079"/>
  <c r="C451" i="5079"/>
  <c r="C452" i="5079"/>
  <c r="C453" i="5079"/>
  <c r="C454" i="5079"/>
  <c r="C455" i="5079"/>
  <c r="C456" i="5079"/>
  <c r="C457" i="5079"/>
  <c r="C458" i="5079"/>
  <c r="C459" i="5079"/>
  <c r="C460" i="5079"/>
  <c r="C461" i="5079"/>
  <c r="C462" i="5079"/>
  <c r="C463" i="5079"/>
  <c r="C464" i="5079"/>
  <c r="C465" i="5079"/>
  <c r="C466" i="5079"/>
  <c r="C467" i="5079"/>
  <c r="C468" i="5079"/>
  <c r="C469" i="5079"/>
  <c r="C470" i="5079"/>
  <c r="C471" i="5079"/>
  <c r="C472" i="5079"/>
  <c r="C473" i="5079"/>
  <c r="C474" i="5079"/>
  <c r="C475" i="5079"/>
  <c r="C476" i="5079"/>
  <c r="C477" i="5079"/>
  <c r="C478" i="5079"/>
  <c r="C479" i="5079"/>
  <c r="C480" i="5079"/>
  <c r="C481" i="5079"/>
  <c r="C482" i="5079"/>
  <c r="C483" i="5079"/>
  <c r="C484" i="5079"/>
  <c r="C485" i="5079"/>
  <c r="C486" i="5079"/>
  <c r="C487" i="5079"/>
  <c r="C488" i="5079"/>
  <c r="C489" i="5079"/>
  <c r="C490" i="5079"/>
  <c r="C491" i="5079"/>
  <c r="C492" i="5079"/>
  <c r="C493" i="5079"/>
  <c r="C494" i="5079"/>
  <c r="C495" i="5079"/>
  <c r="C496" i="5079"/>
  <c r="C497" i="5079"/>
  <c r="C498" i="5079"/>
  <c r="C499" i="5079"/>
  <c r="C500" i="5079"/>
  <c r="C501" i="5079"/>
  <c r="C502" i="5079"/>
  <c r="C503" i="5079"/>
  <c r="C504" i="5079"/>
  <c r="C505" i="5079"/>
  <c r="C2" i="5078"/>
  <c r="C3" i="5078"/>
  <c r="C4" i="5078"/>
  <c r="C5" i="5078"/>
  <c r="C6" i="5078"/>
  <c r="C7" i="5078"/>
  <c r="C8" i="5078"/>
  <c r="C9" i="5078"/>
  <c r="C10" i="5078"/>
  <c r="C11" i="5078"/>
  <c r="C12" i="5078"/>
  <c r="C13" i="5078"/>
  <c r="C14" i="5078"/>
  <c r="C15" i="5078"/>
  <c r="C16" i="5078"/>
  <c r="C17" i="5078"/>
  <c r="C18" i="5078"/>
  <c r="C19" i="5078"/>
  <c r="C20" i="5078"/>
  <c r="C21" i="5078"/>
  <c r="C22" i="5078"/>
  <c r="C23" i="5078"/>
  <c r="C24" i="5078"/>
  <c r="C25" i="5078"/>
  <c r="C26" i="5078"/>
  <c r="C27" i="5078"/>
  <c r="C28" i="5078"/>
  <c r="C29" i="5078"/>
  <c r="C30" i="5078"/>
  <c r="C31" i="5078"/>
  <c r="C32" i="5078"/>
  <c r="C33" i="5078"/>
  <c r="C34" i="5078"/>
  <c r="C35" i="5078"/>
  <c r="C36" i="5078"/>
  <c r="C37" i="5078"/>
  <c r="C38" i="5078"/>
  <c r="C39" i="5078"/>
  <c r="C40" i="5078"/>
  <c r="C41" i="5078"/>
  <c r="C42" i="5078"/>
  <c r="C43" i="5078"/>
  <c r="C44" i="5078"/>
  <c r="C45" i="5078"/>
  <c r="C46" i="5078"/>
  <c r="C47" i="5078"/>
  <c r="C48" i="5078"/>
  <c r="C49" i="5078"/>
  <c r="C50" i="5078"/>
  <c r="C51" i="5078"/>
  <c r="C52" i="5078"/>
  <c r="C53" i="5078"/>
  <c r="C54" i="5078"/>
  <c r="C55" i="5078"/>
  <c r="C56" i="5078"/>
  <c r="C57" i="5078"/>
  <c r="C58" i="5078"/>
  <c r="C59" i="5078"/>
  <c r="C60" i="5078"/>
  <c r="C61" i="5078"/>
  <c r="C62" i="5078"/>
  <c r="C63" i="5078"/>
  <c r="C64" i="5078"/>
  <c r="C65" i="5078"/>
  <c r="C66" i="5078"/>
  <c r="C67" i="5078"/>
  <c r="C68" i="5078"/>
  <c r="C69" i="5078"/>
  <c r="C70" i="5078"/>
  <c r="C71" i="5078"/>
  <c r="C72" i="5078"/>
  <c r="C73" i="5078"/>
  <c r="C74" i="5078"/>
  <c r="C75" i="5078"/>
  <c r="C76" i="5078"/>
  <c r="C77" i="5078"/>
  <c r="C78" i="5078"/>
  <c r="C79" i="5078"/>
  <c r="C80" i="5078"/>
  <c r="C81" i="5078"/>
  <c r="C82" i="5078"/>
  <c r="C83" i="5078"/>
  <c r="C84" i="5078"/>
  <c r="C85" i="5078"/>
  <c r="C86" i="5078"/>
  <c r="C87" i="5078"/>
  <c r="C88" i="5078"/>
  <c r="C89" i="5078"/>
  <c r="C90" i="5078"/>
  <c r="C91" i="5078"/>
  <c r="C92" i="5078"/>
  <c r="C93" i="5078"/>
  <c r="C94" i="5078"/>
  <c r="C95" i="5078"/>
  <c r="C96" i="5078"/>
  <c r="C97" i="5078"/>
  <c r="C98" i="5078"/>
  <c r="C99" i="5078"/>
  <c r="C100" i="5078"/>
  <c r="C101" i="5078"/>
  <c r="C102" i="5078"/>
  <c r="C103" i="5078"/>
  <c r="C104" i="5078"/>
  <c r="C105" i="5078"/>
  <c r="C106" i="5078"/>
  <c r="C107" i="5078"/>
  <c r="C108" i="5078"/>
  <c r="C109" i="5078"/>
  <c r="C110" i="5078"/>
  <c r="C111" i="5078"/>
  <c r="C112" i="5078"/>
  <c r="C113" i="5078"/>
  <c r="C114" i="5078"/>
  <c r="C115" i="5078"/>
  <c r="C116" i="5078"/>
  <c r="C117" i="5078"/>
  <c r="C118" i="5078"/>
  <c r="C119" i="5078"/>
  <c r="C120" i="5078"/>
  <c r="C121" i="5078"/>
  <c r="C122" i="5078"/>
  <c r="C123" i="5078"/>
  <c r="C124" i="5078"/>
  <c r="C125" i="5078"/>
  <c r="C126" i="5078"/>
  <c r="C127" i="5078"/>
  <c r="C128" i="5078"/>
  <c r="C129" i="5078"/>
  <c r="C130" i="5078"/>
  <c r="C131" i="5078"/>
  <c r="C132" i="5078"/>
  <c r="C133" i="5078"/>
  <c r="C134" i="5078"/>
  <c r="C135" i="5078"/>
  <c r="C136" i="5078"/>
  <c r="C137" i="5078"/>
  <c r="C138" i="5078"/>
  <c r="C139" i="5078"/>
  <c r="C140" i="5078"/>
  <c r="C141" i="5078"/>
  <c r="C142" i="5078"/>
  <c r="C143" i="5078"/>
  <c r="C144" i="5078"/>
  <c r="C145" i="5078"/>
  <c r="C146" i="5078"/>
  <c r="C147" i="5078"/>
  <c r="C148" i="5078"/>
  <c r="C149" i="5078"/>
  <c r="C150" i="5078"/>
  <c r="C151" i="5078"/>
  <c r="C152" i="5078"/>
  <c r="C153" i="5078"/>
  <c r="C154" i="5078"/>
  <c r="C155" i="5078"/>
  <c r="C156" i="5078"/>
  <c r="C157" i="5078"/>
  <c r="C158" i="5078"/>
  <c r="C159" i="5078"/>
  <c r="C160" i="5078"/>
  <c r="C161" i="5078"/>
  <c r="C162" i="5078"/>
  <c r="C163" i="5078"/>
  <c r="C164" i="5078"/>
  <c r="C165" i="5078"/>
  <c r="C166" i="5078"/>
  <c r="C167" i="5078"/>
  <c r="C168" i="5078"/>
  <c r="C169" i="5078"/>
  <c r="C170" i="5078"/>
  <c r="C171" i="5078"/>
  <c r="C172" i="5078"/>
  <c r="C173" i="5078"/>
  <c r="C174" i="5078"/>
  <c r="C175" i="5078"/>
  <c r="C176" i="5078"/>
  <c r="C177" i="5078"/>
  <c r="C178" i="5078"/>
  <c r="C179" i="5078"/>
  <c r="C180" i="5078"/>
  <c r="C181" i="5078"/>
  <c r="C182" i="5078"/>
  <c r="C183" i="5078"/>
  <c r="C184" i="5078"/>
  <c r="C185" i="5078"/>
  <c r="C186" i="5078"/>
  <c r="C187" i="5078"/>
  <c r="C188" i="5078"/>
  <c r="C189" i="5078"/>
  <c r="C190" i="5078"/>
  <c r="C191" i="5078"/>
  <c r="C192" i="5078"/>
  <c r="C193" i="5078"/>
  <c r="C194" i="5078"/>
  <c r="C195" i="5078"/>
  <c r="C196" i="5078"/>
  <c r="C197" i="5078"/>
  <c r="C198" i="5078"/>
  <c r="C199" i="5078"/>
  <c r="C200" i="5078"/>
  <c r="C201" i="5078"/>
  <c r="C202" i="5078"/>
  <c r="C203" i="5078"/>
  <c r="C204" i="5078"/>
  <c r="C205" i="5078"/>
  <c r="C206" i="5078"/>
  <c r="C207" i="5078"/>
  <c r="C208" i="5078"/>
  <c r="C209" i="5078"/>
  <c r="C210" i="5078"/>
  <c r="C211" i="5078"/>
  <c r="C212" i="5078"/>
  <c r="C213" i="5078"/>
  <c r="C214" i="5078"/>
  <c r="C215" i="5078"/>
  <c r="C216" i="5078"/>
  <c r="C217" i="5078"/>
  <c r="C218" i="5078"/>
  <c r="C219" i="5078"/>
  <c r="C220" i="5078"/>
  <c r="C221" i="5078"/>
  <c r="C222" i="5078"/>
  <c r="C223" i="5078"/>
  <c r="C224" i="5078"/>
  <c r="C225" i="5078"/>
  <c r="C226" i="5078"/>
  <c r="C227" i="5078"/>
  <c r="C228" i="5078"/>
  <c r="C229" i="5078"/>
  <c r="C230" i="5078"/>
  <c r="C231" i="5078"/>
  <c r="C232" i="5078"/>
  <c r="C233" i="5078"/>
  <c r="C234" i="5078"/>
  <c r="C235" i="5078"/>
  <c r="C236" i="5078"/>
  <c r="C237" i="5078"/>
  <c r="C238" i="5078"/>
  <c r="C239" i="5078"/>
  <c r="C240" i="5078"/>
  <c r="C241" i="5078"/>
  <c r="C242" i="5078"/>
  <c r="C243" i="5078"/>
  <c r="C244" i="5078"/>
  <c r="C245" i="5078"/>
  <c r="C246" i="5078"/>
  <c r="C247" i="5078"/>
  <c r="C248" i="5078"/>
  <c r="C249" i="5078"/>
  <c r="C250" i="5078"/>
  <c r="C251" i="5078"/>
  <c r="C252" i="5078"/>
  <c r="C253" i="5078"/>
  <c r="C254" i="5078"/>
  <c r="C255" i="5078"/>
  <c r="C256" i="5078"/>
  <c r="C257" i="5078"/>
  <c r="C258" i="5078"/>
  <c r="C259" i="5078"/>
  <c r="C260" i="5078"/>
  <c r="C261" i="5078"/>
  <c r="C262" i="5078"/>
  <c r="C263" i="5078"/>
  <c r="C264" i="5078"/>
  <c r="C265" i="5078"/>
  <c r="C266" i="5078"/>
  <c r="C267" i="5078"/>
  <c r="C268" i="5078"/>
  <c r="C269" i="5078"/>
  <c r="C270" i="5078"/>
  <c r="C271" i="5078"/>
  <c r="C272" i="5078"/>
  <c r="C273" i="5078"/>
  <c r="C274" i="5078"/>
  <c r="C275" i="5078"/>
  <c r="C276" i="5078"/>
  <c r="C277" i="5078"/>
  <c r="C278" i="5078"/>
  <c r="C279" i="5078"/>
  <c r="C280" i="5078"/>
  <c r="C281" i="5078"/>
  <c r="C282" i="5078"/>
  <c r="C283" i="5078"/>
  <c r="C284" i="5078"/>
  <c r="C285" i="5078"/>
  <c r="C286" i="5078"/>
  <c r="C287" i="5078"/>
  <c r="C288" i="5078"/>
  <c r="C289" i="5078"/>
  <c r="C290" i="5078"/>
  <c r="C291" i="5078"/>
  <c r="C292" i="5078"/>
  <c r="C293" i="5078"/>
  <c r="C294" i="5078"/>
  <c r="C295" i="5078"/>
  <c r="C296" i="5078"/>
  <c r="C297" i="5078"/>
  <c r="C298" i="5078"/>
  <c r="C299" i="5078"/>
  <c r="C300" i="5078"/>
  <c r="C301" i="5078"/>
  <c r="C302" i="5078"/>
  <c r="C303" i="5078"/>
  <c r="C304" i="5078"/>
  <c r="C305" i="5078"/>
  <c r="C306" i="5078"/>
  <c r="C307" i="5078"/>
  <c r="C308" i="5078"/>
  <c r="C309" i="5078"/>
  <c r="C310" i="5078"/>
  <c r="C311" i="5078"/>
  <c r="C312" i="5078"/>
  <c r="C313" i="5078"/>
  <c r="C314" i="5078"/>
  <c r="C315" i="5078"/>
  <c r="C316" i="5078"/>
  <c r="C317" i="5078"/>
  <c r="C318" i="5078"/>
  <c r="C319" i="5078"/>
  <c r="C320" i="5078"/>
  <c r="C321" i="5078"/>
  <c r="C322" i="5078"/>
  <c r="C323" i="5078"/>
  <c r="C324" i="5078"/>
  <c r="C325" i="5078"/>
  <c r="C326" i="5078"/>
  <c r="C327" i="5078"/>
  <c r="C328" i="5078"/>
  <c r="C329" i="5078"/>
  <c r="C330" i="5078"/>
  <c r="C331" i="5078"/>
  <c r="C332" i="5078"/>
  <c r="C333" i="5078"/>
  <c r="C334" i="5078"/>
  <c r="C335" i="5078"/>
  <c r="C336" i="5078"/>
  <c r="C337" i="5078"/>
  <c r="C338" i="5078"/>
  <c r="C339" i="5078"/>
  <c r="C340" i="5078"/>
  <c r="C341" i="5078"/>
  <c r="C342" i="5078"/>
  <c r="C343" i="5078"/>
  <c r="C344" i="5078"/>
  <c r="C345" i="5078"/>
  <c r="C346" i="5078"/>
  <c r="C347" i="5078"/>
  <c r="C348" i="5078"/>
  <c r="C349" i="5078"/>
  <c r="C350" i="5078"/>
  <c r="C351" i="5078"/>
  <c r="C352" i="5078"/>
  <c r="C353" i="5078"/>
  <c r="C354" i="5078"/>
  <c r="C355" i="5078"/>
  <c r="C356" i="5078"/>
  <c r="C357" i="5078"/>
  <c r="C358" i="5078"/>
  <c r="C359" i="5078"/>
  <c r="C360" i="5078"/>
  <c r="C361" i="5078"/>
  <c r="C362" i="5078"/>
  <c r="C363" i="5078"/>
  <c r="C364" i="5078"/>
  <c r="C365" i="5078"/>
  <c r="C366" i="5078"/>
  <c r="C367" i="5078"/>
  <c r="C368" i="5078"/>
  <c r="C369" i="5078"/>
  <c r="C370" i="5078"/>
  <c r="C371" i="5078"/>
  <c r="C372" i="5078"/>
  <c r="C373" i="5078"/>
  <c r="C374" i="5078"/>
  <c r="C375" i="5078"/>
  <c r="C376" i="5078"/>
  <c r="C377" i="5078"/>
  <c r="C378" i="5078"/>
  <c r="C379" i="5078"/>
  <c r="C380" i="5078"/>
  <c r="C381" i="5078"/>
  <c r="C382" i="5078"/>
  <c r="C383" i="5078"/>
  <c r="C384" i="5078"/>
  <c r="C385" i="5078"/>
  <c r="C386" i="5078"/>
  <c r="C387" i="5078"/>
  <c r="C388" i="5078"/>
  <c r="C389" i="5078"/>
  <c r="C390" i="5078"/>
  <c r="C391" i="5078"/>
  <c r="C392" i="5078"/>
  <c r="C393" i="5078"/>
  <c r="C394" i="5078"/>
  <c r="C395" i="5078"/>
  <c r="C396" i="5078"/>
  <c r="C397" i="5078"/>
  <c r="C398" i="5078"/>
  <c r="C399" i="5078"/>
  <c r="C400" i="5078"/>
  <c r="C401" i="5078"/>
  <c r="C402" i="5078"/>
  <c r="C403" i="5078"/>
  <c r="C404" i="5078"/>
  <c r="C405" i="5078"/>
  <c r="C406" i="5078"/>
  <c r="C407" i="5078"/>
  <c r="C408" i="5078"/>
  <c r="C409" i="5078"/>
  <c r="C410" i="5078"/>
  <c r="C411" i="5078"/>
  <c r="C412" i="5078"/>
  <c r="C413" i="5078"/>
  <c r="C414" i="5078"/>
  <c r="C415" i="5078"/>
  <c r="C416" i="5078"/>
  <c r="C417" i="5078"/>
  <c r="C418" i="5078"/>
  <c r="C419" i="5078"/>
  <c r="C420" i="5078"/>
  <c r="C421" i="5078"/>
  <c r="C422" i="5078"/>
  <c r="C423" i="5078"/>
  <c r="C424" i="5078"/>
  <c r="C425" i="5078"/>
  <c r="C426" i="5078"/>
  <c r="C427" i="5078"/>
  <c r="C428" i="5078"/>
  <c r="C429" i="5078"/>
  <c r="C430" i="5078"/>
  <c r="C431" i="5078"/>
  <c r="C432" i="5078"/>
  <c r="C433" i="5078"/>
  <c r="C434" i="5078"/>
  <c r="C435" i="5078"/>
  <c r="C436" i="5078"/>
  <c r="C437" i="5078"/>
  <c r="C438" i="5078"/>
  <c r="C439" i="5078"/>
  <c r="C440" i="5078"/>
  <c r="C441" i="5078"/>
  <c r="C442" i="5078"/>
  <c r="C443" i="5078"/>
  <c r="C444" i="5078"/>
  <c r="C445" i="5078"/>
  <c r="C446" i="5078"/>
  <c r="C447" i="5078"/>
  <c r="C448" i="5078"/>
  <c r="C449" i="5078"/>
  <c r="C450" i="5078"/>
  <c r="C451" i="5078"/>
  <c r="C452" i="5078"/>
  <c r="C453" i="5078"/>
  <c r="C454" i="5078"/>
  <c r="C455" i="5078"/>
  <c r="C456" i="5078"/>
  <c r="C457" i="5078"/>
  <c r="C458" i="5078"/>
  <c r="C459" i="5078"/>
  <c r="C460" i="5078"/>
  <c r="C461" i="5078"/>
  <c r="C462" i="5078"/>
  <c r="C463" i="5078"/>
  <c r="C464" i="5078"/>
  <c r="C465" i="5078"/>
  <c r="C466" i="5078"/>
  <c r="C467" i="5078"/>
  <c r="C468" i="5078"/>
  <c r="C469" i="5078"/>
  <c r="C470" i="5078"/>
  <c r="C471" i="5078"/>
  <c r="C472" i="5078"/>
  <c r="C473" i="5078"/>
  <c r="C474" i="5078"/>
  <c r="C475" i="5078"/>
  <c r="C476" i="5078"/>
  <c r="C477" i="5078"/>
  <c r="C478" i="5078"/>
  <c r="C479" i="5078"/>
  <c r="C480" i="5078"/>
  <c r="C481" i="5078"/>
  <c r="C482" i="5078"/>
  <c r="C483" i="5078"/>
  <c r="C484" i="5078"/>
  <c r="C485" i="5078"/>
  <c r="C486" i="5078"/>
  <c r="C487" i="5078"/>
  <c r="C488" i="5078"/>
  <c r="C489" i="5078"/>
  <c r="C490" i="5078"/>
  <c r="C491" i="5078"/>
  <c r="C492" i="5078"/>
  <c r="C493" i="5078"/>
  <c r="C494" i="5078"/>
  <c r="C495" i="5078"/>
  <c r="C496" i="5078"/>
  <c r="C497" i="5078"/>
  <c r="C498" i="5078"/>
  <c r="C499" i="5078"/>
  <c r="C500" i="5078"/>
  <c r="C501" i="5078"/>
  <c r="C502" i="5078"/>
  <c r="C503" i="5078"/>
  <c r="C504" i="5078"/>
  <c r="C505" i="5078"/>
  <c r="B5" i="3"/>
  <c r="B6" i="3"/>
</calcChain>
</file>

<file path=xl/connections.xml><?xml version="1.0" encoding="utf-8"?>
<connections xmlns="http://schemas.openxmlformats.org/spreadsheetml/2006/main">
  <connection id="1" name="Connection" type="4" refreshedVersion="4" deleted="1" background="1" saveData="1">
    <webPr xl2000="1" htmlFormat="all"/>
  </connection>
  <connection id="2" name="Connection1" type="4" refreshedVersion="4" deleted="1" background="1" saveData="1">
    <webPr xl2000="1" htmlFormat="all"/>
  </connection>
  <connection id="3" name="Connection10" type="4" refreshedVersion="4" deleted="1" background="1" saveData="1">
    <webPr xl2000="1" htmlFormat="all"/>
  </connection>
  <connection id="4" name="Connection11" type="4" refreshedVersion="4" deleted="1" background="1" saveData="1">
    <webPr xl2000="1" htmlFormat="all"/>
  </connection>
  <connection id="5" name="Connection12" type="4" refreshedVersion="4" deleted="1" background="1" saveData="1">
    <webPr xl2000="1" htmlFormat="all"/>
  </connection>
  <connection id="6" name="Connection13" type="4" refreshedVersion="4" deleted="1" background="1" saveData="1">
    <webPr xl2000="1" htmlFormat="all"/>
  </connection>
  <connection id="7" name="Connection14" type="4" refreshedVersion="4" deleted="1" background="1" saveData="1">
    <webPr xl2000="1" htmlFormat="all"/>
  </connection>
  <connection id="8" name="Connection15" type="4" refreshedVersion="4" deleted="1" background="1" saveData="1">
    <webPr xl2000="1" htmlFormat="all"/>
  </connection>
  <connection id="9" name="Connection16" type="4" refreshedVersion="4" deleted="1" background="1" saveData="1">
    <webPr xl2000="1" htmlFormat="all"/>
  </connection>
  <connection id="10" name="Connection17" type="4" refreshedVersion="4" deleted="1" background="1" saveData="1">
    <webPr xl2000="1" htmlFormat="all"/>
  </connection>
  <connection id="11" name="Connection18" type="4" refreshedVersion="4" deleted="1" background="1" saveData="1">
    <webPr xl2000="1" htmlFormat="all"/>
  </connection>
  <connection id="12" name="Connection19" type="4" refreshedVersion="4" deleted="1" background="1" saveData="1">
    <webPr xl2000="1" htmlFormat="all"/>
  </connection>
  <connection id="13" name="Connection2" type="4" refreshedVersion="4" deleted="1" background="1" saveData="1">
    <webPr xl2000="1" htmlFormat="all"/>
  </connection>
  <connection id="14" name="Connection3" type="4" refreshedVersion="4" deleted="1" background="1" saveData="1">
    <webPr xl2000="1" htmlFormat="all"/>
  </connection>
  <connection id="15" name="Connection4" type="4" refreshedVersion="4" deleted="1" background="1" saveData="1">
    <webPr xl2000="1" htmlFormat="all"/>
  </connection>
  <connection id="16" name="Connection5" type="4" refreshedVersion="4" deleted="1" background="1" saveData="1">
    <webPr xl2000="1" htmlFormat="all"/>
  </connection>
  <connection id="17" name="Connection6" type="4" refreshedVersion="4" deleted="1" background="1" saveData="1">
    <webPr xl2000="1" htmlFormat="all"/>
  </connection>
  <connection id="18" name="Connection7" type="4" refreshedVersion="4" deleted="1" background="1" saveData="1">
    <webPr xl2000="1" htmlFormat="all"/>
  </connection>
  <connection id="19" name="Connection8" type="4" refreshedVersion="4" deleted="1" background="1" saveData="1">
    <webPr xl2000="1" htmlFormat="all"/>
  </connection>
  <connection id="20" name="Connection9" type="4" refreshedVersion="4" deleted="1" background="1" saveData="1">
    <webPr xl2000="1" htmlFormat="all"/>
  </connection>
</connections>
</file>

<file path=xl/sharedStrings.xml><?xml version="1.0" encoding="utf-8"?>
<sst xmlns="http://schemas.openxmlformats.org/spreadsheetml/2006/main" count="239" uniqueCount="71">
  <si>
    <t>http://investexcel.net</t>
  </si>
  <si>
    <t>Parameters</t>
  </si>
  <si>
    <t>Start Date</t>
  </si>
  <si>
    <t>End Date</t>
  </si>
  <si>
    <t>Enter Tickers Below</t>
  </si>
  <si>
    <t>Enter a list of stock tickers and</t>
  </si>
  <si>
    <t>click the button to automatically</t>
  </si>
  <si>
    <t>retrieve historical stock quotes</t>
  </si>
  <si>
    <t>Data for each ticker is downloaded</t>
  </si>
  <si>
    <t>into separate sheets, each titled</t>
  </si>
  <si>
    <t>with the ticker symbol</t>
  </si>
  <si>
    <t>The VBA for this spreadsheet is viewable and editable</t>
  </si>
  <si>
    <t>c:\temp\</t>
  </si>
  <si>
    <t>Collate Data stacks Close, Open, High, Low, Adjusted Close</t>
  </si>
  <si>
    <t>Please link to http://investexcel.net if you like the spreadsheet</t>
  </si>
  <si>
    <t>and Volume into the same sheets (with the date) for all tickers.</t>
  </si>
  <si>
    <t>The latest version of this spreadsheet can be found at http://investexcel.net/multiple-stock-quote-downloader-for-excel/</t>
  </si>
  <si>
    <t>Samir Khan</t>
  </si>
  <si>
    <t>simulationconsultant@gmail.com</t>
  </si>
  <si>
    <t>Failed for These Tickers</t>
  </si>
  <si>
    <t>Success for These Tickers</t>
  </si>
  <si>
    <t>Open</t>
  </si>
  <si>
    <t>High</t>
  </si>
  <si>
    <t>Low</t>
  </si>
  <si>
    <t>Close</t>
  </si>
  <si>
    <t>Volume</t>
  </si>
  <si>
    <t>ï»¿Date</t>
  </si>
  <si>
    <t>NYSEARCA:VTI</t>
  </si>
  <si>
    <t>NYSEARCA:VEU</t>
  </si>
  <si>
    <t>NYSEARCA:VWO</t>
  </si>
  <si>
    <t>NYSEARCA:BND</t>
  </si>
  <si>
    <t>NYSEARCA:TIP</t>
  </si>
  <si>
    <t>NYSEARCA:MUB</t>
  </si>
  <si>
    <t>NYSEARCA:VNQ</t>
  </si>
  <si>
    <t>NYSEARCA:RWX</t>
  </si>
  <si>
    <t>NYSEARCA:DBC</t>
  </si>
  <si>
    <t>NYSEARCA:GSG</t>
  </si>
  <si>
    <t>NYSEARCA:GLD</t>
  </si>
  <si>
    <t>Stock Quotes for NYSEARCA:VTI</t>
  </si>
  <si>
    <t>NYSEARCAVTI</t>
  </si>
  <si>
    <t>Stock Quotes for NYSEARCA:VEU</t>
  </si>
  <si>
    <t>NYSEARCAVEU</t>
  </si>
  <si>
    <t>Stock Quotes for NYSEARCA:VWO</t>
  </si>
  <si>
    <t>NYSEARCAVWO</t>
  </si>
  <si>
    <t>Stock Quotes for NYSEARCA:BND</t>
  </si>
  <si>
    <t>NYSEARCABND</t>
  </si>
  <si>
    <t>Stock Quotes for NYSEARCA:TIP</t>
  </si>
  <si>
    <t>NYSEARCATIP</t>
  </si>
  <si>
    <t>Stock Quotes for NYSEARCA:MUB</t>
  </si>
  <si>
    <t>NYSEARCAMUB</t>
  </si>
  <si>
    <t>Stock Quotes for NYSEARCA:VNQ</t>
  </si>
  <si>
    <t>NYSEARCAVNQ</t>
  </si>
  <si>
    <t>Stock Quotes for NYSEARCA:RWX</t>
  </si>
  <si>
    <t>NYSEARCARWX</t>
  </si>
  <si>
    <t>Stock Quotes for NYSEARCA:DBC</t>
  </si>
  <si>
    <t>NYSEARCADBC</t>
  </si>
  <si>
    <t>Stock Quotes for NYSEARCA:GSG</t>
  </si>
  <si>
    <t>NYSEARCAGSG</t>
  </si>
  <si>
    <t>Stock Quotes for NYSEARCA:GLD</t>
  </si>
  <si>
    <t>NYSEARCAGLD</t>
  </si>
  <si>
    <t>Bulk Stock Quote Downloader for Google Finance</t>
  </si>
  <si>
    <t>NYSE:WMT</t>
  </si>
  <si>
    <t>Stock Quotes for NYSE:WMT</t>
  </si>
  <si>
    <t>NYSEWMT</t>
  </si>
  <si>
    <t>NYSE:BP</t>
  </si>
  <si>
    <t>Stock Quotes for NYSE:BP</t>
  </si>
  <si>
    <t>NYSEBP</t>
  </si>
  <si>
    <t>from Google Finance</t>
  </si>
  <si>
    <t>NASDAQ:YHOO</t>
  </si>
  <si>
    <t>Stock Quotes for NASDAQ:YHOO</t>
  </si>
  <si>
    <t>NASDAQYHOO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</si>
</sst>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1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Tahoma"/>
      <family val="2"/>
    </font>
    <font>
      <sz val="12"/>
      <color theme="1"/>
      <name val="Calibri"/>
      <family val="2"/>
      <scheme val="minor"/>
    </font>
    <font>
      <sz val="12"/>
      <name val="宋体"/>
      <charset val="134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9" fillId="0" borderId="0">
      <alignment vertical="center"/>
    </xf>
    <xf numFmtId="0" fontId="10" fillId="0" borderId="0" applyNumberFormat="0" applyFill="0" applyBorder="0" applyAlignment="0" applyProtection="0"/>
  </cellStyleXfs>
  <cellXfs count="44">
    <xf numFmtId="0" fontId="0" fillId="0" borderId="0" xfId="0"/>
    <xf numFmtId="0" fontId="3" fillId="0" borderId="0" xfId="0" applyFont="1" applyAlignment="1"/>
    <xf numFmtId="0" fontId="5" fillId="0" borderId="0" xfId="0" applyFont="1" applyAlignment="1"/>
    <xf numFmtId="0" fontId="0" fillId="0" borderId="0" xfId="0" applyFont="1" applyAlignment="1"/>
    <xf numFmtId="0" fontId="1" fillId="0" borderId="0" xfId="1" applyFont="1" applyAlignment="1" applyProtection="1"/>
    <xf numFmtId="14" fontId="0" fillId="0" borderId="0" xfId="0" applyNumberFormat="1" applyFont="1" applyAlignment="1"/>
    <xf numFmtId="0" fontId="0" fillId="0" borderId="0" xfId="0" applyFont="1" applyAlignment="1" applyProtection="1">
      <protection locked="0"/>
    </xf>
    <xf numFmtId="2" fontId="0" fillId="0" borderId="0" xfId="0" applyNumberFormat="1" applyFont="1" applyAlignment="1"/>
    <xf numFmtId="0" fontId="0" fillId="0" borderId="0" xfId="0" applyFont="1" applyAlignment="1" applyProtection="1">
      <protection hidden="1"/>
    </xf>
    <xf numFmtId="49" fontId="0" fillId="0" borderId="0" xfId="0" quotePrefix="1" applyNumberFormat="1" applyFont="1" applyAlignment="1"/>
    <xf numFmtId="49" fontId="2" fillId="0" borderId="0" xfId="0" applyNumberFormat="1" applyFont="1" applyAlignment="1"/>
    <xf numFmtId="49" fontId="0" fillId="0" borderId="0" xfId="0" applyNumberFormat="1" applyFont="1" applyAlignment="1"/>
    <xf numFmtId="2" fontId="0" fillId="0" borderId="0" xfId="0" applyNumberFormat="1" applyFont="1" applyAlignment="1" applyProtection="1">
      <protection hidden="1"/>
    </xf>
    <xf numFmtId="49" fontId="2" fillId="0" borderId="0" xfId="0" applyNumberFormat="1" applyFont="1" applyAlignment="1" applyProtection="1">
      <protection hidden="1"/>
    </xf>
    <xf numFmtId="49" fontId="0" fillId="0" borderId="0" xfId="0" applyNumberFormat="1" applyFont="1" applyAlignment="1" applyProtection="1">
      <protection hidden="1"/>
    </xf>
    <xf numFmtId="49" fontId="2" fillId="2" borderId="1" xfId="0" applyNumberFormat="1" applyFont="1" applyFill="1" applyBorder="1" applyAlignment="1">
      <alignment horizontal="left"/>
    </xf>
    <xf numFmtId="49" fontId="0" fillId="2" borderId="2" xfId="0" quotePrefix="1" applyNumberFormat="1" applyFont="1" applyFill="1" applyBorder="1" applyAlignment="1"/>
    <xf numFmtId="0" fontId="0" fillId="2" borderId="3" xfId="0" applyFont="1" applyFill="1" applyBorder="1" applyAlignment="1"/>
    <xf numFmtId="0" fontId="0" fillId="2" borderId="5" xfId="0" applyFont="1" applyFill="1" applyBorder="1" applyAlignment="1"/>
    <xf numFmtId="0" fontId="0" fillId="0" borderId="0" xfId="0" applyFont="1" applyFill="1" applyBorder="1" applyAlignment="1"/>
    <xf numFmtId="0" fontId="0" fillId="2" borderId="6" xfId="0" applyFont="1" applyFill="1" applyBorder="1" applyAlignment="1"/>
    <xf numFmtId="0" fontId="6" fillId="0" borderId="0" xfId="0" applyFont="1" applyFill="1" applyBorder="1" applyAlignment="1"/>
    <xf numFmtId="49" fontId="0" fillId="0" borderId="0" xfId="0" quotePrefix="1" applyNumberFormat="1" applyFont="1" applyBorder="1" applyAlignment="1"/>
    <xf numFmtId="0" fontId="0" fillId="2" borderId="4" xfId="0" applyFont="1" applyFill="1" applyBorder="1" applyAlignment="1"/>
    <xf numFmtId="49" fontId="6" fillId="0" borderId="0" xfId="0" quotePrefix="1" applyNumberFormat="1" applyFont="1" applyAlignment="1"/>
    <xf numFmtId="0" fontId="8" fillId="0" borderId="0" xfId="0" applyFont="1" applyFill="1" applyBorder="1" applyAlignment="1"/>
    <xf numFmtId="0" fontId="3" fillId="0" borderId="0" xfId="0" applyFont="1" applyFill="1" applyBorder="1" applyAlignment="1"/>
    <xf numFmtId="0" fontId="1" fillId="0" borderId="0" xfId="1" applyFill="1" applyBorder="1" applyAlignment="1" applyProtection="1"/>
    <xf numFmtId="0" fontId="0" fillId="5" borderId="1" xfId="0" applyFill="1" applyBorder="1"/>
    <xf numFmtId="0" fontId="0" fillId="5" borderId="2" xfId="0" applyFont="1" applyFill="1" applyBorder="1" applyAlignment="1"/>
    <xf numFmtId="0" fontId="0" fillId="5" borderId="6" xfId="0" applyFont="1" applyFill="1" applyBorder="1" applyAlignment="1"/>
    <xf numFmtId="164" fontId="0" fillId="2" borderId="4" xfId="0" applyNumberFormat="1" applyFont="1" applyFill="1" applyBorder="1" applyAlignment="1">
      <alignment horizontal="center"/>
    </xf>
    <xf numFmtId="0" fontId="0" fillId="0" borderId="0" xfId="0" applyFont="1" applyFill="1" applyBorder="1" applyAlignment="1"/>
    <xf numFmtId="0" fontId="0" fillId="0" borderId="3" xfId="0" applyFont="1" applyFill="1" applyBorder="1" applyAlignment="1"/>
    <xf numFmtId="0" fontId="0" fillId="0" borderId="0" xfId="0" applyFill="1" applyBorder="1"/>
    <xf numFmtId="49" fontId="2" fillId="4" borderId="7" xfId="0" applyNumberFormat="1" applyFont="1" applyFill="1" applyBorder="1" applyAlignment="1">
      <alignment horizontal="left"/>
    </xf>
    <xf numFmtId="0" fontId="0" fillId="3" borderId="8" xfId="0" applyFill="1" applyBorder="1"/>
    <xf numFmtId="0" fontId="0" fillId="3" borderId="9" xfId="0" applyFill="1" applyBorder="1"/>
    <xf numFmtId="0" fontId="2" fillId="3" borderId="7" xfId="0" applyFont="1" applyFill="1" applyBorder="1" applyAlignment="1"/>
    <xf numFmtId="164" fontId="0" fillId="0" borderId="0" xfId="0" applyNumberFormat="1"/>
    <xf numFmtId="0" fontId="0" fillId="4" borderId="4" xfId="0" applyFill="1" applyBorder="1"/>
    <xf numFmtId="0" fontId="2" fillId="3" borderId="10" xfId="0" applyNumberFormat="1" applyFont="1" applyFill="1" applyBorder="1"/>
    <xf numFmtId="0" fontId="1" fillId="5" borderId="5" xfId="1" applyFill="1" applyBorder="1" applyAlignment="1" applyProtection="1"/>
    <xf numFmtId="0" fontId="0" fillId="4" borderId="6" xfId="0" applyFont="1" applyFill="1" applyBorder="1" applyAlignment="1"/>
  </cellXfs>
  <cellStyles count="4">
    <cellStyle name="Hyperlink" xfId="1" builtinId="8"/>
    <cellStyle name="Hyperlink 2" xfId="3"/>
    <cellStyle name="Normal" xfId="0" builtinId="0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H$4" lockText="1" noThreeD="1"/>
</file>

<file path=xl/ctrlProps/ctrlProp3.xml><?xml version="1.0" encoding="utf-8"?>
<formControlPr xmlns="http://schemas.microsoft.com/office/spreadsheetml/2009/9/main" objectType="CheckBox" checked="Checked" fmlaLink="H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investexcel.net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3</xdr:row>
          <xdr:rowOff>142875</xdr:rowOff>
        </xdr:from>
        <xdr:to>
          <xdr:col>4</xdr:col>
          <xdr:colOff>171450</xdr:colOff>
          <xdr:row>5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Bulk Quotes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247650</xdr:colOff>
      <xdr:row>10</xdr:row>
      <xdr:rowOff>9525</xdr:rowOff>
    </xdr:from>
    <xdr:to>
      <xdr:col>1</xdr:col>
      <xdr:colOff>247650</xdr:colOff>
      <xdr:row>23</xdr:row>
      <xdr:rowOff>123825</xdr:rowOff>
    </xdr:to>
    <xdr:cxnSp macro="">
      <xdr:nvCxnSpPr>
        <xdr:cNvPr id="3" name="Straight Arrow Connector 2"/>
        <xdr:cNvCxnSpPr/>
      </xdr:nvCxnSpPr>
      <xdr:spPr>
        <a:xfrm>
          <a:off x="1495425" y="2219325"/>
          <a:ext cx="0" cy="2714625"/>
        </a:xfrm>
        <a:prstGeom prst="straightConnector1">
          <a:avLst/>
        </a:prstGeom>
        <a:ln w="25400">
          <a:tailEnd type="triangle" w="med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171450</xdr:rowOff>
        </xdr:from>
        <xdr:to>
          <xdr:col>0</xdr:col>
          <xdr:colOff>819150</xdr:colOff>
          <xdr:row>7</xdr:row>
          <xdr:rowOff>9525</xdr:rowOff>
        </xdr:to>
        <xdr:sp macro="" textlink="">
          <xdr:nvSpPr>
            <xdr:cNvPr id="3074" name="WriteToCSVCheckBox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Write to CSV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1</xdr:col>
          <xdr:colOff>142875</xdr:colOff>
          <xdr:row>7</xdr:row>
          <xdr:rowOff>190500</xdr:rowOff>
        </xdr:to>
        <xdr:sp macro="" textlink="">
          <xdr:nvSpPr>
            <xdr:cNvPr id="3075" name="CollateDataCheckBox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Collate Data</a:t>
              </a:r>
            </a:p>
          </xdr:txBody>
        </xdr:sp>
        <xdr:clientData/>
      </xdr:twoCellAnchor>
    </mc:Choice>
    <mc:Fallback/>
  </mc:AlternateContent>
  <xdr:twoCellAnchor editAs="oneCell">
    <xdr:from>
      <xdr:col>5</xdr:col>
      <xdr:colOff>352425</xdr:colOff>
      <xdr:row>2</xdr:row>
      <xdr:rowOff>152400</xdr:rowOff>
    </xdr:from>
    <xdr:to>
      <xdr:col>8</xdr:col>
      <xdr:colOff>104627</xdr:colOff>
      <xdr:row>5</xdr:row>
      <xdr:rowOff>133279</xdr:rowOff>
    </xdr:to>
    <xdr:pic>
      <xdr:nvPicPr>
        <xdr:cNvPr id="7" name="Picture 6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762000"/>
          <a:ext cx="1180952" cy="580954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" connectionId="1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" connectionId="1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1" connectionId="1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1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1" connectionId="1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1" connectionId="1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1" connectionId="1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1" connectionId="2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1" connectionId="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1" connectionId="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1" connectionId="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1" connectionId="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1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1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1" connectionId="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1" connectionId="1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1" connectionId="1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1" connectionId="1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simulationconsultant@gmail.com" TargetMode="External"/><Relationship Id="rId1" Type="http://schemas.openxmlformats.org/officeDocument/2006/relationships/hyperlink" Target="http://investexcel.net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8397"/>
  <sheetViews>
    <sheetView showGridLines="0" tabSelected="1" zoomScaleNormal="100" workbookViewId="0">
      <selection activeCell="C28" sqref="C28"/>
    </sheetView>
  </sheetViews>
  <sheetFormatPr defaultRowHeight="15.75" customHeight="1"/>
  <cols>
    <col min="1" max="1" width="18.7109375" style="32" customWidth="1"/>
    <col min="2" max="2" width="11.85546875" style="3" customWidth="1"/>
    <col min="3" max="7" width="9.140625" style="3"/>
    <col min="8" max="8" width="3.140625" style="3" customWidth="1"/>
    <col min="9" max="9" width="12.42578125" style="3" customWidth="1"/>
    <col min="10" max="10" width="22.7109375" style="3" customWidth="1"/>
    <col min="11" max="11" width="7.5703125" style="3" customWidth="1"/>
    <col min="12" max="12" width="22.85546875" style="3" bestFit="1" customWidth="1"/>
    <col min="13" max="16384" width="9.140625" style="3"/>
  </cols>
  <sheetData>
    <row r="1" spans="1:12" ht="32.25" thickBot="1">
      <c r="A1" s="2" t="s">
        <v>60</v>
      </c>
      <c r="B1" s="1"/>
      <c r="C1" s="1"/>
      <c r="D1" s="1"/>
      <c r="E1" s="1"/>
      <c r="F1" s="1"/>
      <c r="H1" s="1"/>
      <c r="I1" s="1"/>
      <c r="J1"/>
    </row>
    <row r="2" spans="1:12" ht="15.75" customHeight="1">
      <c r="A2" s="4" t="s">
        <v>0</v>
      </c>
      <c r="B2" s="1"/>
      <c r="D2" s="1"/>
      <c r="E2" s="1"/>
      <c r="F2" s="1"/>
      <c r="G2" s="25"/>
      <c r="H2" s="26"/>
      <c r="I2" s="27"/>
      <c r="J2" s="28" t="s">
        <v>17</v>
      </c>
      <c r="K2" s="29"/>
    </row>
    <row r="3" spans="1:12" ht="15.75" customHeight="1" thickBot="1">
      <c r="A3" s="4"/>
      <c r="B3" s="4"/>
      <c r="C3" s="4"/>
      <c r="D3" s="4"/>
      <c r="E3" s="4"/>
      <c r="F3" s="4"/>
      <c r="G3" s="4"/>
      <c r="H3" s="4"/>
      <c r="I3" s="4"/>
      <c r="J3" s="42" t="s">
        <v>18</v>
      </c>
      <c r="K3" s="30"/>
    </row>
    <row r="4" spans="1:12" ht="15.75" customHeight="1">
      <c r="A4" s="15" t="s">
        <v>1</v>
      </c>
      <c r="B4" s="16"/>
      <c r="C4" s="4"/>
      <c r="F4" s="4"/>
      <c r="G4" s="4"/>
      <c r="H4" s="21" t="b">
        <v>0</v>
      </c>
      <c r="I4" s="4"/>
      <c r="J4" s="34"/>
      <c r="K4" s="32"/>
    </row>
    <row r="5" spans="1:12" ht="15.75" customHeight="1">
      <c r="A5" s="17" t="s">
        <v>2</v>
      </c>
      <c r="B5" s="31">
        <f ca="1">TODAY()-365*2</f>
        <v>42145</v>
      </c>
      <c r="C5" s="9"/>
      <c r="F5" s="9"/>
      <c r="H5" s="24" t="b">
        <v>1</v>
      </c>
      <c r="I5" s="9"/>
      <c r="J5" s="34"/>
      <c r="K5" s="32"/>
    </row>
    <row r="6" spans="1:12" ht="15.75" customHeight="1">
      <c r="A6" s="17" t="s">
        <v>3</v>
      </c>
      <c r="B6" s="31">
        <f ca="1">TODAY()</f>
        <v>42875</v>
      </c>
      <c r="C6" s="9"/>
      <c r="F6" s="9"/>
      <c r="G6" s="9"/>
      <c r="H6" s="9"/>
      <c r="I6" s="9"/>
    </row>
    <row r="7" spans="1:12" ht="15.75" customHeight="1">
      <c r="A7" s="17"/>
      <c r="B7" s="23" t="s">
        <v>12</v>
      </c>
      <c r="C7" s="9"/>
      <c r="F7" s="9"/>
      <c r="G7" s="9"/>
      <c r="H7" s="22"/>
      <c r="I7" s="9"/>
      <c r="J7"/>
    </row>
    <row r="8" spans="1:12" ht="15.75" customHeight="1" thickBot="1">
      <c r="A8" s="18"/>
      <c r="B8" s="20"/>
      <c r="C8" s="9"/>
      <c r="F8" s="9"/>
      <c r="G8" s="9"/>
      <c r="H8" s="9"/>
      <c r="I8" s="9"/>
      <c r="J8"/>
    </row>
    <row r="9" spans="1:12" ht="15.75" customHeight="1" thickBot="1">
      <c r="A9" s="3"/>
      <c r="C9" s="9"/>
      <c r="F9" s="9"/>
      <c r="G9" s="9"/>
      <c r="H9" s="9"/>
      <c r="I9" s="9"/>
      <c r="J9"/>
    </row>
    <row r="10" spans="1:12" ht="15.75" customHeight="1" thickBot="1">
      <c r="A10" s="3"/>
      <c r="F10" s="9"/>
      <c r="G10" s="9"/>
      <c r="H10" s="9"/>
      <c r="I10" s="9"/>
      <c r="J10" s="41" t="s">
        <v>19</v>
      </c>
      <c r="L10" s="38" t="s">
        <v>20</v>
      </c>
    </row>
    <row r="11" spans="1:12" ht="15.75" customHeight="1">
      <c r="A11" s="35" t="s">
        <v>4</v>
      </c>
      <c r="C11" s="3" t="s">
        <v>5</v>
      </c>
      <c r="F11" s="9"/>
      <c r="G11" s="9"/>
      <c r="H11" s="9"/>
      <c r="I11" s="9"/>
      <c r="J11"/>
      <c r="L11" s="37" t="s">
        <v>63</v>
      </c>
    </row>
    <row r="12" spans="1:12" ht="15.75" customHeight="1">
      <c r="A12" s="40" t="s">
        <v>61</v>
      </c>
      <c r="C12" s="3" t="s">
        <v>6</v>
      </c>
      <c r="E12" s="7"/>
      <c r="F12" s="9"/>
      <c r="G12" s="9"/>
      <c r="H12" s="9"/>
      <c r="I12" s="9"/>
      <c r="J12"/>
      <c r="L12" s="37" t="s">
        <v>39</v>
      </c>
    </row>
    <row r="13" spans="1:12" ht="15.75" customHeight="1">
      <c r="A13" s="40" t="s">
        <v>27</v>
      </c>
      <c r="C13" s="3" t="s">
        <v>7</v>
      </c>
      <c r="E13" s="5"/>
      <c r="F13" s="9"/>
      <c r="G13" s="9"/>
      <c r="H13" s="9"/>
      <c r="I13" s="9"/>
      <c r="J13"/>
      <c r="L13" s="37" t="s">
        <v>41</v>
      </c>
    </row>
    <row r="14" spans="1:12" ht="15.75" customHeight="1">
      <c r="A14" s="40" t="s">
        <v>28</v>
      </c>
      <c r="B14" s="9"/>
      <c r="C14" s="19" t="s">
        <v>67</v>
      </c>
      <c r="D14" s="10"/>
      <c r="E14" s="11"/>
      <c r="F14" s="11"/>
      <c r="G14" s="11"/>
      <c r="H14" s="11"/>
      <c r="I14" s="11"/>
      <c r="J14"/>
      <c r="L14" s="37" t="s">
        <v>43</v>
      </c>
    </row>
    <row r="15" spans="1:12" ht="15.75" customHeight="1">
      <c r="A15" s="40" t="s">
        <v>29</v>
      </c>
      <c r="D15" s="6"/>
      <c r="J15"/>
      <c r="L15" s="37" t="s">
        <v>45</v>
      </c>
    </row>
    <row r="16" spans="1:12" ht="15.75" customHeight="1">
      <c r="A16" s="40" t="s">
        <v>30</v>
      </c>
      <c r="C16" s="3" t="s">
        <v>8</v>
      </c>
      <c r="J16"/>
      <c r="L16" s="37" t="s">
        <v>47</v>
      </c>
    </row>
    <row r="17" spans="1:12" ht="15.75" customHeight="1">
      <c r="A17" s="40" t="s">
        <v>31</v>
      </c>
      <c r="C17" s="3" t="s">
        <v>9</v>
      </c>
      <c r="J17"/>
      <c r="L17" s="37" t="s">
        <v>49</v>
      </c>
    </row>
    <row r="18" spans="1:12" ht="15.75" customHeight="1">
      <c r="A18" s="40" t="s">
        <v>32</v>
      </c>
      <c r="C18" s="3" t="s">
        <v>10</v>
      </c>
      <c r="J18"/>
      <c r="K18" s="19"/>
      <c r="L18" s="37" t="s">
        <v>51</v>
      </c>
    </row>
    <row r="19" spans="1:12" ht="15.75" customHeight="1">
      <c r="A19" s="40" t="s">
        <v>33</v>
      </c>
      <c r="C19" s="10"/>
      <c r="D19" s="10"/>
      <c r="E19" s="11"/>
      <c r="F19" s="11"/>
      <c r="G19" s="11"/>
      <c r="H19" s="11"/>
      <c r="I19" s="11"/>
      <c r="J19"/>
      <c r="L19" s="37" t="s">
        <v>53</v>
      </c>
    </row>
    <row r="20" spans="1:12" ht="15.75" customHeight="1">
      <c r="A20" s="40" t="s">
        <v>34</v>
      </c>
      <c r="C20" s="3" t="s">
        <v>13</v>
      </c>
      <c r="D20" s="12"/>
      <c r="E20" s="12"/>
      <c r="F20" s="12"/>
      <c r="G20" s="12"/>
      <c r="H20" s="12"/>
      <c r="I20" s="12"/>
      <c r="J20"/>
      <c r="L20" s="37" t="s">
        <v>55</v>
      </c>
    </row>
    <row r="21" spans="1:12" ht="15.75" customHeight="1">
      <c r="A21" s="40" t="s">
        <v>35</v>
      </c>
      <c r="C21" s="3" t="s">
        <v>15</v>
      </c>
      <c r="D21" s="12"/>
      <c r="E21" s="12"/>
      <c r="F21" s="12"/>
      <c r="G21" s="12"/>
      <c r="H21" s="12"/>
      <c r="I21" s="12"/>
      <c r="J21"/>
      <c r="L21" s="37" t="s">
        <v>57</v>
      </c>
    </row>
    <row r="22" spans="1:12" ht="15.75" customHeight="1">
      <c r="A22" s="40" t="s">
        <v>36</v>
      </c>
      <c r="D22" s="13"/>
      <c r="E22" s="14"/>
      <c r="F22" s="14"/>
      <c r="G22" s="14"/>
      <c r="H22" s="14"/>
      <c r="I22" s="14"/>
      <c r="J22" s="19"/>
      <c r="L22" s="37" t="s">
        <v>59</v>
      </c>
    </row>
    <row r="23" spans="1:12" ht="15.75" customHeight="1">
      <c r="A23" s="40" t="s">
        <v>37</v>
      </c>
      <c r="B23" s="10"/>
      <c r="C23" s="3" t="s">
        <v>11</v>
      </c>
      <c r="D23" s="8"/>
      <c r="E23" s="8"/>
      <c r="F23" s="8"/>
      <c r="G23" s="8"/>
      <c r="H23" s="8"/>
      <c r="I23" s="8"/>
      <c r="J23" s="19"/>
      <c r="L23" s="37" t="s">
        <v>66</v>
      </c>
    </row>
    <row r="24" spans="1:12" ht="15.75" customHeight="1" thickBot="1">
      <c r="A24" s="40" t="s">
        <v>64</v>
      </c>
      <c r="B24" s="10"/>
      <c r="C24" s="12" t="s">
        <v>14</v>
      </c>
      <c r="D24" s="8"/>
      <c r="E24" s="8"/>
      <c r="F24" s="8"/>
      <c r="G24" s="8"/>
      <c r="H24" s="8"/>
      <c r="I24" s="8"/>
      <c r="J24" s="19"/>
      <c r="L24" s="36" t="s">
        <v>70</v>
      </c>
    </row>
    <row r="25" spans="1:12" ht="15.75" customHeight="1" thickBot="1">
      <c r="A25" s="43" t="s">
        <v>68</v>
      </c>
      <c r="B25" s="11"/>
      <c r="C25" s="3" t="s">
        <v>16</v>
      </c>
      <c r="J25" s="19"/>
    </row>
    <row r="26" spans="1:12" ht="15.75" customHeight="1">
      <c r="B26" s="11"/>
      <c r="J26" s="19"/>
    </row>
    <row r="27" spans="1:12" ht="15.75" customHeight="1">
      <c r="A27" s="34"/>
      <c r="B27" s="11"/>
      <c r="C27" s="8"/>
      <c r="D27" s="8"/>
      <c r="E27" s="8"/>
      <c r="F27" s="8"/>
      <c r="G27" s="8"/>
      <c r="H27" s="8"/>
      <c r="I27" s="8"/>
      <c r="J27" s="19"/>
    </row>
    <row r="28" spans="1:12" ht="15.75" customHeight="1">
      <c r="A28" s="34"/>
      <c r="B28" s="11"/>
      <c r="C28" s="8"/>
      <c r="D28" s="8"/>
      <c r="E28" s="8"/>
      <c r="F28" s="8"/>
      <c r="G28" s="8"/>
      <c r="H28" s="8"/>
      <c r="I28" s="8"/>
      <c r="J28" s="19"/>
    </row>
    <row r="29" spans="1:12" ht="15.75" customHeight="1">
      <c r="B29" s="11"/>
      <c r="C29" s="8"/>
      <c r="D29" s="8"/>
      <c r="E29" s="8"/>
      <c r="F29" s="8"/>
      <c r="G29" s="8"/>
      <c r="H29" s="8"/>
      <c r="I29" s="8"/>
      <c r="J29" s="19"/>
    </row>
    <row r="30" spans="1:12" ht="15.75" customHeight="1">
      <c r="A30" s="33"/>
      <c r="J30" s="19"/>
    </row>
    <row r="31" spans="1:12" ht="15.75" customHeight="1">
      <c r="A31" s="33"/>
      <c r="J31" s="19"/>
    </row>
    <row r="32" spans="1:12" ht="15.75" customHeight="1">
      <c r="A32" s="33"/>
      <c r="J32" s="19"/>
    </row>
    <row r="33" spans="1:10" ht="15.75" customHeight="1">
      <c r="A33" s="33"/>
      <c r="J33" s="19"/>
    </row>
    <row r="34" spans="1:10" ht="15.75" customHeight="1">
      <c r="A34" s="33"/>
      <c r="J34" s="19"/>
    </row>
    <row r="35" spans="1:10" ht="15.75" customHeight="1">
      <c r="A35" s="33"/>
      <c r="J35" s="19"/>
    </row>
    <row r="36" spans="1:10" ht="15.75" customHeight="1">
      <c r="A36" s="33"/>
      <c r="J36" s="19"/>
    </row>
    <row r="37" spans="1:10" ht="15.75" customHeight="1">
      <c r="A37" s="33"/>
      <c r="J37" s="19"/>
    </row>
    <row r="38" spans="1:10" ht="15.75" customHeight="1">
      <c r="A38" s="33"/>
      <c r="J38" s="19"/>
    </row>
    <row r="39" spans="1:10" ht="15.75" customHeight="1">
      <c r="A39" s="33"/>
      <c r="J39" s="19"/>
    </row>
    <row r="40" spans="1:10" ht="15.75" customHeight="1">
      <c r="A40" s="33"/>
      <c r="J40" s="19"/>
    </row>
    <row r="41" spans="1:10" ht="15.75" customHeight="1">
      <c r="A41" s="33"/>
      <c r="J41" s="19"/>
    </row>
    <row r="42" spans="1:10" ht="15.75" customHeight="1">
      <c r="A42" s="33"/>
      <c r="J42" s="19"/>
    </row>
    <row r="43" spans="1:10" ht="15.75" customHeight="1">
      <c r="A43" s="33"/>
      <c r="J43" s="19"/>
    </row>
    <row r="44" spans="1:10" ht="15.75" customHeight="1">
      <c r="A44" s="34"/>
      <c r="J44" s="19"/>
    </row>
    <row r="45" spans="1:10" ht="15.75" customHeight="1">
      <c r="A45" s="34"/>
    </row>
    <row r="46" spans="1:10" ht="15.75" customHeight="1">
      <c r="A46" s="34"/>
    </row>
    <row r="47" spans="1:10" ht="15.75" customHeight="1">
      <c r="A47" s="34"/>
    </row>
    <row r="48" spans="1:10" ht="15.75" customHeight="1">
      <c r="A48" s="34"/>
    </row>
    <row r="49" spans="1:1" ht="15.75" customHeight="1">
      <c r="A49" s="34"/>
    </row>
    <row r="50" spans="1:1" ht="15.75" customHeight="1">
      <c r="A50" s="34"/>
    </row>
    <row r="51" spans="1:1" ht="15.75" customHeight="1">
      <c r="A51" s="34"/>
    </row>
    <row r="52" spans="1:1" ht="15.75" customHeight="1">
      <c r="A52" s="34"/>
    </row>
    <row r="53" spans="1:1" ht="15.75" customHeight="1">
      <c r="A53" s="34"/>
    </row>
    <row r="54" spans="1:1" ht="15.75" customHeight="1">
      <c r="A54" s="34"/>
    </row>
    <row r="55" spans="1:1" ht="15.75" customHeight="1">
      <c r="A55" s="34"/>
    </row>
    <row r="56" spans="1:1" ht="15.75" customHeight="1">
      <c r="A56" s="34"/>
    </row>
    <row r="57" spans="1:1" ht="15.75" customHeight="1">
      <c r="A57" s="34"/>
    </row>
    <row r="58" spans="1:1" ht="15.75" customHeight="1">
      <c r="A58" s="34"/>
    </row>
    <row r="59" spans="1:1" ht="15.75" customHeight="1">
      <c r="A59" s="34"/>
    </row>
    <row r="60" spans="1:1" ht="15.75" customHeight="1">
      <c r="A60" s="34"/>
    </row>
    <row r="61" spans="1:1" ht="15.75" customHeight="1">
      <c r="A61" s="34"/>
    </row>
    <row r="62" spans="1:1" ht="15.75" customHeight="1">
      <c r="A62" s="34"/>
    </row>
    <row r="63" spans="1:1" ht="15.75" customHeight="1">
      <c r="A63" s="34"/>
    </row>
    <row r="64" spans="1:1" ht="15.75" customHeight="1">
      <c r="A64" s="34"/>
    </row>
    <row r="65" spans="1:1" ht="15.75" customHeight="1">
      <c r="A65" s="34"/>
    </row>
    <row r="66" spans="1:1" ht="15.75" customHeight="1">
      <c r="A66" s="34"/>
    </row>
    <row r="67" spans="1:1" ht="15.75" customHeight="1">
      <c r="A67" s="34"/>
    </row>
    <row r="68" spans="1:1" ht="15.75" customHeight="1">
      <c r="A68" s="34"/>
    </row>
    <row r="69" spans="1:1" ht="15.75" customHeight="1">
      <c r="A69" s="34"/>
    </row>
    <row r="70" spans="1:1" ht="15.75" customHeight="1">
      <c r="A70" s="34"/>
    </row>
    <row r="71" spans="1:1" ht="15.75" customHeight="1">
      <c r="A71" s="34"/>
    </row>
    <row r="72" spans="1:1" ht="15.75" customHeight="1">
      <c r="A72" s="34"/>
    </row>
    <row r="73" spans="1:1" ht="15.75" customHeight="1">
      <c r="A73" s="34"/>
    </row>
    <row r="74" spans="1:1" ht="15.75" customHeight="1">
      <c r="A74" s="34"/>
    </row>
    <row r="75" spans="1:1" ht="15.75" customHeight="1">
      <c r="A75" s="34"/>
    </row>
    <row r="76" spans="1:1" ht="15.75" customHeight="1">
      <c r="A76" s="34"/>
    </row>
    <row r="77" spans="1:1" ht="15.75" customHeight="1">
      <c r="A77" s="34"/>
    </row>
    <row r="78" spans="1:1" ht="15.75" customHeight="1">
      <c r="A78" s="34"/>
    </row>
    <row r="79" spans="1:1" ht="15.75" customHeight="1">
      <c r="A79" s="34"/>
    </row>
    <row r="80" spans="1:1" ht="15.75" customHeight="1">
      <c r="A80" s="34"/>
    </row>
    <row r="81" spans="1:1" ht="15.75" customHeight="1">
      <c r="A81" s="34"/>
    </row>
    <row r="82" spans="1:1" ht="15.75" customHeight="1">
      <c r="A82" s="34"/>
    </row>
    <row r="83" spans="1:1" ht="15.75" customHeight="1">
      <c r="A83" s="34"/>
    </row>
    <row r="84" spans="1:1" ht="15.75" customHeight="1">
      <c r="A84" s="34"/>
    </row>
    <row r="85" spans="1:1" ht="15.75" customHeight="1">
      <c r="A85" s="34"/>
    </row>
    <row r="86" spans="1:1" ht="15.75" customHeight="1">
      <c r="A86" s="34"/>
    </row>
    <row r="87" spans="1:1" ht="15.75" customHeight="1">
      <c r="A87" s="34"/>
    </row>
    <row r="88" spans="1:1" ht="15.75" customHeight="1">
      <c r="A88" s="34"/>
    </row>
    <row r="89" spans="1:1" ht="15.75" customHeight="1">
      <c r="A89" s="34"/>
    </row>
    <row r="90" spans="1:1" ht="15.75" customHeight="1">
      <c r="A90" s="34"/>
    </row>
    <row r="91" spans="1:1" ht="15.75" customHeight="1">
      <c r="A91" s="34"/>
    </row>
    <row r="92" spans="1:1" ht="15.75" customHeight="1">
      <c r="A92" s="34"/>
    </row>
    <row r="93" spans="1:1" ht="15.75" customHeight="1">
      <c r="A93" s="34"/>
    </row>
    <row r="94" spans="1:1" ht="15.75" customHeight="1">
      <c r="A94" s="34"/>
    </row>
    <row r="95" spans="1:1" ht="15.75" customHeight="1">
      <c r="A95" s="34"/>
    </row>
    <row r="96" spans="1:1" ht="15.75" customHeight="1">
      <c r="A96" s="34"/>
    </row>
    <row r="97" spans="1:1" ht="15.75" customHeight="1">
      <c r="A97" s="34"/>
    </row>
    <row r="98" spans="1:1" ht="15.75" customHeight="1">
      <c r="A98" s="34"/>
    </row>
    <row r="99" spans="1:1" ht="15.75" customHeight="1">
      <c r="A99" s="34"/>
    </row>
    <row r="100" spans="1:1" ht="15.75" customHeight="1">
      <c r="A100" s="34"/>
    </row>
    <row r="101" spans="1:1" ht="15.75" customHeight="1">
      <c r="A101" s="34"/>
    </row>
    <row r="102" spans="1:1" ht="15.75" customHeight="1">
      <c r="A102" s="34"/>
    </row>
    <row r="103" spans="1:1" ht="15.75" customHeight="1">
      <c r="A103" s="34"/>
    </row>
    <row r="104" spans="1:1" ht="15.75" customHeight="1">
      <c r="A104" s="34"/>
    </row>
    <row r="105" spans="1:1" ht="15.75" customHeight="1">
      <c r="A105" s="34"/>
    </row>
    <row r="106" spans="1:1" ht="15.75" customHeight="1">
      <c r="A106" s="34"/>
    </row>
    <row r="107" spans="1:1" ht="15.75" customHeight="1">
      <c r="A107" s="34"/>
    </row>
    <row r="108" spans="1:1" ht="15.75" customHeight="1">
      <c r="A108" s="34"/>
    </row>
    <row r="109" spans="1:1" ht="15.75" customHeight="1">
      <c r="A109" s="34"/>
    </row>
    <row r="110" spans="1:1" ht="15.75" customHeight="1">
      <c r="A110" s="34"/>
    </row>
    <row r="111" spans="1:1" ht="15.75" customHeight="1">
      <c r="A111" s="34"/>
    </row>
    <row r="112" spans="1:1" ht="15.75" customHeight="1">
      <c r="A112" s="34"/>
    </row>
    <row r="113" spans="1:1" ht="15.75" customHeight="1">
      <c r="A113" s="34"/>
    </row>
    <row r="114" spans="1:1" ht="15.75" customHeight="1">
      <c r="A114" s="34"/>
    </row>
    <row r="115" spans="1:1" ht="15.75" customHeight="1">
      <c r="A115" s="34"/>
    </row>
    <row r="116" spans="1:1" ht="15.75" customHeight="1">
      <c r="A116" s="34"/>
    </row>
    <row r="117" spans="1:1" ht="15.75" customHeight="1">
      <c r="A117" s="34"/>
    </row>
    <row r="118" spans="1:1" ht="15.75" customHeight="1">
      <c r="A118" s="34"/>
    </row>
    <row r="119" spans="1:1" ht="15.75" customHeight="1">
      <c r="A119" s="34"/>
    </row>
    <row r="120" spans="1:1" ht="15.75" customHeight="1">
      <c r="A120" s="34"/>
    </row>
    <row r="121" spans="1:1" ht="15.75" customHeight="1">
      <c r="A121" s="34"/>
    </row>
    <row r="122" spans="1:1" ht="15.75" customHeight="1">
      <c r="A122" s="34"/>
    </row>
    <row r="123" spans="1:1" ht="15.75" customHeight="1">
      <c r="A123" s="34"/>
    </row>
    <row r="124" spans="1:1" ht="15.75" customHeight="1">
      <c r="A124" s="34"/>
    </row>
    <row r="125" spans="1:1" ht="15.75" customHeight="1">
      <c r="A125" s="34"/>
    </row>
    <row r="126" spans="1:1" ht="15.75" customHeight="1">
      <c r="A126" s="34"/>
    </row>
    <row r="127" spans="1:1" ht="15.75" customHeight="1">
      <c r="A127" s="34"/>
    </row>
    <row r="128" spans="1:1" ht="15.75" customHeight="1">
      <c r="A128" s="34"/>
    </row>
    <row r="129" spans="1:1" ht="15.75" customHeight="1">
      <c r="A129" s="34"/>
    </row>
    <row r="130" spans="1:1" ht="15.75" customHeight="1">
      <c r="A130" s="34"/>
    </row>
    <row r="131" spans="1:1" ht="15.75" customHeight="1">
      <c r="A131" s="34"/>
    </row>
    <row r="132" spans="1:1" ht="15.75" customHeight="1">
      <c r="A132" s="34"/>
    </row>
    <row r="133" spans="1:1" ht="15.75" customHeight="1">
      <c r="A133" s="34"/>
    </row>
    <row r="134" spans="1:1" ht="15.75" customHeight="1">
      <c r="A134" s="34"/>
    </row>
    <row r="135" spans="1:1" ht="15.75" customHeight="1">
      <c r="A135" s="34"/>
    </row>
    <row r="136" spans="1:1" ht="15.75" customHeight="1">
      <c r="A136" s="34"/>
    </row>
    <row r="137" spans="1:1" ht="15.75" customHeight="1">
      <c r="A137" s="34"/>
    </row>
    <row r="138" spans="1:1" ht="15.75" customHeight="1">
      <c r="A138" s="34"/>
    </row>
    <row r="139" spans="1:1" ht="15.75" customHeight="1">
      <c r="A139" s="34"/>
    </row>
    <row r="140" spans="1:1" ht="15.75" customHeight="1">
      <c r="A140" s="34"/>
    </row>
    <row r="141" spans="1:1" ht="15.75" customHeight="1">
      <c r="A141" s="34"/>
    </row>
    <row r="142" spans="1:1" ht="15.75" customHeight="1">
      <c r="A142" s="34"/>
    </row>
    <row r="143" spans="1:1" ht="15.75" customHeight="1">
      <c r="A143" s="34"/>
    </row>
    <row r="144" spans="1:1" ht="15.75" customHeight="1">
      <c r="A144" s="34"/>
    </row>
    <row r="145" spans="1:1" ht="15.75" customHeight="1">
      <c r="A145" s="34"/>
    </row>
    <row r="146" spans="1:1" ht="15.75" customHeight="1">
      <c r="A146" s="34"/>
    </row>
    <row r="147" spans="1:1" ht="15.75" customHeight="1">
      <c r="A147" s="34"/>
    </row>
    <row r="148" spans="1:1" ht="15.75" customHeight="1">
      <c r="A148" s="34"/>
    </row>
    <row r="149" spans="1:1" ht="15.75" customHeight="1">
      <c r="A149" s="34"/>
    </row>
    <row r="150" spans="1:1" ht="15.75" customHeight="1">
      <c r="A150" s="34"/>
    </row>
    <row r="151" spans="1:1" ht="15.75" customHeight="1">
      <c r="A151" s="34"/>
    </row>
    <row r="152" spans="1:1" ht="15.75" customHeight="1">
      <c r="A152" s="34"/>
    </row>
    <row r="153" spans="1:1" ht="15.75" customHeight="1">
      <c r="A153" s="34"/>
    </row>
    <row r="154" spans="1:1" ht="15.75" customHeight="1">
      <c r="A154" s="34"/>
    </row>
    <row r="155" spans="1:1" ht="15.75" customHeight="1">
      <c r="A155" s="34"/>
    </row>
    <row r="156" spans="1:1" ht="15.75" customHeight="1">
      <c r="A156" s="34"/>
    </row>
    <row r="157" spans="1:1" ht="15.75" customHeight="1">
      <c r="A157" s="34"/>
    </row>
    <row r="158" spans="1:1" ht="15.75" customHeight="1">
      <c r="A158" s="34"/>
    </row>
    <row r="159" spans="1:1" ht="15.75" customHeight="1">
      <c r="A159" s="34"/>
    </row>
    <row r="160" spans="1:1" ht="15.75" customHeight="1">
      <c r="A160" s="34"/>
    </row>
    <row r="161" spans="1:1" ht="15.75" customHeight="1">
      <c r="A161" s="34"/>
    </row>
    <row r="162" spans="1:1" ht="15.75" customHeight="1">
      <c r="A162" s="34"/>
    </row>
    <row r="163" spans="1:1" ht="15.75" customHeight="1">
      <c r="A163" s="34"/>
    </row>
    <row r="164" spans="1:1" ht="15.75" customHeight="1">
      <c r="A164" s="34"/>
    </row>
    <row r="165" spans="1:1" ht="15.75" customHeight="1">
      <c r="A165" s="34"/>
    </row>
    <row r="166" spans="1:1" ht="15.75" customHeight="1">
      <c r="A166" s="34"/>
    </row>
    <row r="167" spans="1:1" ht="15.75" customHeight="1">
      <c r="A167" s="34"/>
    </row>
    <row r="168" spans="1:1" ht="15.75" customHeight="1">
      <c r="A168" s="34"/>
    </row>
    <row r="169" spans="1:1" ht="15.75" customHeight="1">
      <c r="A169" s="34"/>
    </row>
    <row r="170" spans="1:1" ht="15.75" customHeight="1">
      <c r="A170" s="34"/>
    </row>
    <row r="171" spans="1:1" ht="15.75" customHeight="1">
      <c r="A171" s="34"/>
    </row>
    <row r="172" spans="1:1" ht="15.75" customHeight="1">
      <c r="A172" s="34"/>
    </row>
    <row r="173" spans="1:1" ht="15.75" customHeight="1">
      <c r="A173" s="34"/>
    </row>
    <row r="174" spans="1:1" ht="15.75" customHeight="1">
      <c r="A174" s="34"/>
    </row>
    <row r="175" spans="1:1" ht="15.75" customHeight="1">
      <c r="A175" s="34"/>
    </row>
    <row r="176" spans="1:1" ht="15.75" customHeight="1">
      <c r="A176" s="34"/>
    </row>
    <row r="177" spans="1:1" ht="15.75" customHeight="1">
      <c r="A177" s="34"/>
    </row>
    <row r="178" spans="1:1" ht="15.75" customHeight="1">
      <c r="A178" s="34"/>
    </row>
    <row r="179" spans="1:1" ht="15.75" customHeight="1">
      <c r="A179" s="34"/>
    </row>
    <row r="180" spans="1:1" ht="15.75" customHeight="1">
      <c r="A180" s="34"/>
    </row>
    <row r="181" spans="1:1" ht="15.75" customHeight="1">
      <c r="A181" s="34"/>
    </row>
    <row r="182" spans="1:1" ht="15.75" customHeight="1">
      <c r="A182" s="34"/>
    </row>
    <row r="183" spans="1:1" ht="15.75" customHeight="1">
      <c r="A183" s="34"/>
    </row>
    <row r="184" spans="1:1" ht="15.75" customHeight="1">
      <c r="A184" s="34"/>
    </row>
    <row r="185" spans="1:1" ht="15.75" customHeight="1">
      <c r="A185" s="34"/>
    </row>
    <row r="186" spans="1:1" ht="15.75" customHeight="1">
      <c r="A186" s="34"/>
    </row>
    <row r="187" spans="1:1" ht="15.75" customHeight="1">
      <c r="A187" s="34"/>
    </row>
    <row r="188" spans="1:1" ht="15.75" customHeight="1">
      <c r="A188" s="34"/>
    </row>
    <row r="189" spans="1:1" ht="15.75" customHeight="1">
      <c r="A189" s="34"/>
    </row>
    <row r="190" spans="1:1" ht="15.75" customHeight="1">
      <c r="A190" s="34"/>
    </row>
    <row r="191" spans="1:1" ht="15.75" customHeight="1">
      <c r="A191" s="34"/>
    </row>
    <row r="192" spans="1:1" ht="15.75" customHeight="1">
      <c r="A192" s="34"/>
    </row>
    <row r="193" spans="1:1" ht="15.75" customHeight="1">
      <c r="A193" s="34"/>
    </row>
    <row r="194" spans="1:1" ht="15.75" customHeight="1">
      <c r="A194" s="34"/>
    </row>
    <row r="195" spans="1:1" ht="15.75" customHeight="1">
      <c r="A195" s="34"/>
    </row>
    <row r="196" spans="1:1" ht="15.75" customHeight="1">
      <c r="A196" s="34"/>
    </row>
    <row r="197" spans="1:1" ht="15.75" customHeight="1">
      <c r="A197" s="34"/>
    </row>
    <row r="198" spans="1:1" ht="15.75" customHeight="1">
      <c r="A198" s="34"/>
    </row>
    <row r="199" spans="1:1" ht="15.75" customHeight="1">
      <c r="A199" s="34"/>
    </row>
    <row r="200" spans="1:1" ht="15.75" customHeight="1">
      <c r="A200" s="34"/>
    </row>
    <row r="201" spans="1:1" ht="15.75" customHeight="1">
      <c r="A201" s="34"/>
    </row>
    <row r="202" spans="1:1" ht="15.75" customHeight="1">
      <c r="A202" s="34"/>
    </row>
    <row r="203" spans="1:1" ht="15.75" customHeight="1">
      <c r="A203" s="34"/>
    </row>
    <row r="204" spans="1:1" ht="15.75" customHeight="1">
      <c r="A204" s="34"/>
    </row>
    <row r="205" spans="1:1" ht="15.75" customHeight="1">
      <c r="A205" s="34"/>
    </row>
    <row r="206" spans="1:1" ht="15.75" customHeight="1">
      <c r="A206" s="34"/>
    </row>
    <row r="207" spans="1:1" ht="15.75" customHeight="1">
      <c r="A207" s="34"/>
    </row>
    <row r="208" spans="1:1" ht="15.75" customHeight="1">
      <c r="A208" s="34"/>
    </row>
    <row r="209" spans="1:1" ht="15.75" customHeight="1">
      <c r="A209" s="34"/>
    </row>
    <row r="210" spans="1:1" ht="15.75" customHeight="1">
      <c r="A210" s="34"/>
    </row>
    <row r="211" spans="1:1" ht="15.75" customHeight="1">
      <c r="A211" s="34"/>
    </row>
    <row r="212" spans="1:1" ht="15.75" customHeight="1">
      <c r="A212" s="34"/>
    </row>
    <row r="213" spans="1:1" ht="15.75" customHeight="1">
      <c r="A213" s="34"/>
    </row>
    <row r="214" spans="1:1" ht="15.75" customHeight="1">
      <c r="A214" s="34"/>
    </row>
    <row r="215" spans="1:1" ht="15.75" customHeight="1">
      <c r="A215" s="34"/>
    </row>
    <row r="216" spans="1:1" ht="15.75" customHeight="1">
      <c r="A216" s="34"/>
    </row>
    <row r="217" spans="1:1" ht="15.75" customHeight="1">
      <c r="A217" s="34"/>
    </row>
    <row r="218" spans="1:1" ht="15.75" customHeight="1">
      <c r="A218" s="34"/>
    </row>
    <row r="219" spans="1:1" ht="15.75" customHeight="1">
      <c r="A219" s="34"/>
    </row>
    <row r="220" spans="1:1" ht="15.75" customHeight="1">
      <c r="A220" s="34"/>
    </row>
    <row r="221" spans="1:1" ht="15.75" customHeight="1">
      <c r="A221" s="34"/>
    </row>
    <row r="222" spans="1:1" ht="15.75" customHeight="1">
      <c r="A222" s="34"/>
    </row>
    <row r="223" spans="1:1" ht="15.75" customHeight="1">
      <c r="A223" s="34"/>
    </row>
    <row r="224" spans="1:1" ht="15.75" customHeight="1">
      <c r="A224" s="34"/>
    </row>
    <row r="225" spans="1:1" ht="15.75" customHeight="1">
      <c r="A225" s="34"/>
    </row>
    <row r="226" spans="1:1" ht="15.75" customHeight="1">
      <c r="A226" s="34"/>
    </row>
    <row r="227" spans="1:1" ht="15.75" customHeight="1">
      <c r="A227" s="34"/>
    </row>
    <row r="228" spans="1:1" ht="15.75" customHeight="1">
      <c r="A228" s="34"/>
    </row>
    <row r="229" spans="1:1" ht="15.75" customHeight="1">
      <c r="A229" s="34"/>
    </row>
    <row r="230" spans="1:1" ht="15.75" customHeight="1">
      <c r="A230" s="34"/>
    </row>
    <row r="231" spans="1:1" ht="15.75" customHeight="1">
      <c r="A231" s="34"/>
    </row>
    <row r="232" spans="1:1" ht="15.75" customHeight="1">
      <c r="A232" s="34"/>
    </row>
    <row r="233" spans="1:1" ht="15.75" customHeight="1">
      <c r="A233" s="34"/>
    </row>
    <row r="234" spans="1:1" ht="15.75" customHeight="1">
      <c r="A234" s="34"/>
    </row>
    <row r="235" spans="1:1" ht="15.75" customHeight="1">
      <c r="A235" s="34"/>
    </row>
    <row r="236" spans="1:1" ht="15.75" customHeight="1">
      <c r="A236" s="34"/>
    </row>
    <row r="237" spans="1:1" ht="15.75" customHeight="1">
      <c r="A237" s="34"/>
    </row>
    <row r="238" spans="1:1" ht="15.75" customHeight="1">
      <c r="A238" s="34"/>
    </row>
    <row r="239" spans="1:1" ht="15.75" customHeight="1">
      <c r="A239" s="34"/>
    </row>
    <row r="240" spans="1:1" ht="15.75" customHeight="1">
      <c r="A240" s="34"/>
    </row>
    <row r="241" spans="1:1" ht="15.75" customHeight="1">
      <c r="A241" s="34"/>
    </row>
    <row r="242" spans="1:1" ht="15.75" customHeight="1">
      <c r="A242" s="34"/>
    </row>
    <row r="243" spans="1:1" ht="15.75" customHeight="1">
      <c r="A243" s="34"/>
    </row>
    <row r="244" spans="1:1" ht="15.75" customHeight="1">
      <c r="A244" s="34"/>
    </row>
    <row r="245" spans="1:1" ht="15.75" customHeight="1">
      <c r="A245" s="34"/>
    </row>
    <row r="246" spans="1:1" ht="15.75" customHeight="1">
      <c r="A246" s="34"/>
    </row>
    <row r="247" spans="1:1" ht="15.75" customHeight="1">
      <c r="A247" s="34"/>
    </row>
    <row r="248" spans="1:1" ht="15.75" customHeight="1">
      <c r="A248" s="34"/>
    </row>
    <row r="249" spans="1:1" ht="15.75" customHeight="1">
      <c r="A249" s="34"/>
    </row>
    <row r="250" spans="1:1" ht="15.75" customHeight="1">
      <c r="A250" s="34"/>
    </row>
    <row r="251" spans="1:1" ht="15.75" customHeight="1">
      <c r="A251" s="34"/>
    </row>
    <row r="252" spans="1:1" ht="15.75" customHeight="1">
      <c r="A252" s="34"/>
    </row>
    <row r="253" spans="1:1" ht="15.75" customHeight="1">
      <c r="A253" s="34"/>
    </row>
    <row r="254" spans="1:1" ht="15.75" customHeight="1">
      <c r="A254" s="34"/>
    </row>
    <row r="255" spans="1:1" ht="15.75" customHeight="1">
      <c r="A255" s="34"/>
    </row>
    <row r="256" spans="1:1" ht="15.75" customHeight="1">
      <c r="A256" s="34"/>
    </row>
    <row r="257" spans="1:1" ht="15.75" customHeight="1">
      <c r="A257" s="34"/>
    </row>
    <row r="258" spans="1:1" ht="15.75" customHeight="1">
      <c r="A258" s="34"/>
    </row>
    <row r="259" spans="1:1" ht="15.75" customHeight="1">
      <c r="A259" s="34"/>
    </row>
    <row r="260" spans="1:1" ht="15.75" customHeight="1">
      <c r="A260" s="34"/>
    </row>
    <row r="261" spans="1:1" ht="15.75" customHeight="1">
      <c r="A261" s="34"/>
    </row>
    <row r="262" spans="1:1" ht="15.75" customHeight="1">
      <c r="A262" s="34"/>
    </row>
    <row r="263" spans="1:1" ht="15.75" customHeight="1">
      <c r="A263" s="34"/>
    </row>
    <row r="264" spans="1:1" ht="15.75" customHeight="1">
      <c r="A264" s="34"/>
    </row>
    <row r="265" spans="1:1" ht="15.75" customHeight="1">
      <c r="A265" s="34"/>
    </row>
    <row r="266" spans="1:1" ht="15.75" customHeight="1">
      <c r="A266" s="34"/>
    </row>
    <row r="267" spans="1:1" ht="15.75" customHeight="1">
      <c r="A267" s="34"/>
    </row>
    <row r="268" spans="1:1" ht="15.75" customHeight="1">
      <c r="A268" s="34"/>
    </row>
    <row r="269" spans="1:1" ht="15.75" customHeight="1">
      <c r="A269" s="34"/>
    </row>
    <row r="270" spans="1:1" ht="15.75" customHeight="1">
      <c r="A270" s="34"/>
    </row>
    <row r="271" spans="1:1" ht="15.75" customHeight="1">
      <c r="A271" s="34"/>
    </row>
    <row r="272" spans="1:1" ht="15.75" customHeight="1">
      <c r="A272" s="34"/>
    </row>
    <row r="273" spans="1:1" ht="15.75" customHeight="1">
      <c r="A273" s="34"/>
    </row>
    <row r="274" spans="1:1" ht="15.75" customHeight="1">
      <c r="A274" s="34"/>
    </row>
    <row r="275" spans="1:1" ht="15.75" customHeight="1">
      <c r="A275" s="34"/>
    </row>
    <row r="276" spans="1:1" ht="15.75" customHeight="1">
      <c r="A276" s="34"/>
    </row>
    <row r="277" spans="1:1" ht="15.75" customHeight="1">
      <c r="A277" s="34"/>
    </row>
    <row r="278" spans="1:1" ht="15.75" customHeight="1">
      <c r="A278" s="34"/>
    </row>
    <row r="279" spans="1:1" ht="15.75" customHeight="1">
      <c r="A279" s="34"/>
    </row>
    <row r="280" spans="1:1" ht="15.75" customHeight="1">
      <c r="A280" s="34"/>
    </row>
    <row r="281" spans="1:1" ht="15.75" customHeight="1">
      <c r="A281" s="34"/>
    </row>
    <row r="282" spans="1:1" ht="15.75" customHeight="1">
      <c r="A282" s="34"/>
    </row>
    <row r="283" spans="1:1" ht="15.75" customHeight="1">
      <c r="A283" s="34"/>
    </row>
    <row r="284" spans="1:1" ht="15.75" customHeight="1">
      <c r="A284" s="34"/>
    </row>
    <row r="285" spans="1:1" ht="15.75" customHeight="1">
      <c r="A285" s="34"/>
    </row>
    <row r="286" spans="1:1" ht="15.75" customHeight="1">
      <c r="A286" s="34"/>
    </row>
    <row r="287" spans="1:1" ht="15.75" customHeight="1">
      <c r="A287" s="34"/>
    </row>
    <row r="288" spans="1:1" ht="15.75" customHeight="1">
      <c r="A288" s="34"/>
    </row>
    <row r="289" spans="1:1" ht="15.75" customHeight="1">
      <c r="A289" s="34"/>
    </row>
    <row r="290" spans="1:1" ht="15.75" customHeight="1">
      <c r="A290" s="34"/>
    </row>
    <row r="291" spans="1:1" ht="15.75" customHeight="1">
      <c r="A291" s="34"/>
    </row>
    <row r="292" spans="1:1" ht="15.75" customHeight="1">
      <c r="A292" s="34"/>
    </row>
    <row r="293" spans="1:1" ht="15.75" customHeight="1">
      <c r="A293" s="34"/>
    </row>
    <row r="294" spans="1:1" ht="15.75" customHeight="1">
      <c r="A294" s="34"/>
    </row>
    <row r="295" spans="1:1" ht="15.75" customHeight="1">
      <c r="A295" s="34"/>
    </row>
    <row r="296" spans="1:1" ht="15.75" customHeight="1">
      <c r="A296" s="34"/>
    </row>
    <row r="297" spans="1:1" ht="15.75" customHeight="1">
      <c r="A297" s="34"/>
    </row>
    <row r="298" spans="1:1" ht="15.75" customHeight="1">
      <c r="A298" s="34"/>
    </row>
    <row r="299" spans="1:1" ht="15.75" customHeight="1">
      <c r="A299" s="34"/>
    </row>
    <row r="300" spans="1:1" ht="15.75" customHeight="1">
      <c r="A300" s="34"/>
    </row>
    <row r="301" spans="1:1" ht="15.75" customHeight="1">
      <c r="A301" s="34"/>
    </row>
    <row r="302" spans="1:1" ht="15.75" customHeight="1">
      <c r="A302" s="34"/>
    </row>
    <row r="303" spans="1:1" ht="15.75" customHeight="1">
      <c r="A303" s="34"/>
    </row>
    <row r="304" spans="1:1" ht="15.75" customHeight="1">
      <c r="A304" s="34"/>
    </row>
    <row r="305" spans="1:1" ht="15.75" customHeight="1">
      <c r="A305" s="34"/>
    </row>
    <row r="306" spans="1:1" ht="15.75" customHeight="1">
      <c r="A306" s="34"/>
    </row>
    <row r="307" spans="1:1" ht="15.75" customHeight="1">
      <c r="A307" s="34"/>
    </row>
    <row r="308" spans="1:1" ht="15.75" customHeight="1">
      <c r="A308" s="34"/>
    </row>
    <row r="309" spans="1:1" ht="15.75" customHeight="1">
      <c r="A309" s="34"/>
    </row>
    <row r="310" spans="1:1" ht="15.75" customHeight="1">
      <c r="A310" s="34"/>
    </row>
    <row r="311" spans="1:1" ht="15.75" customHeight="1">
      <c r="A311" s="34"/>
    </row>
    <row r="312" spans="1:1" ht="15.75" customHeight="1">
      <c r="A312" s="34"/>
    </row>
    <row r="313" spans="1:1" ht="15.75" customHeight="1">
      <c r="A313" s="34"/>
    </row>
    <row r="314" spans="1:1" ht="15.75" customHeight="1">
      <c r="A314" s="34"/>
    </row>
    <row r="315" spans="1:1" ht="15.75" customHeight="1">
      <c r="A315" s="34"/>
    </row>
    <row r="316" spans="1:1" ht="15.75" customHeight="1">
      <c r="A316" s="34"/>
    </row>
    <row r="317" spans="1:1" ht="15.75" customHeight="1">
      <c r="A317" s="34"/>
    </row>
    <row r="318" spans="1:1" ht="15.75" customHeight="1">
      <c r="A318" s="34"/>
    </row>
    <row r="319" spans="1:1" ht="15.75" customHeight="1">
      <c r="A319" s="34"/>
    </row>
    <row r="320" spans="1:1" ht="15.75" customHeight="1">
      <c r="A320" s="34"/>
    </row>
    <row r="321" spans="1:1" ht="15.75" customHeight="1">
      <c r="A321" s="34"/>
    </row>
    <row r="322" spans="1:1" ht="15.75" customHeight="1">
      <c r="A322" s="34"/>
    </row>
    <row r="323" spans="1:1" ht="15.75" customHeight="1">
      <c r="A323" s="34"/>
    </row>
    <row r="324" spans="1:1" ht="15.75" customHeight="1">
      <c r="A324" s="34"/>
    </row>
    <row r="325" spans="1:1" ht="15.75" customHeight="1">
      <c r="A325" s="34"/>
    </row>
    <row r="326" spans="1:1" ht="15.75" customHeight="1">
      <c r="A326" s="34"/>
    </row>
    <row r="327" spans="1:1" ht="15.75" customHeight="1">
      <c r="A327" s="34"/>
    </row>
    <row r="328" spans="1:1" ht="15.75" customHeight="1">
      <c r="A328" s="34"/>
    </row>
    <row r="329" spans="1:1" ht="15.75" customHeight="1">
      <c r="A329" s="34"/>
    </row>
    <row r="330" spans="1:1" ht="15.75" customHeight="1">
      <c r="A330" s="34"/>
    </row>
    <row r="331" spans="1:1" ht="15.75" customHeight="1">
      <c r="A331" s="34"/>
    </row>
    <row r="332" spans="1:1" ht="15.75" customHeight="1">
      <c r="A332" s="34"/>
    </row>
    <row r="333" spans="1:1" ht="15.75" customHeight="1">
      <c r="A333" s="34"/>
    </row>
    <row r="334" spans="1:1" ht="15.75" customHeight="1">
      <c r="A334" s="34"/>
    </row>
    <row r="335" spans="1:1" ht="15.75" customHeight="1">
      <c r="A335" s="34"/>
    </row>
    <row r="336" spans="1:1" ht="15.75" customHeight="1">
      <c r="A336" s="34"/>
    </row>
    <row r="337" spans="1:1" ht="15.75" customHeight="1">
      <c r="A337" s="34"/>
    </row>
    <row r="338" spans="1:1" ht="15.75" customHeight="1">
      <c r="A338" s="34"/>
    </row>
    <row r="339" spans="1:1" ht="15.75" customHeight="1">
      <c r="A339" s="34"/>
    </row>
    <row r="340" spans="1:1" ht="15.75" customHeight="1">
      <c r="A340" s="34"/>
    </row>
    <row r="341" spans="1:1" ht="15.75" customHeight="1">
      <c r="A341" s="34"/>
    </row>
    <row r="342" spans="1:1" ht="15.75" customHeight="1">
      <c r="A342" s="34"/>
    </row>
    <row r="343" spans="1:1" ht="15.75" customHeight="1">
      <c r="A343" s="34"/>
    </row>
    <row r="344" spans="1:1" ht="15.75" customHeight="1">
      <c r="A344" s="34"/>
    </row>
    <row r="345" spans="1:1" ht="15.75" customHeight="1">
      <c r="A345" s="34"/>
    </row>
    <row r="346" spans="1:1" ht="15.75" customHeight="1">
      <c r="A346" s="34"/>
    </row>
    <row r="347" spans="1:1" ht="15.75" customHeight="1">
      <c r="A347" s="34"/>
    </row>
    <row r="348" spans="1:1" ht="15.75" customHeight="1">
      <c r="A348" s="34"/>
    </row>
    <row r="349" spans="1:1" ht="15.75" customHeight="1">
      <c r="A349" s="34"/>
    </row>
    <row r="350" spans="1:1" ht="15.75" customHeight="1">
      <c r="A350" s="34"/>
    </row>
    <row r="351" spans="1:1" ht="15.75" customHeight="1">
      <c r="A351" s="34"/>
    </row>
    <row r="352" spans="1:1" ht="15.75" customHeight="1">
      <c r="A352" s="34"/>
    </row>
    <row r="353" spans="1:1" ht="15.75" customHeight="1">
      <c r="A353" s="34"/>
    </row>
    <row r="354" spans="1:1" ht="15.75" customHeight="1">
      <c r="A354" s="34"/>
    </row>
    <row r="355" spans="1:1" ht="15.75" customHeight="1">
      <c r="A355" s="34"/>
    </row>
    <row r="356" spans="1:1" ht="15.75" customHeight="1">
      <c r="A356" s="34"/>
    </row>
    <row r="357" spans="1:1" ht="15.75" customHeight="1">
      <c r="A357" s="34"/>
    </row>
    <row r="358" spans="1:1" ht="15.75" customHeight="1">
      <c r="A358" s="34"/>
    </row>
    <row r="359" spans="1:1" ht="15.75" customHeight="1">
      <c r="A359" s="34"/>
    </row>
    <row r="360" spans="1:1" ht="15.75" customHeight="1">
      <c r="A360" s="34"/>
    </row>
    <row r="361" spans="1:1" ht="15.75" customHeight="1">
      <c r="A361" s="34"/>
    </row>
    <row r="362" spans="1:1" ht="15.75" customHeight="1">
      <c r="A362" s="34"/>
    </row>
    <row r="363" spans="1:1" ht="15.75" customHeight="1">
      <c r="A363" s="34"/>
    </row>
    <row r="364" spans="1:1" ht="15.75" customHeight="1">
      <c r="A364" s="34"/>
    </row>
    <row r="365" spans="1:1" ht="15.75" customHeight="1">
      <c r="A365" s="34"/>
    </row>
    <row r="366" spans="1:1" ht="15.75" customHeight="1">
      <c r="A366" s="34"/>
    </row>
    <row r="367" spans="1:1" ht="15.75" customHeight="1">
      <c r="A367" s="34"/>
    </row>
    <row r="368" spans="1:1" ht="15.75" customHeight="1">
      <c r="A368" s="34"/>
    </row>
    <row r="369" spans="1:1" ht="15.75" customHeight="1">
      <c r="A369" s="34"/>
    </row>
    <row r="370" spans="1:1" ht="15.75" customHeight="1">
      <c r="A370" s="34"/>
    </row>
    <row r="371" spans="1:1" ht="15.75" customHeight="1">
      <c r="A371" s="34"/>
    </row>
    <row r="372" spans="1:1" ht="15.75" customHeight="1">
      <c r="A372" s="34"/>
    </row>
    <row r="373" spans="1:1" ht="15.75" customHeight="1">
      <c r="A373" s="34"/>
    </row>
    <row r="374" spans="1:1" ht="15.75" customHeight="1">
      <c r="A374" s="34"/>
    </row>
    <row r="375" spans="1:1" ht="15.75" customHeight="1">
      <c r="A375" s="34"/>
    </row>
    <row r="376" spans="1:1" ht="15.75" customHeight="1">
      <c r="A376" s="34"/>
    </row>
    <row r="377" spans="1:1" ht="15.75" customHeight="1">
      <c r="A377" s="34"/>
    </row>
    <row r="378" spans="1:1" ht="15.75" customHeight="1">
      <c r="A378" s="34"/>
    </row>
    <row r="379" spans="1:1" ht="15.75" customHeight="1">
      <c r="A379" s="34"/>
    </row>
    <row r="380" spans="1:1" ht="15.75" customHeight="1">
      <c r="A380" s="34"/>
    </row>
    <row r="381" spans="1:1" ht="15.75" customHeight="1">
      <c r="A381" s="34"/>
    </row>
    <row r="382" spans="1:1" ht="15.75" customHeight="1">
      <c r="A382" s="34"/>
    </row>
    <row r="383" spans="1:1" ht="15.75" customHeight="1">
      <c r="A383" s="34"/>
    </row>
    <row r="384" spans="1:1" ht="15.75" customHeight="1">
      <c r="A384" s="34"/>
    </row>
    <row r="385" spans="1:1" ht="15.75" customHeight="1">
      <c r="A385" s="34"/>
    </row>
    <row r="386" spans="1:1" ht="15.75" customHeight="1">
      <c r="A386" s="34"/>
    </row>
    <row r="387" spans="1:1" ht="15.75" customHeight="1">
      <c r="A387" s="34"/>
    </row>
    <row r="388" spans="1:1" ht="15.75" customHeight="1">
      <c r="A388" s="34"/>
    </row>
    <row r="389" spans="1:1" ht="15.75" customHeight="1">
      <c r="A389" s="34"/>
    </row>
    <row r="390" spans="1:1" ht="15.75" customHeight="1">
      <c r="A390" s="34"/>
    </row>
    <row r="391" spans="1:1" ht="15.75" customHeight="1">
      <c r="A391" s="34"/>
    </row>
    <row r="392" spans="1:1" ht="15.75" customHeight="1">
      <c r="A392" s="34"/>
    </row>
    <row r="393" spans="1:1" ht="15.75" customHeight="1">
      <c r="A393" s="34"/>
    </row>
    <row r="394" spans="1:1" ht="15.75" customHeight="1">
      <c r="A394" s="34"/>
    </row>
    <row r="395" spans="1:1" ht="15.75" customHeight="1">
      <c r="A395" s="34"/>
    </row>
    <row r="396" spans="1:1" ht="15.75" customHeight="1">
      <c r="A396" s="34"/>
    </row>
    <row r="397" spans="1:1" ht="15.75" customHeight="1">
      <c r="A397" s="34"/>
    </row>
    <row r="398" spans="1:1" ht="15.75" customHeight="1">
      <c r="A398" s="34"/>
    </row>
    <row r="399" spans="1:1" ht="15.75" customHeight="1">
      <c r="A399" s="34"/>
    </row>
    <row r="400" spans="1:1" ht="15.75" customHeight="1">
      <c r="A400" s="34"/>
    </row>
    <row r="401" spans="1:1" ht="15.75" customHeight="1">
      <c r="A401" s="34"/>
    </row>
    <row r="402" spans="1:1" ht="15.75" customHeight="1">
      <c r="A402" s="34"/>
    </row>
    <row r="403" spans="1:1" ht="15.75" customHeight="1">
      <c r="A403" s="34"/>
    </row>
    <row r="404" spans="1:1" ht="15.75" customHeight="1">
      <c r="A404" s="34"/>
    </row>
    <row r="405" spans="1:1" ht="15.75" customHeight="1">
      <c r="A405" s="34"/>
    </row>
    <row r="406" spans="1:1" ht="15.75" customHeight="1">
      <c r="A406" s="34"/>
    </row>
    <row r="407" spans="1:1" ht="15.75" customHeight="1">
      <c r="A407" s="34"/>
    </row>
    <row r="408" spans="1:1" ht="15.75" customHeight="1">
      <c r="A408" s="34"/>
    </row>
    <row r="409" spans="1:1" ht="15.75" customHeight="1">
      <c r="A409" s="34"/>
    </row>
    <row r="410" spans="1:1" ht="15.75" customHeight="1">
      <c r="A410" s="34"/>
    </row>
    <row r="411" spans="1:1" ht="15.75" customHeight="1">
      <c r="A411" s="34"/>
    </row>
    <row r="412" spans="1:1" ht="15.75" customHeight="1">
      <c r="A412" s="34"/>
    </row>
    <row r="413" spans="1:1" ht="15.75" customHeight="1">
      <c r="A413" s="34"/>
    </row>
    <row r="414" spans="1:1" ht="15.75" customHeight="1">
      <c r="A414" s="34"/>
    </row>
    <row r="415" spans="1:1" ht="15.75" customHeight="1">
      <c r="A415" s="34"/>
    </row>
    <row r="416" spans="1:1" ht="15.75" customHeight="1">
      <c r="A416" s="34"/>
    </row>
    <row r="417" spans="1:1" ht="15.75" customHeight="1">
      <c r="A417" s="34"/>
    </row>
    <row r="418" spans="1:1" ht="15.75" customHeight="1">
      <c r="A418" s="34"/>
    </row>
    <row r="419" spans="1:1" ht="15.75" customHeight="1">
      <c r="A419" s="34"/>
    </row>
    <row r="420" spans="1:1" ht="15.75" customHeight="1">
      <c r="A420" s="34"/>
    </row>
    <row r="421" spans="1:1" ht="15.75" customHeight="1">
      <c r="A421" s="34"/>
    </row>
    <row r="422" spans="1:1" ht="15.75" customHeight="1">
      <c r="A422" s="34"/>
    </row>
    <row r="423" spans="1:1" ht="15.75" customHeight="1">
      <c r="A423" s="34"/>
    </row>
    <row r="424" spans="1:1" ht="15.75" customHeight="1">
      <c r="A424" s="34"/>
    </row>
    <row r="425" spans="1:1" ht="15.75" customHeight="1">
      <c r="A425" s="34"/>
    </row>
    <row r="426" spans="1:1" ht="15.75" customHeight="1">
      <c r="A426" s="34"/>
    </row>
    <row r="427" spans="1:1" ht="15.75" customHeight="1">
      <c r="A427" s="34"/>
    </row>
    <row r="428" spans="1:1" ht="15.75" customHeight="1">
      <c r="A428" s="34"/>
    </row>
    <row r="429" spans="1:1" ht="15.75" customHeight="1">
      <c r="A429" s="34"/>
    </row>
    <row r="430" spans="1:1" ht="15.75" customHeight="1">
      <c r="A430" s="34"/>
    </row>
    <row r="431" spans="1:1" ht="15.75" customHeight="1">
      <c r="A431" s="34"/>
    </row>
    <row r="432" spans="1:1" ht="15.75" customHeight="1">
      <c r="A432" s="34"/>
    </row>
    <row r="433" spans="1:1" ht="15.75" customHeight="1">
      <c r="A433" s="34"/>
    </row>
    <row r="434" spans="1:1" ht="15.75" customHeight="1">
      <c r="A434" s="34"/>
    </row>
    <row r="435" spans="1:1" ht="15.75" customHeight="1">
      <c r="A435" s="34"/>
    </row>
    <row r="436" spans="1:1" ht="15.75" customHeight="1">
      <c r="A436" s="34"/>
    </row>
    <row r="437" spans="1:1" ht="15.75" customHeight="1">
      <c r="A437" s="34"/>
    </row>
    <row r="438" spans="1:1" ht="15.75" customHeight="1">
      <c r="A438" s="34"/>
    </row>
    <row r="439" spans="1:1" ht="15.75" customHeight="1">
      <c r="A439" s="34"/>
    </row>
    <row r="440" spans="1:1" ht="15.75" customHeight="1">
      <c r="A440" s="34"/>
    </row>
    <row r="441" spans="1:1" ht="15.75" customHeight="1">
      <c r="A441" s="34"/>
    </row>
    <row r="442" spans="1:1" ht="15.75" customHeight="1">
      <c r="A442" s="34"/>
    </row>
    <row r="443" spans="1:1" ht="15.75" customHeight="1">
      <c r="A443" s="34"/>
    </row>
    <row r="444" spans="1:1" ht="15.75" customHeight="1">
      <c r="A444" s="34"/>
    </row>
    <row r="445" spans="1:1" ht="15.75" customHeight="1">
      <c r="A445" s="34"/>
    </row>
    <row r="446" spans="1:1" ht="15.75" customHeight="1">
      <c r="A446" s="34"/>
    </row>
    <row r="447" spans="1:1" ht="15.75" customHeight="1">
      <c r="A447" s="34"/>
    </row>
    <row r="448" spans="1:1" ht="15.75" customHeight="1">
      <c r="A448" s="34"/>
    </row>
    <row r="449" spans="1:1" ht="15.75" customHeight="1">
      <c r="A449" s="34"/>
    </row>
    <row r="450" spans="1:1" ht="15.75" customHeight="1">
      <c r="A450" s="34"/>
    </row>
    <row r="451" spans="1:1" ht="15.75" customHeight="1">
      <c r="A451" s="34"/>
    </row>
    <row r="452" spans="1:1" ht="15.75" customHeight="1">
      <c r="A452" s="34"/>
    </row>
    <row r="453" spans="1:1" ht="15.75" customHeight="1">
      <c r="A453" s="34"/>
    </row>
    <row r="454" spans="1:1" ht="15.75" customHeight="1">
      <c r="A454" s="34"/>
    </row>
    <row r="455" spans="1:1" ht="15.75" customHeight="1">
      <c r="A455" s="34"/>
    </row>
    <row r="456" spans="1:1" ht="15.75" customHeight="1">
      <c r="A456" s="34"/>
    </row>
    <row r="457" spans="1:1" ht="15.75" customHeight="1">
      <c r="A457" s="34"/>
    </row>
    <row r="458" spans="1:1" ht="15.75" customHeight="1">
      <c r="A458" s="34"/>
    </row>
    <row r="459" spans="1:1" ht="15.75" customHeight="1">
      <c r="A459" s="34"/>
    </row>
    <row r="460" spans="1:1" ht="15.75" customHeight="1">
      <c r="A460" s="34"/>
    </row>
    <row r="461" spans="1:1" ht="15.75" customHeight="1">
      <c r="A461" s="34"/>
    </row>
    <row r="462" spans="1:1" ht="15.75" customHeight="1">
      <c r="A462" s="34"/>
    </row>
    <row r="463" spans="1:1" ht="15.75" customHeight="1">
      <c r="A463" s="34"/>
    </row>
    <row r="464" spans="1:1" ht="15.75" customHeight="1">
      <c r="A464" s="34"/>
    </row>
    <row r="465" spans="1:1" ht="15.75" customHeight="1">
      <c r="A465" s="34"/>
    </row>
    <row r="466" spans="1:1" ht="15.75" customHeight="1">
      <c r="A466" s="34"/>
    </row>
    <row r="467" spans="1:1" ht="15.75" customHeight="1">
      <c r="A467" s="34"/>
    </row>
    <row r="468" spans="1:1" ht="15.75" customHeight="1">
      <c r="A468" s="34"/>
    </row>
    <row r="469" spans="1:1" ht="15.75" customHeight="1">
      <c r="A469" s="34"/>
    </row>
    <row r="470" spans="1:1" ht="15.75" customHeight="1">
      <c r="A470" s="34"/>
    </row>
    <row r="471" spans="1:1" ht="15.75" customHeight="1">
      <c r="A471" s="34"/>
    </row>
    <row r="472" spans="1:1" ht="15.75" customHeight="1">
      <c r="A472" s="34"/>
    </row>
    <row r="473" spans="1:1" ht="15.75" customHeight="1">
      <c r="A473" s="34"/>
    </row>
    <row r="474" spans="1:1" ht="15.75" customHeight="1">
      <c r="A474" s="34"/>
    </row>
    <row r="475" spans="1:1" ht="15.75" customHeight="1">
      <c r="A475" s="34"/>
    </row>
    <row r="476" spans="1:1" ht="15.75" customHeight="1">
      <c r="A476" s="34"/>
    </row>
    <row r="477" spans="1:1" ht="15.75" customHeight="1">
      <c r="A477" s="34"/>
    </row>
    <row r="478" spans="1:1" ht="15.75" customHeight="1">
      <c r="A478" s="34"/>
    </row>
    <row r="479" spans="1:1" ht="15.75" customHeight="1">
      <c r="A479" s="34"/>
    </row>
    <row r="480" spans="1:1" ht="15.75" customHeight="1">
      <c r="A480" s="34"/>
    </row>
    <row r="481" spans="1:1" ht="15.75" customHeight="1">
      <c r="A481" s="34"/>
    </row>
    <row r="482" spans="1:1" ht="15.75" customHeight="1">
      <c r="A482" s="34"/>
    </row>
    <row r="483" spans="1:1" ht="15.75" customHeight="1">
      <c r="A483" s="34"/>
    </row>
    <row r="484" spans="1:1" ht="15.75" customHeight="1">
      <c r="A484" s="34"/>
    </row>
    <row r="485" spans="1:1" ht="15.75" customHeight="1">
      <c r="A485" s="34"/>
    </row>
    <row r="486" spans="1:1" ht="15.75" customHeight="1">
      <c r="A486" s="34"/>
    </row>
    <row r="487" spans="1:1" ht="15.75" customHeight="1">
      <c r="A487" s="34"/>
    </row>
    <row r="488" spans="1:1" ht="15.75" customHeight="1">
      <c r="A488" s="34"/>
    </row>
    <row r="489" spans="1:1" ht="15.75" customHeight="1">
      <c r="A489" s="34"/>
    </row>
    <row r="490" spans="1:1" ht="15.75" customHeight="1">
      <c r="A490" s="34"/>
    </row>
    <row r="491" spans="1:1" ht="15.75" customHeight="1">
      <c r="A491" s="34"/>
    </row>
    <row r="492" spans="1:1" ht="15.75" customHeight="1">
      <c r="A492" s="34"/>
    </row>
    <row r="493" spans="1:1" ht="15.75" customHeight="1">
      <c r="A493" s="34"/>
    </row>
    <row r="494" spans="1:1" ht="15.75" customHeight="1">
      <c r="A494" s="34"/>
    </row>
    <row r="495" spans="1:1" ht="15.75" customHeight="1">
      <c r="A495" s="34"/>
    </row>
    <row r="496" spans="1:1" ht="15.75" customHeight="1">
      <c r="A496" s="34"/>
    </row>
    <row r="497" spans="1:1" ht="15.75" customHeight="1">
      <c r="A497" s="34"/>
    </row>
    <row r="498" spans="1:1" ht="15.75" customHeight="1">
      <c r="A498" s="34"/>
    </row>
    <row r="499" spans="1:1" ht="15.75" customHeight="1">
      <c r="A499" s="34"/>
    </row>
    <row r="500" spans="1:1" ht="15.75" customHeight="1">
      <c r="A500" s="34"/>
    </row>
    <row r="501" spans="1:1" ht="15.75" customHeight="1">
      <c r="A501" s="34"/>
    </row>
    <row r="502" spans="1:1" ht="15.75" customHeight="1">
      <c r="A502" s="34"/>
    </row>
    <row r="503" spans="1:1" ht="15.75" customHeight="1">
      <c r="A503" s="34"/>
    </row>
    <row r="504" spans="1:1" ht="15.75" customHeight="1">
      <c r="A504" s="34"/>
    </row>
    <row r="505" spans="1:1" ht="15.75" customHeight="1">
      <c r="A505" s="34"/>
    </row>
    <row r="506" spans="1:1" ht="15.75" customHeight="1">
      <c r="A506" s="34"/>
    </row>
    <row r="507" spans="1:1" ht="15.75" customHeight="1">
      <c r="A507" s="34"/>
    </row>
    <row r="508" spans="1:1" ht="15.75" customHeight="1">
      <c r="A508" s="34"/>
    </row>
    <row r="509" spans="1:1" ht="15.75" customHeight="1">
      <c r="A509" s="34"/>
    </row>
    <row r="510" spans="1:1" ht="15.75" customHeight="1">
      <c r="A510" s="34"/>
    </row>
    <row r="511" spans="1:1" ht="15.75" customHeight="1">
      <c r="A511" s="34"/>
    </row>
    <row r="512" spans="1:1" ht="15.75" customHeight="1">
      <c r="A512" s="34"/>
    </row>
    <row r="513" spans="1:1" ht="15.75" customHeight="1">
      <c r="A513" s="34"/>
    </row>
    <row r="514" spans="1:1" ht="15.75" customHeight="1">
      <c r="A514" s="34"/>
    </row>
    <row r="515" spans="1:1" ht="15.75" customHeight="1">
      <c r="A515" s="34"/>
    </row>
    <row r="516" spans="1:1" ht="15.75" customHeight="1">
      <c r="A516" s="34"/>
    </row>
    <row r="517" spans="1:1" ht="15.75" customHeight="1">
      <c r="A517" s="34"/>
    </row>
    <row r="518" spans="1:1" ht="15.75" customHeight="1">
      <c r="A518" s="34"/>
    </row>
    <row r="519" spans="1:1" ht="15.75" customHeight="1">
      <c r="A519" s="34"/>
    </row>
    <row r="520" spans="1:1" ht="15.75" customHeight="1">
      <c r="A520" s="34"/>
    </row>
    <row r="521" spans="1:1" ht="15.75" customHeight="1">
      <c r="A521" s="34"/>
    </row>
    <row r="522" spans="1:1" ht="15.75" customHeight="1">
      <c r="A522" s="34"/>
    </row>
    <row r="523" spans="1:1" ht="15.75" customHeight="1">
      <c r="A523" s="34"/>
    </row>
    <row r="524" spans="1:1" ht="15.75" customHeight="1">
      <c r="A524" s="34"/>
    </row>
    <row r="525" spans="1:1" ht="15.75" customHeight="1">
      <c r="A525" s="34"/>
    </row>
    <row r="526" spans="1:1" ht="15.75" customHeight="1">
      <c r="A526" s="34"/>
    </row>
    <row r="527" spans="1:1" ht="15.75" customHeight="1">
      <c r="A527" s="34"/>
    </row>
    <row r="528" spans="1:1" ht="15.75" customHeight="1">
      <c r="A528" s="34"/>
    </row>
    <row r="529" spans="1:1" ht="15.75" customHeight="1">
      <c r="A529" s="34"/>
    </row>
    <row r="530" spans="1:1" ht="15.75" customHeight="1">
      <c r="A530" s="34"/>
    </row>
    <row r="531" spans="1:1" ht="15.75" customHeight="1">
      <c r="A531" s="34"/>
    </row>
    <row r="532" spans="1:1" ht="15.75" customHeight="1">
      <c r="A532" s="34"/>
    </row>
    <row r="533" spans="1:1" ht="15.75" customHeight="1">
      <c r="A533" s="34"/>
    </row>
    <row r="534" spans="1:1" ht="15.75" customHeight="1">
      <c r="A534" s="34"/>
    </row>
    <row r="535" spans="1:1" ht="15.75" customHeight="1">
      <c r="A535" s="34"/>
    </row>
    <row r="536" spans="1:1" ht="15.75" customHeight="1">
      <c r="A536" s="34"/>
    </row>
    <row r="537" spans="1:1" ht="15.75" customHeight="1">
      <c r="A537" s="34"/>
    </row>
    <row r="538" spans="1:1" ht="15.75" customHeight="1">
      <c r="A538" s="34"/>
    </row>
    <row r="539" spans="1:1" ht="15.75" customHeight="1">
      <c r="A539" s="34"/>
    </row>
    <row r="540" spans="1:1" ht="15.75" customHeight="1">
      <c r="A540" s="34"/>
    </row>
    <row r="541" spans="1:1" ht="15.75" customHeight="1">
      <c r="A541" s="34"/>
    </row>
    <row r="542" spans="1:1" ht="15.75" customHeight="1">
      <c r="A542" s="34"/>
    </row>
    <row r="543" spans="1:1" ht="15.75" customHeight="1">
      <c r="A543" s="34"/>
    </row>
    <row r="544" spans="1:1" ht="15.75" customHeight="1">
      <c r="A544" s="34"/>
    </row>
    <row r="545" spans="1:1" ht="15.75" customHeight="1">
      <c r="A545" s="34"/>
    </row>
    <row r="546" spans="1:1" ht="15.75" customHeight="1">
      <c r="A546" s="34"/>
    </row>
    <row r="547" spans="1:1" ht="15.75" customHeight="1">
      <c r="A547" s="34"/>
    </row>
    <row r="548" spans="1:1" ht="15.75" customHeight="1">
      <c r="A548" s="34"/>
    </row>
    <row r="549" spans="1:1" ht="15.75" customHeight="1">
      <c r="A549" s="34"/>
    </row>
    <row r="550" spans="1:1" ht="15.75" customHeight="1">
      <c r="A550" s="34"/>
    </row>
    <row r="551" spans="1:1" ht="15.75" customHeight="1">
      <c r="A551" s="34"/>
    </row>
    <row r="552" spans="1:1" ht="15.75" customHeight="1">
      <c r="A552" s="34"/>
    </row>
    <row r="553" spans="1:1" ht="15.75" customHeight="1">
      <c r="A553" s="34"/>
    </row>
    <row r="554" spans="1:1" ht="15.75" customHeight="1">
      <c r="A554" s="34"/>
    </row>
    <row r="555" spans="1:1" ht="15.75" customHeight="1">
      <c r="A555" s="34"/>
    </row>
    <row r="556" spans="1:1" ht="15.75" customHeight="1">
      <c r="A556" s="34"/>
    </row>
    <row r="557" spans="1:1" ht="15.75" customHeight="1">
      <c r="A557" s="34"/>
    </row>
    <row r="558" spans="1:1" ht="15.75" customHeight="1">
      <c r="A558" s="34"/>
    </row>
    <row r="559" spans="1:1" ht="15.75" customHeight="1">
      <c r="A559" s="34"/>
    </row>
    <row r="560" spans="1:1" ht="15.75" customHeight="1">
      <c r="A560" s="34"/>
    </row>
    <row r="561" spans="1:1" ht="15.75" customHeight="1">
      <c r="A561" s="34"/>
    </row>
    <row r="562" spans="1:1" ht="15.75" customHeight="1">
      <c r="A562" s="34"/>
    </row>
    <row r="563" spans="1:1" ht="15.75" customHeight="1">
      <c r="A563" s="34"/>
    </row>
    <row r="564" spans="1:1" ht="15.75" customHeight="1">
      <c r="A564" s="34"/>
    </row>
    <row r="565" spans="1:1" ht="15.75" customHeight="1">
      <c r="A565" s="34"/>
    </row>
    <row r="566" spans="1:1" ht="15.75" customHeight="1">
      <c r="A566" s="34"/>
    </row>
    <row r="567" spans="1:1" ht="15.75" customHeight="1">
      <c r="A567" s="34"/>
    </row>
    <row r="568" spans="1:1" ht="15.75" customHeight="1">
      <c r="A568" s="34"/>
    </row>
    <row r="569" spans="1:1" ht="15.75" customHeight="1">
      <c r="A569" s="34"/>
    </row>
    <row r="570" spans="1:1" ht="15.75" customHeight="1">
      <c r="A570" s="34"/>
    </row>
    <row r="571" spans="1:1" ht="15.75" customHeight="1">
      <c r="A571" s="34"/>
    </row>
    <row r="572" spans="1:1" ht="15.75" customHeight="1">
      <c r="A572" s="34"/>
    </row>
    <row r="573" spans="1:1" ht="15.75" customHeight="1">
      <c r="A573" s="34"/>
    </row>
    <row r="574" spans="1:1" ht="15.75" customHeight="1">
      <c r="A574" s="34"/>
    </row>
    <row r="575" spans="1:1" ht="15.75" customHeight="1">
      <c r="A575" s="34"/>
    </row>
    <row r="576" spans="1:1" ht="15.75" customHeight="1">
      <c r="A576" s="34"/>
    </row>
    <row r="577" spans="1:1" ht="15.75" customHeight="1">
      <c r="A577" s="34"/>
    </row>
    <row r="578" spans="1:1" ht="15.75" customHeight="1">
      <c r="A578" s="34"/>
    </row>
    <row r="579" spans="1:1" ht="15.75" customHeight="1">
      <c r="A579" s="34"/>
    </row>
    <row r="580" spans="1:1" ht="15.75" customHeight="1">
      <c r="A580" s="34"/>
    </row>
    <row r="581" spans="1:1" ht="15.75" customHeight="1">
      <c r="A581" s="34"/>
    </row>
    <row r="582" spans="1:1" ht="15.75" customHeight="1">
      <c r="A582" s="34"/>
    </row>
    <row r="583" spans="1:1" ht="15.75" customHeight="1">
      <c r="A583" s="34"/>
    </row>
    <row r="584" spans="1:1" ht="15.75" customHeight="1">
      <c r="A584" s="34"/>
    </row>
    <row r="585" spans="1:1" ht="15.75" customHeight="1">
      <c r="A585" s="34"/>
    </row>
    <row r="586" spans="1:1" ht="15.75" customHeight="1">
      <c r="A586" s="34"/>
    </row>
    <row r="587" spans="1:1" ht="15.75" customHeight="1">
      <c r="A587" s="34"/>
    </row>
    <row r="588" spans="1:1" ht="15.75" customHeight="1">
      <c r="A588" s="34"/>
    </row>
    <row r="589" spans="1:1" ht="15.75" customHeight="1">
      <c r="A589" s="34"/>
    </row>
    <row r="590" spans="1:1" ht="15.75" customHeight="1">
      <c r="A590" s="34"/>
    </row>
    <row r="591" spans="1:1" ht="15.75" customHeight="1">
      <c r="A591" s="34"/>
    </row>
    <row r="592" spans="1:1" ht="15.75" customHeight="1">
      <c r="A592" s="34"/>
    </row>
    <row r="593" spans="1:1" ht="15.75" customHeight="1">
      <c r="A593" s="34"/>
    </row>
    <row r="594" spans="1:1" ht="15.75" customHeight="1">
      <c r="A594" s="34"/>
    </row>
    <row r="595" spans="1:1" ht="15.75" customHeight="1">
      <c r="A595" s="34"/>
    </row>
    <row r="596" spans="1:1" ht="15.75" customHeight="1">
      <c r="A596" s="34"/>
    </row>
    <row r="597" spans="1:1" ht="15.75" customHeight="1">
      <c r="A597" s="34"/>
    </row>
    <row r="598" spans="1:1" ht="15.75" customHeight="1">
      <c r="A598" s="34"/>
    </row>
    <row r="599" spans="1:1" ht="15.75" customHeight="1">
      <c r="A599" s="34"/>
    </row>
    <row r="600" spans="1:1" ht="15.75" customHeight="1">
      <c r="A600" s="34"/>
    </row>
    <row r="601" spans="1:1" ht="15.75" customHeight="1">
      <c r="A601" s="34"/>
    </row>
    <row r="602" spans="1:1" ht="15.75" customHeight="1">
      <c r="A602" s="34"/>
    </row>
    <row r="603" spans="1:1" ht="15.75" customHeight="1">
      <c r="A603" s="34"/>
    </row>
    <row r="604" spans="1:1" ht="15.75" customHeight="1">
      <c r="A604" s="34"/>
    </row>
    <row r="605" spans="1:1" ht="15.75" customHeight="1">
      <c r="A605" s="34"/>
    </row>
    <row r="606" spans="1:1" ht="15.75" customHeight="1">
      <c r="A606" s="34"/>
    </row>
    <row r="607" spans="1:1" ht="15.75" customHeight="1">
      <c r="A607" s="34"/>
    </row>
    <row r="608" spans="1:1" ht="15.75" customHeight="1">
      <c r="A608" s="34"/>
    </row>
    <row r="609" spans="1:1" ht="15.75" customHeight="1">
      <c r="A609" s="34"/>
    </row>
    <row r="610" spans="1:1" ht="15.75" customHeight="1">
      <c r="A610" s="34"/>
    </row>
    <row r="611" spans="1:1" ht="15.75" customHeight="1">
      <c r="A611" s="34"/>
    </row>
    <row r="612" spans="1:1" ht="15.75" customHeight="1">
      <c r="A612" s="34"/>
    </row>
    <row r="613" spans="1:1" ht="15.75" customHeight="1">
      <c r="A613" s="34"/>
    </row>
    <row r="614" spans="1:1" ht="15.75" customHeight="1">
      <c r="A614" s="34"/>
    </row>
    <row r="615" spans="1:1" ht="15.75" customHeight="1">
      <c r="A615" s="34"/>
    </row>
    <row r="616" spans="1:1" ht="15.75" customHeight="1">
      <c r="A616" s="34"/>
    </row>
    <row r="617" spans="1:1" ht="15.75" customHeight="1">
      <c r="A617" s="34"/>
    </row>
    <row r="618" spans="1:1" ht="15.75" customHeight="1">
      <c r="A618" s="34"/>
    </row>
    <row r="619" spans="1:1" ht="15.75" customHeight="1">
      <c r="A619" s="34"/>
    </row>
    <row r="620" spans="1:1" ht="15.75" customHeight="1">
      <c r="A620" s="34"/>
    </row>
    <row r="621" spans="1:1" ht="15.75" customHeight="1">
      <c r="A621" s="34"/>
    </row>
    <row r="622" spans="1:1" ht="15.75" customHeight="1">
      <c r="A622" s="34"/>
    </row>
    <row r="623" spans="1:1" ht="15.75" customHeight="1">
      <c r="A623" s="34"/>
    </row>
    <row r="624" spans="1:1" ht="15.75" customHeight="1">
      <c r="A624" s="34"/>
    </row>
    <row r="625" spans="1:1" ht="15.75" customHeight="1">
      <c r="A625" s="34"/>
    </row>
    <row r="626" spans="1:1" ht="15.75" customHeight="1">
      <c r="A626" s="34"/>
    </row>
    <row r="627" spans="1:1" ht="15.75" customHeight="1">
      <c r="A627" s="34"/>
    </row>
    <row r="628" spans="1:1" ht="15.75" customHeight="1">
      <c r="A628" s="34"/>
    </row>
    <row r="629" spans="1:1" ht="15.75" customHeight="1">
      <c r="A629" s="34"/>
    </row>
    <row r="630" spans="1:1" ht="15.75" customHeight="1">
      <c r="A630" s="34"/>
    </row>
    <row r="631" spans="1:1" ht="15.75" customHeight="1">
      <c r="A631" s="34"/>
    </row>
    <row r="632" spans="1:1" ht="15.75" customHeight="1">
      <c r="A632" s="34"/>
    </row>
    <row r="633" spans="1:1" ht="15.75" customHeight="1">
      <c r="A633" s="34"/>
    </row>
    <row r="634" spans="1:1" ht="15.75" customHeight="1">
      <c r="A634" s="34"/>
    </row>
    <row r="635" spans="1:1" ht="15.75" customHeight="1">
      <c r="A635" s="34"/>
    </row>
    <row r="636" spans="1:1" ht="15.75" customHeight="1">
      <c r="A636" s="34"/>
    </row>
    <row r="637" spans="1:1" ht="15.75" customHeight="1">
      <c r="A637" s="34"/>
    </row>
    <row r="638" spans="1:1" ht="15.75" customHeight="1">
      <c r="A638" s="34"/>
    </row>
    <row r="639" spans="1:1" ht="15.75" customHeight="1">
      <c r="A639" s="34"/>
    </row>
    <row r="640" spans="1:1" ht="15.75" customHeight="1">
      <c r="A640" s="34"/>
    </row>
    <row r="641" spans="1:1" ht="15.75" customHeight="1">
      <c r="A641" s="34"/>
    </row>
    <row r="642" spans="1:1" ht="15.75" customHeight="1">
      <c r="A642" s="34"/>
    </row>
    <row r="643" spans="1:1" ht="15.75" customHeight="1">
      <c r="A643" s="34"/>
    </row>
    <row r="644" spans="1:1" ht="15.75" customHeight="1">
      <c r="A644" s="34"/>
    </row>
    <row r="645" spans="1:1" ht="15.75" customHeight="1">
      <c r="A645" s="34"/>
    </row>
    <row r="646" spans="1:1" ht="15.75" customHeight="1">
      <c r="A646" s="34"/>
    </row>
    <row r="647" spans="1:1" ht="15.75" customHeight="1">
      <c r="A647" s="34"/>
    </row>
    <row r="648" spans="1:1" ht="15.75" customHeight="1">
      <c r="A648" s="34"/>
    </row>
    <row r="649" spans="1:1" ht="15.75" customHeight="1">
      <c r="A649" s="34"/>
    </row>
    <row r="650" spans="1:1" ht="15.75" customHeight="1">
      <c r="A650" s="34"/>
    </row>
    <row r="651" spans="1:1" ht="15.75" customHeight="1">
      <c r="A651" s="34"/>
    </row>
    <row r="652" spans="1:1" ht="15.75" customHeight="1">
      <c r="A652" s="34"/>
    </row>
    <row r="653" spans="1:1" ht="15.75" customHeight="1">
      <c r="A653" s="34"/>
    </row>
    <row r="654" spans="1:1" ht="15.75" customHeight="1">
      <c r="A654" s="34"/>
    </row>
    <row r="655" spans="1:1" ht="15.75" customHeight="1">
      <c r="A655" s="34"/>
    </row>
    <row r="656" spans="1:1" ht="15.75" customHeight="1">
      <c r="A656" s="34"/>
    </row>
    <row r="657" spans="1:1" ht="15.75" customHeight="1">
      <c r="A657" s="34"/>
    </row>
    <row r="658" spans="1:1" ht="15.75" customHeight="1">
      <c r="A658" s="34"/>
    </row>
    <row r="659" spans="1:1" ht="15.75" customHeight="1">
      <c r="A659" s="34"/>
    </row>
    <row r="660" spans="1:1" ht="15.75" customHeight="1">
      <c r="A660" s="34"/>
    </row>
    <row r="661" spans="1:1" ht="15.75" customHeight="1">
      <c r="A661" s="34"/>
    </row>
    <row r="662" spans="1:1" ht="15.75" customHeight="1">
      <c r="A662" s="34"/>
    </row>
    <row r="663" spans="1:1" ht="15.75" customHeight="1">
      <c r="A663" s="34"/>
    </row>
    <row r="664" spans="1:1" ht="15.75" customHeight="1">
      <c r="A664" s="34"/>
    </row>
    <row r="665" spans="1:1" ht="15.75" customHeight="1">
      <c r="A665" s="34"/>
    </row>
    <row r="666" spans="1:1" ht="15.75" customHeight="1">
      <c r="A666" s="34"/>
    </row>
    <row r="667" spans="1:1" ht="15.75" customHeight="1">
      <c r="A667" s="34"/>
    </row>
    <row r="668" spans="1:1" ht="15.75" customHeight="1">
      <c r="A668" s="34"/>
    </row>
    <row r="669" spans="1:1" ht="15.75" customHeight="1">
      <c r="A669" s="34"/>
    </row>
    <row r="670" spans="1:1" ht="15.75" customHeight="1">
      <c r="A670" s="34"/>
    </row>
    <row r="671" spans="1:1" ht="15.75" customHeight="1">
      <c r="A671" s="34"/>
    </row>
    <row r="672" spans="1:1" ht="15.75" customHeight="1">
      <c r="A672" s="34"/>
    </row>
    <row r="673" spans="1:1" ht="15.75" customHeight="1">
      <c r="A673" s="34"/>
    </row>
    <row r="674" spans="1:1" ht="15.75" customHeight="1">
      <c r="A674" s="34"/>
    </row>
    <row r="675" spans="1:1" ht="15.75" customHeight="1">
      <c r="A675" s="34"/>
    </row>
    <row r="676" spans="1:1" ht="15.75" customHeight="1">
      <c r="A676" s="34"/>
    </row>
    <row r="677" spans="1:1" ht="15.75" customHeight="1">
      <c r="A677" s="34"/>
    </row>
    <row r="678" spans="1:1" ht="15.75" customHeight="1">
      <c r="A678" s="34"/>
    </row>
    <row r="679" spans="1:1" ht="15.75" customHeight="1">
      <c r="A679" s="34"/>
    </row>
    <row r="680" spans="1:1" ht="15.75" customHeight="1">
      <c r="A680" s="34"/>
    </row>
    <row r="681" spans="1:1" ht="15.75" customHeight="1">
      <c r="A681" s="34"/>
    </row>
    <row r="682" spans="1:1" ht="15.75" customHeight="1">
      <c r="A682" s="34"/>
    </row>
    <row r="683" spans="1:1" ht="15.75" customHeight="1">
      <c r="A683" s="34"/>
    </row>
    <row r="684" spans="1:1" ht="15.75" customHeight="1">
      <c r="A684" s="34"/>
    </row>
    <row r="685" spans="1:1" ht="15.75" customHeight="1">
      <c r="A685" s="34"/>
    </row>
    <row r="686" spans="1:1" ht="15.75" customHeight="1">
      <c r="A686" s="34"/>
    </row>
    <row r="687" spans="1:1" ht="15.75" customHeight="1">
      <c r="A687" s="34"/>
    </row>
    <row r="688" spans="1:1" ht="15.75" customHeight="1">
      <c r="A688" s="34"/>
    </row>
    <row r="689" spans="1:1" ht="15.75" customHeight="1">
      <c r="A689" s="34"/>
    </row>
    <row r="690" spans="1:1" ht="15.75" customHeight="1">
      <c r="A690" s="34"/>
    </row>
    <row r="691" spans="1:1" ht="15.75" customHeight="1">
      <c r="A691" s="34"/>
    </row>
    <row r="692" spans="1:1" ht="15.75" customHeight="1">
      <c r="A692" s="34"/>
    </row>
    <row r="693" spans="1:1" ht="15.75" customHeight="1">
      <c r="A693" s="34"/>
    </row>
    <row r="694" spans="1:1" ht="15.75" customHeight="1">
      <c r="A694" s="34"/>
    </row>
    <row r="695" spans="1:1" ht="15.75" customHeight="1">
      <c r="A695" s="34"/>
    </row>
    <row r="696" spans="1:1" ht="15.75" customHeight="1">
      <c r="A696" s="34"/>
    </row>
    <row r="697" spans="1:1" ht="15.75" customHeight="1">
      <c r="A697" s="34"/>
    </row>
    <row r="698" spans="1:1" ht="15.75" customHeight="1">
      <c r="A698" s="34"/>
    </row>
    <row r="699" spans="1:1" ht="15.75" customHeight="1">
      <c r="A699" s="34"/>
    </row>
    <row r="700" spans="1:1" ht="15.75" customHeight="1">
      <c r="A700" s="34"/>
    </row>
    <row r="701" spans="1:1" ht="15.75" customHeight="1">
      <c r="A701" s="34"/>
    </row>
    <row r="702" spans="1:1" ht="15.75" customHeight="1">
      <c r="A702" s="34"/>
    </row>
    <row r="703" spans="1:1" ht="15.75" customHeight="1">
      <c r="A703" s="34"/>
    </row>
    <row r="704" spans="1:1" ht="15.75" customHeight="1">
      <c r="A704" s="34"/>
    </row>
    <row r="705" spans="1:1" ht="15.75" customHeight="1">
      <c r="A705" s="34"/>
    </row>
    <row r="706" spans="1:1" ht="15.75" customHeight="1">
      <c r="A706" s="34"/>
    </row>
    <row r="707" spans="1:1" ht="15.75" customHeight="1">
      <c r="A707" s="34"/>
    </row>
    <row r="708" spans="1:1" ht="15.75" customHeight="1">
      <c r="A708" s="34"/>
    </row>
    <row r="709" spans="1:1" ht="15.75" customHeight="1">
      <c r="A709" s="34"/>
    </row>
    <row r="710" spans="1:1" ht="15.75" customHeight="1">
      <c r="A710" s="34"/>
    </row>
    <row r="711" spans="1:1" ht="15.75" customHeight="1">
      <c r="A711" s="34"/>
    </row>
    <row r="712" spans="1:1" ht="15.75" customHeight="1">
      <c r="A712" s="34"/>
    </row>
    <row r="713" spans="1:1" ht="15.75" customHeight="1">
      <c r="A713" s="34"/>
    </row>
    <row r="714" spans="1:1" ht="15.75" customHeight="1">
      <c r="A714" s="34"/>
    </row>
    <row r="715" spans="1:1" ht="15.75" customHeight="1">
      <c r="A715" s="34"/>
    </row>
    <row r="716" spans="1:1" ht="15.75" customHeight="1">
      <c r="A716" s="34"/>
    </row>
    <row r="717" spans="1:1" ht="15.75" customHeight="1">
      <c r="A717" s="34"/>
    </row>
    <row r="718" spans="1:1" ht="15.75" customHeight="1">
      <c r="A718" s="34"/>
    </row>
    <row r="719" spans="1:1" ht="15.75" customHeight="1">
      <c r="A719" s="34"/>
    </row>
    <row r="720" spans="1:1" ht="15.75" customHeight="1">
      <c r="A720" s="34"/>
    </row>
    <row r="721" spans="1:1" ht="15.75" customHeight="1">
      <c r="A721" s="34"/>
    </row>
    <row r="722" spans="1:1" ht="15.75" customHeight="1">
      <c r="A722" s="34"/>
    </row>
    <row r="723" spans="1:1" ht="15.75" customHeight="1">
      <c r="A723" s="34"/>
    </row>
    <row r="724" spans="1:1" ht="15.75" customHeight="1">
      <c r="A724" s="34"/>
    </row>
    <row r="725" spans="1:1" ht="15.75" customHeight="1">
      <c r="A725" s="34"/>
    </row>
    <row r="726" spans="1:1" ht="15.75" customHeight="1">
      <c r="A726" s="34"/>
    </row>
    <row r="727" spans="1:1" ht="15.75" customHeight="1">
      <c r="A727" s="34"/>
    </row>
    <row r="728" spans="1:1" ht="15.75" customHeight="1">
      <c r="A728" s="34"/>
    </row>
    <row r="729" spans="1:1" ht="15.75" customHeight="1">
      <c r="A729" s="34"/>
    </row>
    <row r="730" spans="1:1" ht="15.75" customHeight="1">
      <c r="A730" s="34"/>
    </row>
    <row r="731" spans="1:1" ht="15.75" customHeight="1">
      <c r="A731" s="34"/>
    </row>
    <row r="732" spans="1:1" ht="15.75" customHeight="1">
      <c r="A732" s="34"/>
    </row>
    <row r="733" spans="1:1" ht="15.75" customHeight="1">
      <c r="A733" s="34"/>
    </row>
    <row r="734" spans="1:1" ht="15.75" customHeight="1">
      <c r="A734" s="34"/>
    </row>
    <row r="735" spans="1:1" ht="15.75" customHeight="1">
      <c r="A735" s="34"/>
    </row>
    <row r="736" spans="1:1" ht="15.75" customHeight="1">
      <c r="A736" s="34"/>
    </row>
    <row r="737" spans="1:1" ht="15.75" customHeight="1">
      <c r="A737" s="34"/>
    </row>
    <row r="738" spans="1:1" ht="15.75" customHeight="1">
      <c r="A738" s="34"/>
    </row>
    <row r="739" spans="1:1" ht="15.75" customHeight="1">
      <c r="A739" s="34"/>
    </row>
    <row r="740" spans="1:1" ht="15.75" customHeight="1">
      <c r="A740" s="34"/>
    </row>
    <row r="741" spans="1:1" ht="15.75" customHeight="1">
      <c r="A741" s="34"/>
    </row>
    <row r="742" spans="1:1" ht="15.75" customHeight="1">
      <c r="A742" s="34"/>
    </row>
    <row r="743" spans="1:1" ht="15.75" customHeight="1">
      <c r="A743" s="34"/>
    </row>
    <row r="744" spans="1:1" ht="15.75" customHeight="1">
      <c r="A744" s="34"/>
    </row>
    <row r="745" spans="1:1" ht="15.75" customHeight="1">
      <c r="A745" s="34"/>
    </row>
    <row r="746" spans="1:1" ht="15.75" customHeight="1">
      <c r="A746" s="34"/>
    </row>
    <row r="747" spans="1:1" ht="15.75" customHeight="1">
      <c r="A747" s="34"/>
    </row>
    <row r="748" spans="1:1" ht="15.75" customHeight="1">
      <c r="A748" s="34"/>
    </row>
    <row r="749" spans="1:1" ht="15.75" customHeight="1">
      <c r="A749" s="34"/>
    </row>
    <row r="750" spans="1:1" ht="15.75" customHeight="1">
      <c r="A750" s="34"/>
    </row>
    <row r="751" spans="1:1" ht="15.75" customHeight="1">
      <c r="A751" s="34"/>
    </row>
    <row r="752" spans="1:1" ht="15.75" customHeight="1">
      <c r="A752" s="34"/>
    </row>
    <row r="753" spans="1:1" ht="15.75" customHeight="1">
      <c r="A753" s="34"/>
    </row>
    <row r="754" spans="1:1" ht="15.75" customHeight="1">
      <c r="A754" s="34"/>
    </row>
    <row r="755" spans="1:1" ht="15.75" customHeight="1">
      <c r="A755" s="34"/>
    </row>
    <row r="756" spans="1:1" ht="15.75" customHeight="1">
      <c r="A756" s="34"/>
    </row>
    <row r="757" spans="1:1" ht="15.75" customHeight="1">
      <c r="A757" s="34"/>
    </row>
    <row r="758" spans="1:1" ht="15.75" customHeight="1">
      <c r="A758" s="34"/>
    </row>
    <row r="759" spans="1:1" ht="15.75" customHeight="1">
      <c r="A759" s="34"/>
    </row>
    <row r="760" spans="1:1" ht="15.75" customHeight="1">
      <c r="A760" s="34"/>
    </row>
    <row r="761" spans="1:1" ht="15.75" customHeight="1">
      <c r="A761" s="34"/>
    </row>
    <row r="762" spans="1:1" ht="15.75" customHeight="1">
      <c r="A762" s="34"/>
    </row>
    <row r="763" spans="1:1" ht="15.75" customHeight="1">
      <c r="A763" s="34"/>
    </row>
    <row r="764" spans="1:1" ht="15.75" customHeight="1">
      <c r="A764" s="34"/>
    </row>
    <row r="765" spans="1:1" ht="15.75" customHeight="1">
      <c r="A765" s="34"/>
    </row>
    <row r="766" spans="1:1" ht="15.75" customHeight="1">
      <c r="A766" s="34"/>
    </row>
    <row r="767" spans="1:1" ht="15.75" customHeight="1">
      <c r="A767" s="34"/>
    </row>
    <row r="768" spans="1:1" ht="15.75" customHeight="1">
      <c r="A768" s="34"/>
    </row>
    <row r="769" spans="1:1" ht="15.75" customHeight="1">
      <c r="A769" s="34"/>
    </row>
    <row r="770" spans="1:1" ht="15.75" customHeight="1">
      <c r="A770" s="34"/>
    </row>
    <row r="771" spans="1:1" ht="15.75" customHeight="1">
      <c r="A771" s="34"/>
    </row>
    <row r="772" spans="1:1" ht="15.75" customHeight="1">
      <c r="A772" s="34"/>
    </row>
    <row r="773" spans="1:1" ht="15.75" customHeight="1">
      <c r="A773" s="34"/>
    </row>
    <row r="774" spans="1:1" ht="15.75" customHeight="1">
      <c r="A774" s="34"/>
    </row>
    <row r="775" spans="1:1" ht="15.75" customHeight="1">
      <c r="A775" s="34"/>
    </row>
    <row r="776" spans="1:1" ht="15.75" customHeight="1">
      <c r="A776" s="34"/>
    </row>
    <row r="777" spans="1:1" ht="15.75" customHeight="1">
      <c r="A777" s="34"/>
    </row>
    <row r="778" spans="1:1" ht="15.75" customHeight="1">
      <c r="A778" s="34"/>
    </row>
    <row r="779" spans="1:1" ht="15.75" customHeight="1">
      <c r="A779" s="34"/>
    </row>
    <row r="780" spans="1:1" ht="15.75" customHeight="1">
      <c r="A780" s="34"/>
    </row>
    <row r="781" spans="1:1" ht="15.75" customHeight="1">
      <c r="A781" s="34"/>
    </row>
    <row r="782" spans="1:1" ht="15.75" customHeight="1">
      <c r="A782" s="34"/>
    </row>
    <row r="783" spans="1:1" ht="15.75" customHeight="1">
      <c r="A783" s="34"/>
    </row>
    <row r="784" spans="1:1" ht="15.75" customHeight="1">
      <c r="A784" s="34"/>
    </row>
    <row r="785" spans="1:1" ht="15.75" customHeight="1">
      <c r="A785" s="34"/>
    </row>
    <row r="786" spans="1:1" ht="15.75" customHeight="1">
      <c r="A786" s="34"/>
    </row>
    <row r="787" spans="1:1" ht="15.75" customHeight="1">
      <c r="A787" s="34"/>
    </row>
    <row r="788" spans="1:1" ht="15.75" customHeight="1">
      <c r="A788" s="34"/>
    </row>
    <row r="789" spans="1:1" ht="15.75" customHeight="1">
      <c r="A789" s="34"/>
    </row>
    <row r="790" spans="1:1" ht="15.75" customHeight="1">
      <c r="A790" s="34"/>
    </row>
    <row r="791" spans="1:1" ht="15.75" customHeight="1">
      <c r="A791" s="34"/>
    </row>
    <row r="792" spans="1:1" ht="15.75" customHeight="1">
      <c r="A792" s="34"/>
    </row>
    <row r="793" spans="1:1" ht="15.75" customHeight="1">
      <c r="A793" s="34"/>
    </row>
    <row r="794" spans="1:1" ht="15.75" customHeight="1">
      <c r="A794" s="34"/>
    </row>
    <row r="795" spans="1:1" ht="15.75" customHeight="1">
      <c r="A795" s="34"/>
    </row>
    <row r="796" spans="1:1" ht="15.75" customHeight="1">
      <c r="A796" s="34"/>
    </row>
    <row r="797" spans="1:1" ht="15.75" customHeight="1">
      <c r="A797" s="34"/>
    </row>
    <row r="798" spans="1:1" ht="15.75" customHeight="1">
      <c r="A798" s="34"/>
    </row>
    <row r="799" spans="1:1" ht="15.75" customHeight="1">
      <c r="A799" s="34"/>
    </row>
    <row r="800" spans="1:1" ht="15.75" customHeight="1">
      <c r="A800" s="34"/>
    </row>
    <row r="801" spans="1:1" ht="15.75" customHeight="1">
      <c r="A801" s="34"/>
    </row>
    <row r="802" spans="1:1" ht="15.75" customHeight="1">
      <c r="A802" s="34"/>
    </row>
    <row r="803" spans="1:1" ht="15.75" customHeight="1">
      <c r="A803" s="34"/>
    </row>
    <row r="804" spans="1:1" ht="15.75" customHeight="1">
      <c r="A804" s="34"/>
    </row>
    <row r="805" spans="1:1" ht="15.75" customHeight="1">
      <c r="A805" s="34"/>
    </row>
    <row r="806" spans="1:1" ht="15.75" customHeight="1">
      <c r="A806" s="34"/>
    </row>
    <row r="807" spans="1:1" ht="15.75" customHeight="1">
      <c r="A807" s="34"/>
    </row>
    <row r="808" spans="1:1" ht="15.75" customHeight="1">
      <c r="A808" s="34"/>
    </row>
    <row r="809" spans="1:1" ht="15.75" customHeight="1">
      <c r="A809" s="34"/>
    </row>
    <row r="810" spans="1:1" ht="15.75" customHeight="1">
      <c r="A810" s="34"/>
    </row>
    <row r="811" spans="1:1" ht="15.75" customHeight="1">
      <c r="A811" s="34"/>
    </row>
    <row r="812" spans="1:1" ht="15.75" customHeight="1">
      <c r="A812" s="34"/>
    </row>
    <row r="813" spans="1:1" ht="15.75" customHeight="1">
      <c r="A813" s="34"/>
    </row>
    <row r="814" spans="1:1" ht="15.75" customHeight="1">
      <c r="A814" s="34"/>
    </row>
    <row r="815" spans="1:1" ht="15.75" customHeight="1">
      <c r="A815" s="34"/>
    </row>
    <row r="816" spans="1:1" ht="15.75" customHeight="1">
      <c r="A816" s="34"/>
    </row>
    <row r="817" spans="1:1" ht="15.75" customHeight="1">
      <c r="A817" s="34"/>
    </row>
    <row r="818" spans="1:1" ht="15.75" customHeight="1">
      <c r="A818" s="34"/>
    </row>
    <row r="819" spans="1:1" ht="15.75" customHeight="1">
      <c r="A819" s="34"/>
    </row>
    <row r="820" spans="1:1" ht="15.75" customHeight="1">
      <c r="A820" s="34"/>
    </row>
    <row r="821" spans="1:1" ht="15.75" customHeight="1">
      <c r="A821" s="34"/>
    </row>
    <row r="822" spans="1:1" ht="15.75" customHeight="1">
      <c r="A822" s="34"/>
    </row>
    <row r="823" spans="1:1" ht="15.75" customHeight="1">
      <c r="A823" s="34"/>
    </row>
    <row r="824" spans="1:1" ht="15.75" customHeight="1">
      <c r="A824" s="34"/>
    </row>
    <row r="825" spans="1:1" ht="15.75" customHeight="1">
      <c r="A825" s="34"/>
    </row>
    <row r="826" spans="1:1" ht="15.75" customHeight="1">
      <c r="A826" s="34"/>
    </row>
    <row r="827" spans="1:1" ht="15.75" customHeight="1">
      <c r="A827" s="34"/>
    </row>
    <row r="828" spans="1:1" ht="15.75" customHeight="1">
      <c r="A828" s="34"/>
    </row>
    <row r="829" spans="1:1" ht="15.75" customHeight="1">
      <c r="A829" s="34"/>
    </row>
    <row r="830" spans="1:1" ht="15.75" customHeight="1">
      <c r="A830" s="34"/>
    </row>
    <row r="831" spans="1:1" ht="15.75" customHeight="1">
      <c r="A831" s="34"/>
    </row>
    <row r="832" spans="1:1" ht="15.75" customHeight="1">
      <c r="A832" s="34"/>
    </row>
    <row r="833" spans="1:1" ht="15.75" customHeight="1">
      <c r="A833" s="34"/>
    </row>
    <row r="834" spans="1:1" ht="15.75" customHeight="1">
      <c r="A834" s="34"/>
    </row>
    <row r="835" spans="1:1" ht="15.75" customHeight="1">
      <c r="A835" s="34"/>
    </row>
    <row r="836" spans="1:1" ht="15.75" customHeight="1">
      <c r="A836" s="34"/>
    </row>
    <row r="837" spans="1:1" ht="15.75" customHeight="1">
      <c r="A837" s="34"/>
    </row>
    <row r="838" spans="1:1" ht="15.75" customHeight="1">
      <c r="A838" s="34"/>
    </row>
    <row r="839" spans="1:1" ht="15.75" customHeight="1">
      <c r="A839" s="34"/>
    </row>
    <row r="840" spans="1:1" ht="15.75" customHeight="1">
      <c r="A840" s="34"/>
    </row>
    <row r="841" spans="1:1" ht="15.75" customHeight="1">
      <c r="A841" s="34"/>
    </row>
    <row r="842" spans="1:1" ht="15.75" customHeight="1">
      <c r="A842" s="34"/>
    </row>
    <row r="843" spans="1:1" ht="15.75" customHeight="1">
      <c r="A843" s="34"/>
    </row>
    <row r="844" spans="1:1" ht="15.75" customHeight="1">
      <c r="A844" s="34"/>
    </row>
    <row r="845" spans="1:1" ht="15.75" customHeight="1">
      <c r="A845" s="34"/>
    </row>
    <row r="846" spans="1:1" ht="15.75" customHeight="1">
      <c r="A846" s="34"/>
    </row>
    <row r="847" spans="1:1" ht="15.75" customHeight="1">
      <c r="A847" s="34"/>
    </row>
    <row r="848" spans="1:1" ht="15.75" customHeight="1">
      <c r="A848" s="34"/>
    </row>
    <row r="849" spans="1:1" ht="15.75" customHeight="1">
      <c r="A849" s="34"/>
    </row>
    <row r="850" spans="1:1" ht="15.75" customHeight="1">
      <c r="A850" s="34"/>
    </row>
    <row r="851" spans="1:1" ht="15.75" customHeight="1">
      <c r="A851" s="34"/>
    </row>
    <row r="852" spans="1:1" ht="15.75" customHeight="1">
      <c r="A852" s="34"/>
    </row>
    <row r="853" spans="1:1" ht="15.75" customHeight="1">
      <c r="A853" s="34"/>
    </row>
    <row r="854" spans="1:1" ht="15.75" customHeight="1">
      <c r="A854" s="34"/>
    </row>
    <row r="855" spans="1:1" ht="15.75" customHeight="1">
      <c r="A855" s="34"/>
    </row>
    <row r="856" spans="1:1" ht="15.75" customHeight="1">
      <c r="A856" s="34"/>
    </row>
    <row r="857" spans="1:1" ht="15.75" customHeight="1">
      <c r="A857" s="34"/>
    </row>
    <row r="858" spans="1:1" ht="15.75" customHeight="1">
      <c r="A858" s="34"/>
    </row>
    <row r="859" spans="1:1" ht="15.75" customHeight="1">
      <c r="A859" s="34"/>
    </row>
    <row r="860" spans="1:1" ht="15.75" customHeight="1">
      <c r="A860" s="34"/>
    </row>
    <row r="861" spans="1:1" ht="15.75" customHeight="1">
      <c r="A861" s="34"/>
    </row>
    <row r="862" spans="1:1" ht="15.75" customHeight="1">
      <c r="A862" s="34"/>
    </row>
    <row r="863" spans="1:1" ht="15.75" customHeight="1">
      <c r="A863" s="34"/>
    </row>
    <row r="864" spans="1:1" ht="15.75" customHeight="1">
      <c r="A864" s="34"/>
    </row>
    <row r="865" spans="1:1" ht="15.75" customHeight="1">
      <c r="A865" s="34"/>
    </row>
    <row r="866" spans="1:1" ht="15.75" customHeight="1">
      <c r="A866" s="34"/>
    </row>
    <row r="867" spans="1:1" ht="15.75" customHeight="1">
      <c r="A867" s="34"/>
    </row>
    <row r="868" spans="1:1" ht="15.75" customHeight="1">
      <c r="A868" s="34"/>
    </row>
    <row r="869" spans="1:1" ht="15.75" customHeight="1">
      <c r="A869" s="34"/>
    </row>
    <row r="870" spans="1:1" ht="15.75" customHeight="1">
      <c r="A870" s="34"/>
    </row>
    <row r="871" spans="1:1" ht="15.75" customHeight="1">
      <c r="A871" s="34"/>
    </row>
    <row r="872" spans="1:1" ht="15.75" customHeight="1">
      <c r="A872" s="34"/>
    </row>
    <row r="873" spans="1:1" ht="15.75" customHeight="1">
      <c r="A873" s="34"/>
    </row>
    <row r="874" spans="1:1" ht="15.75" customHeight="1">
      <c r="A874" s="34"/>
    </row>
    <row r="875" spans="1:1" ht="15.75" customHeight="1">
      <c r="A875" s="34"/>
    </row>
    <row r="876" spans="1:1" ht="15.75" customHeight="1">
      <c r="A876" s="34"/>
    </row>
    <row r="877" spans="1:1" ht="15.75" customHeight="1">
      <c r="A877" s="34"/>
    </row>
    <row r="878" spans="1:1" ht="15.75" customHeight="1">
      <c r="A878" s="34"/>
    </row>
    <row r="879" spans="1:1" ht="15.75" customHeight="1">
      <c r="A879" s="34"/>
    </row>
    <row r="880" spans="1:1" ht="15.75" customHeight="1">
      <c r="A880" s="34"/>
    </row>
    <row r="881" spans="1:1" ht="15.75" customHeight="1">
      <c r="A881" s="34"/>
    </row>
    <row r="882" spans="1:1" ht="15.75" customHeight="1">
      <c r="A882" s="34"/>
    </row>
    <row r="883" spans="1:1" ht="15.75" customHeight="1">
      <c r="A883" s="34"/>
    </row>
    <row r="884" spans="1:1" ht="15.75" customHeight="1">
      <c r="A884" s="34"/>
    </row>
    <row r="885" spans="1:1" ht="15.75" customHeight="1">
      <c r="A885" s="34"/>
    </row>
    <row r="886" spans="1:1" ht="15.75" customHeight="1">
      <c r="A886" s="34"/>
    </row>
    <row r="887" spans="1:1" ht="15.75" customHeight="1">
      <c r="A887" s="34"/>
    </row>
    <row r="888" spans="1:1" ht="15.75" customHeight="1">
      <c r="A888" s="34"/>
    </row>
    <row r="889" spans="1:1" ht="15.75" customHeight="1">
      <c r="A889" s="34"/>
    </row>
    <row r="890" spans="1:1" ht="15.75" customHeight="1">
      <c r="A890" s="34"/>
    </row>
    <row r="891" spans="1:1" ht="15.75" customHeight="1">
      <c r="A891" s="34"/>
    </row>
    <row r="892" spans="1:1" ht="15.75" customHeight="1">
      <c r="A892" s="34"/>
    </row>
    <row r="893" spans="1:1" ht="15.75" customHeight="1">
      <c r="A893" s="34"/>
    </row>
    <row r="894" spans="1:1" ht="15.75" customHeight="1">
      <c r="A894" s="34"/>
    </row>
    <row r="895" spans="1:1" ht="15.75" customHeight="1">
      <c r="A895" s="34"/>
    </row>
    <row r="896" spans="1:1" ht="15.75" customHeight="1">
      <c r="A896" s="34"/>
    </row>
    <row r="897" spans="1:1" ht="15.75" customHeight="1">
      <c r="A897" s="34"/>
    </row>
    <row r="898" spans="1:1" ht="15.75" customHeight="1">
      <c r="A898" s="34"/>
    </row>
    <row r="899" spans="1:1" ht="15.75" customHeight="1">
      <c r="A899" s="34"/>
    </row>
    <row r="900" spans="1:1" ht="15.75" customHeight="1">
      <c r="A900" s="34"/>
    </row>
    <row r="901" spans="1:1" ht="15.75" customHeight="1">
      <c r="A901" s="34"/>
    </row>
    <row r="902" spans="1:1" ht="15.75" customHeight="1">
      <c r="A902" s="34"/>
    </row>
    <row r="903" spans="1:1" ht="15.75" customHeight="1">
      <c r="A903" s="34"/>
    </row>
    <row r="904" spans="1:1" ht="15.75" customHeight="1">
      <c r="A904" s="34"/>
    </row>
    <row r="905" spans="1:1" ht="15.75" customHeight="1">
      <c r="A905" s="34"/>
    </row>
    <row r="906" spans="1:1" ht="15.75" customHeight="1">
      <c r="A906" s="34"/>
    </row>
    <row r="907" spans="1:1" ht="15.75" customHeight="1">
      <c r="A907" s="34"/>
    </row>
    <row r="908" spans="1:1" ht="15.75" customHeight="1">
      <c r="A908" s="34"/>
    </row>
    <row r="909" spans="1:1" ht="15.75" customHeight="1">
      <c r="A909" s="34"/>
    </row>
    <row r="910" spans="1:1" ht="15.75" customHeight="1">
      <c r="A910" s="34"/>
    </row>
    <row r="911" spans="1:1" ht="15.75" customHeight="1">
      <c r="A911" s="34"/>
    </row>
    <row r="912" spans="1:1" ht="15.75" customHeight="1">
      <c r="A912" s="34"/>
    </row>
    <row r="913" spans="1:1" ht="15.75" customHeight="1">
      <c r="A913" s="34"/>
    </row>
    <row r="914" spans="1:1" ht="15.75" customHeight="1">
      <c r="A914" s="34"/>
    </row>
    <row r="915" spans="1:1" ht="15.75" customHeight="1">
      <c r="A915" s="34"/>
    </row>
    <row r="916" spans="1:1" ht="15.75" customHeight="1">
      <c r="A916" s="34"/>
    </row>
    <row r="917" spans="1:1" ht="15.75" customHeight="1">
      <c r="A917" s="34"/>
    </row>
    <row r="918" spans="1:1" ht="15.75" customHeight="1">
      <c r="A918" s="34"/>
    </row>
    <row r="919" spans="1:1" ht="15.75" customHeight="1">
      <c r="A919" s="34"/>
    </row>
    <row r="920" spans="1:1" ht="15.75" customHeight="1">
      <c r="A920" s="34"/>
    </row>
    <row r="921" spans="1:1" ht="15.75" customHeight="1">
      <c r="A921" s="34"/>
    </row>
    <row r="922" spans="1:1" ht="15.75" customHeight="1">
      <c r="A922" s="34"/>
    </row>
    <row r="923" spans="1:1" ht="15.75" customHeight="1">
      <c r="A923" s="34"/>
    </row>
    <row r="924" spans="1:1" ht="15.75" customHeight="1">
      <c r="A924" s="34"/>
    </row>
    <row r="925" spans="1:1" ht="15.75" customHeight="1">
      <c r="A925" s="34"/>
    </row>
    <row r="926" spans="1:1" ht="15.75" customHeight="1">
      <c r="A926" s="34"/>
    </row>
    <row r="927" spans="1:1" ht="15.75" customHeight="1">
      <c r="A927" s="34"/>
    </row>
    <row r="928" spans="1:1" ht="15.75" customHeight="1">
      <c r="A928" s="34"/>
    </row>
    <row r="929" spans="1:1" ht="15.75" customHeight="1">
      <c r="A929" s="34"/>
    </row>
    <row r="930" spans="1:1" ht="15.75" customHeight="1">
      <c r="A930" s="34"/>
    </row>
    <row r="931" spans="1:1" ht="15.75" customHeight="1">
      <c r="A931" s="34"/>
    </row>
    <row r="932" spans="1:1" ht="15.75" customHeight="1">
      <c r="A932" s="34"/>
    </row>
    <row r="933" spans="1:1" ht="15.75" customHeight="1">
      <c r="A933" s="34"/>
    </row>
    <row r="934" spans="1:1" ht="15.75" customHeight="1">
      <c r="A934" s="34"/>
    </row>
    <row r="935" spans="1:1" ht="15.75" customHeight="1">
      <c r="A935" s="34"/>
    </row>
    <row r="936" spans="1:1" ht="15.75" customHeight="1">
      <c r="A936" s="34"/>
    </row>
    <row r="937" spans="1:1" ht="15.75" customHeight="1">
      <c r="A937" s="34"/>
    </row>
    <row r="938" spans="1:1" ht="15.75" customHeight="1">
      <c r="A938" s="34"/>
    </row>
    <row r="939" spans="1:1" ht="15.75" customHeight="1">
      <c r="A939" s="34"/>
    </row>
    <row r="940" spans="1:1" ht="15.75" customHeight="1">
      <c r="A940" s="34"/>
    </row>
    <row r="941" spans="1:1" ht="15.75" customHeight="1">
      <c r="A941" s="34"/>
    </row>
    <row r="942" spans="1:1" ht="15.75" customHeight="1">
      <c r="A942" s="34"/>
    </row>
    <row r="943" spans="1:1" ht="15.75" customHeight="1">
      <c r="A943" s="34"/>
    </row>
    <row r="944" spans="1:1" ht="15.75" customHeight="1">
      <c r="A944" s="34"/>
    </row>
    <row r="945" spans="1:1" ht="15.75" customHeight="1">
      <c r="A945" s="34"/>
    </row>
    <row r="946" spans="1:1" ht="15.75" customHeight="1">
      <c r="A946" s="34"/>
    </row>
    <row r="947" spans="1:1" ht="15.75" customHeight="1">
      <c r="A947" s="34"/>
    </row>
    <row r="948" spans="1:1" ht="15.75" customHeight="1">
      <c r="A948" s="34"/>
    </row>
    <row r="949" spans="1:1" ht="15.75" customHeight="1">
      <c r="A949" s="34"/>
    </row>
    <row r="950" spans="1:1" ht="15.75" customHeight="1">
      <c r="A950" s="34"/>
    </row>
    <row r="951" spans="1:1" ht="15.75" customHeight="1">
      <c r="A951" s="34"/>
    </row>
    <row r="952" spans="1:1" ht="15.75" customHeight="1">
      <c r="A952" s="34"/>
    </row>
    <row r="953" spans="1:1" ht="15.75" customHeight="1">
      <c r="A953" s="34"/>
    </row>
    <row r="954" spans="1:1" ht="15.75" customHeight="1">
      <c r="A954" s="34"/>
    </row>
    <row r="955" spans="1:1" ht="15.75" customHeight="1">
      <c r="A955" s="34"/>
    </row>
    <row r="956" spans="1:1" ht="15.75" customHeight="1">
      <c r="A956" s="34"/>
    </row>
    <row r="957" spans="1:1" ht="15.75" customHeight="1">
      <c r="A957" s="34"/>
    </row>
    <row r="958" spans="1:1" ht="15.75" customHeight="1">
      <c r="A958" s="34"/>
    </row>
    <row r="959" spans="1:1" ht="15.75" customHeight="1">
      <c r="A959" s="34"/>
    </row>
    <row r="960" spans="1:1" ht="15.75" customHeight="1">
      <c r="A960" s="34"/>
    </row>
    <row r="961" spans="1:1" ht="15.75" customHeight="1">
      <c r="A961" s="34"/>
    </row>
    <row r="962" spans="1:1" ht="15.75" customHeight="1">
      <c r="A962" s="34"/>
    </row>
    <row r="963" spans="1:1" ht="15.75" customHeight="1">
      <c r="A963" s="34"/>
    </row>
    <row r="964" spans="1:1" ht="15.75" customHeight="1">
      <c r="A964" s="34"/>
    </row>
    <row r="965" spans="1:1" ht="15.75" customHeight="1">
      <c r="A965" s="34"/>
    </row>
    <row r="966" spans="1:1" ht="15.75" customHeight="1">
      <c r="A966" s="34"/>
    </row>
    <row r="967" spans="1:1" ht="15.75" customHeight="1">
      <c r="A967" s="34"/>
    </row>
    <row r="968" spans="1:1" ht="15.75" customHeight="1">
      <c r="A968" s="34"/>
    </row>
    <row r="969" spans="1:1" ht="15.75" customHeight="1">
      <c r="A969" s="34"/>
    </row>
    <row r="970" spans="1:1" ht="15.75" customHeight="1">
      <c r="A970" s="34"/>
    </row>
    <row r="971" spans="1:1" ht="15.75" customHeight="1">
      <c r="A971" s="34"/>
    </row>
    <row r="972" spans="1:1" ht="15.75" customHeight="1">
      <c r="A972" s="34"/>
    </row>
    <row r="973" spans="1:1" ht="15.75" customHeight="1">
      <c r="A973" s="34"/>
    </row>
    <row r="974" spans="1:1" ht="15.75" customHeight="1">
      <c r="A974" s="34"/>
    </row>
    <row r="975" spans="1:1" ht="15.75" customHeight="1">
      <c r="A975" s="34"/>
    </row>
    <row r="976" spans="1:1" ht="15.75" customHeight="1">
      <c r="A976" s="34"/>
    </row>
    <row r="977" spans="1:1" ht="15.75" customHeight="1">
      <c r="A977" s="34"/>
    </row>
    <row r="978" spans="1:1" ht="15.75" customHeight="1">
      <c r="A978" s="34"/>
    </row>
    <row r="979" spans="1:1" ht="15.75" customHeight="1">
      <c r="A979" s="34"/>
    </row>
    <row r="980" spans="1:1" ht="15.75" customHeight="1">
      <c r="A980" s="34"/>
    </row>
    <row r="981" spans="1:1" ht="15.75" customHeight="1">
      <c r="A981" s="34"/>
    </row>
    <row r="982" spans="1:1" ht="15.75" customHeight="1">
      <c r="A982" s="34"/>
    </row>
    <row r="983" spans="1:1" ht="15.75" customHeight="1">
      <c r="A983" s="34"/>
    </row>
    <row r="984" spans="1:1" ht="15.75" customHeight="1">
      <c r="A984" s="34"/>
    </row>
    <row r="985" spans="1:1" ht="15.75" customHeight="1">
      <c r="A985" s="34"/>
    </row>
    <row r="986" spans="1:1" ht="15.75" customHeight="1">
      <c r="A986" s="34"/>
    </row>
    <row r="987" spans="1:1" ht="15.75" customHeight="1">
      <c r="A987" s="34"/>
    </row>
    <row r="988" spans="1:1" ht="15.75" customHeight="1">
      <c r="A988" s="34"/>
    </row>
    <row r="989" spans="1:1" ht="15.75" customHeight="1">
      <c r="A989" s="34"/>
    </row>
    <row r="990" spans="1:1" ht="15.75" customHeight="1">
      <c r="A990" s="34"/>
    </row>
    <row r="991" spans="1:1" ht="15.75" customHeight="1">
      <c r="A991" s="34"/>
    </row>
    <row r="992" spans="1:1" ht="15.75" customHeight="1">
      <c r="A992" s="34"/>
    </row>
    <row r="993" spans="1:1" ht="15.75" customHeight="1">
      <c r="A993" s="34"/>
    </row>
    <row r="994" spans="1:1" ht="15.75" customHeight="1">
      <c r="A994" s="34"/>
    </row>
    <row r="995" spans="1:1" ht="15.75" customHeight="1">
      <c r="A995" s="34"/>
    </row>
    <row r="996" spans="1:1" ht="15.75" customHeight="1">
      <c r="A996" s="34"/>
    </row>
    <row r="997" spans="1:1" ht="15.75" customHeight="1">
      <c r="A997" s="34"/>
    </row>
    <row r="998" spans="1:1" ht="15.75" customHeight="1">
      <c r="A998" s="34"/>
    </row>
    <row r="999" spans="1:1" ht="15.75" customHeight="1">
      <c r="A999" s="34"/>
    </row>
    <row r="1000" spans="1:1" ht="15.75" customHeight="1">
      <c r="A1000" s="34"/>
    </row>
    <row r="1001" spans="1:1" ht="15.75" customHeight="1">
      <c r="A1001" s="34"/>
    </row>
    <row r="1002" spans="1:1" ht="15.75" customHeight="1">
      <c r="A1002" s="34"/>
    </row>
    <row r="1003" spans="1:1" ht="15.75" customHeight="1">
      <c r="A1003" s="34"/>
    </row>
    <row r="1004" spans="1:1" ht="15.75" customHeight="1">
      <c r="A1004" s="34"/>
    </row>
    <row r="1005" spans="1:1" ht="15.75" customHeight="1">
      <c r="A1005" s="34"/>
    </row>
    <row r="1006" spans="1:1" ht="15.75" customHeight="1">
      <c r="A1006" s="34"/>
    </row>
    <row r="1007" spans="1:1" ht="15.75" customHeight="1">
      <c r="A1007" s="34"/>
    </row>
    <row r="1008" spans="1:1" ht="15.75" customHeight="1">
      <c r="A1008" s="34"/>
    </row>
    <row r="1009" spans="1:1" ht="15.75" customHeight="1">
      <c r="A1009" s="34"/>
    </row>
    <row r="1010" spans="1:1" ht="15.75" customHeight="1">
      <c r="A1010" s="34"/>
    </row>
    <row r="1011" spans="1:1" ht="15.75" customHeight="1">
      <c r="A1011" s="34"/>
    </row>
    <row r="1012" spans="1:1" ht="15.75" customHeight="1">
      <c r="A1012" s="34"/>
    </row>
    <row r="1013" spans="1:1" ht="15.75" customHeight="1">
      <c r="A1013" s="34"/>
    </row>
    <row r="1014" spans="1:1" ht="15.75" customHeight="1">
      <c r="A1014" s="34"/>
    </row>
    <row r="1015" spans="1:1" ht="15.75" customHeight="1">
      <c r="A1015" s="34"/>
    </row>
    <row r="1016" spans="1:1" ht="15.75" customHeight="1">
      <c r="A1016" s="34"/>
    </row>
    <row r="1017" spans="1:1" ht="15.75" customHeight="1">
      <c r="A1017" s="34"/>
    </row>
    <row r="1018" spans="1:1" ht="15.75" customHeight="1">
      <c r="A1018" s="34"/>
    </row>
    <row r="1019" spans="1:1" ht="15.75" customHeight="1">
      <c r="A1019" s="34"/>
    </row>
    <row r="1020" spans="1:1" ht="15.75" customHeight="1">
      <c r="A1020" s="34"/>
    </row>
    <row r="1021" spans="1:1" ht="15.75" customHeight="1">
      <c r="A1021" s="34"/>
    </row>
    <row r="1022" spans="1:1" ht="15.75" customHeight="1">
      <c r="A1022" s="34"/>
    </row>
    <row r="1023" spans="1:1" ht="15.75" customHeight="1">
      <c r="A1023" s="34"/>
    </row>
    <row r="1024" spans="1:1" ht="15.75" customHeight="1">
      <c r="A1024" s="34"/>
    </row>
    <row r="1025" spans="1:1" ht="15.75" customHeight="1">
      <c r="A1025" s="34"/>
    </row>
    <row r="1026" spans="1:1" ht="15.75" customHeight="1">
      <c r="A1026" s="34"/>
    </row>
    <row r="1027" spans="1:1" ht="15.75" customHeight="1">
      <c r="A1027" s="34"/>
    </row>
    <row r="1028" spans="1:1" ht="15.75" customHeight="1">
      <c r="A1028" s="34"/>
    </row>
    <row r="1029" spans="1:1" ht="15.75" customHeight="1">
      <c r="A1029" s="34"/>
    </row>
    <row r="1030" spans="1:1" ht="15.75" customHeight="1">
      <c r="A1030" s="34"/>
    </row>
    <row r="1031" spans="1:1" ht="15.75" customHeight="1">
      <c r="A1031" s="34"/>
    </row>
    <row r="1032" spans="1:1" ht="15.75" customHeight="1">
      <c r="A1032" s="34"/>
    </row>
    <row r="1033" spans="1:1" ht="15.75" customHeight="1">
      <c r="A1033" s="34"/>
    </row>
    <row r="1034" spans="1:1" ht="15.75" customHeight="1">
      <c r="A1034" s="34"/>
    </row>
    <row r="1035" spans="1:1" ht="15.75" customHeight="1">
      <c r="A1035" s="34"/>
    </row>
    <row r="1036" spans="1:1" ht="15.75" customHeight="1">
      <c r="A1036" s="34"/>
    </row>
    <row r="1037" spans="1:1" ht="15.75" customHeight="1">
      <c r="A1037" s="34"/>
    </row>
    <row r="1038" spans="1:1" ht="15.75" customHeight="1">
      <c r="A1038" s="34"/>
    </row>
    <row r="1039" spans="1:1" ht="15.75" customHeight="1">
      <c r="A1039" s="34"/>
    </row>
    <row r="1040" spans="1:1" ht="15.75" customHeight="1">
      <c r="A1040" s="34"/>
    </row>
    <row r="1041" spans="1:1" ht="15.75" customHeight="1">
      <c r="A1041" s="34"/>
    </row>
    <row r="1042" spans="1:1" ht="15.75" customHeight="1">
      <c r="A1042" s="34"/>
    </row>
    <row r="1043" spans="1:1" ht="15.75" customHeight="1">
      <c r="A1043" s="34"/>
    </row>
    <row r="1044" spans="1:1" ht="15.75" customHeight="1">
      <c r="A1044" s="34"/>
    </row>
    <row r="1045" spans="1:1" ht="15.75" customHeight="1">
      <c r="A1045" s="34"/>
    </row>
    <row r="1046" spans="1:1" ht="15.75" customHeight="1">
      <c r="A1046" s="34"/>
    </row>
    <row r="1047" spans="1:1" ht="15.75" customHeight="1">
      <c r="A1047" s="34"/>
    </row>
    <row r="1048" spans="1:1" ht="15.75" customHeight="1">
      <c r="A1048" s="34"/>
    </row>
    <row r="1049" spans="1:1" ht="15.75" customHeight="1">
      <c r="A1049" s="34"/>
    </row>
    <row r="1050" spans="1:1" ht="15.75" customHeight="1">
      <c r="A1050" s="34"/>
    </row>
    <row r="1051" spans="1:1" ht="15.75" customHeight="1">
      <c r="A1051" s="34"/>
    </row>
    <row r="1052" spans="1:1" ht="15.75" customHeight="1">
      <c r="A1052" s="34"/>
    </row>
    <row r="1053" spans="1:1" ht="15.75" customHeight="1">
      <c r="A1053" s="34"/>
    </row>
    <row r="1054" spans="1:1" ht="15.75" customHeight="1">
      <c r="A1054" s="34"/>
    </row>
    <row r="1055" spans="1:1" ht="15.75" customHeight="1">
      <c r="A1055" s="34"/>
    </row>
    <row r="1056" spans="1:1" ht="15.75" customHeight="1">
      <c r="A1056" s="34"/>
    </row>
    <row r="1057" spans="1:1" ht="15.75" customHeight="1">
      <c r="A1057" s="34"/>
    </row>
    <row r="1058" spans="1:1" ht="15.75" customHeight="1">
      <c r="A1058" s="34"/>
    </row>
    <row r="1059" spans="1:1" ht="15.75" customHeight="1">
      <c r="A1059" s="34"/>
    </row>
    <row r="1060" spans="1:1" ht="15.75" customHeight="1">
      <c r="A1060" s="34"/>
    </row>
    <row r="1061" spans="1:1" ht="15.75" customHeight="1">
      <c r="A1061" s="34"/>
    </row>
    <row r="1062" spans="1:1" ht="15.75" customHeight="1">
      <c r="A1062" s="34"/>
    </row>
    <row r="1063" spans="1:1" ht="15.75" customHeight="1">
      <c r="A1063" s="34"/>
    </row>
    <row r="1064" spans="1:1" ht="15.75" customHeight="1">
      <c r="A1064" s="34"/>
    </row>
    <row r="1065" spans="1:1" ht="15.75" customHeight="1">
      <c r="A1065" s="34"/>
    </row>
    <row r="1066" spans="1:1" ht="15.75" customHeight="1">
      <c r="A1066" s="34"/>
    </row>
    <row r="1067" spans="1:1" ht="15.75" customHeight="1">
      <c r="A1067" s="34"/>
    </row>
    <row r="1068" spans="1:1" ht="15.75" customHeight="1">
      <c r="A1068" s="34"/>
    </row>
    <row r="1069" spans="1:1" ht="15.75" customHeight="1">
      <c r="A1069" s="34"/>
    </row>
    <row r="1070" spans="1:1" ht="15.75" customHeight="1">
      <c r="A1070" s="34"/>
    </row>
    <row r="1071" spans="1:1" ht="15.75" customHeight="1">
      <c r="A1071" s="34"/>
    </row>
    <row r="1072" spans="1:1" ht="15.75" customHeight="1">
      <c r="A1072" s="34"/>
    </row>
    <row r="1073" spans="1:1" ht="15.75" customHeight="1">
      <c r="A1073" s="34"/>
    </row>
    <row r="1074" spans="1:1" ht="15.75" customHeight="1">
      <c r="A1074" s="34"/>
    </row>
    <row r="1075" spans="1:1" ht="15.75" customHeight="1">
      <c r="A1075" s="34"/>
    </row>
    <row r="1076" spans="1:1" ht="15.75" customHeight="1">
      <c r="A1076" s="34"/>
    </row>
    <row r="1077" spans="1:1" ht="15.75" customHeight="1">
      <c r="A1077" s="34"/>
    </row>
    <row r="1078" spans="1:1" ht="15.75" customHeight="1">
      <c r="A1078" s="34"/>
    </row>
    <row r="1079" spans="1:1" ht="15.75" customHeight="1">
      <c r="A1079" s="34"/>
    </row>
    <row r="1080" spans="1:1" ht="15.75" customHeight="1">
      <c r="A1080" s="34"/>
    </row>
    <row r="1081" spans="1:1" ht="15.75" customHeight="1">
      <c r="A1081" s="34"/>
    </row>
    <row r="1082" spans="1:1" ht="15.75" customHeight="1">
      <c r="A1082" s="34"/>
    </row>
    <row r="1083" spans="1:1" ht="15.75" customHeight="1">
      <c r="A1083" s="34"/>
    </row>
    <row r="1084" spans="1:1" ht="15.75" customHeight="1">
      <c r="A1084" s="34"/>
    </row>
    <row r="1085" spans="1:1" ht="15.75" customHeight="1">
      <c r="A1085" s="34"/>
    </row>
    <row r="1086" spans="1:1" ht="15.75" customHeight="1">
      <c r="A1086" s="34"/>
    </row>
    <row r="1087" spans="1:1" ht="15.75" customHeight="1">
      <c r="A1087" s="34"/>
    </row>
    <row r="1088" spans="1:1" ht="15.75" customHeight="1">
      <c r="A1088" s="34"/>
    </row>
    <row r="1089" spans="1:1" ht="15.75" customHeight="1">
      <c r="A1089" s="34"/>
    </row>
    <row r="1090" spans="1:1" ht="15.75" customHeight="1">
      <c r="A1090" s="34"/>
    </row>
    <row r="1091" spans="1:1" ht="15.75" customHeight="1">
      <c r="A1091" s="34"/>
    </row>
    <row r="1092" spans="1:1" ht="15.75" customHeight="1">
      <c r="A1092" s="34"/>
    </row>
    <row r="1093" spans="1:1" ht="15.75" customHeight="1">
      <c r="A1093" s="34"/>
    </row>
    <row r="1094" spans="1:1" ht="15.75" customHeight="1">
      <c r="A1094" s="34"/>
    </row>
    <row r="1095" spans="1:1" ht="15.75" customHeight="1">
      <c r="A1095" s="34"/>
    </row>
    <row r="1096" spans="1:1" ht="15.75" customHeight="1">
      <c r="A1096" s="34"/>
    </row>
    <row r="1097" spans="1:1" ht="15.75" customHeight="1">
      <c r="A1097" s="34"/>
    </row>
    <row r="1098" spans="1:1" ht="15.75" customHeight="1">
      <c r="A1098" s="34"/>
    </row>
    <row r="1099" spans="1:1" ht="15.75" customHeight="1">
      <c r="A1099" s="34"/>
    </row>
    <row r="1100" spans="1:1" ht="15.75" customHeight="1">
      <c r="A1100" s="34"/>
    </row>
    <row r="1101" spans="1:1" ht="15.75" customHeight="1">
      <c r="A1101" s="34"/>
    </row>
    <row r="1102" spans="1:1" ht="15.75" customHeight="1">
      <c r="A1102" s="34"/>
    </row>
    <row r="1103" spans="1:1" ht="15.75" customHeight="1">
      <c r="A1103" s="34"/>
    </row>
    <row r="1104" spans="1:1" ht="15.75" customHeight="1">
      <c r="A1104" s="34"/>
    </row>
    <row r="1105" spans="1:1" ht="15.75" customHeight="1">
      <c r="A1105" s="34"/>
    </row>
    <row r="1106" spans="1:1" ht="15.75" customHeight="1">
      <c r="A1106" s="34"/>
    </row>
    <row r="1107" spans="1:1" ht="15.75" customHeight="1">
      <c r="A1107" s="34"/>
    </row>
    <row r="1108" spans="1:1" ht="15.75" customHeight="1">
      <c r="A1108" s="34"/>
    </row>
    <row r="1109" spans="1:1" ht="15.75" customHeight="1">
      <c r="A1109" s="34"/>
    </row>
    <row r="1110" spans="1:1" ht="15.75" customHeight="1">
      <c r="A1110" s="34"/>
    </row>
    <row r="1111" spans="1:1" ht="15.75" customHeight="1">
      <c r="A1111" s="34"/>
    </row>
    <row r="1112" spans="1:1" ht="15.75" customHeight="1">
      <c r="A1112" s="34"/>
    </row>
    <row r="1113" spans="1:1" ht="15.75" customHeight="1">
      <c r="A1113" s="34"/>
    </row>
    <row r="1114" spans="1:1" ht="15.75" customHeight="1">
      <c r="A1114" s="34"/>
    </row>
    <row r="1115" spans="1:1" ht="15.75" customHeight="1">
      <c r="A1115" s="34"/>
    </row>
    <row r="1116" spans="1:1" ht="15.75" customHeight="1">
      <c r="A1116" s="34"/>
    </row>
    <row r="1117" spans="1:1" ht="15.75" customHeight="1">
      <c r="A1117" s="34"/>
    </row>
    <row r="1118" spans="1:1" ht="15.75" customHeight="1">
      <c r="A1118" s="34"/>
    </row>
    <row r="1119" spans="1:1" ht="15.75" customHeight="1">
      <c r="A1119" s="34"/>
    </row>
    <row r="1120" spans="1:1" ht="15.75" customHeight="1">
      <c r="A1120" s="34"/>
    </row>
    <row r="1121" spans="1:1" ht="15.75" customHeight="1">
      <c r="A1121" s="34"/>
    </row>
    <row r="1122" spans="1:1" ht="15.75" customHeight="1">
      <c r="A1122" s="34"/>
    </row>
    <row r="1123" spans="1:1" ht="15.75" customHeight="1">
      <c r="A1123" s="34"/>
    </row>
    <row r="1124" spans="1:1" ht="15.75" customHeight="1">
      <c r="A1124" s="34"/>
    </row>
    <row r="1125" spans="1:1" ht="15.75" customHeight="1">
      <c r="A1125" s="34"/>
    </row>
    <row r="1126" spans="1:1" ht="15.75" customHeight="1">
      <c r="A1126" s="34"/>
    </row>
    <row r="1127" spans="1:1" ht="15.75" customHeight="1">
      <c r="A1127" s="34"/>
    </row>
    <row r="1128" spans="1:1" ht="15.75" customHeight="1">
      <c r="A1128" s="34"/>
    </row>
    <row r="1129" spans="1:1" ht="15.75" customHeight="1">
      <c r="A1129" s="34"/>
    </row>
    <row r="1130" spans="1:1" ht="15.75" customHeight="1">
      <c r="A1130" s="34"/>
    </row>
    <row r="1131" spans="1:1" ht="15.75" customHeight="1">
      <c r="A1131" s="34"/>
    </row>
    <row r="1132" spans="1:1" ht="15.75" customHeight="1">
      <c r="A1132" s="34"/>
    </row>
    <row r="1133" spans="1:1" ht="15.75" customHeight="1">
      <c r="A1133" s="34"/>
    </row>
    <row r="1134" spans="1:1" ht="15.75" customHeight="1">
      <c r="A1134" s="34"/>
    </row>
    <row r="1135" spans="1:1" ht="15.75" customHeight="1">
      <c r="A1135" s="34"/>
    </row>
    <row r="1136" spans="1:1" ht="15.75" customHeight="1">
      <c r="A1136" s="34"/>
    </row>
    <row r="1137" spans="1:1" ht="15.75" customHeight="1">
      <c r="A1137" s="34"/>
    </row>
    <row r="1138" spans="1:1" ht="15.75" customHeight="1">
      <c r="A1138" s="34"/>
    </row>
    <row r="1139" spans="1:1" ht="15.75" customHeight="1">
      <c r="A1139" s="34"/>
    </row>
    <row r="1140" spans="1:1" ht="15.75" customHeight="1">
      <c r="A1140" s="34"/>
    </row>
    <row r="1141" spans="1:1" ht="15.75" customHeight="1">
      <c r="A1141" s="34"/>
    </row>
    <row r="1142" spans="1:1" ht="15.75" customHeight="1">
      <c r="A1142" s="34"/>
    </row>
    <row r="1143" spans="1:1" ht="15.75" customHeight="1">
      <c r="A1143" s="34"/>
    </row>
    <row r="1144" spans="1:1" ht="15.75" customHeight="1">
      <c r="A1144" s="34"/>
    </row>
    <row r="1145" spans="1:1" ht="15.75" customHeight="1">
      <c r="A1145" s="34"/>
    </row>
    <row r="1146" spans="1:1" ht="15.75" customHeight="1">
      <c r="A1146" s="34"/>
    </row>
    <row r="1147" spans="1:1" ht="15.75" customHeight="1">
      <c r="A1147" s="34"/>
    </row>
    <row r="1148" spans="1:1" ht="15.75" customHeight="1">
      <c r="A1148" s="34"/>
    </row>
    <row r="1149" spans="1:1" ht="15.75" customHeight="1">
      <c r="A1149" s="34"/>
    </row>
    <row r="1150" spans="1:1" ht="15.75" customHeight="1">
      <c r="A1150" s="34"/>
    </row>
    <row r="1151" spans="1:1" ht="15.75" customHeight="1">
      <c r="A1151" s="34"/>
    </row>
    <row r="1152" spans="1:1" ht="15.75" customHeight="1">
      <c r="A1152" s="34"/>
    </row>
    <row r="1153" spans="1:1" ht="15.75" customHeight="1">
      <c r="A1153" s="34"/>
    </row>
    <row r="1154" spans="1:1" ht="15.75" customHeight="1">
      <c r="A1154" s="34"/>
    </row>
    <row r="1155" spans="1:1" ht="15.75" customHeight="1">
      <c r="A1155" s="34"/>
    </row>
    <row r="1156" spans="1:1" ht="15.75" customHeight="1">
      <c r="A1156" s="34"/>
    </row>
    <row r="1157" spans="1:1" ht="15.75" customHeight="1">
      <c r="A1157" s="34"/>
    </row>
    <row r="1158" spans="1:1" ht="15.75" customHeight="1">
      <c r="A1158" s="34"/>
    </row>
    <row r="1159" spans="1:1" ht="15.75" customHeight="1">
      <c r="A1159" s="34"/>
    </row>
    <row r="1160" spans="1:1" ht="15.75" customHeight="1">
      <c r="A1160" s="34"/>
    </row>
    <row r="1161" spans="1:1" ht="15.75" customHeight="1">
      <c r="A1161" s="34"/>
    </row>
    <row r="1162" spans="1:1" ht="15.75" customHeight="1">
      <c r="A1162" s="34"/>
    </row>
    <row r="1163" spans="1:1" ht="15.75" customHeight="1">
      <c r="A1163" s="34"/>
    </row>
    <row r="1164" spans="1:1" ht="15.75" customHeight="1">
      <c r="A1164" s="34"/>
    </row>
    <row r="1165" spans="1:1" ht="15.75" customHeight="1">
      <c r="A1165" s="34"/>
    </row>
    <row r="1166" spans="1:1" ht="15.75" customHeight="1">
      <c r="A1166" s="34"/>
    </row>
    <row r="1167" spans="1:1" ht="15.75" customHeight="1">
      <c r="A1167" s="34"/>
    </row>
    <row r="1168" spans="1:1" ht="15.75" customHeight="1">
      <c r="A1168" s="34"/>
    </row>
    <row r="1169" spans="1:1" ht="15.75" customHeight="1">
      <c r="A1169" s="34"/>
    </row>
    <row r="1170" spans="1:1" ht="15.75" customHeight="1">
      <c r="A1170" s="34"/>
    </row>
    <row r="1171" spans="1:1" ht="15.75" customHeight="1">
      <c r="A1171" s="34"/>
    </row>
    <row r="1172" spans="1:1" ht="15.75" customHeight="1">
      <c r="A1172" s="34"/>
    </row>
    <row r="1173" spans="1:1" ht="15.75" customHeight="1">
      <c r="A1173" s="34"/>
    </row>
    <row r="1174" spans="1:1" ht="15.75" customHeight="1">
      <c r="A1174" s="34"/>
    </row>
    <row r="1175" spans="1:1" ht="15.75" customHeight="1">
      <c r="A1175" s="34"/>
    </row>
    <row r="1176" spans="1:1" ht="15.75" customHeight="1">
      <c r="A1176" s="34"/>
    </row>
    <row r="1177" spans="1:1" ht="15.75" customHeight="1">
      <c r="A1177" s="34"/>
    </row>
    <row r="1178" spans="1:1" ht="15.75" customHeight="1">
      <c r="A1178" s="34"/>
    </row>
    <row r="1179" spans="1:1" ht="15.75" customHeight="1">
      <c r="A1179" s="34"/>
    </row>
    <row r="1180" spans="1:1" ht="15.75" customHeight="1">
      <c r="A1180" s="34"/>
    </row>
    <row r="1181" spans="1:1" ht="15.75" customHeight="1">
      <c r="A1181" s="34"/>
    </row>
    <row r="1182" spans="1:1" ht="15.75" customHeight="1">
      <c r="A1182" s="34"/>
    </row>
    <row r="1183" spans="1:1" ht="15.75" customHeight="1">
      <c r="A1183" s="34"/>
    </row>
    <row r="1184" spans="1:1" ht="15.75" customHeight="1">
      <c r="A1184" s="34"/>
    </row>
    <row r="1185" spans="1:1" ht="15.75" customHeight="1">
      <c r="A1185" s="34"/>
    </row>
    <row r="1186" spans="1:1" ht="15.75" customHeight="1">
      <c r="A1186" s="34"/>
    </row>
    <row r="1187" spans="1:1" ht="15.75" customHeight="1">
      <c r="A1187" s="34"/>
    </row>
    <row r="1188" spans="1:1" ht="15.75" customHeight="1">
      <c r="A1188" s="34"/>
    </row>
    <row r="1189" spans="1:1" ht="15.75" customHeight="1">
      <c r="A1189" s="34"/>
    </row>
    <row r="1190" spans="1:1" ht="15.75" customHeight="1">
      <c r="A1190" s="34"/>
    </row>
    <row r="1191" spans="1:1" ht="15.75" customHeight="1">
      <c r="A1191" s="34"/>
    </row>
    <row r="1192" spans="1:1" ht="15.75" customHeight="1">
      <c r="A1192" s="34"/>
    </row>
    <row r="1193" spans="1:1" ht="15.75" customHeight="1">
      <c r="A1193" s="34"/>
    </row>
    <row r="1194" spans="1:1" ht="15.75" customHeight="1">
      <c r="A1194" s="34"/>
    </row>
    <row r="1195" spans="1:1" ht="15.75" customHeight="1">
      <c r="A1195" s="34"/>
    </row>
    <row r="1196" spans="1:1" ht="15.75" customHeight="1">
      <c r="A1196" s="34"/>
    </row>
    <row r="1197" spans="1:1" ht="15.75" customHeight="1">
      <c r="A1197" s="34"/>
    </row>
    <row r="1198" spans="1:1" ht="15.75" customHeight="1">
      <c r="A1198" s="34"/>
    </row>
    <row r="1199" spans="1:1" ht="15.75" customHeight="1">
      <c r="A1199" s="34"/>
    </row>
    <row r="1200" spans="1:1" ht="15.75" customHeight="1">
      <c r="A1200" s="34"/>
    </row>
    <row r="1201" spans="1:1" ht="15.75" customHeight="1">
      <c r="A1201" s="34"/>
    </row>
    <row r="1202" spans="1:1" ht="15.75" customHeight="1">
      <c r="A1202" s="34"/>
    </row>
    <row r="1203" spans="1:1" ht="15.75" customHeight="1">
      <c r="A1203" s="34"/>
    </row>
    <row r="1204" spans="1:1" ht="15.75" customHeight="1">
      <c r="A1204" s="34"/>
    </row>
    <row r="1205" spans="1:1" ht="15.75" customHeight="1">
      <c r="A1205" s="34"/>
    </row>
    <row r="1206" spans="1:1" ht="15.75" customHeight="1">
      <c r="A1206" s="34"/>
    </row>
    <row r="1207" spans="1:1" ht="15.75" customHeight="1">
      <c r="A1207" s="34"/>
    </row>
    <row r="1208" spans="1:1" ht="15.75" customHeight="1">
      <c r="A1208" s="34"/>
    </row>
    <row r="1209" spans="1:1" ht="15.75" customHeight="1">
      <c r="A1209" s="34"/>
    </row>
    <row r="1210" spans="1:1" ht="15.75" customHeight="1">
      <c r="A1210" s="34"/>
    </row>
    <row r="1211" spans="1:1" ht="15.75" customHeight="1">
      <c r="A1211" s="34"/>
    </row>
    <row r="1212" spans="1:1" ht="15.75" customHeight="1">
      <c r="A1212" s="34"/>
    </row>
    <row r="1213" spans="1:1" ht="15.75" customHeight="1">
      <c r="A1213" s="34"/>
    </row>
    <row r="1214" spans="1:1" ht="15.75" customHeight="1">
      <c r="A1214" s="34"/>
    </row>
    <row r="1215" spans="1:1" ht="15.75" customHeight="1">
      <c r="A1215" s="34"/>
    </row>
    <row r="1216" spans="1:1" ht="15.75" customHeight="1">
      <c r="A1216" s="34"/>
    </row>
    <row r="1217" spans="1:1" ht="15.75" customHeight="1">
      <c r="A1217" s="34"/>
    </row>
    <row r="1218" spans="1:1" ht="15.75" customHeight="1">
      <c r="A1218" s="34"/>
    </row>
    <row r="1219" spans="1:1" ht="15.75" customHeight="1">
      <c r="A1219" s="34"/>
    </row>
    <row r="1220" spans="1:1" ht="15.75" customHeight="1">
      <c r="A1220" s="34"/>
    </row>
    <row r="1221" spans="1:1" ht="15.75" customHeight="1">
      <c r="A1221" s="34"/>
    </row>
    <row r="1222" spans="1:1" ht="15.75" customHeight="1">
      <c r="A1222" s="34"/>
    </row>
    <row r="1223" spans="1:1" ht="15.75" customHeight="1">
      <c r="A1223" s="34"/>
    </row>
    <row r="1224" spans="1:1" ht="15.75" customHeight="1">
      <c r="A1224" s="34"/>
    </row>
    <row r="1225" spans="1:1" ht="15.75" customHeight="1">
      <c r="A1225" s="34"/>
    </row>
    <row r="1226" spans="1:1" ht="15.75" customHeight="1">
      <c r="A1226" s="34"/>
    </row>
    <row r="1227" spans="1:1" ht="15.75" customHeight="1">
      <c r="A1227" s="34"/>
    </row>
    <row r="1228" spans="1:1" ht="15.75" customHeight="1">
      <c r="A1228" s="34"/>
    </row>
    <row r="1229" spans="1:1" ht="15.75" customHeight="1">
      <c r="A1229" s="34"/>
    </row>
    <row r="1230" spans="1:1" ht="15.75" customHeight="1">
      <c r="A1230" s="34"/>
    </row>
    <row r="1231" spans="1:1" ht="15.75" customHeight="1">
      <c r="A1231" s="34"/>
    </row>
    <row r="1232" spans="1:1" ht="15.75" customHeight="1">
      <c r="A1232" s="34"/>
    </row>
    <row r="1233" spans="1:1" ht="15.75" customHeight="1">
      <c r="A1233" s="34"/>
    </row>
    <row r="1234" spans="1:1" ht="15.75" customHeight="1">
      <c r="A1234" s="34"/>
    </row>
    <row r="1235" spans="1:1" ht="15.75" customHeight="1">
      <c r="A1235" s="34"/>
    </row>
    <row r="1236" spans="1:1" ht="15.75" customHeight="1">
      <c r="A1236" s="34"/>
    </row>
    <row r="1237" spans="1:1" ht="15.75" customHeight="1">
      <c r="A1237" s="34"/>
    </row>
    <row r="1238" spans="1:1" ht="15.75" customHeight="1">
      <c r="A1238" s="34"/>
    </row>
    <row r="1239" spans="1:1" ht="15.75" customHeight="1">
      <c r="A1239" s="34"/>
    </row>
    <row r="1240" spans="1:1" ht="15.75" customHeight="1">
      <c r="A1240" s="34"/>
    </row>
    <row r="1241" spans="1:1" ht="15.75" customHeight="1">
      <c r="A1241" s="34"/>
    </row>
    <row r="1242" spans="1:1" ht="15.75" customHeight="1">
      <c r="A1242" s="34"/>
    </row>
    <row r="1243" spans="1:1" ht="15.75" customHeight="1">
      <c r="A1243" s="34"/>
    </row>
    <row r="1244" spans="1:1" ht="15.75" customHeight="1">
      <c r="A1244" s="34"/>
    </row>
    <row r="1245" spans="1:1" ht="15.75" customHeight="1">
      <c r="A1245" s="34"/>
    </row>
    <row r="1246" spans="1:1" ht="15.75" customHeight="1">
      <c r="A1246" s="34"/>
    </row>
    <row r="1247" spans="1:1" ht="15.75" customHeight="1">
      <c r="A1247" s="34"/>
    </row>
    <row r="1248" spans="1:1" ht="15.75" customHeight="1">
      <c r="A1248" s="34"/>
    </row>
    <row r="1249" spans="1:1" ht="15.75" customHeight="1">
      <c r="A1249" s="34"/>
    </row>
    <row r="1250" spans="1:1" ht="15.75" customHeight="1">
      <c r="A1250" s="34"/>
    </row>
    <row r="1251" spans="1:1" ht="15.75" customHeight="1">
      <c r="A1251" s="34"/>
    </row>
    <row r="1252" spans="1:1" ht="15.75" customHeight="1">
      <c r="A1252" s="34"/>
    </row>
    <row r="1253" spans="1:1" ht="15.75" customHeight="1">
      <c r="A1253" s="34"/>
    </row>
    <row r="1254" spans="1:1" ht="15.75" customHeight="1">
      <c r="A1254" s="34"/>
    </row>
    <row r="1255" spans="1:1" ht="15.75" customHeight="1">
      <c r="A1255" s="34"/>
    </row>
    <row r="1256" spans="1:1" ht="15.75" customHeight="1">
      <c r="A1256" s="34"/>
    </row>
    <row r="1257" spans="1:1" ht="15.75" customHeight="1">
      <c r="A1257" s="34"/>
    </row>
    <row r="1258" spans="1:1" ht="15.75" customHeight="1">
      <c r="A1258" s="34"/>
    </row>
    <row r="1259" spans="1:1" ht="15.75" customHeight="1">
      <c r="A1259" s="34"/>
    </row>
    <row r="1260" spans="1:1" ht="15.75" customHeight="1">
      <c r="A1260" s="34"/>
    </row>
    <row r="1261" spans="1:1" ht="15.75" customHeight="1">
      <c r="A1261" s="34"/>
    </row>
    <row r="1262" spans="1:1" ht="15.75" customHeight="1">
      <c r="A1262" s="34"/>
    </row>
    <row r="1263" spans="1:1" ht="15.75" customHeight="1">
      <c r="A1263" s="34"/>
    </row>
    <row r="1264" spans="1:1" ht="15.75" customHeight="1">
      <c r="A1264" s="34"/>
    </row>
    <row r="1265" spans="1:1" ht="15.75" customHeight="1">
      <c r="A1265" s="34"/>
    </row>
    <row r="1266" spans="1:1" ht="15.75" customHeight="1">
      <c r="A1266" s="34"/>
    </row>
    <row r="1267" spans="1:1" ht="15.75" customHeight="1">
      <c r="A1267" s="34"/>
    </row>
    <row r="1268" spans="1:1" ht="15.75" customHeight="1">
      <c r="A1268" s="34"/>
    </row>
    <row r="1269" spans="1:1" ht="15.75" customHeight="1">
      <c r="A1269" s="34"/>
    </row>
    <row r="1270" spans="1:1" ht="15.75" customHeight="1">
      <c r="A1270" s="34"/>
    </row>
    <row r="1271" spans="1:1" ht="15.75" customHeight="1">
      <c r="A1271" s="34"/>
    </row>
    <row r="1272" spans="1:1" ht="15.75" customHeight="1">
      <c r="A1272" s="34"/>
    </row>
    <row r="1273" spans="1:1" ht="15.75" customHeight="1">
      <c r="A1273" s="34"/>
    </row>
    <row r="1274" spans="1:1" ht="15.75" customHeight="1">
      <c r="A1274" s="34"/>
    </row>
    <row r="1275" spans="1:1" ht="15.75" customHeight="1">
      <c r="A1275" s="34"/>
    </row>
    <row r="1276" spans="1:1" ht="15.75" customHeight="1">
      <c r="A1276" s="34"/>
    </row>
    <row r="1277" spans="1:1" ht="15.75" customHeight="1">
      <c r="A1277" s="34"/>
    </row>
    <row r="1278" spans="1:1" ht="15.75" customHeight="1">
      <c r="A1278" s="34"/>
    </row>
    <row r="1279" spans="1:1" ht="15.75" customHeight="1">
      <c r="A1279" s="34"/>
    </row>
    <row r="1280" spans="1:1" ht="15.75" customHeight="1">
      <c r="A1280" s="34"/>
    </row>
    <row r="1281" spans="1:1" ht="15.75" customHeight="1">
      <c r="A1281" s="34"/>
    </row>
    <row r="1282" spans="1:1" ht="15.75" customHeight="1">
      <c r="A1282" s="34"/>
    </row>
    <row r="1283" spans="1:1" ht="15.75" customHeight="1">
      <c r="A1283" s="34"/>
    </row>
    <row r="1284" spans="1:1" ht="15.75" customHeight="1">
      <c r="A1284" s="34"/>
    </row>
    <row r="1285" spans="1:1" ht="15.75" customHeight="1">
      <c r="A1285" s="34"/>
    </row>
    <row r="1286" spans="1:1" ht="15.75" customHeight="1">
      <c r="A1286" s="34"/>
    </row>
    <row r="1287" spans="1:1" ht="15.75" customHeight="1">
      <c r="A1287" s="34"/>
    </row>
    <row r="1288" spans="1:1" ht="15.75" customHeight="1">
      <c r="A1288" s="34"/>
    </row>
    <row r="1289" spans="1:1" ht="15.75" customHeight="1">
      <c r="A1289" s="34"/>
    </row>
    <row r="1290" spans="1:1" ht="15.75" customHeight="1">
      <c r="A1290" s="34"/>
    </row>
    <row r="1291" spans="1:1" ht="15.75" customHeight="1">
      <c r="A1291" s="34"/>
    </row>
    <row r="1292" spans="1:1" ht="15.75" customHeight="1">
      <c r="A1292" s="34"/>
    </row>
    <row r="1293" spans="1:1" ht="15.75" customHeight="1">
      <c r="A1293" s="34"/>
    </row>
    <row r="1294" spans="1:1" ht="15.75" customHeight="1">
      <c r="A1294" s="34"/>
    </row>
    <row r="1295" spans="1:1" ht="15.75" customHeight="1">
      <c r="A1295" s="34"/>
    </row>
    <row r="1296" spans="1:1" ht="15.75" customHeight="1">
      <c r="A1296" s="34"/>
    </row>
    <row r="1297" spans="1:1" ht="15.75" customHeight="1">
      <c r="A1297" s="34"/>
    </row>
    <row r="1298" spans="1:1" ht="15.75" customHeight="1">
      <c r="A1298" s="34"/>
    </row>
    <row r="1299" spans="1:1" ht="15.75" customHeight="1">
      <c r="A1299" s="34"/>
    </row>
    <row r="1300" spans="1:1" ht="15.75" customHeight="1">
      <c r="A1300" s="34"/>
    </row>
    <row r="1301" spans="1:1" ht="15.75" customHeight="1">
      <c r="A1301" s="34"/>
    </row>
    <row r="1302" spans="1:1" ht="15.75" customHeight="1">
      <c r="A1302" s="34"/>
    </row>
    <row r="1303" spans="1:1" ht="15.75" customHeight="1">
      <c r="A1303" s="34"/>
    </row>
    <row r="1304" spans="1:1" ht="15.75" customHeight="1">
      <c r="A1304" s="34"/>
    </row>
    <row r="1305" spans="1:1" ht="15.75" customHeight="1">
      <c r="A1305" s="34"/>
    </row>
    <row r="1306" spans="1:1" ht="15.75" customHeight="1">
      <c r="A1306" s="34"/>
    </row>
    <row r="1307" spans="1:1" ht="15.75" customHeight="1">
      <c r="A1307" s="34"/>
    </row>
    <row r="1308" spans="1:1" ht="15.75" customHeight="1">
      <c r="A1308" s="34"/>
    </row>
    <row r="1309" spans="1:1" ht="15.75" customHeight="1">
      <c r="A1309" s="34"/>
    </row>
    <row r="1310" spans="1:1" ht="15.75" customHeight="1">
      <c r="A1310" s="34"/>
    </row>
    <row r="1311" spans="1:1" ht="15.75" customHeight="1">
      <c r="A1311" s="34"/>
    </row>
    <row r="1312" spans="1:1" ht="15.75" customHeight="1">
      <c r="A1312" s="34"/>
    </row>
    <row r="1313" spans="1:1" ht="15.75" customHeight="1">
      <c r="A1313" s="34"/>
    </row>
    <row r="1314" spans="1:1" ht="15.75" customHeight="1">
      <c r="A1314" s="34"/>
    </row>
    <row r="1315" spans="1:1" ht="15.75" customHeight="1">
      <c r="A1315" s="34"/>
    </row>
    <row r="1316" spans="1:1" ht="15.75" customHeight="1">
      <c r="A1316" s="34"/>
    </row>
    <row r="1317" spans="1:1" ht="15.75" customHeight="1">
      <c r="A1317" s="34"/>
    </row>
    <row r="1318" spans="1:1" ht="15.75" customHeight="1">
      <c r="A1318" s="34"/>
    </row>
    <row r="1319" spans="1:1" ht="15.75" customHeight="1">
      <c r="A1319" s="34"/>
    </row>
    <row r="1320" spans="1:1" ht="15.75" customHeight="1">
      <c r="A1320" s="34"/>
    </row>
    <row r="1321" spans="1:1" ht="15.75" customHeight="1">
      <c r="A1321" s="34"/>
    </row>
    <row r="1322" spans="1:1" ht="15.75" customHeight="1">
      <c r="A1322" s="34"/>
    </row>
    <row r="1323" spans="1:1" ht="15.75" customHeight="1">
      <c r="A1323" s="34"/>
    </row>
    <row r="1324" spans="1:1" ht="15.75" customHeight="1">
      <c r="A1324" s="34"/>
    </row>
    <row r="1325" spans="1:1" ht="15.75" customHeight="1">
      <c r="A1325" s="34"/>
    </row>
    <row r="1326" spans="1:1" ht="15.75" customHeight="1">
      <c r="A1326" s="34"/>
    </row>
    <row r="1327" spans="1:1" ht="15.75" customHeight="1">
      <c r="A1327" s="34"/>
    </row>
    <row r="1328" spans="1:1" ht="15.75" customHeight="1">
      <c r="A1328" s="34"/>
    </row>
    <row r="1329" spans="1:1" ht="15.75" customHeight="1">
      <c r="A1329" s="34"/>
    </row>
    <row r="1330" spans="1:1" ht="15.75" customHeight="1">
      <c r="A1330" s="34"/>
    </row>
    <row r="1331" spans="1:1" ht="15.75" customHeight="1">
      <c r="A1331" s="34"/>
    </row>
    <row r="1332" spans="1:1" ht="15.75" customHeight="1">
      <c r="A1332" s="34"/>
    </row>
    <row r="1333" spans="1:1" ht="15.75" customHeight="1">
      <c r="A1333" s="34"/>
    </row>
    <row r="1334" spans="1:1" ht="15.75" customHeight="1">
      <c r="A1334" s="34"/>
    </row>
    <row r="1335" spans="1:1" ht="15.75" customHeight="1">
      <c r="A1335" s="34"/>
    </row>
    <row r="1336" spans="1:1" ht="15.75" customHeight="1">
      <c r="A1336" s="34"/>
    </row>
    <row r="1337" spans="1:1" ht="15.75" customHeight="1">
      <c r="A1337" s="34"/>
    </row>
    <row r="1338" spans="1:1" ht="15.75" customHeight="1">
      <c r="A1338" s="34"/>
    </row>
    <row r="1339" spans="1:1" ht="15.75" customHeight="1">
      <c r="A1339" s="34"/>
    </row>
    <row r="1340" spans="1:1" ht="15.75" customHeight="1">
      <c r="A1340" s="34"/>
    </row>
    <row r="1341" spans="1:1" ht="15.75" customHeight="1">
      <c r="A1341" s="34"/>
    </row>
    <row r="1342" spans="1:1" ht="15.75" customHeight="1">
      <c r="A1342" s="34"/>
    </row>
    <row r="1343" spans="1:1" ht="15.75" customHeight="1">
      <c r="A1343" s="34"/>
    </row>
    <row r="1344" spans="1:1" ht="15.75" customHeight="1">
      <c r="A1344" s="34"/>
    </row>
    <row r="1345" spans="1:1" ht="15.75" customHeight="1">
      <c r="A1345" s="34"/>
    </row>
    <row r="1346" spans="1:1" ht="15.75" customHeight="1">
      <c r="A1346" s="34"/>
    </row>
    <row r="1347" spans="1:1" ht="15.75" customHeight="1">
      <c r="A1347" s="34"/>
    </row>
    <row r="1348" spans="1:1" ht="15.75" customHeight="1">
      <c r="A1348" s="34"/>
    </row>
    <row r="1349" spans="1:1" ht="15.75" customHeight="1">
      <c r="A1349" s="34"/>
    </row>
    <row r="1350" spans="1:1" ht="15.75" customHeight="1">
      <c r="A1350" s="34"/>
    </row>
    <row r="1351" spans="1:1" ht="15.75" customHeight="1">
      <c r="A1351" s="34"/>
    </row>
    <row r="1352" spans="1:1" ht="15.75" customHeight="1">
      <c r="A1352" s="34"/>
    </row>
    <row r="1353" spans="1:1" ht="15.75" customHeight="1">
      <c r="A1353" s="34"/>
    </row>
    <row r="1354" spans="1:1" ht="15.75" customHeight="1">
      <c r="A1354" s="34"/>
    </row>
    <row r="1355" spans="1:1" ht="15.75" customHeight="1">
      <c r="A1355" s="34"/>
    </row>
    <row r="1356" spans="1:1" ht="15.75" customHeight="1">
      <c r="A1356" s="34"/>
    </row>
    <row r="1357" spans="1:1" ht="15.75" customHeight="1">
      <c r="A1357" s="34"/>
    </row>
    <row r="1358" spans="1:1" ht="15.75" customHeight="1">
      <c r="A1358" s="34"/>
    </row>
    <row r="1359" spans="1:1" ht="15.75" customHeight="1">
      <c r="A1359" s="34"/>
    </row>
    <row r="1360" spans="1:1" ht="15.75" customHeight="1">
      <c r="A1360" s="34"/>
    </row>
    <row r="1361" spans="1:1" ht="15.75" customHeight="1">
      <c r="A1361" s="34"/>
    </row>
    <row r="1362" spans="1:1" ht="15.75" customHeight="1">
      <c r="A1362" s="34"/>
    </row>
    <row r="1363" spans="1:1" ht="15.75" customHeight="1">
      <c r="A1363" s="34"/>
    </row>
    <row r="1364" spans="1:1" ht="15.75" customHeight="1">
      <c r="A1364" s="34"/>
    </row>
    <row r="1365" spans="1:1" ht="15.75" customHeight="1">
      <c r="A1365" s="34"/>
    </row>
    <row r="1366" spans="1:1" ht="15.75" customHeight="1">
      <c r="A1366" s="34"/>
    </row>
    <row r="1367" spans="1:1" ht="15.75" customHeight="1">
      <c r="A1367" s="34"/>
    </row>
    <row r="1368" spans="1:1" ht="15.75" customHeight="1">
      <c r="A1368" s="34"/>
    </row>
    <row r="1369" spans="1:1" ht="15.75" customHeight="1">
      <c r="A1369" s="34"/>
    </row>
    <row r="1370" spans="1:1" ht="15.75" customHeight="1">
      <c r="A1370" s="34"/>
    </row>
    <row r="1371" spans="1:1" ht="15.75" customHeight="1">
      <c r="A1371" s="34"/>
    </row>
    <row r="1372" spans="1:1" ht="15.75" customHeight="1">
      <c r="A1372" s="34"/>
    </row>
    <row r="1373" spans="1:1" ht="15.75" customHeight="1">
      <c r="A1373" s="34"/>
    </row>
    <row r="1374" spans="1:1" ht="15.75" customHeight="1">
      <c r="A1374" s="34"/>
    </row>
    <row r="1375" spans="1:1" ht="15.75" customHeight="1">
      <c r="A1375" s="34"/>
    </row>
    <row r="1376" spans="1:1" ht="15.75" customHeight="1">
      <c r="A1376" s="34"/>
    </row>
    <row r="1377" spans="1:1" ht="15.75" customHeight="1">
      <c r="A1377" s="34"/>
    </row>
    <row r="1378" spans="1:1" ht="15.75" customHeight="1">
      <c r="A1378" s="34"/>
    </row>
    <row r="1379" spans="1:1" ht="15.75" customHeight="1">
      <c r="A1379" s="34"/>
    </row>
    <row r="1380" spans="1:1" ht="15.75" customHeight="1">
      <c r="A1380" s="34"/>
    </row>
    <row r="1381" spans="1:1" ht="15.75" customHeight="1">
      <c r="A1381" s="34"/>
    </row>
    <row r="1382" spans="1:1" ht="15.75" customHeight="1">
      <c r="A1382" s="34"/>
    </row>
    <row r="1383" spans="1:1" ht="15.75" customHeight="1">
      <c r="A1383" s="34"/>
    </row>
    <row r="1384" spans="1:1" ht="15.75" customHeight="1">
      <c r="A1384" s="34"/>
    </row>
    <row r="1385" spans="1:1" ht="15.75" customHeight="1">
      <c r="A1385" s="34"/>
    </row>
    <row r="1386" spans="1:1" ht="15.75" customHeight="1">
      <c r="A1386" s="34"/>
    </row>
    <row r="1387" spans="1:1" ht="15.75" customHeight="1">
      <c r="A1387" s="34"/>
    </row>
    <row r="1388" spans="1:1" ht="15.75" customHeight="1">
      <c r="A1388" s="34"/>
    </row>
    <row r="1389" spans="1:1" ht="15.75" customHeight="1">
      <c r="A1389" s="34"/>
    </row>
    <row r="1390" spans="1:1" ht="15.75" customHeight="1">
      <c r="A1390" s="34"/>
    </row>
    <row r="1391" spans="1:1" ht="15.75" customHeight="1">
      <c r="A1391" s="34"/>
    </row>
    <row r="1392" spans="1:1" ht="15.75" customHeight="1">
      <c r="A1392" s="34"/>
    </row>
    <row r="1393" spans="1:1" ht="15.75" customHeight="1">
      <c r="A1393" s="34"/>
    </row>
    <row r="1394" spans="1:1" ht="15.75" customHeight="1">
      <c r="A1394" s="34"/>
    </row>
    <row r="1395" spans="1:1" ht="15.75" customHeight="1">
      <c r="A1395" s="34"/>
    </row>
    <row r="1396" spans="1:1" ht="15.75" customHeight="1">
      <c r="A1396" s="34"/>
    </row>
    <row r="1397" spans="1:1" ht="15.75" customHeight="1">
      <c r="A1397" s="34"/>
    </row>
    <row r="1398" spans="1:1" ht="15.75" customHeight="1">
      <c r="A1398" s="34"/>
    </row>
    <row r="1399" spans="1:1" ht="15.75" customHeight="1">
      <c r="A1399" s="34"/>
    </row>
    <row r="1400" spans="1:1" ht="15.75" customHeight="1">
      <c r="A1400" s="34"/>
    </row>
    <row r="1401" spans="1:1" ht="15.75" customHeight="1">
      <c r="A1401" s="34"/>
    </row>
    <row r="1402" spans="1:1" ht="15.75" customHeight="1">
      <c r="A1402" s="34"/>
    </row>
    <row r="1403" spans="1:1" ht="15.75" customHeight="1">
      <c r="A1403" s="34"/>
    </row>
    <row r="1404" spans="1:1" ht="15.75" customHeight="1">
      <c r="A1404" s="34"/>
    </row>
    <row r="1405" spans="1:1" ht="15.75" customHeight="1">
      <c r="A1405" s="34"/>
    </row>
    <row r="1406" spans="1:1" ht="15.75" customHeight="1">
      <c r="A1406" s="34"/>
    </row>
    <row r="1407" spans="1:1" ht="15.75" customHeight="1">
      <c r="A1407" s="34"/>
    </row>
    <row r="1408" spans="1:1" ht="15.75" customHeight="1">
      <c r="A1408" s="34"/>
    </row>
    <row r="1409" spans="1:1" ht="15.75" customHeight="1">
      <c r="A1409" s="34"/>
    </row>
    <row r="1410" spans="1:1" ht="15.75" customHeight="1">
      <c r="A1410" s="34"/>
    </row>
    <row r="1411" spans="1:1" ht="15.75" customHeight="1">
      <c r="A1411" s="34"/>
    </row>
    <row r="1412" spans="1:1" ht="15.75" customHeight="1">
      <c r="A1412" s="34"/>
    </row>
    <row r="1413" spans="1:1" ht="15.75" customHeight="1">
      <c r="A1413" s="34"/>
    </row>
    <row r="1414" spans="1:1" ht="15.75" customHeight="1">
      <c r="A1414" s="34"/>
    </row>
    <row r="1415" spans="1:1" ht="15.75" customHeight="1">
      <c r="A1415" s="34"/>
    </row>
    <row r="1416" spans="1:1" ht="15.75" customHeight="1">
      <c r="A1416" s="34"/>
    </row>
    <row r="1417" spans="1:1" ht="15.75" customHeight="1">
      <c r="A1417" s="34"/>
    </row>
    <row r="1418" spans="1:1" ht="15.75" customHeight="1">
      <c r="A1418" s="34"/>
    </row>
    <row r="1419" spans="1:1" ht="15.75" customHeight="1">
      <c r="A1419" s="34"/>
    </row>
    <row r="1420" spans="1:1" ht="15.75" customHeight="1">
      <c r="A1420" s="34"/>
    </row>
    <row r="1421" spans="1:1" ht="15.75" customHeight="1">
      <c r="A1421" s="34"/>
    </row>
    <row r="1422" spans="1:1" ht="15.75" customHeight="1">
      <c r="A1422" s="34"/>
    </row>
    <row r="1423" spans="1:1" ht="15.75" customHeight="1">
      <c r="A1423" s="34"/>
    </row>
    <row r="1424" spans="1:1" ht="15.75" customHeight="1">
      <c r="A1424" s="34"/>
    </row>
    <row r="1425" spans="1:1" ht="15.75" customHeight="1">
      <c r="A1425" s="34"/>
    </row>
    <row r="1426" spans="1:1" ht="15.75" customHeight="1">
      <c r="A1426" s="34"/>
    </row>
    <row r="1427" spans="1:1" ht="15.75" customHeight="1">
      <c r="A1427" s="34"/>
    </row>
    <row r="1428" spans="1:1" ht="15.75" customHeight="1">
      <c r="A1428" s="34"/>
    </row>
    <row r="1429" spans="1:1" ht="15.75" customHeight="1">
      <c r="A1429" s="34"/>
    </row>
    <row r="1430" spans="1:1" ht="15.75" customHeight="1">
      <c r="A1430" s="34"/>
    </row>
    <row r="1431" spans="1:1" ht="15.75" customHeight="1">
      <c r="A1431" s="34"/>
    </row>
    <row r="1432" spans="1:1" ht="15.75" customHeight="1">
      <c r="A1432" s="34"/>
    </row>
    <row r="1433" spans="1:1" ht="15.75" customHeight="1">
      <c r="A1433" s="34"/>
    </row>
    <row r="1434" spans="1:1" ht="15.75" customHeight="1">
      <c r="A1434" s="34"/>
    </row>
    <row r="1435" spans="1:1" ht="15.75" customHeight="1">
      <c r="A1435" s="34"/>
    </row>
    <row r="1436" spans="1:1" ht="15.75" customHeight="1">
      <c r="A1436" s="34"/>
    </row>
    <row r="1437" spans="1:1" ht="15.75" customHeight="1">
      <c r="A1437" s="34"/>
    </row>
    <row r="1438" spans="1:1" ht="15.75" customHeight="1">
      <c r="A1438" s="34"/>
    </row>
    <row r="1439" spans="1:1" ht="15.75" customHeight="1">
      <c r="A1439" s="34"/>
    </row>
    <row r="1440" spans="1:1" ht="15.75" customHeight="1">
      <c r="A1440" s="34"/>
    </row>
    <row r="1441" spans="1:1" ht="15.75" customHeight="1">
      <c r="A1441" s="34"/>
    </row>
    <row r="1442" spans="1:1" ht="15.75" customHeight="1">
      <c r="A1442" s="34"/>
    </row>
    <row r="1443" spans="1:1" ht="15.75" customHeight="1">
      <c r="A1443" s="34"/>
    </row>
    <row r="1444" spans="1:1" ht="15.75" customHeight="1">
      <c r="A1444" s="34"/>
    </row>
    <row r="1445" spans="1:1" ht="15.75" customHeight="1">
      <c r="A1445" s="34"/>
    </row>
    <row r="1446" spans="1:1" ht="15.75" customHeight="1">
      <c r="A1446" s="34"/>
    </row>
    <row r="1447" spans="1:1" ht="15.75" customHeight="1">
      <c r="A1447" s="34"/>
    </row>
    <row r="1448" spans="1:1" ht="15.75" customHeight="1">
      <c r="A1448" s="34"/>
    </row>
    <row r="1449" spans="1:1" ht="15.75" customHeight="1">
      <c r="A1449" s="34"/>
    </row>
    <row r="1450" spans="1:1" ht="15.75" customHeight="1">
      <c r="A1450" s="34"/>
    </row>
    <row r="1451" spans="1:1" ht="15.75" customHeight="1">
      <c r="A1451" s="34"/>
    </row>
    <row r="1452" spans="1:1" ht="15.75" customHeight="1">
      <c r="A1452" s="34"/>
    </row>
    <row r="1453" spans="1:1" ht="15.75" customHeight="1">
      <c r="A1453" s="34"/>
    </row>
    <row r="1454" spans="1:1" ht="15.75" customHeight="1">
      <c r="A1454" s="34"/>
    </row>
    <row r="1455" spans="1:1" ht="15.75" customHeight="1">
      <c r="A1455" s="34"/>
    </row>
    <row r="1456" spans="1:1" ht="15.75" customHeight="1">
      <c r="A1456" s="34"/>
    </row>
    <row r="1457" spans="1:1" ht="15.75" customHeight="1">
      <c r="A1457" s="34"/>
    </row>
    <row r="1458" spans="1:1" ht="15.75" customHeight="1">
      <c r="A1458" s="34"/>
    </row>
    <row r="1459" spans="1:1" ht="15.75" customHeight="1">
      <c r="A1459" s="34"/>
    </row>
    <row r="1460" spans="1:1" ht="15.75" customHeight="1">
      <c r="A1460" s="34"/>
    </row>
    <row r="1461" spans="1:1" ht="15.75" customHeight="1">
      <c r="A1461" s="34"/>
    </row>
    <row r="1462" spans="1:1" ht="15.75" customHeight="1">
      <c r="A1462" s="34"/>
    </row>
    <row r="1463" spans="1:1" ht="15.75" customHeight="1">
      <c r="A1463" s="34"/>
    </row>
    <row r="1464" spans="1:1" ht="15.75" customHeight="1">
      <c r="A1464" s="34"/>
    </row>
    <row r="1465" spans="1:1" ht="15.75" customHeight="1">
      <c r="A1465" s="34"/>
    </row>
    <row r="1466" spans="1:1" ht="15.75" customHeight="1">
      <c r="A1466" s="34"/>
    </row>
    <row r="1467" spans="1:1" ht="15.75" customHeight="1">
      <c r="A1467" s="34"/>
    </row>
    <row r="1468" spans="1:1" ht="15.75" customHeight="1">
      <c r="A1468" s="34"/>
    </row>
    <row r="1469" spans="1:1" ht="15.75" customHeight="1">
      <c r="A1469" s="34"/>
    </row>
    <row r="1470" spans="1:1" ht="15.75" customHeight="1">
      <c r="A1470" s="34"/>
    </row>
    <row r="1471" spans="1:1" ht="15.75" customHeight="1">
      <c r="A1471" s="34"/>
    </row>
    <row r="1472" spans="1:1" ht="15.75" customHeight="1">
      <c r="A1472" s="34"/>
    </row>
    <row r="1473" spans="1:1" ht="15.75" customHeight="1">
      <c r="A1473" s="34"/>
    </row>
    <row r="1474" spans="1:1" ht="15.75" customHeight="1">
      <c r="A1474" s="34"/>
    </row>
    <row r="1475" spans="1:1" ht="15.75" customHeight="1">
      <c r="A1475" s="34"/>
    </row>
    <row r="1476" spans="1:1" ht="15.75" customHeight="1">
      <c r="A1476" s="34"/>
    </row>
    <row r="1477" spans="1:1" ht="15.75" customHeight="1">
      <c r="A1477" s="34"/>
    </row>
    <row r="1478" spans="1:1" ht="15.75" customHeight="1">
      <c r="A1478" s="34"/>
    </row>
    <row r="1479" spans="1:1" ht="15.75" customHeight="1">
      <c r="A1479" s="34"/>
    </row>
    <row r="1480" spans="1:1" ht="15.75" customHeight="1">
      <c r="A1480" s="34"/>
    </row>
    <row r="1481" spans="1:1" ht="15.75" customHeight="1">
      <c r="A1481" s="34"/>
    </row>
    <row r="1482" spans="1:1" ht="15.75" customHeight="1">
      <c r="A1482" s="34"/>
    </row>
    <row r="1483" spans="1:1" ht="15.75" customHeight="1">
      <c r="A1483" s="34"/>
    </row>
    <row r="1484" spans="1:1" ht="15.75" customHeight="1">
      <c r="A1484" s="34"/>
    </row>
    <row r="1485" spans="1:1" ht="15.75" customHeight="1">
      <c r="A1485" s="34"/>
    </row>
    <row r="1486" spans="1:1" ht="15.75" customHeight="1">
      <c r="A1486" s="34"/>
    </row>
    <row r="1487" spans="1:1" ht="15.75" customHeight="1">
      <c r="A1487" s="34"/>
    </row>
    <row r="1488" spans="1:1" ht="15.75" customHeight="1">
      <c r="A1488" s="34"/>
    </row>
    <row r="1489" spans="1:1" ht="15.75" customHeight="1">
      <c r="A1489" s="34"/>
    </row>
    <row r="1490" spans="1:1" ht="15.75" customHeight="1">
      <c r="A1490" s="34"/>
    </row>
    <row r="1491" spans="1:1" ht="15.75" customHeight="1">
      <c r="A1491" s="34"/>
    </row>
    <row r="1492" spans="1:1" ht="15.75" customHeight="1">
      <c r="A1492" s="34"/>
    </row>
    <row r="1493" spans="1:1" ht="15.75" customHeight="1">
      <c r="A1493" s="34"/>
    </row>
    <row r="1494" spans="1:1" ht="15.75" customHeight="1">
      <c r="A1494" s="34"/>
    </row>
    <row r="1495" spans="1:1" ht="15.75" customHeight="1">
      <c r="A1495" s="34"/>
    </row>
    <row r="1496" spans="1:1" ht="15.75" customHeight="1">
      <c r="A1496" s="34"/>
    </row>
    <row r="1497" spans="1:1" ht="15.75" customHeight="1">
      <c r="A1497" s="34"/>
    </row>
    <row r="1498" spans="1:1" ht="15.75" customHeight="1">
      <c r="A1498" s="34"/>
    </row>
    <row r="1499" spans="1:1" ht="15.75" customHeight="1">
      <c r="A1499" s="34"/>
    </row>
    <row r="1500" spans="1:1" ht="15.75" customHeight="1">
      <c r="A1500" s="34"/>
    </row>
    <row r="1501" spans="1:1" ht="15.75" customHeight="1">
      <c r="A1501" s="34"/>
    </row>
    <row r="1502" spans="1:1" ht="15.75" customHeight="1">
      <c r="A1502" s="34"/>
    </row>
    <row r="1503" spans="1:1" ht="15.75" customHeight="1">
      <c r="A1503" s="34"/>
    </row>
    <row r="1504" spans="1:1" ht="15.75" customHeight="1">
      <c r="A1504" s="34"/>
    </row>
    <row r="1505" spans="1:1" ht="15.75" customHeight="1">
      <c r="A1505" s="34"/>
    </row>
    <row r="1506" spans="1:1" ht="15.75" customHeight="1">
      <c r="A1506" s="34"/>
    </row>
    <row r="1507" spans="1:1" ht="15.75" customHeight="1">
      <c r="A1507" s="34"/>
    </row>
    <row r="1508" spans="1:1" ht="15.75" customHeight="1">
      <c r="A1508" s="34"/>
    </row>
    <row r="1509" spans="1:1" ht="15.75" customHeight="1">
      <c r="A1509" s="34"/>
    </row>
    <row r="1510" spans="1:1" ht="15.75" customHeight="1">
      <c r="A1510" s="34"/>
    </row>
    <row r="1511" spans="1:1" ht="15.75" customHeight="1">
      <c r="A1511" s="34"/>
    </row>
    <row r="1512" spans="1:1" ht="15.75" customHeight="1">
      <c r="A1512" s="34"/>
    </row>
    <row r="1513" spans="1:1" ht="15.75" customHeight="1">
      <c r="A1513" s="34"/>
    </row>
    <row r="1514" spans="1:1" ht="15.75" customHeight="1">
      <c r="A1514" s="34"/>
    </row>
    <row r="1515" spans="1:1" ht="15.75" customHeight="1">
      <c r="A1515" s="34"/>
    </row>
    <row r="1516" spans="1:1" ht="15.75" customHeight="1">
      <c r="A1516" s="34"/>
    </row>
    <row r="1517" spans="1:1" ht="15.75" customHeight="1">
      <c r="A1517" s="34"/>
    </row>
    <row r="1518" spans="1:1" ht="15.75" customHeight="1">
      <c r="A1518" s="34"/>
    </row>
    <row r="1519" spans="1:1" ht="15.75" customHeight="1">
      <c r="A1519" s="34"/>
    </row>
    <row r="1520" spans="1:1" ht="15.75" customHeight="1">
      <c r="A1520" s="34"/>
    </row>
    <row r="1521" spans="1:1" ht="15.75" customHeight="1">
      <c r="A1521" s="34"/>
    </row>
    <row r="1522" spans="1:1" ht="15.75" customHeight="1">
      <c r="A1522" s="34"/>
    </row>
    <row r="1523" spans="1:1" ht="15.75" customHeight="1">
      <c r="A1523" s="34"/>
    </row>
    <row r="1524" spans="1:1" ht="15.75" customHeight="1">
      <c r="A1524" s="34"/>
    </row>
    <row r="1525" spans="1:1" ht="15.75" customHeight="1">
      <c r="A1525" s="34"/>
    </row>
    <row r="1526" spans="1:1" ht="15.75" customHeight="1">
      <c r="A1526" s="34"/>
    </row>
    <row r="1527" spans="1:1" ht="15.75" customHeight="1">
      <c r="A1527" s="34"/>
    </row>
    <row r="1528" spans="1:1" ht="15.75" customHeight="1">
      <c r="A1528" s="34"/>
    </row>
    <row r="1529" spans="1:1" ht="15.75" customHeight="1">
      <c r="A1529" s="34"/>
    </row>
    <row r="1530" spans="1:1" ht="15.75" customHeight="1">
      <c r="A1530" s="34"/>
    </row>
    <row r="1531" spans="1:1" ht="15.75" customHeight="1">
      <c r="A1531" s="34"/>
    </row>
    <row r="1532" spans="1:1" ht="15.75" customHeight="1">
      <c r="A1532" s="34"/>
    </row>
    <row r="1533" spans="1:1" ht="15.75" customHeight="1">
      <c r="A1533" s="34"/>
    </row>
    <row r="1534" spans="1:1" ht="15.75" customHeight="1">
      <c r="A1534" s="34"/>
    </row>
    <row r="1535" spans="1:1" ht="15.75" customHeight="1">
      <c r="A1535" s="34"/>
    </row>
    <row r="1536" spans="1:1" ht="15.75" customHeight="1">
      <c r="A1536" s="34"/>
    </row>
    <row r="1537" spans="1:1" ht="15.75" customHeight="1">
      <c r="A1537" s="34"/>
    </row>
    <row r="1538" spans="1:1" ht="15.75" customHeight="1">
      <c r="A1538" s="34"/>
    </row>
    <row r="1539" spans="1:1" ht="15.75" customHeight="1">
      <c r="A1539" s="34"/>
    </row>
    <row r="1540" spans="1:1" ht="15.75" customHeight="1">
      <c r="A1540" s="34"/>
    </row>
    <row r="1541" spans="1:1" ht="15.75" customHeight="1">
      <c r="A1541" s="34"/>
    </row>
    <row r="1542" spans="1:1" ht="15.75" customHeight="1">
      <c r="A1542" s="34"/>
    </row>
    <row r="1543" spans="1:1" ht="15.75" customHeight="1">
      <c r="A1543" s="34"/>
    </row>
    <row r="1544" spans="1:1" ht="15.75" customHeight="1">
      <c r="A1544" s="34"/>
    </row>
    <row r="1545" spans="1:1" ht="15.75" customHeight="1">
      <c r="A1545" s="34"/>
    </row>
    <row r="1546" spans="1:1" ht="15.75" customHeight="1">
      <c r="A1546" s="34"/>
    </row>
    <row r="1547" spans="1:1" ht="15.75" customHeight="1">
      <c r="A1547" s="34"/>
    </row>
    <row r="1548" spans="1:1" ht="15.75" customHeight="1">
      <c r="A1548" s="34"/>
    </row>
    <row r="1549" spans="1:1" ht="15.75" customHeight="1">
      <c r="A1549" s="34"/>
    </row>
    <row r="1550" spans="1:1" ht="15.75" customHeight="1">
      <c r="A1550" s="34"/>
    </row>
    <row r="1551" spans="1:1" ht="15.75" customHeight="1">
      <c r="A1551" s="34"/>
    </row>
    <row r="1552" spans="1:1" ht="15.75" customHeight="1">
      <c r="A1552" s="34"/>
    </row>
    <row r="1553" spans="1:1" ht="15.75" customHeight="1">
      <c r="A1553" s="34"/>
    </row>
    <row r="1554" spans="1:1" ht="15.75" customHeight="1">
      <c r="A1554" s="34"/>
    </row>
    <row r="1555" spans="1:1" ht="15.75" customHeight="1">
      <c r="A1555" s="34"/>
    </row>
    <row r="1556" spans="1:1" ht="15.75" customHeight="1">
      <c r="A1556" s="34"/>
    </row>
    <row r="1557" spans="1:1" ht="15.75" customHeight="1">
      <c r="A1557" s="34"/>
    </row>
    <row r="1558" spans="1:1" ht="15.75" customHeight="1">
      <c r="A1558" s="34"/>
    </row>
    <row r="1559" spans="1:1" ht="15.75" customHeight="1">
      <c r="A1559" s="34"/>
    </row>
    <row r="1560" spans="1:1" ht="15.75" customHeight="1">
      <c r="A1560" s="34"/>
    </row>
    <row r="1561" spans="1:1" ht="15.75" customHeight="1">
      <c r="A1561" s="34"/>
    </row>
    <row r="1562" spans="1:1" ht="15.75" customHeight="1">
      <c r="A1562" s="34"/>
    </row>
    <row r="1563" spans="1:1" ht="15.75" customHeight="1">
      <c r="A1563" s="34"/>
    </row>
    <row r="1564" spans="1:1" ht="15.75" customHeight="1">
      <c r="A1564" s="34"/>
    </row>
    <row r="1565" spans="1:1" ht="15.75" customHeight="1">
      <c r="A1565" s="34"/>
    </row>
    <row r="1566" spans="1:1" ht="15.75" customHeight="1">
      <c r="A1566" s="34"/>
    </row>
    <row r="1567" spans="1:1" ht="15.75" customHeight="1">
      <c r="A1567" s="34"/>
    </row>
    <row r="1568" spans="1:1" ht="15.75" customHeight="1">
      <c r="A1568" s="34"/>
    </row>
    <row r="1569" spans="1:1" ht="15.75" customHeight="1">
      <c r="A1569" s="34"/>
    </row>
    <row r="1570" spans="1:1" ht="15.75" customHeight="1">
      <c r="A1570" s="34"/>
    </row>
    <row r="1571" spans="1:1" ht="15.75" customHeight="1">
      <c r="A1571" s="34"/>
    </row>
    <row r="1572" spans="1:1" ht="15.75" customHeight="1">
      <c r="A1572" s="34"/>
    </row>
    <row r="1573" spans="1:1" ht="15.75" customHeight="1">
      <c r="A1573" s="34"/>
    </row>
    <row r="1574" spans="1:1" ht="15.75" customHeight="1">
      <c r="A1574" s="34"/>
    </row>
    <row r="1575" spans="1:1" ht="15.75" customHeight="1">
      <c r="A1575" s="34"/>
    </row>
    <row r="1576" spans="1:1" ht="15.75" customHeight="1">
      <c r="A1576" s="34"/>
    </row>
    <row r="1577" spans="1:1" ht="15.75" customHeight="1">
      <c r="A1577" s="34"/>
    </row>
    <row r="1578" spans="1:1" ht="15.75" customHeight="1">
      <c r="A1578" s="34"/>
    </row>
    <row r="1579" spans="1:1" ht="15.75" customHeight="1">
      <c r="A1579" s="34"/>
    </row>
    <row r="1580" spans="1:1" ht="15.75" customHeight="1">
      <c r="A1580" s="34"/>
    </row>
    <row r="1581" spans="1:1" ht="15.75" customHeight="1">
      <c r="A1581" s="34"/>
    </row>
    <row r="1582" spans="1:1" ht="15.75" customHeight="1">
      <c r="A1582" s="34"/>
    </row>
    <row r="1583" spans="1:1" ht="15.75" customHeight="1">
      <c r="A1583" s="34"/>
    </row>
    <row r="1584" spans="1:1" ht="15.75" customHeight="1">
      <c r="A1584" s="34"/>
    </row>
    <row r="1585" spans="1:1" ht="15.75" customHeight="1">
      <c r="A1585" s="34"/>
    </row>
    <row r="1586" spans="1:1" ht="15.75" customHeight="1">
      <c r="A1586" s="34"/>
    </row>
    <row r="1587" spans="1:1" ht="15.75" customHeight="1">
      <c r="A1587" s="34"/>
    </row>
    <row r="1588" spans="1:1" ht="15.75" customHeight="1">
      <c r="A1588" s="34"/>
    </row>
    <row r="1589" spans="1:1" ht="15.75" customHeight="1">
      <c r="A1589" s="34"/>
    </row>
    <row r="1590" spans="1:1" ht="15.75" customHeight="1">
      <c r="A1590" s="34"/>
    </row>
    <row r="1591" spans="1:1" ht="15.75" customHeight="1">
      <c r="A1591" s="34"/>
    </row>
    <row r="1592" spans="1:1" ht="15.75" customHeight="1">
      <c r="A1592" s="34"/>
    </row>
    <row r="1593" spans="1:1" ht="15.75" customHeight="1">
      <c r="A1593" s="34"/>
    </row>
    <row r="1594" spans="1:1" ht="15.75" customHeight="1">
      <c r="A1594" s="34"/>
    </row>
    <row r="1595" spans="1:1" ht="15.75" customHeight="1">
      <c r="A1595" s="34"/>
    </row>
    <row r="1596" spans="1:1" ht="15.75" customHeight="1">
      <c r="A1596" s="34"/>
    </row>
    <row r="1597" spans="1:1" ht="15.75" customHeight="1">
      <c r="A1597" s="34"/>
    </row>
    <row r="1598" spans="1:1" ht="15.75" customHeight="1">
      <c r="A1598" s="34"/>
    </row>
    <row r="1599" spans="1:1" ht="15.75" customHeight="1">
      <c r="A1599" s="34"/>
    </row>
    <row r="1600" spans="1:1" ht="15.75" customHeight="1">
      <c r="A1600" s="34"/>
    </row>
    <row r="1601" spans="1:1" ht="15.75" customHeight="1">
      <c r="A1601" s="34"/>
    </row>
    <row r="1602" spans="1:1" ht="15.75" customHeight="1">
      <c r="A1602" s="34"/>
    </row>
    <row r="1603" spans="1:1" ht="15.75" customHeight="1">
      <c r="A1603" s="34"/>
    </row>
    <row r="1604" spans="1:1" ht="15.75" customHeight="1">
      <c r="A1604" s="34"/>
    </row>
    <row r="1605" spans="1:1" ht="15.75" customHeight="1">
      <c r="A1605" s="34"/>
    </row>
    <row r="1606" spans="1:1" ht="15.75" customHeight="1">
      <c r="A1606" s="34"/>
    </row>
    <row r="1607" spans="1:1" ht="15.75" customHeight="1">
      <c r="A1607" s="34"/>
    </row>
    <row r="1608" spans="1:1" ht="15.75" customHeight="1">
      <c r="A1608" s="34"/>
    </row>
    <row r="1609" spans="1:1" ht="15.75" customHeight="1">
      <c r="A1609" s="34"/>
    </row>
    <row r="1610" spans="1:1" ht="15.75" customHeight="1">
      <c r="A1610" s="34"/>
    </row>
    <row r="1611" spans="1:1" ht="15.75" customHeight="1">
      <c r="A1611" s="34"/>
    </row>
    <row r="1612" spans="1:1" ht="15.75" customHeight="1">
      <c r="A1612" s="34"/>
    </row>
    <row r="1613" spans="1:1" ht="15.75" customHeight="1">
      <c r="A1613" s="34"/>
    </row>
    <row r="1614" spans="1:1" ht="15.75" customHeight="1">
      <c r="A1614" s="34"/>
    </row>
    <row r="1615" spans="1:1" ht="15.75" customHeight="1">
      <c r="A1615" s="34"/>
    </row>
    <row r="1616" spans="1:1" ht="15.75" customHeight="1">
      <c r="A1616" s="34"/>
    </row>
    <row r="1617" spans="1:1" ht="15.75" customHeight="1">
      <c r="A1617" s="34"/>
    </row>
    <row r="1618" spans="1:1" ht="15.75" customHeight="1">
      <c r="A1618" s="34"/>
    </row>
    <row r="1619" spans="1:1" ht="15.75" customHeight="1">
      <c r="A1619" s="34"/>
    </row>
    <row r="1620" spans="1:1" ht="15.75" customHeight="1">
      <c r="A1620" s="34"/>
    </row>
    <row r="1621" spans="1:1" ht="15.75" customHeight="1">
      <c r="A1621" s="34"/>
    </row>
    <row r="1622" spans="1:1" ht="15.75" customHeight="1">
      <c r="A1622" s="34"/>
    </row>
    <row r="1623" spans="1:1" ht="15.75" customHeight="1">
      <c r="A1623" s="34"/>
    </row>
    <row r="1624" spans="1:1" ht="15.75" customHeight="1">
      <c r="A1624" s="34"/>
    </row>
    <row r="1625" spans="1:1" ht="15.75" customHeight="1">
      <c r="A1625" s="34"/>
    </row>
    <row r="1626" spans="1:1" ht="15.75" customHeight="1">
      <c r="A1626" s="34"/>
    </row>
    <row r="1627" spans="1:1" ht="15.75" customHeight="1">
      <c r="A1627" s="34"/>
    </row>
    <row r="1628" spans="1:1" ht="15.75" customHeight="1">
      <c r="A1628" s="34"/>
    </row>
    <row r="1629" spans="1:1" ht="15.75" customHeight="1">
      <c r="A1629" s="34"/>
    </row>
    <row r="1630" spans="1:1" ht="15.75" customHeight="1">
      <c r="A1630" s="34"/>
    </row>
    <row r="1631" spans="1:1" ht="15.75" customHeight="1">
      <c r="A1631" s="34"/>
    </row>
    <row r="1632" spans="1:1" ht="15.75" customHeight="1">
      <c r="A1632" s="34"/>
    </row>
    <row r="1633" spans="1:1" ht="15.75" customHeight="1">
      <c r="A1633" s="34"/>
    </row>
    <row r="1634" spans="1:1" ht="15.75" customHeight="1">
      <c r="A1634" s="34"/>
    </row>
    <row r="1635" spans="1:1" ht="15.75" customHeight="1">
      <c r="A1635" s="34"/>
    </row>
    <row r="1636" spans="1:1" ht="15.75" customHeight="1">
      <c r="A1636" s="34"/>
    </row>
    <row r="1637" spans="1:1" ht="15.75" customHeight="1">
      <c r="A1637" s="34"/>
    </row>
    <row r="1638" spans="1:1" ht="15.75" customHeight="1">
      <c r="A1638" s="34"/>
    </row>
    <row r="1639" spans="1:1" ht="15.75" customHeight="1">
      <c r="A1639" s="34"/>
    </row>
    <row r="1640" spans="1:1" ht="15.75" customHeight="1">
      <c r="A1640" s="34"/>
    </row>
    <row r="1641" spans="1:1" ht="15.75" customHeight="1">
      <c r="A1641" s="34"/>
    </row>
    <row r="1642" spans="1:1" ht="15.75" customHeight="1">
      <c r="A1642" s="34"/>
    </row>
    <row r="1643" spans="1:1" ht="15.75" customHeight="1">
      <c r="A1643" s="34"/>
    </row>
    <row r="1644" spans="1:1" ht="15.75" customHeight="1">
      <c r="A1644" s="34"/>
    </row>
    <row r="1645" spans="1:1" ht="15.75" customHeight="1">
      <c r="A1645" s="34"/>
    </row>
    <row r="1646" spans="1:1" ht="15.75" customHeight="1">
      <c r="A1646" s="34"/>
    </row>
    <row r="1647" spans="1:1" ht="15.75" customHeight="1">
      <c r="A1647" s="34"/>
    </row>
    <row r="1648" spans="1:1" ht="15.75" customHeight="1">
      <c r="A1648" s="34"/>
    </row>
    <row r="1649" spans="1:1" ht="15.75" customHeight="1">
      <c r="A1649" s="34"/>
    </row>
    <row r="1650" spans="1:1" ht="15.75" customHeight="1">
      <c r="A1650" s="34"/>
    </row>
    <row r="1651" spans="1:1" ht="15.75" customHeight="1">
      <c r="A1651" s="34"/>
    </row>
    <row r="1652" spans="1:1" ht="15.75" customHeight="1">
      <c r="A1652" s="34"/>
    </row>
    <row r="1653" spans="1:1" ht="15.75" customHeight="1">
      <c r="A1653" s="34"/>
    </row>
    <row r="1654" spans="1:1" ht="15.75" customHeight="1">
      <c r="A1654" s="34"/>
    </row>
    <row r="1655" spans="1:1" ht="15.75" customHeight="1">
      <c r="A1655" s="34"/>
    </row>
    <row r="1656" spans="1:1" ht="15.75" customHeight="1">
      <c r="A1656" s="34"/>
    </row>
    <row r="1657" spans="1:1" ht="15.75" customHeight="1">
      <c r="A1657" s="34"/>
    </row>
    <row r="1658" spans="1:1" ht="15.75" customHeight="1">
      <c r="A1658" s="34"/>
    </row>
    <row r="1659" spans="1:1" ht="15.75" customHeight="1">
      <c r="A1659" s="34"/>
    </row>
    <row r="1660" spans="1:1" ht="15.75" customHeight="1">
      <c r="A1660" s="34"/>
    </row>
    <row r="1661" spans="1:1" ht="15.75" customHeight="1">
      <c r="A1661" s="34"/>
    </row>
    <row r="1662" spans="1:1" ht="15.75" customHeight="1">
      <c r="A1662" s="34"/>
    </row>
    <row r="1663" spans="1:1" ht="15.75" customHeight="1">
      <c r="A1663" s="34"/>
    </row>
    <row r="1664" spans="1:1" ht="15.75" customHeight="1">
      <c r="A1664" s="34"/>
    </row>
    <row r="1665" spans="1:1" ht="15.75" customHeight="1">
      <c r="A1665" s="34"/>
    </row>
    <row r="1666" spans="1:1" ht="15.75" customHeight="1">
      <c r="A1666" s="34"/>
    </row>
    <row r="1667" spans="1:1" ht="15.75" customHeight="1">
      <c r="A1667" s="34"/>
    </row>
    <row r="1668" spans="1:1" ht="15.75" customHeight="1">
      <c r="A1668" s="34"/>
    </row>
    <row r="1669" spans="1:1" ht="15.75" customHeight="1">
      <c r="A1669" s="34"/>
    </row>
    <row r="1670" spans="1:1" ht="15.75" customHeight="1">
      <c r="A1670" s="34"/>
    </row>
    <row r="1671" spans="1:1" ht="15.75" customHeight="1">
      <c r="A1671" s="34"/>
    </row>
    <row r="1672" spans="1:1" ht="15.75" customHeight="1">
      <c r="A1672" s="34"/>
    </row>
    <row r="1673" spans="1:1" ht="15.75" customHeight="1">
      <c r="A1673" s="34"/>
    </row>
    <row r="1674" spans="1:1" ht="15.75" customHeight="1">
      <c r="A1674" s="34"/>
    </row>
    <row r="1675" spans="1:1" ht="15.75" customHeight="1">
      <c r="A1675" s="34"/>
    </row>
    <row r="1676" spans="1:1" ht="15.75" customHeight="1">
      <c r="A1676" s="34"/>
    </row>
    <row r="1677" spans="1:1" ht="15.75" customHeight="1">
      <c r="A1677" s="34"/>
    </row>
    <row r="1678" spans="1:1" ht="15.75" customHeight="1">
      <c r="A1678" s="34"/>
    </row>
    <row r="1679" spans="1:1" ht="15.75" customHeight="1">
      <c r="A1679" s="34"/>
    </row>
    <row r="1680" spans="1:1" ht="15.75" customHeight="1">
      <c r="A1680" s="34"/>
    </row>
    <row r="1681" spans="1:1" ht="15.75" customHeight="1">
      <c r="A1681" s="34"/>
    </row>
    <row r="1682" spans="1:1" ht="15.75" customHeight="1">
      <c r="A1682" s="34"/>
    </row>
    <row r="1683" spans="1:1" ht="15.75" customHeight="1">
      <c r="A1683" s="34"/>
    </row>
    <row r="1684" spans="1:1" ht="15.75" customHeight="1">
      <c r="A1684" s="34"/>
    </row>
    <row r="1685" spans="1:1" ht="15.75" customHeight="1">
      <c r="A1685" s="34"/>
    </row>
    <row r="1686" spans="1:1" ht="15.75" customHeight="1">
      <c r="A1686" s="34"/>
    </row>
    <row r="1687" spans="1:1" ht="15.75" customHeight="1">
      <c r="A1687" s="34"/>
    </row>
    <row r="1688" spans="1:1" ht="15.75" customHeight="1">
      <c r="A1688" s="34"/>
    </row>
    <row r="1689" spans="1:1" ht="15.75" customHeight="1">
      <c r="A1689" s="34"/>
    </row>
    <row r="1690" spans="1:1" ht="15.75" customHeight="1">
      <c r="A1690" s="34"/>
    </row>
    <row r="1691" spans="1:1" ht="15.75" customHeight="1">
      <c r="A1691" s="34"/>
    </row>
    <row r="1692" spans="1:1" ht="15.75" customHeight="1">
      <c r="A1692" s="34"/>
    </row>
    <row r="1693" spans="1:1" ht="15.75" customHeight="1">
      <c r="A1693" s="34"/>
    </row>
    <row r="1694" spans="1:1" ht="15.75" customHeight="1">
      <c r="A1694" s="34"/>
    </row>
    <row r="1695" spans="1:1" ht="15.75" customHeight="1">
      <c r="A1695" s="34"/>
    </row>
    <row r="1696" spans="1:1" ht="15.75" customHeight="1">
      <c r="A1696" s="34"/>
    </row>
    <row r="1697" spans="1:1" ht="15.75" customHeight="1">
      <c r="A1697" s="34"/>
    </row>
    <row r="1698" spans="1:1" ht="15.75" customHeight="1">
      <c r="A1698" s="34"/>
    </row>
    <row r="1699" spans="1:1" ht="15.75" customHeight="1">
      <c r="A1699" s="34"/>
    </row>
    <row r="1700" spans="1:1" ht="15.75" customHeight="1">
      <c r="A1700" s="34"/>
    </row>
    <row r="1701" spans="1:1" ht="15.75" customHeight="1">
      <c r="A1701" s="34"/>
    </row>
    <row r="1702" spans="1:1" ht="15.75" customHeight="1">
      <c r="A1702" s="34"/>
    </row>
    <row r="1703" spans="1:1" ht="15.75" customHeight="1">
      <c r="A1703" s="34"/>
    </row>
    <row r="1704" spans="1:1" ht="15.75" customHeight="1">
      <c r="A1704" s="34"/>
    </row>
    <row r="1705" spans="1:1" ht="15.75" customHeight="1">
      <c r="A1705" s="34"/>
    </row>
    <row r="1706" spans="1:1" ht="15.75" customHeight="1">
      <c r="A1706" s="34"/>
    </row>
    <row r="1707" spans="1:1" ht="15.75" customHeight="1">
      <c r="A1707" s="34"/>
    </row>
    <row r="1708" spans="1:1" ht="15.75" customHeight="1">
      <c r="A1708" s="34"/>
    </row>
    <row r="1709" spans="1:1" ht="15.75" customHeight="1">
      <c r="A1709" s="34"/>
    </row>
    <row r="1710" spans="1:1" ht="15.75" customHeight="1">
      <c r="A1710" s="34"/>
    </row>
    <row r="1711" spans="1:1" ht="15.75" customHeight="1">
      <c r="A1711" s="34"/>
    </row>
    <row r="1712" spans="1:1" ht="15.75" customHeight="1">
      <c r="A1712" s="34"/>
    </row>
    <row r="1713" spans="1:1" ht="15.75" customHeight="1">
      <c r="A1713" s="34"/>
    </row>
    <row r="1714" spans="1:1" ht="15.75" customHeight="1">
      <c r="A1714" s="34"/>
    </row>
    <row r="1715" spans="1:1" ht="15.75" customHeight="1">
      <c r="A1715" s="34"/>
    </row>
    <row r="1716" spans="1:1" ht="15.75" customHeight="1">
      <c r="A1716" s="34"/>
    </row>
    <row r="1717" spans="1:1" ht="15.75" customHeight="1">
      <c r="A1717" s="34"/>
    </row>
    <row r="1718" spans="1:1" ht="15.75" customHeight="1">
      <c r="A1718" s="34"/>
    </row>
    <row r="1719" spans="1:1" ht="15.75" customHeight="1">
      <c r="A1719" s="34"/>
    </row>
    <row r="1720" spans="1:1" ht="15.75" customHeight="1">
      <c r="A1720" s="34"/>
    </row>
    <row r="1721" spans="1:1" ht="15.75" customHeight="1">
      <c r="A1721" s="34"/>
    </row>
    <row r="1722" spans="1:1" ht="15.75" customHeight="1">
      <c r="A1722" s="34"/>
    </row>
    <row r="1723" spans="1:1" ht="15.75" customHeight="1">
      <c r="A1723" s="34"/>
    </row>
    <row r="1724" spans="1:1" ht="15.75" customHeight="1">
      <c r="A1724" s="34"/>
    </row>
    <row r="1725" spans="1:1" ht="15.75" customHeight="1">
      <c r="A1725" s="34"/>
    </row>
    <row r="1726" spans="1:1" ht="15.75" customHeight="1">
      <c r="A1726" s="34"/>
    </row>
    <row r="1727" spans="1:1" ht="15.75" customHeight="1">
      <c r="A1727" s="34"/>
    </row>
    <row r="1728" spans="1:1" ht="15.75" customHeight="1">
      <c r="A1728" s="34"/>
    </row>
    <row r="1729" spans="1:1" ht="15.75" customHeight="1">
      <c r="A1729" s="34"/>
    </row>
    <row r="1730" spans="1:1" ht="15.75" customHeight="1">
      <c r="A1730" s="34"/>
    </row>
    <row r="1731" spans="1:1" ht="15.75" customHeight="1">
      <c r="A1731" s="34"/>
    </row>
    <row r="1732" spans="1:1" ht="15.75" customHeight="1">
      <c r="A1732" s="34"/>
    </row>
    <row r="1733" spans="1:1" ht="15.75" customHeight="1">
      <c r="A1733" s="34"/>
    </row>
    <row r="1734" spans="1:1" ht="15.75" customHeight="1">
      <c r="A1734" s="34"/>
    </row>
    <row r="1735" spans="1:1" ht="15.75" customHeight="1">
      <c r="A1735" s="34"/>
    </row>
    <row r="1736" spans="1:1" ht="15.75" customHeight="1">
      <c r="A1736" s="34"/>
    </row>
    <row r="1737" spans="1:1" ht="15.75" customHeight="1">
      <c r="A1737" s="34"/>
    </row>
    <row r="1738" spans="1:1" ht="15.75" customHeight="1">
      <c r="A1738" s="34"/>
    </row>
    <row r="1739" spans="1:1" ht="15.75" customHeight="1">
      <c r="A1739" s="34"/>
    </row>
    <row r="1740" spans="1:1" ht="15.75" customHeight="1">
      <c r="A1740" s="34"/>
    </row>
    <row r="1741" spans="1:1" ht="15.75" customHeight="1">
      <c r="A1741" s="34"/>
    </row>
    <row r="1742" spans="1:1" ht="15.75" customHeight="1">
      <c r="A1742" s="34"/>
    </row>
    <row r="1743" spans="1:1" ht="15.75" customHeight="1">
      <c r="A1743" s="34"/>
    </row>
    <row r="1744" spans="1:1" ht="15.75" customHeight="1">
      <c r="A1744" s="34"/>
    </row>
    <row r="1745" spans="1:1" ht="15.75" customHeight="1">
      <c r="A1745" s="34"/>
    </row>
    <row r="1746" spans="1:1" ht="15.75" customHeight="1">
      <c r="A1746" s="34"/>
    </row>
    <row r="1747" spans="1:1" ht="15.75" customHeight="1">
      <c r="A1747" s="34"/>
    </row>
    <row r="1748" spans="1:1" ht="15.75" customHeight="1">
      <c r="A1748" s="34"/>
    </row>
    <row r="1749" spans="1:1" ht="15.75" customHeight="1">
      <c r="A1749" s="34"/>
    </row>
    <row r="1750" spans="1:1" ht="15.75" customHeight="1">
      <c r="A1750" s="34"/>
    </row>
    <row r="1751" spans="1:1" ht="15.75" customHeight="1">
      <c r="A1751" s="34"/>
    </row>
    <row r="1752" spans="1:1" ht="15.75" customHeight="1">
      <c r="A1752" s="34"/>
    </row>
    <row r="1753" spans="1:1" ht="15.75" customHeight="1">
      <c r="A1753" s="34"/>
    </row>
    <row r="1754" spans="1:1" ht="15.75" customHeight="1">
      <c r="A1754" s="34"/>
    </row>
    <row r="1755" spans="1:1" ht="15.75" customHeight="1">
      <c r="A1755" s="34"/>
    </row>
    <row r="1756" spans="1:1" ht="15.75" customHeight="1">
      <c r="A1756" s="34"/>
    </row>
    <row r="1757" spans="1:1" ht="15.75" customHeight="1">
      <c r="A1757" s="34"/>
    </row>
    <row r="1758" spans="1:1" ht="15.75" customHeight="1">
      <c r="A1758" s="34"/>
    </row>
    <row r="1759" spans="1:1" ht="15.75" customHeight="1">
      <c r="A1759" s="34"/>
    </row>
    <row r="1760" spans="1:1" ht="15.75" customHeight="1">
      <c r="A1760" s="34"/>
    </row>
    <row r="1761" spans="1:1" ht="15.75" customHeight="1">
      <c r="A1761" s="34"/>
    </row>
    <row r="1762" spans="1:1" ht="15.75" customHeight="1">
      <c r="A1762" s="34"/>
    </row>
    <row r="1763" spans="1:1" ht="15.75" customHeight="1">
      <c r="A1763" s="34"/>
    </row>
    <row r="1764" spans="1:1" ht="15.75" customHeight="1">
      <c r="A1764" s="34"/>
    </row>
    <row r="1765" spans="1:1" ht="15.75" customHeight="1">
      <c r="A1765" s="34"/>
    </row>
    <row r="1766" spans="1:1" ht="15.75" customHeight="1">
      <c r="A1766" s="34"/>
    </row>
    <row r="1767" spans="1:1" ht="15.75" customHeight="1">
      <c r="A1767" s="34"/>
    </row>
    <row r="1768" spans="1:1" ht="15.75" customHeight="1">
      <c r="A1768" s="34"/>
    </row>
    <row r="1769" spans="1:1" ht="15.75" customHeight="1">
      <c r="A1769" s="34"/>
    </row>
    <row r="1770" spans="1:1" ht="15.75" customHeight="1">
      <c r="A1770" s="34"/>
    </row>
    <row r="1771" spans="1:1" ht="15.75" customHeight="1">
      <c r="A1771" s="34"/>
    </row>
    <row r="1772" spans="1:1" ht="15.75" customHeight="1">
      <c r="A1772" s="34"/>
    </row>
    <row r="1773" spans="1:1" ht="15.75" customHeight="1">
      <c r="A1773" s="34"/>
    </row>
    <row r="1774" spans="1:1" ht="15.75" customHeight="1">
      <c r="A1774" s="34"/>
    </row>
    <row r="1775" spans="1:1" ht="15.75" customHeight="1">
      <c r="A1775" s="34"/>
    </row>
    <row r="1776" spans="1:1" ht="15.75" customHeight="1">
      <c r="A1776" s="34"/>
    </row>
    <row r="1777" spans="1:1" ht="15.75" customHeight="1">
      <c r="A1777" s="34"/>
    </row>
    <row r="1778" spans="1:1" ht="15.75" customHeight="1">
      <c r="A1778" s="34"/>
    </row>
    <row r="1779" spans="1:1" ht="15.75" customHeight="1">
      <c r="A1779" s="34"/>
    </row>
    <row r="1780" spans="1:1" ht="15.75" customHeight="1">
      <c r="A1780" s="34"/>
    </row>
    <row r="1781" spans="1:1" ht="15.75" customHeight="1">
      <c r="A1781" s="34"/>
    </row>
    <row r="1782" spans="1:1" ht="15.75" customHeight="1">
      <c r="A1782" s="34"/>
    </row>
    <row r="1783" spans="1:1" ht="15.75" customHeight="1">
      <c r="A1783" s="34"/>
    </row>
    <row r="1784" spans="1:1" ht="15.75" customHeight="1">
      <c r="A1784" s="34"/>
    </row>
    <row r="1785" spans="1:1" ht="15.75" customHeight="1">
      <c r="A1785" s="34"/>
    </row>
    <row r="1786" spans="1:1" ht="15.75" customHeight="1">
      <c r="A1786" s="34"/>
    </row>
    <row r="1787" spans="1:1" ht="15.75" customHeight="1">
      <c r="A1787" s="34"/>
    </row>
    <row r="1788" spans="1:1" ht="15.75" customHeight="1">
      <c r="A1788" s="34"/>
    </row>
    <row r="1789" spans="1:1" ht="15.75" customHeight="1">
      <c r="A1789" s="34"/>
    </row>
    <row r="1790" spans="1:1" ht="15.75" customHeight="1">
      <c r="A1790" s="34"/>
    </row>
    <row r="1791" spans="1:1" ht="15.75" customHeight="1">
      <c r="A1791" s="34"/>
    </row>
    <row r="1792" spans="1:1" ht="15.75" customHeight="1">
      <c r="A1792" s="34"/>
    </row>
    <row r="1793" spans="1:1" ht="15.75" customHeight="1">
      <c r="A1793" s="34"/>
    </row>
    <row r="1794" spans="1:1" ht="15.75" customHeight="1">
      <c r="A1794" s="34"/>
    </row>
    <row r="1795" spans="1:1" ht="15.75" customHeight="1">
      <c r="A1795" s="34"/>
    </row>
    <row r="1796" spans="1:1" ht="15.75" customHeight="1">
      <c r="A1796" s="34"/>
    </row>
    <row r="1797" spans="1:1" ht="15.75" customHeight="1">
      <c r="A1797" s="34"/>
    </row>
    <row r="1798" spans="1:1" ht="15.75" customHeight="1">
      <c r="A1798" s="34"/>
    </row>
    <row r="1799" spans="1:1" ht="15.75" customHeight="1">
      <c r="A1799" s="34"/>
    </row>
    <row r="1800" spans="1:1" ht="15.75" customHeight="1">
      <c r="A1800" s="34"/>
    </row>
    <row r="1801" spans="1:1" ht="15.75" customHeight="1">
      <c r="A1801" s="34"/>
    </row>
    <row r="1802" spans="1:1" ht="15.75" customHeight="1">
      <c r="A1802" s="34"/>
    </row>
    <row r="1803" spans="1:1" ht="15.75" customHeight="1">
      <c r="A1803" s="34"/>
    </row>
    <row r="1804" spans="1:1" ht="15.75" customHeight="1">
      <c r="A1804" s="34"/>
    </row>
    <row r="1805" spans="1:1" ht="15.75" customHeight="1">
      <c r="A1805" s="34"/>
    </row>
    <row r="1806" spans="1:1" ht="15.75" customHeight="1">
      <c r="A1806" s="34"/>
    </row>
    <row r="1807" spans="1:1" ht="15.75" customHeight="1">
      <c r="A1807" s="34"/>
    </row>
    <row r="1808" spans="1:1" ht="15.75" customHeight="1">
      <c r="A1808" s="34"/>
    </row>
    <row r="1809" spans="1:1" ht="15.75" customHeight="1">
      <c r="A1809" s="34"/>
    </row>
    <row r="1810" spans="1:1" ht="15.75" customHeight="1">
      <c r="A1810" s="34"/>
    </row>
    <row r="1811" spans="1:1" ht="15.75" customHeight="1">
      <c r="A1811" s="34"/>
    </row>
    <row r="1812" spans="1:1" ht="15.75" customHeight="1">
      <c r="A1812" s="34"/>
    </row>
    <row r="1813" spans="1:1" ht="15.75" customHeight="1">
      <c r="A1813" s="34"/>
    </row>
    <row r="1814" spans="1:1" ht="15.75" customHeight="1">
      <c r="A1814" s="34"/>
    </row>
    <row r="1815" spans="1:1" ht="15.75" customHeight="1">
      <c r="A1815" s="34"/>
    </row>
    <row r="1816" spans="1:1" ht="15.75" customHeight="1">
      <c r="A1816" s="34"/>
    </row>
    <row r="1817" spans="1:1" ht="15.75" customHeight="1">
      <c r="A1817" s="34"/>
    </row>
    <row r="1818" spans="1:1" ht="15.75" customHeight="1">
      <c r="A1818" s="34"/>
    </row>
    <row r="1819" spans="1:1" ht="15.75" customHeight="1">
      <c r="A1819" s="34"/>
    </row>
    <row r="1820" spans="1:1" ht="15.75" customHeight="1">
      <c r="A1820" s="34"/>
    </row>
    <row r="1821" spans="1:1" ht="15.75" customHeight="1">
      <c r="A1821" s="34"/>
    </row>
    <row r="1822" spans="1:1" ht="15.75" customHeight="1">
      <c r="A1822" s="34"/>
    </row>
    <row r="1823" spans="1:1" ht="15.75" customHeight="1">
      <c r="A1823" s="34"/>
    </row>
    <row r="1824" spans="1:1" ht="15.75" customHeight="1">
      <c r="A1824" s="34"/>
    </row>
    <row r="1825" spans="1:1" ht="15.75" customHeight="1">
      <c r="A1825" s="34"/>
    </row>
    <row r="1826" spans="1:1" ht="15.75" customHeight="1">
      <c r="A1826" s="34"/>
    </row>
    <row r="1827" spans="1:1" ht="15.75" customHeight="1">
      <c r="A1827" s="34"/>
    </row>
    <row r="1828" spans="1:1" ht="15.75" customHeight="1">
      <c r="A1828" s="34"/>
    </row>
    <row r="1829" spans="1:1" ht="15.75" customHeight="1">
      <c r="A1829" s="34"/>
    </row>
    <row r="1830" spans="1:1" ht="15.75" customHeight="1">
      <c r="A1830" s="34"/>
    </row>
    <row r="1831" spans="1:1" ht="15.75" customHeight="1">
      <c r="A1831" s="34"/>
    </row>
    <row r="1832" spans="1:1" ht="15.75" customHeight="1">
      <c r="A1832" s="34"/>
    </row>
    <row r="1833" spans="1:1" ht="15.75" customHeight="1">
      <c r="A1833" s="34"/>
    </row>
    <row r="1834" spans="1:1" ht="15.75" customHeight="1">
      <c r="A1834" s="34"/>
    </row>
    <row r="1835" spans="1:1" ht="15.75" customHeight="1">
      <c r="A1835" s="34"/>
    </row>
    <row r="1836" spans="1:1" ht="15.75" customHeight="1">
      <c r="A1836" s="34"/>
    </row>
    <row r="1837" spans="1:1" ht="15.75" customHeight="1">
      <c r="A1837" s="34"/>
    </row>
    <row r="1838" spans="1:1" ht="15.75" customHeight="1">
      <c r="A1838" s="34"/>
    </row>
    <row r="1839" spans="1:1" ht="15.75" customHeight="1">
      <c r="A1839" s="34"/>
    </row>
    <row r="1840" spans="1:1" ht="15.75" customHeight="1">
      <c r="A1840" s="34"/>
    </row>
    <row r="1841" spans="1:1" ht="15.75" customHeight="1">
      <c r="A1841" s="34"/>
    </row>
    <row r="1842" spans="1:1" ht="15.75" customHeight="1">
      <c r="A1842" s="34"/>
    </row>
    <row r="1843" spans="1:1" ht="15.75" customHeight="1">
      <c r="A1843" s="34"/>
    </row>
    <row r="1844" spans="1:1" ht="15.75" customHeight="1">
      <c r="A1844" s="34"/>
    </row>
    <row r="1845" spans="1:1" ht="15.75" customHeight="1">
      <c r="A1845" s="34"/>
    </row>
    <row r="1846" spans="1:1" ht="15.75" customHeight="1">
      <c r="A1846" s="34"/>
    </row>
    <row r="1847" spans="1:1" ht="15.75" customHeight="1">
      <c r="A1847" s="34"/>
    </row>
    <row r="1848" spans="1:1" ht="15.75" customHeight="1">
      <c r="A1848" s="34"/>
    </row>
    <row r="1849" spans="1:1" ht="15.75" customHeight="1">
      <c r="A1849" s="34"/>
    </row>
    <row r="1850" spans="1:1" ht="15.75" customHeight="1">
      <c r="A1850" s="34"/>
    </row>
    <row r="1851" spans="1:1" ht="15.75" customHeight="1">
      <c r="A1851" s="34"/>
    </row>
    <row r="1852" spans="1:1" ht="15.75" customHeight="1">
      <c r="A1852" s="34"/>
    </row>
    <row r="1853" spans="1:1" ht="15.75" customHeight="1">
      <c r="A1853" s="34"/>
    </row>
    <row r="1854" spans="1:1" ht="15.75" customHeight="1">
      <c r="A1854" s="34"/>
    </row>
    <row r="1855" spans="1:1" ht="15.75" customHeight="1">
      <c r="A1855" s="34"/>
    </row>
    <row r="1856" spans="1:1" ht="15.75" customHeight="1">
      <c r="A1856" s="34"/>
    </row>
    <row r="1857" spans="1:1" ht="15.75" customHeight="1">
      <c r="A1857" s="34"/>
    </row>
    <row r="1858" spans="1:1" ht="15.75" customHeight="1">
      <c r="A1858" s="34"/>
    </row>
    <row r="1859" spans="1:1" ht="15.75" customHeight="1">
      <c r="A1859" s="34"/>
    </row>
    <row r="1860" spans="1:1" ht="15.75" customHeight="1">
      <c r="A1860" s="34"/>
    </row>
    <row r="1861" spans="1:1" ht="15.75" customHeight="1">
      <c r="A1861" s="34"/>
    </row>
    <row r="1862" spans="1:1" ht="15.75" customHeight="1">
      <c r="A1862" s="34"/>
    </row>
    <row r="1863" spans="1:1" ht="15.75" customHeight="1">
      <c r="A1863" s="34"/>
    </row>
    <row r="1864" spans="1:1" ht="15.75" customHeight="1">
      <c r="A1864" s="34"/>
    </row>
    <row r="1865" spans="1:1" ht="15.75" customHeight="1">
      <c r="A1865" s="34"/>
    </row>
    <row r="1866" spans="1:1" ht="15.75" customHeight="1">
      <c r="A1866" s="34"/>
    </row>
    <row r="1867" spans="1:1" ht="15.75" customHeight="1">
      <c r="A1867" s="34"/>
    </row>
    <row r="1868" spans="1:1" ht="15.75" customHeight="1">
      <c r="A1868" s="34"/>
    </row>
    <row r="1869" spans="1:1" ht="15.75" customHeight="1">
      <c r="A1869" s="34"/>
    </row>
    <row r="1870" spans="1:1" ht="15.75" customHeight="1">
      <c r="A1870" s="34"/>
    </row>
    <row r="1871" spans="1:1" ht="15.75" customHeight="1">
      <c r="A1871" s="34"/>
    </row>
    <row r="1872" spans="1:1" ht="15.75" customHeight="1">
      <c r="A1872" s="34"/>
    </row>
    <row r="1873" spans="1:1" ht="15.75" customHeight="1">
      <c r="A1873" s="34"/>
    </row>
    <row r="1874" spans="1:1" ht="15.75" customHeight="1">
      <c r="A1874" s="34"/>
    </row>
    <row r="1875" spans="1:1" ht="15.75" customHeight="1">
      <c r="A1875" s="34"/>
    </row>
    <row r="1876" spans="1:1" ht="15.75" customHeight="1">
      <c r="A1876" s="34"/>
    </row>
    <row r="1877" spans="1:1" ht="15.75" customHeight="1">
      <c r="A1877" s="34"/>
    </row>
    <row r="1878" spans="1:1" ht="15.75" customHeight="1">
      <c r="A1878" s="34"/>
    </row>
    <row r="1879" spans="1:1" ht="15.75" customHeight="1">
      <c r="A1879" s="34"/>
    </row>
    <row r="1880" spans="1:1" ht="15.75" customHeight="1">
      <c r="A1880" s="34"/>
    </row>
    <row r="1881" spans="1:1" ht="15.75" customHeight="1">
      <c r="A1881" s="34"/>
    </row>
    <row r="1882" spans="1:1" ht="15.75" customHeight="1">
      <c r="A1882" s="34"/>
    </row>
    <row r="1883" spans="1:1" ht="15.75" customHeight="1">
      <c r="A1883" s="34"/>
    </row>
    <row r="1884" spans="1:1" ht="15.75" customHeight="1">
      <c r="A1884" s="34"/>
    </row>
    <row r="1885" spans="1:1" ht="15.75" customHeight="1">
      <c r="A1885" s="34"/>
    </row>
    <row r="1886" spans="1:1" ht="15.75" customHeight="1">
      <c r="A1886" s="34"/>
    </row>
    <row r="1887" spans="1:1" ht="15.75" customHeight="1">
      <c r="A1887" s="34"/>
    </row>
    <row r="1888" spans="1:1" ht="15.75" customHeight="1">
      <c r="A1888" s="34"/>
    </row>
    <row r="1889" spans="1:1" ht="15.75" customHeight="1">
      <c r="A1889" s="34"/>
    </row>
    <row r="1890" spans="1:1" ht="15.75" customHeight="1">
      <c r="A1890" s="34"/>
    </row>
    <row r="1891" spans="1:1" ht="15.75" customHeight="1">
      <c r="A1891" s="34"/>
    </row>
    <row r="1892" spans="1:1" ht="15.75" customHeight="1">
      <c r="A1892" s="34"/>
    </row>
    <row r="1893" spans="1:1" ht="15.75" customHeight="1">
      <c r="A1893" s="34"/>
    </row>
    <row r="1894" spans="1:1" ht="15.75" customHeight="1">
      <c r="A1894" s="34"/>
    </row>
    <row r="1895" spans="1:1" ht="15.75" customHeight="1">
      <c r="A1895" s="34"/>
    </row>
    <row r="1896" spans="1:1" ht="15.75" customHeight="1">
      <c r="A1896" s="34"/>
    </row>
    <row r="1897" spans="1:1" ht="15.75" customHeight="1">
      <c r="A1897" s="34"/>
    </row>
    <row r="1898" spans="1:1" ht="15.75" customHeight="1">
      <c r="A1898" s="34"/>
    </row>
    <row r="1899" spans="1:1" ht="15.75" customHeight="1">
      <c r="A1899" s="34"/>
    </row>
    <row r="1900" spans="1:1" ht="15.75" customHeight="1">
      <c r="A1900" s="34"/>
    </row>
    <row r="1901" spans="1:1" ht="15.75" customHeight="1">
      <c r="A1901" s="34"/>
    </row>
    <row r="1902" spans="1:1" ht="15.75" customHeight="1">
      <c r="A1902" s="34"/>
    </row>
    <row r="1903" spans="1:1" ht="15.75" customHeight="1">
      <c r="A1903" s="34"/>
    </row>
    <row r="1904" spans="1:1" ht="15.75" customHeight="1">
      <c r="A1904" s="34"/>
    </row>
    <row r="1905" spans="1:1" ht="15.75" customHeight="1">
      <c r="A1905" s="34"/>
    </row>
    <row r="1906" spans="1:1" ht="15.75" customHeight="1">
      <c r="A1906" s="34"/>
    </row>
    <row r="1907" spans="1:1" ht="15.75" customHeight="1">
      <c r="A1907" s="34"/>
    </row>
    <row r="1908" spans="1:1" ht="15.75" customHeight="1">
      <c r="A1908" s="34"/>
    </row>
    <row r="1909" spans="1:1" ht="15.75" customHeight="1">
      <c r="A1909" s="34"/>
    </row>
    <row r="1910" spans="1:1" ht="15.75" customHeight="1">
      <c r="A1910" s="34"/>
    </row>
    <row r="1911" spans="1:1" ht="15.75" customHeight="1">
      <c r="A1911" s="34"/>
    </row>
    <row r="1912" spans="1:1" ht="15.75" customHeight="1">
      <c r="A1912" s="34"/>
    </row>
    <row r="1913" spans="1:1" ht="15.75" customHeight="1">
      <c r="A1913" s="34"/>
    </row>
    <row r="1914" spans="1:1" ht="15.75" customHeight="1">
      <c r="A1914" s="34"/>
    </row>
    <row r="1915" spans="1:1" ht="15.75" customHeight="1">
      <c r="A1915" s="34"/>
    </row>
    <row r="1916" spans="1:1" ht="15.75" customHeight="1">
      <c r="A1916" s="34"/>
    </row>
    <row r="1917" spans="1:1" ht="15.75" customHeight="1">
      <c r="A1917" s="34"/>
    </row>
    <row r="1918" spans="1:1" ht="15.75" customHeight="1">
      <c r="A1918" s="34"/>
    </row>
    <row r="1919" spans="1:1" ht="15.75" customHeight="1">
      <c r="A1919" s="34"/>
    </row>
    <row r="1920" spans="1:1" ht="15.75" customHeight="1">
      <c r="A1920" s="34"/>
    </row>
    <row r="1921" spans="1:1" ht="15.75" customHeight="1">
      <c r="A1921" s="34"/>
    </row>
    <row r="1922" spans="1:1" ht="15.75" customHeight="1">
      <c r="A1922" s="34"/>
    </row>
    <row r="1923" spans="1:1" ht="15.75" customHeight="1">
      <c r="A1923" s="34"/>
    </row>
    <row r="1924" spans="1:1" ht="15.75" customHeight="1">
      <c r="A1924" s="34"/>
    </row>
    <row r="1925" spans="1:1" ht="15.75" customHeight="1">
      <c r="A1925" s="34"/>
    </row>
    <row r="1926" spans="1:1" ht="15.75" customHeight="1">
      <c r="A1926" s="34"/>
    </row>
    <row r="1927" spans="1:1" ht="15.75" customHeight="1">
      <c r="A1927" s="34"/>
    </row>
    <row r="1928" spans="1:1" ht="15.75" customHeight="1">
      <c r="A1928" s="34"/>
    </row>
    <row r="1929" spans="1:1" ht="15.75" customHeight="1">
      <c r="A1929" s="34"/>
    </row>
    <row r="1930" spans="1:1" ht="15.75" customHeight="1">
      <c r="A1930" s="34"/>
    </row>
    <row r="1931" spans="1:1" ht="15.75" customHeight="1">
      <c r="A1931" s="34"/>
    </row>
    <row r="1932" spans="1:1" ht="15.75" customHeight="1">
      <c r="A1932" s="34"/>
    </row>
    <row r="1933" spans="1:1" ht="15.75" customHeight="1">
      <c r="A1933" s="34"/>
    </row>
    <row r="1934" spans="1:1" ht="15.75" customHeight="1">
      <c r="A1934" s="34"/>
    </row>
    <row r="1935" spans="1:1" ht="15.75" customHeight="1">
      <c r="A1935" s="34"/>
    </row>
    <row r="1936" spans="1:1" ht="15.75" customHeight="1">
      <c r="A1936" s="34"/>
    </row>
    <row r="1937" spans="1:1" ht="15.75" customHeight="1">
      <c r="A1937" s="34"/>
    </row>
    <row r="1938" spans="1:1" ht="15.75" customHeight="1">
      <c r="A1938" s="34"/>
    </row>
    <row r="1939" spans="1:1" ht="15.75" customHeight="1">
      <c r="A1939" s="34"/>
    </row>
    <row r="1940" spans="1:1" ht="15.75" customHeight="1">
      <c r="A1940" s="34"/>
    </row>
    <row r="1941" spans="1:1" ht="15.75" customHeight="1">
      <c r="A1941" s="34"/>
    </row>
    <row r="1942" spans="1:1" ht="15.75" customHeight="1">
      <c r="A1942" s="34"/>
    </row>
    <row r="1943" spans="1:1" ht="15.75" customHeight="1">
      <c r="A1943" s="34"/>
    </row>
    <row r="1944" spans="1:1" ht="15.75" customHeight="1">
      <c r="A1944" s="34"/>
    </row>
    <row r="1945" spans="1:1" ht="15.75" customHeight="1">
      <c r="A1945" s="34"/>
    </row>
    <row r="1946" spans="1:1" ht="15.75" customHeight="1">
      <c r="A1946" s="34"/>
    </row>
    <row r="1947" spans="1:1" ht="15.75" customHeight="1">
      <c r="A1947" s="34"/>
    </row>
    <row r="1948" spans="1:1" ht="15.75" customHeight="1">
      <c r="A1948" s="34"/>
    </row>
    <row r="1949" spans="1:1" ht="15.75" customHeight="1">
      <c r="A1949" s="34"/>
    </row>
    <row r="1950" spans="1:1" ht="15.75" customHeight="1">
      <c r="A1950" s="34"/>
    </row>
    <row r="1951" spans="1:1" ht="15.75" customHeight="1">
      <c r="A1951" s="34"/>
    </row>
    <row r="1952" spans="1:1" ht="15.75" customHeight="1">
      <c r="A1952" s="34"/>
    </row>
    <row r="1953" spans="1:1" ht="15.75" customHeight="1">
      <c r="A1953" s="34"/>
    </row>
    <row r="1954" spans="1:1" ht="15.75" customHeight="1">
      <c r="A1954" s="34"/>
    </row>
    <row r="1955" spans="1:1" ht="15.75" customHeight="1">
      <c r="A1955" s="34"/>
    </row>
    <row r="1956" spans="1:1" ht="15.75" customHeight="1">
      <c r="A1956" s="34"/>
    </row>
    <row r="1957" spans="1:1" ht="15.75" customHeight="1">
      <c r="A1957" s="34"/>
    </row>
    <row r="1958" spans="1:1" ht="15.75" customHeight="1">
      <c r="A1958" s="34"/>
    </row>
    <row r="1959" spans="1:1" ht="15.75" customHeight="1">
      <c r="A1959" s="34"/>
    </row>
    <row r="1960" spans="1:1" ht="15.75" customHeight="1">
      <c r="A1960" s="34"/>
    </row>
    <row r="1961" spans="1:1" ht="15.75" customHeight="1">
      <c r="A1961" s="34"/>
    </row>
    <row r="1962" spans="1:1" ht="15.75" customHeight="1">
      <c r="A1962" s="34"/>
    </row>
    <row r="1963" spans="1:1" ht="15.75" customHeight="1">
      <c r="A1963" s="34"/>
    </row>
    <row r="1964" spans="1:1" ht="15.75" customHeight="1">
      <c r="A1964" s="34"/>
    </row>
    <row r="1965" spans="1:1" ht="15.75" customHeight="1">
      <c r="A1965" s="34"/>
    </row>
    <row r="1966" spans="1:1" ht="15.75" customHeight="1">
      <c r="A1966" s="34"/>
    </row>
    <row r="1967" spans="1:1" ht="15.75" customHeight="1">
      <c r="A1967" s="34"/>
    </row>
    <row r="1968" spans="1:1" ht="15.75" customHeight="1">
      <c r="A1968" s="34"/>
    </row>
    <row r="1969" spans="1:1" ht="15.75" customHeight="1">
      <c r="A1969" s="34"/>
    </row>
    <row r="1970" spans="1:1" ht="15.75" customHeight="1">
      <c r="A1970" s="34"/>
    </row>
    <row r="1971" spans="1:1" ht="15.75" customHeight="1">
      <c r="A1971" s="34"/>
    </row>
    <row r="1972" spans="1:1" ht="15.75" customHeight="1">
      <c r="A1972" s="34"/>
    </row>
    <row r="1973" spans="1:1" ht="15.75" customHeight="1">
      <c r="A1973" s="34"/>
    </row>
    <row r="1974" spans="1:1" ht="15.75" customHeight="1">
      <c r="A1974" s="34"/>
    </row>
    <row r="1975" spans="1:1" ht="15.75" customHeight="1">
      <c r="A1975" s="34"/>
    </row>
    <row r="1976" spans="1:1" ht="15.75" customHeight="1">
      <c r="A1976" s="34"/>
    </row>
    <row r="1977" spans="1:1" ht="15.75" customHeight="1">
      <c r="A1977" s="34"/>
    </row>
    <row r="1978" spans="1:1" ht="15.75" customHeight="1">
      <c r="A1978" s="34"/>
    </row>
    <row r="1979" spans="1:1" ht="15.75" customHeight="1">
      <c r="A1979" s="34"/>
    </row>
    <row r="1980" spans="1:1" ht="15.75" customHeight="1">
      <c r="A1980" s="34"/>
    </row>
    <row r="1981" spans="1:1" ht="15.75" customHeight="1">
      <c r="A1981" s="34"/>
    </row>
    <row r="1982" spans="1:1" ht="15.75" customHeight="1">
      <c r="A1982" s="34"/>
    </row>
    <row r="1983" spans="1:1" ht="15.75" customHeight="1">
      <c r="A1983" s="34"/>
    </row>
    <row r="1984" spans="1:1" ht="15.75" customHeight="1">
      <c r="A1984" s="34"/>
    </row>
    <row r="1985" spans="1:1" ht="15.75" customHeight="1">
      <c r="A1985" s="34"/>
    </row>
    <row r="1986" spans="1:1" ht="15.75" customHeight="1">
      <c r="A1986" s="34"/>
    </row>
    <row r="1987" spans="1:1" ht="15.75" customHeight="1">
      <c r="A1987" s="34"/>
    </row>
    <row r="1988" spans="1:1" ht="15.75" customHeight="1">
      <c r="A1988" s="34"/>
    </row>
    <row r="1989" spans="1:1" ht="15.75" customHeight="1">
      <c r="A1989" s="34"/>
    </row>
    <row r="1990" spans="1:1" ht="15.75" customHeight="1">
      <c r="A1990" s="34"/>
    </row>
    <row r="1991" spans="1:1" ht="15.75" customHeight="1">
      <c r="A1991" s="34"/>
    </row>
    <row r="1992" spans="1:1" ht="15.75" customHeight="1">
      <c r="A1992" s="34"/>
    </row>
    <row r="1993" spans="1:1" ht="15.75" customHeight="1">
      <c r="A1993" s="34"/>
    </row>
    <row r="1994" spans="1:1" ht="15.75" customHeight="1">
      <c r="A1994" s="34"/>
    </row>
    <row r="1995" spans="1:1" ht="15.75" customHeight="1">
      <c r="A1995" s="34"/>
    </row>
    <row r="1996" spans="1:1" ht="15.75" customHeight="1">
      <c r="A1996" s="34"/>
    </row>
    <row r="1997" spans="1:1" ht="15.75" customHeight="1">
      <c r="A1997" s="34"/>
    </row>
    <row r="1998" spans="1:1" ht="15.75" customHeight="1">
      <c r="A1998" s="34"/>
    </row>
    <row r="1999" spans="1:1" ht="15.75" customHeight="1">
      <c r="A1999" s="34"/>
    </row>
    <row r="2000" spans="1:1" ht="15.75" customHeight="1">
      <c r="A2000" s="34"/>
    </row>
    <row r="2001" spans="1:1" ht="15.75" customHeight="1">
      <c r="A2001" s="34"/>
    </row>
    <row r="2002" spans="1:1" ht="15.75" customHeight="1">
      <c r="A2002" s="34"/>
    </row>
    <row r="2003" spans="1:1" ht="15.75" customHeight="1">
      <c r="A2003" s="34"/>
    </row>
    <row r="2004" spans="1:1" ht="15.75" customHeight="1">
      <c r="A2004" s="34"/>
    </row>
    <row r="2005" spans="1:1" ht="15.75" customHeight="1">
      <c r="A2005" s="34"/>
    </row>
    <row r="2006" spans="1:1" ht="15.75" customHeight="1">
      <c r="A2006" s="34"/>
    </row>
    <row r="2007" spans="1:1" ht="15.75" customHeight="1">
      <c r="A2007" s="34"/>
    </row>
    <row r="2008" spans="1:1" ht="15.75" customHeight="1">
      <c r="A2008" s="34"/>
    </row>
    <row r="2009" spans="1:1" ht="15.75" customHeight="1">
      <c r="A2009" s="34"/>
    </row>
    <row r="2010" spans="1:1" ht="15.75" customHeight="1">
      <c r="A2010" s="34"/>
    </row>
    <row r="2011" spans="1:1" ht="15.75" customHeight="1">
      <c r="A2011" s="34"/>
    </row>
    <row r="2012" spans="1:1" ht="15.75" customHeight="1">
      <c r="A2012" s="34"/>
    </row>
    <row r="2013" spans="1:1" ht="15.75" customHeight="1">
      <c r="A2013" s="34"/>
    </row>
    <row r="2014" spans="1:1" ht="15.75" customHeight="1">
      <c r="A2014" s="34"/>
    </row>
    <row r="2015" spans="1:1" ht="15.75" customHeight="1">
      <c r="A2015" s="34"/>
    </row>
    <row r="2016" spans="1:1" ht="15.75" customHeight="1">
      <c r="A2016" s="34"/>
    </row>
    <row r="2017" spans="1:1" ht="15.75" customHeight="1">
      <c r="A2017" s="34"/>
    </row>
    <row r="2018" spans="1:1" ht="15.75" customHeight="1">
      <c r="A2018" s="34"/>
    </row>
    <row r="2019" spans="1:1" ht="15.75" customHeight="1">
      <c r="A2019" s="34"/>
    </row>
    <row r="2020" spans="1:1" ht="15.75" customHeight="1">
      <c r="A2020" s="34"/>
    </row>
    <row r="2021" spans="1:1" ht="15.75" customHeight="1">
      <c r="A2021" s="34"/>
    </row>
    <row r="2022" spans="1:1" ht="15.75" customHeight="1">
      <c r="A2022" s="34"/>
    </row>
    <row r="2023" spans="1:1" ht="15.75" customHeight="1">
      <c r="A2023" s="34"/>
    </row>
    <row r="2024" spans="1:1" ht="15.75" customHeight="1">
      <c r="A2024" s="34"/>
    </row>
    <row r="2025" spans="1:1" ht="15.75" customHeight="1">
      <c r="A2025" s="34"/>
    </row>
    <row r="2026" spans="1:1" ht="15.75" customHeight="1">
      <c r="A2026" s="34"/>
    </row>
    <row r="2027" spans="1:1" ht="15.75" customHeight="1">
      <c r="A2027" s="34"/>
    </row>
    <row r="2028" spans="1:1" ht="15.75" customHeight="1">
      <c r="A2028" s="34"/>
    </row>
    <row r="2029" spans="1:1" ht="15.75" customHeight="1">
      <c r="A2029" s="34"/>
    </row>
    <row r="2030" spans="1:1" ht="15.75" customHeight="1">
      <c r="A2030" s="34"/>
    </row>
    <row r="2031" spans="1:1" ht="15.75" customHeight="1">
      <c r="A2031" s="34"/>
    </row>
    <row r="2032" spans="1:1" ht="15.75" customHeight="1">
      <c r="A2032" s="34"/>
    </row>
    <row r="2033" spans="1:1" ht="15.75" customHeight="1">
      <c r="A2033" s="34"/>
    </row>
    <row r="2034" spans="1:1" ht="15.75" customHeight="1">
      <c r="A2034" s="34"/>
    </row>
    <row r="2035" spans="1:1" ht="15.75" customHeight="1">
      <c r="A2035" s="34"/>
    </row>
    <row r="2036" spans="1:1" ht="15.75" customHeight="1">
      <c r="A2036" s="34"/>
    </row>
    <row r="2037" spans="1:1" ht="15.75" customHeight="1">
      <c r="A2037" s="34"/>
    </row>
    <row r="2038" spans="1:1" ht="15.75" customHeight="1">
      <c r="A2038" s="34"/>
    </row>
    <row r="2039" spans="1:1" ht="15.75" customHeight="1">
      <c r="A2039" s="34"/>
    </row>
    <row r="2040" spans="1:1" ht="15.75" customHeight="1">
      <c r="A2040" s="34"/>
    </row>
    <row r="2041" spans="1:1" ht="15.75" customHeight="1">
      <c r="A2041" s="34"/>
    </row>
    <row r="2042" spans="1:1" ht="15.75" customHeight="1">
      <c r="A2042" s="34"/>
    </row>
    <row r="2043" spans="1:1" ht="15.75" customHeight="1">
      <c r="A2043" s="34"/>
    </row>
    <row r="2044" spans="1:1" ht="15.75" customHeight="1">
      <c r="A2044" s="34"/>
    </row>
    <row r="2045" spans="1:1" ht="15.75" customHeight="1">
      <c r="A2045" s="34"/>
    </row>
    <row r="2046" spans="1:1" ht="15.75" customHeight="1">
      <c r="A2046" s="34"/>
    </row>
    <row r="2047" spans="1:1" ht="15.75" customHeight="1">
      <c r="A2047" s="34"/>
    </row>
    <row r="2048" spans="1:1" ht="15.75" customHeight="1">
      <c r="A2048" s="34"/>
    </row>
    <row r="2049" spans="1:1" ht="15.75" customHeight="1">
      <c r="A2049" s="34"/>
    </row>
    <row r="2050" spans="1:1" ht="15.75" customHeight="1">
      <c r="A2050" s="34"/>
    </row>
    <row r="2051" spans="1:1" ht="15.75" customHeight="1">
      <c r="A2051" s="34"/>
    </row>
    <row r="2052" spans="1:1" ht="15.75" customHeight="1">
      <c r="A2052" s="34"/>
    </row>
    <row r="2053" spans="1:1" ht="15.75" customHeight="1">
      <c r="A2053" s="34"/>
    </row>
    <row r="2054" spans="1:1" ht="15.75" customHeight="1">
      <c r="A2054" s="34"/>
    </row>
    <row r="2055" spans="1:1" ht="15.75" customHeight="1">
      <c r="A2055" s="34"/>
    </row>
    <row r="2056" spans="1:1" ht="15.75" customHeight="1">
      <c r="A2056" s="34"/>
    </row>
    <row r="2057" spans="1:1" ht="15.75" customHeight="1">
      <c r="A2057" s="34"/>
    </row>
    <row r="2058" spans="1:1" ht="15.75" customHeight="1">
      <c r="A2058" s="34"/>
    </row>
    <row r="2059" spans="1:1" ht="15.75" customHeight="1">
      <c r="A2059" s="34"/>
    </row>
    <row r="2060" spans="1:1" ht="15.75" customHeight="1">
      <c r="A2060" s="34"/>
    </row>
    <row r="2061" spans="1:1" ht="15.75" customHeight="1">
      <c r="A2061" s="34"/>
    </row>
    <row r="2062" spans="1:1" ht="15.75" customHeight="1">
      <c r="A2062" s="34"/>
    </row>
    <row r="2063" spans="1:1" ht="15.75" customHeight="1">
      <c r="A2063" s="34"/>
    </row>
    <row r="2064" spans="1:1" ht="15.75" customHeight="1">
      <c r="A2064" s="34"/>
    </row>
    <row r="2065" spans="1:1" ht="15.75" customHeight="1">
      <c r="A2065" s="34"/>
    </row>
    <row r="2066" spans="1:1" ht="15.75" customHeight="1">
      <c r="A2066" s="34"/>
    </row>
    <row r="2067" spans="1:1" ht="15.75" customHeight="1">
      <c r="A2067" s="34"/>
    </row>
    <row r="2068" spans="1:1" ht="15.75" customHeight="1">
      <c r="A2068" s="34"/>
    </row>
    <row r="2069" spans="1:1" ht="15.75" customHeight="1">
      <c r="A2069" s="34"/>
    </row>
    <row r="2070" spans="1:1" ht="15.75" customHeight="1">
      <c r="A2070" s="34"/>
    </row>
    <row r="2071" spans="1:1" ht="15.75" customHeight="1">
      <c r="A2071" s="34"/>
    </row>
    <row r="2072" spans="1:1" ht="15.75" customHeight="1">
      <c r="A2072" s="34"/>
    </row>
    <row r="2073" spans="1:1" ht="15.75" customHeight="1">
      <c r="A2073" s="34"/>
    </row>
    <row r="2074" spans="1:1" ht="15.75" customHeight="1">
      <c r="A2074" s="34"/>
    </row>
    <row r="2075" spans="1:1" ht="15.75" customHeight="1">
      <c r="A2075" s="34"/>
    </row>
    <row r="2076" spans="1:1" ht="15.75" customHeight="1">
      <c r="A2076" s="34"/>
    </row>
    <row r="2077" spans="1:1" ht="15.75" customHeight="1">
      <c r="A2077" s="34"/>
    </row>
    <row r="2078" spans="1:1" ht="15.75" customHeight="1">
      <c r="A2078" s="34"/>
    </row>
    <row r="2079" spans="1:1" ht="15.75" customHeight="1">
      <c r="A2079" s="34"/>
    </row>
    <row r="2080" spans="1:1" ht="15.75" customHeight="1">
      <c r="A2080" s="34"/>
    </row>
    <row r="2081" spans="1:1" ht="15.75" customHeight="1">
      <c r="A2081" s="34"/>
    </row>
    <row r="2082" spans="1:1" ht="15.75" customHeight="1">
      <c r="A2082" s="34"/>
    </row>
    <row r="2083" spans="1:1" ht="15.75" customHeight="1">
      <c r="A2083" s="34"/>
    </row>
    <row r="2084" spans="1:1" ht="15.75" customHeight="1">
      <c r="A2084" s="34"/>
    </row>
    <row r="2085" spans="1:1" ht="15.75" customHeight="1">
      <c r="A2085" s="34"/>
    </row>
    <row r="2086" spans="1:1" ht="15.75" customHeight="1">
      <c r="A2086" s="34"/>
    </row>
    <row r="2087" spans="1:1" ht="15.75" customHeight="1">
      <c r="A2087" s="34"/>
    </row>
    <row r="2088" spans="1:1" ht="15.75" customHeight="1">
      <c r="A2088" s="34"/>
    </row>
    <row r="2089" spans="1:1" ht="15.75" customHeight="1">
      <c r="A2089" s="34"/>
    </row>
    <row r="2090" spans="1:1" ht="15.75" customHeight="1">
      <c r="A2090" s="34"/>
    </row>
    <row r="2091" spans="1:1" ht="15.75" customHeight="1">
      <c r="A2091" s="34"/>
    </row>
    <row r="2092" spans="1:1" ht="15.75" customHeight="1">
      <c r="A2092" s="34"/>
    </row>
    <row r="2093" spans="1:1" ht="15.75" customHeight="1">
      <c r="A2093" s="34"/>
    </row>
    <row r="2094" spans="1:1" ht="15.75" customHeight="1">
      <c r="A2094" s="34"/>
    </row>
    <row r="2095" spans="1:1" ht="15.75" customHeight="1">
      <c r="A2095" s="34"/>
    </row>
    <row r="2096" spans="1:1" ht="15.75" customHeight="1">
      <c r="A2096" s="34"/>
    </row>
    <row r="2097" spans="1:1" ht="15.75" customHeight="1">
      <c r="A2097" s="34"/>
    </row>
    <row r="2098" spans="1:1" ht="15.75" customHeight="1">
      <c r="A2098" s="34"/>
    </row>
    <row r="2099" spans="1:1" ht="15.75" customHeight="1">
      <c r="A2099" s="34"/>
    </row>
    <row r="2100" spans="1:1" ht="15.75" customHeight="1">
      <c r="A2100" s="34"/>
    </row>
    <row r="2101" spans="1:1" ht="15.75" customHeight="1">
      <c r="A2101" s="34"/>
    </row>
    <row r="2102" spans="1:1" ht="15.75" customHeight="1">
      <c r="A2102" s="34"/>
    </row>
    <row r="2103" spans="1:1" ht="15.75" customHeight="1">
      <c r="A2103" s="34"/>
    </row>
    <row r="2104" spans="1:1" ht="15.75" customHeight="1">
      <c r="A2104" s="34"/>
    </row>
    <row r="2105" spans="1:1" ht="15.75" customHeight="1">
      <c r="A2105" s="34"/>
    </row>
    <row r="2106" spans="1:1" ht="15.75" customHeight="1">
      <c r="A2106" s="34"/>
    </row>
    <row r="2107" spans="1:1" ht="15.75" customHeight="1">
      <c r="A2107" s="34"/>
    </row>
    <row r="2108" spans="1:1" ht="15.75" customHeight="1">
      <c r="A2108" s="34"/>
    </row>
    <row r="2109" spans="1:1" ht="15.75" customHeight="1">
      <c r="A2109" s="34"/>
    </row>
    <row r="2110" spans="1:1" ht="15.75" customHeight="1">
      <c r="A2110" s="34"/>
    </row>
    <row r="2111" spans="1:1" ht="15.75" customHeight="1">
      <c r="A2111" s="34"/>
    </row>
    <row r="2112" spans="1:1" ht="15.75" customHeight="1">
      <c r="A2112" s="34"/>
    </row>
    <row r="2113" spans="1:1" ht="15.75" customHeight="1">
      <c r="A2113" s="34"/>
    </row>
    <row r="2114" spans="1:1" ht="15.75" customHeight="1">
      <c r="A2114" s="34"/>
    </row>
    <row r="2115" spans="1:1" ht="15.75" customHeight="1">
      <c r="A2115" s="34"/>
    </row>
    <row r="2116" spans="1:1" ht="15.75" customHeight="1">
      <c r="A2116" s="34"/>
    </row>
    <row r="2117" spans="1:1" ht="15.75" customHeight="1">
      <c r="A2117" s="34"/>
    </row>
    <row r="2118" spans="1:1" ht="15.75" customHeight="1">
      <c r="A2118" s="34"/>
    </row>
    <row r="2119" spans="1:1" ht="15.75" customHeight="1">
      <c r="A2119" s="34"/>
    </row>
    <row r="2120" spans="1:1" ht="15.75" customHeight="1">
      <c r="A2120" s="34"/>
    </row>
    <row r="2121" spans="1:1" ht="15.75" customHeight="1">
      <c r="A2121" s="34"/>
    </row>
    <row r="2122" spans="1:1" ht="15.75" customHeight="1">
      <c r="A2122" s="34"/>
    </row>
    <row r="2123" spans="1:1" ht="15.75" customHeight="1">
      <c r="A2123" s="34"/>
    </row>
    <row r="2124" spans="1:1" ht="15.75" customHeight="1">
      <c r="A2124" s="34"/>
    </row>
    <row r="2125" spans="1:1" ht="15.75" customHeight="1">
      <c r="A2125" s="34"/>
    </row>
    <row r="2126" spans="1:1" ht="15.75" customHeight="1">
      <c r="A2126" s="34"/>
    </row>
    <row r="2127" spans="1:1" ht="15.75" customHeight="1">
      <c r="A2127" s="34"/>
    </row>
    <row r="2128" spans="1:1" ht="15.75" customHeight="1">
      <c r="A2128" s="34"/>
    </row>
    <row r="2129" spans="1:1" ht="15.75" customHeight="1">
      <c r="A2129" s="34"/>
    </row>
    <row r="2130" spans="1:1" ht="15.75" customHeight="1">
      <c r="A2130" s="34"/>
    </row>
    <row r="2131" spans="1:1" ht="15.75" customHeight="1">
      <c r="A2131" s="34"/>
    </row>
    <row r="2132" spans="1:1" ht="15.75" customHeight="1">
      <c r="A2132" s="34"/>
    </row>
    <row r="2133" spans="1:1" ht="15.75" customHeight="1">
      <c r="A2133" s="34"/>
    </row>
    <row r="2134" spans="1:1" ht="15.75" customHeight="1">
      <c r="A2134" s="34"/>
    </row>
    <row r="2135" spans="1:1" ht="15.75" customHeight="1">
      <c r="A2135" s="34"/>
    </row>
    <row r="2136" spans="1:1" ht="15.75" customHeight="1">
      <c r="A2136" s="34"/>
    </row>
    <row r="2137" spans="1:1" ht="15.75" customHeight="1">
      <c r="A2137" s="34"/>
    </row>
    <row r="2138" spans="1:1" ht="15.75" customHeight="1">
      <c r="A2138" s="34"/>
    </row>
    <row r="2139" spans="1:1" ht="15.75" customHeight="1">
      <c r="A2139" s="34"/>
    </row>
    <row r="2140" spans="1:1" ht="15.75" customHeight="1">
      <c r="A2140" s="34"/>
    </row>
    <row r="2141" spans="1:1" ht="15.75" customHeight="1">
      <c r="A2141" s="34"/>
    </row>
    <row r="2142" spans="1:1" ht="15.75" customHeight="1">
      <c r="A2142" s="34"/>
    </row>
    <row r="2143" spans="1:1" ht="15.75" customHeight="1">
      <c r="A2143" s="34"/>
    </row>
    <row r="2144" spans="1:1" ht="15.75" customHeight="1">
      <c r="A2144" s="34"/>
    </row>
    <row r="2145" spans="1:1" ht="15.75" customHeight="1">
      <c r="A2145" s="34"/>
    </row>
    <row r="2146" spans="1:1" ht="15.75" customHeight="1">
      <c r="A2146" s="34"/>
    </row>
    <row r="2147" spans="1:1" ht="15.75" customHeight="1">
      <c r="A2147" s="34"/>
    </row>
    <row r="2148" spans="1:1" ht="15.75" customHeight="1">
      <c r="A2148" s="34"/>
    </row>
    <row r="2149" spans="1:1" ht="15.75" customHeight="1">
      <c r="A2149" s="34"/>
    </row>
    <row r="2150" spans="1:1" ht="15.75" customHeight="1">
      <c r="A2150" s="34"/>
    </row>
    <row r="2151" spans="1:1" ht="15.75" customHeight="1">
      <c r="A2151" s="34"/>
    </row>
    <row r="2152" spans="1:1" ht="15.75" customHeight="1">
      <c r="A2152" s="34"/>
    </row>
    <row r="2153" spans="1:1" ht="15.75" customHeight="1">
      <c r="A2153" s="34"/>
    </row>
    <row r="2154" spans="1:1" ht="15.75" customHeight="1">
      <c r="A2154" s="34"/>
    </row>
    <row r="2155" spans="1:1" ht="15.75" customHeight="1">
      <c r="A2155" s="34"/>
    </row>
    <row r="2156" spans="1:1" ht="15.75" customHeight="1">
      <c r="A2156" s="34"/>
    </row>
    <row r="2157" spans="1:1" ht="15.75" customHeight="1">
      <c r="A2157" s="34"/>
    </row>
    <row r="2158" spans="1:1" ht="15.75" customHeight="1">
      <c r="A2158" s="34"/>
    </row>
    <row r="2159" spans="1:1" ht="15.75" customHeight="1">
      <c r="A2159" s="34"/>
    </row>
    <row r="2160" spans="1:1" ht="15.75" customHeight="1">
      <c r="A2160" s="34"/>
    </row>
    <row r="2161" spans="1:1" ht="15.75" customHeight="1">
      <c r="A2161" s="34"/>
    </row>
    <row r="2162" spans="1:1" ht="15.75" customHeight="1">
      <c r="A2162" s="34"/>
    </row>
    <row r="2163" spans="1:1" ht="15.75" customHeight="1">
      <c r="A2163" s="34"/>
    </row>
    <row r="2164" spans="1:1" ht="15.75" customHeight="1">
      <c r="A2164" s="34"/>
    </row>
    <row r="2165" spans="1:1" ht="15.75" customHeight="1">
      <c r="A2165" s="34"/>
    </row>
    <row r="2166" spans="1:1" ht="15.75" customHeight="1">
      <c r="A2166" s="34"/>
    </row>
    <row r="2167" spans="1:1" ht="15.75" customHeight="1">
      <c r="A2167" s="34"/>
    </row>
    <row r="2168" spans="1:1" ht="15.75" customHeight="1">
      <c r="A2168" s="34"/>
    </row>
    <row r="2169" spans="1:1" ht="15.75" customHeight="1">
      <c r="A2169" s="34"/>
    </row>
    <row r="2170" spans="1:1" ht="15.75" customHeight="1">
      <c r="A2170" s="34"/>
    </row>
    <row r="2171" spans="1:1" ht="15.75" customHeight="1">
      <c r="A2171" s="34"/>
    </row>
    <row r="2172" spans="1:1" ht="15.75" customHeight="1">
      <c r="A2172" s="34"/>
    </row>
    <row r="2173" spans="1:1" ht="15.75" customHeight="1">
      <c r="A2173" s="34"/>
    </row>
    <row r="2174" spans="1:1" ht="15.75" customHeight="1">
      <c r="A2174" s="34"/>
    </row>
    <row r="2175" spans="1:1" ht="15.75" customHeight="1">
      <c r="A2175" s="34"/>
    </row>
    <row r="2176" spans="1:1" ht="15.75" customHeight="1">
      <c r="A2176" s="34"/>
    </row>
    <row r="2177" spans="1:1" ht="15.75" customHeight="1">
      <c r="A2177" s="34"/>
    </row>
    <row r="2178" spans="1:1" ht="15.75" customHeight="1">
      <c r="A2178" s="34"/>
    </row>
    <row r="2179" spans="1:1" ht="15.75" customHeight="1">
      <c r="A2179" s="34"/>
    </row>
    <row r="2180" spans="1:1" ht="15.75" customHeight="1">
      <c r="A2180" s="34"/>
    </row>
    <row r="2181" spans="1:1" ht="15.75" customHeight="1">
      <c r="A2181" s="34"/>
    </row>
    <row r="2182" spans="1:1" ht="15.75" customHeight="1">
      <c r="A2182" s="34"/>
    </row>
    <row r="2183" spans="1:1" ht="15.75" customHeight="1">
      <c r="A2183" s="34"/>
    </row>
    <row r="2184" spans="1:1" ht="15.75" customHeight="1">
      <c r="A2184" s="34"/>
    </row>
    <row r="2185" spans="1:1" ht="15.75" customHeight="1">
      <c r="A2185" s="34"/>
    </row>
    <row r="2186" spans="1:1" ht="15.75" customHeight="1">
      <c r="A2186" s="34"/>
    </row>
    <row r="2187" spans="1:1" ht="15.75" customHeight="1">
      <c r="A2187" s="34"/>
    </row>
    <row r="2188" spans="1:1" ht="15.75" customHeight="1">
      <c r="A2188" s="34"/>
    </row>
    <row r="2189" spans="1:1" ht="15.75" customHeight="1">
      <c r="A2189" s="34"/>
    </row>
    <row r="2190" spans="1:1" ht="15.75" customHeight="1">
      <c r="A2190" s="34"/>
    </row>
    <row r="2191" spans="1:1" ht="15.75" customHeight="1">
      <c r="A2191" s="34"/>
    </row>
    <row r="2192" spans="1:1" ht="15.75" customHeight="1">
      <c r="A2192" s="34"/>
    </row>
    <row r="2193" spans="1:1" ht="15.75" customHeight="1">
      <c r="A2193" s="34"/>
    </row>
    <row r="2194" spans="1:1" ht="15.75" customHeight="1">
      <c r="A2194" s="34"/>
    </row>
    <row r="2195" spans="1:1" ht="15.75" customHeight="1">
      <c r="A2195" s="34"/>
    </row>
    <row r="2196" spans="1:1" ht="15.75" customHeight="1">
      <c r="A2196" s="34"/>
    </row>
    <row r="2197" spans="1:1" ht="15.75" customHeight="1">
      <c r="A2197" s="34"/>
    </row>
    <row r="2198" spans="1:1" ht="15.75" customHeight="1">
      <c r="A2198" s="34"/>
    </row>
    <row r="2199" spans="1:1" ht="15.75" customHeight="1">
      <c r="A2199" s="34"/>
    </row>
    <row r="2200" spans="1:1" ht="15.75" customHeight="1">
      <c r="A2200" s="34"/>
    </row>
    <row r="2201" spans="1:1" ht="15.75" customHeight="1">
      <c r="A2201" s="34"/>
    </row>
    <row r="2202" spans="1:1" ht="15.75" customHeight="1">
      <c r="A2202" s="34"/>
    </row>
    <row r="2203" spans="1:1" ht="15.75" customHeight="1">
      <c r="A2203" s="34"/>
    </row>
    <row r="2204" spans="1:1" ht="15.75" customHeight="1">
      <c r="A2204" s="34"/>
    </row>
    <row r="2205" spans="1:1" ht="15.75" customHeight="1">
      <c r="A2205" s="34"/>
    </row>
    <row r="2206" spans="1:1" ht="15.75" customHeight="1">
      <c r="A2206" s="34"/>
    </row>
    <row r="2207" spans="1:1" ht="15.75" customHeight="1">
      <c r="A2207" s="34"/>
    </row>
    <row r="2208" spans="1:1" ht="15.75" customHeight="1">
      <c r="A2208" s="34"/>
    </row>
    <row r="2209" spans="1:1" ht="15.75" customHeight="1">
      <c r="A2209" s="34"/>
    </row>
    <row r="2210" spans="1:1" ht="15.75" customHeight="1">
      <c r="A2210" s="34"/>
    </row>
    <row r="2211" spans="1:1" ht="15.75" customHeight="1">
      <c r="A2211" s="34"/>
    </row>
    <row r="2212" spans="1:1" ht="15.75" customHeight="1">
      <c r="A2212" s="34"/>
    </row>
    <row r="2213" spans="1:1" ht="15.75" customHeight="1">
      <c r="A2213" s="34"/>
    </row>
    <row r="2214" spans="1:1" ht="15.75" customHeight="1">
      <c r="A2214" s="34"/>
    </row>
    <row r="2215" spans="1:1" ht="15.75" customHeight="1">
      <c r="A2215" s="34"/>
    </row>
    <row r="2216" spans="1:1" ht="15.75" customHeight="1">
      <c r="A2216" s="34"/>
    </row>
    <row r="2217" spans="1:1" ht="15.75" customHeight="1">
      <c r="A2217" s="34"/>
    </row>
    <row r="2218" spans="1:1" ht="15.75" customHeight="1">
      <c r="A2218" s="34"/>
    </row>
    <row r="2219" spans="1:1" ht="15.75" customHeight="1">
      <c r="A2219" s="34"/>
    </row>
    <row r="2220" spans="1:1" ht="15.75" customHeight="1">
      <c r="A2220" s="34"/>
    </row>
    <row r="2221" spans="1:1" ht="15.75" customHeight="1">
      <c r="A2221" s="34"/>
    </row>
    <row r="2222" spans="1:1" ht="15.75" customHeight="1">
      <c r="A2222" s="34"/>
    </row>
    <row r="2223" spans="1:1" ht="15.75" customHeight="1">
      <c r="A2223" s="34"/>
    </row>
    <row r="2224" spans="1:1" ht="15.75" customHeight="1">
      <c r="A2224" s="34"/>
    </row>
    <row r="2225" spans="1:1" ht="15.75" customHeight="1">
      <c r="A2225" s="34"/>
    </row>
    <row r="2226" spans="1:1" ht="15.75" customHeight="1">
      <c r="A2226" s="34"/>
    </row>
    <row r="2227" spans="1:1" ht="15.75" customHeight="1">
      <c r="A2227" s="34"/>
    </row>
    <row r="2228" spans="1:1" ht="15.75" customHeight="1">
      <c r="A2228" s="34"/>
    </row>
    <row r="2229" spans="1:1" ht="15.75" customHeight="1">
      <c r="A2229" s="34"/>
    </row>
    <row r="2230" spans="1:1" ht="15.75" customHeight="1">
      <c r="A2230" s="34"/>
    </row>
    <row r="2231" spans="1:1" ht="15.75" customHeight="1">
      <c r="A2231" s="34"/>
    </row>
    <row r="2232" spans="1:1" ht="15.75" customHeight="1">
      <c r="A2232" s="34"/>
    </row>
    <row r="2233" spans="1:1" ht="15.75" customHeight="1">
      <c r="A2233" s="34"/>
    </row>
    <row r="2234" spans="1:1" ht="15.75" customHeight="1">
      <c r="A2234" s="34"/>
    </row>
    <row r="2235" spans="1:1" ht="15.75" customHeight="1">
      <c r="A2235" s="34"/>
    </row>
    <row r="2236" spans="1:1" ht="15.75" customHeight="1">
      <c r="A2236" s="34"/>
    </row>
    <row r="2237" spans="1:1" ht="15.75" customHeight="1">
      <c r="A2237" s="34"/>
    </row>
    <row r="2238" spans="1:1" ht="15.75" customHeight="1">
      <c r="A2238" s="34"/>
    </row>
    <row r="2239" spans="1:1" ht="15.75" customHeight="1">
      <c r="A2239" s="34"/>
    </row>
    <row r="2240" spans="1:1" ht="15.75" customHeight="1">
      <c r="A2240" s="34"/>
    </row>
    <row r="2241" spans="1:1" ht="15.75" customHeight="1">
      <c r="A2241" s="34"/>
    </row>
    <row r="2242" spans="1:1" ht="15.75" customHeight="1">
      <c r="A2242" s="34"/>
    </row>
    <row r="2243" spans="1:1" ht="15.75" customHeight="1">
      <c r="A2243" s="34"/>
    </row>
    <row r="2244" spans="1:1" ht="15.75" customHeight="1">
      <c r="A2244" s="34"/>
    </row>
    <row r="2245" spans="1:1" ht="15.75" customHeight="1">
      <c r="A2245" s="34"/>
    </row>
    <row r="2246" spans="1:1" ht="15.75" customHeight="1">
      <c r="A2246" s="34"/>
    </row>
    <row r="2247" spans="1:1" ht="15.75" customHeight="1">
      <c r="A2247" s="34"/>
    </row>
    <row r="2248" spans="1:1" ht="15.75" customHeight="1">
      <c r="A2248" s="34"/>
    </row>
    <row r="2249" spans="1:1" ht="15.75" customHeight="1">
      <c r="A2249" s="34"/>
    </row>
    <row r="2250" spans="1:1" ht="15.75" customHeight="1">
      <c r="A2250" s="34"/>
    </row>
    <row r="2251" spans="1:1" ht="15.75" customHeight="1">
      <c r="A2251" s="34"/>
    </row>
    <row r="2252" spans="1:1" ht="15.75" customHeight="1">
      <c r="A2252" s="34"/>
    </row>
    <row r="2253" spans="1:1" ht="15.75" customHeight="1">
      <c r="A2253" s="34"/>
    </row>
    <row r="2254" spans="1:1" ht="15.75" customHeight="1">
      <c r="A2254" s="34"/>
    </row>
    <row r="2255" spans="1:1" ht="15.75" customHeight="1">
      <c r="A2255" s="34"/>
    </row>
    <row r="2256" spans="1:1" ht="15.75" customHeight="1">
      <c r="A2256" s="34"/>
    </row>
    <row r="2257" spans="1:1" ht="15.75" customHeight="1">
      <c r="A2257" s="34"/>
    </row>
    <row r="2258" spans="1:1" ht="15.75" customHeight="1">
      <c r="A2258" s="34"/>
    </row>
    <row r="2259" spans="1:1" ht="15.75" customHeight="1">
      <c r="A2259" s="34"/>
    </row>
    <row r="2260" spans="1:1" ht="15.75" customHeight="1">
      <c r="A2260" s="34"/>
    </row>
    <row r="2261" spans="1:1" ht="15.75" customHeight="1">
      <c r="A2261" s="34"/>
    </row>
    <row r="2262" spans="1:1" ht="15.75" customHeight="1">
      <c r="A2262" s="34"/>
    </row>
    <row r="2263" spans="1:1" ht="15.75" customHeight="1">
      <c r="A2263" s="34"/>
    </row>
    <row r="2264" spans="1:1" ht="15.75" customHeight="1">
      <c r="A2264" s="34"/>
    </row>
    <row r="2265" spans="1:1" ht="15.75" customHeight="1">
      <c r="A2265" s="34"/>
    </row>
    <row r="2266" spans="1:1" ht="15.75" customHeight="1">
      <c r="A2266" s="34"/>
    </row>
    <row r="2267" spans="1:1" ht="15.75" customHeight="1">
      <c r="A2267" s="34"/>
    </row>
    <row r="2268" spans="1:1" ht="15.75" customHeight="1">
      <c r="A2268" s="34"/>
    </row>
    <row r="2269" spans="1:1" ht="15.75" customHeight="1">
      <c r="A2269" s="34"/>
    </row>
    <row r="2270" spans="1:1" ht="15.75" customHeight="1">
      <c r="A2270" s="34"/>
    </row>
    <row r="2271" spans="1:1" ht="15.75" customHeight="1">
      <c r="A2271" s="34"/>
    </row>
    <row r="2272" spans="1:1" ht="15.75" customHeight="1">
      <c r="A2272" s="34"/>
    </row>
    <row r="2273" spans="1:1" ht="15.75" customHeight="1">
      <c r="A2273" s="34"/>
    </row>
    <row r="2274" spans="1:1" ht="15.75" customHeight="1">
      <c r="A2274" s="34"/>
    </row>
    <row r="2275" spans="1:1" ht="15.75" customHeight="1">
      <c r="A2275" s="34"/>
    </row>
    <row r="2276" spans="1:1" ht="15.75" customHeight="1">
      <c r="A2276" s="34"/>
    </row>
    <row r="2277" spans="1:1" ht="15.75" customHeight="1">
      <c r="A2277" s="34"/>
    </row>
    <row r="2278" spans="1:1" ht="15.75" customHeight="1">
      <c r="A2278" s="34"/>
    </row>
    <row r="2279" spans="1:1" ht="15.75" customHeight="1">
      <c r="A2279" s="34"/>
    </row>
    <row r="2280" spans="1:1" ht="15.75" customHeight="1">
      <c r="A2280" s="34"/>
    </row>
    <row r="2281" spans="1:1" ht="15.75" customHeight="1">
      <c r="A2281" s="34"/>
    </row>
    <row r="2282" spans="1:1" ht="15.75" customHeight="1">
      <c r="A2282" s="34"/>
    </row>
    <row r="2283" spans="1:1" ht="15.75" customHeight="1">
      <c r="A2283" s="34"/>
    </row>
    <row r="2284" spans="1:1" ht="15.75" customHeight="1">
      <c r="A2284" s="34"/>
    </row>
    <row r="2285" spans="1:1" ht="15.75" customHeight="1">
      <c r="A2285" s="34"/>
    </row>
    <row r="2286" spans="1:1" ht="15.75" customHeight="1">
      <c r="A2286" s="34"/>
    </row>
    <row r="2287" spans="1:1" ht="15.75" customHeight="1">
      <c r="A2287" s="34"/>
    </row>
    <row r="2288" spans="1:1" ht="15.75" customHeight="1">
      <c r="A2288" s="34"/>
    </row>
    <row r="2289" spans="1:1" ht="15.75" customHeight="1">
      <c r="A2289" s="34"/>
    </row>
    <row r="2290" spans="1:1" ht="15.75" customHeight="1">
      <c r="A2290" s="34"/>
    </row>
    <row r="2291" spans="1:1" ht="15.75" customHeight="1">
      <c r="A2291" s="34"/>
    </row>
    <row r="2292" spans="1:1" ht="15.75" customHeight="1">
      <c r="A2292" s="34"/>
    </row>
    <row r="2293" spans="1:1" ht="15.75" customHeight="1">
      <c r="A2293" s="34"/>
    </row>
    <row r="2294" spans="1:1" ht="15.75" customHeight="1">
      <c r="A2294" s="34"/>
    </row>
    <row r="2295" spans="1:1" ht="15.75" customHeight="1">
      <c r="A2295" s="34"/>
    </row>
    <row r="2296" spans="1:1" ht="15.75" customHeight="1">
      <c r="A2296" s="34"/>
    </row>
    <row r="2297" spans="1:1" ht="15.75" customHeight="1">
      <c r="A2297" s="34"/>
    </row>
    <row r="2298" spans="1:1" ht="15.75" customHeight="1">
      <c r="A2298" s="34"/>
    </row>
    <row r="2299" spans="1:1" ht="15.75" customHeight="1">
      <c r="A2299" s="34"/>
    </row>
    <row r="2300" spans="1:1" ht="15.75" customHeight="1">
      <c r="A2300" s="34"/>
    </row>
    <row r="2301" spans="1:1" ht="15.75" customHeight="1">
      <c r="A2301" s="34"/>
    </row>
    <row r="2302" spans="1:1" ht="15.75" customHeight="1">
      <c r="A2302" s="34"/>
    </row>
    <row r="2303" spans="1:1" ht="15.75" customHeight="1">
      <c r="A2303" s="34"/>
    </row>
    <row r="2304" spans="1:1" ht="15.75" customHeight="1">
      <c r="A2304" s="34"/>
    </row>
    <row r="2305" spans="1:1" ht="15.75" customHeight="1">
      <c r="A2305" s="34"/>
    </row>
    <row r="2306" spans="1:1" ht="15.75" customHeight="1">
      <c r="A2306" s="34"/>
    </row>
    <row r="2307" spans="1:1" ht="15.75" customHeight="1">
      <c r="A2307" s="34"/>
    </row>
    <row r="2308" spans="1:1" ht="15.75" customHeight="1">
      <c r="A2308" s="34"/>
    </row>
    <row r="2309" spans="1:1" ht="15.75" customHeight="1">
      <c r="A2309" s="34"/>
    </row>
    <row r="2310" spans="1:1" ht="15.75" customHeight="1">
      <c r="A2310" s="34"/>
    </row>
    <row r="2311" spans="1:1" ht="15.75" customHeight="1">
      <c r="A2311" s="34"/>
    </row>
    <row r="2312" spans="1:1" ht="15.75" customHeight="1">
      <c r="A2312" s="34"/>
    </row>
    <row r="2313" spans="1:1" ht="15.75" customHeight="1">
      <c r="A2313" s="34"/>
    </row>
    <row r="2314" spans="1:1" ht="15.75" customHeight="1">
      <c r="A2314" s="34"/>
    </row>
    <row r="2315" spans="1:1" ht="15.75" customHeight="1">
      <c r="A2315" s="34"/>
    </row>
    <row r="2316" spans="1:1" ht="15.75" customHeight="1">
      <c r="A2316" s="34"/>
    </row>
    <row r="2317" spans="1:1" ht="15.75" customHeight="1">
      <c r="A2317" s="34"/>
    </row>
    <row r="2318" spans="1:1" ht="15.75" customHeight="1">
      <c r="A2318" s="34"/>
    </row>
    <row r="2319" spans="1:1" ht="15.75" customHeight="1">
      <c r="A2319" s="34"/>
    </row>
    <row r="2320" spans="1:1" ht="15.75" customHeight="1">
      <c r="A2320" s="34"/>
    </row>
    <row r="2321" spans="1:1" ht="15.75" customHeight="1">
      <c r="A2321" s="34"/>
    </row>
    <row r="2322" spans="1:1" ht="15.75" customHeight="1">
      <c r="A2322" s="34"/>
    </row>
    <row r="2323" spans="1:1" ht="15.75" customHeight="1">
      <c r="A2323" s="34"/>
    </row>
    <row r="2324" spans="1:1" ht="15.75" customHeight="1">
      <c r="A2324" s="34"/>
    </row>
    <row r="2325" spans="1:1" ht="15.75" customHeight="1">
      <c r="A2325" s="34"/>
    </row>
    <row r="2326" spans="1:1" ht="15.75" customHeight="1">
      <c r="A2326" s="34"/>
    </row>
    <row r="2327" spans="1:1" ht="15.75" customHeight="1">
      <c r="A2327" s="34"/>
    </row>
    <row r="2328" spans="1:1" ht="15.75" customHeight="1">
      <c r="A2328" s="34"/>
    </row>
    <row r="2329" spans="1:1" ht="15.75" customHeight="1">
      <c r="A2329" s="34"/>
    </row>
    <row r="2330" spans="1:1" ht="15.75" customHeight="1">
      <c r="A2330" s="34"/>
    </row>
    <row r="2331" spans="1:1" ht="15.75" customHeight="1">
      <c r="A2331" s="34"/>
    </row>
    <row r="2332" spans="1:1" ht="15.75" customHeight="1">
      <c r="A2332" s="34"/>
    </row>
    <row r="2333" spans="1:1" ht="15.75" customHeight="1">
      <c r="A2333" s="34"/>
    </row>
    <row r="2334" spans="1:1" ht="15.75" customHeight="1">
      <c r="A2334" s="34"/>
    </row>
    <row r="2335" spans="1:1" ht="15.75" customHeight="1">
      <c r="A2335" s="34"/>
    </row>
    <row r="2336" spans="1:1" ht="15.75" customHeight="1">
      <c r="A2336" s="34"/>
    </row>
    <row r="2337" spans="1:1" ht="15.75" customHeight="1">
      <c r="A2337" s="34"/>
    </row>
    <row r="2338" spans="1:1" ht="15.75" customHeight="1">
      <c r="A2338" s="34"/>
    </row>
    <row r="2339" spans="1:1" ht="15.75" customHeight="1">
      <c r="A2339" s="34"/>
    </row>
    <row r="2340" spans="1:1" ht="15.75" customHeight="1">
      <c r="A2340" s="34"/>
    </row>
    <row r="2341" spans="1:1" ht="15.75" customHeight="1">
      <c r="A2341" s="34"/>
    </row>
    <row r="2342" spans="1:1" ht="15.75" customHeight="1">
      <c r="A2342" s="34"/>
    </row>
    <row r="2343" spans="1:1" ht="15.75" customHeight="1">
      <c r="A2343" s="34"/>
    </row>
    <row r="2344" spans="1:1" ht="15.75" customHeight="1">
      <c r="A2344" s="34"/>
    </row>
    <row r="2345" spans="1:1" ht="15.75" customHeight="1">
      <c r="A2345" s="34"/>
    </row>
    <row r="2346" spans="1:1" ht="15.75" customHeight="1">
      <c r="A2346" s="34"/>
    </row>
    <row r="2347" spans="1:1" ht="15.75" customHeight="1">
      <c r="A2347" s="34"/>
    </row>
    <row r="2348" spans="1:1" ht="15.75" customHeight="1">
      <c r="A2348" s="34"/>
    </row>
    <row r="2349" spans="1:1" ht="15.75" customHeight="1">
      <c r="A2349" s="34"/>
    </row>
    <row r="2350" spans="1:1" ht="15.75" customHeight="1">
      <c r="A2350" s="34"/>
    </row>
    <row r="2351" spans="1:1" ht="15.75" customHeight="1">
      <c r="A2351" s="34"/>
    </row>
    <row r="2352" spans="1:1" ht="15.75" customHeight="1">
      <c r="A2352" s="34"/>
    </row>
    <row r="2353" spans="1:1" ht="15.75" customHeight="1">
      <c r="A2353" s="34"/>
    </row>
    <row r="2354" spans="1:1" ht="15.75" customHeight="1">
      <c r="A2354" s="34"/>
    </row>
    <row r="2355" spans="1:1" ht="15.75" customHeight="1">
      <c r="A2355" s="34"/>
    </row>
    <row r="2356" spans="1:1" ht="15.75" customHeight="1">
      <c r="A2356" s="34"/>
    </row>
    <row r="2357" spans="1:1" ht="15.75" customHeight="1">
      <c r="A2357" s="34"/>
    </row>
    <row r="2358" spans="1:1" ht="15.75" customHeight="1">
      <c r="A2358" s="34"/>
    </row>
    <row r="2359" spans="1:1" ht="15.75" customHeight="1">
      <c r="A2359" s="34"/>
    </row>
    <row r="2360" spans="1:1" ht="15.75" customHeight="1">
      <c r="A2360" s="34"/>
    </row>
    <row r="2361" spans="1:1" ht="15.75" customHeight="1">
      <c r="A2361" s="34"/>
    </row>
    <row r="2362" spans="1:1" ht="15.75" customHeight="1">
      <c r="A2362" s="34"/>
    </row>
    <row r="2363" spans="1:1" ht="15.75" customHeight="1">
      <c r="A2363" s="34"/>
    </row>
    <row r="2364" spans="1:1" ht="15.75" customHeight="1">
      <c r="A2364" s="34"/>
    </row>
    <row r="2365" spans="1:1" ht="15.75" customHeight="1">
      <c r="A2365" s="34"/>
    </row>
    <row r="2366" spans="1:1" ht="15.75" customHeight="1">
      <c r="A2366" s="34"/>
    </row>
    <row r="2367" spans="1:1" ht="15.75" customHeight="1">
      <c r="A2367" s="34"/>
    </row>
    <row r="2368" spans="1:1" ht="15.75" customHeight="1">
      <c r="A2368" s="34"/>
    </row>
    <row r="2369" spans="1:1" ht="15.75" customHeight="1">
      <c r="A2369" s="34"/>
    </row>
    <row r="2370" spans="1:1" ht="15.75" customHeight="1">
      <c r="A2370" s="34"/>
    </row>
    <row r="2371" spans="1:1" ht="15.75" customHeight="1">
      <c r="A2371" s="34"/>
    </row>
    <row r="2372" spans="1:1" ht="15.75" customHeight="1">
      <c r="A2372" s="34"/>
    </row>
    <row r="2373" spans="1:1" ht="15.75" customHeight="1">
      <c r="A2373" s="34"/>
    </row>
    <row r="2374" spans="1:1" ht="15.75" customHeight="1">
      <c r="A2374" s="34"/>
    </row>
    <row r="2375" spans="1:1" ht="15.75" customHeight="1">
      <c r="A2375" s="34"/>
    </row>
    <row r="2376" spans="1:1" ht="15.75" customHeight="1">
      <c r="A2376" s="34"/>
    </row>
    <row r="2377" spans="1:1" ht="15.75" customHeight="1">
      <c r="A2377" s="34"/>
    </row>
    <row r="2378" spans="1:1" ht="15.75" customHeight="1">
      <c r="A2378" s="34"/>
    </row>
    <row r="2379" spans="1:1" ht="15.75" customHeight="1">
      <c r="A2379" s="34"/>
    </row>
    <row r="2380" spans="1:1" ht="15.75" customHeight="1">
      <c r="A2380" s="34"/>
    </row>
    <row r="2381" spans="1:1" ht="15.75" customHeight="1">
      <c r="A2381" s="34"/>
    </row>
    <row r="2382" spans="1:1" ht="15.75" customHeight="1">
      <c r="A2382" s="34"/>
    </row>
    <row r="2383" spans="1:1" ht="15.75" customHeight="1">
      <c r="A2383" s="34"/>
    </row>
    <row r="2384" spans="1:1" ht="15.75" customHeight="1">
      <c r="A2384" s="34"/>
    </row>
    <row r="2385" spans="1:1" ht="15.75" customHeight="1">
      <c r="A2385" s="34"/>
    </row>
    <row r="2386" spans="1:1" ht="15.75" customHeight="1">
      <c r="A2386" s="34"/>
    </row>
    <row r="2387" spans="1:1" ht="15.75" customHeight="1">
      <c r="A2387" s="34"/>
    </row>
    <row r="2388" spans="1:1" ht="15.75" customHeight="1">
      <c r="A2388" s="34"/>
    </row>
    <row r="2389" spans="1:1" ht="15.75" customHeight="1">
      <c r="A2389" s="34"/>
    </row>
    <row r="2390" spans="1:1" ht="15.75" customHeight="1">
      <c r="A2390" s="34"/>
    </row>
    <row r="2391" spans="1:1" ht="15.75" customHeight="1">
      <c r="A2391" s="34"/>
    </row>
    <row r="2392" spans="1:1" ht="15.75" customHeight="1">
      <c r="A2392" s="34"/>
    </row>
    <row r="2393" spans="1:1" ht="15.75" customHeight="1">
      <c r="A2393" s="34"/>
    </row>
    <row r="2394" spans="1:1" ht="15.75" customHeight="1">
      <c r="A2394" s="34"/>
    </row>
    <row r="2395" spans="1:1" ht="15.75" customHeight="1">
      <c r="A2395" s="34"/>
    </row>
    <row r="2396" spans="1:1" ht="15.75" customHeight="1">
      <c r="A2396" s="34"/>
    </row>
    <row r="2397" spans="1:1" ht="15.75" customHeight="1">
      <c r="A2397" s="34"/>
    </row>
    <row r="2398" spans="1:1" ht="15.75" customHeight="1">
      <c r="A2398" s="34"/>
    </row>
    <row r="2399" spans="1:1" ht="15.75" customHeight="1">
      <c r="A2399" s="34"/>
    </row>
    <row r="2400" spans="1:1" ht="15.75" customHeight="1">
      <c r="A2400" s="34"/>
    </row>
    <row r="2401" spans="1:1" ht="15.75" customHeight="1">
      <c r="A2401" s="34"/>
    </row>
    <row r="2402" spans="1:1" ht="15.75" customHeight="1">
      <c r="A2402" s="34"/>
    </row>
    <row r="2403" spans="1:1" ht="15.75" customHeight="1">
      <c r="A2403" s="34"/>
    </row>
    <row r="2404" spans="1:1" ht="15.75" customHeight="1">
      <c r="A2404" s="34"/>
    </row>
    <row r="2405" spans="1:1" ht="15.75" customHeight="1">
      <c r="A2405" s="34"/>
    </row>
    <row r="2406" spans="1:1" ht="15.75" customHeight="1">
      <c r="A2406" s="34"/>
    </row>
    <row r="2407" spans="1:1" ht="15.75" customHeight="1">
      <c r="A2407" s="34"/>
    </row>
    <row r="2408" spans="1:1" ht="15.75" customHeight="1">
      <c r="A2408" s="34"/>
    </row>
    <row r="2409" spans="1:1" ht="15.75" customHeight="1">
      <c r="A2409" s="34"/>
    </row>
    <row r="2410" spans="1:1" ht="15.75" customHeight="1">
      <c r="A2410" s="34"/>
    </row>
    <row r="2411" spans="1:1" ht="15.75" customHeight="1">
      <c r="A2411" s="34"/>
    </row>
    <row r="2412" spans="1:1" ht="15.75" customHeight="1">
      <c r="A2412" s="34"/>
    </row>
    <row r="2413" spans="1:1" ht="15.75" customHeight="1">
      <c r="A2413" s="34"/>
    </row>
    <row r="2414" spans="1:1" ht="15.75" customHeight="1">
      <c r="A2414" s="34"/>
    </row>
    <row r="2415" spans="1:1" ht="15.75" customHeight="1">
      <c r="A2415" s="34"/>
    </row>
    <row r="2416" spans="1:1" ht="15.75" customHeight="1">
      <c r="A2416" s="34"/>
    </row>
    <row r="2417" spans="1:1" ht="15.75" customHeight="1">
      <c r="A2417" s="34"/>
    </row>
    <row r="2418" spans="1:1" ht="15.75" customHeight="1">
      <c r="A2418" s="34"/>
    </row>
    <row r="2419" spans="1:1" ht="15.75" customHeight="1">
      <c r="A2419" s="34"/>
    </row>
    <row r="2420" spans="1:1" ht="15.75" customHeight="1">
      <c r="A2420" s="34"/>
    </row>
    <row r="2421" spans="1:1" ht="15.75" customHeight="1">
      <c r="A2421" s="34"/>
    </row>
    <row r="2422" spans="1:1" ht="15.75" customHeight="1">
      <c r="A2422" s="34"/>
    </row>
    <row r="2423" spans="1:1" ht="15.75" customHeight="1">
      <c r="A2423" s="34"/>
    </row>
    <row r="2424" spans="1:1" ht="15.75" customHeight="1">
      <c r="A2424" s="34"/>
    </row>
    <row r="2425" spans="1:1" ht="15.75" customHeight="1">
      <c r="A2425" s="34"/>
    </row>
    <row r="2426" spans="1:1" ht="15.75" customHeight="1">
      <c r="A2426" s="34"/>
    </row>
    <row r="2427" spans="1:1" ht="15.75" customHeight="1">
      <c r="A2427" s="34"/>
    </row>
    <row r="2428" spans="1:1" ht="15.75" customHeight="1">
      <c r="A2428" s="34"/>
    </row>
    <row r="2429" spans="1:1" ht="15.75" customHeight="1">
      <c r="A2429" s="34"/>
    </row>
    <row r="2430" spans="1:1" ht="15.75" customHeight="1">
      <c r="A2430" s="34"/>
    </row>
    <row r="2431" spans="1:1" ht="15.75" customHeight="1">
      <c r="A2431" s="34"/>
    </row>
    <row r="2432" spans="1:1" ht="15.75" customHeight="1">
      <c r="A2432" s="34"/>
    </row>
    <row r="2433" spans="1:1" ht="15.75" customHeight="1">
      <c r="A2433" s="34"/>
    </row>
    <row r="2434" spans="1:1" ht="15.75" customHeight="1">
      <c r="A2434" s="34"/>
    </row>
    <row r="2435" spans="1:1" ht="15.75" customHeight="1">
      <c r="A2435" s="34"/>
    </row>
    <row r="2436" spans="1:1" ht="15.75" customHeight="1">
      <c r="A2436" s="34"/>
    </row>
    <row r="2437" spans="1:1" ht="15.75" customHeight="1">
      <c r="A2437" s="34"/>
    </row>
    <row r="2438" spans="1:1" ht="15.75" customHeight="1">
      <c r="A2438" s="34"/>
    </row>
    <row r="2439" spans="1:1" ht="15.75" customHeight="1">
      <c r="A2439" s="34"/>
    </row>
    <row r="2440" spans="1:1" ht="15.75" customHeight="1">
      <c r="A2440" s="34"/>
    </row>
    <row r="2441" spans="1:1" ht="15.75" customHeight="1">
      <c r="A2441" s="34"/>
    </row>
    <row r="2442" spans="1:1" ht="15.75" customHeight="1">
      <c r="A2442" s="34"/>
    </row>
    <row r="2443" spans="1:1" ht="15.75" customHeight="1">
      <c r="A2443" s="34"/>
    </row>
    <row r="2444" spans="1:1" ht="15.75" customHeight="1">
      <c r="A2444" s="34"/>
    </row>
    <row r="2445" spans="1:1" ht="15.75" customHeight="1">
      <c r="A2445" s="34"/>
    </row>
    <row r="2446" spans="1:1" ht="15.75" customHeight="1">
      <c r="A2446" s="34"/>
    </row>
    <row r="2447" spans="1:1" ht="15.75" customHeight="1">
      <c r="A2447" s="34"/>
    </row>
    <row r="2448" spans="1:1" ht="15.75" customHeight="1">
      <c r="A2448" s="34"/>
    </row>
    <row r="2449" spans="1:1" ht="15.75" customHeight="1">
      <c r="A2449" s="34"/>
    </row>
    <row r="2450" spans="1:1" ht="15.75" customHeight="1">
      <c r="A2450" s="34"/>
    </row>
    <row r="2451" spans="1:1" ht="15.75" customHeight="1">
      <c r="A2451" s="34"/>
    </row>
    <row r="2452" spans="1:1" ht="15.75" customHeight="1">
      <c r="A2452" s="34"/>
    </row>
    <row r="2453" spans="1:1" ht="15.75" customHeight="1">
      <c r="A2453" s="34"/>
    </row>
    <row r="2454" spans="1:1" ht="15.75" customHeight="1">
      <c r="A2454" s="34"/>
    </row>
    <row r="2455" spans="1:1" ht="15.75" customHeight="1">
      <c r="A2455" s="34"/>
    </row>
    <row r="2456" spans="1:1" ht="15.75" customHeight="1">
      <c r="A2456" s="34"/>
    </row>
    <row r="2457" spans="1:1" ht="15.75" customHeight="1">
      <c r="A2457" s="34"/>
    </row>
    <row r="2458" spans="1:1" ht="15.75" customHeight="1">
      <c r="A2458" s="34"/>
    </row>
    <row r="2459" spans="1:1" ht="15.75" customHeight="1">
      <c r="A2459" s="34"/>
    </row>
    <row r="2460" spans="1:1" ht="15.75" customHeight="1">
      <c r="A2460" s="34"/>
    </row>
    <row r="2461" spans="1:1" ht="15.75" customHeight="1">
      <c r="A2461" s="34"/>
    </row>
    <row r="2462" spans="1:1" ht="15.75" customHeight="1">
      <c r="A2462" s="34"/>
    </row>
    <row r="2463" spans="1:1" ht="15.75" customHeight="1">
      <c r="A2463" s="34"/>
    </row>
    <row r="2464" spans="1:1" ht="15.75" customHeight="1">
      <c r="A2464" s="34"/>
    </row>
    <row r="2465" spans="1:1" ht="15.75" customHeight="1">
      <c r="A2465" s="34"/>
    </row>
    <row r="2466" spans="1:1" ht="15.75" customHeight="1">
      <c r="A2466" s="34"/>
    </row>
    <row r="2467" spans="1:1" ht="15.75" customHeight="1">
      <c r="A2467" s="34"/>
    </row>
    <row r="2468" spans="1:1" ht="15.75" customHeight="1">
      <c r="A2468" s="34"/>
    </row>
    <row r="2469" spans="1:1" ht="15.75" customHeight="1">
      <c r="A2469" s="34"/>
    </row>
    <row r="2470" spans="1:1" ht="15.75" customHeight="1">
      <c r="A2470" s="34"/>
    </row>
    <row r="2471" spans="1:1" ht="15.75" customHeight="1">
      <c r="A2471" s="34"/>
    </row>
    <row r="2472" spans="1:1" ht="15.75" customHeight="1">
      <c r="A2472" s="34"/>
    </row>
    <row r="2473" spans="1:1" ht="15.75" customHeight="1">
      <c r="A2473" s="34"/>
    </row>
    <row r="2474" spans="1:1" ht="15.75" customHeight="1">
      <c r="A2474" s="34"/>
    </row>
    <row r="2475" spans="1:1" ht="15.75" customHeight="1">
      <c r="A2475" s="34"/>
    </row>
    <row r="2476" spans="1:1" ht="15.75" customHeight="1">
      <c r="A2476" s="34"/>
    </row>
    <row r="2477" spans="1:1" ht="15.75" customHeight="1">
      <c r="A2477" s="34"/>
    </row>
    <row r="2478" spans="1:1" ht="15.75" customHeight="1">
      <c r="A2478" s="34"/>
    </row>
    <row r="2479" spans="1:1" ht="15.75" customHeight="1">
      <c r="A2479" s="34"/>
    </row>
    <row r="2480" spans="1:1" ht="15.75" customHeight="1">
      <c r="A2480" s="34"/>
    </row>
    <row r="2481" spans="1:1" ht="15.75" customHeight="1">
      <c r="A2481" s="34"/>
    </row>
    <row r="2482" spans="1:1" ht="15.75" customHeight="1">
      <c r="A2482" s="34"/>
    </row>
    <row r="2483" spans="1:1" ht="15.75" customHeight="1">
      <c r="A2483" s="34"/>
    </row>
    <row r="2484" spans="1:1" ht="15.75" customHeight="1">
      <c r="A2484" s="34"/>
    </row>
    <row r="2485" spans="1:1" ht="15.75" customHeight="1">
      <c r="A2485" s="34"/>
    </row>
    <row r="2486" spans="1:1" ht="15.75" customHeight="1">
      <c r="A2486" s="34"/>
    </row>
    <row r="2487" spans="1:1" ht="15.75" customHeight="1">
      <c r="A2487" s="34"/>
    </row>
    <row r="2488" spans="1:1" ht="15.75" customHeight="1">
      <c r="A2488" s="34"/>
    </row>
    <row r="2489" spans="1:1" ht="15.75" customHeight="1">
      <c r="A2489" s="34"/>
    </row>
    <row r="2490" spans="1:1" ht="15.75" customHeight="1">
      <c r="A2490" s="34"/>
    </row>
    <row r="2491" spans="1:1" ht="15.75" customHeight="1">
      <c r="A2491" s="34"/>
    </row>
    <row r="2492" spans="1:1" ht="15.75" customHeight="1">
      <c r="A2492" s="34"/>
    </row>
    <row r="2493" spans="1:1" ht="15.75" customHeight="1">
      <c r="A2493" s="34"/>
    </row>
    <row r="2494" spans="1:1" ht="15.75" customHeight="1">
      <c r="A2494" s="34"/>
    </row>
    <row r="2495" spans="1:1" ht="15.75" customHeight="1">
      <c r="A2495" s="34"/>
    </row>
    <row r="2496" spans="1:1" ht="15.75" customHeight="1">
      <c r="A2496" s="34"/>
    </row>
    <row r="2497" spans="1:1" ht="15.75" customHeight="1">
      <c r="A2497" s="34"/>
    </row>
    <row r="2498" spans="1:1" ht="15.75" customHeight="1">
      <c r="A2498" s="34"/>
    </row>
    <row r="2499" spans="1:1" ht="15.75" customHeight="1">
      <c r="A2499" s="34"/>
    </row>
    <row r="2500" spans="1:1" ht="15.75" customHeight="1">
      <c r="A2500" s="34"/>
    </row>
    <row r="2501" spans="1:1" ht="15.75" customHeight="1">
      <c r="A2501" s="34"/>
    </row>
    <row r="2502" spans="1:1" ht="15.75" customHeight="1">
      <c r="A2502" s="34"/>
    </row>
    <row r="2503" spans="1:1" ht="15.75" customHeight="1">
      <c r="A2503" s="34"/>
    </row>
    <row r="2504" spans="1:1" ht="15.75" customHeight="1">
      <c r="A2504" s="34"/>
    </row>
    <row r="2505" spans="1:1" ht="15.75" customHeight="1">
      <c r="A2505" s="34"/>
    </row>
    <row r="2506" spans="1:1" ht="15.75" customHeight="1">
      <c r="A2506" s="34"/>
    </row>
    <row r="2507" spans="1:1" ht="15.75" customHeight="1">
      <c r="A2507" s="34"/>
    </row>
    <row r="2508" spans="1:1" ht="15.75" customHeight="1">
      <c r="A2508" s="34"/>
    </row>
    <row r="2509" spans="1:1" ht="15.75" customHeight="1">
      <c r="A2509" s="34"/>
    </row>
    <row r="2510" spans="1:1" ht="15.75" customHeight="1">
      <c r="A2510" s="34"/>
    </row>
    <row r="2511" spans="1:1" ht="15.75" customHeight="1">
      <c r="A2511" s="34"/>
    </row>
    <row r="2512" spans="1:1" ht="15.75" customHeight="1">
      <c r="A2512" s="34"/>
    </row>
    <row r="2513" spans="1:1" ht="15.75" customHeight="1">
      <c r="A2513" s="34"/>
    </row>
    <row r="2514" spans="1:1" ht="15.75" customHeight="1">
      <c r="A2514" s="34"/>
    </row>
    <row r="2515" spans="1:1" ht="15.75" customHeight="1">
      <c r="A2515" s="34"/>
    </row>
    <row r="2516" spans="1:1" ht="15.75" customHeight="1">
      <c r="A2516" s="34"/>
    </row>
    <row r="2517" spans="1:1" ht="15.75" customHeight="1">
      <c r="A2517" s="34"/>
    </row>
    <row r="2518" spans="1:1" ht="15.75" customHeight="1">
      <c r="A2518" s="34"/>
    </row>
    <row r="2519" spans="1:1" ht="15.75" customHeight="1">
      <c r="A2519" s="34"/>
    </row>
    <row r="2520" spans="1:1" ht="15.75" customHeight="1">
      <c r="A2520" s="34"/>
    </row>
    <row r="2521" spans="1:1" ht="15.75" customHeight="1">
      <c r="A2521" s="34"/>
    </row>
    <row r="2522" spans="1:1" ht="15.75" customHeight="1">
      <c r="A2522" s="34"/>
    </row>
    <row r="2523" spans="1:1" ht="15.75" customHeight="1">
      <c r="A2523" s="34"/>
    </row>
    <row r="2524" spans="1:1" ht="15.75" customHeight="1">
      <c r="A2524" s="34"/>
    </row>
    <row r="2525" spans="1:1" ht="15.75" customHeight="1">
      <c r="A2525" s="34"/>
    </row>
    <row r="2526" spans="1:1" ht="15.75" customHeight="1">
      <c r="A2526" s="34"/>
    </row>
    <row r="2527" spans="1:1" ht="15.75" customHeight="1">
      <c r="A2527" s="34"/>
    </row>
    <row r="2528" spans="1:1" ht="15.75" customHeight="1">
      <c r="A2528" s="34"/>
    </row>
    <row r="2529" spans="1:1" ht="15.75" customHeight="1">
      <c r="A2529" s="34"/>
    </row>
    <row r="2530" spans="1:1" ht="15.75" customHeight="1">
      <c r="A2530" s="34"/>
    </row>
    <row r="2531" spans="1:1" ht="15.75" customHeight="1">
      <c r="A2531" s="34"/>
    </row>
    <row r="2532" spans="1:1" ht="15.75" customHeight="1">
      <c r="A2532" s="34"/>
    </row>
    <row r="2533" spans="1:1" ht="15.75" customHeight="1">
      <c r="A2533" s="34"/>
    </row>
    <row r="2534" spans="1:1" ht="15.75" customHeight="1">
      <c r="A2534" s="34"/>
    </row>
    <row r="2535" spans="1:1" ht="15.75" customHeight="1">
      <c r="A2535" s="34"/>
    </row>
    <row r="2536" spans="1:1" ht="15.75" customHeight="1">
      <c r="A2536" s="34"/>
    </row>
    <row r="2537" spans="1:1" ht="15.75" customHeight="1">
      <c r="A2537" s="34"/>
    </row>
    <row r="2538" spans="1:1" ht="15.75" customHeight="1">
      <c r="A2538" s="34"/>
    </row>
    <row r="2539" spans="1:1" ht="15.75" customHeight="1">
      <c r="A2539" s="34"/>
    </row>
    <row r="2540" spans="1:1" ht="15.75" customHeight="1">
      <c r="A2540" s="34"/>
    </row>
    <row r="2541" spans="1:1" ht="15.75" customHeight="1">
      <c r="A2541" s="34"/>
    </row>
    <row r="2542" spans="1:1" ht="15.75" customHeight="1">
      <c r="A2542" s="34"/>
    </row>
    <row r="2543" spans="1:1" ht="15.75" customHeight="1">
      <c r="A2543" s="34"/>
    </row>
    <row r="2544" spans="1:1" ht="15.75" customHeight="1">
      <c r="A2544" s="34"/>
    </row>
    <row r="2545" spans="1:1" ht="15.75" customHeight="1">
      <c r="A2545" s="34"/>
    </row>
    <row r="2546" spans="1:1" ht="15.75" customHeight="1">
      <c r="A2546" s="34"/>
    </row>
    <row r="2547" spans="1:1" ht="15.75" customHeight="1">
      <c r="A2547" s="34"/>
    </row>
    <row r="2548" spans="1:1" ht="15.75" customHeight="1">
      <c r="A2548" s="34"/>
    </row>
    <row r="2549" spans="1:1" ht="15.75" customHeight="1">
      <c r="A2549" s="34"/>
    </row>
    <row r="2550" spans="1:1" ht="15.75" customHeight="1">
      <c r="A2550" s="34"/>
    </row>
    <row r="2551" spans="1:1" ht="15.75" customHeight="1">
      <c r="A2551" s="34"/>
    </row>
    <row r="2552" spans="1:1" ht="15.75" customHeight="1">
      <c r="A2552" s="34"/>
    </row>
    <row r="2553" spans="1:1" ht="15.75" customHeight="1">
      <c r="A2553" s="34"/>
    </row>
    <row r="2554" spans="1:1" ht="15.75" customHeight="1">
      <c r="A2554" s="34"/>
    </row>
    <row r="2555" spans="1:1" ht="15.75" customHeight="1">
      <c r="A2555" s="34"/>
    </row>
    <row r="2556" spans="1:1" ht="15.75" customHeight="1">
      <c r="A2556" s="34"/>
    </row>
    <row r="2557" spans="1:1" ht="15.75" customHeight="1">
      <c r="A2557" s="34"/>
    </row>
    <row r="2558" spans="1:1" ht="15.75" customHeight="1">
      <c r="A2558" s="34"/>
    </row>
    <row r="2559" spans="1:1" ht="15.75" customHeight="1">
      <c r="A2559" s="34"/>
    </row>
    <row r="2560" spans="1:1" ht="15.75" customHeight="1">
      <c r="A2560" s="34"/>
    </row>
    <row r="2561" spans="1:1" ht="15.75" customHeight="1">
      <c r="A2561" s="34"/>
    </row>
    <row r="2562" spans="1:1" ht="15.75" customHeight="1">
      <c r="A2562" s="34"/>
    </row>
    <row r="2563" spans="1:1" ht="15.75" customHeight="1">
      <c r="A2563" s="34"/>
    </row>
    <row r="2564" spans="1:1" ht="15.75" customHeight="1">
      <c r="A2564" s="34"/>
    </row>
    <row r="2565" spans="1:1" ht="15.75" customHeight="1">
      <c r="A2565" s="34"/>
    </row>
    <row r="2566" spans="1:1" ht="15.75" customHeight="1">
      <c r="A2566" s="34"/>
    </row>
    <row r="2567" spans="1:1" ht="15.75" customHeight="1">
      <c r="A2567" s="34"/>
    </row>
    <row r="2568" spans="1:1" ht="15.75" customHeight="1">
      <c r="A2568" s="34"/>
    </row>
    <row r="2569" spans="1:1" ht="15.75" customHeight="1">
      <c r="A2569" s="34"/>
    </row>
    <row r="2570" spans="1:1" ht="15.75" customHeight="1">
      <c r="A2570" s="34"/>
    </row>
    <row r="2571" spans="1:1" ht="15.75" customHeight="1">
      <c r="A2571" s="34"/>
    </row>
    <row r="2572" spans="1:1" ht="15.75" customHeight="1">
      <c r="A2572" s="34"/>
    </row>
    <row r="2573" spans="1:1" ht="15.75" customHeight="1">
      <c r="A2573" s="34"/>
    </row>
    <row r="2574" spans="1:1" ht="15.75" customHeight="1">
      <c r="A2574" s="34"/>
    </row>
    <row r="2575" spans="1:1" ht="15.75" customHeight="1">
      <c r="A2575" s="34"/>
    </row>
    <row r="2576" spans="1:1" ht="15.75" customHeight="1">
      <c r="A2576" s="34"/>
    </row>
    <row r="2577" spans="1:1" ht="15.75" customHeight="1">
      <c r="A2577" s="34"/>
    </row>
    <row r="2578" spans="1:1" ht="15.75" customHeight="1">
      <c r="A2578" s="34"/>
    </row>
    <row r="2579" spans="1:1" ht="15.75" customHeight="1">
      <c r="A2579" s="34"/>
    </row>
    <row r="2580" spans="1:1" ht="15.75" customHeight="1">
      <c r="A2580" s="34"/>
    </row>
    <row r="2581" spans="1:1" ht="15.75" customHeight="1">
      <c r="A2581" s="34"/>
    </row>
    <row r="2582" spans="1:1" ht="15.75" customHeight="1">
      <c r="A2582" s="34"/>
    </row>
    <row r="2583" spans="1:1" ht="15.75" customHeight="1">
      <c r="A2583" s="34"/>
    </row>
    <row r="2584" spans="1:1" ht="15.75" customHeight="1">
      <c r="A2584" s="34"/>
    </row>
    <row r="2585" spans="1:1" ht="15.75" customHeight="1">
      <c r="A2585" s="34"/>
    </row>
    <row r="2586" spans="1:1" ht="15.75" customHeight="1">
      <c r="A2586" s="34"/>
    </row>
    <row r="2587" spans="1:1" ht="15.75" customHeight="1">
      <c r="A2587" s="34"/>
    </row>
    <row r="2588" spans="1:1" ht="15.75" customHeight="1">
      <c r="A2588" s="34"/>
    </row>
    <row r="2589" spans="1:1" ht="15.75" customHeight="1">
      <c r="A2589" s="34"/>
    </row>
    <row r="2590" spans="1:1" ht="15.75" customHeight="1">
      <c r="A2590" s="34"/>
    </row>
    <row r="2591" spans="1:1" ht="15.75" customHeight="1">
      <c r="A2591" s="34"/>
    </row>
    <row r="2592" spans="1:1" ht="15.75" customHeight="1">
      <c r="A2592" s="34"/>
    </row>
    <row r="2593" spans="1:1" ht="15.75" customHeight="1">
      <c r="A2593" s="34"/>
    </row>
    <row r="2594" spans="1:1" ht="15.75" customHeight="1">
      <c r="A2594" s="34"/>
    </row>
    <row r="2595" spans="1:1" ht="15.75" customHeight="1">
      <c r="A2595" s="34"/>
    </row>
    <row r="2596" spans="1:1" ht="15.75" customHeight="1">
      <c r="A2596" s="34"/>
    </row>
    <row r="2597" spans="1:1" ht="15.75" customHeight="1">
      <c r="A2597" s="34"/>
    </row>
    <row r="2598" spans="1:1" ht="15.75" customHeight="1">
      <c r="A2598" s="34"/>
    </row>
    <row r="2599" spans="1:1" ht="15.75" customHeight="1">
      <c r="A2599" s="34"/>
    </row>
    <row r="2600" spans="1:1" ht="15.75" customHeight="1">
      <c r="A2600" s="34"/>
    </row>
    <row r="2601" spans="1:1" ht="15.75" customHeight="1">
      <c r="A2601" s="34"/>
    </row>
    <row r="2602" spans="1:1" ht="15.75" customHeight="1">
      <c r="A2602" s="34"/>
    </row>
    <row r="2603" spans="1:1" ht="15.75" customHeight="1">
      <c r="A2603" s="34"/>
    </row>
    <row r="2604" spans="1:1" ht="15.75" customHeight="1">
      <c r="A2604" s="34"/>
    </row>
    <row r="2605" spans="1:1" ht="15.75" customHeight="1">
      <c r="A2605" s="34"/>
    </row>
    <row r="2606" spans="1:1" ht="15.75" customHeight="1">
      <c r="A2606" s="34"/>
    </row>
    <row r="2607" spans="1:1" ht="15.75" customHeight="1">
      <c r="A2607" s="34"/>
    </row>
    <row r="2608" spans="1:1" ht="15.75" customHeight="1">
      <c r="A2608" s="34"/>
    </row>
    <row r="2609" spans="1:1" ht="15.75" customHeight="1">
      <c r="A2609" s="34"/>
    </row>
    <row r="2610" spans="1:1" ht="15.75" customHeight="1">
      <c r="A2610" s="34"/>
    </row>
    <row r="2611" spans="1:1" ht="15.75" customHeight="1">
      <c r="A2611" s="34"/>
    </row>
    <row r="2612" spans="1:1" ht="15.75" customHeight="1">
      <c r="A2612" s="34"/>
    </row>
    <row r="2613" spans="1:1" ht="15.75" customHeight="1">
      <c r="A2613" s="34"/>
    </row>
    <row r="2614" spans="1:1" ht="15.75" customHeight="1">
      <c r="A2614" s="34"/>
    </row>
    <row r="2615" spans="1:1" ht="15.75" customHeight="1">
      <c r="A2615" s="34"/>
    </row>
    <row r="2616" spans="1:1" ht="15.75" customHeight="1">
      <c r="A2616" s="34"/>
    </row>
    <row r="2617" spans="1:1" ht="15.75" customHeight="1">
      <c r="A2617" s="34"/>
    </row>
    <row r="2618" spans="1:1" ht="15.75" customHeight="1">
      <c r="A2618" s="34"/>
    </row>
    <row r="2619" spans="1:1" ht="15.75" customHeight="1">
      <c r="A2619" s="34"/>
    </row>
    <row r="2620" spans="1:1" ht="15.75" customHeight="1">
      <c r="A2620" s="34"/>
    </row>
    <row r="2621" spans="1:1" ht="15.75" customHeight="1">
      <c r="A2621" s="34"/>
    </row>
    <row r="2622" spans="1:1" ht="15.75" customHeight="1">
      <c r="A2622" s="34"/>
    </row>
    <row r="2623" spans="1:1" ht="15.75" customHeight="1">
      <c r="A2623" s="34"/>
    </row>
    <row r="2624" spans="1:1" ht="15.75" customHeight="1">
      <c r="A2624" s="34"/>
    </row>
    <row r="2625" spans="1:1" ht="15.75" customHeight="1">
      <c r="A2625" s="34"/>
    </row>
    <row r="2626" spans="1:1" ht="15.75" customHeight="1">
      <c r="A2626" s="34"/>
    </row>
    <row r="2627" spans="1:1" ht="15.75" customHeight="1">
      <c r="A2627" s="34"/>
    </row>
    <row r="2628" spans="1:1" ht="15.75" customHeight="1">
      <c r="A2628" s="34"/>
    </row>
    <row r="2629" spans="1:1" ht="15.75" customHeight="1">
      <c r="A2629" s="34"/>
    </row>
    <row r="2630" spans="1:1" ht="15.75" customHeight="1">
      <c r="A2630" s="34"/>
    </row>
    <row r="2631" spans="1:1" ht="15.75" customHeight="1">
      <c r="A2631" s="34"/>
    </row>
    <row r="2632" spans="1:1" ht="15.75" customHeight="1">
      <c r="A2632" s="34"/>
    </row>
    <row r="2633" spans="1:1" ht="15.75" customHeight="1">
      <c r="A2633" s="34"/>
    </row>
    <row r="2634" spans="1:1" ht="15.75" customHeight="1">
      <c r="A2634" s="34"/>
    </row>
    <row r="2635" spans="1:1" ht="15.75" customHeight="1">
      <c r="A2635" s="34"/>
    </row>
    <row r="2636" spans="1:1" ht="15.75" customHeight="1">
      <c r="A2636" s="34"/>
    </row>
    <row r="2637" spans="1:1" ht="15.75" customHeight="1">
      <c r="A2637" s="34"/>
    </row>
    <row r="2638" spans="1:1" ht="15.75" customHeight="1">
      <c r="A2638" s="34"/>
    </row>
    <row r="2639" spans="1:1" ht="15.75" customHeight="1">
      <c r="A2639" s="34"/>
    </row>
    <row r="2640" spans="1:1" ht="15.75" customHeight="1">
      <c r="A2640" s="34"/>
    </row>
    <row r="2641" spans="1:1" ht="15.75" customHeight="1">
      <c r="A2641" s="34"/>
    </row>
    <row r="2642" spans="1:1" ht="15.75" customHeight="1">
      <c r="A2642" s="34"/>
    </row>
    <row r="2643" spans="1:1" ht="15.75" customHeight="1">
      <c r="A2643" s="34"/>
    </row>
    <row r="2644" spans="1:1" ht="15.75" customHeight="1">
      <c r="A2644" s="34"/>
    </row>
    <row r="2645" spans="1:1" ht="15.75" customHeight="1">
      <c r="A2645" s="34"/>
    </row>
    <row r="2646" spans="1:1" ht="15.75" customHeight="1">
      <c r="A2646" s="34"/>
    </row>
    <row r="2647" spans="1:1" ht="15.75" customHeight="1">
      <c r="A2647" s="34"/>
    </row>
    <row r="2648" spans="1:1" ht="15.75" customHeight="1">
      <c r="A2648" s="34"/>
    </row>
    <row r="2649" spans="1:1" ht="15.75" customHeight="1">
      <c r="A2649" s="34"/>
    </row>
    <row r="2650" spans="1:1" ht="15.75" customHeight="1">
      <c r="A2650" s="34"/>
    </row>
    <row r="2651" spans="1:1" ht="15.75" customHeight="1">
      <c r="A2651" s="34"/>
    </row>
    <row r="2652" spans="1:1" ht="15.75" customHeight="1">
      <c r="A2652" s="34"/>
    </row>
    <row r="2653" spans="1:1" ht="15.75" customHeight="1">
      <c r="A2653" s="34"/>
    </row>
    <row r="2654" spans="1:1" ht="15.75" customHeight="1">
      <c r="A2654" s="34"/>
    </row>
    <row r="2655" spans="1:1" ht="15.75" customHeight="1">
      <c r="A2655" s="34"/>
    </row>
    <row r="2656" spans="1:1" ht="15.75" customHeight="1">
      <c r="A2656" s="34"/>
    </row>
    <row r="2657" spans="1:1" ht="15.75" customHeight="1">
      <c r="A2657" s="34"/>
    </row>
    <row r="2658" spans="1:1" ht="15.75" customHeight="1">
      <c r="A2658" s="34"/>
    </row>
    <row r="2659" spans="1:1" ht="15.75" customHeight="1">
      <c r="A2659" s="34"/>
    </row>
    <row r="2660" spans="1:1" ht="15.75" customHeight="1">
      <c r="A2660" s="34"/>
    </row>
    <row r="2661" spans="1:1" ht="15.75" customHeight="1">
      <c r="A2661" s="34"/>
    </row>
    <row r="2662" spans="1:1" ht="15.75" customHeight="1">
      <c r="A2662" s="34"/>
    </row>
    <row r="2663" spans="1:1" ht="15.75" customHeight="1">
      <c r="A2663" s="34"/>
    </row>
    <row r="2664" spans="1:1" ht="15.75" customHeight="1">
      <c r="A2664" s="34"/>
    </row>
    <row r="2665" spans="1:1" ht="15.75" customHeight="1">
      <c r="A2665" s="34"/>
    </row>
    <row r="2666" spans="1:1" ht="15.75" customHeight="1">
      <c r="A2666" s="34"/>
    </row>
    <row r="2667" spans="1:1" ht="15.75" customHeight="1">
      <c r="A2667" s="34"/>
    </row>
    <row r="2668" spans="1:1" ht="15.75" customHeight="1">
      <c r="A2668" s="34"/>
    </row>
    <row r="2669" spans="1:1" ht="15.75" customHeight="1">
      <c r="A2669" s="34"/>
    </row>
    <row r="2670" spans="1:1" ht="15.75" customHeight="1">
      <c r="A2670" s="34"/>
    </row>
    <row r="2671" spans="1:1" ht="15.75" customHeight="1">
      <c r="A2671" s="34"/>
    </row>
    <row r="2672" spans="1:1" ht="15.75" customHeight="1">
      <c r="A2672" s="34"/>
    </row>
    <row r="2673" spans="1:1" ht="15.75" customHeight="1">
      <c r="A2673" s="34"/>
    </row>
    <row r="2674" spans="1:1" ht="15.75" customHeight="1">
      <c r="A2674" s="34"/>
    </row>
    <row r="2675" spans="1:1" ht="15.75" customHeight="1">
      <c r="A2675" s="34"/>
    </row>
    <row r="2676" spans="1:1" ht="15.75" customHeight="1">
      <c r="A2676" s="34"/>
    </row>
    <row r="2677" spans="1:1" ht="15.75" customHeight="1">
      <c r="A2677" s="34"/>
    </row>
    <row r="2678" spans="1:1" ht="15.75" customHeight="1">
      <c r="A2678" s="34"/>
    </row>
    <row r="2679" spans="1:1" ht="15.75" customHeight="1">
      <c r="A2679" s="34"/>
    </row>
    <row r="2680" spans="1:1" ht="15.75" customHeight="1">
      <c r="A2680" s="34"/>
    </row>
    <row r="2681" spans="1:1" ht="15.75" customHeight="1">
      <c r="A2681" s="34"/>
    </row>
    <row r="2682" spans="1:1" ht="15.75" customHeight="1">
      <c r="A2682" s="34"/>
    </row>
    <row r="2683" spans="1:1" ht="15.75" customHeight="1">
      <c r="A2683" s="34"/>
    </row>
    <row r="2684" spans="1:1" ht="15.75" customHeight="1">
      <c r="A2684" s="34"/>
    </row>
    <row r="2685" spans="1:1" ht="15.75" customHeight="1">
      <c r="A2685" s="34"/>
    </row>
    <row r="2686" spans="1:1" ht="15.75" customHeight="1">
      <c r="A2686" s="34"/>
    </row>
    <row r="2687" spans="1:1" ht="15.75" customHeight="1">
      <c r="A2687" s="34"/>
    </row>
    <row r="2688" spans="1:1" ht="15.75" customHeight="1">
      <c r="A2688" s="34"/>
    </row>
    <row r="2689" spans="1:1" ht="15.75" customHeight="1">
      <c r="A2689" s="34"/>
    </row>
    <row r="2690" spans="1:1" ht="15.75" customHeight="1">
      <c r="A2690" s="34"/>
    </row>
    <row r="2691" spans="1:1" ht="15.75" customHeight="1">
      <c r="A2691" s="34"/>
    </row>
    <row r="2692" spans="1:1" ht="15.75" customHeight="1">
      <c r="A2692" s="34"/>
    </row>
    <row r="2693" spans="1:1" ht="15.75" customHeight="1">
      <c r="A2693" s="34"/>
    </row>
    <row r="2694" spans="1:1" ht="15.75" customHeight="1">
      <c r="A2694" s="34"/>
    </row>
    <row r="2695" spans="1:1" ht="15.75" customHeight="1">
      <c r="A2695" s="34"/>
    </row>
    <row r="2696" spans="1:1" ht="15.75" customHeight="1">
      <c r="A2696" s="34"/>
    </row>
    <row r="2697" spans="1:1" ht="15.75" customHeight="1">
      <c r="A2697" s="34"/>
    </row>
    <row r="2698" spans="1:1" ht="15.75" customHeight="1">
      <c r="A2698" s="34"/>
    </row>
    <row r="2699" spans="1:1" ht="15.75" customHeight="1">
      <c r="A2699" s="34"/>
    </row>
    <row r="2700" spans="1:1" ht="15.75" customHeight="1">
      <c r="A2700" s="34"/>
    </row>
    <row r="2701" spans="1:1" ht="15.75" customHeight="1">
      <c r="A2701" s="34"/>
    </row>
    <row r="2702" spans="1:1" ht="15.75" customHeight="1">
      <c r="A2702" s="34"/>
    </row>
    <row r="2703" spans="1:1" ht="15.75" customHeight="1">
      <c r="A2703" s="34"/>
    </row>
    <row r="2704" spans="1:1" ht="15.75" customHeight="1">
      <c r="A2704" s="34"/>
    </row>
    <row r="2705" spans="1:1" ht="15.75" customHeight="1">
      <c r="A2705" s="34"/>
    </row>
    <row r="2706" spans="1:1" ht="15.75" customHeight="1">
      <c r="A2706" s="34"/>
    </row>
    <row r="2707" spans="1:1" ht="15.75" customHeight="1">
      <c r="A2707" s="34"/>
    </row>
    <row r="2708" spans="1:1" ht="15.75" customHeight="1">
      <c r="A2708" s="34"/>
    </row>
    <row r="2709" spans="1:1" ht="15.75" customHeight="1">
      <c r="A2709" s="34"/>
    </row>
    <row r="2710" spans="1:1" ht="15.75" customHeight="1">
      <c r="A2710" s="34"/>
    </row>
    <row r="2711" spans="1:1" ht="15.75" customHeight="1">
      <c r="A2711" s="34"/>
    </row>
    <row r="2712" spans="1:1" ht="15.75" customHeight="1">
      <c r="A2712" s="34"/>
    </row>
    <row r="2713" spans="1:1" ht="15.75" customHeight="1">
      <c r="A2713" s="34"/>
    </row>
    <row r="2714" spans="1:1" ht="15.75" customHeight="1">
      <c r="A2714" s="34"/>
    </row>
    <row r="2715" spans="1:1" ht="15.75" customHeight="1">
      <c r="A2715" s="34"/>
    </row>
    <row r="2716" spans="1:1" ht="15.75" customHeight="1">
      <c r="A2716" s="34"/>
    </row>
    <row r="2717" spans="1:1" ht="15.75" customHeight="1">
      <c r="A2717" s="34"/>
    </row>
    <row r="2718" spans="1:1" ht="15.75" customHeight="1">
      <c r="A2718" s="34"/>
    </row>
    <row r="2719" spans="1:1" ht="15.75" customHeight="1">
      <c r="A2719" s="34"/>
    </row>
    <row r="2720" spans="1:1" ht="15.75" customHeight="1">
      <c r="A2720" s="34"/>
    </row>
    <row r="2721" spans="1:1" ht="15.75" customHeight="1">
      <c r="A2721" s="34"/>
    </row>
    <row r="2722" spans="1:1" ht="15.75" customHeight="1">
      <c r="A2722" s="34"/>
    </row>
    <row r="2723" spans="1:1" ht="15.75" customHeight="1">
      <c r="A2723" s="34"/>
    </row>
    <row r="2724" spans="1:1" ht="15.75" customHeight="1">
      <c r="A2724" s="34"/>
    </row>
    <row r="2725" spans="1:1" ht="15.75" customHeight="1">
      <c r="A2725" s="34"/>
    </row>
    <row r="2726" spans="1:1" ht="15.75" customHeight="1">
      <c r="A2726" s="34"/>
    </row>
    <row r="2727" spans="1:1" ht="15.75" customHeight="1">
      <c r="A2727" s="34"/>
    </row>
    <row r="2728" spans="1:1" ht="15.75" customHeight="1">
      <c r="A2728" s="34"/>
    </row>
    <row r="2729" spans="1:1" ht="15.75" customHeight="1">
      <c r="A2729" s="34"/>
    </row>
    <row r="2730" spans="1:1" ht="15.75" customHeight="1">
      <c r="A2730" s="34"/>
    </row>
    <row r="2731" spans="1:1" ht="15.75" customHeight="1">
      <c r="A2731" s="34"/>
    </row>
    <row r="2732" spans="1:1" ht="15.75" customHeight="1">
      <c r="A2732" s="34"/>
    </row>
    <row r="2733" spans="1:1" ht="15.75" customHeight="1">
      <c r="A2733" s="34"/>
    </row>
    <row r="2734" spans="1:1" ht="15.75" customHeight="1">
      <c r="A2734" s="34"/>
    </row>
    <row r="2735" spans="1:1" ht="15.75" customHeight="1">
      <c r="A2735" s="34"/>
    </row>
    <row r="2736" spans="1:1" ht="15.75" customHeight="1">
      <c r="A2736" s="34"/>
    </row>
    <row r="2737" spans="1:1" ht="15.75" customHeight="1">
      <c r="A2737" s="34"/>
    </row>
    <row r="2738" spans="1:1" ht="15.75" customHeight="1">
      <c r="A2738" s="34"/>
    </row>
    <row r="2739" spans="1:1" ht="15.75" customHeight="1">
      <c r="A2739" s="34"/>
    </row>
    <row r="2740" spans="1:1" ht="15.75" customHeight="1">
      <c r="A2740" s="34"/>
    </row>
    <row r="2741" spans="1:1" ht="15.75" customHeight="1">
      <c r="A2741" s="34"/>
    </row>
    <row r="2742" spans="1:1" ht="15.75" customHeight="1">
      <c r="A2742" s="34"/>
    </row>
    <row r="2743" spans="1:1" ht="15.75" customHeight="1">
      <c r="A2743" s="34"/>
    </row>
    <row r="2744" spans="1:1" ht="15.75" customHeight="1">
      <c r="A2744" s="34"/>
    </row>
    <row r="2745" spans="1:1" ht="15.75" customHeight="1">
      <c r="A2745" s="34"/>
    </row>
    <row r="2746" spans="1:1" ht="15.75" customHeight="1">
      <c r="A2746" s="34"/>
    </row>
    <row r="2747" spans="1:1" ht="15.75" customHeight="1">
      <c r="A2747" s="34"/>
    </row>
    <row r="2748" spans="1:1" ht="15.75" customHeight="1">
      <c r="A2748" s="34"/>
    </row>
    <row r="2749" spans="1:1" ht="15.75" customHeight="1">
      <c r="A2749" s="34"/>
    </row>
    <row r="2750" spans="1:1" ht="15.75" customHeight="1">
      <c r="A2750" s="34"/>
    </row>
    <row r="2751" spans="1:1" ht="15.75" customHeight="1">
      <c r="A2751" s="34"/>
    </row>
    <row r="2752" spans="1:1" ht="15.75" customHeight="1">
      <c r="A2752" s="34"/>
    </row>
    <row r="2753" spans="1:1" ht="15.75" customHeight="1">
      <c r="A2753" s="34"/>
    </row>
    <row r="2754" spans="1:1" ht="15.75" customHeight="1">
      <c r="A2754" s="34"/>
    </row>
    <row r="2755" spans="1:1" ht="15.75" customHeight="1">
      <c r="A2755" s="34"/>
    </row>
    <row r="2756" spans="1:1" ht="15.75" customHeight="1">
      <c r="A2756" s="34"/>
    </row>
    <row r="2757" spans="1:1" ht="15.75" customHeight="1">
      <c r="A2757" s="34"/>
    </row>
    <row r="2758" spans="1:1" ht="15.75" customHeight="1">
      <c r="A2758" s="34"/>
    </row>
    <row r="2759" spans="1:1" ht="15.75" customHeight="1">
      <c r="A2759" s="34"/>
    </row>
    <row r="2760" spans="1:1" ht="15.75" customHeight="1">
      <c r="A2760" s="34"/>
    </row>
    <row r="2761" spans="1:1" ht="15.75" customHeight="1">
      <c r="A2761" s="34"/>
    </row>
    <row r="2762" spans="1:1" ht="15.75" customHeight="1">
      <c r="A2762" s="34"/>
    </row>
    <row r="2763" spans="1:1" ht="15.75" customHeight="1">
      <c r="A2763" s="34"/>
    </row>
    <row r="2764" spans="1:1" ht="15.75" customHeight="1">
      <c r="A2764" s="34"/>
    </row>
    <row r="2765" spans="1:1" ht="15.75" customHeight="1">
      <c r="A2765" s="34"/>
    </row>
    <row r="2766" spans="1:1" ht="15.75" customHeight="1">
      <c r="A2766" s="34"/>
    </row>
    <row r="2767" spans="1:1" ht="15.75" customHeight="1">
      <c r="A2767" s="34"/>
    </row>
    <row r="2768" spans="1:1" ht="15.75" customHeight="1">
      <c r="A2768" s="34"/>
    </row>
    <row r="2769" spans="1:1" ht="15.75" customHeight="1">
      <c r="A2769" s="34"/>
    </row>
    <row r="2770" spans="1:1" ht="15.75" customHeight="1">
      <c r="A2770" s="34"/>
    </row>
    <row r="2771" spans="1:1" ht="15.75" customHeight="1">
      <c r="A2771" s="34"/>
    </row>
    <row r="2772" spans="1:1" ht="15.75" customHeight="1">
      <c r="A2772" s="34"/>
    </row>
    <row r="2773" spans="1:1" ht="15.75" customHeight="1">
      <c r="A2773" s="34"/>
    </row>
    <row r="2774" spans="1:1" ht="15.75" customHeight="1">
      <c r="A2774" s="34"/>
    </row>
    <row r="2775" spans="1:1" ht="15.75" customHeight="1">
      <c r="A2775" s="34"/>
    </row>
    <row r="2776" spans="1:1" ht="15.75" customHeight="1">
      <c r="A2776" s="34"/>
    </row>
    <row r="2777" spans="1:1" ht="15.75" customHeight="1">
      <c r="A2777" s="34"/>
    </row>
    <row r="2778" spans="1:1" ht="15.75" customHeight="1">
      <c r="A2778" s="34"/>
    </row>
    <row r="2779" spans="1:1" ht="15.75" customHeight="1">
      <c r="A2779" s="34"/>
    </row>
    <row r="2780" spans="1:1" ht="15.75" customHeight="1">
      <c r="A2780" s="34"/>
    </row>
    <row r="2781" spans="1:1" ht="15.75" customHeight="1">
      <c r="A2781" s="34"/>
    </row>
    <row r="2782" spans="1:1" ht="15.75" customHeight="1">
      <c r="A2782" s="34"/>
    </row>
    <row r="2783" spans="1:1" ht="15.75" customHeight="1">
      <c r="A2783" s="34"/>
    </row>
    <row r="2784" spans="1:1" ht="15.75" customHeight="1">
      <c r="A2784" s="34"/>
    </row>
    <row r="2785" spans="1:1" ht="15.75" customHeight="1">
      <c r="A2785" s="34"/>
    </row>
    <row r="2786" spans="1:1" ht="15.75" customHeight="1">
      <c r="A2786" s="34"/>
    </row>
    <row r="2787" spans="1:1" ht="15.75" customHeight="1">
      <c r="A2787" s="34"/>
    </row>
    <row r="2788" spans="1:1" ht="15.75" customHeight="1">
      <c r="A2788" s="34"/>
    </row>
    <row r="2789" spans="1:1" ht="15.75" customHeight="1">
      <c r="A2789" s="34"/>
    </row>
    <row r="2790" spans="1:1" ht="15.75" customHeight="1">
      <c r="A2790" s="34"/>
    </row>
    <row r="2791" spans="1:1" ht="15.75" customHeight="1">
      <c r="A2791" s="34"/>
    </row>
    <row r="2792" spans="1:1" ht="15.75" customHeight="1">
      <c r="A2792" s="34"/>
    </row>
    <row r="2793" spans="1:1" ht="15.75" customHeight="1">
      <c r="A2793" s="34"/>
    </row>
    <row r="2794" spans="1:1" ht="15.75" customHeight="1">
      <c r="A2794" s="34"/>
    </row>
    <row r="2795" spans="1:1" ht="15.75" customHeight="1">
      <c r="A2795" s="34"/>
    </row>
    <row r="2796" spans="1:1" ht="15.75" customHeight="1">
      <c r="A2796" s="34"/>
    </row>
    <row r="2797" spans="1:1" ht="15.75" customHeight="1">
      <c r="A2797" s="34"/>
    </row>
    <row r="2798" spans="1:1" ht="15.75" customHeight="1">
      <c r="A2798" s="34"/>
    </row>
    <row r="2799" spans="1:1" ht="15.75" customHeight="1">
      <c r="A2799" s="34"/>
    </row>
    <row r="2800" spans="1:1" ht="15.75" customHeight="1">
      <c r="A2800" s="34"/>
    </row>
    <row r="2801" spans="1:1" ht="15.75" customHeight="1">
      <c r="A2801" s="34"/>
    </row>
    <row r="2802" spans="1:1" ht="15.75" customHeight="1">
      <c r="A2802" s="34"/>
    </row>
    <row r="2803" spans="1:1" ht="15.75" customHeight="1">
      <c r="A2803" s="34"/>
    </row>
    <row r="2804" spans="1:1" ht="15.75" customHeight="1">
      <c r="A2804" s="34"/>
    </row>
    <row r="2805" spans="1:1" ht="15.75" customHeight="1">
      <c r="A2805" s="34"/>
    </row>
    <row r="2806" spans="1:1" ht="15.75" customHeight="1">
      <c r="A2806" s="34"/>
    </row>
    <row r="2807" spans="1:1" ht="15.75" customHeight="1">
      <c r="A2807" s="34"/>
    </row>
    <row r="2808" spans="1:1" ht="15.75" customHeight="1">
      <c r="A2808" s="34"/>
    </row>
    <row r="2809" spans="1:1" ht="15.75" customHeight="1">
      <c r="A2809" s="34"/>
    </row>
    <row r="2810" spans="1:1" ht="15.75" customHeight="1">
      <c r="A2810" s="34"/>
    </row>
    <row r="2811" spans="1:1" ht="15.75" customHeight="1">
      <c r="A2811" s="34"/>
    </row>
    <row r="2812" spans="1:1" ht="15.75" customHeight="1">
      <c r="A2812" s="34"/>
    </row>
    <row r="2813" spans="1:1" ht="15.75" customHeight="1">
      <c r="A2813" s="34"/>
    </row>
    <row r="2814" spans="1:1" ht="15.75" customHeight="1">
      <c r="A2814" s="34"/>
    </row>
    <row r="2815" spans="1:1" ht="15.75" customHeight="1">
      <c r="A2815" s="34"/>
    </row>
    <row r="2816" spans="1:1" ht="15.75" customHeight="1">
      <c r="A2816" s="34"/>
    </row>
    <row r="2817" spans="1:1" ht="15.75" customHeight="1">
      <c r="A2817" s="34"/>
    </row>
    <row r="2818" spans="1:1" ht="15.75" customHeight="1">
      <c r="A2818" s="34"/>
    </row>
    <row r="2819" spans="1:1" ht="15.75" customHeight="1">
      <c r="A2819" s="34"/>
    </row>
    <row r="2820" spans="1:1" ht="15.75" customHeight="1">
      <c r="A2820" s="34"/>
    </row>
    <row r="2821" spans="1:1" ht="15.75" customHeight="1">
      <c r="A2821" s="34"/>
    </row>
    <row r="2822" spans="1:1" ht="15.75" customHeight="1">
      <c r="A2822" s="34"/>
    </row>
    <row r="2823" spans="1:1" ht="15.75" customHeight="1">
      <c r="A2823" s="34"/>
    </row>
    <row r="2824" spans="1:1" ht="15.75" customHeight="1">
      <c r="A2824" s="34"/>
    </row>
    <row r="2825" spans="1:1" ht="15.75" customHeight="1">
      <c r="A2825" s="34"/>
    </row>
    <row r="2826" spans="1:1" ht="15.75" customHeight="1">
      <c r="A2826" s="34"/>
    </row>
    <row r="2827" spans="1:1" ht="15.75" customHeight="1">
      <c r="A2827" s="34"/>
    </row>
    <row r="2828" spans="1:1" ht="15.75" customHeight="1">
      <c r="A2828" s="34"/>
    </row>
    <row r="2829" spans="1:1" ht="15.75" customHeight="1">
      <c r="A2829" s="34"/>
    </row>
    <row r="2830" spans="1:1" ht="15.75" customHeight="1">
      <c r="A2830" s="34"/>
    </row>
    <row r="2831" spans="1:1" ht="15.75" customHeight="1">
      <c r="A2831" s="34"/>
    </row>
    <row r="2832" spans="1:1" ht="15.75" customHeight="1">
      <c r="A2832" s="34"/>
    </row>
    <row r="2833" spans="1:1" ht="15.75" customHeight="1">
      <c r="A2833" s="34"/>
    </row>
    <row r="2834" spans="1:1" ht="15.75" customHeight="1">
      <c r="A2834" s="34"/>
    </row>
    <row r="2835" spans="1:1" ht="15.75" customHeight="1">
      <c r="A2835" s="34"/>
    </row>
    <row r="2836" spans="1:1" ht="15.75" customHeight="1">
      <c r="A2836" s="34"/>
    </row>
    <row r="2837" spans="1:1" ht="15.75" customHeight="1">
      <c r="A2837" s="34"/>
    </row>
    <row r="2838" spans="1:1" ht="15.75" customHeight="1">
      <c r="A2838" s="34"/>
    </row>
    <row r="2839" spans="1:1" ht="15.75" customHeight="1">
      <c r="A2839" s="34"/>
    </row>
    <row r="2840" spans="1:1" ht="15.75" customHeight="1">
      <c r="A2840" s="34"/>
    </row>
    <row r="2841" spans="1:1" ht="15.75" customHeight="1">
      <c r="A2841" s="34"/>
    </row>
    <row r="2842" spans="1:1" ht="15.75" customHeight="1">
      <c r="A2842" s="34"/>
    </row>
    <row r="2843" spans="1:1" ht="15.75" customHeight="1">
      <c r="A2843" s="34"/>
    </row>
    <row r="2844" spans="1:1" ht="15.75" customHeight="1">
      <c r="A2844" s="34"/>
    </row>
    <row r="2845" spans="1:1" ht="15.75" customHeight="1">
      <c r="A2845" s="34"/>
    </row>
    <row r="2846" spans="1:1" ht="15.75" customHeight="1">
      <c r="A2846" s="34"/>
    </row>
    <row r="2847" spans="1:1" ht="15.75" customHeight="1">
      <c r="A2847" s="34"/>
    </row>
    <row r="2848" spans="1:1" ht="15.75" customHeight="1">
      <c r="A2848" s="34"/>
    </row>
    <row r="2849" spans="1:1" ht="15.75" customHeight="1">
      <c r="A2849" s="34"/>
    </row>
    <row r="2850" spans="1:1" ht="15.75" customHeight="1">
      <c r="A2850" s="34"/>
    </row>
    <row r="2851" spans="1:1" ht="15.75" customHeight="1">
      <c r="A2851" s="34"/>
    </row>
    <row r="2852" spans="1:1" ht="15.75" customHeight="1">
      <c r="A2852" s="34"/>
    </row>
    <row r="2853" spans="1:1" ht="15.75" customHeight="1">
      <c r="A2853" s="34"/>
    </row>
    <row r="2854" spans="1:1" ht="15.75" customHeight="1">
      <c r="A2854" s="34"/>
    </row>
    <row r="2855" spans="1:1" ht="15.75" customHeight="1">
      <c r="A2855" s="34"/>
    </row>
    <row r="2856" spans="1:1" ht="15.75" customHeight="1">
      <c r="A2856" s="34"/>
    </row>
    <row r="2857" spans="1:1" ht="15.75" customHeight="1">
      <c r="A2857" s="34"/>
    </row>
    <row r="2858" spans="1:1" ht="15.75" customHeight="1">
      <c r="A2858" s="34"/>
    </row>
    <row r="2859" spans="1:1" ht="15.75" customHeight="1">
      <c r="A2859" s="34"/>
    </row>
    <row r="2860" spans="1:1" ht="15.75" customHeight="1">
      <c r="A2860" s="34"/>
    </row>
    <row r="2861" spans="1:1" ht="15.75" customHeight="1">
      <c r="A2861" s="34"/>
    </row>
    <row r="2862" spans="1:1" ht="15.75" customHeight="1">
      <c r="A2862" s="34"/>
    </row>
    <row r="2863" spans="1:1" ht="15.75" customHeight="1">
      <c r="A2863" s="34"/>
    </row>
    <row r="2864" spans="1:1" ht="15.75" customHeight="1">
      <c r="A2864" s="34"/>
    </row>
    <row r="2865" spans="1:1" ht="15.75" customHeight="1">
      <c r="A2865" s="34"/>
    </row>
    <row r="2866" spans="1:1" ht="15.75" customHeight="1">
      <c r="A2866" s="34"/>
    </row>
    <row r="2867" spans="1:1" ht="15.75" customHeight="1">
      <c r="A2867" s="34"/>
    </row>
    <row r="2868" spans="1:1" ht="15.75" customHeight="1">
      <c r="A2868" s="34"/>
    </row>
    <row r="2869" spans="1:1" ht="15.75" customHeight="1">
      <c r="A2869" s="34"/>
    </row>
    <row r="2870" spans="1:1" ht="15.75" customHeight="1">
      <c r="A2870" s="34"/>
    </row>
    <row r="2871" spans="1:1" ht="15.75" customHeight="1">
      <c r="A2871" s="34"/>
    </row>
    <row r="2872" spans="1:1" ht="15.75" customHeight="1">
      <c r="A2872" s="34"/>
    </row>
    <row r="2873" spans="1:1" ht="15.75" customHeight="1">
      <c r="A2873" s="34"/>
    </row>
    <row r="2874" spans="1:1" ht="15.75" customHeight="1">
      <c r="A2874" s="34"/>
    </row>
    <row r="2875" spans="1:1" ht="15.75" customHeight="1">
      <c r="A2875" s="34"/>
    </row>
    <row r="2876" spans="1:1" ht="15.75" customHeight="1">
      <c r="A2876" s="34"/>
    </row>
    <row r="2877" spans="1:1" ht="15.75" customHeight="1">
      <c r="A2877" s="34"/>
    </row>
    <row r="2878" spans="1:1" ht="15.75" customHeight="1">
      <c r="A2878" s="34"/>
    </row>
    <row r="2879" spans="1:1" ht="15.75" customHeight="1">
      <c r="A2879" s="34"/>
    </row>
    <row r="2880" spans="1:1" ht="15.75" customHeight="1">
      <c r="A2880" s="34"/>
    </row>
    <row r="2881" spans="1:1" ht="15.75" customHeight="1">
      <c r="A2881" s="34"/>
    </row>
    <row r="2882" spans="1:1" ht="15.75" customHeight="1">
      <c r="A2882" s="34"/>
    </row>
    <row r="2883" spans="1:1" ht="15.75" customHeight="1">
      <c r="A2883" s="34"/>
    </row>
    <row r="2884" spans="1:1" ht="15.75" customHeight="1">
      <c r="A2884" s="34"/>
    </row>
    <row r="2885" spans="1:1" ht="15.75" customHeight="1">
      <c r="A2885" s="34"/>
    </row>
    <row r="2886" spans="1:1" ht="15.75" customHeight="1">
      <c r="A2886" s="34"/>
    </row>
    <row r="2887" spans="1:1" ht="15.75" customHeight="1">
      <c r="A2887" s="34"/>
    </row>
    <row r="2888" spans="1:1" ht="15.75" customHeight="1">
      <c r="A2888" s="34"/>
    </row>
    <row r="2889" spans="1:1" ht="15.75" customHeight="1">
      <c r="A2889" s="34"/>
    </row>
    <row r="2890" spans="1:1" ht="15.75" customHeight="1">
      <c r="A2890" s="34"/>
    </row>
    <row r="2891" spans="1:1" ht="15.75" customHeight="1">
      <c r="A2891" s="34"/>
    </row>
    <row r="2892" spans="1:1" ht="15.75" customHeight="1">
      <c r="A2892" s="34"/>
    </row>
    <row r="2893" spans="1:1" ht="15.75" customHeight="1">
      <c r="A2893" s="34"/>
    </row>
    <row r="2894" spans="1:1" ht="15.75" customHeight="1">
      <c r="A2894" s="34"/>
    </row>
    <row r="2895" spans="1:1" ht="15.75" customHeight="1">
      <c r="A2895" s="34"/>
    </row>
    <row r="2896" spans="1:1" ht="15.75" customHeight="1">
      <c r="A2896" s="34"/>
    </row>
    <row r="2897" spans="1:1" ht="15.75" customHeight="1">
      <c r="A2897" s="34"/>
    </row>
    <row r="2898" spans="1:1" ht="15.75" customHeight="1">
      <c r="A2898" s="34"/>
    </row>
    <row r="2899" spans="1:1" ht="15.75" customHeight="1">
      <c r="A2899" s="34"/>
    </row>
    <row r="2900" spans="1:1" ht="15.75" customHeight="1">
      <c r="A2900" s="34"/>
    </row>
    <row r="2901" spans="1:1" ht="15.75" customHeight="1">
      <c r="A2901" s="34"/>
    </row>
    <row r="2902" spans="1:1" ht="15.75" customHeight="1">
      <c r="A2902" s="34"/>
    </row>
    <row r="2903" spans="1:1" ht="15.75" customHeight="1">
      <c r="A2903" s="34"/>
    </row>
    <row r="2904" spans="1:1" ht="15.75" customHeight="1">
      <c r="A2904" s="34"/>
    </row>
    <row r="2905" spans="1:1" ht="15.75" customHeight="1">
      <c r="A2905" s="34"/>
    </row>
    <row r="2906" spans="1:1" ht="15.75" customHeight="1">
      <c r="A2906" s="34"/>
    </row>
    <row r="2907" spans="1:1" ht="15.75" customHeight="1">
      <c r="A2907" s="34"/>
    </row>
    <row r="2908" spans="1:1" ht="15.75" customHeight="1">
      <c r="A2908" s="34"/>
    </row>
    <row r="2909" spans="1:1" ht="15.75" customHeight="1">
      <c r="A2909" s="34"/>
    </row>
    <row r="2910" spans="1:1" ht="15.75" customHeight="1">
      <c r="A2910" s="34"/>
    </row>
    <row r="2911" spans="1:1" ht="15.75" customHeight="1">
      <c r="A2911" s="34"/>
    </row>
    <row r="2912" spans="1:1" ht="15.75" customHeight="1">
      <c r="A2912" s="34"/>
    </row>
    <row r="2913" spans="1:1" ht="15.75" customHeight="1">
      <c r="A2913" s="34"/>
    </row>
    <row r="2914" spans="1:1" ht="15.75" customHeight="1">
      <c r="A2914" s="34"/>
    </row>
    <row r="2915" spans="1:1" ht="15.75" customHeight="1">
      <c r="A2915" s="34"/>
    </row>
    <row r="2916" spans="1:1" ht="15.75" customHeight="1">
      <c r="A2916" s="34"/>
    </row>
    <row r="2917" spans="1:1" ht="15.75" customHeight="1">
      <c r="A2917" s="34"/>
    </row>
    <row r="2918" spans="1:1" ht="15.75" customHeight="1">
      <c r="A2918" s="34"/>
    </row>
    <row r="2919" spans="1:1" ht="15.75" customHeight="1">
      <c r="A2919" s="34"/>
    </row>
    <row r="2920" spans="1:1" ht="15.75" customHeight="1">
      <c r="A2920" s="34"/>
    </row>
    <row r="2921" spans="1:1" ht="15.75" customHeight="1">
      <c r="A2921" s="34"/>
    </row>
    <row r="2922" spans="1:1" ht="15.75" customHeight="1">
      <c r="A2922" s="34"/>
    </row>
    <row r="2923" spans="1:1" ht="15.75" customHeight="1">
      <c r="A2923" s="34"/>
    </row>
    <row r="2924" spans="1:1" ht="15.75" customHeight="1">
      <c r="A2924" s="34"/>
    </row>
    <row r="2925" spans="1:1" ht="15.75" customHeight="1">
      <c r="A2925" s="34"/>
    </row>
    <row r="2926" spans="1:1" ht="15.75" customHeight="1">
      <c r="A2926" s="34"/>
    </row>
    <row r="2927" spans="1:1" ht="15.75" customHeight="1">
      <c r="A2927" s="34"/>
    </row>
    <row r="2928" spans="1:1" ht="15.75" customHeight="1">
      <c r="A2928" s="34"/>
    </row>
    <row r="2929" spans="1:1" ht="15.75" customHeight="1">
      <c r="A2929" s="34"/>
    </row>
    <row r="2930" spans="1:1" ht="15.75" customHeight="1">
      <c r="A2930" s="34"/>
    </row>
    <row r="2931" spans="1:1" ht="15.75" customHeight="1">
      <c r="A2931" s="34"/>
    </row>
    <row r="2932" spans="1:1" ht="15.75" customHeight="1">
      <c r="A2932" s="34"/>
    </row>
    <row r="2933" spans="1:1" ht="15.75" customHeight="1">
      <c r="A2933" s="34"/>
    </row>
    <row r="2934" spans="1:1" ht="15.75" customHeight="1">
      <c r="A2934" s="34"/>
    </row>
    <row r="2935" spans="1:1" ht="15.75" customHeight="1">
      <c r="A2935" s="34"/>
    </row>
    <row r="2936" spans="1:1" ht="15.75" customHeight="1">
      <c r="A2936" s="34"/>
    </row>
    <row r="2937" spans="1:1" ht="15.75" customHeight="1">
      <c r="A2937" s="34"/>
    </row>
    <row r="2938" spans="1:1" ht="15.75" customHeight="1">
      <c r="A2938" s="34"/>
    </row>
    <row r="2939" spans="1:1" ht="15.75" customHeight="1">
      <c r="A2939" s="34"/>
    </row>
    <row r="2940" spans="1:1" ht="15.75" customHeight="1">
      <c r="A2940" s="34"/>
    </row>
    <row r="2941" spans="1:1" ht="15.75" customHeight="1">
      <c r="A2941" s="34"/>
    </row>
    <row r="2942" spans="1:1" ht="15.75" customHeight="1">
      <c r="A2942" s="34"/>
    </row>
    <row r="2943" spans="1:1" ht="15.75" customHeight="1">
      <c r="A2943" s="34"/>
    </row>
    <row r="2944" spans="1:1" ht="15.75" customHeight="1">
      <c r="A2944" s="34"/>
    </row>
    <row r="2945" spans="1:1" ht="15.75" customHeight="1">
      <c r="A2945" s="34"/>
    </row>
    <row r="2946" spans="1:1" ht="15.75" customHeight="1">
      <c r="A2946" s="34"/>
    </row>
    <row r="2947" spans="1:1" ht="15.75" customHeight="1">
      <c r="A2947" s="34"/>
    </row>
    <row r="2948" spans="1:1" ht="15.75" customHeight="1">
      <c r="A2948" s="34"/>
    </row>
    <row r="2949" spans="1:1" ht="15.75" customHeight="1">
      <c r="A2949" s="34"/>
    </row>
    <row r="2950" spans="1:1" ht="15.75" customHeight="1">
      <c r="A2950" s="34"/>
    </row>
    <row r="2951" spans="1:1" ht="15.75" customHeight="1">
      <c r="A2951" s="34"/>
    </row>
    <row r="2952" spans="1:1" ht="15.75" customHeight="1">
      <c r="A2952" s="34"/>
    </row>
    <row r="2953" spans="1:1" ht="15.75" customHeight="1">
      <c r="A2953" s="34"/>
    </row>
    <row r="2954" spans="1:1" ht="15.75" customHeight="1">
      <c r="A2954" s="34"/>
    </row>
    <row r="2955" spans="1:1" ht="15.75" customHeight="1">
      <c r="A2955" s="34"/>
    </row>
    <row r="2956" spans="1:1" ht="15.75" customHeight="1">
      <c r="A2956" s="34"/>
    </row>
    <row r="2957" spans="1:1" ht="15.75" customHeight="1">
      <c r="A2957" s="34"/>
    </row>
    <row r="2958" spans="1:1" ht="15.75" customHeight="1">
      <c r="A2958" s="34"/>
    </row>
    <row r="2959" spans="1:1" ht="15.75" customHeight="1">
      <c r="A2959" s="34"/>
    </row>
    <row r="2960" spans="1:1" ht="15.75" customHeight="1">
      <c r="A2960" s="34"/>
    </row>
    <row r="2961" spans="1:1" ht="15.75" customHeight="1">
      <c r="A2961" s="34"/>
    </row>
    <row r="2962" spans="1:1" ht="15.75" customHeight="1">
      <c r="A2962" s="34"/>
    </row>
    <row r="2963" spans="1:1" ht="15.75" customHeight="1">
      <c r="A2963" s="34"/>
    </row>
    <row r="2964" spans="1:1" ht="15.75" customHeight="1">
      <c r="A2964" s="34"/>
    </row>
    <row r="2965" spans="1:1" ht="15.75" customHeight="1">
      <c r="A2965" s="34"/>
    </row>
    <row r="2966" spans="1:1" ht="15.75" customHeight="1">
      <c r="A2966" s="34"/>
    </row>
    <row r="2967" spans="1:1" ht="15.75" customHeight="1">
      <c r="A2967" s="34"/>
    </row>
    <row r="2968" spans="1:1" ht="15.75" customHeight="1">
      <c r="A2968" s="34"/>
    </row>
    <row r="2969" spans="1:1" ht="15.75" customHeight="1">
      <c r="A2969" s="34"/>
    </row>
    <row r="2970" spans="1:1" ht="15.75" customHeight="1">
      <c r="A2970" s="34"/>
    </row>
    <row r="2971" spans="1:1" ht="15.75" customHeight="1">
      <c r="A2971" s="34"/>
    </row>
    <row r="2972" spans="1:1" ht="15.75" customHeight="1">
      <c r="A2972" s="34"/>
    </row>
    <row r="2973" spans="1:1" ht="15.75" customHeight="1">
      <c r="A2973" s="34"/>
    </row>
    <row r="2974" spans="1:1" ht="15.75" customHeight="1">
      <c r="A2974" s="34"/>
    </row>
    <row r="2975" spans="1:1" ht="15.75" customHeight="1">
      <c r="A2975" s="34"/>
    </row>
    <row r="2976" spans="1:1" ht="15.75" customHeight="1">
      <c r="A2976" s="34"/>
    </row>
    <row r="2977" spans="1:1" ht="15.75" customHeight="1">
      <c r="A2977" s="34"/>
    </row>
    <row r="2978" spans="1:1" ht="15.75" customHeight="1">
      <c r="A2978" s="34"/>
    </row>
    <row r="2979" spans="1:1" ht="15.75" customHeight="1">
      <c r="A2979" s="34"/>
    </row>
    <row r="2980" spans="1:1" ht="15.75" customHeight="1">
      <c r="A2980" s="34"/>
    </row>
    <row r="2981" spans="1:1" ht="15.75" customHeight="1">
      <c r="A2981" s="34"/>
    </row>
    <row r="2982" spans="1:1" ht="15.75" customHeight="1">
      <c r="A2982" s="34"/>
    </row>
    <row r="2983" spans="1:1" ht="15.75" customHeight="1">
      <c r="A2983" s="34"/>
    </row>
    <row r="2984" spans="1:1" ht="15.75" customHeight="1">
      <c r="A2984" s="34"/>
    </row>
    <row r="2985" spans="1:1" ht="15.75" customHeight="1">
      <c r="A2985" s="34"/>
    </row>
    <row r="2986" spans="1:1" ht="15.75" customHeight="1">
      <c r="A2986" s="34"/>
    </row>
    <row r="2987" spans="1:1" ht="15.75" customHeight="1">
      <c r="A2987" s="34"/>
    </row>
    <row r="2988" spans="1:1" ht="15.75" customHeight="1">
      <c r="A2988" s="34"/>
    </row>
    <row r="2989" spans="1:1" ht="15.75" customHeight="1">
      <c r="A2989" s="34"/>
    </row>
    <row r="2990" spans="1:1" ht="15.75" customHeight="1">
      <c r="A2990" s="34"/>
    </row>
    <row r="2991" spans="1:1" ht="15.75" customHeight="1">
      <c r="A2991" s="34"/>
    </row>
    <row r="2992" spans="1:1" ht="15.75" customHeight="1">
      <c r="A2992" s="34"/>
    </row>
    <row r="2993" spans="1:1" ht="15.75" customHeight="1">
      <c r="A2993" s="34"/>
    </row>
    <row r="2994" spans="1:1" ht="15.75" customHeight="1">
      <c r="A2994" s="34"/>
    </row>
    <row r="2995" spans="1:1" ht="15.75" customHeight="1">
      <c r="A2995" s="34"/>
    </row>
    <row r="2996" spans="1:1" ht="15.75" customHeight="1">
      <c r="A2996" s="34"/>
    </row>
    <row r="2997" spans="1:1" ht="15.75" customHeight="1">
      <c r="A2997" s="34"/>
    </row>
    <row r="2998" spans="1:1" ht="15.75" customHeight="1">
      <c r="A2998" s="34"/>
    </row>
    <row r="2999" spans="1:1" ht="15.75" customHeight="1">
      <c r="A2999" s="34"/>
    </row>
    <row r="3000" spans="1:1" ht="15.75" customHeight="1">
      <c r="A3000" s="34"/>
    </row>
    <row r="3001" spans="1:1" ht="15.75" customHeight="1">
      <c r="A3001" s="34"/>
    </row>
    <row r="3002" spans="1:1" ht="15.75" customHeight="1">
      <c r="A3002" s="34"/>
    </row>
    <row r="3003" spans="1:1" ht="15.75" customHeight="1">
      <c r="A3003" s="34"/>
    </row>
    <row r="3004" spans="1:1" ht="15.75" customHeight="1">
      <c r="A3004" s="34"/>
    </row>
    <row r="3005" spans="1:1" ht="15.75" customHeight="1">
      <c r="A3005" s="34"/>
    </row>
    <row r="3006" spans="1:1" ht="15.75" customHeight="1">
      <c r="A3006" s="34"/>
    </row>
    <row r="3007" spans="1:1" ht="15.75" customHeight="1">
      <c r="A3007" s="34"/>
    </row>
    <row r="3008" spans="1:1" ht="15.75" customHeight="1">
      <c r="A3008" s="34"/>
    </row>
    <row r="3009" spans="1:1" ht="15.75" customHeight="1">
      <c r="A3009" s="34"/>
    </row>
    <row r="3010" spans="1:1" ht="15.75" customHeight="1">
      <c r="A3010" s="34"/>
    </row>
    <row r="3011" spans="1:1" ht="15.75" customHeight="1">
      <c r="A3011" s="34"/>
    </row>
    <row r="3012" spans="1:1" ht="15.75" customHeight="1">
      <c r="A3012" s="34"/>
    </row>
    <row r="3013" spans="1:1" ht="15.75" customHeight="1">
      <c r="A3013" s="34"/>
    </row>
    <row r="3014" spans="1:1" ht="15.75" customHeight="1">
      <c r="A3014" s="34"/>
    </row>
    <row r="3015" spans="1:1" ht="15.75" customHeight="1">
      <c r="A3015" s="34"/>
    </row>
    <row r="3016" spans="1:1" ht="15.75" customHeight="1">
      <c r="A3016" s="34"/>
    </row>
    <row r="3017" spans="1:1" ht="15.75" customHeight="1">
      <c r="A3017" s="34"/>
    </row>
    <row r="3018" spans="1:1" ht="15.75" customHeight="1">
      <c r="A3018" s="34"/>
    </row>
    <row r="3019" spans="1:1" ht="15.75" customHeight="1">
      <c r="A3019" s="34"/>
    </row>
    <row r="3020" spans="1:1" ht="15.75" customHeight="1">
      <c r="A3020" s="34"/>
    </row>
    <row r="3021" spans="1:1" ht="15.75" customHeight="1">
      <c r="A3021" s="34"/>
    </row>
    <row r="3022" spans="1:1" ht="15.75" customHeight="1">
      <c r="A3022" s="34"/>
    </row>
    <row r="3023" spans="1:1" ht="15.75" customHeight="1">
      <c r="A3023" s="34"/>
    </row>
    <row r="3024" spans="1:1" ht="15.75" customHeight="1">
      <c r="A3024" s="34"/>
    </row>
    <row r="3025" spans="1:1" ht="15.75" customHeight="1">
      <c r="A3025" s="34"/>
    </row>
    <row r="3026" spans="1:1" ht="15.75" customHeight="1">
      <c r="A3026" s="34"/>
    </row>
    <row r="3027" spans="1:1" ht="15.75" customHeight="1">
      <c r="A3027" s="34"/>
    </row>
    <row r="3028" spans="1:1" ht="15.75" customHeight="1">
      <c r="A3028" s="34"/>
    </row>
    <row r="3029" spans="1:1" ht="15.75" customHeight="1">
      <c r="A3029" s="34"/>
    </row>
    <row r="3030" spans="1:1" ht="15.75" customHeight="1">
      <c r="A3030" s="34"/>
    </row>
    <row r="3031" spans="1:1" ht="15.75" customHeight="1">
      <c r="A3031" s="34"/>
    </row>
    <row r="3032" spans="1:1" ht="15.75" customHeight="1">
      <c r="A3032" s="34"/>
    </row>
    <row r="3033" spans="1:1" ht="15.75" customHeight="1">
      <c r="A3033" s="34"/>
    </row>
    <row r="3034" spans="1:1" ht="15.75" customHeight="1">
      <c r="A3034" s="34"/>
    </row>
    <row r="3035" spans="1:1" ht="15.75" customHeight="1">
      <c r="A3035" s="34"/>
    </row>
    <row r="3036" spans="1:1" ht="15.75" customHeight="1">
      <c r="A3036" s="34"/>
    </row>
    <row r="3037" spans="1:1" ht="15.75" customHeight="1">
      <c r="A3037" s="34"/>
    </row>
    <row r="3038" spans="1:1" ht="15.75" customHeight="1">
      <c r="A3038" s="34"/>
    </row>
    <row r="3039" spans="1:1" ht="15.75" customHeight="1">
      <c r="A3039" s="34"/>
    </row>
    <row r="3040" spans="1:1" ht="15.75" customHeight="1">
      <c r="A3040" s="34"/>
    </row>
    <row r="3041" spans="1:1" ht="15.75" customHeight="1">
      <c r="A3041" s="34"/>
    </row>
    <row r="3042" spans="1:1" ht="15.75" customHeight="1">
      <c r="A3042" s="34"/>
    </row>
    <row r="3043" spans="1:1" ht="15.75" customHeight="1">
      <c r="A3043" s="34"/>
    </row>
    <row r="3044" spans="1:1" ht="15.75" customHeight="1">
      <c r="A3044" s="34"/>
    </row>
    <row r="3045" spans="1:1" ht="15.75" customHeight="1">
      <c r="A3045" s="34"/>
    </row>
    <row r="3046" spans="1:1" ht="15.75" customHeight="1">
      <c r="A3046" s="34"/>
    </row>
    <row r="3047" spans="1:1" ht="15.75" customHeight="1">
      <c r="A3047" s="34"/>
    </row>
    <row r="3048" spans="1:1" ht="15.75" customHeight="1">
      <c r="A3048" s="34"/>
    </row>
    <row r="3049" spans="1:1" ht="15.75" customHeight="1">
      <c r="A3049" s="34"/>
    </row>
    <row r="3050" spans="1:1" ht="15.75" customHeight="1">
      <c r="A3050" s="34"/>
    </row>
    <row r="3051" spans="1:1" ht="15.75" customHeight="1">
      <c r="A3051" s="34"/>
    </row>
    <row r="3052" spans="1:1" ht="15.75" customHeight="1">
      <c r="A3052" s="34"/>
    </row>
    <row r="3053" spans="1:1" ht="15.75" customHeight="1">
      <c r="A3053" s="34"/>
    </row>
    <row r="3054" spans="1:1" ht="15.75" customHeight="1">
      <c r="A3054" s="34"/>
    </row>
    <row r="3055" spans="1:1" ht="15.75" customHeight="1">
      <c r="A3055" s="34"/>
    </row>
    <row r="3056" spans="1:1" ht="15.75" customHeight="1">
      <c r="A3056" s="34"/>
    </row>
    <row r="3057" spans="1:1" ht="15.75" customHeight="1">
      <c r="A3057" s="34"/>
    </row>
    <row r="3058" spans="1:1" ht="15.75" customHeight="1">
      <c r="A3058" s="34"/>
    </row>
    <row r="3059" spans="1:1" ht="15.75" customHeight="1">
      <c r="A3059" s="34"/>
    </row>
    <row r="3060" spans="1:1" ht="15.75" customHeight="1">
      <c r="A3060" s="34"/>
    </row>
    <row r="3061" spans="1:1" ht="15.75" customHeight="1">
      <c r="A3061" s="34"/>
    </row>
    <row r="3062" spans="1:1" ht="15.75" customHeight="1">
      <c r="A3062" s="34"/>
    </row>
    <row r="3063" spans="1:1" ht="15.75" customHeight="1">
      <c r="A3063" s="34"/>
    </row>
    <row r="3064" spans="1:1" ht="15.75" customHeight="1">
      <c r="A3064" s="34"/>
    </row>
    <row r="3065" spans="1:1" ht="15.75" customHeight="1">
      <c r="A3065" s="34"/>
    </row>
    <row r="3066" spans="1:1" ht="15.75" customHeight="1">
      <c r="A3066" s="34"/>
    </row>
    <row r="3067" spans="1:1" ht="15.75" customHeight="1">
      <c r="A3067" s="34"/>
    </row>
    <row r="3068" spans="1:1" ht="15.75" customHeight="1">
      <c r="A3068" s="34"/>
    </row>
    <row r="3069" spans="1:1" ht="15.75" customHeight="1">
      <c r="A3069" s="34"/>
    </row>
    <row r="3070" spans="1:1" ht="15.75" customHeight="1">
      <c r="A3070" s="34"/>
    </row>
    <row r="3071" spans="1:1" ht="15.75" customHeight="1">
      <c r="A3071" s="34"/>
    </row>
    <row r="3072" spans="1:1" ht="15.75" customHeight="1">
      <c r="A3072" s="34"/>
    </row>
    <row r="3073" spans="1:1" ht="15.75" customHeight="1">
      <c r="A3073" s="34"/>
    </row>
    <row r="3074" spans="1:1" ht="15.75" customHeight="1">
      <c r="A3074" s="34"/>
    </row>
    <row r="3075" spans="1:1" ht="15.75" customHeight="1">
      <c r="A3075" s="34"/>
    </row>
    <row r="3076" spans="1:1" ht="15.75" customHeight="1">
      <c r="A3076" s="34"/>
    </row>
    <row r="3077" spans="1:1" ht="15.75" customHeight="1">
      <c r="A3077" s="34"/>
    </row>
    <row r="3078" spans="1:1" ht="15.75" customHeight="1">
      <c r="A3078" s="34"/>
    </row>
    <row r="3079" spans="1:1" ht="15.75" customHeight="1">
      <c r="A3079" s="34"/>
    </row>
    <row r="3080" spans="1:1" ht="15.75" customHeight="1">
      <c r="A3080" s="34"/>
    </row>
    <row r="3081" spans="1:1" ht="15.75" customHeight="1">
      <c r="A3081" s="34"/>
    </row>
    <row r="3082" spans="1:1" ht="15.75" customHeight="1">
      <c r="A3082" s="34"/>
    </row>
    <row r="3083" spans="1:1" ht="15.75" customHeight="1">
      <c r="A3083" s="34"/>
    </row>
    <row r="3084" spans="1:1" ht="15.75" customHeight="1">
      <c r="A3084" s="34"/>
    </row>
    <row r="3085" spans="1:1" ht="15.75" customHeight="1">
      <c r="A3085" s="34"/>
    </row>
    <row r="3086" spans="1:1" ht="15.75" customHeight="1">
      <c r="A3086" s="34"/>
    </row>
    <row r="3087" spans="1:1" ht="15.75" customHeight="1">
      <c r="A3087" s="34"/>
    </row>
    <row r="3088" spans="1:1" ht="15.75" customHeight="1">
      <c r="A3088" s="34"/>
    </row>
    <row r="3089" spans="1:1" ht="15.75" customHeight="1">
      <c r="A3089" s="34"/>
    </row>
    <row r="3090" spans="1:1" ht="15.75" customHeight="1">
      <c r="A3090" s="34"/>
    </row>
    <row r="3091" spans="1:1" ht="15.75" customHeight="1">
      <c r="A3091" s="34"/>
    </row>
    <row r="3092" spans="1:1" ht="15.75" customHeight="1">
      <c r="A3092" s="34"/>
    </row>
    <row r="3093" spans="1:1" ht="15.75" customHeight="1">
      <c r="A3093" s="34"/>
    </row>
    <row r="3094" spans="1:1" ht="15.75" customHeight="1">
      <c r="A3094" s="34"/>
    </row>
    <row r="3095" spans="1:1" ht="15.75" customHeight="1">
      <c r="A3095" s="34"/>
    </row>
    <row r="3096" spans="1:1" ht="15.75" customHeight="1">
      <c r="A3096" s="34"/>
    </row>
    <row r="3097" spans="1:1" ht="15.75" customHeight="1">
      <c r="A3097" s="34"/>
    </row>
    <row r="3098" spans="1:1" ht="15.75" customHeight="1">
      <c r="A3098" s="34"/>
    </row>
    <row r="3099" spans="1:1" ht="15.75" customHeight="1">
      <c r="A3099" s="34"/>
    </row>
    <row r="3100" spans="1:1" ht="15.75" customHeight="1">
      <c r="A3100" s="34"/>
    </row>
    <row r="3101" spans="1:1" ht="15.75" customHeight="1">
      <c r="A3101" s="34"/>
    </row>
    <row r="3102" spans="1:1" ht="15.75" customHeight="1">
      <c r="A3102" s="34"/>
    </row>
    <row r="3103" spans="1:1" ht="15.75" customHeight="1">
      <c r="A3103" s="34"/>
    </row>
    <row r="3104" spans="1:1" ht="15.75" customHeight="1">
      <c r="A3104" s="34"/>
    </row>
    <row r="3105" spans="1:1" ht="15.75" customHeight="1">
      <c r="A3105" s="34"/>
    </row>
    <row r="3106" spans="1:1" ht="15.75" customHeight="1">
      <c r="A3106" s="34"/>
    </row>
    <row r="3107" spans="1:1" ht="15.75" customHeight="1">
      <c r="A3107" s="34"/>
    </row>
    <row r="3108" spans="1:1" ht="15.75" customHeight="1">
      <c r="A3108" s="34"/>
    </row>
    <row r="3109" spans="1:1" ht="15.75" customHeight="1">
      <c r="A3109" s="34"/>
    </row>
    <row r="3110" spans="1:1" ht="15.75" customHeight="1">
      <c r="A3110" s="34"/>
    </row>
    <row r="3111" spans="1:1" ht="15.75" customHeight="1">
      <c r="A3111" s="34"/>
    </row>
    <row r="3112" spans="1:1" ht="15.75" customHeight="1">
      <c r="A3112" s="34"/>
    </row>
    <row r="3113" spans="1:1" ht="15.75" customHeight="1">
      <c r="A3113" s="34"/>
    </row>
    <row r="3114" spans="1:1" ht="15.75" customHeight="1">
      <c r="A3114" s="34"/>
    </row>
    <row r="3115" spans="1:1" ht="15.75" customHeight="1">
      <c r="A3115" s="34"/>
    </row>
    <row r="3116" spans="1:1" ht="15.75" customHeight="1">
      <c r="A3116" s="34"/>
    </row>
    <row r="3117" spans="1:1" ht="15.75" customHeight="1">
      <c r="A3117" s="34"/>
    </row>
    <row r="3118" spans="1:1" ht="15.75" customHeight="1">
      <c r="A3118" s="34"/>
    </row>
    <row r="3119" spans="1:1" ht="15.75" customHeight="1">
      <c r="A3119" s="34"/>
    </row>
    <row r="3120" spans="1:1" ht="15.75" customHeight="1">
      <c r="A3120" s="34"/>
    </row>
    <row r="3121" spans="1:1" ht="15.75" customHeight="1">
      <c r="A3121" s="34"/>
    </row>
    <row r="3122" spans="1:1" ht="15.75" customHeight="1">
      <c r="A3122" s="34"/>
    </row>
    <row r="3123" spans="1:1" ht="15.75" customHeight="1">
      <c r="A3123" s="34"/>
    </row>
    <row r="3124" spans="1:1" ht="15.75" customHeight="1">
      <c r="A3124" s="34"/>
    </row>
    <row r="3125" spans="1:1" ht="15.75" customHeight="1">
      <c r="A3125" s="34"/>
    </row>
    <row r="3126" spans="1:1" ht="15.75" customHeight="1">
      <c r="A3126" s="34"/>
    </row>
    <row r="3127" spans="1:1" ht="15.75" customHeight="1">
      <c r="A3127" s="34"/>
    </row>
    <row r="3128" spans="1:1" ht="15.75" customHeight="1">
      <c r="A3128" s="34"/>
    </row>
    <row r="3129" spans="1:1" ht="15.75" customHeight="1">
      <c r="A3129" s="34"/>
    </row>
    <row r="3130" spans="1:1" ht="15.75" customHeight="1">
      <c r="A3130" s="34"/>
    </row>
    <row r="3131" spans="1:1" ht="15.75" customHeight="1">
      <c r="A3131" s="34"/>
    </row>
    <row r="3132" spans="1:1" ht="15.75" customHeight="1">
      <c r="A3132" s="34"/>
    </row>
    <row r="3133" spans="1:1" ht="15.75" customHeight="1">
      <c r="A3133" s="34"/>
    </row>
    <row r="3134" spans="1:1" ht="15.75" customHeight="1">
      <c r="A3134" s="34"/>
    </row>
    <row r="3135" spans="1:1" ht="15.75" customHeight="1">
      <c r="A3135" s="34"/>
    </row>
    <row r="3136" spans="1:1" ht="15.75" customHeight="1">
      <c r="A3136" s="34"/>
    </row>
    <row r="3137" spans="1:1" ht="15.75" customHeight="1">
      <c r="A3137" s="34"/>
    </row>
    <row r="3138" spans="1:1" ht="15.75" customHeight="1">
      <c r="A3138" s="34"/>
    </row>
    <row r="3139" spans="1:1" ht="15.75" customHeight="1">
      <c r="A3139" s="34"/>
    </row>
    <row r="3140" spans="1:1" ht="15.75" customHeight="1">
      <c r="A3140" s="34"/>
    </row>
    <row r="3141" spans="1:1" ht="15.75" customHeight="1">
      <c r="A3141" s="34"/>
    </row>
    <row r="3142" spans="1:1" ht="15.75" customHeight="1">
      <c r="A3142" s="34"/>
    </row>
    <row r="3143" spans="1:1" ht="15.75" customHeight="1">
      <c r="A3143" s="34"/>
    </row>
    <row r="3144" spans="1:1" ht="15.75" customHeight="1">
      <c r="A3144" s="34"/>
    </row>
    <row r="3145" spans="1:1" ht="15.75" customHeight="1">
      <c r="A3145" s="34"/>
    </row>
    <row r="3146" spans="1:1" ht="15.75" customHeight="1">
      <c r="A3146" s="34"/>
    </row>
    <row r="3147" spans="1:1" ht="15.75" customHeight="1">
      <c r="A3147" s="34"/>
    </row>
    <row r="3148" spans="1:1" ht="15.75" customHeight="1">
      <c r="A3148" s="34"/>
    </row>
    <row r="3149" spans="1:1" ht="15.75" customHeight="1">
      <c r="A3149" s="34"/>
    </row>
    <row r="3150" spans="1:1" ht="15.75" customHeight="1">
      <c r="A3150" s="34"/>
    </row>
    <row r="3151" spans="1:1" ht="15.75" customHeight="1">
      <c r="A3151" s="34"/>
    </row>
    <row r="3152" spans="1:1" ht="15.75" customHeight="1">
      <c r="A3152" s="34"/>
    </row>
    <row r="3153" spans="1:1" ht="15.75" customHeight="1">
      <c r="A3153" s="34"/>
    </row>
    <row r="3154" spans="1:1" ht="15.75" customHeight="1">
      <c r="A3154" s="34"/>
    </row>
    <row r="3155" spans="1:1" ht="15.75" customHeight="1">
      <c r="A3155" s="34"/>
    </row>
    <row r="3156" spans="1:1" ht="15.75" customHeight="1">
      <c r="A3156" s="34"/>
    </row>
    <row r="3157" spans="1:1" ht="15.75" customHeight="1">
      <c r="A3157" s="34"/>
    </row>
    <row r="3158" spans="1:1" ht="15.75" customHeight="1">
      <c r="A3158" s="34"/>
    </row>
    <row r="3159" spans="1:1" ht="15.75" customHeight="1">
      <c r="A3159" s="34"/>
    </row>
    <row r="3160" spans="1:1" ht="15.75" customHeight="1">
      <c r="A3160" s="34"/>
    </row>
    <row r="3161" spans="1:1" ht="15.75" customHeight="1">
      <c r="A3161" s="34"/>
    </row>
    <row r="3162" spans="1:1" ht="15.75" customHeight="1">
      <c r="A3162" s="34"/>
    </row>
    <row r="3163" spans="1:1" ht="15.75" customHeight="1">
      <c r="A3163" s="34"/>
    </row>
    <row r="3164" spans="1:1" ht="15.75" customHeight="1">
      <c r="A3164" s="34"/>
    </row>
    <row r="3165" spans="1:1" ht="15.75" customHeight="1">
      <c r="A3165" s="34"/>
    </row>
    <row r="3166" spans="1:1" ht="15.75" customHeight="1">
      <c r="A3166" s="34"/>
    </row>
    <row r="3167" spans="1:1" ht="15.75" customHeight="1">
      <c r="A3167" s="34"/>
    </row>
    <row r="3168" spans="1:1" ht="15.75" customHeight="1">
      <c r="A3168" s="34"/>
    </row>
    <row r="3169" spans="1:1" ht="15.75" customHeight="1">
      <c r="A3169" s="34"/>
    </row>
    <row r="3170" spans="1:1" ht="15.75" customHeight="1">
      <c r="A3170" s="34"/>
    </row>
    <row r="3171" spans="1:1" ht="15.75" customHeight="1">
      <c r="A3171" s="34"/>
    </row>
    <row r="3172" spans="1:1" ht="15.75" customHeight="1">
      <c r="A3172" s="34"/>
    </row>
    <row r="3173" spans="1:1" ht="15.75" customHeight="1">
      <c r="A3173" s="34"/>
    </row>
    <row r="3174" spans="1:1" ht="15.75" customHeight="1">
      <c r="A3174" s="34"/>
    </row>
    <row r="3175" spans="1:1" ht="15.75" customHeight="1">
      <c r="A3175" s="34"/>
    </row>
    <row r="3176" spans="1:1" ht="15.75" customHeight="1">
      <c r="A3176" s="34"/>
    </row>
    <row r="3177" spans="1:1" ht="15.75" customHeight="1">
      <c r="A3177" s="34"/>
    </row>
    <row r="3178" spans="1:1" ht="15.75" customHeight="1">
      <c r="A3178" s="34"/>
    </row>
    <row r="3179" spans="1:1" ht="15.75" customHeight="1">
      <c r="A3179" s="34"/>
    </row>
    <row r="3180" spans="1:1" ht="15.75" customHeight="1">
      <c r="A3180" s="34"/>
    </row>
    <row r="3181" spans="1:1" ht="15.75" customHeight="1">
      <c r="A3181" s="34"/>
    </row>
    <row r="3182" spans="1:1" ht="15.75" customHeight="1">
      <c r="A3182" s="34"/>
    </row>
    <row r="3183" spans="1:1" ht="15.75" customHeight="1">
      <c r="A3183" s="34"/>
    </row>
    <row r="3184" spans="1:1" ht="15.75" customHeight="1">
      <c r="A3184" s="34"/>
    </row>
    <row r="3185" spans="1:1" ht="15.75" customHeight="1">
      <c r="A3185" s="34"/>
    </row>
    <row r="3186" spans="1:1" ht="15.75" customHeight="1">
      <c r="A3186" s="34"/>
    </row>
    <row r="3187" spans="1:1" ht="15.75" customHeight="1">
      <c r="A3187" s="34"/>
    </row>
    <row r="3188" spans="1:1" ht="15.75" customHeight="1">
      <c r="A3188" s="34"/>
    </row>
    <row r="3189" spans="1:1" ht="15.75" customHeight="1">
      <c r="A3189" s="34"/>
    </row>
    <row r="3190" spans="1:1" ht="15.75" customHeight="1">
      <c r="A3190" s="34"/>
    </row>
    <row r="3191" spans="1:1" ht="15.75" customHeight="1">
      <c r="A3191" s="34"/>
    </row>
    <row r="3192" spans="1:1" ht="15.75" customHeight="1">
      <c r="A3192" s="34"/>
    </row>
    <row r="3193" spans="1:1" ht="15.75" customHeight="1">
      <c r="A3193" s="34"/>
    </row>
    <row r="3194" spans="1:1" ht="15.75" customHeight="1">
      <c r="A3194" s="34"/>
    </row>
    <row r="3195" spans="1:1" ht="15.75" customHeight="1">
      <c r="A3195" s="34"/>
    </row>
    <row r="3196" spans="1:1" ht="15.75" customHeight="1">
      <c r="A3196" s="34"/>
    </row>
    <row r="3197" spans="1:1" ht="15.75" customHeight="1">
      <c r="A3197" s="34"/>
    </row>
    <row r="3198" spans="1:1" ht="15.75" customHeight="1">
      <c r="A3198" s="34"/>
    </row>
    <row r="3199" spans="1:1" ht="15.75" customHeight="1">
      <c r="A3199" s="34"/>
    </row>
    <row r="3200" spans="1:1" ht="15.75" customHeight="1">
      <c r="A3200" s="34"/>
    </row>
    <row r="3201" spans="1:1" ht="15.75" customHeight="1">
      <c r="A3201" s="34"/>
    </row>
    <row r="3202" spans="1:1" ht="15.75" customHeight="1">
      <c r="A3202" s="34"/>
    </row>
    <row r="3203" spans="1:1" ht="15.75" customHeight="1">
      <c r="A3203" s="34"/>
    </row>
    <row r="3204" spans="1:1" ht="15.75" customHeight="1">
      <c r="A3204" s="34"/>
    </row>
    <row r="3205" spans="1:1" ht="15.75" customHeight="1">
      <c r="A3205" s="34"/>
    </row>
    <row r="3206" spans="1:1" ht="15.75" customHeight="1">
      <c r="A3206" s="34"/>
    </row>
    <row r="3207" spans="1:1" ht="15.75" customHeight="1">
      <c r="A3207" s="34"/>
    </row>
    <row r="3208" spans="1:1" ht="15.75" customHeight="1">
      <c r="A3208" s="34"/>
    </row>
    <row r="3209" spans="1:1" ht="15.75" customHeight="1">
      <c r="A3209" s="34"/>
    </row>
    <row r="3210" spans="1:1" ht="15.75" customHeight="1">
      <c r="A3210" s="34"/>
    </row>
    <row r="3211" spans="1:1" ht="15.75" customHeight="1">
      <c r="A3211" s="34"/>
    </row>
    <row r="3212" spans="1:1" ht="15.75" customHeight="1">
      <c r="A3212" s="34"/>
    </row>
    <row r="3213" spans="1:1" ht="15.75" customHeight="1">
      <c r="A3213" s="34"/>
    </row>
    <row r="3214" spans="1:1" ht="15.75" customHeight="1">
      <c r="A3214" s="34"/>
    </row>
    <row r="3215" spans="1:1" ht="15.75" customHeight="1">
      <c r="A3215" s="34"/>
    </row>
    <row r="3216" spans="1:1" ht="15.75" customHeight="1">
      <c r="A3216" s="34"/>
    </row>
    <row r="3217" spans="1:1" ht="15.75" customHeight="1">
      <c r="A3217" s="34"/>
    </row>
    <row r="3218" spans="1:1" ht="15.75" customHeight="1">
      <c r="A3218" s="34"/>
    </row>
    <row r="3219" spans="1:1" ht="15.75" customHeight="1">
      <c r="A3219" s="34"/>
    </row>
    <row r="3220" spans="1:1" ht="15.75" customHeight="1">
      <c r="A3220" s="34"/>
    </row>
    <row r="3221" spans="1:1" ht="15.75" customHeight="1">
      <c r="A3221" s="34"/>
    </row>
    <row r="3222" spans="1:1" ht="15.75" customHeight="1">
      <c r="A3222" s="34"/>
    </row>
    <row r="3223" spans="1:1" ht="15.75" customHeight="1">
      <c r="A3223" s="34"/>
    </row>
    <row r="3224" spans="1:1" ht="15.75" customHeight="1">
      <c r="A3224" s="34"/>
    </row>
    <row r="3225" spans="1:1" ht="15.75" customHeight="1">
      <c r="A3225" s="34"/>
    </row>
    <row r="3226" spans="1:1" ht="15.75" customHeight="1">
      <c r="A3226" s="34"/>
    </row>
    <row r="3227" spans="1:1" ht="15.75" customHeight="1">
      <c r="A3227" s="34"/>
    </row>
    <row r="3228" spans="1:1" ht="15.75" customHeight="1">
      <c r="A3228" s="34"/>
    </row>
    <row r="3229" spans="1:1" ht="15.75" customHeight="1">
      <c r="A3229" s="34"/>
    </row>
    <row r="3230" spans="1:1" ht="15.75" customHeight="1">
      <c r="A3230" s="34"/>
    </row>
    <row r="3231" spans="1:1" ht="15.75" customHeight="1">
      <c r="A3231" s="34"/>
    </row>
    <row r="3232" spans="1:1" ht="15.75" customHeight="1">
      <c r="A3232" s="34"/>
    </row>
    <row r="3233" spans="1:1" ht="15.75" customHeight="1">
      <c r="A3233" s="34"/>
    </row>
    <row r="3234" spans="1:1" ht="15.75" customHeight="1">
      <c r="A3234" s="34"/>
    </row>
    <row r="3235" spans="1:1" ht="15.75" customHeight="1">
      <c r="A3235" s="34"/>
    </row>
    <row r="3236" spans="1:1" ht="15.75" customHeight="1">
      <c r="A3236" s="34"/>
    </row>
    <row r="3237" spans="1:1" ht="15.75" customHeight="1">
      <c r="A3237" s="34"/>
    </row>
    <row r="3238" spans="1:1" ht="15.75" customHeight="1">
      <c r="A3238" s="34"/>
    </row>
    <row r="3239" spans="1:1" ht="15.75" customHeight="1">
      <c r="A3239" s="34"/>
    </row>
    <row r="3240" spans="1:1" ht="15.75" customHeight="1">
      <c r="A3240" s="34"/>
    </row>
    <row r="3241" spans="1:1" ht="15.75" customHeight="1">
      <c r="A3241" s="34"/>
    </row>
    <row r="3242" spans="1:1" ht="15.75" customHeight="1">
      <c r="A3242" s="34"/>
    </row>
    <row r="3243" spans="1:1" ht="15.75" customHeight="1">
      <c r="A3243" s="34"/>
    </row>
    <row r="3244" spans="1:1" ht="15.75" customHeight="1">
      <c r="A3244" s="34"/>
    </row>
    <row r="3245" spans="1:1" ht="15.75" customHeight="1">
      <c r="A3245" s="34"/>
    </row>
    <row r="3246" spans="1:1" ht="15.75" customHeight="1">
      <c r="A3246" s="34"/>
    </row>
    <row r="3247" spans="1:1" ht="15.75" customHeight="1">
      <c r="A3247" s="34"/>
    </row>
    <row r="3248" spans="1:1" ht="15.75" customHeight="1">
      <c r="A3248" s="34"/>
    </row>
    <row r="3249" spans="1:1" ht="15.75" customHeight="1">
      <c r="A3249" s="34"/>
    </row>
    <row r="3250" spans="1:1" ht="15.75" customHeight="1">
      <c r="A3250" s="34"/>
    </row>
    <row r="3251" spans="1:1" ht="15.75" customHeight="1">
      <c r="A3251" s="34"/>
    </row>
    <row r="3252" spans="1:1" ht="15.75" customHeight="1">
      <c r="A3252" s="34"/>
    </row>
    <row r="3253" spans="1:1" ht="15.75" customHeight="1">
      <c r="A3253" s="34"/>
    </row>
    <row r="3254" spans="1:1" ht="15.75" customHeight="1">
      <c r="A3254" s="34"/>
    </row>
    <row r="3255" spans="1:1" ht="15.75" customHeight="1">
      <c r="A3255" s="34"/>
    </row>
    <row r="3256" spans="1:1" ht="15.75" customHeight="1">
      <c r="A3256" s="34"/>
    </row>
    <row r="3257" spans="1:1" ht="15.75" customHeight="1">
      <c r="A3257" s="34"/>
    </row>
    <row r="3258" spans="1:1" ht="15.75" customHeight="1">
      <c r="A3258" s="34"/>
    </row>
    <row r="3259" spans="1:1" ht="15.75" customHeight="1">
      <c r="A3259" s="34"/>
    </row>
    <row r="3260" spans="1:1" ht="15.75" customHeight="1">
      <c r="A3260" s="34"/>
    </row>
    <row r="3261" spans="1:1" ht="15.75" customHeight="1">
      <c r="A3261" s="34"/>
    </row>
    <row r="3262" spans="1:1" ht="15.75" customHeight="1">
      <c r="A3262" s="34"/>
    </row>
    <row r="3263" spans="1:1" ht="15.75" customHeight="1">
      <c r="A3263" s="34"/>
    </row>
    <row r="3264" spans="1:1" ht="15.75" customHeight="1">
      <c r="A3264" s="34"/>
    </row>
    <row r="3265" spans="1:1" ht="15.75" customHeight="1">
      <c r="A3265" s="34"/>
    </row>
    <row r="3266" spans="1:1" ht="15.75" customHeight="1">
      <c r="A3266" s="34"/>
    </row>
    <row r="3267" spans="1:1" ht="15.75" customHeight="1">
      <c r="A3267" s="34"/>
    </row>
    <row r="3268" spans="1:1" ht="15.75" customHeight="1">
      <c r="A3268" s="34"/>
    </row>
    <row r="3269" spans="1:1" ht="15.75" customHeight="1">
      <c r="A3269" s="34"/>
    </row>
    <row r="3270" spans="1:1" ht="15.75" customHeight="1">
      <c r="A3270" s="34"/>
    </row>
    <row r="3271" spans="1:1" ht="15.75" customHeight="1">
      <c r="A3271" s="34"/>
    </row>
    <row r="3272" spans="1:1" ht="15.75" customHeight="1">
      <c r="A3272" s="34"/>
    </row>
    <row r="3273" spans="1:1" ht="15.75" customHeight="1">
      <c r="A3273" s="34"/>
    </row>
    <row r="3274" spans="1:1" ht="15.75" customHeight="1">
      <c r="A3274" s="34"/>
    </row>
    <row r="3275" spans="1:1" ht="15.75" customHeight="1">
      <c r="A3275" s="34"/>
    </row>
    <row r="3276" spans="1:1" ht="15.75" customHeight="1">
      <c r="A3276" s="34"/>
    </row>
    <row r="3277" spans="1:1" ht="15.75" customHeight="1">
      <c r="A3277" s="34"/>
    </row>
    <row r="3278" spans="1:1" ht="15.75" customHeight="1">
      <c r="A3278" s="34"/>
    </row>
    <row r="3279" spans="1:1" ht="15.75" customHeight="1">
      <c r="A3279" s="34"/>
    </row>
    <row r="3280" spans="1:1" ht="15.75" customHeight="1">
      <c r="A3280" s="34"/>
    </row>
    <row r="3281" spans="1:1" ht="15.75" customHeight="1">
      <c r="A3281" s="34"/>
    </row>
    <row r="3282" spans="1:1" ht="15.75" customHeight="1">
      <c r="A3282" s="34"/>
    </row>
    <row r="3283" spans="1:1" ht="15.75" customHeight="1">
      <c r="A3283" s="34"/>
    </row>
    <row r="3284" spans="1:1" ht="15.75" customHeight="1">
      <c r="A3284" s="34"/>
    </row>
    <row r="3285" spans="1:1" ht="15.75" customHeight="1">
      <c r="A3285" s="34"/>
    </row>
    <row r="3286" spans="1:1" ht="15.75" customHeight="1">
      <c r="A3286" s="34"/>
    </row>
    <row r="3287" spans="1:1" ht="15.75" customHeight="1">
      <c r="A3287" s="34"/>
    </row>
    <row r="3288" spans="1:1" ht="15.75" customHeight="1">
      <c r="A3288" s="34"/>
    </row>
    <row r="3289" spans="1:1" ht="15.75" customHeight="1">
      <c r="A3289" s="34"/>
    </row>
    <row r="3290" spans="1:1" ht="15.75" customHeight="1">
      <c r="A3290" s="34"/>
    </row>
    <row r="3291" spans="1:1" ht="15.75" customHeight="1">
      <c r="A3291" s="34"/>
    </row>
    <row r="3292" spans="1:1" ht="15.75" customHeight="1">
      <c r="A3292" s="34"/>
    </row>
    <row r="3293" spans="1:1" ht="15.75" customHeight="1">
      <c r="A3293" s="34"/>
    </row>
    <row r="3294" spans="1:1" ht="15.75" customHeight="1">
      <c r="A3294" s="34"/>
    </row>
    <row r="3295" spans="1:1" ht="15.75" customHeight="1">
      <c r="A3295" s="34"/>
    </row>
    <row r="3296" spans="1:1" ht="15.75" customHeight="1">
      <c r="A3296" s="34"/>
    </row>
    <row r="3297" spans="1:1" ht="15.75" customHeight="1">
      <c r="A3297" s="34"/>
    </row>
    <row r="3298" spans="1:1" ht="15.75" customHeight="1">
      <c r="A3298" s="34"/>
    </row>
    <row r="3299" spans="1:1" ht="15.75" customHeight="1">
      <c r="A3299" s="34"/>
    </row>
    <row r="3300" spans="1:1" ht="15.75" customHeight="1">
      <c r="A3300" s="34"/>
    </row>
    <row r="3301" spans="1:1" ht="15.75" customHeight="1">
      <c r="A3301" s="34"/>
    </row>
    <row r="3302" spans="1:1" ht="15.75" customHeight="1">
      <c r="A3302" s="34"/>
    </row>
    <row r="3303" spans="1:1" ht="15.75" customHeight="1">
      <c r="A3303" s="34"/>
    </row>
    <row r="3304" spans="1:1" ht="15.75" customHeight="1">
      <c r="A3304" s="34"/>
    </row>
    <row r="3305" spans="1:1" ht="15.75" customHeight="1">
      <c r="A3305" s="34"/>
    </row>
    <row r="3306" spans="1:1" ht="15.75" customHeight="1">
      <c r="A3306" s="34"/>
    </row>
    <row r="3307" spans="1:1" ht="15.75" customHeight="1">
      <c r="A3307" s="34"/>
    </row>
    <row r="3308" spans="1:1" ht="15.75" customHeight="1">
      <c r="A3308" s="34"/>
    </row>
    <row r="3309" spans="1:1" ht="15.75" customHeight="1">
      <c r="A3309" s="34"/>
    </row>
    <row r="3310" spans="1:1" ht="15.75" customHeight="1">
      <c r="A3310" s="34"/>
    </row>
    <row r="3311" spans="1:1" ht="15.75" customHeight="1">
      <c r="A3311" s="34"/>
    </row>
    <row r="3312" spans="1:1" ht="15.75" customHeight="1">
      <c r="A3312" s="34"/>
    </row>
    <row r="3313" spans="1:1" ht="15.75" customHeight="1">
      <c r="A3313" s="34"/>
    </row>
    <row r="3314" spans="1:1" ht="15.75" customHeight="1">
      <c r="A3314" s="34"/>
    </row>
    <row r="3315" spans="1:1" ht="15.75" customHeight="1">
      <c r="A3315" s="34"/>
    </row>
    <row r="3316" spans="1:1" ht="15.75" customHeight="1">
      <c r="A3316" s="34"/>
    </row>
    <row r="3317" spans="1:1" ht="15.75" customHeight="1">
      <c r="A3317" s="34"/>
    </row>
    <row r="3318" spans="1:1" ht="15.75" customHeight="1">
      <c r="A3318" s="34"/>
    </row>
    <row r="3319" spans="1:1" ht="15.75" customHeight="1">
      <c r="A3319" s="34"/>
    </row>
    <row r="3320" spans="1:1" ht="15.75" customHeight="1">
      <c r="A3320" s="34"/>
    </row>
    <row r="3321" spans="1:1" ht="15.75" customHeight="1">
      <c r="A3321" s="34"/>
    </row>
    <row r="3322" spans="1:1" ht="15.75" customHeight="1">
      <c r="A3322" s="34"/>
    </row>
    <row r="3323" spans="1:1" ht="15.75" customHeight="1">
      <c r="A3323" s="34"/>
    </row>
    <row r="3324" spans="1:1" ht="15.75" customHeight="1">
      <c r="A3324" s="34"/>
    </row>
    <row r="3325" spans="1:1" ht="15.75" customHeight="1">
      <c r="A3325" s="34"/>
    </row>
    <row r="3326" spans="1:1" ht="15.75" customHeight="1">
      <c r="A3326" s="34"/>
    </row>
    <row r="3327" spans="1:1" ht="15.75" customHeight="1">
      <c r="A3327" s="34"/>
    </row>
    <row r="3328" spans="1:1" ht="15.75" customHeight="1">
      <c r="A3328" s="34"/>
    </row>
    <row r="3329" spans="1:1" ht="15.75" customHeight="1">
      <c r="A3329" s="34"/>
    </row>
    <row r="3330" spans="1:1" ht="15.75" customHeight="1">
      <c r="A3330" s="34"/>
    </row>
    <row r="3331" spans="1:1" ht="15.75" customHeight="1">
      <c r="A3331" s="34"/>
    </row>
    <row r="3332" spans="1:1" ht="15.75" customHeight="1">
      <c r="A3332" s="34"/>
    </row>
    <row r="3333" spans="1:1" ht="15.75" customHeight="1">
      <c r="A3333" s="34"/>
    </row>
    <row r="3334" spans="1:1" ht="15.75" customHeight="1">
      <c r="A3334" s="34"/>
    </row>
    <row r="3335" spans="1:1" ht="15.75" customHeight="1">
      <c r="A3335" s="34"/>
    </row>
    <row r="3336" spans="1:1" ht="15.75" customHeight="1">
      <c r="A3336" s="34"/>
    </row>
    <row r="3337" spans="1:1" ht="15.75" customHeight="1">
      <c r="A3337" s="34"/>
    </row>
    <row r="3338" spans="1:1" ht="15.75" customHeight="1">
      <c r="A3338" s="34"/>
    </row>
    <row r="3339" spans="1:1" ht="15.75" customHeight="1">
      <c r="A3339" s="34"/>
    </row>
    <row r="3340" spans="1:1" ht="15.75" customHeight="1">
      <c r="A3340" s="34"/>
    </row>
    <row r="3341" spans="1:1" ht="15.75" customHeight="1">
      <c r="A3341" s="34"/>
    </row>
    <row r="3342" spans="1:1" ht="15.75" customHeight="1">
      <c r="A3342" s="34"/>
    </row>
    <row r="3343" spans="1:1" ht="15.75" customHeight="1">
      <c r="A3343" s="34"/>
    </row>
    <row r="3344" spans="1:1" ht="15.75" customHeight="1">
      <c r="A3344" s="34"/>
    </row>
    <row r="3345" spans="1:1" ht="15.75" customHeight="1">
      <c r="A3345" s="34"/>
    </row>
    <row r="3346" spans="1:1" ht="15.75" customHeight="1">
      <c r="A3346" s="34"/>
    </row>
    <row r="3347" spans="1:1" ht="15.75" customHeight="1">
      <c r="A3347" s="34"/>
    </row>
    <row r="3348" spans="1:1" ht="15.75" customHeight="1">
      <c r="A3348" s="34"/>
    </row>
    <row r="3349" spans="1:1" ht="15.75" customHeight="1">
      <c r="A3349" s="34"/>
    </row>
    <row r="3350" spans="1:1" ht="15.75" customHeight="1">
      <c r="A3350" s="34"/>
    </row>
    <row r="3351" spans="1:1" ht="15.75" customHeight="1">
      <c r="A3351" s="34"/>
    </row>
    <row r="3352" spans="1:1" ht="15.75" customHeight="1">
      <c r="A3352" s="34"/>
    </row>
    <row r="3353" spans="1:1" ht="15.75" customHeight="1">
      <c r="A3353" s="34"/>
    </row>
    <row r="3354" spans="1:1" ht="15.75" customHeight="1">
      <c r="A3354" s="34"/>
    </row>
    <row r="3355" spans="1:1" ht="15.75" customHeight="1">
      <c r="A3355" s="34"/>
    </row>
    <row r="3356" spans="1:1" ht="15.75" customHeight="1">
      <c r="A3356" s="34"/>
    </row>
    <row r="3357" spans="1:1" ht="15.75" customHeight="1">
      <c r="A3357" s="34"/>
    </row>
    <row r="3358" spans="1:1" ht="15.75" customHeight="1">
      <c r="A3358" s="34"/>
    </row>
    <row r="3359" spans="1:1" ht="15.75" customHeight="1">
      <c r="A3359" s="34"/>
    </row>
    <row r="3360" spans="1:1" ht="15.75" customHeight="1">
      <c r="A3360" s="34"/>
    </row>
    <row r="3361" spans="1:1" ht="15.75" customHeight="1">
      <c r="A3361" s="34"/>
    </row>
    <row r="3362" spans="1:1" ht="15.75" customHeight="1">
      <c r="A3362" s="34"/>
    </row>
    <row r="3363" spans="1:1" ht="15.75" customHeight="1">
      <c r="A3363" s="34"/>
    </row>
    <row r="3364" spans="1:1" ht="15.75" customHeight="1">
      <c r="A3364" s="34"/>
    </row>
    <row r="3365" spans="1:1" ht="15.75" customHeight="1">
      <c r="A3365" s="34"/>
    </row>
    <row r="3366" spans="1:1" ht="15.75" customHeight="1">
      <c r="A3366" s="34"/>
    </row>
    <row r="3367" spans="1:1" ht="15.75" customHeight="1">
      <c r="A3367" s="34"/>
    </row>
    <row r="3368" spans="1:1" ht="15.75" customHeight="1">
      <c r="A3368" s="34"/>
    </row>
    <row r="3369" spans="1:1" ht="15.75" customHeight="1">
      <c r="A3369" s="34"/>
    </row>
    <row r="3370" spans="1:1" ht="15.75" customHeight="1">
      <c r="A3370" s="34"/>
    </row>
    <row r="3371" spans="1:1" ht="15.75" customHeight="1">
      <c r="A3371" s="34"/>
    </row>
    <row r="3372" spans="1:1" ht="15.75" customHeight="1">
      <c r="A3372" s="34"/>
    </row>
    <row r="3373" spans="1:1" ht="15.75" customHeight="1">
      <c r="A3373" s="34"/>
    </row>
    <row r="3374" spans="1:1" ht="15.75" customHeight="1">
      <c r="A3374" s="34"/>
    </row>
    <row r="3375" spans="1:1" ht="15.75" customHeight="1">
      <c r="A3375" s="34"/>
    </row>
    <row r="3376" spans="1:1" ht="15.75" customHeight="1">
      <c r="A3376" s="34"/>
    </row>
    <row r="3377" spans="1:1" ht="15.75" customHeight="1">
      <c r="A3377" s="34"/>
    </row>
    <row r="3378" spans="1:1" ht="15.75" customHeight="1">
      <c r="A3378" s="34"/>
    </row>
    <row r="3379" spans="1:1" ht="15.75" customHeight="1">
      <c r="A3379" s="34"/>
    </row>
    <row r="3380" spans="1:1" ht="15.75" customHeight="1">
      <c r="A3380" s="34"/>
    </row>
    <row r="3381" spans="1:1" ht="15.75" customHeight="1">
      <c r="A3381" s="34"/>
    </row>
    <row r="3382" spans="1:1" ht="15.75" customHeight="1">
      <c r="A3382" s="34"/>
    </row>
    <row r="3383" spans="1:1" ht="15.75" customHeight="1">
      <c r="A3383" s="34"/>
    </row>
    <row r="3384" spans="1:1" ht="15.75" customHeight="1">
      <c r="A3384" s="34"/>
    </row>
    <row r="3385" spans="1:1" ht="15.75" customHeight="1">
      <c r="A3385" s="34"/>
    </row>
    <row r="3386" spans="1:1" ht="15.75" customHeight="1">
      <c r="A3386" s="34"/>
    </row>
    <row r="3387" spans="1:1" ht="15.75" customHeight="1">
      <c r="A3387" s="34"/>
    </row>
    <row r="3388" spans="1:1" ht="15.75" customHeight="1">
      <c r="A3388" s="34"/>
    </row>
    <row r="3389" spans="1:1" ht="15.75" customHeight="1">
      <c r="A3389" s="34"/>
    </row>
    <row r="3390" spans="1:1" ht="15.75" customHeight="1">
      <c r="A3390" s="34"/>
    </row>
    <row r="3391" spans="1:1" ht="15.75" customHeight="1">
      <c r="A3391" s="34"/>
    </row>
    <row r="3392" spans="1:1" ht="15.75" customHeight="1">
      <c r="A3392" s="34"/>
    </row>
    <row r="3393" spans="1:1" ht="15.75" customHeight="1">
      <c r="A3393" s="34"/>
    </row>
    <row r="3394" spans="1:1" ht="15.75" customHeight="1">
      <c r="A3394" s="34"/>
    </row>
    <row r="3395" spans="1:1" ht="15.75" customHeight="1">
      <c r="A3395" s="34"/>
    </row>
    <row r="3396" spans="1:1" ht="15.75" customHeight="1">
      <c r="A3396" s="34"/>
    </row>
    <row r="3397" spans="1:1" ht="15.75" customHeight="1">
      <c r="A3397" s="34"/>
    </row>
    <row r="3398" spans="1:1" ht="15.75" customHeight="1">
      <c r="A3398" s="34"/>
    </row>
    <row r="3399" spans="1:1" ht="15.75" customHeight="1">
      <c r="A3399" s="34"/>
    </row>
    <row r="3400" spans="1:1" ht="15.75" customHeight="1">
      <c r="A3400" s="34"/>
    </row>
    <row r="3401" spans="1:1" ht="15.75" customHeight="1">
      <c r="A3401" s="34"/>
    </row>
    <row r="3402" spans="1:1" ht="15.75" customHeight="1">
      <c r="A3402" s="34"/>
    </row>
    <row r="3403" spans="1:1" ht="15.75" customHeight="1">
      <c r="A3403" s="34"/>
    </row>
    <row r="3404" spans="1:1" ht="15.75" customHeight="1">
      <c r="A3404" s="34"/>
    </row>
    <row r="3405" spans="1:1" ht="15.75" customHeight="1">
      <c r="A3405" s="34"/>
    </row>
    <row r="3406" spans="1:1" ht="15.75" customHeight="1">
      <c r="A3406" s="34"/>
    </row>
    <row r="3407" spans="1:1" ht="15.75" customHeight="1">
      <c r="A3407" s="34"/>
    </row>
    <row r="3408" spans="1:1" ht="15.75" customHeight="1">
      <c r="A3408" s="34"/>
    </row>
    <row r="3409" spans="1:1" ht="15.75" customHeight="1">
      <c r="A3409" s="34"/>
    </row>
    <row r="3410" spans="1:1" ht="15.75" customHeight="1">
      <c r="A3410" s="34"/>
    </row>
    <row r="3411" spans="1:1" ht="15.75" customHeight="1">
      <c r="A3411" s="34"/>
    </row>
    <row r="3412" spans="1:1" ht="15.75" customHeight="1">
      <c r="A3412" s="34"/>
    </row>
    <row r="3413" spans="1:1" ht="15.75" customHeight="1">
      <c r="A3413" s="34"/>
    </row>
    <row r="3414" spans="1:1" ht="15.75" customHeight="1">
      <c r="A3414" s="34"/>
    </row>
    <row r="3415" spans="1:1" ht="15.75" customHeight="1">
      <c r="A3415" s="34"/>
    </row>
    <row r="3416" spans="1:1" ht="15.75" customHeight="1">
      <c r="A3416" s="34"/>
    </row>
    <row r="3417" spans="1:1" ht="15.75" customHeight="1">
      <c r="A3417" s="34"/>
    </row>
    <row r="3418" spans="1:1" ht="15.75" customHeight="1">
      <c r="A3418" s="34"/>
    </row>
    <row r="3419" spans="1:1" ht="15.75" customHeight="1">
      <c r="A3419" s="34"/>
    </row>
    <row r="3420" spans="1:1" ht="15.75" customHeight="1">
      <c r="A3420" s="34"/>
    </row>
    <row r="3421" spans="1:1" ht="15.75" customHeight="1">
      <c r="A3421" s="34"/>
    </row>
    <row r="3422" spans="1:1" ht="15.75" customHeight="1">
      <c r="A3422" s="34"/>
    </row>
    <row r="3423" spans="1:1" ht="15.75" customHeight="1">
      <c r="A3423" s="34"/>
    </row>
    <row r="3424" spans="1:1" ht="15.75" customHeight="1">
      <c r="A3424" s="34"/>
    </row>
    <row r="3425" spans="1:1" ht="15.75" customHeight="1">
      <c r="A3425" s="34"/>
    </row>
    <row r="3426" spans="1:1" ht="15.75" customHeight="1">
      <c r="A3426" s="34"/>
    </row>
    <row r="3427" spans="1:1" ht="15.75" customHeight="1">
      <c r="A3427" s="34"/>
    </row>
    <row r="3428" spans="1:1" ht="15.75" customHeight="1">
      <c r="A3428" s="34"/>
    </row>
    <row r="3429" spans="1:1" ht="15.75" customHeight="1">
      <c r="A3429" s="34"/>
    </row>
    <row r="3430" spans="1:1" ht="15.75" customHeight="1">
      <c r="A3430" s="34"/>
    </row>
    <row r="3431" spans="1:1" ht="15.75" customHeight="1">
      <c r="A3431" s="34"/>
    </row>
    <row r="3432" spans="1:1" ht="15.75" customHeight="1">
      <c r="A3432" s="34"/>
    </row>
    <row r="3433" spans="1:1" ht="15.75" customHeight="1">
      <c r="A3433" s="34"/>
    </row>
    <row r="3434" spans="1:1" ht="15.75" customHeight="1">
      <c r="A3434" s="34"/>
    </row>
    <row r="3435" spans="1:1" ht="15.75" customHeight="1">
      <c r="A3435" s="34"/>
    </row>
    <row r="3436" spans="1:1" ht="15.75" customHeight="1">
      <c r="A3436" s="34"/>
    </row>
    <row r="3437" spans="1:1" ht="15.75" customHeight="1">
      <c r="A3437" s="34"/>
    </row>
    <row r="3438" spans="1:1" ht="15.75" customHeight="1">
      <c r="A3438" s="34"/>
    </row>
    <row r="3439" spans="1:1" ht="15.75" customHeight="1">
      <c r="A3439" s="34"/>
    </row>
    <row r="3440" spans="1:1" ht="15.75" customHeight="1">
      <c r="A3440" s="34"/>
    </row>
    <row r="3441" spans="1:1" ht="15.75" customHeight="1">
      <c r="A3441" s="34"/>
    </row>
    <row r="3442" spans="1:1" ht="15.75" customHeight="1">
      <c r="A3442" s="34"/>
    </row>
    <row r="3443" spans="1:1" ht="15.75" customHeight="1">
      <c r="A3443" s="34"/>
    </row>
    <row r="3444" spans="1:1" ht="15.75" customHeight="1">
      <c r="A3444" s="34"/>
    </row>
    <row r="3445" spans="1:1" ht="15.75" customHeight="1">
      <c r="A3445" s="34"/>
    </row>
    <row r="3446" spans="1:1" ht="15.75" customHeight="1">
      <c r="A3446" s="34"/>
    </row>
    <row r="3447" spans="1:1" ht="15.75" customHeight="1">
      <c r="A3447" s="34"/>
    </row>
    <row r="3448" spans="1:1" ht="15.75" customHeight="1">
      <c r="A3448" s="34"/>
    </row>
    <row r="3449" spans="1:1" ht="15.75" customHeight="1">
      <c r="A3449" s="34"/>
    </row>
    <row r="3450" spans="1:1" ht="15.75" customHeight="1">
      <c r="A3450" s="34"/>
    </row>
    <row r="3451" spans="1:1" ht="15.75" customHeight="1">
      <c r="A3451" s="34"/>
    </row>
    <row r="3452" spans="1:1" ht="15.75" customHeight="1">
      <c r="A3452" s="34"/>
    </row>
    <row r="3453" spans="1:1" ht="15.75" customHeight="1">
      <c r="A3453" s="34"/>
    </row>
    <row r="3454" spans="1:1" ht="15.75" customHeight="1">
      <c r="A3454" s="34"/>
    </row>
    <row r="3455" spans="1:1" ht="15.75" customHeight="1">
      <c r="A3455" s="34"/>
    </row>
    <row r="3456" spans="1:1" ht="15.75" customHeight="1">
      <c r="A3456" s="34"/>
    </row>
    <row r="3457" spans="1:1" ht="15.75" customHeight="1">
      <c r="A3457" s="34"/>
    </row>
    <row r="3458" spans="1:1" ht="15.75" customHeight="1">
      <c r="A3458" s="34"/>
    </row>
    <row r="3459" spans="1:1" ht="15.75" customHeight="1">
      <c r="A3459" s="34"/>
    </row>
    <row r="3460" spans="1:1" ht="15.75" customHeight="1">
      <c r="A3460" s="34"/>
    </row>
    <row r="3461" spans="1:1" ht="15.75" customHeight="1">
      <c r="A3461" s="34"/>
    </row>
    <row r="3462" spans="1:1" ht="15.75" customHeight="1">
      <c r="A3462" s="34"/>
    </row>
    <row r="3463" spans="1:1" ht="15.75" customHeight="1">
      <c r="A3463" s="34"/>
    </row>
    <row r="3464" spans="1:1" ht="15.75" customHeight="1">
      <c r="A3464" s="34"/>
    </row>
    <row r="3465" spans="1:1" ht="15.75" customHeight="1">
      <c r="A3465" s="34"/>
    </row>
    <row r="3466" spans="1:1" ht="15.75" customHeight="1">
      <c r="A3466" s="34"/>
    </row>
    <row r="3467" spans="1:1" ht="15.75" customHeight="1">
      <c r="A3467" s="34"/>
    </row>
    <row r="3468" spans="1:1" ht="15.75" customHeight="1">
      <c r="A3468" s="34"/>
    </row>
    <row r="3469" spans="1:1" ht="15.75" customHeight="1">
      <c r="A3469" s="34"/>
    </row>
    <row r="3470" spans="1:1" ht="15.75" customHeight="1">
      <c r="A3470" s="34"/>
    </row>
    <row r="3471" spans="1:1" ht="15.75" customHeight="1">
      <c r="A3471" s="34"/>
    </row>
    <row r="3472" spans="1:1" ht="15.75" customHeight="1">
      <c r="A3472" s="34"/>
    </row>
    <row r="3473" spans="1:1" ht="15.75" customHeight="1">
      <c r="A3473" s="34"/>
    </row>
    <row r="3474" spans="1:1" ht="15.75" customHeight="1">
      <c r="A3474" s="34"/>
    </row>
    <row r="3475" spans="1:1" ht="15.75" customHeight="1">
      <c r="A3475" s="34"/>
    </row>
    <row r="3476" spans="1:1" ht="15.75" customHeight="1">
      <c r="A3476" s="34"/>
    </row>
    <row r="3477" spans="1:1" ht="15.75" customHeight="1">
      <c r="A3477" s="34"/>
    </row>
    <row r="3478" spans="1:1" ht="15.75" customHeight="1">
      <c r="A3478" s="34"/>
    </row>
    <row r="3479" spans="1:1" ht="15.75" customHeight="1">
      <c r="A3479" s="34"/>
    </row>
    <row r="3480" spans="1:1" ht="15.75" customHeight="1">
      <c r="A3480" s="34"/>
    </row>
    <row r="3481" spans="1:1" ht="15.75" customHeight="1">
      <c r="A3481" s="34"/>
    </row>
    <row r="3482" spans="1:1" ht="15.75" customHeight="1">
      <c r="A3482" s="34"/>
    </row>
    <row r="3483" spans="1:1" ht="15.75" customHeight="1">
      <c r="A3483" s="34"/>
    </row>
    <row r="3484" spans="1:1" ht="15.75" customHeight="1">
      <c r="A3484" s="34"/>
    </row>
    <row r="3485" spans="1:1" ht="15.75" customHeight="1">
      <c r="A3485" s="34"/>
    </row>
    <row r="3486" spans="1:1" ht="15.75" customHeight="1">
      <c r="A3486" s="34"/>
    </row>
    <row r="3487" spans="1:1" ht="15.75" customHeight="1">
      <c r="A3487" s="34"/>
    </row>
    <row r="3488" spans="1:1" ht="15.75" customHeight="1">
      <c r="A3488" s="34"/>
    </row>
    <row r="3489" spans="1:1" ht="15.75" customHeight="1">
      <c r="A3489" s="34"/>
    </row>
    <row r="3490" spans="1:1" ht="15.75" customHeight="1">
      <c r="A3490" s="34"/>
    </row>
    <row r="3491" spans="1:1" ht="15.75" customHeight="1">
      <c r="A3491" s="34"/>
    </row>
    <row r="3492" spans="1:1" ht="15.75" customHeight="1">
      <c r="A3492" s="34"/>
    </row>
    <row r="3493" spans="1:1" ht="15.75" customHeight="1">
      <c r="A3493" s="34"/>
    </row>
    <row r="3494" spans="1:1" ht="15.75" customHeight="1">
      <c r="A3494" s="34"/>
    </row>
    <row r="3495" spans="1:1" ht="15.75" customHeight="1">
      <c r="A3495" s="34"/>
    </row>
    <row r="3496" spans="1:1" ht="15.75" customHeight="1">
      <c r="A3496" s="34"/>
    </row>
    <row r="3497" spans="1:1" ht="15.75" customHeight="1">
      <c r="A3497" s="34"/>
    </row>
    <row r="3498" spans="1:1" ht="15.75" customHeight="1">
      <c r="A3498" s="34"/>
    </row>
    <row r="3499" spans="1:1" ht="15.75" customHeight="1">
      <c r="A3499" s="34"/>
    </row>
    <row r="3500" spans="1:1" ht="15.75" customHeight="1">
      <c r="A3500" s="34"/>
    </row>
    <row r="3501" spans="1:1" ht="15.75" customHeight="1">
      <c r="A3501" s="34"/>
    </row>
    <row r="3502" spans="1:1" ht="15.75" customHeight="1">
      <c r="A3502" s="34"/>
    </row>
    <row r="3503" spans="1:1" ht="15.75" customHeight="1">
      <c r="A3503" s="34"/>
    </row>
    <row r="3504" spans="1:1" ht="15.75" customHeight="1">
      <c r="A3504" s="34"/>
    </row>
    <row r="3505" spans="1:1" ht="15.75" customHeight="1">
      <c r="A3505" s="34"/>
    </row>
    <row r="3506" spans="1:1" ht="15.75" customHeight="1">
      <c r="A3506" s="34"/>
    </row>
    <row r="3507" spans="1:1" ht="15.75" customHeight="1">
      <c r="A3507" s="34"/>
    </row>
    <row r="3508" spans="1:1" ht="15.75" customHeight="1">
      <c r="A3508" s="34"/>
    </row>
    <row r="3509" spans="1:1" ht="15.75" customHeight="1">
      <c r="A3509" s="34"/>
    </row>
    <row r="3510" spans="1:1" ht="15.75" customHeight="1">
      <c r="A3510" s="34"/>
    </row>
    <row r="3511" spans="1:1" ht="15.75" customHeight="1">
      <c r="A3511" s="34"/>
    </row>
    <row r="3512" spans="1:1" ht="15.75" customHeight="1">
      <c r="A3512" s="34"/>
    </row>
    <row r="3513" spans="1:1" ht="15.75" customHeight="1">
      <c r="A3513" s="34"/>
    </row>
    <row r="3514" spans="1:1" ht="15.75" customHeight="1">
      <c r="A3514" s="34"/>
    </row>
    <row r="3515" spans="1:1" ht="15.75" customHeight="1">
      <c r="A3515" s="34"/>
    </row>
    <row r="3516" spans="1:1" ht="15.75" customHeight="1">
      <c r="A3516" s="34"/>
    </row>
    <row r="3517" spans="1:1" ht="15.75" customHeight="1">
      <c r="A3517" s="34"/>
    </row>
    <row r="3518" spans="1:1" ht="15.75" customHeight="1">
      <c r="A3518" s="34"/>
    </row>
    <row r="3519" spans="1:1" ht="15.75" customHeight="1">
      <c r="A3519" s="34"/>
    </row>
    <row r="3520" spans="1:1" ht="15.75" customHeight="1">
      <c r="A3520" s="34"/>
    </row>
    <row r="3521" spans="1:1" ht="15.75" customHeight="1">
      <c r="A3521" s="34"/>
    </row>
    <row r="3522" spans="1:1" ht="15.75" customHeight="1">
      <c r="A3522" s="34"/>
    </row>
    <row r="3523" spans="1:1" ht="15.75" customHeight="1">
      <c r="A3523" s="34"/>
    </row>
    <row r="3524" spans="1:1" ht="15.75" customHeight="1">
      <c r="A3524" s="34"/>
    </row>
    <row r="3525" spans="1:1" ht="15.75" customHeight="1">
      <c r="A3525" s="34"/>
    </row>
    <row r="3526" spans="1:1" ht="15.75" customHeight="1">
      <c r="A3526" s="34"/>
    </row>
    <row r="3527" spans="1:1" ht="15.75" customHeight="1">
      <c r="A3527" s="34"/>
    </row>
    <row r="3528" spans="1:1" ht="15.75" customHeight="1">
      <c r="A3528" s="34"/>
    </row>
    <row r="3529" spans="1:1" ht="15.75" customHeight="1">
      <c r="A3529" s="34"/>
    </row>
    <row r="3530" spans="1:1" ht="15.75" customHeight="1">
      <c r="A3530" s="34"/>
    </row>
    <row r="3531" spans="1:1" ht="15.75" customHeight="1">
      <c r="A3531" s="34"/>
    </row>
    <row r="3532" spans="1:1" ht="15.75" customHeight="1">
      <c r="A3532" s="34"/>
    </row>
    <row r="3533" spans="1:1" ht="15.75" customHeight="1">
      <c r="A3533" s="34"/>
    </row>
    <row r="3534" spans="1:1" ht="15.75" customHeight="1">
      <c r="A3534" s="34"/>
    </row>
    <row r="3535" spans="1:1" ht="15.75" customHeight="1">
      <c r="A3535" s="34"/>
    </row>
    <row r="3536" spans="1:1" ht="15.75" customHeight="1">
      <c r="A3536" s="34"/>
    </row>
    <row r="3537" spans="1:1" ht="15.75" customHeight="1">
      <c r="A3537" s="34"/>
    </row>
    <row r="3538" spans="1:1" ht="15.75" customHeight="1">
      <c r="A3538" s="34"/>
    </row>
    <row r="3539" spans="1:1" ht="15.75" customHeight="1">
      <c r="A3539" s="34"/>
    </row>
    <row r="3540" spans="1:1" ht="15.75" customHeight="1">
      <c r="A3540" s="34"/>
    </row>
    <row r="3541" spans="1:1" ht="15.75" customHeight="1">
      <c r="A3541" s="34"/>
    </row>
    <row r="3542" spans="1:1" ht="15.75" customHeight="1">
      <c r="A3542" s="34"/>
    </row>
    <row r="3543" spans="1:1" ht="15.75" customHeight="1">
      <c r="A3543" s="34"/>
    </row>
    <row r="3544" spans="1:1" ht="15.75" customHeight="1">
      <c r="A3544" s="34"/>
    </row>
    <row r="3545" spans="1:1" ht="15.75" customHeight="1">
      <c r="A3545" s="34"/>
    </row>
    <row r="3546" spans="1:1" ht="15.75" customHeight="1">
      <c r="A3546" s="34"/>
    </row>
    <row r="3547" spans="1:1" ht="15.75" customHeight="1">
      <c r="A3547" s="34"/>
    </row>
    <row r="3548" spans="1:1" ht="15.75" customHeight="1">
      <c r="A3548" s="34"/>
    </row>
    <row r="3549" spans="1:1" ht="15.75" customHeight="1">
      <c r="A3549" s="34"/>
    </row>
    <row r="3550" spans="1:1" ht="15.75" customHeight="1">
      <c r="A3550" s="34"/>
    </row>
    <row r="3551" spans="1:1" ht="15.75" customHeight="1">
      <c r="A3551" s="34"/>
    </row>
    <row r="3552" spans="1:1" ht="15.75" customHeight="1">
      <c r="A3552" s="34"/>
    </row>
    <row r="3553" spans="1:1" ht="15.75" customHeight="1">
      <c r="A3553" s="34"/>
    </row>
    <row r="3554" spans="1:1" ht="15.75" customHeight="1">
      <c r="A3554" s="34"/>
    </row>
    <row r="3555" spans="1:1" ht="15.75" customHeight="1">
      <c r="A3555" s="34"/>
    </row>
    <row r="3556" spans="1:1" ht="15.75" customHeight="1">
      <c r="A3556" s="34"/>
    </row>
    <row r="3557" spans="1:1" ht="15.75" customHeight="1">
      <c r="A3557" s="34"/>
    </row>
    <row r="3558" spans="1:1" ht="15.75" customHeight="1">
      <c r="A3558" s="34"/>
    </row>
    <row r="3559" spans="1:1" ht="15.75" customHeight="1">
      <c r="A3559" s="34"/>
    </row>
    <row r="3560" spans="1:1" ht="15.75" customHeight="1">
      <c r="A3560" s="34"/>
    </row>
    <row r="3561" spans="1:1" ht="15.75" customHeight="1">
      <c r="A3561" s="34"/>
    </row>
    <row r="3562" spans="1:1" ht="15.75" customHeight="1">
      <c r="A3562" s="34"/>
    </row>
    <row r="3563" spans="1:1" ht="15.75" customHeight="1">
      <c r="A3563" s="34"/>
    </row>
    <row r="3564" spans="1:1" ht="15.75" customHeight="1">
      <c r="A3564" s="34"/>
    </row>
    <row r="3565" spans="1:1" ht="15.75" customHeight="1">
      <c r="A3565" s="34"/>
    </row>
    <row r="3566" spans="1:1" ht="15.75" customHeight="1">
      <c r="A3566" s="34"/>
    </row>
    <row r="3567" spans="1:1" ht="15.75" customHeight="1">
      <c r="A3567" s="34"/>
    </row>
    <row r="3568" spans="1:1" ht="15.75" customHeight="1">
      <c r="A3568" s="34"/>
    </row>
    <row r="3569" spans="1:1" ht="15.75" customHeight="1">
      <c r="A3569" s="34"/>
    </row>
    <row r="3570" spans="1:1" ht="15.75" customHeight="1">
      <c r="A3570" s="34"/>
    </row>
    <row r="3571" spans="1:1" ht="15.75" customHeight="1">
      <c r="A3571" s="34"/>
    </row>
    <row r="3572" spans="1:1" ht="15.75" customHeight="1">
      <c r="A3572" s="34"/>
    </row>
    <row r="3573" spans="1:1" ht="15.75" customHeight="1">
      <c r="A3573" s="34"/>
    </row>
    <row r="3574" spans="1:1" ht="15.75" customHeight="1">
      <c r="A3574" s="34"/>
    </row>
    <row r="3575" spans="1:1" ht="15.75" customHeight="1">
      <c r="A3575" s="34"/>
    </row>
    <row r="3576" spans="1:1" ht="15.75" customHeight="1">
      <c r="A3576" s="34"/>
    </row>
    <row r="3577" spans="1:1" ht="15.75" customHeight="1">
      <c r="A3577" s="34"/>
    </row>
    <row r="3578" spans="1:1" ht="15.75" customHeight="1">
      <c r="A3578" s="34"/>
    </row>
    <row r="3579" spans="1:1" ht="15.75" customHeight="1">
      <c r="A3579" s="34"/>
    </row>
    <row r="3580" spans="1:1" ht="15.75" customHeight="1">
      <c r="A3580" s="34"/>
    </row>
    <row r="3581" spans="1:1" ht="15.75" customHeight="1">
      <c r="A3581" s="34"/>
    </row>
    <row r="3582" spans="1:1" ht="15.75" customHeight="1">
      <c r="A3582" s="34"/>
    </row>
    <row r="3583" spans="1:1" ht="15.75" customHeight="1">
      <c r="A3583" s="34"/>
    </row>
    <row r="3584" spans="1:1" ht="15.75" customHeight="1">
      <c r="A3584" s="34"/>
    </row>
    <row r="3585" spans="1:1" ht="15.75" customHeight="1">
      <c r="A3585" s="34"/>
    </row>
    <row r="3586" spans="1:1" ht="15.75" customHeight="1">
      <c r="A3586" s="34"/>
    </row>
    <row r="3587" spans="1:1" ht="15.75" customHeight="1">
      <c r="A3587" s="34"/>
    </row>
    <row r="3588" spans="1:1" ht="15.75" customHeight="1">
      <c r="A3588" s="34"/>
    </row>
    <row r="3589" spans="1:1" ht="15.75" customHeight="1">
      <c r="A3589" s="34"/>
    </row>
    <row r="3590" spans="1:1" ht="15.75" customHeight="1">
      <c r="A3590" s="34"/>
    </row>
    <row r="3591" spans="1:1" ht="15.75" customHeight="1">
      <c r="A3591" s="34"/>
    </row>
    <row r="3592" spans="1:1" ht="15.75" customHeight="1">
      <c r="A3592" s="34"/>
    </row>
    <row r="3593" spans="1:1" ht="15.75" customHeight="1">
      <c r="A3593" s="34"/>
    </row>
    <row r="3594" spans="1:1" ht="15.75" customHeight="1">
      <c r="A3594" s="34"/>
    </row>
    <row r="3595" spans="1:1" ht="15.75" customHeight="1">
      <c r="A3595" s="34"/>
    </row>
    <row r="3596" spans="1:1" ht="15.75" customHeight="1">
      <c r="A3596" s="34"/>
    </row>
    <row r="3597" spans="1:1" ht="15.75" customHeight="1">
      <c r="A3597" s="34"/>
    </row>
    <row r="3598" spans="1:1" ht="15.75" customHeight="1">
      <c r="A3598" s="34"/>
    </row>
    <row r="3599" spans="1:1" ht="15.75" customHeight="1">
      <c r="A3599" s="34"/>
    </row>
    <row r="3600" spans="1:1" ht="15.75" customHeight="1">
      <c r="A3600" s="34"/>
    </row>
    <row r="3601" spans="1:1" ht="15.75" customHeight="1">
      <c r="A3601" s="34"/>
    </row>
    <row r="3602" spans="1:1" ht="15.75" customHeight="1">
      <c r="A3602" s="34"/>
    </row>
    <row r="3603" spans="1:1" ht="15.75" customHeight="1">
      <c r="A3603" s="34"/>
    </row>
    <row r="3604" spans="1:1" ht="15.75" customHeight="1">
      <c r="A3604" s="34"/>
    </row>
    <row r="3605" spans="1:1" ht="15.75" customHeight="1">
      <c r="A3605" s="34"/>
    </row>
    <row r="3606" spans="1:1" ht="15.75" customHeight="1">
      <c r="A3606" s="34"/>
    </row>
    <row r="3607" spans="1:1" ht="15.75" customHeight="1">
      <c r="A3607" s="34"/>
    </row>
    <row r="3608" spans="1:1" ht="15.75" customHeight="1">
      <c r="A3608" s="34"/>
    </row>
    <row r="3609" spans="1:1" ht="15.75" customHeight="1">
      <c r="A3609" s="34"/>
    </row>
    <row r="3610" spans="1:1" ht="15.75" customHeight="1">
      <c r="A3610" s="34"/>
    </row>
    <row r="3611" spans="1:1" ht="15.75" customHeight="1">
      <c r="A3611" s="34"/>
    </row>
    <row r="3612" spans="1:1" ht="15.75" customHeight="1">
      <c r="A3612" s="34"/>
    </row>
    <row r="3613" spans="1:1" ht="15.75" customHeight="1">
      <c r="A3613" s="34"/>
    </row>
    <row r="3614" spans="1:1" ht="15.75" customHeight="1">
      <c r="A3614" s="34"/>
    </row>
    <row r="3615" spans="1:1" ht="15.75" customHeight="1">
      <c r="A3615" s="34"/>
    </row>
    <row r="3616" spans="1:1" ht="15.75" customHeight="1">
      <c r="A3616" s="34"/>
    </row>
    <row r="3617" spans="1:1" ht="15.75" customHeight="1">
      <c r="A3617" s="34"/>
    </row>
    <row r="3618" spans="1:1" ht="15.75" customHeight="1">
      <c r="A3618" s="34"/>
    </row>
    <row r="3619" spans="1:1" ht="15.75" customHeight="1">
      <c r="A3619" s="34"/>
    </row>
    <row r="3620" spans="1:1" ht="15.75" customHeight="1">
      <c r="A3620" s="34"/>
    </row>
    <row r="3621" spans="1:1" ht="15.75" customHeight="1">
      <c r="A3621" s="34"/>
    </row>
    <row r="3622" spans="1:1" ht="15.75" customHeight="1">
      <c r="A3622" s="34"/>
    </row>
    <row r="3623" spans="1:1" ht="15.75" customHeight="1">
      <c r="A3623" s="34"/>
    </row>
    <row r="3624" spans="1:1" ht="15.75" customHeight="1">
      <c r="A3624" s="34"/>
    </row>
    <row r="3625" spans="1:1" ht="15.75" customHeight="1">
      <c r="A3625" s="34"/>
    </row>
    <row r="3626" spans="1:1" ht="15.75" customHeight="1">
      <c r="A3626" s="34"/>
    </row>
    <row r="3627" spans="1:1" ht="15.75" customHeight="1">
      <c r="A3627" s="34"/>
    </row>
    <row r="3628" spans="1:1" ht="15.75" customHeight="1">
      <c r="A3628" s="34"/>
    </row>
    <row r="3629" spans="1:1" ht="15.75" customHeight="1">
      <c r="A3629" s="34"/>
    </row>
    <row r="3630" spans="1:1" ht="15.75" customHeight="1">
      <c r="A3630" s="34"/>
    </row>
    <row r="3631" spans="1:1" ht="15.75" customHeight="1">
      <c r="A3631" s="34"/>
    </row>
    <row r="3632" spans="1:1" ht="15.75" customHeight="1">
      <c r="A3632" s="34"/>
    </row>
    <row r="3633" spans="1:1" ht="15.75" customHeight="1">
      <c r="A3633" s="34"/>
    </row>
    <row r="3634" spans="1:1" ht="15.75" customHeight="1">
      <c r="A3634" s="34"/>
    </row>
    <row r="3635" spans="1:1" ht="15.75" customHeight="1">
      <c r="A3635" s="34"/>
    </row>
    <row r="3636" spans="1:1" ht="15.75" customHeight="1">
      <c r="A3636" s="34"/>
    </row>
    <row r="3637" spans="1:1" ht="15.75" customHeight="1">
      <c r="A3637" s="34"/>
    </row>
    <row r="3638" spans="1:1" ht="15.75" customHeight="1">
      <c r="A3638" s="34"/>
    </row>
    <row r="3639" spans="1:1" ht="15.75" customHeight="1">
      <c r="A3639" s="34"/>
    </row>
    <row r="3640" spans="1:1" ht="15.75" customHeight="1">
      <c r="A3640" s="34"/>
    </row>
    <row r="3641" spans="1:1" ht="15.75" customHeight="1">
      <c r="A3641" s="34"/>
    </row>
    <row r="3642" spans="1:1" ht="15.75" customHeight="1">
      <c r="A3642" s="34"/>
    </row>
    <row r="3643" spans="1:1" ht="15.75" customHeight="1">
      <c r="A3643" s="34"/>
    </row>
    <row r="3644" spans="1:1" ht="15.75" customHeight="1">
      <c r="A3644" s="34"/>
    </row>
    <row r="3645" spans="1:1" ht="15.75" customHeight="1">
      <c r="A3645" s="34"/>
    </row>
    <row r="3646" spans="1:1" ht="15.75" customHeight="1">
      <c r="A3646" s="34"/>
    </row>
    <row r="3647" spans="1:1" ht="15.75" customHeight="1">
      <c r="A3647" s="34"/>
    </row>
    <row r="3648" spans="1:1" ht="15.75" customHeight="1">
      <c r="A3648" s="34"/>
    </row>
    <row r="3649" spans="1:1" ht="15.75" customHeight="1">
      <c r="A3649" s="34"/>
    </row>
    <row r="3650" spans="1:1" ht="15.75" customHeight="1">
      <c r="A3650" s="34"/>
    </row>
    <row r="3651" spans="1:1" ht="15.75" customHeight="1">
      <c r="A3651" s="34"/>
    </row>
    <row r="3652" spans="1:1" ht="15.75" customHeight="1">
      <c r="A3652" s="34"/>
    </row>
    <row r="3653" spans="1:1" ht="15.75" customHeight="1">
      <c r="A3653" s="34"/>
    </row>
    <row r="3654" spans="1:1" ht="15.75" customHeight="1">
      <c r="A3654" s="34"/>
    </row>
    <row r="3655" spans="1:1" ht="15.75" customHeight="1">
      <c r="A3655" s="34"/>
    </row>
    <row r="3656" spans="1:1" ht="15.75" customHeight="1">
      <c r="A3656" s="34"/>
    </row>
    <row r="3657" spans="1:1" ht="15.75" customHeight="1">
      <c r="A3657" s="34"/>
    </row>
    <row r="3658" spans="1:1" ht="15.75" customHeight="1">
      <c r="A3658" s="34"/>
    </row>
    <row r="3659" spans="1:1" ht="15.75" customHeight="1">
      <c r="A3659" s="34"/>
    </row>
    <row r="3660" spans="1:1" ht="15.75" customHeight="1">
      <c r="A3660" s="34"/>
    </row>
    <row r="3661" spans="1:1" ht="15.75" customHeight="1">
      <c r="A3661" s="34"/>
    </row>
    <row r="3662" spans="1:1" ht="15.75" customHeight="1">
      <c r="A3662" s="34"/>
    </row>
    <row r="3663" spans="1:1" ht="15.75" customHeight="1">
      <c r="A3663" s="34"/>
    </row>
    <row r="3664" spans="1:1" ht="15.75" customHeight="1">
      <c r="A3664" s="34"/>
    </row>
    <row r="3665" spans="1:1" ht="15.75" customHeight="1">
      <c r="A3665" s="34"/>
    </row>
    <row r="3666" spans="1:1" ht="15.75" customHeight="1">
      <c r="A3666" s="34"/>
    </row>
    <row r="3667" spans="1:1" ht="15.75" customHeight="1">
      <c r="A3667" s="34"/>
    </row>
    <row r="3668" spans="1:1" ht="15.75" customHeight="1">
      <c r="A3668" s="34"/>
    </row>
    <row r="3669" spans="1:1" ht="15.75" customHeight="1">
      <c r="A3669" s="34"/>
    </row>
    <row r="3670" spans="1:1" ht="15.75" customHeight="1">
      <c r="A3670" s="34"/>
    </row>
    <row r="3671" spans="1:1" ht="15.75" customHeight="1">
      <c r="A3671" s="34"/>
    </row>
    <row r="3672" spans="1:1" ht="15.75" customHeight="1">
      <c r="A3672" s="34"/>
    </row>
    <row r="3673" spans="1:1" ht="15.75" customHeight="1">
      <c r="A3673" s="34"/>
    </row>
    <row r="3674" spans="1:1" ht="15.75" customHeight="1">
      <c r="A3674" s="34"/>
    </row>
    <row r="3675" spans="1:1" ht="15.75" customHeight="1">
      <c r="A3675" s="34"/>
    </row>
    <row r="3676" spans="1:1" ht="15.75" customHeight="1">
      <c r="A3676" s="34"/>
    </row>
    <row r="3677" spans="1:1" ht="15.75" customHeight="1">
      <c r="A3677" s="34"/>
    </row>
    <row r="3678" spans="1:1" ht="15.75" customHeight="1">
      <c r="A3678" s="34"/>
    </row>
    <row r="3679" spans="1:1" ht="15.75" customHeight="1">
      <c r="A3679" s="34"/>
    </row>
    <row r="3680" spans="1:1" ht="15.75" customHeight="1">
      <c r="A3680" s="34"/>
    </row>
    <row r="3681" spans="1:1" ht="15.75" customHeight="1">
      <c r="A3681" s="34"/>
    </row>
    <row r="3682" spans="1:1" ht="15.75" customHeight="1">
      <c r="A3682" s="34"/>
    </row>
    <row r="3683" spans="1:1" ht="15.75" customHeight="1">
      <c r="A3683" s="34"/>
    </row>
    <row r="3684" spans="1:1" ht="15.75" customHeight="1">
      <c r="A3684" s="34"/>
    </row>
    <row r="3685" spans="1:1" ht="15.75" customHeight="1">
      <c r="A3685" s="34"/>
    </row>
    <row r="3686" spans="1:1" ht="15.75" customHeight="1">
      <c r="A3686" s="34"/>
    </row>
    <row r="3687" spans="1:1" ht="15.75" customHeight="1">
      <c r="A3687" s="34"/>
    </row>
    <row r="3688" spans="1:1" ht="15.75" customHeight="1">
      <c r="A3688" s="34"/>
    </row>
    <row r="3689" spans="1:1" ht="15.75" customHeight="1">
      <c r="A3689" s="34"/>
    </row>
    <row r="3690" spans="1:1" ht="15.75" customHeight="1">
      <c r="A3690" s="34"/>
    </row>
    <row r="3691" spans="1:1" ht="15.75" customHeight="1">
      <c r="A3691" s="34"/>
    </row>
    <row r="3692" spans="1:1" ht="15.75" customHeight="1">
      <c r="A3692" s="34"/>
    </row>
    <row r="3693" spans="1:1" ht="15.75" customHeight="1">
      <c r="A3693" s="34"/>
    </row>
    <row r="3694" spans="1:1" ht="15.75" customHeight="1">
      <c r="A3694" s="34"/>
    </row>
    <row r="3695" spans="1:1" ht="15.75" customHeight="1">
      <c r="A3695" s="34"/>
    </row>
    <row r="3696" spans="1:1" ht="15.75" customHeight="1">
      <c r="A3696" s="34"/>
    </row>
    <row r="3697" spans="1:1" ht="15.75" customHeight="1">
      <c r="A3697" s="34"/>
    </row>
    <row r="3698" spans="1:1" ht="15.75" customHeight="1">
      <c r="A3698" s="34"/>
    </row>
    <row r="3699" spans="1:1" ht="15.75" customHeight="1">
      <c r="A3699" s="34"/>
    </row>
    <row r="3700" spans="1:1" ht="15.75" customHeight="1">
      <c r="A3700" s="34"/>
    </row>
    <row r="3701" spans="1:1" ht="15.75" customHeight="1">
      <c r="A3701" s="34"/>
    </row>
    <row r="3702" spans="1:1" ht="15.75" customHeight="1">
      <c r="A3702" s="34"/>
    </row>
    <row r="3703" spans="1:1" ht="15.75" customHeight="1">
      <c r="A3703" s="34"/>
    </row>
    <row r="3704" spans="1:1" ht="15.75" customHeight="1">
      <c r="A3704" s="34"/>
    </row>
    <row r="3705" spans="1:1" ht="15.75" customHeight="1">
      <c r="A3705" s="34"/>
    </row>
    <row r="3706" spans="1:1" ht="15.75" customHeight="1">
      <c r="A3706" s="34"/>
    </row>
    <row r="3707" spans="1:1" ht="15.75" customHeight="1">
      <c r="A3707" s="34"/>
    </row>
    <row r="3708" spans="1:1" ht="15.75" customHeight="1">
      <c r="A3708" s="34"/>
    </row>
    <row r="3709" spans="1:1" ht="15.75" customHeight="1">
      <c r="A3709" s="34"/>
    </row>
    <row r="3710" spans="1:1" ht="15.75" customHeight="1">
      <c r="A3710" s="34"/>
    </row>
    <row r="3711" spans="1:1" ht="15.75" customHeight="1">
      <c r="A3711" s="34"/>
    </row>
    <row r="3712" spans="1:1" ht="15.75" customHeight="1">
      <c r="A3712" s="34"/>
    </row>
    <row r="3713" spans="1:1" ht="15.75" customHeight="1">
      <c r="A3713" s="34"/>
    </row>
    <row r="3714" spans="1:1" ht="15.75" customHeight="1">
      <c r="A3714" s="34"/>
    </row>
    <row r="3715" spans="1:1" ht="15.75" customHeight="1">
      <c r="A3715" s="34"/>
    </row>
    <row r="3716" spans="1:1" ht="15.75" customHeight="1">
      <c r="A3716" s="34"/>
    </row>
    <row r="3717" spans="1:1" ht="15.75" customHeight="1">
      <c r="A3717" s="34"/>
    </row>
    <row r="3718" spans="1:1" ht="15.75" customHeight="1">
      <c r="A3718" s="34"/>
    </row>
    <row r="3719" spans="1:1" ht="15.75" customHeight="1">
      <c r="A3719" s="34"/>
    </row>
    <row r="3720" spans="1:1" ht="15.75" customHeight="1">
      <c r="A3720" s="34"/>
    </row>
    <row r="3721" spans="1:1" ht="15.75" customHeight="1">
      <c r="A3721" s="34"/>
    </row>
    <row r="3722" spans="1:1" ht="15.75" customHeight="1">
      <c r="A3722" s="34"/>
    </row>
    <row r="3723" spans="1:1" ht="15.75" customHeight="1">
      <c r="A3723" s="34"/>
    </row>
    <row r="3724" spans="1:1" ht="15.75" customHeight="1">
      <c r="A3724" s="34"/>
    </row>
    <row r="3725" spans="1:1" ht="15.75" customHeight="1">
      <c r="A3725" s="34"/>
    </row>
    <row r="3726" spans="1:1" ht="15.75" customHeight="1">
      <c r="A3726" s="34"/>
    </row>
    <row r="3727" spans="1:1" ht="15.75" customHeight="1">
      <c r="A3727" s="34"/>
    </row>
    <row r="3728" spans="1:1" ht="15.75" customHeight="1">
      <c r="A3728" s="34"/>
    </row>
    <row r="3729" spans="1:1" ht="15.75" customHeight="1">
      <c r="A3729" s="34"/>
    </row>
    <row r="3730" spans="1:1" ht="15.75" customHeight="1">
      <c r="A3730" s="34"/>
    </row>
    <row r="3731" spans="1:1" ht="15.75" customHeight="1">
      <c r="A3731" s="34"/>
    </row>
    <row r="3732" spans="1:1" ht="15.75" customHeight="1">
      <c r="A3732" s="34"/>
    </row>
    <row r="3733" spans="1:1" ht="15.75" customHeight="1">
      <c r="A3733" s="34"/>
    </row>
    <row r="3734" spans="1:1" ht="15.75" customHeight="1">
      <c r="A3734" s="34"/>
    </row>
    <row r="3735" spans="1:1" ht="15.75" customHeight="1">
      <c r="A3735" s="34"/>
    </row>
    <row r="3736" spans="1:1" ht="15.75" customHeight="1">
      <c r="A3736" s="34"/>
    </row>
    <row r="3737" spans="1:1" ht="15.75" customHeight="1">
      <c r="A3737" s="34"/>
    </row>
    <row r="3738" spans="1:1" ht="15.75" customHeight="1">
      <c r="A3738" s="34"/>
    </row>
    <row r="3739" spans="1:1" ht="15.75" customHeight="1">
      <c r="A3739" s="34"/>
    </row>
    <row r="3740" spans="1:1" ht="15.75" customHeight="1">
      <c r="A3740" s="34"/>
    </row>
    <row r="3741" spans="1:1" ht="15.75" customHeight="1">
      <c r="A3741" s="34"/>
    </row>
    <row r="3742" spans="1:1" ht="15.75" customHeight="1">
      <c r="A3742" s="34"/>
    </row>
    <row r="3743" spans="1:1" ht="15.75" customHeight="1">
      <c r="A3743" s="34"/>
    </row>
    <row r="3744" spans="1:1" ht="15.75" customHeight="1">
      <c r="A3744" s="34"/>
    </row>
    <row r="3745" spans="1:1" ht="15.75" customHeight="1">
      <c r="A3745" s="34"/>
    </row>
    <row r="3746" spans="1:1" ht="15.75" customHeight="1">
      <c r="A3746" s="34"/>
    </row>
    <row r="3747" spans="1:1" ht="15.75" customHeight="1">
      <c r="A3747" s="34"/>
    </row>
    <row r="3748" spans="1:1" ht="15.75" customHeight="1">
      <c r="A3748" s="34"/>
    </row>
    <row r="3749" spans="1:1" ht="15.75" customHeight="1">
      <c r="A3749" s="34"/>
    </row>
    <row r="3750" spans="1:1" ht="15.75" customHeight="1">
      <c r="A3750" s="34"/>
    </row>
    <row r="3751" spans="1:1" ht="15.75" customHeight="1">
      <c r="A3751" s="34"/>
    </row>
    <row r="3752" spans="1:1" ht="15.75" customHeight="1">
      <c r="A3752" s="34"/>
    </row>
    <row r="3753" spans="1:1" ht="15.75" customHeight="1">
      <c r="A3753" s="34"/>
    </row>
    <row r="3754" spans="1:1" ht="15.75" customHeight="1">
      <c r="A3754" s="34"/>
    </row>
    <row r="3755" spans="1:1" ht="15.75" customHeight="1">
      <c r="A3755" s="34"/>
    </row>
    <row r="3756" spans="1:1" ht="15.75" customHeight="1">
      <c r="A3756" s="34"/>
    </row>
    <row r="3757" spans="1:1" ht="15.75" customHeight="1">
      <c r="A3757" s="34"/>
    </row>
    <row r="3758" spans="1:1" ht="15.75" customHeight="1">
      <c r="A3758" s="34"/>
    </row>
    <row r="3759" spans="1:1" ht="15.75" customHeight="1">
      <c r="A3759" s="34"/>
    </row>
    <row r="3760" spans="1:1" ht="15.75" customHeight="1">
      <c r="A3760" s="34"/>
    </row>
    <row r="3761" spans="1:1" ht="15.75" customHeight="1">
      <c r="A3761" s="34"/>
    </row>
    <row r="3762" spans="1:1" ht="15.75" customHeight="1">
      <c r="A3762" s="34"/>
    </row>
    <row r="3763" spans="1:1" ht="15.75" customHeight="1">
      <c r="A3763" s="34"/>
    </row>
    <row r="3764" spans="1:1" ht="15.75" customHeight="1">
      <c r="A3764" s="34"/>
    </row>
    <row r="3765" spans="1:1" ht="15.75" customHeight="1">
      <c r="A3765" s="34"/>
    </row>
    <row r="3766" spans="1:1" ht="15.75" customHeight="1">
      <c r="A3766" s="34"/>
    </row>
    <row r="3767" spans="1:1" ht="15.75" customHeight="1">
      <c r="A3767" s="34"/>
    </row>
    <row r="3768" spans="1:1" ht="15.75" customHeight="1">
      <c r="A3768" s="34"/>
    </row>
    <row r="3769" spans="1:1" ht="15.75" customHeight="1">
      <c r="A3769" s="34"/>
    </row>
    <row r="3770" spans="1:1" ht="15.75" customHeight="1">
      <c r="A3770" s="34"/>
    </row>
    <row r="3771" spans="1:1" ht="15.75" customHeight="1">
      <c r="A3771" s="34"/>
    </row>
    <row r="3772" spans="1:1" ht="15.75" customHeight="1">
      <c r="A3772" s="34"/>
    </row>
    <row r="3773" spans="1:1" ht="15.75" customHeight="1">
      <c r="A3773" s="34"/>
    </row>
    <row r="3774" spans="1:1" ht="15.75" customHeight="1">
      <c r="A3774" s="34"/>
    </row>
    <row r="3775" spans="1:1" ht="15.75" customHeight="1">
      <c r="A3775" s="34"/>
    </row>
    <row r="3776" spans="1:1" ht="15.75" customHeight="1">
      <c r="A3776" s="34"/>
    </row>
    <row r="3777" spans="1:1" ht="15.75" customHeight="1">
      <c r="A3777" s="34"/>
    </row>
    <row r="3778" spans="1:1" ht="15.75" customHeight="1">
      <c r="A3778" s="34"/>
    </row>
    <row r="3779" spans="1:1" ht="15.75" customHeight="1">
      <c r="A3779" s="34"/>
    </row>
    <row r="3780" spans="1:1" ht="15.75" customHeight="1">
      <c r="A3780" s="34"/>
    </row>
    <row r="3781" spans="1:1" ht="15.75" customHeight="1">
      <c r="A3781" s="34"/>
    </row>
    <row r="3782" spans="1:1" ht="15.75" customHeight="1">
      <c r="A3782" s="34"/>
    </row>
    <row r="3783" spans="1:1" ht="15.75" customHeight="1">
      <c r="A3783" s="34"/>
    </row>
    <row r="3784" spans="1:1" ht="15.75" customHeight="1">
      <c r="A3784" s="34"/>
    </row>
    <row r="3785" spans="1:1" ht="15.75" customHeight="1">
      <c r="A3785" s="34"/>
    </row>
    <row r="3786" spans="1:1" ht="15.75" customHeight="1">
      <c r="A3786" s="34"/>
    </row>
    <row r="3787" spans="1:1" ht="15.75" customHeight="1">
      <c r="A3787" s="34"/>
    </row>
    <row r="3788" spans="1:1" ht="15.75" customHeight="1">
      <c r="A3788" s="34"/>
    </row>
    <row r="3789" spans="1:1" ht="15.75" customHeight="1">
      <c r="A3789" s="34"/>
    </row>
    <row r="3790" spans="1:1" ht="15.75" customHeight="1">
      <c r="A3790" s="34"/>
    </row>
    <row r="3791" spans="1:1" ht="15.75" customHeight="1">
      <c r="A3791" s="34"/>
    </row>
    <row r="3792" spans="1:1" ht="15.75" customHeight="1">
      <c r="A3792" s="34"/>
    </row>
    <row r="3793" spans="1:1" ht="15.75" customHeight="1">
      <c r="A3793" s="34"/>
    </row>
    <row r="3794" spans="1:1" ht="15.75" customHeight="1">
      <c r="A3794" s="34"/>
    </row>
    <row r="3795" spans="1:1" ht="15.75" customHeight="1">
      <c r="A3795" s="34"/>
    </row>
    <row r="3796" spans="1:1" ht="15.75" customHeight="1">
      <c r="A3796" s="34"/>
    </row>
    <row r="3797" spans="1:1" ht="15.75" customHeight="1">
      <c r="A3797" s="34"/>
    </row>
    <row r="3798" spans="1:1" ht="15.75" customHeight="1">
      <c r="A3798" s="34"/>
    </row>
    <row r="3799" spans="1:1" ht="15.75" customHeight="1">
      <c r="A3799" s="34"/>
    </row>
    <row r="3800" spans="1:1" ht="15.75" customHeight="1">
      <c r="A3800" s="34"/>
    </row>
    <row r="3801" spans="1:1" ht="15.75" customHeight="1">
      <c r="A3801" s="34"/>
    </row>
    <row r="3802" spans="1:1" ht="15.75" customHeight="1">
      <c r="A3802" s="34"/>
    </row>
    <row r="3803" spans="1:1" ht="15.75" customHeight="1">
      <c r="A3803" s="34"/>
    </row>
    <row r="3804" spans="1:1" ht="15.75" customHeight="1">
      <c r="A3804" s="34"/>
    </row>
    <row r="3805" spans="1:1" ht="15.75" customHeight="1">
      <c r="A3805" s="34"/>
    </row>
    <row r="3806" spans="1:1" ht="15.75" customHeight="1">
      <c r="A3806" s="34"/>
    </row>
    <row r="3807" spans="1:1" ht="15.75" customHeight="1">
      <c r="A3807" s="34"/>
    </row>
    <row r="3808" spans="1:1" ht="15.75" customHeight="1">
      <c r="A3808" s="34"/>
    </row>
    <row r="3809" spans="1:1" ht="15.75" customHeight="1">
      <c r="A3809" s="34"/>
    </row>
    <row r="3810" spans="1:1" ht="15.75" customHeight="1">
      <c r="A3810" s="34"/>
    </row>
    <row r="3811" spans="1:1" ht="15.75" customHeight="1">
      <c r="A3811" s="34"/>
    </row>
    <row r="3812" spans="1:1" ht="15.75" customHeight="1">
      <c r="A3812" s="34"/>
    </row>
    <row r="3813" spans="1:1" ht="15.75" customHeight="1">
      <c r="A3813" s="34"/>
    </row>
    <row r="3814" spans="1:1" ht="15.75" customHeight="1">
      <c r="A3814" s="34"/>
    </row>
    <row r="3815" spans="1:1" ht="15.75" customHeight="1">
      <c r="A3815" s="34"/>
    </row>
    <row r="3816" spans="1:1" ht="15.75" customHeight="1">
      <c r="A3816" s="34"/>
    </row>
    <row r="3817" spans="1:1" ht="15.75" customHeight="1">
      <c r="A3817" s="34"/>
    </row>
    <row r="3818" spans="1:1" ht="15.75" customHeight="1">
      <c r="A3818" s="34"/>
    </row>
    <row r="3819" spans="1:1" ht="15.75" customHeight="1">
      <c r="A3819" s="34"/>
    </row>
    <row r="3820" spans="1:1" ht="15.75" customHeight="1">
      <c r="A3820" s="34"/>
    </row>
    <row r="3821" spans="1:1" ht="15.75" customHeight="1">
      <c r="A3821" s="34"/>
    </row>
    <row r="3822" spans="1:1" ht="15.75" customHeight="1">
      <c r="A3822" s="34"/>
    </row>
    <row r="3823" spans="1:1" ht="15.75" customHeight="1">
      <c r="A3823" s="34"/>
    </row>
    <row r="3824" spans="1:1" ht="15.75" customHeight="1">
      <c r="A3824" s="34"/>
    </row>
    <row r="3825" spans="1:1" ht="15.75" customHeight="1">
      <c r="A3825" s="34"/>
    </row>
    <row r="3826" spans="1:1" ht="15.75" customHeight="1">
      <c r="A3826" s="34"/>
    </row>
    <row r="3827" spans="1:1" ht="15.75" customHeight="1">
      <c r="A3827" s="34"/>
    </row>
    <row r="3828" spans="1:1" ht="15.75" customHeight="1">
      <c r="A3828" s="34"/>
    </row>
    <row r="3829" spans="1:1" ht="15.75" customHeight="1">
      <c r="A3829" s="34"/>
    </row>
    <row r="3830" spans="1:1" ht="15.75" customHeight="1">
      <c r="A3830" s="34"/>
    </row>
    <row r="3831" spans="1:1" ht="15.75" customHeight="1">
      <c r="A3831" s="34"/>
    </row>
    <row r="3832" spans="1:1" ht="15.75" customHeight="1">
      <c r="A3832" s="34"/>
    </row>
    <row r="3833" spans="1:1" ht="15.75" customHeight="1">
      <c r="A3833" s="34"/>
    </row>
    <row r="3834" spans="1:1" ht="15.75" customHeight="1">
      <c r="A3834" s="34"/>
    </row>
    <row r="3835" spans="1:1" ht="15.75" customHeight="1">
      <c r="A3835" s="34"/>
    </row>
    <row r="3836" spans="1:1" ht="15.75" customHeight="1">
      <c r="A3836" s="34"/>
    </row>
    <row r="3837" spans="1:1" ht="15.75" customHeight="1">
      <c r="A3837" s="34"/>
    </row>
    <row r="3838" spans="1:1" ht="15.75" customHeight="1">
      <c r="A3838" s="34"/>
    </row>
    <row r="3839" spans="1:1" ht="15.75" customHeight="1">
      <c r="A3839" s="34"/>
    </row>
    <row r="3840" spans="1:1" ht="15.75" customHeight="1">
      <c r="A3840" s="34"/>
    </row>
    <row r="3841" spans="1:1" ht="15.75" customHeight="1">
      <c r="A3841" s="34"/>
    </row>
    <row r="3842" spans="1:1" ht="15.75" customHeight="1">
      <c r="A3842" s="34"/>
    </row>
    <row r="3843" spans="1:1" ht="15.75" customHeight="1">
      <c r="A3843" s="34"/>
    </row>
    <row r="3844" spans="1:1" ht="15.75" customHeight="1">
      <c r="A3844" s="34"/>
    </row>
    <row r="3845" spans="1:1" ht="15.75" customHeight="1">
      <c r="A3845" s="34"/>
    </row>
    <row r="3846" spans="1:1" ht="15.75" customHeight="1">
      <c r="A3846" s="34"/>
    </row>
    <row r="3847" spans="1:1" ht="15.75" customHeight="1">
      <c r="A3847" s="34"/>
    </row>
    <row r="3848" spans="1:1" ht="15.75" customHeight="1">
      <c r="A3848" s="34"/>
    </row>
    <row r="3849" spans="1:1" ht="15.75" customHeight="1">
      <c r="A3849" s="34"/>
    </row>
    <row r="3850" spans="1:1" ht="15.75" customHeight="1">
      <c r="A3850" s="34"/>
    </row>
    <row r="3851" spans="1:1" ht="15.75" customHeight="1">
      <c r="A3851" s="34"/>
    </row>
    <row r="3852" spans="1:1" ht="15.75" customHeight="1">
      <c r="A3852" s="34"/>
    </row>
    <row r="3853" spans="1:1" ht="15.75" customHeight="1">
      <c r="A3853" s="34"/>
    </row>
    <row r="3854" spans="1:1" ht="15.75" customHeight="1">
      <c r="A3854" s="34"/>
    </row>
    <row r="3855" spans="1:1" ht="15.75" customHeight="1">
      <c r="A3855" s="34"/>
    </row>
    <row r="3856" spans="1:1" ht="15.75" customHeight="1">
      <c r="A3856" s="34"/>
    </row>
    <row r="3857" spans="1:1" ht="15.75" customHeight="1">
      <c r="A3857" s="34"/>
    </row>
    <row r="3858" spans="1:1" ht="15.75" customHeight="1">
      <c r="A3858" s="34"/>
    </row>
    <row r="3859" spans="1:1" ht="15.75" customHeight="1">
      <c r="A3859" s="34"/>
    </row>
    <row r="3860" spans="1:1" ht="15.75" customHeight="1">
      <c r="A3860" s="34"/>
    </row>
    <row r="3861" spans="1:1" ht="15.75" customHeight="1">
      <c r="A3861" s="34"/>
    </row>
    <row r="3862" spans="1:1" ht="15.75" customHeight="1">
      <c r="A3862" s="34"/>
    </row>
    <row r="3863" spans="1:1" ht="15.75" customHeight="1">
      <c r="A3863" s="34"/>
    </row>
    <row r="3864" spans="1:1" ht="15.75" customHeight="1">
      <c r="A3864" s="34"/>
    </row>
    <row r="3865" spans="1:1" ht="15.75" customHeight="1">
      <c r="A3865" s="34"/>
    </row>
    <row r="3866" spans="1:1" ht="15.75" customHeight="1">
      <c r="A3866" s="34"/>
    </row>
    <row r="3867" spans="1:1" ht="15.75" customHeight="1">
      <c r="A3867" s="34"/>
    </row>
    <row r="3868" spans="1:1" ht="15.75" customHeight="1">
      <c r="A3868" s="34"/>
    </row>
    <row r="3869" spans="1:1" ht="15.75" customHeight="1">
      <c r="A3869" s="34"/>
    </row>
    <row r="3870" spans="1:1" ht="15.75" customHeight="1">
      <c r="A3870" s="34"/>
    </row>
    <row r="3871" spans="1:1" ht="15.75" customHeight="1">
      <c r="A3871" s="34"/>
    </row>
    <row r="3872" spans="1:1" ht="15.75" customHeight="1">
      <c r="A3872" s="34"/>
    </row>
    <row r="3873" spans="1:1" ht="15.75" customHeight="1">
      <c r="A3873" s="34"/>
    </row>
    <row r="3874" spans="1:1" ht="15.75" customHeight="1">
      <c r="A3874" s="34"/>
    </row>
    <row r="3875" spans="1:1" ht="15.75" customHeight="1">
      <c r="A3875" s="34"/>
    </row>
    <row r="3876" spans="1:1" ht="15.75" customHeight="1">
      <c r="A3876" s="34"/>
    </row>
    <row r="3877" spans="1:1" ht="15.75" customHeight="1">
      <c r="A3877" s="34"/>
    </row>
    <row r="3878" spans="1:1" ht="15.75" customHeight="1">
      <c r="A3878" s="34"/>
    </row>
    <row r="3879" spans="1:1" ht="15.75" customHeight="1">
      <c r="A3879" s="34"/>
    </row>
    <row r="3880" spans="1:1" ht="15.75" customHeight="1">
      <c r="A3880" s="34"/>
    </row>
    <row r="3881" spans="1:1" ht="15.75" customHeight="1">
      <c r="A3881" s="34"/>
    </row>
    <row r="3882" spans="1:1" ht="15.75" customHeight="1">
      <c r="A3882" s="34"/>
    </row>
    <row r="3883" spans="1:1" ht="15.75" customHeight="1">
      <c r="A3883" s="34"/>
    </row>
    <row r="3884" spans="1:1" ht="15.75" customHeight="1">
      <c r="A3884" s="34"/>
    </row>
    <row r="3885" spans="1:1" ht="15.75" customHeight="1">
      <c r="A3885" s="34"/>
    </row>
    <row r="3886" spans="1:1" ht="15.75" customHeight="1">
      <c r="A3886" s="34"/>
    </row>
    <row r="3887" spans="1:1" ht="15.75" customHeight="1">
      <c r="A3887" s="34"/>
    </row>
    <row r="3888" spans="1:1" ht="15.75" customHeight="1">
      <c r="A3888" s="34"/>
    </row>
    <row r="3889" spans="1:1" ht="15.75" customHeight="1">
      <c r="A3889" s="34"/>
    </row>
    <row r="3890" spans="1:1" ht="15.75" customHeight="1">
      <c r="A3890" s="34"/>
    </row>
    <row r="3891" spans="1:1" ht="15.75" customHeight="1">
      <c r="A3891" s="34"/>
    </row>
    <row r="3892" spans="1:1" ht="15.75" customHeight="1">
      <c r="A3892" s="34"/>
    </row>
    <row r="3893" spans="1:1" ht="15.75" customHeight="1">
      <c r="A3893" s="34"/>
    </row>
    <row r="3894" spans="1:1" ht="15.75" customHeight="1">
      <c r="A3894" s="34"/>
    </row>
    <row r="3895" spans="1:1" ht="15.75" customHeight="1">
      <c r="A3895" s="34"/>
    </row>
    <row r="3896" spans="1:1" ht="15.75" customHeight="1">
      <c r="A3896" s="34"/>
    </row>
    <row r="3897" spans="1:1" ht="15.75" customHeight="1">
      <c r="A3897" s="34"/>
    </row>
    <row r="3898" spans="1:1" ht="15.75" customHeight="1">
      <c r="A3898" s="34"/>
    </row>
    <row r="3899" spans="1:1" ht="15.75" customHeight="1">
      <c r="A3899" s="34"/>
    </row>
    <row r="3900" spans="1:1" ht="15.75" customHeight="1">
      <c r="A3900" s="34"/>
    </row>
    <row r="3901" spans="1:1" ht="15.75" customHeight="1">
      <c r="A3901" s="34"/>
    </row>
    <row r="3902" spans="1:1" ht="15.75" customHeight="1">
      <c r="A3902" s="34"/>
    </row>
    <row r="3903" spans="1:1" ht="15.75" customHeight="1">
      <c r="A3903" s="34"/>
    </row>
    <row r="3904" spans="1:1" ht="15.75" customHeight="1">
      <c r="A3904" s="34"/>
    </row>
    <row r="3905" spans="1:1" ht="15.75" customHeight="1">
      <c r="A3905" s="34"/>
    </row>
    <row r="3906" spans="1:1" ht="15.75" customHeight="1">
      <c r="A3906" s="34"/>
    </row>
    <row r="3907" spans="1:1" ht="15.75" customHeight="1">
      <c r="A3907" s="34"/>
    </row>
    <row r="3908" spans="1:1" ht="15.75" customHeight="1">
      <c r="A3908" s="34"/>
    </row>
    <row r="3909" spans="1:1" ht="15.75" customHeight="1">
      <c r="A3909" s="34"/>
    </row>
    <row r="3910" spans="1:1" ht="15.75" customHeight="1">
      <c r="A3910" s="34"/>
    </row>
    <row r="3911" spans="1:1" ht="15.75" customHeight="1">
      <c r="A3911" s="34"/>
    </row>
    <row r="3912" spans="1:1" ht="15.75" customHeight="1">
      <c r="A3912" s="34"/>
    </row>
    <row r="3913" spans="1:1" ht="15.75" customHeight="1">
      <c r="A3913" s="34"/>
    </row>
    <row r="3914" spans="1:1" ht="15.75" customHeight="1">
      <c r="A3914" s="34"/>
    </row>
    <row r="3915" spans="1:1" ht="15.75" customHeight="1">
      <c r="A3915" s="34"/>
    </row>
    <row r="3916" spans="1:1" ht="15.75" customHeight="1">
      <c r="A3916" s="34"/>
    </row>
    <row r="3917" spans="1:1" ht="15.75" customHeight="1">
      <c r="A3917" s="34"/>
    </row>
    <row r="3918" spans="1:1" ht="15.75" customHeight="1">
      <c r="A3918" s="34"/>
    </row>
    <row r="3919" spans="1:1" ht="15.75" customHeight="1">
      <c r="A3919" s="34"/>
    </row>
    <row r="3920" spans="1:1" ht="15.75" customHeight="1">
      <c r="A3920" s="34"/>
    </row>
    <row r="3921" spans="1:1" ht="15.75" customHeight="1">
      <c r="A3921" s="34"/>
    </row>
    <row r="3922" spans="1:1" ht="15.75" customHeight="1">
      <c r="A3922" s="34"/>
    </row>
    <row r="3923" spans="1:1" ht="15.75" customHeight="1">
      <c r="A3923" s="34"/>
    </row>
    <row r="3924" spans="1:1" ht="15.75" customHeight="1">
      <c r="A3924" s="34"/>
    </row>
    <row r="3925" spans="1:1" ht="15.75" customHeight="1">
      <c r="A3925" s="34"/>
    </row>
    <row r="3926" spans="1:1" ht="15.75" customHeight="1">
      <c r="A3926" s="34"/>
    </row>
    <row r="3927" spans="1:1" ht="15.75" customHeight="1">
      <c r="A3927" s="34"/>
    </row>
    <row r="3928" spans="1:1" ht="15.75" customHeight="1">
      <c r="A3928" s="34"/>
    </row>
    <row r="3929" spans="1:1" ht="15.75" customHeight="1">
      <c r="A3929" s="34"/>
    </row>
    <row r="3930" spans="1:1" ht="15.75" customHeight="1">
      <c r="A3930" s="34"/>
    </row>
    <row r="3931" spans="1:1" ht="15.75" customHeight="1">
      <c r="A3931" s="34"/>
    </row>
    <row r="3932" spans="1:1" ht="15.75" customHeight="1">
      <c r="A3932" s="34"/>
    </row>
    <row r="3933" spans="1:1" ht="15.75" customHeight="1">
      <c r="A3933" s="34"/>
    </row>
    <row r="3934" spans="1:1" ht="15.75" customHeight="1">
      <c r="A3934" s="34"/>
    </row>
    <row r="3935" spans="1:1" ht="15.75" customHeight="1">
      <c r="A3935" s="34"/>
    </row>
    <row r="3936" spans="1:1" ht="15.75" customHeight="1">
      <c r="A3936" s="34"/>
    </row>
    <row r="3937" spans="1:1" ht="15.75" customHeight="1">
      <c r="A3937" s="34"/>
    </row>
    <row r="3938" spans="1:1" ht="15.75" customHeight="1">
      <c r="A3938" s="34"/>
    </row>
    <row r="3939" spans="1:1" ht="15.75" customHeight="1">
      <c r="A3939" s="34"/>
    </row>
    <row r="3940" spans="1:1" ht="15.75" customHeight="1">
      <c r="A3940" s="34"/>
    </row>
    <row r="3941" spans="1:1" ht="15.75" customHeight="1">
      <c r="A3941" s="34"/>
    </row>
    <row r="3942" spans="1:1" ht="15.75" customHeight="1">
      <c r="A3942" s="34"/>
    </row>
    <row r="3943" spans="1:1" ht="15.75" customHeight="1">
      <c r="A3943" s="34"/>
    </row>
    <row r="3944" spans="1:1" ht="15.75" customHeight="1">
      <c r="A3944" s="34"/>
    </row>
    <row r="3945" spans="1:1" ht="15.75" customHeight="1">
      <c r="A3945" s="34"/>
    </row>
    <row r="3946" spans="1:1" ht="15.75" customHeight="1">
      <c r="A3946" s="34"/>
    </row>
    <row r="3947" spans="1:1" ht="15.75" customHeight="1">
      <c r="A3947" s="34"/>
    </row>
    <row r="3948" spans="1:1" ht="15.75" customHeight="1">
      <c r="A3948" s="34"/>
    </row>
    <row r="3949" spans="1:1" ht="15.75" customHeight="1">
      <c r="A3949" s="34"/>
    </row>
    <row r="3950" spans="1:1" ht="15.75" customHeight="1">
      <c r="A3950" s="34"/>
    </row>
    <row r="3951" spans="1:1" ht="15.75" customHeight="1">
      <c r="A3951" s="34"/>
    </row>
    <row r="3952" spans="1:1" ht="15.75" customHeight="1">
      <c r="A3952" s="34"/>
    </row>
    <row r="3953" spans="1:1" ht="15.75" customHeight="1">
      <c r="A3953" s="34"/>
    </row>
    <row r="3954" spans="1:1" ht="15.75" customHeight="1">
      <c r="A3954" s="34"/>
    </row>
    <row r="3955" spans="1:1" ht="15.75" customHeight="1">
      <c r="A3955" s="34"/>
    </row>
    <row r="3956" spans="1:1" ht="15.75" customHeight="1">
      <c r="A3956" s="34"/>
    </row>
    <row r="3957" spans="1:1" ht="15.75" customHeight="1">
      <c r="A3957" s="34"/>
    </row>
    <row r="3958" spans="1:1" ht="15.75" customHeight="1">
      <c r="A3958" s="34"/>
    </row>
    <row r="3959" spans="1:1" ht="15.75" customHeight="1">
      <c r="A3959" s="34"/>
    </row>
    <row r="3960" spans="1:1" ht="15.75" customHeight="1">
      <c r="A3960" s="34"/>
    </row>
    <row r="3961" spans="1:1" ht="15.75" customHeight="1">
      <c r="A3961" s="34"/>
    </row>
    <row r="3962" spans="1:1" ht="15.75" customHeight="1">
      <c r="A3962" s="34"/>
    </row>
    <row r="3963" spans="1:1" ht="15.75" customHeight="1">
      <c r="A3963" s="34"/>
    </row>
    <row r="3964" spans="1:1" ht="15.75" customHeight="1">
      <c r="A3964" s="34"/>
    </row>
    <row r="3965" spans="1:1" ht="15.75" customHeight="1">
      <c r="A3965" s="34"/>
    </row>
    <row r="3966" spans="1:1" ht="15.75" customHeight="1">
      <c r="A3966" s="34"/>
    </row>
    <row r="3967" spans="1:1" ht="15.75" customHeight="1">
      <c r="A3967" s="34"/>
    </row>
    <row r="3968" spans="1:1" ht="15.75" customHeight="1">
      <c r="A3968" s="34"/>
    </row>
    <row r="3969" spans="1:1" ht="15.75" customHeight="1">
      <c r="A3969" s="34"/>
    </row>
    <row r="3970" spans="1:1" ht="15.75" customHeight="1">
      <c r="A3970" s="34"/>
    </row>
    <row r="3971" spans="1:1" ht="15.75" customHeight="1">
      <c r="A3971" s="34"/>
    </row>
    <row r="3972" spans="1:1" ht="15.75" customHeight="1">
      <c r="A3972" s="34"/>
    </row>
    <row r="3973" spans="1:1" ht="15.75" customHeight="1">
      <c r="A3973" s="34"/>
    </row>
    <row r="3974" spans="1:1" ht="15.75" customHeight="1">
      <c r="A3974" s="34"/>
    </row>
    <row r="3975" spans="1:1" ht="15.75" customHeight="1">
      <c r="A3975" s="34"/>
    </row>
    <row r="3976" spans="1:1" ht="15.75" customHeight="1">
      <c r="A3976" s="34"/>
    </row>
    <row r="3977" spans="1:1" ht="15.75" customHeight="1">
      <c r="A3977" s="34"/>
    </row>
    <row r="3978" spans="1:1" ht="15.75" customHeight="1">
      <c r="A3978" s="34"/>
    </row>
    <row r="3979" spans="1:1" ht="15.75" customHeight="1">
      <c r="A3979" s="34"/>
    </row>
    <row r="3980" spans="1:1" ht="15.75" customHeight="1">
      <c r="A3980" s="34"/>
    </row>
    <row r="3981" spans="1:1" ht="15.75" customHeight="1">
      <c r="A3981" s="34"/>
    </row>
    <row r="3982" spans="1:1" ht="15.75" customHeight="1">
      <c r="A3982" s="34"/>
    </row>
    <row r="3983" spans="1:1" ht="15.75" customHeight="1">
      <c r="A3983" s="34"/>
    </row>
    <row r="3984" spans="1:1" ht="15.75" customHeight="1">
      <c r="A3984" s="34"/>
    </row>
    <row r="3985" spans="1:1" ht="15.75" customHeight="1">
      <c r="A3985" s="34"/>
    </row>
    <row r="3986" spans="1:1" ht="15.75" customHeight="1">
      <c r="A3986" s="34"/>
    </row>
    <row r="3987" spans="1:1" ht="15.75" customHeight="1">
      <c r="A3987" s="34"/>
    </row>
    <row r="3988" spans="1:1" ht="15.75" customHeight="1">
      <c r="A3988" s="34"/>
    </row>
    <row r="3989" spans="1:1" ht="15.75" customHeight="1">
      <c r="A3989" s="34"/>
    </row>
    <row r="3990" spans="1:1" ht="15.75" customHeight="1">
      <c r="A3990" s="34"/>
    </row>
    <row r="3991" spans="1:1" ht="15.75" customHeight="1">
      <c r="A3991" s="34"/>
    </row>
    <row r="3992" spans="1:1" ht="15.75" customHeight="1">
      <c r="A3992" s="34"/>
    </row>
    <row r="3993" spans="1:1" ht="15.75" customHeight="1">
      <c r="A3993" s="34"/>
    </row>
    <row r="3994" spans="1:1" ht="15.75" customHeight="1">
      <c r="A3994" s="34"/>
    </row>
    <row r="3995" spans="1:1" ht="15.75" customHeight="1">
      <c r="A3995" s="34"/>
    </row>
    <row r="3996" spans="1:1" ht="15.75" customHeight="1">
      <c r="A3996" s="34"/>
    </row>
    <row r="3997" spans="1:1" ht="15.75" customHeight="1">
      <c r="A3997" s="34"/>
    </row>
    <row r="3998" spans="1:1" ht="15.75" customHeight="1">
      <c r="A3998" s="34"/>
    </row>
    <row r="3999" spans="1:1" ht="15.75" customHeight="1">
      <c r="A3999" s="34"/>
    </row>
    <row r="4000" spans="1:1" ht="15.75" customHeight="1">
      <c r="A4000" s="34"/>
    </row>
    <row r="4001" spans="1:1" ht="15.75" customHeight="1">
      <c r="A4001" s="34"/>
    </row>
    <row r="4002" spans="1:1" ht="15.75" customHeight="1">
      <c r="A4002" s="34"/>
    </row>
    <row r="4003" spans="1:1" ht="15.75" customHeight="1">
      <c r="A4003" s="34"/>
    </row>
    <row r="4004" spans="1:1" ht="15.75" customHeight="1">
      <c r="A4004" s="34"/>
    </row>
    <row r="4005" spans="1:1" ht="15.75" customHeight="1">
      <c r="A4005" s="34"/>
    </row>
    <row r="4006" spans="1:1" ht="15.75" customHeight="1">
      <c r="A4006" s="34"/>
    </row>
    <row r="4007" spans="1:1" ht="15.75" customHeight="1">
      <c r="A4007" s="34"/>
    </row>
    <row r="4008" spans="1:1" ht="15.75" customHeight="1">
      <c r="A4008" s="34"/>
    </row>
    <row r="4009" spans="1:1" ht="15.75" customHeight="1">
      <c r="A4009" s="34"/>
    </row>
    <row r="4010" spans="1:1" ht="15.75" customHeight="1">
      <c r="A4010" s="34"/>
    </row>
    <row r="4011" spans="1:1" ht="15.75" customHeight="1">
      <c r="A4011" s="34"/>
    </row>
    <row r="4012" spans="1:1" ht="15.75" customHeight="1">
      <c r="A4012" s="34"/>
    </row>
    <row r="4013" spans="1:1" ht="15.75" customHeight="1">
      <c r="A4013" s="34"/>
    </row>
    <row r="4014" spans="1:1" ht="15.75" customHeight="1">
      <c r="A4014" s="34"/>
    </row>
    <row r="4015" spans="1:1" ht="15.75" customHeight="1">
      <c r="A4015" s="34"/>
    </row>
    <row r="4016" spans="1:1" ht="15.75" customHeight="1">
      <c r="A4016" s="34"/>
    </row>
    <row r="4017" spans="1:1" ht="15.75" customHeight="1">
      <c r="A4017" s="34"/>
    </row>
    <row r="4018" spans="1:1" ht="15.75" customHeight="1">
      <c r="A4018" s="34"/>
    </row>
    <row r="4019" spans="1:1" ht="15.75" customHeight="1">
      <c r="A4019" s="34"/>
    </row>
    <row r="4020" spans="1:1" ht="15.75" customHeight="1">
      <c r="A4020" s="34"/>
    </row>
    <row r="4021" spans="1:1" ht="15.75" customHeight="1">
      <c r="A4021" s="34"/>
    </row>
    <row r="4022" spans="1:1" ht="15.75" customHeight="1">
      <c r="A4022" s="34"/>
    </row>
    <row r="4023" spans="1:1" ht="15.75" customHeight="1">
      <c r="A4023" s="34"/>
    </row>
    <row r="4024" spans="1:1" ht="15.75" customHeight="1">
      <c r="A4024" s="34"/>
    </row>
    <row r="4025" spans="1:1" ht="15.75" customHeight="1">
      <c r="A4025" s="34"/>
    </row>
    <row r="4026" spans="1:1" ht="15.75" customHeight="1">
      <c r="A4026" s="34"/>
    </row>
    <row r="4027" spans="1:1" ht="15.75" customHeight="1">
      <c r="A4027" s="34"/>
    </row>
    <row r="4028" spans="1:1" ht="15.75" customHeight="1">
      <c r="A4028" s="34"/>
    </row>
    <row r="4029" spans="1:1" ht="15.75" customHeight="1">
      <c r="A4029" s="34"/>
    </row>
    <row r="4030" spans="1:1" ht="15.75" customHeight="1">
      <c r="A4030" s="34"/>
    </row>
    <row r="4031" spans="1:1" ht="15.75" customHeight="1">
      <c r="A4031" s="34"/>
    </row>
    <row r="4032" spans="1:1" ht="15.75" customHeight="1">
      <c r="A4032" s="34"/>
    </row>
    <row r="4033" spans="1:1" ht="15.75" customHeight="1">
      <c r="A4033" s="34"/>
    </row>
    <row r="4034" spans="1:1" ht="15.75" customHeight="1">
      <c r="A4034" s="34"/>
    </row>
    <row r="4035" spans="1:1" ht="15.75" customHeight="1">
      <c r="A4035" s="34"/>
    </row>
    <row r="4036" spans="1:1" ht="15.75" customHeight="1">
      <c r="A4036" s="34"/>
    </row>
    <row r="4037" spans="1:1" ht="15.75" customHeight="1">
      <c r="A4037" s="34"/>
    </row>
    <row r="4038" spans="1:1" ht="15.75" customHeight="1">
      <c r="A4038" s="34"/>
    </row>
    <row r="4039" spans="1:1" ht="15.75" customHeight="1">
      <c r="A4039" s="34"/>
    </row>
    <row r="4040" spans="1:1" ht="15.75" customHeight="1">
      <c r="A4040" s="34"/>
    </row>
    <row r="4041" spans="1:1" ht="15.75" customHeight="1">
      <c r="A4041" s="34"/>
    </row>
    <row r="4042" spans="1:1" ht="15.75" customHeight="1">
      <c r="A4042" s="34"/>
    </row>
    <row r="4043" spans="1:1" ht="15.75" customHeight="1">
      <c r="A4043" s="34"/>
    </row>
    <row r="4044" spans="1:1" ht="15.75" customHeight="1">
      <c r="A4044" s="34"/>
    </row>
    <row r="4045" spans="1:1" ht="15.75" customHeight="1">
      <c r="A4045" s="34"/>
    </row>
    <row r="4046" spans="1:1" ht="15.75" customHeight="1">
      <c r="A4046" s="34"/>
    </row>
    <row r="4047" spans="1:1" ht="15.75" customHeight="1">
      <c r="A4047" s="34"/>
    </row>
    <row r="4048" spans="1:1" ht="15.75" customHeight="1">
      <c r="A4048" s="34"/>
    </row>
    <row r="4049" spans="1:1" ht="15.75" customHeight="1">
      <c r="A4049" s="34"/>
    </row>
    <row r="4050" spans="1:1" ht="15.75" customHeight="1">
      <c r="A4050" s="34"/>
    </row>
    <row r="4051" spans="1:1" ht="15.75" customHeight="1">
      <c r="A4051" s="34"/>
    </row>
    <row r="4052" spans="1:1" ht="15.75" customHeight="1">
      <c r="A4052" s="34"/>
    </row>
    <row r="4053" spans="1:1" ht="15.75" customHeight="1">
      <c r="A4053" s="34"/>
    </row>
    <row r="4054" spans="1:1" ht="15.75" customHeight="1">
      <c r="A4054" s="34"/>
    </row>
    <row r="4055" spans="1:1" ht="15.75" customHeight="1">
      <c r="A4055" s="34"/>
    </row>
    <row r="4056" spans="1:1" ht="15.75" customHeight="1">
      <c r="A4056" s="34"/>
    </row>
    <row r="4057" spans="1:1" ht="15.75" customHeight="1">
      <c r="A4057" s="34"/>
    </row>
    <row r="4058" spans="1:1" ht="15.75" customHeight="1">
      <c r="A4058" s="34"/>
    </row>
    <row r="4059" spans="1:1" ht="15.75" customHeight="1">
      <c r="A4059" s="34"/>
    </row>
    <row r="4060" spans="1:1" ht="15.75" customHeight="1">
      <c r="A4060" s="34"/>
    </row>
    <row r="4061" spans="1:1" ht="15.75" customHeight="1">
      <c r="A4061" s="34"/>
    </row>
    <row r="4062" spans="1:1" ht="15.75" customHeight="1">
      <c r="A4062" s="34"/>
    </row>
    <row r="4063" spans="1:1" ht="15.75" customHeight="1">
      <c r="A4063" s="34"/>
    </row>
    <row r="4064" spans="1:1" ht="15.75" customHeight="1">
      <c r="A4064" s="34"/>
    </row>
    <row r="4065" spans="1:1" ht="15.75" customHeight="1">
      <c r="A4065" s="34"/>
    </row>
    <row r="4066" spans="1:1" ht="15.75" customHeight="1">
      <c r="A4066" s="34"/>
    </row>
    <row r="4067" spans="1:1" ht="15.75" customHeight="1">
      <c r="A4067" s="34"/>
    </row>
    <row r="4068" spans="1:1" ht="15.75" customHeight="1">
      <c r="A4068" s="34"/>
    </row>
    <row r="4069" spans="1:1" ht="15.75" customHeight="1">
      <c r="A4069" s="34"/>
    </row>
    <row r="4070" spans="1:1" ht="15.75" customHeight="1">
      <c r="A4070" s="34"/>
    </row>
    <row r="4071" spans="1:1" ht="15.75" customHeight="1">
      <c r="A4071" s="34"/>
    </row>
    <row r="4072" spans="1:1" ht="15.75" customHeight="1">
      <c r="A4072" s="34"/>
    </row>
    <row r="4073" spans="1:1" ht="15.75" customHeight="1">
      <c r="A4073" s="34"/>
    </row>
    <row r="4074" spans="1:1" ht="15.75" customHeight="1">
      <c r="A4074" s="34"/>
    </row>
    <row r="4075" spans="1:1" ht="15.75" customHeight="1">
      <c r="A4075" s="34"/>
    </row>
    <row r="4076" spans="1:1" ht="15.75" customHeight="1">
      <c r="A4076" s="34"/>
    </row>
    <row r="4077" spans="1:1" ht="15.75" customHeight="1">
      <c r="A4077" s="34"/>
    </row>
    <row r="4078" spans="1:1" ht="15.75" customHeight="1">
      <c r="A4078" s="34"/>
    </row>
    <row r="4079" spans="1:1" ht="15.75" customHeight="1">
      <c r="A4079" s="34"/>
    </row>
    <row r="4080" spans="1:1" ht="15.75" customHeight="1">
      <c r="A4080" s="34"/>
    </row>
    <row r="4081" spans="1:1" ht="15.75" customHeight="1">
      <c r="A4081" s="34"/>
    </row>
    <row r="4082" spans="1:1" ht="15.75" customHeight="1">
      <c r="A4082" s="34"/>
    </row>
    <row r="4083" spans="1:1" ht="15.75" customHeight="1">
      <c r="A4083" s="34"/>
    </row>
    <row r="4084" spans="1:1" ht="15.75" customHeight="1">
      <c r="A4084" s="34"/>
    </row>
    <row r="4085" spans="1:1" ht="15.75" customHeight="1">
      <c r="A4085" s="34"/>
    </row>
    <row r="4086" spans="1:1" ht="15.75" customHeight="1">
      <c r="A4086" s="34"/>
    </row>
    <row r="4087" spans="1:1" ht="15.75" customHeight="1">
      <c r="A4087" s="34"/>
    </row>
    <row r="4088" spans="1:1" ht="15.75" customHeight="1">
      <c r="A4088" s="34"/>
    </row>
    <row r="4089" spans="1:1" ht="15.75" customHeight="1">
      <c r="A4089" s="34"/>
    </row>
    <row r="4090" spans="1:1" ht="15.75" customHeight="1">
      <c r="A4090" s="34"/>
    </row>
    <row r="4091" spans="1:1" ht="15.75" customHeight="1">
      <c r="A4091" s="34"/>
    </row>
    <row r="4092" spans="1:1" ht="15.75" customHeight="1">
      <c r="A4092" s="34"/>
    </row>
    <row r="4093" spans="1:1" ht="15.75" customHeight="1">
      <c r="A4093" s="34"/>
    </row>
    <row r="4094" spans="1:1" ht="15.75" customHeight="1">
      <c r="A4094" s="34"/>
    </row>
    <row r="4095" spans="1:1" ht="15.75" customHeight="1">
      <c r="A4095" s="34"/>
    </row>
    <row r="4096" spans="1:1" ht="15.75" customHeight="1">
      <c r="A4096" s="34"/>
    </row>
    <row r="4097" spans="1:1" ht="15.75" customHeight="1">
      <c r="A4097" s="34"/>
    </row>
    <row r="4098" spans="1:1" ht="15.75" customHeight="1">
      <c r="A4098" s="34"/>
    </row>
    <row r="4099" spans="1:1" ht="15.75" customHeight="1">
      <c r="A4099" s="34"/>
    </row>
    <row r="4100" spans="1:1" ht="15.75" customHeight="1">
      <c r="A4100" s="34"/>
    </row>
    <row r="4101" spans="1:1" ht="15.75" customHeight="1">
      <c r="A4101" s="34"/>
    </row>
    <row r="4102" spans="1:1" ht="15.75" customHeight="1">
      <c r="A4102" s="34"/>
    </row>
    <row r="4103" spans="1:1" ht="15.75" customHeight="1">
      <c r="A4103" s="34"/>
    </row>
    <row r="4104" spans="1:1" ht="15.75" customHeight="1">
      <c r="A4104" s="34"/>
    </row>
    <row r="4105" spans="1:1" ht="15.75" customHeight="1">
      <c r="A4105" s="34"/>
    </row>
    <row r="4106" spans="1:1" ht="15.75" customHeight="1">
      <c r="A4106" s="34"/>
    </row>
    <row r="4107" spans="1:1" ht="15.75" customHeight="1">
      <c r="A4107" s="34"/>
    </row>
    <row r="4108" spans="1:1" ht="15.75" customHeight="1">
      <c r="A4108" s="34"/>
    </row>
    <row r="4109" spans="1:1" ht="15.75" customHeight="1">
      <c r="A4109" s="34"/>
    </row>
    <row r="4110" spans="1:1" ht="15.75" customHeight="1">
      <c r="A4110" s="34"/>
    </row>
    <row r="4111" spans="1:1" ht="15.75" customHeight="1">
      <c r="A4111" s="34"/>
    </row>
    <row r="4112" spans="1:1" ht="15.75" customHeight="1">
      <c r="A4112" s="34"/>
    </row>
    <row r="4113" spans="1:1" ht="15.75" customHeight="1">
      <c r="A4113" s="34"/>
    </row>
    <row r="4114" spans="1:1" ht="15.75" customHeight="1">
      <c r="A4114" s="34"/>
    </row>
    <row r="4115" spans="1:1" ht="15.75" customHeight="1">
      <c r="A4115" s="34"/>
    </row>
    <row r="4116" spans="1:1" ht="15.75" customHeight="1">
      <c r="A4116" s="34"/>
    </row>
    <row r="4117" spans="1:1" ht="15.75" customHeight="1">
      <c r="A4117" s="34"/>
    </row>
    <row r="4118" spans="1:1" ht="15.75" customHeight="1">
      <c r="A4118" s="34"/>
    </row>
    <row r="4119" spans="1:1" ht="15.75" customHeight="1">
      <c r="A4119" s="34"/>
    </row>
    <row r="4120" spans="1:1" ht="15.75" customHeight="1">
      <c r="A4120" s="34"/>
    </row>
    <row r="4121" spans="1:1" ht="15.75" customHeight="1">
      <c r="A4121" s="34"/>
    </row>
    <row r="4122" spans="1:1" ht="15.75" customHeight="1">
      <c r="A4122" s="34"/>
    </row>
    <row r="4123" spans="1:1" ht="15.75" customHeight="1">
      <c r="A4123" s="34"/>
    </row>
    <row r="4124" spans="1:1" ht="15.75" customHeight="1">
      <c r="A4124" s="34"/>
    </row>
    <row r="4125" spans="1:1" ht="15.75" customHeight="1">
      <c r="A4125" s="34"/>
    </row>
    <row r="4126" spans="1:1" ht="15.75" customHeight="1">
      <c r="A4126" s="34"/>
    </row>
    <row r="4127" spans="1:1" ht="15.75" customHeight="1">
      <c r="A4127" s="34"/>
    </row>
    <row r="4128" spans="1:1" ht="15.75" customHeight="1">
      <c r="A4128" s="34"/>
    </row>
    <row r="4129" spans="1:1" ht="15.75" customHeight="1">
      <c r="A4129" s="34"/>
    </row>
    <row r="4130" spans="1:1" ht="15.75" customHeight="1">
      <c r="A4130" s="34"/>
    </row>
    <row r="4131" spans="1:1" ht="15.75" customHeight="1">
      <c r="A4131" s="34"/>
    </row>
    <row r="4132" spans="1:1" ht="15.75" customHeight="1">
      <c r="A4132" s="34"/>
    </row>
    <row r="4133" spans="1:1" ht="15.75" customHeight="1">
      <c r="A4133" s="34"/>
    </row>
    <row r="4134" spans="1:1" ht="15.75" customHeight="1">
      <c r="A4134" s="34"/>
    </row>
    <row r="4135" spans="1:1" ht="15.75" customHeight="1">
      <c r="A4135" s="34"/>
    </row>
    <row r="4136" spans="1:1" ht="15.75" customHeight="1">
      <c r="A4136" s="34"/>
    </row>
    <row r="4137" spans="1:1" ht="15.75" customHeight="1">
      <c r="A4137" s="34"/>
    </row>
    <row r="4138" spans="1:1" ht="15.75" customHeight="1">
      <c r="A4138" s="34"/>
    </row>
    <row r="4139" spans="1:1" ht="15.75" customHeight="1">
      <c r="A4139" s="34"/>
    </row>
    <row r="4140" spans="1:1" ht="15.75" customHeight="1">
      <c r="A4140" s="34"/>
    </row>
    <row r="4141" spans="1:1" ht="15.75" customHeight="1">
      <c r="A4141" s="34"/>
    </row>
    <row r="4142" spans="1:1" ht="15.75" customHeight="1">
      <c r="A4142" s="34"/>
    </row>
    <row r="4143" spans="1:1" ht="15.75" customHeight="1">
      <c r="A4143" s="34"/>
    </row>
    <row r="4144" spans="1:1" ht="15.75" customHeight="1">
      <c r="A4144" s="34"/>
    </row>
    <row r="4145" spans="1:1" ht="15.75" customHeight="1">
      <c r="A4145" s="34"/>
    </row>
    <row r="4146" spans="1:1" ht="15.75" customHeight="1">
      <c r="A4146" s="34"/>
    </row>
    <row r="4147" spans="1:1" ht="15.75" customHeight="1">
      <c r="A4147" s="34"/>
    </row>
    <row r="4148" spans="1:1" ht="15.75" customHeight="1">
      <c r="A4148" s="34"/>
    </row>
    <row r="4149" spans="1:1" ht="15.75" customHeight="1">
      <c r="A4149" s="34"/>
    </row>
    <row r="4150" spans="1:1" ht="15.75" customHeight="1">
      <c r="A4150" s="34"/>
    </row>
    <row r="4151" spans="1:1" ht="15.75" customHeight="1">
      <c r="A4151" s="34"/>
    </row>
    <row r="4152" spans="1:1" ht="15.75" customHeight="1">
      <c r="A4152" s="34"/>
    </row>
    <row r="4153" spans="1:1" ht="15.75" customHeight="1">
      <c r="A4153" s="34"/>
    </row>
    <row r="4154" spans="1:1" ht="15.75" customHeight="1">
      <c r="A4154" s="34"/>
    </row>
    <row r="4155" spans="1:1" ht="15.75" customHeight="1">
      <c r="A4155" s="34"/>
    </row>
    <row r="4156" spans="1:1" ht="15.75" customHeight="1">
      <c r="A4156" s="34"/>
    </row>
    <row r="4157" spans="1:1" ht="15.75" customHeight="1">
      <c r="A4157" s="34"/>
    </row>
    <row r="4158" spans="1:1" ht="15.75" customHeight="1">
      <c r="A4158" s="34"/>
    </row>
    <row r="4159" spans="1:1" ht="15.75" customHeight="1">
      <c r="A4159" s="34"/>
    </row>
    <row r="4160" spans="1:1" ht="15.75" customHeight="1">
      <c r="A4160" s="34"/>
    </row>
    <row r="4161" spans="1:1" ht="15.75" customHeight="1">
      <c r="A4161" s="34"/>
    </row>
    <row r="4162" spans="1:1" ht="15.75" customHeight="1">
      <c r="A4162" s="34"/>
    </row>
    <row r="4163" spans="1:1" ht="15.75" customHeight="1">
      <c r="A4163" s="34"/>
    </row>
    <row r="4164" spans="1:1" ht="15.75" customHeight="1">
      <c r="A4164" s="34"/>
    </row>
    <row r="4165" spans="1:1" ht="15.75" customHeight="1">
      <c r="A4165" s="34"/>
    </row>
    <row r="4166" spans="1:1" ht="15.75" customHeight="1">
      <c r="A4166" s="34"/>
    </row>
    <row r="4167" spans="1:1" ht="15.75" customHeight="1">
      <c r="A4167" s="34"/>
    </row>
    <row r="4168" spans="1:1" ht="15.75" customHeight="1">
      <c r="A4168" s="34"/>
    </row>
    <row r="4169" spans="1:1" ht="15.75" customHeight="1">
      <c r="A4169" s="34"/>
    </row>
    <row r="4170" spans="1:1" ht="15.75" customHeight="1">
      <c r="A4170" s="34"/>
    </row>
    <row r="4171" spans="1:1" ht="15.75" customHeight="1">
      <c r="A4171" s="34"/>
    </row>
    <row r="4172" spans="1:1" ht="15.75" customHeight="1">
      <c r="A4172" s="34"/>
    </row>
    <row r="4173" spans="1:1" ht="15.75" customHeight="1">
      <c r="A4173" s="34"/>
    </row>
    <row r="4174" spans="1:1" ht="15.75" customHeight="1">
      <c r="A4174" s="34"/>
    </row>
    <row r="4175" spans="1:1" ht="15.75" customHeight="1">
      <c r="A4175" s="34"/>
    </row>
    <row r="4176" spans="1:1" ht="15.75" customHeight="1">
      <c r="A4176" s="34"/>
    </row>
    <row r="4177" spans="1:1" ht="15.75" customHeight="1">
      <c r="A4177" s="34"/>
    </row>
    <row r="4178" spans="1:1" ht="15.75" customHeight="1">
      <c r="A4178" s="34"/>
    </row>
    <row r="4179" spans="1:1" ht="15.75" customHeight="1">
      <c r="A4179" s="34"/>
    </row>
    <row r="4180" spans="1:1" ht="15.75" customHeight="1">
      <c r="A4180" s="34"/>
    </row>
    <row r="4181" spans="1:1" ht="15.75" customHeight="1">
      <c r="A4181" s="34"/>
    </row>
    <row r="4182" spans="1:1" ht="15.75" customHeight="1">
      <c r="A4182" s="34"/>
    </row>
    <row r="4183" spans="1:1" ht="15.75" customHeight="1">
      <c r="A4183" s="34"/>
    </row>
    <row r="4184" spans="1:1" ht="15.75" customHeight="1">
      <c r="A4184" s="34"/>
    </row>
    <row r="4185" spans="1:1" ht="15.75" customHeight="1">
      <c r="A4185" s="34"/>
    </row>
    <row r="4186" spans="1:1" ht="15.75" customHeight="1">
      <c r="A4186" s="34"/>
    </row>
    <row r="4187" spans="1:1" ht="15.75" customHeight="1">
      <c r="A4187" s="34"/>
    </row>
    <row r="4188" spans="1:1" ht="15.75" customHeight="1">
      <c r="A4188" s="34"/>
    </row>
    <row r="4189" spans="1:1" ht="15.75" customHeight="1">
      <c r="A4189" s="34"/>
    </row>
    <row r="4190" spans="1:1" ht="15.75" customHeight="1">
      <c r="A4190" s="34"/>
    </row>
    <row r="4191" spans="1:1" ht="15.75" customHeight="1">
      <c r="A4191" s="34"/>
    </row>
    <row r="4192" spans="1:1" ht="15.75" customHeight="1">
      <c r="A4192" s="34"/>
    </row>
    <row r="4193" spans="1:1" ht="15.75" customHeight="1">
      <c r="A4193" s="34"/>
    </row>
    <row r="4194" spans="1:1" ht="15.75" customHeight="1">
      <c r="A4194" s="34"/>
    </row>
    <row r="4195" spans="1:1" ht="15.75" customHeight="1">
      <c r="A4195" s="34"/>
    </row>
    <row r="4196" spans="1:1" ht="15.75" customHeight="1">
      <c r="A4196" s="34"/>
    </row>
    <row r="4197" spans="1:1" ht="15.75" customHeight="1">
      <c r="A4197" s="34"/>
    </row>
    <row r="4198" spans="1:1" ht="15.75" customHeight="1">
      <c r="A4198" s="34"/>
    </row>
    <row r="4199" spans="1:1" ht="15.75" customHeight="1">
      <c r="A4199" s="34"/>
    </row>
    <row r="4200" spans="1:1" ht="15.75" customHeight="1">
      <c r="A4200" s="34"/>
    </row>
    <row r="4201" spans="1:1" ht="15.75" customHeight="1">
      <c r="A4201" s="34"/>
    </row>
    <row r="4202" spans="1:1" ht="15.75" customHeight="1">
      <c r="A4202" s="34"/>
    </row>
    <row r="4203" spans="1:1" ht="15.75" customHeight="1">
      <c r="A4203" s="34"/>
    </row>
    <row r="4204" spans="1:1" ht="15.75" customHeight="1">
      <c r="A4204" s="34"/>
    </row>
    <row r="4205" spans="1:1" ht="15.75" customHeight="1">
      <c r="A4205" s="34"/>
    </row>
    <row r="4206" spans="1:1" ht="15.75" customHeight="1">
      <c r="A4206" s="34"/>
    </row>
    <row r="4207" spans="1:1" ht="15.75" customHeight="1">
      <c r="A4207" s="34"/>
    </row>
    <row r="4208" spans="1:1" ht="15.75" customHeight="1">
      <c r="A4208" s="34"/>
    </row>
    <row r="4209" spans="1:1" ht="15.75" customHeight="1">
      <c r="A4209" s="34"/>
    </row>
    <row r="4210" spans="1:1" ht="15.75" customHeight="1">
      <c r="A4210" s="34"/>
    </row>
    <row r="4211" spans="1:1" ht="15.75" customHeight="1">
      <c r="A4211" s="34"/>
    </row>
    <row r="4212" spans="1:1" ht="15.75" customHeight="1">
      <c r="A4212" s="34"/>
    </row>
    <row r="4213" spans="1:1" ht="15.75" customHeight="1">
      <c r="A4213" s="34"/>
    </row>
    <row r="4214" spans="1:1" ht="15.75" customHeight="1">
      <c r="A4214" s="34"/>
    </row>
    <row r="4215" spans="1:1" ht="15.75" customHeight="1">
      <c r="A4215" s="34"/>
    </row>
    <row r="4216" spans="1:1" ht="15.75" customHeight="1">
      <c r="A4216" s="34"/>
    </row>
    <row r="4217" spans="1:1" ht="15.75" customHeight="1">
      <c r="A4217" s="34"/>
    </row>
    <row r="4218" spans="1:1" ht="15.75" customHeight="1">
      <c r="A4218" s="34"/>
    </row>
    <row r="4219" spans="1:1" ht="15.75" customHeight="1">
      <c r="A4219" s="34"/>
    </row>
    <row r="4220" spans="1:1" ht="15.75" customHeight="1">
      <c r="A4220" s="34"/>
    </row>
    <row r="4221" spans="1:1" ht="15.75" customHeight="1">
      <c r="A4221" s="34"/>
    </row>
    <row r="4222" spans="1:1" ht="15.75" customHeight="1">
      <c r="A4222" s="34"/>
    </row>
    <row r="4223" spans="1:1" ht="15.75" customHeight="1">
      <c r="A4223" s="34"/>
    </row>
    <row r="4224" spans="1:1" ht="15.75" customHeight="1">
      <c r="A4224" s="34"/>
    </row>
    <row r="4225" spans="1:1" ht="15.75" customHeight="1">
      <c r="A4225" s="34"/>
    </row>
    <row r="4226" spans="1:1" ht="15.75" customHeight="1">
      <c r="A4226" s="34"/>
    </row>
    <row r="4227" spans="1:1" ht="15.75" customHeight="1">
      <c r="A4227" s="34"/>
    </row>
    <row r="4228" spans="1:1" ht="15.75" customHeight="1">
      <c r="A4228" s="34"/>
    </row>
    <row r="4229" spans="1:1" ht="15.75" customHeight="1">
      <c r="A4229" s="34"/>
    </row>
    <row r="4230" spans="1:1" ht="15.75" customHeight="1">
      <c r="A4230" s="34"/>
    </row>
    <row r="4231" spans="1:1" ht="15.75" customHeight="1">
      <c r="A4231" s="34"/>
    </row>
    <row r="4232" spans="1:1" ht="15.75" customHeight="1">
      <c r="A4232" s="34"/>
    </row>
    <row r="4233" spans="1:1" ht="15.75" customHeight="1">
      <c r="A4233" s="34"/>
    </row>
    <row r="4234" spans="1:1" ht="15.75" customHeight="1">
      <c r="A4234" s="34"/>
    </row>
    <row r="4235" spans="1:1" ht="15.75" customHeight="1">
      <c r="A4235" s="34"/>
    </row>
    <row r="4236" spans="1:1" ht="15.75" customHeight="1">
      <c r="A4236" s="34"/>
    </row>
    <row r="4237" spans="1:1" ht="15.75" customHeight="1">
      <c r="A4237" s="34"/>
    </row>
    <row r="4238" spans="1:1" ht="15.75" customHeight="1">
      <c r="A4238" s="34"/>
    </row>
    <row r="4239" spans="1:1" ht="15.75" customHeight="1">
      <c r="A4239" s="34"/>
    </row>
    <row r="4240" spans="1:1" ht="15.75" customHeight="1">
      <c r="A4240" s="34"/>
    </row>
    <row r="4241" spans="1:1" ht="15.75" customHeight="1">
      <c r="A4241" s="34"/>
    </row>
    <row r="4242" spans="1:1" ht="15.75" customHeight="1">
      <c r="A4242" s="34"/>
    </row>
    <row r="4243" spans="1:1" ht="15.75" customHeight="1">
      <c r="A4243" s="34"/>
    </row>
    <row r="4244" spans="1:1" ht="15.75" customHeight="1">
      <c r="A4244" s="34"/>
    </row>
    <row r="4245" spans="1:1" ht="15.75" customHeight="1">
      <c r="A4245" s="34"/>
    </row>
    <row r="4246" spans="1:1" ht="15.75" customHeight="1">
      <c r="A4246" s="34"/>
    </row>
    <row r="4247" spans="1:1" ht="15.75" customHeight="1">
      <c r="A4247" s="34"/>
    </row>
    <row r="4248" spans="1:1" ht="15.75" customHeight="1">
      <c r="A4248" s="34"/>
    </row>
    <row r="4249" spans="1:1" ht="15.75" customHeight="1">
      <c r="A4249" s="34"/>
    </row>
    <row r="4250" spans="1:1" ht="15.75" customHeight="1">
      <c r="A4250" s="34"/>
    </row>
    <row r="4251" spans="1:1" ht="15.75" customHeight="1">
      <c r="A4251" s="34"/>
    </row>
    <row r="4252" spans="1:1" ht="15.75" customHeight="1">
      <c r="A4252" s="34"/>
    </row>
    <row r="4253" spans="1:1" ht="15.75" customHeight="1">
      <c r="A4253" s="34"/>
    </row>
    <row r="4254" spans="1:1" ht="15.75" customHeight="1">
      <c r="A4254" s="34"/>
    </row>
    <row r="4255" spans="1:1" ht="15.75" customHeight="1">
      <c r="A4255" s="34"/>
    </row>
    <row r="4256" spans="1:1" ht="15.75" customHeight="1">
      <c r="A4256" s="34"/>
    </row>
    <row r="4257" spans="1:1" ht="15.75" customHeight="1">
      <c r="A4257" s="34"/>
    </row>
    <row r="4258" spans="1:1" ht="15.75" customHeight="1">
      <c r="A4258" s="34"/>
    </row>
    <row r="4259" spans="1:1" ht="15.75" customHeight="1">
      <c r="A4259" s="34"/>
    </row>
    <row r="4260" spans="1:1" ht="15.75" customHeight="1">
      <c r="A4260" s="34"/>
    </row>
    <row r="4261" spans="1:1" ht="15.75" customHeight="1">
      <c r="A4261" s="34"/>
    </row>
    <row r="4262" spans="1:1" ht="15.75" customHeight="1">
      <c r="A4262" s="34"/>
    </row>
    <row r="4263" spans="1:1" ht="15.75" customHeight="1">
      <c r="A4263" s="34"/>
    </row>
    <row r="4264" spans="1:1" ht="15.75" customHeight="1">
      <c r="A4264" s="34"/>
    </row>
    <row r="4265" spans="1:1" ht="15.75" customHeight="1">
      <c r="A4265" s="34"/>
    </row>
    <row r="4266" spans="1:1" ht="15.75" customHeight="1">
      <c r="A4266" s="34"/>
    </row>
    <row r="4267" spans="1:1" ht="15.75" customHeight="1">
      <c r="A4267" s="34"/>
    </row>
    <row r="4268" spans="1:1" ht="15.75" customHeight="1">
      <c r="A4268" s="34"/>
    </row>
    <row r="4269" spans="1:1" ht="15.75" customHeight="1">
      <c r="A4269" s="34"/>
    </row>
    <row r="4270" spans="1:1" ht="15.75" customHeight="1">
      <c r="A4270" s="34"/>
    </row>
    <row r="4271" spans="1:1" ht="15.75" customHeight="1">
      <c r="A4271" s="34"/>
    </row>
    <row r="4272" spans="1:1" ht="15.75" customHeight="1">
      <c r="A4272" s="34"/>
    </row>
    <row r="4273" spans="1:1" ht="15.75" customHeight="1">
      <c r="A4273" s="34"/>
    </row>
    <row r="4274" spans="1:1" ht="15.75" customHeight="1">
      <c r="A4274" s="34"/>
    </row>
    <row r="4275" spans="1:1" ht="15.75" customHeight="1">
      <c r="A4275" s="34"/>
    </row>
    <row r="4276" spans="1:1" ht="15.75" customHeight="1">
      <c r="A4276" s="34"/>
    </row>
    <row r="4277" spans="1:1" ht="15.75" customHeight="1">
      <c r="A4277" s="34"/>
    </row>
    <row r="4278" spans="1:1" ht="15.75" customHeight="1">
      <c r="A4278" s="34"/>
    </row>
    <row r="4279" spans="1:1" ht="15.75" customHeight="1">
      <c r="A4279" s="34"/>
    </row>
    <row r="4280" spans="1:1" ht="15.75" customHeight="1">
      <c r="A4280" s="34"/>
    </row>
    <row r="4281" spans="1:1" ht="15.75" customHeight="1">
      <c r="A4281" s="34"/>
    </row>
    <row r="4282" spans="1:1" ht="15.75" customHeight="1">
      <c r="A4282" s="34"/>
    </row>
    <row r="4283" spans="1:1" ht="15.75" customHeight="1">
      <c r="A4283" s="34"/>
    </row>
    <row r="4284" spans="1:1" ht="15.75" customHeight="1">
      <c r="A4284" s="34"/>
    </row>
    <row r="4285" spans="1:1" ht="15.75" customHeight="1">
      <c r="A4285" s="34"/>
    </row>
    <row r="4286" spans="1:1" ht="15.75" customHeight="1">
      <c r="A4286" s="34"/>
    </row>
    <row r="4287" spans="1:1" ht="15.75" customHeight="1">
      <c r="A4287" s="34"/>
    </row>
    <row r="4288" spans="1:1" ht="15.75" customHeight="1">
      <c r="A4288" s="34"/>
    </row>
    <row r="4289" spans="1:1" ht="15.75" customHeight="1">
      <c r="A4289" s="34"/>
    </row>
    <row r="4290" spans="1:1" ht="15.75" customHeight="1">
      <c r="A4290" s="34"/>
    </row>
    <row r="4291" spans="1:1" ht="15.75" customHeight="1">
      <c r="A4291" s="34"/>
    </row>
    <row r="4292" spans="1:1" ht="15.75" customHeight="1">
      <c r="A4292" s="34"/>
    </row>
    <row r="4293" spans="1:1" ht="15.75" customHeight="1">
      <c r="A4293" s="34"/>
    </row>
    <row r="4294" spans="1:1" ht="15.75" customHeight="1">
      <c r="A4294" s="34"/>
    </row>
    <row r="4295" spans="1:1" ht="15.75" customHeight="1">
      <c r="A4295" s="34"/>
    </row>
    <row r="4296" spans="1:1" ht="15.75" customHeight="1">
      <c r="A4296" s="34"/>
    </row>
    <row r="4297" spans="1:1" ht="15.75" customHeight="1">
      <c r="A4297" s="34"/>
    </row>
    <row r="4298" spans="1:1" ht="15.75" customHeight="1">
      <c r="A4298" s="34"/>
    </row>
    <row r="4299" spans="1:1" ht="15.75" customHeight="1">
      <c r="A4299" s="34"/>
    </row>
    <row r="4300" spans="1:1" ht="15.75" customHeight="1">
      <c r="A4300" s="34"/>
    </row>
    <row r="4301" spans="1:1" ht="15.75" customHeight="1">
      <c r="A4301" s="34"/>
    </row>
    <row r="4302" spans="1:1" ht="15.75" customHeight="1">
      <c r="A4302" s="34"/>
    </row>
    <row r="4303" spans="1:1" ht="15.75" customHeight="1">
      <c r="A4303" s="34"/>
    </row>
    <row r="4304" spans="1:1" ht="15.75" customHeight="1">
      <c r="A4304" s="34"/>
    </row>
    <row r="4305" spans="1:1" ht="15.75" customHeight="1">
      <c r="A4305" s="34"/>
    </row>
    <row r="4306" spans="1:1" ht="15.75" customHeight="1">
      <c r="A4306" s="34"/>
    </row>
    <row r="4307" spans="1:1" ht="15.75" customHeight="1">
      <c r="A4307" s="34"/>
    </row>
    <row r="4308" spans="1:1" ht="15.75" customHeight="1">
      <c r="A4308" s="34"/>
    </row>
    <row r="4309" spans="1:1" ht="15.75" customHeight="1">
      <c r="A4309" s="34"/>
    </row>
    <row r="4310" spans="1:1" ht="15.75" customHeight="1">
      <c r="A4310" s="34"/>
    </row>
    <row r="4311" spans="1:1" ht="15.75" customHeight="1">
      <c r="A4311" s="34"/>
    </row>
    <row r="4312" spans="1:1" ht="15.75" customHeight="1">
      <c r="A4312" s="34"/>
    </row>
    <row r="4313" spans="1:1" ht="15.75" customHeight="1">
      <c r="A4313" s="34"/>
    </row>
    <row r="4314" spans="1:1" ht="15.75" customHeight="1">
      <c r="A4314" s="34"/>
    </row>
    <row r="4315" spans="1:1" ht="15.75" customHeight="1">
      <c r="A4315" s="34"/>
    </row>
    <row r="4316" spans="1:1" ht="15.75" customHeight="1">
      <c r="A4316" s="34"/>
    </row>
    <row r="4317" spans="1:1" ht="15.75" customHeight="1">
      <c r="A4317" s="34"/>
    </row>
    <row r="4318" spans="1:1" ht="15.75" customHeight="1">
      <c r="A4318" s="34"/>
    </row>
    <row r="4319" spans="1:1" ht="15.75" customHeight="1">
      <c r="A4319" s="34"/>
    </row>
    <row r="4320" spans="1:1" ht="15.75" customHeight="1">
      <c r="A4320" s="34"/>
    </row>
    <row r="4321" spans="1:1" ht="15.75" customHeight="1">
      <c r="A4321" s="34"/>
    </row>
    <row r="4322" spans="1:1" ht="15.75" customHeight="1">
      <c r="A4322" s="34"/>
    </row>
    <row r="4323" spans="1:1" ht="15.75" customHeight="1">
      <c r="A4323" s="34"/>
    </row>
    <row r="4324" spans="1:1" ht="15.75" customHeight="1">
      <c r="A4324" s="34"/>
    </row>
    <row r="4325" spans="1:1" ht="15.75" customHeight="1">
      <c r="A4325" s="34"/>
    </row>
    <row r="4326" spans="1:1" ht="15.75" customHeight="1">
      <c r="A4326" s="34"/>
    </row>
    <row r="4327" spans="1:1" ht="15.75" customHeight="1">
      <c r="A4327" s="34"/>
    </row>
    <row r="4328" spans="1:1" ht="15.75" customHeight="1">
      <c r="A4328" s="34"/>
    </row>
    <row r="4329" spans="1:1" ht="15.75" customHeight="1">
      <c r="A4329" s="34"/>
    </row>
    <row r="4330" spans="1:1" ht="15.75" customHeight="1">
      <c r="A4330" s="34"/>
    </row>
    <row r="4331" spans="1:1" ht="15.75" customHeight="1">
      <c r="A4331" s="34"/>
    </row>
    <row r="4332" spans="1:1" ht="15.75" customHeight="1">
      <c r="A4332" s="34"/>
    </row>
    <row r="4333" spans="1:1" ht="15.75" customHeight="1">
      <c r="A4333" s="34"/>
    </row>
    <row r="4334" spans="1:1" ht="15.75" customHeight="1">
      <c r="A4334" s="34"/>
    </row>
    <row r="4335" spans="1:1" ht="15.75" customHeight="1">
      <c r="A4335" s="34"/>
    </row>
    <row r="4336" spans="1:1" ht="15.75" customHeight="1">
      <c r="A4336" s="34"/>
    </row>
    <row r="4337" spans="1:1" ht="15.75" customHeight="1">
      <c r="A4337" s="34"/>
    </row>
    <row r="4338" spans="1:1" ht="15.75" customHeight="1">
      <c r="A4338" s="34"/>
    </row>
    <row r="4339" spans="1:1" ht="15.75" customHeight="1">
      <c r="A4339" s="34"/>
    </row>
    <row r="4340" spans="1:1" ht="15.75" customHeight="1">
      <c r="A4340" s="34"/>
    </row>
    <row r="4341" spans="1:1" ht="15.75" customHeight="1">
      <c r="A4341" s="34"/>
    </row>
    <row r="4342" spans="1:1" ht="15.75" customHeight="1">
      <c r="A4342" s="34"/>
    </row>
    <row r="4343" spans="1:1" ht="15.75" customHeight="1">
      <c r="A4343" s="34"/>
    </row>
    <row r="4344" spans="1:1" ht="15.75" customHeight="1">
      <c r="A4344" s="34"/>
    </row>
    <row r="4345" spans="1:1" ht="15.75" customHeight="1">
      <c r="A4345" s="34"/>
    </row>
    <row r="4346" spans="1:1" ht="15.75" customHeight="1">
      <c r="A4346" s="34"/>
    </row>
    <row r="4347" spans="1:1" ht="15.75" customHeight="1">
      <c r="A4347" s="34"/>
    </row>
    <row r="4348" spans="1:1" ht="15.75" customHeight="1">
      <c r="A4348" s="34"/>
    </row>
    <row r="4349" spans="1:1" ht="15.75" customHeight="1">
      <c r="A4349" s="34"/>
    </row>
    <row r="4350" spans="1:1" ht="15.75" customHeight="1">
      <c r="A4350" s="34"/>
    </row>
    <row r="4351" spans="1:1" ht="15.75" customHeight="1">
      <c r="A4351" s="34"/>
    </row>
    <row r="4352" spans="1:1" ht="15.75" customHeight="1">
      <c r="A4352" s="34"/>
    </row>
    <row r="4353" spans="1:1" ht="15.75" customHeight="1">
      <c r="A4353" s="34"/>
    </row>
    <row r="4354" spans="1:1" ht="15.75" customHeight="1">
      <c r="A4354" s="34"/>
    </row>
    <row r="4355" spans="1:1" ht="15.75" customHeight="1">
      <c r="A4355" s="34"/>
    </row>
    <row r="4356" spans="1:1" ht="15.75" customHeight="1">
      <c r="A4356" s="34"/>
    </row>
    <row r="4357" spans="1:1" ht="15.75" customHeight="1">
      <c r="A4357" s="34"/>
    </row>
    <row r="4358" spans="1:1" ht="15.75" customHeight="1">
      <c r="A4358" s="34"/>
    </row>
    <row r="4359" spans="1:1" ht="15.75" customHeight="1">
      <c r="A4359" s="34"/>
    </row>
    <row r="4360" spans="1:1" ht="15.75" customHeight="1">
      <c r="A4360" s="34"/>
    </row>
    <row r="4361" spans="1:1" ht="15.75" customHeight="1">
      <c r="A4361" s="34"/>
    </row>
    <row r="4362" spans="1:1" ht="15.75" customHeight="1">
      <c r="A4362" s="34"/>
    </row>
    <row r="4363" spans="1:1" ht="15.75" customHeight="1">
      <c r="A4363" s="34"/>
    </row>
    <row r="4364" spans="1:1" ht="15.75" customHeight="1">
      <c r="A4364" s="34"/>
    </row>
    <row r="4365" spans="1:1" ht="15.75" customHeight="1">
      <c r="A4365" s="34"/>
    </row>
    <row r="4366" spans="1:1" ht="15.75" customHeight="1">
      <c r="A4366" s="34"/>
    </row>
    <row r="4367" spans="1:1" ht="15.75" customHeight="1">
      <c r="A4367" s="34"/>
    </row>
    <row r="4368" spans="1:1" ht="15.75" customHeight="1">
      <c r="A4368" s="34"/>
    </row>
    <row r="4369" spans="1:1" ht="15.75" customHeight="1">
      <c r="A4369" s="34"/>
    </row>
    <row r="4370" spans="1:1" ht="15.75" customHeight="1">
      <c r="A4370" s="34"/>
    </row>
    <row r="4371" spans="1:1" ht="15.75" customHeight="1">
      <c r="A4371" s="34"/>
    </row>
    <row r="4372" spans="1:1" ht="15.75" customHeight="1">
      <c r="A4372" s="34"/>
    </row>
    <row r="4373" spans="1:1" ht="15.75" customHeight="1">
      <c r="A4373" s="34"/>
    </row>
    <row r="4374" spans="1:1" ht="15.75" customHeight="1">
      <c r="A4374" s="34"/>
    </row>
    <row r="4375" spans="1:1" ht="15.75" customHeight="1">
      <c r="A4375" s="34"/>
    </row>
    <row r="4376" spans="1:1" ht="15.75" customHeight="1">
      <c r="A4376" s="34"/>
    </row>
    <row r="4377" spans="1:1" ht="15.75" customHeight="1">
      <c r="A4377" s="34"/>
    </row>
    <row r="4378" spans="1:1" ht="15.75" customHeight="1">
      <c r="A4378" s="34"/>
    </row>
    <row r="4379" spans="1:1" ht="15.75" customHeight="1">
      <c r="A4379" s="34"/>
    </row>
    <row r="4380" spans="1:1" ht="15.75" customHeight="1">
      <c r="A4380" s="34"/>
    </row>
    <row r="4381" spans="1:1" ht="15.75" customHeight="1">
      <c r="A4381" s="34"/>
    </row>
    <row r="4382" spans="1:1" ht="15.75" customHeight="1">
      <c r="A4382" s="34"/>
    </row>
    <row r="4383" spans="1:1" ht="15.75" customHeight="1">
      <c r="A4383" s="34"/>
    </row>
    <row r="4384" spans="1:1" ht="15.75" customHeight="1">
      <c r="A4384" s="34"/>
    </row>
    <row r="4385" spans="1:1" ht="15.75" customHeight="1">
      <c r="A4385" s="34"/>
    </row>
    <row r="4386" spans="1:1" ht="15.75" customHeight="1">
      <c r="A4386" s="34"/>
    </row>
    <row r="4387" spans="1:1" ht="15.75" customHeight="1">
      <c r="A4387" s="34"/>
    </row>
    <row r="4388" spans="1:1" ht="15.75" customHeight="1">
      <c r="A4388" s="34"/>
    </row>
    <row r="4389" spans="1:1" ht="15.75" customHeight="1">
      <c r="A4389" s="34"/>
    </row>
    <row r="4390" spans="1:1" ht="15.75" customHeight="1">
      <c r="A4390" s="34"/>
    </row>
    <row r="4391" spans="1:1" ht="15.75" customHeight="1">
      <c r="A4391" s="34"/>
    </row>
    <row r="4392" spans="1:1" ht="15.75" customHeight="1">
      <c r="A4392" s="34"/>
    </row>
    <row r="4393" spans="1:1" ht="15.75" customHeight="1">
      <c r="A4393" s="34"/>
    </row>
    <row r="4394" spans="1:1" ht="15.75" customHeight="1">
      <c r="A4394" s="34"/>
    </row>
    <row r="4395" spans="1:1" ht="15.75" customHeight="1">
      <c r="A4395" s="34"/>
    </row>
    <row r="4396" spans="1:1" ht="15.75" customHeight="1">
      <c r="A4396" s="34"/>
    </row>
    <row r="4397" spans="1:1" ht="15.75" customHeight="1">
      <c r="A4397" s="34"/>
    </row>
    <row r="4398" spans="1:1" ht="15.75" customHeight="1">
      <c r="A4398" s="34"/>
    </row>
    <row r="4399" spans="1:1" ht="15.75" customHeight="1">
      <c r="A4399" s="34"/>
    </row>
    <row r="4400" spans="1:1" ht="15.75" customHeight="1">
      <c r="A4400" s="34"/>
    </row>
    <row r="4401" spans="1:1" ht="15.75" customHeight="1">
      <c r="A4401" s="34"/>
    </row>
    <row r="4402" spans="1:1" ht="15.75" customHeight="1">
      <c r="A4402" s="34"/>
    </row>
    <row r="4403" spans="1:1" ht="15.75" customHeight="1">
      <c r="A4403" s="34"/>
    </row>
    <row r="4404" spans="1:1" ht="15.75" customHeight="1">
      <c r="A4404" s="34"/>
    </row>
    <row r="4405" spans="1:1" ht="15.75" customHeight="1">
      <c r="A4405" s="34"/>
    </row>
    <row r="4406" spans="1:1" ht="15.75" customHeight="1">
      <c r="A4406" s="34"/>
    </row>
    <row r="4407" spans="1:1" ht="15.75" customHeight="1">
      <c r="A4407" s="34"/>
    </row>
    <row r="4408" spans="1:1" ht="15.75" customHeight="1">
      <c r="A4408" s="34"/>
    </row>
    <row r="4409" spans="1:1" ht="15.75" customHeight="1">
      <c r="A4409" s="34"/>
    </row>
    <row r="4410" spans="1:1" ht="15.75" customHeight="1">
      <c r="A4410" s="34"/>
    </row>
    <row r="4411" spans="1:1" ht="15.75" customHeight="1">
      <c r="A4411" s="34"/>
    </row>
    <row r="4412" spans="1:1" ht="15.75" customHeight="1">
      <c r="A4412" s="34"/>
    </row>
    <row r="4413" spans="1:1" ht="15.75" customHeight="1">
      <c r="A4413" s="34"/>
    </row>
    <row r="4414" spans="1:1" ht="15.75" customHeight="1">
      <c r="A4414" s="34"/>
    </row>
    <row r="4415" spans="1:1" ht="15.75" customHeight="1">
      <c r="A4415" s="34"/>
    </row>
    <row r="4416" spans="1:1" ht="15.75" customHeight="1">
      <c r="A4416" s="34"/>
    </row>
    <row r="4417" spans="1:1" ht="15.75" customHeight="1">
      <c r="A4417" s="34"/>
    </row>
    <row r="4418" spans="1:1" ht="15.75" customHeight="1">
      <c r="A4418" s="34"/>
    </row>
    <row r="4419" spans="1:1" ht="15.75" customHeight="1">
      <c r="A4419" s="34"/>
    </row>
    <row r="4420" spans="1:1" ht="15.75" customHeight="1">
      <c r="A4420" s="34"/>
    </row>
    <row r="4421" spans="1:1" ht="15.75" customHeight="1">
      <c r="A4421" s="34"/>
    </row>
    <row r="4422" spans="1:1" ht="15.75" customHeight="1">
      <c r="A4422" s="34"/>
    </row>
    <row r="4423" spans="1:1" ht="15.75" customHeight="1">
      <c r="A4423" s="34"/>
    </row>
    <row r="4424" spans="1:1" ht="15.75" customHeight="1">
      <c r="A4424" s="34"/>
    </row>
    <row r="4425" spans="1:1" ht="15.75" customHeight="1">
      <c r="A4425" s="34"/>
    </row>
    <row r="4426" spans="1:1" ht="15.75" customHeight="1">
      <c r="A4426" s="34"/>
    </row>
    <row r="4427" spans="1:1" ht="15.75" customHeight="1">
      <c r="A4427" s="34"/>
    </row>
    <row r="4428" spans="1:1" ht="15.75" customHeight="1">
      <c r="A4428" s="34"/>
    </row>
    <row r="4429" spans="1:1" ht="15.75" customHeight="1">
      <c r="A4429" s="34"/>
    </row>
    <row r="4430" spans="1:1" ht="15.75" customHeight="1">
      <c r="A4430" s="34"/>
    </row>
    <row r="4431" spans="1:1" ht="15.75" customHeight="1">
      <c r="A4431" s="34"/>
    </row>
    <row r="4432" spans="1:1" ht="15.75" customHeight="1">
      <c r="A4432" s="34"/>
    </row>
    <row r="4433" spans="1:1" ht="15.75" customHeight="1">
      <c r="A4433" s="34"/>
    </row>
    <row r="4434" spans="1:1" ht="15.75" customHeight="1">
      <c r="A4434" s="34"/>
    </row>
    <row r="4435" spans="1:1" ht="15.75" customHeight="1">
      <c r="A4435" s="34"/>
    </row>
    <row r="4436" spans="1:1" ht="15.75" customHeight="1">
      <c r="A4436" s="34"/>
    </row>
    <row r="4437" spans="1:1" ht="15.75" customHeight="1">
      <c r="A4437" s="34"/>
    </row>
    <row r="4438" spans="1:1" ht="15.75" customHeight="1">
      <c r="A4438" s="34"/>
    </row>
    <row r="4439" spans="1:1" ht="15.75" customHeight="1">
      <c r="A4439" s="34"/>
    </row>
    <row r="4440" spans="1:1" ht="15.75" customHeight="1">
      <c r="A4440" s="34"/>
    </row>
    <row r="4441" spans="1:1" ht="15.75" customHeight="1">
      <c r="A4441" s="34"/>
    </row>
    <row r="4442" spans="1:1" ht="15.75" customHeight="1">
      <c r="A4442" s="34"/>
    </row>
    <row r="4443" spans="1:1" ht="15.75" customHeight="1">
      <c r="A4443" s="34"/>
    </row>
    <row r="4444" spans="1:1" ht="15.75" customHeight="1">
      <c r="A4444" s="34"/>
    </row>
    <row r="4445" spans="1:1" ht="15.75" customHeight="1">
      <c r="A4445" s="34"/>
    </row>
    <row r="4446" spans="1:1" ht="15.75" customHeight="1">
      <c r="A4446" s="34"/>
    </row>
    <row r="4447" spans="1:1" ht="15.75" customHeight="1">
      <c r="A4447" s="34"/>
    </row>
    <row r="4448" spans="1:1" ht="15.75" customHeight="1">
      <c r="A4448" s="34"/>
    </row>
    <row r="4449" spans="1:1" ht="15.75" customHeight="1">
      <c r="A4449" s="34"/>
    </row>
    <row r="4450" spans="1:1" ht="15.75" customHeight="1">
      <c r="A4450" s="34"/>
    </row>
    <row r="4451" spans="1:1" ht="15.75" customHeight="1">
      <c r="A4451" s="34"/>
    </row>
    <row r="4452" spans="1:1" ht="15.75" customHeight="1">
      <c r="A4452" s="34"/>
    </row>
    <row r="4453" spans="1:1" ht="15.75" customHeight="1">
      <c r="A4453" s="34"/>
    </row>
    <row r="4454" spans="1:1" ht="15.75" customHeight="1">
      <c r="A4454" s="34"/>
    </row>
    <row r="4455" spans="1:1" ht="15.75" customHeight="1">
      <c r="A4455" s="34"/>
    </row>
    <row r="4456" spans="1:1" ht="15.75" customHeight="1">
      <c r="A4456" s="34"/>
    </row>
    <row r="4457" spans="1:1" ht="15.75" customHeight="1">
      <c r="A4457" s="34"/>
    </row>
    <row r="4458" spans="1:1" ht="15.75" customHeight="1">
      <c r="A4458" s="34"/>
    </row>
    <row r="4459" spans="1:1" ht="15.75" customHeight="1">
      <c r="A4459" s="34"/>
    </row>
    <row r="4460" spans="1:1" ht="15.75" customHeight="1">
      <c r="A4460" s="34"/>
    </row>
    <row r="4461" spans="1:1" ht="15.75" customHeight="1">
      <c r="A4461" s="34"/>
    </row>
    <row r="4462" spans="1:1" ht="15.75" customHeight="1">
      <c r="A4462" s="34"/>
    </row>
    <row r="4463" spans="1:1" ht="15.75" customHeight="1">
      <c r="A4463" s="34"/>
    </row>
    <row r="4464" spans="1:1" ht="15.75" customHeight="1">
      <c r="A4464" s="34"/>
    </row>
    <row r="4465" spans="1:1" ht="15.75" customHeight="1">
      <c r="A4465" s="34"/>
    </row>
    <row r="4466" spans="1:1" ht="15.75" customHeight="1">
      <c r="A4466" s="34"/>
    </row>
    <row r="4467" spans="1:1" ht="15.75" customHeight="1">
      <c r="A4467" s="34"/>
    </row>
    <row r="4468" spans="1:1" ht="15.75" customHeight="1">
      <c r="A4468" s="34"/>
    </row>
    <row r="4469" spans="1:1" ht="15.75" customHeight="1">
      <c r="A4469" s="34"/>
    </row>
    <row r="4470" spans="1:1" ht="15.75" customHeight="1">
      <c r="A4470" s="34"/>
    </row>
    <row r="4471" spans="1:1" ht="15.75" customHeight="1">
      <c r="A4471" s="34"/>
    </row>
    <row r="4472" spans="1:1" ht="15.75" customHeight="1">
      <c r="A4472" s="34"/>
    </row>
    <row r="4473" spans="1:1" ht="15.75" customHeight="1">
      <c r="A4473" s="34"/>
    </row>
    <row r="4474" spans="1:1" ht="15.75" customHeight="1">
      <c r="A4474" s="34"/>
    </row>
    <row r="4475" spans="1:1" ht="15.75" customHeight="1">
      <c r="A4475" s="34"/>
    </row>
    <row r="4476" spans="1:1" ht="15.75" customHeight="1">
      <c r="A4476" s="34"/>
    </row>
    <row r="4477" spans="1:1" ht="15.75" customHeight="1">
      <c r="A4477" s="34"/>
    </row>
    <row r="4478" spans="1:1" ht="15.75" customHeight="1">
      <c r="A4478" s="34"/>
    </row>
    <row r="4479" spans="1:1" ht="15.75" customHeight="1">
      <c r="A4479" s="34"/>
    </row>
    <row r="4480" spans="1:1" ht="15.75" customHeight="1">
      <c r="A4480" s="34"/>
    </row>
    <row r="4481" spans="1:1" ht="15.75" customHeight="1">
      <c r="A4481" s="34"/>
    </row>
    <row r="4482" spans="1:1" ht="15.75" customHeight="1">
      <c r="A4482" s="34"/>
    </row>
    <row r="4483" spans="1:1" ht="15.75" customHeight="1">
      <c r="A4483" s="34"/>
    </row>
    <row r="4484" spans="1:1" ht="15.75" customHeight="1">
      <c r="A4484" s="34"/>
    </row>
    <row r="4485" spans="1:1" ht="15.75" customHeight="1">
      <c r="A4485" s="34"/>
    </row>
    <row r="4486" spans="1:1" ht="15.75" customHeight="1">
      <c r="A4486" s="34"/>
    </row>
    <row r="4487" spans="1:1" ht="15.75" customHeight="1">
      <c r="A4487" s="34"/>
    </row>
    <row r="4488" spans="1:1" ht="15.75" customHeight="1">
      <c r="A4488" s="34"/>
    </row>
    <row r="4489" spans="1:1" ht="15.75" customHeight="1">
      <c r="A4489" s="34"/>
    </row>
    <row r="4490" spans="1:1" ht="15.75" customHeight="1">
      <c r="A4490" s="34"/>
    </row>
    <row r="4491" spans="1:1" ht="15.75" customHeight="1">
      <c r="A4491" s="34"/>
    </row>
    <row r="4492" spans="1:1" ht="15.75" customHeight="1">
      <c r="A4492" s="34"/>
    </row>
    <row r="4493" spans="1:1" ht="15.75" customHeight="1">
      <c r="A4493" s="34"/>
    </row>
    <row r="4494" spans="1:1" ht="15.75" customHeight="1">
      <c r="A4494" s="34"/>
    </row>
    <row r="4495" spans="1:1" ht="15.75" customHeight="1">
      <c r="A4495" s="34"/>
    </row>
    <row r="4496" spans="1:1" ht="15.75" customHeight="1">
      <c r="A4496" s="34"/>
    </row>
    <row r="4497" spans="1:1" ht="15.75" customHeight="1">
      <c r="A4497" s="34"/>
    </row>
    <row r="4498" spans="1:1" ht="15.75" customHeight="1">
      <c r="A4498" s="34"/>
    </row>
    <row r="4499" spans="1:1" ht="15.75" customHeight="1">
      <c r="A4499" s="34"/>
    </row>
    <row r="4500" spans="1:1" ht="15.75" customHeight="1">
      <c r="A4500" s="34"/>
    </row>
    <row r="4501" spans="1:1" ht="15.75" customHeight="1">
      <c r="A4501" s="34"/>
    </row>
    <row r="4502" spans="1:1" ht="15.75" customHeight="1">
      <c r="A4502" s="34"/>
    </row>
    <row r="4503" spans="1:1" ht="15.75" customHeight="1">
      <c r="A4503" s="34"/>
    </row>
    <row r="4504" spans="1:1" ht="15.75" customHeight="1">
      <c r="A4504" s="34"/>
    </row>
    <row r="4505" spans="1:1" ht="15.75" customHeight="1">
      <c r="A4505" s="34"/>
    </row>
    <row r="4506" spans="1:1" ht="15.75" customHeight="1">
      <c r="A4506" s="34"/>
    </row>
    <row r="4507" spans="1:1" ht="15.75" customHeight="1">
      <c r="A4507" s="34"/>
    </row>
    <row r="4508" spans="1:1" ht="15.75" customHeight="1">
      <c r="A4508" s="34"/>
    </row>
    <row r="4509" spans="1:1" ht="15.75" customHeight="1">
      <c r="A4509" s="34"/>
    </row>
    <row r="4510" spans="1:1" ht="15.75" customHeight="1">
      <c r="A4510" s="34"/>
    </row>
    <row r="4511" spans="1:1" ht="15.75" customHeight="1">
      <c r="A4511" s="34"/>
    </row>
    <row r="4512" spans="1:1" ht="15.75" customHeight="1">
      <c r="A4512" s="34"/>
    </row>
    <row r="4513" spans="1:1" ht="15.75" customHeight="1">
      <c r="A4513" s="34"/>
    </row>
    <row r="4514" spans="1:1" ht="15.75" customHeight="1">
      <c r="A4514" s="34"/>
    </row>
    <row r="4515" spans="1:1" ht="15.75" customHeight="1">
      <c r="A4515" s="34"/>
    </row>
    <row r="4516" spans="1:1" ht="15.75" customHeight="1">
      <c r="A4516" s="34"/>
    </row>
    <row r="4517" spans="1:1" ht="15.75" customHeight="1">
      <c r="A4517" s="34"/>
    </row>
    <row r="4518" spans="1:1" ht="15.75" customHeight="1">
      <c r="A4518" s="34"/>
    </row>
    <row r="4519" spans="1:1" ht="15.75" customHeight="1">
      <c r="A4519" s="34"/>
    </row>
    <row r="4520" spans="1:1" ht="15.75" customHeight="1">
      <c r="A4520" s="34"/>
    </row>
    <row r="4521" spans="1:1" ht="15.75" customHeight="1">
      <c r="A4521" s="34"/>
    </row>
    <row r="4522" spans="1:1" ht="15.75" customHeight="1">
      <c r="A4522" s="34"/>
    </row>
    <row r="4523" spans="1:1" ht="15.75" customHeight="1">
      <c r="A4523" s="34"/>
    </row>
    <row r="4524" spans="1:1" ht="15.75" customHeight="1">
      <c r="A4524" s="34"/>
    </row>
    <row r="4525" spans="1:1" ht="15.75" customHeight="1">
      <c r="A4525" s="34"/>
    </row>
    <row r="4526" spans="1:1" ht="15.75" customHeight="1">
      <c r="A4526" s="34"/>
    </row>
    <row r="4527" spans="1:1" ht="15.75" customHeight="1">
      <c r="A4527" s="34"/>
    </row>
    <row r="4528" spans="1:1" ht="15.75" customHeight="1">
      <c r="A4528" s="34"/>
    </row>
    <row r="4529" spans="1:1" ht="15.75" customHeight="1">
      <c r="A4529" s="34"/>
    </row>
    <row r="4530" spans="1:1" ht="15.75" customHeight="1">
      <c r="A4530" s="34"/>
    </row>
    <row r="4531" spans="1:1" ht="15.75" customHeight="1">
      <c r="A4531" s="34"/>
    </row>
    <row r="4532" spans="1:1" ht="15.75" customHeight="1">
      <c r="A4532" s="34"/>
    </row>
    <row r="4533" spans="1:1" ht="15.75" customHeight="1">
      <c r="A4533" s="34"/>
    </row>
    <row r="4534" spans="1:1" ht="15.75" customHeight="1">
      <c r="A4534" s="34"/>
    </row>
    <row r="4535" spans="1:1" ht="15.75" customHeight="1">
      <c r="A4535" s="34"/>
    </row>
    <row r="4536" spans="1:1" ht="15.75" customHeight="1">
      <c r="A4536" s="34"/>
    </row>
    <row r="4537" spans="1:1" ht="15.75" customHeight="1">
      <c r="A4537" s="34"/>
    </row>
    <row r="4538" spans="1:1" ht="15.75" customHeight="1">
      <c r="A4538" s="34"/>
    </row>
    <row r="4539" spans="1:1" ht="15.75" customHeight="1">
      <c r="A4539" s="34"/>
    </row>
    <row r="4540" spans="1:1" ht="15.75" customHeight="1">
      <c r="A4540" s="34"/>
    </row>
    <row r="4541" spans="1:1" ht="15.75" customHeight="1">
      <c r="A4541" s="34"/>
    </row>
    <row r="4542" spans="1:1" ht="15.75" customHeight="1">
      <c r="A4542" s="34"/>
    </row>
    <row r="4543" spans="1:1" ht="15.75" customHeight="1">
      <c r="A4543" s="34"/>
    </row>
    <row r="4544" spans="1:1" ht="15.75" customHeight="1">
      <c r="A4544" s="34"/>
    </row>
    <row r="4545" spans="1:1" ht="15.75" customHeight="1">
      <c r="A4545" s="34"/>
    </row>
    <row r="4546" spans="1:1" ht="15.75" customHeight="1">
      <c r="A4546" s="34"/>
    </row>
    <row r="4547" spans="1:1" ht="15.75" customHeight="1">
      <c r="A4547" s="34"/>
    </row>
    <row r="4548" spans="1:1" ht="15.75" customHeight="1">
      <c r="A4548" s="34"/>
    </row>
    <row r="4549" spans="1:1" ht="15.75" customHeight="1">
      <c r="A4549" s="34"/>
    </row>
    <row r="4550" spans="1:1" ht="15.75" customHeight="1">
      <c r="A4550" s="34"/>
    </row>
    <row r="4551" spans="1:1" ht="15.75" customHeight="1">
      <c r="A4551" s="34"/>
    </row>
    <row r="4552" spans="1:1" ht="15.75" customHeight="1">
      <c r="A4552" s="34"/>
    </row>
    <row r="4553" spans="1:1" ht="15.75" customHeight="1">
      <c r="A4553" s="34"/>
    </row>
    <row r="4554" spans="1:1" ht="15.75" customHeight="1">
      <c r="A4554" s="34"/>
    </row>
    <row r="4555" spans="1:1" ht="15.75" customHeight="1">
      <c r="A4555" s="34"/>
    </row>
    <row r="4556" spans="1:1" ht="15.75" customHeight="1">
      <c r="A4556" s="34"/>
    </row>
    <row r="4557" spans="1:1" ht="15.75" customHeight="1">
      <c r="A4557" s="34"/>
    </row>
    <row r="4558" spans="1:1" ht="15.75" customHeight="1">
      <c r="A4558" s="34"/>
    </row>
    <row r="4559" spans="1:1" ht="15.75" customHeight="1">
      <c r="A4559" s="34"/>
    </row>
    <row r="4560" spans="1:1" ht="15.75" customHeight="1">
      <c r="A4560" s="34"/>
    </row>
    <row r="4561" spans="1:1" ht="15.75" customHeight="1">
      <c r="A4561" s="34"/>
    </row>
    <row r="4562" spans="1:1" ht="15.75" customHeight="1">
      <c r="A4562" s="34"/>
    </row>
    <row r="4563" spans="1:1" ht="15.75" customHeight="1">
      <c r="A4563" s="34"/>
    </row>
    <row r="4564" spans="1:1" ht="15.75" customHeight="1">
      <c r="A4564" s="34"/>
    </row>
    <row r="4565" spans="1:1" ht="15.75" customHeight="1">
      <c r="A4565" s="34"/>
    </row>
    <row r="4566" spans="1:1" ht="15.75" customHeight="1">
      <c r="A4566" s="34"/>
    </row>
    <row r="4567" spans="1:1" ht="15.75" customHeight="1">
      <c r="A4567" s="34"/>
    </row>
    <row r="4568" spans="1:1" ht="15.75" customHeight="1">
      <c r="A4568" s="34"/>
    </row>
    <row r="4569" spans="1:1" ht="15.75" customHeight="1">
      <c r="A4569" s="34"/>
    </row>
    <row r="4570" spans="1:1" ht="15.75" customHeight="1">
      <c r="A4570" s="34"/>
    </row>
    <row r="4571" spans="1:1" ht="15.75" customHeight="1">
      <c r="A4571" s="34"/>
    </row>
    <row r="4572" spans="1:1" ht="15.75" customHeight="1">
      <c r="A4572" s="34"/>
    </row>
    <row r="4573" spans="1:1" ht="15.75" customHeight="1">
      <c r="A4573" s="34"/>
    </row>
    <row r="4574" spans="1:1" ht="15.75" customHeight="1">
      <c r="A4574" s="34"/>
    </row>
    <row r="4575" spans="1:1" ht="15.75" customHeight="1">
      <c r="A4575" s="34"/>
    </row>
    <row r="4576" spans="1:1" ht="15.75" customHeight="1">
      <c r="A4576" s="34"/>
    </row>
    <row r="4577" spans="1:1" ht="15.75" customHeight="1">
      <c r="A4577" s="34"/>
    </row>
    <row r="4578" spans="1:1" ht="15.75" customHeight="1">
      <c r="A4578" s="34"/>
    </row>
    <row r="4579" spans="1:1" ht="15.75" customHeight="1">
      <c r="A4579" s="34"/>
    </row>
    <row r="4580" spans="1:1" ht="15.75" customHeight="1">
      <c r="A4580" s="34"/>
    </row>
    <row r="4581" spans="1:1" ht="15.75" customHeight="1">
      <c r="A4581" s="34"/>
    </row>
    <row r="4582" spans="1:1" ht="15.75" customHeight="1">
      <c r="A4582" s="34"/>
    </row>
    <row r="4583" spans="1:1" ht="15.75" customHeight="1">
      <c r="A4583" s="34"/>
    </row>
    <row r="4584" spans="1:1" ht="15.75" customHeight="1">
      <c r="A4584" s="34"/>
    </row>
    <row r="4585" spans="1:1" ht="15.75" customHeight="1">
      <c r="A4585" s="34"/>
    </row>
    <row r="4586" spans="1:1" ht="15.75" customHeight="1">
      <c r="A4586" s="34"/>
    </row>
    <row r="4587" spans="1:1" ht="15.75" customHeight="1">
      <c r="A4587" s="34"/>
    </row>
    <row r="4588" spans="1:1" ht="15.75" customHeight="1">
      <c r="A4588" s="34"/>
    </row>
    <row r="4589" spans="1:1" ht="15.75" customHeight="1">
      <c r="A4589" s="34"/>
    </row>
    <row r="4590" spans="1:1" ht="15.75" customHeight="1">
      <c r="A4590" s="34"/>
    </row>
    <row r="4591" spans="1:1" ht="15.75" customHeight="1">
      <c r="A4591" s="34"/>
    </row>
    <row r="4592" spans="1:1" ht="15.75" customHeight="1">
      <c r="A4592" s="34"/>
    </row>
    <row r="4593" spans="1:1" ht="15.75" customHeight="1">
      <c r="A4593" s="34"/>
    </row>
    <row r="4594" spans="1:1" ht="15.75" customHeight="1">
      <c r="A4594" s="34"/>
    </row>
    <row r="4595" spans="1:1" ht="15.75" customHeight="1">
      <c r="A4595" s="34"/>
    </row>
    <row r="4596" spans="1:1" ht="15.75" customHeight="1">
      <c r="A4596" s="34"/>
    </row>
    <row r="4597" spans="1:1" ht="15.75" customHeight="1">
      <c r="A4597" s="34"/>
    </row>
    <row r="4598" spans="1:1" ht="15.75" customHeight="1">
      <c r="A4598" s="34"/>
    </row>
    <row r="4599" spans="1:1" ht="15.75" customHeight="1">
      <c r="A4599" s="34"/>
    </row>
    <row r="4600" spans="1:1" ht="15.75" customHeight="1">
      <c r="A4600" s="34"/>
    </row>
    <row r="4601" spans="1:1" ht="15.75" customHeight="1">
      <c r="A4601" s="34"/>
    </row>
    <row r="4602" spans="1:1" ht="15.75" customHeight="1">
      <c r="A4602" s="34"/>
    </row>
    <row r="4603" spans="1:1" ht="15.75" customHeight="1">
      <c r="A4603" s="34"/>
    </row>
    <row r="4604" spans="1:1" ht="15.75" customHeight="1">
      <c r="A4604" s="34"/>
    </row>
    <row r="4605" spans="1:1" ht="15.75" customHeight="1">
      <c r="A4605" s="34"/>
    </row>
    <row r="4606" spans="1:1" ht="15.75" customHeight="1">
      <c r="A4606" s="34"/>
    </row>
    <row r="4607" spans="1:1" ht="15.75" customHeight="1">
      <c r="A4607" s="34"/>
    </row>
    <row r="4608" spans="1:1" ht="15.75" customHeight="1">
      <c r="A4608" s="34"/>
    </row>
    <row r="4609" spans="1:1" ht="15.75" customHeight="1">
      <c r="A4609" s="34"/>
    </row>
    <row r="4610" spans="1:1" ht="15.75" customHeight="1">
      <c r="A4610" s="34"/>
    </row>
    <row r="4611" spans="1:1" ht="15.75" customHeight="1">
      <c r="A4611" s="34"/>
    </row>
    <row r="4612" spans="1:1" ht="15.75" customHeight="1">
      <c r="A4612" s="34"/>
    </row>
    <row r="4613" spans="1:1" ht="15.75" customHeight="1">
      <c r="A4613" s="34"/>
    </row>
    <row r="4614" spans="1:1" ht="15.75" customHeight="1">
      <c r="A4614" s="34"/>
    </row>
    <row r="4615" spans="1:1" ht="15.75" customHeight="1">
      <c r="A4615" s="34"/>
    </row>
    <row r="4616" spans="1:1" ht="15.75" customHeight="1">
      <c r="A4616" s="34"/>
    </row>
    <row r="4617" spans="1:1" ht="15.75" customHeight="1">
      <c r="A4617" s="34"/>
    </row>
    <row r="4618" spans="1:1" ht="15.75" customHeight="1">
      <c r="A4618" s="34"/>
    </row>
    <row r="4619" spans="1:1" ht="15.75" customHeight="1">
      <c r="A4619" s="34"/>
    </row>
    <row r="4620" spans="1:1" ht="15.75" customHeight="1">
      <c r="A4620" s="34"/>
    </row>
    <row r="4621" spans="1:1" ht="15.75" customHeight="1">
      <c r="A4621" s="34"/>
    </row>
    <row r="4622" spans="1:1" ht="15.75" customHeight="1">
      <c r="A4622" s="34"/>
    </row>
    <row r="4623" spans="1:1" ht="15.75" customHeight="1">
      <c r="A4623" s="34"/>
    </row>
    <row r="4624" spans="1:1" ht="15.75" customHeight="1">
      <c r="A4624" s="34"/>
    </row>
    <row r="4625" spans="1:1" ht="15.75" customHeight="1">
      <c r="A4625" s="34"/>
    </row>
    <row r="4626" spans="1:1" ht="15.75" customHeight="1">
      <c r="A4626" s="34"/>
    </row>
    <row r="4627" spans="1:1" ht="15.75" customHeight="1">
      <c r="A4627" s="34"/>
    </row>
    <row r="4628" spans="1:1" ht="15.75" customHeight="1">
      <c r="A4628" s="34"/>
    </row>
    <row r="4629" spans="1:1" ht="15.75" customHeight="1">
      <c r="A4629" s="34"/>
    </row>
    <row r="4630" spans="1:1" ht="15.75" customHeight="1">
      <c r="A4630" s="34"/>
    </row>
    <row r="4631" spans="1:1" ht="15.75" customHeight="1">
      <c r="A4631" s="34"/>
    </row>
    <row r="4632" spans="1:1" ht="15.75" customHeight="1">
      <c r="A4632" s="34"/>
    </row>
    <row r="4633" spans="1:1" ht="15.75" customHeight="1">
      <c r="A4633" s="34"/>
    </row>
    <row r="4634" spans="1:1" ht="15.75" customHeight="1">
      <c r="A4634" s="34"/>
    </row>
    <row r="4635" spans="1:1" ht="15.75" customHeight="1">
      <c r="A4635" s="34"/>
    </row>
    <row r="4636" spans="1:1" ht="15.75" customHeight="1">
      <c r="A4636" s="34"/>
    </row>
    <row r="4637" spans="1:1" ht="15.75" customHeight="1">
      <c r="A4637" s="34"/>
    </row>
    <row r="4638" spans="1:1" ht="15.75" customHeight="1">
      <c r="A4638" s="34"/>
    </row>
    <row r="4639" spans="1:1" ht="15.75" customHeight="1">
      <c r="A4639" s="34"/>
    </row>
    <row r="4640" spans="1:1" ht="15.75" customHeight="1">
      <c r="A4640" s="34"/>
    </row>
    <row r="4641" spans="1:1" ht="15.75" customHeight="1">
      <c r="A4641" s="34"/>
    </row>
    <row r="4642" spans="1:1" ht="15.75" customHeight="1">
      <c r="A4642" s="34"/>
    </row>
    <row r="4643" spans="1:1" ht="15.75" customHeight="1">
      <c r="A4643" s="34"/>
    </row>
    <row r="4644" spans="1:1" ht="15.75" customHeight="1">
      <c r="A4644" s="34"/>
    </row>
    <row r="4645" spans="1:1" ht="15.75" customHeight="1">
      <c r="A4645" s="34"/>
    </row>
    <row r="4646" spans="1:1" ht="15.75" customHeight="1">
      <c r="A4646" s="34"/>
    </row>
    <row r="4647" spans="1:1" ht="15.75" customHeight="1">
      <c r="A4647" s="34"/>
    </row>
    <row r="4648" spans="1:1" ht="15.75" customHeight="1">
      <c r="A4648" s="34"/>
    </row>
    <row r="4649" spans="1:1" ht="15.75" customHeight="1">
      <c r="A4649" s="34"/>
    </row>
    <row r="4650" spans="1:1" ht="15.75" customHeight="1">
      <c r="A4650" s="34"/>
    </row>
    <row r="4651" spans="1:1" ht="15.75" customHeight="1">
      <c r="A4651" s="34"/>
    </row>
    <row r="4652" spans="1:1" ht="15.75" customHeight="1">
      <c r="A4652" s="34"/>
    </row>
    <row r="4653" spans="1:1" ht="15.75" customHeight="1">
      <c r="A4653" s="34"/>
    </row>
    <row r="4654" spans="1:1" ht="15.75" customHeight="1">
      <c r="A4654" s="34"/>
    </row>
    <row r="4655" spans="1:1" ht="15.75" customHeight="1">
      <c r="A4655" s="34"/>
    </row>
    <row r="4656" spans="1:1" ht="15.75" customHeight="1">
      <c r="A4656" s="34"/>
    </row>
    <row r="4657" spans="1:1" ht="15.75" customHeight="1">
      <c r="A4657" s="34"/>
    </row>
    <row r="4658" spans="1:1" ht="15.75" customHeight="1">
      <c r="A4658" s="34"/>
    </row>
    <row r="4659" spans="1:1" ht="15.75" customHeight="1">
      <c r="A4659" s="34"/>
    </row>
    <row r="4660" spans="1:1" ht="15.75" customHeight="1">
      <c r="A4660" s="34"/>
    </row>
    <row r="4661" spans="1:1" ht="15.75" customHeight="1">
      <c r="A4661" s="34"/>
    </row>
    <row r="4662" spans="1:1" ht="15.75" customHeight="1">
      <c r="A4662" s="34"/>
    </row>
    <row r="4663" spans="1:1" ht="15.75" customHeight="1">
      <c r="A4663" s="34"/>
    </row>
    <row r="4664" spans="1:1" ht="15.75" customHeight="1">
      <c r="A4664" s="34"/>
    </row>
    <row r="4665" spans="1:1" ht="15.75" customHeight="1">
      <c r="A4665" s="34"/>
    </row>
    <row r="4666" spans="1:1" ht="15.75" customHeight="1">
      <c r="A4666" s="34"/>
    </row>
    <row r="4667" spans="1:1" ht="15.75" customHeight="1">
      <c r="A4667" s="34"/>
    </row>
    <row r="4668" spans="1:1" ht="15.75" customHeight="1">
      <c r="A4668" s="34"/>
    </row>
    <row r="4669" spans="1:1" ht="15.75" customHeight="1">
      <c r="A4669" s="34"/>
    </row>
    <row r="4670" spans="1:1" ht="15.75" customHeight="1">
      <c r="A4670" s="34"/>
    </row>
    <row r="4671" spans="1:1" ht="15.75" customHeight="1">
      <c r="A4671" s="34"/>
    </row>
    <row r="4672" spans="1:1" ht="15.75" customHeight="1">
      <c r="A4672" s="34"/>
    </row>
    <row r="4673" spans="1:1" ht="15.75" customHeight="1">
      <c r="A4673" s="34"/>
    </row>
    <row r="4674" spans="1:1" ht="15.75" customHeight="1">
      <c r="A4674" s="34"/>
    </row>
    <row r="4675" spans="1:1" ht="15.75" customHeight="1">
      <c r="A4675" s="34"/>
    </row>
    <row r="4676" spans="1:1" ht="15.75" customHeight="1">
      <c r="A4676" s="34"/>
    </row>
    <row r="4677" spans="1:1" ht="15.75" customHeight="1">
      <c r="A4677" s="34"/>
    </row>
    <row r="4678" spans="1:1" ht="15.75" customHeight="1">
      <c r="A4678" s="34"/>
    </row>
    <row r="4679" spans="1:1" ht="15.75" customHeight="1">
      <c r="A4679" s="34"/>
    </row>
    <row r="4680" spans="1:1" ht="15.75" customHeight="1">
      <c r="A4680" s="34"/>
    </row>
    <row r="4681" spans="1:1" ht="15.75" customHeight="1">
      <c r="A4681" s="34"/>
    </row>
    <row r="4682" spans="1:1" ht="15.75" customHeight="1">
      <c r="A4682" s="34"/>
    </row>
    <row r="4683" spans="1:1" ht="15.75" customHeight="1">
      <c r="A4683" s="34"/>
    </row>
    <row r="4684" spans="1:1" ht="15.75" customHeight="1">
      <c r="A4684" s="34"/>
    </row>
    <row r="4685" spans="1:1" ht="15.75" customHeight="1">
      <c r="A4685" s="34"/>
    </row>
    <row r="4686" spans="1:1" ht="15.75" customHeight="1">
      <c r="A4686" s="34"/>
    </row>
    <row r="4687" spans="1:1" ht="15.75" customHeight="1">
      <c r="A4687" s="34"/>
    </row>
    <row r="4688" spans="1:1" ht="15.75" customHeight="1">
      <c r="A4688" s="34"/>
    </row>
    <row r="4689" spans="1:1" ht="15.75" customHeight="1">
      <c r="A4689" s="34"/>
    </row>
    <row r="4690" spans="1:1" ht="15.75" customHeight="1">
      <c r="A4690" s="34"/>
    </row>
    <row r="4691" spans="1:1" ht="15.75" customHeight="1">
      <c r="A4691" s="34"/>
    </row>
    <row r="4692" spans="1:1" ht="15.75" customHeight="1">
      <c r="A4692" s="34"/>
    </row>
    <row r="4693" spans="1:1" ht="15.75" customHeight="1">
      <c r="A4693" s="34"/>
    </row>
    <row r="4694" spans="1:1" ht="15.75" customHeight="1">
      <c r="A4694" s="34"/>
    </row>
    <row r="4695" spans="1:1" ht="15.75" customHeight="1">
      <c r="A4695" s="34"/>
    </row>
    <row r="4696" spans="1:1" ht="15.75" customHeight="1">
      <c r="A4696" s="34"/>
    </row>
    <row r="4697" spans="1:1" ht="15.75" customHeight="1">
      <c r="A4697" s="34"/>
    </row>
    <row r="4698" spans="1:1" ht="15.75" customHeight="1">
      <c r="A4698" s="34"/>
    </row>
    <row r="4699" spans="1:1" ht="15.75" customHeight="1">
      <c r="A4699" s="34"/>
    </row>
    <row r="4700" spans="1:1" ht="15.75" customHeight="1">
      <c r="A4700" s="34"/>
    </row>
    <row r="4701" spans="1:1" ht="15.75" customHeight="1">
      <c r="A4701" s="34"/>
    </row>
    <row r="4702" spans="1:1" ht="15.75" customHeight="1">
      <c r="A4702" s="34"/>
    </row>
    <row r="4703" spans="1:1" ht="15.75" customHeight="1">
      <c r="A4703" s="34"/>
    </row>
    <row r="4704" spans="1:1" ht="15.75" customHeight="1">
      <c r="A4704" s="34"/>
    </row>
    <row r="4705" spans="1:1" ht="15.75" customHeight="1">
      <c r="A4705" s="34"/>
    </row>
    <row r="4706" spans="1:1" ht="15.75" customHeight="1">
      <c r="A4706" s="34"/>
    </row>
    <row r="4707" spans="1:1" ht="15.75" customHeight="1">
      <c r="A4707" s="34"/>
    </row>
    <row r="4708" spans="1:1" ht="15.75" customHeight="1">
      <c r="A4708" s="34"/>
    </row>
    <row r="4709" spans="1:1" ht="15.75" customHeight="1">
      <c r="A4709" s="34"/>
    </row>
    <row r="4710" spans="1:1" ht="15.75" customHeight="1">
      <c r="A4710" s="34"/>
    </row>
    <row r="4711" spans="1:1" ht="15.75" customHeight="1">
      <c r="A4711" s="34"/>
    </row>
    <row r="4712" spans="1:1" ht="15.75" customHeight="1">
      <c r="A4712" s="34"/>
    </row>
    <row r="4713" spans="1:1" ht="15.75" customHeight="1">
      <c r="A4713" s="34"/>
    </row>
    <row r="4714" spans="1:1" ht="15.75" customHeight="1">
      <c r="A4714" s="34"/>
    </row>
    <row r="4715" spans="1:1" ht="15.75" customHeight="1">
      <c r="A4715" s="34"/>
    </row>
    <row r="4716" spans="1:1" ht="15.75" customHeight="1">
      <c r="A4716" s="34"/>
    </row>
    <row r="4717" spans="1:1" ht="15.75" customHeight="1">
      <c r="A4717" s="34"/>
    </row>
    <row r="4718" spans="1:1" ht="15.75" customHeight="1">
      <c r="A4718" s="34"/>
    </row>
    <row r="4719" spans="1:1" ht="15.75" customHeight="1">
      <c r="A4719" s="34"/>
    </row>
    <row r="4720" spans="1:1" ht="15.75" customHeight="1">
      <c r="A4720" s="34"/>
    </row>
    <row r="4721" spans="1:1" ht="15.75" customHeight="1">
      <c r="A4721" s="34"/>
    </row>
    <row r="4722" spans="1:1" ht="15.75" customHeight="1">
      <c r="A4722" s="34"/>
    </row>
    <row r="4723" spans="1:1" ht="15.75" customHeight="1">
      <c r="A4723" s="34"/>
    </row>
    <row r="4724" spans="1:1" ht="15.75" customHeight="1">
      <c r="A4724" s="34"/>
    </row>
    <row r="4725" spans="1:1" ht="15.75" customHeight="1">
      <c r="A4725" s="34"/>
    </row>
    <row r="4726" spans="1:1" ht="15.75" customHeight="1">
      <c r="A4726" s="34"/>
    </row>
    <row r="4727" spans="1:1" ht="15.75" customHeight="1">
      <c r="A4727" s="34"/>
    </row>
    <row r="4728" spans="1:1" ht="15.75" customHeight="1">
      <c r="A4728" s="34"/>
    </row>
    <row r="4729" spans="1:1" ht="15.75" customHeight="1">
      <c r="A4729" s="34"/>
    </row>
    <row r="4730" spans="1:1" ht="15.75" customHeight="1">
      <c r="A4730" s="34"/>
    </row>
    <row r="4731" spans="1:1" ht="15.75" customHeight="1">
      <c r="A4731" s="34"/>
    </row>
    <row r="4732" spans="1:1" ht="15.75" customHeight="1">
      <c r="A4732" s="34"/>
    </row>
    <row r="4733" spans="1:1" ht="15.75" customHeight="1">
      <c r="A4733" s="34"/>
    </row>
    <row r="4734" spans="1:1" ht="15.75" customHeight="1">
      <c r="A4734" s="34"/>
    </row>
    <row r="4735" spans="1:1" ht="15.75" customHeight="1">
      <c r="A4735" s="34"/>
    </row>
    <row r="4736" spans="1:1" ht="15.75" customHeight="1">
      <c r="A4736" s="34"/>
    </row>
    <row r="4737" spans="1:1" ht="15.75" customHeight="1">
      <c r="A4737" s="34"/>
    </row>
    <row r="4738" spans="1:1" ht="15.75" customHeight="1">
      <c r="A4738" s="34"/>
    </row>
    <row r="4739" spans="1:1" ht="15.75" customHeight="1">
      <c r="A4739" s="34"/>
    </row>
    <row r="4740" spans="1:1" ht="15.75" customHeight="1">
      <c r="A4740" s="34"/>
    </row>
    <row r="4741" spans="1:1" ht="15.75" customHeight="1">
      <c r="A4741" s="34"/>
    </row>
    <row r="4742" spans="1:1" ht="15.75" customHeight="1">
      <c r="A4742" s="34"/>
    </row>
    <row r="4743" spans="1:1" ht="15.75" customHeight="1">
      <c r="A4743" s="34"/>
    </row>
    <row r="4744" spans="1:1" ht="15.75" customHeight="1">
      <c r="A4744" s="34"/>
    </row>
    <row r="4745" spans="1:1" ht="15.75" customHeight="1">
      <c r="A4745" s="34"/>
    </row>
    <row r="4746" spans="1:1" ht="15.75" customHeight="1">
      <c r="A4746" s="34"/>
    </row>
    <row r="4747" spans="1:1" ht="15.75" customHeight="1">
      <c r="A4747" s="34"/>
    </row>
    <row r="4748" spans="1:1" ht="15.75" customHeight="1">
      <c r="A4748" s="34"/>
    </row>
    <row r="4749" spans="1:1" ht="15.75" customHeight="1">
      <c r="A4749" s="34"/>
    </row>
    <row r="4750" spans="1:1" ht="15.75" customHeight="1">
      <c r="A4750" s="34"/>
    </row>
    <row r="4751" spans="1:1" ht="15.75" customHeight="1">
      <c r="A4751" s="34"/>
    </row>
    <row r="4752" spans="1:1" ht="15.75" customHeight="1">
      <c r="A4752" s="34"/>
    </row>
    <row r="4753" spans="1:1" ht="15.75" customHeight="1">
      <c r="A4753" s="34"/>
    </row>
    <row r="4754" spans="1:1" ht="15.75" customHeight="1">
      <c r="A4754" s="34"/>
    </row>
    <row r="4755" spans="1:1" ht="15.75" customHeight="1">
      <c r="A4755" s="34"/>
    </row>
    <row r="4756" spans="1:1" ht="15.75" customHeight="1">
      <c r="A4756" s="34"/>
    </row>
    <row r="4757" spans="1:1" ht="15.75" customHeight="1">
      <c r="A4757" s="34"/>
    </row>
    <row r="4758" spans="1:1" ht="15.75" customHeight="1">
      <c r="A4758" s="34"/>
    </row>
    <row r="4759" spans="1:1" ht="15.75" customHeight="1">
      <c r="A4759" s="34"/>
    </row>
    <row r="4760" spans="1:1" ht="15.75" customHeight="1">
      <c r="A4760" s="34"/>
    </row>
    <row r="4761" spans="1:1" ht="15.75" customHeight="1">
      <c r="A4761" s="34"/>
    </row>
    <row r="4762" spans="1:1" ht="15.75" customHeight="1">
      <c r="A4762" s="34"/>
    </row>
    <row r="4763" spans="1:1" ht="15.75" customHeight="1">
      <c r="A4763" s="34"/>
    </row>
    <row r="4764" spans="1:1" ht="15.75" customHeight="1">
      <c r="A4764" s="34"/>
    </row>
    <row r="4765" spans="1:1" ht="15.75" customHeight="1">
      <c r="A4765" s="34"/>
    </row>
    <row r="4766" spans="1:1" ht="15.75" customHeight="1">
      <c r="A4766" s="34"/>
    </row>
    <row r="4767" spans="1:1" ht="15.75" customHeight="1">
      <c r="A4767" s="34"/>
    </row>
    <row r="4768" spans="1:1" ht="15.75" customHeight="1">
      <c r="A4768" s="34"/>
    </row>
    <row r="4769" spans="1:1" ht="15.75" customHeight="1">
      <c r="A4769" s="34"/>
    </row>
    <row r="4770" spans="1:1" ht="15.75" customHeight="1">
      <c r="A4770" s="34"/>
    </row>
    <row r="4771" spans="1:1" ht="15.75" customHeight="1">
      <c r="A4771" s="34"/>
    </row>
    <row r="4772" spans="1:1" ht="15.75" customHeight="1">
      <c r="A4772" s="34"/>
    </row>
    <row r="4773" spans="1:1" ht="15.75" customHeight="1">
      <c r="A4773" s="34"/>
    </row>
    <row r="4774" spans="1:1" ht="15.75" customHeight="1">
      <c r="A4774" s="34"/>
    </row>
    <row r="4775" spans="1:1" ht="15.75" customHeight="1">
      <c r="A4775" s="34"/>
    </row>
    <row r="4776" spans="1:1" ht="15.75" customHeight="1">
      <c r="A4776" s="34"/>
    </row>
    <row r="4777" spans="1:1" ht="15.75" customHeight="1">
      <c r="A4777" s="34"/>
    </row>
    <row r="4778" spans="1:1" ht="15.75" customHeight="1">
      <c r="A4778" s="34"/>
    </row>
    <row r="4779" spans="1:1" ht="15.75" customHeight="1">
      <c r="A4779" s="34"/>
    </row>
    <row r="4780" spans="1:1" ht="15.75" customHeight="1">
      <c r="A4780" s="34"/>
    </row>
    <row r="4781" spans="1:1" ht="15.75" customHeight="1">
      <c r="A4781" s="34"/>
    </row>
    <row r="4782" spans="1:1" ht="15.75" customHeight="1">
      <c r="A4782" s="34"/>
    </row>
    <row r="4783" spans="1:1" ht="15.75" customHeight="1">
      <c r="A4783" s="34"/>
    </row>
    <row r="4784" spans="1:1" ht="15.75" customHeight="1">
      <c r="A4784" s="34"/>
    </row>
    <row r="4785" spans="1:1" ht="15.75" customHeight="1">
      <c r="A4785" s="34"/>
    </row>
    <row r="4786" spans="1:1" ht="15.75" customHeight="1">
      <c r="A4786" s="34"/>
    </row>
    <row r="4787" spans="1:1" ht="15.75" customHeight="1">
      <c r="A4787" s="34"/>
    </row>
    <row r="4788" spans="1:1" ht="15.75" customHeight="1">
      <c r="A4788" s="34"/>
    </row>
    <row r="4789" spans="1:1" ht="15.75" customHeight="1">
      <c r="A4789" s="34"/>
    </row>
    <row r="4790" spans="1:1" ht="15.75" customHeight="1">
      <c r="A4790" s="34"/>
    </row>
    <row r="4791" spans="1:1" ht="15.75" customHeight="1">
      <c r="A4791" s="34"/>
    </row>
    <row r="4792" spans="1:1" ht="15.75" customHeight="1">
      <c r="A4792" s="34"/>
    </row>
    <row r="4793" spans="1:1" ht="15.75" customHeight="1">
      <c r="A4793" s="34"/>
    </row>
    <row r="4794" spans="1:1" ht="15.75" customHeight="1">
      <c r="A4794" s="34"/>
    </row>
    <row r="4795" spans="1:1" ht="15.75" customHeight="1">
      <c r="A4795" s="34"/>
    </row>
    <row r="4796" spans="1:1" ht="15.75" customHeight="1">
      <c r="A4796" s="34"/>
    </row>
    <row r="4797" spans="1:1" ht="15.75" customHeight="1">
      <c r="A4797" s="34"/>
    </row>
    <row r="4798" spans="1:1" ht="15.75" customHeight="1">
      <c r="A4798" s="34"/>
    </row>
    <row r="4799" spans="1:1" ht="15.75" customHeight="1">
      <c r="A4799" s="34"/>
    </row>
    <row r="4800" spans="1:1" ht="15.75" customHeight="1">
      <c r="A4800" s="34"/>
    </row>
    <row r="4801" spans="1:1" ht="15.75" customHeight="1">
      <c r="A4801" s="34"/>
    </row>
    <row r="4802" spans="1:1" ht="15.75" customHeight="1">
      <c r="A4802" s="34"/>
    </row>
    <row r="4803" spans="1:1" ht="15.75" customHeight="1">
      <c r="A4803" s="34"/>
    </row>
    <row r="4804" spans="1:1" ht="15.75" customHeight="1">
      <c r="A4804" s="34"/>
    </row>
    <row r="4805" spans="1:1" ht="15.75" customHeight="1">
      <c r="A4805" s="34"/>
    </row>
    <row r="4806" spans="1:1" ht="15.75" customHeight="1">
      <c r="A4806" s="34"/>
    </row>
    <row r="4807" spans="1:1" ht="15.75" customHeight="1">
      <c r="A4807" s="34"/>
    </row>
    <row r="4808" spans="1:1" ht="15.75" customHeight="1">
      <c r="A4808" s="34"/>
    </row>
    <row r="4809" spans="1:1" ht="15.75" customHeight="1">
      <c r="A4809" s="34"/>
    </row>
    <row r="4810" spans="1:1" ht="15.75" customHeight="1">
      <c r="A4810" s="34"/>
    </row>
    <row r="4811" spans="1:1" ht="15.75" customHeight="1">
      <c r="A4811" s="34"/>
    </row>
    <row r="4812" spans="1:1" ht="15.75" customHeight="1">
      <c r="A4812" s="34"/>
    </row>
    <row r="4813" spans="1:1" ht="15.75" customHeight="1">
      <c r="A4813" s="34"/>
    </row>
    <row r="4814" spans="1:1" ht="15.75" customHeight="1">
      <c r="A4814" s="34"/>
    </row>
    <row r="4815" spans="1:1" ht="15.75" customHeight="1">
      <c r="A4815" s="34"/>
    </row>
    <row r="4816" spans="1:1" ht="15.75" customHeight="1">
      <c r="A4816" s="34"/>
    </row>
    <row r="4817" spans="1:1" ht="15.75" customHeight="1">
      <c r="A4817" s="34"/>
    </row>
    <row r="4818" spans="1:1" ht="15.75" customHeight="1">
      <c r="A4818" s="34"/>
    </row>
    <row r="4819" spans="1:1" ht="15.75" customHeight="1">
      <c r="A4819" s="34"/>
    </row>
    <row r="4820" spans="1:1" ht="15.75" customHeight="1">
      <c r="A4820" s="34"/>
    </row>
    <row r="4821" spans="1:1" ht="15.75" customHeight="1">
      <c r="A4821" s="34"/>
    </row>
    <row r="4822" spans="1:1" ht="15.75" customHeight="1">
      <c r="A4822" s="34"/>
    </row>
    <row r="4823" spans="1:1" ht="15.75" customHeight="1">
      <c r="A4823" s="34"/>
    </row>
    <row r="4824" spans="1:1" ht="15.75" customHeight="1">
      <c r="A4824" s="34"/>
    </row>
    <row r="4825" spans="1:1" ht="15.75" customHeight="1">
      <c r="A4825" s="34"/>
    </row>
    <row r="4826" spans="1:1" ht="15.75" customHeight="1">
      <c r="A4826" s="34"/>
    </row>
    <row r="4827" spans="1:1" ht="15.75" customHeight="1">
      <c r="A4827" s="34"/>
    </row>
    <row r="4828" spans="1:1" ht="15.75" customHeight="1">
      <c r="A4828" s="34"/>
    </row>
    <row r="4829" spans="1:1" ht="15.75" customHeight="1">
      <c r="A4829" s="34"/>
    </row>
    <row r="4830" spans="1:1" ht="15.75" customHeight="1">
      <c r="A4830" s="34"/>
    </row>
    <row r="4831" spans="1:1" ht="15.75" customHeight="1">
      <c r="A4831" s="34"/>
    </row>
    <row r="4832" spans="1:1" ht="15.75" customHeight="1">
      <c r="A4832" s="34"/>
    </row>
    <row r="4833" spans="1:1" ht="15.75" customHeight="1">
      <c r="A4833" s="34"/>
    </row>
    <row r="4834" spans="1:1" ht="15.75" customHeight="1">
      <c r="A4834" s="34"/>
    </row>
    <row r="4835" spans="1:1" ht="15.75" customHeight="1">
      <c r="A4835" s="34"/>
    </row>
    <row r="4836" spans="1:1" ht="15.75" customHeight="1">
      <c r="A4836" s="34"/>
    </row>
    <row r="4837" spans="1:1" ht="15.75" customHeight="1">
      <c r="A4837" s="34"/>
    </row>
    <row r="4838" spans="1:1" ht="15.75" customHeight="1">
      <c r="A4838" s="34"/>
    </row>
    <row r="4839" spans="1:1" ht="15.75" customHeight="1">
      <c r="A4839" s="34"/>
    </row>
    <row r="4840" spans="1:1" ht="15.75" customHeight="1">
      <c r="A4840" s="34"/>
    </row>
    <row r="4841" spans="1:1" ht="15.75" customHeight="1">
      <c r="A4841" s="34"/>
    </row>
    <row r="4842" spans="1:1" ht="15.75" customHeight="1">
      <c r="A4842" s="34"/>
    </row>
    <row r="4843" spans="1:1" ht="15.75" customHeight="1">
      <c r="A4843" s="34"/>
    </row>
    <row r="4844" spans="1:1" ht="15.75" customHeight="1">
      <c r="A4844" s="34"/>
    </row>
    <row r="4845" spans="1:1" ht="15.75" customHeight="1">
      <c r="A4845" s="34"/>
    </row>
    <row r="4846" spans="1:1" ht="15.75" customHeight="1">
      <c r="A4846" s="34"/>
    </row>
    <row r="4847" spans="1:1" ht="15.75" customHeight="1">
      <c r="A4847" s="34"/>
    </row>
    <row r="4848" spans="1:1" ht="15.75" customHeight="1">
      <c r="A4848" s="34"/>
    </row>
    <row r="4849" spans="1:1" ht="15.75" customHeight="1">
      <c r="A4849" s="34"/>
    </row>
    <row r="4850" spans="1:1" ht="15.75" customHeight="1">
      <c r="A4850" s="34"/>
    </row>
    <row r="4851" spans="1:1" ht="15.75" customHeight="1">
      <c r="A4851" s="34"/>
    </row>
    <row r="4852" spans="1:1" ht="15.75" customHeight="1">
      <c r="A4852" s="34"/>
    </row>
    <row r="4853" spans="1:1" ht="15.75" customHeight="1">
      <c r="A4853" s="34"/>
    </row>
    <row r="4854" spans="1:1" ht="15.75" customHeight="1">
      <c r="A4854" s="34"/>
    </row>
    <row r="4855" spans="1:1" ht="15.75" customHeight="1">
      <c r="A4855" s="34"/>
    </row>
    <row r="4856" spans="1:1" ht="15.75" customHeight="1">
      <c r="A4856" s="34"/>
    </row>
    <row r="4857" spans="1:1" ht="15.75" customHeight="1">
      <c r="A4857" s="34"/>
    </row>
    <row r="4858" spans="1:1" ht="15.75" customHeight="1">
      <c r="A4858" s="34"/>
    </row>
    <row r="4859" spans="1:1" ht="15.75" customHeight="1">
      <c r="A4859" s="34"/>
    </row>
    <row r="4860" spans="1:1" ht="15.75" customHeight="1">
      <c r="A4860" s="34"/>
    </row>
    <row r="4861" spans="1:1" ht="15.75" customHeight="1">
      <c r="A4861" s="34"/>
    </row>
    <row r="4862" spans="1:1" ht="15.75" customHeight="1">
      <c r="A4862" s="34"/>
    </row>
    <row r="4863" spans="1:1" ht="15.75" customHeight="1">
      <c r="A4863" s="34"/>
    </row>
    <row r="4864" spans="1:1" ht="15.75" customHeight="1">
      <c r="A4864" s="34"/>
    </row>
    <row r="4865" spans="1:1" ht="15.75" customHeight="1">
      <c r="A4865" s="34"/>
    </row>
    <row r="4866" spans="1:1" ht="15.75" customHeight="1">
      <c r="A4866" s="34"/>
    </row>
    <row r="4867" spans="1:1" ht="15.75" customHeight="1">
      <c r="A4867" s="34"/>
    </row>
    <row r="4868" spans="1:1" ht="15.75" customHeight="1">
      <c r="A4868" s="34"/>
    </row>
    <row r="4869" spans="1:1" ht="15.75" customHeight="1">
      <c r="A4869" s="34"/>
    </row>
    <row r="4870" spans="1:1" ht="15.75" customHeight="1">
      <c r="A4870" s="34"/>
    </row>
    <row r="4871" spans="1:1" ht="15.75" customHeight="1">
      <c r="A4871" s="34"/>
    </row>
    <row r="4872" spans="1:1" ht="15.75" customHeight="1">
      <c r="A4872" s="34"/>
    </row>
    <row r="4873" spans="1:1" ht="15.75" customHeight="1">
      <c r="A4873" s="34"/>
    </row>
    <row r="4874" spans="1:1" ht="15.75" customHeight="1">
      <c r="A4874" s="34"/>
    </row>
    <row r="4875" spans="1:1" ht="15.75" customHeight="1">
      <c r="A4875" s="34"/>
    </row>
    <row r="4876" spans="1:1" ht="15.75" customHeight="1">
      <c r="A4876" s="34"/>
    </row>
    <row r="4877" spans="1:1" ht="15.75" customHeight="1">
      <c r="A4877" s="34"/>
    </row>
    <row r="4878" spans="1:1" ht="15.75" customHeight="1">
      <c r="A4878" s="34"/>
    </row>
    <row r="4879" spans="1:1" ht="15.75" customHeight="1">
      <c r="A4879" s="34"/>
    </row>
    <row r="4880" spans="1:1" ht="15.75" customHeight="1">
      <c r="A4880" s="34"/>
    </row>
    <row r="4881" spans="1:1" ht="15.75" customHeight="1">
      <c r="A4881" s="34"/>
    </row>
    <row r="4882" spans="1:1" ht="15.75" customHeight="1">
      <c r="A4882" s="34"/>
    </row>
    <row r="4883" spans="1:1" ht="15.75" customHeight="1">
      <c r="A4883" s="34"/>
    </row>
    <row r="4884" spans="1:1" ht="15.75" customHeight="1">
      <c r="A4884" s="34"/>
    </row>
    <row r="4885" spans="1:1" ht="15.75" customHeight="1">
      <c r="A4885" s="34"/>
    </row>
    <row r="4886" spans="1:1" ht="15.75" customHeight="1">
      <c r="A4886" s="34"/>
    </row>
    <row r="4887" spans="1:1" ht="15.75" customHeight="1">
      <c r="A4887" s="34"/>
    </row>
    <row r="4888" spans="1:1" ht="15.75" customHeight="1">
      <c r="A4888" s="34"/>
    </row>
    <row r="4889" spans="1:1" ht="15.75" customHeight="1">
      <c r="A4889" s="34"/>
    </row>
    <row r="4890" spans="1:1" ht="15.75" customHeight="1">
      <c r="A4890" s="34"/>
    </row>
    <row r="4891" spans="1:1" ht="15.75" customHeight="1">
      <c r="A4891" s="34"/>
    </row>
    <row r="4892" spans="1:1" ht="15.75" customHeight="1">
      <c r="A4892" s="34"/>
    </row>
    <row r="4893" spans="1:1" ht="15.75" customHeight="1">
      <c r="A4893" s="34"/>
    </row>
    <row r="4894" spans="1:1" ht="15.75" customHeight="1">
      <c r="A4894" s="34"/>
    </row>
    <row r="4895" spans="1:1" ht="15.75" customHeight="1">
      <c r="A4895" s="34"/>
    </row>
    <row r="4896" spans="1:1" ht="15.75" customHeight="1">
      <c r="A4896" s="34"/>
    </row>
    <row r="4897" spans="1:1" ht="15.75" customHeight="1">
      <c r="A4897" s="34"/>
    </row>
    <row r="4898" spans="1:1" ht="15.75" customHeight="1">
      <c r="A4898" s="34"/>
    </row>
    <row r="4899" spans="1:1" ht="15.75" customHeight="1">
      <c r="A4899" s="34"/>
    </row>
    <row r="4900" spans="1:1" ht="15.75" customHeight="1">
      <c r="A4900" s="34"/>
    </row>
    <row r="4901" spans="1:1" ht="15.75" customHeight="1">
      <c r="A4901" s="34"/>
    </row>
    <row r="4902" spans="1:1" ht="15.75" customHeight="1">
      <c r="A4902" s="34"/>
    </row>
    <row r="4903" spans="1:1" ht="15.75" customHeight="1">
      <c r="A4903" s="34"/>
    </row>
    <row r="4904" spans="1:1" ht="15.75" customHeight="1">
      <c r="A4904" s="34"/>
    </row>
    <row r="4905" spans="1:1" ht="15.75" customHeight="1">
      <c r="A4905" s="34"/>
    </row>
    <row r="4906" spans="1:1" ht="15.75" customHeight="1">
      <c r="A4906" s="34"/>
    </row>
    <row r="4907" spans="1:1" ht="15.75" customHeight="1">
      <c r="A4907" s="34"/>
    </row>
    <row r="4908" spans="1:1" ht="15.75" customHeight="1">
      <c r="A4908" s="34"/>
    </row>
    <row r="4909" spans="1:1" ht="15.75" customHeight="1">
      <c r="A4909" s="34"/>
    </row>
    <row r="4910" spans="1:1" ht="15.75" customHeight="1">
      <c r="A4910" s="34"/>
    </row>
    <row r="4911" spans="1:1" ht="15.75" customHeight="1">
      <c r="A4911" s="34"/>
    </row>
    <row r="4912" spans="1:1" ht="15.75" customHeight="1">
      <c r="A4912" s="34"/>
    </row>
    <row r="4913" spans="1:1" ht="15.75" customHeight="1">
      <c r="A4913" s="34"/>
    </row>
    <row r="4914" spans="1:1" ht="15.75" customHeight="1">
      <c r="A4914" s="34"/>
    </row>
    <row r="4915" spans="1:1" ht="15.75" customHeight="1">
      <c r="A4915" s="34"/>
    </row>
    <row r="4916" spans="1:1" ht="15.75" customHeight="1">
      <c r="A4916" s="34"/>
    </row>
    <row r="4917" spans="1:1" ht="15.75" customHeight="1">
      <c r="A4917" s="34"/>
    </row>
    <row r="4918" spans="1:1" ht="15.75" customHeight="1">
      <c r="A4918" s="34"/>
    </row>
    <row r="4919" spans="1:1" ht="15.75" customHeight="1">
      <c r="A4919" s="34"/>
    </row>
    <row r="4920" spans="1:1" ht="15.75" customHeight="1">
      <c r="A4920" s="34"/>
    </row>
    <row r="4921" spans="1:1" ht="15.75" customHeight="1">
      <c r="A4921" s="34"/>
    </row>
    <row r="4922" spans="1:1" ht="15.75" customHeight="1">
      <c r="A4922" s="34"/>
    </row>
    <row r="4923" spans="1:1" ht="15.75" customHeight="1">
      <c r="A4923" s="34"/>
    </row>
    <row r="4924" spans="1:1" ht="15.75" customHeight="1">
      <c r="A4924" s="34"/>
    </row>
    <row r="4925" spans="1:1" ht="15.75" customHeight="1">
      <c r="A4925" s="34"/>
    </row>
    <row r="4926" spans="1:1" ht="15.75" customHeight="1">
      <c r="A4926" s="34"/>
    </row>
    <row r="4927" spans="1:1" ht="15.75" customHeight="1">
      <c r="A4927" s="34"/>
    </row>
    <row r="4928" spans="1:1" ht="15.75" customHeight="1">
      <c r="A4928" s="34"/>
    </row>
    <row r="4929" spans="1:1" ht="15.75" customHeight="1">
      <c r="A4929" s="34"/>
    </row>
    <row r="4930" spans="1:1" ht="15.75" customHeight="1">
      <c r="A4930" s="34"/>
    </row>
    <row r="4931" spans="1:1" ht="15.75" customHeight="1">
      <c r="A4931" s="34"/>
    </row>
    <row r="4932" spans="1:1" ht="15.75" customHeight="1">
      <c r="A4932" s="34"/>
    </row>
    <row r="4933" spans="1:1" ht="15.75" customHeight="1">
      <c r="A4933" s="34"/>
    </row>
    <row r="4934" spans="1:1" ht="15.75" customHeight="1">
      <c r="A4934" s="34"/>
    </row>
    <row r="4935" spans="1:1" ht="15.75" customHeight="1">
      <c r="A4935" s="34"/>
    </row>
    <row r="4936" spans="1:1" ht="15.75" customHeight="1">
      <c r="A4936" s="34"/>
    </row>
    <row r="4937" spans="1:1" ht="15.75" customHeight="1">
      <c r="A4937" s="34"/>
    </row>
    <row r="4938" spans="1:1" ht="15.75" customHeight="1">
      <c r="A4938" s="34"/>
    </row>
    <row r="4939" spans="1:1" ht="15.75" customHeight="1">
      <c r="A4939" s="34"/>
    </row>
    <row r="4940" spans="1:1" ht="15.75" customHeight="1">
      <c r="A4940" s="34"/>
    </row>
    <row r="4941" spans="1:1" ht="15.75" customHeight="1">
      <c r="A4941" s="34"/>
    </row>
    <row r="4942" spans="1:1" ht="15.75" customHeight="1">
      <c r="A4942" s="34"/>
    </row>
    <row r="4943" spans="1:1" ht="15.75" customHeight="1">
      <c r="A4943" s="34"/>
    </row>
    <row r="4944" spans="1:1" ht="15.75" customHeight="1">
      <c r="A4944" s="34"/>
    </row>
    <row r="4945" spans="1:1" ht="15.75" customHeight="1">
      <c r="A4945" s="34"/>
    </row>
    <row r="4946" spans="1:1" ht="15.75" customHeight="1">
      <c r="A4946" s="34"/>
    </row>
    <row r="4947" spans="1:1" ht="15.75" customHeight="1">
      <c r="A4947" s="34"/>
    </row>
    <row r="4948" spans="1:1" ht="15.75" customHeight="1">
      <c r="A4948" s="34"/>
    </row>
    <row r="4949" spans="1:1" ht="15.75" customHeight="1">
      <c r="A4949" s="34"/>
    </row>
    <row r="4950" spans="1:1" ht="15.75" customHeight="1">
      <c r="A4950" s="34"/>
    </row>
    <row r="4951" spans="1:1" ht="15.75" customHeight="1">
      <c r="A4951" s="34"/>
    </row>
    <row r="4952" spans="1:1" ht="15.75" customHeight="1">
      <c r="A4952" s="34"/>
    </row>
    <row r="4953" spans="1:1" ht="15.75" customHeight="1">
      <c r="A4953" s="34"/>
    </row>
    <row r="4954" spans="1:1" ht="15.75" customHeight="1">
      <c r="A4954" s="34"/>
    </row>
    <row r="4955" spans="1:1" ht="15.75" customHeight="1">
      <c r="A4955" s="34"/>
    </row>
    <row r="4956" spans="1:1" ht="15.75" customHeight="1">
      <c r="A4956" s="34"/>
    </row>
    <row r="4957" spans="1:1" ht="15.75" customHeight="1">
      <c r="A4957" s="34"/>
    </row>
    <row r="4958" spans="1:1" ht="15.75" customHeight="1">
      <c r="A4958" s="34"/>
    </row>
    <row r="4959" spans="1:1" ht="15.75" customHeight="1">
      <c r="A4959" s="34"/>
    </row>
    <row r="4960" spans="1:1" ht="15.75" customHeight="1">
      <c r="A4960" s="34"/>
    </row>
    <row r="4961" spans="1:1" ht="15.75" customHeight="1">
      <c r="A4961" s="34"/>
    </row>
    <row r="4962" spans="1:1" ht="15.75" customHeight="1">
      <c r="A4962" s="34"/>
    </row>
    <row r="4963" spans="1:1" ht="15.75" customHeight="1">
      <c r="A4963" s="34"/>
    </row>
    <row r="4964" spans="1:1" ht="15.75" customHeight="1">
      <c r="A4964" s="34"/>
    </row>
    <row r="4965" spans="1:1" ht="15.75" customHeight="1">
      <c r="A4965" s="34"/>
    </row>
    <row r="4966" spans="1:1" ht="15.75" customHeight="1">
      <c r="A4966" s="34"/>
    </row>
    <row r="4967" spans="1:1" ht="15.75" customHeight="1">
      <c r="A4967" s="34"/>
    </row>
    <row r="4968" spans="1:1" ht="15.75" customHeight="1">
      <c r="A4968" s="34"/>
    </row>
    <row r="4969" spans="1:1" ht="15.75" customHeight="1">
      <c r="A4969" s="34"/>
    </row>
    <row r="4970" spans="1:1" ht="15.75" customHeight="1">
      <c r="A4970" s="34"/>
    </row>
    <row r="4971" spans="1:1" ht="15.75" customHeight="1">
      <c r="A4971" s="34"/>
    </row>
    <row r="4972" spans="1:1" ht="15.75" customHeight="1">
      <c r="A4972" s="34"/>
    </row>
    <row r="4973" spans="1:1" ht="15.75" customHeight="1">
      <c r="A4973" s="34"/>
    </row>
    <row r="4974" spans="1:1" ht="15.75" customHeight="1">
      <c r="A4974" s="34"/>
    </row>
    <row r="4975" spans="1:1" ht="15.75" customHeight="1">
      <c r="A4975" s="34"/>
    </row>
    <row r="4976" spans="1:1" ht="15.75" customHeight="1">
      <c r="A4976" s="34"/>
    </row>
    <row r="4977" spans="1:1" ht="15.75" customHeight="1">
      <c r="A4977" s="34"/>
    </row>
    <row r="4978" spans="1:1" ht="15.75" customHeight="1">
      <c r="A4978" s="34"/>
    </row>
    <row r="4979" spans="1:1" ht="15.75" customHeight="1">
      <c r="A4979" s="34"/>
    </row>
    <row r="4980" spans="1:1" ht="15.75" customHeight="1">
      <c r="A4980" s="34"/>
    </row>
    <row r="4981" spans="1:1" ht="15.75" customHeight="1">
      <c r="A4981" s="34"/>
    </row>
    <row r="4982" spans="1:1" ht="15.75" customHeight="1">
      <c r="A4982" s="34"/>
    </row>
    <row r="4983" spans="1:1" ht="15.75" customHeight="1">
      <c r="A4983" s="34"/>
    </row>
    <row r="4984" spans="1:1" ht="15.75" customHeight="1">
      <c r="A4984" s="34"/>
    </row>
    <row r="4985" spans="1:1" ht="15.75" customHeight="1">
      <c r="A4985" s="34"/>
    </row>
    <row r="4986" spans="1:1" ht="15.75" customHeight="1">
      <c r="A4986" s="34"/>
    </row>
    <row r="4987" spans="1:1" ht="15.75" customHeight="1">
      <c r="A4987" s="34"/>
    </row>
    <row r="4988" spans="1:1" ht="15.75" customHeight="1">
      <c r="A4988" s="34"/>
    </row>
    <row r="4989" spans="1:1" ht="15.75" customHeight="1">
      <c r="A4989" s="34"/>
    </row>
    <row r="4990" spans="1:1" ht="15.75" customHeight="1">
      <c r="A4990" s="34"/>
    </row>
    <row r="4991" spans="1:1" ht="15.75" customHeight="1">
      <c r="A4991" s="34"/>
    </row>
    <row r="4992" spans="1:1" ht="15.75" customHeight="1">
      <c r="A4992" s="34"/>
    </row>
    <row r="4993" spans="1:1" ht="15.75" customHeight="1">
      <c r="A4993" s="34"/>
    </row>
    <row r="4994" spans="1:1" ht="15.75" customHeight="1">
      <c r="A4994" s="34"/>
    </row>
    <row r="4995" spans="1:1" ht="15.75" customHeight="1">
      <c r="A4995" s="34"/>
    </row>
    <row r="4996" spans="1:1" ht="15.75" customHeight="1">
      <c r="A4996" s="34"/>
    </row>
    <row r="4997" spans="1:1" ht="15.75" customHeight="1">
      <c r="A4997" s="34"/>
    </row>
    <row r="4998" spans="1:1" ht="15.75" customHeight="1">
      <c r="A4998" s="34"/>
    </row>
    <row r="4999" spans="1:1" ht="15.75" customHeight="1">
      <c r="A4999" s="34"/>
    </row>
    <row r="5000" spans="1:1" ht="15.75" customHeight="1">
      <c r="A5000" s="34"/>
    </row>
    <row r="5001" spans="1:1" ht="15.75" customHeight="1">
      <c r="A5001" s="34"/>
    </row>
    <row r="5002" spans="1:1" ht="15.75" customHeight="1">
      <c r="A5002" s="34"/>
    </row>
    <row r="5003" spans="1:1" ht="15.75" customHeight="1">
      <c r="A5003" s="34"/>
    </row>
    <row r="5004" spans="1:1" ht="15.75" customHeight="1">
      <c r="A5004" s="34"/>
    </row>
    <row r="5005" spans="1:1" ht="15.75" customHeight="1">
      <c r="A5005" s="34"/>
    </row>
    <row r="5006" spans="1:1" ht="15.75" customHeight="1">
      <c r="A5006" s="34"/>
    </row>
    <row r="5007" spans="1:1" ht="15.75" customHeight="1">
      <c r="A5007" s="34"/>
    </row>
    <row r="5008" spans="1:1" ht="15.75" customHeight="1">
      <c r="A5008" s="34"/>
    </row>
    <row r="5009" spans="1:1" ht="15.75" customHeight="1">
      <c r="A5009" s="34"/>
    </row>
    <row r="5010" spans="1:1" ht="15.75" customHeight="1">
      <c r="A5010" s="34"/>
    </row>
    <row r="5011" spans="1:1" ht="15.75" customHeight="1">
      <c r="A5011" s="34"/>
    </row>
    <row r="5012" spans="1:1" ht="15.75" customHeight="1">
      <c r="A5012" s="34"/>
    </row>
    <row r="5013" spans="1:1" ht="15.75" customHeight="1">
      <c r="A5013" s="34"/>
    </row>
    <row r="5014" spans="1:1" ht="15.75" customHeight="1">
      <c r="A5014" s="34"/>
    </row>
    <row r="5015" spans="1:1" ht="15.75" customHeight="1">
      <c r="A5015" s="34"/>
    </row>
    <row r="5016" spans="1:1" ht="15.75" customHeight="1">
      <c r="A5016" s="34"/>
    </row>
    <row r="5017" spans="1:1" ht="15.75" customHeight="1">
      <c r="A5017" s="34"/>
    </row>
    <row r="5018" spans="1:1" ht="15.75" customHeight="1">
      <c r="A5018" s="34"/>
    </row>
    <row r="5019" spans="1:1" ht="15.75" customHeight="1">
      <c r="A5019" s="34"/>
    </row>
    <row r="5020" spans="1:1" ht="15.75" customHeight="1">
      <c r="A5020" s="34"/>
    </row>
    <row r="5021" spans="1:1" ht="15.75" customHeight="1">
      <c r="A5021" s="34"/>
    </row>
    <row r="5022" spans="1:1" ht="15.75" customHeight="1">
      <c r="A5022" s="34"/>
    </row>
    <row r="5023" spans="1:1" ht="15.75" customHeight="1">
      <c r="A5023" s="34"/>
    </row>
    <row r="5024" spans="1:1" ht="15.75" customHeight="1">
      <c r="A5024" s="34"/>
    </row>
    <row r="5025" spans="1:1" ht="15.75" customHeight="1">
      <c r="A5025" s="34"/>
    </row>
    <row r="5026" spans="1:1" ht="15.75" customHeight="1">
      <c r="A5026" s="34"/>
    </row>
    <row r="5027" spans="1:1" ht="15.75" customHeight="1">
      <c r="A5027" s="34"/>
    </row>
    <row r="5028" spans="1:1" ht="15.75" customHeight="1">
      <c r="A5028" s="34"/>
    </row>
    <row r="5029" spans="1:1" ht="15.75" customHeight="1">
      <c r="A5029" s="34"/>
    </row>
    <row r="5030" spans="1:1" ht="15.75" customHeight="1">
      <c r="A5030" s="34"/>
    </row>
    <row r="5031" spans="1:1" ht="15.75" customHeight="1">
      <c r="A5031" s="34"/>
    </row>
    <row r="5032" spans="1:1" ht="15.75" customHeight="1">
      <c r="A5032" s="34"/>
    </row>
    <row r="5033" spans="1:1" ht="15.75" customHeight="1">
      <c r="A5033" s="34"/>
    </row>
    <row r="5034" spans="1:1" ht="15.75" customHeight="1">
      <c r="A5034" s="34"/>
    </row>
    <row r="5035" spans="1:1" ht="15.75" customHeight="1">
      <c r="A5035" s="34"/>
    </row>
    <row r="5036" spans="1:1" ht="15.75" customHeight="1">
      <c r="A5036" s="34"/>
    </row>
    <row r="5037" spans="1:1" ht="15.75" customHeight="1">
      <c r="A5037" s="34"/>
    </row>
    <row r="5038" spans="1:1" ht="15.75" customHeight="1">
      <c r="A5038" s="34"/>
    </row>
    <row r="5039" spans="1:1" ht="15.75" customHeight="1">
      <c r="A5039" s="34"/>
    </row>
    <row r="5040" spans="1:1" ht="15.75" customHeight="1">
      <c r="A5040" s="34"/>
    </row>
    <row r="5041" spans="1:1" ht="15.75" customHeight="1">
      <c r="A5041" s="34"/>
    </row>
    <row r="5042" spans="1:1" ht="15.75" customHeight="1">
      <c r="A5042" s="34"/>
    </row>
    <row r="5043" spans="1:1" ht="15.75" customHeight="1">
      <c r="A5043" s="34"/>
    </row>
    <row r="5044" spans="1:1" ht="15.75" customHeight="1">
      <c r="A5044" s="34"/>
    </row>
    <row r="5045" spans="1:1" ht="15.75" customHeight="1">
      <c r="A5045" s="34"/>
    </row>
    <row r="5046" spans="1:1" ht="15.75" customHeight="1">
      <c r="A5046" s="34"/>
    </row>
    <row r="5047" spans="1:1" ht="15.75" customHeight="1">
      <c r="A5047" s="34"/>
    </row>
    <row r="5048" spans="1:1" ht="15.75" customHeight="1">
      <c r="A5048" s="34"/>
    </row>
    <row r="5049" spans="1:1" ht="15.75" customHeight="1">
      <c r="A5049" s="34"/>
    </row>
    <row r="5050" spans="1:1" ht="15.75" customHeight="1">
      <c r="A5050" s="34"/>
    </row>
    <row r="5051" spans="1:1" ht="15.75" customHeight="1">
      <c r="A5051" s="34"/>
    </row>
    <row r="5052" spans="1:1" ht="15.75" customHeight="1">
      <c r="A5052" s="34"/>
    </row>
    <row r="5053" spans="1:1" ht="15.75" customHeight="1">
      <c r="A5053" s="34"/>
    </row>
    <row r="5054" spans="1:1" ht="15.75" customHeight="1">
      <c r="A5054" s="34"/>
    </row>
    <row r="5055" spans="1:1" ht="15.75" customHeight="1">
      <c r="A5055" s="34"/>
    </row>
    <row r="5056" spans="1:1" ht="15.75" customHeight="1">
      <c r="A5056" s="34"/>
    </row>
    <row r="5057" spans="1:1" ht="15.75" customHeight="1">
      <c r="A5057" s="34"/>
    </row>
    <row r="5058" spans="1:1" ht="15.75" customHeight="1">
      <c r="A5058" s="34"/>
    </row>
    <row r="5059" spans="1:1" ht="15.75" customHeight="1">
      <c r="A5059" s="34"/>
    </row>
    <row r="5060" spans="1:1" ht="15.75" customHeight="1">
      <c r="A5060" s="34"/>
    </row>
    <row r="5061" spans="1:1" ht="15.75" customHeight="1">
      <c r="A5061" s="34"/>
    </row>
    <row r="5062" spans="1:1" ht="15.75" customHeight="1">
      <c r="A5062" s="34"/>
    </row>
    <row r="5063" spans="1:1" ht="15.75" customHeight="1">
      <c r="A5063" s="34"/>
    </row>
    <row r="5064" spans="1:1" ht="15.75" customHeight="1">
      <c r="A5064" s="34"/>
    </row>
    <row r="5065" spans="1:1" ht="15.75" customHeight="1">
      <c r="A5065" s="34"/>
    </row>
    <row r="5066" spans="1:1" ht="15.75" customHeight="1">
      <c r="A5066" s="34"/>
    </row>
    <row r="5067" spans="1:1" ht="15.75" customHeight="1">
      <c r="A5067" s="34"/>
    </row>
    <row r="5068" spans="1:1" ht="15.75" customHeight="1">
      <c r="A5068" s="34"/>
    </row>
    <row r="5069" spans="1:1" ht="15.75" customHeight="1">
      <c r="A5069" s="34"/>
    </row>
    <row r="5070" spans="1:1" ht="15.75" customHeight="1">
      <c r="A5070" s="34"/>
    </row>
    <row r="5071" spans="1:1" ht="15.75" customHeight="1">
      <c r="A5071" s="34"/>
    </row>
    <row r="5072" spans="1:1" ht="15.75" customHeight="1">
      <c r="A5072" s="34"/>
    </row>
    <row r="5073" spans="1:1" ht="15.75" customHeight="1">
      <c r="A5073" s="34"/>
    </row>
    <row r="5074" spans="1:1" ht="15.75" customHeight="1">
      <c r="A5074" s="34"/>
    </row>
    <row r="5075" spans="1:1" ht="15.75" customHeight="1">
      <c r="A5075" s="34"/>
    </row>
    <row r="5076" spans="1:1" ht="15.75" customHeight="1">
      <c r="A5076" s="34"/>
    </row>
    <row r="5077" spans="1:1" ht="15.75" customHeight="1">
      <c r="A5077" s="34"/>
    </row>
    <row r="5078" spans="1:1" ht="15.75" customHeight="1">
      <c r="A5078" s="34"/>
    </row>
    <row r="5079" spans="1:1" ht="15.75" customHeight="1">
      <c r="A5079" s="34"/>
    </row>
    <row r="5080" spans="1:1" ht="15.75" customHeight="1">
      <c r="A5080" s="34"/>
    </row>
    <row r="5081" spans="1:1" ht="15.75" customHeight="1">
      <c r="A5081" s="34"/>
    </row>
    <row r="5082" spans="1:1" ht="15.75" customHeight="1">
      <c r="A5082" s="34"/>
    </row>
    <row r="5083" spans="1:1" ht="15.75" customHeight="1">
      <c r="A5083" s="34"/>
    </row>
    <row r="5084" spans="1:1" ht="15.75" customHeight="1">
      <c r="A5084" s="34"/>
    </row>
    <row r="5085" spans="1:1" ht="15.75" customHeight="1">
      <c r="A5085" s="34"/>
    </row>
    <row r="5086" spans="1:1" ht="15.75" customHeight="1">
      <c r="A5086" s="34"/>
    </row>
    <row r="5087" spans="1:1" ht="15.75" customHeight="1">
      <c r="A5087" s="34"/>
    </row>
    <row r="5088" spans="1:1" ht="15.75" customHeight="1">
      <c r="A5088" s="34"/>
    </row>
    <row r="5089" spans="1:1" ht="15.75" customHeight="1">
      <c r="A5089" s="34"/>
    </row>
    <row r="5090" spans="1:1" ht="15.75" customHeight="1">
      <c r="A5090" s="34"/>
    </row>
    <row r="5091" spans="1:1" ht="15.75" customHeight="1">
      <c r="A5091" s="34"/>
    </row>
    <row r="5092" spans="1:1" ht="15.75" customHeight="1">
      <c r="A5092" s="34"/>
    </row>
    <row r="5093" spans="1:1" ht="15.75" customHeight="1">
      <c r="A5093" s="34"/>
    </row>
    <row r="5094" spans="1:1" ht="15.75" customHeight="1">
      <c r="A5094" s="34"/>
    </row>
    <row r="5095" spans="1:1" ht="15.75" customHeight="1">
      <c r="A5095" s="34"/>
    </row>
    <row r="5096" spans="1:1" ht="15.75" customHeight="1">
      <c r="A5096" s="34"/>
    </row>
    <row r="5097" spans="1:1" ht="15.75" customHeight="1">
      <c r="A5097" s="34"/>
    </row>
    <row r="5098" spans="1:1" ht="15.75" customHeight="1">
      <c r="A5098" s="34"/>
    </row>
    <row r="5099" spans="1:1" ht="15.75" customHeight="1">
      <c r="A5099" s="34"/>
    </row>
    <row r="5100" spans="1:1" ht="15.75" customHeight="1">
      <c r="A5100" s="34"/>
    </row>
    <row r="5101" spans="1:1" ht="15.75" customHeight="1">
      <c r="A5101" s="34"/>
    </row>
    <row r="5102" spans="1:1" ht="15.75" customHeight="1">
      <c r="A5102" s="34"/>
    </row>
    <row r="5103" spans="1:1" ht="15.75" customHeight="1">
      <c r="A5103" s="34"/>
    </row>
    <row r="5104" spans="1:1" ht="15.75" customHeight="1">
      <c r="A5104" s="34"/>
    </row>
    <row r="5105" spans="1:1" ht="15.75" customHeight="1">
      <c r="A5105" s="34"/>
    </row>
    <row r="5106" spans="1:1" ht="15.75" customHeight="1">
      <c r="A5106" s="34"/>
    </row>
    <row r="5107" spans="1:1" ht="15.75" customHeight="1">
      <c r="A5107" s="34"/>
    </row>
    <row r="5108" spans="1:1" ht="15.75" customHeight="1">
      <c r="A5108" s="34"/>
    </row>
    <row r="5109" spans="1:1" ht="15.75" customHeight="1">
      <c r="A5109" s="34"/>
    </row>
    <row r="5110" spans="1:1" ht="15.75" customHeight="1">
      <c r="A5110" s="34"/>
    </row>
    <row r="5111" spans="1:1" ht="15.75" customHeight="1">
      <c r="A5111" s="34"/>
    </row>
    <row r="5112" spans="1:1" ht="15.75" customHeight="1">
      <c r="A5112" s="34"/>
    </row>
    <row r="5113" spans="1:1" ht="15.75" customHeight="1">
      <c r="A5113" s="34"/>
    </row>
    <row r="5114" spans="1:1" ht="15.75" customHeight="1">
      <c r="A5114" s="34"/>
    </row>
    <row r="5115" spans="1:1" ht="15.75" customHeight="1">
      <c r="A5115" s="34"/>
    </row>
    <row r="5116" spans="1:1" ht="15.75" customHeight="1">
      <c r="A5116" s="34"/>
    </row>
    <row r="5117" spans="1:1" ht="15.75" customHeight="1">
      <c r="A5117" s="34"/>
    </row>
    <row r="5118" spans="1:1" ht="15.75" customHeight="1">
      <c r="A5118" s="34"/>
    </row>
    <row r="5119" spans="1:1" ht="15.75" customHeight="1">
      <c r="A5119" s="34"/>
    </row>
    <row r="5120" spans="1:1" ht="15.75" customHeight="1">
      <c r="A5120" s="34"/>
    </row>
    <row r="5121" spans="1:1" ht="15.75" customHeight="1">
      <c r="A5121" s="34"/>
    </row>
    <row r="5122" spans="1:1" ht="15.75" customHeight="1">
      <c r="A5122" s="34"/>
    </row>
    <row r="5123" spans="1:1" ht="15.75" customHeight="1">
      <c r="A5123" s="34"/>
    </row>
    <row r="5124" spans="1:1" ht="15.75" customHeight="1">
      <c r="A5124" s="34"/>
    </row>
    <row r="5125" spans="1:1" ht="15.75" customHeight="1">
      <c r="A5125" s="34"/>
    </row>
    <row r="5126" spans="1:1" ht="15.75" customHeight="1">
      <c r="A5126" s="34"/>
    </row>
    <row r="5127" spans="1:1" ht="15.75" customHeight="1">
      <c r="A5127" s="34"/>
    </row>
    <row r="5128" spans="1:1" ht="15.75" customHeight="1">
      <c r="A5128" s="34"/>
    </row>
    <row r="5129" spans="1:1" ht="15.75" customHeight="1">
      <c r="A5129" s="34"/>
    </row>
    <row r="5130" spans="1:1" ht="15.75" customHeight="1">
      <c r="A5130" s="34"/>
    </row>
    <row r="5131" spans="1:1" ht="15.75" customHeight="1">
      <c r="A5131" s="34"/>
    </row>
    <row r="5132" spans="1:1" ht="15.75" customHeight="1">
      <c r="A5132" s="34"/>
    </row>
    <row r="5133" spans="1:1" ht="15.75" customHeight="1">
      <c r="A5133" s="34"/>
    </row>
    <row r="5134" spans="1:1" ht="15.75" customHeight="1">
      <c r="A5134" s="34"/>
    </row>
    <row r="5135" spans="1:1" ht="15.75" customHeight="1">
      <c r="A5135" s="34"/>
    </row>
    <row r="5136" spans="1:1" ht="15.75" customHeight="1">
      <c r="A5136" s="34"/>
    </row>
    <row r="5137" spans="1:1" ht="15.75" customHeight="1">
      <c r="A5137" s="34"/>
    </row>
    <row r="5138" spans="1:1" ht="15.75" customHeight="1">
      <c r="A5138" s="34"/>
    </row>
    <row r="5139" spans="1:1" ht="15.75" customHeight="1">
      <c r="A5139" s="34"/>
    </row>
    <row r="5140" spans="1:1" ht="15.75" customHeight="1">
      <c r="A5140" s="34"/>
    </row>
    <row r="5141" spans="1:1" ht="15.75" customHeight="1">
      <c r="A5141" s="34"/>
    </row>
    <row r="5142" spans="1:1" ht="15.75" customHeight="1">
      <c r="A5142" s="34"/>
    </row>
    <row r="5143" spans="1:1" ht="15.75" customHeight="1">
      <c r="A5143" s="34"/>
    </row>
    <row r="5144" spans="1:1" ht="15.75" customHeight="1">
      <c r="A5144" s="34"/>
    </row>
    <row r="5145" spans="1:1" ht="15.75" customHeight="1">
      <c r="A5145" s="34"/>
    </row>
    <row r="5146" spans="1:1" ht="15.75" customHeight="1">
      <c r="A5146" s="34"/>
    </row>
    <row r="5147" spans="1:1" ht="15.75" customHeight="1">
      <c r="A5147" s="34"/>
    </row>
    <row r="5148" spans="1:1" ht="15.75" customHeight="1">
      <c r="A5148" s="34"/>
    </row>
    <row r="5149" spans="1:1" ht="15.75" customHeight="1">
      <c r="A5149" s="34"/>
    </row>
    <row r="5150" spans="1:1" ht="15.75" customHeight="1">
      <c r="A5150" s="34"/>
    </row>
    <row r="5151" spans="1:1" ht="15.75" customHeight="1">
      <c r="A5151" s="34"/>
    </row>
    <row r="5152" spans="1:1" ht="15.75" customHeight="1">
      <c r="A5152" s="34"/>
    </row>
    <row r="5153" spans="1:1" ht="15.75" customHeight="1">
      <c r="A5153" s="34"/>
    </row>
    <row r="5154" spans="1:1" ht="15.75" customHeight="1">
      <c r="A5154" s="34"/>
    </row>
    <row r="5155" spans="1:1" ht="15.75" customHeight="1">
      <c r="A5155" s="34"/>
    </row>
    <row r="5156" spans="1:1" ht="15.75" customHeight="1">
      <c r="A5156" s="34"/>
    </row>
    <row r="5157" spans="1:1" ht="15.75" customHeight="1">
      <c r="A5157" s="34"/>
    </row>
    <row r="5158" spans="1:1" ht="15.75" customHeight="1">
      <c r="A5158" s="34"/>
    </row>
    <row r="5159" spans="1:1" ht="15.75" customHeight="1">
      <c r="A5159" s="34"/>
    </row>
    <row r="5160" spans="1:1" ht="15.75" customHeight="1">
      <c r="A5160" s="34"/>
    </row>
    <row r="5161" spans="1:1" ht="15.75" customHeight="1">
      <c r="A5161" s="34"/>
    </row>
    <row r="5162" spans="1:1" ht="15.75" customHeight="1">
      <c r="A5162" s="34"/>
    </row>
    <row r="5163" spans="1:1" ht="15.75" customHeight="1">
      <c r="A5163" s="34"/>
    </row>
    <row r="5164" spans="1:1" ht="15.75" customHeight="1">
      <c r="A5164" s="34"/>
    </row>
    <row r="5165" spans="1:1" ht="15.75" customHeight="1">
      <c r="A5165" s="34"/>
    </row>
    <row r="5166" spans="1:1" ht="15.75" customHeight="1">
      <c r="A5166" s="34"/>
    </row>
    <row r="5167" spans="1:1" ht="15.75" customHeight="1">
      <c r="A5167" s="34"/>
    </row>
    <row r="5168" spans="1:1" ht="15.75" customHeight="1">
      <c r="A5168" s="34"/>
    </row>
    <row r="5169" spans="1:1" ht="15.75" customHeight="1">
      <c r="A5169" s="34"/>
    </row>
    <row r="5170" spans="1:1" ht="15.75" customHeight="1">
      <c r="A5170" s="34"/>
    </row>
    <row r="5171" spans="1:1" ht="15.75" customHeight="1">
      <c r="A5171" s="34"/>
    </row>
    <row r="5172" spans="1:1" ht="15.75" customHeight="1">
      <c r="A5172" s="34"/>
    </row>
    <row r="5173" spans="1:1" ht="15.75" customHeight="1">
      <c r="A5173" s="34"/>
    </row>
    <row r="5174" spans="1:1" ht="15.75" customHeight="1">
      <c r="A5174" s="34"/>
    </row>
    <row r="5175" spans="1:1" ht="15.75" customHeight="1">
      <c r="A5175" s="34"/>
    </row>
    <row r="5176" spans="1:1" ht="15.75" customHeight="1">
      <c r="A5176" s="34"/>
    </row>
    <row r="5177" spans="1:1" ht="15.75" customHeight="1">
      <c r="A5177" s="34"/>
    </row>
    <row r="5178" spans="1:1" ht="15.75" customHeight="1">
      <c r="A5178" s="34"/>
    </row>
    <row r="5179" spans="1:1" ht="15.75" customHeight="1">
      <c r="A5179" s="34"/>
    </row>
    <row r="5180" spans="1:1" ht="15.75" customHeight="1">
      <c r="A5180" s="34"/>
    </row>
    <row r="5181" spans="1:1" ht="15.75" customHeight="1">
      <c r="A5181" s="34"/>
    </row>
    <row r="5182" spans="1:1" ht="15.75" customHeight="1">
      <c r="A5182" s="34"/>
    </row>
    <row r="5183" spans="1:1" ht="15.75" customHeight="1">
      <c r="A5183" s="34"/>
    </row>
    <row r="5184" spans="1:1" ht="15.75" customHeight="1">
      <c r="A5184" s="34"/>
    </row>
    <row r="5185" spans="1:1" ht="15.75" customHeight="1">
      <c r="A5185" s="34"/>
    </row>
    <row r="5186" spans="1:1" ht="15.75" customHeight="1">
      <c r="A5186" s="34"/>
    </row>
    <row r="5187" spans="1:1" ht="15.75" customHeight="1">
      <c r="A5187" s="34"/>
    </row>
    <row r="5188" spans="1:1" ht="15.75" customHeight="1">
      <c r="A5188" s="34"/>
    </row>
    <row r="5189" spans="1:1" ht="15.75" customHeight="1">
      <c r="A5189" s="34"/>
    </row>
    <row r="5190" spans="1:1" ht="15.75" customHeight="1">
      <c r="A5190" s="34"/>
    </row>
    <row r="5191" spans="1:1" ht="15.75" customHeight="1">
      <c r="A5191" s="34"/>
    </row>
    <row r="5192" spans="1:1" ht="15.75" customHeight="1">
      <c r="A5192" s="34"/>
    </row>
    <row r="5193" spans="1:1" ht="15.75" customHeight="1">
      <c r="A5193" s="34"/>
    </row>
    <row r="5194" spans="1:1" ht="15.75" customHeight="1">
      <c r="A5194" s="34"/>
    </row>
    <row r="5195" spans="1:1" ht="15.75" customHeight="1">
      <c r="A5195" s="34"/>
    </row>
    <row r="5196" spans="1:1" ht="15.75" customHeight="1">
      <c r="A5196" s="34"/>
    </row>
    <row r="5197" spans="1:1" ht="15.75" customHeight="1">
      <c r="A5197" s="34"/>
    </row>
    <row r="5198" spans="1:1" ht="15.75" customHeight="1">
      <c r="A5198" s="34"/>
    </row>
    <row r="5199" spans="1:1" ht="15.75" customHeight="1">
      <c r="A5199" s="34"/>
    </row>
    <row r="5200" spans="1:1" ht="15.75" customHeight="1">
      <c r="A5200" s="34"/>
    </row>
    <row r="5201" spans="1:1" ht="15.75" customHeight="1">
      <c r="A5201" s="34"/>
    </row>
    <row r="5202" spans="1:1" ht="15.75" customHeight="1">
      <c r="A5202" s="34"/>
    </row>
    <row r="5203" spans="1:1" ht="15.75" customHeight="1">
      <c r="A5203" s="34"/>
    </row>
    <row r="5204" spans="1:1" ht="15.75" customHeight="1">
      <c r="A5204" s="34"/>
    </row>
    <row r="5205" spans="1:1" ht="15.75" customHeight="1">
      <c r="A5205" s="34"/>
    </row>
    <row r="5206" spans="1:1" ht="15.75" customHeight="1">
      <c r="A5206" s="34"/>
    </row>
    <row r="5207" spans="1:1" ht="15.75" customHeight="1">
      <c r="A5207" s="34"/>
    </row>
    <row r="5208" spans="1:1" ht="15.75" customHeight="1">
      <c r="A5208" s="34"/>
    </row>
    <row r="5209" spans="1:1" ht="15.75" customHeight="1">
      <c r="A5209" s="34"/>
    </row>
    <row r="5210" spans="1:1" ht="15.75" customHeight="1">
      <c r="A5210" s="34"/>
    </row>
    <row r="5211" spans="1:1" ht="15.75" customHeight="1">
      <c r="A5211" s="34"/>
    </row>
    <row r="5212" spans="1:1" ht="15.75" customHeight="1">
      <c r="A5212" s="34"/>
    </row>
    <row r="5213" spans="1:1" ht="15.75" customHeight="1">
      <c r="A5213" s="34"/>
    </row>
    <row r="5214" spans="1:1" ht="15.75" customHeight="1">
      <c r="A5214" s="34"/>
    </row>
    <row r="5215" spans="1:1" ht="15.75" customHeight="1">
      <c r="A5215" s="34"/>
    </row>
    <row r="5216" spans="1:1" ht="15.75" customHeight="1">
      <c r="A5216" s="34"/>
    </row>
    <row r="5217" spans="1:1" ht="15.75" customHeight="1">
      <c r="A5217" s="34"/>
    </row>
    <row r="5218" spans="1:1" ht="15.75" customHeight="1">
      <c r="A5218" s="34"/>
    </row>
    <row r="5219" spans="1:1" ht="15.75" customHeight="1">
      <c r="A5219" s="34"/>
    </row>
    <row r="5220" spans="1:1" ht="15.75" customHeight="1">
      <c r="A5220" s="34"/>
    </row>
    <row r="5221" spans="1:1" ht="15.75" customHeight="1">
      <c r="A5221" s="34"/>
    </row>
    <row r="5222" spans="1:1" ht="15.75" customHeight="1">
      <c r="A5222" s="34"/>
    </row>
    <row r="5223" spans="1:1" ht="15.75" customHeight="1">
      <c r="A5223" s="34"/>
    </row>
    <row r="5224" spans="1:1" ht="15.75" customHeight="1">
      <c r="A5224" s="34"/>
    </row>
    <row r="5225" spans="1:1" ht="15.75" customHeight="1">
      <c r="A5225" s="34"/>
    </row>
    <row r="5226" spans="1:1" ht="15.75" customHeight="1">
      <c r="A5226" s="34"/>
    </row>
    <row r="5227" spans="1:1" ht="15.75" customHeight="1">
      <c r="A5227" s="34"/>
    </row>
    <row r="5228" spans="1:1" ht="15.75" customHeight="1">
      <c r="A5228" s="34"/>
    </row>
    <row r="5229" spans="1:1" ht="15.75" customHeight="1">
      <c r="A5229" s="34"/>
    </row>
    <row r="5230" spans="1:1" ht="15.75" customHeight="1">
      <c r="A5230" s="34"/>
    </row>
    <row r="5231" spans="1:1" ht="15.75" customHeight="1">
      <c r="A5231" s="34"/>
    </row>
    <row r="5232" spans="1:1" ht="15.75" customHeight="1">
      <c r="A5232" s="34"/>
    </row>
    <row r="5233" spans="1:1" ht="15.75" customHeight="1">
      <c r="A5233" s="34"/>
    </row>
    <row r="5234" spans="1:1" ht="15.75" customHeight="1">
      <c r="A5234" s="34"/>
    </row>
    <row r="5235" spans="1:1" ht="15.75" customHeight="1">
      <c r="A5235" s="34"/>
    </row>
    <row r="5236" spans="1:1" ht="15.75" customHeight="1">
      <c r="A5236" s="34"/>
    </row>
    <row r="5237" spans="1:1" ht="15.75" customHeight="1">
      <c r="A5237" s="34"/>
    </row>
    <row r="5238" spans="1:1" ht="15.75" customHeight="1">
      <c r="A5238" s="34"/>
    </row>
    <row r="5239" spans="1:1" ht="15.75" customHeight="1">
      <c r="A5239" s="34"/>
    </row>
    <row r="5240" spans="1:1" ht="15.75" customHeight="1">
      <c r="A5240" s="34"/>
    </row>
    <row r="5241" spans="1:1" ht="15.75" customHeight="1">
      <c r="A5241" s="34"/>
    </row>
    <row r="5242" spans="1:1" ht="15.75" customHeight="1">
      <c r="A5242" s="34"/>
    </row>
    <row r="5243" spans="1:1" ht="15.75" customHeight="1">
      <c r="A5243" s="34"/>
    </row>
    <row r="5244" spans="1:1" ht="15.75" customHeight="1">
      <c r="A5244" s="34"/>
    </row>
    <row r="5245" spans="1:1" ht="15.75" customHeight="1">
      <c r="A5245" s="34"/>
    </row>
    <row r="5246" spans="1:1" ht="15.75" customHeight="1">
      <c r="A5246" s="34"/>
    </row>
    <row r="5247" spans="1:1" ht="15.75" customHeight="1">
      <c r="A5247" s="34"/>
    </row>
    <row r="5248" spans="1:1" ht="15.75" customHeight="1">
      <c r="A5248" s="34"/>
    </row>
    <row r="5249" spans="1:1" ht="15.75" customHeight="1">
      <c r="A5249" s="34"/>
    </row>
    <row r="5250" spans="1:1" ht="15.75" customHeight="1">
      <c r="A5250" s="34"/>
    </row>
    <row r="5251" spans="1:1" ht="15.75" customHeight="1">
      <c r="A5251" s="34"/>
    </row>
    <row r="5252" spans="1:1" ht="15.75" customHeight="1">
      <c r="A5252" s="34"/>
    </row>
    <row r="5253" spans="1:1" ht="15.75" customHeight="1">
      <c r="A5253" s="34"/>
    </row>
    <row r="5254" spans="1:1" ht="15.75" customHeight="1">
      <c r="A5254" s="34"/>
    </row>
    <row r="5255" spans="1:1" ht="15.75" customHeight="1">
      <c r="A5255" s="34"/>
    </row>
    <row r="5256" spans="1:1" ht="15.75" customHeight="1">
      <c r="A5256" s="34"/>
    </row>
    <row r="5257" spans="1:1" ht="15.75" customHeight="1">
      <c r="A5257" s="34"/>
    </row>
    <row r="5258" spans="1:1" ht="15.75" customHeight="1">
      <c r="A5258" s="34"/>
    </row>
    <row r="5259" spans="1:1" ht="15.75" customHeight="1">
      <c r="A5259" s="34"/>
    </row>
    <row r="5260" spans="1:1" ht="15.75" customHeight="1">
      <c r="A5260" s="34"/>
    </row>
    <row r="5261" spans="1:1" ht="15.75" customHeight="1">
      <c r="A5261" s="34"/>
    </row>
    <row r="5262" spans="1:1" ht="15.75" customHeight="1">
      <c r="A5262" s="34"/>
    </row>
    <row r="5263" spans="1:1" ht="15.75" customHeight="1">
      <c r="A5263" s="34"/>
    </row>
    <row r="5264" spans="1:1" ht="15.75" customHeight="1">
      <c r="A5264" s="34"/>
    </row>
    <row r="5265" spans="1:1" ht="15.75" customHeight="1">
      <c r="A5265" s="34"/>
    </row>
    <row r="5266" spans="1:1" ht="15.75" customHeight="1">
      <c r="A5266" s="34"/>
    </row>
    <row r="5267" spans="1:1" ht="15.75" customHeight="1">
      <c r="A5267" s="34"/>
    </row>
    <row r="5268" spans="1:1" ht="15.75" customHeight="1">
      <c r="A5268" s="34"/>
    </row>
    <row r="5269" spans="1:1" ht="15.75" customHeight="1">
      <c r="A5269" s="34"/>
    </row>
    <row r="5270" spans="1:1" ht="15.75" customHeight="1">
      <c r="A5270" s="34"/>
    </row>
    <row r="5271" spans="1:1" ht="15.75" customHeight="1">
      <c r="A5271" s="34"/>
    </row>
    <row r="5272" spans="1:1" ht="15.75" customHeight="1">
      <c r="A5272" s="34"/>
    </row>
    <row r="5273" spans="1:1" ht="15.75" customHeight="1">
      <c r="A5273" s="34"/>
    </row>
    <row r="5274" spans="1:1" ht="15.75" customHeight="1">
      <c r="A5274" s="34"/>
    </row>
    <row r="5275" spans="1:1" ht="15.75" customHeight="1">
      <c r="A5275" s="34"/>
    </row>
    <row r="5276" spans="1:1" ht="15.75" customHeight="1">
      <c r="A5276" s="34"/>
    </row>
    <row r="5277" spans="1:1" ht="15.75" customHeight="1">
      <c r="A5277" s="34"/>
    </row>
    <row r="5278" spans="1:1" ht="15.75" customHeight="1">
      <c r="A5278" s="34"/>
    </row>
    <row r="5279" spans="1:1" ht="15.75" customHeight="1">
      <c r="A5279" s="34"/>
    </row>
    <row r="5280" spans="1:1" ht="15.75" customHeight="1">
      <c r="A5280" s="34"/>
    </row>
    <row r="5281" spans="1:1" ht="15.75" customHeight="1">
      <c r="A5281" s="34"/>
    </row>
    <row r="5282" spans="1:1" ht="15.75" customHeight="1">
      <c r="A5282" s="34"/>
    </row>
    <row r="5283" spans="1:1" ht="15.75" customHeight="1">
      <c r="A5283" s="34"/>
    </row>
    <row r="5284" spans="1:1" ht="15.75" customHeight="1">
      <c r="A5284" s="34"/>
    </row>
    <row r="5285" spans="1:1" ht="15.75" customHeight="1">
      <c r="A5285" s="34"/>
    </row>
    <row r="5286" spans="1:1" ht="15.75" customHeight="1">
      <c r="A5286" s="34"/>
    </row>
    <row r="5287" spans="1:1" ht="15.75" customHeight="1">
      <c r="A5287" s="34"/>
    </row>
    <row r="5288" spans="1:1" ht="15.75" customHeight="1">
      <c r="A5288" s="34"/>
    </row>
    <row r="5289" spans="1:1" ht="15.75" customHeight="1">
      <c r="A5289" s="34"/>
    </row>
    <row r="5290" spans="1:1" ht="15.75" customHeight="1">
      <c r="A5290" s="34"/>
    </row>
    <row r="5291" spans="1:1" ht="15.75" customHeight="1">
      <c r="A5291" s="34"/>
    </row>
    <row r="5292" spans="1:1" ht="15.75" customHeight="1">
      <c r="A5292" s="34"/>
    </row>
    <row r="5293" spans="1:1" ht="15.75" customHeight="1">
      <c r="A5293" s="34"/>
    </row>
    <row r="5294" spans="1:1" ht="15.75" customHeight="1">
      <c r="A5294" s="34"/>
    </row>
    <row r="5295" spans="1:1" ht="15.75" customHeight="1">
      <c r="A5295" s="34"/>
    </row>
    <row r="5296" spans="1:1" ht="15.75" customHeight="1">
      <c r="A5296" s="34"/>
    </row>
    <row r="5297" spans="1:1" ht="15.75" customHeight="1">
      <c r="A5297" s="34"/>
    </row>
    <row r="5298" spans="1:1" ht="15.75" customHeight="1">
      <c r="A5298" s="34"/>
    </row>
    <row r="5299" spans="1:1" ht="15.75" customHeight="1">
      <c r="A5299" s="34"/>
    </row>
    <row r="5300" spans="1:1" ht="15.75" customHeight="1">
      <c r="A5300" s="34"/>
    </row>
    <row r="5301" spans="1:1" ht="15.75" customHeight="1">
      <c r="A5301" s="34"/>
    </row>
    <row r="5302" spans="1:1" ht="15.75" customHeight="1">
      <c r="A5302" s="34"/>
    </row>
    <row r="5303" spans="1:1" ht="15.75" customHeight="1">
      <c r="A5303" s="34"/>
    </row>
    <row r="5304" spans="1:1" ht="15.75" customHeight="1">
      <c r="A5304" s="34"/>
    </row>
    <row r="5305" spans="1:1" ht="15.75" customHeight="1">
      <c r="A5305" s="34"/>
    </row>
    <row r="5306" spans="1:1" ht="15.75" customHeight="1">
      <c r="A5306" s="34"/>
    </row>
    <row r="5307" spans="1:1" ht="15.75" customHeight="1">
      <c r="A5307" s="34"/>
    </row>
    <row r="5308" spans="1:1" ht="15.75" customHeight="1">
      <c r="A5308" s="34"/>
    </row>
    <row r="5309" spans="1:1" ht="15.75" customHeight="1">
      <c r="A5309" s="34"/>
    </row>
    <row r="5310" spans="1:1" ht="15.75" customHeight="1">
      <c r="A5310" s="34"/>
    </row>
    <row r="5311" spans="1:1" ht="15.75" customHeight="1">
      <c r="A5311" s="34"/>
    </row>
    <row r="5312" spans="1:1" ht="15.75" customHeight="1">
      <c r="A5312" s="34"/>
    </row>
    <row r="5313" spans="1:1" ht="15.75" customHeight="1">
      <c r="A5313" s="34"/>
    </row>
    <row r="5314" spans="1:1" ht="15.75" customHeight="1">
      <c r="A5314" s="34"/>
    </row>
    <row r="5315" spans="1:1" ht="15.75" customHeight="1">
      <c r="A5315" s="34"/>
    </row>
    <row r="5316" spans="1:1" ht="15.75" customHeight="1">
      <c r="A5316" s="34"/>
    </row>
    <row r="5317" spans="1:1" ht="15.75" customHeight="1">
      <c r="A5317" s="34"/>
    </row>
    <row r="5318" spans="1:1" ht="15.75" customHeight="1">
      <c r="A5318" s="34"/>
    </row>
    <row r="5319" spans="1:1" ht="15.75" customHeight="1">
      <c r="A5319" s="34"/>
    </row>
    <row r="5320" spans="1:1" ht="15.75" customHeight="1">
      <c r="A5320" s="34"/>
    </row>
    <row r="5321" spans="1:1" ht="15.75" customHeight="1">
      <c r="A5321" s="34"/>
    </row>
    <row r="5322" spans="1:1" ht="15.75" customHeight="1">
      <c r="A5322" s="34"/>
    </row>
    <row r="5323" spans="1:1" ht="15.75" customHeight="1">
      <c r="A5323" s="34"/>
    </row>
    <row r="5324" spans="1:1" ht="15.75" customHeight="1">
      <c r="A5324" s="34"/>
    </row>
    <row r="5325" spans="1:1" ht="15.75" customHeight="1">
      <c r="A5325" s="34"/>
    </row>
    <row r="5326" spans="1:1" ht="15.75" customHeight="1">
      <c r="A5326" s="34"/>
    </row>
    <row r="5327" spans="1:1" ht="15.75" customHeight="1">
      <c r="A5327" s="34"/>
    </row>
    <row r="5328" spans="1:1" ht="15.75" customHeight="1">
      <c r="A5328" s="34"/>
    </row>
    <row r="5329" spans="1:1" ht="15.75" customHeight="1">
      <c r="A5329" s="34"/>
    </row>
    <row r="5330" spans="1:1" ht="15.75" customHeight="1">
      <c r="A5330" s="34"/>
    </row>
    <row r="5331" spans="1:1" ht="15.75" customHeight="1">
      <c r="A5331" s="34"/>
    </row>
    <row r="5332" spans="1:1" ht="15.75" customHeight="1">
      <c r="A5332" s="34"/>
    </row>
    <row r="5333" spans="1:1" ht="15.75" customHeight="1">
      <c r="A5333" s="34"/>
    </row>
    <row r="5334" spans="1:1" ht="15.75" customHeight="1">
      <c r="A5334" s="34"/>
    </row>
    <row r="5335" spans="1:1" ht="15.75" customHeight="1">
      <c r="A5335" s="34"/>
    </row>
    <row r="5336" spans="1:1" ht="15.75" customHeight="1">
      <c r="A5336" s="34"/>
    </row>
    <row r="5337" spans="1:1" ht="15.75" customHeight="1">
      <c r="A5337" s="34"/>
    </row>
    <row r="5338" spans="1:1" ht="15.75" customHeight="1">
      <c r="A5338" s="34"/>
    </row>
    <row r="5339" spans="1:1" ht="15.75" customHeight="1">
      <c r="A5339" s="34"/>
    </row>
    <row r="5340" spans="1:1" ht="15.75" customHeight="1">
      <c r="A5340" s="34"/>
    </row>
    <row r="5341" spans="1:1" ht="15.75" customHeight="1">
      <c r="A5341" s="34"/>
    </row>
    <row r="5342" spans="1:1" ht="15.75" customHeight="1">
      <c r="A5342" s="34"/>
    </row>
    <row r="5343" spans="1:1" ht="15.75" customHeight="1">
      <c r="A5343" s="34"/>
    </row>
    <row r="5344" spans="1:1" ht="15.75" customHeight="1">
      <c r="A5344" s="34"/>
    </row>
    <row r="5345" spans="1:1" ht="15.75" customHeight="1">
      <c r="A5345" s="34"/>
    </row>
    <row r="5346" spans="1:1" ht="15.75" customHeight="1">
      <c r="A5346" s="34"/>
    </row>
    <row r="5347" spans="1:1" ht="15.75" customHeight="1">
      <c r="A5347" s="34"/>
    </row>
    <row r="5348" spans="1:1" ht="15.75" customHeight="1">
      <c r="A5348" s="34"/>
    </row>
    <row r="5349" spans="1:1" ht="15.75" customHeight="1">
      <c r="A5349" s="34"/>
    </row>
    <row r="5350" spans="1:1" ht="15.75" customHeight="1">
      <c r="A5350" s="34"/>
    </row>
    <row r="5351" spans="1:1" ht="15.75" customHeight="1">
      <c r="A5351" s="34"/>
    </row>
    <row r="5352" spans="1:1" ht="15.75" customHeight="1">
      <c r="A5352" s="34"/>
    </row>
    <row r="5353" spans="1:1" ht="15.75" customHeight="1">
      <c r="A5353" s="34"/>
    </row>
    <row r="5354" spans="1:1" ht="15.75" customHeight="1">
      <c r="A5354" s="34"/>
    </row>
    <row r="5355" spans="1:1" ht="15.75" customHeight="1">
      <c r="A5355" s="34"/>
    </row>
    <row r="5356" spans="1:1" ht="15.75" customHeight="1">
      <c r="A5356" s="34"/>
    </row>
    <row r="5357" spans="1:1" ht="15.75" customHeight="1">
      <c r="A5357" s="34"/>
    </row>
    <row r="5358" spans="1:1" ht="15.75" customHeight="1">
      <c r="A5358" s="34"/>
    </row>
    <row r="5359" spans="1:1" ht="15.75" customHeight="1">
      <c r="A5359" s="34"/>
    </row>
    <row r="5360" spans="1:1" ht="15.75" customHeight="1">
      <c r="A5360" s="34"/>
    </row>
    <row r="5361" spans="1:1" ht="15.75" customHeight="1">
      <c r="A5361" s="34"/>
    </row>
    <row r="5362" spans="1:1" ht="15.75" customHeight="1">
      <c r="A5362" s="34"/>
    </row>
    <row r="5363" spans="1:1" ht="15.75" customHeight="1">
      <c r="A5363" s="34"/>
    </row>
    <row r="5364" spans="1:1" ht="15.75" customHeight="1">
      <c r="A5364" s="34"/>
    </row>
    <row r="5365" spans="1:1" ht="15.75" customHeight="1">
      <c r="A5365" s="34"/>
    </row>
    <row r="5366" spans="1:1" ht="15.75" customHeight="1">
      <c r="A5366" s="34"/>
    </row>
    <row r="5367" spans="1:1" ht="15.75" customHeight="1">
      <c r="A5367" s="34"/>
    </row>
    <row r="5368" spans="1:1" ht="15.75" customHeight="1">
      <c r="A5368" s="34"/>
    </row>
    <row r="5369" spans="1:1" ht="15.75" customHeight="1">
      <c r="A5369" s="34"/>
    </row>
    <row r="5370" spans="1:1" ht="15.75" customHeight="1">
      <c r="A5370" s="34"/>
    </row>
    <row r="5371" spans="1:1" ht="15.75" customHeight="1">
      <c r="A5371" s="34"/>
    </row>
    <row r="5372" spans="1:1" ht="15.75" customHeight="1">
      <c r="A5372" s="34"/>
    </row>
    <row r="5373" spans="1:1" ht="15.75" customHeight="1">
      <c r="A5373" s="34"/>
    </row>
    <row r="5374" spans="1:1" ht="15.75" customHeight="1">
      <c r="A5374" s="34"/>
    </row>
    <row r="5375" spans="1:1" ht="15.75" customHeight="1">
      <c r="A5375" s="34"/>
    </row>
    <row r="5376" spans="1:1" ht="15.75" customHeight="1">
      <c r="A5376" s="34"/>
    </row>
    <row r="5377" spans="1:1" ht="15.75" customHeight="1">
      <c r="A5377" s="34"/>
    </row>
    <row r="5378" spans="1:1" ht="15.75" customHeight="1">
      <c r="A5378" s="34"/>
    </row>
    <row r="5379" spans="1:1" ht="15.75" customHeight="1">
      <c r="A5379" s="34"/>
    </row>
    <row r="5380" spans="1:1" ht="15.75" customHeight="1">
      <c r="A5380" s="34"/>
    </row>
    <row r="5381" spans="1:1" ht="15.75" customHeight="1">
      <c r="A5381" s="34"/>
    </row>
    <row r="5382" spans="1:1" ht="15.75" customHeight="1">
      <c r="A5382" s="34"/>
    </row>
    <row r="5383" spans="1:1" ht="15.75" customHeight="1">
      <c r="A5383" s="34"/>
    </row>
    <row r="5384" spans="1:1" ht="15.75" customHeight="1">
      <c r="A5384" s="34"/>
    </row>
    <row r="5385" spans="1:1" ht="15.75" customHeight="1">
      <c r="A5385" s="34"/>
    </row>
    <row r="5386" spans="1:1" ht="15.75" customHeight="1">
      <c r="A5386" s="34"/>
    </row>
    <row r="5387" spans="1:1" ht="15.75" customHeight="1">
      <c r="A5387" s="34"/>
    </row>
    <row r="5388" spans="1:1" ht="15.75" customHeight="1">
      <c r="A5388" s="34"/>
    </row>
    <row r="5389" spans="1:1" ht="15.75" customHeight="1">
      <c r="A5389" s="34"/>
    </row>
    <row r="5390" spans="1:1" ht="15.75" customHeight="1">
      <c r="A5390" s="34"/>
    </row>
    <row r="5391" spans="1:1" ht="15.75" customHeight="1">
      <c r="A5391" s="34"/>
    </row>
    <row r="5392" spans="1:1" ht="15.75" customHeight="1">
      <c r="A5392" s="34"/>
    </row>
    <row r="5393" spans="1:1" ht="15.75" customHeight="1">
      <c r="A5393" s="34"/>
    </row>
    <row r="5394" spans="1:1" ht="15.75" customHeight="1">
      <c r="A5394" s="34"/>
    </row>
    <row r="5395" spans="1:1" ht="15.75" customHeight="1">
      <c r="A5395" s="34"/>
    </row>
    <row r="5396" spans="1:1" ht="15.75" customHeight="1">
      <c r="A5396" s="34"/>
    </row>
    <row r="5397" spans="1:1" ht="15.75" customHeight="1">
      <c r="A5397" s="34"/>
    </row>
    <row r="5398" spans="1:1" ht="15.75" customHeight="1">
      <c r="A5398" s="34"/>
    </row>
    <row r="5399" spans="1:1" ht="15.75" customHeight="1">
      <c r="A5399" s="34"/>
    </row>
    <row r="5400" spans="1:1" ht="15.75" customHeight="1">
      <c r="A5400" s="34"/>
    </row>
    <row r="5401" spans="1:1" ht="15.75" customHeight="1">
      <c r="A5401" s="34"/>
    </row>
    <row r="5402" spans="1:1" ht="15.75" customHeight="1">
      <c r="A5402" s="34"/>
    </row>
    <row r="5403" spans="1:1" ht="15.75" customHeight="1">
      <c r="A5403" s="34"/>
    </row>
    <row r="5404" spans="1:1" ht="15.75" customHeight="1">
      <c r="A5404" s="34"/>
    </row>
    <row r="5405" spans="1:1" ht="15.75" customHeight="1">
      <c r="A5405" s="34"/>
    </row>
    <row r="5406" spans="1:1" ht="15.75" customHeight="1">
      <c r="A5406" s="34"/>
    </row>
    <row r="5407" spans="1:1" ht="15.75" customHeight="1">
      <c r="A5407" s="34"/>
    </row>
    <row r="5408" spans="1:1" ht="15.75" customHeight="1">
      <c r="A5408" s="34"/>
    </row>
    <row r="5409" spans="1:1" ht="15.75" customHeight="1">
      <c r="A5409" s="34"/>
    </row>
    <row r="5410" spans="1:1" ht="15.75" customHeight="1">
      <c r="A5410" s="34"/>
    </row>
    <row r="5411" spans="1:1" ht="15.75" customHeight="1">
      <c r="A5411" s="34"/>
    </row>
    <row r="5412" spans="1:1" ht="15.75" customHeight="1">
      <c r="A5412" s="34"/>
    </row>
    <row r="5413" spans="1:1" ht="15.75" customHeight="1">
      <c r="A5413" s="34"/>
    </row>
    <row r="5414" spans="1:1" ht="15.75" customHeight="1">
      <c r="A5414" s="34"/>
    </row>
    <row r="5415" spans="1:1" ht="15.75" customHeight="1">
      <c r="A5415" s="34"/>
    </row>
    <row r="5416" spans="1:1" ht="15.75" customHeight="1">
      <c r="A5416" s="34"/>
    </row>
    <row r="5417" spans="1:1" ht="15.75" customHeight="1">
      <c r="A5417" s="34"/>
    </row>
    <row r="5418" spans="1:1" ht="15.75" customHeight="1">
      <c r="A5418" s="34"/>
    </row>
    <row r="5419" spans="1:1" ht="15.75" customHeight="1">
      <c r="A5419" s="34"/>
    </row>
    <row r="5420" spans="1:1" ht="15.75" customHeight="1">
      <c r="A5420" s="34"/>
    </row>
    <row r="5421" spans="1:1" ht="15.75" customHeight="1">
      <c r="A5421" s="34"/>
    </row>
    <row r="5422" spans="1:1" ht="15.75" customHeight="1">
      <c r="A5422" s="34"/>
    </row>
    <row r="5423" spans="1:1" ht="15.75" customHeight="1">
      <c r="A5423" s="34"/>
    </row>
    <row r="5424" spans="1:1" ht="15.75" customHeight="1">
      <c r="A5424" s="34"/>
    </row>
    <row r="5425" spans="1:1" ht="15.75" customHeight="1">
      <c r="A5425" s="34"/>
    </row>
    <row r="5426" spans="1:1" ht="15.75" customHeight="1">
      <c r="A5426" s="34"/>
    </row>
    <row r="5427" spans="1:1" ht="15.75" customHeight="1">
      <c r="A5427" s="34"/>
    </row>
    <row r="5428" spans="1:1" ht="15.75" customHeight="1">
      <c r="A5428" s="34"/>
    </row>
    <row r="5429" spans="1:1" ht="15.75" customHeight="1">
      <c r="A5429" s="34"/>
    </row>
    <row r="5430" spans="1:1" ht="15.75" customHeight="1">
      <c r="A5430" s="34"/>
    </row>
    <row r="5431" spans="1:1" ht="15.75" customHeight="1">
      <c r="A5431" s="34"/>
    </row>
    <row r="5432" spans="1:1" ht="15.75" customHeight="1">
      <c r="A5432" s="34"/>
    </row>
    <row r="5433" spans="1:1" ht="15.75" customHeight="1">
      <c r="A5433" s="34"/>
    </row>
    <row r="5434" spans="1:1" ht="15.75" customHeight="1">
      <c r="A5434" s="34"/>
    </row>
    <row r="5435" spans="1:1" ht="15.75" customHeight="1">
      <c r="A5435" s="34"/>
    </row>
    <row r="5436" spans="1:1" ht="15.75" customHeight="1">
      <c r="A5436" s="34"/>
    </row>
    <row r="5437" spans="1:1" ht="15.75" customHeight="1">
      <c r="A5437" s="34"/>
    </row>
    <row r="5438" spans="1:1" ht="15.75" customHeight="1">
      <c r="A5438" s="34"/>
    </row>
    <row r="5439" spans="1:1" ht="15.75" customHeight="1">
      <c r="A5439" s="34"/>
    </row>
    <row r="5440" spans="1:1" ht="15.75" customHeight="1">
      <c r="A5440" s="34"/>
    </row>
    <row r="5441" spans="1:1" ht="15.75" customHeight="1">
      <c r="A5441" s="34"/>
    </row>
    <row r="5442" spans="1:1" ht="15.75" customHeight="1">
      <c r="A5442" s="34"/>
    </row>
    <row r="5443" spans="1:1" ht="15.75" customHeight="1">
      <c r="A5443" s="34"/>
    </row>
    <row r="5444" spans="1:1" ht="15.75" customHeight="1">
      <c r="A5444" s="34"/>
    </row>
    <row r="5445" spans="1:1" ht="15.75" customHeight="1">
      <c r="A5445" s="34"/>
    </row>
    <row r="5446" spans="1:1" ht="15.75" customHeight="1">
      <c r="A5446" s="34"/>
    </row>
    <row r="5447" spans="1:1" ht="15.75" customHeight="1">
      <c r="A5447" s="34"/>
    </row>
    <row r="5448" spans="1:1" ht="15.75" customHeight="1">
      <c r="A5448" s="34"/>
    </row>
    <row r="5449" spans="1:1" ht="15.75" customHeight="1">
      <c r="A5449" s="34"/>
    </row>
    <row r="5450" spans="1:1" ht="15.75" customHeight="1">
      <c r="A5450" s="34"/>
    </row>
    <row r="5451" spans="1:1" ht="15.75" customHeight="1">
      <c r="A5451" s="34"/>
    </row>
    <row r="5452" spans="1:1" ht="15.75" customHeight="1">
      <c r="A5452" s="34"/>
    </row>
    <row r="5453" spans="1:1" ht="15.75" customHeight="1">
      <c r="A5453" s="34"/>
    </row>
    <row r="5454" spans="1:1" ht="15.75" customHeight="1">
      <c r="A5454" s="34"/>
    </row>
    <row r="5455" spans="1:1" ht="15.75" customHeight="1">
      <c r="A5455" s="34"/>
    </row>
    <row r="5456" spans="1:1" ht="15.75" customHeight="1">
      <c r="A5456" s="34"/>
    </row>
    <row r="5457" spans="1:1" ht="15.75" customHeight="1">
      <c r="A5457" s="34"/>
    </row>
    <row r="5458" spans="1:1" ht="15.75" customHeight="1">
      <c r="A5458" s="34"/>
    </row>
    <row r="5459" spans="1:1" ht="15.75" customHeight="1">
      <c r="A5459" s="34"/>
    </row>
    <row r="5460" spans="1:1" ht="15.75" customHeight="1">
      <c r="A5460" s="34"/>
    </row>
    <row r="5461" spans="1:1" ht="15.75" customHeight="1">
      <c r="A5461" s="34"/>
    </row>
    <row r="5462" spans="1:1" ht="15.75" customHeight="1">
      <c r="A5462" s="34"/>
    </row>
    <row r="5463" spans="1:1" ht="15.75" customHeight="1">
      <c r="A5463" s="34"/>
    </row>
    <row r="5464" spans="1:1" ht="15.75" customHeight="1">
      <c r="A5464" s="34"/>
    </row>
    <row r="5465" spans="1:1" ht="15.75" customHeight="1">
      <c r="A5465" s="34"/>
    </row>
    <row r="5466" spans="1:1" ht="15.75" customHeight="1">
      <c r="A5466" s="34"/>
    </row>
    <row r="5467" spans="1:1" ht="15.75" customHeight="1">
      <c r="A5467" s="34"/>
    </row>
    <row r="5468" spans="1:1" ht="15.75" customHeight="1">
      <c r="A5468" s="34"/>
    </row>
    <row r="5469" spans="1:1" ht="15.75" customHeight="1">
      <c r="A5469" s="34"/>
    </row>
    <row r="5470" spans="1:1" ht="15.75" customHeight="1">
      <c r="A5470" s="34"/>
    </row>
    <row r="5471" spans="1:1" ht="15.75" customHeight="1">
      <c r="A5471" s="34"/>
    </row>
    <row r="5472" spans="1:1" ht="15.75" customHeight="1">
      <c r="A5472" s="34"/>
    </row>
    <row r="5473" spans="1:1" ht="15.75" customHeight="1">
      <c r="A5473" s="34"/>
    </row>
    <row r="5474" spans="1:1" ht="15.75" customHeight="1">
      <c r="A5474" s="34"/>
    </row>
    <row r="5475" spans="1:1" ht="15.75" customHeight="1">
      <c r="A5475" s="34"/>
    </row>
    <row r="5476" spans="1:1" ht="15.75" customHeight="1">
      <c r="A5476" s="34"/>
    </row>
    <row r="5477" spans="1:1" ht="15.75" customHeight="1">
      <c r="A5477" s="34"/>
    </row>
    <row r="5478" spans="1:1" ht="15.75" customHeight="1">
      <c r="A5478" s="34"/>
    </row>
    <row r="5479" spans="1:1" ht="15.75" customHeight="1">
      <c r="A5479" s="34"/>
    </row>
    <row r="5480" spans="1:1" ht="15.75" customHeight="1">
      <c r="A5480" s="34"/>
    </row>
    <row r="5481" spans="1:1" ht="15.75" customHeight="1">
      <c r="A5481" s="34"/>
    </row>
    <row r="5482" spans="1:1" ht="15.75" customHeight="1">
      <c r="A5482" s="34"/>
    </row>
    <row r="5483" spans="1:1" ht="15.75" customHeight="1">
      <c r="A5483" s="34"/>
    </row>
    <row r="5484" spans="1:1" ht="15.75" customHeight="1">
      <c r="A5484" s="34"/>
    </row>
    <row r="5485" spans="1:1" ht="15.75" customHeight="1">
      <c r="A5485" s="34"/>
    </row>
    <row r="5486" spans="1:1" ht="15.75" customHeight="1">
      <c r="A5486" s="34"/>
    </row>
    <row r="5487" spans="1:1" ht="15.75" customHeight="1">
      <c r="A5487" s="34"/>
    </row>
    <row r="5488" spans="1:1" ht="15.75" customHeight="1">
      <c r="A5488" s="34"/>
    </row>
    <row r="5489" spans="1:1" ht="15.75" customHeight="1">
      <c r="A5489" s="34"/>
    </row>
    <row r="5490" spans="1:1" ht="15.75" customHeight="1">
      <c r="A5490" s="34"/>
    </row>
    <row r="5491" spans="1:1" ht="15.75" customHeight="1">
      <c r="A5491" s="34"/>
    </row>
    <row r="5492" spans="1:1" ht="15.75" customHeight="1">
      <c r="A5492" s="34"/>
    </row>
    <row r="5493" spans="1:1" ht="15.75" customHeight="1">
      <c r="A5493" s="34"/>
    </row>
    <row r="5494" spans="1:1" ht="15.75" customHeight="1">
      <c r="A5494" s="34"/>
    </row>
    <row r="5495" spans="1:1" ht="15.75" customHeight="1">
      <c r="A5495" s="34"/>
    </row>
    <row r="5496" spans="1:1" ht="15.75" customHeight="1">
      <c r="A5496" s="34"/>
    </row>
    <row r="5497" spans="1:1" ht="15.75" customHeight="1">
      <c r="A5497" s="34"/>
    </row>
    <row r="5498" spans="1:1" ht="15.75" customHeight="1">
      <c r="A5498" s="34"/>
    </row>
    <row r="5499" spans="1:1" ht="15.75" customHeight="1">
      <c r="A5499" s="34"/>
    </row>
    <row r="5500" spans="1:1" ht="15.75" customHeight="1">
      <c r="A5500" s="34"/>
    </row>
    <row r="5501" spans="1:1" ht="15.75" customHeight="1">
      <c r="A5501" s="34"/>
    </row>
    <row r="5502" spans="1:1" ht="15.75" customHeight="1">
      <c r="A5502" s="34"/>
    </row>
    <row r="5503" spans="1:1" ht="15.75" customHeight="1">
      <c r="A5503" s="34"/>
    </row>
    <row r="5504" spans="1:1" ht="15.75" customHeight="1">
      <c r="A5504" s="34"/>
    </row>
    <row r="5505" spans="1:1" ht="15.75" customHeight="1">
      <c r="A5505" s="34"/>
    </row>
    <row r="5506" spans="1:1" ht="15.75" customHeight="1">
      <c r="A5506" s="34"/>
    </row>
    <row r="5507" spans="1:1" ht="15.75" customHeight="1">
      <c r="A5507" s="34"/>
    </row>
    <row r="5508" spans="1:1" ht="15.75" customHeight="1">
      <c r="A5508" s="34"/>
    </row>
    <row r="5509" spans="1:1" ht="15.75" customHeight="1">
      <c r="A5509" s="34"/>
    </row>
    <row r="5510" spans="1:1" ht="15.75" customHeight="1">
      <c r="A5510" s="34"/>
    </row>
    <row r="5511" spans="1:1" ht="15.75" customHeight="1">
      <c r="A5511" s="34"/>
    </row>
    <row r="5512" spans="1:1" ht="15.75" customHeight="1">
      <c r="A5512" s="34"/>
    </row>
    <row r="5513" spans="1:1" ht="15.75" customHeight="1">
      <c r="A5513" s="34"/>
    </row>
    <row r="5514" spans="1:1" ht="15.75" customHeight="1">
      <c r="A5514" s="34"/>
    </row>
    <row r="5515" spans="1:1" ht="15.75" customHeight="1">
      <c r="A5515" s="34"/>
    </row>
    <row r="5516" spans="1:1" ht="15.75" customHeight="1">
      <c r="A5516" s="34"/>
    </row>
    <row r="5517" spans="1:1" ht="15.75" customHeight="1">
      <c r="A5517" s="34"/>
    </row>
    <row r="5518" spans="1:1" ht="15.75" customHeight="1">
      <c r="A5518" s="34"/>
    </row>
    <row r="5519" spans="1:1" ht="15.75" customHeight="1">
      <c r="A5519" s="34"/>
    </row>
    <row r="5520" spans="1:1" ht="15.75" customHeight="1">
      <c r="A5520" s="34"/>
    </row>
    <row r="5521" spans="1:1" ht="15.75" customHeight="1">
      <c r="A5521" s="34"/>
    </row>
    <row r="5522" spans="1:1" ht="15.75" customHeight="1">
      <c r="A5522" s="34"/>
    </row>
    <row r="5523" spans="1:1" ht="15.75" customHeight="1">
      <c r="A5523" s="34"/>
    </row>
    <row r="5524" spans="1:1" ht="15.75" customHeight="1">
      <c r="A5524" s="34"/>
    </row>
    <row r="5525" spans="1:1" ht="15.75" customHeight="1">
      <c r="A5525" s="34"/>
    </row>
    <row r="5526" spans="1:1" ht="15.75" customHeight="1">
      <c r="A5526" s="34"/>
    </row>
    <row r="5527" spans="1:1" ht="15.75" customHeight="1">
      <c r="A5527" s="34"/>
    </row>
    <row r="5528" spans="1:1" ht="15.75" customHeight="1">
      <c r="A5528" s="34"/>
    </row>
    <row r="5529" spans="1:1" ht="15.75" customHeight="1">
      <c r="A5529" s="34"/>
    </row>
    <row r="5530" spans="1:1" ht="15.75" customHeight="1">
      <c r="A5530" s="34"/>
    </row>
    <row r="5531" spans="1:1" ht="15.75" customHeight="1">
      <c r="A5531" s="34"/>
    </row>
    <row r="5532" spans="1:1" ht="15.75" customHeight="1">
      <c r="A5532" s="34"/>
    </row>
    <row r="5533" spans="1:1" ht="15.75" customHeight="1">
      <c r="A5533" s="34"/>
    </row>
    <row r="5534" spans="1:1" ht="15.75" customHeight="1">
      <c r="A5534" s="34"/>
    </row>
    <row r="5535" spans="1:1" ht="15.75" customHeight="1">
      <c r="A5535" s="34"/>
    </row>
    <row r="5536" spans="1:1" ht="15.75" customHeight="1">
      <c r="A5536" s="34"/>
    </row>
    <row r="5537" spans="1:1" ht="15.75" customHeight="1">
      <c r="A5537" s="34"/>
    </row>
    <row r="5538" spans="1:1" ht="15.75" customHeight="1">
      <c r="A5538" s="34"/>
    </row>
    <row r="5539" spans="1:1" ht="15.75" customHeight="1">
      <c r="A5539" s="34"/>
    </row>
    <row r="5540" spans="1:1" ht="15.75" customHeight="1">
      <c r="A5540" s="34"/>
    </row>
    <row r="5541" spans="1:1" ht="15.75" customHeight="1">
      <c r="A5541" s="34"/>
    </row>
    <row r="5542" spans="1:1" ht="15.75" customHeight="1">
      <c r="A5542" s="34"/>
    </row>
    <row r="5543" spans="1:1" ht="15.75" customHeight="1">
      <c r="A5543" s="34"/>
    </row>
    <row r="5544" spans="1:1" ht="15.75" customHeight="1">
      <c r="A5544" s="34"/>
    </row>
    <row r="5545" spans="1:1" ht="15.75" customHeight="1">
      <c r="A5545" s="34"/>
    </row>
    <row r="5546" spans="1:1" ht="15.75" customHeight="1">
      <c r="A5546" s="34"/>
    </row>
    <row r="5547" spans="1:1" ht="15.75" customHeight="1">
      <c r="A5547" s="34"/>
    </row>
    <row r="5548" spans="1:1" ht="15.75" customHeight="1">
      <c r="A5548" s="34"/>
    </row>
    <row r="5549" spans="1:1" ht="15.75" customHeight="1">
      <c r="A5549" s="34"/>
    </row>
    <row r="5550" spans="1:1" ht="15.75" customHeight="1">
      <c r="A5550" s="34"/>
    </row>
    <row r="5551" spans="1:1" ht="15.75" customHeight="1">
      <c r="A5551" s="34"/>
    </row>
    <row r="5552" spans="1:1" ht="15.75" customHeight="1">
      <c r="A5552" s="34"/>
    </row>
    <row r="5553" spans="1:1" ht="15.75" customHeight="1">
      <c r="A5553" s="34"/>
    </row>
    <row r="5554" spans="1:1" ht="15.75" customHeight="1">
      <c r="A5554" s="34"/>
    </row>
    <row r="5555" spans="1:1" ht="15.75" customHeight="1">
      <c r="A5555" s="34"/>
    </row>
    <row r="5556" spans="1:1" ht="15.75" customHeight="1">
      <c r="A5556" s="34"/>
    </row>
    <row r="5557" spans="1:1" ht="15.75" customHeight="1">
      <c r="A5557" s="34"/>
    </row>
    <row r="5558" spans="1:1" ht="15.75" customHeight="1">
      <c r="A5558" s="34"/>
    </row>
    <row r="5559" spans="1:1" ht="15.75" customHeight="1">
      <c r="A5559" s="34"/>
    </row>
    <row r="5560" spans="1:1" ht="15.75" customHeight="1">
      <c r="A5560" s="34"/>
    </row>
    <row r="5561" spans="1:1" ht="15.75" customHeight="1">
      <c r="A5561" s="34"/>
    </row>
    <row r="5562" spans="1:1" ht="15.75" customHeight="1">
      <c r="A5562" s="34"/>
    </row>
    <row r="5563" spans="1:1" ht="15.75" customHeight="1">
      <c r="A5563" s="34"/>
    </row>
    <row r="5564" spans="1:1" ht="15.75" customHeight="1">
      <c r="A5564" s="34"/>
    </row>
    <row r="5565" spans="1:1" ht="15.75" customHeight="1">
      <c r="A5565" s="34"/>
    </row>
    <row r="5566" spans="1:1" ht="15.75" customHeight="1">
      <c r="A5566" s="34"/>
    </row>
    <row r="5567" spans="1:1" ht="15.75" customHeight="1">
      <c r="A5567" s="34"/>
    </row>
    <row r="5568" spans="1:1" ht="15.75" customHeight="1">
      <c r="A5568" s="34"/>
    </row>
    <row r="5569" spans="1:1" ht="15.75" customHeight="1">
      <c r="A5569" s="34"/>
    </row>
    <row r="5570" spans="1:1" ht="15.75" customHeight="1">
      <c r="A5570" s="34"/>
    </row>
    <row r="5571" spans="1:1" ht="15.75" customHeight="1">
      <c r="A5571" s="34"/>
    </row>
    <row r="5572" spans="1:1" ht="15.75" customHeight="1">
      <c r="A5572" s="34"/>
    </row>
    <row r="5573" spans="1:1" ht="15.75" customHeight="1">
      <c r="A5573" s="34"/>
    </row>
    <row r="5574" spans="1:1" ht="15.75" customHeight="1">
      <c r="A5574" s="34"/>
    </row>
    <row r="5575" spans="1:1" ht="15.75" customHeight="1">
      <c r="A5575" s="34"/>
    </row>
    <row r="5576" spans="1:1" ht="15.75" customHeight="1">
      <c r="A5576" s="34"/>
    </row>
    <row r="5577" spans="1:1" ht="15.75" customHeight="1">
      <c r="A5577" s="34"/>
    </row>
    <row r="5578" spans="1:1" ht="15.75" customHeight="1">
      <c r="A5578" s="34"/>
    </row>
    <row r="5579" spans="1:1" ht="15.75" customHeight="1">
      <c r="A5579" s="34"/>
    </row>
    <row r="5580" spans="1:1" ht="15.75" customHeight="1">
      <c r="A5580" s="34"/>
    </row>
    <row r="5581" spans="1:1" ht="15.75" customHeight="1">
      <c r="A5581" s="34"/>
    </row>
    <row r="5582" spans="1:1" ht="15.75" customHeight="1">
      <c r="A5582" s="34"/>
    </row>
    <row r="5583" spans="1:1" ht="15.75" customHeight="1">
      <c r="A5583" s="34"/>
    </row>
    <row r="5584" spans="1:1" ht="15.75" customHeight="1">
      <c r="A5584" s="34"/>
    </row>
    <row r="5585" spans="1:1" ht="15.75" customHeight="1">
      <c r="A5585" s="34"/>
    </row>
    <row r="5586" spans="1:1" ht="15.75" customHeight="1">
      <c r="A5586" s="34"/>
    </row>
    <row r="5587" spans="1:1" ht="15.75" customHeight="1">
      <c r="A5587" s="34"/>
    </row>
    <row r="5588" spans="1:1" ht="15.75" customHeight="1">
      <c r="A5588" s="34"/>
    </row>
    <row r="5589" spans="1:1" ht="15.75" customHeight="1">
      <c r="A5589" s="34"/>
    </row>
    <row r="5590" spans="1:1" ht="15.75" customHeight="1">
      <c r="A5590" s="34"/>
    </row>
    <row r="5591" spans="1:1" ht="15.75" customHeight="1">
      <c r="A5591" s="34"/>
    </row>
    <row r="5592" spans="1:1" ht="15.75" customHeight="1">
      <c r="A5592" s="34"/>
    </row>
    <row r="5593" spans="1:1" ht="15.75" customHeight="1">
      <c r="A5593" s="34"/>
    </row>
    <row r="5594" spans="1:1" ht="15.75" customHeight="1">
      <c r="A5594" s="34"/>
    </row>
    <row r="5595" spans="1:1" ht="15.75" customHeight="1">
      <c r="A5595" s="34"/>
    </row>
    <row r="5596" spans="1:1" ht="15.75" customHeight="1">
      <c r="A5596" s="34"/>
    </row>
    <row r="5597" spans="1:1" ht="15.75" customHeight="1">
      <c r="A5597" s="34"/>
    </row>
    <row r="5598" spans="1:1" ht="15.75" customHeight="1">
      <c r="A5598" s="34"/>
    </row>
    <row r="5599" spans="1:1" ht="15.75" customHeight="1">
      <c r="A5599" s="34"/>
    </row>
    <row r="5600" spans="1:1" ht="15.75" customHeight="1">
      <c r="A5600" s="34"/>
    </row>
    <row r="5601" spans="1:1" ht="15.75" customHeight="1">
      <c r="A5601" s="34"/>
    </row>
    <row r="5602" spans="1:1" ht="15.75" customHeight="1">
      <c r="A5602" s="34"/>
    </row>
    <row r="5603" spans="1:1" ht="15.75" customHeight="1">
      <c r="A5603" s="34"/>
    </row>
    <row r="5604" spans="1:1" ht="15.75" customHeight="1">
      <c r="A5604" s="34"/>
    </row>
    <row r="5605" spans="1:1" ht="15.75" customHeight="1">
      <c r="A5605" s="34"/>
    </row>
    <row r="5606" spans="1:1" ht="15.75" customHeight="1">
      <c r="A5606" s="34"/>
    </row>
    <row r="5607" spans="1:1" ht="15.75" customHeight="1">
      <c r="A5607" s="34"/>
    </row>
    <row r="5608" spans="1:1" ht="15.75" customHeight="1">
      <c r="A5608" s="34"/>
    </row>
    <row r="5609" spans="1:1" ht="15.75" customHeight="1">
      <c r="A5609" s="34"/>
    </row>
    <row r="5610" spans="1:1" ht="15.75" customHeight="1">
      <c r="A5610" s="34"/>
    </row>
    <row r="5611" spans="1:1" ht="15.75" customHeight="1">
      <c r="A5611" s="34"/>
    </row>
    <row r="5612" spans="1:1" ht="15.75" customHeight="1">
      <c r="A5612" s="34"/>
    </row>
    <row r="5613" spans="1:1" ht="15.75" customHeight="1">
      <c r="A5613" s="34"/>
    </row>
    <row r="5614" spans="1:1" ht="15.75" customHeight="1">
      <c r="A5614" s="34"/>
    </row>
    <row r="5615" spans="1:1" ht="15.75" customHeight="1">
      <c r="A5615" s="34"/>
    </row>
    <row r="5616" spans="1:1" ht="15.75" customHeight="1">
      <c r="A5616" s="34"/>
    </row>
    <row r="5617" spans="1:1" ht="15.75" customHeight="1">
      <c r="A5617" s="34"/>
    </row>
    <row r="5618" spans="1:1" ht="15.75" customHeight="1">
      <c r="A5618" s="34"/>
    </row>
    <row r="5619" spans="1:1" ht="15.75" customHeight="1">
      <c r="A5619" s="34"/>
    </row>
    <row r="5620" spans="1:1" ht="15.75" customHeight="1">
      <c r="A5620" s="34"/>
    </row>
    <row r="5621" spans="1:1" ht="15.75" customHeight="1">
      <c r="A5621" s="34"/>
    </row>
    <row r="5622" spans="1:1" ht="15.75" customHeight="1">
      <c r="A5622" s="34"/>
    </row>
    <row r="5623" spans="1:1" ht="15.75" customHeight="1">
      <c r="A5623" s="34"/>
    </row>
    <row r="5624" spans="1:1" ht="15.75" customHeight="1">
      <c r="A5624" s="34"/>
    </row>
    <row r="5625" spans="1:1" ht="15.75" customHeight="1">
      <c r="A5625" s="34"/>
    </row>
    <row r="5626" spans="1:1" ht="15.75" customHeight="1">
      <c r="A5626" s="34"/>
    </row>
    <row r="5627" spans="1:1" ht="15.75" customHeight="1">
      <c r="A5627" s="34"/>
    </row>
    <row r="5628" spans="1:1" ht="15.75" customHeight="1">
      <c r="A5628" s="34"/>
    </row>
    <row r="5629" spans="1:1" ht="15.75" customHeight="1">
      <c r="A5629" s="34"/>
    </row>
    <row r="5630" spans="1:1" ht="15.75" customHeight="1">
      <c r="A5630" s="34"/>
    </row>
    <row r="5631" spans="1:1" ht="15.75" customHeight="1">
      <c r="A5631" s="34"/>
    </row>
    <row r="5632" spans="1:1" ht="15.75" customHeight="1">
      <c r="A5632" s="34"/>
    </row>
    <row r="5633" spans="1:1" ht="15.75" customHeight="1">
      <c r="A5633" s="34"/>
    </row>
    <row r="5634" spans="1:1" ht="15.75" customHeight="1">
      <c r="A5634" s="34"/>
    </row>
    <row r="5635" spans="1:1" ht="15.75" customHeight="1">
      <c r="A5635" s="34"/>
    </row>
    <row r="5636" spans="1:1" ht="15.75" customHeight="1">
      <c r="A5636" s="34"/>
    </row>
    <row r="5637" spans="1:1" ht="15.75" customHeight="1">
      <c r="A5637" s="34"/>
    </row>
    <row r="5638" spans="1:1" ht="15.75" customHeight="1">
      <c r="A5638" s="34"/>
    </row>
    <row r="5639" spans="1:1" ht="15.75" customHeight="1">
      <c r="A5639" s="34"/>
    </row>
    <row r="5640" spans="1:1" ht="15.75" customHeight="1">
      <c r="A5640" s="34"/>
    </row>
    <row r="5641" spans="1:1" ht="15.75" customHeight="1">
      <c r="A5641" s="34"/>
    </row>
    <row r="5642" spans="1:1" ht="15.75" customHeight="1">
      <c r="A5642" s="34"/>
    </row>
    <row r="5643" spans="1:1" ht="15.75" customHeight="1">
      <c r="A5643" s="34"/>
    </row>
    <row r="5644" spans="1:1" ht="15.75" customHeight="1">
      <c r="A5644" s="34"/>
    </row>
    <row r="5645" spans="1:1" ht="15.75" customHeight="1">
      <c r="A5645" s="34"/>
    </row>
    <row r="5646" spans="1:1" ht="15.75" customHeight="1">
      <c r="A5646" s="34"/>
    </row>
    <row r="5647" spans="1:1" ht="15.75" customHeight="1">
      <c r="A5647" s="34"/>
    </row>
    <row r="5648" spans="1:1" ht="15.75" customHeight="1">
      <c r="A5648" s="34"/>
    </row>
    <row r="5649" spans="1:1" ht="15.75" customHeight="1">
      <c r="A5649" s="34"/>
    </row>
    <row r="5650" spans="1:1" ht="15.75" customHeight="1">
      <c r="A5650" s="34"/>
    </row>
    <row r="5651" spans="1:1" ht="15.75" customHeight="1">
      <c r="A5651" s="34"/>
    </row>
    <row r="5652" spans="1:1" ht="15.75" customHeight="1">
      <c r="A5652" s="34"/>
    </row>
    <row r="5653" spans="1:1" ht="15.75" customHeight="1">
      <c r="A5653" s="34"/>
    </row>
    <row r="5654" spans="1:1" ht="15.75" customHeight="1">
      <c r="A5654" s="34"/>
    </row>
    <row r="5655" spans="1:1" ht="15.75" customHeight="1">
      <c r="A5655" s="34"/>
    </row>
    <row r="5656" spans="1:1" ht="15.75" customHeight="1">
      <c r="A5656" s="34"/>
    </row>
    <row r="5657" spans="1:1" ht="15.75" customHeight="1">
      <c r="A5657" s="34"/>
    </row>
    <row r="5658" spans="1:1" ht="15.75" customHeight="1">
      <c r="A5658" s="34"/>
    </row>
    <row r="5659" spans="1:1" ht="15.75" customHeight="1">
      <c r="A5659" s="34"/>
    </row>
    <row r="5660" spans="1:1" ht="15.75" customHeight="1">
      <c r="A5660" s="34"/>
    </row>
    <row r="5661" spans="1:1" ht="15.75" customHeight="1">
      <c r="A5661" s="34"/>
    </row>
    <row r="5662" spans="1:1" ht="15.75" customHeight="1">
      <c r="A5662" s="34"/>
    </row>
    <row r="5663" spans="1:1" ht="15.75" customHeight="1">
      <c r="A5663" s="34"/>
    </row>
    <row r="5664" spans="1:1" ht="15.75" customHeight="1">
      <c r="A5664" s="34"/>
    </row>
    <row r="5665" spans="1:1" ht="15.75" customHeight="1">
      <c r="A5665" s="34"/>
    </row>
    <row r="5666" spans="1:1" ht="15.75" customHeight="1">
      <c r="A5666" s="34"/>
    </row>
    <row r="5667" spans="1:1" ht="15.75" customHeight="1">
      <c r="A5667" s="34"/>
    </row>
    <row r="5668" spans="1:1" ht="15.75" customHeight="1">
      <c r="A5668" s="34"/>
    </row>
    <row r="5669" spans="1:1" ht="15.75" customHeight="1">
      <c r="A5669" s="34"/>
    </row>
    <row r="5670" spans="1:1" ht="15.75" customHeight="1">
      <c r="A5670" s="34"/>
    </row>
    <row r="5671" spans="1:1" ht="15.75" customHeight="1">
      <c r="A5671" s="34"/>
    </row>
    <row r="5672" spans="1:1" ht="15.75" customHeight="1">
      <c r="A5672" s="34"/>
    </row>
    <row r="5673" spans="1:1" ht="15.75" customHeight="1">
      <c r="A5673" s="34"/>
    </row>
    <row r="5674" spans="1:1" ht="15.75" customHeight="1">
      <c r="A5674" s="34"/>
    </row>
    <row r="5675" spans="1:1" ht="15.75" customHeight="1">
      <c r="A5675" s="34"/>
    </row>
    <row r="5676" spans="1:1" ht="15.75" customHeight="1">
      <c r="A5676" s="34"/>
    </row>
    <row r="5677" spans="1:1" ht="15.75" customHeight="1">
      <c r="A5677" s="34"/>
    </row>
    <row r="5678" spans="1:1" ht="15.75" customHeight="1">
      <c r="A5678" s="34"/>
    </row>
    <row r="5679" spans="1:1" ht="15.75" customHeight="1">
      <c r="A5679" s="34"/>
    </row>
    <row r="5680" spans="1:1" ht="15.75" customHeight="1">
      <c r="A5680" s="34"/>
    </row>
    <row r="5681" spans="1:1" ht="15.75" customHeight="1">
      <c r="A5681" s="34"/>
    </row>
    <row r="5682" spans="1:1" ht="15.75" customHeight="1">
      <c r="A5682" s="34"/>
    </row>
    <row r="5683" spans="1:1" ht="15.75" customHeight="1">
      <c r="A5683" s="34"/>
    </row>
    <row r="5684" spans="1:1" ht="15.75" customHeight="1">
      <c r="A5684" s="34"/>
    </row>
    <row r="5685" spans="1:1" ht="15.75" customHeight="1">
      <c r="A5685" s="34"/>
    </row>
    <row r="5686" spans="1:1" ht="15.75" customHeight="1">
      <c r="A5686" s="34"/>
    </row>
    <row r="5687" spans="1:1" ht="15.75" customHeight="1">
      <c r="A5687" s="34"/>
    </row>
    <row r="5688" spans="1:1" ht="15.75" customHeight="1">
      <c r="A5688" s="34"/>
    </row>
    <row r="5689" spans="1:1" ht="15.75" customHeight="1">
      <c r="A5689" s="34"/>
    </row>
    <row r="5690" spans="1:1" ht="15.75" customHeight="1">
      <c r="A5690" s="34"/>
    </row>
    <row r="5691" spans="1:1" ht="15.75" customHeight="1">
      <c r="A5691" s="34"/>
    </row>
    <row r="5692" spans="1:1" ht="15.75" customHeight="1">
      <c r="A5692" s="34"/>
    </row>
    <row r="5693" spans="1:1" ht="15.75" customHeight="1">
      <c r="A5693" s="34"/>
    </row>
    <row r="5694" spans="1:1" ht="15.75" customHeight="1">
      <c r="A5694" s="34"/>
    </row>
    <row r="5695" spans="1:1" ht="15.75" customHeight="1">
      <c r="A5695" s="34"/>
    </row>
    <row r="5696" spans="1:1" ht="15.75" customHeight="1">
      <c r="A5696" s="34"/>
    </row>
    <row r="5697" spans="1:1" ht="15.75" customHeight="1">
      <c r="A5697" s="34"/>
    </row>
    <row r="5698" spans="1:1" ht="15.75" customHeight="1">
      <c r="A5698" s="34"/>
    </row>
    <row r="5699" spans="1:1" ht="15.75" customHeight="1">
      <c r="A5699" s="34"/>
    </row>
    <row r="5700" spans="1:1" ht="15.75" customHeight="1">
      <c r="A5700" s="34"/>
    </row>
    <row r="5701" spans="1:1" ht="15.75" customHeight="1">
      <c r="A5701" s="34"/>
    </row>
    <row r="5702" spans="1:1" ht="15.75" customHeight="1">
      <c r="A5702" s="34"/>
    </row>
    <row r="5703" spans="1:1" ht="15.75" customHeight="1">
      <c r="A5703" s="34"/>
    </row>
    <row r="5704" spans="1:1" ht="15.75" customHeight="1">
      <c r="A5704" s="34"/>
    </row>
    <row r="5705" spans="1:1" ht="15.75" customHeight="1">
      <c r="A5705" s="34"/>
    </row>
    <row r="5706" spans="1:1" ht="15.75" customHeight="1">
      <c r="A5706" s="34"/>
    </row>
    <row r="5707" spans="1:1" ht="15.75" customHeight="1">
      <c r="A5707" s="34"/>
    </row>
    <row r="5708" spans="1:1" ht="15.75" customHeight="1">
      <c r="A5708" s="34"/>
    </row>
    <row r="5709" spans="1:1" ht="15.75" customHeight="1">
      <c r="A5709" s="34"/>
    </row>
    <row r="5710" spans="1:1" ht="15.75" customHeight="1">
      <c r="A5710" s="34"/>
    </row>
    <row r="5711" spans="1:1" ht="15.75" customHeight="1">
      <c r="A5711" s="34"/>
    </row>
    <row r="5712" spans="1:1" ht="15.75" customHeight="1">
      <c r="A5712" s="34"/>
    </row>
    <row r="5713" spans="1:1" ht="15.75" customHeight="1">
      <c r="A5713" s="34"/>
    </row>
    <row r="5714" spans="1:1" ht="15.75" customHeight="1">
      <c r="A5714" s="34"/>
    </row>
    <row r="5715" spans="1:1" ht="15.75" customHeight="1">
      <c r="A5715" s="34"/>
    </row>
    <row r="5716" spans="1:1" ht="15.75" customHeight="1">
      <c r="A5716" s="34"/>
    </row>
    <row r="5717" spans="1:1" ht="15.75" customHeight="1">
      <c r="A5717" s="34"/>
    </row>
    <row r="5718" spans="1:1" ht="15.75" customHeight="1">
      <c r="A5718" s="34"/>
    </row>
    <row r="5719" spans="1:1" ht="15.75" customHeight="1">
      <c r="A5719" s="34"/>
    </row>
    <row r="5720" spans="1:1" ht="15.75" customHeight="1">
      <c r="A5720" s="34"/>
    </row>
    <row r="5721" spans="1:1" ht="15.75" customHeight="1">
      <c r="A5721" s="34"/>
    </row>
    <row r="5722" spans="1:1" ht="15.75" customHeight="1">
      <c r="A5722" s="34"/>
    </row>
    <row r="5723" spans="1:1" ht="15.75" customHeight="1">
      <c r="A5723" s="34"/>
    </row>
    <row r="5724" spans="1:1" ht="15.75" customHeight="1">
      <c r="A5724" s="34"/>
    </row>
    <row r="5725" spans="1:1" ht="15.75" customHeight="1">
      <c r="A5725" s="34"/>
    </row>
    <row r="5726" spans="1:1" ht="15.75" customHeight="1">
      <c r="A5726" s="34"/>
    </row>
    <row r="5727" spans="1:1" ht="15.75" customHeight="1">
      <c r="A5727" s="34"/>
    </row>
    <row r="5728" spans="1:1" ht="15.75" customHeight="1">
      <c r="A5728" s="34"/>
    </row>
    <row r="5729" spans="1:1" ht="15.75" customHeight="1">
      <c r="A5729" s="34"/>
    </row>
    <row r="5730" spans="1:1" ht="15.75" customHeight="1">
      <c r="A5730" s="34"/>
    </row>
    <row r="5731" spans="1:1" ht="15.75" customHeight="1">
      <c r="A5731" s="34"/>
    </row>
    <row r="5732" spans="1:1" ht="15.75" customHeight="1">
      <c r="A5732" s="34"/>
    </row>
    <row r="5733" spans="1:1" ht="15.75" customHeight="1">
      <c r="A5733" s="34"/>
    </row>
    <row r="5734" spans="1:1" ht="15.75" customHeight="1">
      <c r="A5734" s="34"/>
    </row>
    <row r="5735" spans="1:1" ht="15.75" customHeight="1">
      <c r="A5735" s="34"/>
    </row>
    <row r="5736" spans="1:1" ht="15.75" customHeight="1">
      <c r="A5736" s="34"/>
    </row>
    <row r="5737" spans="1:1" ht="15.75" customHeight="1">
      <c r="A5737" s="34"/>
    </row>
    <row r="5738" spans="1:1" ht="15.75" customHeight="1">
      <c r="A5738" s="34"/>
    </row>
    <row r="5739" spans="1:1" ht="15.75" customHeight="1">
      <c r="A5739" s="34"/>
    </row>
    <row r="5740" spans="1:1" ht="15.75" customHeight="1">
      <c r="A5740" s="34"/>
    </row>
    <row r="5741" spans="1:1" ht="15.75" customHeight="1">
      <c r="A5741" s="34"/>
    </row>
    <row r="5742" spans="1:1" ht="15.75" customHeight="1">
      <c r="A5742" s="34"/>
    </row>
    <row r="5743" spans="1:1" ht="15.75" customHeight="1">
      <c r="A5743" s="34"/>
    </row>
    <row r="5744" spans="1:1" ht="15.75" customHeight="1">
      <c r="A5744" s="34"/>
    </row>
    <row r="5745" spans="1:1" ht="15.75" customHeight="1">
      <c r="A5745" s="34"/>
    </row>
    <row r="5746" spans="1:1" ht="15.75" customHeight="1">
      <c r="A5746" s="34"/>
    </row>
    <row r="5747" spans="1:1" ht="15.75" customHeight="1">
      <c r="A5747" s="34"/>
    </row>
    <row r="5748" spans="1:1" ht="15.75" customHeight="1">
      <c r="A5748" s="34"/>
    </row>
    <row r="5749" spans="1:1" ht="15.75" customHeight="1">
      <c r="A5749" s="34"/>
    </row>
    <row r="5750" spans="1:1" ht="15.75" customHeight="1">
      <c r="A5750" s="34"/>
    </row>
    <row r="5751" spans="1:1" ht="15.75" customHeight="1">
      <c r="A5751" s="34"/>
    </row>
    <row r="5752" spans="1:1" ht="15.75" customHeight="1">
      <c r="A5752" s="34"/>
    </row>
    <row r="5753" spans="1:1" ht="15.75" customHeight="1">
      <c r="A5753" s="34"/>
    </row>
    <row r="5754" spans="1:1" ht="15.75" customHeight="1">
      <c r="A5754" s="34"/>
    </row>
    <row r="5755" spans="1:1" ht="15.75" customHeight="1">
      <c r="A5755" s="34"/>
    </row>
    <row r="5756" spans="1:1" ht="15.75" customHeight="1">
      <c r="A5756" s="34"/>
    </row>
    <row r="5757" spans="1:1" ht="15.75" customHeight="1">
      <c r="A5757" s="34"/>
    </row>
    <row r="5758" spans="1:1" ht="15.75" customHeight="1">
      <c r="A5758" s="34"/>
    </row>
    <row r="5759" spans="1:1" ht="15.75" customHeight="1">
      <c r="A5759" s="34"/>
    </row>
    <row r="5760" spans="1:1" ht="15.75" customHeight="1">
      <c r="A5760" s="34"/>
    </row>
    <row r="5761" spans="1:1" ht="15.75" customHeight="1">
      <c r="A5761" s="34"/>
    </row>
    <row r="5762" spans="1:1" ht="15.75" customHeight="1">
      <c r="A5762" s="34"/>
    </row>
    <row r="5763" spans="1:1" ht="15.75" customHeight="1">
      <c r="A5763" s="34"/>
    </row>
    <row r="5764" spans="1:1" ht="15.75" customHeight="1">
      <c r="A5764" s="34"/>
    </row>
    <row r="5765" spans="1:1" ht="15.75" customHeight="1">
      <c r="A5765" s="34"/>
    </row>
    <row r="5766" spans="1:1" ht="15.75" customHeight="1">
      <c r="A5766" s="34"/>
    </row>
    <row r="5767" spans="1:1" ht="15.75" customHeight="1">
      <c r="A5767" s="34"/>
    </row>
    <row r="5768" spans="1:1" ht="15.75" customHeight="1">
      <c r="A5768" s="34"/>
    </row>
    <row r="5769" spans="1:1" ht="15.75" customHeight="1">
      <c r="A5769" s="34"/>
    </row>
    <row r="5770" spans="1:1" ht="15.75" customHeight="1">
      <c r="A5770" s="34"/>
    </row>
    <row r="5771" spans="1:1" ht="15.75" customHeight="1">
      <c r="A5771" s="34"/>
    </row>
    <row r="5772" spans="1:1" ht="15.75" customHeight="1">
      <c r="A5772" s="34"/>
    </row>
    <row r="5773" spans="1:1" ht="15.75" customHeight="1">
      <c r="A5773" s="34"/>
    </row>
    <row r="5774" spans="1:1" ht="15.75" customHeight="1">
      <c r="A5774" s="34"/>
    </row>
    <row r="5775" spans="1:1" ht="15.75" customHeight="1">
      <c r="A5775" s="34"/>
    </row>
    <row r="5776" spans="1:1" ht="15.75" customHeight="1">
      <c r="A5776" s="34"/>
    </row>
    <row r="5777" spans="1:1" ht="15.75" customHeight="1">
      <c r="A5777" s="34"/>
    </row>
    <row r="5778" spans="1:1" ht="15.75" customHeight="1">
      <c r="A5778" s="34"/>
    </row>
    <row r="5779" spans="1:1" ht="15.75" customHeight="1">
      <c r="A5779" s="34"/>
    </row>
    <row r="5780" spans="1:1" ht="15.75" customHeight="1">
      <c r="A5780" s="34"/>
    </row>
    <row r="5781" spans="1:1" ht="15.75" customHeight="1">
      <c r="A5781" s="34"/>
    </row>
    <row r="5782" spans="1:1" ht="15.75" customHeight="1">
      <c r="A5782" s="34"/>
    </row>
    <row r="5783" spans="1:1" ht="15.75" customHeight="1">
      <c r="A5783" s="34"/>
    </row>
    <row r="5784" spans="1:1" ht="15.75" customHeight="1">
      <c r="A5784" s="34"/>
    </row>
    <row r="5785" spans="1:1" ht="15.75" customHeight="1">
      <c r="A5785" s="34"/>
    </row>
    <row r="5786" spans="1:1" ht="15.75" customHeight="1">
      <c r="A5786" s="34"/>
    </row>
    <row r="5787" spans="1:1" ht="15.75" customHeight="1">
      <c r="A5787" s="34"/>
    </row>
    <row r="5788" spans="1:1" ht="15.75" customHeight="1">
      <c r="A5788" s="34"/>
    </row>
    <row r="5789" spans="1:1" ht="15.75" customHeight="1">
      <c r="A5789" s="34"/>
    </row>
    <row r="5790" spans="1:1" ht="15.75" customHeight="1">
      <c r="A5790" s="34"/>
    </row>
    <row r="5791" spans="1:1" ht="15.75" customHeight="1">
      <c r="A5791" s="34"/>
    </row>
    <row r="5792" spans="1:1" ht="15.75" customHeight="1">
      <c r="A5792" s="34"/>
    </row>
    <row r="5793" spans="1:1" ht="15.75" customHeight="1">
      <c r="A5793" s="34"/>
    </row>
    <row r="5794" spans="1:1" ht="15.75" customHeight="1">
      <c r="A5794" s="34"/>
    </row>
    <row r="5795" spans="1:1" ht="15.75" customHeight="1">
      <c r="A5795" s="34"/>
    </row>
    <row r="5796" spans="1:1" ht="15.75" customHeight="1">
      <c r="A5796" s="34"/>
    </row>
    <row r="5797" spans="1:1" ht="15.75" customHeight="1">
      <c r="A5797" s="34"/>
    </row>
    <row r="5798" spans="1:1" ht="15.75" customHeight="1">
      <c r="A5798" s="34"/>
    </row>
    <row r="5799" spans="1:1" ht="15.75" customHeight="1">
      <c r="A5799" s="34"/>
    </row>
    <row r="5800" spans="1:1" ht="15.75" customHeight="1">
      <c r="A5800" s="34"/>
    </row>
    <row r="5801" spans="1:1" ht="15.75" customHeight="1">
      <c r="A5801" s="34"/>
    </row>
    <row r="5802" spans="1:1" ht="15.75" customHeight="1">
      <c r="A5802" s="34"/>
    </row>
    <row r="5803" spans="1:1" ht="15.75" customHeight="1">
      <c r="A5803" s="34"/>
    </row>
    <row r="5804" spans="1:1" ht="15.75" customHeight="1">
      <c r="A5804" s="34"/>
    </row>
    <row r="5805" spans="1:1" ht="15.75" customHeight="1">
      <c r="A5805" s="34"/>
    </row>
    <row r="5806" spans="1:1" ht="15.75" customHeight="1">
      <c r="A5806" s="34"/>
    </row>
    <row r="5807" spans="1:1" ht="15.75" customHeight="1">
      <c r="A5807" s="34"/>
    </row>
    <row r="5808" spans="1:1" ht="15.75" customHeight="1">
      <c r="A5808" s="34"/>
    </row>
    <row r="5809" spans="1:1" ht="15.75" customHeight="1">
      <c r="A5809" s="34"/>
    </row>
    <row r="5810" spans="1:1" ht="15.75" customHeight="1">
      <c r="A5810" s="34"/>
    </row>
    <row r="5811" spans="1:1" ht="15.75" customHeight="1">
      <c r="A5811" s="34"/>
    </row>
    <row r="5812" spans="1:1" ht="15.75" customHeight="1">
      <c r="A5812" s="34"/>
    </row>
    <row r="5813" spans="1:1" ht="15.75" customHeight="1">
      <c r="A5813" s="34"/>
    </row>
    <row r="5814" spans="1:1" ht="15.75" customHeight="1">
      <c r="A5814" s="34"/>
    </row>
    <row r="5815" spans="1:1" ht="15.75" customHeight="1">
      <c r="A5815" s="34"/>
    </row>
    <row r="5816" spans="1:1" ht="15.75" customHeight="1">
      <c r="A5816" s="34"/>
    </row>
    <row r="5817" spans="1:1" ht="15.75" customHeight="1">
      <c r="A5817" s="34"/>
    </row>
    <row r="5818" spans="1:1" ht="15.75" customHeight="1">
      <c r="A5818" s="34"/>
    </row>
    <row r="5819" spans="1:1" ht="15.75" customHeight="1">
      <c r="A5819" s="34"/>
    </row>
    <row r="5820" spans="1:1" ht="15.75" customHeight="1">
      <c r="A5820" s="34"/>
    </row>
    <row r="5821" spans="1:1" ht="15.75" customHeight="1">
      <c r="A5821" s="34"/>
    </row>
    <row r="5822" spans="1:1" ht="15.75" customHeight="1">
      <c r="A5822" s="34"/>
    </row>
    <row r="5823" spans="1:1" ht="15.75" customHeight="1">
      <c r="A5823" s="34"/>
    </row>
    <row r="5824" spans="1:1" ht="15.75" customHeight="1">
      <c r="A5824" s="34"/>
    </row>
    <row r="5825" spans="1:1" ht="15.75" customHeight="1">
      <c r="A5825" s="34"/>
    </row>
    <row r="5826" spans="1:1" ht="15.75" customHeight="1">
      <c r="A5826" s="34"/>
    </row>
    <row r="5827" spans="1:1" ht="15.75" customHeight="1">
      <c r="A5827" s="34"/>
    </row>
    <row r="5828" spans="1:1" ht="15.75" customHeight="1">
      <c r="A5828" s="34"/>
    </row>
    <row r="5829" spans="1:1" ht="15.75" customHeight="1">
      <c r="A5829" s="34"/>
    </row>
    <row r="5830" spans="1:1" ht="15.75" customHeight="1">
      <c r="A5830" s="34"/>
    </row>
    <row r="5831" spans="1:1" ht="15.75" customHeight="1">
      <c r="A5831" s="34"/>
    </row>
    <row r="5832" spans="1:1" ht="15.75" customHeight="1">
      <c r="A5832" s="34"/>
    </row>
    <row r="5833" spans="1:1" ht="15.75" customHeight="1">
      <c r="A5833" s="34"/>
    </row>
    <row r="5834" spans="1:1" ht="15.75" customHeight="1">
      <c r="A5834" s="34"/>
    </row>
    <row r="5835" spans="1:1" ht="15.75" customHeight="1">
      <c r="A5835" s="34"/>
    </row>
    <row r="5836" spans="1:1" ht="15.75" customHeight="1">
      <c r="A5836" s="34"/>
    </row>
    <row r="5837" spans="1:1" ht="15.75" customHeight="1">
      <c r="A5837" s="34"/>
    </row>
    <row r="5838" spans="1:1" ht="15.75" customHeight="1">
      <c r="A5838" s="34"/>
    </row>
    <row r="5839" spans="1:1" ht="15.75" customHeight="1">
      <c r="A5839" s="34"/>
    </row>
    <row r="5840" spans="1:1" ht="15.75" customHeight="1">
      <c r="A5840" s="34"/>
    </row>
    <row r="5841" spans="1:1" ht="15.75" customHeight="1">
      <c r="A5841" s="34"/>
    </row>
    <row r="5842" spans="1:1" ht="15.75" customHeight="1">
      <c r="A5842" s="34"/>
    </row>
    <row r="5843" spans="1:1" ht="15.75" customHeight="1">
      <c r="A5843" s="34"/>
    </row>
    <row r="5844" spans="1:1" ht="15.75" customHeight="1">
      <c r="A5844" s="34"/>
    </row>
    <row r="5845" spans="1:1" ht="15.75" customHeight="1">
      <c r="A5845" s="34"/>
    </row>
    <row r="5846" spans="1:1" ht="15.75" customHeight="1">
      <c r="A5846" s="34"/>
    </row>
    <row r="5847" spans="1:1" ht="15.75" customHeight="1">
      <c r="A5847" s="34"/>
    </row>
    <row r="5848" spans="1:1" ht="15.75" customHeight="1">
      <c r="A5848" s="34"/>
    </row>
    <row r="5849" spans="1:1" ht="15.75" customHeight="1">
      <c r="A5849" s="34"/>
    </row>
    <row r="5850" spans="1:1" ht="15.75" customHeight="1">
      <c r="A5850" s="34"/>
    </row>
    <row r="5851" spans="1:1" ht="15.75" customHeight="1">
      <c r="A5851" s="34"/>
    </row>
    <row r="5852" spans="1:1" ht="15.75" customHeight="1">
      <c r="A5852" s="34"/>
    </row>
    <row r="5853" spans="1:1" ht="15.75" customHeight="1">
      <c r="A5853" s="34"/>
    </row>
    <row r="5854" spans="1:1" ht="15.75" customHeight="1">
      <c r="A5854" s="34"/>
    </row>
    <row r="5855" spans="1:1" ht="15.75" customHeight="1">
      <c r="A5855" s="34"/>
    </row>
    <row r="5856" spans="1:1" ht="15.75" customHeight="1">
      <c r="A5856" s="34"/>
    </row>
    <row r="5857" spans="1:1" ht="15.75" customHeight="1">
      <c r="A5857" s="34"/>
    </row>
    <row r="5858" spans="1:1" ht="15.75" customHeight="1">
      <c r="A5858" s="34"/>
    </row>
    <row r="5859" spans="1:1" ht="15.75" customHeight="1">
      <c r="A5859" s="34"/>
    </row>
    <row r="5860" spans="1:1" ht="15.75" customHeight="1">
      <c r="A5860" s="34"/>
    </row>
    <row r="5861" spans="1:1" ht="15.75" customHeight="1">
      <c r="A5861" s="34"/>
    </row>
    <row r="5862" spans="1:1" ht="15.75" customHeight="1">
      <c r="A5862" s="34"/>
    </row>
    <row r="5863" spans="1:1" ht="15.75" customHeight="1">
      <c r="A5863" s="34"/>
    </row>
    <row r="5864" spans="1:1" ht="15.75" customHeight="1">
      <c r="A5864" s="34"/>
    </row>
    <row r="5865" spans="1:1" ht="15.75" customHeight="1">
      <c r="A5865" s="34"/>
    </row>
    <row r="5866" spans="1:1" ht="15.75" customHeight="1">
      <c r="A5866" s="34"/>
    </row>
    <row r="5867" spans="1:1" ht="15.75" customHeight="1">
      <c r="A5867" s="34"/>
    </row>
    <row r="5868" spans="1:1" ht="15.75" customHeight="1">
      <c r="A5868" s="34"/>
    </row>
    <row r="5869" spans="1:1" ht="15.75" customHeight="1">
      <c r="A5869" s="34"/>
    </row>
    <row r="5870" spans="1:1" ht="15.75" customHeight="1">
      <c r="A5870" s="34"/>
    </row>
    <row r="5871" spans="1:1" ht="15.75" customHeight="1">
      <c r="A5871" s="34"/>
    </row>
    <row r="5872" spans="1:1" ht="15.75" customHeight="1">
      <c r="A5872" s="34"/>
    </row>
    <row r="5873" spans="1:1" ht="15.75" customHeight="1">
      <c r="A5873" s="34"/>
    </row>
    <row r="5874" spans="1:1" ht="15.75" customHeight="1">
      <c r="A5874" s="34"/>
    </row>
    <row r="5875" spans="1:1" ht="15.75" customHeight="1">
      <c r="A5875" s="34"/>
    </row>
    <row r="5876" spans="1:1" ht="15.75" customHeight="1">
      <c r="A5876" s="34"/>
    </row>
    <row r="5877" spans="1:1" ht="15.75" customHeight="1">
      <c r="A5877" s="34"/>
    </row>
    <row r="5878" spans="1:1" ht="15.75" customHeight="1">
      <c r="A5878" s="34"/>
    </row>
    <row r="5879" spans="1:1" ht="15.75" customHeight="1">
      <c r="A5879" s="34"/>
    </row>
    <row r="5880" spans="1:1" ht="15.75" customHeight="1">
      <c r="A5880" s="34"/>
    </row>
    <row r="5881" spans="1:1" ht="15.75" customHeight="1">
      <c r="A5881" s="34"/>
    </row>
    <row r="5882" spans="1:1" ht="15.75" customHeight="1">
      <c r="A5882" s="34"/>
    </row>
    <row r="5883" spans="1:1" ht="15.75" customHeight="1">
      <c r="A5883" s="34"/>
    </row>
    <row r="5884" spans="1:1" ht="15.75" customHeight="1">
      <c r="A5884" s="34"/>
    </row>
    <row r="5885" spans="1:1" ht="15.75" customHeight="1">
      <c r="A5885" s="34"/>
    </row>
    <row r="5886" spans="1:1" ht="15.75" customHeight="1">
      <c r="A5886" s="34"/>
    </row>
    <row r="5887" spans="1:1" ht="15.75" customHeight="1">
      <c r="A5887" s="34"/>
    </row>
    <row r="5888" spans="1:1" ht="15.75" customHeight="1">
      <c r="A5888" s="34"/>
    </row>
    <row r="5889" spans="1:1" ht="15.75" customHeight="1">
      <c r="A5889" s="34"/>
    </row>
    <row r="5890" spans="1:1" ht="15.75" customHeight="1">
      <c r="A5890" s="34"/>
    </row>
    <row r="5891" spans="1:1" ht="15.75" customHeight="1">
      <c r="A5891" s="34"/>
    </row>
    <row r="5892" spans="1:1" ht="15.75" customHeight="1">
      <c r="A5892" s="34"/>
    </row>
    <row r="5893" spans="1:1" ht="15.75" customHeight="1">
      <c r="A5893" s="34"/>
    </row>
    <row r="5894" spans="1:1" ht="15.75" customHeight="1">
      <c r="A5894" s="34"/>
    </row>
    <row r="5895" spans="1:1" ht="15.75" customHeight="1">
      <c r="A5895" s="34"/>
    </row>
    <row r="5896" spans="1:1" ht="15.75" customHeight="1">
      <c r="A5896" s="34"/>
    </row>
    <row r="5897" spans="1:1" ht="15.75" customHeight="1">
      <c r="A5897" s="34"/>
    </row>
    <row r="5898" spans="1:1" ht="15.75" customHeight="1">
      <c r="A5898" s="34"/>
    </row>
    <row r="5899" spans="1:1" ht="15.75" customHeight="1">
      <c r="A5899" s="34"/>
    </row>
    <row r="5900" spans="1:1" ht="15.75" customHeight="1">
      <c r="A5900" s="34"/>
    </row>
    <row r="5901" spans="1:1" ht="15.75" customHeight="1">
      <c r="A5901" s="34"/>
    </row>
    <row r="5902" spans="1:1" ht="15.75" customHeight="1">
      <c r="A5902" s="34"/>
    </row>
    <row r="5903" spans="1:1" ht="15.75" customHeight="1">
      <c r="A5903" s="34"/>
    </row>
    <row r="5904" spans="1:1" ht="15.75" customHeight="1">
      <c r="A5904" s="34"/>
    </row>
    <row r="5905" spans="1:1" ht="15.75" customHeight="1">
      <c r="A5905" s="34"/>
    </row>
    <row r="5906" spans="1:1" ht="15.75" customHeight="1">
      <c r="A5906" s="34"/>
    </row>
    <row r="5907" spans="1:1" ht="15.75" customHeight="1">
      <c r="A5907" s="34"/>
    </row>
    <row r="5908" spans="1:1" ht="15.75" customHeight="1">
      <c r="A5908" s="34"/>
    </row>
    <row r="5909" spans="1:1" ht="15.75" customHeight="1">
      <c r="A5909" s="34"/>
    </row>
    <row r="5910" spans="1:1" ht="15.75" customHeight="1">
      <c r="A5910" s="34"/>
    </row>
    <row r="5911" spans="1:1" ht="15.75" customHeight="1">
      <c r="A5911" s="34"/>
    </row>
    <row r="5912" spans="1:1" ht="15.75" customHeight="1">
      <c r="A5912" s="34"/>
    </row>
    <row r="5913" spans="1:1" ht="15.75" customHeight="1">
      <c r="A5913" s="34"/>
    </row>
    <row r="5914" spans="1:1" ht="15.75" customHeight="1">
      <c r="A5914" s="34"/>
    </row>
    <row r="5915" spans="1:1" ht="15.75" customHeight="1">
      <c r="A5915" s="34"/>
    </row>
    <row r="5916" spans="1:1" ht="15.75" customHeight="1">
      <c r="A5916" s="34"/>
    </row>
    <row r="5917" spans="1:1" ht="15.75" customHeight="1">
      <c r="A5917" s="34"/>
    </row>
    <row r="5918" spans="1:1" ht="15.75" customHeight="1">
      <c r="A5918" s="34"/>
    </row>
    <row r="5919" spans="1:1" ht="15.75" customHeight="1">
      <c r="A5919" s="34"/>
    </row>
    <row r="5920" spans="1:1" ht="15.75" customHeight="1">
      <c r="A5920" s="34"/>
    </row>
    <row r="5921" spans="1:1" ht="15.75" customHeight="1">
      <c r="A5921" s="34"/>
    </row>
    <row r="5922" spans="1:1" ht="15.75" customHeight="1">
      <c r="A5922" s="34"/>
    </row>
    <row r="5923" spans="1:1" ht="15.75" customHeight="1">
      <c r="A5923" s="34"/>
    </row>
    <row r="5924" spans="1:1" ht="15.75" customHeight="1">
      <c r="A5924" s="34"/>
    </row>
    <row r="5925" spans="1:1" ht="15.75" customHeight="1">
      <c r="A5925" s="34"/>
    </row>
    <row r="5926" spans="1:1" ht="15.75" customHeight="1">
      <c r="A5926" s="34"/>
    </row>
    <row r="5927" spans="1:1" ht="15.75" customHeight="1">
      <c r="A5927" s="34"/>
    </row>
    <row r="5928" spans="1:1" ht="15.75" customHeight="1">
      <c r="A5928" s="34"/>
    </row>
    <row r="5929" spans="1:1" ht="15.75" customHeight="1">
      <c r="A5929" s="34"/>
    </row>
    <row r="5930" spans="1:1" ht="15.75" customHeight="1">
      <c r="A5930" s="34"/>
    </row>
    <row r="5931" spans="1:1" ht="15.75" customHeight="1">
      <c r="A5931" s="34"/>
    </row>
    <row r="5932" spans="1:1" ht="15.75" customHeight="1">
      <c r="A5932" s="34"/>
    </row>
    <row r="5933" spans="1:1" ht="15.75" customHeight="1">
      <c r="A5933" s="34"/>
    </row>
    <row r="5934" spans="1:1" ht="15.75" customHeight="1">
      <c r="A5934" s="34"/>
    </row>
    <row r="5935" spans="1:1" ht="15.75" customHeight="1">
      <c r="A5935" s="34"/>
    </row>
    <row r="5936" spans="1:1" ht="15.75" customHeight="1">
      <c r="A5936" s="34"/>
    </row>
    <row r="5937" spans="1:1" ht="15.75" customHeight="1">
      <c r="A5937" s="34"/>
    </row>
    <row r="5938" spans="1:1" ht="15.75" customHeight="1">
      <c r="A5938" s="34"/>
    </row>
    <row r="5939" spans="1:1" ht="15.75" customHeight="1">
      <c r="A5939" s="34"/>
    </row>
    <row r="5940" spans="1:1" ht="15.75" customHeight="1">
      <c r="A5940" s="34"/>
    </row>
    <row r="5941" spans="1:1" ht="15.75" customHeight="1">
      <c r="A5941" s="34"/>
    </row>
    <row r="5942" spans="1:1" ht="15.75" customHeight="1">
      <c r="A5942" s="34"/>
    </row>
    <row r="5943" spans="1:1" ht="15.75" customHeight="1">
      <c r="A5943" s="34"/>
    </row>
    <row r="5944" spans="1:1" ht="15.75" customHeight="1">
      <c r="A5944" s="34"/>
    </row>
    <row r="5945" spans="1:1" ht="15.75" customHeight="1">
      <c r="A5945" s="34"/>
    </row>
    <row r="5946" spans="1:1" ht="15.75" customHeight="1">
      <c r="A5946" s="34"/>
    </row>
    <row r="5947" spans="1:1" ht="15.75" customHeight="1">
      <c r="A5947" s="34"/>
    </row>
    <row r="5948" spans="1:1" ht="15.75" customHeight="1">
      <c r="A5948" s="34"/>
    </row>
    <row r="5949" spans="1:1" ht="15.75" customHeight="1">
      <c r="A5949" s="34"/>
    </row>
    <row r="5950" spans="1:1" ht="15.75" customHeight="1">
      <c r="A5950" s="34"/>
    </row>
    <row r="5951" spans="1:1" ht="15.75" customHeight="1">
      <c r="A5951" s="34"/>
    </row>
    <row r="5952" spans="1:1" ht="15.75" customHeight="1">
      <c r="A5952" s="34"/>
    </row>
    <row r="5953" spans="1:1" ht="15.75" customHeight="1">
      <c r="A5953" s="34"/>
    </row>
    <row r="5954" spans="1:1" ht="15.75" customHeight="1">
      <c r="A5954" s="34"/>
    </row>
    <row r="5955" spans="1:1" ht="15.75" customHeight="1">
      <c r="A5955" s="34"/>
    </row>
    <row r="5956" spans="1:1" ht="15.75" customHeight="1">
      <c r="A5956" s="34"/>
    </row>
    <row r="5957" spans="1:1" ht="15.75" customHeight="1">
      <c r="A5957" s="34"/>
    </row>
    <row r="5958" spans="1:1" ht="15.75" customHeight="1">
      <c r="A5958" s="34"/>
    </row>
    <row r="5959" spans="1:1" ht="15.75" customHeight="1">
      <c r="A5959" s="34"/>
    </row>
    <row r="5960" spans="1:1" ht="15.75" customHeight="1">
      <c r="A5960" s="34"/>
    </row>
    <row r="5961" spans="1:1" ht="15.75" customHeight="1">
      <c r="A5961" s="34"/>
    </row>
    <row r="5962" spans="1:1" ht="15.75" customHeight="1">
      <c r="A5962" s="34"/>
    </row>
    <row r="5963" spans="1:1" ht="15.75" customHeight="1">
      <c r="A5963" s="34"/>
    </row>
    <row r="5964" spans="1:1" ht="15.75" customHeight="1">
      <c r="A5964" s="34"/>
    </row>
    <row r="5965" spans="1:1" ht="15.75" customHeight="1">
      <c r="A5965" s="34"/>
    </row>
    <row r="5966" spans="1:1" ht="15.75" customHeight="1">
      <c r="A5966" s="34"/>
    </row>
    <row r="5967" spans="1:1" ht="15.75" customHeight="1">
      <c r="A5967" s="34"/>
    </row>
    <row r="5968" spans="1:1" ht="15.75" customHeight="1">
      <c r="A5968" s="34"/>
    </row>
    <row r="5969" spans="1:1" ht="15.75" customHeight="1">
      <c r="A5969" s="34"/>
    </row>
    <row r="5970" spans="1:1" ht="15.75" customHeight="1">
      <c r="A5970" s="34"/>
    </row>
    <row r="5971" spans="1:1" ht="15.75" customHeight="1">
      <c r="A5971" s="34"/>
    </row>
    <row r="5972" spans="1:1" ht="15.75" customHeight="1">
      <c r="A5972" s="34"/>
    </row>
    <row r="5973" spans="1:1" ht="15.75" customHeight="1">
      <c r="A5973" s="34"/>
    </row>
    <row r="5974" spans="1:1" ht="15.75" customHeight="1">
      <c r="A5974" s="34"/>
    </row>
    <row r="5975" spans="1:1" ht="15.75" customHeight="1">
      <c r="A5975" s="34"/>
    </row>
    <row r="5976" spans="1:1" ht="15.75" customHeight="1">
      <c r="A5976" s="34"/>
    </row>
    <row r="5977" spans="1:1" ht="15.75" customHeight="1">
      <c r="A5977" s="34"/>
    </row>
    <row r="5978" spans="1:1" ht="15.75" customHeight="1">
      <c r="A5978" s="34"/>
    </row>
    <row r="5979" spans="1:1" ht="15.75" customHeight="1">
      <c r="A5979" s="34"/>
    </row>
    <row r="5980" spans="1:1" ht="15.75" customHeight="1">
      <c r="A5980" s="34"/>
    </row>
    <row r="5981" spans="1:1" ht="15.75" customHeight="1">
      <c r="A5981" s="34"/>
    </row>
    <row r="5982" spans="1:1" ht="15.75" customHeight="1">
      <c r="A5982" s="34"/>
    </row>
    <row r="5983" spans="1:1" ht="15.75" customHeight="1">
      <c r="A5983" s="34"/>
    </row>
    <row r="5984" spans="1:1" ht="15.75" customHeight="1">
      <c r="A5984" s="34"/>
    </row>
    <row r="5985" spans="1:1" ht="15.75" customHeight="1">
      <c r="A5985" s="34"/>
    </row>
    <row r="5986" spans="1:1" ht="15.75" customHeight="1">
      <c r="A5986" s="34"/>
    </row>
    <row r="5987" spans="1:1" ht="15.75" customHeight="1">
      <c r="A5987" s="34"/>
    </row>
    <row r="5988" spans="1:1" ht="15.75" customHeight="1">
      <c r="A5988" s="34"/>
    </row>
    <row r="5989" spans="1:1" ht="15.75" customHeight="1">
      <c r="A5989" s="34"/>
    </row>
    <row r="5990" spans="1:1" ht="15.75" customHeight="1">
      <c r="A5990" s="34"/>
    </row>
    <row r="5991" spans="1:1" ht="15.75" customHeight="1">
      <c r="A5991" s="34"/>
    </row>
    <row r="5992" spans="1:1" ht="15.75" customHeight="1">
      <c r="A5992" s="34"/>
    </row>
    <row r="5993" spans="1:1" ht="15.75" customHeight="1">
      <c r="A5993" s="34"/>
    </row>
    <row r="5994" spans="1:1" ht="15.75" customHeight="1">
      <c r="A5994" s="34"/>
    </row>
    <row r="5995" spans="1:1" ht="15.75" customHeight="1">
      <c r="A5995" s="34"/>
    </row>
    <row r="5996" spans="1:1" ht="15.75" customHeight="1">
      <c r="A5996" s="34"/>
    </row>
    <row r="5997" spans="1:1" ht="15.75" customHeight="1">
      <c r="A5997" s="34"/>
    </row>
    <row r="5998" spans="1:1" ht="15.75" customHeight="1">
      <c r="A5998" s="34"/>
    </row>
    <row r="5999" spans="1:1" ht="15.75" customHeight="1">
      <c r="A5999" s="34"/>
    </row>
    <row r="6000" spans="1:1" ht="15.75" customHeight="1">
      <c r="A6000" s="34"/>
    </row>
    <row r="6001" spans="1:1" ht="15.75" customHeight="1">
      <c r="A6001" s="34"/>
    </row>
    <row r="6002" spans="1:1" ht="15.75" customHeight="1">
      <c r="A6002" s="34"/>
    </row>
    <row r="6003" spans="1:1" ht="15.75" customHeight="1">
      <c r="A6003" s="34"/>
    </row>
    <row r="6004" spans="1:1" ht="15.75" customHeight="1">
      <c r="A6004" s="34"/>
    </row>
    <row r="6005" spans="1:1" ht="15.75" customHeight="1">
      <c r="A6005" s="34"/>
    </row>
    <row r="6006" spans="1:1" ht="15.75" customHeight="1">
      <c r="A6006" s="34"/>
    </row>
    <row r="6007" spans="1:1" ht="15.75" customHeight="1">
      <c r="A6007" s="34"/>
    </row>
    <row r="6008" spans="1:1" ht="15.75" customHeight="1">
      <c r="A6008" s="34"/>
    </row>
    <row r="6009" spans="1:1" ht="15.75" customHeight="1">
      <c r="A6009" s="34"/>
    </row>
    <row r="6010" spans="1:1" ht="15.75" customHeight="1">
      <c r="A6010" s="34"/>
    </row>
    <row r="6011" spans="1:1" ht="15.75" customHeight="1">
      <c r="A6011" s="34"/>
    </row>
    <row r="6012" spans="1:1" ht="15.75" customHeight="1">
      <c r="A6012" s="34"/>
    </row>
    <row r="6013" spans="1:1" ht="15.75" customHeight="1">
      <c r="A6013" s="34"/>
    </row>
    <row r="6014" spans="1:1" ht="15.75" customHeight="1">
      <c r="A6014" s="34"/>
    </row>
    <row r="6015" spans="1:1" ht="15.75" customHeight="1">
      <c r="A6015" s="34"/>
    </row>
    <row r="6016" spans="1:1" ht="15.75" customHeight="1">
      <c r="A6016" s="34"/>
    </row>
    <row r="6017" spans="1:1" ht="15.75" customHeight="1">
      <c r="A6017" s="34"/>
    </row>
    <row r="6018" spans="1:1" ht="15.75" customHeight="1">
      <c r="A6018" s="34"/>
    </row>
    <row r="6019" spans="1:1" ht="15.75" customHeight="1">
      <c r="A6019" s="34"/>
    </row>
    <row r="6020" spans="1:1" ht="15.75" customHeight="1">
      <c r="A6020" s="34"/>
    </row>
    <row r="6021" spans="1:1" ht="15.75" customHeight="1">
      <c r="A6021" s="34"/>
    </row>
    <row r="6022" spans="1:1" ht="15.75" customHeight="1">
      <c r="A6022" s="34"/>
    </row>
    <row r="6023" spans="1:1" ht="15.75" customHeight="1">
      <c r="A6023" s="34"/>
    </row>
    <row r="6024" spans="1:1" ht="15.75" customHeight="1">
      <c r="A6024" s="34"/>
    </row>
    <row r="6025" spans="1:1" ht="15.75" customHeight="1">
      <c r="A6025" s="34"/>
    </row>
    <row r="6026" spans="1:1" ht="15.75" customHeight="1">
      <c r="A6026" s="34"/>
    </row>
    <row r="6027" spans="1:1" ht="15.75" customHeight="1">
      <c r="A6027" s="34"/>
    </row>
    <row r="6028" spans="1:1" ht="15.75" customHeight="1">
      <c r="A6028" s="34"/>
    </row>
    <row r="6029" spans="1:1" ht="15.75" customHeight="1">
      <c r="A6029" s="34"/>
    </row>
    <row r="6030" spans="1:1" ht="15.75" customHeight="1">
      <c r="A6030" s="34"/>
    </row>
    <row r="6031" spans="1:1" ht="15.75" customHeight="1">
      <c r="A6031" s="34"/>
    </row>
    <row r="6032" spans="1:1" ht="15.75" customHeight="1">
      <c r="A6032" s="34"/>
    </row>
    <row r="6033" spans="1:1" ht="15.75" customHeight="1">
      <c r="A6033" s="34"/>
    </row>
    <row r="6034" spans="1:1" ht="15.75" customHeight="1">
      <c r="A6034" s="34"/>
    </row>
    <row r="6035" spans="1:1" ht="15.75" customHeight="1">
      <c r="A6035" s="34"/>
    </row>
    <row r="6036" spans="1:1" ht="15.75" customHeight="1">
      <c r="A6036" s="34"/>
    </row>
    <row r="6037" spans="1:1" ht="15.75" customHeight="1">
      <c r="A6037" s="34"/>
    </row>
    <row r="6038" spans="1:1" ht="15.75" customHeight="1">
      <c r="A6038" s="34"/>
    </row>
    <row r="6039" spans="1:1" ht="15.75" customHeight="1">
      <c r="A6039" s="34"/>
    </row>
    <row r="6040" spans="1:1" ht="15.75" customHeight="1">
      <c r="A6040" s="34"/>
    </row>
    <row r="6041" spans="1:1" ht="15.75" customHeight="1">
      <c r="A6041" s="34"/>
    </row>
    <row r="6042" spans="1:1" ht="15.75" customHeight="1">
      <c r="A6042" s="34"/>
    </row>
    <row r="6043" spans="1:1" ht="15.75" customHeight="1">
      <c r="A6043" s="34"/>
    </row>
    <row r="6044" spans="1:1" ht="15.75" customHeight="1">
      <c r="A6044" s="34"/>
    </row>
    <row r="6045" spans="1:1" ht="15.75" customHeight="1">
      <c r="A6045" s="34"/>
    </row>
    <row r="6046" spans="1:1" ht="15.75" customHeight="1">
      <c r="A6046" s="34"/>
    </row>
    <row r="6047" spans="1:1" ht="15.75" customHeight="1">
      <c r="A6047" s="34"/>
    </row>
    <row r="6048" spans="1:1" ht="15.75" customHeight="1">
      <c r="A6048" s="34"/>
    </row>
    <row r="6049" spans="1:1" ht="15.75" customHeight="1">
      <c r="A6049" s="34"/>
    </row>
    <row r="6050" spans="1:1" ht="15.75" customHeight="1">
      <c r="A6050" s="34"/>
    </row>
    <row r="6051" spans="1:1" ht="15.75" customHeight="1">
      <c r="A6051" s="34"/>
    </row>
    <row r="6052" spans="1:1" ht="15.75" customHeight="1">
      <c r="A6052" s="34"/>
    </row>
    <row r="6053" spans="1:1" ht="15.75" customHeight="1">
      <c r="A6053" s="34"/>
    </row>
    <row r="6054" spans="1:1" ht="15.75" customHeight="1">
      <c r="A6054" s="34"/>
    </row>
    <row r="6055" spans="1:1" ht="15.75" customHeight="1">
      <c r="A6055" s="34"/>
    </row>
    <row r="6056" spans="1:1" ht="15.75" customHeight="1">
      <c r="A6056" s="34"/>
    </row>
    <row r="6057" spans="1:1" ht="15.75" customHeight="1">
      <c r="A6057" s="34"/>
    </row>
    <row r="6058" spans="1:1" ht="15.75" customHeight="1">
      <c r="A6058" s="34"/>
    </row>
    <row r="6059" spans="1:1" ht="15.75" customHeight="1">
      <c r="A6059" s="34"/>
    </row>
    <row r="6060" spans="1:1" ht="15.75" customHeight="1">
      <c r="A6060" s="34"/>
    </row>
    <row r="6061" spans="1:1" ht="15.75" customHeight="1">
      <c r="A6061" s="34"/>
    </row>
    <row r="6062" spans="1:1" ht="15.75" customHeight="1">
      <c r="A6062" s="34"/>
    </row>
    <row r="6063" spans="1:1" ht="15.75" customHeight="1">
      <c r="A6063" s="34"/>
    </row>
    <row r="6064" spans="1:1" ht="15.75" customHeight="1">
      <c r="A6064" s="34"/>
    </row>
    <row r="6065" spans="1:1" ht="15.75" customHeight="1">
      <c r="A6065" s="34"/>
    </row>
    <row r="6066" spans="1:1" ht="15.75" customHeight="1">
      <c r="A6066" s="34"/>
    </row>
    <row r="6067" spans="1:1" ht="15.75" customHeight="1">
      <c r="A6067" s="34"/>
    </row>
    <row r="6068" spans="1:1" ht="15.75" customHeight="1">
      <c r="A6068" s="34"/>
    </row>
    <row r="6069" spans="1:1" ht="15.75" customHeight="1">
      <c r="A6069" s="34"/>
    </row>
    <row r="6070" spans="1:1" ht="15.75" customHeight="1">
      <c r="A6070" s="34"/>
    </row>
    <row r="6071" spans="1:1" ht="15.75" customHeight="1">
      <c r="A6071" s="34"/>
    </row>
    <row r="6072" spans="1:1" ht="15.75" customHeight="1">
      <c r="A6072" s="34"/>
    </row>
    <row r="6073" spans="1:1" ht="15.75" customHeight="1">
      <c r="A6073" s="34"/>
    </row>
    <row r="6074" spans="1:1" ht="15.75" customHeight="1">
      <c r="A6074" s="34"/>
    </row>
    <row r="6075" spans="1:1" ht="15.75" customHeight="1">
      <c r="A6075" s="34"/>
    </row>
    <row r="6076" spans="1:1" ht="15.75" customHeight="1">
      <c r="A6076" s="34"/>
    </row>
    <row r="6077" spans="1:1" ht="15.75" customHeight="1">
      <c r="A6077" s="34"/>
    </row>
    <row r="6078" spans="1:1" ht="15.75" customHeight="1">
      <c r="A6078" s="34"/>
    </row>
    <row r="6079" spans="1:1" ht="15.75" customHeight="1">
      <c r="A6079" s="34"/>
    </row>
    <row r="6080" spans="1:1" ht="15.75" customHeight="1">
      <c r="A6080" s="34"/>
    </row>
    <row r="6081" spans="1:1" ht="15.75" customHeight="1">
      <c r="A6081" s="34"/>
    </row>
    <row r="6082" spans="1:1" ht="15.75" customHeight="1">
      <c r="A6082" s="34"/>
    </row>
    <row r="6083" spans="1:1" ht="15.75" customHeight="1">
      <c r="A6083" s="34"/>
    </row>
    <row r="6084" spans="1:1" ht="15.75" customHeight="1">
      <c r="A6084" s="34"/>
    </row>
    <row r="6085" spans="1:1" ht="15.75" customHeight="1">
      <c r="A6085" s="34"/>
    </row>
    <row r="6086" spans="1:1" ht="15.75" customHeight="1">
      <c r="A6086" s="34"/>
    </row>
    <row r="6087" spans="1:1" ht="15.75" customHeight="1">
      <c r="A6087" s="34"/>
    </row>
    <row r="6088" spans="1:1" ht="15.75" customHeight="1">
      <c r="A6088" s="34"/>
    </row>
    <row r="6089" spans="1:1" ht="15.75" customHeight="1">
      <c r="A6089" s="34"/>
    </row>
    <row r="6090" spans="1:1" ht="15.75" customHeight="1">
      <c r="A6090" s="34"/>
    </row>
    <row r="6091" spans="1:1" ht="15.75" customHeight="1">
      <c r="A6091" s="34"/>
    </row>
    <row r="6092" spans="1:1" ht="15.75" customHeight="1">
      <c r="A6092" s="34"/>
    </row>
    <row r="6093" spans="1:1" ht="15.75" customHeight="1">
      <c r="A6093" s="34"/>
    </row>
    <row r="6094" spans="1:1" ht="15.75" customHeight="1">
      <c r="A6094" s="34"/>
    </row>
    <row r="6095" spans="1:1" ht="15.75" customHeight="1">
      <c r="A6095" s="34"/>
    </row>
    <row r="6096" spans="1:1" ht="15.75" customHeight="1">
      <c r="A6096" s="34"/>
    </row>
    <row r="6097" spans="1:1" ht="15.75" customHeight="1">
      <c r="A6097" s="34"/>
    </row>
    <row r="6098" spans="1:1" ht="15.75" customHeight="1">
      <c r="A6098" s="34"/>
    </row>
    <row r="6099" spans="1:1" ht="15.75" customHeight="1">
      <c r="A6099" s="34"/>
    </row>
    <row r="6100" spans="1:1" ht="15.75" customHeight="1">
      <c r="A6100" s="34"/>
    </row>
    <row r="6101" spans="1:1" ht="15.75" customHeight="1">
      <c r="A6101" s="34"/>
    </row>
    <row r="6102" spans="1:1" ht="15.75" customHeight="1">
      <c r="A6102" s="34"/>
    </row>
    <row r="6103" spans="1:1" ht="15.75" customHeight="1">
      <c r="A6103" s="34"/>
    </row>
    <row r="6104" spans="1:1" ht="15.75" customHeight="1">
      <c r="A6104" s="34"/>
    </row>
    <row r="6105" spans="1:1" ht="15.75" customHeight="1">
      <c r="A6105" s="34"/>
    </row>
    <row r="6106" spans="1:1" ht="15.75" customHeight="1">
      <c r="A6106" s="34"/>
    </row>
    <row r="6107" spans="1:1" ht="15.75" customHeight="1">
      <c r="A6107" s="34"/>
    </row>
    <row r="6108" spans="1:1" ht="15.75" customHeight="1">
      <c r="A6108" s="34"/>
    </row>
    <row r="6109" spans="1:1" ht="15.75" customHeight="1">
      <c r="A6109" s="34"/>
    </row>
    <row r="6110" spans="1:1" ht="15.75" customHeight="1">
      <c r="A6110" s="34"/>
    </row>
    <row r="6111" spans="1:1" ht="15.75" customHeight="1">
      <c r="A6111" s="34"/>
    </row>
    <row r="6112" spans="1:1" ht="15.75" customHeight="1">
      <c r="A6112" s="34"/>
    </row>
    <row r="6113" spans="1:1" ht="15.75" customHeight="1">
      <c r="A6113" s="34"/>
    </row>
    <row r="6114" spans="1:1" ht="15.75" customHeight="1">
      <c r="A6114" s="34"/>
    </row>
    <row r="6115" spans="1:1" ht="15.75" customHeight="1">
      <c r="A6115" s="34"/>
    </row>
    <row r="6116" spans="1:1" ht="15.75" customHeight="1">
      <c r="A6116" s="34"/>
    </row>
    <row r="6117" spans="1:1" ht="15.75" customHeight="1">
      <c r="A6117" s="34"/>
    </row>
    <row r="6118" spans="1:1" ht="15.75" customHeight="1">
      <c r="A6118" s="34"/>
    </row>
    <row r="6119" spans="1:1" ht="15.75" customHeight="1">
      <c r="A6119" s="34"/>
    </row>
    <row r="6120" spans="1:1" ht="15.75" customHeight="1">
      <c r="A6120" s="34"/>
    </row>
    <row r="6121" spans="1:1" ht="15.75" customHeight="1">
      <c r="A6121" s="34"/>
    </row>
    <row r="6122" spans="1:1" ht="15.75" customHeight="1">
      <c r="A6122" s="34"/>
    </row>
    <row r="6123" spans="1:1" ht="15.75" customHeight="1">
      <c r="A6123" s="34"/>
    </row>
    <row r="6124" spans="1:1" ht="15.75" customHeight="1">
      <c r="A6124" s="34"/>
    </row>
    <row r="6125" spans="1:1" ht="15.75" customHeight="1">
      <c r="A6125" s="34"/>
    </row>
    <row r="6126" spans="1:1" ht="15.75" customHeight="1">
      <c r="A6126" s="34"/>
    </row>
    <row r="6127" spans="1:1" ht="15.75" customHeight="1">
      <c r="A6127" s="34"/>
    </row>
    <row r="6128" spans="1:1" ht="15.75" customHeight="1">
      <c r="A6128" s="34"/>
    </row>
    <row r="6129" spans="1:1" ht="15.75" customHeight="1">
      <c r="A6129" s="34"/>
    </row>
    <row r="6130" spans="1:1" ht="15.75" customHeight="1">
      <c r="A6130" s="34"/>
    </row>
    <row r="6131" spans="1:1" ht="15.75" customHeight="1">
      <c r="A6131" s="34"/>
    </row>
    <row r="6132" spans="1:1" ht="15.75" customHeight="1">
      <c r="A6132" s="34"/>
    </row>
    <row r="6133" spans="1:1" ht="15.75" customHeight="1">
      <c r="A6133" s="34"/>
    </row>
    <row r="6134" spans="1:1" ht="15.75" customHeight="1">
      <c r="A6134" s="34"/>
    </row>
    <row r="6135" spans="1:1" ht="15.75" customHeight="1">
      <c r="A6135" s="34"/>
    </row>
    <row r="6136" spans="1:1" ht="15.75" customHeight="1">
      <c r="A6136" s="34"/>
    </row>
    <row r="6137" spans="1:1" ht="15.75" customHeight="1">
      <c r="A6137" s="34"/>
    </row>
    <row r="6138" spans="1:1" ht="15.75" customHeight="1">
      <c r="A6138" s="34"/>
    </row>
    <row r="6139" spans="1:1" ht="15.75" customHeight="1">
      <c r="A6139" s="34"/>
    </row>
    <row r="6140" spans="1:1" ht="15.75" customHeight="1">
      <c r="A6140" s="34"/>
    </row>
    <row r="6141" spans="1:1" ht="15.75" customHeight="1">
      <c r="A6141" s="34"/>
    </row>
    <row r="6142" spans="1:1" ht="15.75" customHeight="1">
      <c r="A6142" s="34"/>
    </row>
    <row r="6143" spans="1:1" ht="15.75" customHeight="1">
      <c r="A6143" s="34"/>
    </row>
    <row r="6144" spans="1:1" ht="15.75" customHeight="1">
      <c r="A6144" s="34"/>
    </row>
    <row r="6145" spans="1:1" ht="15.75" customHeight="1">
      <c r="A6145" s="34"/>
    </row>
    <row r="6146" spans="1:1" ht="15.75" customHeight="1">
      <c r="A6146" s="34"/>
    </row>
    <row r="6147" spans="1:1" ht="15.75" customHeight="1">
      <c r="A6147" s="34"/>
    </row>
    <row r="6148" spans="1:1" ht="15.75" customHeight="1">
      <c r="A6148" s="34"/>
    </row>
    <row r="6149" spans="1:1" ht="15.75" customHeight="1">
      <c r="A6149" s="34"/>
    </row>
    <row r="6150" spans="1:1" ht="15.75" customHeight="1">
      <c r="A6150" s="34"/>
    </row>
    <row r="6151" spans="1:1" ht="15.75" customHeight="1">
      <c r="A6151" s="34"/>
    </row>
    <row r="6152" spans="1:1" ht="15.75" customHeight="1">
      <c r="A6152" s="34"/>
    </row>
    <row r="6153" spans="1:1" ht="15.75" customHeight="1">
      <c r="A6153" s="34"/>
    </row>
    <row r="6154" spans="1:1" ht="15.75" customHeight="1">
      <c r="A6154" s="34"/>
    </row>
    <row r="6155" spans="1:1" ht="15.75" customHeight="1">
      <c r="A6155" s="34"/>
    </row>
    <row r="6156" spans="1:1" ht="15.75" customHeight="1">
      <c r="A6156" s="34"/>
    </row>
    <row r="6157" spans="1:1" ht="15.75" customHeight="1">
      <c r="A6157" s="34"/>
    </row>
    <row r="6158" spans="1:1" ht="15.75" customHeight="1">
      <c r="A6158" s="34"/>
    </row>
    <row r="6159" spans="1:1" ht="15.75" customHeight="1">
      <c r="A6159" s="34"/>
    </row>
    <row r="6160" spans="1:1" ht="15.75" customHeight="1">
      <c r="A6160" s="34"/>
    </row>
    <row r="6161" spans="1:1" ht="15.75" customHeight="1">
      <c r="A6161" s="34"/>
    </row>
    <row r="6162" spans="1:1" ht="15.75" customHeight="1">
      <c r="A6162" s="34"/>
    </row>
    <row r="6163" spans="1:1" ht="15.75" customHeight="1">
      <c r="A6163" s="34"/>
    </row>
    <row r="6164" spans="1:1" ht="15.75" customHeight="1">
      <c r="A6164" s="34"/>
    </row>
    <row r="6165" spans="1:1" ht="15.75" customHeight="1">
      <c r="A6165" s="34"/>
    </row>
    <row r="6166" spans="1:1" ht="15.75" customHeight="1">
      <c r="A6166" s="34"/>
    </row>
    <row r="6167" spans="1:1" ht="15.75" customHeight="1">
      <c r="A6167" s="34"/>
    </row>
    <row r="6168" spans="1:1" ht="15.75" customHeight="1">
      <c r="A6168" s="34"/>
    </row>
    <row r="6169" spans="1:1" ht="15.75" customHeight="1">
      <c r="A6169" s="34"/>
    </row>
    <row r="6170" spans="1:1" ht="15.75" customHeight="1">
      <c r="A6170" s="34"/>
    </row>
    <row r="6171" spans="1:1" ht="15.75" customHeight="1">
      <c r="A6171" s="34"/>
    </row>
    <row r="6172" spans="1:1" ht="15.75" customHeight="1">
      <c r="A6172" s="34"/>
    </row>
    <row r="6173" spans="1:1" ht="15.75" customHeight="1">
      <c r="A6173" s="34"/>
    </row>
    <row r="6174" spans="1:1" ht="15.75" customHeight="1">
      <c r="A6174" s="34"/>
    </row>
    <row r="6175" spans="1:1" ht="15.75" customHeight="1">
      <c r="A6175" s="34"/>
    </row>
    <row r="6176" spans="1:1" ht="15.75" customHeight="1">
      <c r="A6176" s="34"/>
    </row>
    <row r="6177" spans="1:1" ht="15.75" customHeight="1">
      <c r="A6177" s="34"/>
    </row>
    <row r="6178" spans="1:1" ht="15.75" customHeight="1">
      <c r="A6178" s="34"/>
    </row>
    <row r="6179" spans="1:1" ht="15.75" customHeight="1">
      <c r="A6179" s="34"/>
    </row>
    <row r="6180" spans="1:1" ht="15.75" customHeight="1">
      <c r="A6180" s="34"/>
    </row>
    <row r="6181" spans="1:1" ht="15.75" customHeight="1">
      <c r="A6181" s="34"/>
    </row>
    <row r="6182" spans="1:1" ht="15.75" customHeight="1">
      <c r="A6182" s="34"/>
    </row>
    <row r="6183" spans="1:1" ht="15.75" customHeight="1">
      <c r="A6183" s="34"/>
    </row>
    <row r="6184" spans="1:1" ht="15.75" customHeight="1">
      <c r="A6184" s="34"/>
    </row>
    <row r="6185" spans="1:1" ht="15.75" customHeight="1">
      <c r="A6185" s="34"/>
    </row>
    <row r="6186" spans="1:1" ht="15.75" customHeight="1">
      <c r="A6186" s="34"/>
    </row>
    <row r="6187" spans="1:1" ht="15.75" customHeight="1">
      <c r="A6187" s="34"/>
    </row>
    <row r="6188" spans="1:1" ht="15.75" customHeight="1">
      <c r="A6188" s="34"/>
    </row>
    <row r="6189" spans="1:1" ht="15.75" customHeight="1">
      <c r="A6189" s="34"/>
    </row>
    <row r="6190" spans="1:1" ht="15.75" customHeight="1">
      <c r="A6190" s="34"/>
    </row>
    <row r="6191" spans="1:1" ht="15.75" customHeight="1">
      <c r="A6191" s="34"/>
    </row>
    <row r="6192" spans="1:1" ht="15.75" customHeight="1">
      <c r="A6192" s="34"/>
    </row>
    <row r="6193" spans="1:1" ht="15.75" customHeight="1">
      <c r="A6193" s="34"/>
    </row>
    <row r="6194" spans="1:1" ht="15.75" customHeight="1">
      <c r="A6194" s="34"/>
    </row>
    <row r="6195" spans="1:1" ht="15.75" customHeight="1">
      <c r="A6195" s="34"/>
    </row>
    <row r="6196" spans="1:1" ht="15.75" customHeight="1">
      <c r="A6196" s="34"/>
    </row>
    <row r="6197" spans="1:1" ht="15.75" customHeight="1">
      <c r="A6197" s="34"/>
    </row>
    <row r="6198" spans="1:1" ht="15.75" customHeight="1">
      <c r="A6198" s="34"/>
    </row>
    <row r="6199" spans="1:1" ht="15.75" customHeight="1">
      <c r="A6199" s="34"/>
    </row>
    <row r="6200" spans="1:1" ht="15.75" customHeight="1">
      <c r="A6200" s="34"/>
    </row>
    <row r="6201" spans="1:1" ht="15.75" customHeight="1">
      <c r="A6201" s="34"/>
    </row>
    <row r="6202" spans="1:1" ht="15.75" customHeight="1">
      <c r="A6202" s="34"/>
    </row>
    <row r="6203" spans="1:1" ht="15.75" customHeight="1">
      <c r="A6203" s="34"/>
    </row>
    <row r="6204" spans="1:1" ht="15.75" customHeight="1">
      <c r="A6204" s="34"/>
    </row>
    <row r="6205" spans="1:1" ht="15.75" customHeight="1">
      <c r="A6205" s="34"/>
    </row>
    <row r="6206" spans="1:1" ht="15.75" customHeight="1">
      <c r="A6206" s="34"/>
    </row>
    <row r="6207" spans="1:1" ht="15.75" customHeight="1">
      <c r="A6207" s="34"/>
    </row>
    <row r="6208" spans="1:1" ht="15.75" customHeight="1">
      <c r="A6208" s="34"/>
    </row>
    <row r="6209" spans="1:1" ht="15.75" customHeight="1">
      <c r="A6209" s="34"/>
    </row>
    <row r="6210" spans="1:1" ht="15.75" customHeight="1">
      <c r="A6210" s="34"/>
    </row>
    <row r="6211" spans="1:1" ht="15.75" customHeight="1">
      <c r="A6211" s="34"/>
    </row>
    <row r="6212" spans="1:1" ht="15.75" customHeight="1">
      <c r="A6212" s="34"/>
    </row>
    <row r="6213" spans="1:1" ht="15.75" customHeight="1">
      <c r="A6213" s="34"/>
    </row>
    <row r="6214" spans="1:1" ht="15.75" customHeight="1">
      <c r="A6214" s="34"/>
    </row>
    <row r="6215" spans="1:1" ht="15.75" customHeight="1">
      <c r="A6215" s="34"/>
    </row>
    <row r="6216" spans="1:1" ht="15.75" customHeight="1">
      <c r="A6216" s="34"/>
    </row>
    <row r="6217" spans="1:1" ht="15.75" customHeight="1">
      <c r="A6217" s="34"/>
    </row>
    <row r="6218" spans="1:1" ht="15.75" customHeight="1">
      <c r="A6218" s="34"/>
    </row>
    <row r="6219" spans="1:1" ht="15.75" customHeight="1">
      <c r="A6219" s="34"/>
    </row>
    <row r="6220" spans="1:1" ht="15.75" customHeight="1">
      <c r="A6220" s="34"/>
    </row>
    <row r="6221" spans="1:1" ht="15.75" customHeight="1">
      <c r="A6221" s="34"/>
    </row>
    <row r="6222" spans="1:1" ht="15.75" customHeight="1">
      <c r="A6222" s="34"/>
    </row>
    <row r="6223" spans="1:1" ht="15.75" customHeight="1">
      <c r="A6223" s="34"/>
    </row>
    <row r="6224" spans="1:1" ht="15.75" customHeight="1">
      <c r="A6224" s="34"/>
    </row>
    <row r="6225" spans="1:1" ht="15.75" customHeight="1">
      <c r="A6225" s="34"/>
    </row>
    <row r="6226" spans="1:1" ht="15.75" customHeight="1">
      <c r="A6226" s="34"/>
    </row>
    <row r="6227" spans="1:1" ht="15.75" customHeight="1">
      <c r="A6227" s="34"/>
    </row>
    <row r="6228" spans="1:1" ht="15.75" customHeight="1">
      <c r="A6228" s="34"/>
    </row>
    <row r="6229" spans="1:1" ht="15.75" customHeight="1">
      <c r="A6229" s="34"/>
    </row>
    <row r="6230" spans="1:1" ht="15.75" customHeight="1">
      <c r="A6230" s="34"/>
    </row>
    <row r="6231" spans="1:1" ht="15.75" customHeight="1">
      <c r="A6231" s="34"/>
    </row>
    <row r="6232" spans="1:1" ht="15.75" customHeight="1">
      <c r="A6232" s="34"/>
    </row>
    <row r="6233" spans="1:1" ht="15.75" customHeight="1">
      <c r="A6233" s="34"/>
    </row>
    <row r="6234" spans="1:1" ht="15.75" customHeight="1">
      <c r="A6234" s="34"/>
    </row>
    <row r="6235" spans="1:1" ht="15.75" customHeight="1">
      <c r="A6235" s="34"/>
    </row>
    <row r="6236" spans="1:1" ht="15.75" customHeight="1">
      <c r="A6236" s="34"/>
    </row>
    <row r="6237" spans="1:1" ht="15.75" customHeight="1">
      <c r="A6237" s="34"/>
    </row>
    <row r="6238" spans="1:1" ht="15.75" customHeight="1">
      <c r="A6238" s="34"/>
    </row>
    <row r="6239" spans="1:1" ht="15.75" customHeight="1">
      <c r="A6239" s="34"/>
    </row>
    <row r="6240" spans="1:1" ht="15.75" customHeight="1">
      <c r="A6240" s="34"/>
    </row>
    <row r="6241" spans="1:1" ht="15.75" customHeight="1">
      <c r="A6241" s="34"/>
    </row>
    <row r="6242" spans="1:1" ht="15.75" customHeight="1">
      <c r="A6242" s="34"/>
    </row>
    <row r="6243" spans="1:1" ht="15.75" customHeight="1">
      <c r="A6243" s="34"/>
    </row>
    <row r="6244" spans="1:1" ht="15.75" customHeight="1">
      <c r="A6244" s="34"/>
    </row>
    <row r="6245" spans="1:1" ht="15.75" customHeight="1">
      <c r="A6245" s="34"/>
    </row>
    <row r="6246" spans="1:1" ht="15.75" customHeight="1">
      <c r="A6246" s="34"/>
    </row>
    <row r="6247" spans="1:1" ht="15.75" customHeight="1">
      <c r="A6247" s="34"/>
    </row>
    <row r="6248" spans="1:1" ht="15.75" customHeight="1">
      <c r="A6248" s="34"/>
    </row>
    <row r="6249" spans="1:1" ht="15.75" customHeight="1">
      <c r="A6249" s="34"/>
    </row>
    <row r="6250" spans="1:1" ht="15.75" customHeight="1">
      <c r="A6250" s="34"/>
    </row>
    <row r="6251" spans="1:1" ht="15.75" customHeight="1">
      <c r="A6251" s="34"/>
    </row>
    <row r="6252" spans="1:1" ht="15.75" customHeight="1">
      <c r="A6252" s="34"/>
    </row>
    <row r="6253" spans="1:1" ht="15.75" customHeight="1">
      <c r="A6253" s="34"/>
    </row>
    <row r="6254" spans="1:1" ht="15.75" customHeight="1">
      <c r="A6254" s="34"/>
    </row>
    <row r="6255" spans="1:1" ht="15.75" customHeight="1">
      <c r="A6255" s="34"/>
    </row>
    <row r="6256" spans="1:1" ht="15.75" customHeight="1">
      <c r="A6256" s="34"/>
    </row>
    <row r="6257" spans="1:1" ht="15.75" customHeight="1">
      <c r="A6257" s="34"/>
    </row>
    <row r="6258" spans="1:1" ht="15.75" customHeight="1">
      <c r="A6258" s="34"/>
    </row>
    <row r="6259" spans="1:1" ht="15.75" customHeight="1">
      <c r="A6259" s="34"/>
    </row>
    <row r="6260" spans="1:1" ht="15.75" customHeight="1">
      <c r="A6260" s="34"/>
    </row>
    <row r="6261" spans="1:1" ht="15.75" customHeight="1">
      <c r="A6261" s="34"/>
    </row>
    <row r="6262" spans="1:1" ht="15.75" customHeight="1">
      <c r="A6262" s="34"/>
    </row>
    <row r="6263" spans="1:1" ht="15.75" customHeight="1">
      <c r="A6263" s="34"/>
    </row>
    <row r="6264" spans="1:1" ht="15.75" customHeight="1">
      <c r="A6264" s="34"/>
    </row>
    <row r="6265" spans="1:1" ht="15.75" customHeight="1">
      <c r="A6265" s="34"/>
    </row>
    <row r="6266" spans="1:1" ht="15.75" customHeight="1">
      <c r="A6266" s="34"/>
    </row>
    <row r="6267" spans="1:1" ht="15.75" customHeight="1">
      <c r="A6267" s="34"/>
    </row>
    <row r="6268" spans="1:1" ht="15.75" customHeight="1">
      <c r="A6268" s="34"/>
    </row>
    <row r="6269" spans="1:1" ht="15.75" customHeight="1">
      <c r="A6269" s="34"/>
    </row>
    <row r="6270" spans="1:1" ht="15.75" customHeight="1">
      <c r="A6270" s="34"/>
    </row>
    <row r="6271" spans="1:1" ht="15.75" customHeight="1">
      <c r="A6271" s="34"/>
    </row>
    <row r="6272" spans="1:1" ht="15.75" customHeight="1">
      <c r="A6272" s="34"/>
    </row>
    <row r="6273" spans="1:1" ht="15.75" customHeight="1">
      <c r="A6273" s="34"/>
    </row>
    <row r="6274" spans="1:1" ht="15.75" customHeight="1">
      <c r="A6274" s="34"/>
    </row>
    <row r="6275" spans="1:1" ht="15.75" customHeight="1">
      <c r="A6275" s="34"/>
    </row>
    <row r="6276" spans="1:1" ht="15.75" customHeight="1">
      <c r="A6276" s="34"/>
    </row>
    <row r="6277" spans="1:1" ht="15.75" customHeight="1">
      <c r="A6277" s="34"/>
    </row>
    <row r="6278" spans="1:1" ht="15.75" customHeight="1">
      <c r="A6278" s="34"/>
    </row>
    <row r="6279" spans="1:1" ht="15.75" customHeight="1">
      <c r="A6279" s="34"/>
    </row>
    <row r="6280" spans="1:1" ht="15.75" customHeight="1">
      <c r="A6280" s="34"/>
    </row>
    <row r="6281" spans="1:1" ht="15.75" customHeight="1">
      <c r="A6281" s="34"/>
    </row>
    <row r="6282" spans="1:1" ht="15.75" customHeight="1">
      <c r="A6282" s="34"/>
    </row>
    <row r="6283" spans="1:1" ht="15.75" customHeight="1">
      <c r="A6283" s="34"/>
    </row>
    <row r="6284" spans="1:1" ht="15.75" customHeight="1">
      <c r="A6284" s="34"/>
    </row>
    <row r="6285" spans="1:1" ht="15.75" customHeight="1">
      <c r="A6285" s="34"/>
    </row>
    <row r="6286" spans="1:1" ht="15.75" customHeight="1">
      <c r="A6286" s="34"/>
    </row>
    <row r="6287" spans="1:1" ht="15.75" customHeight="1">
      <c r="A6287" s="34"/>
    </row>
    <row r="6288" spans="1:1" ht="15.75" customHeight="1">
      <c r="A6288" s="34"/>
    </row>
    <row r="6289" spans="1:1" ht="15.75" customHeight="1">
      <c r="A6289" s="34"/>
    </row>
    <row r="6290" spans="1:1" ht="15.75" customHeight="1">
      <c r="A6290" s="34"/>
    </row>
    <row r="6291" spans="1:1" ht="15.75" customHeight="1">
      <c r="A6291" s="34"/>
    </row>
    <row r="6292" spans="1:1" ht="15.75" customHeight="1">
      <c r="A6292" s="34"/>
    </row>
    <row r="6293" spans="1:1" ht="15.75" customHeight="1">
      <c r="A6293" s="34"/>
    </row>
    <row r="6294" spans="1:1" ht="15.75" customHeight="1">
      <c r="A6294" s="34"/>
    </row>
    <row r="6295" spans="1:1" ht="15.75" customHeight="1">
      <c r="A6295" s="34"/>
    </row>
    <row r="6296" spans="1:1" ht="15.75" customHeight="1">
      <c r="A6296" s="34"/>
    </row>
    <row r="6297" spans="1:1" ht="15.75" customHeight="1">
      <c r="A6297" s="34"/>
    </row>
    <row r="6298" spans="1:1" ht="15.75" customHeight="1">
      <c r="A6298" s="34"/>
    </row>
    <row r="6299" spans="1:1" ht="15.75" customHeight="1">
      <c r="A6299" s="34"/>
    </row>
    <row r="6300" spans="1:1" ht="15.75" customHeight="1">
      <c r="A6300" s="34"/>
    </row>
    <row r="6301" spans="1:1" ht="15.75" customHeight="1">
      <c r="A6301" s="34"/>
    </row>
    <row r="6302" spans="1:1" ht="15.75" customHeight="1">
      <c r="A6302" s="34"/>
    </row>
    <row r="6303" spans="1:1" ht="15.75" customHeight="1">
      <c r="A6303" s="34"/>
    </row>
    <row r="6304" spans="1:1" ht="15.75" customHeight="1">
      <c r="A6304" s="34"/>
    </row>
    <row r="6305" spans="1:1" ht="15.75" customHeight="1">
      <c r="A6305" s="34"/>
    </row>
    <row r="6306" spans="1:1" ht="15.75" customHeight="1">
      <c r="A6306" s="34"/>
    </row>
    <row r="6307" spans="1:1" ht="15.75" customHeight="1">
      <c r="A6307" s="34"/>
    </row>
    <row r="6308" spans="1:1" ht="15.75" customHeight="1">
      <c r="A6308" s="34"/>
    </row>
    <row r="6309" spans="1:1" ht="15.75" customHeight="1">
      <c r="A6309" s="34"/>
    </row>
    <row r="6310" spans="1:1" ht="15.75" customHeight="1">
      <c r="A6310" s="34"/>
    </row>
    <row r="6311" spans="1:1" ht="15.75" customHeight="1">
      <c r="A6311" s="34"/>
    </row>
    <row r="6312" spans="1:1" ht="15.75" customHeight="1">
      <c r="A6312" s="34"/>
    </row>
    <row r="6313" spans="1:1" ht="15.75" customHeight="1">
      <c r="A6313" s="34"/>
    </row>
    <row r="6314" spans="1:1" ht="15.75" customHeight="1">
      <c r="A6314" s="34"/>
    </row>
    <row r="6315" spans="1:1" ht="15.75" customHeight="1">
      <c r="A6315" s="34"/>
    </row>
    <row r="6316" spans="1:1" ht="15.75" customHeight="1">
      <c r="A6316" s="34"/>
    </row>
    <row r="6317" spans="1:1" ht="15.75" customHeight="1">
      <c r="A6317" s="34"/>
    </row>
    <row r="6318" spans="1:1" ht="15.75" customHeight="1">
      <c r="A6318" s="34"/>
    </row>
    <row r="6319" spans="1:1" ht="15.75" customHeight="1">
      <c r="A6319" s="34"/>
    </row>
    <row r="6320" spans="1:1" ht="15.75" customHeight="1">
      <c r="A6320" s="34"/>
    </row>
    <row r="6321" spans="1:1" ht="15.75" customHeight="1">
      <c r="A6321" s="34"/>
    </row>
    <row r="6322" spans="1:1" ht="15.75" customHeight="1">
      <c r="A6322" s="34"/>
    </row>
    <row r="6323" spans="1:1" ht="15.75" customHeight="1">
      <c r="A6323" s="34"/>
    </row>
    <row r="6324" spans="1:1" ht="15.75" customHeight="1">
      <c r="A6324" s="34"/>
    </row>
    <row r="6325" spans="1:1" ht="15.75" customHeight="1">
      <c r="A6325" s="34"/>
    </row>
    <row r="6326" spans="1:1" ht="15.75" customHeight="1">
      <c r="A6326" s="34"/>
    </row>
    <row r="6327" spans="1:1" ht="15.75" customHeight="1">
      <c r="A6327" s="34"/>
    </row>
    <row r="6328" spans="1:1" ht="15.75" customHeight="1">
      <c r="A6328" s="34"/>
    </row>
    <row r="6329" spans="1:1" ht="15.75" customHeight="1">
      <c r="A6329" s="34"/>
    </row>
    <row r="6330" spans="1:1" ht="15.75" customHeight="1">
      <c r="A6330" s="34"/>
    </row>
    <row r="6331" spans="1:1" ht="15.75" customHeight="1">
      <c r="A6331" s="34"/>
    </row>
    <row r="6332" spans="1:1" ht="15.75" customHeight="1">
      <c r="A6332" s="34"/>
    </row>
    <row r="6333" spans="1:1" ht="15.75" customHeight="1">
      <c r="A6333" s="34"/>
    </row>
    <row r="6334" spans="1:1" ht="15.75" customHeight="1">
      <c r="A6334" s="34"/>
    </row>
    <row r="6335" spans="1:1" ht="15.75" customHeight="1">
      <c r="A6335" s="34"/>
    </row>
    <row r="6336" spans="1:1" ht="15.75" customHeight="1">
      <c r="A6336" s="34"/>
    </row>
    <row r="6337" spans="1:1" ht="15.75" customHeight="1">
      <c r="A6337" s="34"/>
    </row>
    <row r="6338" spans="1:1" ht="15.75" customHeight="1">
      <c r="A6338" s="34"/>
    </row>
    <row r="6339" spans="1:1" ht="15.75" customHeight="1">
      <c r="A6339" s="34"/>
    </row>
    <row r="6340" spans="1:1" ht="15.75" customHeight="1">
      <c r="A6340" s="34"/>
    </row>
    <row r="6341" spans="1:1" ht="15.75" customHeight="1">
      <c r="A6341" s="34"/>
    </row>
    <row r="6342" spans="1:1" ht="15.75" customHeight="1">
      <c r="A6342" s="34"/>
    </row>
    <row r="6343" spans="1:1" ht="15.75" customHeight="1">
      <c r="A6343" s="34"/>
    </row>
    <row r="6344" spans="1:1" ht="15.75" customHeight="1">
      <c r="A6344" s="34"/>
    </row>
    <row r="6345" spans="1:1" ht="15.75" customHeight="1">
      <c r="A6345" s="34"/>
    </row>
    <row r="6346" spans="1:1" ht="15.75" customHeight="1">
      <c r="A6346" s="34"/>
    </row>
    <row r="6347" spans="1:1" ht="15.75" customHeight="1">
      <c r="A6347" s="34"/>
    </row>
    <row r="6348" spans="1:1" ht="15.75" customHeight="1">
      <c r="A6348" s="34"/>
    </row>
    <row r="6349" spans="1:1" ht="15.75" customHeight="1">
      <c r="A6349" s="34"/>
    </row>
    <row r="6350" spans="1:1" ht="15.75" customHeight="1">
      <c r="A6350" s="34"/>
    </row>
    <row r="6351" spans="1:1" ht="15.75" customHeight="1">
      <c r="A6351" s="34"/>
    </row>
    <row r="6352" spans="1:1" ht="15.75" customHeight="1">
      <c r="A6352" s="34"/>
    </row>
    <row r="6353" spans="1:1" ht="15.75" customHeight="1">
      <c r="A6353" s="34"/>
    </row>
    <row r="6354" spans="1:1" ht="15.75" customHeight="1">
      <c r="A6354" s="34"/>
    </row>
    <row r="6355" spans="1:1" ht="15.75" customHeight="1">
      <c r="A6355" s="34"/>
    </row>
    <row r="6356" spans="1:1" ht="15.75" customHeight="1">
      <c r="A6356" s="34"/>
    </row>
    <row r="6357" spans="1:1" ht="15.75" customHeight="1">
      <c r="A6357" s="34"/>
    </row>
    <row r="6358" spans="1:1" ht="15.75" customHeight="1">
      <c r="A6358" s="34"/>
    </row>
    <row r="6359" spans="1:1" ht="15.75" customHeight="1">
      <c r="A6359" s="34"/>
    </row>
    <row r="6360" spans="1:1" ht="15.75" customHeight="1">
      <c r="A6360" s="34"/>
    </row>
    <row r="6361" spans="1:1" ht="15.75" customHeight="1">
      <c r="A6361" s="34"/>
    </row>
    <row r="6362" spans="1:1" ht="15.75" customHeight="1">
      <c r="A6362" s="34"/>
    </row>
    <row r="6363" spans="1:1" ht="15.75" customHeight="1">
      <c r="A6363" s="34"/>
    </row>
    <row r="6364" spans="1:1" ht="15.75" customHeight="1">
      <c r="A6364" s="34"/>
    </row>
    <row r="6365" spans="1:1" ht="15.75" customHeight="1">
      <c r="A6365" s="34"/>
    </row>
    <row r="6366" spans="1:1" ht="15.75" customHeight="1">
      <c r="A6366" s="34"/>
    </row>
    <row r="6367" spans="1:1" ht="15.75" customHeight="1">
      <c r="A6367" s="34"/>
    </row>
    <row r="6368" spans="1:1" ht="15.75" customHeight="1">
      <c r="A6368" s="34"/>
    </row>
    <row r="6369" spans="1:1" ht="15.75" customHeight="1">
      <c r="A6369" s="34"/>
    </row>
    <row r="6370" spans="1:1" ht="15.75" customHeight="1">
      <c r="A6370" s="34"/>
    </row>
    <row r="6371" spans="1:1" ht="15.75" customHeight="1">
      <c r="A6371" s="34"/>
    </row>
    <row r="6372" spans="1:1" ht="15.75" customHeight="1">
      <c r="A6372" s="34"/>
    </row>
    <row r="6373" spans="1:1" ht="15.75" customHeight="1">
      <c r="A6373" s="34"/>
    </row>
    <row r="6374" spans="1:1" ht="15.75" customHeight="1">
      <c r="A6374" s="34"/>
    </row>
    <row r="6375" spans="1:1" ht="15.75" customHeight="1">
      <c r="A6375" s="34"/>
    </row>
    <row r="6376" spans="1:1" ht="15.75" customHeight="1">
      <c r="A6376" s="34"/>
    </row>
    <row r="6377" spans="1:1" ht="15.75" customHeight="1">
      <c r="A6377" s="34"/>
    </row>
    <row r="6378" spans="1:1" ht="15.75" customHeight="1">
      <c r="A6378" s="34"/>
    </row>
    <row r="6379" spans="1:1" ht="15.75" customHeight="1">
      <c r="A6379" s="34"/>
    </row>
    <row r="6380" spans="1:1" ht="15.75" customHeight="1">
      <c r="A6380" s="34"/>
    </row>
    <row r="6381" spans="1:1" ht="15.75" customHeight="1">
      <c r="A6381" s="34"/>
    </row>
    <row r="6382" spans="1:1" ht="15.75" customHeight="1">
      <c r="A6382" s="34"/>
    </row>
    <row r="6383" spans="1:1" ht="15.75" customHeight="1">
      <c r="A6383" s="34"/>
    </row>
    <row r="6384" spans="1:1" ht="15.75" customHeight="1">
      <c r="A6384" s="34"/>
    </row>
    <row r="6385" spans="1:1" ht="15.75" customHeight="1">
      <c r="A6385" s="34"/>
    </row>
    <row r="6386" spans="1:1" ht="15.75" customHeight="1">
      <c r="A6386" s="34"/>
    </row>
    <row r="6387" spans="1:1" ht="15.75" customHeight="1">
      <c r="A6387" s="34"/>
    </row>
    <row r="6388" spans="1:1" ht="15.75" customHeight="1">
      <c r="A6388" s="34"/>
    </row>
    <row r="6389" spans="1:1" ht="15.75" customHeight="1">
      <c r="A6389" s="34"/>
    </row>
    <row r="6390" spans="1:1" ht="15.75" customHeight="1">
      <c r="A6390" s="34"/>
    </row>
    <row r="6391" spans="1:1" ht="15.75" customHeight="1">
      <c r="A6391" s="34"/>
    </row>
    <row r="6392" spans="1:1" ht="15.75" customHeight="1">
      <c r="A6392" s="34"/>
    </row>
    <row r="6393" spans="1:1" ht="15.75" customHeight="1">
      <c r="A6393" s="34"/>
    </row>
    <row r="6394" spans="1:1" ht="15.75" customHeight="1">
      <c r="A6394" s="34"/>
    </row>
    <row r="6395" spans="1:1" ht="15.75" customHeight="1">
      <c r="A6395" s="34"/>
    </row>
    <row r="6396" spans="1:1" ht="15.75" customHeight="1">
      <c r="A6396" s="34"/>
    </row>
    <row r="6397" spans="1:1" ht="15.75" customHeight="1">
      <c r="A6397" s="34"/>
    </row>
    <row r="6398" spans="1:1" ht="15.75" customHeight="1">
      <c r="A6398" s="34"/>
    </row>
    <row r="6399" spans="1:1" ht="15.75" customHeight="1">
      <c r="A6399" s="34"/>
    </row>
    <row r="6400" spans="1:1" ht="15.75" customHeight="1">
      <c r="A6400" s="34"/>
    </row>
    <row r="6401" spans="1:1" ht="15.75" customHeight="1">
      <c r="A6401" s="34"/>
    </row>
    <row r="6402" spans="1:1" ht="15.75" customHeight="1">
      <c r="A6402" s="34"/>
    </row>
    <row r="6403" spans="1:1" ht="15.75" customHeight="1">
      <c r="A6403" s="34"/>
    </row>
    <row r="6404" spans="1:1" ht="15.75" customHeight="1">
      <c r="A6404" s="34"/>
    </row>
    <row r="6405" spans="1:1" ht="15.75" customHeight="1">
      <c r="A6405" s="34"/>
    </row>
    <row r="6406" spans="1:1" ht="15.75" customHeight="1">
      <c r="A6406" s="34"/>
    </row>
    <row r="6407" spans="1:1" ht="15.75" customHeight="1">
      <c r="A6407" s="34"/>
    </row>
    <row r="6408" spans="1:1" ht="15.75" customHeight="1">
      <c r="A6408" s="34"/>
    </row>
    <row r="6409" spans="1:1" ht="15.75" customHeight="1">
      <c r="A6409" s="34"/>
    </row>
    <row r="6410" spans="1:1" ht="15.75" customHeight="1">
      <c r="A6410" s="34"/>
    </row>
    <row r="6411" spans="1:1" ht="15.75" customHeight="1">
      <c r="A6411" s="34"/>
    </row>
    <row r="6412" spans="1:1" ht="15.75" customHeight="1">
      <c r="A6412" s="34"/>
    </row>
    <row r="6413" spans="1:1" ht="15.75" customHeight="1">
      <c r="A6413" s="34"/>
    </row>
    <row r="6414" spans="1:1" ht="15.75" customHeight="1">
      <c r="A6414" s="34"/>
    </row>
    <row r="6415" spans="1:1" ht="15.75" customHeight="1">
      <c r="A6415" s="34"/>
    </row>
    <row r="6416" spans="1:1" ht="15.75" customHeight="1">
      <c r="A6416" s="34"/>
    </row>
    <row r="6417" spans="1:1" ht="15.75" customHeight="1">
      <c r="A6417" s="34"/>
    </row>
    <row r="6418" spans="1:1" ht="15.75" customHeight="1">
      <c r="A6418" s="34"/>
    </row>
    <row r="6419" spans="1:1" ht="15.75" customHeight="1">
      <c r="A6419" s="34"/>
    </row>
    <row r="6420" spans="1:1" ht="15.75" customHeight="1">
      <c r="A6420" s="34"/>
    </row>
    <row r="6421" spans="1:1" ht="15.75" customHeight="1">
      <c r="A6421" s="34"/>
    </row>
    <row r="6422" spans="1:1" ht="15.75" customHeight="1">
      <c r="A6422" s="34"/>
    </row>
    <row r="6423" spans="1:1" ht="15.75" customHeight="1">
      <c r="A6423" s="34"/>
    </row>
    <row r="6424" spans="1:1" ht="15.75" customHeight="1">
      <c r="A6424" s="34"/>
    </row>
    <row r="6425" spans="1:1" ht="15.75" customHeight="1">
      <c r="A6425" s="34"/>
    </row>
    <row r="6426" spans="1:1" ht="15.75" customHeight="1">
      <c r="A6426" s="34"/>
    </row>
    <row r="6427" spans="1:1" ht="15.75" customHeight="1">
      <c r="A6427" s="34"/>
    </row>
    <row r="6428" spans="1:1" ht="15.75" customHeight="1">
      <c r="A6428" s="34"/>
    </row>
    <row r="6429" spans="1:1" ht="15.75" customHeight="1">
      <c r="A6429" s="34"/>
    </row>
    <row r="6430" spans="1:1" ht="15.75" customHeight="1">
      <c r="A6430" s="34"/>
    </row>
    <row r="6431" spans="1:1" ht="15.75" customHeight="1">
      <c r="A6431" s="34"/>
    </row>
    <row r="6432" spans="1:1" ht="15.75" customHeight="1">
      <c r="A6432" s="34"/>
    </row>
    <row r="6433" spans="1:1" ht="15.75" customHeight="1">
      <c r="A6433" s="34"/>
    </row>
    <row r="6434" spans="1:1" ht="15.75" customHeight="1">
      <c r="A6434" s="34"/>
    </row>
    <row r="6435" spans="1:1" ht="15.75" customHeight="1">
      <c r="A6435" s="34"/>
    </row>
    <row r="6436" spans="1:1" ht="15.75" customHeight="1">
      <c r="A6436" s="34"/>
    </row>
    <row r="6437" spans="1:1" ht="15.75" customHeight="1">
      <c r="A6437" s="34"/>
    </row>
    <row r="6438" spans="1:1" ht="15.75" customHeight="1">
      <c r="A6438" s="34"/>
    </row>
    <row r="6439" spans="1:1" ht="15.75" customHeight="1">
      <c r="A6439" s="34"/>
    </row>
    <row r="6440" spans="1:1" ht="15.75" customHeight="1">
      <c r="A6440" s="34"/>
    </row>
    <row r="6441" spans="1:1" ht="15.75" customHeight="1">
      <c r="A6441" s="34"/>
    </row>
    <row r="6442" spans="1:1" ht="15.75" customHeight="1">
      <c r="A6442" s="34"/>
    </row>
    <row r="6443" spans="1:1" ht="15.75" customHeight="1">
      <c r="A6443" s="34"/>
    </row>
    <row r="6444" spans="1:1" ht="15.75" customHeight="1">
      <c r="A6444" s="34"/>
    </row>
    <row r="6445" spans="1:1" ht="15.75" customHeight="1">
      <c r="A6445" s="34"/>
    </row>
    <row r="6446" spans="1:1" ht="15.75" customHeight="1">
      <c r="A6446" s="34"/>
    </row>
    <row r="6447" spans="1:1" ht="15.75" customHeight="1">
      <c r="A6447" s="34"/>
    </row>
    <row r="6448" spans="1:1" ht="15.75" customHeight="1">
      <c r="A6448" s="34"/>
    </row>
    <row r="6449" spans="1:1" ht="15.75" customHeight="1">
      <c r="A6449" s="34"/>
    </row>
    <row r="6450" spans="1:1" ht="15.75" customHeight="1">
      <c r="A6450" s="34"/>
    </row>
    <row r="6451" spans="1:1" ht="15.75" customHeight="1">
      <c r="A6451" s="34"/>
    </row>
    <row r="6452" spans="1:1" ht="15.75" customHeight="1">
      <c r="A6452" s="34"/>
    </row>
    <row r="6453" spans="1:1" ht="15.75" customHeight="1">
      <c r="A6453" s="34"/>
    </row>
    <row r="6454" spans="1:1" ht="15.75" customHeight="1">
      <c r="A6454" s="34"/>
    </row>
    <row r="6455" spans="1:1" ht="15.75" customHeight="1">
      <c r="A6455" s="34"/>
    </row>
    <row r="6456" spans="1:1" ht="15.75" customHeight="1">
      <c r="A6456" s="34"/>
    </row>
    <row r="6457" spans="1:1" ht="15.75" customHeight="1">
      <c r="A6457" s="34"/>
    </row>
    <row r="6458" spans="1:1" ht="15.75" customHeight="1">
      <c r="A6458" s="34"/>
    </row>
    <row r="6459" spans="1:1" ht="15.75" customHeight="1">
      <c r="A6459" s="34"/>
    </row>
    <row r="6460" spans="1:1" ht="15.75" customHeight="1">
      <c r="A6460" s="34"/>
    </row>
    <row r="6461" spans="1:1" ht="15.75" customHeight="1">
      <c r="A6461" s="34"/>
    </row>
    <row r="6462" spans="1:1" ht="15.75" customHeight="1">
      <c r="A6462" s="34"/>
    </row>
    <row r="6463" spans="1:1" ht="15.75" customHeight="1">
      <c r="A6463" s="34"/>
    </row>
    <row r="6464" spans="1:1" ht="15.75" customHeight="1">
      <c r="A6464" s="34"/>
    </row>
    <row r="6465" spans="1:1" ht="15.75" customHeight="1">
      <c r="A6465" s="34"/>
    </row>
    <row r="6466" spans="1:1" ht="15.75" customHeight="1">
      <c r="A6466" s="34"/>
    </row>
    <row r="6467" spans="1:1" ht="15.75" customHeight="1">
      <c r="A6467" s="34"/>
    </row>
    <row r="6468" spans="1:1" ht="15.75" customHeight="1">
      <c r="A6468" s="34"/>
    </row>
    <row r="6469" spans="1:1" ht="15.75" customHeight="1">
      <c r="A6469" s="34"/>
    </row>
    <row r="6470" spans="1:1" ht="15.75" customHeight="1">
      <c r="A6470" s="34"/>
    </row>
    <row r="6471" spans="1:1" ht="15.75" customHeight="1">
      <c r="A6471" s="34"/>
    </row>
    <row r="6472" spans="1:1" ht="15.75" customHeight="1">
      <c r="A6472" s="34"/>
    </row>
    <row r="6473" spans="1:1" ht="15.75" customHeight="1">
      <c r="A6473" s="34"/>
    </row>
    <row r="6474" spans="1:1" ht="15.75" customHeight="1">
      <c r="A6474" s="34"/>
    </row>
    <row r="6475" spans="1:1" ht="15.75" customHeight="1">
      <c r="A6475" s="34"/>
    </row>
    <row r="6476" spans="1:1" ht="15.75" customHeight="1">
      <c r="A6476" s="34"/>
    </row>
    <row r="6477" spans="1:1" ht="15.75" customHeight="1">
      <c r="A6477" s="34"/>
    </row>
    <row r="6478" spans="1:1" ht="15.75" customHeight="1">
      <c r="A6478" s="34"/>
    </row>
    <row r="6479" spans="1:1" ht="15.75" customHeight="1">
      <c r="A6479" s="34"/>
    </row>
    <row r="6480" spans="1:1" ht="15.75" customHeight="1">
      <c r="A6480" s="34"/>
    </row>
    <row r="6481" spans="1:1" ht="15.75" customHeight="1">
      <c r="A6481" s="34"/>
    </row>
    <row r="6482" spans="1:1" ht="15.75" customHeight="1">
      <c r="A6482" s="34"/>
    </row>
    <row r="6483" spans="1:1" ht="15.75" customHeight="1">
      <c r="A6483" s="34"/>
    </row>
    <row r="6484" spans="1:1" ht="15.75" customHeight="1">
      <c r="A6484" s="34"/>
    </row>
    <row r="6485" spans="1:1" ht="15.75" customHeight="1">
      <c r="A6485" s="34"/>
    </row>
    <row r="6486" spans="1:1" ht="15.75" customHeight="1">
      <c r="A6486" s="34"/>
    </row>
    <row r="6487" spans="1:1" ht="15.75" customHeight="1">
      <c r="A6487" s="34"/>
    </row>
    <row r="6488" spans="1:1" ht="15.75" customHeight="1">
      <c r="A6488" s="34"/>
    </row>
    <row r="6489" spans="1:1" ht="15.75" customHeight="1">
      <c r="A6489" s="34"/>
    </row>
    <row r="6490" spans="1:1" ht="15.75" customHeight="1">
      <c r="A6490" s="34"/>
    </row>
    <row r="6491" spans="1:1" ht="15.75" customHeight="1">
      <c r="A6491" s="34"/>
    </row>
    <row r="6492" spans="1:1" ht="15.75" customHeight="1">
      <c r="A6492" s="34"/>
    </row>
    <row r="6493" spans="1:1" ht="15.75" customHeight="1">
      <c r="A6493" s="34"/>
    </row>
    <row r="6494" spans="1:1" ht="15.75" customHeight="1">
      <c r="A6494" s="34"/>
    </row>
    <row r="6495" spans="1:1" ht="15.75" customHeight="1">
      <c r="A6495" s="34"/>
    </row>
    <row r="6496" spans="1:1" ht="15.75" customHeight="1">
      <c r="A6496" s="34"/>
    </row>
    <row r="6497" spans="1:1" ht="15.75" customHeight="1">
      <c r="A6497" s="34"/>
    </row>
    <row r="6498" spans="1:1" ht="15.75" customHeight="1">
      <c r="A6498" s="34"/>
    </row>
    <row r="6499" spans="1:1" ht="15.75" customHeight="1">
      <c r="A6499" s="34"/>
    </row>
    <row r="6500" spans="1:1" ht="15.75" customHeight="1">
      <c r="A6500" s="34"/>
    </row>
    <row r="6501" spans="1:1" ht="15.75" customHeight="1">
      <c r="A6501" s="34"/>
    </row>
    <row r="6502" spans="1:1" ht="15.75" customHeight="1">
      <c r="A6502" s="34"/>
    </row>
    <row r="6503" spans="1:1" ht="15.75" customHeight="1">
      <c r="A6503" s="34"/>
    </row>
    <row r="6504" spans="1:1" ht="15.75" customHeight="1">
      <c r="A6504" s="34"/>
    </row>
    <row r="6505" spans="1:1" ht="15.75" customHeight="1">
      <c r="A6505" s="34"/>
    </row>
    <row r="6506" spans="1:1" ht="15.75" customHeight="1">
      <c r="A6506" s="34"/>
    </row>
    <row r="6507" spans="1:1" ht="15.75" customHeight="1">
      <c r="A6507" s="34"/>
    </row>
    <row r="6508" spans="1:1" ht="15.75" customHeight="1">
      <c r="A6508" s="34"/>
    </row>
    <row r="6509" spans="1:1" ht="15.75" customHeight="1">
      <c r="A6509" s="34"/>
    </row>
    <row r="6510" spans="1:1" ht="15.75" customHeight="1">
      <c r="A6510" s="34"/>
    </row>
    <row r="6511" spans="1:1" ht="15.75" customHeight="1">
      <c r="A6511" s="34"/>
    </row>
    <row r="6512" spans="1:1" ht="15.75" customHeight="1">
      <c r="A6512" s="34"/>
    </row>
    <row r="6513" spans="1:1" ht="15.75" customHeight="1">
      <c r="A6513" s="34"/>
    </row>
    <row r="6514" spans="1:1" ht="15.75" customHeight="1">
      <c r="A6514" s="34"/>
    </row>
    <row r="6515" spans="1:1" ht="15.75" customHeight="1">
      <c r="A6515" s="34"/>
    </row>
    <row r="6516" spans="1:1" ht="15.75" customHeight="1">
      <c r="A6516" s="34"/>
    </row>
    <row r="6517" spans="1:1" ht="15.75" customHeight="1">
      <c r="A6517" s="34"/>
    </row>
    <row r="6518" spans="1:1" ht="15.75" customHeight="1">
      <c r="A6518" s="34"/>
    </row>
    <row r="6519" spans="1:1" ht="15.75" customHeight="1">
      <c r="A6519" s="34"/>
    </row>
    <row r="6520" spans="1:1" ht="15.75" customHeight="1">
      <c r="A6520" s="34"/>
    </row>
    <row r="6521" spans="1:1" ht="15.75" customHeight="1">
      <c r="A6521" s="34"/>
    </row>
    <row r="6522" spans="1:1" ht="15.75" customHeight="1">
      <c r="A6522" s="34"/>
    </row>
    <row r="6523" spans="1:1" ht="15.75" customHeight="1">
      <c r="A6523" s="34"/>
    </row>
    <row r="6524" spans="1:1" ht="15.75" customHeight="1">
      <c r="A6524" s="34"/>
    </row>
    <row r="6525" spans="1:1" ht="15.75" customHeight="1">
      <c r="A6525" s="34"/>
    </row>
    <row r="6526" spans="1:1" ht="15.75" customHeight="1">
      <c r="A6526" s="34"/>
    </row>
    <row r="6527" spans="1:1" ht="15.75" customHeight="1">
      <c r="A6527" s="34"/>
    </row>
    <row r="6528" spans="1:1" ht="15.75" customHeight="1">
      <c r="A6528" s="34"/>
    </row>
    <row r="6529" spans="1:1" ht="15.75" customHeight="1">
      <c r="A6529" s="34"/>
    </row>
    <row r="6530" spans="1:1" ht="15.75" customHeight="1">
      <c r="A6530" s="34"/>
    </row>
    <row r="6531" spans="1:1" ht="15.75" customHeight="1">
      <c r="A6531" s="34"/>
    </row>
    <row r="6532" spans="1:1" ht="15.75" customHeight="1">
      <c r="A6532" s="34"/>
    </row>
    <row r="6533" spans="1:1" ht="15.75" customHeight="1">
      <c r="A6533" s="34"/>
    </row>
    <row r="6534" spans="1:1" ht="15.75" customHeight="1">
      <c r="A6534" s="34"/>
    </row>
    <row r="6535" spans="1:1" ht="15.75" customHeight="1">
      <c r="A6535" s="34"/>
    </row>
    <row r="6536" spans="1:1" ht="15.75" customHeight="1">
      <c r="A6536" s="34"/>
    </row>
    <row r="6537" spans="1:1" ht="15.75" customHeight="1">
      <c r="A6537" s="34"/>
    </row>
    <row r="6538" spans="1:1" ht="15.75" customHeight="1">
      <c r="A6538" s="34"/>
    </row>
    <row r="6539" spans="1:1" ht="15.75" customHeight="1">
      <c r="A6539" s="34"/>
    </row>
    <row r="6540" spans="1:1" ht="15.75" customHeight="1">
      <c r="A6540" s="34"/>
    </row>
    <row r="6541" spans="1:1" ht="15.75" customHeight="1">
      <c r="A6541" s="34"/>
    </row>
    <row r="6542" spans="1:1" ht="15.75" customHeight="1">
      <c r="A6542" s="34"/>
    </row>
    <row r="6543" spans="1:1" ht="15.75" customHeight="1">
      <c r="A6543" s="34"/>
    </row>
    <row r="6544" spans="1:1" ht="15.75" customHeight="1">
      <c r="A6544" s="34"/>
    </row>
    <row r="6545" spans="1:1" ht="15.75" customHeight="1">
      <c r="A6545" s="34"/>
    </row>
    <row r="6546" spans="1:1" ht="15.75" customHeight="1">
      <c r="A6546" s="34"/>
    </row>
    <row r="6547" spans="1:1" ht="15.75" customHeight="1">
      <c r="A6547" s="34"/>
    </row>
    <row r="6548" spans="1:1" ht="15.75" customHeight="1">
      <c r="A6548" s="34"/>
    </row>
    <row r="6549" spans="1:1" ht="15.75" customHeight="1">
      <c r="A6549" s="34"/>
    </row>
    <row r="6550" spans="1:1" ht="15.75" customHeight="1">
      <c r="A6550" s="34"/>
    </row>
    <row r="6551" spans="1:1" ht="15.75" customHeight="1">
      <c r="A6551" s="34"/>
    </row>
    <row r="6552" spans="1:1" ht="15.75" customHeight="1">
      <c r="A6552" s="34"/>
    </row>
    <row r="6553" spans="1:1" ht="15.75" customHeight="1">
      <c r="A6553" s="34"/>
    </row>
    <row r="6554" spans="1:1" ht="15.75" customHeight="1">
      <c r="A6554" s="34"/>
    </row>
    <row r="6555" spans="1:1" ht="15.75" customHeight="1">
      <c r="A6555" s="34"/>
    </row>
    <row r="6556" spans="1:1" ht="15.75" customHeight="1">
      <c r="A6556" s="34"/>
    </row>
    <row r="6557" spans="1:1" ht="15.75" customHeight="1">
      <c r="A6557" s="34"/>
    </row>
    <row r="6558" spans="1:1" ht="15.75" customHeight="1">
      <c r="A6558" s="34"/>
    </row>
    <row r="6559" spans="1:1" ht="15.75" customHeight="1">
      <c r="A6559" s="34"/>
    </row>
    <row r="6560" spans="1:1" ht="15.75" customHeight="1">
      <c r="A6560" s="34"/>
    </row>
    <row r="6561" spans="1:1" ht="15.75" customHeight="1">
      <c r="A6561" s="34"/>
    </row>
    <row r="6562" spans="1:1" ht="15.75" customHeight="1">
      <c r="A6562" s="34"/>
    </row>
    <row r="6563" spans="1:1" ht="15.75" customHeight="1">
      <c r="A6563" s="34"/>
    </row>
    <row r="6564" spans="1:1" ht="15.75" customHeight="1">
      <c r="A6564" s="34"/>
    </row>
    <row r="6565" spans="1:1" ht="15.75" customHeight="1">
      <c r="A6565" s="34"/>
    </row>
    <row r="6566" spans="1:1" ht="15.75" customHeight="1">
      <c r="A6566" s="34"/>
    </row>
    <row r="6567" spans="1:1" ht="15.75" customHeight="1">
      <c r="A6567" s="34"/>
    </row>
    <row r="6568" spans="1:1" ht="15.75" customHeight="1">
      <c r="A6568" s="34"/>
    </row>
    <row r="6569" spans="1:1" ht="15.75" customHeight="1">
      <c r="A6569" s="34"/>
    </row>
    <row r="6570" spans="1:1" ht="15.75" customHeight="1">
      <c r="A6570" s="34"/>
    </row>
    <row r="6571" spans="1:1" ht="15.75" customHeight="1">
      <c r="A6571" s="34"/>
    </row>
    <row r="6572" spans="1:1" ht="15.75" customHeight="1">
      <c r="A6572" s="34"/>
    </row>
    <row r="6573" spans="1:1" ht="15.75" customHeight="1">
      <c r="A6573" s="34"/>
    </row>
    <row r="6574" spans="1:1" ht="15.75" customHeight="1">
      <c r="A6574" s="34"/>
    </row>
    <row r="6575" spans="1:1" ht="15.75" customHeight="1">
      <c r="A6575" s="34"/>
    </row>
    <row r="6576" spans="1:1" ht="15.75" customHeight="1">
      <c r="A6576" s="34"/>
    </row>
    <row r="6577" spans="1:1" ht="15.75" customHeight="1">
      <c r="A6577" s="34"/>
    </row>
    <row r="6578" spans="1:1" ht="15.75" customHeight="1">
      <c r="A6578" s="34"/>
    </row>
    <row r="6579" spans="1:1" ht="15.75" customHeight="1">
      <c r="A6579" s="34"/>
    </row>
    <row r="6580" spans="1:1" ht="15.75" customHeight="1">
      <c r="A6580" s="34"/>
    </row>
    <row r="6581" spans="1:1" ht="15.75" customHeight="1">
      <c r="A6581" s="34"/>
    </row>
    <row r="6582" spans="1:1" ht="15.75" customHeight="1">
      <c r="A6582" s="34"/>
    </row>
    <row r="6583" spans="1:1" ht="15.75" customHeight="1">
      <c r="A6583" s="34"/>
    </row>
    <row r="6584" spans="1:1" ht="15.75" customHeight="1">
      <c r="A6584" s="34"/>
    </row>
    <row r="6585" spans="1:1" ht="15.75" customHeight="1">
      <c r="A6585" s="34"/>
    </row>
    <row r="6586" spans="1:1" ht="15.75" customHeight="1">
      <c r="A6586" s="34"/>
    </row>
    <row r="6587" spans="1:1" ht="15.75" customHeight="1">
      <c r="A6587" s="34"/>
    </row>
    <row r="6588" spans="1:1" ht="15.75" customHeight="1">
      <c r="A6588" s="34"/>
    </row>
    <row r="6589" spans="1:1" ht="15.75" customHeight="1">
      <c r="A6589" s="34"/>
    </row>
    <row r="6590" spans="1:1" ht="15.75" customHeight="1">
      <c r="A6590" s="34"/>
    </row>
    <row r="6591" spans="1:1" ht="15.75" customHeight="1">
      <c r="A6591" s="34"/>
    </row>
    <row r="6592" spans="1:1" ht="15.75" customHeight="1">
      <c r="A6592" s="34"/>
    </row>
    <row r="6593" spans="1:1" ht="15.75" customHeight="1">
      <c r="A6593" s="34"/>
    </row>
    <row r="6594" spans="1:1" ht="15.75" customHeight="1">
      <c r="A6594" s="34"/>
    </row>
    <row r="6595" spans="1:1" ht="15.75" customHeight="1">
      <c r="A6595" s="34"/>
    </row>
    <row r="6596" spans="1:1" ht="15.75" customHeight="1">
      <c r="A6596" s="34"/>
    </row>
    <row r="6597" spans="1:1" ht="15.75" customHeight="1">
      <c r="A6597" s="34"/>
    </row>
    <row r="6598" spans="1:1" ht="15.75" customHeight="1">
      <c r="A6598" s="34"/>
    </row>
    <row r="6599" spans="1:1" ht="15.75" customHeight="1">
      <c r="A6599" s="34"/>
    </row>
    <row r="6600" spans="1:1" ht="15.75" customHeight="1">
      <c r="A6600" s="34"/>
    </row>
    <row r="6601" spans="1:1" ht="15.75" customHeight="1">
      <c r="A6601" s="34"/>
    </row>
    <row r="6602" spans="1:1" ht="15.75" customHeight="1">
      <c r="A6602" s="34"/>
    </row>
    <row r="6603" spans="1:1" ht="15.75" customHeight="1">
      <c r="A6603" s="34"/>
    </row>
    <row r="6604" spans="1:1" ht="15.75" customHeight="1">
      <c r="A6604" s="34"/>
    </row>
    <row r="6605" spans="1:1" ht="15.75" customHeight="1">
      <c r="A6605" s="34"/>
    </row>
    <row r="6606" spans="1:1" ht="15.75" customHeight="1">
      <c r="A6606" s="34"/>
    </row>
    <row r="6607" spans="1:1" ht="15.75" customHeight="1">
      <c r="A6607" s="34"/>
    </row>
    <row r="6608" spans="1:1" ht="15.75" customHeight="1">
      <c r="A6608" s="34"/>
    </row>
    <row r="6609" spans="1:1" ht="15.75" customHeight="1">
      <c r="A6609" s="34"/>
    </row>
    <row r="6610" spans="1:1" ht="15.75" customHeight="1">
      <c r="A6610" s="34"/>
    </row>
    <row r="6611" spans="1:1" ht="15.75" customHeight="1">
      <c r="A6611" s="34"/>
    </row>
    <row r="6612" spans="1:1" ht="15.75" customHeight="1">
      <c r="A6612" s="34"/>
    </row>
    <row r="6613" spans="1:1" ht="15.75" customHeight="1">
      <c r="A6613" s="34"/>
    </row>
    <row r="6614" spans="1:1" ht="15.75" customHeight="1">
      <c r="A6614" s="34"/>
    </row>
    <row r="6615" spans="1:1" ht="15.75" customHeight="1">
      <c r="A6615" s="34"/>
    </row>
    <row r="6616" spans="1:1" ht="15.75" customHeight="1">
      <c r="A6616" s="34"/>
    </row>
    <row r="6617" spans="1:1" ht="15.75" customHeight="1">
      <c r="A6617" s="34"/>
    </row>
    <row r="6618" spans="1:1" ht="15.75" customHeight="1">
      <c r="A6618" s="34"/>
    </row>
    <row r="6619" spans="1:1" ht="15.75" customHeight="1">
      <c r="A6619" s="34"/>
    </row>
    <row r="6620" spans="1:1" ht="15.75" customHeight="1">
      <c r="A6620" s="34"/>
    </row>
    <row r="6621" spans="1:1" ht="15.75" customHeight="1">
      <c r="A6621" s="34"/>
    </row>
    <row r="6622" spans="1:1" ht="15.75" customHeight="1">
      <c r="A6622" s="34"/>
    </row>
    <row r="6623" spans="1:1" ht="15.75" customHeight="1">
      <c r="A6623" s="34"/>
    </row>
    <row r="6624" spans="1:1" ht="15.75" customHeight="1">
      <c r="A6624" s="34"/>
    </row>
    <row r="6625" spans="1:1" ht="15.75" customHeight="1">
      <c r="A6625" s="34"/>
    </row>
    <row r="6626" spans="1:1" ht="15.75" customHeight="1">
      <c r="A6626" s="34"/>
    </row>
    <row r="6627" spans="1:1" ht="15.75" customHeight="1">
      <c r="A6627" s="34"/>
    </row>
    <row r="6628" spans="1:1" ht="15.75" customHeight="1">
      <c r="A6628" s="34"/>
    </row>
    <row r="6629" spans="1:1" ht="15.75" customHeight="1">
      <c r="A6629" s="34"/>
    </row>
    <row r="6630" spans="1:1" ht="15.75" customHeight="1">
      <c r="A6630" s="34"/>
    </row>
    <row r="6631" spans="1:1" ht="15.75" customHeight="1">
      <c r="A6631" s="34"/>
    </row>
    <row r="6632" spans="1:1" ht="15.75" customHeight="1">
      <c r="A6632" s="34"/>
    </row>
    <row r="6633" spans="1:1" ht="15.75" customHeight="1">
      <c r="A6633" s="34"/>
    </row>
    <row r="6634" spans="1:1" ht="15.75" customHeight="1">
      <c r="A6634" s="34"/>
    </row>
    <row r="6635" spans="1:1" ht="15.75" customHeight="1">
      <c r="A6635" s="34"/>
    </row>
    <row r="6636" spans="1:1" ht="15.75" customHeight="1">
      <c r="A6636" s="34"/>
    </row>
    <row r="6637" spans="1:1" ht="15.75" customHeight="1">
      <c r="A6637" s="34"/>
    </row>
    <row r="6638" spans="1:1" ht="15.75" customHeight="1">
      <c r="A6638" s="34"/>
    </row>
    <row r="6639" spans="1:1" ht="15.75" customHeight="1">
      <c r="A6639" s="34"/>
    </row>
    <row r="6640" spans="1:1" ht="15.75" customHeight="1">
      <c r="A6640" s="34"/>
    </row>
    <row r="6641" spans="1:1" ht="15.75" customHeight="1">
      <c r="A6641" s="34"/>
    </row>
    <row r="6642" spans="1:1" ht="15.75" customHeight="1">
      <c r="A6642" s="34"/>
    </row>
    <row r="6643" spans="1:1" ht="15.75" customHeight="1">
      <c r="A6643" s="34"/>
    </row>
    <row r="6644" spans="1:1" ht="15.75" customHeight="1">
      <c r="A6644" s="34"/>
    </row>
    <row r="6645" spans="1:1" ht="15.75" customHeight="1">
      <c r="A6645" s="34"/>
    </row>
    <row r="6646" spans="1:1" ht="15.75" customHeight="1">
      <c r="A6646" s="34"/>
    </row>
    <row r="6647" spans="1:1" ht="15.75" customHeight="1">
      <c r="A6647" s="34"/>
    </row>
    <row r="6648" spans="1:1" ht="15.75" customHeight="1">
      <c r="A6648" s="34"/>
    </row>
    <row r="6649" spans="1:1" ht="15.75" customHeight="1">
      <c r="A6649" s="34"/>
    </row>
    <row r="6650" spans="1:1" ht="15.75" customHeight="1">
      <c r="A6650" s="34"/>
    </row>
    <row r="6651" spans="1:1" ht="15.75" customHeight="1">
      <c r="A6651" s="34"/>
    </row>
    <row r="6652" spans="1:1" ht="15.75" customHeight="1">
      <c r="A6652" s="34"/>
    </row>
    <row r="6653" spans="1:1" ht="15.75" customHeight="1">
      <c r="A6653" s="34"/>
    </row>
    <row r="6654" spans="1:1" ht="15.75" customHeight="1">
      <c r="A6654" s="34"/>
    </row>
    <row r="6655" spans="1:1" ht="15.75" customHeight="1">
      <c r="A6655" s="34"/>
    </row>
    <row r="6656" spans="1:1" ht="15.75" customHeight="1">
      <c r="A6656" s="34"/>
    </row>
    <row r="6657" spans="1:1" ht="15.75" customHeight="1">
      <c r="A6657" s="34"/>
    </row>
    <row r="6658" spans="1:1" ht="15.75" customHeight="1">
      <c r="A6658" s="34"/>
    </row>
    <row r="6659" spans="1:1" ht="15.75" customHeight="1">
      <c r="A6659" s="34"/>
    </row>
    <row r="6660" spans="1:1" ht="15.75" customHeight="1">
      <c r="A6660" s="34"/>
    </row>
    <row r="6661" spans="1:1" ht="15.75" customHeight="1">
      <c r="A6661" s="34"/>
    </row>
    <row r="6662" spans="1:1" ht="15.75" customHeight="1">
      <c r="A6662" s="34"/>
    </row>
    <row r="6663" spans="1:1" ht="15.75" customHeight="1">
      <c r="A6663" s="34"/>
    </row>
    <row r="6664" spans="1:1" ht="15.75" customHeight="1">
      <c r="A6664" s="34"/>
    </row>
    <row r="6665" spans="1:1" ht="15.75" customHeight="1">
      <c r="A6665" s="34"/>
    </row>
    <row r="6666" spans="1:1" ht="15.75" customHeight="1">
      <c r="A6666" s="34"/>
    </row>
    <row r="6667" spans="1:1" ht="15.75" customHeight="1">
      <c r="A6667" s="34"/>
    </row>
    <row r="6668" spans="1:1" ht="15.75" customHeight="1">
      <c r="A6668" s="34"/>
    </row>
    <row r="6669" spans="1:1" ht="15.75" customHeight="1">
      <c r="A6669" s="34"/>
    </row>
    <row r="6670" spans="1:1" ht="15.75" customHeight="1">
      <c r="A6670" s="34"/>
    </row>
    <row r="6671" spans="1:1" ht="15.75" customHeight="1">
      <c r="A6671" s="34"/>
    </row>
    <row r="6672" spans="1:1" ht="15.75" customHeight="1">
      <c r="A6672" s="34"/>
    </row>
    <row r="6673" spans="1:1" ht="15.75" customHeight="1">
      <c r="A6673" s="34"/>
    </row>
    <row r="6674" spans="1:1" ht="15.75" customHeight="1">
      <c r="A6674" s="34"/>
    </row>
    <row r="6675" spans="1:1" ht="15.75" customHeight="1">
      <c r="A6675" s="34"/>
    </row>
    <row r="6676" spans="1:1" ht="15.75" customHeight="1">
      <c r="A6676" s="34"/>
    </row>
    <row r="6677" spans="1:1" ht="15.75" customHeight="1">
      <c r="A6677" s="34"/>
    </row>
    <row r="6678" spans="1:1" ht="15.75" customHeight="1">
      <c r="A6678" s="34"/>
    </row>
    <row r="6679" spans="1:1" ht="15.75" customHeight="1">
      <c r="A6679" s="34"/>
    </row>
    <row r="6680" spans="1:1" ht="15.75" customHeight="1">
      <c r="A6680" s="34"/>
    </row>
    <row r="6681" spans="1:1" ht="15.75" customHeight="1">
      <c r="A6681" s="34"/>
    </row>
    <row r="6682" spans="1:1" ht="15.75" customHeight="1">
      <c r="A6682" s="34"/>
    </row>
    <row r="6683" spans="1:1" ht="15.75" customHeight="1">
      <c r="A6683" s="34"/>
    </row>
    <row r="6684" spans="1:1" ht="15.75" customHeight="1">
      <c r="A6684" s="34"/>
    </row>
    <row r="6685" spans="1:1" ht="15.75" customHeight="1">
      <c r="A6685" s="34"/>
    </row>
    <row r="6686" spans="1:1" ht="15.75" customHeight="1">
      <c r="A6686" s="34"/>
    </row>
    <row r="6687" spans="1:1" ht="15.75" customHeight="1">
      <c r="A6687" s="34"/>
    </row>
    <row r="6688" spans="1:1" ht="15.75" customHeight="1">
      <c r="A6688" s="34"/>
    </row>
    <row r="6689" spans="1:1" ht="15.75" customHeight="1">
      <c r="A6689" s="34"/>
    </row>
    <row r="6690" spans="1:1" ht="15.75" customHeight="1">
      <c r="A6690" s="34"/>
    </row>
    <row r="6691" spans="1:1" ht="15.75" customHeight="1">
      <c r="A6691" s="34"/>
    </row>
    <row r="6692" spans="1:1" ht="15.75" customHeight="1">
      <c r="A6692" s="34"/>
    </row>
    <row r="6693" spans="1:1" ht="15.75" customHeight="1">
      <c r="A6693" s="34"/>
    </row>
    <row r="6694" spans="1:1" ht="15.75" customHeight="1">
      <c r="A6694" s="34"/>
    </row>
    <row r="6695" spans="1:1" ht="15.75" customHeight="1">
      <c r="A6695" s="34"/>
    </row>
    <row r="6696" spans="1:1" ht="15.75" customHeight="1">
      <c r="A6696" s="34"/>
    </row>
    <row r="6697" spans="1:1" ht="15.75" customHeight="1">
      <c r="A6697" s="34"/>
    </row>
    <row r="6698" spans="1:1" ht="15.75" customHeight="1">
      <c r="A6698" s="34"/>
    </row>
    <row r="6699" spans="1:1" ht="15.75" customHeight="1">
      <c r="A6699" s="34"/>
    </row>
    <row r="6700" spans="1:1" ht="15.75" customHeight="1">
      <c r="A6700" s="34"/>
    </row>
    <row r="6701" spans="1:1" ht="15.75" customHeight="1">
      <c r="A6701" s="34"/>
    </row>
    <row r="6702" spans="1:1" ht="15.75" customHeight="1">
      <c r="A6702" s="34"/>
    </row>
    <row r="6703" spans="1:1" ht="15.75" customHeight="1">
      <c r="A6703" s="34"/>
    </row>
    <row r="6704" spans="1:1" ht="15.75" customHeight="1">
      <c r="A6704" s="34"/>
    </row>
    <row r="6705" spans="1:1" ht="15.75" customHeight="1">
      <c r="A6705" s="34"/>
    </row>
    <row r="6706" spans="1:1" ht="15.75" customHeight="1">
      <c r="A6706" s="34"/>
    </row>
    <row r="6707" spans="1:1" ht="15.75" customHeight="1">
      <c r="A6707" s="34"/>
    </row>
    <row r="6708" spans="1:1" ht="15.75" customHeight="1">
      <c r="A6708" s="34"/>
    </row>
    <row r="6709" spans="1:1" ht="15.75" customHeight="1">
      <c r="A6709" s="34"/>
    </row>
    <row r="6710" spans="1:1" ht="15.75" customHeight="1">
      <c r="A6710" s="34"/>
    </row>
    <row r="6711" spans="1:1" ht="15.75" customHeight="1">
      <c r="A6711" s="34"/>
    </row>
    <row r="6712" spans="1:1" ht="15.75" customHeight="1">
      <c r="A6712" s="34"/>
    </row>
    <row r="6713" spans="1:1" ht="15.75" customHeight="1">
      <c r="A6713" s="34"/>
    </row>
    <row r="6714" spans="1:1" ht="15.75" customHeight="1">
      <c r="A6714" s="34"/>
    </row>
    <row r="6715" spans="1:1" ht="15.75" customHeight="1">
      <c r="A6715" s="34"/>
    </row>
    <row r="6716" spans="1:1" ht="15.75" customHeight="1">
      <c r="A6716" s="34"/>
    </row>
    <row r="6717" spans="1:1" ht="15.75" customHeight="1">
      <c r="A6717" s="34"/>
    </row>
    <row r="6718" spans="1:1" ht="15.75" customHeight="1">
      <c r="A6718" s="34"/>
    </row>
    <row r="6719" spans="1:1" ht="15.75" customHeight="1">
      <c r="A6719" s="34"/>
    </row>
    <row r="6720" spans="1:1" ht="15.75" customHeight="1">
      <c r="A6720" s="34"/>
    </row>
    <row r="6721" spans="1:1" ht="15.75" customHeight="1">
      <c r="A6721" s="34"/>
    </row>
    <row r="6722" spans="1:1" ht="15.75" customHeight="1">
      <c r="A6722" s="34"/>
    </row>
    <row r="6723" spans="1:1" ht="15.75" customHeight="1">
      <c r="A6723" s="34"/>
    </row>
    <row r="6724" spans="1:1" ht="15.75" customHeight="1">
      <c r="A6724" s="34"/>
    </row>
    <row r="6725" spans="1:1" ht="15.75" customHeight="1">
      <c r="A6725" s="34"/>
    </row>
    <row r="6726" spans="1:1" ht="15.75" customHeight="1">
      <c r="A6726" s="34"/>
    </row>
    <row r="6727" spans="1:1" ht="15.75" customHeight="1">
      <c r="A6727" s="34"/>
    </row>
    <row r="6728" spans="1:1" ht="15.75" customHeight="1">
      <c r="A6728" s="34"/>
    </row>
    <row r="6729" spans="1:1" ht="15.75" customHeight="1">
      <c r="A6729" s="34"/>
    </row>
    <row r="6730" spans="1:1" ht="15.75" customHeight="1">
      <c r="A6730" s="34"/>
    </row>
    <row r="6731" spans="1:1" ht="15.75" customHeight="1">
      <c r="A6731" s="34"/>
    </row>
    <row r="6732" spans="1:1" ht="15.75" customHeight="1">
      <c r="A6732" s="34"/>
    </row>
    <row r="6733" spans="1:1" ht="15.75" customHeight="1">
      <c r="A6733" s="34"/>
    </row>
    <row r="6734" spans="1:1" ht="15.75" customHeight="1">
      <c r="A6734" s="34"/>
    </row>
    <row r="6735" spans="1:1" ht="15.75" customHeight="1">
      <c r="A6735" s="34"/>
    </row>
    <row r="6736" spans="1:1" ht="15.75" customHeight="1">
      <c r="A6736" s="34"/>
    </row>
    <row r="6737" spans="1:1" ht="15.75" customHeight="1">
      <c r="A6737" s="34"/>
    </row>
    <row r="6738" spans="1:1" ht="15.75" customHeight="1">
      <c r="A6738" s="34"/>
    </row>
    <row r="6739" spans="1:1" ht="15.75" customHeight="1">
      <c r="A6739" s="34"/>
    </row>
    <row r="6740" spans="1:1" ht="15.75" customHeight="1">
      <c r="A6740" s="34"/>
    </row>
    <row r="6741" spans="1:1" ht="15.75" customHeight="1">
      <c r="A6741" s="34"/>
    </row>
    <row r="6742" spans="1:1" ht="15.75" customHeight="1">
      <c r="A6742" s="34"/>
    </row>
    <row r="6743" spans="1:1" ht="15.75" customHeight="1">
      <c r="A6743" s="34"/>
    </row>
    <row r="6744" spans="1:1" ht="15.75" customHeight="1">
      <c r="A6744" s="34"/>
    </row>
    <row r="6745" spans="1:1" ht="15.75" customHeight="1">
      <c r="A6745" s="34"/>
    </row>
    <row r="6746" spans="1:1" ht="15.75" customHeight="1">
      <c r="A6746" s="34"/>
    </row>
    <row r="6747" spans="1:1" ht="15.75" customHeight="1">
      <c r="A6747" s="34"/>
    </row>
    <row r="6748" spans="1:1" ht="15.75" customHeight="1">
      <c r="A6748" s="34"/>
    </row>
    <row r="6749" spans="1:1" ht="15.75" customHeight="1">
      <c r="A6749" s="34"/>
    </row>
    <row r="6750" spans="1:1" ht="15.75" customHeight="1">
      <c r="A6750" s="34"/>
    </row>
    <row r="6751" spans="1:1" ht="15.75" customHeight="1">
      <c r="A6751" s="34"/>
    </row>
    <row r="6752" spans="1:1" ht="15.75" customHeight="1">
      <c r="A6752" s="34"/>
    </row>
    <row r="6753" spans="1:1" ht="15.75" customHeight="1">
      <c r="A6753" s="34"/>
    </row>
    <row r="6754" spans="1:1" ht="15.75" customHeight="1">
      <c r="A6754" s="34"/>
    </row>
    <row r="6755" spans="1:1" ht="15.75" customHeight="1">
      <c r="A6755" s="34"/>
    </row>
    <row r="6756" spans="1:1" ht="15.75" customHeight="1">
      <c r="A6756" s="34"/>
    </row>
    <row r="6757" spans="1:1" ht="15.75" customHeight="1">
      <c r="A6757" s="34"/>
    </row>
    <row r="6758" spans="1:1" ht="15.75" customHeight="1">
      <c r="A6758" s="34"/>
    </row>
    <row r="6759" spans="1:1" ht="15.75" customHeight="1">
      <c r="A6759" s="34"/>
    </row>
    <row r="6760" spans="1:1" ht="15.75" customHeight="1">
      <c r="A6760" s="34"/>
    </row>
    <row r="6761" spans="1:1" ht="15.75" customHeight="1">
      <c r="A6761" s="34"/>
    </row>
    <row r="6762" spans="1:1" ht="15.75" customHeight="1">
      <c r="A6762" s="34"/>
    </row>
    <row r="6763" spans="1:1" ht="15.75" customHeight="1">
      <c r="A6763" s="34"/>
    </row>
    <row r="6764" spans="1:1" ht="15.75" customHeight="1">
      <c r="A6764" s="34"/>
    </row>
    <row r="6765" spans="1:1" ht="15.75" customHeight="1">
      <c r="A6765" s="34"/>
    </row>
    <row r="6766" spans="1:1" ht="15.75" customHeight="1">
      <c r="A6766" s="34"/>
    </row>
    <row r="6767" spans="1:1" ht="15.75" customHeight="1">
      <c r="A6767" s="34"/>
    </row>
    <row r="6768" spans="1:1" ht="15.75" customHeight="1">
      <c r="A6768" s="34"/>
    </row>
    <row r="6769" spans="1:1" ht="15.75" customHeight="1">
      <c r="A6769" s="34"/>
    </row>
    <row r="6770" spans="1:1" ht="15.75" customHeight="1">
      <c r="A6770" s="34"/>
    </row>
    <row r="6771" spans="1:1" ht="15.75" customHeight="1">
      <c r="A6771" s="34"/>
    </row>
    <row r="6772" spans="1:1" ht="15.75" customHeight="1">
      <c r="A6772" s="34"/>
    </row>
    <row r="6773" spans="1:1" ht="15.75" customHeight="1">
      <c r="A6773" s="34"/>
    </row>
    <row r="6774" spans="1:1" ht="15.75" customHeight="1">
      <c r="A6774" s="34"/>
    </row>
    <row r="6775" spans="1:1" ht="15.75" customHeight="1">
      <c r="A6775" s="34"/>
    </row>
    <row r="6776" spans="1:1" ht="15.75" customHeight="1">
      <c r="A6776" s="34"/>
    </row>
    <row r="6777" spans="1:1" ht="15.75" customHeight="1">
      <c r="A6777" s="34"/>
    </row>
    <row r="6778" spans="1:1" ht="15.75" customHeight="1">
      <c r="A6778" s="34"/>
    </row>
    <row r="6779" spans="1:1" ht="15.75" customHeight="1">
      <c r="A6779" s="34"/>
    </row>
    <row r="6780" spans="1:1" ht="15.75" customHeight="1">
      <c r="A6780" s="34"/>
    </row>
    <row r="6781" spans="1:1" ht="15.75" customHeight="1">
      <c r="A6781" s="34"/>
    </row>
    <row r="6782" spans="1:1" ht="15.75" customHeight="1">
      <c r="A6782" s="34"/>
    </row>
    <row r="6783" spans="1:1" ht="15.75" customHeight="1">
      <c r="A6783" s="34"/>
    </row>
    <row r="6784" spans="1:1" ht="15.75" customHeight="1">
      <c r="A6784" s="34"/>
    </row>
    <row r="6785" spans="1:1" ht="15.75" customHeight="1">
      <c r="A6785" s="34"/>
    </row>
    <row r="6786" spans="1:1" ht="15.75" customHeight="1">
      <c r="A6786" s="34"/>
    </row>
    <row r="6787" spans="1:1" ht="15.75" customHeight="1">
      <c r="A6787" s="34"/>
    </row>
    <row r="6788" spans="1:1" ht="15.75" customHeight="1">
      <c r="A6788" s="34"/>
    </row>
    <row r="6789" spans="1:1" ht="15.75" customHeight="1">
      <c r="A6789" s="34"/>
    </row>
    <row r="6790" spans="1:1" ht="15.75" customHeight="1">
      <c r="A6790" s="34"/>
    </row>
    <row r="6791" spans="1:1" ht="15.75" customHeight="1">
      <c r="A6791" s="34"/>
    </row>
    <row r="6792" spans="1:1" ht="15.75" customHeight="1">
      <c r="A6792" s="34"/>
    </row>
    <row r="6793" spans="1:1" ht="15.75" customHeight="1">
      <c r="A6793" s="34"/>
    </row>
    <row r="6794" spans="1:1" ht="15.75" customHeight="1">
      <c r="A6794" s="34"/>
    </row>
    <row r="6795" spans="1:1" ht="15.75" customHeight="1">
      <c r="A6795" s="34"/>
    </row>
    <row r="6796" spans="1:1" ht="15.75" customHeight="1">
      <c r="A6796" s="34"/>
    </row>
    <row r="6797" spans="1:1" ht="15.75" customHeight="1">
      <c r="A6797" s="34"/>
    </row>
    <row r="6798" spans="1:1" ht="15.75" customHeight="1">
      <c r="A6798" s="34"/>
    </row>
    <row r="6799" spans="1:1" ht="15.75" customHeight="1">
      <c r="A6799" s="34"/>
    </row>
    <row r="6800" spans="1:1" ht="15.75" customHeight="1">
      <c r="A6800" s="34"/>
    </row>
    <row r="6801" spans="1:1" ht="15.75" customHeight="1">
      <c r="A6801" s="34"/>
    </row>
    <row r="6802" spans="1:1" ht="15.75" customHeight="1">
      <c r="A6802" s="34"/>
    </row>
    <row r="6803" spans="1:1" ht="15.75" customHeight="1">
      <c r="A6803" s="34"/>
    </row>
    <row r="6804" spans="1:1" ht="15.75" customHeight="1">
      <c r="A6804" s="34"/>
    </row>
    <row r="6805" spans="1:1" ht="15.75" customHeight="1">
      <c r="A6805" s="34"/>
    </row>
    <row r="6806" spans="1:1" ht="15.75" customHeight="1">
      <c r="A6806" s="34"/>
    </row>
    <row r="6807" spans="1:1" ht="15.75" customHeight="1">
      <c r="A6807" s="34"/>
    </row>
    <row r="6808" spans="1:1" ht="15.75" customHeight="1">
      <c r="A6808" s="34"/>
    </row>
    <row r="6809" spans="1:1" ht="15.75" customHeight="1">
      <c r="A6809" s="34"/>
    </row>
    <row r="6810" spans="1:1" ht="15.75" customHeight="1">
      <c r="A6810" s="34"/>
    </row>
    <row r="6811" spans="1:1" ht="15.75" customHeight="1">
      <c r="A6811" s="34"/>
    </row>
    <row r="6812" spans="1:1" ht="15.75" customHeight="1">
      <c r="A6812" s="34"/>
    </row>
    <row r="6813" spans="1:1" ht="15.75" customHeight="1">
      <c r="A6813" s="34"/>
    </row>
    <row r="6814" spans="1:1" ht="15.75" customHeight="1">
      <c r="A6814" s="34"/>
    </row>
    <row r="6815" spans="1:1" ht="15.75" customHeight="1">
      <c r="A6815" s="34"/>
    </row>
    <row r="6816" spans="1:1" ht="15.75" customHeight="1">
      <c r="A6816" s="34"/>
    </row>
    <row r="6817" spans="1:1" ht="15.75" customHeight="1">
      <c r="A6817" s="34"/>
    </row>
    <row r="6818" spans="1:1" ht="15.75" customHeight="1">
      <c r="A6818" s="34"/>
    </row>
    <row r="6819" spans="1:1" ht="15.75" customHeight="1">
      <c r="A6819" s="34"/>
    </row>
    <row r="6820" spans="1:1" ht="15.75" customHeight="1">
      <c r="A6820" s="34"/>
    </row>
    <row r="6821" spans="1:1" ht="15.75" customHeight="1">
      <c r="A6821" s="34"/>
    </row>
    <row r="6822" spans="1:1" ht="15.75" customHeight="1">
      <c r="A6822" s="34"/>
    </row>
    <row r="6823" spans="1:1" ht="15.75" customHeight="1">
      <c r="A6823" s="34"/>
    </row>
    <row r="6824" spans="1:1" ht="15.75" customHeight="1">
      <c r="A6824" s="34"/>
    </row>
    <row r="6825" spans="1:1" ht="15.75" customHeight="1">
      <c r="A6825" s="34"/>
    </row>
    <row r="6826" spans="1:1" ht="15.75" customHeight="1">
      <c r="A6826" s="34"/>
    </row>
    <row r="6827" spans="1:1" ht="15.75" customHeight="1">
      <c r="A6827" s="34"/>
    </row>
    <row r="6828" spans="1:1" ht="15.75" customHeight="1">
      <c r="A6828" s="34"/>
    </row>
    <row r="6829" spans="1:1" ht="15.75" customHeight="1">
      <c r="A6829" s="34"/>
    </row>
    <row r="6830" spans="1:1" ht="15.75" customHeight="1">
      <c r="A6830" s="34"/>
    </row>
    <row r="6831" spans="1:1" ht="15.75" customHeight="1">
      <c r="A6831" s="34"/>
    </row>
    <row r="6832" spans="1:1" ht="15.75" customHeight="1">
      <c r="A6832" s="34"/>
    </row>
    <row r="6833" spans="1:1" ht="15.75" customHeight="1">
      <c r="A6833" s="34"/>
    </row>
    <row r="6834" spans="1:1" ht="15.75" customHeight="1">
      <c r="A6834" s="34"/>
    </row>
    <row r="6835" spans="1:1" ht="15.75" customHeight="1">
      <c r="A6835" s="34"/>
    </row>
    <row r="6836" spans="1:1" ht="15.75" customHeight="1">
      <c r="A6836" s="34"/>
    </row>
    <row r="6837" spans="1:1" ht="15.75" customHeight="1">
      <c r="A6837" s="34"/>
    </row>
    <row r="6838" spans="1:1" ht="15.75" customHeight="1">
      <c r="A6838" s="34"/>
    </row>
    <row r="6839" spans="1:1" ht="15.75" customHeight="1">
      <c r="A6839" s="34"/>
    </row>
    <row r="6840" spans="1:1" ht="15.75" customHeight="1">
      <c r="A6840" s="34"/>
    </row>
    <row r="6841" spans="1:1" ht="15.75" customHeight="1">
      <c r="A6841" s="34"/>
    </row>
    <row r="6842" spans="1:1" ht="15.75" customHeight="1">
      <c r="A6842" s="34"/>
    </row>
    <row r="6843" spans="1:1" ht="15.75" customHeight="1">
      <c r="A6843" s="34"/>
    </row>
    <row r="6844" spans="1:1" ht="15.75" customHeight="1">
      <c r="A6844" s="34"/>
    </row>
    <row r="6845" spans="1:1" ht="15.75" customHeight="1">
      <c r="A6845" s="34"/>
    </row>
    <row r="6846" spans="1:1" ht="15.75" customHeight="1">
      <c r="A6846" s="34"/>
    </row>
    <row r="6847" spans="1:1" ht="15.75" customHeight="1">
      <c r="A6847" s="34"/>
    </row>
    <row r="6848" spans="1:1" ht="15.75" customHeight="1">
      <c r="A6848" s="34"/>
    </row>
    <row r="6849" spans="1:1" ht="15.75" customHeight="1">
      <c r="A6849" s="34"/>
    </row>
    <row r="6850" spans="1:1" ht="15.75" customHeight="1">
      <c r="A6850" s="34"/>
    </row>
    <row r="6851" spans="1:1" ht="15.75" customHeight="1">
      <c r="A6851" s="34"/>
    </row>
    <row r="6852" spans="1:1" ht="15.75" customHeight="1">
      <c r="A6852" s="34"/>
    </row>
    <row r="6853" spans="1:1" ht="15.75" customHeight="1">
      <c r="A6853" s="34"/>
    </row>
    <row r="6854" spans="1:1" ht="15.75" customHeight="1">
      <c r="A6854" s="34"/>
    </row>
    <row r="6855" spans="1:1" ht="15.75" customHeight="1">
      <c r="A6855" s="34"/>
    </row>
    <row r="6856" spans="1:1" ht="15.75" customHeight="1">
      <c r="A6856" s="34"/>
    </row>
    <row r="6857" spans="1:1" ht="15.75" customHeight="1">
      <c r="A6857" s="34"/>
    </row>
    <row r="6858" spans="1:1" ht="15.75" customHeight="1">
      <c r="A6858" s="34"/>
    </row>
    <row r="6859" spans="1:1" ht="15.75" customHeight="1">
      <c r="A6859" s="34"/>
    </row>
    <row r="6860" spans="1:1" ht="15.75" customHeight="1">
      <c r="A6860" s="34"/>
    </row>
    <row r="6861" spans="1:1" ht="15.75" customHeight="1">
      <c r="A6861" s="34"/>
    </row>
    <row r="6862" spans="1:1" ht="15.75" customHeight="1">
      <c r="A6862" s="34"/>
    </row>
    <row r="6863" spans="1:1" ht="15.75" customHeight="1">
      <c r="A6863" s="34"/>
    </row>
    <row r="6864" spans="1:1" ht="15.75" customHeight="1">
      <c r="A6864" s="34"/>
    </row>
    <row r="6865" spans="1:1" ht="15.75" customHeight="1">
      <c r="A6865" s="34"/>
    </row>
    <row r="6866" spans="1:1" ht="15.75" customHeight="1">
      <c r="A6866" s="34"/>
    </row>
    <row r="6867" spans="1:1" ht="15.75" customHeight="1">
      <c r="A6867" s="34"/>
    </row>
    <row r="6868" spans="1:1" ht="15.75" customHeight="1">
      <c r="A6868" s="34"/>
    </row>
    <row r="6869" spans="1:1" ht="15.75" customHeight="1">
      <c r="A6869" s="34"/>
    </row>
    <row r="6870" spans="1:1" ht="15.75" customHeight="1">
      <c r="A6870" s="34"/>
    </row>
    <row r="6871" spans="1:1" ht="15.75" customHeight="1">
      <c r="A6871" s="34"/>
    </row>
    <row r="6872" spans="1:1" ht="15.75" customHeight="1">
      <c r="A6872" s="34"/>
    </row>
    <row r="6873" spans="1:1" ht="15.75" customHeight="1">
      <c r="A6873" s="34"/>
    </row>
    <row r="6874" spans="1:1" ht="15.75" customHeight="1">
      <c r="A6874" s="34"/>
    </row>
    <row r="6875" spans="1:1" ht="15.75" customHeight="1">
      <c r="A6875" s="34"/>
    </row>
    <row r="6876" spans="1:1" ht="15.75" customHeight="1">
      <c r="A6876" s="34"/>
    </row>
    <row r="6877" spans="1:1" ht="15.75" customHeight="1">
      <c r="A6877" s="34"/>
    </row>
    <row r="6878" spans="1:1" ht="15.75" customHeight="1">
      <c r="A6878" s="34"/>
    </row>
    <row r="6879" spans="1:1" ht="15.75" customHeight="1">
      <c r="A6879" s="34"/>
    </row>
    <row r="6880" spans="1:1" ht="15.75" customHeight="1">
      <c r="A6880" s="34"/>
    </row>
    <row r="6881" spans="1:1" ht="15.75" customHeight="1">
      <c r="A6881" s="34"/>
    </row>
    <row r="6882" spans="1:1" ht="15.75" customHeight="1">
      <c r="A6882" s="34"/>
    </row>
    <row r="6883" spans="1:1" ht="15.75" customHeight="1">
      <c r="A6883" s="34"/>
    </row>
    <row r="6884" spans="1:1" ht="15.75" customHeight="1">
      <c r="A6884" s="34"/>
    </row>
    <row r="6885" spans="1:1" ht="15.75" customHeight="1">
      <c r="A6885" s="34"/>
    </row>
    <row r="6886" spans="1:1" ht="15.75" customHeight="1">
      <c r="A6886" s="34"/>
    </row>
    <row r="6887" spans="1:1" ht="15.75" customHeight="1">
      <c r="A6887" s="34"/>
    </row>
    <row r="6888" spans="1:1" ht="15.75" customHeight="1">
      <c r="A6888" s="34"/>
    </row>
    <row r="6889" spans="1:1" ht="15.75" customHeight="1">
      <c r="A6889" s="34"/>
    </row>
    <row r="6890" spans="1:1" ht="15.75" customHeight="1">
      <c r="A6890" s="34"/>
    </row>
    <row r="6891" spans="1:1" ht="15.75" customHeight="1">
      <c r="A6891" s="34"/>
    </row>
    <row r="6892" spans="1:1" ht="15.75" customHeight="1">
      <c r="A6892" s="34"/>
    </row>
    <row r="6893" spans="1:1" ht="15.75" customHeight="1">
      <c r="A6893" s="34"/>
    </row>
    <row r="6894" spans="1:1" ht="15.75" customHeight="1">
      <c r="A6894" s="34"/>
    </row>
    <row r="6895" spans="1:1" ht="15.75" customHeight="1">
      <c r="A6895" s="34"/>
    </row>
    <row r="6896" spans="1:1" ht="15.75" customHeight="1">
      <c r="A6896" s="34"/>
    </row>
    <row r="6897" spans="1:1" ht="15.75" customHeight="1">
      <c r="A6897" s="34"/>
    </row>
    <row r="6898" spans="1:1" ht="15.75" customHeight="1">
      <c r="A6898" s="34"/>
    </row>
    <row r="6899" spans="1:1" ht="15.75" customHeight="1">
      <c r="A6899" s="34"/>
    </row>
    <row r="6900" spans="1:1" ht="15.75" customHeight="1">
      <c r="A6900" s="34"/>
    </row>
    <row r="6901" spans="1:1" ht="15.75" customHeight="1">
      <c r="A6901" s="34"/>
    </row>
    <row r="6902" spans="1:1" ht="15.75" customHeight="1">
      <c r="A6902" s="34"/>
    </row>
    <row r="6903" spans="1:1" ht="15.75" customHeight="1">
      <c r="A6903" s="34"/>
    </row>
    <row r="6904" spans="1:1" ht="15.75" customHeight="1">
      <c r="A6904" s="34"/>
    </row>
    <row r="6905" spans="1:1" ht="15.75" customHeight="1">
      <c r="A6905" s="34"/>
    </row>
    <row r="6906" spans="1:1" ht="15.75" customHeight="1">
      <c r="A6906" s="34"/>
    </row>
    <row r="6907" spans="1:1" ht="15.75" customHeight="1">
      <c r="A6907" s="34"/>
    </row>
    <row r="6908" spans="1:1" ht="15.75" customHeight="1">
      <c r="A6908" s="34"/>
    </row>
    <row r="6909" spans="1:1" ht="15.75" customHeight="1">
      <c r="A6909" s="34"/>
    </row>
    <row r="6910" spans="1:1" ht="15.75" customHeight="1">
      <c r="A6910" s="34"/>
    </row>
    <row r="6911" spans="1:1" ht="15.75" customHeight="1">
      <c r="A6911" s="34"/>
    </row>
    <row r="6912" spans="1:1" ht="15.75" customHeight="1">
      <c r="A6912" s="34"/>
    </row>
    <row r="6913" spans="1:1" ht="15.75" customHeight="1">
      <c r="A6913" s="34"/>
    </row>
    <row r="6914" spans="1:1" ht="15.75" customHeight="1">
      <c r="A6914" s="34"/>
    </row>
    <row r="6915" spans="1:1" ht="15.75" customHeight="1">
      <c r="A6915" s="34"/>
    </row>
    <row r="6916" spans="1:1" ht="15.75" customHeight="1">
      <c r="A6916" s="34"/>
    </row>
    <row r="6917" spans="1:1" ht="15.75" customHeight="1">
      <c r="A6917" s="34"/>
    </row>
    <row r="6918" spans="1:1" ht="15.75" customHeight="1">
      <c r="A6918" s="34"/>
    </row>
    <row r="6919" spans="1:1" ht="15.75" customHeight="1">
      <c r="A6919" s="34"/>
    </row>
    <row r="6920" spans="1:1" ht="15.75" customHeight="1">
      <c r="A6920" s="34"/>
    </row>
    <row r="6921" spans="1:1" ht="15.75" customHeight="1">
      <c r="A6921" s="34"/>
    </row>
    <row r="6922" spans="1:1" ht="15.75" customHeight="1">
      <c r="A6922" s="34"/>
    </row>
    <row r="6923" spans="1:1" ht="15.75" customHeight="1">
      <c r="A6923" s="34"/>
    </row>
    <row r="6924" spans="1:1" ht="15.75" customHeight="1">
      <c r="A6924" s="34"/>
    </row>
    <row r="6925" spans="1:1" ht="15.75" customHeight="1">
      <c r="A6925" s="34"/>
    </row>
    <row r="6926" spans="1:1" ht="15.75" customHeight="1">
      <c r="A6926" s="34"/>
    </row>
    <row r="6927" spans="1:1" ht="15.75" customHeight="1">
      <c r="A6927" s="34"/>
    </row>
    <row r="6928" spans="1:1" ht="15.75" customHeight="1">
      <c r="A6928" s="34"/>
    </row>
    <row r="6929" spans="1:1" ht="15.75" customHeight="1">
      <c r="A6929" s="34"/>
    </row>
    <row r="6930" spans="1:1" ht="15.75" customHeight="1">
      <c r="A6930" s="34"/>
    </row>
    <row r="6931" spans="1:1" ht="15.75" customHeight="1">
      <c r="A6931" s="34"/>
    </row>
    <row r="6932" spans="1:1" ht="15.75" customHeight="1">
      <c r="A6932" s="34"/>
    </row>
    <row r="6933" spans="1:1" ht="15.75" customHeight="1">
      <c r="A6933" s="34"/>
    </row>
    <row r="6934" spans="1:1" ht="15.75" customHeight="1">
      <c r="A6934" s="34"/>
    </row>
    <row r="6935" spans="1:1" ht="15.75" customHeight="1">
      <c r="A6935" s="34"/>
    </row>
    <row r="6936" spans="1:1" ht="15.75" customHeight="1">
      <c r="A6936" s="34"/>
    </row>
    <row r="6937" spans="1:1" ht="15.75" customHeight="1">
      <c r="A6937" s="34"/>
    </row>
    <row r="6938" spans="1:1" ht="15.75" customHeight="1">
      <c r="A6938" s="34"/>
    </row>
    <row r="6939" spans="1:1" ht="15.75" customHeight="1">
      <c r="A6939" s="34"/>
    </row>
    <row r="6940" spans="1:1" ht="15.75" customHeight="1">
      <c r="A6940" s="34"/>
    </row>
    <row r="6941" spans="1:1" ht="15.75" customHeight="1">
      <c r="A6941" s="34"/>
    </row>
    <row r="6942" spans="1:1" ht="15.75" customHeight="1">
      <c r="A6942" s="34"/>
    </row>
    <row r="6943" spans="1:1" ht="15.75" customHeight="1">
      <c r="A6943" s="34"/>
    </row>
    <row r="6944" spans="1:1" ht="15.75" customHeight="1">
      <c r="A6944" s="34"/>
    </row>
    <row r="6945" spans="1:1" ht="15.75" customHeight="1">
      <c r="A6945" s="34"/>
    </row>
    <row r="6946" spans="1:1" ht="15.75" customHeight="1">
      <c r="A6946" s="34"/>
    </row>
    <row r="6947" spans="1:1" ht="15.75" customHeight="1">
      <c r="A6947" s="34"/>
    </row>
    <row r="6948" spans="1:1" ht="15.75" customHeight="1">
      <c r="A6948" s="34"/>
    </row>
    <row r="6949" spans="1:1" ht="15.75" customHeight="1">
      <c r="A6949" s="34"/>
    </row>
    <row r="6950" spans="1:1" ht="15.75" customHeight="1">
      <c r="A6950" s="34"/>
    </row>
    <row r="6951" spans="1:1" ht="15.75" customHeight="1">
      <c r="A6951" s="34"/>
    </row>
    <row r="6952" spans="1:1" ht="15.75" customHeight="1">
      <c r="A6952" s="34"/>
    </row>
    <row r="6953" spans="1:1" ht="15.75" customHeight="1">
      <c r="A6953" s="34"/>
    </row>
    <row r="6954" spans="1:1" ht="15.75" customHeight="1">
      <c r="A6954" s="34"/>
    </row>
    <row r="6955" spans="1:1" ht="15.75" customHeight="1">
      <c r="A6955" s="34"/>
    </row>
    <row r="6956" spans="1:1" ht="15.75" customHeight="1">
      <c r="A6956" s="34"/>
    </row>
    <row r="6957" spans="1:1" ht="15.75" customHeight="1">
      <c r="A6957" s="34"/>
    </row>
    <row r="6958" spans="1:1" ht="15.75" customHeight="1">
      <c r="A6958" s="34"/>
    </row>
    <row r="6959" spans="1:1" ht="15.75" customHeight="1">
      <c r="A6959" s="34"/>
    </row>
    <row r="6960" spans="1:1" ht="15.75" customHeight="1">
      <c r="A6960" s="34"/>
    </row>
    <row r="6961" spans="1:1" ht="15.75" customHeight="1">
      <c r="A6961" s="34"/>
    </row>
    <row r="6962" spans="1:1" ht="15.75" customHeight="1">
      <c r="A6962" s="34"/>
    </row>
    <row r="6963" spans="1:1" ht="15.75" customHeight="1">
      <c r="A6963" s="34"/>
    </row>
    <row r="6964" spans="1:1" ht="15.75" customHeight="1">
      <c r="A6964" s="34"/>
    </row>
    <row r="6965" spans="1:1" ht="15.75" customHeight="1">
      <c r="A6965" s="34"/>
    </row>
    <row r="6966" spans="1:1" ht="15.75" customHeight="1">
      <c r="A6966" s="34"/>
    </row>
    <row r="6967" spans="1:1" ht="15.75" customHeight="1">
      <c r="A6967" s="34"/>
    </row>
    <row r="6968" spans="1:1" ht="15.75" customHeight="1">
      <c r="A6968" s="34"/>
    </row>
    <row r="6969" spans="1:1" ht="15.75" customHeight="1">
      <c r="A6969" s="34"/>
    </row>
    <row r="6970" spans="1:1" ht="15.75" customHeight="1">
      <c r="A6970" s="34"/>
    </row>
    <row r="6971" spans="1:1" ht="15.75" customHeight="1">
      <c r="A6971" s="34"/>
    </row>
    <row r="6972" spans="1:1" ht="15.75" customHeight="1">
      <c r="A6972" s="34"/>
    </row>
    <row r="6973" spans="1:1" ht="15.75" customHeight="1">
      <c r="A6973" s="34"/>
    </row>
    <row r="6974" spans="1:1" ht="15.75" customHeight="1">
      <c r="A6974" s="34"/>
    </row>
    <row r="6975" spans="1:1" ht="15.75" customHeight="1">
      <c r="A6975" s="34"/>
    </row>
    <row r="6976" spans="1:1" ht="15.75" customHeight="1">
      <c r="A6976" s="34"/>
    </row>
    <row r="6977" spans="1:1" ht="15.75" customHeight="1">
      <c r="A6977" s="34"/>
    </row>
    <row r="6978" spans="1:1" ht="15.75" customHeight="1">
      <c r="A6978" s="34"/>
    </row>
    <row r="6979" spans="1:1" ht="15.75" customHeight="1">
      <c r="A6979" s="34"/>
    </row>
    <row r="6980" spans="1:1" ht="15.75" customHeight="1">
      <c r="A6980" s="34"/>
    </row>
    <row r="6981" spans="1:1" ht="15.75" customHeight="1">
      <c r="A6981" s="34"/>
    </row>
    <row r="6982" spans="1:1" ht="15.75" customHeight="1">
      <c r="A6982" s="34"/>
    </row>
    <row r="6983" spans="1:1" ht="15.75" customHeight="1">
      <c r="A6983" s="34"/>
    </row>
    <row r="6984" spans="1:1" ht="15.75" customHeight="1">
      <c r="A6984" s="34"/>
    </row>
    <row r="6985" spans="1:1" ht="15.75" customHeight="1">
      <c r="A6985" s="34"/>
    </row>
    <row r="6986" spans="1:1" ht="15.75" customHeight="1">
      <c r="A6986" s="34"/>
    </row>
    <row r="6987" spans="1:1" ht="15.75" customHeight="1">
      <c r="A6987" s="34"/>
    </row>
    <row r="6988" spans="1:1" ht="15.75" customHeight="1">
      <c r="A6988" s="34"/>
    </row>
    <row r="6989" spans="1:1" ht="15.75" customHeight="1">
      <c r="A6989" s="34"/>
    </row>
    <row r="6990" spans="1:1" ht="15.75" customHeight="1">
      <c r="A6990" s="34"/>
    </row>
    <row r="6991" spans="1:1" ht="15.75" customHeight="1">
      <c r="A6991" s="34"/>
    </row>
    <row r="6992" spans="1:1" ht="15.75" customHeight="1">
      <c r="A6992" s="34"/>
    </row>
    <row r="6993" spans="1:1" ht="15.75" customHeight="1">
      <c r="A6993" s="34"/>
    </row>
    <row r="6994" spans="1:1" ht="15.75" customHeight="1">
      <c r="A6994" s="34"/>
    </row>
    <row r="6995" spans="1:1" ht="15.75" customHeight="1">
      <c r="A6995" s="34"/>
    </row>
    <row r="6996" spans="1:1" ht="15.75" customHeight="1">
      <c r="A6996" s="34"/>
    </row>
    <row r="6997" spans="1:1" ht="15.75" customHeight="1">
      <c r="A6997" s="34"/>
    </row>
    <row r="6998" spans="1:1" ht="15.75" customHeight="1">
      <c r="A6998" s="34"/>
    </row>
    <row r="6999" spans="1:1" ht="15.75" customHeight="1">
      <c r="A6999" s="34"/>
    </row>
    <row r="7000" spans="1:1" ht="15.75" customHeight="1">
      <c r="A7000" s="34"/>
    </row>
    <row r="7001" spans="1:1" ht="15.75" customHeight="1">
      <c r="A7001" s="34"/>
    </row>
    <row r="7002" spans="1:1" ht="15.75" customHeight="1">
      <c r="A7002" s="34"/>
    </row>
    <row r="7003" spans="1:1" ht="15.75" customHeight="1">
      <c r="A7003" s="34"/>
    </row>
    <row r="7004" spans="1:1" ht="15.75" customHeight="1">
      <c r="A7004" s="34"/>
    </row>
    <row r="7005" spans="1:1" ht="15.75" customHeight="1">
      <c r="A7005" s="34"/>
    </row>
    <row r="7006" spans="1:1" ht="15.75" customHeight="1">
      <c r="A7006" s="34"/>
    </row>
    <row r="7007" spans="1:1" ht="15.75" customHeight="1">
      <c r="A7007" s="34"/>
    </row>
    <row r="7008" spans="1:1" ht="15.75" customHeight="1">
      <c r="A7008" s="34"/>
    </row>
    <row r="7009" spans="1:1" ht="15.75" customHeight="1">
      <c r="A7009" s="34"/>
    </row>
    <row r="7010" spans="1:1" ht="15.75" customHeight="1">
      <c r="A7010" s="34"/>
    </row>
    <row r="7011" spans="1:1" ht="15.75" customHeight="1">
      <c r="A7011" s="34"/>
    </row>
    <row r="7012" spans="1:1" ht="15.75" customHeight="1">
      <c r="A7012" s="34"/>
    </row>
    <row r="7013" spans="1:1" ht="15.75" customHeight="1">
      <c r="A7013" s="34"/>
    </row>
    <row r="7014" spans="1:1" ht="15.75" customHeight="1">
      <c r="A7014" s="34"/>
    </row>
    <row r="7015" spans="1:1" ht="15.75" customHeight="1">
      <c r="A7015" s="34"/>
    </row>
    <row r="7016" spans="1:1" ht="15.75" customHeight="1">
      <c r="A7016" s="34"/>
    </row>
    <row r="7017" spans="1:1" ht="15.75" customHeight="1">
      <c r="A7017" s="34"/>
    </row>
    <row r="7018" spans="1:1" ht="15.75" customHeight="1">
      <c r="A7018" s="34"/>
    </row>
    <row r="7019" spans="1:1" ht="15.75" customHeight="1">
      <c r="A7019" s="34"/>
    </row>
    <row r="7020" spans="1:1" ht="15.75" customHeight="1">
      <c r="A7020" s="34"/>
    </row>
    <row r="7021" spans="1:1" ht="15.75" customHeight="1">
      <c r="A7021" s="34"/>
    </row>
    <row r="7022" spans="1:1" ht="15.75" customHeight="1">
      <c r="A7022" s="34"/>
    </row>
    <row r="7023" spans="1:1" ht="15.75" customHeight="1">
      <c r="A7023" s="34"/>
    </row>
    <row r="7024" spans="1:1" ht="15.75" customHeight="1">
      <c r="A7024" s="34"/>
    </row>
    <row r="7025" spans="1:1" ht="15.75" customHeight="1">
      <c r="A7025" s="34"/>
    </row>
    <row r="7026" spans="1:1" ht="15.75" customHeight="1">
      <c r="A7026" s="34"/>
    </row>
    <row r="7027" spans="1:1" ht="15.75" customHeight="1">
      <c r="A7027" s="34"/>
    </row>
    <row r="7028" spans="1:1" ht="15.75" customHeight="1">
      <c r="A7028" s="34"/>
    </row>
    <row r="7029" spans="1:1" ht="15.75" customHeight="1">
      <c r="A7029" s="34"/>
    </row>
    <row r="7030" spans="1:1" ht="15.75" customHeight="1">
      <c r="A7030" s="34"/>
    </row>
    <row r="7031" spans="1:1" ht="15.75" customHeight="1">
      <c r="A7031" s="34"/>
    </row>
    <row r="7032" spans="1:1" ht="15.75" customHeight="1">
      <c r="A7032" s="34"/>
    </row>
    <row r="7033" spans="1:1" ht="15.75" customHeight="1">
      <c r="A7033" s="34"/>
    </row>
    <row r="7034" spans="1:1" ht="15.75" customHeight="1">
      <c r="A7034" s="34"/>
    </row>
    <row r="7035" spans="1:1" ht="15.75" customHeight="1">
      <c r="A7035" s="34"/>
    </row>
    <row r="7036" spans="1:1" ht="15.75" customHeight="1">
      <c r="A7036" s="34"/>
    </row>
    <row r="7037" spans="1:1" ht="15.75" customHeight="1">
      <c r="A7037" s="34"/>
    </row>
    <row r="7038" spans="1:1" ht="15.75" customHeight="1">
      <c r="A7038" s="34"/>
    </row>
    <row r="7039" spans="1:1" ht="15.75" customHeight="1">
      <c r="A7039" s="34"/>
    </row>
    <row r="7040" spans="1:1" ht="15.75" customHeight="1">
      <c r="A7040" s="34"/>
    </row>
    <row r="7041" spans="1:1" ht="15.75" customHeight="1">
      <c r="A7041" s="34"/>
    </row>
    <row r="7042" spans="1:1" ht="15.75" customHeight="1">
      <c r="A7042" s="34"/>
    </row>
    <row r="7043" spans="1:1" ht="15.75" customHeight="1">
      <c r="A7043" s="34"/>
    </row>
    <row r="7044" spans="1:1" ht="15.75" customHeight="1">
      <c r="A7044" s="34"/>
    </row>
    <row r="7045" spans="1:1" ht="15.75" customHeight="1">
      <c r="A7045" s="34"/>
    </row>
    <row r="7046" spans="1:1" ht="15.75" customHeight="1">
      <c r="A7046" s="34"/>
    </row>
    <row r="7047" spans="1:1" ht="15.75" customHeight="1">
      <c r="A7047" s="34"/>
    </row>
    <row r="7048" spans="1:1" ht="15.75" customHeight="1">
      <c r="A7048" s="34"/>
    </row>
    <row r="7049" spans="1:1" ht="15.75" customHeight="1">
      <c r="A7049" s="34"/>
    </row>
    <row r="7050" spans="1:1" ht="15.75" customHeight="1">
      <c r="A7050" s="34"/>
    </row>
    <row r="7051" spans="1:1" ht="15.75" customHeight="1">
      <c r="A7051" s="34"/>
    </row>
    <row r="7052" spans="1:1" ht="15.75" customHeight="1">
      <c r="A7052" s="34"/>
    </row>
    <row r="7053" spans="1:1" ht="15.75" customHeight="1">
      <c r="A7053" s="34"/>
    </row>
    <row r="7054" spans="1:1" ht="15.75" customHeight="1">
      <c r="A7054" s="34"/>
    </row>
    <row r="7055" spans="1:1" ht="15.75" customHeight="1">
      <c r="A7055" s="34"/>
    </row>
    <row r="7056" spans="1:1" ht="15.75" customHeight="1">
      <c r="A7056" s="34"/>
    </row>
    <row r="7057" spans="1:1" ht="15.75" customHeight="1">
      <c r="A7057" s="34"/>
    </row>
    <row r="7058" spans="1:1" ht="15.75" customHeight="1">
      <c r="A7058" s="34"/>
    </row>
    <row r="7059" spans="1:1" ht="15.75" customHeight="1">
      <c r="A7059" s="34"/>
    </row>
    <row r="7060" spans="1:1" ht="15.75" customHeight="1">
      <c r="A7060" s="34"/>
    </row>
    <row r="7061" spans="1:1" ht="15.75" customHeight="1">
      <c r="A7061" s="34"/>
    </row>
    <row r="7062" spans="1:1" ht="15.75" customHeight="1">
      <c r="A7062" s="34"/>
    </row>
    <row r="7063" spans="1:1" ht="15.75" customHeight="1">
      <c r="A7063" s="34"/>
    </row>
    <row r="7064" spans="1:1" ht="15.75" customHeight="1">
      <c r="A7064" s="34"/>
    </row>
    <row r="7065" spans="1:1" ht="15.75" customHeight="1">
      <c r="A7065" s="34"/>
    </row>
    <row r="7066" spans="1:1" ht="15.75" customHeight="1">
      <c r="A7066" s="34"/>
    </row>
    <row r="7067" spans="1:1" ht="15.75" customHeight="1">
      <c r="A7067" s="34"/>
    </row>
    <row r="7068" spans="1:1" ht="15.75" customHeight="1">
      <c r="A7068" s="34"/>
    </row>
    <row r="7069" spans="1:1" ht="15.75" customHeight="1">
      <c r="A7069" s="34"/>
    </row>
    <row r="7070" spans="1:1" ht="15.75" customHeight="1">
      <c r="A7070" s="34"/>
    </row>
    <row r="7071" spans="1:1" ht="15.75" customHeight="1">
      <c r="A7071" s="34"/>
    </row>
    <row r="7072" spans="1:1" ht="15.75" customHeight="1">
      <c r="A7072" s="34"/>
    </row>
    <row r="7073" spans="1:1" ht="15.75" customHeight="1">
      <c r="A7073" s="34"/>
    </row>
    <row r="7074" spans="1:1" ht="15.75" customHeight="1">
      <c r="A7074" s="34"/>
    </row>
    <row r="7075" spans="1:1" ht="15.75" customHeight="1">
      <c r="A7075" s="34"/>
    </row>
    <row r="7076" spans="1:1" ht="15.75" customHeight="1">
      <c r="A7076" s="34"/>
    </row>
    <row r="7077" spans="1:1" ht="15.75" customHeight="1">
      <c r="A7077" s="34"/>
    </row>
    <row r="7078" spans="1:1" ht="15.75" customHeight="1">
      <c r="A7078" s="34"/>
    </row>
    <row r="7079" spans="1:1" ht="15.75" customHeight="1">
      <c r="A7079" s="34"/>
    </row>
    <row r="7080" spans="1:1" ht="15.75" customHeight="1">
      <c r="A7080" s="34"/>
    </row>
    <row r="7081" spans="1:1" ht="15.75" customHeight="1">
      <c r="A7081" s="34"/>
    </row>
    <row r="7082" spans="1:1" ht="15.75" customHeight="1">
      <c r="A7082" s="34"/>
    </row>
    <row r="7083" spans="1:1" ht="15.75" customHeight="1">
      <c r="A7083" s="34"/>
    </row>
    <row r="7084" spans="1:1" ht="15.75" customHeight="1">
      <c r="A7084" s="34"/>
    </row>
    <row r="7085" spans="1:1" ht="15.75" customHeight="1">
      <c r="A7085" s="34"/>
    </row>
    <row r="7086" spans="1:1" ht="15.75" customHeight="1">
      <c r="A7086" s="34"/>
    </row>
    <row r="7087" spans="1:1" ht="15.75" customHeight="1">
      <c r="A7087" s="34"/>
    </row>
    <row r="7088" spans="1:1" ht="15.75" customHeight="1">
      <c r="A7088" s="34"/>
    </row>
    <row r="7089" spans="1:1" ht="15.75" customHeight="1">
      <c r="A7089" s="34"/>
    </row>
    <row r="7090" spans="1:1" ht="15.75" customHeight="1">
      <c r="A7090" s="34"/>
    </row>
    <row r="7091" spans="1:1" ht="15.75" customHeight="1">
      <c r="A7091" s="34"/>
    </row>
    <row r="7092" spans="1:1" ht="15.75" customHeight="1">
      <c r="A7092" s="34"/>
    </row>
    <row r="7093" spans="1:1" ht="15.75" customHeight="1">
      <c r="A7093" s="34"/>
    </row>
    <row r="7094" spans="1:1" ht="15.75" customHeight="1">
      <c r="A7094" s="34"/>
    </row>
    <row r="7095" spans="1:1" ht="15.75" customHeight="1">
      <c r="A7095" s="34"/>
    </row>
    <row r="7096" spans="1:1" ht="15.75" customHeight="1">
      <c r="A7096" s="34"/>
    </row>
    <row r="7097" spans="1:1" ht="15.75" customHeight="1">
      <c r="A7097" s="34"/>
    </row>
    <row r="7098" spans="1:1" ht="15.75" customHeight="1">
      <c r="A7098" s="34"/>
    </row>
    <row r="7099" spans="1:1" ht="15.75" customHeight="1">
      <c r="A7099" s="34"/>
    </row>
    <row r="7100" spans="1:1" ht="15.75" customHeight="1">
      <c r="A7100" s="34"/>
    </row>
    <row r="7101" spans="1:1" ht="15.75" customHeight="1">
      <c r="A7101" s="34"/>
    </row>
    <row r="7102" spans="1:1" ht="15.75" customHeight="1">
      <c r="A7102" s="34"/>
    </row>
    <row r="7103" spans="1:1" ht="15.75" customHeight="1">
      <c r="A7103" s="34"/>
    </row>
    <row r="7104" spans="1:1" ht="15.75" customHeight="1">
      <c r="A7104" s="34"/>
    </row>
    <row r="7105" spans="1:1" ht="15.75" customHeight="1">
      <c r="A7105" s="34"/>
    </row>
    <row r="7106" spans="1:1" ht="15.75" customHeight="1">
      <c r="A7106" s="34"/>
    </row>
    <row r="7107" spans="1:1" ht="15.75" customHeight="1">
      <c r="A7107" s="34"/>
    </row>
    <row r="7108" spans="1:1" ht="15.75" customHeight="1">
      <c r="A7108" s="34"/>
    </row>
    <row r="7109" spans="1:1" ht="15.75" customHeight="1">
      <c r="A7109" s="34"/>
    </row>
    <row r="7110" spans="1:1" ht="15.75" customHeight="1">
      <c r="A7110" s="34"/>
    </row>
    <row r="7111" spans="1:1" ht="15.75" customHeight="1">
      <c r="A7111" s="34"/>
    </row>
    <row r="7112" spans="1:1" ht="15.75" customHeight="1">
      <c r="A7112" s="34"/>
    </row>
    <row r="7113" spans="1:1" ht="15.75" customHeight="1">
      <c r="A7113" s="34"/>
    </row>
    <row r="7114" spans="1:1" ht="15.75" customHeight="1">
      <c r="A7114" s="34"/>
    </row>
    <row r="7115" spans="1:1" ht="15.75" customHeight="1">
      <c r="A7115" s="34"/>
    </row>
    <row r="7116" spans="1:1" ht="15.75" customHeight="1">
      <c r="A7116" s="34"/>
    </row>
    <row r="7117" spans="1:1" ht="15.75" customHeight="1">
      <c r="A7117" s="34"/>
    </row>
    <row r="7118" spans="1:1" ht="15.75" customHeight="1">
      <c r="A7118" s="34"/>
    </row>
    <row r="7119" spans="1:1" ht="15.75" customHeight="1">
      <c r="A7119" s="34"/>
    </row>
    <row r="7120" spans="1:1" ht="15.75" customHeight="1">
      <c r="A7120" s="34"/>
    </row>
    <row r="7121" spans="1:1" ht="15.75" customHeight="1">
      <c r="A7121" s="34"/>
    </row>
    <row r="7122" spans="1:1" ht="15.75" customHeight="1">
      <c r="A7122" s="34"/>
    </row>
    <row r="7123" spans="1:1" ht="15.75" customHeight="1">
      <c r="A7123" s="34"/>
    </row>
    <row r="7124" spans="1:1" ht="15.75" customHeight="1">
      <c r="A7124" s="34"/>
    </row>
    <row r="7125" spans="1:1" ht="15.75" customHeight="1">
      <c r="A7125" s="34"/>
    </row>
    <row r="7126" spans="1:1" ht="15.75" customHeight="1">
      <c r="A7126" s="34"/>
    </row>
    <row r="7127" spans="1:1" ht="15.75" customHeight="1">
      <c r="A7127" s="34"/>
    </row>
    <row r="7128" spans="1:1" ht="15.75" customHeight="1">
      <c r="A7128" s="34"/>
    </row>
    <row r="7129" spans="1:1" ht="15.75" customHeight="1">
      <c r="A7129" s="34"/>
    </row>
    <row r="7130" spans="1:1" ht="15.75" customHeight="1">
      <c r="A7130" s="34"/>
    </row>
    <row r="7131" spans="1:1" ht="15.75" customHeight="1">
      <c r="A7131" s="34"/>
    </row>
    <row r="7132" spans="1:1" ht="15.75" customHeight="1">
      <c r="A7132" s="34"/>
    </row>
    <row r="7133" spans="1:1" ht="15.75" customHeight="1">
      <c r="A7133" s="34"/>
    </row>
    <row r="7134" spans="1:1" ht="15.75" customHeight="1">
      <c r="A7134" s="34"/>
    </row>
    <row r="7135" spans="1:1" ht="15.75" customHeight="1">
      <c r="A7135" s="34"/>
    </row>
    <row r="7136" spans="1:1" ht="15.75" customHeight="1">
      <c r="A7136" s="34"/>
    </row>
    <row r="7137" spans="1:1" ht="15.75" customHeight="1">
      <c r="A7137" s="34"/>
    </row>
    <row r="7138" spans="1:1" ht="15.75" customHeight="1">
      <c r="A7138" s="34"/>
    </row>
    <row r="7139" spans="1:1" ht="15.75" customHeight="1">
      <c r="A7139" s="34"/>
    </row>
    <row r="7140" spans="1:1" ht="15.75" customHeight="1">
      <c r="A7140" s="34"/>
    </row>
    <row r="7141" spans="1:1" ht="15.75" customHeight="1">
      <c r="A7141" s="34"/>
    </row>
    <row r="7142" spans="1:1" ht="15.75" customHeight="1">
      <c r="A7142" s="34"/>
    </row>
    <row r="7143" spans="1:1" ht="15.75" customHeight="1">
      <c r="A7143" s="34"/>
    </row>
    <row r="7144" spans="1:1" ht="15.75" customHeight="1">
      <c r="A7144" s="34"/>
    </row>
    <row r="7145" spans="1:1" ht="15.75" customHeight="1">
      <c r="A7145" s="34"/>
    </row>
    <row r="7146" spans="1:1" ht="15.75" customHeight="1">
      <c r="A7146" s="34"/>
    </row>
    <row r="7147" spans="1:1" ht="15.75" customHeight="1">
      <c r="A7147" s="34"/>
    </row>
    <row r="7148" spans="1:1" ht="15.75" customHeight="1">
      <c r="A7148" s="34"/>
    </row>
    <row r="7149" spans="1:1" ht="15.75" customHeight="1">
      <c r="A7149" s="34"/>
    </row>
    <row r="7150" spans="1:1" ht="15.75" customHeight="1">
      <c r="A7150" s="34"/>
    </row>
    <row r="7151" spans="1:1" ht="15.75" customHeight="1">
      <c r="A7151" s="34"/>
    </row>
    <row r="7152" spans="1:1" ht="15.75" customHeight="1">
      <c r="A7152" s="34"/>
    </row>
    <row r="7153" spans="1:1" ht="15.75" customHeight="1">
      <c r="A7153" s="34"/>
    </row>
    <row r="7154" spans="1:1" ht="15.75" customHeight="1">
      <c r="A7154" s="34"/>
    </row>
    <row r="7155" spans="1:1" ht="15.75" customHeight="1">
      <c r="A7155" s="34"/>
    </row>
    <row r="7156" spans="1:1" ht="15.75" customHeight="1">
      <c r="A7156" s="34"/>
    </row>
    <row r="7157" spans="1:1" ht="15.75" customHeight="1">
      <c r="A7157" s="34"/>
    </row>
    <row r="7158" spans="1:1" ht="15.75" customHeight="1">
      <c r="A7158" s="34"/>
    </row>
    <row r="7159" spans="1:1" ht="15.75" customHeight="1">
      <c r="A7159" s="34"/>
    </row>
    <row r="7160" spans="1:1" ht="15.75" customHeight="1">
      <c r="A7160" s="34"/>
    </row>
    <row r="7161" spans="1:1" ht="15.75" customHeight="1">
      <c r="A7161" s="34"/>
    </row>
    <row r="7162" spans="1:1" ht="15.75" customHeight="1">
      <c r="A7162" s="34"/>
    </row>
    <row r="7163" spans="1:1" ht="15.75" customHeight="1">
      <c r="A7163" s="34"/>
    </row>
    <row r="7164" spans="1:1" ht="15.75" customHeight="1">
      <c r="A7164" s="34"/>
    </row>
    <row r="7165" spans="1:1" ht="15.75" customHeight="1">
      <c r="A7165" s="34"/>
    </row>
    <row r="7166" spans="1:1" ht="15.75" customHeight="1">
      <c r="A7166" s="34"/>
    </row>
    <row r="7167" spans="1:1" ht="15.75" customHeight="1">
      <c r="A7167" s="34"/>
    </row>
    <row r="7168" spans="1:1" ht="15.75" customHeight="1">
      <c r="A7168" s="34"/>
    </row>
    <row r="7169" spans="1:1" ht="15.75" customHeight="1">
      <c r="A7169" s="34"/>
    </row>
    <row r="7170" spans="1:1" ht="15.75" customHeight="1">
      <c r="A7170" s="34"/>
    </row>
    <row r="7171" spans="1:1" ht="15.75" customHeight="1">
      <c r="A7171" s="34"/>
    </row>
    <row r="7172" spans="1:1" ht="15.75" customHeight="1">
      <c r="A7172" s="34"/>
    </row>
    <row r="7173" spans="1:1" ht="15.75" customHeight="1">
      <c r="A7173" s="34"/>
    </row>
    <row r="7174" spans="1:1" ht="15.75" customHeight="1">
      <c r="A7174" s="34"/>
    </row>
    <row r="7175" spans="1:1" ht="15.75" customHeight="1">
      <c r="A7175" s="34"/>
    </row>
    <row r="7176" spans="1:1" ht="15.75" customHeight="1">
      <c r="A7176" s="34"/>
    </row>
    <row r="7177" spans="1:1" ht="15.75" customHeight="1">
      <c r="A7177" s="34"/>
    </row>
    <row r="7178" spans="1:1" ht="15.75" customHeight="1">
      <c r="A7178" s="34"/>
    </row>
    <row r="7179" spans="1:1" ht="15.75" customHeight="1">
      <c r="A7179" s="34"/>
    </row>
    <row r="7180" spans="1:1" ht="15.75" customHeight="1">
      <c r="A7180" s="34"/>
    </row>
    <row r="7181" spans="1:1" ht="15.75" customHeight="1">
      <c r="A7181" s="34"/>
    </row>
    <row r="7182" spans="1:1" ht="15.75" customHeight="1">
      <c r="A7182" s="34"/>
    </row>
    <row r="7183" spans="1:1" ht="15.75" customHeight="1">
      <c r="A7183" s="34"/>
    </row>
    <row r="7184" spans="1:1" ht="15.75" customHeight="1">
      <c r="A7184" s="34"/>
    </row>
    <row r="7185" spans="1:1" ht="15.75" customHeight="1">
      <c r="A7185" s="34"/>
    </row>
    <row r="7186" spans="1:1" ht="15.75" customHeight="1">
      <c r="A7186" s="34"/>
    </row>
    <row r="7187" spans="1:1" ht="15.75" customHeight="1">
      <c r="A7187" s="34"/>
    </row>
    <row r="7188" spans="1:1" ht="15.75" customHeight="1">
      <c r="A7188" s="34"/>
    </row>
    <row r="7189" spans="1:1" ht="15.75" customHeight="1">
      <c r="A7189" s="34"/>
    </row>
    <row r="7190" spans="1:1" ht="15.75" customHeight="1">
      <c r="A7190" s="34"/>
    </row>
    <row r="7191" spans="1:1" ht="15.75" customHeight="1">
      <c r="A7191" s="34"/>
    </row>
    <row r="7192" spans="1:1" ht="15.75" customHeight="1">
      <c r="A7192" s="34"/>
    </row>
    <row r="7193" spans="1:1" ht="15.75" customHeight="1">
      <c r="A7193" s="34"/>
    </row>
    <row r="7194" spans="1:1" ht="15.75" customHeight="1">
      <c r="A7194" s="34"/>
    </row>
    <row r="7195" spans="1:1" ht="15.75" customHeight="1">
      <c r="A7195" s="34"/>
    </row>
    <row r="7196" spans="1:1" ht="15.75" customHeight="1">
      <c r="A7196" s="34"/>
    </row>
    <row r="7197" spans="1:1" ht="15.75" customHeight="1">
      <c r="A7197" s="34"/>
    </row>
    <row r="7198" spans="1:1" ht="15.75" customHeight="1">
      <c r="A7198" s="34"/>
    </row>
    <row r="7199" spans="1:1" ht="15.75" customHeight="1">
      <c r="A7199" s="34"/>
    </row>
    <row r="7200" spans="1:1" ht="15.75" customHeight="1">
      <c r="A7200" s="34"/>
    </row>
    <row r="7201" spans="1:1" ht="15.75" customHeight="1">
      <c r="A7201" s="34"/>
    </row>
    <row r="7202" spans="1:1" ht="15.75" customHeight="1">
      <c r="A7202" s="34"/>
    </row>
    <row r="7203" spans="1:1" ht="15.75" customHeight="1">
      <c r="A7203" s="34"/>
    </row>
    <row r="7204" spans="1:1" ht="15.75" customHeight="1">
      <c r="A7204" s="34"/>
    </row>
    <row r="7205" spans="1:1" ht="15.75" customHeight="1">
      <c r="A7205" s="34"/>
    </row>
    <row r="7206" spans="1:1" ht="15.75" customHeight="1">
      <c r="A7206" s="34"/>
    </row>
    <row r="7207" spans="1:1" ht="15.75" customHeight="1">
      <c r="A7207" s="34"/>
    </row>
    <row r="7208" spans="1:1" ht="15.75" customHeight="1">
      <c r="A7208" s="34"/>
    </row>
    <row r="7209" spans="1:1" ht="15.75" customHeight="1">
      <c r="A7209" s="34"/>
    </row>
    <row r="7210" spans="1:1" ht="15.75" customHeight="1">
      <c r="A7210" s="34"/>
    </row>
    <row r="7211" spans="1:1" ht="15.75" customHeight="1">
      <c r="A7211" s="34"/>
    </row>
    <row r="7212" spans="1:1" ht="15.75" customHeight="1">
      <c r="A7212" s="34"/>
    </row>
    <row r="7213" spans="1:1" ht="15.75" customHeight="1">
      <c r="A7213" s="34"/>
    </row>
    <row r="7214" spans="1:1" ht="15.75" customHeight="1">
      <c r="A7214" s="34"/>
    </row>
    <row r="7215" spans="1:1" ht="15.75" customHeight="1">
      <c r="A7215" s="34"/>
    </row>
    <row r="7216" spans="1:1" ht="15.75" customHeight="1">
      <c r="A7216" s="34"/>
    </row>
    <row r="7217" spans="1:1" ht="15.75" customHeight="1">
      <c r="A7217" s="34"/>
    </row>
    <row r="7218" spans="1:1" ht="15.75" customHeight="1">
      <c r="A7218" s="34"/>
    </row>
    <row r="7219" spans="1:1" ht="15.75" customHeight="1">
      <c r="A7219" s="34"/>
    </row>
    <row r="7220" spans="1:1" ht="15.75" customHeight="1">
      <c r="A7220" s="34"/>
    </row>
    <row r="7221" spans="1:1" ht="15.75" customHeight="1">
      <c r="A7221" s="34"/>
    </row>
    <row r="7222" spans="1:1" ht="15.75" customHeight="1">
      <c r="A7222" s="34"/>
    </row>
    <row r="7223" spans="1:1" ht="15.75" customHeight="1">
      <c r="A7223" s="34"/>
    </row>
    <row r="7224" spans="1:1" ht="15.75" customHeight="1">
      <c r="A7224" s="34"/>
    </row>
    <row r="7225" spans="1:1" ht="15.75" customHeight="1">
      <c r="A7225" s="34"/>
    </row>
    <row r="7226" spans="1:1" ht="15.75" customHeight="1">
      <c r="A7226" s="34"/>
    </row>
    <row r="7227" spans="1:1" ht="15.75" customHeight="1">
      <c r="A7227" s="34"/>
    </row>
    <row r="7228" spans="1:1" ht="15.75" customHeight="1">
      <c r="A7228" s="34"/>
    </row>
    <row r="7229" spans="1:1" ht="15.75" customHeight="1">
      <c r="A7229" s="34"/>
    </row>
    <row r="7230" spans="1:1" ht="15.75" customHeight="1">
      <c r="A7230" s="34"/>
    </row>
    <row r="7231" spans="1:1" ht="15.75" customHeight="1">
      <c r="A7231" s="34"/>
    </row>
    <row r="7232" spans="1:1" ht="15.75" customHeight="1">
      <c r="A7232" s="34"/>
    </row>
    <row r="7233" spans="1:1" ht="15.75" customHeight="1">
      <c r="A7233" s="34"/>
    </row>
    <row r="7234" spans="1:1" ht="15.75" customHeight="1">
      <c r="A7234" s="34"/>
    </row>
    <row r="7235" spans="1:1" ht="15.75" customHeight="1">
      <c r="A7235" s="34"/>
    </row>
    <row r="7236" spans="1:1" ht="15.75" customHeight="1">
      <c r="A7236" s="34"/>
    </row>
    <row r="7237" spans="1:1" ht="15.75" customHeight="1">
      <c r="A7237" s="34"/>
    </row>
    <row r="7238" spans="1:1" ht="15.75" customHeight="1">
      <c r="A7238" s="34"/>
    </row>
    <row r="7239" spans="1:1" ht="15.75" customHeight="1">
      <c r="A7239" s="34"/>
    </row>
    <row r="7240" spans="1:1" ht="15.75" customHeight="1">
      <c r="A7240" s="34"/>
    </row>
    <row r="7241" spans="1:1" ht="15.75" customHeight="1">
      <c r="A7241" s="34"/>
    </row>
    <row r="7242" spans="1:1" ht="15.75" customHeight="1">
      <c r="A7242" s="34"/>
    </row>
    <row r="7243" spans="1:1" ht="15.75" customHeight="1">
      <c r="A7243" s="34"/>
    </row>
    <row r="7244" spans="1:1" ht="15.75" customHeight="1">
      <c r="A7244" s="34"/>
    </row>
    <row r="7245" spans="1:1" ht="15.75" customHeight="1">
      <c r="A7245" s="34"/>
    </row>
    <row r="7246" spans="1:1" ht="15.75" customHeight="1">
      <c r="A7246" s="34"/>
    </row>
    <row r="7247" spans="1:1" ht="15.75" customHeight="1">
      <c r="A7247" s="34"/>
    </row>
    <row r="7248" spans="1:1" ht="15.75" customHeight="1">
      <c r="A7248" s="34"/>
    </row>
    <row r="7249" spans="1:1" ht="15.75" customHeight="1">
      <c r="A7249" s="34"/>
    </row>
    <row r="7250" spans="1:1" ht="15.75" customHeight="1">
      <c r="A7250" s="34"/>
    </row>
    <row r="7251" spans="1:1" ht="15.75" customHeight="1">
      <c r="A7251" s="34"/>
    </row>
    <row r="7252" spans="1:1" ht="15.75" customHeight="1">
      <c r="A7252" s="34"/>
    </row>
    <row r="7253" spans="1:1" ht="15.75" customHeight="1">
      <c r="A7253" s="34"/>
    </row>
    <row r="7254" spans="1:1" ht="15.75" customHeight="1">
      <c r="A7254" s="34"/>
    </row>
    <row r="7255" spans="1:1" ht="15.75" customHeight="1">
      <c r="A7255" s="34"/>
    </row>
    <row r="7256" spans="1:1" ht="15.75" customHeight="1">
      <c r="A7256" s="34"/>
    </row>
    <row r="7257" spans="1:1" ht="15.75" customHeight="1">
      <c r="A7257" s="34"/>
    </row>
    <row r="7258" spans="1:1" ht="15.75" customHeight="1">
      <c r="A7258" s="34"/>
    </row>
    <row r="7259" spans="1:1" ht="15.75" customHeight="1">
      <c r="A7259" s="34"/>
    </row>
    <row r="7260" spans="1:1" ht="15.75" customHeight="1">
      <c r="A7260" s="34"/>
    </row>
    <row r="7261" spans="1:1" ht="15.75" customHeight="1">
      <c r="A7261" s="34"/>
    </row>
    <row r="7262" spans="1:1" ht="15.75" customHeight="1">
      <c r="A7262" s="34"/>
    </row>
    <row r="7263" spans="1:1" ht="15.75" customHeight="1">
      <c r="A7263" s="34"/>
    </row>
    <row r="7264" spans="1:1" ht="15.75" customHeight="1">
      <c r="A7264" s="34"/>
    </row>
    <row r="7265" spans="1:1" ht="15.75" customHeight="1">
      <c r="A7265" s="34"/>
    </row>
    <row r="7266" spans="1:1" ht="15.75" customHeight="1">
      <c r="A7266" s="34"/>
    </row>
    <row r="7267" spans="1:1" ht="15.75" customHeight="1">
      <c r="A7267" s="34"/>
    </row>
    <row r="7268" spans="1:1" ht="15.75" customHeight="1">
      <c r="A7268" s="34"/>
    </row>
    <row r="7269" spans="1:1" ht="15.75" customHeight="1">
      <c r="A7269" s="34"/>
    </row>
    <row r="7270" spans="1:1" ht="15.75" customHeight="1">
      <c r="A7270" s="34"/>
    </row>
    <row r="7271" spans="1:1" ht="15.75" customHeight="1">
      <c r="A7271" s="34"/>
    </row>
    <row r="7272" spans="1:1" ht="15.75" customHeight="1">
      <c r="A7272" s="34"/>
    </row>
    <row r="7273" spans="1:1" ht="15.75" customHeight="1">
      <c r="A7273" s="34"/>
    </row>
    <row r="7274" spans="1:1" ht="15.75" customHeight="1">
      <c r="A7274" s="34"/>
    </row>
    <row r="7275" spans="1:1" ht="15.75" customHeight="1">
      <c r="A7275" s="34"/>
    </row>
    <row r="7276" spans="1:1" ht="15.75" customHeight="1">
      <c r="A7276" s="34"/>
    </row>
    <row r="7277" spans="1:1" ht="15.75" customHeight="1">
      <c r="A7277" s="34"/>
    </row>
    <row r="7278" spans="1:1" ht="15.75" customHeight="1">
      <c r="A7278" s="34"/>
    </row>
    <row r="7279" spans="1:1" ht="15.75" customHeight="1">
      <c r="A7279" s="34"/>
    </row>
    <row r="7280" spans="1:1" ht="15.75" customHeight="1">
      <c r="A7280" s="34"/>
    </row>
    <row r="7281" spans="1:1" ht="15.75" customHeight="1">
      <c r="A7281" s="34"/>
    </row>
    <row r="7282" spans="1:1" ht="15.75" customHeight="1">
      <c r="A7282" s="34"/>
    </row>
    <row r="7283" spans="1:1" ht="15.75" customHeight="1">
      <c r="A7283" s="34"/>
    </row>
    <row r="7284" spans="1:1" ht="15.75" customHeight="1">
      <c r="A7284" s="34"/>
    </row>
    <row r="7285" spans="1:1" ht="15.75" customHeight="1">
      <c r="A7285" s="34"/>
    </row>
    <row r="7286" spans="1:1" ht="15.75" customHeight="1">
      <c r="A7286" s="34"/>
    </row>
    <row r="7287" spans="1:1" ht="15.75" customHeight="1">
      <c r="A7287" s="34"/>
    </row>
    <row r="7288" spans="1:1" ht="15.75" customHeight="1">
      <c r="A7288" s="34"/>
    </row>
    <row r="7289" spans="1:1" ht="15.75" customHeight="1">
      <c r="A7289" s="34"/>
    </row>
    <row r="7290" spans="1:1" ht="15.75" customHeight="1">
      <c r="A7290" s="34"/>
    </row>
    <row r="7291" spans="1:1" ht="15.75" customHeight="1">
      <c r="A7291" s="34"/>
    </row>
    <row r="7292" spans="1:1" ht="15.75" customHeight="1">
      <c r="A7292" s="34"/>
    </row>
    <row r="7293" spans="1:1" ht="15.75" customHeight="1">
      <c r="A7293" s="34"/>
    </row>
    <row r="7294" spans="1:1" ht="15.75" customHeight="1">
      <c r="A7294" s="34"/>
    </row>
    <row r="7295" spans="1:1" ht="15.75" customHeight="1">
      <c r="A7295" s="34"/>
    </row>
    <row r="7296" spans="1:1" ht="15.75" customHeight="1">
      <c r="A7296" s="34"/>
    </row>
    <row r="7297" spans="1:1" ht="15.75" customHeight="1">
      <c r="A7297" s="34"/>
    </row>
    <row r="7298" spans="1:1" ht="15.75" customHeight="1">
      <c r="A7298" s="34"/>
    </row>
    <row r="7299" spans="1:1" ht="15.75" customHeight="1">
      <c r="A7299" s="34"/>
    </row>
    <row r="7300" spans="1:1" ht="15.75" customHeight="1">
      <c r="A7300" s="34"/>
    </row>
    <row r="7301" spans="1:1" ht="15.75" customHeight="1">
      <c r="A7301" s="34"/>
    </row>
    <row r="7302" spans="1:1" ht="15.75" customHeight="1">
      <c r="A7302" s="34"/>
    </row>
    <row r="7303" spans="1:1" ht="15.75" customHeight="1">
      <c r="A7303" s="34"/>
    </row>
    <row r="7304" spans="1:1" ht="15.75" customHeight="1">
      <c r="A7304" s="34"/>
    </row>
    <row r="7305" spans="1:1" ht="15.75" customHeight="1">
      <c r="A7305" s="34"/>
    </row>
    <row r="7306" spans="1:1" ht="15.75" customHeight="1">
      <c r="A7306" s="34"/>
    </row>
    <row r="7307" spans="1:1" ht="15.75" customHeight="1">
      <c r="A7307" s="34"/>
    </row>
    <row r="7308" spans="1:1" ht="15.75" customHeight="1">
      <c r="A7308" s="34"/>
    </row>
    <row r="7309" spans="1:1" ht="15.75" customHeight="1">
      <c r="A7309" s="34"/>
    </row>
    <row r="7310" spans="1:1" ht="15.75" customHeight="1">
      <c r="A7310" s="34"/>
    </row>
    <row r="7311" spans="1:1" ht="15.75" customHeight="1">
      <c r="A7311" s="34"/>
    </row>
    <row r="7312" spans="1:1" ht="15.75" customHeight="1">
      <c r="A7312" s="34"/>
    </row>
    <row r="7313" spans="1:1" ht="15.75" customHeight="1">
      <c r="A7313" s="34"/>
    </row>
    <row r="7314" spans="1:1" ht="15.75" customHeight="1">
      <c r="A7314" s="34"/>
    </row>
    <row r="7315" spans="1:1" ht="15.75" customHeight="1">
      <c r="A7315" s="34"/>
    </row>
    <row r="7316" spans="1:1" ht="15.75" customHeight="1">
      <c r="A7316" s="34"/>
    </row>
    <row r="7317" spans="1:1" ht="15.75" customHeight="1">
      <c r="A7317" s="34"/>
    </row>
    <row r="7318" spans="1:1" ht="15.75" customHeight="1">
      <c r="A7318" s="34"/>
    </row>
    <row r="7319" spans="1:1" ht="15.75" customHeight="1">
      <c r="A7319" s="34"/>
    </row>
    <row r="7320" spans="1:1" ht="15.75" customHeight="1">
      <c r="A7320" s="34"/>
    </row>
    <row r="7321" spans="1:1" ht="15.75" customHeight="1">
      <c r="A7321" s="34"/>
    </row>
    <row r="7322" spans="1:1" ht="15.75" customHeight="1">
      <c r="A7322" s="34"/>
    </row>
    <row r="7323" spans="1:1" ht="15.75" customHeight="1">
      <c r="A7323" s="34"/>
    </row>
    <row r="7324" spans="1:1" ht="15.75" customHeight="1">
      <c r="A7324" s="34"/>
    </row>
    <row r="7325" spans="1:1" ht="15.75" customHeight="1">
      <c r="A7325" s="34"/>
    </row>
    <row r="7326" spans="1:1" ht="15.75" customHeight="1">
      <c r="A7326" s="34"/>
    </row>
    <row r="7327" spans="1:1" ht="15.75" customHeight="1">
      <c r="A7327" s="34"/>
    </row>
    <row r="7328" spans="1:1" ht="15.75" customHeight="1">
      <c r="A7328" s="34"/>
    </row>
    <row r="7329" spans="1:1" ht="15.75" customHeight="1">
      <c r="A7329" s="34"/>
    </row>
    <row r="7330" spans="1:1" ht="15.75" customHeight="1">
      <c r="A7330" s="34"/>
    </row>
    <row r="7331" spans="1:1" ht="15.75" customHeight="1">
      <c r="A7331" s="34"/>
    </row>
    <row r="7332" spans="1:1" ht="15.75" customHeight="1">
      <c r="A7332" s="34"/>
    </row>
    <row r="7333" spans="1:1" ht="15.75" customHeight="1">
      <c r="A7333" s="34"/>
    </row>
    <row r="7334" spans="1:1" ht="15.75" customHeight="1">
      <c r="A7334" s="34"/>
    </row>
    <row r="7335" spans="1:1" ht="15.75" customHeight="1">
      <c r="A7335" s="34"/>
    </row>
    <row r="7336" spans="1:1" ht="15.75" customHeight="1">
      <c r="A7336" s="34"/>
    </row>
    <row r="7337" spans="1:1" ht="15.75" customHeight="1">
      <c r="A7337" s="34"/>
    </row>
    <row r="7338" spans="1:1" ht="15.75" customHeight="1">
      <c r="A7338" s="34"/>
    </row>
    <row r="7339" spans="1:1" ht="15.75" customHeight="1">
      <c r="A7339" s="34"/>
    </row>
    <row r="7340" spans="1:1" ht="15.75" customHeight="1">
      <c r="A7340" s="34"/>
    </row>
    <row r="7341" spans="1:1" ht="15.75" customHeight="1">
      <c r="A7341" s="34"/>
    </row>
    <row r="7342" spans="1:1" ht="15.75" customHeight="1">
      <c r="A7342" s="34"/>
    </row>
    <row r="7343" spans="1:1" ht="15.75" customHeight="1">
      <c r="A7343" s="34"/>
    </row>
    <row r="7344" spans="1:1" ht="15.75" customHeight="1">
      <c r="A7344" s="34"/>
    </row>
    <row r="7345" spans="1:1" ht="15.75" customHeight="1">
      <c r="A7345" s="34"/>
    </row>
    <row r="7346" spans="1:1" ht="15.75" customHeight="1">
      <c r="A7346" s="34"/>
    </row>
    <row r="7347" spans="1:1" ht="15.75" customHeight="1">
      <c r="A7347" s="34"/>
    </row>
    <row r="7348" spans="1:1" ht="15.75" customHeight="1">
      <c r="A7348" s="34"/>
    </row>
    <row r="7349" spans="1:1" ht="15.75" customHeight="1">
      <c r="A7349" s="34"/>
    </row>
    <row r="7350" spans="1:1" ht="15.75" customHeight="1">
      <c r="A7350" s="34"/>
    </row>
    <row r="7351" spans="1:1" ht="15.75" customHeight="1">
      <c r="A7351" s="34"/>
    </row>
    <row r="7352" spans="1:1" ht="15.75" customHeight="1">
      <c r="A7352" s="34"/>
    </row>
    <row r="7353" spans="1:1" ht="15.75" customHeight="1">
      <c r="A7353" s="34"/>
    </row>
    <row r="7354" spans="1:1" ht="15.75" customHeight="1">
      <c r="A7354" s="34"/>
    </row>
    <row r="7355" spans="1:1" ht="15.75" customHeight="1">
      <c r="A7355" s="34"/>
    </row>
    <row r="7356" spans="1:1" ht="15.75" customHeight="1">
      <c r="A7356" s="34"/>
    </row>
    <row r="7357" spans="1:1" ht="15.75" customHeight="1">
      <c r="A7357" s="34"/>
    </row>
    <row r="7358" spans="1:1" ht="15.75" customHeight="1">
      <c r="A7358" s="34"/>
    </row>
    <row r="7359" spans="1:1" ht="15.75" customHeight="1">
      <c r="A7359" s="34"/>
    </row>
    <row r="7360" spans="1:1" ht="15.75" customHeight="1">
      <c r="A7360" s="34"/>
    </row>
    <row r="7361" spans="1:1" ht="15.75" customHeight="1">
      <c r="A7361" s="34"/>
    </row>
    <row r="7362" spans="1:1" ht="15.75" customHeight="1">
      <c r="A7362" s="34"/>
    </row>
    <row r="7363" spans="1:1" ht="15.75" customHeight="1">
      <c r="A7363" s="34"/>
    </row>
    <row r="7364" spans="1:1" ht="15.75" customHeight="1">
      <c r="A7364" s="34"/>
    </row>
    <row r="7365" spans="1:1" ht="15.75" customHeight="1">
      <c r="A7365" s="34"/>
    </row>
    <row r="7366" spans="1:1" ht="15.75" customHeight="1">
      <c r="A7366" s="34"/>
    </row>
    <row r="7367" spans="1:1" ht="15.75" customHeight="1">
      <c r="A7367" s="34"/>
    </row>
    <row r="7368" spans="1:1" ht="15.75" customHeight="1">
      <c r="A7368" s="34"/>
    </row>
    <row r="7369" spans="1:1" ht="15.75" customHeight="1">
      <c r="A7369" s="34"/>
    </row>
    <row r="7370" spans="1:1" ht="15.75" customHeight="1">
      <c r="A7370" s="34"/>
    </row>
    <row r="7371" spans="1:1" ht="15.75" customHeight="1">
      <c r="A7371" s="34"/>
    </row>
    <row r="7372" spans="1:1" ht="15.75" customHeight="1">
      <c r="A7372" s="34"/>
    </row>
    <row r="7373" spans="1:1" ht="15.75" customHeight="1">
      <c r="A7373" s="34"/>
    </row>
    <row r="7374" spans="1:1" ht="15.75" customHeight="1">
      <c r="A7374" s="34"/>
    </row>
    <row r="7375" spans="1:1" ht="15.75" customHeight="1">
      <c r="A7375" s="34"/>
    </row>
    <row r="7376" spans="1:1" ht="15.75" customHeight="1">
      <c r="A7376" s="34"/>
    </row>
    <row r="7377" spans="1:1" ht="15.75" customHeight="1">
      <c r="A7377" s="34"/>
    </row>
    <row r="7378" spans="1:1" ht="15.75" customHeight="1">
      <c r="A7378" s="34"/>
    </row>
    <row r="7379" spans="1:1" ht="15.75" customHeight="1">
      <c r="A7379" s="34"/>
    </row>
    <row r="7380" spans="1:1" ht="15.75" customHeight="1">
      <c r="A7380" s="34"/>
    </row>
    <row r="7381" spans="1:1" ht="15.75" customHeight="1">
      <c r="A7381" s="34"/>
    </row>
    <row r="7382" spans="1:1" ht="15.75" customHeight="1">
      <c r="A7382" s="34"/>
    </row>
    <row r="7383" spans="1:1" ht="15.75" customHeight="1">
      <c r="A7383" s="34"/>
    </row>
    <row r="7384" spans="1:1" ht="15.75" customHeight="1">
      <c r="A7384" s="34"/>
    </row>
    <row r="7385" spans="1:1" ht="15.75" customHeight="1">
      <c r="A7385" s="34"/>
    </row>
    <row r="7386" spans="1:1" ht="15.75" customHeight="1">
      <c r="A7386" s="34"/>
    </row>
    <row r="7387" spans="1:1" ht="15.75" customHeight="1">
      <c r="A7387" s="34"/>
    </row>
    <row r="7388" spans="1:1" ht="15.75" customHeight="1">
      <c r="A7388" s="34"/>
    </row>
    <row r="7389" spans="1:1" ht="15.75" customHeight="1">
      <c r="A7389" s="34"/>
    </row>
    <row r="7390" spans="1:1" ht="15.75" customHeight="1">
      <c r="A7390" s="34"/>
    </row>
    <row r="7391" spans="1:1" ht="15.75" customHeight="1">
      <c r="A7391" s="34"/>
    </row>
    <row r="7392" spans="1:1" ht="15.75" customHeight="1">
      <c r="A7392" s="34"/>
    </row>
    <row r="7393" spans="1:1" ht="15.75" customHeight="1">
      <c r="A7393" s="34"/>
    </row>
    <row r="7394" spans="1:1" ht="15.75" customHeight="1">
      <c r="A7394" s="34"/>
    </row>
    <row r="7395" spans="1:1" ht="15.75" customHeight="1">
      <c r="A7395" s="34"/>
    </row>
    <row r="7396" spans="1:1" ht="15.75" customHeight="1">
      <c r="A7396" s="34"/>
    </row>
    <row r="7397" spans="1:1" ht="15.75" customHeight="1">
      <c r="A7397" s="34"/>
    </row>
    <row r="7398" spans="1:1" ht="15.75" customHeight="1">
      <c r="A7398" s="34"/>
    </row>
    <row r="7399" spans="1:1" ht="15.75" customHeight="1">
      <c r="A7399" s="34"/>
    </row>
    <row r="7400" spans="1:1" ht="15.75" customHeight="1">
      <c r="A7400" s="34"/>
    </row>
    <row r="7401" spans="1:1" ht="15.75" customHeight="1">
      <c r="A7401" s="34"/>
    </row>
    <row r="7402" spans="1:1" ht="15.75" customHeight="1">
      <c r="A7402" s="34"/>
    </row>
    <row r="7403" spans="1:1" ht="15.75" customHeight="1">
      <c r="A7403" s="34"/>
    </row>
    <row r="7404" spans="1:1" ht="15.75" customHeight="1">
      <c r="A7404" s="34"/>
    </row>
    <row r="7405" spans="1:1" ht="15.75" customHeight="1">
      <c r="A7405" s="34"/>
    </row>
    <row r="7406" spans="1:1" ht="15.75" customHeight="1">
      <c r="A7406" s="34"/>
    </row>
    <row r="7407" spans="1:1" ht="15.75" customHeight="1">
      <c r="A7407" s="34"/>
    </row>
    <row r="7408" spans="1:1" ht="15.75" customHeight="1">
      <c r="A7408" s="34"/>
    </row>
    <row r="7409" spans="1:1" ht="15.75" customHeight="1">
      <c r="A7409" s="34"/>
    </row>
    <row r="7410" spans="1:1" ht="15.75" customHeight="1">
      <c r="A7410" s="34"/>
    </row>
    <row r="7411" spans="1:1" ht="15.75" customHeight="1">
      <c r="A7411" s="34"/>
    </row>
    <row r="7412" spans="1:1" ht="15.75" customHeight="1">
      <c r="A7412" s="34"/>
    </row>
    <row r="7413" spans="1:1" ht="15.75" customHeight="1">
      <c r="A7413" s="34"/>
    </row>
    <row r="7414" spans="1:1" ht="15.75" customHeight="1">
      <c r="A7414" s="34"/>
    </row>
    <row r="7415" spans="1:1" ht="15.75" customHeight="1">
      <c r="A7415" s="34"/>
    </row>
    <row r="7416" spans="1:1" ht="15.75" customHeight="1">
      <c r="A7416" s="34"/>
    </row>
    <row r="7417" spans="1:1" ht="15.75" customHeight="1">
      <c r="A7417" s="34"/>
    </row>
    <row r="7418" spans="1:1" ht="15.75" customHeight="1">
      <c r="A7418" s="34"/>
    </row>
    <row r="7419" spans="1:1" ht="15.75" customHeight="1">
      <c r="A7419" s="34"/>
    </row>
    <row r="7420" spans="1:1" ht="15.75" customHeight="1">
      <c r="A7420" s="34"/>
    </row>
    <row r="7421" spans="1:1" ht="15.75" customHeight="1">
      <c r="A7421" s="34"/>
    </row>
    <row r="7422" spans="1:1" ht="15.75" customHeight="1">
      <c r="A7422" s="34"/>
    </row>
    <row r="7423" spans="1:1" ht="15.75" customHeight="1">
      <c r="A7423" s="34"/>
    </row>
    <row r="7424" spans="1:1" ht="15.75" customHeight="1">
      <c r="A7424" s="34"/>
    </row>
    <row r="7425" spans="1:1" ht="15.75" customHeight="1">
      <c r="A7425" s="34"/>
    </row>
    <row r="7426" spans="1:1" ht="15.75" customHeight="1">
      <c r="A7426" s="34"/>
    </row>
    <row r="7427" spans="1:1" ht="15.75" customHeight="1">
      <c r="A7427" s="34"/>
    </row>
    <row r="7428" spans="1:1" ht="15.75" customHeight="1">
      <c r="A7428" s="34"/>
    </row>
    <row r="7429" spans="1:1" ht="15.75" customHeight="1">
      <c r="A7429" s="34"/>
    </row>
    <row r="7430" spans="1:1" ht="15.75" customHeight="1">
      <c r="A7430" s="34"/>
    </row>
    <row r="7431" spans="1:1" ht="15.75" customHeight="1">
      <c r="A7431" s="34"/>
    </row>
    <row r="7432" spans="1:1" ht="15.75" customHeight="1">
      <c r="A7432" s="34"/>
    </row>
    <row r="7433" spans="1:1" ht="15.75" customHeight="1">
      <c r="A7433" s="34"/>
    </row>
    <row r="7434" spans="1:1" ht="15.75" customHeight="1">
      <c r="A7434" s="34"/>
    </row>
    <row r="7435" spans="1:1" ht="15.75" customHeight="1">
      <c r="A7435" s="34"/>
    </row>
    <row r="7436" spans="1:1" ht="15.75" customHeight="1">
      <c r="A7436" s="34"/>
    </row>
    <row r="7437" spans="1:1" ht="15.75" customHeight="1">
      <c r="A7437" s="34"/>
    </row>
    <row r="7438" spans="1:1" ht="15.75" customHeight="1">
      <c r="A7438" s="34"/>
    </row>
    <row r="7439" spans="1:1" ht="15.75" customHeight="1">
      <c r="A7439" s="34"/>
    </row>
    <row r="7440" spans="1:1" ht="15.75" customHeight="1">
      <c r="A7440" s="34"/>
    </row>
    <row r="7441" spans="1:1" ht="15.75" customHeight="1">
      <c r="A7441" s="34"/>
    </row>
    <row r="7442" spans="1:1" ht="15.75" customHeight="1">
      <c r="A7442" s="34"/>
    </row>
    <row r="7443" spans="1:1" ht="15.75" customHeight="1">
      <c r="A7443" s="34"/>
    </row>
    <row r="7444" spans="1:1" ht="15.75" customHeight="1">
      <c r="A7444" s="34"/>
    </row>
    <row r="7445" spans="1:1" ht="15.75" customHeight="1">
      <c r="A7445" s="34"/>
    </row>
    <row r="7446" spans="1:1" ht="15.75" customHeight="1">
      <c r="A7446" s="34"/>
    </row>
    <row r="7447" spans="1:1" ht="15.75" customHeight="1">
      <c r="A7447" s="34"/>
    </row>
    <row r="7448" spans="1:1" ht="15.75" customHeight="1">
      <c r="A7448" s="34"/>
    </row>
    <row r="7449" spans="1:1" ht="15.75" customHeight="1">
      <c r="A7449" s="34"/>
    </row>
    <row r="7450" spans="1:1" ht="15.75" customHeight="1">
      <c r="A7450" s="34"/>
    </row>
    <row r="7451" spans="1:1" ht="15.75" customHeight="1">
      <c r="A7451" s="34"/>
    </row>
    <row r="7452" spans="1:1" ht="15.75" customHeight="1">
      <c r="A7452" s="34"/>
    </row>
    <row r="7453" spans="1:1" ht="15.75" customHeight="1">
      <c r="A7453" s="34"/>
    </row>
    <row r="7454" spans="1:1" ht="15.75" customHeight="1">
      <c r="A7454" s="34"/>
    </row>
    <row r="7455" spans="1:1" ht="15.75" customHeight="1">
      <c r="A7455" s="34"/>
    </row>
    <row r="7456" spans="1:1" ht="15.75" customHeight="1">
      <c r="A7456" s="34"/>
    </row>
    <row r="7457" spans="1:1" ht="15.75" customHeight="1">
      <c r="A7457" s="34"/>
    </row>
    <row r="7458" spans="1:1" ht="15.75" customHeight="1">
      <c r="A7458" s="34"/>
    </row>
    <row r="7459" spans="1:1" ht="15.75" customHeight="1">
      <c r="A7459" s="34"/>
    </row>
    <row r="7460" spans="1:1" ht="15.75" customHeight="1">
      <c r="A7460" s="34"/>
    </row>
    <row r="7461" spans="1:1" ht="15.75" customHeight="1">
      <c r="A7461" s="34"/>
    </row>
    <row r="7462" spans="1:1" ht="15.75" customHeight="1">
      <c r="A7462" s="34"/>
    </row>
    <row r="7463" spans="1:1" ht="15.75" customHeight="1">
      <c r="A7463" s="34"/>
    </row>
    <row r="7464" spans="1:1" ht="15.75" customHeight="1">
      <c r="A7464" s="34"/>
    </row>
    <row r="7465" spans="1:1" ht="15.75" customHeight="1">
      <c r="A7465" s="34"/>
    </row>
    <row r="7466" spans="1:1" ht="15.75" customHeight="1">
      <c r="A7466" s="34"/>
    </row>
    <row r="7467" spans="1:1" ht="15.75" customHeight="1">
      <c r="A7467" s="34"/>
    </row>
    <row r="7468" spans="1:1" ht="15.75" customHeight="1">
      <c r="A7468" s="34"/>
    </row>
    <row r="7469" spans="1:1" ht="15.75" customHeight="1">
      <c r="A7469" s="34"/>
    </row>
    <row r="7470" spans="1:1" ht="15.75" customHeight="1">
      <c r="A7470" s="34"/>
    </row>
    <row r="7471" spans="1:1" ht="15.75" customHeight="1">
      <c r="A7471" s="34"/>
    </row>
    <row r="7472" spans="1:1" ht="15.75" customHeight="1">
      <c r="A7472" s="34"/>
    </row>
    <row r="7473" spans="1:1" ht="15.75" customHeight="1">
      <c r="A7473" s="34"/>
    </row>
    <row r="7474" spans="1:1" ht="15.75" customHeight="1">
      <c r="A7474" s="34"/>
    </row>
    <row r="7475" spans="1:1" ht="15.75" customHeight="1">
      <c r="A7475" s="34"/>
    </row>
    <row r="7476" spans="1:1" ht="15.75" customHeight="1">
      <c r="A7476" s="34"/>
    </row>
    <row r="7477" spans="1:1" ht="15.75" customHeight="1">
      <c r="A7477" s="34"/>
    </row>
    <row r="7478" spans="1:1" ht="15.75" customHeight="1">
      <c r="A7478" s="34"/>
    </row>
    <row r="7479" spans="1:1" ht="15.75" customHeight="1">
      <c r="A7479" s="34"/>
    </row>
    <row r="7480" spans="1:1" ht="15.75" customHeight="1">
      <c r="A7480" s="34"/>
    </row>
    <row r="7481" spans="1:1" ht="15.75" customHeight="1">
      <c r="A7481" s="34"/>
    </row>
    <row r="7482" spans="1:1" ht="15.75" customHeight="1">
      <c r="A7482" s="34"/>
    </row>
    <row r="7483" spans="1:1" ht="15.75" customHeight="1">
      <c r="A7483" s="34"/>
    </row>
    <row r="7484" spans="1:1" ht="15.75" customHeight="1">
      <c r="A7484" s="34"/>
    </row>
    <row r="7485" spans="1:1" ht="15.75" customHeight="1">
      <c r="A7485" s="34"/>
    </row>
    <row r="7486" spans="1:1" ht="15.75" customHeight="1">
      <c r="A7486" s="34"/>
    </row>
    <row r="7487" spans="1:1" ht="15.75" customHeight="1">
      <c r="A7487" s="34"/>
    </row>
    <row r="7488" spans="1:1" ht="15.75" customHeight="1">
      <c r="A7488" s="34"/>
    </row>
    <row r="7489" spans="1:1" ht="15.75" customHeight="1">
      <c r="A7489" s="34"/>
    </row>
    <row r="7490" spans="1:1" ht="15.75" customHeight="1">
      <c r="A7490" s="34"/>
    </row>
    <row r="7491" spans="1:1" ht="15.75" customHeight="1">
      <c r="A7491" s="34"/>
    </row>
    <row r="7492" spans="1:1" ht="15.75" customHeight="1">
      <c r="A7492" s="34"/>
    </row>
    <row r="7493" spans="1:1" ht="15.75" customHeight="1">
      <c r="A7493" s="34"/>
    </row>
    <row r="7494" spans="1:1" ht="15.75" customHeight="1">
      <c r="A7494" s="34"/>
    </row>
    <row r="7495" spans="1:1" ht="15.75" customHeight="1">
      <c r="A7495" s="34"/>
    </row>
    <row r="7496" spans="1:1" ht="15.75" customHeight="1">
      <c r="A7496" s="34"/>
    </row>
    <row r="7497" spans="1:1" ht="15.75" customHeight="1">
      <c r="A7497" s="34"/>
    </row>
    <row r="7498" spans="1:1" ht="15.75" customHeight="1">
      <c r="A7498" s="34"/>
    </row>
    <row r="7499" spans="1:1" ht="15.75" customHeight="1">
      <c r="A7499" s="34"/>
    </row>
    <row r="7500" spans="1:1" ht="15.75" customHeight="1">
      <c r="A7500" s="34"/>
    </row>
    <row r="7501" spans="1:1" ht="15.75" customHeight="1">
      <c r="A7501" s="34"/>
    </row>
    <row r="7502" spans="1:1" ht="15.75" customHeight="1">
      <c r="A7502" s="34"/>
    </row>
    <row r="7503" spans="1:1" ht="15.75" customHeight="1">
      <c r="A7503" s="34"/>
    </row>
    <row r="7504" spans="1:1" ht="15.75" customHeight="1">
      <c r="A7504" s="34"/>
    </row>
    <row r="7505" spans="1:1" ht="15.75" customHeight="1">
      <c r="A7505" s="34"/>
    </row>
    <row r="7506" spans="1:1" ht="15.75" customHeight="1">
      <c r="A7506" s="34"/>
    </row>
    <row r="7507" spans="1:1" ht="15.75" customHeight="1">
      <c r="A7507" s="34"/>
    </row>
    <row r="7508" spans="1:1" ht="15.75" customHeight="1">
      <c r="A7508" s="34"/>
    </row>
    <row r="7509" spans="1:1" ht="15.75" customHeight="1">
      <c r="A7509" s="34"/>
    </row>
    <row r="7510" spans="1:1" ht="15.75" customHeight="1">
      <c r="A7510" s="34"/>
    </row>
    <row r="7511" spans="1:1" ht="15.75" customHeight="1">
      <c r="A7511" s="34"/>
    </row>
    <row r="7512" spans="1:1" ht="15.75" customHeight="1">
      <c r="A7512" s="34"/>
    </row>
    <row r="7513" spans="1:1" ht="15.75" customHeight="1">
      <c r="A7513" s="34"/>
    </row>
    <row r="7514" spans="1:1" ht="15.75" customHeight="1">
      <c r="A7514" s="34"/>
    </row>
    <row r="7515" spans="1:1" ht="15.75" customHeight="1">
      <c r="A7515" s="34"/>
    </row>
    <row r="7516" spans="1:1" ht="15.75" customHeight="1">
      <c r="A7516" s="34"/>
    </row>
    <row r="7517" spans="1:1" ht="15.75" customHeight="1">
      <c r="A7517" s="34"/>
    </row>
    <row r="7518" spans="1:1" ht="15.75" customHeight="1">
      <c r="A7518" s="34"/>
    </row>
    <row r="7519" spans="1:1" ht="15.75" customHeight="1">
      <c r="A7519" s="34"/>
    </row>
    <row r="7520" spans="1:1" ht="15.75" customHeight="1">
      <c r="A7520" s="34"/>
    </row>
    <row r="7521" spans="1:1" ht="15.75" customHeight="1">
      <c r="A7521" s="34"/>
    </row>
    <row r="7522" spans="1:1" ht="15.75" customHeight="1">
      <c r="A7522" s="34"/>
    </row>
    <row r="7523" spans="1:1" ht="15.75" customHeight="1">
      <c r="A7523" s="34"/>
    </row>
    <row r="7524" spans="1:1" ht="15.75" customHeight="1">
      <c r="A7524" s="34"/>
    </row>
    <row r="7525" spans="1:1" ht="15.75" customHeight="1">
      <c r="A7525" s="34"/>
    </row>
    <row r="7526" spans="1:1" ht="15.75" customHeight="1">
      <c r="A7526" s="34"/>
    </row>
    <row r="7527" spans="1:1" ht="15.75" customHeight="1">
      <c r="A7527" s="34"/>
    </row>
    <row r="7528" spans="1:1" ht="15.75" customHeight="1">
      <c r="A7528" s="34"/>
    </row>
    <row r="7529" spans="1:1" ht="15.75" customHeight="1">
      <c r="A7529" s="34"/>
    </row>
    <row r="7530" spans="1:1" ht="15.75" customHeight="1">
      <c r="A7530" s="34"/>
    </row>
    <row r="7531" spans="1:1" ht="15.75" customHeight="1">
      <c r="A7531" s="34"/>
    </row>
    <row r="7532" spans="1:1" ht="15.75" customHeight="1">
      <c r="A7532" s="34"/>
    </row>
    <row r="7533" spans="1:1" ht="15.75" customHeight="1">
      <c r="A7533" s="34"/>
    </row>
    <row r="7534" spans="1:1" ht="15.75" customHeight="1">
      <c r="A7534" s="34"/>
    </row>
    <row r="7535" spans="1:1" ht="15.75" customHeight="1">
      <c r="A7535" s="34"/>
    </row>
    <row r="7536" spans="1:1" ht="15.75" customHeight="1">
      <c r="A7536" s="34"/>
    </row>
    <row r="7537" spans="1:1" ht="15.75" customHeight="1">
      <c r="A7537" s="34"/>
    </row>
    <row r="7538" spans="1:1" ht="15.75" customHeight="1">
      <c r="A7538" s="34"/>
    </row>
    <row r="7539" spans="1:1" ht="15.75" customHeight="1">
      <c r="A7539" s="34"/>
    </row>
    <row r="7540" spans="1:1" ht="15.75" customHeight="1">
      <c r="A7540" s="34"/>
    </row>
    <row r="7541" spans="1:1" ht="15.75" customHeight="1">
      <c r="A7541" s="34"/>
    </row>
    <row r="7542" spans="1:1" ht="15.75" customHeight="1">
      <c r="A7542" s="34"/>
    </row>
    <row r="7543" spans="1:1" ht="15.75" customHeight="1">
      <c r="A7543" s="34"/>
    </row>
    <row r="7544" spans="1:1" ht="15.75" customHeight="1">
      <c r="A7544" s="34"/>
    </row>
    <row r="7545" spans="1:1" ht="15.75" customHeight="1">
      <c r="A7545" s="34"/>
    </row>
    <row r="7546" spans="1:1" ht="15.75" customHeight="1">
      <c r="A7546" s="34"/>
    </row>
    <row r="7547" spans="1:1" ht="15.75" customHeight="1">
      <c r="A7547" s="34"/>
    </row>
    <row r="7548" spans="1:1" ht="15.75" customHeight="1">
      <c r="A7548" s="34"/>
    </row>
    <row r="7549" spans="1:1" ht="15.75" customHeight="1">
      <c r="A7549" s="34"/>
    </row>
    <row r="7550" spans="1:1" ht="15.75" customHeight="1">
      <c r="A7550" s="34"/>
    </row>
    <row r="7551" spans="1:1" ht="15.75" customHeight="1">
      <c r="A7551" s="34"/>
    </row>
    <row r="7552" spans="1:1" ht="15.75" customHeight="1">
      <c r="A7552" s="34"/>
    </row>
    <row r="7553" spans="1:1" ht="15.75" customHeight="1">
      <c r="A7553" s="34"/>
    </row>
    <row r="7554" spans="1:1" ht="15.75" customHeight="1">
      <c r="A7554" s="34"/>
    </row>
    <row r="7555" spans="1:1" ht="15.75" customHeight="1">
      <c r="A7555" s="34"/>
    </row>
    <row r="7556" spans="1:1" ht="15.75" customHeight="1">
      <c r="A7556" s="34"/>
    </row>
    <row r="7557" spans="1:1" ht="15.75" customHeight="1">
      <c r="A7557" s="34"/>
    </row>
    <row r="7558" spans="1:1" ht="15.75" customHeight="1">
      <c r="A7558" s="34"/>
    </row>
    <row r="7559" spans="1:1" ht="15.75" customHeight="1">
      <c r="A7559" s="34"/>
    </row>
    <row r="7560" spans="1:1" ht="15.75" customHeight="1">
      <c r="A7560" s="34"/>
    </row>
    <row r="7561" spans="1:1" ht="15.75" customHeight="1">
      <c r="A7561" s="34"/>
    </row>
    <row r="7562" spans="1:1" ht="15.75" customHeight="1">
      <c r="A7562" s="34"/>
    </row>
    <row r="7563" spans="1:1" ht="15.75" customHeight="1">
      <c r="A7563" s="34"/>
    </row>
    <row r="7564" spans="1:1" ht="15.75" customHeight="1">
      <c r="A7564" s="34"/>
    </row>
    <row r="7565" spans="1:1" ht="15.75" customHeight="1">
      <c r="A7565" s="34"/>
    </row>
    <row r="7566" spans="1:1" ht="15.75" customHeight="1">
      <c r="A7566" s="34"/>
    </row>
    <row r="7567" spans="1:1" ht="15.75" customHeight="1">
      <c r="A7567" s="34"/>
    </row>
    <row r="7568" spans="1:1" ht="15.75" customHeight="1">
      <c r="A7568" s="34"/>
    </row>
    <row r="7569" spans="1:1" ht="15.75" customHeight="1">
      <c r="A7569" s="34"/>
    </row>
    <row r="7570" spans="1:1" ht="15.75" customHeight="1">
      <c r="A7570" s="34"/>
    </row>
    <row r="7571" spans="1:1" ht="15.75" customHeight="1">
      <c r="A7571" s="34"/>
    </row>
    <row r="7572" spans="1:1" ht="15.75" customHeight="1">
      <c r="A7572" s="34"/>
    </row>
    <row r="7573" spans="1:1" ht="15.75" customHeight="1">
      <c r="A7573" s="34"/>
    </row>
    <row r="7574" spans="1:1" ht="15.75" customHeight="1">
      <c r="A7574" s="34"/>
    </row>
    <row r="7575" spans="1:1" ht="15.75" customHeight="1">
      <c r="A7575" s="34"/>
    </row>
    <row r="7576" spans="1:1" ht="15.75" customHeight="1">
      <c r="A7576" s="34"/>
    </row>
    <row r="7577" spans="1:1" ht="15.75" customHeight="1">
      <c r="A7577" s="34"/>
    </row>
    <row r="7578" spans="1:1" ht="15.75" customHeight="1">
      <c r="A7578" s="34"/>
    </row>
    <row r="7579" spans="1:1" ht="15.75" customHeight="1">
      <c r="A7579" s="34"/>
    </row>
    <row r="7580" spans="1:1" ht="15.75" customHeight="1">
      <c r="A7580" s="34"/>
    </row>
    <row r="7581" spans="1:1" ht="15.75" customHeight="1">
      <c r="A7581" s="34"/>
    </row>
    <row r="7582" spans="1:1" ht="15.75" customHeight="1">
      <c r="A7582" s="34"/>
    </row>
    <row r="7583" spans="1:1" ht="15.75" customHeight="1">
      <c r="A7583" s="34"/>
    </row>
    <row r="7584" spans="1:1" ht="15.75" customHeight="1">
      <c r="A7584" s="34"/>
    </row>
    <row r="7585" spans="1:1" ht="15.75" customHeight="1">
      <c r="A7585" s="34"/>
    </row>
    <row r="7586" spans="1:1" ht="15.75" customHeight="1">
      <c r="A7586" s="34"/>
    </row>
    <row r="7587" spans="1:1" ht="15.75" customHeight="1">
      <c r="A7587" s="34"/>
    </row>
    <row r="7588" spans="1:1" ht="15.75" customHeight="1">
      <c r="A7588" s="34"/>
    </row>
    <row r="7589" spans="1:1" ht="15.75" customHeight="1">
      <c r="A7589" s="34"/>
    </row>
    <row r="7590" spans="1:1" ht="15.75" customHeight="1">
      <c r="A7590" s="34"/>
    </row>
    <row r="7591" spans="1:1" ht="15.75" customHeight="1">
      <c r="A7591" s="34"/>
    </row>
    <row r="7592" spans="1:1" ht="15.75" customHeight="1">
      <c r="A7592" s="34"/>
    </row>
    <row r="7593" spans="1:1" ht="15.75" customHeight="1">
      <c r="A7593" s="34"/>
    </row>
    <row r="7594" spans="1:1" ht="15.75" customHeight="1">
      <c r="A7594" s="34"/>
    </row>
    <row r="7595" spans="1:1" ht="15.75" customHeight="1">
      <c r="A7595" s="34"/>
    </row>
    <row r="7596" spans="1:1" ht="15.75" customHeight="1">
      <c r="A7596" s="34"/>
    </row>
    <row r="7597" spans="1:1" ht="15.75" customHeight="1">
      <c r="A7597" s="34"/>
    </row>
    <row r="7598" spans="1:1" ht="15.75" customHeight="1">
      <c r="A7598" s="34"/>
    </row>
    <row r="7599" spans="1:1" ht="15.75" customHeight="1">
      <c r="A7599" s="34"/>
    </row>
    <row r="7600" spans="1:1" ht="15.75" customHeight="1">
      <c r="A7600" s="34"/>
    </row>
    <row r="7601" spans="1:1" ht="15.75" customHeight="1">
      <c r="A7601" s="34"/>
    </row>
    <row r="7602" spans="1:1" ht="15.75" customHeight="1">
      <c r="A7602" s="34"/>
    </row>
    <row r="7603" spans="1:1" ht="15.75" customHeight="1">
      <c r="A7603" s="34"/>
    </row>
    <row r="7604" spans="1:1" ht="15.75" customHeight="1">
      <c r="A7604" s="34"/>
    </row>
    <row r="7605" spans="1:1" ht="15.75" customHeight="1">
      <c r="A7605" s="34"/>
    </row>
    <row r="7606" spans="1:1" ht="15.75" customHeight="1">
      <c r="A7606" s="34"/>
    </row>
    <row r="7607" spans="1:1" ht="15.75" customHeight="1">
      <c r="A7607" s="34"/>
    </row>
    <row r="7608" spans="1:1" ht="15.75" customHeight="1">
      <c r="A7608" s="34"/>
    </row>
    <row r="7609" spans="1:1" ht="15.75" customHeight="1">
      <c r="A7609" s="34"/>
    </row>
    <row r="7610" spans="1:1" ht="15.75" customHeight="1">
      <c r="A7610" s="34"/>
    </row>
    <row r="7611" spans="1:1" ht="15.75" customHeight="1">
      <c r="A7611" s="34"/>
    </row>
    <row r="7612" spans="1:1" ht="15.75" customHeight="1">
      <c r="A7612" s="34"/>
    </row>
    <row r="7613" spans="1:1" ht="15.75" customHeight="1">
      <c r="A7613" s="34"/>
    </row>
    <row r="7614" spans="1:1" ht="15.75" customHeight="1">
      <c r="A7614" s="34"/>
    </row>
    <row r="7615" spans="1:1" ht="15.75" customHeight="1">
      <c r="A7615" s="34"/>
    </row>
    <row r="7616" spans="1:1" ht="15.75" customHeight="1">
      <c r="A7616" s="34"/>
    </row>
    <row r="7617" spans="1:1" ht="15.75" customHeight="1">
      <c r="A7617" s="34"/>
    </row>
    <row r="7618" spans="1:1" ht="15.75" customHeight="1">
      <c r="A7618" s="34"/>
    </row>
    <row r="7619" spans="1:1" ht="15.75" customHeight="1">
      <c r="A7619" s="34"/>
    </row>
    <row r="7620" spans="1:1" ht="15.75" customHeight="1">
      <c r="A7620" s="34"/>
    </row>
    <row r="7621" spans="1:1" ht="15.75" customHeight="1">
      <c r="A7621" s="34"/>
    </row>
    <row r="7622" spans="1:1" ht="15.75" customHeight="1">
      <c r="A7622" s="34"/>
    </row>
    <row r="7623" spans="1:1" ht="15.75" customHeight="1">
      <c r="A7623" s="34"/>
    </row>
    <row r="7624" spans="1:1" ht="15.75" customHeight="1">
      <c r="A7624" s="34"/>
    </row>
    <row r="7625" spans="1:1" ht="15.75" customHeight="1">
      <c r="A7625" s="34"/>
    </row>
    <row r="7626" spans="1:1" ht="15.75" customHeight="1">
      <c r="A7626" s="34"/>
    </row>
    <row r="7627" spans="1:1" ht="15.75" customHeight="1">
      <c r="A7627" s="34"/>
    </row>
    <row r="7628" spans="1:1" ht="15.75" customHeight="1">
      <c r="A7628" s="34"/>
    </row>
    <row r="7629" spans="1:1" ht="15.75" customHeight="1">
      <c r="A7629" s="34"/>
    </row>
    <row r="7630" spans="1:1" ht="15.75" customHeight="1">
      <c r="A7630" s="34"/>
    </row>
    <row r="7631" spans="1:1" ht="15.75" customHeight="1">
      <c r="A7631" s="34"/>
    </row>
    <row r="7632" spans="1:1" ht="15.75" customHeight="1">
      <c r="A7632" s="34"/>
    </row>
    <row r="7633" spans="1:1" ht="15.75" customHeight="1">
      <c r="A7633" s="34"/>
    </row>
    <row r="7634" spans="1:1" ht="15.75" customHeight="1">
      <c r="A7634" s="34"/>
    </row>
    <row r="7635" spans="1:1" ht="15.75" customHeight="1">
      <c r="A7635" s="34"/>
    </row>
    <row r="7636" spans="1:1" ht="15.75" customHeight="1">
      <c r="A7636" s="34"/>
    </row>
    <row r="7637" spans="1:1" ht="15.75" customHeight="1">
      <c r="A7637" s="34"/>
    </row>
    <row r="7638" spans="1:1" ht="15.75" customHeight="1">
      <c r="A7638" s="34"/>
    </row>
    <row r="7639" spans="1:1" ht="15.75" customHeight="1">
      <c r="A7639" s="34"/>
    </row>
    <row r="7640" spans="1:1" ht="15.75" customHeight="1">
      <c r="A7640" s="34"/>
    </row>
    <row r="7641" spans="1:1" ht="15.75" customHeight="1">
      <c r="A7641" s="34"/>
    </row>
    <row r="7642" spans="1:1" ht="15.75" customHeight="1">
      <c r="A7642" s="34"/>
    </row>
    <row r="7643" spans="1:1" ht="15.75" customHeight="1">
      <c r="A7643" s="34"/>
    </row>
    <row r="7644" spans="1:1" ht="15.75" customHeight="1">
      <c r="A7644" s="34"/>
    </row>
    <row r="7645" spans="1:1" ht="15.75" customHeight="1">
      <c r="A7645" s="34"/>
    </row>
    <row r="7646" spans="1:1" ht="15.75" customHeight="1">
      <c r="A7646" s="34"/>
    </row>
    <row r="7647" spans="1:1" ht="15.75" customHeight="1">
      <c r="A7647" s="34"/>
    </row>
    <row r="7648" spans="1:1" ht="15.75" customHeight="1">
      <c r="A7648" s="34"/>
    </row>
    <row r="7649" spans="1:1" ht="15.75" customHeight="1">
      <c r="A7649" s="34"/>
    </row>
    <row r="7650" spans="1:1" ht="15.75" customHeight="1">
      <c r="A7650" s="34"/>
    </row>
    <row r="7651" spans="1:1" ht="15.75" customHeight="1">
      <c r="A7651" s="34"/>
    </row>
    <row r="7652" spans="1:1" ht="15.75" customHeight="1">
      <c r="A7652" s="34"/>
    </row>
    <row r="7653" spans="1:1" ht="15.75" customHeight="1">
      <c r="A7653" s="34"/>
    </row>
    <row r="7654" spans="1:1" ht="15.75" customHeight="1">
      <c r="A7654" s="34"/>
    </row>
    <row r="7655" spans="1:1" ht="15.75" customHeight="1">
      <c r="A7655" s="34"/>
    </row>
    <row r="7656" spans="1:1" ht="15.75" customHeight="1">
      <c r="A7656" s="34"/>
    </row>
    <row r="7657" spans="1:1" ht="15.75" customHeight="1">
      <c r="A7657" s="34"/>
    </row>
    <row r="7658" spans="1:1" ht="15.75" customHeight="1">
      <c r="A7658" s="34"/>
    </row>
    <row r="7659" spans="1:1" ht="15.75" customHeight="1">
      <c r="A7659" s="34"/>
    </row>
    <row r="7660" spans="1:1" ht="15.75" customHeight="1">
      <c r="A7660" s="34"/>
    </row>
    <row r="7661" spans="1:1" ht="15.75" customHeight="1">
      <c r="A7661" s="34"/>
    </row>
    <row r="7662" spans="1:1" ht="15.75" customHeight="1">
      <c r="A7662" s="34"/>
    </row>
    <row r="7663" spans="1:1" ht="15.75" customHeight="1">
      <c r="A7663" s="34"/>
    </row>
    <row r="7664" spans="1:1" ht="15.75" customHeight="1">
      <c r="A7664" s="34"/>
    </row>
    <row r="7665" spans="1:1" ht="15.75" customHeight="1">
      <c r="A7665" s="34"/>
    </row>
    <row r="7666" spans="1:1" ht="15.75" customHeight="1">
      <c r="A7666" s="34"/>
    </row>
    <row r="7667" spans="1:1" ht="15.75" customHeight="1">
      <c r="A7667" s="34"/>
    </row>
    <row r="7668" spans="1:1" ht="15.75" customHeight="1">
      <c r="A7668" s="34"/>
    </row>
    <row r="7669" spans="1:1" ht="15.75" customHeight="1">
      <c r="A7669" s="34"/>
    </row>
    <row r="7670" spans="1:1" ht="15.75" customHeight="1">
      <c r="A7670" s="34"/>
    </row>
    <row r="7671" spans="1:1" ht="15.75" customHeight="1">
      <c r="A7671" s="34"/>
    </row>
    <row r="7672" spans="1:1" ht="15.75" customHeight="1">
      <c r="A7672" s="34"/>
    </row>
    <row r="7673" spans="1:1" ht="15.75" customHeight="1">
      <c r="A7673" s="34"/>
    </row>
    <row r="7674" spans="1:1" ht="15.75" customHeight="1">
      <c r="A7674" s="34"/>
    </row>
    <row r="7675" spans="1:1" ht="15.75" customHeight="1">
      <c r="A7675" s="34"/>
    </row>
    <row r="7676" spans="1:1" ht="15.75" customHeight="1">
      <c r="A7676" s="34"/>
    </row>
    <row r="7677" spans="1:1" ht="15.75" customHeight="1">
      <c r="A7677" s="34"/>
    </row>
    <row r="7678" spans="1:1" ht="15.75" customHeight="1">
      <c r="A7678" s="34"/>
    </row>
    <row r="7679" spans="1:1" ht="15.75" customHeight="1">
      <c r="A7679" s="34"/>
    </row>
    <row r="7680" spans="1:1" ht="15.75" customHeight="1">
      <c r="A7680" s="34"/>
    </row>
    <row r="7681" spans="1:1" ht="15.75" customHeight="1">
      <c r="A7681" s="34"/>
    </row>
    <row r="7682" spans="1:1" ht="15.75" customHeight="1">
      <c r="A7682" s="34"/>
    </row>
    <row r="7683" spans="1:1" ht="15.75" customHeight="1">
      <c r="A7683" s="34"/>
    </row>
    <row r="7684" spans="1:1" ht="15.75" customHeight="1">
      <c r="A7684" s="34"/>
    </row>
    <row r="7685" spans="1:1" ht="15.75" customHeight="1">
      <c r="A7685" s="34"/>
    </row>
    <row r="7686" spans="1:1" ht="15.75" customHeight="1">
      <c r="A7686" s="34"/>
    </row>
    <row r="7687" spans="1:1" ht="15.75" customHeight="1">
      <c r="A7687" s="34"/>
    </row>
    <row r="7688" spans="1:1" ht="15.75" customHeight="1">
      <c r="A7688" s="34"/>
    </row>
    <row r="7689" spans="1:1" ht="15.75" customHeight="1">
      <c r="A7689" s="34"/>
    </row>
    <row r="7690" spans="1:1" ht="15.75" customHeight="1">
      <c r="A7690" s="34"/>
    </row>
    <row r="7691" spans="1:1" ht="15.75" customHeight="1">
      <c r="A7691" s="34"/>
    </row>
    <row r="7692" spans="1:1" ht="15.75" customHeight="1">
      <c r="A7692" s="34"/>
    </row>
    <row r="7693" spans="1:1" ht="15.75" customHeight="1">
      <c r="A7693" s="34"/>
    </row>
    <row r="7694" spans="1:1" ht="15.75" customHeight="1">
      <c r="A7694" s="34"/>
    </row>
    <row r="7695" spans="1:1" ht="15.75" customHeight="1">
      <c r="A7695" s="34"/>
    </row>
    <row r="7696" spans="1:1" ht="15.75" customHeight="1">
      <c r="A7696" s="34"/>
    </row>
    <row r="7697" spans="1:1" ht="15.75" customHeight="1">
      <c r="A7697" s="34"/>
    </row>
    <row r="7698" spans="1:1" ht="15.75" customHeight="1">
      <c r="A7698" s="34"/>
    </row>
    <row r="7699" spans="1:1" ht="15.75" customHeight="1">
      <c r="A7699" s="34"/>
    </row>
    <row r="7700" spans="1:1" ht="15.75" customHeight="1">
      <c r="A7700" s="34"/>
    </row>
    <row r="7701" spans="1:1" ht="15.75" customHeight="1">
      <c r="A7701" s="34"/>
    </row>
    <row r="7702" spans="1:1" ht="15.75" customHeight="1">
      <c r="A7702" s="34"/>
    </row>
    <row r="7703" spans="1:1" ht="15.75" customHeight="1">
      <c r="A7703" s="34"/>
    </row>
    <row r="7704" spans="1:1" ht="15.75" customHeight="1">
      <c r="A7704" s="34"/>
    </row>
    <row r="7705" spans="1:1" ht="15.75" customHeight="1">
      <c r="A7705" s="34"/>
    </row>
    <row r="7706" spans="1:1" ht="15.75" customHeight="1">
      <c r="A7706" s="34"/>
    </row>
    <row r="7707" spans="1:1" ht="15.75" customHeight="1">
      <c r="A7707" s="34"/>
    </row>
    <row r="7708" spans="1:1" ht="15.75" customHeight="1">
      <c r="A7708" s="34"/>
    </row>
    <row r="7709" spans="1:1" ht="15.75" customHeight="1">
      <c r="A7709" s="34"/>
    </row>
    <row r="7710" spans="1:1" ht="15.75" customHeight="1">
      <c r="A7710" s="34"/>
    </row>
    <row r="7711" spans="1:1" ht="15.75" customHeight="1">
      <c r="A7711" s="34"/>
    </row>
    <row r="7712" spans="1:1" ht="15.75" customHeight="1">
      <c r="A7712" s="34"/>
    </row>
    <row r="7713" spans="1:1" ht="15.75" customHeight="1">
      <c r="A7713" s="34"/>
    </row>
    <row r="7714" spans="1:1" ht="15.75" customHeight="1">
      <c r="A7714" s="34"/>
    </row>
    <row r="7715" spans="1:1" ht="15.75" customHeight="1">
      <c r="A7715" s="34"/>
    </row>
    <row r="7716" spans="1:1" ht="15.75" customHeight="1">
      <c r="A7716" s="34"/>
    </row>
    <row r="7717" spans="1:1" ht="15.75" customHeight="1">
      <c r="A7717" s="34"/>
    </row>
    <row r="7718" spans="1:1" ht="15.75" customHeight="1">
      <c r="A7718" s="34"/>
    </row>
    <row r="7719" spans="1:1" ht="15.75" customHeight="1">
      <c r="A7719" s="34"/>
    </row>
    <row r="7720" spans="1:1" ht="15.75" customHeight="1">
      <c r="A7720" s="34"/>
    </row>
    <row r="7721" spans="1:1" ht="15.75" customHeight="1">
      <c r="A7721" s="34"/>
    </row>
    <row r="7722" spans="1:1" ht="15.75" customHeight="1">
      <c r="A7722" s="34"/>
    </row>
    <row r="7723" spans="1:1" ht="15.75" customHeight="1">
      <c r="A7723" s="34"/>
    </row>
    <row r="7724" spans="1:1" ht="15.75" customHeight="1">
      <c r="A7724" s="34"/>
    </row>
    <row r="7725" spans="1:1" ht="15.75" customHeight="1">
      <c r="A7725" s="34"/>
    </row>
    <row r="7726" spans="1:1" ht="15.75" customHeight="1">
      <c r="A7726" s="34"/>
    </row>
    <row r="7727" spans="1:1" ht="15.75" customHeight="1">
      <c r="A7727" s="34"/>
    </row>
    <row r="7728" spans="1:1" ht="15.75" customHeight="1">
      <c r="A7728" s="34"/>
    </row>
    <row r="7729" spans="1:1" ht="15.75" customHeight="1">
      <c r="A7729" s="34"/>
    </row>
    <row r="7730" spans="1:1" ht="15.75" customHeight="1">
      <c r="A7730" s="34"/>
    </row>
    <row r="7731" spans="1:1" ht="15.75" customHeight="1">
      <c r="A7731" s="34"/>
    </row>
    <row r="7732" spans="1:1" ht="15.75" customHeight="1">
      <c r="A7732" s="34"/>
    </row>
    <row r="7733" spans="1:1" ht="15.75" customHeight="1">
      <c r="A7733" s="34"/>
    </row>
    <row r="7734" spans="1:1" ht="15.75" customHeight="1">
      <c r="A7734" s="34"/>
    </row>
    <row r="7735" spans="1:1" ht="15.75" customHeight="1">
      <c r="A7735" s="34"/>
    </row>
    <row r="7736" spans="1:1" ht="15.75" customHeight="1">
      <c r="A7736" s="34"/>
    </row>
    <row r="7737" spans="1:1" ht="15.75" customHeight="1">
      <c r="A7737" s="34"/>
    </row>
    <row r="7738" spans="1:1" ht="15.75" customHeight="1">
      <c r="A7738" s="34"/>
    </row>
    <row r="7739" spans="1:1" ht="15.75" customHeight="1">
      <c r="A7739" s="34"/>
    </row>
    <row r="7740" spans="1:1" ht="15.75" customHeight="1">
      <c r="A7740" s="34"/>
    </row>
    <row r="7741" spans="1:1" ht="15.75" customHeight="1">
      <c r="A7741" s="34"/>
    </row>
    <row r="7742" spans="1:1" ht="15.75" customHeight="1">
      <c r="A7742" s="34"/>
    </row>
    <row r="7743" spans="1:1" ht="15.75" customHeight="1">
      <c r="A7743" s="34"/>
    </row>
    <row r="7744" spans="1:1" ht="15.75" customHeight="1">
      <c r="A7744" s="34"/>
    </row>
    <row r="7745" spans="1:1" ht="15.75" customHeight="1">
      <c r="A7745" s="34"/>
    </row>
    <row r="7746" spans="1:1" ht="15.75" customHeight="1">
      <c r="A7746" s="34"/>
    </row>
    <row r="7747" spans="1:1" ht="15.75" customHeight="1">
      <c r="A7747" s="34"/>
    </row>
    <row r="7748" spans="1:1" ht="15.75" customHeight="1">
      <c r="A7748" s="34"/>
    </row>
    <row r="7749" spans="1:1" ht="15.75" customHeight="1">
      <c r="A7749" s="34"/>
    </row>
    <row r="7750" spans="1:1" ht="15.75" customHeight="1">
      <c r="A7750" s="34"/>
    </row>
    <row r="7751" spans="1:1" ht="15.75" customHeight="1">
      <c r="A7751" s="34"/>
    </row>
    <row r="7752" spans="1:1" ht="15.75" customHeight="1">
      <c r="A7752" s="34"/>
    </row>
    <row r="7753" spans="1:1" ht="15.75" customHeight="1">
      <c r="A7753" s="34"/>
    </row>
    <row r="7754" spans="1:1" ht="15.75" customHeight="1">
      <c r="A7754" s="34"/>
    </row>
    <row r="7755" spans="1:1" ht="15.75" customHeight="1">
      <c r="A7755" s="34"/>
    </row>
    <row r="7756" spans="1:1" ht="15.75" customHeight="1">
      <c r="A7756" s="34"/>
    </row>
    <row r="7757" spans="1:1" ht="15.75" customHeight="1">
      <c r="A7757" s="34"/>
    </row>
    <row r="7758" spans="1:1" ht="15.75" customHeight="1">
      <c r="A7758" s="34"/>
    </row>
    <row r="7759" spans="1:1" ht="15.75" customHeight="1">
      <c r="A7759" s="34"/>
    </row>
    <row r="7760" spans="1:1" ht="15.75" customHeight="1">
      <c r="A7760" s="34"/>
    </row>
    <row r="7761" spans="1:1" ht="15.75" customHeight="1">
      <c r="A7761" s="34"/>
    </row>
    <row r="7762" spans="1:1" ht="15.75" customHeight="1">
      <c r="A7762" s="34"/>
    </row>
    <row r="7763" spans="1:1" ht="15.75" customHeight="1">
      <c r="A7763" s="34"/>
    </row>
    <row r="7764" spans="1:1" ht="15.75" customHeight="1">
      <c r="A7764" s="34"/>
    </row>
    <row r="7765" spans="1:1" ht="15.75" customHeight="1">
      <c r="A7765" s="34"/>
    </row>
    <row r="7766" spans="1:1" ht="15.75" customHeight="1">
      <c r="A7766" s="34"/>
    </row>
    <row r="7767" spans="1:1" ht="15.75" customHeight="1">
      <c r="A7767" s="34"/>
    </row>
    <row r="7768" spans="1:1" ht="15.75" customHeight="1">
      <c r="A7768" s="34"/>
    </row>
    <row r="7769" spans="1:1" ht="15.75" customHeight="1">
      <c r="A7769" s="34"/>
    </row>
    <row r="7770" spans="1:1" ht="15.75" customHeight="1">
      <c r="A7770" s="34"/>
    </row>
    <row r="7771" spans="1:1" ht="15.75" customHeight="1">
      <c r="A7771" s="34"/>
    </row>
    <row r="7772" spans="1:1" ht="15.75" customHeight="1">
      <c r="A7772" s="34"/>
    </row>
    <row r="7773" spans="1:1" ht="15.75" customHeight="1">
      <c r="A7773" s="34"/>
    </row>
    <row r="7774" spans="1:1" ht="15.75" customHeight="1">
      <c r="A7774" s="34"/>
    </row>
    <row r="7775" spans="1:1" ht="15.75" customHeight="1">
      <c r="A7775" s="34"/>
    </row>
    <row r="7776" spans="1:1" ht="15.75" customHeight="1">
      <c r="A7776" s="34"/>
    </row>
    <row r="7777" spans="1:1" ht="15.75" customHeight="1">
      <c r="A7777" s="34"/>
    </row>
    <row r="7778" spans="1:1" ht="15.75" customHeight="1">
      <c r="A7778" s="34"/>
    </row>
    <row r="7779" spans="1:1" ht="15.75" customHeight="1">
      <c r="A7779" s="34"/>
    </row>
    <row r="7780" spans="1:1" ht="15.75" customHeight="1">
      <c r="A7780" s="34"/>
    </row>
    <row r="7781" spans="1:1" ht="15.75" customHeight="1">
      <c r="A7781" s="34"/>
    </row>
    <row r="7782" spans="1:1" ht="15.75" customHeight="1">
      <c r="A7782" s="34"/>
    </row>
    <row r="7783" spans="1:1" ht="15.75" customHeight="1">
      <c r="A7783" s="34"/>
    </row>
    <row r="7784" spans="1:1" ht="15.75" customHeight="1">
      <c r="A7784" s="34"/>
    </row>
    <row r="7785" spans="1:1" ht="15.75" customHeight="1">
      <c r="A7785" s="34"/>
    </row>
    <row r="7786" spans="1:1" ht="15.75" customHeight="1">
      <c r="A7786" s="34"/>
    </row>
    <row r="7787" spans="1:1" ht="15.75" customHeight="1">
      <c r="A7787" s="34"/>
    </row>
    <row r="7788" spans="1:1" ht="15.75" customHeight="1">
      <c r="A7788" s="34"/>
    </row>
    <row r="7789" spans="1:1" ht="15.75" customHeight="1">
      <c r="A7789" s="34"/>
    </row>
    <row r="7790" spans="1:1" ht="15.75" customHeight="1">
      <c r="A7790" s="34"/>
    </row>
    <row r="7791" spans="1:1" ht="15.75" customHeight="1">
      <c r="A7791" s="34"/>
    </row>
    <row r="7792" spans="1:1" ht="15.75" customHeight="1">
      <c r="A7792" s="34"/>
    </row>
    <row r="7793" spans="1:1" ht="15.75" customHeight="1">
      <c r="A7793" s="34"/>
    </row>
    <row r="7794" spans="1:1" ht="15.75" customHeight="1">
      <c r="A7794" s="34"/>
    </row>
    <row r="7795" spans="1:1" ht="15.75" customHeight="1">
      <c r="A7795" s="34"/>
    </row>
    <row r="7796" spans="1:1" ht="15.75" customHeight="1">
      <c r="A7796" s="34"/>
    </row>
    <row r="7797" spans="1:1" ht="15.75" customHeight="1">
      <c r="A7797" s="34"/>
    </row>
    <row r="7798" spans="1:1" ht="15.75" customHeight="1">
      <c r="A7798" s="34"/>
    </row>
    <row r="7799" spans="1:1" ht="15.75" customHeight="1">
      <c r="A7799" s="34"/>
    </row>
    <row r="7800" spans="1:1" ht="15.75" customHeight="1">
      <c r="A7800" s="34"/>
    </row>
    <row r="7801" spans="1:1" ht="15.75" customHeight="1">
      <c r="A7801" s="34"/>
    </row>
    <row r="7802" spans="1:1" ht="15.75" customHeight="1">
      <c r="A7802" s="34"/>
    </row>
    <row r="7803" spans="1:1" ht="15.75" customHeight="1">
      <c r="A7803" s="34"/>
    </row>
    <row r="7804" spans="1:1" ht="15.75" customHeight="1">
      <c r="A7804" s="34"/>
    </row>
    <row r="7805" spans="1:1" ht="15.75" customHeight="1">
      <c r="A7805" s="34"/>
    </row>
    <row r="7806" spans="1:1" ht="15.75" customHeight="1">
      <c r="A7806" s="34"/>
    </row>
    <row r="7807" spans="1:1" ht="15.75" customHeight="1">
      <c r="A7807" s="34"/>
    </row>
    <row r="7808" spans="1:1" ht="15.75" customHeight="1">
      <c r="A7808" s="34"/>
    </row>
    <row r="7809" spans="1:1" ht="15.75" customHeight="1">
      <c r="A7809" s="34"/>
    </row>
    <row r="7810" spans="1:1" ht="15.75" customHeight="1">
      <c r="A7810" s="34"/>
    </row>
    <row r="7811" spans="1:1" ht="15.75" customHeight="1">
      <c r="A7811" s="34"/>
    </row>
    <row r="7812" spans="1:1" ht="15.75" customHeight="1">
      <c r="A7812" s="34"/>
    </row>
    <row r="7813" spans="1:1" ht="15.75" customHeight="1">
      <c r="A7813" s="34"/>
    </row>
    <row r="7814" spans="1:1" ht="15.75" customHeight="1">
      <c r="A7814" s="34"/>
    </row>
    <row r="7815" spans="1:1" ht="15.75" customHeight="1">
      <c r="A7815" s="34"/>
    </row>
    <row r="7816" spans="1:1" ht="15.75" customHeight="1">
      <c r="A7816" s="34"/>
    </row>
    <row r="7817" spans="1:1" ht="15.75" customHeight="1">
      <c r="A7817" s="34"/>
    </row>
    <row r="7818" spans="1:1" ht="15.75" customHeight="1">
      <c r="A7818" s="34"/>
    </row>
    <row r="7819" spans="1:1" ht="15.75" customHeight="1">
      <c r="A7819" s="34"/>
    </row>
    <row r="7820" spans="1:1" ht="15.75" customHeight="1">
      <c r="A7820" s="34"/>
    </row>
    <row r="7821" spans="1:1" ht="15.75" customHeight="1">
      <c r="A7821" s="34"/>
    </row>
    <row r="7822" spans="1:1" ht="15.75" customHeight="1">
      <c r="A7822" s="34"/>
    </row>
    <row r="7823" spans="1:1" ht="15.75" customHeight="1">
      <c r="A7823" s="34"/>
    </row>
    <row r="7824" spans="1:1" ht="15.75" customHeight="1">
      <c r="A7824" s="34"/>
    </row>
    <row r="7825" spans="1:1" ht="15.75" customHeight="1">
      <c r="A7825" s="34"/>
    </row>
    <row r="7826" spans="1:1" ht="15.75" customHeight="1">
      <c r="A7826" s="34"/>
    </row>
    <row r="7827" spans="1:1" ht="15.75" customHeight="1">
      <c r="A7827" s="34"/>
    </row>
    <row r="7828" spans="1:1" ht="15.75" customHeight="1">
      <c r="A7828" s="34"/>
    </row>
    <row r="7829" spans="1:1" ht="15.75" customHeight="1">
      <c r="A7829" s="34"/>
    </row>
    <row r="7830" spans="1:1" ht="15.75" customHeight="1">
      <c r="A7830" s="34"/>
    </row>
    <row r="7831" spans="1:1" ht="15.75" customHeight="1">
      <c r="A7831" s="34"/>
    </row>
    <row r="7832" spans="1:1" ht="15.75" customHeight="1">
      <c r="A7832" s="34"/>
    </row>
    <row r="7833" spans="1:1" ht="15.75" customHeight="1">
      <c r="A7833" s="34"/>
    </row>
    <row r="7834" spans="1:1" ht="15.75" customHeight="1">
      <c r="A7834" s="34"/>
    </row>
    <row r="7835" spans="1:1" ht="15.75" customHeight="1">
      <c r="A7835" s="34"/>
    </row>
    <row r="7836" spans="1:1" ht="15.75" customHeight="1">
      <c r="A7836" s="34"/>
    </row>
    <row r="7837" spans="1:1" ht="15.75" customHeight="1">
      <c r="A7837" s="34"/>
    </row>
    <row r="7838" spans="1:1" ht="15.75" customHeight="1">
      <c r="A7838" s="34"/>
    </row>
    <row r="7839" spans="1:1" ht="15.75" customHeight="1">
      <c r="A7839" s="34"/>
    </row>
    <row r="7840" spans="1:1" ht="15.75" customHeight="1">
      <c r="A7840" s="34"/>
    </row>
    <row r="7841" spans="1:1" ht="15.75" customHeight="1">
      <c r="A7841" s="34"/>
    </row>
    <row r="7842" spans="1:1" ht="15.75" customHeight="1">
      <c r="A7842" s="34"/>
    </row>
    <row r="7843" spans="1:1" ht="15.75" customHeight="1">
      <c r="A7843" s="34"/>
    </row>
    <row r="7844" spans="1:1" ht="15.75" customHeight="1">
      <c r="A7844" s="34"/>
    </row>
    <row r="7845" spans="1:1" ht="15.75" customHeight="1">
      <c r="A7845" s="34"/>
    </row>
    <row r="7846" spans="1:1" ht="15.75" customHeight="1">
      <c r="A7846" s="34"/>
    </row>
    <row r="7847" spans="1:1" ht="15.75" customHeight="1">
      <c r="A7847" s="34"/>
    </row>
    <row r="7848" spans="1:1" ht="15.75" customHeight="1">
      <c r="A7848" s="34"/>
    </row>
    <row r="7849" spans="1:1" ht="15.75" customHeight="1">
      <c r="A7849" s="34"/>
    </row>
    <row r="7850" spans="1:1" ht="15.75" customHeight="1">
      <c r="A7850" s="34"/>
    </row>
    <row r="7851" spans="1:1" ht="15.75" customHeight="1">
      <c r="A7851" s="34"/>
    </row>
    <row r="7852" spans="1:1" ht="15.75" customHeight="1">
      <c r="A7852" s="34"/>
    </row>
    <row r="7853" spans="1:1" ht="15.75" customHeight="1">
      <c r="A7853" s="34"/>
    </row>
    <row r="7854" spans="1:1" ht="15.75" customHeight="1">
      <c r="A7854" s="34"/>
    </row>
    <row r="7855" spans="1:1" ht="15.75" customHeight="1">
      <c r="A7855" s="34"/>
    </row>
    <row r="7856" spans="1:1" ht="15.75" customHeight="1">
      <c r="A7856" s="34"/>
    </row>
    <row r="7857" spans="1:1" ht="15.75" customHeight="1">
      <c r="A7857" s="34"/>
    </row>
    <row r="7858" spans="1:1" ht="15.75" customHeight="1">
      <c r="A7858" s="34"/>
    </row>
    <row r="7859" spans="1:1" ht="15.75" customHeight="1">
      <c r="A7859" s="34"/>
    </row>
    <row r="7860" spans="1:1" ht="15.75" customHeight="1">
      <c r="A7860" s="34"/>
    </row>
    <row r="7861" spans="1:1" ht="15.75" customHeight="1">
      <c r="A7861" s="34"/>
    </row>
    <row r="7862" spans="1:1" ht="15.75" customHeight="1">
      <c r="A7862" s="34"/>
    </row>
    <row r="7863" spans="1:1" ht="15.75" customHeight="1">
      <c r="A7863" s="34"/>
    </row>
    <row r="7864" spans="1:1" ht="15.75" customHeight="1">
      <c r="A7864" s="34"/>
    </row>
    <row r="7865" spans="1:1" ht="15.75" customHeight="1">
      <c r="A7865" s="34"/>
    </row>
    <row r="7866" spans="1:1" ht="15.75" customHeight="1">
      <c r="A7866" s="34"/>
    </row>
    <row r="7867" spans="1:1" ht="15.75" customHeight="1">
      <c r="A7867" s="34"/>
    </row>
    <row r="7868" spans="1:1" ht="15.75" customHeight="1">
      <c r="A7868" s="34"/>
    </row>
    <row r="7869" spans="1:1" ht="15.75" customHeight="1">
      <c r="A7869" s="34"/>
    </row>
    <row r="7870" spans="1:1" ht="15.75" customHeight="1">
      <c r="A7870" s="34"/>
    </row>
    <row r="7871" spans="1:1" ht="15.75" customHeight="1">
      <c r="A7871" s="34"/>
    </row>
    <row r="7872" spans="1:1" ht="15.75" customHeight="1">
      <c r="A7872" s="34"/>
    </row>
    <row r="7873" spans="1:1" ht="15.75" customHeight="1">
      <c r="A7873" s="34"/>
    </row>
    <row r="7874" spans="1:1" ht="15.75" customHeight="1">
      <c r="A7874" s="34"/>
    </row>
    <row r="7875" spans="1:1" ht="15.75" customHeight="1">
      <c r="A7875" s="34"/>
    </row>
    <row r="7876" spans="1:1" ht="15.75" customHeight="1">
      <c r="A7876" s="34"/>
    </row>
    <row r="7877" spans="1:1" ht="15.75" customHeight="1">
      <c r="A7877" s="34"/>
    </row>
    <row r="7878" spans="1:1" ht="15.75" customHeight="1">
      <c r="A7878" s="34"/>
    </row>
    <row r="7879" spans="1:1" ht="15.75" customHeight="1">
      <c r="A7879" s="34"/>
    </row>
    <row r="7880" spans="1:1" ht="15.75" customHeight="1">
      <c r="A7880" s="34"/>
    </row>
    <row r="7881" spans="1:1" ht="15.75" customHeight="1">
      <c r="A7881" s="34"/>
    </row>
    <row r="7882" spans="1:1" ht="15.75" customHeight="1">
      <c r="A7882" s="34"/>
    </row>
    <row r="7883" spans="1:1" ht="15.75" customHeight="1">
      <c r="A7883" s="34"/>
    </row>
    <row r="7884" spans="1:1" ht="15.75" customHeight="1">
      <c r="A7884" s="34"/>
    </row>
    <row r="7885" spans="1:1" ht="15.75" customHeight="1">
      <c r="A7885" s="34"/>
    </row>
    <row r="7886" spans="1:1" ht="15.75" customHeight="1">
      <c r="A7886" s="34"/>
    </row>
    <row r="7887" spans="1:1" ht="15.75" customHeight="1">
      <c r="A7887" s="34"/>
    </row>
    <row r="7888" spans="1:1" ht="15.75" customHeight="1">
      <c r="A7888" s="34"/>
    </row>
    <row r="7889" spans="1:1" ht="15.75" customHeight="1">
      <c r="A7889" s="34"/>
    </row>
    <row r="7890" spans="1:1" ht="15.75" customHeight="1">
      <c r="A7890" s="34"/>
    </row>
    <row r="7891" spans="1:1" ht="15.75" customHeight="1">
      <c r="A7891" s="34"/>
    </row>
    <row r="7892" spans="1:1" ht="15.75" customHeight="1">
      <c r="A7892" s="34"/>
    </row>
    <row r="7893" spans="1:1" ht="15.75" customHeight="1">
      <c r="A7893" s="34"/>
    </row>
    <row r="7894" spans="1:1" ht="15.75" customHeight="1">
      <c r="A7894" s="34"/>
    </row>
    <row r="7895" spans="1:1" ht="15.75" customHeight="1">
      <c r="A7895" s="34"/>
    </row>
    <row r="7896" spans="1:1" ht="15.75" customHeight="1">
      <c r="A7896" s="34"/>
    </row>
    <row r="7897" spans="1:1" ht="15.75" customHeight="1">
      <c r="A7897" s="34"/>
    </row>
    <row r="7898" spans="1:1" ht="15.75" customHeight="1">
      <c r="A7898" s="34"/>
    </row>
    <row r="7899" spans="1:1" ht="15.75" customHeight="1">
      <c r="A7899" s="34"/>
    </row>
    <row r="7900" spans="1:1" ht="15.75" customHeight="1">
      <c r="A7900" s="34"/>
    </row>
    <row r="7901" spans="1:1" ht="15.75" customHeight="1">
      <c r="A7901" s="34"/>
    </row>
    <row r="7902" spans="1:1" ht="15.75" customHeight="1">
      <c r="A7902" s="34"/>
    </row>
    <row r="7903" spans="1:1" ht="15.75" customHeight="1">
      <c r="A7903" s="34"/>
    </row>
    <row r="7904" spans="1:1" ht="15.75" customHeight="1">
      <c r="A7904" s="34"/>
    </row>
    <row r="7905" spans="1:1" ht="15.75" customHeight="1">
      <c r="A7905" s="34"/>
    </row>
    <row r="7906" spans="1:1" ht="15.75" customHeight="1">
      <c r="A7906" s="34"/>
    </row>
    <row r="7907" spans="1:1" ht="15.75" customHeight="1">
      <c r="A7907" s="34"/>
    </row>
    <row r="7908" spans="1:1" ht="15.75" customHeight="1">
      <c r="A7908" s="34"/>
    </row>
    <row r="7909" spans="1:1" ht="15.75" customHeight="1">
      <c r="A7909" s="34"/>
    </row>
    <row r="7910" spans="1:1" ht="15.75" customHeight="1">
      <c r="A7910" s="34"/>
    </row>
    <row r="7911" spans="1:1" ht="15.75" customHeight="1">
      <c r="A7911" s="34"/>
    </row>
    <row r="7912" spans="1:1" ht="15.75" customHeight="1">
      <c r="A7912" s="34"/>
    </row>
    <row r="7913" spans="1:1" ht="15.75" customHeight="1">
      <c r="A7913" s="34"/>
    </row>
    <row r="7914" spans="1:1" ht="15.75" customHeight="1">
      <c r="A7914" s="34"/>
    </row>
    <row r="7915" spans="1:1" ht="15.75" customHeight="1">
      <c r="A7915" s="34"/>
    </row>
    <row r="7916" spans="1:1" ht="15.75" customHeight="1">
      <c r="A7916" s="34"/>
    </row>
    <row r="7917" spans="1:1" ht="15.75" customHeight="1">
      <c r="A7917" s="34"/>
    </row>
    <row r="7918" spans="1:1" ht="15.75" customHeight="1">
      <c r="A7918" s="34"/>
    </row>
    <row r="7919" spans="1:1" ht="15.75" customHeight="1">
      <c r="A7919" s="34"/>
    </row>
    <row r="7920" spans="1:1" ht="15.75" customHeight="1">
      <c r="A7920" s="34"/>
    </row>
    <row r="7921" spans="1:1" ht="15.75" customHeight="1">
      <c r="A7921" s="34"/>
    </row>
    <row r="7922" spans="1:1" ht="15.75" customHeight="1">
      <c r="A7922" s="34"/>
    </row>
    <row r="7923" spans="1:1" ht="15.75" customHeight="1">
      <c r="A7923" s="34"/>
    </row>
    <row r="7924" spans="1:1" ht="15.75" customHeight="1">
      <c r="A7924" s="34"/>
    </row>
    <row r="7925" spans="1:1" ht="15.75" customHeight="1">
      <c r="A7925" s="34"/>
    </row>
    <row r="7926" spans="1:1" ht="15.75" customHeight="1">
      <c r="A7926" s="34"/>
    </row>
    <row r="7927" spans="1:1" ht="15.75" customHeight="1">
      <c r="A7927" s="34"/>
    </row>
    <row r="7928" spans="1:1" ht="15.75" customHeight="1">
      <c r="A7928" s="34"/>
    </row>
    <row r="7929" spans="1:1" ht="15.75" customHeight="1">
      <c r="A7929" s="34"/>
    </row>
    <row r="7930" spans="1:1" ht="15.75" customHeight="1">
      <c r="A7930" s="34"/>
    </row>
    <row r="7931" spans="1:1" ht="15.75" customHeight="1">
      <c r="A7931" s="34"/>
    </row>
    <row r="7932" spans="1:1" ht="15.75" customHeight="1">
      <c r="A7932" s="34"/>
    </row>
    <row r="7933" spans="1:1" ht="15.75" customHeight="1">
      <c r="A7933" s="34"/>
    </row>
    <row r="7934" spans="1:1" ht="15.75" customHeight="1">
      <c r="A7934" s="34"/>
    </row>
    <row r="7935" spans="1:1" ht="15.75" customHeight="1">
      <c r="A7935" s="34"/>
    </row>
    <row r="7936" spans="1:1" ht="15.75" customHeight="1">
      <c r="A7936" s="34"/>
    </row>
    <row r="7937" spans="1:1" ht="15.75" customHeight="1">
      <c r="A7937" s="34"/>
    </row>
    <row r="7938" spans="1:1" ht="15.75" customHeight="1">
      <c r="A7938" s="34"/>
    </row>
    <row r="7939" spans="1:1" ht="15.75" customHeight="1">
      <c r="A7939" s="34"/>
    </row>
    <row r="7940" spans="1:1" ht="15.75" customHeight="1">
      <c r="A7940" s="34"/>
    </row>
    <row r="7941" spans="1:1" ht="15.75" customHeight="1">
      <c r="A7941" s="34"/>
    </row>
    <row r="7942" spans="1:1" ht="15.75" customHeight="1">
      <c r="A7942" s="34"/>
    </row>
    <row r="7943" spans="1:1" ht="15.75" customHeight="1">
      <c r="A7943" s="34"/>
    </row>
    <row r="7944" spans="1:1" ht="15.75" customHeight="1">
      <c r="A7944" s="34"/>
    </row>
    <row r="7945" spans="1:1" ht="15.75" customHeight="1">
      <c r="A7945" s="34"/>
    </row>
    <row r="7946" spans="1:1" ht="15.75" customHeight="1">
      <c r="A7946" s="34"/>
    </row>
    <row r="7947" spans="1:1" ht="15.75" customHeight="1">
      <c r="A7947" s="34"/>
    </row>
    <row r="7948" spans="1:1" ht="15.75" customHeight="1">
      <c r="A7948" s="34"/>
    </row>
    <row r="7949" spans="1:1" ht="15.75" customHeight="1">
      <c r="A7949" s="34"/>
    </row>
    <row r="7950" spans="1:1" ht="15.75" customHeight="1">
      <c r="A7950" s="34"/>
    </row>
    <row r="7951" spans="1:1" ht="15.75" customHeight="1">
      <c r="A7951" s="34"/>
    </row>
    <row r="7952" spans="1:1" ht="15.75" customHeight="1">
      <c r="A7952" s="34"/>
    </row>
    <row r="7953" spans="1:1" ht="15.75" customHeight="1">
      <c r="A7953" s="34"/>
    </row>
    <row r="7954" spans="1:1" ht="15.75" customHeight="1">
      <c r="A7954" s="34"/>
    </row>
    <row r="7955" spans="1:1" ht="15.75" customHeight="1">
      <c r="A7955" s="34"/>
    </row>
    <row r="7956" spans="1:1" ht="15.75" customHeight="1">
      <c r="A7956" s="34"/>
    </row>
    <row r="7957" spans="1:1" ht="15.75" customHeight="1">
      <c r="A7957" s="34"/>
    </row>
    <row r="7958" spans="1:1" ht="15.75" customHeight="1">
      <c r="A7958" s="34"/>
    </row>
    <row r="7959" spans="1:1" ht="15.75" customHeight="1">
      <c r="A7959" s="34"/>
    </row>
    <row r="7960" spans="1:1" ht="15.75" customHeight="1">
      <c r="A7960" s="34"/>
    </row>
    <row r="7961" spans="1:1" ht="15.75" customHeight="1">
      <c r="A7961" s="34"/>
    </row>
    <row r="7962" spans="1:1" ht="15.75" customHeight="1">
      <c r="A7962" s="34"/>
    </row>
    <row r="7963" spans="1:1" ht="15.75" customHeight="1">
      <c r="A7963" s="34"/>
    </row>
    <row r="7964" spans="1:1" ht="15.75" customHeight="1">
      <c r="A7964" s="34"/>
    </row>
    <row r="7965" spans="1:1" ht="15.75" customHeight="1">
      <c r="A7965" s="34"/>
    </row>
    <row r="7966" spans="1:1" ht="15.75" customHeight="1">
      <c r="A7966" s="34"/>
    </row>
    <row r="7967" spans="1:1" ht="15.75" customHeight="1">
      <c r="A7967" s="34"/>
    </row>
    <row r="7968" spans="1:1" ht="15.75" customHeight="1">
      <c r="A7968" s="34"/>
    </row>
    <row r="7969" spans="1:1" ht="15.75" customHeight="1">
      <c r="A7969" s="34"/>
    </row>
    <row r="7970" spans="1:1" ht="15.75" customHeight="1">
      <c r="A7970" s="34"/>
    </row>
    <row r="7971" spans="1:1" ht="15.75" customHeight="1">
      <c r="A7971" s="34"/>
    </row>
    <row r="7972" spans="1:1" ht="15.75" customHeight="1">
      <c r="A7972" s="34"/>
    </row>
    <row r="7973" spans="1:1" ht="15.75" customHeight="1">
      <c r="A7973" s="34"/>
    </row>
    <row r="7974" spans="1:1" ht="15.75" customHeight="1">
      <c r="A7974" s="34"/>
    </row>
    <row r="7975" spans="1:1" ht="15.75" customHeight="1">
      <c r="A7975" s="34"/>
    </row>
    <row r="7976" spans="1:1" ht="15.75" customHeight="1">
      <c r="A7976" s="34"/>
    </row>
    <row r="7977" spans="1:1" ht="15.75" customHeight="1">
      <c r="A7977" s="34"/>
    </row>
    <row r="7978" spans="1:1" ht="15.75" customHeight="1">
      <c r="A7978" s="34"/>
    </row>
    <row r="7979" spans="1:1" ht="15.75" customHeight="1">
      <c r="A7979" s="34"/>
    </row>
    <row r="7980" spans="1:1" ht="15.75" customHeight="1">
      <c r="A7980" s="34"/>
    </row>
    <row r="7981" spans="1:1" ht="15.75" customHeight="1">
      <c r="A7981" s="34"/>
    </row>
    <row r="7982" spans="1:1" ht="15.75" customHeight="1">
      <c r="A7982" s="34"/>
    </row>
    <row r="7983" spans="1:1" ht="15.75" customHeight="1">
      <c r="A7983" s="34"/>
    </row>
    <row r="7984" spans="1:1" ht="15.75" customHeight="1">
      <c r="A7984" s="34"/>
    </row>
    <row r="7985" spans="1:1" ht="15.75" customHeight="1">
      <c r="A7985" s="34"/>
    </row>
    <row r="7986" spans="1:1" ht="15.75" customHeight="1">
      <c r="A7986" s="34"/>
    </row>
    <row r="7987" spans="1:1" ht="15.75" customHeight="1">
      <c r="A7987" s="34"/>
    </row>
    <row r="7988" spans="1:1" ht="15.75" customHeight="1">
      <c r="A7988" s="34"/>
    </row>
    <row r="7989" spans="1:1" ht="15.75" customHeight="1">
      <c r="A7989" s="34"/>
    </row>
    <row r="7990" spans="1:1" ht="15.75" customHeight="1">
      <c r="A7990" s="34"/>
    </row>
    <row r="7991" spans="1:1" ht="15.75" customHeight="1">
      <c r="A7991" s="34"/>
    </row>
    <row r="7992" spans="1:1" ht="15.75" customHeight="1">
      <c r="A7992" s="34"/>
    </row>
    <row r="7993" spans="1:1" ht="15.75" customHeight="1">
      <c r="A7993" s="34"/>
    </row>
    <row r="7994" spans="1:1" ht="15.75" customHeight="1">
      <c r="A7994" s="34"/>
    </row>
    <row r="7995" spans="1:1" ht="15.75" customHeight="1">
      <c r="A7995" s="34"/>
    </row>
    <row r="7996" spans="1:1" ht="15.75" customHeight="1">
      <c r="A7996" s="34"/>
    </row>
    <row r="7997" spans="1:1" ht="15.75" customHeight="1">
      <c r="A7997" s="34"/>
    </row>
    <row r="7998" spans="1:1" ht="15.75" customHeight="1">
      <c r="A7998" s="34"/>
    </row>
    <row r="7999" spans="1:1" ht="15.75" customHeight="1">
      <c r="A7999" s="34"/>
    </row>
    <row r="8000" spans="1:1" ht="15.75" customHeight="1">
      <c r="A8000" s="34"/>
    </row>
    <row r="8001" spans="1:1" ht="15.75" customHeight="1">
      <c r="A8001" s="34"/>
    </row>
    <row r="8002" spans="1:1" ht="15.75" customHeight="1">
      <c r="A8002" s="34"/>
    </row>
    <row r="8003" spans="1:1" ht="15.75" customHeight="1">
      <c r="A8003" s="34"/>
    </row>
    <row r="8004" spans="1:1" ht="15.75" customHeight="1">
      <c r="A8004" s="34"/>
    </row>
    <row r="8005" spans="1:1" ht="15.75" customHeight="1">
      <c r="A8005" s="34"/>
    </row>
    <row r="8006" spans="1:1" ht="15.75" customHeight="1">
      <c r="A8006" s="34"/>
    </row>
    <row r="8007" spans="1:1" ht="15.75" customHeight="1">
      <c r="A8007" s="34"/>
    </row>
    <row r="8008" spans="1:1" ht="15.75" customHeight="1">
      <c r="A8008" s="34"/>
    </row>
    <row r="8009" spans="1:1" ht="15.75" customHeight="1">
      <c r="A8009" s="34"/>
    </row>
    <row r="8010" spans="1:1" ht="15.75" customHeight="1">
      <c r="A8010" s="34"/>
    </row>
    <row r="8011" spans="1:1" ht="15.75" customHeight="1">
      <c r="A8011" s="34"/>
    </row>
    <row r="8012" spans="1:1" ht="15.75" customHeight="1">
      <c r="A8012" s="34"/>
    </row>
    <row r="8013" spans="1:1" ht="15.75" customHeight="1">
      <c r="A8013" s="34"/>
    </row>
    <row r="8014" spans="1:1" ht="15.75" customHeight="1">
      <c r="A8014" s="34"/>
    </row>
    <row r="8015" spans="1:1" ht="15.75" customHeight="1">
      <c r="A8015" s="34"/>
    </row>
    <row r="8016" spans="1:1" ht="15.75" customHeight="1">
      <c r="A8016" s="34"/>
    </row>
    <row r="8017" spans="1:1" ht="15.75" customHeight="1">
      <c r="A8017" s="34"/>
    </row>
    <row r="8018" spans="1:1" ht="15.75" customHeight="1">
      <c r="A8018" s="34"/>
    </row>
    <row r="8019" spans="1:1" ht="15.75" customHeight="1">
      <c r="A8019" s="34"/>
    </row>
    <row r="8020" spans="1:1" ht="15.75" customHeight="1">
      <c r="A8020" s="34"/>
    </row>
    <row r="8021" spans="1:1" ht="15.75" customHeight="1">
      <c r="A8021" s="34"/>
    </row>
    <row r="8022" spans="1:1" ht="15.75" customHeight="1">
      <c r="A8022" s="34"/>
    </row>
    <row r="8023" spans="1:1" ht="15.75" customHeight="1">
      <c r="A8023" s="34"/>
    </row>
    <row r="8024" spans="1:1" ht="15.75" customHeight="1">
      <c r="A8024" s="34"/>
    </row>
    <row r="8025" spans="1:1" ht="15.75" customHeight="1">
      <c r="A8025" s="34"/>
    </row>
    <row r="8026" spans="1:1" ht="15.75" customHeight="1">
      <c r="A8026" s="34"/>
    </row>
    <row r="8027" spans="1:1" ht="15.75" customHeight="1">
      <c r="A8027" s="34"/>
    </row>
    <row r="8028" spans="1:1" ht="15.75" customHeight="1">
      <c r="A8028" s="34"/>
    </row>
    <row r="8029" spans="1:1" ht="15.75" customHeight="1">
      <c r="A8029" s="34"/>
    </row>
    <row r="8030" spans="1:1" ht="15.75" customHeight="1">
      <c r="A8030" s="34"/>
    </row>
    <row r="8031" spans="1:1" ht="15.75" customHeight="1">
      <c r="A8031" s="34"/>
    </row>
    <row r="8032" spans="1:1" ht="15.75" customHeight="1">
      <c r="A8032" s="34"/>
    </row>
    <row r="8033" spans="1:1" ht="15.75" customHeight="1">
      <c r="A8033" s="34"/>
    </row>
    <row r="8034" spans="1:1" ht="15.75" customHeight="1">
      <c r="A8034" s="34"/>
    </row>
    <row r="8035" spans="1:1" ht="15.75" customHeight="1">
      <c r="A8035" s="34"/>
    </row>
    <row r="8036" spans="1:1" ht="15.75" customHeight="1">
      <c r="A8036" s="34"/>
    </row>
    <row r="8037" spans="1:1" ht="15.75" customHeight="1">
      <c r="A8037" s="34"/>
    </row>
    <row r="8038" spans="1:1" ht="15.75" customHeight="1">
      <c r="A8038" s="34"/>
    </row>
    <row r="8039" spans="1:1" ht="15.75" customHeight="1">
      <c r="A8039" s="34"/>
    </row>
    <row r="8040" spans="1:1" ht="15.75" customHeight="1">
      <c r="A8040" s="34"/>
    </row>
    <row r="8041" spans="1:1" ht="15.75" customHeight="1">
      <c r="A8041" s="34"/>
    </row>
    <row r="8042" spans="1:1" ht="15.75" customHeight="1">
      <c r="A8042" s="34"/>
    </row>
    <row r="8043" spans="1:1" ht="15.75" customHeight="1">
      <c r="A8043" s="34"/>
    </row>
    <row r="8044" spans="1:1" ht="15.75" customHeight="1">
      <c r="A8044" s="34"/>
    </row>
    <row r="8045" spans="1:1" ht="15.75" customHeight="1">
      <c r="A8045" s="34"/>
    </row>
    <row r="8046" spans="1:1" ht="15.75" customHeight="1">
      <c r="A8046" s="34"/>
    </row>
    <row r="8047" spans="1:1" ht="15.75" customHeight="1">
      <c r="A8047" s="34"/>
    </row>
    <row r="8048" spans="1:1" ht="15.75" customHeight="1">
      <c r="A8048" s="34"/>
    </row>
    <row r="8049" spans="1:1" ht="15.75" customHeight="1">
      <c r="A8049" s="34"/>
    </row>
    <row r="8050" spans="1:1" ht="15.75" customHeight="1">
      <c r="A8050" s="34"/>
    </row>
    <row r="8051" spans="1:1" ht="15.75" customHeight="1">
      <c r="A8051" s="34"/>
    </row>
    <row r="8052" spans="1:1" ht="15.75" customHeight="1">
      <c r="A8052" s="34"/>
    </row>
    <row r="8053" spans="1:1" ht="15.75" customHeight="1">
      <c r="A8053" s="34"/>
    </row>
    <row r="8054" spans="1:1" ht="15.75" customHeight="1">
      <c r="A8054" s="34"/>
    </row>
    <row r="8055" spans="1:1" ht="15.75" customHeight="1">
      <c r="A8055" s="34"/>
    </row>
    <row r="8056" spans="1:1" ht="15.75" customHeight="1">
      <c r="A8056" s="34"/>
    </row>
    <row r="8057" spans="1:1" ht="15.75" customHeight="1">
      <c r="A8057" s="34"/>
    </row>
    <row r="8058" spans="1:1" ht="15.75" customHeight="1">
      <c r="A8058" s="34"/>
    </row>
    <row r="8059" spans="1:1" ht="15.75" customHeight="1">
      <c r="A8059" s="34"/>
    </row>
    <row r="8060" spans="1:1" ht="15.75" customHeight="1">
      <c r="A8060" s="34"/>
    </row>
    <row r="8061" spans="1:1" ht="15.75" customHeight="1">
      <c r="A8061" s="34"/>
    </row>
    <row r="8062" spans="1:1" ht="15.75" customHeight="1">
      <c r="A8062" s="34"/>
    </row>
    <row r="8063" spans="1:1" ht="15.75" customHeight="1">
      <c r="A8063" s="34"/>
    </row>
    <row r="8064" spans="1:1" ht="15.75" customHeight="1">
      <c r="A8064" s="34"/>
    </row>
    <row r="8065" spans="1:1" ht="15.75" customHeight="1">
      <c r="A8065" s="34"/>
    </row>
    <row r="8066" spans="1:1" ht="15.75" customHeight="1">
      <c r="A8066" s="34"/>
    </row>
    <row r="8067" spans="1:1" ht="15.75" customHeight="1">
      <c r="A8067" s="34"/>
    </row>
    <row r="8068" spans="1:1" ht="15.75" customHeight="1">
      <c r="A8068" s="34"/>
    </row>
    <row r="8069" spans="1:1" ht="15.75" customHeight="1">
      <c r="A8069" s="34"/>
    </row>
    <row r="8070" spans="1:1" ht="15.75" customHeight="1">
      <c r="A8070" s="34"/>
    </row>
    <row r="8071" spans="1:1" ht="15.75" customHeight="1">
      <c r="A8071" s="34"/>
    </row>
    <row r="8072" spans="1:1" ht="15.75" customHeight="1">
      <c r="A8072" s="34"/>
    </row>
    <row r="8073" spans="1:1" ht="15.75" customHeight="1">
      <c r="A8073" s="34"/>
    </row>
    <row r="8074" spans="1:1" ht="15.75" customHeight="1">
      <c r="A8074" s="34"/>
    </row>
    <row r="8075" spans="1:1" ht="15.75" customHeight="1">
      <c r="A8075" s="34"/>
    </row>
    <row r="8076" spans="1:1" ht="15.75" customHeight="1">
      <c r="A8076" s="34"/>
    </row>
    <row r="8077" spans="1:1" ht="15.75" customHeight="1">
      <c r="A8077" s="34"/>
    </row>
    <row r="8078" spans="1:1" ht="15.75" customHeight="1">
      <c r="A8078" s="34"/>
    </row>
    <row r="8079" spans="1:1" ht="15.75" customHeight="1">
      <c r="A8079" s="34"/>
    </row>
    <row r="8080" spans="1:1" ht="15.75" customHeight="1">
      <c r="A8080" s="34"/>
    </row>
    <row r="8081" spans="1:1" ht="15.75" customHeight="1">
      <c r="A8081" s="34"/>
    </row>
    <row r="8082" spans="1:1" ht="15.75" customHeight="1">
      <c r="A8082" s="34"/>
    </row>
    <row r="8083" spans="1:1" ht="15.75" customHeight="1">
      <c r="A8083" s="34"/>
    </row>
    <row r="8084" spans="1:1" ht="15.75" customHeight="1">
      <c r="A8084" s="34"/>
    </row>
    <row r="8085" spans="1:1" ht="15.75" customHeight="1">
      <c r="A8085" s="34"/>
    </row>
    <row r="8086" spans="1:1" ht="15.75" customHeight="1">
      <c r="A8086" s="34"/>
    </row>
    <row r="8087" spans="1:1" ht="15.75" customHeight="1">
      <c r="A8087" s="34"/>
    </row>
    <row r="8088" spans="1:1" ht="15.75" customHeight="1">
      <c r="A8088" s="34"/>
    </row>
    <row r="8089" spans="1:1" ht="15.75" customHeight="1">
      <c r="A8089" s="34"/>
    </row>
    <row r="8090" spans="1:1" ht="15.75" customHeight="1">
      <c r="A8090" s="34"/>
    </row>
    <row r="8091" spans="1:1" ht="15.75" customHeight="1">
      <c r="A8091" s="34"/>
    </row>
    <row r="8092" spans="1:1" ht="15.75" customHeight="1">
      <c r="A8092" s="34"/>
    </row>
    <row r="8093" spans="1:1" ht="15.75" customHeight="1">
      <c r="A8093" s="34"/>
    </row>
    <row r="8094" spans="1:1" ht="15.75" customHeight="1">
      <c r="A8094" s="34"/>
    </row>
    <row r="8095" spans="1:1" ht="15.75" customHeight="1">
      <c r="A8095" s="34"/>
    </row>
    <row r="8096" spans="1:1" ht="15.75" customHeight="1">
      <c r="A8096" s="34"/>
    </row>
    <row r="8097" spans="1:1" ht="15.75" customHeight="1">
      <c r="A8097" s="34"/>
    </row>
    <row r="8098" spans="1:1" ht="15.75" customHeight="1">
      <c r="A8098" s="34"/>
    </row>
    <row r="8099" spans="1:1" ht="15.75" customHeight="1">
      <c r="A8099" s="34"/>
    </row>
    <row r="8100" spans="1:1" ht="15.75" customHeight="1">
      <c r="A8100" s="34"/>
    </row>
    <row r="8101" spans="1:1" ht="15.75" customHeight="1">
      <c r="A8101" s="34"/>
    </row>
    <row r="8102" spans="1:1" ht="15.75" customHeight="1">
      <c r="A8102" s="34"/>
    </row>
    <row r="8103" spans="1:1" ht="15.75" customHeight="1">
      <c r="A8103" s="34"/>
    </row>
    <row r="8104" spans="1:1" ht="15.75" customHeight="1">
      <c r="A8104" s="34"/>
    </row>
    <row r="8105" spans="1:1" ht="15.75" customHeight="1">
      <c r="A8105" s="34"/>
    </row>
    <row r="8106" spans="1:1" ht="15.75" customHeight="1">
      <c r="A8106" s="34"/>
    </row>
    <row r="8107" spans="1:1" ht="15.75" customHeight="1">
      <c r="A8107" s="34"/>
    </row>
    <row r="8108" spans="1:1" ht="15.75" customHeight="1">
      <c r="A8108" s="34"/>
    </row>
    <row r="8109" spans="1:1" ht="15.75" customHeight="1">
      <c r="A8109" s="34"/>
    </row>
    <row r="8110" spans="1:1" ht="15.75" customHeight="1">
      <c r="A8110" s="34"/>
    </row>
    <row r="8111" spans="1:1" ht="15.75" customHeight="1">
      <c r="A8111" s="34"/>
    </row>
    <row r="8112" spans="1:1" ht="15.75" customHeight="1">
      <c r="A8112" s="34"/>
    </row>
    <row r="8113" spans="1:1" ht="15.75" customHeight="1">
      <c r="A8113" s="34"/>
    </row>
    <row r="8114" spans="1:1" ht="15.75" customHeight="1">
      <c r="A8114" s="34"/>
    </row>
    <row r="8115" spans="1:1" ht="15.75" customHeight="1">
      <c r="A8115" s="34"/>
    </row>
    <row r="8116" spans="1:1" ht="15.75" customHeight="1">
      <c r="A8116" s="34"/>
    </row>
    <row r="8117" spans="1:1" ht="15.75" customHeight="1">
      <c r="A8117" s="34"/>
    </row>
    <row r="8118" spans="1:1" ht="15.75" customHeight="1">
      <c r="A8118" s="34"/>
    </row>
    <row r="8119" spans="1:1" ht="15.75" customHeight="1">
      <c r="A8119" s="34"/>
    </row>
    <row r="8120" spans="1:1" ht="15.75" customHeight="1">
      <c r="A8120" s="34"/>
    </row>
    <row r="8121" spans="1:1" ht="15.75" customHeight="1">
      <c r="A8121" s="34"/>
    </row>
    <row r="8122" spans="1:1" ht="15.75" customHeight="1">
      <c r="A8122" s="34"/>
    </row>
    <row r="8123" spans="1:1" ht="15.75" customHeight="1">
      <c r="A8123" s="34"/>
    </row>
    <row r="8124" spans="1:1" ht="15.75" customHeight="1">
      <c r="A8124" s="34"/>
    </row>
    <row r="8125" spans="1:1" ht="15.75" customHeight="1">
      <c r="A8125" s="34"/>
    </row>
    <row r="8126" spans="1:1" ht="15.75" customHeight="1">
      <c r="A8126" s="34"/>
    </row>
    <row r="8127" spans="1:1" ht="15.75" customHeight="1">
      <c r="A8127" s="34"/>
    </row>
    <row r="8128" spans="1:1" ht="15.75" customHeight="1">
      <c r="A8128" s="34"/>
    </row>
    <row r="8129" spans="1:1" ht="15.75" customHeight="1">
      <c r="A8129" s="34"/>
    </row>
    <row r="8130" spans="1:1" ht="15.75" customHeight="1">
      <c r="A8130" s="34"/>
    </row>
    <row r="8131" spans="1:1" ht="15.75" customHeight="1">
      <c r="A8131" s="34"/>
    </row>
    <row r="8132" spans="1:1" ht="15.75" customHeight="1">
      <c r="A8132" s="34"/>
    </row>
    <row r="8133" spans="1:1" ht="15.75" customHeight="1">
      <c r="A8133" s="34"/>
    </row>
    <row r="8134" spans="1:1" ht="15.75" customHeight="1">
      <c r="A8134" s="34"/>
    </row>
    <row r="8135" spans="1:1" ht="15.75" customHeight="1">
      <c r="A8135" s="34"/>
    </row>
    <row r="8136" spans="1:1" ht="15.75" customHeight="1">
      <c r="A8136" s="34"/>
    </row>
    <row r="8137" spans="1:1" ht="15.75" customHeight="1">
      <c r="A8137" s="34"/>
    </row>
    <row r="8138" spans="1:1" ht="15.75" customHeight="1">
      <c r="A8138" s="34"/>
    </row>
    <row r="8139" spans="1:1" ht="15.75" customHeight="1">
      <c r="A8139" s="34"/>
    </row>
    <row r="8140" spans="1:1" ht="15.75" customHeight="1">
      <c r="A8140" s="34"/>
    </row>
    <row r="8141" spans="1:1" ht="15.75" customHeight="1">
      <c r="A8141" s="34"/>
    </row>
    <row r="8142" spans="1:1" ht="15.75" customHeight="1">
      <c r="A8142" s="34"/>
    </row>
    <row r="8143" spans="1:1" ht="15.75" customHeight="1">
      <c r="A8143" s="34"/>
    </row>
    <row r="8144" spans="1:1" ht="15.75" customHeight="1">
      <c r="A8144" s="34"/>
    </row>
    <row r="8145" spans="1:1" ht="15.75" customHeight="1">
      <c r="A8145" s="34"/>
    </row>
    <row r="8146" spans="1:1" ht="15.75" customHeight="1">
      <c r="A8146" s="34"/>
    </row>
    <row r="8147" spans="1:1" ht="15.75" customHeight="1">
      <c r="A8147" s="34"/>
    </row>
    <row r="8148" spans="1:1" ht="15.75" customHeight="1">
      <c r="A8148" s="34"/>
    </row>
    <row r="8149" spans="1:1" ht="15.75" customHeight="1">
      <c r="A8149" s="34"/>
    </row>
    <row r="8150" spans="1:1" ht="15.75" customHeight="1">
      <c r="A8150" s="34"/>
    </row>
    <row r="8151" spans="1:1" ht="15.75" customHeight="1">
      <c r="A8151" s="34"/>
    </row>
    <row r="8152" spans="1:1" ht="15.75" customHeight="1">
      <c r="A8152" s="34"/>
    </row>
    <row r="8153" spans="1:1" ht="15.75" customHeight="1">
      <c r="A8153" s="34"/>
    </row>
    <row r="8154" spans="1:1" ht="15.75" customHeight="1">
      <c r="A8154" s="34"/>
    </row>
    <row r="8155" spans="1:1" ht="15.75" customHeight="1">
      <c r="A8155" s="34"/>
    </row>
    <row r="8156" spans="1:1" ht="15.75" customHeight="1">
      <c r="A8156" s="34"/>
    </row>
    <row r="8157" spans="1:1" ht="15.75" customHeight="1">
      <c r="A8157" s="34"/>
    </row>
    <row r="8158" spans="1:1" ht="15.75" customHeight="1">
      <c r="A8158" s="34"/>
    </row>
    <row r="8159" spans="1:1" ht="15.75" customHeight="1">
      <c r="A8159" s="34"/>
    </row>
    <row r="8160" spans="1:1" ht="15.75" customHeight="1">
      <c r="A8160" s="34"/>
    </row>
    <row r="8161" spans="1:1" ht="15.75" customHeight="1">
      <c r="A8161" s="34"/>
    </row>
    <row r="8162" spans="1:1" ht="15.75" customHeight="1">
      <c r="A8162" s="34"/>
    </row>
    <row r="8163" spans="1:1" ht="15.75" customHeight="1">
      <c r="A8163" s="34"/>
    </row>
    <row r="8164" spans="1:1" ht="15.75" customHeight="1">
      <c r="A8164" s="34"/>
    </row>
    <row r="8165" spans="1:1" ht="15.75" customHeight="1">
      <c r="A8165" s="34"/>
    </row>
    <row r="8166" spans="1:1" ht="15.75" customHeight="1">
      <c r="A8166" s="34"/>
    </row>
    <row r="8167" spans="1:1" ht="15.75" customHeight="1">
      <c r="A8167" s="34"/>
    </row>
    <row r="8168" spans="1:1" ht="15.75" customHeight="1">
      <c r="A8168" s="34"/>
    </row>
    <row r="8169" spans="1:1" ht="15.75" customHeight="1">
      <c r="A8169" s="34"/>
    </row>
    <row r="8170" spans="1:1" ht="15.75" customHeight="1">
      <c r="A8170" s="34"/>
    </row>
    <row r="8171" spans="1:1" ht="15.75" customHeight="1">
      <c r="A8171" s="34"/>
    </row>
    <row r="8172" spans="1:1" ht="15.75" customHeight="1">
      <c r="A8172" s="34"/>
    </row>
    <row r="8173" spans="1:1" ht="15.75" customHeight="1">
      <c r="A8173" s="34"/>
    </row>
    <row r="8174" spans="1:1" ht="15.75" customHeight="1">
      <c r="A8174" s="34"/>
    </row>
    <row r="8175" spans="1:1" ht="15.75" customHeight="1">
      <c r="A8175" s="34"/>
    </row>
    <row r="8176" spans="1:1" ht="15.75" customHeight="1">
      <c r="A8176" s="34"/>
    </row>
    <row r="8177" spans="1:1" ht="15.75" customHeight="1">
      <c r="A8177" s="34"/>
    </row>
    <row r="8178" spans="1:1" ht="15.75" customHeight="1">
      <c r="A8178" s="34"/>
    </row>
    <row r="8179" spans="1:1" ht="15.75" customHeight="1">
      <c r="A8179" s="34"/>
    </row>
    <row r="8180" spans="1:1" ht="15.75" customHeight="1">
      <c r="A8180" s="34"/>
    </row>
    <row r="8181" spans="1:1" ht="15.75" customHeight="1">
      <c r="A8181" s="34"/>
    </row>
    <row r="8182" spans="1:1" ht="15.75" customHeight="1">
      <c r="A8182" s="34"/>
    </row>
    <row r="8183" spans="1:1" ht="15.75" customHeight="1">
      <c r="A8183" s="34"/>
    </row>
    <row r="8184" spans="1:1" ht="15.75" customHeight="1">
      <c r="A8184" s="34"/>
    </row>
    <row r="8185" spans="1:1" ht="15.75" customHeight="1">
      <c r="A8185" s="34"/>
    </row>
    <row r="8186" spans="1:1" ht="15.75" customHeight="1">
      <c r="A8186" s="34"/>
    </row>
    <row r="8187" spans="1:1" ht="15.75" customHeight="1">
      <c r="A8187" s="34"/>
    </row>
    <row r="8188" spans="1:1" ht="15.75" customHeight="1">
      <c r="A8188" s="34"/>
    </row>
    <row r="8189" spans="1:1" ht="15.75" customHeight="1">
      <c r="A8189" s="34"/>
    </row>
    <row r="8190" spans="1:1" ht="15.75" customHeight="1">
      <c r="A8190" s="34"/>
    </row>
    <row r="8191" spans="1:1" ht="15.75" customHeight="1">
      <c r="A8191" s="34"/>
    </row>
    <row r="8192" spans="1:1" ht="15.75" customHeight="1">
      <c r="A8192" s="34"/>
    </row>
    <row r="8193" spans="1:1" ht="15.75" customHeight="1">
      <c r="A8193" s="34"/>
    </row>
    <row r="8194" spans="1:1" ht="15.75" customHeight="1">
      <c r="A8194" s="34"/>
    </row>
    <row r="8195" spans="1:1" ht="15.75" customHeight="1">
      <c r="A8195" s="34"/>
    </row>
    <row r="8196" spans="1:1" ht="15.75" customHeight="1">
      <c r="A8196" s="34"/>
    </row>
    <row r="8197" spans="1:1" ht="15.75" customHeight="1">
      <c r="A8197" s="34"/>
    </row>
    <row r="8198" spans="1:1" ht="15.75" customHeight="1">
      <c r="A8198" s="34"/>
    </row>
    <row r="8199" spans="1:1" ht="15.75" customHeight="1">
      <c r="A8199" s="34"/>
    </row>
    <row r="8200" spans="1:1" ht="15.75" customHeight="1">
      <c r="A8200" s="34"/>
    </row>
    <row r="8201" spans="1:1" ht="15.75" customHeight="1">
      <c r="A8201" s="34"/>
    </row>
    <row r="8202" spans="1:1" ht="15.75" customHeight="1">
      <c r="A8202" s="34"/>
    </row>
    <row r="8203" spans="1:1" ht="15.75" customHeight="1">
      <c r="A8203" s="34"/>
    </row>
    <row r="8204" spans="1:1" ht="15.75" customHeight="1">
      <c r="A8204" s="34"/>
    </row>
    <row r="8205" spans="1:1" ht="15.75" customHeight="1">
      <c r="A8205" s="34"/>
    </row>
    <row r="8206" spans="1:1" ht="15.75" customHeight="1">
      <c r="A8206" s="34"/>
    </row>
    <row r="8207" spans="1:1" ht="15.75" customHeight="1">
      <c r="A8207" s="34"/>
    </row>
    <row r="8208" spans="1:1" ht="15.75" customHeight="1">
      <c r="A8208" s="34"/>
    </row>
    <row r="8209" spans="1:1" ht="15.75" customHeight="1">
      <c r="A8209" s="34"/>
    </row>
    <row r="8210" spans="1:1" ht="15.75" customHeight="1">
      <c r="A8210" s="34"/>
    </row>
    <row r="8211" spans="1:1" ht="15.75" customHeight="1">
      <c r="A8211" s="34"/>
    </row>
    <row r="8212" spans="1:1" ht="15.75" customHeight="1">
      <c r="A8212" s="34"/>
    </row>
    <row r="8213" spans="1:1" ht="15.75" customHeight="1">
      <c r="A8213" s="34"/>
    </row>
    <row r="8214" spans="1:1" ht="15.75" customHeight="1">
      <c r="A8214" s="34"/>
    </row>
    <row r="8215" spans="1:1" ht="15.75" customHeight="1">
      <c r="A8215" s="34"/>
    </row>
    <row r="8216" spans="1:1" ht="15.75" customHeight="1">
      <c r="A8216" s="34"/>
    </row>
    <row r="8217" spans="1:1" ht="15.75" customHeight="1">
      <c r="A8217" s="34"/>
    </row>
    <row r="8218" spans="1:1" ht="15.75" customHeight="1">
      <c r="A8218" s="34"/>
    </row>
    <row r="8219" spans="1:1" ht="15.75" customHeight="1">
      <c r="A8219" s="34"/>
    </row>
    <row r="8220" spans="1:1" ht="15.75" customHeight="1">
      <c r="A8220" s="34"/>
    </row>
    <row r="8221" spans="1:1" ht="15.75" customHeight="1">
      <c r="A8221" s="34"/>
    </row>
    <row r="8222" spans="1:1" ht="15.75" customHeight="1">
      <c r="A8222" s="34"/>
    </row>
    <row r="8223" spans="1:1" ht="15.75" customHeight="1">
      <c r="A8223" s="34"/>
    </row>
    <row r="8224" spans="1:1" ht="15.75" customHeight="1">
      <c r="A8224" s="34"/>
    </row>
    <row r="8225" spans="1:1" ht="15.75" customHeight="1">
      <c r="A8225" s="34"/>
    </row>
    <row r="8226" spans="1:1" ht="15.75" customHeight="1">
      <c r="A8226" s="34"/>
    </row>
    <row r="8227" spans="1:1" ht="15.75" customHeight="1">
      <c r="A8227" s="34"/>
    </row>
    <row r="8228" spans="1:1" ht="15.75" customHeight="1">
      <c r="A8228" s="34"/>
    </row>
    <row r="8229" spans="1:1" ht="15.75" customHeight="1">
      <c r="A8229" s="34"/>
    </row>
    <row r="8230" spans="1:1" ht="15.75" customHeight="1">
      <c r="A8230" s="34"/>
    </row>
    <row r="8231" spans="1:1" ht="15.75" customHeight="1">
      <c r="A8231" s="34"/>
    </row>
    <row r="8232" spans="1:1" ht="15.75" customHeight="1">
      <c r="A8232" s="34"/>
    </row>
    <row r="8233" spans="1:1" ht="15.75" customHeight="1">
      <c r="A8233" s="34"/>
    </row>
    <row r="8234" spans="1:1" ht="15.75" customHeight="1">
      <c r="A8234" s="34"/>
    </row>
    <row r="8235" spans="1:1" ht="15.75" customHeight="1">
      <c r="A8235" s="34"/>
    </row>
    <row r="8236" spans="1:1" ht="15.75" customHeight="1">
      <c r="A8236" s="34"/>
    </row>
    <row r="8237" spans="1:1" ht="15.75" customHeight="1">
      <c r="A8237" s="34"/>
    </row>
    <row r="8238" spans="1:1" ht="15.75" customHeight="1">
      <c r="A8238" s="34"/>
    </row>
    <row r="8239" spans="1:1" ht="15.75" customHeight="1">
      <c r="A8239" s="34"/>
    </row>
    <row r="8240" spans="1:1" ht="15.75" customHeight="1">
      <c r="A8240" s="34"/>
    </row>
    <row r="8241" spans="1:1" ht="15.75" customHeight="1">
      <c r="A8241" s="34"/>
    </row>
    <row r="8242" spans="1:1" ht="15.75" customHeight="1">
      <c r="A8242" s="34"/>
    </row>
    <row r="8243" spans="1:1" ht="15.75" customHeight="1">
      <c r="A8243" s="34"/>
    </row>
    <row r="8244" spans="1:1" ht="15.75" customHeight="1">
      <c r="A8244" s="34"/>
    </row>
    <row r="8245" spans="1:1" ht="15.75" customHeight="1">
      <c r="A8245" s="34"/>
    </row>
    <row r="8246" spans="1:1" ht="15.75" customHeight="1">
      <c r="A8246" s="34"/>
    </row>
    <row r="8247" spans="1:1" ht="15.75" customHeight="1">
      <c r="A8247" s="34"/>
    </row>
    <row r="8248" spans="1:1" ht="15.75" customHeight="1">
      <c r="A8248" s="34"/>
    </row>
    <row r="8249" spans="1:1" ht="15.75" customHeight="1">
      <c r="A8249" s="34"/>
    </row>
    <row r="8250" spans="1:1" ht="15.75" customHeight="1">
      <c r="A8250" s="34"/>
    </row>
    <row r="8251" spans="1:1" ht="15.75" customHeight="1">
      <c r="A8251" s="34"/>
    </row>
    <row r="8252" spans="1:1" ht="15.75" customHeight="1">
      <c r="A8252" s="34"/>
    </row>
    <row r="8253" spans="1:1" ht="15.75" customHeight="1">
      <c r="A8253" s="34"/>
    </row>
    <row r="8254" spans="1:1" ht="15.75" customHeight="1">
      <c r="A8254" s="34"/>
    </row>
    <row r="8255" spans="1:1" ht="15.75" customHeight="1">
      <c r="A8255" s="34"/>
    </row>
    <row r="8256" spans="1:1" ht="15.75" customHeight="1">
      <c r="A8256" s="34"/>
    </row>
    <row r="8257" spans="1:1" ht="15.75" customHeight="1">
      <c r="A8257" s="34"/>
    </row>
    <row r="8258" spans="1:1" ht="15.75" customHeight="1">
      <c r="A8258" s="34"/>
    </row>
    <row r="8259" spans="1:1" ht="15.75" customHeight="1">
      <c r="A8259" s="34"/>
    </row>
    <row r="8260" spans="1:1" ht="15.75" customHeight="1">
      <c r="A8260" s="34"/>
    </row>
    <row r="8261" spans="1:1" ht="15.75" customHeight="1">
      <c r="A8261" s="34"/>
    </row>
    <row r="8262" spans="1:1" ht="15.75" customHeight="1">
      <c r="A8262" s="34"/>
    </row>
    <row r="8263" spans="1:1" ht="15.75" customHeight="1">
      <c r="A8263" s="34"/>
    </row>
    <row r="8264" spans="1:1" ht="15.75" customHeight="1">
      <c r="A8264" s="34"/>
    </row>
    <row r="8265" spans="1:1" ht="15.75" customHeight="1">
      <c r="A8265" s="34"/>
    </row>
    <row r="8266" spans="1:1" ht="15.75" customHeight="1">
      <c r="A8266" s="34"/>
    </row>
    <row r="8267" spans="1:1" ht="15.75" customHeight="1">
      <c r="A8267" s="34"/>
    </row>
    <row r="8268" spans="1:1" ht="15.75" customHeight="1">
      <c r="A8268" s="34"/>
    </row>
    <row r="8269" spans="1:1" ht="15.75" customHeight="1">
      <c r="A8269" s="34"/>
    </row>
    <row r="8270" spans="1:1" ht="15.75" customHeight="1">
      <c r="A8270" s="34"/>
    </row>
    <row r="8271" spans="1:1" ht="15.75" customHeight="1">
      <c r="A8271" s="34"/>
    </row>
    <row r="8272" spans="1:1" ht="15.75" customHeight="1">
      <c r="A8272" s="34"/>
    </row>
    <row r="8273" spans="1:1" ht="15.75" customHeight="1">
      <c r="A8273" s="34"/>
    </row>
    <row r="8274" spans="1:1" ht="15.75" customHeight="1">
      <c r="A8274" s="34"/>
    </row>
    <row r="8275" spans="1:1" ht="15.75" customHeight="1">
      <c r="A8275" s="34"/>
    </row>
    <row r="8276" spans="1:1" ht="15.75" customHeight="1">
      <c r="A8276" s="34"/>
    </row>
    <row r="8277" spans="1:1" ht="15.75" customHeight="1">
      <c r="A8277" s="34"/>
    </row>
    <row r="8278" spans="1:1" ht="15.75" customHeight="1">
      <c r="A8278" s="34"/>
    </row>
    <row r="8279" spans="1:1" ht="15.75" customHeight="1">
      <c r="A8279" s="34"/>
    </row>
    <row r="8280" spans="1:1" ht="15.75" customHeight="1">
      <c r="A8280" s="34"/>
    </row>
    <row r="8281" spans="1:1" ht="15.75" customHeight="1">
      <c r="A8281" s="34"/>
    </row>
    <row r="8282" spans="1:1" ht="15.75" customHeight="1">
      <c r="A8282" s="34"/>
    </row>
    <row r="8283" spans="1:1" ht="15.75" customHeight="1">
      <c r="A8283" s="34"/>
    </row>
    <row r="8284" spans="1:1" ht="15.75" customHeight="1">
      <c r="A8284" s="34"/>
    </row>
    <row r="8285" spans="1:1" ht="15.75" customHeight="1">
      <c r="A8285" s="34"/>
    </row>
    <row r="8286" spans="1:1" ht="15.75" customHeight="1">
      <c r="A8286" s="34"/>
    </row>
    <row r="8287" spans="1:1" ht="15.75" customHeight="1">
      <c r="A8287" s="34"/>
    </row>
    <row r="8288" spans="1:1" ht="15.75" customHeight="1">
      <c r="A8288" s="34"/>
    </row>
    <row r="8289" spans="1:1" ht="15.75" customHeight="1">
      <c r="A8289" s="34"/>
    </row>
    <row r="8290" spans="1:1" ht="15.75" customHeight="1">
      <c r="A8290" s="34"/>
    </row>
    <row r="8291" spans="1:1" ht="15.75" customHeight="1">
      <c r="A8291" s="34"/>
    </row>
    <row r="8292" spans="1:1" ht="15.75" customHeight="1">
      <c r="A8292" s="34"/>
    </row>
    <row r="8293" spans="1:1" ht="15.75" customHeight="1">
      <c r="A8293" s="34"/>
    </row>
    <row r="8294" spans="1:1" ht="15.75" customHeight="1">
      <c r="A8294" s="34"/>
    </row>
    <row r="8295" spans="1:1" ht="15.75" customHeight="1">
      <c r="A8295" s="34"/>
    </row>
    <row r="8296" spans="1:1" ht="15.75" customHeight="1">
      <c r="A8296" s="34"/>
    </row>
    <row r="8297" spans="1:1" ht="15.75" customHeight="1">
      <c r="A8297" s="34"/>
    </row>
    <row r="8298" spans="1:1" ht="15.75" customHeight="1">
      <c r="A8298" s="34"/>
    </row>
    <row r="8299" spans="1:1" ht="15.75" customHeight="1">
      <c r="A8299" s="34"/>
    </row>
    <row r="8300" spans="1:1" ht="15.75" customHeight="1">
      <c r="A8300" s="34"/>
    </row>
    <row r="8301" spans="1:1" ht="15.75" customHeight="1">
      <c r="A8301" s="34"/>
    </row>
    <row r="8302" spans="1:1" ht="15.75" customHeight="1">
      <c r="A8302" s="34"/>
    </row>
    <row r="8303" spans="1:1" ht="15.75" customHeight="1">
      <c r="A8303" s="34"/>
    </row>
    <row r="8304" spans="1:1" ht="15.75" customHeight="1">
      <c r="A8304" s="34"/>
    </row>
    <row r="8305" spans="1:1" ht="15.75" customHeight="1">
      <c r="A8305" s="34"/>
    </row>
    <row r="8306" spans="1:1" ht="15.75" customHeight="1">
      <c r="A8306" s="34"/>
    </row>
    <row r="8307" spans="1:1" ht="15.75" customHeight="1">
      <c r="A8307" s="34"/>
    </row>
    <row r="8308" spans="1:1" ht="15.75" customHeight="1">
      <c r="A8308" s="34"/>
    </row>
    <row r="8309" spans="1:1" ht="15.75" customHeight="1">
      <c r="A8309" s="34"/>
    </row>
    <row r="8310" spans="1:1" ht="15.75" customHeight="1">
      <c r="A8310" s="34"/>
    </row>
    <row r="8311" spans="1:1" ht="15.75" customHeight="1">
      <c r="A8311" s="34"/>
    </row>
    <row r="8312" spans="1:1" ht="15.75" customHeight="1">
      <c r="A8312" s="34"/>
    </row>
    <row r="8313" spans="1:1" ht="15.75" customHeight="1">
      <c r="A8313" s="34"/>
    </row>
    <row r="8314" spans="1:1" ht="15.75" customHeight="1">
      <c r="A8314" s="34"/>
    </row>
    <row r="8315" spans="1:1" ht="15.75" customHeight="1">
      <c r="A8315" s="34"/>
    </row>
    <row r="8316" spans="1:1" ht="15.75" customHeight="1">
      <c r="A8316" s="34"/>
    </row>
    <row r="8317" spans="1:1" ht="15.75" customHeight="1">
      <c r="A8317" s="34"/>
    </row>
    <row r="8318" spans="1:1" ht="15.75" customHeight="1">
      <c r="A8318" s="34"/>
    </row>
    <row r="8319" spans="1:1" ht="15.75" customHeight="1">
      <c r="A8319" s="34"/>
    </row>
    <row r="8320" spans="1:1" ht="15.75" customHeight="1">
      <c r="A8320" s="34"/>
    </row>
    <row r="8321" spans="1:1" ht="15.75" customHeight="1">
      <c r="A8321" s="34"/>
    </row>
    <row r="8322" spans="1:1" ht="15.75" customHeight="1">
      <c r="A8322" s="34"/>
    </row>
    <row r="8323" spans="1:1" ht="15.75" customHeight="1">
      <c r="A8323" s="34"/>
    </row>
    <row r="8324" spans="1:1" ht="15.75" customHeight="1">
      <c r="A8324" s="34"/>
    </row>
    <row r="8325" spans="1:1" ht="15.75" customHeight="1">
      <c r="A8325" s="34"/>
    </row>
    <row r="8326" spans="1:1" ht="15.75" customHeight="1">
      <c r="A8326" s="34"/>
    </row>
    <row r="8327" spans="1:1" ht="15.75" customHeight="1">
      <c r="A8327" s="34"/>
    </row>
    <row r="8328" spans="1:1" ht="15.75" customHeight="1">
      <c r="A8328" s="34"/>
    </row>
    <row r="8329" spans="1:1" ht="15.75" customHeight="1">
      <c r="A8329" s="34"/>
    </row>
    <row r="8330" spans="1:1" ht="15.75" customHeight="1">
      <c r="A8330" s="34"/>
    </row>
    <row r="8331" spans="1:1" ht="15.75" customHeight="1">
      <c r="A8331" s="34"/>
    </row>
    <row r="8332" spans="1:1" ht="15.75" customHeight="1">
      <c r="A8332" s="34"/>
    </row>
    <row r="8333" spans="1:1" ht="15.75" customHeight="1">
      <c r="A8333" s="34"/>
    </row>
    <row r="8334" spans="1:1" ht="15.75" customHeight="1">
      <c r="A8334" s="34"/>
    </row>
    <row r="8335" spans="1:1" ht="15.75" customHeight="1">
      <c r="A8335" s="34"/>
    </row>
    <row r="8336" spans="1:1" ht="15.75" customHeight="1">
      <c r="A8336" s="34"/>
    </row>
    <row r="8337" spans="1:1" ht="15.75" customHeight="1">
      <c r="A8337" s="34"/>
    </row>
    <row r="8338" spans="1:1" ht="15.75" customHeight="1">
      <c r="A8338" s="34"/>
    </row>
    <row r="8339" spans="1:1" ht="15.75" customHeight="1">
      <c r="A8339" s="34"/>
    </row>
    <row r="8340" spans="1:1" ht="15.75" customHeight="1">
      <c r="A8340" s="34"/>
    </row>
    <row r="8341" spans="1:1" ht="15.75" customHeight="1">
      <c r="A8341" s="34"/>
    </row>
    <row r="8342" spans="1:1" ht="15.75" customHeight="1">
      <c r="A8342" s="34"/>
    </row>
    <row r="8343" spans="1:1" ht="15.75" customHeight="1">
      <c r="A8343" s="34"/>
    </row>
    <row r="8344" spans="1:1" ht="15.75" customHeight="1">
      <c r="A8344" s="34"/>
    </row>
    <row r="8345" spans="1:1" ht="15.75" customHeight="1">
      <c r="A8345" s="34"/>
    </row>
    <row r="8346" spans="1:1" ht="15.75" customHeight="1">
      <c r="A8346" s="34"/>
    </row>
    <row r="8347" spans="1:1" ht="15.75" customHeight="1">
      <c r="A8347" s="34"/>
    </row>
    <row r="8348" spans="1:1" ht="15.75" customHeight="1">
      <c r="A8348" s="34"/>
    </row>
    <row r="8349" spans="1:1" ht="15.75" customHeight="1">
      <c r="A8349" s="34"/>
    </row>
    <row r="8350" spans="1:1" ht="15.75" customHeight="1">
      <c r="A8350" s="34"/>
    </row>
    <row r="8351" spans="1:1" ht="15.75" customHeight="1">
      <c r="A8351" s="34"/>
    </row>
    <row r="8352" spans="1:1" ht="15.75" customHeight="1">
      <c r="A8352" s="34"/>
    </row>
    <row r="8353" spans="1:1" ht="15.75" customHeight="1">
      <c r="A8353" s="34"/>
    </row>
    <row r="8354" spans="1:1" ht="15.75" customHeight="1">
      <c r="A8354" s="34"/>
    </row>
    <row r="8355" spans="1:1" ht="15.75" customHeight="1">
      <c r="A8355" s="34"/>
    </row>
    <row r="8356" spans="1:1" ht="15.75" customHeight="1">
      <c r="A8356" s="34"/>
    </row>
    <row r="8357" spans="1:1" ht="15.75" customHeight="1">
      <c r="A8357" s="34"/>
    </row>
    <row r="8358" spans="1:1" ht="15.75" customHeight="1">
      <c r="A8358" s="34"/>
    </row>
    <row r="8359" spans="1:1" ht="15.75" customHeight="1">
      <c r="A8359" s="34"/>
    </row>
    <row r="8360" spans="1:1" ht="15.75" customHeight="1">
      <c r="A8360" s="34"/>
    </row>
    <row r="8361" spans="1:1" ht="15.75" customHeight="1">
      <c r="A8361" s="34"/>
    </row>
    <row r="8362" spans="1:1" ht="15.75" customHeight="1">
      <c r="A8362" s="34"/>
    </row>
    <row r="8363" spans="1:1" ht="15.75" customHeight="1">
      <c r="A8363" s="34"/>
    </row>
    <row r="8364" spans="1:1" ht="15.75" customHeight="1">
      <c r="A8364" s="34"/>
    </row>
    <row r="8365" spans="1:1" ht="15.75" customHeight="1">
      <c r="A8365" s="34"/>
    </row>
    <row r="8366" spans="1:1" ht="15.75" customHeight="1">
      <c r="A8366" s="34"/>
    </row>
    <row r="8367" spans="1:1" ht="15.75" customHeight="1">
      <c r="A8367" s="34"/>
    </row>
    <row r="8368" spans="1:1" ht="15.75" customHeight="1">
      <c r="A8368" s="34"/>
    </row>
    <row r="8369" spans="1:1" ht="15.75" customHeight="1">
      <c r="A8369" s="34"/>
    </row>
    <row r="8370" spans="1:1" ht="15.75" customHeight="1">
      <c r="A8370" s="34"/>
    </row>
    <row r="8371" spans="1:1" ht="15.75" customHeight="1">
      <c r="A8371" s="34"/>
    </row>
    <row r="8372" spans="1:1" ht="15.75" customHeight="1">
      <c r="A8372" s="34"/>
    </row>
    <row r="8373" spans="1:1" ht="15.75" customHeight="1">
      <c r="A8373" s="34"/>
    </row>
    <row r="8374" spans="1:1" ht="15.75" customHeight="1">
      <c r="A8374" s="34"/>
    </row>
    <row r="8375" spans="1:1" ht="15.75" customHeight="1">
      <c r="A8375" s="34"/>
    </row>
    <row r="8376" spans="1:1" ht="15.75" customHeight="1">
      <c r="A8376" s="34"/>
    </row>
    <row r="8377" spans="1:1" ht="15.75" customHeight="1">
      <c r="A8377" s="34"/>
    </row>
    <row r="8378" spans="1:1" ht="15.75" customHeight="1">
      <c r="A8378" s="34"/>
    </row>
    <row r="8379" spans="1:1" ht="15.75" customHeight="1">
      <c r="A8379" s="34"/>
    </row>
    <row r="8380" spans="1:1" ht="15.75" customHeight="1">
      <c r="A8380" s="34"/>
    </row>
    <row r="8381" spans="1:1" ht="15.75" customHeight="1">
      <c r="A8381" s="34"/>
    </row>
    <row r="8382" spans="1:1" ht="15.75" customHeight="1">
      <c r="A8382" s="34"/>
    </row>
    <row r="8383" spans="1:1" ht="15.75" customHeight="1">
      <c r="A8383" s="34"/>
    </row>
    <row r="8384" spans="1:1" ht="15.75" customHeight="1">
      <c r="A8384" s="34"/>
    </row>
    <row r="8385" spans="1:1" ht="15.75" customHeight="1">
      <c r="A8385" s="34"/>
    </row>
    <row r="8386" spans="1:1" ht="15.75" customHeight="1">
      <c r="A8386" s="34"/>
    </row>
    <row r="8387" spans="1:1" ht="15.75" customHeight="1">
      <c r="A8387" s="34"/>
    </row>
    <row r="8388" spans="1:1" ht="15.75" customHeight="1">
      <c r="A8388" s="34"/>
    </row>
    <row r="8389" spans="1:1" ht="15.75" customHeight="1">
      <c r="A8389" s="34"/>
    </row>
    <row r="8390" spans="1:1" ht="15.75" customHeight="1">
      <c r="A8390" s="34"/>
    </row>
    <row r="8391" spans="1:1" ht="15.75" customHeight="1">
      <c r="A8391" s="34"/>
    </row>
    <row r="8392" spans="1:1" ht="15.75" customHeight="1">
      <c r="A8392" s="34"/>
    </row>
    <row r="8393" spans="1:1" ht="15.75" customHeight="1">
      <c r="A8393" s="34"/>
    </row>
    <row r="8394" spans="1:1" ht="15.75" customHeight="1">
      <c r="A8394" s="34"/>
    </row>
    <row r="8395" spans="1:1" ht="15.75" customHeight="1">
      <c r="A8395" s="34"/>
    </row>
    <row r="8396" spans="1:1" ht="15.75" customHeight="1">
      <c r="A8396" s="34"/>
    </row>
    <row r="8397" spans="1:1" ht="15.75" customHeight="1">
      <c r="A8397" s="34"/>
    </row>
  </sheetData>
  <sheetProtection formatCells="0" formatColumns="0" formatRows="0" insertColumns="0" insertRows="0" insertHyperlinks="0" deleteColumns="0" deleteRows="0" sort="0" autoFilter="0" pivotTables="0"/>
  <hyperlinks>
    <hyperlink ref="A2" r:id="rId1"/>
    <hyperlink ref="J3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DownloadData">
                <anchor moveWithCells="1">
                  <from>
                    <xdr:col>2</xdr:col>
                    <xdr:colOff>295275</xdr:colOff>
                    <xdr:row>3</xdr:row>
                    <xdr:rowOff>142875</xdr:rowOff>
                  </from>
                  <to>
                    <xdr:col>4</xdr:col>
                    <xdr:colOff>171450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WriteToCSVCheckBox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171450</xdr:rowOff>
                  </from>
                  <to>
                    <xdr:col>0</xdr:col>
                    <xdr:colOff>819150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8" name="CollateDataCheckBox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180975</xdr:rowOff>
                  </from>
                  <to>
                    <xdr:col>1</xdr:col>
                    <xdr:colOff>142875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06"/>
  <sheetViews>
    <sheetView workbookViewId="0"/>
  </sheetViews>
  <sheetFormatPr defaultRowHeight="15"/>
  <cols>
    <col min="1" max="7" width="10.7109375" customWidth="1"/>
  </cols>
  <sheetData>
    <row r="1" spans="1:6">
      <c r="A1" t="s">
        <v>62</v>
      </c>
    </row>
    <row r="2" spans="1:6">
      <c r="A2" t="s">
        <v>26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</row>
    <row r="3" spans="1:6">
      <c r="A3" s="39">
        <v>42145</v>
      </c>
      <c r="B3">
        <v>75.8</v>
      </c>
      <c r="C3">
        <v>76.42</v>
      </c>
      <c r="D3">
        <v>75.56</v>
      </c>
      <c r="E3">
        <v>76.11</v>
      </c>
      <c r="F3">
        <v>6756162</v>
      </c>
    </row>
    <row r="4" spans="1:6">
      <c r="A4" s="39">
        <v>42146</v>
      </c>
      <c r="B4">
        <v>76.2</v>
      </c>
      <c r="C4">
        <v>76.38</v>
      </c>
      <c r="D4">
        <v>75.86</v>
      </c>
      <c r="E4">
        <v>75.86</v>
      </c>
      <c r="F4">
        <v>6815006</v>
      </c>
    </row>
    <row r="5" spans="1:6">
      <c r="A5" s="39">
        <v>42150</v>
      </c>
      <c r="B5">
        <v>75.77</v>
      </c>
      <c r="C5">
        <v>75.83</v>
      </c>
      <c r="D5">
        <v>74.819999999999993</v>
      </c>
      <c r="E5">
        <v>74.900000000000006</v>
      </c>
      <c r="F5">
        <v>10573616</v>
      </c>
    </row>
    <row r="6" spans="1:6">
      <c r="A6" s="39">
        <v>42151</v>
      </c>
      <c r="B6">
        <v>75.069999999999993</v>
      </c>
      <c r="C6">
        <v>75.510000000000005</v>
      </c>
      <c r="D6">
        <v>75</v>
      </c>
      <c r="E6">
        <v>75.19</v>
      </c>
      <c r="F6">
        <v>6987068</v>
      </c>
    </row>
    <row r="7" spans="1:6">
      <c r="A7" s="39">
        <v>42152</v>
      </c>
      <c r="B7">
        <v>75.069999999999993</v>
      </c>
      <c r="C7">
        <v>75.16</v>
      </c>
      <c r="D7">
        <v>74.650000000000006</v>
      </c>
      <c r="E7">
        <v>74.84</v>
      </c>
      <c r="F7">
        <v>5025471</v>
      </c>
    </row>
    <row r="8" spans="1:6">
      <c r="A8" s="39">
        <v>42153</v>
      </c>
      <c r="B8">
        <v>74.819999999999993</v>
      </c>
      <c r="C8">
        <v>74.88</v>
      </c>
      <c r="D8">
        <v>74.150000000000006</v>
      </c>
      <c r="E8">
        <v>74.27</v>
      </c>
      <c r="F8">
        <v>6375067</v>
      </c>
    </row>
    <row r="9" spans="1:6">
      <c r="A9" s="39">
        <v>42156</v>
      </c>
      <c r="B9">
        <v>74.69</v>
      </c>
      <c r="C9">
        <v>75.08</v>
      </c>
      <c r="D9">
        <v>74.41</v>
      </c>
      <c r="E9">
        <v>74.73</v>
      </c>
      <c r="F9">
        <v>5646037</v>
      </c>
    </row>
    <row r="10" spans="1:6">
      <c r="A10" s="39">
        <v>42157</v>
      </c>
      <c r="B10">
        <v>74.540000000000006</v>
      </c>
      <c r="C10">
        <v>75</v>
      </c>
      <c r="D10">
        <v>74.42</v>
      </c>
      <c r="E10">
        <v>74.53</v>
      </c>
      <c r="F10">
        <v>5797834</v>
      </c>
    </row>
    <row r="11" spans="1:6">
      <c r="A11" s="39">
        <v>42158</v>
      </c>
      <c r="B11">
        <v>74.7</v>
      </c>
      <c r="C11">
        <v>75.2</v>
      </c>
      <c r="D11">
        <v>74.48</v>
      </c>
      <c r="E11">
        <v>74.89</v>
      </c>
      <c r="F11">
        <v>6093825</v>
      </c>
    </row>
    <row r="12" spans="1:6">
      <c r="A12" s="39">
        <v>42159</v>
      </c>
      <c r="B12">
        <v>74.459999999999994</v>
      </c>
      <c r="C12">
        <v>74.98</v>
      </c>
      <c r="D12">
        <v>73.95</v>
      </c>
      <c r="E12">
        <v>74.150000000000006</v>
      </c>
      <c r="F12">
        <v>8982797</v>
      </c>
    </row>
    <row r="13" spans="1:6">
      <c r="A13" s="39">
        <v>42160</v>
      </c>
      <c r="B13">
        <v>74.17</v>
      </c>
      <c r="C13">
        <v>74.27</v>
      </c>
      <c r="D13">
        <v>72.98</v>
      </c>
      <c r="E13">
        <v>73.06</v>
      </c>
      <c r="F13">
        <v>10635085</v>
      </c>
    </row>
    <row r="14" spans="1:6">
      <c r="A14" s="39">
        <v>42163</v>
      </c>
      <c r="B14">
        <v>73.430000000000007</v>
      </c>
      <c r="C14">
        <v>73.489999999999995</v>
      </c>
      <c r="D14">
        <v>72.599999999999994</v>
      </c>
      <c r="E14">
        <v>72.61</v>
      </c>
      <c r="F14">
        <v>9592958</v>
      </c>
    </row>
    <row r="15" spans="1:6">
      <c r="A15" s="39">
        <v>42164</v>
      </c>
      <c r="B15">
        <v>72.7</v>
      </c>
      <c r="C15">
        <v>72.849999999999994</v>
      </c>
      <c r="D15">
        <v>72.36</v>
      </c>
      <c r="E15">
        <v>72.47</v>
      </c>
      <c r="F15">
        <v>8335572</v>
      </c>
    </row>
    <row r="16" spans="1:6">
      <c r="A16" s="39">
        <v>42165</v>
      </c>
      <c r="B16">
        <v>72.709999999999994</v>
      </c>
      <c r="C16">
        <v>73.33</v>
      </c>
      <c r="D16">
        <v>72.34</v>
      </c>
      <c r="E16">
        <v>72.930000000000007</v>
      </c>
      <c r="F16">
        <v>11215817</v>
      </c>
    </row>
    <row r="17" spans="1:6">
      <c r="A17" s="39">
        <v>42166</v>
      </c>
      <c r="B17">
        <v>73.23</v>
      </c>
      <c r="C17">
        <v>73.67</v>
      </c>
      <c r="D17">
        <v>72.84</v>
      </c>
      <c r="E17">
        <v>72.94</v>
      </c>
      <c r="F17">
        <v>7419959</v>
      </c>
    </row>
    <row r="18" spans="1:6">
      <c r="A18" s="39">
        <v>42167</v>
      </c>
      <c r="B18">
        <v>72.739999999999995</v>
      </c>
      <c r="C18">
        <v>72.900000000000006</v>
      </c>
      <c r="D18">
        <v>72.400000000000006</v>
      </c>
      <c r="E18">
        <v>72.430000000000007</v>
      </c>
      <c r="F18">
        <v>7246589</v>
      </c>
    </row>
    <row r="19" spans="1:6">
      <c r="A19" s="39">
        <v>42170</v>
      </c>
      <c r="B19">
        <v>72.2</v>
      </c>
      <c r="C19">
        <v>72.400000000000006</v>
      </c>
      <c r="D19">
        <v>71.7</v>
      </c>
      <c r="E19">
        <v>71.930000000000007</v>
      </c>
      <c r="F19">
        <v>7566777</v>
      </c>
    </row>
    <row r="20" spans="1:6">
      <c r="A20" s="39">
        <v>42171</v>
      </c>
      <c r="B20">
        <v>72.22</v>
      </c>
      <c r="C20">
        <v>72.58</v>
      </c>
      <c r="D20">
        <v>71.72</v>
      </c>
      <c r="E20">
        <v>72.349999999999994</v>
      </c>
      <c r="F20">
        <v>6215625</v>
      </c>
    </row>
    <row r="21" spans="1:6">
      <c r="A21" s="39">
        <v>42172</v>
      </c>
      <c r="B21">
        <v>72.63</v>
      </c>
      <c r="C21">
        <v>72.900000000000006</v>
      </c>
      <c r="D21">
        <v>72.34</v>
      </c>
      <c r="E21">
        <v>72.73</v>
      </c>
      <c r="F21">
        <v>5703861</v>
      </c>
    </row>
    <row r="22" spans="1:6">
      <c r="A22" s="39">
        <v>42173</v>
      </c>
      <c r="B22">
        <v>72.739999999999995</v>
      </c>
      <c r="C22">
        <v>73.48</v>
      </c>
      <c r="D22">
        <v>72.739999999999995</v>
      </c>
      <c r="E22">
        <v>72.98</v>
      </c>
      <c r="F22">
        <v>8376621</v>
      </c>
    </row>
    <row r="23" spans="1:6">
      <c r="A23" s="39">
        <v>42174</v>
      </c>
      <c r="B23">
        <v>72.8</v>
      </c>
      <c r="C23">
        <v>73.22</v>
      </c>
      <c r="D23">
        <v>72.7</v>
      </c>
      <c r="E23">
        <v>72.739999999999995</v>
      </c>
      <c r="F23">
        <v>14550688</v>
      </c>
    </row>
    <row r="24" spans="1:6">
      <c r="A24" s="39">
        <v>42177</v>
      </c>
      <c r="B24">
        <v>72.98</v>
      </c>
      <c r="C24">
        <v>73.19</v>
      </c>
      <c r="D24">
        <v>72.7</v>
      </c>
      <c r="E24">
        <v>72.790000000000006</v>
      </c>
      <c r="F24">
        <v>6489463</v>
      </c>
    </row>
    <row r="25" spans="1:6">
      <c r="A25" s="39">
        <v>42178</v>
      </c>
      <c r="B25">
        <v>72.89</v>
      </c>
      <c r="C25">
        <v>72.94</v>
      </c>
      <c r="D25">
        <v>72.34</v>
      </c>
      <c r="E25">
        <v>72.569999999999993</v>
      </c>
      <c r="F25">
        <v>7876315</v>
      </c>
    </row>
    <row r="26" spans="1:6">
      <c r="A26" s="39">
        <v>42179</v>
      </c>
      <c r="B26">
        <v>72.56</v>
      </c>
      <c r="C26">
        <v>72.650000000000006</v>
      </c>
      <c r="D26">
        <v>72.14</v>
      </c>
      <c r="E26">
        <v>72.38</v>
      </c>
      <c r="F26">
        <v>7338351</v>
      </c>
    </row>
    <row r="27" spans="1:6">
      <c r="A27" s="39">
        <v>42180</v>
      </c>
      <c r="B27">
        <v>72.45</v>
      </c>
      <c r="C27">
        <v>72.63</v>
      </c>
      <c r="D27">
        <v>71.83</v>
      </c>
      <c r="E27">
        <v>71.86</v>
      </c>
      <c r="F27">
        <v>5293151</v>
      </c>
    </row>
    <row r="28" spans="1:6">
      <c r="A28" s="39">
        <v>42181</v>
      </c>
      <c r="B28">
        <v>71.959999999999994</v>
      </c>
      <c r="C28">
        <v>72.459999999999994</v>
      </c>
      <c r="D28">
        <v>71.87</v>
      </c>
      <c r="E28">
        <v>72.12</v>
      </c>
      <c r="F28">
        <v>6897822</v>
      </c>
    </row>
    <row r="29" spans="1:6">
      <c r="A29" s="39">
        <v>42184</v>
      </c>
      <c r="B29">
        <v>71.8</v>
      </c>
      <c r="C29">
        <v>72</v>
      </c>
      <c r="D29">
        <v>71.41</v>
      </c>
      <c r="E29">
        <v>71.42</v>
      </c>
      <c r="F29">
        <v>8187836</v>
      </c>
    </row>
    <row r="30" spans="1:6">
      <c r="A30" s="39">
        <v>42185</v>
      </c>
      <c r="B30">
        <v>71.81</v>
      </c>
      <c r="C30">
        <v>71.81</v>
      </c>
      <c r="D30">
        <v>70.78</v>
      </c>
      <c r="E30">
        <v>70.930000000000007</v>
      </c>
      <c r="F30">
        <v>11102559</v>
      </c>
    </row>
    <row r="31" spans="1:6">
      <c r="A31" s="39">
        <v>42186</v>
      </c>
      <c r="B31">
        <v>71.599999999999994</v>
      </c>
      <c r="C31">
        <v>71.95</v>
      </c>
      <c r="D31">
        <v>70.36</v>
      </c>
      <c r="E31">
        <v>71.88</v>
      </c>
      <c r="F31">
        <v>10773904</v>
      </c>
    </row>
    <row r="32" spans="1:6">
      <c r="A32" s="39">
        <v>42187</v>
      </c>
      <c r="B32">
        <v>72.02</v>
      </c>
      <c r="C32">
        <v>72.56</v>
      </c>
      <c r="D32">
        <v>71.66</v>
      </c>
      <c r="E32">
        <v>71.86</v>
      </c>
      <c r="F32">
        <v>6586071</v>
      </c>
    </row>
    <row r="33" spans="1:6">
      <c r="A33" s="39">
        <v>42191</v>
      </c>
      <c r="B33">
        <v>71.38</v>
      </c>
      <c r="C33">
        <v>72.69</v>
      </c>
      <c r="D33">
        <v>71.38</v>
      </c>
      <c r="E33">
        <v>72.53</v>
      </c>
      <c r="F33">
        <v>10536477</v>
      </c>
    </row>
    <row r="34" spans="1:6">
      <c r="A34" s="39">
        <v>42192</v>
      </c>
      <c r="B34">
        <v>72.66</v>
      </c>
      <c r="C34">
        <v>73.86</v>
      </c>
      <c r="D34">
        <v>72</v>
      </c>
      <c r="E34">
        <v>73.790000000000006</v>
      </c>
      <c r="F34">
        <v>12421297</v>
      </c>
    </row>
    <row r="35" spans="1:6">
      <c r="A35" s="39">
        <v>42193</v>
      </c>
      <c r="B35">
        <v>73.3</v>
      </c>
      <c r="C35">
        <v>73.59</v>
      </c>
      <c r="D35">
        <v>72.900000000000006</v>
      </c>
      <c r="E35">
        <v>73.06</v>
      </c>
      <c r="F35">
        <v>7790963</v>
      </c>
    </row>
    <row r="36" spans="1:6">
      <c r="A36" s="39">
        <v>42194</v>
      </c>
      <c r="B36">
        <v>73.67</v>
      </c>
      <c r="C36">
        <v>73.73</v>
      </c>
      <c r="D36">
        <v>72.709999999999994</v>
      </c>
      <c r="E36">
        <v>72.78</v>
      </c>
      <c r="F36">
        <v>8695824</v>
      </c>
    </row>
    <row r="37" spans="1:6">
      <c r="A37" s="39">
        <v>42195</v>
      </c>
      <c r="B37">
        <v>73.08</v>
      </c>
      <c r="C37">
        <v>73.55</v>
      </c>
      <c r="D37">
        <v>73.08</v>
      </c>
      <c r="E37">
        <v>73.12</v>
      </c>
      <c r="F37">
        <v>5579323</v>
      </c>
    </row>
    <row r="38" spans="1:6">
      <c r="A38" s="39">
        <v>42198</v>
      </c>
      <c r="B38">
        <v>73.510000000000005</v>
      </c>
      <c r="C38">
        <v>74.099999999999994</v>
      </c>
      <c r="D38">
        <v>73.510000000000005</v>
      </c>
      <c r="E38">
        <v>73.88</v>
      </c>
      <c r="F38">
        <v>6084498</v>
      </c>
    </row>
    <row r="39" spans="1:6">
      <c r="A39" s="39">
        <v>42199</v>
      </c>
      <c r="B39">
        <v>73.98</v>
      </c>
      <c r="C39">
        <v>74.09</v>
      </c>
      <c r="D39">
        <v>73.48</v>
      </c>
      <c r="E39">
        <v>73.790000000000006</v>
      </c>
      <c r="F39">
        <v>5518153</v>
      </c>
    </row>
    <row r="40" spans="1:6">
      <c r="A40" s="39">
        <v>42200</v>
      </c>
      <c r="B40">
        <v>73.59</v>
      </c>
      <c r="C40">
        <v>73.900000000000006</v>
      </c>
      <c r="D40">
        <v>73.19</v>
      </c>
      <c r="E40">
        <v>73.650000000000006</v>
      </c>
      <c r="F40">
        <v>4566724</v>
      </c>
    </row>
    <row r="41" spans="1:6">
      <c r="A41" s="39">
        <v>42201</v>
      </c>
      <c r="B41">
        <v>73.97</v>
      </c>
      <c r="C41">
        <v>74.14</v>
      </c>
      <c r="D41">
        <v>73.760000000000005</v>
      </c>
      <c r="E41">
        <v>73.83</v>
      </c>
      <c r="F41">
        <v>5231727</v>
      </c>
    </row>
    <row r="42" spans="1:6">
      <c r="A42" s="39">
        <v>42202</v>
      </c>
      <c r="B42">
        <v>73.739999999999995</v>
      </c>
      <c r="C42">
        <v>74.069999999999993</v>
      </c>
      <c r="D42">
        <v>73.31</v>
      </c>
      <c r="E42">
        <v>73.39</v>
      </c>
      <c r="F42">
        <v>5680568</v>
      </c>
    </row>
    <row r="43" spans="1:6">
      <c r="A43" s="39">
        <v>42205</v>
      </c>
      <c r="B43">
        <v>73.349999999999994</v>
      </c>
      <c r="C43">
        <v>73.44</v>
      </c>
      <c r="D43">
        <v>73.06</v>
      </c>
      <c r="E43">
        <v>73.099999999999994</v>
      </c>
      <c r="F43">
        <v>5085621</v>
      </c>
    </row>
    <row r="44" spans="1:6">
      <c r="A44" s="39">
        <v>42206</v>
      </c>
      <c r="B44">
        <v>73.099999999999994</v>
      </c>
      <c r="C44">
        <v>73.290000000000006</v>
      </c>
      <c r="D44">
        <v>72.53</v>
      </c>
      <c r="E44">
        <v>72.739999999999995</v>
      </c>
      <c r="F44">
        <v>6441071</v>
      </c>
    </row>
    <row r="45" spans="1:6">
      <c r="A45" s="39">
        <v>42207</v>
      </c>
      <c r="B45">
        <v>72.78</v>
      </c>
      <c r="C45">
        <v>73.819999999999993</v>
      </c>
      <c r="D45">
        <v>72.78</v>
      </c>
      <c r="E45">
        <v>73.16</v>
      </c>
      <c r="F45">
        <v>6961551</v>
      </c>
    </row>
    <row r="46" spans="1:6">
      <c r="A46" s="39">
        <v>42208</v>
      </c>
      <c r="B46">
        <v>73.069999999999993</v>
      </c>
      <c r="C46">
        <v>73.22</v>
      </c>
      <c r="D46">
        <v>72.42</v>
      </c>
      <c r="E46">
        <v>72.510000000000005</v>
      </c>
      <c r="F46">
        <v>4252929</v>
      </c>
    </row>
    <row r="47" spans="1:6">
      <c r="A47" s="39">
        <v>42209</v>
      </c>
      <c r="B47">
        <v>72.53</v>
      </c>
      <c r="C47">
        <v>72.56</v>
      </c>
      <c r="D47">
        <v>71.5</v>
      </c>
      <c r="E47">
        <v>71.58</v>
      </c>
      <c r="F47">
        <v>5951117</v>
      </c>
    </row>
    <row r="48" spans="1:6">
      <c r="A48" s="39">
        <v>42212</v>
      </c>
      <c r="B48">
        <v>71.38</v>
      </c>
      <c r="C48">
        <v>71.650000000000006</v>
      </c>
      <c r="D48">
        <v>71.010000000000005</v>
      </c>
      <c r="E48">
        <v>71.38</v>
      </c>
      <c r="F48">
        <v>6197584</v>
      </c>
    </row>
    <row r="49" spans="1:6">
      <c r="A49" s="39">
        <v>42213</v>
      </c>
      <c r="B49">
        <v>71.53</v>
      </c>
      <c r="C49">
        <v>72.39</v>
      </c>
      <c r="D49">
        <v>71.23</v>
      </c>
      <c r="E49">
        <v>72.099999999999994</v>
      </c>
      <c r="F49">
        <v>8592296</v>
      </c>
    </row>
    <row r="50" spans="1:6">
      <c r="A50" s="39">
        <v>42214</v>
      </c>
      <c r="B50">
        <v>72.25</v>
      </c>
      <c r="C50">
        <v>72.63</v>
      </c>
      <c r="D50">
        <v>72.09</v>
      </c>
      <c r="E50">
        <v>72.23</v>
      </c>
      <c r="F50">
        <v>4939670</v>
      </c>
    </row>
    <row r="51" spans="1:6">
      <c r="A51" s="39">
        <v>42215</v>
      </c>
      <c r="B51">
        <v>72.03</v>
      </c>
      <c r="C51">
        <v>72.53</v>
      </c>
      <c r="D51">
        <v>71.78</v>
      </c>
      <c r="E51">
        <v>72.16</v>
      </c>
      <c r="F51">
        <v>4604530</v>
      </c>
    </row>
    <row r="52" spans="1:6">
      <c r="A52" s="39">
        <v>42216</v>
      </c>
      <c r="B52">
        <v>72.44</v>
      </c>
      <c r="C52">
        <v>72.489999999999995</v>
      </c>
      <c r="D52">
        <v>71.66</v>
      </c>
      <c r="E52">
        <v>71.98</v>
      </c>
      <c r="F52">
        <v>7928371</v>
      </c>
    </row>
    <row r="53" spans="1:6">
      <c r="A53" s="39">
        <v>42219</v>
      </c>
      <c r="B53">
        <v>71.84</v>
      </c>
      <c r="C53">
        <v>72.38</v>
      </c>
      <c r="D53">
        <v>71.84</v>
      </c>
      <c r="E53">
        <v>72.180000000000007</v>
      </c>
      <c r="F53">
        <v>5131845</v>
      </c>
    </row>
    <row r="54" spans="1:6">
      <c r="A54" s="39">
        <v>42220</v>
      </c>
      <c r="B54">
        <v>72.42</v>
      </c>
      <c r="C54">
        <v>72.8</v>
      </c>
      <c r="D54">
        <v>71.930000000000007</v>
      </c>
      <c r="E54">
        <v>72.25</v>
      </c>
      <c r="F54">
        <v>5873371</v>
      </c>
    </row>
    <row r="55" spans="1:6">
      <c r="A55" s="39">
        <v>42221</v>
      </c>
      <c r="B55">
        <v>72.39</v>
      </c>
      <c r="C55">
        <v>73.7</v>
      </c>
      <c r="D55">
        <v>72.25</v>
      </c>
      <c r="E55">
        <v>73.510000000000005</v>
      </c>
      <c r="F55">
        <v>8715807</v>
      </c>
    </row>
    <row r="56" spans="1:6">
      <c r="A56" s="39">
        <v>42222</v>
      </c>
      <c r="B56">
        <v>73.349999999999994</v>
      </c>
      <c r="C56">
        <v>73.38</v>
      </c>
      <c r="D56">
        <v>72.66</v>
      </c>
      <c r="E56">
        <v>72.790000000000006</v>
      </c>
      <c r="F56">
        <v>6367735</v>
      </c>
    </row>
    <row r="57" spans="1:6">
      <c r="A57" s="39">
        <v>42223</v>
      </c>
      <c r="B57">
        <v>72.709999999999994</v>
      </c>
      <c r="C57">
        <v>72.819999999999993</v>
      </c>
      <c r="D57">
        <v>71.17</v>
      </c>
      <c r="E57">
        <v>71.25</v>
      </c>
      <c r="F57">
        <v>7797473</v>
      </c>
    </row>
    <row r="58" spans="1:6">
      <c r="A58" s="39">
        <v>42226</v>
      </c>
      <c r="B58">
        <v>71.5</v>
      </c>
      <c r="C58">
        <v>71.75</v>
      </c>
      <c r="D58">
        <v>71.34</v>
      </c>
      <c r="E58">
        <v>71.48</v>
      </c>
      <c r="F58">
        <v>6020087</v>
      </c>
    </row>
    <row r="59" spans="1:6">
      <c r="A59" s="39">
        <v>42227</v>
      </c>
      <c r="B59">
        <v>71.25</v>
      </c>
      <c r="C59">
        <v>72.37</v>
      </c>
      <c r="D59">
        <v>71.150000000000006</v>
      </c>
      <c r="E59">
        <v>71.930000000000007</v>
      </c>
      <c r="F59">
        <v>6829195</v>
      </c>
    </row>
    <row r="60" spans="1:6">
      <c r="A60" s="39">
        <v>42228</v>
      </c>
      <c r="B60">
        <v>71.53</v>
      </c>
      <c r="C60">
        <v>72.66</v>
      </c>
      <c r="D60">
        <v>71.27</v>
      </c>
      <c r="E60">
        <v>72.58</v>
      </c>
      <c r="F60">
        <v>8903056</v>
      </c>
    </row>
    <row r="61" spans="1:6">
      <c r="A61" s="39">
        <v>42229</v>
      </c>
      <c r="B61">
        <v>72.400000000000006</v>
      </c>
      <c r="C61">
        <v>72.77</v>
      </c>
      <c r="D61">
        <v>71.97</v>
      </c>
      <c r="E61">
        <v>72.11</v>
      </c>
      <c r="F61">
        <v>7652355</v>
      </c>
    </row>
    <row r="62" spans="1:6">
      <c r="A62" s="39">
        <v>42230</v>
      </c>
      <c r="B62">
        <v>72.3</v>
      </c>
      <c r="C62">
        <v>72.599999999999994</v>
      </c>
      <c r="D62">
        <v>72.040000000000006</v>
      </c>
      <c r="E62">
        <v>72.38</v>
      </c>
      <c r="F62">
        <v>5912505</v>
      </c>
    </row>
    <row r="63" spans="1:6">
      <c r="A63" s="39">
        <v>42233</v>
      </c>
      <c r="B63">
        <v>71.83</v>
      </c>
      <c r="C63">
        <v>72.23</v>
      </c>
      <c r="D63">
        <v>71.760000000000005</v>
      </c>
      <c r="E63">
        <v>71.91</v>
      </c>
      <c r="F63">
        <v>7604423</v>
      </c>
    </row>
    <row r="64" spans="1:6">
      <c r="A64" s="39">
        <v>42234</v>
      </c>
      <c r="B64">
        <v>70</v>
      </c>
      <c r="C64">
        <v>70.5</v>
      </c>
      <c r="D64">
        <v>69.239999999999995</v>
      </c>
      <c r="E64">
        <v>69.48</v>
      </c>
      <c r="F64">
        <v>21314976</v>
      </c>
    </row>
    <row r="65" spans="1:6">
      <c r="A65" s="39">
        <v>42235</v>
      </c>
      <c r="B65">
        <v>68.87</v>
      </c>
      <c r="C65">
        <v>69.39</v>
      </c>
      <c r="D65">
        <v>67.77</v>
      </c>
      <c r="E65">
        <v>68.569999999999993</v>
      </c>
      <c r="F65">
        <v>16333364</v>
      </c>
    </row>
    <row r="66" spans="1:6">
      <c r="A66" s="39">
        <v>42236</v>
      </c>
      <c r="B66">
        <v>68.08</v>
      </c>
      <c r="C66">
        <v>69.3</v>
      </c>
      <c r="D66">
        <v>67.94</v>
      </c>
      <c r="E66">
        <v>68.430000000000007</v>
      </c>
      <c r="F66">
        <v>9849709</v>
      </c>
    </row>
    <row r="67" spans="1:6">
      <c r="A67" s="39">
        <v>42237</v>
      </c>
      <c r="B67">
        <v>67.91</v>
      </c>
      <c r="C67">
        <v>68.31</v>
      </c>
      <c r="D67">
        <v>66.540000000000006</v>
      </c>
      <c r="E67">
        <v>66.540000000000006</v>
      </c>
      <c r="F67">
        <v>15681327</v>
      </c>
    </row>
    <row r="68" spans="1:6">
      <c r="A68" s="39">
        <v>42240</v>
      </c>
      <c r="B68">
        <v>63.74</v>
      </c>
      <c r="C68">
        <v>66.16</v>
      </c>
      <c r="D68">
        <v>61.5</v>
      </c>
      <c r="E68">
        <v>63.95</v>
      </c>
      <c r="F68">
        <v>22050214</v>
      </c>
    </row>
    <row r="69" spans="1:6">
      <c r="A69" s="39">
        <v>42241</v>
      </c>
      <c r="B69">
        <v>65.45</v>
      </c>
      <c r="C69">
        <v>65.709999999999994</v>
      </c>
      <c r="D69">
        <v>63</v>
      </c>
      <c r="E69">
        <v>63.1</v>
      </c>
      <c r="F69">
        <v>14595099</v>
      </c>
    </row>
    <row r="70" spans="1:6">
      <c r="A70" s="39">
        <v>42242</v>
      </c>
      <c r="B70">
        <v>64.23</v>
      </c>
      <c r="C70">
        <v>64.849999999999994</v>
      </c>
      <c r="D70">
        <v>63.02</v>
      </c>
      <c r="E70">
        <v>64.83</v>
      </c>
      <c r="F70">
        <v>13903655</v>
      </c>
    </row>
    <row r="71" spans="1:6">
      <c r="A71" s="39">
        <v>42243</v>
      </c>
      <c r="B71">
        <v>65.319999999999993</v>
      </c>
      <c r="C71">
        <v>66.180000000000007</v>
      </c>
      <c r="D71">
        <v>64.95</v>
      </c>
      <c r="E71">
        <v>66.08</v>
      </c>
      <c r="F71">
        <v>13743197</v>
      </c>
    </row>
    <row r="72" spans="1:6">
      <c r="A72" s="39">
        <v>42244</v>
      </c>
      <c r="B72">
        <v>66.09</v>
      </c>
      <c r="C72">
        <v>66.12</v>
      </c>
      <c r="D72">
        <v>64.45</v>
      </c>
      <c r="E72">
        <v>64.94</v>
      </c>
      <c r="F72">
        <v>14299810</v>
      </c>
    </row>
    <row r="73" spans="1:6">
      <c r="A73" s="39">
        <v>42247</v>
      </c>
      <c r="B73">
        <v>64.819999999999993</v>
      </c>
      <c r="C73">
        <v>65</v>
      </c>
      <c r="D73">
        <v>64.290000000000006</v>
      </c>
      <c r="E73">
        <v>64.73</v>
      </c>
      <c r="F73">
        <v>8169068</v>
      </c>
    </row>
    <row r="74" spans="1:6">
      <c r="A74" s="39">
        <v>42248</v>
      </c>
      <c r="B74">
        <v>63.8</v>
      </c>
      <c r="C74">
        <v>64.319999999999993</v>
      </c>
      <c r="D74">
        <v>63.27</v>
      </c>
      <c r="E74">
        <v>63.82</v>
      </c>
      <c r="F74">
        <v>13374024</v>
      </c>
    </row>
    <row r="75" spans="1:6">
      <c r="A75" s="39">
        <v>42249</v>
      </c>
      <c r="B75">
        <v>64.59</v>
      </c>
      <c r="C75">
        <v>64.94</v>
      </c>
      <c r="D75">
        <v>64.06</v>
      </c>
      <c r="E75">
        <v>64.44</v>
      </c>
      <c r="F75">
        <v>9440451</v>
      </c>
    </row>
    <row r="76" spans="1:6">
      <c r="A76" s="39">
        <v>42250</v>
      </c>
      <c r="B76">
        <v>64.72</v>
      </c>
      <c r="C76">
        <v>65.010000000000005</v>
      </c>
      <c r="D76">
        <v>64.39</v>
      </c>
      <c r="E76">
        <v>64.86</v>
      </c>
      <c r="F76">
        <v>8489593</v>
      </c>
    </row>
    <row r="77" spans="1:6">
      <c r="A77" s="39">
        <v>42251</v>
      </c>
      <c r="B77">
        <v>64.069999999999993</v>
      </c>
      <c r="C77">
        <v>64.3</v>
      </c>
      <c r="D77">
        <v>63.51</v>
      </c>
      <c r="E77">
        <v>63.89</v>
      </c>
      <c r="F77">
        <v>9181201</v>
      </c>
    </row>
    <row r="78" spans="1:6">
      <c r="A78" s="39">
        <v>42255</v>
      </c>
      <c r="B78">
        <v>65.23</v>
      </c>
      <c r="C78">
        <v>66.5</v>
      </c>
      <c r="D78">
        <v>65.180000000000007</v>
      </c>
      <c r="E78">
        <v>66.38</v>
      </c>
      <c r="F78">
        <v>17632613</v>
      </c>
    </row>
    <row r="79" spans="1:6">
      <c r="A79" s="39">
        <v>42256</v>
      </c>
      <c r="B79">
        <v>66.86</v>
      </c>
      <c r="C79">
        <v>67.010000000000005</v>
      </c>
      <c r="D79">
        <v>65.010000000000005</v>
      </c>
      <c r="E79">
        <v>65.12</v>
      </c>
      <c r="F79">
        <v>9428764</v>
      </c>
    </row>
    <row r="80" spans="1:6">
      <c r="A80" s="39">
        <v>42257</v>
      </c>
      <c r="B80">
        <v>64.069999999999993</v>
      </c>
      <c r="C80">
        <v>64.650000000000006</v>
      </c>
      <c r="D80">
        <v>63.83</v>
      </c>
      <c r="E80">
        <v>64.12</v>
      </c>
      <c r="F80">
        <v>14518272</v>
      </c>
    </row>
    <row r="81" spans="1:6">
      <c r="A81" s="39">
        <v>42258</v>
      </c>
      <c r="B81">
        <v>64.180000000000007</v>
      </c>
      <c r="C81">
        <v>64.680000000000007</v>
      </c>
      <c r="D81">
        <v>63.99</v>
      </c>
      <c r="E81">
        <v>64.650000000000006</v>
      </c>
      <c r="F81">
        <v>8044527</v>
      </c>
    </row>
    <row r="82" spans="1:6">
      <c r="A82" s="39">
        <v>42261</v>
      </c>
      <c r="B82">
        <v>64.650000000000006</v>
      </c>
      <c r="C82">
        <v>64.67</v>
      </c>
      <c r="D82">
        <v>63.82</v>
      </c>
      <c r="E82">
        <v>64.28</v>
      </c>
      <c r="F82">
        <v>6903527</v>
      </c>
    </row>
    <row r="83" spans="1:6">
      <c r="A83" s="39">
        <v>42262</v>
      </c>
      <c r="B83">
        <v>64.48</v>
      </c>
      <c r="C83">
        <v>64.7</v>
      </c>
      <c r="D83">
        <v>64.05</v>
      </c>
      <c r="E83">
        <v>64.319999999999993</v>
      </c>
      <c r="F83">
        <v>6807429</v>
      </c>
    </row>
    <row r="84" spans="1:6">
      <c r="A84" s="39">
        <v>42263</v>
      </c>
      <c r="B84">
        <v>64.599999999999994</v>
      </c>
      <c r="C84">
        <v>64.760000000000005</v>
      </c>
      <c r="D84">
        <v>64.05</v>
      </c>
      <c r="E84">
        <v>64.69</v>
      </c>
      <c r="F84">
        <v>5624164</v>
      </c>
    </row>
    <row r="85" spans="1:6">
      <c r="A85" s="39">
        <v>42264</v>
      </c>
      <c r="B85">
        <v>64.7</v>
      </c>
      <c r="C85">
        <v>65.290000000000006</v>
      </c>
      <c r="D85">
        <v>64.16</v>
      </c>
      <c r="E85">
        <v>64.47</v>
      </c>
      <c r="F85">
        <v>7050309</v>
      </c>
    </row>
    <row r="86" spans="1:6">
      <c r="A86" s="39">
        <v>42265</v>
      </c>
      <c r="B86">
        <v>63.75</v>
      </c>
      <c r="C86">
        <v>64.23</v>
      </c>
      <c r="D86">
        <v>63.26</v>
      </c>
      <c r="E86">
        <v>63.34</v>
      </c>
      <c r="F86">
        <v>12843638</v>
      </c>
    </row>
    <row r="87" spans="1:6">
      <c r="A87" s="39">
        <v>42268</v>
      </c>
      <c r="B87">
        <v>63.75</v>
      </c>
      <c r="C87">
        <v>64</v>
      </c>
      <c r="D87">
        <v>63.37</v>
      </c>
      <c r="E87">
        <v>63.72</v>
      </c>
      <c r="F87">
        <v>7117576</v>
      </c>
    </row>
    <row r="88" spans="1:6">
      <c r="A88" s="39">
        <v>42269</v>
      </c>
      <c r="B88">
        <v>63.23</v>
      </c>
      <c r="C88">
        <v>63.82</v>
      </c>
      <c r="D88">
        <v>62.92</v>
      </c>
      <c r="E88">
        <v>63.59</v>
      </c>
      <c r="F88">
        <v>8606592</v>
      </c>
    </row>
    <row r="89" spans="1:6">
      <c r="A89" s="39">
        <v>42270</v>
      </c>
      <c r="B89">
        <v>63.72</v>
      </c>
      <c r="C89">
        <v>63.93</v>
      </c>
      <c r="D89">
        <v>63.12</v>
      </c>
      <c r="E89">
        <v>63.72</v>
      </c>
      <c r="F89">
        <v>5856724</v>
      </c>
    </row>
    <row r="90" spans="1:6">
      <c r="A90" s="39">
        <v>42271</v>
      </c>
      <c r="B90">
        <v>63.36</v>
      </c>
      <c r="C90">
        <v>63.98</v>
      </c>
      <c r="D90">
        <v>63.3</v>
      </c>
      <c r="E90">
        <v>63.83</v>
      </c>
      <c r="F90">
        <v>6913018</v>
      </c>
    </row>
    <row r="91" spans="1:6">
      <c r="A91" s="39">
        <v>42272</v>
      </c>
      <c r="B91">
        <v>64.069999999999993</v>
      </c>
      <c r="C91">
        <v>64.459999999999994</v>
      </c>
      <c r="D91">
        <v>63.62</v>
      </c>
      <c r="E91">
        <v>63.78</v>
      </c>
      <c r="F91">
        <v>7157639</v>
      </c>
    </row>
    <row r="92" spans="1:6">
      <c r="A92" s="39">
        <v>42275</v>
      </c>
      <c r="B92">
        <v>63.6</v>
      </c>
      <c r="C92">
        <v>63.95</v>
      </c>
      <c r="D92">
        <v>63.48</v>
      </c>
      <c r="E92">
        <v>63.66</v>
      </c>
      <c r="F92">
        <v>9262679</v>
      </c>
    </row>
    <row r="93" spans="1:6">
      <c r="A93" s="39">
        <v>42276</v>
      </c>
      <c r="B93">
        <v>63.75</v>
      </c>
      <c r="C93">
        <v>64.040000000000006</v>
      </c>
      <c r="D93">
        <v>63.23</v>
      </c>
      <c r="E93">
        <v>63.78</v>
      </c>
      <c r="F93">
        <v>7631149</v>
      </c>
    </row>
    <row r="94" spans="1:6">
      <c r="A94" s="39">
        <v>42277</v>
      </c>
      <c r="B94">
        <v>64.430000000000007</v>
      </c>
      <c r="C94">
        <v>64.94</v>
      </c>
      <c r="D94">
        <v>63.93</v>
      </c>
      <c r="E94">
        <v>64.84</v>
      </c>
      <c r="F94">
        <v>7907664</v>
      </c>
    </row>
    <row r="95" spans="1:6">
      <c r="A95" s="39">
        <v>42278</v>
      </c>
      <c r="B95">
        <v>64.760000000000005</v>
      </c>
      <c r="C95">
        <v>64.94</v>
      </c>
      <c r="D95">
        <v>63.88</v>
      </c>
      <c r="E95">
        <v>64.27</v>
      </c>
      <c r="F95">
        <v>7772086</v>
      </c>
    </row>
    <row r="96" spans="1:6">
      <c r="A96" s="39">
        <v>42279</v>
      </c>
      <c r="B96">
        <v>63.76</v>
      </c>
      <c r="C96">
        <v>64.98</v>
      </c>
      <c r="D96">
        <v>63.41</v>
      </c>
      <c r="E96">
        <v>64.98</v>
      </c>
      <c r="F96">
        <v>7050708</v>
      </c>
    </row>
    <row r="97" spans="1:6">
      <c r="A97" s="39">
        <v>42282</v>
      </c>
      <c r="B97">
        <v>65.209999999999994</v>
      </c>
      <c r="C97">
        <v>65.92</v>
      </c>
      <c r="D97">
        <v>65.14</v>
      </c>
      <c r="E97">
        <v>65.87</v>
      </c>
      <c r="F97">
        <v>6107550</v>
      </c>
    </row>
    <row r="98" spans="1:6">
      <c r="A98" s="39">
        <v>42283</v>
      </c>
      <c r="B98">
        <v>65.540000000000006</v>
      </c>
      <c r="C98">
        <v>65.95</v>
      </c>
      <c r="D98">
        <v>65.180000000000007</v>
      </c>
      <c r="E98">
        <v>65.680000000000007</v>
      </c>
      <c r="F98">
        <v>7315250</v>
      </c>
    </row>
    <row r="99" spans="1:6">
      <c r="A99" s="39">
        <v>42284</v>
      </c>
      <c r="B99">
        <v>65.84</v>
      </c>
      <c r="C99">
        <v>66.36</v>
      </c>
      <c r="D99">
        <v>65.77</v>
      </c>
      <c r="E99">
        <v>66.36</v>
      </c>
      <c r="F99">
        <v>7137243</v>
      </c>
    </row>
    <row r="100" spans="1:6">
      <c r="A100" s="39">
        <v>42285</v>
      </c>
      <c r="B100">
        <v>66.23</v>
      </c>
      <c r="C100">
        <v>66.989999999999995</v>
      </c>
      <c r="D100">
        <v>66.150000000000006</v>
      </c>
      <c r="E100">
        <v>66.88</v>
      </c>
      <c r="F100">
        <v>5940500</v>
      </c>
    </row>
    <row r="101" spans="1:6">
      <c r="A101" s="39">
        <v>42286</v>
      </c>
      <c r="B101">
        <v>66.94</v>
      </c>
      <c r="C101">
        <v>67.02</v>
      </c>
      <c r="D101">
        <v>66.5</v>
      </c>
      <c r="E101">
        <v>66.69</v>
      </c>
      <c r="F101">
        <v>6659137</v>
      </c>
    </row>
    <row r="102" spans="1:6">
      <c r="A102" s="39">
        <v>42289</v>
      </c>
      <c r="B102">
        <v>66.67</v>
      </c>
      <c r="C102">
        <v>67</v>
      </c>
      <c r="D102">
        <v>66.58</v>
      </c>
      <c r="E102">
        <v>66.930000000000007</v>
      </c>
      <c r="F102">
        <v>5641765</v>
      </c>
    </row>
    <row r="103" spans="1:6">
      <c r="A103" s="39">
        <v>42290</v>
      </c>
      <c r="B103">
        <v>66.62</v>
      </c>
      <c r="C103">
        <v>66.94</v>
      </c>
      <c r="D103">
        <v>66.260000000000005</v>
      </c>
      <c r="E103">
        <v>66.73</v>
      </c>
      <c r="F103">
        <v>8805687</v>
      </c>
    </row>
    <row r="104" spans="1:6">
      <c r="A104" s="39">
        <v>42291</v>
      </c>
      <c r="B104">
        <v>66.61</v>
      </c>
      <c r="C104">
        <v>67.95</v>
      </c>
      <c r="D104">
        <v>60.02</v>
      </c>
      <c r="E104">
        <v>60.03</v>
      </c>
      <c r="F104">
        <v>80626370</v>
      </c>
    </row>
    <row r="105" spans="1:6">
      <c r="A105" s="39">
        <v>42292</v>
      </c>
      <c r="B105">
        <v>59.7</v>
      </c>
      <c r="C105">
        <v>60.47</v>
      </c>
      <c r="D105">
        <v>58.61</v>
      </c>
      <c r="E105">
        <v>59.33</v>
      </c>
      <c r="F105">
        <v>45769175</v>
      </c>
    </row>
    <row r="106" spans="1:6">
      <c r="A106" s="39">
        <v>42293</v>
      </c>
      <c r="B106">
        <v>59.47</v>
      </c>
      <c r="C106">
        <v>59.49</v>
      </c>
      <c r="D106">
        <v>58.37</v>
      </c>
      <c r="E106">
        <v>58.89</v>
      </c>
      <c r="F106">
        <v>25874873</v>
      </c>
    </row>
    <row r="107" spans="1:6">
      <c r="A107" s="39">
        <v>42296</v>
      </c>
      <c r="B107">
        <v>58.79</v>
      </c>
      <c r="C107">
        <v>59.3</v>
      </c>
      <c r="D107">
        <v>58.5</v>
      </c>
      <c r="E107">
        <v>58.85</v>
      </c>
      <c r="F107">
        <v>17692482</v>
      </c>
    </row>
    <row r="108" spans="1:6">
      <c r="A108" s="39">
        <v>42297</v>
      </c>
      <c r="B108">
        <v>58.86</v>
      </c>
      <c r="C108">
        <v>59</v>
      </c>
      <c r="D108">
        <v>58.57</v>
      </c>
      <c r="E108">
        <v>58.75</v>
      </c>
      <c r="F108">
        <v>10416379</v>
      </c>
    </row>
    <row r="109" spans="1:6">
      <c r="A109" s="39">
        <v>42298</v>
      </c>
      <c r="B109">
        <v>58.8</v>
      </c>
      <c r="C109">
        <v>59.04</v>
      </c>
      <c r="D109">
        <v>58.57</v>
      </c>
      <c r="E109">
        <v>58.64</v>
      </c>
      <c r="F109">
        <v>13121933</v>
      </c>
    </row>
    <row r="110" spans="1:6">
      <c r="A110" s="39">
        <v>42299</v>
      </c>
      <c r="B110">
        <v>58.94</v>
      </c>
      <c r="C110">
        <v>59.96</v>
      </c>
      <c r="D110">
        <v>58.64</v>
      </c>
      <c r="E110">
        <v>58.9</v>
      </c>
      <c r="F110">
        <v>14569923</v>
      </c>
    </row>
    <row r="111" spans="1:6">
      <c r="A111" s="39">
        <v>42300</v>
      </c>
      <c r="B111">
        <v>59.19</v>
      </c>
      <c r="C111">
        <v>59.28</v>
      </c>
      <c r="D111">
        <v>58.22</v>
      </c>
      <c r="E111">
        <v>58.3</v>
      </c>
      <c r="F111">
        <v>13030669</v>
      </c>
    </row>
    <row r="112" spans="1:6">
      <c r="A112" s="39">
        <v>42303</v>
      </c>
      <c r="B112">
        <v>58.4</v>
      </c>
      <c r="C112">
        <v>58.45</v>
      </c>
      <c r="D112">
        <v>57.97</v>
      </c>
      <c r="E112">
        <v>58.02</v>
      </c>
      <c r="F112">
        <v>10828025</v>
      </c>
    </row>
    <row r="113" spans="1:6">
      <c r="A113" s="39">
        <v>42304</v>
      </c>
      <c r="B113">
        <v>58.01</v>
      </c>
      <c r="C113">
        <v>58.04</v>
      </c>
      <c r="D113">
        <v>57.38</v>
      </c>
      <c r="E113">
        <v>57.48</v>
      </c>
      <c r="F113">
        <v>10501614</v>
      </c>
    </row>
    <row r="114" spans="1:6">
      <c r="A114" s="39">
        <v>42305</v>
      </c>
      <c r="B114">
        <v>57.66</v>
      </c>
      <c r="C114">
        <v>57.72</v>
      </c>
      <c r="D114">
        <v>57.16</v>
      </c>
      <c r="E114">
        <v>57.64</v>
      </c>
      <c r="F114">
        <v>11821205</v>
      </c>
    </row>
    <row r="115" spans="1:6">
      <c r="A115" s="39">
        <v>42306</v>
      </c>
      <c r="B115">
        <v>57.72</v>
      </c>
      <c r="C115">
        <v>58.12</v>
      </c>
      <c r="D115">
        <v>57.48</v>
      </c>
      <c r="E115">
        <v>57.96</v>
      </c>
      <c r="F115">
        <v>12619478</v>
      </c>
    </row>
    <row r="116" spans="1:6">
      <c r="A116" s="39">
        <v>42307</v>
      </c>
      <c r="B116">
        <v>57.73</v>
      </c>
      <c r="C116">
        <v>58.12</v>
      </c>
      <c r="D116">
        <v>57.24</v>
      </c>
      <c r="E116">
        <v>57.24</v>
      </c>
      <c r="F116">
        <v>15777001</v>
      </c>
    </row>
    <row r="117" spans="1:6">
      <c r="A117" s="39">
        <v>42310</v>
      </c>
      <c r="B117">
        <v>57.29</v>
      </c>
      <c r="C117">
        <v>57.61</v>
      </c>
      <c r="D117">
        <v>56.77</v>
      </c>
      <c r="E117">
        <v>57.61</v>
      </c>
      <c r="F117">
        <v>10714699</v>
      </c>
    </row>
    <row r="118" spans="1:6">
      <c r="A118" s="39">
        <v>42311</v>
      </c>
      <c r="B118">
        <v>57.57</v>
      </c>
      <c r="C118">
        <v>58.33</v>
      </c>
      <c r="D118">
        <v>57.53</v>
      </c>
      <c r="E118">
        <v>58.11</v>
      </c>
      <c r="F118">
        <v>10230262</v>
      </c>
    </row>
    <row r="119" spans="1:6">
      <c r="A119" s="39">
        <v>42312</v>
      </c>
      <c r="B119">
        <v>58.58</v>
      </c>
      <c r="C119">
        <v>58.76</v>
      </c>
      <c r="D119">
        <v>58.19</v>
      </c>
      <c r="E119">
        <v>58.37</v>
      </c>
      <c r="F119">
        <v>10053692</v>
      </c>
    </row>
    <row r="120" spans="1:6">
      <c r="A120" s="39">
        <v>42313</v>
      </c>
      <c r="B120">
        <v>58.51</v>
      </c>
      <c r="C120">
        <v>58.98</v>
      </c>
      <c r="D120">
        <v>58.42</v>
      </c>
      <c r="E120">
        <v>58.61</v>
      </c>
      <c r="F120">
        <v>8827460</v>
      </c>
    </row>
    <row r="121" spans="1:6">
      <c r="A121" s="39">
        <v>42314</v>
      </c>
      <c r="B121">
        <v>58.92</v>
      </c>
      <c r="C121">
        <v>59.2</v>
      </c>
      <c r="D121">
        <v>58.31</v>
      </c>
      <c r="E121">
        <v>58.78</v>
      </c>
      <c r="F121">
        <v>9969273</v>
      </c>
    </row>
    <row r="122" spans="1:6">
      <c r="A122" s="39">
        <v>42317</v>
      </c>
      <c r="B122">
        <v>58.5</v>
      </c>
      <c r="C122">
        <v>58.78</v>
      </c>
      <c r="D122">
        <v>58.02</v>
      </c>
      <c r="E122">
        <v>58.49</v>
      </c>
      <c r="F122">
        <v>8429842</v>
      </c>
    </row>
    <row r="123" spans="1:6">
      <c r="A123" s="39">
        <v>42318</v>
      </c>
      <c r="B123">
        <v>58.31</v>
      </c>
      <c r="C123">
        <v>58.71</v>
      </c>
      <c r="D123">
        <v>58.31</v>
      </c>
      <c r="E123">
        <v>58.68</v>
      </c>
      <c r="F123">
        <v>7598579</v>
      </c>
    </row>
    <row r="124" spans="1:6">
      <c r="A124" s="39">
        <v>42319</v>
      </c>
      <c r="B124">
        <v>58.5</v>
      </c>
      <c r="C124">
        <v>58.73</v>
      </c>
      <c r="D124">
        <v>57.47</v>
      </c>
      <c r="E124">
        <v>57.58</v>
      </c>
      <c r="F124">
        <v>8673183</v>
      </c>
    </row>
    <row r="125" spans="1:6">
      <c r="A125" s="39">
        <v>42320</v>
      </c>
      <c r="B125">
        <v>57.64</v>
      </c>
      <c r="C125">
        <v>57.77</v>
      </c>
      <c r="D125">
        <v>56.92</v>
      </c>
      <c r="E125">
        <v>56.95</v>
      </c>
      <c r="F125">
        <v>9436603</v>
      </c>
    </row>
    <row r="126" spans="1:6">
      <c r="A126" s="39">
        <v>42321</v>
      </c>
      <c r="B126">
        <v>56.74</v>
      </c>
      <c r="C126">
        <v>57.06</v>
      </c>
      <c r="D126">
        <v>56.3</v>
      </c>
      <c r="E126">
        <v>56.42</v>
      </c>
      <c r="F126">
        <v>12497040</v>
      </c>
    </row>
    <row r="127" spans="1:6">
      <c r="A127" s="39">
        <v>42324</v>
      </c>
      <c r="B127">
        <v>56.39</v>
      </c>
      <c r="C127">
        <v>58.03</v>
      </c>
      <c r="D127">
        <v>56.36</v>
      </c>
      <c r="E127">
        <v>57.87</v>
      </c>
      <c r="F127">
        <v>13232149</v>
      </c>
    </row>
    <row r="128" spans="1:6">
      <c r="A128" s="39">
        <v>42325</v>
      </c>
      <c r="B128">
        <v>59.34</v>
      </c>
      <c r="C128">
        <v>60.9</v>
      </c>
      <c r="D128">
        <v>59.2</v>
      </c>
      <c r="E128">
        <v>59.92</v>
      </c>
      <c r="F128">
        <v>24636905</v>
      </c>
    </row>
    <row r="129" spans="1:6">
      <c r="A129" s="39">
        <v>42326</v>
      </c>
      <c r="B129">
        <v>60.04</v>
      </c>
      <c r="C129">
        <v>61.07</v>
      </c>
      <c r="D129">
        <v>59.55</v>
      </c>
      <c r="E129">
        <v>60.93</v>
      </c>
      <c r="F129">
        <v>14748472</v>
      </c>
    </row>
    <row r="130" spans="1:6">
      <c r="A130" s="39">
        <v>42327</v>
      </c>
      <c r="B130">
        <v>61.12</v>
      </c>
      <c r="C130">
        <v>61.36</v>
      </c>
      <c r="D130">
        <v>60.43</v>
      </c>
      <c r="E130">
        <v>60.7</v>
      </c>
      <c r="F130">
        <v>11486699</v>
      </c>
    </row>
    <row r="131" spans="1:6">
      <c r="A131" s="39">
        <v>42328</v>
      </c>
      <c r="B131">
        <v>60.98</v>
      </c>
      <c r="C131">
        <v>61.47</v>
      </c>
      <c r="D131">
        <v>60.02</v>
      </c>
      <c r="E131">
        <v>60.07</v>
      </c>
      <c r="F131">
        <v>12225158</v>
      </c>
    </row>
    <row r="132" spans="1:6">
      <c r="A132" s="39">
        <v>42331</v>
      </c>
      <c r="B132">
        <v>60.29</v>
      </c>
      <c r="C132">
        <v>60.74</v>
      </c>
      <c r="D132">
        <v>59.88</v>
      </c>
      <c r="E132">
        <v>60.26</v>
      </c>
      <c r="F132">
        <v>10572404</v>
      </c>
    </row>
    <row r="133" spans="1:6">
      <c r="A133" s="39">
        <v>42332</v>
      </c>
      <c r="B133">
        <v>59.95</v>
      </c>
      <c r="C133">
        <v>60.42</v>
      </c>
      <c r="D133">
        <v>59.86</v>
      </c>
      <c r="E133">
        <v>59.92</v>
      </c>
      <c r="F133">
        <v>12417331</v>
      </c>
    </row>
    <row r="134" spans="1:6">
      <c r="A134" s="39">
        <v>42333</v>
      </c>
      <c r="B134">
        <v>60</v>
      </c>
      <c r="C134">
        <v>60.71</v>
      </c>
      <c r="D134">
        <v>59.88</v>
      </c>
      <c r="E134">
        <v>60.24</v>
      </c>
      <c r="F134">
        <v>7821028</v>
      </c>
    </row>
    <row r="135" spans="1:6">
      <c r="A135" s="39">
        <v>42335</v>
      </c>
      <c r="B135">
        <v>60.44</v>
      </c>
      <c r="C135">
        <v>60.69</v>
      </c>
      <c r="D135">
        <v>59.87</v>
      </c>
      <c r="E135">
        <v>59.89</v>
      </c>
      <c r="F135">
        <v>5340240</v>
      </c>
    </row>
    <row r="136" spans="1:6">
      <c r="A136" s="39">
        <v>42338</v>
      </c>
      <c r="B136">
        <v>59.87</v>
      </c>
      <c r="C136">
        <v>60.06</v>
      </c>
      <c r="D136">
        <v>58.73</v>
      </c>
      <c r="E136">
        <v>58.84</v>
      </c>
      <c r="F136">
        <v>13792313</v>
      </c>
    </row>
    <row r="137" spans="1:6">
      <c r="A137" s="39">
        <v>42339</v>
      </c>
      <c r="B137">
        <v>59.13</v>
      </c>
      <c r="C137">
        <v>59.29</v>
      </c>
      <c r="D137">
        <v>58.65</v>
      </c>
      <c r="E137">
        <v>58.99</v>
      </c>
      <c r="F137">
        <v>12195492</v>
      </c>
    </row>
    <row r="138" spans="1:6">
      <c r="A138" s="39">
        <v>42340</v>
      </c>
      <c r="B138">
        <v>58.61</v>
      </c>
      <c r="C138">
        <v>59.29</v>
      </c>
      <c r="D138">
        <v>58.32</v>
      </c>
      <c r="E138">
        <v>58.35</v>
      </c>
      <c r="F138">
        <v>13532618</v>
      </c>
    </row>
    <row r="139" spans="1:6">
      <c r="A139" s="39">
        <v>42341</v>
      </c>
      <c r="B139">
        <v>58.69</v>
      </c>
      <c r="C139">
        <v>59.66</v>
      </c>
      <c r="D139">
        <v>58.6</v>
      </c>
      <c r="E139">
        <v>59.04</v>
      </c>
      <c r="F139">
        <v>15844091</v>
      </c>
    </row>
    <row r="140" spans="1:6">
      <c r="A140" s="39">
        <v>42342</v>
      </c>
      <c r="B140">
        <v>59.05</v>
      </c>
      <c r="C140">
        <v>59.85</v>
      </c>
      <c r="D140">
        <v>59.03</v>
      </c>
      <c r="E140">
        <v>59.66</v>
      </c>
      <c r="F140">
        <v>10435274</v>
      </c>
    </row>
    <row r="141" spans="1:6">
      <c r="A141" s="39">
        <v>42345</v>
      </c>
      <c r="B141">
        <v>59.57</v>
      </c>
      <c r="C141">
        <v>60.73</v>
      </c>
      <c r="D141">
        <v>59.57</v>
      </c>
      <c r="E141">
        <v>60.5</v>
      </c>
      <c r="F141">
        <v>11595928</v>
      </c>
    </row>
    <row r="142" spans="1:6">
      <c r="A142" s="39">
        <v>42346</v>
      </c>
      <c r="B142">
        <v>60.07</v>
      </c>
      <c r="C142">
        <v>60.49</v>
      </c>
      <c r="D142">
        <v>59.5</v>
      </c>
      <c r="E142">
        <v>59.61</v>
      </c>
      <c r="F142">
        <v>10377620</v>
      </c>
    </row>
    <row r="143" spans="1:6">
      <c r="A143" s="39">
        <v>42347</v>
      </c>
      <c r="B143">
        <v>59.26</v>
      </c>
      <c r="C143">
        <v>60.11</v>
      </c>
      <c r="D143">
        <v>58.9</v>
      </c>
      <c r="E143">
        <v>59.13</v>
      </c>
      <c r="F143">
        <v>8981982</v>
      </c>
    </row>
    <row r="144" spans="1:6">
      <c r="A144" s="39">
        <v>42348</v>
      </c>
      <c r="B144">
        <v>59.13</v>
      </c>
      <c r="C144">
        <v>60.09</v>
      </c>
      <c r="D144">
        <v>59.09</v>
      </c>
      <c r="E144">
        <v>59.56</v>
      </c>
      <c r="F144">
        <v>11359446</v>
      </c>
    </row>
    <row r="145" spans="1:6">
      <c r="A145" s="39">
        <v>42349</v>
      </c>
      <c r="B145">
        <v>59.05</v>
      </c>
      <c r="C145">
        <v>59.53</v>
      </c>
      <c r="D145">
        <v>58.81</v>
      </c>
      <c r="E145">
        <v>59.36</v>
      </c>
      <c r="F145">
        <v>9744977</v>
      </c>
    </row>
    <row r="146" spans="1:6">
      <c r="A146" s="39">
        <v>42352</v>
      </c>
      <c r="B146">
        <v>59.3</v>
      </c>
      <c r="C146">
        <v>60.44</v>
      </c>
      <c r="D146">
        <v>59.07</v>
      </c>
      <c r="E146">
        <v>60.39</v>
      </c>
      <c r="F146">
        <v>14491235</v>
      </c>
    </row>
    <row r="147" spans="1:6">
      <c r="A147" s="39">
        <v>42353</v>
      </c>
      <c r="B147">
        <v>60.64</v>
      </c>
      <c r="C147">
        <v>60.84</v>
      </c>
      <c r="D147">
        <v>59.57</v>
      </c>
      <c r="E147">
        <v>59.64</v>
      </c>
      <c r="F147">
        <v>14615439</v>
      </c>
    </row>
    <row r="148" spans="1:6">
      <c r="A148" s="39">
        <v>42354</v>
      </c>
      <c r="B148">
        <v>60.11</v>
      </c>
      <c r="C148">
        <v>60.65</v>
      </c>
      <c r="D148">
        <v>59.7</v>
      </c>
      <c r="E148">
        <v>60.3</v>
      </c>
      <c r="F148">
        <v>9960479</v>
      </c>
    </row>
    <row r="149" spans="1:6">
      <c r="A149" s="39">
        <v>42355</v>
      </c>
      <c r="B149">
        <v>60.33</v>
      </c>
      <c r="C149">
        <v>60.33</v>
      </c>
      <c r="D149">
        <v>58.97</v>
      </c>
      <c r="E149">
        <v>58.98</v>
      </c>
      <c r="F149">
        <v>12976095</v>
      </c>
    </row>
    <row r="150" spans="1:6">
      <c r="A150" s="39">
        <v>42356</v>
      </c>
      <c r="B150">
        <v>58.93</v>
      </c>
      <c r="C150">
        <v>59.4</v>
      </c>
      <c r="D150">
        <v>58.75</v>
      </c>
      <c r="E150">
        <v>58.85</v>
      </c>
      <c r="F150">
        <v>16256725</v>
      </c>
    </row>
    <row r="151" spans="1:6">
      <c r="A151" s="39">
        <v>42359</v>
      </c>
      <c r="B151">
        <v>58.82</v>
      </c>
      <c r="C151">
        <v>59.58</v>
      </c>
      <c r="D151">
        <v>58.67</v>
      </c>
      <c r="E151">
        <v>59.55</v>
      </c>
      <c r="F151">
        <v>9645451</v>
      </c>
    </row>
    <row r="152" spans="1:6">
      <c r="A152" s="39">
        <v>42360</v>
      </c>
      <c r="B152">
        <v>59.79</v>
      </c>
      <c r="C152">
        <v>60.7</v>
      </c>
      <c r="D152">
        <v>59.61</v>
      </c>
      <c r="E152">
        <v>60.54</v>
      </c>
      <c r="F152">
        <v>9266299</v>
      </c>
    </row>
    <row r="153" spans="1:6">
      <c r="A153" s="39">
        <v>42361</v>
      </c>
      <c r="B153">
        <v>61</v>
      </c>
      <c r="C153">
        <v>61.12</v>
      </c>
      <c r="D153">
        <v>60.44</v>
      </c>
      <c r="E153">
        <v>61.09</v>
      </c>
      <c r="F153">
        <v>7519834</v>
      </c>
    </row>
    <row r="154" spans="1:6">
      <c r="A154" s="39">
        <v>42362</v>
      </c>
      <c r="B154">
        <v>60.78</v>
      </c>
      <c r="C154">
        <v>61.1</v>
      </c>
      <c r="D154">
        <v>60.68</v>
      </c>
      <c r="E154">
        <v>60.83</v>
      </c>
      <c r="F154">
        <v>2483121</v>
      </c>
    </row>
    <row r="155" spans="1:6">
      <c r="A155" s="39">
        <v>42366</v>
      </c>
      <c r="B155">
        <v>60.58</v>
      </c>
      <c r="C155">
        <v>60.97</v>
      </c>
      <c r="D155">
        <v>60.5</v>
      </c>
      <c r="E155">
        <v>60.75</v>
      </c>
      <c r="F155">
        <v>5421662</v>
      </c>
    </row>
    <row r="156" spans="1:6">
      <c r="A156" s="39">
        <v>42367</v>
      </c>
      <c r="B156">
        <v>61</v>
      </c>
      <c r="C156">
        <v>61.75</v>
      </c>
      <c r="D156">
        <v>60.98</v>
      </c>
      <c r="E156">
        <v>61.61</v>
      </c>
      <c r="F156">
        <v>7883635</v>
      </c>
    </row>
    <row r="157" spans="1:6">
      <c r="A157" s="39">
        <v>42368</v>
      </c>
      <c r="B157">
        <v>61.66</v>
      </c>
      <c r="C157">
        <v>61.87</v>
      </c>
      <c r="D157">
        <v>61.49</v>
      </c>
      <c r="E157">
        <v>61.68</v>
      </c>
      <c r="F157">
        <v>5716745</v>
      </c>
    </row>
    <row r="158" spans="1:6">
      <c r="A158" s="39">
        <v>42369</v>
      </c>
      <c r="B158">
        <v>61.33</v>
      </c>
      <c r="C158">
        <v>61.72</v>
      </c>
      <c r="D158">
        <v>61.17</v>
      </c>
      <c r="E158">
        <v>61.3</v>
      </c>
      <c r="F158">
        <v>6575142</v>
      </c>
    </row>
    <row r="159" spans="1:6">
      <c r="A159" s="39">
        <v>42373</v>
      </c>
      <c r="B159">
        <v>60.5</v>
      </c>
      <c r="C159">
        <v>61.49</v>
      </c>
      <c r="D159">
        <v>60.36</v>
      </c>
      <c r="E159">
        <v>61.46</v>
      </c>
      <c r="F159">
        <v>11926062</v>
      </c>
    </row>
    <row r="160" spans="1:6">
      <c r="A160" s="39">
        <v>42374</v>
      </c>
      <c r="B160">
        <v>62.03</v>
      </c>
      <c r="C160">
        <v>63.05</v>
      </c>
      <c r="D160">
        <v>61.85</v>
      </c>
      <c r="E160">
        <v>62.92</v>
      </c>
      <c r="F160">
        <v>13325958</v>
      </c>
    </row>
    <row r="161" spans="1:6">
      <c r="A161" s="39">
        <v>42375</v>
      </c>
      <c r="B161">
        <v>62.48</v>
      </c>
      <c r="C161">
        <v>63.95</v>
      </c>
      <c r="D161">
        <v>62.47</v>
      </c>
      <c r="E161">
        <v>63.55</v>
      </c>
      <c r="F161">
        <v>16564620</v>
      </c>
    </row>
    <row r="162" spans="1:6">
      <c r="A162" s="39">
        <v>42376</v>
      </c>
      <c r="B162">
        <v>62.97</v>
      </c>
      <c r="C162">
        <v>65.23</v>
      </c>
      <c r="D162">
        <v>62.92</v>
      </c>
      <c r="E162">
        <v>65.03</v>
      </c>
      <c r="F162">
        <v>26430005</v>
      </c>
    </row>
    <row r="163" spans="1:6">
      <c r="A163" s="39">
        <v>42377</v>
      </c>
      <c r="B163">
        <v>65.08</v>
      </c>
      <c r="C163">
        <v>65.41</v>
      </c>
      <c r="D163">
        <v>63.41</v>
      </c>
      <c r="E163">
        <v>63.54</v>
      </c>
      <c r="F163">
        <v>17767864</v>
      </c>
    </row>
    <row r="164" spans="1:6">
      <c r="A164" s="39">
        <v>42380</v>
      </c>
      <c r="B164">
        <v>63.76</v>
      </c>
      <c r="C164">
        <v>64.459999999999994</v>
      </c>
      <c r="D164">
        <v>63.62</v>
      </c>
      <c r="E164">
        <v>64.22</v>
      </c>
      <c r="F164">
        <v>12653762</v>
      </c>
    </row>
    <row r="165" spans="1:6">
      <c r="A165" s="39">
        <v>42381</v>
      </c>
      <c r="B165">
        <v>64.38</v>
      </c>
      <c r="C165">
        <v>64.73</v>
      </c>
      <c r="D165">
        <v>63.43</v>
      </c>
      <c r="E165">
        <v>63.62</v>
      </c>
      <c r="F165">
        <v>12195893</v>
      </c>
    </row>
    <row r="166" spans="1:6">
      <c r="A166" s="39">
        <v>42382</v>
      </c>
      <c r="B166">
        <v>63.73</v>
      </c>
      <c r="C166">
        <v>63.73</v>
      </c>
      <c r="D166">
        <v>61.83</v>
      </c>
      <c r="E166">
        <v>61.92</v>
      </c>
      <c r="F166">
        <v>13672904</v>
      </c>
    </row>
    <row r="167" spans="1:6">
      <c r="A167" s="39">
        <v>42383</v>
      </c>
      <c r="B167">
        <v>62</v>
      </c>
      <c r="C167">
        <v>63.62</v>
      </c>
      <c r="D167">
        <v>61.82</v>
      </c>
      <c r="E167">
        <v>63.06</v>
      </c>
      <c r="F167">
        <v>12885473</v>
      </c>
    </row>
    <row r="168" spans="1:6">
      <c r="A168" s="39">
        <v>42384</v>
      </c>
      <c r="B168">
        <v>61.55</v>
      </c>
      <c r="C168">
        <v>62.47</v>
      </c>
      <c r="D168">
        <v>61.26</v>
      </c>
      <c r="E168">
        <v>61.93</v>
      </c>
      <c r="F168">
        <v>15123957</v>
      </c>
    </row>
    <row r="169" spans="1:6">
      <c r="A169" s="39">
        <v>42388</v>
      </c>
      <c r="B169">
        <v>62.25</v>
      </c>
      <c r="C169">
        <v>62.8</v>
      </c>
      <c r="D169">
        <v>62.01</v>
      </c>
      <c r="E169">
        <v>62.56</v>
      </c>
      <c r="F169">
        <v>12357179</v>
      </c>
    </row>
    <row r="170" spans="1:6">
      <c r="A170" s="39">
        <v>42389</v>
      </c>
      <c r="B170">
        <v>61.8</v>
      </c>
      <c r="C170">
        <v>62.33</v>
      </c>
      <c r="D170">
        <v>60.2</v>
      </c>
      <c r="E170">
        <v>60.84</v>
      </c>
      <c r="F170">
        <v>17323116</v>
      </c>
    </row>
    <row r="171" spans="1:6">
      <c r="A171" s="39">
        <v>42390</v>
      </c>
      <c r="B171">
        <v>60.98</v>
      </c>
      <c r="C171">
        <v>62.79</v>
      </c>
      <c r="D171">
        <v>60.91</v>
      </c>
      <c r="E171">
        <v>61.88</v>
      </c>
      <c r="F171">
        <v>12056694</v>
      </c>
    </row>
    <row r="172" spans="1:6">
      <c r="A172" s="39">
        <v>42391</v>
      </c>
      <c r="B172">
        <v>62.44</v>
      </c>
      <c r="C172">
        <v>63.26</v>
      </c>
      <c r="D172">
        <v>62.13</v>
      </c>
      <c r="E172">
        <v>62.69</v>
      </c>
      <c r="F172">
        <v>9172062</v>
      </c>
    </row>
    <row r="173" spans="1:6">
      <c r="A173" s="39">
        <v>42394</v>
      </c>
      <c r="B173">
        <v>62.78</v>
      </c>
      <c r="C173">
        <v>63.82</v>
      </c>
      <c r="D173">
        <v>62.55</v>
      </c>
      <c r="E173">
        <v>63.45</v>
      </c>
      <c r="F173">
        <v>12771089</v>
      </c>
    </row>
    <row r="174" spans="1:6">
      <c r="A174" s="39">
        <v>42395</v>
      </c>
      <c r="B174">
        <v>63.36</v>
      </c>
      <c r="C174">
        <v>64.47</v>
      </c>
      <c r="D174">
        <v>63.26</v>
      </c>
      <c r="E174">
        <v>64</v>
      </c>
      <c r="F174">
        <v>9176958</v>
      </c>
    </row>
    <row r="175" spans="1:6">
      <c r="A175" s="39">
        <v>42396</v>
      </c>
      <c r="B175">
        <v>64.099999999999994</v>
      </c>
      <c r="C175">
        <v>65.180000000000007</v>
      </c>
      <c r="D175">
        <v>63.89</v>
      </c>
      <c r="E175">
        <v>63.95</v>
      </c>
      <c r="F175">
        <v>10167482</v>
      </c>
    </row>
    <row r="176" spans="1:6">
      <c r="A176" s="39">
        <v>42397</v>
      </c>
      <c r="B176">
        <v>64.03</v>
      </c>
      <c r="C176">
        <v>64.510000000000005</v>
      </c>
      <c r="D176">
        <v>63.43</v>
      </c>
      <c r="E176">
        <v>64.22</v>
      </c>
      <c r="F176">
        <v>11260757</v>
      </c>
    </row>
    <row r="177" spans="1:6">
      <c r="A177" s="39">
        <v>42398</v>
      </c>
      <c r="B177">
        <v>64.75</v>
      </c>
      <c r="C177">
        <v>66.53</v>
      </c>
      <c r="D177">
        <v>64.739999999999995</v>
      </c>
      <c r="E177">
        <v>66.36</v>
      </c>
      <c r="F177">
        <v>16298375</v>
      </c>
    </row>
    <row r="178" spans="1:6">
      <c r="A178" s="39">
        <v>42401</v>
      </c>
      <c r="B178">
        <v>65.91</v>
      </c>
      <c r="C178">
        <v>67.930000000000007</v>
      </c>
      <c r="D178">
        <v>65.89</v>
      </c>
      <c r="E178">
        <v>67.5</v>
      </c>
      <c r="F178">
        <v>14517677</v>
      </c>
    </row>
    <row r="179" spans="1:6">
      <c r="A179" s="39">
        <v>42402</v>
      </c>
      <c r="B179">
        <v>67.3</v>
      </c>
      <c r="C179">
        <v>67.84</v>
      </c>
      <c r="D179">
        <v>66.28</v>
      </c>
      <c r="E179">
        <v>66.86</v>
      </c>
      <c r="F179">
        <v>13545337</v>
      </c>
    </row>
    <row r="180" spans="1:6">
      <c r="A180" s="39">
        <v>42403</v>
      </c>
      <c r="B180">
        <v>67.31</v>
      </c>
      <c r="C180">
        <v>67.5</v>
      </c>
      <c r="D180">
        <v>65.069999999999993</v>
      </c>
      <c r="E180">
        <v>66.27</v>
      </c>
      <c r="F180">
        <v>12288808</v>
      </c>
    </row>
    <row r="181" spans="1:6">
      <c r="A181" s="39">
        <v>42404</v>
      </c>
      <c r="B181">
        <v>65.760000000000005</v>
      </c>
      <c r="C181">
        <v>66.55</v>
      </c>
      <c r="D181">
        <v>65.010000000000005</v>
      </c>
      <c r="E181">
        <v>66.42</v>
      </c>
      <c r="F181">
        <v>12789931</v>
      </c>
    </row>
    <row r="182" spans="1:6">
      <c r="A182" s="39">
        <v>42405</v>
      </c>
      <c r="B182">
        <v>66.86</v>
      </c>
      <c r="C182">
        <v>67.53</v>
      </c>
      <c r="D182">
        <v>65.88</v>
      </c>
      <c r="E182">
        <v>67</v>
      </c>
      <c r="F182">
        <v>14122092</v>
      </c>
    </row>
    <row r="183" spans="1:6">
      <c r="A183" s="39">
        <v>42408</v>
      </c>
      <c r="B183">
        <v>66.5</v>
      </c>
      <c r="C183">
        <v>67.150000000000006</v>
      </c>
      <c r="D183">
        <v>65.16</v>
      </c>
      <c r="E183">
        <v>66.900000000000006</v>
      </c>
      <c r="F183">
        <v>18905952</v>
      </c>
    </row>
    <row r="184" spans="1:6">
      <c r="A184" s="39">
        <v>42409</v>
      </c>
      <c r="B184">
        <v>65.489999999999995</v>
      </c>
      <c r="C184">
        <v>66.41</v>
      </c>
      <c r="D184">
        <v>64.680000000000007</v>
      </c>
      <c r="E184">
        <v>65.81</v>
      </c>
      <c r="F184">
        <v>14184327</v>
      </c>
    </row>
    <row r="185" spans="1:6">
      <c r="A185" s="39">
        <v>42410</v>
      </c>
      <c r="B185">
        <v>66.19</v>
      </c>
      <c r="C185">
        <v>66.59</v>
      </c>
      <c r="D185">
        <v>65.64</v>
      </c>
      <c r="E185">
        <v>65.790000000000006</v>
      </c>
      <c r="F185">
        <v>9699657</v>
      </c>
    </row>
    <row r="186" spans="1:6">
      <c r="A186" s="39">
        <v>42411</v>
      </c>
      <c r="B186">
        <v>65.02</v>
      </c>
      <c r="C186">
        <v>65.760000000000005</v>
      </c>
      <c r="D186">
        <v>64.78</v>
      </c>
      <c r="E186">
        <v>65.319999999999993</v>
      </c>
      <c r="F186">
        <v>11122686</v>
      </c>
    </row>
    <row r="187" spans="1:6">
      <c r="A187" s="39">
        <v>42412</v>
      </c>
      <c r="B187">
        <v>65.52</v>
      </c>
      <c r="C187">
        <v>66.25</v>
      </c>
      <c r="D187">
        <v>64.87</v>
      </c>
      <c r="E187">
        <v>66.180000000000007</v>
      </c>
      <c r="F187">
        <v>9634057</v>
      </c>
    </row>
    <row r="188" spans="1:6">
      <c r="A188" s="39">
        <v>42416</v>
      </c>
      <c r="B188">
        <v>66.61</v>
      </c>
      <c r="C188">
        <v>66.8</v>
      </c>
      <c r="D188">
        <v>65.5</v>
      </c>
      <c r="E188">
        <v>65.900000000000006</v>
      </c>
      <c r="F188">
        <v>10671525</v>
      </c>
    </row>
    <row r="189" spans="1:6">
      <c r="A189" s="39">
        <v>42417</v>
      </c>
      <c r="B189">
        <v>66.099999999999994</v>
      </c>
      <c r="C189">
        <v>66.61</v>
      </c>
      <c r="D189">
        <v>65.81</v>
      </c>
      <c r="E189">
        <v>66.11</v>
      </c>
      <c r="F189">
        <v>12380433</v>
      </c>
    </row>
    <row r="190" spans="1:6">
      <c r="A190" s="39">
        <v>42418</v>
      </c>
      <c r="B190">
        <v>63.74</v>
      </c>
      <c r="C190">
        <v>64.78</v>
      </c>
      <c r="D190">
        <v>62.35</v>
      </c>
      <c r="E190">
        <v>64.12</v>
      </c>
      <c r="F190">
        <v>27867466</v>
      </c>
    </row>
    <row r="191" spans="1:6">
      <c r="A191" s="39">
        <v>42419</v>
      </c>
      <c r="B191">
        <v>63.89</v>
      </c>
      <c r="C191">
        <v>64.760000000000005</v>
      </c>
      <c r="D191">
        <v>63.44</v>
      </c>
      <c r="E191">
        <v>64.66</v>
      </c>
      <c r="F191">
        <v>15430913</v>
      </c>
    </row>
    <row r="192" spans="1:6">
      <c r="A192" s="39">
        <v>42422</v>
      </c>
      <c r="B192">
        <v>64.959999999999994</v>
      </c>
      <c r="C192">
        <v>66.14</v>
      </c>
      <c r="D192">
        <v>64.959999999999994</v>
      </c>
      <c r="E192">
        <v>65.63</v>
      </c>
      <c r="F192">
        <v>10351760</v>
      </c>
    </row>
    <row r="193" spans="1:6">
      <c r="A193" s="39">
        <v>42423</v>
      </c>
      <c r="B193">
        <v>65.84</v>
      </c>
      <c r="C193">
        <v>66.599999999999994</v>
      </c>
      <c r="D193">
        <v>65.28</v>
      </c>
      <c r="E193">
        <v>66.48</v>
      </c>
      <c r="F193">
        <v>11378334</v>
      </c>
    </row>
    <row r="194" spans="1:6">
      <c r="A194" s="39">
        <v>42424</v>
      </c>
      <c r="B194">
        <v>66.19</v>
      </c>
      <c r="C194">
        <v>67.33</v>
      </c>
      <c r="D194">
        <v>65.72</v>
      </c>
      <c r="E194">
        <v>67.12</v>
      </c>
      <c r="F194">
        <v>9852380</v>
      </c>
    </row>
    <row r="195" spans="1:6">
      <c r="A195" s="39">
        <v>42425</v>
      </c>
      <c r="B195">
        <v>67.45</v>
      </c>
      <c r="C195">
        <v>68.13</v>
      </c>
      <c r="D195">
        <v>67.33</v>
      </c>
      <c r="E195">
        <v>68.040000000000006</v>
      </c>
      <c r="F195">
        <v>9573563</v>
      </c>
    </row>
    <row r="196" spans="1:6">
      <c r="A196" s="39">
        <v>42426</v>
      </c>
      <c r="B196">
        <v>68.08</v>
      </c>
      <c r="C196">
        <v>68.2</v>
      </c>
      <c r="D196">
        <v>66.3</v>
      </c>
      <c r="E196">
        <v>66.510000000000005</v>
      </c>
      <c r="F196">
        <v>10973655</v>
      </c>
    </row>
    <row r="197" spans="1:6">
      <c r="A197" s="39">
        <v>42429</v>
      </c>
      <c r="B197">
        <v>66.63</v>
      </c>
      <c r="C197">
        <v>66.95</v>
      </c>
      <c r="D197">
        <v>66.22</v>
      </c>
      <c r="E197">
        <v>66.34</v>
      </c>
      <c r="F197">
        <v>9303973</v>
      </c>
    </row>
    <row r="198" spans="1:6">
      <c r="A198" s="39">
        <v>42430</v>
      </c>
      <c r="B198">
        <v>66.650000000000006</v>
      </c>
      <c r="C198">
        <v>66.89</v>
      </c>
      <c r="D198">
        <v>66</v>
      </c>
      <c r="E198">
        <v>66.459999999999994</v>
      </c>
      <c r="F198">
        <v>10427175</v>
      </c>
    </row>
    <row r="199" spans="1:6">
      <c r="A199" s="39">
        <v>42431</v>
      </c>
      <c r="B199">
        <v>66.209999999999994</v>
      </c>
      <c r="C199">
        <v>66.67</v>
      </c>
      <c r="D199">
        <v>66</v>
      </c>
      <c r="E199">
        <v>66.209999999999994</v>
      </c>
      <c r="F199">
        <v>9163208</v>
      </c>
    </row>
    <row r="200" spans="1:6">
      <c r="A200" s="39">
        <v>42432</v>
      </c>
      <c r="B200">
        <v>65.95</v>
      </c>
      <c r="C200">
        <v>66.2</v>
      </c>
      <c r="D200">
        <v>64.88</v>
      </c>
      <c r="E200">
        <v>66.14</v>
      </c>
      <c r="F200">
        <v>11844381</v>
      </c>
    </row>
    <row r="201" spans="1:6">
      <c r="A201" s="39">
        <v>42433</v>
      </c>
      <c r="B201">
        <v>66.14</v>
      </c>
      <c r="C201">
        <v>67.28</v>
      </c>
      <c r="D201">
        <v>66.09</v>
      </c>
      <c r="E201">
        <v>66.78</v>
      </c>
      <c r="F201">
        <v>9863550</v>
      </c>
    </row>
    <row r="202" spans="1:6">
      <c r="A202" s="39">
        <v>42436</v>
      </c>
      <c r="B202">
        <v>66.62</v>
      </c>
      <c r="C202">
        <v>68.48</v>
      </c>
      <c r="D202">
        <v>66.27</v>
      </c>
      <c r="E202">
        <v>67.89</v>
      </c>
      <c r="F202">
        <v>12821108</v>
      </c>
    </row>
    <row r="203" spans="1:6">
      <c r="A203" s="39">
        <v>42437</v>
      </c>
      <c r="B203">
        <v>67.73</v>
      </c>
      <c r="C203">
        <v>68.47</v>
      </c>
      <c r="D203">
        <v>67.48</v>
      </c>
      <c r="E203">
        <v>68.040000000000006</v>
      </c>
      <c r="F203">
        <v>9990166</v>
      </c>
    </row>
    <row r="204" spans="1:6">
      <c r="A204" s="39">
        <v>42438</v>
      </c>
      <c r="B204">
        <v>67.790000000000006</v>
      </c>
      <c r="C204">
        <v>67.989999999999995</v>
      </c>
      <c r="D204">
        <v>67.12</v>
      </c>
      <c r="E204">
        <v>67.53</v>
      </c>
      <c r="F204">
        <v>7824571</v>
      </c>
    </row>
    <row r="205" spans="1:6">
      <c r="A205" s="39">
        <v>42439</v>
      </c>
      <c r="B205">
        <v>67.55</v>
      </c>
      <c r="C205">
        <v>68.040000000000006</v>
      </c>
      <c r="D205">
        <v>66.400000000000006</v>
      </c>
      <c r="E205">
        <v>67.41</v>
      </c>
      <c r="F205">
        <v>9661997</v>
      </c>
    </row>
    <row r="206" spans="1:6">
      <c r="A206" s="39">
        <v>42440</v>
      </c>
      <c r="B206">
        <v>67.77</v>
      </c>
      <c r="C206">
        <v>67.94</v>
      </c>
      <c r="D206">
        <v>66.8</v>
      </c>
      <c r="E206">
        <v>67.17</v>
      </c>
      <c r="F206">
        <v>8289188</v>
      </c>
    </row>
    <row r="207" spans="1:6">
      <c r="A207" s="39">
        <v>42443</v>
      </c>
      <c r="B207">
        <v>67.150000000000006</v>
      </c>
      <c r="C207">
        <v>67.67</v>
      </c>
      <c r="D207">
        <v>66.959999999999994</v>
      </c>
      <c r="E207">
        <v>67.36</v>
      </c>
      <c r="F207">
        <v>6710884</v>
      </c>
    </row>
    <row r="208" spans="1:6">
      <c r="A208" s="39">
        <v>42444</v>
      </c>
      <c r="B208">
        <v>67</v>
      </c>
      <c r="C208">
        <v>68.349999999999994</v>
      </c>
      <c r="D208">
        <v>67</v>
      </c>
      <c r="E208">
        <v>68.09</v>
      </c>
      <c r="F208">
        <v>7566895</v>
      </c>
    </row>
    <row r="209" spans="1:6">
      <c r="A209" s="39">
        <v>42445</v>
      </c>
      <c r="B209">
        <v>67.94</v>
      </c>
      <c r="C209">
        <v>68.34</v>
      </c>
      <c r="D209">
        <v>67.25</v>
      </c>
      <c r="E209">
        <v>67.989999999999995</v>
      </c>
      <c r="F209">
        <v>8214505</v>
      </c>
    </row>
    <row r="210" spans="1:6">
      <c r="A210" s="39">
        <v>42446</v>
      </c>
      <c r="B210">
        <v>67.819999999999993</v>
      </c>
      <c r="C210">
        <v>68.92</v>
      </c>
      <c r="D210">
        <v>67.260000000000005</v>
      </c>
      <c r="E210">
        <v>67.45</v>
      </c>
      <c r="F210">
        <v>11831599</v>
      </c>
    </row>
    <row r="211" spans="1:6">
      <c r="A211" s="39">
        <v>42447</v>
      </c>
      <c r="B211">
        <v>67.48</v>
      </c>
      <c r="C211">
        <v>68.03</v>
      </c>
      <c r="D211">
        <v>66.75</v>
      </c>
      <c r="E211">
        <v>66.95</v>
      </c>
      <c r="F211">
        <v>22927319</v>
      </c>
    </row>
    <row r="212" spans="1:6">
      <c r="A212" s="39">
        <v>42450</v>
      </c>
      <c r="B212">
        <v>67.03</v>
      </c>
      <c r="C212">
        <v>68.38</v>
      </c>
      <c r="D212">
        <v>66.97</v>
      </c>
      <c r="E212">
        <v>67.97</v>
      </c>
      <c r="F212">
        <v>9401758</v>
      </c>
    </row>
    <row r="213" spans="1:6">
      <c r="A213" s="39">
        <v>42451</v>
      </c>
      <c r="B213">
        <v>68</v>
      </c>
      <c r="C213">
        <v>68.680000000000007</v>
      </c>
      <c r="D213">
        <v>67.790000000000006</v>
      </c>
      <c r="E213">
        <v>67.87</v>
      </c>
      <c r="F213">
        <v>7497606</v>
      </c>
    </row>
    <row r="214" spans="1:6">
      <c r="A214" s="39">
        <v>42452</v>
      </c>
      <c r="B214">
        <v>68.010000000000005</v>
      </c>
      <c r="C214">
        <v>68.099999999999994</v>
      </c>
      <c r="D214">
        <v>67.44</v>
      </c>
      <c r="E214">
        <v>67.459999999999994</v>
      </c>
      <c r="F214">
        <v>6092808</v>
      </c>
    </row>
    <row r="215" spans="1:6">
      <c r="A215" s="39">
        <v>42453</v>
      </c>
      <c r="B215">
        <v>67.430000000000007</v>
      </c>
      <c r="C215">
        <v>68.040000000000006</v>
      </c>
      <c r="D215">
        <v>67.38</v>
      </c>
      <c r="E215">
        <v>68</v>
      </c>
      <c r="F215">
        <v>6301598</v>
      </c>
    </row>
    <row r="216" spans="1:6">
      <c r="A216" s="39">
        <v>42457</v>
      </c>
      <c r="B216">
        <v>67.930000000000007</v>
      </c>
      <c r="C216">
        <v>68.58</v>
      </c>
      <c r="D216">
        <v>67.930000000000007</v>
      </c>
      <c r="E216">
        <v>68.12</v>
      </c>
      <c r="F216">
        <v>5598390</v>
      </c>
    </row>
    <row r="217" spans="1:6">
      <c r="A217" s="39">
        <v>42458</v>
      </c>
      <c r="B217">
        <v>68.150000000000006</v>
      </c>
      <c r="C217">
        <v>68.209999999999994</v>
      </c>
      <c r="D217">
        <v>67.430000000000007</v>
      </c>
      <c r="E217">
        <v>68.03</v>
      </c>
      <c r="F217">
        <v>6490046</v>
      </c>
    </row>
    <row r="218" spans="1:6">
      <c r="A218" s="39">
        <v>42459</v>
      </c>
      <c r="B218">
        <v>68.33</v>
      </c>
      <c r="C218">
        <v>69</v>
      </c>
      <c r="D218">
        <v>68.290000000000006</v>
      </c>
      <c r="E218">
        <v>68.8</v>
      </c>
      <c r="F218">
        <v>7204059</v>
      </c>
    </row>
    <row r="219" spans="1:6">
      <c r="A219" s="39">
        <v>42460</v>
      </c>
      <c r="B219">
        <v>68.75</v>
      </c>
      <c r="C219">
        <v>69.19</v>
      </c>
      <c r="D219">
        <v>68.47</v>
      </c>
      <c r="E219">
        <v>68.489999999999995</v>
      </c>
      <c r="F219">
        <v>6276436</v>
      </c>
    </row>
    <row r="220" spans="1:6">
      <c r="A220" s="39">
        <v>42461</v>
      </c>
      <c r="B220">
        <v>68.02</v>
      </c>
      <c r="C220">
        <v>69.2</v>
      </c>
      <c r="D220">
        <v>68.02</v>
      </c>
      <c r="E220">
        <v>69.06</v>
      </c>
      <c r="F220">
        <v>6602027</v>
      </c>
    </row>
    <row r="221" spans="1:6">
      <c r="A221" s="39">
        <v>42464</v>
      </c>
      <c r="B221">
        <v>69</v>
      </c>
      <c r="C221">
        <v>69.37</v>
      </c>
      <c r="D221">
        <v>68.92</v>
      </c>
      <c r="E221">
        <v>69.099999999999994</v>
      </c>
      <c r="F221">
        <v>6821546</v>
      </c>
    </row>
    <row r="222" spans="1:6">
      <c r="A222" s="39">
        <v>42465</v>
      </c>
      <c r="B222">
        <v>69.03</v>
      </c>
      <c r="C222">
        <v>69.25</v>
      </c>
      <c r="D222">
        <v>68.27</v>
      </c>
      <c r="E222">
        <v>68.64</v>
      </c>
      <c r="F222">
        <v>5775011</v>
      </c>
    </row>
    <row r="223" spans="1:6">
      <c r="A223" s="39">
        <v>42466</v>
      </c>
      <c r="B223">
        <v>68.7</v>
      </c>
      <c r="C223">
        <v>69.06</v>
      </c>
      <c r="D223">
        <v>68.52</v>
      </c>
      <c r="E223">
        <v>69.040000000000006</v>
      </c>
      <c r="F223">
        <v>5299090</v>
      </c>
    </row>
    <row r="224" spans="1:6">
      <c r="A224" s="39">
        <v>42467</v>
      </c>
      <c r="B224">
        <v>68.83</v>
      </c>
      <c r="C224">
        <v>68.930000000000007</v>
      </c>
      <c r="D224">
        <v>67.94</v>
      </c>
      <c r="E224">
        <v>68.22</v>
      </c>
      <c r="F224">
        <v>6094018</v>
      </c>
    </row>
    <row r="225" spans="1:6">
      <c r="A225" s="39">
        <v>42468</v>
      </c>
      <c r="B225">
        <v>68.31</v>
      </c>
      <c r="C225">
        <v>68.39</v>
      </c>
      <c r="D225">
        <v>67.86</v>
      </c>
      <c r="E225">
        <v>68.06</v>
      </c>
      <c r="F225">
        <v>6022355</v>
      </c>
    </row>
    <row r="226" spans="1:6">
      <c r="A226" s="39">
        <v>42471</v>
      </c>
      <c r="B226">
        <v>68.010000000000005</v>
      </c>
      <c r="C226">
        <v>68.37</v>
      </c>
      <c r="D226">
        <v>67.38</v>
      </c>
      <c r="E226">
        <v>67.400000000000006</v>
      </c>
      <c r="F226">
        <v>7848157</v>
      </c>
    </row>
    <row r="227" spans="1:6">
      <c r="A227" s="39">
        <v>42472</v>
      </c>
      <c r="B227">
        <v>67.569999999999993</v>
      </c>
      <c r="C227">
        <v>68.87</v>
      </c>
      <c r="D227">
        <v>67.45</v>
      </c>
      <c r="E227">
        <v>68.8</v>
      </c>
      <c r="F227">
        <v>7732182</v>
      </c>
    </row>
    <row r="228" spans="1:6">
      <c r="A228" s="39">
        <v>42473</v>
      </c>
      <c r="B228">
        <v>69.010000000000005</v>
      </c>
      <c r="C228">
        <v>69.42</v>
      </c>
      <c r="D228">
        <v>68.87</v>
      </c>
      <c r="E228">
        <v>69.150000000000006</v>
      </c>
      <c r="F228">
        <v>6262656</v>
      </c>
    </row>
    <row r="229" spans="1:6">
      <c r="A229" s="39">
        <v>42474</v>
      </c>
      <c r="B229">
        <v>69.150000000000006</v>
      </c>
      <c r="C229">
        <v>69.239999999999995</v>
      </c>
      <c r="D229">
        <v>68.150000000000006</v>
      </c>
      <c r="E229">
        <v>68.8</v>
      </c>
      <c r="F229">
        <v>6973069</v>
      </c>
    </row>
    <row r="230" spans="1:6">
      <c r="A230" s="39">
        <v>42475</v>
      </c>
      <c r="B230">
        <v>68.94</v>
      </c>
      <c r="C230">
        <v>69.41</v>
      </c>
      <c r="D230">
        <v>68.94</v>
      </c>
      <c r="E230">
        <v>69.06</v>
      </c>
      <c r="F230">
        <v>7575462</v>
      </c>
    </row>
    <row r="231" spans="1:6">
      <c r="A231" s="39">
        <v>42478</v>
      </c>
      <c r="B231">
        <v>69.05</v>
      </c>
      <c r="C231">
        <v>69.900000000000006</v>
      </c>
      <c r="D231">
        <v>68.849999999999994</v>
      </c>
      <c r="E231">
        <v>69.86</v>
      </c>
      <c r="F231">
        <v>6620788</v>
      </c>
    </row>
    <row r="232" spans="1:6">
      <c r="A232" s="39">
        <v>42479</v>
      </c>
      <c r="B232">
        <v>69.790000000000006</v>
      </c>
      <c r="C232">
        <v>70.08</v>
      </c>
      <c r="D232">
        <v>69.5</v>
      </c>
      <c r="E232">
        <v>69.77</v>
      </c>
      <c r="F232">
        <v>7701650</v>
      </c>
    </row>
    <row r="233" spans="1:6">
      <c r="A233" s="39">
        <v>42480</v>
      </c>
      <c r="B233">
        <v>69.760000000000005</v>
      </c>
      <c r="C233">
        <v>69.989999999999995</v>
      </c>
      <c r="D233">
        <v>69.13</v>
      </c>
      <c r="E233">
        <v>69.209999999999994</v>
      </c>
      <c r="F233">
        <v>5406370</v>
      </c>
    </row>
    <row r="234" spans="1:6">
      <c r="A234" s="39">
        <v>42481</v>
      </c>
      <c r="B234">
        <v>69.47</v>
      </c>
      <c r="C234">
        <v>69.680000000000007</v>
      </c>
      <c r="D234">
        <v>68.239999999999995</v>
      </c>
      <c r="E234">
        <v>68.47</v>
      </c>
      <c r="F234">
        <v>6603796</v>
      </c>
    </row>
    <row r="235" spans="1:6">
      <c r="A235" s="39">
        <v>42482</v>
      </c>
      <c r="B235">
        <v>68.819999999999993</v>
      </c>
      <c r="C235">
        <v>68.94</v>
      </c>
      <c r="D235">
        <v>68.28</v>
      </c>
      <c r="E235">
        <v>68.72</v>
      </c>
      <c r="F235">
        <v>6215117</v>
      </c>
    </row>
    <row r="236" spans="1:6">
      <c r="A236" s="39">
        <v>42485</v>
      </c>
      <c r="B236">
        <v>68.55</v>
      </c>
      <c r="C236">
        <v>69.5</v>
      </c>
      <c r="D236">
        <v>68.06</v>
      </c>
      <c r="E236">
        <v>69.47</v>
      </c>
      <c r="F236">
        <v>5887629</v>
      </c>
    </row>
    <row r="237" spans="1:6">
      <c r="A237" s="39">
        <v>42486</v>
      </c>
      <c r="B237">
        <v>69.7</v>
      </c>
      <c r="C237">
        <v>69.89</v>
      </c>
      <c r="D237">
        <v>69.099999999999994</v>
      </c>
      <c r="E237">
        <v>69.3</v>
      </c>
      <c r="F237">
        <v>6647873</v>
      </c>
    </row>
    <row r="238" spans="1:6">
      <c r="A238" s="39">
        <v>42487</v>
      </c>
      <c r="B238">
        <v>69.489999999999995</v>
      </c>
      <c r="C238">
        <v>69.78</v>
      </c>
      <c r="D238">
        <v>68.989999999999995</v>
      </c>
      <c r="E238">
        <v>69.42</v>
      </c>
      <c r="F238">
        <v>5141384</v>
      </c>
    </row>
    <row r="239" spans="1:6">
      <c r="A239" s="39">
        <v>42488</v>
      </c>
      <c r="B239">
        <v>69.069999999999993</v>
      </c>
      <c r="C239">
        <v>69.62</v>
      </c>
      <c r="D239">
        <v>68.75</v>
      </c>
      <c r="E239">
        <v>68.91</v>
      </c>
      <c r="F239">
        <v>4775873</v>
      </c>
    </row>
    <row r="240" spans="1:6">
      <c r="A240" s="39">
        <v>42489</v>
      </c>
      <c r="B240">
        <v>68.73</v>
      </c>
      <c r="C240">
        <v>68.819999999999993</v>
      </c>
      <c r="D240">
        <v>66.36</v>
      </c>
      <c r="E240">
        <v>66.87</v>
      </c>
      <c r="F240">
        <v>12080334</v>
      </c>
    </row>
    <row r="241" spans="1:6">
      <c r="A241" s="39">
        <v>42492</v>
      </c>
      <c r="B241">
        <v>66.62</v>
      </c>
      <c r="C241">
        <v>67.7</v>
      </c>
      <c r="D241">
        <v>66.53</v>
      </c>
      <c r="E241">
        <v>67.59</v>
      </c>
      <c r="F241">
        <v>7602236</v>
      </c>
    </row>
    <row r="242" spans="1:6">
      <c r="A242" s="39">
        <v>42493</v>
      </c>
      <c r="B242">
        <v>66.86</v>
      </c>
      <c r="C242">
        <v>67.5</v>
      </c>
      <c r="D242">
        <v>66.75</v>
      </c>
      <c r="E242">
        <v>67</v>
      </c>
      <c r="F242">
        <v>5908863</v>
      </c>
    </row>
    <row r="243" spans="1:6">
      <c r="A243" s="39">
        <v>42494</v>
      </c>
      <c r="B243">
        <v>66.849999999999994</v>
      </c>
      <c r="C243">
        <v>67.489999999999995</v>
      </c>
      <c r="D243">
        <v>66.44</v>
      </c>
      <c r="E243">
        <v>67.19</v>
      </c>
      <c r="F243">
        <v>5928286</v>
      </c>
    </row>
    <row r="244" spans="1:6">
      <c r="A244" s="39">
        <v>42495</v>
      </c>
      <c r="B244">
        <v>66.97</v>
      </c>
      <c r="C244">
        <v>67.25</v>
      </c>
      <c r="D244">
        <v>66.58</v>
      </c>
      <c r="E244">
        <v>67.209999999999994</v>
      </c>
      <c r="F244">
        <v>8089700</v>
      </c>
    </row>
    <row r="245" spans="1:6">
      <c r="A245" s="39">
        <v>42496</v>
      </c>
      <c r="B245">
        <v>66.91</v>
      </c>
      <c r="C245">
        <v>68.260000000000005</v>
      </c>
      <c r="D245">
        <v>66.8</v>
      </c>
      <c r="E245">
        <v>68.25</v>
      </c>
      <c r="F245">
        <v>9789090</v>
      </c>
    </row>
    <row r="246" spans="1:6">
      <c r="A246" s="39">
        <v>42499</v>
      </c>
      <c r="B246">
        <v>68.25</v>
      </c>
      <c r="C246">
        <v>69.099999999999994</v>
      </c>
      <c r="D246">
        <v>68.16</v>
      </c>
      <c r="E246">
        <v>68.95</v>
      </c>
      <c r="F246">
        <v>8623834</v>
      </c>
    </row>
    <row r="247" spans="1:6">
      <c r="A247" s="39">
        <v>42500</v>
      </c>
      <c r="B247">
        <v>68.92</v>
      </c>
      <c r="C247">
        <v>69.13</v>
      </c>
      <c r="D247">
        <v>68.45</v>
      </c>
      <c r="E247">
        <v>68.790000000000006</v>
      </c>
      <c r="F247">
        <v>6376428</v>
      </c>
    </row>
    <row r="248" spans="1:6">
      <c r="A248" s="39">
        <v>42501</v>
      </c>
      <c r="B248">
        <v>67.47</v>
      </c>
      <c r="C248">
        <v>67.5</v>
      </c>
      <c r="D248">
        <v>65.61</v>
      </c>
      <c r="E248">
        <v>66.41</v>
      </c>
      <c r="F248">
        <v>14434682</v>
      </c>
    </row>
    <row r="249" spans="1:6">
      <c r="A249" s="39">
        <v>42502</v>
      </c>
      <c r="B249">
        <v>66.55</v>
      </c>
      <c r="C249">
        <v>67.05</v>
      </c>
      <c r="D249">
        <v>66.38</v>
      </c>
      <c r="E249">
        <v>66.849999999999994</v>
      </c>
      <c r="F249">
        <v>9532401</v>
      </c>
    </row>
    <row r="250" spans="1:6">
      <c r="A250" s="39">
        <v>42503</v>
      </c>
      <c r="B250">
        <v>66.48</v>
      </c>
      <c r="C250">
        <v>66.55</v>
      </c>
      <c r="D250">
        <v>64.650000000000006</v>
      </c>
      <c r="E250">
        <v>64.94</v>
      </c>
      <c r="F250">
        <v>13708409</v>
      </c>
    </row>
    <row r="251" spans="1:6">
      <c r="A251" s="39">
        <v>42506</v>
      </c>
      <c r="B251">
        <v>64.86</v>
      </c>
      <c r="C251">
        <v>66.349999999999994</v>
      </c>
      <c r="D251">
        <v>64.680000000000007</v>
      </c>
      <c r="E251">
        <v>66.02</v>
      </c>
      <c r="F251">
        <v>10168754</v>
      </c>
    </row>
    <row r="252" spans="1:6">
      <c r="A252" s="39">
        <v>42507</v>
      </c>
      <c r="B252">
        <v>66.06</v>
      </c>
      <c r="C252">
        <v>66.27</v>
      </c>
      <c r="D252">
        <v>64.88</v>
      </c>
      <c r="E252">
        <v>65.099999999999994</v>
      </c>
      <c r="F252">
        <v>9250121</v>
      </c>
    </row>
    <row r="253" spans="1:6">
      <c r="A253" s="39">
        <v>42508</v>
      </c>
      <c r="B253">
        <v>63.02</v>
      </c>
      <c r="C253">
        <v>63.78</v>
      </c>
      <c r="D253">
        <v>62.72</v>
      </c>
      <c r="E253">
        <v>63.15</v>
      </c>
      <c r="F253">
        <v>22184048</v>
      </c>
    </row>
    <row r="254" spans="1:6">
      <c r="A254" s="39">
        <v>42509</v>
      </c>
      <c r="B254">
        <v>68.099999999999994</v>
      </c>
      <c r="C254">
        <v>69.33</v>
      </c>
      <c r="D254">
        <v>67.5</v>
      </c>
      <c r="E254">
        <v>69.2</v>
      </c>
      <c r="F254">
        <v>34920530</v>
      </c>
    </row>
    <row r="255" spans="1:6">
      <c r="A255" s="39">
        <v>42510</v>
      </c>
      <c r="B255">
        <v>69.33</v>
      </c>
      <c r="C255">
        <v>70.14</v>
      </c>
      <c r="D255">
        <v>68.849999999999994</v>
      </c>
      <c r="E255">
        <v>69.86</v>
      </c>
      <c r="F255">
        <v>16680826</v>
      </c>
    </row>
    <row r="256" spans="1:6">
      <c r="A256" s="39">
        <v>42513</v>
      </c>
      <c r="B256">
        <v>69.599999999999994</v>
      </c>
      <c r="C256">
        <v>70.06</v>
      </c>
      <c r="D256">
        <v>69.44</v>
      </c>
      <c r="E256">
        <v>69.5</v>
      </c>
      <c r="F256">
        <v>10093270</v>
      </c>
    </row>
    <row r="257" spans="1:6">
      <c r="A257" s="39">
        <v>42514</v>
      </c>
      <c r="B257">
        <v>69.650000000000006</v>
      </c>
      <c r="C257">
        <v>70.42</v>
      </c>
      <c r="D257">
        <v>69.55</v>
      </c>
      <c r="E257">
        <v>70.239999999999995</v>
      </c>
      <c r="F257">
        <v>8789919</v>
      </c>
    </row>
    <row r="258" spans="1:6">
      <c r="A258" s="39">
        <v>42515</v>
      </c>
      <c r="B258">
        <v>70.25</v>
      </c>
      <c r="C258">
        <v>71</v>
      </c>
      <c r="D258">
        <v>70.239999999999995</v>
      </c>
      <c r="E258">
        <v>70.48</v>
      </c>
      <c r="F258">
        <v>7263246</v>
      </c>
    </row>
    <row r="259" spans="1:6">
      <c r="A259" s="39">
        <v>42516</v>
      </c>
      <c r="B259">
        <v>70.69</v>
      </c>
      <c r="C259">
        <v>71.38</v>
      </c>
      <c r="D259">
        <v>70.599999999999994</v>
      </c>
      <c r="E259">
        <v>70.849999999999994</v>
      </c>
      <c r="F259">
        <v>8688476</v>
      </c>
    </row>
    <row r="260" spans="1:6">
      <c r="A260" s="39">
        <v>42517</v>
      </c>
      <c r="B260">
        <v>70.86</v>
      </c>
      <c r="C260">
        <v>70.89</v>
      </c>
      <c r="D260">
        <v>70.489999999999995</v>
      </c>
      <c r="E260">
        <v>70.75</v>
      </c>
      <c r="F260">
        <v>5772191</v>
      </c>
    </row>
    <row r="261" spans="1:6">
      <c r="A261" s="39">
        <v>42521</v>
      </c>
      <c r="B261">
        <v>70.58</v>
      </c>
      <c r="C261">
        <v>71</v>
      </c>
      <c r="D261">
        <v>70.48</v>
      </c>
      <c r="E261">
        <v>70.78</v>
      </c>
      <c r="F261">
        <v>8390184</v>
      </c>
    </row>
    <row r="262" spans="1:6">
      <c r="A262" s="39">
        <v>42522</v>
      </c>
      <c r="B262">
        <v>70.5</v>
      </c>
      <c r="C262">
        <v>70.900000000000006</v>
      </c>
      <c r="D262">
        <v>70.41</v>
      </c>
      <c r="E262">
        <v>70.5</v>
      </c>
      <c r="F262">
        <v>7221459</v>
      </c>
    </row>
    <row r="263" spans="1:6">
      <c r="A263" s="39">
        <v>42523</v>
      </c>
      <c r="B263">
        <v>70.5</v>
      </c>
      <c r="C263">
        <v>71</v>
      </c>
      <c r="D263">
        <v>70.14</v>
      </c>
      <c r="E263">
        <v>70.95</v>
      </c>
      <c r="F263">
        <v>6508681</v>
      </c>
    </row>
    <row r="264" spans="1:6">
      <c r="A264" s="39">
        <v>42524</v>
      </c>
      <c r="B264">
        <v>70.569999999999993</v>
      </c>
      <c r="C264">
        <v>71.05</v>
      </c>
      <c r="D264">
        <v>70.52</v>
      </c>
      <c r="E264">
        <v>70.87</v>
      </c>
      <c r="F264">
        <v>6374529</v>
      </c>
    </row>
    <row r="265" spans="1:6">
      <c r="A265" s="39">
        <v>42527</v>
      </c>
      <c r="B265">
        <v>71.52</v>
      </c>
      <c r="C265">
        <v>71.55</v>
      </c>
      <c r="D265">
        <v>71</v>
      </c>
      <c r="E265">
        <v>71.05</v>
      </c>
      <c r="F265">
        <v>9017963</v>
      </c>
    </row>
    <row r="266" spans="1:6">
      <c r="A266" s="39">
        <v>42528</v>
      </c>
      <c r="B266">
        <v>71.099999999999994</v>
      </c>
      <c r="C266">
        <v>71.31</v>
      </c>
      <c r="D266">
        <v>70.849999999999994</v>
      </c>
      <c r="E266">
        <v>71.03</v>
      </c>
      <c r="F266">
        <v>7363374</v>
      </c>
    </row>
    <row r="267" spans="1:6">
      <c r="A267" s="39">
        <v>42529</v>
      </c>
      <c r="B267">
        <v>70.849999999999994</v>
      </c>
      <c r="C267">
        <v>71.45</v>
      </c>
      <c r="D267">
        <v>70.8</v>
      </c>
      <c r="E267">
        <v>71.28</v>
      </c>
      <c r="F267">
        <v>6138989</v>
      </c>
    </row>
    <row r="268" spans="1:6">
      <c r="A268" s="39">
        <v>42530</v>
      </c>
      <c r="B268">
        <v>71.36</v>
      </c>
      <c r="C268">
        <v>71.59</v>
      </c>
      <c r="D268">
        <v>70.849999999999994</v>
      </c>
      <c r="E268">
        <v>71.09</v>
      </c>
      <c r="F268">
        <v>6069859</v>
      </c>
    </row>
    <row r="269" spans="1:6">
      <c r="A269" s="39">
        <v>42531</v>
      </c>
      <c r="B269">
        <v>71</v>
      </c>
      <c r="C269">
        <v>71.41</v>
      </c>
      <c r="D269">
        <v>70.680000000000007</v>
      </c>
      <c r="E269">
        <v>71.14</v>
      </c>
      <c r="F269">
        <v>7511406</v>
      </c>
    </row>
    <row r="270" spans="1:6">
      <c r="A270" s="39">
        <v>42534</v>
      </c>
      <c r="B270">
        <v>71</v>
      </c>
      <c r="C270">
        <v>71.180000000000007</v>
      </c>
      <c r="D270">
        <v>70.48</v>
      </c>
      <c r="E270">
        <v>70.53</v>
      </c>
      <c r="F270">
        <v>7907562</v>
      </c>
    </row>
    <row r="271" spans="1:6">
      <c r="A271" s="39">
        <v>42535</v>
      </c>
      <c r="B271">
        <v>70.66</v>
      </c>
      <c r="C271">
        <v>71.17</v>
      </c>
      <c r="D271">
        <v>70.2</v>
      </c>
      <c r="E271">
        <v>70.95</v>
      </c>
      <c r="F271">
        <v>9066382</v>
      </c>
    </row>
    <row r="272" spans="1:6">
      <c r="A272" s="39">
        <v>42536</v>
      </c>
      <c r="B272">
        <v>71.2</v>
      </c>
      <c r="C272">
        <v>71.62</v>
      </c>
      <c r="D272">
        <v>71</v>
      </c>
      <c r="E272">
        <v>71.12</v>
      </c>
      <c r="F272">
        <v>8016982</v>
      </c>
    </row>
    <row r="273" spans="1:6">
      <c r="A273" s="39">
        <v>42537</v>
      </c>
      <c r="B273">
        <v>71</v>
      </c>
      <c r="C273">
        <v>71.459999999999994</v>
      </c>
      <c r="D273">
        <v>70.8</v>
      </c>
      <c r="E273">
        <v>71.3</v>
      </c>
      <c r="F273">
        <v>6705181</v>
      </c>
    </row>
    <row r="274" spans="1:6">
      <c r="A274" s="39">
        <v>42538</v>
      </c>
      <c r="B274">
        <v>71.05</v>
      </c>
      <c r="C274">
        <v>71.31</v>
      </c>
      <c r="D274">
        <v>70.400000000000006</v>
      </c>
      <c r="E274">
        <v>70.95</v>
      </c>
      <c r="F274">
        <v>18059297</v>
      </c>
    </row>
    <row r="275" spans="1:6">
      <c r="A275" s="39">
        <v>42541</v>
      </c>
      <c r="B275">
        <v>71.31</v>
      </c>
      <c r="C275">
        <v>71.78</v>
      </c>
      <c r="D275">
        <v>71.05</v>
      </c>
      <c r="E275">
        <v>71.099999999999994</v>
      </c>
      <c r="F275">
        <v>7142522</v>
      </c>
    </row>
    <row r="276" spans="1:6">
      <c r="A276" s="39">
        <v>42542</v>
      </c>
      <c r="B276">
        <v>70.95</v>
      </c>
      <c r="C276">
        <v>71.72</v>
      </c>
      <c r="D276">
        <v>70.95</v>
      </c>
      <c r="E276">
        <v>71.459999999999994</v>
      </c>
      <c r="F276">
        <v>6674766</v>
      </c>
    </row>
    <row r="277" spans="1:6">
      <c r="A277" s="39">
        <v>42543</v>
      </c>
      <c r="B277">
        <v>71.599999999999994</v>
      </c>
      <c r="C277">
        <v>72.25</v>
      </c>
      <c r="D277">
        <v>71.56</v>
      </c>
      <c r="E277">
        <v>71.75</v>
      </c>
      <c r="F277">
        <v>8457512</v>
      </c>
    </row>
    <row r="278" spans="1:6">
      <c r="A278" s="39">
        <v>42544</v>
      </c>
      <c r="B278">
        <v>72.2</v>
      </c>
      <c r="C278">
        <v>72.239999999999995</v>
      </c>
      <c r="D278">
        <v>71.78</v>
      </c>
      <c r="E278">
        <v>72.099999999999994</v>
      </c>
      <c r="F278">
        <v>6970182</v>
      </c>
    </row>
    <row r="279" spans="1:6">
      <c r="A279" s="39">
        <v>42545</v>
      </c>
      <c r="B279">
        <v>70.55</v>
      </c>
      <c r="C279">
        <v>72.72</v>
      </c>
      <c r="D279">
        <v>70.510000000000005</v>
      </c>
      <c r="E279">
        <v>71.959999999999994</v>
      </c>
      <c r="F279">
        <v>15120363</v>
      </c>
    </row>
    <row r="280" spans="1:6">
      <c r="A280" s="39">
        <v>42548</v>
      </c>
      <c r="B280">
        <v>71.64</v>
      </c>
      <c r="C280">
        <v>71.77</v>
      </c>
      <c r="D280">
        <v>70.88</v>
      </c>
      <c r="E280">
        <v>71.5</v>
      </c>
      <c r="F280">
        <v>11346061</v>
      </c>
    </row>
    <row r="281" spans="1:6">
      <c r="A281" s="39">
        <v>42549</v>
      </c>
      <c r="B281">
        <v>71.760000000000005</v>
      </c>
      <c r="C281">
        <v>71.87</v>
      </c>
      <c r="D281">
        <v>70.67</v>
      </c>
      <c r="E281">
        <v>71.510000000000005</v>
      </c>
      <c r="F281">
        <v>8561177</v>
      </c>
    </row>
    <row r="282" spans="1:6">
      <c r="A282" s="39">
        <v>42550</v>
      </c>
      <c r="B282">
        <v>71.63</v>
      </c>
      <c r="C282">
        <v>72.489999999999995</v>
      </c>
      <c r="D282">
        <v>71.56</v>
      </c>
      <c r="E282">
        <v>72.459999999999994</v>
      </c>
      <c r="F282">
        <v>7014708</v>
      </c>
    </row>
    <row r="283" spans="1:6">
      <c r="A283" s="39">
        <v>42551</v>
      </c>
      <c r="B283">
        <v>72.569999999999993</v>
      </c>
      <c r="C283">
        <v>73.2</v>
      </c>
      <c r="D283">
        <v>72.319999999999993</v>
      </c>
      <c r="E283">
        <v>73.02</v>
      </c>
      <c r="F283">
        <v>8713585</v>
      </c>
    </row>
    <row r="284" spans="1:6">
      <c r="A284" s="39">
        <v>42552</v>
      </c>
      <c r="B284">
        <v>73.13</v>
      </c>
      <c r="C284">
        <v>73.17</v>
      </c>
      <c r="D284">
        <v>72.42</v>
      </c>
      <c r="E284">
        <v>72.81</v>
      </c>
      <c r="F284">
        <v>7638798</v>
      </c>
    </row>
    <row r="285" spans="1:6">
      <c r="A285" s="39">
        <v>42556</v>
      </c>
      <c r="B285">
        <v>72.75</v>
      </c>
      <c r="C285">
        <v>73.62</v>
      </c>
      <c r="D285">
        <v>72.680000000000007</v>
      </c>
      <c r="E285">
        <v>73.14</v>
      </c>
      <c r="F285">
        <v>10748626</v>
      </c>
    </row>
    <row r="286" spans="1:6">
      <c r="A286" s="39">
        <v>42557</v>
      </c>
      <c r="B286">
        <v>73.260000000000005</v>
      </c>
      <c r="C286">
        <v>73.98</v>
      </c>
      <c r="D286">
        <v>73.17</v>
      </c>
      <c r="E286">
        <v>73.819999999999993</v>
      </c>
      <c r="F286">
        <v>11062733</v>
      </c>
    </row>
    <row r="287" spans="1:6">
      <c r="A287" s="39">
        <v>42558</v>
      </c>
      <c r="B287">
        <v>73.73</v>
      </c>
      <c r="C287">
        <v>73.930000000000007</v>
      </c>
      <c r="D287">
        <v>73.150000000000006</v>
      </c>
      <c r="E287">
        <v>73.53</v>
      </c>
      <c r="F287">
        <v>7486861</v>
      </c>
    </row>
    <row r="288" spans="1:6">
      <c r="A288" s="39">
        <v>42559</v>
      </c>
      <c r="B288">
        <v>73.819999999999993</v>
      </c>
      <c r="C288">
        <v>73.849999999999994</v>
      </c>
      <c r="D288">
        <v>73.239999999999995</v>
      </c>
      <c r="E288">
        <v>73.84</v>
      </c>
      <c r="F288">
        <v>9127565</v>
      </c>
    </row>
    <row r="289" spans="1:6">
      <c r="A289" s="39">
        <v>42562</v>
      </c>
      <c r="B289">
        <v>73.67</v>
      </c>
      <c r="C289">
        <v>74.349999999999994</v>
      </c>
      <c r="D289">
        <v>73.5</v>
      </c>
      <c r="E289">
        <v>74.06</v>
      </c>
      <c r="F289">
        <v>9040070</v>
      </c>
    </row>
    <row r="290" spans="1:6">
      <c r="A290" s="39">
        <v>42563</v>
      </c>
      <c r="B290">
        <v>73.56</v>
      </c>
      <c r="C290">
        <v>73.73</v>
      </c>
      <c r="D290">
        <v>73</v>
      </c>
      <c r="E290">
        <v>73.27</v>
      </c>
      <c r="F290">
        <v>12361175</v>
      </c>
    </row>
    <row r="291" spans="1:6">
      <c r="A291" s="39">
        <v>42564</v>
      </c>
      <c r="B291">
        <v>73.25</v>
      </c>
      <c r="C291">
        <v>73.63</v>
      </c>
      <c r="D291">
        <v>72.94</v>
      </c>
      <c r="E291">
        <v>73.62</v>
      </c>
      <c r="F291">
        <v>6398960</v>
      </c>
    </row>
    <row r="292" spans="1:6">
      <c r="A292" s="39">
        <v>42565</v>
      </c>
      <c r="B292">
        <v>73.790000000000006</v>
      </c>
      <c r="C292">
        <v>74.11</v>
      </c>
      <c r="D292">
        <v>73.61</v>
      </c>
      <c r="E292">
        <v>73.7</v>
      </c>
      <c r="F292">
        <v>6646403</v>
      </c>
    </row>
    <row r="293" spans="1:6">
      <c r="A293" s="39">
        <v>42566</v>
      </c>
      <c r="B293">
        <v>73.98</v>
      </c>
      <c r="C293">
        <v>74.010000000000005</v>
      </c>
      <c r="D293">
        <v>73.44</v>
      </c>
      <c r="E293">
        <v>73.67</v>
      </c>
      <c r="F293">
        <v>5994796</v>
      </c>
    </row>
    <row r="294" spans="1:6">
      <c r="A294" s="39">
        <v>42569</v>
      </c>
      <c r="B294">
        <v>73.64</v>
      </c>
      <c r="C294">
        <v>74.180000000000007</v>
      </c>
      <c r="D294">
        <v>73.53</v>
      </c>
      <c r="E294">
        <v>73.84</v>
      </c>
      <c r="F294">
        <v>5457313</v>
      </c>
    </row>
    <row r="295" spans="1:6">
      <c r="A295" s="39">
        <v>42570</v>
      </c>
      <c r="B295">
        <v>73.64</v>
      </c>
      <c r="C295">
        <v>73.959999999999994</v>
      </c>
      <c r="D295">
        <v>73.58</v>
      </c>
      <c r="E295">
        <v>73.66</v>
      </c>
      <c r="F295">
        <v>4798083</v>
      </c>
    </row>
    <row r="296" spans="1:6">
      <c r="A296" s="39">
        <v>42571</v>
      </c>
      <c r="B296">
        <v>73.88</v>
      </c>
      <c r="C296">
        <v>74.11</v>
      </c>
      <c r="D296">
        <v>73.63</v>
      </c>
      <c r="E296">
        <v>73.790000000000006</v>
      </c>
      <c r="F296">
        <v>5281986</v>
      </c>
    </row>
    <row r="297" spans="1:6">
      <c r="A297" s="39">
        <v>42572</v>
      </c>
      <c r="B297">
        <v>73.430000000000007</v>
      </c>
      <c r="C297">
        <v>73.66</v>
      </c>
      <c r="D297">
        <v>73.14</v>
      </c>
      <c r="E297">
        <v>73.52</v>
      </c>
      <c r="F297">
        <v>4432231</v>
      </c>
    </row>
    <row r="298" spans="1:6">
      <c r="A298" s="39">
        <v>42573</v>
      </c>
      <c r="B298">
        <v>73.760000000000005</v>
      </c>
      <c r="C298">
        <v>73.91</v>
      </c>
      <c r="D298">
        <v>73.42</v>
      </c>
      <c r="E298">
        <v>73.55</v>
      </c>
      <c r="F298">
        <v>4316633</v>
      </c>
    </row>
    <row r="299" spans="1:6">
      <c r="A299" s="39">
        <v>42576</v>
      </c>
      <c r="B299">
        <v>73.55</v>
      </c>
      <c r="C299">
        <v>73.84</v>
      </c>
      <c r="D299">
        <v>73.41</v>
      </c>
      <c r="E299">
        <v>73.75</v>
      </c>
      <c r="F299">
        <v>4733956</v>
      </c>
    </row>
    <row r="300" spans="1:6">
      <c r="A300" s="39">
        <v>42577</v>
      </c>
      <c r="B300">
        <v>73.709999999999994</v>
      </c>
      <c r="C300">
        <v>74.069999999999993</v>
      </c>
      <c r="D300">
        <v>73.41</v>
      </c>
      <c r="E300">
        <v>73.73</v>
      </c>
      <c r="F300">
        <v>5248283</v>
      </c>
    </row>
    <row r="301" spans="1:6">
      <c r="A301" s="39">
        <v>42578</v>
      </c>
      <c r="B301">
        <v>73.66</v>
      </c>
      <c r="C301">
        <v>73.819999999999993</v>
      </c>
      <c r="D301">
        <v>73.14</v>
      </c>
      <c r="E301">
        <v>73.319999999999993</v>
      </c>
      <c r="F301">
        <v>5777916</v>
      </c>
    </row>
    <row r="302" spans="1:6">
      <c r="A302" s="39">
        <v>42579</v>
      </c>
      <c r="B302">
        <v>73.14</v>
      </c>
      <c r="C302">
        <v>73.319999999999993</v>
      </c>
      <c r="D302">
        <v>72.47</v>
      </c>
      <c r="E302">
        <v>73.239999999999995</v>
      </c>
      <c r="F302">
        <v>4603167</v>
      </c>
    </row>
    <row r="303" spans="1:6">
      <c r="A303" s="39">
        <v>42580</v>
      </c>
      <c r="B303">
        <v>73.17</v>
      </c>
      <c r="C303">
        <v>73.25</v>
      </c>
      <c r="D303">
        <v>72.760000000000005</v>
      </c>
      <c r="E303">
        <v>72.97</v>
      </c>
      <c r="F303">
        <v>6302187</v>
      </c>
    </row>
    <row r="304" spans="1:6">
      <c r="A304" s="39">
        <v>42583</v>
      </c>
      <c r="B304">
        <v>72.81</v>
      </c>
      <c r="C304">
        <v>73.989999999999995</v>
      </c>
      <c r="D304">
        <v>72.81</v>
      </c>
      <c r="E304">
        <v>73.78</v>
      </c>
      <c r="F304">
        <v>5868395</v>
      </c>
    </row>
    <row r="305" spans="1:6">
      <c r="A305" s="39">
        <v>42584</v>
      </c>
      <c r="B305">
        <v>73.7</v>
      </c>
      <c r="C305">
        <v>73.72</v>
      </c>
      <c r="D305">
        <v>72.63</v>
      </c>
      <c r="E305">
        <v>73.13</v>
      </c>
      <c r="F305">
        <v>6513056</v>
      </c>
    </row>
    <row r="306" spans="1:6">
      <c r="A306" s="39">
        <v>42585</v>
      </c>
      <c r="B306">
        <v>73</v>
      </c>
      <c r="C306">
        <v>73.400000000000006</v>
      </c>
      <c r="D306">
        <v>72.510000000000005</v>
      </c>
      <c r="E306">
        <v>72.94</v>
      </c>
      <c r="F306">
        <v>6568133</v>
      </c>
    </row>
    <row r="307" spans="1:6">
      <c r="A307" s="39">
        <v>42586</v>
      </c>
      <c r="B307">
        <v>72.8</v>
      </c>
      <c r="C307">
        <v>73.489999999999995</v>
      </c>
      <c r="D307">
        <v>72.59</v>
      </c>
      <c r="E307">
        <v>73.3</v>
      </c>
      <c r="F307">
        <v>4944907</v>
      </c>
    </row>
    <row r="308" spans="1:6">
      <c r="A308" s="39">
        <v>42587</v>
      </c>
      <c r="B308">
        <v>73.459999999999994</v>
      </c>
      <c r="C308">
        <v>73.95</v>
      </c>
      <c r="D308">
        <v>73.459999999999994</v>
      </c>
      <c r="E308">
        <v>73.760000000000005</v>
      </c>
      <c r="F308">
        <v>5415442</v>
      </c>
    </row>
    <row r="309" spans="1:6">
      <c r="A309" s="39">
        <v>42590</v>
      </c>
      <c r="B309">
        <v>74</v>
      </c>
      <c r="C309">
        <v>74.069999999999993</v>
      </c>
      <c r="D309">
        <v>73.040000000000006</v>
      </c>
      <c r="E309">
        <v>73.34</v>
      </c>
      <c r="F309">
        <v>6577187</v>
      </c>
    </row>
    <row r="310" spans="1:6">
      <c r="A310" s="39">
        <v>42591</v>
      </c>
      <c r="B310">
        <v>73.36</v>
      </c>
      <c r="C310">
        <v>73.88</v>
      </c>
      <c r="D310">
        <v>73.08</v>
      </c>
      <c r="E310">
        <v>73.540000000000006</v>
      </c>
      <c r="F310">
        <v>6427875</v>
      </c>
    </row>
    <row r="311" spans="1:6">
      <c r="A311" s="39">
        <v>42592</v>
      </c>
      <c r="B311">
        <v>73.569999999999993</v>
      </c>
      <c r="C311">
        <v>74.510000000000005</v>
      </c>
      <c r="D311">
        <v>73.39</v>
      </c>
      <c r="E311">
        <v>73.95</v>
      </c>
      <c r="F311">
        <v>8052272</v>
      </c>
    </row>
    <row r="312" spans="1:6">
      <c r="A312" s="39">
        <v>42593</v>
      </c>
      <c r="B312">
        <v>74.5</v>
      </c>
      <c r="C312">
        <v>74.8</v>
      </c>
      <c r="D312">
        <v>73.53</v>
      </c>
      <c r="E312">
        <v>73.8</v>
      </c>
      <c r="F312">
        <v>6290331</v>
      </c>
    </row>
    <row r="313" spans="1:6">
      <c r="A313" s="39">
        <v>42594</v>
      </c>
      <c r="B313">
        <v>73.8</v>
      </c>
      <c r="C313">
        <v>74.12</v>
      </c>
      <c r="D313">
        <v>73.56</v>
      </c>
      <c r="E313">
        <v>73.89</v>
      </c>
      <c r="F313">
        <v>9994186</v>
      </c>
    </row>
    <row r="314" spans="1:6">
      <c r="A314" s="39">
        <v>42597</v>
      </c>
      <c r="B314">
        <v>73.81</v>
      </c>
      <c r="C314">
        <v>74.010000000000005</v>
      </c>
      <c r="D314">
        <v>73.11</v>
      </c>
      <c r="E314">
        <v>73.319999999999993</v>
      </c>
      <c r="F314">
        <v>9636116</v>
      </c>
    </row>
    <row r="315" spans="1:6">
      <c r="A315" s="39">
        <v>42598</v>
      </c>
      <c r="B315">
        <v>72.59</v>
      </c>
      <c r="C315">
        <v>73.31</v>
      </c>
      <c r="D315">
        <v>72.209999999999994</v>
      </c>
      <c r="E315">
        <v>72.89</v>
      </c>
      <c r="F315">
        <v>9763349</v>
      </c>
    </row>
    <row r="316" spans="1:6">
      <c r="A316" s="39">
        <v>42599</v>
      </c>
      <c r="B316">
        <v>71.989999999999995</v>
      </c>
      <c r="C316">
        <v>72.95</v>
      </c>
      <c r="D316">
        <v>71.989999999999995</v>
      </c>
      <c r="E316">
        <v>72.930000000000007</v>
      </c>
      <c r="F316">
        <v>14343332</v>
      </c>
    </row>
    <row r="317" spans="1:6">
      <c r="A317" s="39">
        <v>42600</v>
      </c>
      <c r="B317">
        <v>74.94</v>
      </c>
      <c r="C317">
        <v>75.19</v>
      </c>
      <c r="D317">
        <v>73.87</v>
      </c>
      <c r="E317">
        <v>74.3</v>
      </c>
      <c r="F317">
        <v>26858329</v>
      </c>
    </row>
    <row r="318" spans="1:6">
      <c r="A318" s="39">
        <v>42601</v>
      </c>
      <c r="B318">
        <v>74.099999999999994</v>
      </c>
      <c r="C318">
        <v>74.290000000000006</v>
      </c>
      <c r="D318">
        <v>72.67</v>
      </c>
      <c r="E318">
        <v>72.81</v>
      </c>
      <c r="F318">
        <v>15346426</v>
      </c>
    </row>
    <row r="319" spans="1:6">
      <c r="A319" s="39">
        <v>42604</v>
      </c>
      <c r="B319">
        <v>73.06</v>
      </c>
      <c r="C319">
        <v>73.14</v>
      </c>
      <c r="D319">
        <v>72.45</v>
      </c>
      <c r="E319">
        <v>72.7</v>
      </c>
      <c r="F319">
        <v>10312074</v>
      </c>
    </row>
    <row r="320" spans="1:6">
      <c r="A320" s="39">
        <v>42605</v>
      </c>
      <c r="B320">
        <v>72.89</v>
      </c>
      <c r="C320">
        <v>73.069999999999993</v>
      </c>
      <c r="D320">
        <v>71.959999999999994</v>
      </c>
      <c r="E320">
        <v>71.97</v>
      </c>
      <c r="F320">
        <v>9391390</v>
      </c>
    </row>
    <row r="321" spans="1:6">
      <c r="A321" s="39">
        <v>42606</v>
      </c>
      <c r="B321">
        <v>71.97</v>
      </c>
      <c r="C321">
        <v>72.75</v>
      </c>
      <c r="D321">
        <v>71.760000000000005</v>
      </c>
      <c r="E321">
        <v>72.23</v>
      </c>
      <c r="F321">
        <v>10050690</v>
      </c>
    </row>
    <row r="322" spans="1:6">
      <c r="A322" s="39">
        <v>42607</v>
      </c>
      <c r="B322">
        <v>72.37</v>
      </c>
      <c r="C322">
        <v>72.58</v>
      </c>
      <c r="D322">
        <v>71.05</v>
      </c>
      <c r="E322">
        <v>71.22</v>
      </c>
      <c r="F322">
        <v>10514203</v>
      </c>
    </row>
    <row r="323" spans="1:6">
      <c r="A323" s="39">
        <v>42608</v>
      </c>
      <c r="B323">
        <v>71.41</v>
      </c>
      <c r="C323">
        <v>71.69</v>
      </c>
      <c r="D323">
        <v>70.89</v>
      </c>
      <c r="E323">
        <v>71.14</v>
      </c>
      <c r="F323">
        <v>10038464</v>
      </c>
    </row>
    <row r="324" spans="1:6">
      <c r="A324" s="39">
        <v>42611</v>
      </c>
      <c r="B324">
        <v>71.14</v>
      </c>
      <c r="C324">
        <v>71.66</v>
      </c>
      <c r="D324">
        <v>71.099999999999994</v>
      </c>
      <c r="E324">
        <v>71.400000000000006</v>
      </c>
      <c r="F324">
        <v>7468105</v>
      </c>
    </row>
    <row r="325" spans="1:6">
      <c r="A325" s="39">
        <v>42612</v>
      </c>
      <c r="B325">
        <v>71.760000000000005</v>
      </c>
      <c r="C325">
        <v>71.760000000000005</v>
      </c>
      <c r="D325">
        <v>71.150000000000006</v>
      </c>
      <c r="E325">
        <v>71.31</v>
      </c>
      <c r="F325">
        <v>5774180</v>
      </c>
    </row>
    <row r="326" spans="1:6">
      <c r="A326" s="39">
        <v>42613</v>
      </c>
      <c r="B326">
        <v>71.459999999999994</v>
      </c>
      <c r="C326">
        <v>71.64</v>
      </c>
      <c r="D326">
        <v>71.150000000000006</v>
      </c>
      <c r="E326">
        <v>71.44</v>
      </c>
      <c r="F326">
        <v>6311636</v>
      </c>
    </row>
    <row r="327" spans="1:6">
      <c r="A327" s="39">
        <v>42614</v>
      </c>
      <c r="B327">
        <v>71.569999999999993</v>
      </c>
      <c r="C327">
        <v>72.86</v>
      </c>
      <c r="D327">
        <v>71.41</v>
      </c>
      <c r="E327">
        <v>72.84</v>
      </c>
      <c r="F327">
        <v>11761356</v>
      </c>
    </row>
    <row r="328" spans="1:6">
      <c r="A328" s="39">
        <v>42615</v>
      </c>
      <c r="B328">
        <v>72.989999999999995</v>
      </c>
      <c r="C328">
        <v>73.19</v>
      </c>
      <c r="D328">
        <v>72.42</v>
      </c>
      <c r="E328">
        <v>72.5</v>
      </c>
      <c r="F328">
        <v>8075299</v>
      </c>
    </row>
    <row r="329" spans="1:6">
      <c r="A329" s="39">
        <v>42619</v>
      </c>
      <c r="B329">
        <v>72.760000000000005</v>
      </c>
      <c r="C329">
        <v>73.08</v>
      </c>
      <c r="D329">
        <v>72.2</v>
      </c>
      <c r="E329">
        <v>73</v>
      </c>
      <c r="F329">
        <v>9570905</v>
      </c>
    </row>
    <row r="330" spans="1:6">
      <c r="A330" s="39">
        <v>42620</v>
      </c>
      <c r="B330">
        <v>73</v>
      </c>
      <c r="C330">
        <v>73.05</v>
      </c>
      <c r="D330">
        <v>72.010000000000005</v>
      </c>
      <c r="E330">
        <v>72.06</v>
      </c>
      <c r="F330">
        <v>9618272</v>
      </c>
    </row>
    <row r="331" spans="1:6">
      <c r="A331" s="39">
        <v>42621</v>
      </c>
      <c r="B331">
        <v>71.89</v>
      </c>
      <c r="C331">
        <v>72.319999999999993</v>
      </c>
      <c r="D331">
        <v>71.709999999999994</v>
      </c>
      <c r="E331">
        <v>71.83</v>
      </c>
      <c r="F331">
        <v>9661224</v>
      </c>
    </row>
    <row r="332" spans="1:6">
      <c r="A332" s="39">
        <v>42622</v>
      </c>
      <c r="B332">
        <v>71.319999999999993</v>
      </c>
      <c r="C332">
        <v>71.510000000000005</v>
      </c>
      <c r="D332">
        <v>70.3</v>
      </c>
      <c r="E332">
        <v>70.3</v>
      </c>
      <c r="F332">
        <v>12172571</v>
      </c>
    </row>
    <row r="333" spans="1:6">
      <c r="A333" s="39">
        <v>42625</v>
      </c>
      <c r="B333">
        <v>70.790000000000006</v>
      </c>
      <c r="C333">
        <v>72.239999999999995</v>
      </c>
      <c r="D333">
        <v>70.72</v>
      </c>
      <c r="E333">
        <v>71.94</v>
      </c>
      <c r="F333">
        <v>10864043</v>
      </c>
    </row>
    <row r="334" spans="1:6">
      <c r="A334" s="39">
        <v>42626</v>
      </c>
      <c r="B334">
        <v>71.84</v>
      </c>
      <c r="C334">
        <v>71.91</v>
      </c>
      <c r="D334">
        <v>71.150000000000006</v>
      </c>
      <c r="E334">
        <v>71.459999999999994</v>
      </c>
      <c r="F334">
        <v>7507915</v>
      </c>
    </row>
    <row r="335" spans="1:6">
      <c r="A335" s="39">
        <v>42627</v>
      </c>
      <c r="B335">
        <v>71.62</v>
      </c>
      <c r="C335">
        <v>72.06</v>
      </c>
      <c r="D335">
        <v>71.400000000000006</v>
      </c>
      <c r="E335">
        <v>71.52</v>
      </c>
      <c r="F335">
        <v>6980495</v>
      </c>
    </row>
    <row r="336" spans="1:6">
      <c r="A336" s="39">
        <v>42628</v>
      </c>
      <c r="B336">
        <v>71.48</v>
      </c>
      <c r="C336">
        <v>72.56</v>
      </c>
      <c r="D336">
        <v>71.260000000000005</v>
      </c>
      <c r="E336">
        <v>72.400000000000006</v>
      </c>
      <c r="F336">
        <v>7331974</v>
      </c>
    </row>
    <row r="337" spans="1:6">
      <c r="A337" s="39">
        <v>42629</v>
      </c>
      <c r="B337">
        <v>72.319999999999993</v>
      </c>
      <c r="C337">
        <v>72.959999999999994</v>
      </c>
      <c r="D337">
        <v>72.22</v>
      </c>
      <c r="E337">
        <v>72.87</v>
      </c>
      <c r="F337">
        <v>13935682</v>
      </c>
    </row>
    <row r="338" spans="1:6">
      <c r="A338" s="39">
        <v>42632</v>
      </c>
      <c r="B338">
        <v>72.64</v>
      </c>
      <c r="C338">
        <v>72.87</v>
      </c>
      <c r="D338">
        <v>72.09</v>
      </c>
      <c r="E338">
        <v>72.09</v>
      </c>
      <c r="F338">
        <v>6920677</v>
      </c>
    </row>
    <row r="339" spans="1:6">
      <c r="A339" s="39">
        <v>42633</v>
      </c>
      <c r="B339">
        <v>72.150000000000006</v>
      </c>
      <c r="C339">
        <v>72.55</v>
      </c>
      <c r="D339">
        <v>71.900000000000006</v>
      </c>
      <c r="E339">
        <v>71.97</v>
      </c>
      <c r="F339">
        <v>5910577</v>
      </c>
    </row>
    <row r="340" spans="1:6">
      <c r="A340" s="39">
        <v>42634</v>
      </c>
      <c r="B340">
        <v>72.180000000000007</v>
      </c>
      <c r="C340">
        <v>72.540000000000006</v>
      </c>
      <c r="D340">
        <v>71.510000000000005</v>
      </c>
      <c r="E340">
        <v>72.19</v>
      </c>
      <c r="F340">
        <v>6675884</v>
      </c>
    </row>
    <row r="341" spans="1:6">
      <c r="A341" s="39">
        <v>42635</v>
      </c>
      <c r="B341">
        <v>72.430000000000007</v>
      </c>
      <c r="C341">
        <v>72.540000000000006</v>
      </c>
      <c r="D341">
        <v>71.989999999999995</v>
      </c>
      <c r="E341">
        <v>72.27</v>
      </c>
      <c r="F341">
        <v>5871871</v>
      </c>
    </row>
    <row r="342" spans="1:6">
      <c r="A342" s="39">
        <v>42636</v>
      </c>
      <c r="B342">
        <v>72.599999999999994</v>
      </c>
      <c r="C342">
        <v>72.77</v>
      </c>
      <c r="D342">
        <v>72.34</v>
      </c>
      <c r="E342">
        <v>72.349999999999994</v>
      </c>
      <c r="F342">
        <v>7696449</v>
      </c>
    </row>
    <row r="343" spans="1:6">
      <c r="A343" s="39">
        <v>42639</v>
      </c>
      <c r="B343">
        <v>72.31</v>
      </c>
      <c r="C343">
        <v>72.33</v>
      </c>
      <c r="D343">
        <v>71.52</v>
      </c>
      <c r="E343">
        <v>71.62</v>
      </c>
      <c r="F343">
        <v>5948719</v>
      </c>
    </row>
    <row r="344" spans="1:6">
      <c r="A344" s="39">
        <v>42640</v>
      </c>
      <c r="B344">
        <v>71.930000000000007</v>
      </c>
      <c r="C344">
        <v>72.489999999999995</v>
      </c>
      <c r="D344">
        <v>71.58</v>
      </c>
      <c r="E344">
        <v>72.33</v>
      </c>
      <c r="F344">
        <v>6344407</v>
      </c>
    </row>
    <row r="345" spans="1:6">
      <c r="A345" s="39">
        <v>42641</v>
      </c>
      <c r="B345">
        <v>72.22</v>
      </c>
      <c r="C345">
        <v>72.319999999999993</v>
      </c>
      <c r="D345">
        <v>71.38</v>
      </c>
      <c r="E345">
        <v>71.790000000000006</v>
      </c>
      <c r="F345">
        <v>6184932</v>
      </c>
    </row>
    <row r="346" spans="1:6">
      <c r="A346" s="39">
        <v>42642</v>
      </c>
      <c r="B346">
        <v>71.569999999999993</v>
      </c>
      <c r="C346">
        <v>71.709999999999994</v>
      </c>
      <c r="D346">
        <v>70.62</v>
      </c>
      <c r="E346">
        <v>70.73</v>
      </c>
      <c r="F346">
        <v>7996767</v>
      </c>
    </row>
    <row r="347" spans="1:6">
      <c r="A347" s="39">
        <v>42643</v>
      </c>
      <c r="B347">
        <v>71.5</v>
      </c>
      <c r="C347">
        <v>72.459999999999994</v>
      </c>
      <c r="D347">
        <v>71.400000000000006</v>
      </c>
      <c r="E347">
        <v>72.12</v>
      </c>
      <c r="F347">
        <v>9982598</v>
      </c>
    </row>
    <row r="348" spans="1:6">
      <c r="A348" s="39">
        <v>42646</v>
      </c>
      <c r="B348">
        <v>71.83</v>
      </c>
      <c r="C348">
        <v>72.14</v>
      </c>
      <c r="D348">
        <v>71.599999999999994</v>
      </c>
      <c r="E348">
        <v>72.010000000000005</v>
      </c>
      <c r="F348">
        <v>5857743</v>
      </c>
    </row>
    <row r="349" spans="1:6">
      <c r="A349" s="39">
        <v>42647</v>
      </c>
      <c r="B349">
        <v>72</v>
      </c>
      <c r="C349">
        <v>72.569999999999993</v>
      </c>
      <c r="D349">
        <v>71.55</v>
      </c>
      <c r="E349">
        <v>71.75</v>
      </c>
      <c r="F349">
        <v>6569284</v>
      </c>
    </row>
    <row r="350" spans="1:6">
      <c r="A350" s="39">
        <v>42648</v>
      </c>
      <c r="B350">
        <v>71.87</v>
      </c>
      <c r="C350">
        <v>72.260000000000005</v>
      </c>
      <c r="D350">
        <v>71.599999999999994</v>
      </c>
      <c r="E350">
        <v>71.67</v>
      </c>
      <c r="F350">
        <v>6464442</v>
      </c>
    </row>
    <row r="351" spans="1:6">
      <c r="A351" s="39">
        <v>42649</v>
      </c>
      <c r="B351">
        <v>70.2</v>
      </c>
      <c r="C351">
        <v>70.430000000000007</v>
      </c>
      <c r="D351">
        <v>68.89</v>
      </c>
      <c r="E351">
        <v>69.36</v>
      </c>
      <c r="F351">
        <v>20110251</v>
      </c>
    </row>
    <row r="352" spans="1:6">
      <c r="A352" s="39">
        <v>42650</v>
      </c>
      <c r="B352">
        <v>69.260000000000005</v>
      </c>
      <c r="C352">
        <v>69.47</v>
      </c>
      <c r="D352">
        <v>68.17</v>
      </c>
      <c r="E352">
        <v>68.7</v>
      </c>
      <c r="F352">
        <v>12653847</v>
      </c>
    </row>
    <row r="353" spans="1:6">
      <c r="A353" s="39">
        <v>42653</v>
      </c>
      <c r="B353">
        <v>68.75</v>
      </c>
      <c r="C353">
        <v>68.959999999999994</v>
      </c>
      <c r="D353">
        <v>67.75</v>
      </c>
      <c r="E353">
        <v>67.98</v>
      </c>
      <c r="F353">
        <v>8988413</v>
      </c>
    </row>
    <row r="354" spans="1:6">
      <c r="A354" s="39">
        <v>42654</v>
      </c>
      <c r="B354">
        <v>67.95</v>
      </c>
      <c r="C354">
        <v>67.959999999999994</v>
      </c>
      <c r="D354">
        <v>67.3</v>
      </c>
      <c r="E354">
        <v>67.39</v>
      </c>
      <c r="F354">
        <v>8591494</v>
      </c>
    </row>
    <row r="355" spans="1:6">
      <c r="A355" s="39">
        <v>42655</v>
      </c>
      <c r="B355">
        <v>67.739999999999995</v>
      </c>
      <c r="C355">
        <v>67.91</v>
      </c>
      <c r="D355">
        <v>67.37</v>
      </c>
      <c r="E355">
        <v>67.459999999999994</v>
      </c>
      <c r="F355">
        <v>8940655</v>
      </c>
    </row>
    <row r="356" spans="1:6">
      <c r="A356" s="39">
        <v>42656</v>
      </c>
      <c r="B356">
        <v>67.19</v>
      </c>
      <c r="C356">
        <v>68.540000000000006</v>
      </c>
      <c r="D356">
        <v>67.069999999999993</v>
      </c>
      <c r="E356">
        <v>68.23</v>
      </c>
      <c r="F356">
        <v>9193819</v>
      </c>
    </row>
    <row r="357" spans="1:6">
      <c r="A357" s="39">
        <v>42657</v>
      </c>
      <c r="B357">
        <v>68.42</v>
      </c>
      <c r="C357">
        <v>68.81</v>
      </c>
      <c r="D357">
        <v>68.209999999999994</v>
      </c>
      <c r="E357">
        <v>68.45</v>
      </c>
      <c r="F357">
        <v>6416018</v>
      </c>
    </row>
    <row r="358" spans="1:6">
      <c r="A358" s="39">
        <v>42660</v>
      </c>
      <c r="B358">
        <v>68.650000000000006</v>
      </c>
      <c r="C358">
        <v>68.650000000000006</v>
      </c>
      <c r="D358">
        <v>67.8</v>
      </c>
      <c r="E358">
        <v>68.22</v>
      </c>
      <c r="F358">
        <v>7493385</v>
      </c>
    </row>
    <row r="359" spans="1:6">
      <c r="A359" s="39">
        <v>42661</v>
      </c>
      <c r="B359">
        <v>68.569999999999993</v>
      </c>
      <c r="C359">
        <v>68.98</v>
      </c>
      <c r="D359">
        <v>68.23</v>
      </c>
      <c r="E359">
        <v>68.87</v>
      </c>
      <c r="F359">
        <v>7857699</v>
      </c>
    </row>
    <row r="360" spans="1:6">
      <c r="A360" s="39">
        <v>42662</v>
      </c>
      <c r="B360">
        <v>69.22</v>
      </c>
      <c r="C360">
        <v>69.34</v>
      </c>
      <c r="D360">
        <v>68.7</v>
      </c>
      <c r="E360">
        <v>68.89</v>
      </c>
      <c r="F360">
        <v>7123273</v>
      </c>
    </row>
    <row r="361" spans="1:6">
      <c r="A361" s="39">
        <v>42663</v>
      </c>
      <c r="B361">
        <v>68.98</v>
      </c>
      <c r="C361">
        <v>69.08</v>
      </c>
      <c r="D361">
        <v>68.569999999999993</v>
      </c>
      <c r="E361">
        <v>68.73</v>
      </c>
      <c r="F361">
        <v>6294027</v>
      </c>
    </row>
    <row r="362" spans="1:6">
      <c r="A362" s="39">
        <v>42664</v>
      </c>
      <c r="B362">
        <v>68.34</v>
      </c>
      <c r="C362">
        <v>68.63</v>
      </c>
      <c r="D362">
        <v>67.989999999999995</v>
      </c>
      <c r="E362">
        <v>68.34</v>
      </c>
      <c r="F362">
        <v>7844583</v>
      </c>
    </row>
    <row r="363" spans="1:6">
      <c r="A363" s="39">
        <v>42667</v>
      </c>
      <c r="B363">
        <v>68.62</v>
      </c>
      <c r="C363">
        <v>69.37</v>
      </c>
      <c r="D363">
        <v>68.39</v>
      </c>
      <c r="E363">
        <v>69.19</v>
      </c>
      <c r="F363">
        <v>7163632</v>
      </c>
    </row>
    <row r="364" spans="1:6">
      <c r="A364" s="39">
        <v>42668</v>
      </c>
      <c r="B364">
        <v>69.010000000000005</v>
      </c>
      <c r="C364">
        <v>69.87</v>
      </c>
      <c r="D364">
        <v>69</v>
      </c>
      <c r="E364">
        <v>69.36</v>
      </c>
      <c r="F364">
        <v>7629748</v>
      </c>
    </row>
    <row r="365" spans="1:6">
      <c r="A365" s="39">
        <v>42669</v>
      </c>
      <c r="B365">
        <v>69.3</v>
      </c>
      <c r="C365">
        <v>69.81</v>
      </c>
      <c r="D365">
        <v>69.14</v>
      </c>
      <c r="E365">
        <v>69.59</v>
      </c>
      <c r="F365">
        <v>5050540</v>
      </c>
    </row>
    <row r="366" spans="1:6">
      <c r="A366" s="39">
        <v>42670</v>
      </c>
      <c r="B366">
        <v>69.599999999999994</v>
      </c>
      <c r="C366">
        <v>70</v>
      </c>
      <c r="D366">
        <v>69.39</v>
      </c>
      <c r="E366">
        <v>69.83</v>
      </c>
      <c r="F366">
        <v>7131613</v>
      </c>
    </row>
    <row r="367" spans="1:6">
      <c r="A367" s="39">
        <v>42671</v>
      </c>
      <c r="B367">
        <v>69.8</v>
      </c>
      <c r="C367">
        <v>70.209999999999994</v>
      </c>
      <c r="D367">
        <v>69.73</v>
      </c>
      <c r="E367">
        <v>69.989999999999995</v>
      </c>
      <c r="F367">
        <v>6952858</v>
      </c>
    </row>
    <row r="368" spans="1:6">
      <c r="A368" s="39">
        <v>42674</v>
      </c>
      <c r="B368">
        <v>70.06</v>
      </c>
      <c r="C368">
        <v>70.17</v>
      </c>
      <c r="D368">
        <v>69.849999999999994</v>
      </c>
      <c r="E368">
        <v>70.02</v>
      </c>
      <c r="F368">
        <v>6389047</v>
      </c>
    </row>
    <row r="369" spans="1:6">
      <c r="A369" s="39">
        <v>42675</v>
      </c>
      <c r="B369">
        <v>69.98</v>
      </c>
      <c r="C369">
        <v>70.06</v>
      </c>
      <c r="D369">
        <v>69.14</v>
      </c>
      <c r="E369">
        <v>69.3</v>
      </c>
      <c r="F369">
        <v>8838603</v>
      </c>
    </row>
    <row r="370" spans="1:6">
      <c r="A370" s="39">
        <v>42676</v>
      </c>
      <c r="B370">
        <v>69.2</v>
      </c>
      <c r="C370">
        <v>69.97</v>
      </c>
      <c r="D370">
        <v>69.2</v>
      </c>
      <c r="E370">
        <v>69.45</v>
      </c>
      <c r="F370">
        <v>7645275</v>
      </c>
    </row>
    <row r="371" spans="1:6">
      <c r="A371" s="39">
        <v>42677</v>
      </c>
      <c r="B371">
        <v>69.63</v>
      </c>
      <c r="C371">
        <v>70.08</v>
      </c>
      <c r="D371">
        <v>69.349999999999994</v>
      </c>
      <c r="E371">
        <v>69.63</v>
      </c>
      <c r="F371">
        <v>6803940</v>
      </c>
    </row>
    <row r="372" spans="1:6">
      <c r="A372" s="39">
        <v>42678</v>
      </c>
      <c r="B372">
        <v>69.709999999999994</v>
      </c>
      <c r="C372">
        <v>69.94</v>
      </c>
      <c r="D372">
        <v>69.13</v>
      </c>
      <c r="E372">
        <v>69.16</v>
      </c>
      <c r="F372">
        <v>7262105</v>
      </c>
    </row>
    <row r="373" spans="1:6">
      <c r="A373" s="39">
        <v>42681</v>
      </c>
      <c r="B373">
        <v>69.62</v>
      </c>
      <c r="C373">
        <v>69.84</v>
      </c>
      <c r="D373">
        <v>69.16</v>
      </c>
      <c r="E373">
        <v>69.78</v>
      </c>
      <c r="F373">
        <v>9755441</v>
      </c>
    </row>
    <row r="374" spans="1:6">
      <c r="A374" s="39">
        <v>42682</v>
      </c>
      <c r="B374">
        <v>69.709999999999994</v>
      </c>
      <c r="C374">
        <v>70.040000000000006</v>
      </c>
      <c r="D374">
        <v>69.47</v>
      </c>
      <c r="E374">
        <v>69.790000000000006</v>
      </c>
      <c r="F374">
        <v>7621295</v>
      </c>
    </row>
    <row r="375" spans="1:6">
      <c r="A375" s="39">
        <v>42683</v>
      </c>
      <c r="B375">
        <v>69.3</v>
      </c>
      <c r="C375">
        <v>71.5</v>
      </c>
      <c r="D375">
        <v>69.290000000000006</v>
      </c>
      <c r="E375">
        <v>71.099999999999994</v>
      </c>
      <c r="F375">
        <v>16779465</v>
      </c>
    </row>
    <row r="376" spans="1:6">
      <c r="A376" s="39">
        <v>42684</v>
      </c>
      <c r="B376">
        <v>71.25</v>
      </c>
      <c r="C376">
        <v>72.09</v>
      </c>
      <c r="D376">
        <v>71</v>
      </c>
      <c r="E376">
        <v>71.39</v>
      </c>
      <c r="F376">
        <v>14321300</v>
      </c>
    </row>
    <row r="377" spans="1:6">
      <c r="A377" s="39">
        <v>42685</v>
      </c>
      <c r="B377">
        <v>71.11</v>
      </c>
      <c r="C377">
        <v>71.28</v>
      </c>
      <c r="D377">
        <v>70.599999999999994</v>
      </c>
      <c r="E377">
        <v>71.23</v>
      </c>
      <c r="F377">
        <v>8223872</v>
      </c>
    </row>
    <row r="378" spans="1:6">
      <c r="A378" s="39">
        <v>42688</v>
      </c>
      <c r="B378">
        <v>71.16</v>
      </c>
      <c r="C378">
        <v>71.31</v>
      </c>
      <c r="D378">
        <v>70.19</v>
      </c>
      <c r="E378">
        <v>70.489999999999995</v>
      </c>
      <c r="F378">
        <v>12917474</v>
      </c>
    </row>
    <row r="379" spans="1:6">
      <c r="A379" s="39">
        <v>42689</v>
      </c>
      <c r="B379">
        <v>70.790000000000006</v>
      </c>
      <c r="C379">
        <v>71.42</v>
      </c>
      <c r="D379">
        <v>70.349999999999994</v>
      </c>
      <c r="E379">
        <v>71.42</v>
      </c>
      <c r="F379">
        <v>9725063</v>
      </c>
    </row>
    <row r="380" spans="1:6">
      <c r="A380" s="39">
        <v>42690</v>
      </c>
      <c r="B380">
        <v>71.75</v>
      </c>
      <c r="C380">
        <v>72.06</v>
      </c>
      <c r="D380">
        <v>71.33</v>
      </c>
      <c r="E380">
        <v>71.39</v>
      </c>
      <c r="F380">
        <v>11192448</v>
      </c>
    </row>
    <row r="381" spans="1:6">
      <c r="A381" s="39">
        <v>42691</v>
      </c>
      <c r="B381">
        <v>69.08</v>
      </c>
      <c r="C381">
        <v>69.52</v>
      </c>
      <c r="D381">
        <v>68.12</v>
      </c>
      <c r="E381">
        <v>69.19</v>
      </c>
      <c r="F381">
        <v>23250871</v>
      </c>
    </row>
    <row r="382" spans="1:6">
      <c r="A382" s="39">
        <v>42692</v>
      </c>
      <c r="B382">
        <v>68.930000000000007</v>
      </c>
      <c r="C382">
        <v>69.400000000000006</v>
      </c>
      <c r="D382">
        <v>68.44</v>
      </c>
      <c r="E382">
        <v>68.540000000000006</v>
      </c>
      <c r="F382">
        <v>11135265</v>
      </c>
    </row>
    <row r="383" spans="1:6">
      <c r="A383" s="39">
        <v>42695</v>
      </c>
      <c r="B383">
        <v>68.61</v>
      </c>
      <c r="C383">
        <v>69.400000000000006</v>
      </c>
      <c r="D383">
        <v>68.42</v>
      </c>
      <c r="E383">
        <v>69.37</v>
      </c>
      <c r="F383">
        <v>8355966</v>
      </c>
    </row>
    <row r="384" spans="1:6">
      <c r="A384" s="39">
        <v>42696</v>
      </c>
      <c r="B384">
        <v>69.73</v>
      </c>
      <c r="C384">
        <v>70.42</v>
      </c>
      <c r="D384">
        <v>69.73</v>
      </c>
      <c r="E384">
        <v>70.12</v>
      </c>
      <c r="F384">
        <v>10984049</v>
      </c>
    </row>
    <row r="385" spans="1:6">
      <c r="A385" s="39">
        <v>42697</v>
      </c>
      <c r="B385">
        <v>70.22</v>
      </c>
      <c r="C385">
        <v>70.88</v>
      </c>
      <c r="D385">
        <v>70.180000000000007</v>
      </c>
      <c r="E385">
        <v>70.83</v>
      </c>
      <c r="F385">
        <v>7442950</v>
      </c>
    </row>
    <row r="386" spans="1:6">
      <c r="A386" s="39">
        <v>42699</v>
      </c>
      <c r="B386">
        <v>71.11</v>
      </c>
      <c r="C386">
        <v>71.650000000000006</v>
      </c>
      <c r="D386">
        <v>70.98</v>
      </c>
      <c r="E386">
        <v>71.23</v>
      </c>
      <c r="F386">
        <v>4234383</v>
      </c>
    </row>
    <row r="387" spans="1:6">
      <c r="A387" s="39">
        <v>42702</v>
      </c>
      <c r="B387">
        <v>70.930000000000007</v>
      </c>
      <c r="C387">
        <v>71.52</v>
      </c>
      <c r="D387">
        <v>70.8</v>
      </c>
      <c r="E387">
        <v>71.19</v>
      </c>
      <c r="F387">
        <v>7099193</v>
      </c>
    </row>
    <row r="388" spans="1:6">
      <c r="A388" s="39">
        <v>42703</v>
      </c>
      <c r="B388">
        <v>71.38</v>
      </c>
      <c r="C388">
        <v>71.790000000000006</v>
      </c>
      <c r="D388">
        <v>71.2</v>
      </c>
      <c r="E388">
        <v>71.37</v>
      </c>
      <c r="F388">
        <v>7310092</v>
      </c>
    </row>
    <row r="389" spans="1:6">
      <c r="A389" s="39">
        <v>42704</v>
      </c>
      <c r="B389">
        <v>70.92</v>
      </c>
      <c r="C389">
        <v>71.16</v>
      </c>
      <c r="D389">
        <v>70.16</v>
      </c>
      <c r="E389">
        <v>70.430000000000007</v>
      </c>
      <c r="F389">
        <v>9326127</v>
      </c>
    </row>
    <row r="390" spans="1:6">
      <c r="A390" s="39">
        <v>42705</v>
      </c>
      <c r="B390">
        <v>70.25</v>
      </c>
      <c r="C390">
        <v>70.73</v>
      </c>
      <c r="D390">
        <v>70.05</v>
      </c>
      <c r="E390">
        <v>70.67</v>
      </c>
      <c r="F390">
        <v>6849803</v>
      </c>
    </row>
    <row r="391" spans="1:6">
      <c r="A391" s="39">
        <v>42706</v>
      </c>
      <c r="B391">
        <v>70.58</v>
      </c>
      <c r="C391">
        <v>70.95</v>
      </c>
      <c r="D391">
        <v>70.45</v>
      </c>
      <c r="E391">
        <v>70.88</v>
      </c>
      <c r="F391">
        <v>6674206</v>
      </c>
    </row>
    <row r="392" spans="1:6">
      <c r="A392" s="39">
        <v>42709</v>
      </c>
      <c r="B392">
        <v>70.900000000000006</v>
      </c>
      <c r="C392">
        <v>70.989999999999995</v>
      </c>
      <c r="D392">
        <v>69.81</v>
      </c>
      <c r="E392">
        <v>69.94</v>
      </c>
      <c r="F392">
        <v>10527877</v>
      </c>
    </row>
    <row r="393" spans="1:6">
      <c r="A393" s="39">
        <v>42710</v>
      </c>
      <c r="B393">
        <v>70.010000000000005</v>
      </c>
      <c r="C393">
        <v>70.39</v>
      </c>
      <c r="D393">
        <v>69.5</v>
      </c>
      <c r="E393">
        <v>70.36</v>
      </c>
      <c r="F393">
        <v>7778009</v>
      </c>
    </row>
    <row r="394" spans="1:6">
      <c r="A394" s="39">
        <v>42711</v>
      </c>
      <c r="B394">
        <v>69.930000000000007</v>
      </c>
      <c r="C394">
        <v>70.650000000000006</v>
      </c>
      <c r="D394">
        <v>69.900000000000006</v>
      </c>
      <c r="E394">
        <v>70.599999999999994</v>
      </c>
      <c r="F394">
        <v>6966249</v>
      </c>
    </row>
    <row r="395" spans="1:6">
      <c r="A395" s="39">
        <v>42712</v>
      </c>
      <c r="B395">
        <v>70.48</v>
      </c>
      <c r="C395">
        <v>70.900000000000006</v>
      </c>
      <c r="D395">
        <v>70.319999999999993</v>
      </c>
      <c r="E395">
        <v>70.34</v>
      </c>
      <c r="F395">
        <v>6844217</v>
      </c>
    </row>
    <row r="396" spans="1:6">
      <c r="A396" s="39">
        <v>42713</v>
      </c>
      <c r="B396">
        <v>70.27</v>
      </c>
      <c r="C396">
        <v>70.430000000000007</v>
      </c>
      <c r="D396">
        <v>69.739999999999995</v>
      </c>
      <c r="E396">
        <v>70.08</v>
      </c>
      <c r="F396">
        <v>10756653</v>
      </c>
    </row>
    <row r="397" spans="1:6">
      <c r="A397" s="39">
        <v>42716</v>
      </c>
      <c r="B397">
        <v>70.069999999999993</v>
      </c>
      <c r="C397">
        <v>71.78</v>
      </c>
      <c r="D397">
        <v>70.02</v>
      </c>
      <c r="E397">
        <v>71.67</v>
      </c>
      <c r="F397">
        <v>9084076</v>
      </c>
    </row>
    <row r="398" spans="1:6">
      <c r="A398" s="39">
        <v>42717</v>
      </c>
      <c r="B398">
        <v>71.67</v>
      </c>
      <c r="C398">
        <v>72.23</v>
      </c>
      <c r="D398">
        <v>71.61</v>
      </c>
      <c r="E398">
        <v>71.8</v>
      </c>
      <c r="F398">
        <v>8887510</v>
      </c>
    </row>
    <row r="399" spans="1:6">
      <c r="A399" s="39">
        <v>42718</v>
      </c>
      <c r="B399">
        <v>71.900000000000006</v>
      </c>
      <c r="C399">
        <v>72.48</v>
      </c>
      <c r="D399">
        <v>71.180000000000007</v>
      </c>
      <c r="E399">
        <v>71.34</v>
      </c>
      <c r="F399">
        <v>8669378</v>
      </c>
    </row>
    <row r="400" spans="1:6">
      <c r="A400" s="39">
        <v>42719</v>
      </c>
      <c r="B400">
        <v>71.22</v>
      </c>
      <c r="C400">
        <v>71.8</v>
      </c>
      <c r="D400">
        <v>71.03</v>
      </c>
      <c r="E400">
        <v>71.08</v>
      </c>
      <c r="F400">
        <v>7136295</v>
      </c>
    </row>
    <row r="401" spans="1:6">
      <c r="A401" s="39">
        <v>42720</v>
      </c>
      <c r="B401">
        <v>71.069999999999993</v>
      </c>
      <c r="C401">
        <v>71.64</v>
      </c>
      <c r="D401">
        <v>70.599999999999994</v>
      </c>
      <c r="E401">
        <v>70.98</v>
      </c>
      <c r="F401">
        <v>17844831</v>
      </c>
    </row>
    <row r="402" spans="1:6">
      <c r="A402" s="39">
        <v>42723</v>
      </c>
      <c r="B402">
        <v>70.84</v>
      </c>
      <c r="C402">
        <v>71.75</v>
      </c>
      <c r="D402">
        <v>70.84</v>
      </c>
      <c r="E402">
        <v>71.58</v>
      </c>
      <c r="F402">
        <v>5889328</v>
      </c>
    </row>
    <row r="403" spans="1:6">
      <c r="A403" s="39">
        <v>42724</v>
      </c>
      <c r="B403">
        <v>71.73</v>
      </c>
      <c r="C403">
        <v>71.930000000000007</v>
      </c>
      <c r="D403">
        <v>71.510000000000005</v>
      </c>
      <c r="E403">
        <v>71.819999999999993</v>
      </c>
      <c r="F403">
        <v>6108070</v>
      </c>
    </row>
    <row r="404" spans="1:6">
      <c r="A404" s="39">
        <v>42725</v>
      </c>
      <c r="B404">
        <v>71.66</v>
      </c>
      <c r="C404">
        <v>72</v>
      </c>
      <c r="D404">
        <v>71.239999999999995</v>
      </c>
      <c r="E404">
        <v>71.239999999999995</v>
      </c>
      <c r="F404">
        <v>5100967</v>
      </c>
    </row>
    <row r="405" spans="1:6">
      <c r="A405" s="39">
        <v>42726</v>
      </c>
      <c r="B405">
        <v>71.239999999999995</v>
      </c>
      <c r="C405">
        <v>71.239999999999995</v>
      </c>
      <c r="D405">
        <v>69.209999999999994</v>
      </c>
      <c r="E405">
        <v>69.59</v>
      </c>
      <c r="F405">
        <v>12106782</v>
      </c>
    </row>
    <row r="406" spans="1:6">
      <c r="A406" s="39">
        <v>42727</v>
      </c>
      <c r="B406">
        <v>69.430000000000007</v>
      </c>
      <c r="C406">
        <v>69.75</v>
      </c>
      <c r="D406">
        <v>69.36</v>
      </c>
      <c r="E406">
        <v>69.540000000000006</v>
      </c>
      <c r="F406">
        <v>4803947</v>
      </c>
    </row>
    <row r="407" spans="1:6">
      <c r="A407" s="39">
        <v>42731</v>
      </c>
      <c r="B407">
        <v>69.3</v>
      </c>
      <c r="C407">
        <v>69.819999999999993</v>
      </c>
      <c r="D407">
        <v>69.25</v>
      </c>
      <c r="E407">
        <v>69.7</v>
      </c>
      <c r="F407">
        <v>4435668</v>
      </c>
    </row>
    <row r="408" spans="1:6">
      <c r="A408" s="39">
        <v>42732</v>
      </c>
      <c r="B408">
        <v>69.94</v>
      </c>
      <c r="C408">
        <v>70</v>
      </c>
      <c r="D408">
        <v>69.260000000000005</v>
      </c>
      <c r="E408">
        <v>69.31</v>
      </c>
      <c r="F408">
        <v>4875651</v>
      </c>
    </row>
    <row r="409" spans="1:6">
      <c r="A409" s="39">
        <v>42733</v>
      </c>
      <c r="B409">
        <v>69.209999999999994</v>
      </c>
      <c r="C409">
        <v>69.52</v>
      </c>
      <c r="D409">
        <v>69.12</v>
      </c>
      <c r="E409">
        <v>69.260000000000005</v>
      </c>
      <c r="F409">
        <v>4298446</v>
      </c>
    </row>
    <row r="410" spans="1:6">
      <c r="A410" s="39">
        <v>42734</v>
      </c>
      <c r="B410">
        <v>69.12</v>
      </c>
      <c r="C410">
        <v>69.430000000000007</v>
      </c>
      <c r="D410">
        <v>68.83</v>
      </c>
      <c r="E410">
        <v>69.12</v>
      </c>
      <c r="F410">
        <v>6889488</v>
      </c>
    </row>
    <row r="411" spans="1:6">
      <c r="A411" s="39">
        <v>42738</v>
      </c>
      <c r="B411">
        <v>69.239999999999995</v>
      </c>
      <c r="C411">
        <v>69.239999999999995</v>
      </c>
      <c r="D411">
        <v>68.05</v>
      </c>
      <c r="E411">
        <v>68.66</v>
      </c>
      <c r="F411">
        <v>10473162</v>
      </c>
    </row>
    <row r="412" spans="1:6">
      <c r="A412" s="39">
        <v>42739</v>
      </c>
      <c r="B412">
        <v>68.66</v>
      </c>
      <c r="C412">
        <v>69.63</v>
      </c>
      <c r="D412">
        <v>68.599999999999994</v>
      </c>
      <c r="E412">
        <v>69.06</v>
      </c>
      <c r="F412">
        <v>7917952</v>
      </c>
    </row>
    <row r="413" spans="1:6">
      <c r="A413" s="39">
        <v>42740</v>
      </c>
      <c r="B413">
        <v>68.430000000000007</v>
      </c>
      <c r="C413">
        <v>69.33</v>
      </c>
      <c r="D413">
        <v>68.12</v>
      </c>
      <c r="E413">
        <v>69.209999999999994</v>
      </c>
      <c r="F413">
        <v>7099170</v>
      </c>
    </row>
    <row r="414" spans="1:6">
      <c r="A414" s="39">
        <v>42741</v>
      </c>
      <c r="B414">
        <v>68.41</v>
      </c>
      <c r="C414">
        <v>68.5</v>
      </c>
      <c r="D414">
        <v>68.010000000000005</v>
      </c>
      <c r="E414">
        <v>68.260000000000005</v>
      </c>
      <c r="F414">
        <v>9491115</v>
      </c>
    </row>
    <row r="415" spans="1:6">
      <c r="A415" s="39">
        <v>42744</v>
      </c>
      <c r="B415">
        <v>68.33</v>
      </c>
      <c r="C415">
        <v>68.8</v>
      </c>
      <c r="D415">
        <v>68.319999999999993</v>
      </c>
      <c r="E415">
        <v>68.709999999999994</v>
      </c>
      <c r="F415">
        <v>8685232</v>
      </c>
    </row>
    <row r="416" spans="1:6">
      <c r="A416" s="39">
        <v>42745</v>
      </c>
      <c r="B416">
        <v>68.64</v>
      </c>
      <c r="C416">
        <v>69.27</v>
      </c>
      <c r="D416">
        <v>68.22</v>
      </c>
      <c r="E416">
        <v>68.23</v>
      </c>
      <c r="F416">
        <v>10256492</v>
      </c>
    </row>
    <row r="417" spans="1:6">
      <c r="A417" s="39">
        <v>42746</v>
      </c>
      <c r="B417">
        <v>68.2</v>
      </c>
      <c r="C417">
        <v>68.62</v>
      </c>
      <c r="D417">
        <v>68.19</v>
      </c>
      <c r="E417">
        <v>68.53</v>
      </c>
      <c r="F417">
        <v>6697593</v>
      </c>
    </row>
    <row r="418" spans="1:6">
      <c r="A418" s="39">
        <v>42747</v>
      </c>
      <c r="B418">
        <v>68.36</v>
      </c>
      <c r="C418">
        <v>68.56</v>
      </c>
      <c r="D418">
        <v>67.92</v>
      </c>
      <c r="E418">
        <v>67.97</v>
      </c>
      <c r="F418">
        <v>6544856</v>
      </c>
    </row>
    <row r="419" spans="1:6">
      <c r="A419" s="39">
        <v>42748</v>
      </c>
      <c r="B419">
        <v>67.98</v>
      </c>
      <c r="C419">
        <v>68.02</v>
      </c>
      <c r="D419">
        <v>67.08</v>
      </c>
      <c r="E419">
        <v>67.13</v>
      </c>
      <c r="F419">
        <v>10012519</v>
      </c>
    </row>
    <row r="420" spans="1:6">
      <c r="A420" s="39">
        <v>42752</v>
      </c>
      <c r="B420">
        <v>68.09</v>
      </c>
      <c r="C420">
        <v>69.290000000000006</v>
      </c>
      <c r="D420">
        <v>68.06</v>
      </c>
      <c r="E420">
        <v>68.42</v>
      </c>
      <c r="F420">
        <v>13167509</v>
      </c>
    </row>
    <row r="421" spans="1:6">
      <c r="A421" s="39">
        <v>42753</v>
      </c>
      <c r="B421">
        <v>67.88</v>
      </c>
      <c r="C421">
        <v>68.11</v>
      </c>
      <c r="D421">
        <v>67.540000000000006</v>
      </c>
      <c r="E421">
        <v>68.11</v>
      </c>
      <c r="F421">
        <v>7321456</v>
      </c>
    </row>
    <row r="422" spans="1:6">
      <c r="A422" s="39">
        <v>42754</v>
      </c>
      <c r="B422">
        <v>68.13</v>
      </c>
      <c r="C422">
        <v>68.19</v>
      </c>
      <c r="D422">
        <v>67.48</v>
      </c>
      <c r="E422">
        <v>67.62</v>
      </c>
      <c r="F422">
        <v>6821078</v>
      </c>
    </row>
    <row r="423" spans="1:6">
      <c r="A423" s="39">
        <v>42755</v>
      </c>
      <c r="B423">
        <v>67.739999999999995</v>
      </c>
      <c r="C423">
        <v>67.83</v>
      </c>
      <c r="D423">
        <v>67.02</v>
      </c>
      <c r="E423">
        <v>67.180000000000007</v>
      </c>
      <c r="F423">
        <v>12054682</v>
      </c>
    </row>
    <row r="424" spans="1:6">
      <c r="A424" s="39">
        <v>42758</v>
      </c>
      <c r="B424">
        <v>67.010000000000005</v>
      </c>
      <c r="C424">
        <v>67.180000000000007</v>
      </c>
      <c r="D424">
        <v>66.56</v>
      </c>
      <c r="E424">
        <v>66.650000000000006</v>
      </c>
      <c r="F424">
        <v>7951427</v>
      </c>
    </row>
    <row r="425" spans="1:6">
      <c r="A425" s="39">
        <v>42759</v>
      </c>
      <c r="B425">
        <v>66.89</v>
      </c>
      <c r="C425">
        <v>67.41</v>
      </c>
      <c r="D425">
        <v>66.66</v>
      </c>
      <c r="E425">
        <v>67.400000000000006</v>
      </c>
      <c r="F425">
        <v>10710616</v>
      </c>
    </row>
    <row r="426" spans="1:6">
      <c r="A426" s="39">
        <v>42760</v>
      </c>
      <c r="B426">
        <v>67.52</v>
      </c>
      <c r="C426">
        <v>67.73</v>
      </c>
      <c r="D426">
        <v>66.790000000000006</v>
      </c>
      <c r="E426">
        <v>66.89</v>
      </c>
      <c r="F426">
        <v>8722855</v>
      </c>
    </row>
    <row r="427" spans="1:6">
      <c r="A427" s="39">
        <v>42761</v>
      </c>
      <c r="B427">
        <v>67.13</v>
      </c>
      <c r="C427">
        <v>67.22</v>
      </c>
      <c r="D427">
        <v>66.62</v>
      </c>
      <c r="E427">
        <v>66.73</v>
      </c>
      <c r="F427">
        <v>6504073</v>
      </c>
    </row>
    <row r="428" spans="1:6">
      <c r="A428" s="39">
        <v>42762</v>
      </c>
      <c r="B428">
        <v>66.86</v>
      </c>
      <c r="C428">
        <v>66.97</v>
      </c>
      <c r="D428">
        <v>65.28</v>
      </c>
      <c r="E428">
        <v>65.66</v>
      </c>
      <c r="F428">
        <v>13433629</v>
      </c>
    </row>
    <row r="429" spans="1:6">
      <c r="A429" s="39">
        <v>42765</v>
      </c>
      <c r="B429">
        <v>65.63</v>
      </c>
      <c r="C429">
        <v>66.48</v>
      </c>
      <c r="D429">
        <v>65.63</v>
      </c>
      <c r="E429">
        <v>66.42</v>
      </c>
      <c r="F429">
        <v>8641511</v>
      </c>
    </row>
    <row r="430" spans="1:6">
      <c r="A430" s="39">
        <v>42766</v>
      </c>
      <c r="B430">
        <v>66.209999999999994</v>
      </c>
      <c r="C430">
        <v>66.89</v>
      </c>
      <c r="D430">
        <v>65.88</v>
      </c>
      <c r="E430">
        <v>66.739999999999995</v>
      </c>
      <c r="F430">
        <v>9320880</v>
      </c>
    </row>
    <row r="431" spans="1:6">
      <c r="A431" s="39">
        <v>42767</v>
      </c>
      <c r="B431">
        <v>66.459999999999994</v>
      </c>
      <c r="C431">
        <v>66.709999999999994</v>
      </c>
      <c r="D431">
        <v>66.040000000000006</v>
      </c>
      <c r="E431">
        <v>66.23</v>
      </c>
      <c r="F431">
        <v>9049972</v>
      </c>
    </row>
    <row r="432" spans="1:6">
      <c r="A432" s="39">
        <v>42768</v>
      </c>
      <c r="B432">
        <v>66.34</v>
      </c>
      <c r="C432">
        <v>67.14</v>
      </c>
      <c r="D432">
        <v>66.34</v>
      </c>
      <c r="E432">
        <v>66.7</v>
      </c>
      <c r="F432">
        <v>8998739</v>
      </c>
    </row>
    <row r="433" spans="1:6">
      <c r="A433" s="39">
        <v>42769</v>
      </c>
      <c r="B433">
        <v>66.819999999999993</v>
      </c>
      <c r="C433">
        <v>66.930000000000007</v>
      </c>
      <c r="D433">
        <v>66.44</v>
      </c>
      <c r="E433">
        <v>66.5</v>
      </c>
      <c r="F433">
        <v>7625330</v>
      </c>
    </row>
    <row r="434" spans="1:6">
      <c r="A434" s="39">
        <v>42772</v>
      </c>
      <c r="B434">
        <v>66.37</v>
      </c>
      <c r="C434">
        <v>66.86</v>
      </c>
      <c r="D434">
        <v>66.37</v>
      </c>
      <c r="E434">
        <v>66.400000000000006</v>
      </c>
      <c r="F434">
        <v>9097238</v>
      </c>
    </row>
    <row r="435" spans="1:6">
      <c r="A435" s="39">
        <v>42773</v>
      </c>
      <c r="B435">
        <v>66.56</v>
      </c>
      <c r="C435">
        <v>67</v>
      </c>
      <c r="D435">
        <v>66.510000000000005</v>
      </c>
      <c r="E435">
        <v>66.89</v>
      </c>
      <c r="F435">
        <v>5805722</v>
      </c>
    </row>
    <row r="436" spans="1:6">
      <c r="A436" s="39">
        <v>42774</v>
      </c>
      <c r="B436">
        <v>66.89</v>
      </c>
      <c r="C436">
        <v>67.819999999999993</v>
      </c>
      <c r="D436">
        <v>66.89</v>
      </c>
      <c r="E436">
        <v>67.81</v>
      </c>
      <c r="F436">
        <v>7660755</v>
      </c>
    </row>
    <row r="437" spans="1:6">
      <c r="A437" s="39">
        <v>42775</v>
      </c>
      <c r="B437">
        <v>67.8</v>
      </c>
      <c r="C437">
        <v>69.14</v>
      </c>
      <c r="D437">
        <v>67.75</v>
      </c>
      <c r="E437">
        <v>69.08</v>
      </c>
      <c r="F437">
        <v>11080479</v>
      </c>
    </row>
    <row r="438" spans="1:6">
      <c r="A438" s="39">
        <v>42776</v>
      </c>
      <c r="B438">
        <v>68.25</v>
      </c>
      <c r="C438">
        <v>68.599999999999994</v>
      </c>
      <c r="D438">
        <v>67.760000000000005</v>
      </c>
      <c r="E438">
        <v>68.02</v>
      </c>
      <c r="F438">
        <v>12445633</v>
      </c>
    </row>
    <row r="439" spans="1:6">
      <c r="A439" s="39">
        <v>42779</v>
      </c>
      <c r="B439">
        <v>68.319999999999993</v>
      </c>
      <c r="C439">
        <v>68.650000000000006</v>
      </c>
      <c r="D439">
        <v>67.56</v>
      </c>
      <c r="E439">
        <v>67.77</v>
      </c>
      <c r="F439">
        <v>8374307</v>
      </c>
    </row>
    <row r="440" spans="1:6">
      <c r="A440" s="39">
        <v>42780</v>
      </c>
      <c r="B440">
        <v>67.88</v>
      </c>
      <c r="C440">
        <v>68.680000000000007</v>
      </c>
      <c r="D440">
        <v>67.709999999999994</v>
      </c>
      <c r="E440">
        <v>68.66</v>
      </c>
      <c r="F440">
        <v>8462328</v>
      </c>
    </row>
    <row r="441" spans="1:6">
      <c r="A441" s="39">
        <v>42781</v>
      </c>
      <c r="B441">
        <v>67.8</v>
      </c>
      <c r="C441">
        <v>68.709999999999994</v>
      </c>
      <c r="D441">
        <v>67.760000000000005</v>
      </c>
      <c r="E441">
        <v>68.69</v>
      </c>
      <c r="F441">
        <v>8563295</v>
      </c>
    </row>
    <row r="442" spans="1:6">
      <c r="A442" s="39">
        <v>42782</v>
      </c>
      <c r="B442">
        <v>68.67</v>
      </c>
      <c r="C442">
        <v>69.239999999999995</v>
      </c>
      <c r="D442">
        <v>68.61</v>
      </c>
      <c r="E442">
        <v>68.87</v>
      </c>
      <c r="F442">
        <v>8413787</v>
      </c>
    </row>
    <row r="443" spans="1:6">
      <c r="A443" s="39">
        <v>42783</v>
      </c>
      <c r="B443">
        <v>68.83</v>
      </c>
      <c r="C443">
        <v>69.78</v>
      </c>
      <c r="D443">
        <v>68.7</v>
      </c>
      <c r="E443">
        <v>69.37</v>
      </c>
      <c r="F443">
        <v>12837447</v>
      </c>
    </row>
    <row r="444" spans="1:6">
      <c r="A444" s="39">
        <v>42787</v>
      </c>
      <c r="B444">
        <v>71.209999999999994</v>
      </c>
      <c r="C444">
        <v>72.28</v>
      </c>
      <c r="D444">
        <v>70.7</v>
      </c>
      <c r="E444">
        <v>71.45</v>
      </c>
      <c r="F444">
        <v>22412893</v>
      </c>
    </row>
    <row r="445" spans="1:6">
      <c r="A445" s="39">
        <v>42788</v>
      </c>
      <c r="B445">
        <v>72.25</v>
      </c>
      <c r="C445">
        <v>72.37</v>
      </c>
      <c r="D445">
        <v>71.48</v>
      </c>
      <c r="E445">
        <v>71.709999999999994</v>
      </c>
      <c r="F445">
        <v>15242674</v>
      </c>
    </row>
    <row r="446" spans="1:6">
      <c r="A446" s="39">
        <v>42789</v>
      </c>
      <c r="B446">
        <v>72</v>
      </c>
      <c r="C446">
        <v>72.5</v>
      </c>
      <c r="D446">
        <v>71.16</v>
      </c>
      <c r="E446">
        <v>71.31</v>
      </c>
      <c r="F446">
        <v>12799700</v>
      </c>
    </row>
    <row r="447" spans="1:6">
      <c r="A447" s="39">
        <v>42790</v>
      </c>
      <c r="B447">
        <v>71.34</v>
      </c>
      <c r="C447">
        <v>72.8</v>
      </c>
      <c r="D447">
        <v>71.3</v>
      </c>
      <c r="E447">
        <v>72.39</v>
      </c>
      <c r="F447">
        <v>13889852</v>
      </c>
    </row>
    <row r="448" spans="1:6">
      <c r="A448" s="39">
        <v>42793</v>
      </c>
      <c r="B448">
        <v>72.28</v>
      </c>
      <c r="C448">
        <v>72.42</v>
      </c>
      <c r="D448">
        <v>71.52</v>
      </c>
      <c r="E448">
        <v>71.739999999999995</v>
      </c>
      <c r="F448">
        <v>9254685</v>
      </c>
    </row>
    <row r="449" spans="1:6">
      <c r="A449" s="39">
        <v>42794</v>
      </c>
      <c r="B449">
        <v>70.87</v>
      </c>
      <c r="C449">
        <v>71</v>
      </c>
      <c r="D449">
        <v>70</v>
      </c>
      <c r="E449">
        <v>70.930000000000007</v>
      </c>
      <c r="F449">
        <v>15952573</v>
      </c>
    </row>
    <row r="450" spans="1:6">
      <c r="A450" s="39">
        <v>42795</v>
      </c>
      <c r="B450">
        <v>70.97</v>
      </c>
      <c r="C450">
        <v>71.08</v>
      </c>
      <c r="D450">
        <v>70.150000000000006</v>
      </c>
      <c r="E450">
        <v>70.45</v>
      </c>
      <c r="F450">
        <v>13522717</v>
      </c>
    </row>
    <row r="451" spans="1:6">
      <c r="A451" s="39">
        <v>42796</v>
      </c>
      <c r="B451">
        <v>70.42</v>
      </c>
      <c r="C451">
        <v>70.900000000000006</v>
      </c>
      <c r="D451">
        <v>70.17</v>
      </c>
      <c r="E451">
        <v>70.760000000000005</v>
      </c>
      <c r="F451">
        <v>8916264</v>
      </c>
    </row>
    <row r="452" spans="1:6">
      <c r="A452" s="39">
        <v>42797</v>
      </c>
      <c r="B452">
        <v>70.81</v>
      </c>
      <c r="C452">
        <v>71.02</v>
      </c>
      <c r="D452">
        <v>69.88</v>
      </c>
      <c r="E452">
        <v>70.03</v>
      </c>
      <c r="F452">
        <v>9303591</v>
      </c>
    </row>
    <row r="453" spans="1:6">
      <c r="A453" s="39">
        <v>42800</v>
      </c>
      <c r="B453">
        <v>70</v>
      </c>
      <c r="C453">
        <v>70.44</v>
      </c>
      <c r="D453">
        <v>69.78</v>
      </c>
      <c r="E453">
        <v>69.88</v>
      </c>
      <c r="F453">
        <v>9182575</v>
      </c>
    </row>
    <row r="454" spans="1:6">
      <c r="A454" s="39">
        <v>42801</v>
      </c>
      <c r="B454">
        <v>69.900000000000006</v>
      </c>
      <c r="C454">
        <v>70.209999999999994</v>
      </c>
      <c r="D454">
        <v>69.86</v>
      </c>
      <c r="E454">
        <v>69.87</v>
      </c>
      <c r="F454">
        <v>7282861</v>
      </c>
    </row>
    <row r="455" spans="1:6">
      <c r="A455" s="39">
        <v>42802</v>
      </c>
      <c r="B455">
        <v>69.69</v>
      </c>
      <c r="C455">
        <v>70.03</v>
      </c>
      <c r="D455">
        <v>69.540000000000006</v>
      </c>
      <c r="E455">
        <v>69.8</v>
      </c>
      <c r="F455">
        <v>7979841</v>
      </c>
    </row>
    <row r="456" spans="1:6">
      <c r="A456" s="39">
        <v>42803</v>
      </c>
      <c r="B456">
        <v>69.75</v>
      </c>
      <c r="C456">
        <v>70.040000000000006</v>
      </c>
      <c r="D456">
        <v>69.56</v>
      </c>
      <c r="E456">
        <v>69.86</v>
      </c>
      <c r="F456">
        <v>7564480</v>
      </c>
    </row>
    <row r="457" spans="1:6">
      <c r="A457" s="39">
        <v>42804</v>
      </c>
      <c r="B457">
        <v>70</v>
      </c>
      <c r="C457">
        <v>70.36</v>
      </c>
      <c r="D457">
        <v>69.8</v>
      </c>
      <c r="E457">
        <v>70.099999999999994</v>
      </c>
      <c r="F457">
        <v>7098829</v>
      </c>
    </row>
    <row r="458" spans="1:6">
      <c r="A458" s="39">
        <v>42807</v>
      </c>
      <c r="B458">
        <v>69.989999999999995</v>
      </c>
      <c r="C458">
        <v>70.45</v>
      </c>
      <c r="D458">
        <v>69.709999999999994</v>
      </c>
      <c r="E458">
        <v>69.95</v>
      </c>
      <c r="F458">
        <v>6802511</v>
      </c>
    </row>
    <row r="459" spans="1:6">
      <c r="A459" s="39">
        <v>42808</v>
      </c>
      <c r="B459">
        <v>70.819999999999993</v>
      </c>
      <c r="C459">
        <v>71.2</v>
      </c>
      <c r="D459">
        <v>70.72</v>
      </c>
      <c r="E459">
        <v>70.72</v>
      </c>
      <c r="F459">
        <v>9958370</v>
      </c>
    </row>
    <row r="460" spans="1:6">
      <c r="A460" s="39">
        <v>42809</v>
      </c>
      <c r="B460">
        <v>70.5</v>
      </c>
      <c r="C460">
        <v>70.7</v>
      </c>
      <c r="D460">
        <v>70.02</v>
      </c>
      <c r="E460">
        <v>70.58</v>
      </c>
      <c r="F460">
        <v>8813794</v>
      </c>
    </row>
    <row r="461" spans="1:6">
      <c r="A461" s="39">
        <v>42810</v>
      </c>
      <c r="B461">
        <v>70.11</v>
      </c>
      <c r="C461">
        <v>70.7</v>
      </c>
      <c r="D461">
        <v>70.069999999999993</v>
      </c>
      <c r="E461">
        <v>70.44</v>
      </c>
      <c r="F461">
        <v>7060977</v>
      </c>
    </row>
    <row r="462" spans="1:6">
      <c r="A462" s="39">
        <v>42811</v>
      </c>
      <c r="B462">
        <v>70.58</v>
      </c>
      <c r="C462">
        <v>70.75</v>
      </c>
      <c r="D462">
        <v>69.81</v>
      </c>
      <c r="E462">
        <v>69.89</v>
      </c>
      <c r="F462">
        <v>14078353</v>
      </c>
    </row>
    <row r="463" spans="1:6">
      <c r="A463" s="39">
        <v>42814</v>
      </c>
      <c r="B463">
        <v>70.14</v>
      </c>
      <c r="C463">
        <v>70.45</v>
      </c>
      <c r="D463">
        <v>69.709999999999994</v>
      </c>
      <c r="E463">
        <v>69.98</v>
      </c>
      <c r="F463">
        <v>7466226</v>
      </c>
    </row>
    <row r="464" spans="1:6">
      <c r="A464" s="39">
        <v>42815</v>
      </c>
      <c r="B464">
        <v>70.17</v>
      </c>
      <c r="C464">
        <v>70.400000000000006</v>
      </c>
      <c r="D464">
        <v>69.69</v>
      </c>
      <c r="E464">
        <v>69.900000000000006</v>
      </c>
      <c r="F464">
        <v>8746812</v>
      </c>
    </row>
    <row r="465" spans="1:6">
      <c r="A465" s="39">
        <v>42816</v>
      </c>
      <c r="B465">
        <v>70.03</v>
      </c>
      <c r="C465">
        <v>70.34</v>
      </c>
      <c r="D465">
        <v>69.72</v>
      </c>
      <c r="E465">
        <v>70.25</v>
      </c>
      <c r="F465">
        <v>6455594</v>
      </c>
    </row>
    <row r="466" spans="1:6">
      <c r="A466" s="39">
        <v>42817</v>
      </c>
      <c r="B466">
        <v>70.2</v>
      </c>
      <c r="C466">
        <v>70.31</v>
      </c>
      <c r="D466">
        <v>69.739999999999995</v>
      </c>
      <c r="E466">
        <v>69.86</v>
      </c>
      <c r="F466">
        <v>6898774</v>
      </c>
    </row>
    <row r="467" spans="1:6">
      <c r="A467" s="39">
        <v>42818</v>
      </c>
      <c r="B467">
        <v>69.989999999999995</v>
      </c>
      <c r="C467">
        <v>70.17</v>
      </c>
      <c r="D467">
        <v>69.53</v>
      </c>
      <c r="E467">
        <v>69.61</v>
      </c>
      <c r="F467">
        <v>5858968</v>
      </c>
    </row>
    <row r="468" spans="1:6">
      <c r="A468" s="39">
        <v>42821</v>
      </c>
      <c r="B468">
        <v>69.52</v>
      </c>
      <c r="C468">
        <v>70.069999999999993</v>
      </c>
      <c r="D468">
        <v>69.36</v>
      </c>
      <c r="E468">
        <v>69.66</v>
      </c>
      <c r="F468">
        <v>5792586</v>
      </c>
    </row>
    <row r="469" spans="1:6">
      <c r="A469" s="39">
        <v>42822</v>
      </c>
      <c r="B469">
        <v>69.33</v>
      </c>
      <c r="C469">
        <v>70.37</v>
      </c>
      <c r="D469">
        <v>69.33</v>
      </c>
      <c r="E469">
        <v>70.319999999999993</v>
      </c>
      <c r="F469">
        <v>7252189</v>
      </c>
    </row>
    <row r="470" spans="1:6">
      <c r="A470" s="39">
        <v>42823</v>
      </c>
      <c r="B470">
        <v>70.349999999999994</v>
      </c>
      <c r="C470">
        <v>71.180000000000007</v>
      </c>
      <c r="D470">
        <v>70.31</v>
      </c>
      <c r="E470">
        <v>70.739999999999995</v>
      </c>
      <c r="F470">
        <v>6991046</v>
      </c>
    </row>
    <row r="471" spans="1:6">
      <c r="A471" s="39">
        <v>42824</v>
      </c>
      <c r="B471">
        <v>70.69</v>
      </c>
      <c r="C471">
        <v>71.72</v>
      </c>
      <c r="D471">
        <v>70.64</v>
      </c>
      <c r="E471">
        <v>71.59</v>
      </c>
      <c r="F471">
        <v>8141535</v>
      </c>
    </row>
    <row r="472" spans="1:6">
      <c r="A472" s="39">
        <v>42825</v>
      </c>
      <c r="B472">
        <v>71.319999999999993</v>
      </c>
      <c r="C472">
        <v>72.56</v>
      </c>
      <c r="D472">
        <v>71.23</v>
      </c>
      <c r="E472">
        <v>72.08</v>
      </c>
      <c r="F472">
        <v>9939780</v>
      </c>
    </row>
    <row r="473" spans="1:6">
      <c r="A473" s="39">
        <v>42828</v>
      </c>
      <c r="B473">
        <v>72.08</v>
      </c>
      <c r="C473">
        <v>72.53</v>
      </c>
      <c r="D473">
        <v>71.78</v>
      </c>
      <c r="E473">
        <v>71.83</v>
      </c>
      <c r="F473">
        <v>8291283</v>
      </c>
    </row>
    <row r="474" spans="1:6">
      <c r="A474" s="39">
        <v>42829</v>
      </c>
      <c r="B474">
        <v>71.739999999999995</v>
      </c>
      <c r="C474">
        <v>72.06</v>
      </c>
      <c r="D474">
        <v>71.53</v>
      </c>
      <c r="E474">
        <v>72.010000000000005</v>
      </c>
      <c r="F474">
        <v>5567317</v>
      </c>
    </row>
    <row r="475" spans="1:6">
      <c r="A475" s="39">
        <v>42830</v>
      </c>
      <c r="B475">
        <v>71.64</v>
      </c>
      <c r="C475">
        <v>72.31</v>
      </c>
      <c r="D475">
        <v>71.56</v>
      </c>
      <c r="E475">
        <v>71.650000000000006</v>
      </c>
      <c r="F475">
        <v>6354492</v>
      </c>
    </row>
    <row r="476" spans="1:6">
      <c r="A476" s="39">
        <v>42831</v>
      </c>
      <c r="B476">
        <v>71.7</v>
      </c>
      <c r="C476">
        <v>72.099999999999994</v>
      </c>
      <c r="D476">
        <v>71.38</v>
      </c>
      <c r="E476">
        <v>71.430000000000007</v>
      </c>
      <c r="F476">
        <v>5941103</v>
      </c>
    </row>
    <row r="477" spans="1:6">
      <c r="A477" s="39">
        <v>42832</v>
      </c>
      <c r="B477">
        <v>72.099999999999994</v>
      </c>
      <c r="C477">
        <v>72.989999999999995</v>
      </c>
      <c r="D477">
        <v>71.8</v>
      </c>
      <c r="E477">
        <v>72.900000000000006</v>
      </c>
      <c r="F477">
        <v>10768016</v>
      </c>
    </row>
    <row r="478" spans="1:6">
      <c r="A478" s="39">
        <v>42835</v>
      </c>
      <c r="B478">
        <v>72.989999999999995</v>
      </c>
      <c r="C478">
        <v>73.48</v>
      </c>
      <c r="D478">
        <v>72.73</v>
      </c>
      <c r="E478">
        <v>73.06</v>
      </c>
      <c r="F478">
        <v>7495948</v>
      </c>
    </row>
    <row r="479" spans="1:6">
      <c r="A479" s="39">
        <v>42836</v>
      </c>
      <c r="B479">
        <v>73</v>
      </c>
      <c r="C479">
        <v>73.45</v>
      </c>
      <c r="D479">
        <v>72.930000000000007</v>
      </c>
      <c r="E479">
        <v>73.430000000000007</v>
      </c>
      <c r="F479">
        <v>5810458</v>
      </c>
    </row>
    <row r="480" spans="1:6">
      <c r="A480" s="39">
        <v>42837</v>
      </c>
      <c r="B480">
        <v>73.55</v>
      </c>
      <c r="C480">
        <v>73.83</v>
      </c>
      <c r="D480">
        <v>73.25</v>
      </c>
      <c r="E480">
        <v>73.44</v>
      </c>
      <c r="F480">
        <v>6627297</v>
      </c>
    </row>
    <row r="481" spans="1:6">
      <c r="A481" s="39">
        <v>42838</v>
      </c>
      <c r="B481">
        <v>73.37</v>
      </c>
      <c r="C481">
        <v>73.66</v>
      </c>
      <c r="D481">
        <v>73.150000000000006</v>
      </c>
      <c r="E481">
        <v>73.150000000000006</v>
      </c>
      <c r="F481">
        <v>5336428</v>
      </c>
    </row>
    <row r="482" spans="1:6">
      <c r="A482" s="39">
        <v>42842</v>
      </c>
      <c r="B482">
        <v>73.16</v>
      </c>
      <c r="C482">
        <v>73.58</v>
      </c>
      <c r="D482">
        <v>73.150000000000006</v>
      </c>
      <c r="E482">
        <v>73.489999999999995</v>
      </c>
      <c r="F482">
        <v>5465408</v>
      </c>
    </row>
    <row r="483" spans="1:6">
      <c r="A483" s="39">
        <v>42843</v>
      </c>
      <c r="B483">
        <v>73.540000000000006</v>
      </c>
      <c r="C483">
        <v>74.099999999999994</v>
      </c>
      <c r="D483">
        <v>73.48</v>
      </c>
      <c r="E483">
        <v>73.89</v>
      </c>
      <c r="F483">
        <v>6627986</v>
      </c>
    </row>
    <row r="484" spans="1:6">
      <c r="A484" s="39">
        <v>42844</v>
      </c>
      <c r="B484">
        <v>74.099999999999994</v>
      </c>
      <c r="C484">
        <v>74.38</v>
      </c>
      <c r="D484">
        <v>73.86</v>
      </c>
      <c r="E484">
        <v>74.069999999999993</v>
      </c>
      <c r="F484">
        <v>5940609</v>
      </c>
    </row>
    <row r="485" spans="1:6">
      <c r="A485" s="39">
        <v>42845</v>
      </c>
      <c r="B485">
        <v>74.14</v>
      </c>
      <c r="C485">
        <v>75.11</v>
      </c>
      <c r="D485">
        <v>74.11</v>
      </c>
      <c r="E485">
        <v>74.8</v>
      </c>
      <c r="F485">
        <v>7681252</v>
      </c>
    </row>
    <row r="486" spans="1:6">
      <c r="A486" s="39">
        <v>42846</v>
      </c>
      <c r="B486">
        <v>74.739999999999995</v>
      </c>
      <c r="C486">
        <v>75.11</v>
      </c>
      <c r="D486">
        <v>74.599999999999994</v>
      </c>
      <c r="E486">
        <v>74.94</v>
      </c>
      <c r="F486">
        <v>5755691</v>
      </c>
    </row>
    <row r="487" spans="1:6">
      <c r="A487" s="39">
        <v>42849</v>
      </c>
      <c r="B487">
        <v>75.08</v>
      </c>
      <c r="C487">
        <v>75.400000000000006</v>
      </c>
      <c r="D487">
        <v>74.42</v>
      </c>
      <c r="E487">
        <v>74.78</v>
      </c>
      <c r="F487">
        <v>7812524</v>
      </c>
    </row>
    <row r="488" spans="1:6">
      <c r="A488" s="39">
        <v>42850</v>
      </c>
      <c r="B488">
        <v>74.97</v>
      </c>
      <c r="C488">
        <v>75.17</v>
      </c>
      <c r="D488">
        <v>74.86</v>
      </c>
      <c r="E488">
        <v>75.05</v>
      </c>
      <c r="F488">
        <v>5720364</v>
      </c>
    </row>
    <row r="489" spans="1:6">
      <c r="A489" s="39">
        <v>42851</v>
      </c>
      <c r="B489">
        <v>75.27</v>
      </c>
      <c r="C489">
        <v>75.77</v>
      </c>
      <c r="D489">
        <v>75.17</v>
      </c>
      <c r="E489">
        <v>75.430000000000007</v>
      </c>
      <c r="F489">
        <v>6948460</v>
      </c>
    </row>
    <row r="490" spans="1:6">
      <c r="A490" s="39">
        <v>42852</v>
      </c>
      <c r="B490">
        <v>75.540000000000006</v>
      </c>
      <c r="C490">
        <v>75.7</v>
      </c>
      <c r="D490">
        <v>75.02</v>
      </c>
      <c r="E490">
        <v>75.44</v>
      </c>
      <c r="F490">
        <v>6052219</v>
      </c>
    </row>
    <row r="491" spans="1:6">
      <c r="A491" s="39">
        <v>42853</v>
      </c>
      <c r="B491">
        <v>75.239999999999995</v>
      </c>
      <c r="C491">
        <v>75.44</v>
      </c>
      <c r="D491">
        <v>74.930000000000007</v>
      </c>
      <c r="E491">
        <v>75.180000000000007</v>
      </c>
      <c r="F491">
        <v>7330420</v>
      </c>
    </row>
    <row r="492" spans="1:6">
      <c r="A492" s="39">
        <v>42856</v>
      </c>
      <c r="B492">
        <v>75.09</v>
      </c>
      <c r="C492">
        <v>75.72</v>
      </c>
      <c r="D492">
        <v>75.09</v>
      </c>
      <c r="E492">
        <v>75.23</v>
      </c>
      <c r="F492">
        <v>6165912</v>
      </c>
    </row>
    <row r="493" spans="1:6">
      <c r="A493" s="39">
        <v>42857</v>
      </c>
      <c r="B493">
        <v>75.3</v>
      </c>
      <c r="C493">
        <v>75.709999999999994</v>
      </c>
      <c r="D493">
        <v>75.25</v>
      </c>
      <c r="E493">
        <v>75.52</v>
      </c>
      <c r="F493">
        <v>7318362</v>
      </c>
    </row>
    <row r="494" spans="1:6">
      <c r="A494" s="39">
        <v>42858</v>
      </c>
      <c r="B494">
        <v>75.400000000000006</v>
      </c>
      <c r="C494">
        <v>75.88</v>
      </c>
      <c r="D494">
        <v>75.180000000000007</v>
      </c>
      <c r="E494">
        <v>75.760000000000005</v>
      </c>
      <c r="F494">
        <v>5523624</v>
      </c>
    </row>
    <row r="495" spans="1:6">
      <c r="A495" s="39">
        <v>42859</v>
      </c>
      <c r="B495">
        <v>75.930000000000007</v>
      </c>
      <c r="C495">
        <v>76.400000000000006</v>
      </c>
      <c r="D495">
        <v>75.83</v>
      </c>
      <c r="E495">
        <v>76.34</v>
      </c>
      <c r="F495">
        <v>5500802</v>
      </c>
    </row>
    <row r="496" spans="1:6">
      <c r="A496" s="39">
        <v>42860</v>
      </c>
      <c r="B496">
        <v>76.42</v>
      </c>
      <c r="C496">
        <v>76.599999999999994</v>
      </c>
      <c r="D496">
        <v>76.180000000000007</v>
      </c>
      <c r="E496">
        <v>76.5</v>
      </c>
      <c r="F496">
        <v>5597759</v>
      </c>
    </row>
    <row r="497" spans="1:6">
      <c r="A497" s="39">
        <v>42863</v>
      </c>
      <c r="B497">
        <v>76.5</v>
      </c>
      <c r="C497">
        <v>76.52</v>
      </c>
      <c r="D497">
        <v>76.069999999999993</v>
      </c>
      <c r="E497">
        <v>76.12</v>
      </c>
      <c r="F497">
        <v>6512180</v>
      </c>
    </row>
    <row r="498" spans="1:6">
      <c r="A498" s="39">
        <v>42864</v>
      </c>
      <c r="B498">
        <v>76.44</v>
      </c>
      <c r="C498">
        <v>77.05</v>
      </c>
      <c r="D498">
        <v>76.33</v>
      </c>
      <c r="E498">
        <v>76.72</v>
      </c>
      <c r="F498">
        <v>8255282</v>
      </c>
    </row>
    <row r="499" spans="1:6">
      <c r="A499" s="39">
        <v>42865</v>
      </c>
      <c r="B499">
        <v>76.33</v>
      </c>
      <c r="C499">
        <v>76.78</v>
      </c>
      <c r="D499">
        <v>76.19</v>
      </c>
      <c r="E499">
        <v>76.7</v>
      </c>
      <c r="F499">
        <v>7511921</v>
      </c>
    </row>
    <row r="500" spans="1:6">
      <c r="A500" s="39">
        <v>42866</v>
      </c>
      <c r="B500">
        <v>76.349999999999994</v>
      </c>
      <c r="C500">
        <v>76.72</v>
      </c>
      <c r="D500">
        <v>75.92</v>
      </c>
      <c r="E500">
        <v>76.13</v>
      </c>
      <c r="F500">
        <v>8349403</v>
      </c>
    </row>
    <row r="501" spans="1:6">
      <c r="A501" s="39">
        <v>42867</v>
      </c>
      <c r="B501">
        <v>75.95</v>
      </c>
      <c r="C501">
        <v>76.25</v>
      </c>
      <c r="D501">
        <v>75.37</v>
      </c>
      <c r="E501">
        <v>75.709999999999994</v>
      </c>
      <c r="F501">
        <v>5892910</v>
      </c>
    </row>
    <row r="502" spans="1:6">
      <c r="A502" s="39">
        <v>42870</v>
      </c>
      <c r="B502">
        <v>75.8</v>
      </c>
      <c r="C502">
        <v>76.47</v>
      </c>
      <c r="D502">
        <v>75.8</v>
      </c>
      <c r="E502">
        <v>76.290000000000006</v>
      </c>
      <c r="F502">
        <v>8843873</v>
      </c>
    </row>
    <row r="503" spans="1:6">
      <c r="A503" s="39">
        <v>42871</v>
      </c>
      <c r="B503">
        <v>76.19</v>
      </c>
      <c r="C503">
        <v>76.27</v>
      </c>
      <c r="D503">
        <v>75.08</v>
      </c>
      <c r="E503">
        <v>75.11</v>
      </c>
      <c r="F503">
        <v>8371802</v>
      </c>
    </row>
    <row r="504" spans="1:6">
      <c r="A504" s="39">
        <v>42872</v>
      </c>
      <c r="B504">
        <v>75.05</v>
      </c>
      <c r="C504">
        <v>75.73</v>
      </c>
      <c r="D504">
        <v>74.959999999999994</v>
      </c>
      <c r="E504">
        <v>75.12</v>
      </c>
      <c r="F504">
        <v>10970970</v>
      </c>
    </row>
    <row r="505" spans="1:6">
      <c r="A505" s="39">
        <v>42873</v>
      </c>
      <c r="B505">
        <v>76.89</v>
      </c>
      <c r="C505">
        <v>77.66</v>
      </c>
      <c r="D505">
        <v>76.13</v>
      </c>
      <c r="E505">
        <v>77.540000000000006</v>
      </c>
      <c r="F505">
        <v>19166801</v>
      </c>
    </row>
    <row r="506" spans="1:6">
      <c r="A506" s="39">
        <v>42874</v>
      </c>
      <c r="B506">
        <v>77.97</v>
      </c>
      <c r="C506">
        <v>79.44</v>
      </c>
      <c r="D506">
        <v>77.77</v>
      </c>
      <c r="E506">
        <v>78.77</v>
      </c>
      <c r="F506">
        <v>18581717</v>
      </c>
    </row>
  </sheetData>
  <sortState ref="A3:F506">
    <sortCondition ref="A3:A50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06"/>
  <sheetViews>
    <sheetView workbookViewId="0"/>
  </sheetViews>
  <sheetFormatPr defaultRowHeight="15"/>
  <cols>
    <col min="1" max="7" width="10.7109375" customWidth="1"/>
  </cols>
  <sheetData>
    <row r="1" spans="1:6">
      <c r="A1" t="s">
        <v>38</v>
      </c>
    </row>
    <row r="2" spans="1:6">
      <c r="A2" t="s">
        <v>26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</row>
    <row r="3" spans="1:6">
      <c r="A3" s="39">
        <v>42145</v>
      </c>
      <c r="B3">
        <v>110.18</v>
      </c>
      <c r="C3">
        <v>110.66</v>
      </c>
      <c r="D3">
        <v>110.07</v>
      </c>
      <c r="E3">
        <v>110.51</v>
      </c>
      <c r="F3">
        <v>1476431</v>
      </c>
    </row>
    <row r="4" spans="1:6">
      <c r="A4" s="39">
        <v>42146</v>
      </c>
      <c r="B4">
        <v>110.38</v>
      </c>
      <c r="C4">
        <v>110.55</v>
      </c>
      <c r="D4">
        <v>110.22</v>
      </c>
      <c r="E4">
        <v>110.3</v>
      </c>
      <c r="F4">
        <v>1187856</v>
      </c>
    </row>
    <row r="5" spans="1:6">
      <c r="A5" s="39">
        <v>42150</v>
      </c>
      <c r="B5">
        <v>110.02</v>
      </c>
      <c r="C5">
        <v>110.02</v>
      </c>
      <c r="D5">
        <v>108.86</v>
      </c>
      <c r="E5">
        <v>109.15</v>
      </c>
      <c r="F5">
        <v>2226684</v>
      </c>
    </row>
    <row r="6" spans="1:6">
      <c r="A6" s="39">
        <v>42151</v>
      </c>
      <c r="B6">
        <v>109.45</v>
      </c>
      <c r="C6">
        <v>110.28</v>
      </c>
      <c r="D6">
        <v>109.2</v>
      </c>
      <c r="E6">
        <v>110.15</v>
      </c>
      <c r="F6">
        <v>2562163</v>
      </c>
    </row>
    <row r="7" spans="1:6">
      <c r="A7" s="39">
        <v>42152</v>
      </c>
      <c r="B7">
        <v>109.97</v>
      </c>
      <c r="C7">
        <v>110.08</v>
      </c>
      <c r="D7">
        <v>109.57</v>
      </c>
      <c r="E7">
        <v>110.05</v>
      </c>
      <c r="F7">
        <v>2022404</v>
      </c>
    </row>
    <row r="8" spans="1:6">
      <c r="A8" s="39">
        <v>42153</v>
      </c>
      <c r="B8">
        <v>109.99</v>
      </c>
      <c r="C8">
        <v>110.02</v>
      </c>
      <c r="D8">
        <v>109.18</v>
      </c>
      <c r="E8">
        <v>109.31</v>
      </c>
      <c r="F8">
        <v>1943247</v>
      </c>
    </row>
    <row r="9" spans="1:6">
      <c r="A9" s="39">
        <v>42156</v>
      </c>
      <c r="B9">
        <v>109.8</v>
      </c>
      <c r="C9">
        <v>109.96</v>
      </c>
      <c r="D9">
        <v>109.06</v>
      </c>
      <c r="E9">
        <v>109.58</v>
      </c>
      <c r="F9">
        <v>2354945</v>
      </c>
    </row>
    <row r="10" spans="1:6">
      <c r="A10" s="39">
        <v>42157</v>
      </c>
      <c r="B10">
        <v>109.25</v>
      </c>
      <c r="C10">
        <v>109.93</v>
      </c>
      <c r="D10">
        <v>108.95</v>
      </c>
      <c r="E10">
        <v>109.5</v>
      </c>
      <c r="F10">
        <v>1925339</v>
      </c>
    </row>
    <row r="11" spans="1:6">
      <c r="A11" s="39">
        <v>42158</v>
      </c>
      <c r="B11">
        <v>109.78</v>
      </c>
      <c r="C11">
        <v>110.22</v>
      </c>
      <c r="D11">
        <v>109.53</v>
      </c>
      <c r="E11">
        <v>109.88</v>
      </c>
      <c r="F11">
        <v>1731329</v>
      </c>
    </row>
    <row r="12" spans="1:6">
      <c r="A12" s="39">
        <v>42159</v>
      </c>
      <c r="B12">
        <v>109.5</v>
      </c>
      <c r="C12">
        <v>109.8</v>
      </c>
      <c r="D12">
        <v>108.77</v>
      </c>
      <c r="E12">
        <v>109</v>
      </c>
      <c r="F12">
        <v>1845802</v>
      </c>
    </row>
    <row r="13" spans="1:6">
      <c r="A13" s="39">
        <v>42160</v>
      </c>
      <c r="B13">
        <v>108.91</v>
      </c>
      <c r="C13">
        <v>109.2</v>
      </c>
      <c r="D13">
        <v>108.33</v>
      </c>
      <c r="E13">
        <v>108.91</v>
      </c>
      <c r="F13">
        <v>3342744</v>
      </c>
    </row>
    <row r="14" spans="1:6">
      <c r="A14" s="39">
        <v>42163</v>
      </c>
      <c r="B14">
        <v>108.88</v>
      </c>
      <c r="C14">
        <v>108.96</v>
      </c>
      <c r="D14">
        <v>108.18</v>
      </c>
      <c r="E14">
        <v>108.24</v>
      </c>
      <c r="F14">
        <v>2990676</v>
      </c>
    </row>
    <row r="15" spans="1:6">
      <c r="A15" s="39">
        <v>42164</v>
      </c>
      <c r="B15">
        <v>108.25</v>
      </c>
      <c r="C15">
        <v>108.48</v>
      </c>
      <c r="D15">
        <v>107.73</v>
      </c>
      <c r="E15">
        <v>108.15</v>
      </c>
      <c r="F15">
        <v>2976533</v>
      </c>
    </row>
    <row r="16" spans="1:6">
      <c r="A16" s="39">
        <v>42165</v>
      </c>
      <c r="B16">
        <v>108.7</v>
      </c>
      <c r="C16">
        <v>109.66</v>
      </c>
      <c r="D16">
        <v>108.59</v>
      </c>
      <c r="E16">
        <v>109.47</v>
      </c>
      <c r="F16">
        <v>1592645</v>
      </c>
    </row>
    <row r="17" spans="1:6">
      <c r="A17" s="39">
        <v>42166</v>
      </c>
      <c r="B17">
        <v>109.71</v>
      </c>
      <c r="C17">
        <v>110.01</v>
      </c>
      <c r="D17">
        <v>109.58</v>
      </c>
      <c r="E17">
        <v>109.78</v>
      </c>
      <c r="F17">
        <v>1850526</v>
      </c>
    </row>
    <row r="18" spans="1:6">
      <c r="A18" s="39">
        <v>42167</v>
      </c>
      <c r="B18">
        <v>109.28</v>
      </c>
      <c r="C18">
        <v>109.5</v>
      </c>
      <c r="D18">
        <v>108.88</v>
      </c>
      <c r="E18">
        <v>109.06</v>
      </c>
      <c r="F18">
        <v>1490940</v>
      </c>
    </row>
    <row r="19" spans="1:6">
      <c r="A19" s="39">
        <v>42170</v>
      </c>
      <c r="B19">
        <v>108.28</v>
      </c>
      <c r="C19">
        <v>108.76</v>
      </c>
      <c r="D19">
        <v>107.87</v>
      </c>
      <c r="E19">
        <v>108.56</v>
      </c>
      <c r="F19">
        <v>2865500</v>
      </c>
    </row>
    <row r="20" spans="1:6">
      <c r="A20" s="39">
        <v>42171</v>
      </c>
      <c r="B20">
        <v>108.45</v>
      </c>
      <c r="C20">
        <v>109.25</v>
      </c>
      <c r="D20">
        <v>108.4</v>
      </c>
      <c r="E20">
        <v>109.16</v>
      </c>
      <c r="F20">
        <v>2604836</v>
      </c>
    </row>
    <row r="21" spans="1:6">
      <c r="A21" s="39">
        <v>42172</v>
      </c>
      <c r="B21">
        <v>109.33</v>
      </c>
      <c r="C21">
        <v>109.69</v>
      </c>
      <c r="D21">
        <v>108.74</v>
      </c>
      <c r="E21">
        <v>109.34</v>
      </c>
      <c r="F21">
        <v>1911670</v>
      </c>
    </row>
    <row r="22" spans="1:6">
      <c r="A22" s="39">
        <v>42173</v>
      </c>
      <c r="B22">
        <v>109.58</v>
      </c>
      <c r="C22">
        <v>110.76</v>
      </c>
      <c r="D22">
        <v>109.58</v>
      </c>
      <c r="E22">
        <v>110.42</v>
      </c>
      <c r="F22">
        <v>2496324</v>
      </c>
    </row>
    <row r="23" spans="1:6">
      <c r="A23" s="39">
        <v>42174</v>
      </c>
      <c r="B23">
        <v>110.39</v>
      </c>
      <c r="C23">
        <v>110.42</v>
      </c>
      <c r="D23">
        <v>109.86</v>
      </c>
      <c r="E23">
        <v>109.94</v>
      </c>
      <c r="F23">
        <v>1735909</v>
      </c>
    </row>
    <row r="24" spans="1:6">
      <c r="A24" s="39">
        <v>42177</v>
      </c>
      <c r="B24">
        <v>110.68</v>
      </c>
      <c r="C24">
        <v>110.9</v>
      </c>
      <c r="D24">
        <v>110.45</v>
      </c>
      <c r="E24">
        <v>110.61</v>
      </c>
      <c r="F24">
        <v>1864810</v>
      </c>
    </row>
    <row r="25" spans="1:6">
      <c r="A25" s="39">
        <v>42178</v>
      </c>
      <c r="B25">
        <v>110.73</v>
      </c>
      <c r="C25">
        <v>110.85</v>
      </c>
      <c r="D25">
        <v>110.46</v>
      </c>
      <c r="E25">
        <v>110.72</v>
      </c>
      <c r="F25">
        <v>3080410</v>
      </c>
    </row>
    <row r="26" spans="1:6">
      <c r="A26" s="39">
        <v>42179</v>
      </c>
      <c r="B26">
        <v>110.56</v>
      </c>
      <c r="C26">
        <v>110.71</v>
      </c>
      <c r="D26">
        <v>109.86</v>
      </c>
      <c r="E26">
        <v>109.88</v>
      </c>
      <c r="F26">
        <v>4931195</v>
      </c>
    </row>
    <row r="27" spans="1:6">
      <c r="A27" s="39">
        <v>42180</v>
      </c>
      <c r="B27">
        <v>110.2</v>
      </c>
      <c r="C27">
        <v>110.24</v>
      </c>
      <c r="D27">
        <v>109.45</v>
      </c>
      <c r="E27">
        <v>109.54</v>
      </c>
      <c r="F27">
        <v>2110771</v>
      </c>
    </row>
    <row r="28" spans="1:6">
      <c r="A28" s="39">
        <v>42181</v>
      </c>
      <c r="B28">
        <v>109.29</v>
      </c>
      <c r="C28">
        <v>109.39</v>
      </c>
      <c r="D28">
        <v>108.65</v>
      </c>
      <c r="E28">
        <v>109.01</v>
      </c>
      <c r="F28">
        <v>1503910</v>
      </c>
    </row>
    <row r="29" spans="1:6">
      <c r="A29" s="39">
        <v>42184</v>
      </c>
      <c r="B29">
        <v>108.03</v>
      </c>
      <c r="C29">
        <v>108.5</v>
      </c>
      <c r="D29">
        <v>106.65</v>
      </c>
      <c r="E29">
        <v>106.73</v>
      </c>
      <c r="F29">
        <v>3642695</v>
      </c>
    </row>
    <row r="30" spans="1:6">
      <c r="A30" s="39">
        <v>42185</v>
      </c>
      <c r="B30">
        <v>107.62</v>
      </c>
      <c r="C30">
        <v>107.65</v>
      </c>
      <c r="D30">
        <v>106.68</v>
      </c>
      <c r="E30">
        <v>107.02</v>
      </c>
      <c r="F30">
        <v>3394044</v>
      </c>
    </row>
    <row r="31" spans="1:6">
      <c r="A31" s="39">
        <v>42186</v>
      </c>
      <c r="B31">
        <v>108.02</v>
      </c>
      <c r="C31">
        <v>108.11</v>
      </c>
      <c r="D31">
        <v>107.28</v>
      </c>
      <c r="E31">
        <v>107.72</v>
      </c>
      <c r="F31">
        <v>12016305</v>
      </c>
    </row>
    <row r="32" spans="1:6">
      <c r="A32" s="39">
        <v>42187</v>
      </c>
      <c r="B32">
        <v>108.05</v>
      </c>
      <c r="C32">
        <v>108.2</v>
      </c>
      <c r="D32">
        <v>107.34</v>
      </c>
      <c r="E32">
        <v>107.58</v>
      </c>
      <c r="F32">
        <v>3139960</v>
      </c>
    </row>
    <row r="33" spans="1:6">
      <c r="A33" s="39">
        <v>42191</v>
      </c>
      <c r="B33">
        <v>106.99</v>
      </c>
      <c r="C33">
        <v>107.79</v>
      </c>
      <c r="D33">
        <v>106.62</v>
      </c>
      <c r="E33">
        <v>107.3</v>
      </c>
      <c r="F33">
        <v>2570835</v>
      </c>
    </row>
    <row r="34" spans="1:6">
      <c r="A34" s="39">
        <v>42192</v>
      </c>
      <c r="B34">
        <v>107.44</v>
      </c>
      <c r="C34">
        <v>108</v>
      </c>
      <c r="D34">
        <v>105.93</v>
      </c>
      <c r="E34">
        <v>107.89</v>
      </c>
      <c r="F34">
        <v>3329559</v>
      </c>
    </row>
    <row r="35" spans="1:6">
      <c r="A35" s="39">
        <v>42193</v>
      </c>
      <c r="B35">
        <v>107.1</v>
      </c>
      <c r="C35">
        <v>107.28</v>
      </c>
      <c r="D35">
        <v>105.91</v>
      </c>
      <c r="E35">
        <v>106.09</v>
      </c>
      <c r="F35">
        <v>2938858</v>
      </c>
    </row>
    <row r="36" spans="1:6">
      <c r="A36" s="39">
        <v>42194</v>
      </c>
      <c r="B36">
        <v>107.15</v>
      </c>
      <c r="C36">
        <v>107.69</v>
      </c>
      <c r="D36">
        <v>106.27</v>
      </c>
      <c r="E36">
        <v>106.31</v>
      </c>
      <c r="F36">
        <v>3064823</v>
      </c>
    </row>
    <row r="37" spans="1:6">
      <c r="A37" s="39">
        <v>42195</v>
      </c>
      <c r="B37">
        <v>107.58</v>
      </c>
      <c r="C37">
        <v>107.84</v>
      </c>
      <c r="D37">
        <v>107.1</v>
      </c>
      <c r="E37">
        <v>107.6</v>
      </c>
      <c r="F37">
        <v>3432352</v>
      </c>
    </row>
    <row r="38" spans="1:6">
      <c r="A38" s="39">
        <v>42198</v>
      </c>
      <c r="B38">
        <v>108.58</v>
      </c>
      <c r="C38">
        <v>108.88</v>
      </c>
      <c r="D38">
        <v>108.38</v>
      </c>
      <c r="E38">
        <v>108.82</v>
      </c>
      <c r="F38">
        <v>2835289</v>
      </c>
    </row>
    <row r="39" spans="1:6">
      <c r="A39" s="39">
        <v>42199</v>
      </c>
      <c r="B39">
        <v>108.8</v>
      </c>
      <c r="C39">
        <v>109.5</v>
      </c>
      <c r="D39">
        <v>108.59</v>
      </c>
      <c r="E39">
        <v>109.31</v>
      </c>
      <c r="F39">
        <v>2292470</v>
      </c>
    </row>
    <row r="40" spans="1:6">
      <c r="A40" s="39">
        <v>42200</v>
      </c>
      <c r="B40">
        <v>109.37</v>
      </c>
      <c r="C40">
        <v>109.56</v>
      </c>
      <c r="D40">
        <v>108.91</v>
      </c>
      <c r="E40">
        <v>109.17</v>
      </c>
      <c r="F40">
        <v>2555651</v>
      </c>
    </row>
    <row r="41" spans="1:6">
      <c r="A41" s="39">
        <v>42201</v>
      </c>
      <c r="B41">
        <v>109.85</v>
      </c>
      <c r="C41">
        <v>109.95</v>
      </c>
      <c r="D41">
        <v>109.65</v>
      </c>
      <c r="E41">
        <v>109.93</v>
      </c>
      <c r="F41">
        <v>1314002</v>
      </c>
    </row>
    <row r="42" spans="1:6">
      <c r="A42" s="39">
        <v>42202</v>
      </c>
      <c r="B42">
        <v>109.99</v>
      </c>
      <c r="C42">
        <v>110</v>
      </c>
      <c r="D42">
        <v>109.65</v>
      </c>
      <c r="E42">
        <v>109.96</v>
      </c>
      <c r="F42">
        <v>1295372</v>
      </c>
    </row>
    <row r="43" spans="1:6">
      <c r="A43" s="39">
        <v>42205</v>
      </c>
      <c r="B43">
        <v>110.05</v>
      </c>
      <c r="C43">
        <v>110.21</v>
      </c>
      <c r="D43">
        <v>109.78</v>
      </c>
      <c r="E43">
        <v>109.97</v>
      </c>
      <c r="F43">
        <v>1338976</v>
      </c>
    </row>
    <row r="44" spans="1:6">
      <c r="A44" s="39">
        <v>42206</v>
      </c>
      <c r="B44">
        <v>109.88</v>
      </c>
      <c r="C44">
        <v>110.04</v>
      </c>
      <c r="D44">
        <v>109.3</v>
      </c>
      <c r="E44">
        <v>109.49</v>
      </c>
      <c r="F44">
        <v>1661039</v>
      </c>
    </row>
    <row r="45" spans="1:6">
      <c r="A45" s="39">
        <v>42207</v>
      </c>
      <c r="B45">
        <v>109.1</v>
      </c>
      <c r="C45">
        <v>109.5</v>
      </c>
      <c r="D45">
        <v>109</v>
      </c>
      <c r="E45">
        <v>109.33</v>
      </c>
      <c r="F45">
        <v>1852371</v>
      </c>
    </row>
    <row r="46" spans="1:6">
      <c r="A46" s="39">
        <v>42208</v>
      </c>
      <c r="B46">
        <v>109.47</v>
      </c>
      <c r="C46">
        <v>109.53</v>
      </c>
      <c r="D46">
        <v>108.52</v>
      </c>
      <c r="E46">
        <v>108.7</v>
      </c>
      <c r="F46">
        <v>1569545</v>
      </c>
    </row>
    <row r="47" spans="1:6">
      <c r="A47" s="39">
        <v>42209</v>
      </c>
      <c r="B47">
        <v>108.75</v>
      </c>
      <c r="C47">
        <v>108.83</v>
      </c>
      <c r="D47">
        <v>107.39</v>
      </c>
      <c r="E47">
        <v>107.56</v>
      </c>
      <c r="F47">
        <v>2073472</v>
      </c>
    </row>
    <row r="48" spans="1:6">
      <c r="A48" s="39">
        <v>42212</v>
      </c>
      <c r="B48">
        <v>107.06</v>
      </c>
      <c r="C48">
        <v>107.46</v>
      </c>
      <c r="D48">
        <v>106.6</v>
      </c>
      <c r="E48">
        <v>106.85</v>
      </c>
      <c r="F48">
        <v>2958428</v>
      </c>
    </row>
    <row r="49" spans="1:6">
      <c r="A49" s="39">
        <v>42213</v>
      </c>
      <c r="B49">
        <v>107.16</v>
      </c>
      <c r="C49">
        <v>108.23</v>
      </c>
      <c r="D49">
        <v>106.78</v>
      </c>
      <c r="E49">
        <v>108.12</v>
      </c>
      <c r="F49">
        <v>2198632</v>
      </c>
    </row>
    <row r="50" spans="1:6">
      <c r="A50" s="39">
        <v>42214</v>
      </c>
      <c r="B50">
        <v>108.18</v>
      </c>
      <c r="C50">
        <v>108.98</v>
      </c>
      <c r="D50">
        <v>108.06</v>
      </c>
      <c r="E50">
        <v>108.86</v>
      </c>
      <c r="F50">
        <v>1624215</v>
      </c>
    </row>
    <row r="51" spans="1:6">
      <c r="A51" s="39">
        <v>42215</v>
      </c>
      <c r="B51">
        <v>108.57</v>
      </c>
      <c r="C51">
        <v>109.04</v>
      </c>
      <c r="D51">
        <v>108.17</v>
      </c>
      <c r="E51">
        <v>108.95</v>
      </c>
      <c r="F51">
        <v>1390381</v>
      </c>
    </row>
    <row r="52" spans="1:6">
      <c r="A52" s="39">
        <v>42216</v>
      </c>
      <c r="B52">
        <v>109.31</v>
      </c>
      <c r="C52">
        <v>109.34</v>
      </c>
      <c r="D52">
        <v>108.7</v>
      </c>
      <c r="E52">
        <v>108.84</v>
      </c>
      <c r="F52">
        <v>2422731</v>
      </c>
    </row>
    <row r="53" spans="1:6">
      <c r="A53" s="39">
        <v>42219</v>
      </c>
      <c r="B53">
        <v>108.99</v>
      </c>
      <c r="C53">
        <v>108.99</v>
      </c>
      <c r="D53">
        <v>107.89</v>
      </c>
      <c r="E53">
        <v>108.45</v>
      </c>
      <c r="F53">
        <v>2654615</v>
      </c>
    </row>
    <row r="54" spans="1:6">
      <c r="A54" s="39">
        <v>42220</v>
      </c>
      <c r="B54">
        <v>108.45</v>
      </c>
      <c r="C54">
        <v>108.75</v>
      </c>
      <c r="D54">
        <v>108</v>
      </c>
      <c r="E54">
        <v>108.27</v>
      </c>
      <c r="F54">
        <v>1600020</v>
      </c>
    </row>
    <row r="55" spans="1:6">
      <c r="A55" s="39">
        <v>42221</v>
      </c>
      <c r="B55">
        <v>108.84</v>
      </c>
      <c r="C55">
        <v>109.34</v>
      </c>
      <c r="D55">
        <v>108.46</v>
      </c>
      <c r="E55">
        <v>108.63</v>
      </c>
      <c r="F55">
        <v>1253644</v>
      </c>
    </row>
    <row r="56" spans="1:6">
      <c r="A56" s="39">
        <v>42222</v>
      </c>
      <c r="B56">
        <v>108.92</v>
      </c>
      <c r="C56">
        <v>108.92</v>
      </c>
      <c r="D56">
        <v>107.24</v>
      </c>
      <c r="E56">
        <v>107.74</v>
      </c>
      <c r="F56">
        <v>1969453</v>
      </c>
    </row>
    <row r="57" spans="1:6">
      <c r="A57" s="39">
        <v>42223</v>
      </c>
      <c r="B57">
        <v>107.62</v>
      </c>
      <c r="C57">
        <v>107.7</v>
      </c>
      <c r="D57">
        <v>106.89</v>
      </c>
      <c r="E57">
        <v>107.43</v>
      </c>
      <c r="F57">
        <v>3295124</v>
      </c>
    </row>
    <row r="58" spans="1:6">
      <c r="A58" s="39">
        <v>42226</v>
      </c>
      <c r="B58">
        <v>108.08</v>
      </c>
      <c r="C58">
        <v>108.85</v>
      </c>
      <c r="D58">
        <v>108.05</v>
      </c>
      <c r="E58">
        <v>108.77</v>
      </c>
      <c r="F58">
        <v>1981326</v>
      </c>
    </row>
    <row r="59" spans="1:6">
      <c r="A59" s="39">
        <v>42227</v>
      </c>
      <c r="B59">
        <v>108</v>
      </c>
      <c r="C59">
        <v>108.23</v>
      </c>
      <c r="D59">
        <v>107.37</v>
      </c>
      <c r="E59">
        <v>107.79</v>
      </c>
      <c r="F59">
        <v>1833141</v>
      </c>
    </row>
    <row r="60" spans="1:6">
      <c r="A60" s="39">
        <v>42228</v>
      </c>
      <c r="B60">
        <v>107.01</v>
      </c>
      <c r="C60">
        <v>108.03</v>
      </c>
      <c r="D60">
        <v>106.09</v>
      </c>
      <c r="E60">
        <v>107.9</v>
      </c>
      <c r="F60">
        <v>2611345</v>
      </c>
    </row>
    <row r="61" spans="1:6">
      <c r="A61" s="39">
        <v>42229</v>
      </c>
      <c r="B61">
        <v>107.91</v>
      </c>
      <c r="C61">
        <v>108.24</v>
      </c>
      <c r="D61">
        <v>107.44</v>
      </c>
      <c r="E61">
        <v>107.75</v>
      </c>
      <c r="F61">
        <v>3545402</v>
      </c>
    </row>
    <row r="62" spans="1:6">
      <c r="A62" s="39">
        <v>42230</v>
      </c>
      <c r="B62">
        <v>107.7</v>
      </c>
      <c r="C62">
        <v>108.23</v>
      </c>
      <c r="D62">
        <v>107.54</v>
      </c>
      <c r="E62">
        <v>108.16</v>
      </c>
      <c r="F62">
        <v>1154508</v>
      </c>
    </row>
    <row r="63" spans="1:6">
      <c r="A63" s="39">
        <v>42233</v>
      </c>
      <c r="B63">
        <v>107.89</v>
      </c>
      <c r="C63">
        <v>108.86</v>
      </c>
      <c r="D63">
        <v>107.51</v>
      </c>
      <c r="E63">
        <v>108.85</v>
      </c>
      <c r="F63">
        <v>1739109</v>
      </c>
    </row>
    <row r="64" spans="1:6">
      <c r="A64" s="39">
        <v>42234</v>
      </c>
      <c r="B64">
        <v>108.78</v>
      </c>
      <c r="C64">
        <v>108.89</v>
      </c>
      <c r="D64">
        <v>108.37</v>
      </c>
      <c r="E64">
        <v>108.57</v>
      </c>
      <c r="F64">
        <v>2694955</v>
      </c>
    </row>
    <row r="65" spans="1:6">
      <c r="A65" s="39">
        <v>42235</v>
      </c>
      <c r="B65">
        <v>108.05</v>
      </c>
      <c r="C65">
        <v>108.45</v>
      </c>
      <c r="D65">
        <v>107.08</v>
      </c>
      <c r="E65">
        <v>107.6</v>
      </c>
      <c r="F65">
        <v>2183231</v>
      </c>
    </row>
    <row r="66" spans="1:6">
      <c r="A66" s="39">
        <v>42236</v>
      </c>
      <c r="B66">
        <v>106.8</v>
      </c>
      <c r="C66">
        <v>107</v>
      </c>
      <c r="D66">
        <v>105.25</v>
      </c>
      <c r="E66">
        <v>105.26</v>
      </c>
      <c r="F66">
        <v>4375919</v>
      </c>
    </row>
    <row r="67" spans="1:6">
      <c r="A67" s="39">
        <v>42237</v>
      </c>
      <c r="B67">
        <v>104.32</v>
      </c>
      <c r="C67">
        <v>104.74</v>
      </c>
      <c r="D67">
        <v>102.18</v>
      </c>
      <c r="E67">
        <v>102.23</v>
      </c>
      <c r="F67">
        <v>9870342</v>
      </c>
    </row>
    <row r="68" spans="1:6">
      <c r="A68" s="39">
        <v>42240</v>
      </c>
      <c r="B68">
        <v>96.4</v>
      </c>
      <c r="C68">
        <v>101.27</v>
      </c>
      <c r="D68">
        <v>93</v>
      </c>
      <c r="E68">
        <v>98.12</v>
      </c>
      <c r="F68">
        <v>18128518</v>
      </c>
    </row>
    <row r="69" spans="1:6">
      <c r="A69" s="39">
        <v>42241</v>
      </c>
      <c r="B69">
        <v>101.41</v>
      </c>
      <c r="C69">
        <v>101.72</v>
      </c>
      <c r="D69">
        <v>96.87</v>
      </c>
      <c r="E69">
        <v>96.95</v>
      </c>
      <c r="F69">
        <v>9211564</v>
      </c>
    </row>
    <row r="70" spans="1:6">
      <c r="A70" s="39">
        <v>42242</v>
      </c>
      <c r="B70">
        <v>99.99</v>
      </c>
      <c r="C70">
        <v>100.58</v>
      </c>
      <c r="D70">
        <v>97.39</v>
      </c>
      <c r="E70">
        <v>100.47</v>
      </c>
      <c r="F70">
        <v>8296858</v>
      </c>
    </row>
    <row r="71" spans="1:6">
      <c r="A71" s="39">
        <v>42243</v>
      </c>
      <c r="B71">
        <v>101.97</v>
      </c>
      <c r="C71">
        <v>103.05</v>
      </c>
      <c r="D71">
        <v>100.92</v>
      </c>
      <c r="E71">
        <v>102.9</v>
      </c>
      <c r="F71">
        <v>8779237</v>
      </c>
    </row>
    <row r="72" spans="1:6">
      <c r="A72" s="39">
        <v>42244</v>
      </c>
      <c r="B72">
        <v>102.59</v>
      </c>
      <c r="C72">
        <v>103.32</v>
      </c>
      <c r="D72">
        <v>102.37</v>
      </c>
      <c r="E72">
        <v>102.98</v>
      </c>
      <c r="F72">
        <v>5165569</v>
      </c>
    </row>
    <row r="73" spans="1:6">
      <c r="A73" s="39">
        <v>42247</v>
      </c>
      <c r="B73">
        <v>102.53</v>
      </c>
      <c r="C73">
        <v>103.01</v>
      </c>
      <c r="D73">
        <v>101.95</v>
      </c>
      <c r="E73">
        <v>102.21</v>
      </c>
      <c r="F73">
        <v>4525914</v>
      </c>
    </row>
    <row r="74" spans="1:6">
      <c r="A74" s="39">
        <v>42248</v>
      </c>
      <c r="B74">
        <v>99.95</v>
      </c>
      <c r="C74">
        <v>100.83</v>
      </c>
      <c r="D74">
        <v>98.75</v>
      </c>
      <c r="E74">
        <v>99.21</v>
      </c>
      <c r="F74">
        <v>9263029</v>
      </c>
    </row>
    <row r="75" spans="1:6">
      <c r="A75" s="39">
        <v>42249</v>
      </c>
      <c r="B75">
        <v>100.78</v>
      </c>
      <c r="C75">
        <v>101.08</v>
      </c>
      <c r="D75">
        <v>99.55</v>
      </c>
      <c r="E75">
        <v>101.07</v>
      </c>
      <c r="F75">
        <v>7677726</v>
      </c>
    </row>
    <row r="76" spans="1:6">
      <c r="A76" s="39">
        <v>42250</v>
      </c>
      <c r="B76">
        <v>101.58</v>
      </c>
      <c r="C76">
        <v>102.44</v>
      </c>
      <c r="D76">
        <v>100.9</v>
      </c>
      <c r="E76">
        <v>101.2</v>
      </c>
      <c r="F76">
        <v>5151256</v>
      </c>
    </row>
    <row r="77" spans="1:6">
      <c r="A77" s="39">
        <v>42251</v>
      </c>
      <c r="B77">
        <v>99.92</v>
      </c>
      <c r="C77">
        <v>100.4</v>
      </c>
      <c r="D77">
        <v>99.26</v>
      </c>
      <c r="E77">
        <v>99.76</v>
      </c>
      <c r="F77">
        <v>4317820</v>
      </c>
    </row>
    <row r="78" spans="1:6">
      <c r="A78" s="39">
        <v>42255</v>
      </c>
      <c r="B78">
        <v>101.59</v>
      </c>
      <c r="C78">
        <v>102.32</v>
      </c>
      <c r="D78">
        <v>101.06</v>
      </c>
      <c r="E78">
        <v>102.27</v>
      </c>
      <c r="F78">
        <v>3341826</v>
      </c>
    </row>
    <row r="79" spans="1:6">
      <c r="A79" s="39">
        <v>42256</v>
      </c>
      <c r="B79">
        <v>103.24</v>
      </c>
      <c r="C79">
        <v>103.4</v>
      </c>
      <c r="D79">
        <v>100.69</v>
      </c>
      <c r="E79">
        <v>100.88</v>
      </c>
      <c r="F79">
        <v>3690297</v>
      </c>
    </row>
    <row r="80" spans="1:6">
      <c r="A80" s="39">
        <v>42257</v>
      </c>
      <c r="B80">
        <v>100.88</v>
      </c>
      <c r="C80">
        <v>102.07</v>
      </c>
      <c r="D80">
        <v>100.63</v>
      </c>
      <c r="E80">
        <v>101.4</v>
      </c>
      <c r="F80">
        <v>3695957</v>
      </c>
    </row>
    <row r="81" spans="1:6">
      <c r="A81" s="39">
        <v>42258</v>
      </c>
      <c r="B81">
        <v>101.04</v>
      </c>
      <c r="C81">
        <v>101.88</v>
      </c>
      <c r="D81">
        <v>100.7</v>
      </c>
      <c r="E81">
        <v>101.86</v>
      </c>
      <c r="F81">
        <v>2005526</v>
      </c>
    </row>
    <row r="82" spans="1:6">
      <c r="A82" s="39">
        <v>42261</v>
      </c>
      <c r="B82">
        <v>101.91</v>
      </c>
      <c r="C82">
        <v>101.91</v>
      </c>
      <c r="D82">
        <v>101.2</v>
      </c>
      <c r="E82">
        <v>101.47</v>
      </c>
      <c r="F82">
        <v>3711098</v>
      </c>
    </row>
    <row r="83" spans="1:6">
      <c r="A83" s="39">
        <v>42262</v>
      </c>
      <c r="B83">
        <v>101.81</v>
      </c>
      <c r="C83">
        <v>102.97</v>
      </c>
      <c r="D83">
        <v>101.53</v>
      </c>
      <c r="E83">
        <v>102.75</v>
      </c>
      <c r="F83">
        <v>2385603</v>
      </c>
    </row>
    <row r="84" spans="1:6">
      <c r="A84" s="39">
        <v>42263</v>
      </c>
      <c r="B84">
        <v>102.87</v>
      </c>
      <c r="C84">
        <v>103.73</v>
      </c>
      <c r="D84">
        <v>102.7</v>
      </c>
      <c r="E84">
        <v>103.62</v>
      </c>
      <c r="F84">
        <v>2447394</v>
      </c>
    </row>
    <row r="85" spans="1:6">
      <c r="A85" s="39">
        <v>42264</v>
      </c>
      <c r="B85">
        <v>103.64</v>
      </c>
      <c r="C85">
        <v>105.02</v>
      </c>
      <c r="D85">
        <v>103.24</v>
      </c>
      <c r="E85">
        <v>103.48</v>
      </c>
      <c r="F85">
        <v>4723909</v>
      </c>
    </row>
    <row r="86" spans="1:6">
      <c r="A86" s="39">
        <v>42265</v>
      </c>
      <c r="B86">
        <v>102.05</v>
      </c>
      <c r="C86">
        <v>102.89</v>
      </c>
      <c r="D86">
        <v>101.58</v>
      </c>
      <c r="E86">
        <v>101.84</v>
      </c>
      <c r="F86">
        <v>3271473</v>
      </c>
    </row>
    <row r="87" spans="1:6">
      <c r="A87" s="39">
        <v>42268</v>
      </c>
      <c r="B87">
        <v>102.42</v>
      </c>
      <c r="C87">
        <v>103.02</v>
      </c>
      <c r="D87">
        <v>101.67</v>
      </c>
      <c r="E87">
        <v>102.25</v>
      </c>
      <c r="F87">
        <v>2680261</v>
      </c>
    </row>
    <row r="88" spans="1:6">
      <c r="A88" s="39">
        <v>42269</v>
      </c>
      <c r="B88">
        <v>101</v>
      </c>
      <c r="C88">
        <v>101.24</v>
      </c>
      <c r="D88">
        <v>100.21</v>
      </c>
      <c r="E88">
        <v>100.88</v>
      </c>
      <c r="F88">
        <v>3029287</v>
      </c>
    </row>
    <row r="89" spans="1:6">
      <c r="A89" s="39">
        <v>42270</v>
      </c>
      <c r="B89">
        <v>101.04</v>
      </c>
      <c r="C89">
        <v>101.28</v>
      </c>
      <c r="D89">
        <v>100.34</v>
      </c>
      <c r="E89">
        <v>100.68</v>
      </c>
      <c r="F89">
        <v>1788923</v>
      </c>
    </row>
    <row r="90" spans="1:6">
      <c r="A90" s="39">
        <v>42271</v>
      </c>
      <c r="B90">
        <v>100.02</v>
      </c>
      <c r="C90">
        <v>100.53</v>
      </c>
      <c r="D90">
        <v>99.1</v>
      </c>
      <c r="E90">
        <v>100.27</v>
      </c>
      <c r="F90">
        <v>3722711</v>
      </c>
    </row>
    <row r="91" spans="1:6">
      <c r="A91" s="39">
        <v>42272</v>
      </c>
      <c r="B91">
        <v>100.76</v>
      </c>
      <c r="C91">
        <v>100.87</v>
      </c>
      <c r="D91">
        <v>99.07</v>
      </c>
      <c r="E91">
        <v>99.61</v>
      </c>
      <c r="F91">
        <v>4937634</v>
      </c>
    </row>
    <row r="92" spans="1:6">
      <c r="A92" s="39">
        <v>42275</v>
      </c>
      <c r="B92">
        <v>99.06</v>
      </c>
      <c r="C92">
        <v>99.13</v>
      </c>
      <c r="D92">
        <v>96.8</v>
      </c>
      <c r="E92">
        <v>96.94</v>
      </c>
      <c r="F92">
        <v>5584696</v>
      </c>
    </row>
    <row r="93" spans="1:6">
      <c r="A93" s="39">
        <v>42276</v>
      </c>
      <c r="B93">
        <v>97.23</v>
      </c>
      <c r="C93">
        <v>97.84</v>
      </c>
      <c r="D93">
        <v>96.37</v>
      </c>
      <c r="E93">
        <v>96.92</v>
      </c>
      <c r="F93">
        <v>4547412</v>
      </c>
    </row>
    <row r="94" spans="1:6">
      <c r="A94" s="39">
        <v>42277</v>
      </c>
      <c r="B94">
        <v>98.11</v>
      </c>
      <c r="C94">
        <v>98.79</v>
      </c>
      <c r="D94">
        <v>97.55</v>
      </c>
      <c r="E94">
        <v>98.72</v>
      </c>
      <c r="F94">
        <v>3745744</v>
      </c>
    </row>
    <row r="95" spans="1:6">
      <c r="A95" s="39">
        <v>42278</v>
      </c>
      <c r="B95">
        <v>98.96</v>
      </c>
      <c r="C95">
        <v>99.12</v>
      </c>
      <c r="D95">
        <v>97.71</v>
      </c>
      <c r="E95">
        <v>98.92</v>
      </c>
      <c r="F95">
        <v>3808619</v>
      </c>
    </row>
    <row r="96" spans="1:6">
      <c r="A96" s="39">
        <v>42279</v>
      </c>
      <c r="B96">
        <v>97.96</v>
      </c>
      <c r="C96">
        <v>100.37</v>
      </c>
      <c r="D96">
        <v>97.38</v>
      </c>
      <c r="E96">
        <v>100.36</v>
      </c>
      <c r="F96">
        <v>3652903</v>
      </c>
    </row>
    <row r="97" spans="1:6">
      <c r="A97" s="39">
        <v>42282</v>
      </c>
      <c r="B97">
        <v>101.1</v>
      </c>
      <c r="C97">
        <v>102.36</v>
      </c>
      <c r="D97">
        <v>101.04</v>
      </c>
      <c r="E97">
        <v>102.21</v>
      </c>
      <c r="F97">
        <v>3405636</v>
      </c>
    </row>
    <row r="98" spans="1:6">
      <c r="A98" s="39">
        <v>42283</v>
      </c>
      <c r="B98">
        <v>102.21</v>
      </c>
      <c r="C98">
        <v>102.46</v>
      </c>
      <c r="D98">
        <v>101.38</v>
      </c>
      <c r="E98">
        <v>101.88</v>
      </c>
      <c r="F98">
        <v>2463019</v>
      </c>
    </row>
    <row r="99" spans="1:6">
      <c r="A99" s="39">
        <v>42284</v>
      </c>
      <c r="B99">
        <v>102.44</v>
      </c>
      <c r="C99">
        <v>102.88</v>
      </c>
      <c r="D99">
        <v>101.7</v>
      </c>
      <c r="E99">
        <v>102.8</v>
      </c>
      <c r="F99">
        <v>2583264</v>
      </c>
    </row>
    <row r="100" spans="1:6">
      <c r="A100" s="39">
        <v>42285</v>
      </c>
      <c r="B100">
        <v>102.53</v>
      </c>
      <c r="C100">
        <v>103.88</v>
      </c>
      <c r="D100">
        <v>102.38</v>
      </c>
      <c r="E100">
        <v>103.69</v>
      </c>
      <c r="F100">
        <v>2521034</v>
      </c>
    </row>
    <row r="101" spans="1:6">
      <c r="A101" s="39">
        <v>42286</v>
      </c>
      <c r="B101">
        <v>103.8</v>
      </c>
      <c r="C101">
        <v>104.06</v>
      </c>
      <c r="D101">
        <v>103.43</v>
      </c>
      <c r="E101">
        <v>103.83</v>
      </c>
      <c r="F101">
        <v>1649426</v>
      </c>
    </row>
    <row r="102" spans="1:6">
      <c r="A102" s="39">
        <v>42289</v>
      </c>
      <c r="B102">
        <v>103.85</v>
      </c>
      <c r="C102">
        <v>103.95</v>
      </c>
      <c r="D102">
        <v>103.51</v>
      </c>
      <c r="E102">
        <v>103.85</v>
      </c>
      <c r="F102">
        <v>1680104</v>
      </c>
    </row>
    <row r="103" spans="1:6">
      <c r="A103" s="39">
        <v>42290</v>
      </c>
      <c r="B103">
        <v>103.29</v>
      </c>
      <c r="C103">
        <v>104.17</v>
      </c>
      <c r="D103">
        <v>102.99</v>
      </c>
      <c r="E103">
        <v>103.09</v>
      </c>
      <c r="F103">
        <v>2218755</v>
      </c>
    </row>
    <row r="104" spans="1:6">
      <c r="A104" s="39">
        <v>42291</v>
      </c>
      <c r="B104">
        <v>103.05</v>
      </c>
      <c r="C104">
        <v>103.44</v>
      </c>
      <c r="D104">
        <v>102.38</v>
      </c>
      <c r="E104">
        <v>102.56</v>
      </c>
      <c r="F104">
        <v>1902598</v>
      </c>
    </row>
    <row r="105" spans="1:6">
      <c r="A105" s="39">
        <v>42292</v>
      </c>
      <c r="B105">
        <v>102.92</v>
      </c>
      <c r="C105">
        <v>104.12</v>
      </c>
      <c r="D105">
        <v>102.63</v>
      </c>
      <c r="E105">
        <v>104.11</v>
      </c>
      <c r="F105">
        <v>2215910</v>
      </c>
    </row>
    <row r="106" spans="1:6">
      <c r="A106" s="39">
        <v>42293</v>
      </c>
      <c r="B106">
        <v>104.37</v>
      </c>
      <c r="C106">
        <v>104.54</v>
      </c>
      <c r="D106">
        <v>103.85</v>
      </c>
      <c r="E106">
        <v>104.51</v>
      </c>
      <c r="F106">
        <v>1901266</v>
      </c>
    </row>
    <row r="107" spans="1:6">
      <c r="A107" s="39">
        <v>42296</v>
      </c>
      <c r="B107">
        <v>104.3</v>
      </c>
      <c r="C107">
        <v>104.67</v>
      </c>
      <c r="D107">
        <v>103.97</v>
      </c>
      <c r="E107">
        <v>104.63</v>
      </c>
      <c r="F107">
        <v>1457904</v>
      </c>
    </row>
    <row r="108" spans="1:6">
      <c r="A108" s="39">
        <v>42297</v>
      </c>
      <c r="B108">
        <v>104.39</v>
      </c>
      <c r="C108">
        <v>104.91</v>
      </c>
      <c r="D108">
        <v>104.19</v>
      </c>
      <c r="E108">
        <v>104.51</v>
      </c>
      <c r="F108">
        <v>1806024</v>
      </c>
    </row>
    <row r="109" spans="1:6">
      <c r="A109" s="39">
        <v>42298</v>
      </c>
      <c r="B109">
        <v>104.71</v>
      </c>
      <c r="C109">
        <v>104.86</v>
      </c>
      <c r="D109">
        <v>103.59</v>
      </c>
      <c r="E109">
        <v>103.69</v>
      </c>
      <c r="F109">
        <v>1777504</v>
      </c>
    </row>
    <row r="110" spans="1:6">
      <c r="A110" s="39">
        <v>42299</v>
      </c>
      <c r="B110">
        <v>104.28</v>
      </c>
      <c r="C110">
        <v>105.43</v>
      </c>
      <c r="D110">
        <v>104.12</v>
      </c>
      <c r="E110">
        <v>105.21</v>
      </c>
      <c r="F110">
        <v>1978172</v>
      </c>
    </row>
    <row r="111" spans="1:6">
      <c r="A111" s="39">
        <v>42300</v>
      </c>
      <c r="B111">
        <v>106.13</v>
      </c>
      <c r="C111">
        <v>106.47</v>
      </c>
      <c r="D111">
        <v>105.67</v>
      </c>
      <c r="E111">
        <v>106.31</v>
      </c>
      <c r="F111">
        <v>2403395</v>
      </c>
    </row>
    <row r="112" spans="1:6">
      <c r="A112" s="39">
        <v>42303</v>
      </c>
      <c r="B112">
        <v>106.26</v>
      </c>
      <c r="C112">
        <v>106.3</v>
      </c>
      <c r="D112">
        <v>105.85</v>
      </c>
      <c r="E112">
        <v>106.05</v>
      </c>
      <c r="F112">
        <v>3078205</v>
      </c>
    </row>
    <row r="113" spans="1:6">
      <c r="A113" s="39">
        <v>42304</v>
      </c>
      <c r="B113">
        <v>105.83</v>
      </c>
      <c r="C113">
        <v>105.94</v>
      </c>
      <c r="D113">
        <v>105.26</v>
      </c>
      <c r="E113">
        <v>105.71</v>
      </c>
      <c r="F113">
        <v>1685859</v>
      </c>
    </row>
    <row r="114" spans="1:6">
      <c r="A114" s="39">
        <v>42305</v>
      </c>
      <c r="B114">
        <v>105.94</v>
      </c>
      <c r="C114">
        <v>107.12</v>
      </c>
      <c r="D114">
        <v>105.62</v>
      </c>
      <c r="E114">
        <v>107.1</v>
      </c>
      <c r="F114">
        <v>2421223</v>
      </c>
    </row>
    <row r="115" spans="1:6">
      <c r="A115" s="39">
        <v>42306</v>
      </c>
      <c r="B115">
        <v>106.72</v>
      </c>
      <c r="C115">
        <v>107.18</v>
      </c>
      <c r="D115">
        <v>106.68</v>
      </c>
      <c r="E115">
        <v>106.94</v>
      </c>
      <c r="F115">
        <v>2666837</v>
      </c>
    </row>
    <row r="116" spans="1:6">
      <c r="A116" s="39">
        <v>42307</v>
      </c>
      <c r="B116">
        <v>107.14</v>
      </c>
      <c r="C116">
        <v>107.28</v>
      </c>
      <c r="D116">
        <v>106.5</v>
      </c>
      <c r="E116">
        <v>106.53</v>
      </c>
      <c r="F116">
        <v>2203163</v>
      </c>
    </row>
    <row r="117" spans="1:6">
      <c r="A117" s="39">
        <v>42310</v>
      </c>
      <c r="B117">
        <v>106.78</v>
      </c>
      <c r="C117">
        <v>108</v>
      </c>
      <c r="D117">
        <v>106.68</v>
      </c>
      <c r="E117">
        <v>107.92</v>
      </c>
      <c r="F117">
        <v>3395778</v>
      </c>
    </row>
    <row r="118" spans="1:6">
      <c r="A118" s="39">
        <v>42311</v>
      </c>
      <c r="B118">
        <v>107.71</v>
      </c>
      <c r="C118">
        <v>108.57</v>
      </c>
      <c r="D118">
        <v>107.55</v>
      </c>
      <c r="E118">
        <v>108.2</v>
      </c>
      <c r="F118">
        <v>3092221</v>
      </c>
    </row>
    <row r="119" spans="1:6">
      <c r="A119" s="39">
        <v>42312</v>
      </c>
      <c r="B119">
        <v>108.51</v>
      </c>
      <c r="C119">
        <v>108.53</v>
      </c>
      <c r="D119">
        <v>107.57</v>
      </c>
      <c r="E119">
        <v>107.94</v>
      </c>
      <c r="F119">
        <v>2893522</v>
      </c>
    </row>
    <row r="120" spans="1:6">
      <c r="A120" s="39">
        <v>42313</v>
      </c>
      <c r="B120">
        <v>108.04</v>
      </c>
      <c r="C120">
        <v>108.23</v>
      </c>
      <c r="D120">
        <v>107.21</v>
      </c>
      <c r="E120">
        <v>107.82</v>
      </c>
      <c r="F120">
        <v>2142438</v>
      </c>
    </row>
    <row r="121" spans="1:6">
      <c r="A121" s="39">
        <v>42314</v>
      </c>
      <c r="B121">
        <v>107.57</v>
      </c>
      <c r="C121">
        <v>107.85</v>
      </c>
      <c r="D121">
        <v>106.92</v>
      </c>
      <c r="E121">
        <v>107.84</v>
      </c>
      <c r="F121">
        <v>2077414</v>
      </c>
    </row>
    <row r="122" spans="1:6">
      <c r="A122" s="39">
        <v>42317</v>
      </c>
      <c r="B122">
        <v>107.9</v>
      </c>
      <c r="C122">
        <v>107.9</v>
      </c>
      <c r="D122">
        <v>106.2</v>
      </c>
      <c r="E122">
        <v>106.76</v>
      </c>
      <c r="F122">
        <v>2620785</v>
      </c>
    </row>
    <row r="123" spans="1:6">
      <c r="A123" s="39">
        <v>42318</v>
      </c>
      <c r="B123">
        <v>106.46</v>
      </c>
      <c r="C123">
        <v>107.04</v>
      </c>
      <c r="D123">
        <v>106.29</v>
      </c>
      <c r="E123">
        <v>107</v>
      </c>
      <c r="F123">
        <v>1605331</v>
      </c>
    </row>
    <row r="124" spans="1:6">
      <c r="A124" s="39">
        <v>42319</v>
      </c>
      <c r="B124">
        <v>107.27</v>
      </c>
      <c r="C124">
        <v>107.27</v>
      </c>
      <c r="D124">
        <v>106.53</v>
      </c>
      <c r="E124">
        <v>106.54</v>
      </c>
      <c r="F124">
        <v>1340498</v>
      </c>
    </row>
    <row r="125" spans="1:6">
      <c r="A125" s="39">
        <v>42320</v>
      </c>
      <c r="B125">
        <v>105.97</v>
      </c>
      <c r="C125">
        <v>106.16</v>
      </c>
      <c r="D125">
        <v>104.95</v>
      </c>
      <c r="E125">
        <v>104.95</v>
      </c>
      <c r="F125">
        <v>3081944</v>
      </c>
    </row>
    <row r="126" spans="1:6">
      <c r="A126" s="39">
        <v>42321</v>
      </c>
      <c r="B126">
        <v>104.76</v>
      </c>
      <c r="C126">
        <v>104.88</v>
      </c>
      <c r="D126">
        <v>103.81</v>
      </c>
      <c r="E126">
        <v>103.84</v>
      </c>
      <c r="F126">
        <v>3002484</v>
      </c>
    </row>
    <row r="127" spans="1:6">
      <c r="A127" s="39">
        <v>42324</v>
      </c>
      <c r="B127">
        <v>103.8</v>
      </c>
      <c r="C127">
        <v>105.36</v>
      </c>
      <c r="D127">
        <v>103.69</v>
      </c>
      <c r="E127">
        <v>105.35</v>
      </c>
      <c r="F127">
        <v>2634902</v>
      </c>
    </row>
    <row r="128" spans="1:6">
      <c r="A128" s="39">
        <v>42325</v>
      </c>
      <c r="B128">
        <v>105.51</v>
      </c>
      <c r="C128">
        <v>106.09</v>
      </c>
      <c r="D128">
        <v>104.97</v>
      </c>
      <c r="E128">
        <v>105.22</v>
      </c>
      <c r="F128">
        <v>2243162</v>
      </c>
    </row>
    <row r="129" spans="1:6">
      <c r="A129" s="39">
        <v>42326</v>
      </c>
      <c r="B129">
        <v>105.58</v>
      </c>
      <c r="C129">
        <v>107</v>
      </c>
      <c r="D129">
        <v>105.54</v>
      </c>
      <c r="E129">
        <v>106.9</v>
      </c>
      <c r="F129">
        <v>1705524</v>
      </c>
    </row>
    <row r="130" spans="1:6">
      <c r="A130" s="39">
        <v>42327</v>
      </c>
      <c r="B130">
        <v>106.91</v>
      </c>
      <c r="C130">
        <v>107.08</v>
      </c>
      <c r="D130">
        <v>106.62</v>
      </c>
      <c r="E130">
        <v>106.76</v>
      </c>
      <c r="F130">
        <v>1623427</v>
      </c>
    </row>
    <row r="131" spans="1:6">
      <c r="A131" s="39">
        <v>42328</v>
      </c>
      <c r="B131">
        <v>107.23</v>
      </c>
      <c r="C131">
        <v>107.6</v>
      </c>
      <c r="D131">
        <v>106.98</v>
      </c>
      <c r="E131">
        <v>107.22</v>
      </c>
      <c r="F131">
        <v>1563483</v>
      </c>
    </row>
    <row r="132" spans="1:6">
      <c r="A132" s="39">
        <v>42331</v>
      </c>
      <c r="B132">
        <v>107.23</v>
      </c>
      <c r="C132">
        <v>107.59</v>
      </c>
      <c r="D132">
        <v>106.88</v>
      </c>
      <c r="E132">
        <v>107.11</v>
      </c>
      <c r="F132">
        <v>3143800</v>
      </c>
    </row>
    <row r="133" spans="1:6">
      <c r="A133" s="39">
        <v>42332</v>
      </c>
      <c r="B133">
        <v>106.57</v>
      </c>
      <c r="C133">
        <v>107.59</v>
      </c>
      <c r="D133">
        <v>106.31</v>
      </c>
      <c r="E133">
        <v>107.39</v>
      </c>
      <c r="F133">
        <v>2032647</v>
      </c>
    </row>
    <row r="134" spans="1:6">
      <c r="A134" s="39">
        <v>42333</v>
      </c>
      <c r="B134">
        <v>107.51</v>
      </c>
      <c r="C134">
        <v>107.66</v>
      </c>
      <c r="D134">
        <v>107.25</v>
      </c>
      <c r="E134">
        <v>107.47</v>
      </c>
      <c r="F134">
        <v>1820310</v>
      </c>
    </row>
    <row r="135" spans="1:6">
      <c r="A135" s="39">
        <v>42335</v>
      </c>
      <c r="B135">
        <v>107.59</v>
      </c>
      <c r="C135">
        <v>107.76</v>
      </c>
      <c r="D135">
        <v>107.22</v>
      </c>
      <c r="E135">
        <v>107.63</v>
      </c>
      <c r="F135">
        <v>552449</v>
      </c>
    </row>
    <row r="136" spans="1:6">
      <c r="A136" s="39">
        <v>42338</v>
      </c>
      <c r="B136">
        <v>107.78</v>
      </c>
      <c r="C136">
        <v>107.85</v>
      </c>
      <c r="D136">
        <v>107.11</v>
      </c>
      <c r="E136">
        <v>107.17</v>
      </c>
      <c r="F136">
        <v>3616912</v>
      </c>
    </row>
    <row r="137" spans="1:6">
      <c r="A137" s="39">
        <v>42339</v>
      </c>
      <c r="B137">
        <v>107.59</v>
      </c>
      <c r="C137">
        <v>108.21</v>
      </c>
      <c r="D137">
        <v>107.37</v>
      </c>
      <c r="E137">
        <v>108.18</v>
      </c>
      <c r="F137">
        <v>2444243</v>
      </c>
    </row>
    <row r="138" spans="1:6">
      <c r="A138" s="39">
        <v>42340</v>
      </c>
      <c r="B138">
        <v>108.1</v>
      </c>
      <c r="C138">
        <v>108.26</v>
      </c>
      <c r="D138">
        <v>106.88</v>
      </c>
      <c r="E138">
        <v>107.05</v>
      </c>
      <c r="F138">
        <v>2937219</v>
      </c>
    </row>
    <row r="139" spans="1:6">
      <c r="A139" s="39">
        <v>42341</v>
      </c>
      <c r="B139">
        <v>107.29</v>
      </c>
      <c r="C139">
        <v>107.48</v>
      </c>
      <c r="D139">
        <v>105.06</v>
      </c>
      <c r="E139">
        <v>105.45</v>
      </c>
      <c r="F139">
        <v>3345637</v>
      </c>
    </row>
    <row r="140" spans="1:6">
      <c r="A140" s="39">
        <v>42342</v>
      </c>
      <c r="B140">
        <v>105.81</v>
      </c>
      <c r="C140">
        <v>107.54</v>
      </c>
      <c r="D140">
        <v>105.62</v>
      </c>
      <c r="E140">
        <v>107.39</v>
      </c>
      <c r="F140">
        <v>4520885</v>
      </c>
    </row>
    <row r="141" spans="1:6">
      <c r="A141" s="39">
        <v>42345</v>
      </c>
      <c r="B141">
        <v>107.23</v>
      </c>
      <c r="C141">
        <v>107.27</v>
      </c>
      <c r="D141">
        <v>106.06</v>
      </c>
      <c r="E141">
        <v>106.55</v>
      </c>
      <c r="F141">
        <v>3000773</v>
      </c>
    </row>
    <row r="142" spans="1:6">
      <c r="A142" s="39">
        <v>42346</v>
      </c>
      <c r="B142">
        <v>105.94</v>
      </c>
      <c r="C142">
        <v>106.4</v>
      </c>
      <c r="D142">
        <v>105.27</v>
      </c>
      <c r="E142">
        <v>105.91</v>
      </c>
      <c r="F142">
        <v>3149595</v>
      </c>
    </row>
    <row r="143" spans="1:6">
      <c r="A143" s="39">
        <v>42347</v>
      </c>
      <c r="B143">
        <v>105.55</v>
      </c>
      <c r="C143">
        <v>106.75</v>
      </c>
      <c r="D143">
        <v>104.48</v>
      </c>
      <c r="E143">
        <v>105</v>
      </c>
      <c r="F143">
        <v>4180200</v>
      </c>
    </row>
    <row r="144" spans="1:6">
      <c r="A144" s="39">
        <v>42348</v>
      </c>
      <c r="B144">
        <v>105.18</v>
      </c>
      <c r="C144">
        <v>106.06</v>
      </c>
      <c r="D144">
        <v>104.92</v>
      </c>
      <c r="E144">
        <v>105.31</v>
      </c>
      <c r="F144">
        <v>3685071</v>
      </c>
    </row>
    <row r="145" spans="1:6">
      <c r="A145" s="39">
        <v>42349</v>
      </c>
      <c r="B145">
        <v>104.17</v>
      </c>
      <c r="C145">
        <v>104.43</v>
      </c>
      <c r="D145">
        <v>103.07</v>
      </c>
      <c r="E145">
        <v>103.24</v>
      </c>
      <c r="F145">
        <v>5100745</v>
      </c>
    </row>
    <row r="146" spans="1:6">
      <c r="A146" s="39">
        <v>42352</v>
      </c>
      <c r="B146">
        <v>103.36</v>
      </c>
      <c r="C146">
        <v>103.72</v>
      </c>
      <c r="D146">
        <v>102.18</v>
      </c>
      <c r="E146">
        <v>103.61</v>
      </c>
      <c r="F146">
        <v>7235740</v>
      </c>
    </row>
    <row r="147" spans="1:6">
      <c r="A147" s="39">
        <v>42353</v>
      </c>
      <c r="B147">
        <v>104.44</v>
      </c>
      <c r="C147">
        <v>105.19</v>
      </c>
      <c r="D147">
        <v>104.36</v>
      </c>
      <c r="E147">
        <v>104.72</v>
      </c>
      <c r="F147">
        <v>2918125</v>
      </c>
    </row>
    <row r="148" spans="1:6">
      <c r="A148" s="39">
        <v>42354</v>
      </c>
      <c r="B148">
        <v>105.46</v>
      </c>
      <c r="C148">
        <v>106.42</v>
      </c>
      <c r="D148">
        <v>104.7</v>
      </c>
      <c r="E148">
        <v>106.24</v>
      </c>
      <c r="F148">
        <v>5972417</v>
      </c>
    </row>
    <row r="149" spans="1:6">
      <c r="A149" s="39">
        <v>42355</v>
      </c>
      <c r="B149">
        <v>106.44</v>
      </c>
      <c r="C149">
        <v>106.47</v>
      </c>
      <c r="D149">
        <v>104.68</v>
      </c>
      <c r="E149">
        <v>104.68</v>
      </c>
      <c r="F149">
        <v>4939856</v>
      </c>
    </row>
    <row r="150" spans="1:6">
      <c r="A150" s="39">
        <v>42356</v>
      </c>
      <c r="B150">
        <v>104.17</v>
      </c>
      <c r="C150">
        <v>104.36</v>
      </c>
      <c r="D150">
        <v>102.9</v>
      </c>
      <c r="E150">
        <v>102.9</v>
      </c>
      <c r="F150">
        <v>4207675</v>
      </c>
    </row>
    <row r="151" spans="1:6">
      <c r="A151" s="39">
        <v>42359</v>
      </c>
      <c r="B151">
        <v>103.19</v>
      </c>
      <c r="C151">
        <v>103.28</v>
      </c>
      <c r="D151">
        <v>102.37</v>
      </c>
      <c r="E151">
        <v>103.13</v>
      </c>
      <c r="F151">
        <v>3240650</v>
      </c>
    </row>
    <row r="152" spans="1:6">
      <c r="A152" s="39">
        <v>42360</v>
      </c>
      <c r="B152">
        <v>103.65</v>
      </c>
      <c r="C152">
        <v>104.26</v>
      </c>
      <c r="D152">
        <v>103.04</v>
      </c>
      <c r="E152">
        <v>104.06</v>
      </c>
      <c r="F152">
        <v>2876558</v>
      </c>
    </row>
    <row r="153" spans="1:6">
      <c r="A153" s="39">
        <v>42361</v>
      </c>
      <c r="B153">
        <v>104.63</v>
      </c>
      <c r="C153">
        <v>105.4</v>
      </c>
      <c r="D153">
        <v>104.51</v>
      </c>
      <c r="E153">
        <v>105.36</v>
      </c>
      <c r="F153">
        <v>3342450</v>
      </c>
    </row>
    <row r="154" spans="1:6">
      <c r="A154" s="39">
        <v>42362</v>
      </c>
      <c r="B154">
        <v>105.22</v>
      </c>
      <c r="C154">
        <v>105.6</v>
      </c>
      <c r="D154">
        <v>105.08</v>
      </c>
      <c r="E154">
        <v>105.23</v>
      </c>
      <c r="F154">
        <v>1460512</v>
      </c>
    </row>
    <row r="155" spans="1:6">
      <c r="A155" s="39">
        <v>42366</v>
      </c>
      <c r="B155">
        <v>104.88</v>
      </c>
      <c r="C155">
        <v>105</v>
      </c>
      <c r="D155">
        <v>104.32</v>
      </c>
      <c r="E155">
        <v>105</v>
      </c>
      <c r="F155">
        <v>3479620</v>
      </c>
    </row>
    <row r="156" spans="1:6">
      <c r="A156" s="39">
        <v>42367</v>
      </c>
      <c r="B156">
        <v>105.69</v>
      </c>
      <c r="C156">
        <v>106.24</v>
      </c>
      <c r="D156">
        <v>105.54</v>
      </c>
      <c r="E156">
        <v>106.12</v>
      </c>
      <c r="F156">
        <v>2508257</v>
      </c>
    </row>
    <row r="157" spans="1:6">
      <c r="A157" s="39">
        <v>42368</v>
      </c>
      <c r="B157">
        <v>105.96</v>
      </c>
      <c r="C157">
        <v>106</v>
      </c>
      <c r="D157">
        <v>105.25</v>
      </c>
      <c r="E157">
        <v>105.32</v>
      </c>
      <c r="F157">
        <v>2406101</v>
      </c>
    </row>
    <row r="158" spans="1:6">
      <c r="A158" s="39">
        <v>42369</v>
      </c>
      <c r="B158">
        <v>104.93</v>
      </c>
      <c r="C158">
        <v>105.32</v>
      </c>
      <c r="D158">
        <v>104.3</v>
      </c>
      <c r="E158">
        <v>104.3</v>
      </c>
      <c r="F158">
        <v>3652676</v>
      </c>
    </row>
    <row r="159" spans="1:6">
      <c r="A159" s="39">
        <v>42373</v>
      </c>
      <c r="B159">
        <v>102.58</v>
      </c>
      <c r="C159">
        <v>102.95</v>
      </c>
      <c r="D159">
        <v>101.58</v>
      </c>
      <c r="E159">
        <v>102.74</v>
      </c>
      <c r="F159">
        <v>6137067</v>
      </c>
    </row>
    <row r="160" spans="1:6">
      <c r="A160" s="39">
        <v>42374</v>
      </c>
      <c r="B160">
        <v>102.9</v>
      </c>
      <c r="C160">
        <v>103.18</v>
      </c>
      <c r="D160">
        <v>102.3</v>
      </c>
      <c r="E160">
        <v>102.97</v>
      </c>
      <c r="F160">
        <v>3652342</v>
      </c>
    </row>
    <row r="161" spans="1:6">
      <c r="A161" s="39">
        <v>42375</v>
      </c>
      <c r="B161">
        <v>101.53</v>
      </c>
      <c r="C161">
        <v>102.23</v>
      </c>
      <c r="D161">
        <v>100.95</v>
      </c>
      <c r="E161">
        <v>101.59</v>
      </c>
      <c r="F161">
        <v>3732756</v>
      </c>
    </row>
    <row r="162" spans="1:6">
      <c r="A162" s="39">
        <v>42376</v>
      </c>
      <c r="B162">
        <v>99.9</v>
      </c>
      <c r="C162">
        <v>100.8</v>
      </c>
      <c r="D162">
        <v>98.87</v>
      </c>
      <c r="E162">
        <v>99.1</v>
      </c>
      <c r="F162">
        <v>9256180</v>
      </c>
    </row>
    <row r="163" spans="1:6">
      <c r="A163" s="39">
        <v>42377</v>
      </c>
      <c r="B163">
        <v>99.61</v>
      </c>
      <c r="C163">
        <v>99.99</v>
      </c>
      <c r="D163">
        <v>97.78</v>
      </c>
      <c r="E163">
        <v>97.97</v>
      </c>
      <c r="F163">
        <v>7015831</v>
      </c>
    </row>
    <row r="164" spans="1:6">
      <c r="A164" s="39">
        <v>42380</v>
      </c>
      <c r="B164">
        <v>98.55</v>
      </c>
      <c r="C164">
        <v>98.67</v>
      </c>
      <c r="D164">
        <v>96.78</v>
      </c>
      <c r="E164">
        <v>97.91</v>
      </c>
      <c r="F164">
        <v>6863777</v>
      </c>
    </row>
    <row r="165" spans="1:6">
      <c r="A165" s="39">
        <v>42381</v>
      </c>
      <c r="B165">
        <v>98.8</v>
      </c>
      <c r="C165">
        <v>99.17</v>
      </c>
      <c r="D165">
        <v>97.28</v>
      </c>
      <c r="E165">
        <v>98.58</v>
      </c>
      <c r="F165">
        <v>4457335</v>
      </c>
    </row>
    <row r="166" spans="1:6">
      <c r="A166" s="39">
        <v>42382</v>
      </c>
      <c r="B166">
        <v>99</v>
      </c>
      <c r="C166">
        <v>99.2</v>
      </c>
      <c r="D166">
        <v>95.78</v>
      </c>
      <c r="E166">
        <v>96.04</v>
      </c>
      <c r="F166">
        <v>6158614</v>
      </c>
    </row>
    <row r="167" spans="1:6">
      <c r="A167" s="39">
        <v>42383</v>
      </c>
      <c r="B167">
        <v>96.36</v>
      </c>
      <c r="C167">
        <v>98.18</v>
      </c>
      <c r="D167">
        <v>95.33</v>
      </c>
      <c r="E167">
        <v>97.51</v>
      </c>
      <c r="F167">
        <v>5084407</v>
      </c>
    </row>
    <row r="168" spans="1:6">
      <c r="A168" s="39">
        <v>42384</v>
      </c>
      <c r="B168">
        <v>95.05</v>
      </c>
      <c r="C168">
        <v>95.88</v>
      </c>
      <c r="D168">
        <v>94.22</v>
      </c>
      <c r="E168">
        <v>95.46</v>
      </c>
      <c r="F168">
        <v>8049094</v>
      </c>
    </row>
    <row r="169" spans="1:6">
      <c r="A169" s="39">
        <v>42388</v>
      </c>
      <c r="B169">
        <v>96.57</v>
      </c>
      <c r="C169">
        <v>96.67</v>
      </c>
      <c r="D169">
        <v>94.5</v>
      </c>
      <c r="E169">
        <v>95.36</v>
      </c>
      <c r="F169">
        <v>7423379</v>
      </c>
    </row>
    <row r="170" spans="1:6">
      <c r="A170" s="39">
        <v>42389</v>
      </c>
      <c r="B170">
        <v>94</v>
      </c>
      <c r="C170">
        <v>95.27</v>
      </c>
      <c r="D170">
        <v>91.79</v>
      </c>
      <c r="E170">
        <v>94.42</v>
      </c>
      <c r="F170">
        <v>13844892</v>
      </c>
    </row>
    <row r="171" spans="1:6">
      <c r="A171" s="39">
        <v>42390</v>
      </c>
      <c r="B171">
        <v>94.7</v>
      </c>
      <c r="C171">
        <v>95.96</v>
      </c>
      <c r="D171">
        <v>93.82</v>
      </c>
      <c r="E171">
        <v>94.79</v>
      </c>
      <c r="F171">
        <v>7166778</v>
      </c>
    </row>
    <row r="172" spans="1:6">
      <c r="A172" s="39">
        <v>42391</v>
      </c>
      <c r="B172">
        <v>96.33</v>
      </c>
      <c r="C172">
        <v>96.89</v>
      </c>
      <c r="D172">
        <v>95.95</v>
      </c>
      <c r="E172">
        <v>96.81</v>
      </c>
      <c r="F172">
        <v>3700370</v>
      </c>
    </row>
    <row r="173" spans="1:6">
      <c r="A173" s="39">
        <v>42394</v>
      </c>
      <c r="B173">
        <v>96.64</v>
      </c>
      <c r="C173">
        <v>96.65</v>
      </c>
      <c r="D173">
        <v>95.11</v>
      </c>
      <c r="E173">
        <v>95.22</v>
      </c>
      <c r="F173">
        <v>4469445</v>
      </c>
    </row>
    <row r="174" spans="1:6">
      <c r="A174" s="39">
        <v>42395</v>
      </c>
      <c r="B174">
        <v>95.6</v>
      </c>
      <c r="C174">
        <v>96.82</v>
      </c>
      <c r="D174">
        <v>95.44</v>
      </c>
      <c r="E174">
        <v>96.67</v>
      </c>
      <c r="F174">
        <v>3333211</v>
      </c>
    </row>
    <row r="175" spans="1:6">
      <c r="A175" s="39">
        <v>42396</v>
      </c>
      <c r="B175">
        <v>96.4</v>
      </c>
      <c r="C175">
        <v>97.32</v>
      </c>
      <c r="D175">
        <v>95.05</v>
      </c>
      <c r="E175">
        <v>95.57</v>
      </c>
      <c r="F175">
        <v>5201945</v>
      </c>
    </row>
    <row r="176" spans="1:6">
      <c r="A176" s="39">
        <v>42397</v>
      </c>
      <c r="B176">
        <v>96.56</v>
      </c>
      <c r="C176">
        <v>96.66</v>
      </c>
      <c r="D176">
        <v>95.05</v>
      </c>
      <c r="E176">
        <v>95.95</v>
      </c>
      <c r="F176">
        <v>4540658</v>
      </c>
    </row>
    <row r="177" spans="1:6">
      <c r="A177" s="39">
        <v>42398</v>
      </c>
      <c r="B177">
        <v>96.45</v>
      </c>
      <c r="C177">
        <v>98.36</v>
      </c>
      <c r="D177">
        <v>96.35</v>
      </c>
      <c r="E177">
        <v>98.33</v>
      </c>
      <c r="F177">
        <v>5003751</v>
      </c>
    </row>
    <row r="178" spans="1:6">
      <c r="A178" s="39">
        <v>42401</v>
      </c>
      <c r="B178">
        <v>97.75</v>
      </c>
      <c r="C178">
        <v>98.81</v>
      </c>
      <c r="D178">
        <v>97.37</v>
      </c>
      <c r="E178">
        <v>98.35</v>
      </c>
      <c r="F178">
        <v>3868976</v>
      </c>
    </row>
    <row r="179" spans="1:6">
      <c r="A179" s="39">
        <v>42402</v>
      </c>
      <c r="B179">
        <v>97.5</v>
      </c>
      <c r="C179">
        <v>97.55</v>
      </c>
      <c r="D179">
        <v>96.16</v>
      </c>
      <c r="E179">
        <v>96.45</v>
      </c>
      <c r="F179">
        <v>3276209</v>
      </c>
    </row>
    <row r="180" spans="1:6">
      <c r="A180" s="39">
        <v>42403</v>
      </c>
      <c r="B180">
        <v>97.09</v>
      </c>
      <c r="C180">
        <v>97.29</v>
      </c>
      <c r="D180">
        <v>94.89</v>
      </c>
      <c r="E180">
        <v>97.03</v>
      </c>
      <c r="F180">
        <v>5457339</v>
      </c>
    </row>
    <row r="181" spans="1:6">
      <c r="A181" s="39">
        <v>42404</v>
      </c>
      <c r="B181">
        <v>96.79</v>
      </c>
      <c r="C181">
        <v>97.92</v>
      </c>
      <c r="D181">
        <v>96.47</v>
      </c>
      <c r="E181">
        <v>97.26</v>
      </c>
      <c r="F181">
        <v>3431752</v>
      </c>
    </row>
    <row r="182" spans="1:6">
      <c r="A182" s="39">
        <v>42405</v>
      </c>
      <c r="B182">
        <v>96.94</v>
      </c>
      <c r="C182">
        <v>97</v>
      </c>
      <c r="D182">
        <v>94.95</v>
      </c>
      <c r="E182">
        <v>95.26</v>
      </c>
      <c r="F182">
        <v>3992571</v>
      </c>
    </row>
    <row r="183" spans="1:6">
      <c r="A183" s="39">
        <v>42408</v>
      </c>
      <c r="B183">
        <v>94.2</v>
      </c>
      <c r="C183">
        <v>94.38</v>
      </c>
      <c r="D183">
        <v>92.5</v>
      </c>
      <c r="E183">
        <v>93.78</v>
      </c>
      <c r="F183">
        <v>6302884</v>
      </c>
    </row>
    <row r="184" spans="1:6">
      <c r="A184" s="39">
        <v>42409</v>
      </c>
      <c r="B184">
        <v>92.84</v>
      </c>
      <c r="C184">
        <v>94.47</v>
      </c>
      <c r="D184">
        <v>92.7</v>
      </c>
      <c r="E184">
        <v>93.66</v>
      </c>
      <c r="F184">
        <v>4793910</v>
      </c>
    </row>
    <row r="185" spans="1:6">
      <c r="A185" s="39">
        <v>42410</v>
      </c>
      <c r="B185">
        <v>94.19</v>
      </c>
      <c r="C185">
        <v>95.27</v>
      </c>
      <c r="D185">
        <v>93.62</v>
      </c>
      <c r="E185">
        <v>93.72</v>
      </c>
      <c r="F185">
        <v>3572765</v>
      </c>
    </row>
    <row r="186" spans="1:6">
      <c r="A186" s="39">
        <v>42411</v>
      </c>
      <c r="B186">
        <v>92.39</v>
      </c>
      <c r="C186">
        <v>93.06</v>
      </c>
      <c r="D186">
        <v>91.58</v>
      </c>
      <c r="E186">
        <v>92.56</v>
      </c>
      <c r="F186">
        <v>7238551</v>
      </c>
    </row>
    <row r="187" spans="1:6">
      <c r="A187" s="39">
        <v>42412</v>
      </c>
      <c r="B187">
        <v>93.47</v>
      </c>
      <c r="C187">
        <v>94.38</v>
      </c>
      <c r="D187">
        <v>93.01</v>
      </c>
      <c r="E187">
        <v>94.36</v>
      </c>
      <c r="F187">
        <v>2946284</v>
      </c>
    </row>
    <row r="188" spans="1:6">
      <c r="A188" s="39">
        <v>42416</v>
      </c>
      <c r="B188">
        <v>95.62</v>
      </c>
      <c r="C188">
        <v>96.09</v>
      </c>
      <c r="D188">
        <v>94.96</v>
      </c>
      <c r="E188">
        <v>96.08</v>
      </c>
      <c r="F188">
        <v>3534201</v>
      </c>
    </row>
    <row r="189" spans="1:6">
      <c r="A189" s="39">
        <v>42417</v>
      </c>
      <c r="B189">
        <v>96.77</v>
      </c>
      <c r="C189">
        <v>97.93</v>
      </c>
      <c r="D189">
        <v>96.59</v>
      </c>
      <c r="E189">
        <v>97.67</v>
      </c>
      <c r="F189">
        <v>3632804</v>
      </c>
    </row>
    <row r="190" spans="1:6">
      <c r="A190" s="39">
        <v>42418</v>
      </c>
      <c r="B190">
        <v>97.9</v>
      </c>
      <c r="C190">
        <v>97.92</v>
      </c>
      <c r="D190">
        <v>97.09</v>
      </c>
      <c r="E190">
        <v>97.28</v>
      </c>
      <c r="F190">
        <v>2396328</v>
      </c>
    </row>
    <row r="191" spans="1:6">
      <c r="A191" s="39">
        <v>42419</v>
      </c>
      <c r="B191">
        <v>96.85</v>
      </c>
      <c r="C191">
        <v>97.36</v>
      </c>
      <c r="D191">
        <v>96.43</v>
      </c>
      <c r="E191">
        <v>97.3</v>
      </c>
      <c r="F191">
        <v>2242995</v>
      </c>
    </row>
    <row r="192" spans="1:6">
      <c r="A192" s="39">
        <v>42422</v>
      </c>
      <c r="B192">
        <v>98.24</v>
      </c>
      <c r="C192">
        <v>98.8</v>
      </c>
      <c r="D192">
        <v>98.11</v>
      </c>
      <c r="E192">
        <v>98.72</v>
      </c>
      <c r="F192">
        <v>2234930</v>
      </c>
    </row>
    <row r="193" spans="1:6">
      <c r="A193" s="39">
        <v>42423</v>
      </c>
      <c r="B193">
        <v>98.38</v>
      </c>
      <c r="C193">
        <v>98.52</v>
      </c>
      <c r="D193">
        <v>97.47</v>
      </c>
      <c r="E193">
        <v>97.53</v>
      </c>
      <c r="F193">
        <v>3197973</v>
      </c>
    </row>
    <row r="194" spans="1:6">
      <c r="A194" s="39">
        <v>42424</v>
      </c>
      <c r="B194">
        <v>96.58</v>
      </c>
      <c r="C194">
        <v>98.14</v>
      </c>
      <c r="D194">
        <v>95.99</v>
      </c>
      <c r="E194">
        <v>98.03</v>
      </c>
      <c r="F194">
        <v>3252914</v>
      </c>
    </row>
    <row r="195" spans="1:6">
      <c r="A195" s="39">
        <v>42425</v>
      </c>
      <c r="B195">
        <v>98.27</v>
      </c>
      <c r="C195">
        <v>99.19</v>
      </c>
      <c r="D195">
        <v>97.82</v>
      </c>
      <c r="E195">
        <v>99.19</v>
      </c>
      <c r="F195">
        <v>4960795</v>
      </c>
    </row>
    <row r="196" spans="1:6">
      <c r="A196" s="39">
        <v>42426</v>
      </c>
      <c r="B196">
        <v>99.67</v>
      </c>
      <c r="C196">
        <v>99.76</v>
      </c>
      <c r="D196">
        <v>98.96</v>
      </c>
      <c r="E196">
        <v>99.11</v>
      </c>
      <c r="F196">
        <v>3194303</v>
      </c>
    </row>
    <row r="197" spans="1:6">
      <c r="A197" s="39">
        <v>42429</v>
      </c>
      <c r="B197">
        <v>99.12</v>
      </c>
      <c r="C197">
        <v>99.69</v>
      </c>
      <c r="D197">
        <v>98.32</v>
      </c>
      <c r="E197">
        <v>98.32</v>
      </c>
      <c r="F197">
        <v>2748264</v>
      </c>
    </row>
    <row r="198" spans="1:6">
      <c r="A198" s="39">
        <v>42430</v>
      </c>
      <c r="B198">
        <v>99.13</v>
      </c>
      <c r="C198">
        <v>100.68</v>
      </c>
      <c r="D198">
        <v>98.84</v>
      </c>
      <c r="E198">
        <v>100.66</v>
      </c>
      <c r="F198">
        <v>2954337</v>
      </c>
    </row>
    <row r="199" spans="1:6">
      <c r="A199" s="39">
        <v>42431</v>
      </c>
      <c r="B199">
        <v>100.52</v>
      </c>
      <c r="C199">
        <v>101.24</v>
      </c>
      <c r="D199">
        <v>100.26</v>
      </c>
      <c r="E199">
        <v>101.22</v>
      </c>
      <c r="F199">
        <v>3591397</v>
      </c>
    </row>
    <row r="200" spans="1:6">
      <c r="A200" s="39">
        <v>42432</v>
      </c>
      <c r="B200">
        <v>101.13</v>
      </c>
      <c r="C200">
        <v>101.75</v>
      </c>
      <c r="D200">
        <v>100.85</v>
      </c>
      <c r="E200">
        <v>101.72</v>
      </c>
      <c r="F200">
        <v>2703325</v>
      </c>
    </row>
    <row r="201" spans="1:6">
      <c r="A201" s="39">
        <v>42433</v>
      </c>
      <c r="B201">
        <v>101.89</v>
      </c>
      <c r="C201">
        <v>102.6</v>
      </c>
      <c r="D201">
        <v>101.4</v>
      </c>
      <c r="E201">
        <v>102.07</v>
      </c>
      <c r="F201">
        <v>2442158</v>
      </c>
    </row>
    <row r="202" spans="1:6">
      <c r="A202" s="39">
        <v>42436</v>
      </c>
      <c r="B202">
        <v>101.65</v>
      </c>
      <c r="C202">
        <v>102.56</v>
      </c>
      <c r="D202">
        <v>101.56</v>
      </c>
      <c r="E202">
        <v>102.28</v>
      </c>
      <c r="F202">
        <v>2963940</v>
      </c>
    </row>
    <row r="203" spans="1:6">
      <c r="A203" s="39">
        <v>42437</v>
      </c>
      <c r="B203">
        <v>101.73</v>
      </c>
      <c r="C203">
        <v>101.8</v>
      </c>
      <c r="D203">
        <v>100.91</v>
      </c>
      <c r="E203">
        <v>101.01</v>
      </c>
      <c r="F203">
        <v>3435687</v>
      </c>
    </row>
    <row r="204" spans="1:6">
      <c r="A204" s="39">
        <v>42438</v>
      </c>
      <c r="B204">
        <v>101.5</v>
      </c>
      <c r="C204">
        <v>101.7</v>
      </c>
      <c r="D204">
        <v>100.98</v>
      </c>
      <c r="E204">
        <v>101.5</v>
      </c>
      <c r="F204">
        <v>2131714</v>
      </c>
    </row>
    <row r="205" spans="1:6">
      <c r="A205" s="39">
        <v>42439</v>
      </c>
      <c r="B205">
        <v>101.8</v>
      </c>
      <c r="C205">
        <v>102.3</v>
      </c>
      <c r="D205">
        <v>100.4</v>
      </c>
      <c r="E205">
        <v>101.47</v>
      </c>
      <c r="F205">
        <v>3702043</v>
      </c>
    </row>
    <row r="206" spans="1:6">
      <c r="A206" s="39">
        <v>42440</v>
      </c>
      <c r="B206">
        <v>102.37</v>
      </c>
      <c r="C206">
        <v>103.24</v>
      </c>
      <c r="D206">
        <v>102.33</v>
      </c>
      <c r="E206">
        <v>103.19</v>
      </c>
      <c r="F206">
        <v>3250998</v>
      </c>
    </row>
    <row r="207" spans="1:6">
      <c r="A207" s="39">
        <v>42443</v>
      </c>
      <c r="B207">
        <v>102.88</v>
      </c>
      <c r="C207">
        <v>103.32</v>
      </c>
      <c r="D207">
        <v>102.69</v>
      </c>
      <c r="E207">
        <v>103.07</v>
      </c>
      <c r="F207">
        <v>2986164</v>
      </c>
    </row>
    <row r="208" spans="1:6">
      <c r="A208" s="39">
        <v>42444</v>
      </c>
      <c r="B208">
        <v>102</v>
      </c>
      <c r="C208">
        <v>102.26</v>
      </c>
      <c r="D208">
        <v>101.76</v>
      </c>
      <c r="E208">
        <v>102.24</v>
      </c>
      <c r="F208">
        <v>2992775</v>
      </c>
    </row>
    <row r="209" spans="1:6">
      <c r="A209" s="39">
        <v>42445</v>
      </c>
      <c r="B209">
        <v>101.99</v>
      </c>
      <c r="C209">
        <v>103.09</v>
      </c>
      <c r="D209">
        <v>101.91</v>
      </c>
      <c r="E209">
        <v>102.88</v>
      </c>
      <c r="F209">
        <v>3073226</v>
      </c>
    </row>
    <row r="210" spans="1:6">
      <c r="A210" s="39">
        <v>42446</v>
      </c>
      <c r="B210">
        <v>102.87</v>
      </c>
      <c r="C210">
        <v>103.92</v>
      </c>
      <c r="D210">
        <v>102.6</v>
      </c>
      <c r="E210">
        <v>103.67</v>
      </c>
      <c r="F210">
        <v>3471824</v>
      </c>
    </row>
    <row r="211" spans="1:6">
      <c r="A211" s="39">
        <v>42447</v>
      </c>
      <c r="B211">
        <v>103.95</v>
      </c>
      <c r="C211">
        <v>104.28</v>
      </c>
      <c r="D211">
        <v>103.8</v>
      </c>
      <c r="E211">
        <v>104.13</v>
      </c>
      <c r="F211">
        <v>2942342</v>
      </c>
    </row>
    <row r="212" spans="1:6">
      <c r="A212" s="39">
        <v>42450</v>
      </c>
      <c r="B212">
        <v>103.98</v>
      </c>
      <c r="C212">
        <v>104.36</v>
      </c>
      <c r="D212">
        <v>103.8</v>
      </c>
      <c r="E212">
        <v>104.23</v>
      </c>
      <c r="F212">
        <v>2472898</v>
      </c>
    </row>
    <row r="213" spans="1:6">
      <c r="A213" s="39">
        <v>42451</v>
      </c>
      <c r="B213">
        <v>103.75</v>
      </c>
      <c r="C213">
        <v>104.52</v>
      </c>
      <c r="D213">
        <v>103.61</v>
      </c>
      <c r="E213">
        <v>104.2</v>
      </c>
      <c r="F213">
        <v>1962641</v>
      </c>
    </row>
    <row r="214" spans="1:6">
      <c r="A214" s="39">
        <v>42452</v>
      </c>
      <c r="B214">
        <v>104.04</v>
      </c>
      <c r="C214">
        <v>104.04</v>
      </c>
      <c r="D214">
        <v>103.28</v>
      </c>
      <c r="E214">
        <v>103.35</v>
      </c>
      <c r="F214">
        <v>6081892</v>
      </c>
    </row>
    <row r="215" spans="1:6">
      <c r="A215" s="39">
        <v>42453</v>
      </c>
      <c r="B215">
        <v>102.76</v>
      </c>
      <c r="C215">
        <v>103.33</v>
      </c>
      <c r="D215">
        <v>102.53</v>
      </c>
      <c r="E215">
        <v>103.32</v>
      </c>
      <c r="F215">
        <v>2173043</v>
      </c>
    </row>
    <row r="216" spans="1:6">
      <c r="A216" s="39">
        <v>42457</v>
      </c>
      <c r="B216">
        <v>103.58</v>
      </c>
      <c r="C216">
        <v>103.71</v>
      </c>
      <c r="D216">
        <v>103.07</v>
      </c>
      <c r="E216">
        <v>103.39</v>
      </c>
      <c r="F216">
        <v>2103362</v>
      </c>
    </row>
    <row r="217" spans="1:6">
      <c r="A217" s="39">
        <v>42458</v>
      </c>
      <c r="B217">
        <v>103.19</v>
      </c>
      <c r="C217">
        <v>104.55</v>
      </c>
      <c r="D217">
        <v>102.96</v>
      </c>
      <c r="E217">
        <v>104.54</v>
      </c>
      <c r="F217">
        <v>2920301</v>
      </c>
    </row>
    <row r="218" spans="1:6">
      <c r="A218" s="39">
        <v>42459</v>
      </c>
      <c r="B218">
        <v>105.04</v>
      </c>
      <c r="C218">
        <v>105.39</v>
      </c>
      <c r="D218">
        <v>104.73</v>
      </c>
      <c r="E218">
        <v>104.94</v>
      </c>
      <c r="F218">
        <v>2257814</v>
      </c>
    </row>
    <row r="219" spans="1:6">
      <c r="A219" s="39">
        <v>42460</v>
      </c>
      <c r="B219">
        <v>104.97</v>
      </c>
      <c r="C219">
        <v>105.22</v>
      </c>
      <c r="D219">
        <v>104.7</v>
      </c>
      <c r="E219">
        <v>104.82</v>
      </c>
      <c r="F219">
        <v>2229507</v>
      </c>
    </row>
    <row r="220" spans="1:6">
      <c r="A220" s="39">
        <v>42461</v>
      </c>
      <c r="B220">
        <v>104.3</v>
      </c>
      <c r="C220">
        <v>105.57</v>
      </c>
      <c r="D220">
        <v>103.95</v>
      </c>
      <c r="E220">
        <v>105.48</v>
      </c>
      <c r="F220">
        <v>2994475</v>
      </c>
    </row>
    <row r="221" spans="1:6">
      <c r="A221" s="39">
        <v>42464</v>
      </c>
      <c r="B221">
        <v>105.49</v>
      </c>
      <c r="C221">
        <v>105.55</v>
      </c>
      <c r="D221">
        <v>104.89</v>
      </c>
      <c r="E221">
        <v>105.04</v>
      </c>
      <c r="F221">
        <v>1846750</v>
      </c>
    </row>
    <row r="222" spans="1:6">
      <c r="A222" s="39">
        <v>42465</v>
      </c>
      <c r="B222">
        <v>104.31</v>
      </c>
      <c r="C222">
        <v>104.55</v>
      </c>
      <c r="D222">
        <v>103.87</v>
      </c>
      <c r="E222">
        <v>104.02</v>
      </c>
      <c r="F222">
        <v>2572077</v>
      </c>
    </row>
    <row r="223" spans="1:6">
      <c r="A223" s="39">
        <v>42466</v>
      </c>
      <c r="B223">
        <v>104.09</v>
      </c>
      <c r="C223">
        <v>105.2</v>
      </c>
      <c r="D223">
        <v>103.9</v>
      </c>
      <c r="E223">
        <v>105.16</v>
      </c>
      <c r="F223">
        <v>2571124</v>
      </c>
    </row>
    <row r="224" spans="1:6">
      <c r="A224" s="39">
        <v>42467</v>
      </c>
      <c r="B224">
        <v>104.5</v>
      </c>
      <c r="C224">
        <v>104.74</v>
      </c>
      <c r="D224">
        <v>103.44</v>
      </c>
      <c r="E224">
        <v>103.9</v>
      </c>
      <c r="F224">
        <v>2134785</v>
      </c>
    </row>
    <row r="225" spans="1:6">
      <c r="A225" s="39">
        <v>42468</v>
      </c>
      <c r="B225">
        <v>104.57</v>
      </c>
      <c r="C225">
        <v>104.9</v>
      </c>
      <c r="D225">
        <v>103.91</v>
      </c>
      <c r="E225">
        <v>104.2</v>
      </c>
      <c r="F225">
        <v>2337002</v>
      </c>
    </row>
    <row r="226" spans="1:6">
      <c r="A226" s="39">
        <v>42471</v>
      </c>
      <c r="B226">
        <v>104.65</v>
      </c>
      <c r="C226">
        <v>105.05</v>
      </c>
      <c r="D226">
        <v>103.91</v>
      </c>
      <c r="E226">
        <v>103.91</v>
      </c>
      <c r="F226">
        <v>2275491</v>
      </c>
    </row>
    <row r="227" spans="1:6">
      <c r="A227" s="39">
        <v>42472</v>
      </c>
      <c r="B227">
        <v>104.1</v>
      </c>
      <c r="C227">
        <v>105.1</v>
      </c>
      <c r="D227">
        <v>103.78</v>
      </c>
      <c r="E227">
        <v>104.92</v>
      </c>
      <c r="F227">
        <v>2357534</v>
      </c>
    </row>
    <row r="228" spans="1:6">
      <c r="A228" s="39">
        <v>42473</v>
      </c>
      <c r="B228">
        <v>105.5</v>
      </c>
      <c r="C228">
        <v>106.17</v>
      </c>
      <c r="D228">
        <v>105.43</v>
      </c>
      <c r="E228">
        <v>106.15</v>
      </c>
      <c r="F228">
        <v>2863497</v>
      </c>
    </row>
    <row r="229" spans="1:6">
      <c r="A229" s="39">
        <v>42474</v>
      </c>
      <c r="B229">
        <v>106.24</v>
      </c>
      <c r="C229">
        <v>106.39</v>
      </c>
      <c r="D229">
        <v>105.9</v>
      </c>
      <c r="E229">
        <v>106.11</v>
      </c>
      <c r="F229">
        <v>1666887</v>
      </c>
    </row>
    <row r="230" spans="1:6">
      <c r="A230" s="39">
        <v>42475</v>
      </c>
      <c r="B230">
        <v>106.12</v>
      </c>
      <c r="C230">
        <v>106.19</v>
      </c>
      <c r="D230">
        <v>105.87</v>
      </c>
      <c r="E230">
        <v>106.06</v>
      </c>
      <c r="F230">
        <v>1622495</v>
      </c>
    </row>
    <row r="231" spans="1:6">
      <c r="A231" s="39">
        <v>42478</v>
      </c>
      <c r="B231">
        <v>105.74</v>
      </c>
      <c r="C231">
        <v>106.79</v>
      </c>
      <c r="D231">
        <v>105.61</v>
      </c>
      <c r="E231">
        <v>106.77</v>
      </c>
      <c r="F231">
        <v>1764647</v>
      </c>
    </row>
    <row r="232" spans="1:6">
      <c r="A232" s="39">
        <v>42479</v>
      </c>
      <c r="B232">
        <v>107.02</v>
      </c>
      <c r="C232">
        <v>107.31</v>
      </c>
      <c r="D232">
        <v>106.61</v>
      </c>
      <c r="E232">
        <v>107.07</v>
      </c>
      <c r="F232">
        <v>2103737</v>
      </c>
    </row>
    <row r="233" spans="1:6">
      <c r="A233" s="39">
        <v>42480</v>
      </c>
      <c r="B233">
        <v>107.21</v>
      </c>
      <c r="C233">
        <v>107.64</v>
      </c>
      <c r="D233">
        <v>106.83</v>
      </c>
      <c r="E233">
        <v>107.18</v>
      </c>
      <c r="F233">
        <v>1958310</v>
      </c>
    </row>
    <row r="234" spans="1:6">
      <c r="A234" s="39">
        <v>42481</v>
      </c>
      <c r="B234">
        <v>107.26</v>
      </c>
      <c r="C234">
        <v>107.33</v>
      </c>
      <c r="D234">
        <v>106.48</v>
      </c>
      <c r="E234">
        <v>106.65</v>
      </c>
      <c r="F234">
        <v>1674986</v>
      </c>
    </row>
    <row r="235" spans="1:6">
      <c r="A235" s="39">
        <v>42482</v>
      </c>
      <c r="B235">
        <v>106.51</v>
      </c>
      <c r="C235">
        <v>106.93</v>
      </c>
      <c r="D235">
        <v>106.24</v>
      </c>
      <c r="E235">
        <v>106.8</v>
      </c>
      <c r="F235">
        <v>1893723</v>
      </c>
    </row>
    <row r="236" spans="1:6">
      <c r="A236" s="39">
        <v>42485</v>
      </c>
      <c r="B236">
        <v>106.51</v>
      </c>
      <c r="C236">
        <v>106.59</v>
      </c>
      <c r="D236">
        <v>106.06</v>
      </c>
      <c r="E236">
        <v>106.54</v>
      </c>
      <c r="F236">
        <v>2088117</v>
      </c>
    </row>
    <row r="237" spans="1:6">
      <c r="A237" s="39">
        <v>42486</v>
      </c>
      <c r="B237">
        <v>106.55</v>
      </c>
      <c r="C237">
        <v>107.05</v>
      </c>
      <c r="D237">
        <v>106.44</v>
      </c>
      <c r="E237">
        <v>106.83</v>
      </c>
      <c r="F237">
        <v>1744055</v>
      </c>
    </row>
    <row r="238" spans="1:6">
      <c r="A238" s="39">
        <v>42487</v>
      </c>
      <c r="B238">
        <v>106.66</v>
      </c>
      <c r="C238">
        <v>107.33</v>
      </c>
      <c r="D238">
        <v>106.42</v>
      </c>
      <c r="E238">
        <v>107.09</v>
      </c>
      <c r="F238">
        <v>2268054</v>
      </c>
    </row>
    <row r="239" spans="1:6">
      <c r="A239" s="39">
        <v>42488</v>
      </c>
      <c r="B239">
        <v>106.63</v>
      </c>
      <c r="C239">
        <v>107.3</v>
      </c>
      <c r="D239">
        <v>105.87</v>
      </c>
      <c r="E239">
        <v>106.13</v>
      </c>
      <c r="F239">
        <v>4833688</v>
      </c>
    </row>
    <row r="240" spans="1:6">
      <c r="A240" s="39">
        <v>42489</v>
      </c>
      <c r="B240">
        <v>105.8</v>
      </c>
      <c r="C240">
        <v>105.96</v>
      </c>
      <c r="D240">
        <v>104.8</v>
      </c>
      <c r="E240">
        <v>105.51</v>
      </c>
      <c r="F240">
        <v>3067365</v>
      </c>
    </row>
    <row r="241" spans="1:6">
      <c r="A241" s="39">
        <v>42492</v>
      </c>
      <c r="B241">
        <v>105.8</v>
      </c>
      <c r="C241">
        <v>106.4</v>
      </c>
      <c r="D241">
        <v>105.47</v>
      </c>
      <c r="E241">
        <v>106.33</v>
      </c>
      <c r="F241">
        <v>2546076</v>
      </c>
    </row>
    <row r="242" spans="1:6">
      <c r="A242" s="39">
        <v>42493</v>
      </c>
      <c r="B242">
        <v>105.62</v>
      </c>
      <c r="C242">
        <v>105.68</v>
      </c>
      <c r="D242">
        <v>104.82</v>
      </c>
      <c r="E242">
        <v>105.26</v>
      </c>
      <c r="F242">
        <v>5172204</v>
      </c>
    </row>
    <row r="243" spans="1:6">
      <c r="A243" s="39">
        <v>42494</v>
      </c>
      <c r="B243">
        <v>104.76</v>
      </c>
      <c r="C243">
        <v>105.17</v>
      </c>
      <c r="D243">
        <v>104.37</v>
      </c>
      <c r="E243">
        <v>104.64</v>
      </c>
      <c r="F243">
        <v>2578799</v>
      </c>
    </row>
    <row r="244" spans="1:6">
      <c r="A244" s="39">
        <v>42495</v>
      </c>
      <c r="B244">
        <v>104.95</v>
      </c>
      <c r="C244">
        <v>105.17</v>
      </c>
      <c r="D244">
        <v>104.37</v>
      </c>
      <c r="E244">
        <v>104.6</v>
      </c>
      <c r="F244">
        <v>1600624</v>
      </c>
    </row>
    <row r="245" spans="1:6">
      <c r="A245" s="39">
        <v>42496</v>
      </c>
      <c r="B245">
        <v>104.14</v>
      </c>
      <c r="C245">
        <v>104.99</v>
      </c>
      <c r="D245">
        <v>104</v>
      </c>
      <c r="E245">
        <v>104.98</v>
      </c>
      <c r="F245">
        <v>1757343</v>
      </c>
    </row>
    <row r="246" spans="1:6">
      <c r="A246" s="39">
        <v>42499</v>
      </c>
      <c r="B246">
        <v>104.87</v>
      </c>
      <c r="C246">
        <v>105.34</v>
      </c>
      <c r="D246">
        <v>104.77</v>
      </c>
      <c r="E246">
        <v>105.09</v>
      </c>
      <c r="F246">
        <v>1747328</v>
      </c>
    </row>
    <row r="247" spans="1:6">
      <c r="A247" s="39">
        <v>42500</v>
      </c>
      <c r="B247">
        <v>105.5</v>
      </c>
      <c r="C247">
        <v>106.4</v>
      </c>
      <c r="D247">
        <v>105.41</v>
      </c>
      <c r="E247">
        <v>106.34</v>
      </c>
      <c r="F247">
        <v>2400219</v>
      </c>
    </row>
    <row r="248" spans="1:6">
      <c r="A248" s="39">
        <v>42501</v>
      </c>
      <c r="B248">
        <v>106.09</v>
      </c>
      <c r="C248">
        <v>106.29</v>
      </c>
      <c r="D248">
        <v>105.34</v>
      </c>
      <c r="E248">
        <v>105.37</v>
      </c>
      <c r="F248">
        <v>1531143</v>
      </c>
    </row>
    <row r="249" spans="1:6">
      <c r="A249" s="39">
        <v>42502</v>
      </c>
      <c r="B249">
        <v>105.82</v>
      </c>
      <c r="C249">
        <v>105.88</v>
      </c>
      <c r="D249">
        <v>104.72</v>
      </c>
      <c r="E249">
        <v>105.33</v>
      </c>
      <c r="F249">
        <v>2469974</v>
      </c>
    </row>
    <row r="250" spans="1:6">
      <c r="A250" s="39">
        <v>42503</v>
      </c>
      <c r="B250">
        <v>105.08</v>
      </c>
      <c r="C250">
        <v>105.48</v>
      </c>
      <c r="D250">
        <v>104.22</v>
      </c>
      <c r="E250">
        <v>104.42</v>
      </c>
      <c r="F250">
        <v>3754783</v>
      </c>
    </row>
    <row r="251" spans="1:6">
      <c r="A251" s="39">
        <v>42506</v>
      </c>
      <c r="B251">
        <v>104.58</v>
      </c>
      <c r="C251">
        <v>105.75</v>
      </c>
      <c r="D251">
        <v>104.41</v>
      </c>
      <c r="E251">
        <v>105.46</v>
      </c>
      <c r="F251">
        <v>2069576</v>
      </c>
    </row>
    <row r="252" spans="1:6">
      <c r="A252" s="39">
        <v>42507</v>
      </c>
      <c r="B252">
        <v>105.26</v>
      </c>
      <c r="C252">
        <v>105.46</v>
      </c>
      <c r="D252">
        <v>104.16</v>
      </c>
      <c r="E252">
        <v>104.51</v>
      </c>
      <c r="F252">
        <v>2792158</v>
      </c>
    </row>
    <row r="253" spans="1:6">
      <c r="A253" s="39">
        <v>42508</v>
      </c>
      <c r="B253">
        <v>104.26</v>
      </c>
      <c r="C253">
        <v>105.2</v>
      </c>
      <c r="D253">
        <v>103.82</v>
      </c>
      <c r="E253">
        <v>104.5</v>
      </c>
      <c r="F253">
        <v>2797652</v>
      </c>
    </row>
    <row r="254" spans="1:6">
      <c r="A254" s="39">
        <v>42509</v>
      </c>
      <c r="B254">
        <v>104.08</v>
      </c>
      <c r="C254">
        <v>104.36</v>
      </c>
      <c r="D254">
        <v>103.37</v>
      </c>
      <c r="E254">
        <v>104.09</v>
      </c>
      <c r="F254">
        <v>2616303</v>
      </c>
    </row>
    <row r="255" spans="1:6">
      <c r="A255" s="39">
        <v>42510</v>
      </c>
      <c r="B255">
        <v>104.54</v>
      </c>
      <c r="C255">
        <v>105.14</v>
      </c>
      <c r="D255">
        <v>104.45</v>
      </c>
      <c r="E255">
        <v>104.89</v>
      </c>
      <c r="F255">
        <v>2005731</v>
      </c>
    </row>
    <row r="256" spans="1:6">
      <c r="A256" s="39">
        <v>42513</v>
      </c>
      <c r="B256">
        <v>104.92</v>
      </c>
      <c r="C256">
        <v>105.12</v>
      </c>
      <c r="D256">
        <v>104.66</v>
      </c>
      <c r="E256">
        <v>104.76</v>
      </c>
      <c r="F256">
        <v>1662163</v>
      </c>
    </row>
    <row r="257" spans="1:6">
      <c r="A257" s="39">
        <v>42514</v>
      </c>
      <c r="B257">
        <v>105.22</v>
      </c>
      <c r="C257">
        <v>106.37</v>
      </c>
      <c r="D257">
        <v>105.22</v>
      </c>
      <c r="E257">
        <v>106.16</v>
      </c>
      <c r="F257">
        <v>2409041</v>
      </c>
    </row>
    <row r="258" spans="1:6">
      <c r="A258" s="39">
        <v>42515</v>
      </c>
      <c r="B258">
        <v>106.51</v>
      </c>
      <c r="C258">
        <v>107.14</v>
      </c>
      <c r="D258">
        <v>106.51</v>
      </c>
      <c r="E258">
        <v>106.93</v>
      </c>
      <c r="F258">
        <v>3267043</v>
      </c>
    </row>
    <row r="259" spans="1:6">
      <c r="A259" s="39">
        <v>42516</v>
      </c>
      <c r="B259">
        <v>107.02</v>
      </c>
      <c r="C259">
        <v>107.14</v>
      </c>
      <c r="D259">
        <v>106.73</v>
      </c>
      <c r="E259">
        <v>106.91</v>
      </c>
      <c r="F259">
        <v>1803643</v>
      </c>
    </row>
    <row r="260" spans="1:6">
      <c r="A260" s="39">
        <v>42517</v>
      </c>
      <c r="B260">
        <v>106.97</v>
      </c>
      <c r="C260">
        <v>107.39</v>
      </c>
      <c r="D260">
        <v>106.95</v>
      </c>
      <c r="E260">
        <v>107.39</v>
      </c>
      <c r="F260">
        <v>1690877</v>
      </c>
    </row>
    <row r="261" spans="1:6">
      <c r="A261" s="39">
        <v>42521</v>
      </c>
      <c r="B261">
        <v>107.57</v>
      </c>
      <c r="C261">
        <v>107.69</v>
      </c>
      <c r="D261">
        <v>106.96</v>
      </c>
      <c r="E261">
        <v>107.34</v>
      </c>
      <c r="F261">
        <v>2570879</v>
      </c>
    </row>
    <row r="262" spans="1:6">
      <c r="A262" s="39">
        <v>42522</v>
      </c>
      <c r="B262">
        <v>107</v>
      </c>
      <c r="C262">
        <v>107.7</v>
      </c>
      <c r="D262">
        <v>106.8</v>
      </c>
      <c r="E262">
        <v>107.63</v>
      </c>
      <c r="F262">
        <v>2679647</v>
      </c>
    </row>
    <row r="263" spans="1:6">
      <c r="A263" s="39">
        <v>42523</v>
      </c>
      <c r="B263">
        <v>107.4</v>
      </c>
      <c r="C263">
        <v>107.99</v>
      </c>
      <c r="D263">
        <v>107.11</v>
      </c>
      <c r="E263">
        <v>107.99</v>
      </c>
      <c r="F263">
        <v>2112798</v>
      </c>
    </row>
    <row r="264" spans="1:6">
      <c r="A264" s="39">
        <v>42524</v>
      </c>
      <c r="B264">
        <v>107.78</v>
      </c>
      <c r="C264">
        <v>107.87</v>
      </c>
      <c r="D264">
        <v>106.94</v>
      </c>
      <c r="E264">
        <v>107.69</v>
      </c>
      <c r="F264">
        <v>2502472</v>
      </c>
    </row>
    <row r="265" spans="1:6">
      <c r="A265" s="39">
        <v>42527</v>
      </c>
      <c r="B265">
        <v>107.84</v>
      </c>
      <c r="C265">
        <v>108.46</v>
      </c>
      <c r="D265">
        <v>107.8</v>
      </c>
      <c r="E265">
        <v>108.25</v>
      </c>
      <c r="F265">
        <v>1782262</v>
      </c>
    </row>
    <row r="266" spans="1:6">
      <c r="A266" s="39">
        <v>42528</v>
      </c>
      <c r="B266">
        <v>108.39</v>
      </c>
      <c r="C266">
        <v>108.81</v>
      </c>
      <c r="D266">
        <v>108.32</v>
      </c>
      <c r="E266">
        <v>108.46</v>
      </c>
      <c r="F266">
        <v>1271484</v>
      </c>
    </row>
    <row r="267" spans="1:6">
      <c r="A267" s="39">
        <v>42529</v>
      </c>
      <c r="B267">
        <v>108.61</v>
      </c>
      <c r="C267">
        <v>108.93</v>
      </c>
      <c r="D267">
        <v>108.5</v>
      </c>
      <c r="E267">
        <v>108.84</v>
      </c>
      <c r="F267">
        <v>1286767</v>
      </c>
    </row>
    <row r="268" spans="1:6">
      <c r="A268" s="39">
        <v>42530</v>
      </c>
      <c r="B268">
        <v>108.45</v>
      </c>
      <c r="C268">
        <v>108.73</v>
      </c>
      <c r="D268">
        <v>108.22</v>
      </c>
      <c r="E268">
        <v>108.62</v>
      </c>
      <c r="F268">
        <v>1743501</v>
      </c>
    </row>
    <row r="269" spans="1:6">
      <c r="A269" s="39">
        <v>42531</v>
      </c>
      <c r="B269">
        <v>107.78</v>
      </c>
      <c r="C269">
        <v>107.92</v>
      </c>
      <c r="D269">
        <v>107.16</v>
      </c>
      <c r="E269">
        <v>107.5</v>
      </c>
      <c r="F269">
        <v>1666944</v>
      </c>
    </row>
    <row r="270" spans="1:6">
      <c r="A270" s="39">
        <v>42534</v>
      </c>
      <c r="B270">
        <v>107.15</v>
      </c>
      <c r="C270">
        <v>107.68</v>
      </c>
      <c r="D270">
        <v>106.59</v>
      </c>
      <c r="E270">
        <v>106.61</v>
      </c>
      <c r="F270">
        <v>2378771</v>
      </c>
    </row>
    <row r="271" spans="1:6">
      <c r="A271" s="39">
        <v>42535</v>
      </c>
      <c r="B271">
        <v>105.9</v>
      </c>
      <c r="C271">
        <v>106.33</v>
      </c>
      <c r="D271">
        <v>105.36</v>
      </c>
      <c r="E271">
        <v>105.95</v>
      </c>
      <c r="F271">
        <v>2170479</v>
      </c>
    </row>
    <row r="272" spans="1:6">
      <c r="A272" s="39">
        <v>42536</v>
      </c>
      <c r="B272">
        <v>106.19</v>
      </c>
      <c r="C272">
        <v>106.6</v>
      </c>
      <c r="D272">
        <v>105.74</v>
      </c>
      <c r="E272">
        <v>105.84</v>
      </c>
      <c r="F272">
        <v>1841566</v>
      </c>
    </row>
    <row r="273" spans="1:6">
      <c r="A273" s="39">
        <v>42537</v>
      </c>
      <c r="B273">
        <v>105.3</v>
      </c>
      <c r="C273">
        <v>106.18</v>
      </c>
      <c r="D273">
        <v>104.7</v>
      </c>
      <c r="E273">
        <v>106.15</v>
      </c>
      <c r="F273">
        <v>1884503</v>
      </c>
    </row>
    <row r="274" spans="1:6">
      <c r="A274" s="39">
        <v>42538</v>
      </c>
      <c r="B274">
        <v>106.12</v>
      </c>
      <c r="C274">
        <v>106.12</v>
      </c>
      <c r="D274">
        <v>105.39</v>
      </c>
      <c r="E274">
        <v>105.8</v>
      </c>
      <c r="F274">
        <v>1713104</v>
      </c>
    </row>
    <row r="275" spans="1:6">
      <c r="A275" s="39">
        <v>42541</v>
      </c>
      <c r="B275">
        <v>106.93</v>
      </c>
      <c r="C275">
        <v>107.39</v>
      </c>
      <c r="D275">
        <v>106.46</v>
      </c>
      <c r="E275">
        <v>106.52</v>
      </c>
      <c r="F275">
        <v>2403222</v>
      </c>
    </row>
    <row r="276" spans="1:6">
      <c r="A276" s="39">
        <v>42542</v>
      </c>
      <c r="B276">
        <v>106.8</v>
      </c>
      <c r="C276">
        <v>106.99</v>
      </c>
      <c r="D276">
        <v>106.39</v>
      </c>
      <c r="E276">
        <v>106.75</v>
      </c>
      <c r="F276">
        <v>2248555</v>
      </c>
    </row>
    <row r="277" spans="1:6">
      <c r="A277" s="39">
        <v>42543</v>
      </c>
      <c r="B277">
        <v>106.8</v>
      </c>
      <c r="C277">
        <v>107.28</v>
      </c>
      <c r="D277">
        <v>106.44</v>
      </c>
      <c r="E277">
        <v>106.51</v>
      </c>
      <c r="F277">
        <v>2002747</v>
      </c>
    </row>
    <row r="278" spans="1:6">
      <c r="A278" s="39">
        <v>42544</v>
      </c>
      <c r="B278">
        <v>107.42</v>
      </c>
      <c r="C278">
        <v>108</v>
      </c>
      <c r="D278">
        <v>107.14</v>
      </c>
      <c r="E278">
        <v>107.98</v>
      </c>
      <c r="F278">
        <v>1622336</v>
      </c>
    </row>
    <row r="279" spans="1:6">
      <c r="A279" s="39">
        <v>42545</v>
      </c>
      <c r="B279">
        <v>104.12</v>
      </c>
      <c r="C279">
        <v>105.94</v>
      </c>
      <c r="D279">
        <v>103.86</v>
      </c>
      <c r="E279">
        <v>104.04</v>
      </c>
      <c r="F279">
        <v>7370404</v>
      </c>
    </row>
    <row r="280" spans="1:6">
      <c r="A280" s="39">
        <v>42548</v>
      </c>
      <c r="B280">
        <v>103.22</v>
      </c>
      <c r="C280">
        <v>103.23</v>
      </c>
      <c r="D280">
        <v>101.51</v>
      </c>
      <c r="E280">
        <v>101.98</v>
      </c>
      <c r="F280">
        <v>5218039</v>
      </c>
    </row>
    <row r="281" spans="1:6">
      <c r="A281" s="39">
        <v>42549</v>
      </c>
      <c r="B281">
        <v>103.08</v>
      </c>
      <c r="C281">
        <v>103.86</v>
      </c>
      <c r="D281">
        <v>102.83</v>
      </c>
      <c r="E281">
        <v>103.85</v>
      </c>
      <c r="F281">
        <v>7569512</v>
      </c>
    </row>
    <row r="282" spans="1:6">
      <c r="A282" s="39">
        <v>42550</v>
      </c>
      <c r="B282">
        <v>104.68</v>
      </c>
      <c r="C282">
        <v>105.83</v>
      </c>
      <c r="D282">
        <v>104.65</v>
      </c>
      <c r="E282">
        <v>105.71</v>
      </c>
      <c r="F282">
        <v>2635744</v>
      </c>
    </row>
    <row r="283" spans="1:6">
      <c r="A283" s="39">
        <v>42551</v>
      </c>
      <c r="B283">
        <v>106.01</v>
      </c>
      <c r="C283">
        <v>107.2</v>
      </c>
      <c r="D283">
        <v>105.62</v>
      </c>
      <c r="E283">
        <v>107.16</v>
      </c>
      <c r="F283">
        <v>5552335</v>
      </c>
    </row>
    <row r="284" spans="1:6">
      <c r="A284" s="39">
        <v>42552</v>
      </c>
      <c r="B284">
        <v>107.1</v>
      </c>
      <c r="C284">
        <v>107.75</v>
      </c>
      <c r="D284">
        <v>107.07</v>
      </c>
      <c r="E284">
        <v>107.37</v>
      </c>
      <c r="F284">
        <v>2938114</v>
      </c>
    </row>
    <row r="285" spans="1:6">
      <c r="A285" s="39">
        <v>42556</v>
      </c>
      <c r="B285">
        <v>106.94</v>
      </c>
      <c r="C285">
        <v>107</v>
      </c>
      <c r="D285">
        <v>106.14</v>
      </c>
      <c r="E285">
        <v>106.57</v>
      </c>
      <c r="F285">
        <v>3019864</v>
      </c>
    </row>
    <row r="286" spans="1:6">
      <c r="A286" s="39">
        <v>42557</v>
      </c>
      <c r="B286">
        <v>106.2</v>
      </c>
      <c r="C286">
        <v>107.26</v>
      </c>
      <c r="D286">
        <v>105.88</v>
      </c>
      <c r="E286">
        <v>107.22</v>
      </c>
      <c r="F286">
        <v>1767721</v>
      </c>
    </row>
    <row r="287" spans="1:6">
      <c r="A287" s="39">
        <v>42558</v>
      </c>
      <c r="B287">
        <v>107.37</v>
      </c>
      <c r="C287">
        <v>107.77</v>
      </c>
      <c r="D287">
        <v>106.75</v>
      </c>
      <c r="E287">
        <v>107.17</v>
      </c>
      <c r="F287">
        <v>1669822</v>
      </c>
    </row>
    <row r="288" spans="1:6">
      <c r="A288" s="39">
        <v>42559</v>
      </c>
      <c r="B288">
        <v>107.91</v>
      </c>
      <c r="C288">
        <v>108.99</v>
      </c>
      <c r="D288">
        <v>107.86</v>
      </c>
      <c r="E288">
        <v>108.84</v>
      </c>
      <c r="F288">
        <v>2362227</v>
      </c>
    </row>
    <row r="289" spans="1:6">
      <c r="A289" s="39">
        <v>42562</v>
      </c>
      <c r="B289">
        <v>109.19</v>
      </c>
      <c r="C289">
        <v>109.62</v>
      </c>
      <c r="D289">
        <v>109</v>
      </c>
      <c r="E289">
        <v>109.29</v>
      </c>
      <c r="F289">
        <v>3868296</v>
      </c>
    </row>
    <row r="290" spans="1:6">
      <c r="A290" s="39">
        <v>42563</v>
      </c>
      <c r="B290">
        <v>109.88</v>
      </c>
      <c r="C290">
        <v>110.4</v>
      </c>
      <c r="D290">
        <v>109.68</v>
      </c>
      <c r="E290">
        <v>110.2</v>
      </c>
      <c r="F290">
        <v>3222836</v>
      </c>
    </row>
    <row r="291" spans="1:6">
      <c r="A291" s="39">
        <v>42564</v>
      </c>
      <c r="B291">
        <v>110.43</v>
      </c>
      <c r="C291">
        <v>110.5</v>
      </c>
      <c r="D291">
        <v>109.81</v>
      </c>
      <c r="E291">
        <v>110.14</v>
      </c>
      <c r="F291">
        <v>1485745</v>
      </c>
    </row>
    <row r="292" spans="1:6">
      <c r="A292" s="39">
        <v>42565</v>
      </c>
      <c r="B292">
        <v>110.72</v>
      </c>
      <c r="C292">
        <v>110.99</v>
      </c>
      <c r="D292">
        <v>110.46</v>
      </c>
      <c r="E292">
        <v>110.67</v>
      </c>
      <c r="F292">
        <v>1561056</v>
      </c>
    </row>
    <row r="293" spans="1:6">
      <c r="A293" s="39">
        <v>42566</v>
      </c>
      <c r="B293">
        <v>110.89</v>
      </c>
      <c r="C293">
        <v>110.97</v>
      </c>
      <c r="D293">
        <v>110.29</v>
      </c>
      <c r="E293">
        <v>110.55</v>
      </c>
      <c r="F293">
        <v>1385464</v>
      </c>
    </row>
    <row r="294" spans="1:6">
      <c r="A294" s="39">
        <v>42569</v>
      </c>
      <c r="B294">
        <v>110.65</v>
      </c>
      <c r="C294">
        <v>110.93</v>
      </c>
      <c r="D294">
        <v>110.44</v>
      </c>
      <c r="E294">
        <v>110.86</v>
      </c>
      <c r="F294">
        <v>1360000</v>
      </c>
    </row>
    <row r="295" spans="1:6">
      <c r="A295" s="39">
        <v>42570</v>
      </c>
      <c r="B295">
        <v>110.62</v>
      </c>
      <c r="C295">
        <v>110.75</v>
      </c>
      <c r="D295">
        <v>110.4</v>
      </c>
      <c r="E295">
        <v>110.64</v>
      </c>
      <c r="F295">
        <v>3154201</v>
      </c>
    </row>
    <row r="296" spans="1:6">
      <c r="A296" s="39">
        <v>42571</v>
      </c>
      <c r="B296">
        <v>110.68</v>
      </c>
      <c r="C296">
        <v>111.33</v>
      </c>
      <c r="D296">
        <v>110.66</v>
      </c>
      <c r="E296">
        <v>111.23</v>
      </c>
      <c r="F296">
        <v>1135936</v>
      </c>
    </row>
    <row r="297" spans="1:6">
      <c r="A297" s="39">
        <v>42572</v>
      </c>
      <c r="B297">
        <v>111.18</v>
      </c>
      <c r="C297">
        <v>111.29</v>
      </c>
      <c r="D297">
        <v>110.52</v>
      </c>
      <c r="E297">
        <v>110.79</v>
      </c>
      <c r="F297">
        <v>3393453</v>
      </c>
    </row>
    <row r="298" spans="1:6">
      <c r="A298" s="39">
        <v>42573</v>
      </c>
      <c r="B298">
        <v>110.9</v>
      </c>
      <c r="C298">
        <v>111.36</v>
      </c>
      <c r="D298">
        <v>110.71</v>
      </c>
      <c r="E298">
        <v>111.32</v>
      </c>
      <c r="F298">
        <v>3546728</v>
      </c>
    </row>
    <row r="299" spans="1:6">
      <c r="A299" s="39">
        <v>42576</v>
      </c>
      <c r="B299">
        <v>111.24</v>
      </c>
      <c r="C299">
        <v>111.27</v>
      </c>
      <c r="D299">
        <v>110.69</v>
      </c>
      <c r="E299">
        <v>111.03</v>
      </c>
      <c r="F299">
        <v>1394356</v>
      </c>
    </row>
    <row r="300" spans="1:6">
      <c r="A300" s="39">
        <v>42577</v>
      </c>
      <c r="B300">
        <v>111.06</v>
      </c>
      <c r="C300">
        <v>111.34</v>
      </c>
      <c r="D300">
        <v>110.63</v>
      </c>
      <c r="E300">
        <v>111.15</v>
      </c>
      <c r="F300">
        <v>1432674</v>
      </c>
    </row>
    <row r="301" spans="1:6">
      <c r="A301" s="39">
        <v>42578</v>
      </c>
      <c r="B301">
        <v>111.41</v>
      </c>
      <c r="C301">
        <v>111.42</v>
      </c>
      <c r="D301">
        <v>110.56</v>
      </c>
      <c r="E301">
        <v>111.02</v>
      </c>
      <c r="F301">
        <v>1977540</v>
      </c>
    </row>
    <row r="302" spans="1:6">
      <c r="A302" s="39">
        <v>42579</v>
      </c>
      <c r="B302">
        <v>110.89</v>
      </c>
      <c r="C302">
        <v>111.38</v>
      </c>
      <c r="D302">
        <v>110.66</v>
      </c>
      <c r="E302">
        <v>111.16</v>
      </c>
      <c r="F302">
        <v>1945813</v>
      </c>
    </row>
    <row r="303" spans="1:6">
      <c r="A303" s="39">
        <v>42580</v>
      </c>
      <c r="B303">
        <v>111.09</v>
      </c>
      <c r="C303">
        <v>111.62</v>
      </c>
      <c r="D303">
        <v>110.82</v>
      </c>
      <c r="E303">
        <v>111.42</v>
      </c>
      <c r="F303">
        <v>1638362</v>
      </c>
    </row>
    <row r="304" spans="1:6">
      <c r="A304" s="39">
        <v>42583</v>
      </c>
      <c r="B304">
        <v>111.4</v>
      </c>
      <c r="C304">
        <v>111.67</v>
      </c>
      <c r="D304">
        <v>111</v>
      </c>
      <c r="E304">
        <v>111.27</v>
      </c>
      <c r="F304">
        <v>2093446</v>
      </c>
    </row>
    <row r="305" spans="1:6">
      <c r="A305" s="39">
        <v>42584</v>
      </c>
      <c r="B305">
        <v>111.19</v>
      </c>
      <c r="C305">
        <v>111.23</v>
      </c>
      <c r="D305">
        <v>109.95</v>
      </c>
      <c r="E305">
        <v>110.43</v>
      </c>
      <c r="F305">
        <v>2473899</v>
      </c>
    </row>
    <row r="306" spans="1:6">
      <c r="A306" s="39">
        <v>42585</v>
      </c>
      <c r="B306">
        <v>110.39</v>
      </c>
      <c r="C306">
        <v>110.86</v>
      </c>
      <c r="D306">
        <v>110.21</v>
      </c>
      <c r="E306">
        <v>110.84</v>
      </c>
      <c r="F306">
        <v>1353615</v>
      </c>
    </row>
    <row r="307" spans="1:6">
      <c r="A307" s="39">
        <v>42586</v>
      </c>
      <c r="B307">
        <v>110.85</v>
      </c>
      <c r="C307">
        <v>111.18</v>
      </c>
      <c r="D307">
        <v>110.69</v>
      </c>
      <c r="E307">
        <v>110.97</v>
      </c>
      <c r="F307">
        <v>1113557</v>
      </c>
    </row>
    <row r="308" spans="1:6">
      <c r="A308" s="39">
        <v>42587</v>
      </c>
      <c r="B308">
        <v>111.42</v>
      </c>
      <c r="C308">
        <v>111.92</v>
      </c>
      <c r="D308">
        <v>111.32</v>
      </c>
      <c r="E308">
        <v>111.89</v>
      </c>
      <c r="F308">
        <v>1379619</v>
      </c>
    </row>
    <row r="309" spans="1:6">
      <c r="A309" s="39">
        <v>42590</v>
      </c>
      <c r="B309">
        <v>111.99</v>
      </c>
      <c r="C309">
        <v>112.12</v>
      </c>
      <c r="D309">
        <v>111.69</v>
      </c>
      <c r="E309">
        <v>111.82</v>
      </c>
      <c r="F309">
        <v>1238769</v>
      </c>
    </row>
    <row r="310" spans="1:6">
      <c r="A310" s="39">
        <v>42591</v>
      </c>
      <c r="B310">
        <v>111.94</v>
      </c>
      <c r="C310">
        <v>112.18</v>
      </c>
      <c r="D310">
        <v>111.75</v>
      </c>
      <c r="E310">
        <v>111.92</v>
      </c>
      <c r="F310">
        <v>1032620</v>
      </c>
    </row>
    <row r="311" spans="1:6">
      <c r="A311" s="39">
        <v>42592</v>
      </c>
      <c r="B311">
        <v>111.94</v>
      </c>
      <c r="C311">
        <v>112.05</v>
      </c>
      <c r="D311">
        <v>111.42</v>
      </c>
      <c r="E311">
        <v>111.59</v>
      </c>
      <c r="F311">
        <v>1259054</v>
      </c>
    </row>
    <row r="312" spans="1:6">
      <c r="A312" s="39">
        <v>42593</v>
      </c>
      <c r="B312">
        <v>111.98</v>
      </c>
      <c r="C312">
        <v>112.26</v>
      </c>
      <c r="D312">
        <v>111.73</v>
      </c>
      <c r="E312">
        <v>112.15</v>
      </c>
      <c r="F312">
        <v>1378235</v>
      </c>
    </row>
    <row r="313" spans="1:6">
      <c r="A313" s="39">
        <v>42594</v>
      </c>
      <c r="B313">
        <v>111.97</v>
      </c>
      <c r="C313">
        <v>112.17</v>
      </c>
      <c r="D313">
        <v>111.76</v>
      </c>
      <c r="E313">
        <v>112.04</v>
      </c>
      <c r="F313">
        <v>1542922</v>
      </c>
    </row>
    <row r="314" spans="1:6">
      <c r="A314" s="39">
        <v>42597</v>
      </c>
      <c r="B314">
        <v>112.29</v>
      </c>
      <c r="C314">
        <v>112.64</v>
      </c>
      <c r="D314">
        <v>112.07</v>
      </c>
      <c r="E314">
        <v>112.45</v>
      </c>
      <c r="F314">
        <v>1442990</v>
      </c>
    </row>
    <row r="315" spans="1:6">
      <c r="A315" s="39">
        <v>42598</v>
      </c>
      <c r="B315">
        <v>112.23</v>
      </c>
      <c r="C315">
        <v>112.24</v>
      </c>
      <c r="D315">
        <v>111.81</v>
      </c>
      <c r="E315">
        <v>111.81</v>
      </c>
      <c r="F315">
        <v>1229024</v>
      </c>
    </row>
    <row r="316" spans="1:6">
      <c r="A316" s="39">
        <v>42599</v>
      </c>
      <c r="B316">
        <v>111.84</v>
      </c>
      <c r="C316">
        <v>112.03</v>
      </c>
      <c r="D316">
        <v>111.27</v>
      </c>
      <c r="E316">
        <v>111.95</v>
      </c>
      <c r="F316">
        <v>2791730</v>
      </c>
    </row>
    <row r="317" spans="1:6">
      <c r="A317" s="39">
        <v>42600</v>
      </c>
      <c r="B317">
        <v>111.92</v>
      </c>
      <c r="C317">
        <v>112.3</v>
      </c>
      <c r="D317">
        <v>111.71</v>
      </c>
      <c r="E317">
        <v>112.3</v>
      </c>
      <c r="F317">
        <v>972068</v>
      </c>
    </row>
    <row r="318" spans="1:6">
      <c r="A318" s="39">
        <v>42601</v>
      </c>
      <c r="B318">
        <v>112</v>
      </c>
      <c r="C318">
        <v>112.23</v>
      </c>
      <c r="D318">
        <v>111.72</v>
      </c>
      <c r="E318">
        <v>112.14</v>
      </c>
      <c r="F318">
        <v>1000647</v>
      </c>
    </row>
    <row r="319" spans="1:6">
      <c r="A319" s="39">
        <v>42604</v>
      </c>
      <c r="B319">
        <v>112.04</v>
      </c>
      <c r="C319">
        <v>112.25</v>
      </c>
      <c r="D319">
        <v>111.77</v>
      </c>
      <c r="E319">
        <v>112.17</v>
      </c>
      <c r="F319">
        <v>1102386</v>
      </c>
    </row>
    <row r="320" spans="1:6">
      <c r="A320" s="39">
        <v>42605</v>
      </c>
      <c r="B320">
        <v>112.48</v>
      </c>
      <c r="C320">
        <v>112.78</v>
      </c>
      <c r="D320">
        <v>112.44</v>
      </c>
      <c r="E320">
        <v>112.47</v>
      </c>
      <c r="F320">
        <v>3252632</v>
      </c>
    </row>
    <row r="321" spans="1:6">
      <c r="A321" s="39">
        <v>42606</v>
      </c>
      <c r="B321">
        <v>112.43</v>
      </c>
      <c r="C321">
        <v>112.46</v>
      </c>
      <c r="D321">
        <v>111.59</v>
      </c>
      <c r="E321">
        <v>111.84</v>
      </c>
      <c r="F321">
        <v>2267784</v>
      </c>
    </row>
    <row r="322" spans="1:6">
      <c r="A322" s="39">
        <v>42607</v>
      </c>
      <c r="B322">
        <v>111.7</v>
      </c>
      <c r="C322">
        <v>112.07</v>
      </c>
      <c r="D322">
        <v>111.55</v>
      </c>
      <c r="E322">
        <v>111.77</v>
      </c>
      <c r="F322">
        <v>1205186</v>
      </c>
    </row>
    <row r="323" spans="1:6">
      <c r="A323" s="39">
        <v>42608</v>
      </c>
      <c r="B323">
        <v>111.87</v>
      </c>
      <c r="C323">
        <v>112.55</v>
      </c>
      <c r="D323">
        <v>111.05</v>
      </c>
      <c r="E323">
        <v>111.54</v>
      </c>
      <c r="F323">
        <v>1851082</v>
      </c>
    </row>
    <row r="324" spans="1:6">
      <c r="A324" s="39">
        <v>42611</v>
      </c>
      <c r="B324">
        <v>111.72</v>
      </c>
      <c r="C324">
        <v>112.33</v>
      </c>
      <c r="D324">
        <v>111.7</v>
      </c>
      <c r="E324">
        <v>112.15</v>
      </c>
      <c r="F324">
        <v>1071153</v>
      </c>
    </row>
    <row r="325" spans="1:6">
      <c r="A325" s="39">
        <v>42612</v>
      </c>
      <c r="B325">
        <v>112.16</v>
      </c>
      <c r="C325">
        <v>112.3</v>
      </c>
      <c r="D325">
        <v>111.66</v>
      </c>
      <c r="E325">
        <v>111.97</v>
      </c>
      <c r="F325">
        <v>1534640</v>
      </c>
    </row>
    <row r="326" spans="1:6">
      <c r="A326" s="39">
        <v>42613</v>
      </c>
      <c r="B326">
        <v>111.88</v>
      </c>
      <c r="C326">
        <v>111.9</v>
      </c>
      <c r="D326">
        <v>111.2</v>
      </c>
      <c r="E326">
        <v>111.65</v>
      </c>
      <c r="F326">
        <v>1393758</v>
      </c>
    </row>
    <row r="327" spans="1:6">
      <c r="A327" s="39">
        <v>42614</v>
      </c>
      <c r="B327">
        <v>111.77</v>
      </c>
      <c r="C327">
        <v>111.89</v>
      </c>
      <c r="D327">
        <v>110.97</v>
      </c>
      <c r="E327">
        <v>111.71</v>
      </c>
      <c r="F327">
        <v>1670927</v>
      </c>
    </row>
    <row r="328" spans="1:6">
      <c r="A328" s="39">
        <v>42615</v>
      </c>
      <c r="B328">
        <v>112.19</v>
      </c>
      <c r="C328">
        <v>112.51</v>
      </c>
      <c r="D328">
        <v>111.92</v>
      </c>
      <c r="E328">
        <v>112.28</v>
      </c>
      <c r="F328">
        <v>1563214</v>
      </c>
    </row>
    <row r="329" spans="1:6">
      <c r="A329" s="39">
        <v>42619</v>
      </c>
      <c r="B329">
        <v>112.46</v>
      </c>
      <c r="C329">
        <v>112.62</v>
      </c>
      <c r="D329">
        <v>112.02</v>
      </c>
      <c r="E329">
        <v>112.6</v>
      </c>
      <c r="F329">
        <v>4111656</v>
      </c>
    </row>
    <row r="330" spans="1:6">
      <c r="A330" s="39">
        <v>42620</v>
      </c>
      <c r="B330">
        <v>112.54</v>
      </c>
      <c r="C330">
        <v>112.75</v>
      </c>
      <c r="D330">
        <v>112.29</v>
      </c>
      <c r="E330">
        <v>112.75</v>
      </c>
      <c r="F330">
        <v>1589960</v>
      </c>
    </row>
    <row r="331" spans="1:6">
      <c r="A331" s="39">
        <v>42621</v>
      </c>
      <c r="B331">
        <v>112.57</v>
      </c>
      <c r="C331">
        <v>112.67</v>
      </c>
      <c r="D331">
        <v>112.26</v>
      </c>
      <c r="E331">
        <v>112.46</v>
      </c>
      <c r="F331">
        <v>1152485</v>
      </c>
    </row>
    <row r="332" spans="1:6">
      <c r="A332" s="39">
        <v>42622</v>
      </c>
      <c r="B332">
        <v>111.72</v>
      </c>
      <c r="C332">
        <v>111.72</v>
      </c>
      <c r="D332">
        <v>109.65</v>
      </c>
      <c r="E332">
        <v>109.66</v>
      </c>
      <c r="F332">
        <v>3337356</v>
      </c>
    </row>
    <row r="333" spans="1:6">
      <c r="A333" s="39">
        <v>42625</v>
      </c>
      <c r="B333">
        <v>109.19</v>
      </c>
      <c r="C333">
        <v>111.4</v>
      </c>
      <c r="D333">
        <v>109.05</v>
      </c>
      <c r="E333">
        <v>111.19</v>
      </c>
      <c r="F333">
        <v>3043671</v>
      </c>
    </row>
    <row r="334" spans="1:6">
      <c r="A334" s="39">
        <v>42626</v>
      </c>
      <c r="B334">
        <v>109.95</v>
      </c>
      <c r="C334">
        <v>110.01</v>
      </c>
      <c r="D334">
        <v>108.57</v>
      </c>
      <c r="E334">
        <v>108.92</v>
      </c>
      <c r="F334">
        <v>5122124</v>
      </c>
    </row>
    <row r="335" spans="1:6">
      <c r="A335" s="39">
        <v>42627</v>
      </c>
      <c r="B335">
        <v>109.05</v>
      </c>
      <c r="C335">
        <v>109.71</v>
      </c>
      <c r="D335">
        <v>108.61</v>
      </c>
      <c r="E335">
        <v>108.93</v>
      </c>
      <c r="F335">
        <v>2041603</v>
      </c>
    </row>
    <row r="336" spans="1:6">
      <c r="A336" s="39">
        <v>42628</v>
      </c>
      <c r="B336">
        <v>108.86</v>
      </c>
      <c r="C336">
        <v>110.25</v>
      </c>
      <c r="D336">
        <v>108.74</v>
      </c>
      <c r="E336">
        <v>110.05</v>
      </c>
      <c r="F336">
        <v>2960402</v>
      </c>
    </row>
    <row r="337" spans="1:6">
      <c r="A337" s="39">
        <v>42629</v>
      </c>
      <c r="B337">
        <v>109.75</v>
      </c>
      <c r="C337">
        <v>109.77</v>
      </c>
      <c r="D337">
        <v>109.22</v>
      </c>
      <c r="E337">
        <v>109.61</v>
      </c>
      <c r="F337">
        <v>2779419</v>
      </c>
    </row>
    <row r="338" spans="1:6">
      <c r="A338" s="39">
        <v>42632</v>
      </c>
      <c r="B338">
        <v>110.19</v>
      </c>
      <c r="C338">
        <v>110.5</v>
      </c>
      <c r="D338">
        <v>109.52</v>
      </c>
      <c r="E338">
        <v>109.77</v>
      </c>
      <c r="F338">
        <v>3430165</v>
      </c>
    </row>
    <row r="339" spans="1:6">
      <c r="A339" s="39">
        <v>42633</v>
      </c>
      <c r="B339">
        <v>110.29</v>
      </c>
      <c r="C339">
        <v>110.33</v>
      </c>
      <c r="D339">
        <v>109.69</v>
      </c>
      <c r="E339">
        <v>109.72</v>
      </c>
      <c r="F339">
        <v>1603490</v>
      </c>
    </row>
    <row r="340" spans="1:6">
      <c r="A340" s="39">
        <v>42634</v>
      </c>
      <c r="B340">
        <v>110.11</v>
      </c>
      <c r="C340">
        <v>111.08</v>
      </c>
      <c r="D340">
        <v>109.71</v>
      </c>
      <c r="E340">
        <v>110.98</v>
      </c>
      <c r="F340">
        <v>1971782</v>
      </c>
    </row>
    <row r="341" spans="1:6">
      <c r="A341" s="39">
        <v>42635</v>
      </c>
      <c r="B341">
        <v>111.63</v>
      </c>
      <c r="C341">
        <v>111.92</v>
      </c>
      <c r="D341">
        <v>111.53</v>
      </c>
      <c r="E341">
        <v>111.79</v>
      </c>
      <c r="F341">
        <v>1525436</v>
      </c>
    </row>
    <row r="342" spans="1:6">
      <c r="A342" s="39">
        <v>42636</v>
      </c>
      <c r="B342">
        <v>111.59</v>
      </c>
      <c r="C342">
        <v>111.68</v>
      </c>
      <c r="D342">
        <v>111.11</v>
      </c>
      <c r="E342">
        <v>111.15</v>
      </c>
      <c r="F342">
        <v>1532059</v>
      </c>
    </row>
    <row r="343" spans="1:6">
      <c r="A343" s="39">
        <v>42639</v>
      </c>
      <c r="B343">
        <v>110.64</v>
      </c>
      <c r="C343">
        <v>110.87</v>
      </c>
      <c r="D343">
        <v>110.21</v>
      </c>
      <c r="E343">
        <v>110.27</v>
      </c>
      <c r="F343">
        <v>2136802</v>
      </c>
    </row>
    <row r="344" spans="1:6">
      <c r="A344" s="39">
        <v>42640</v>
      </c>
      <c r="B344">
        <v>110.23</v>
      </c>
      <c r="C344">
        <v>110.95</v>
      </c>
      <c r="D344">
        <v>109.99</v>
      </c>
      <c r="E344">
        <v>110.9</v>
      </c>
      <c r="F344">
        <v>1292748</v>
      </c>
    </row>
    <row r="345" spans="1:6">
      <c r="A345" s="39">
        <v>42641</v>
      </c>
      <c r="B345">
        <v>111.06</v>
      </c>
      <c r="C345">
        <v>111.6</v>
      </c>
      <c r="D345">
        <v>110.46</v>
      </c>
      <c r="E345">
        <v>111.55</v>
      </c>
      <c r="F345">
        <v>1439934</v>
      </c>
    </row>
    <row r="346" spans="1:6">
      <c r="A346" s="39">
        <v>42642</v>
      </c>
      <c r="B346">
        <v>111.48</v>
      </c>
      <c r="C346">
        <v>111.62</v>
      </c>
      <c r="D346">
        <v>110.16</v>
      </c>
      <c r="E346">
        <v>110.46</v>
      </c>
      <c r="F346">
        <v>2037346</v>
      </c>
    </row>
    <row r="347" spans="1:6">
      <c r="A347" s="39">
        <v>42643</v>
      </c>
      <c r="B347">
        <v>110.97</v>
      </c>
      <c r="C347">
        <v>111.71</v>
      </c>
      <c r="D347">
        <v>110.75</v>
      </c>
      <c r="E347">
        <v>111.33</v>
      </c>
      <c r="F347">
        <v>1722614</v>
      </c>
    </row>
    <row r="348" spans="1:6">
      <c r="A348" s="39">
        <v>42646</v>
      </c>
      <c r="B348">
        <v>111.09</v>
      </c>
      <c r="C348">
        <v>111.23</v>
      </c>
      <c r="D348">
        <v>110.63</v>
      </c>
      <c r="E348">
        <v>110.99</v>
      </c>
      <c r="F348">
        <v>2207599</v>
      </c>
    </row>
    <row r="349" spans="1:6">
      <c r="A349" s="39">
        <v>42647</v>
      </c>
      <c r="B349">
        <v>111.12</v>
      </c>
      <c r="C349">
        <v>111.22</v>
      </c>
      <c r="D349">
        <v>110.1</v>
      </c>
      <c r="E349">
        <v>110.49</v>
      </c>
      <c r="F349">
        <v>2701120</v>
      </c>
    </row>
    <row r="350" spans="1:6">
      <c r="A350" s="39">
        <v>42648</v>
      </c>
      <c r="B350">
        <v>110.78</v>
      </c>
      <c r="C350">
        <v>111.22</v>
      </c>
      <c r="D350">
        <v>110.59</v>
      </c>
      <c r="E350">
        <v>110.92</v>
      </c>
      <c r="F350">
        <v>2119016</v>
      </c>
    </row>
    <row r="351" spans="1:6">
      <c r="A351" s="39">
        <v>42649</v>
      </c>
      <c r="B351">
        <v>110.75</v>
      </c>
      <c r="C351">
        <v>111.09</v>
      </c>
      <c r="D351">
        <v>110.39</v>
      </c>
      <c r="E351">
        <v>110.96</v>
      </c>
      <c r="F351">
        <v>1067725</v>
      </c>
    </row>
    <row r="352" spans="1:6">
      <c r="A352" s="39">
        <v>42650</v>
      </c>
      <c r="B352">
        <v>111.15</v>
      </c>
      <c r="C352">
        <v>111.23</v>
      </c>
      <c r="D352">
        <v>110.06</v>
      </c>
      <c r="E352">
        <v>110.54</v>
      </c>
      <c r="F352">
        <v>1770625</v>
      </c>
    </row>
    <row r="353" spans="1:6">
      <c r="A353" s="39">
        <v>42653</v>
      </c>
      <c r="B353">
        <v>111.1</v>
      </c>
      <c r="C353">
        <v>111.44</v>
      </c>
      <c r="D353">
        <v>111</v>
      </c>
      <c r="E353">
        <v>111.14</v>
      </c>
      <c r="F353">
        <v>1134961</v>
      </c>
    </row>
    <row r="354" spans="1:6">
      <c r="A354" s="39">
        <v>42654</v>
      </c>
      <c r="B354">
        <v>110.94</v>
      </c>
      <c r="C354">
        <v>110.95</v>
      </c>
      <c r="D354">
        <v>109.24</v>
      </c>
      <c r="E354">
        <v>109.66</v>
      </c>
      <c r="F354">
        <v>1996992</v>
      </c>
    </row>
    <row r="355" spans="1:6">
      <c r="A355" s="39">
        <v>42655</v>
      </c>
      <c r="B355">
        <v>109.78</v>
      </c>
      <c r="C355">
        <v>110.13</v>
      </c>
      <c r="D355">
        <v>109.46</v>
      </c>
      <c r="E355">
        <v>109.79</v>
      </c>
      <c r="F355">
        <v>1849474</v>
      </c>
    </row>
    <row r="356" spans="1:6">
      <c r="A356" s="39">
        <v>42656</v>
      </c>
      <c r="B356">
        <v>109.01</v>
      </c>
      <c r="C356">
        <v>109.72</v>
      </c>
      <c r="D356">
        <v>108.48</v>
      </c>
      <c r="E356">
        <v>109.4</v>
      </c>
      <c r="F356">
        <v>1986165</v>
      </c>
    </row>
    <row r="357" spans="1:6">
      <c r="A357" s="39">
        <v>42657</v>
      </c>
      <c r="B357">
        <v>110</v>
      </c>
      <c r="C357">
        <v>110.32</v>
      </c>
      <c r="D357">
        <v>109.36</v>
      </c>
      <c r="E357">
        <v>109.37</v>
      </c>
      <c r="F357">
        <v>2673997</v>
      </c>
    </row>
    <row r="358" spans="1:6">
      <c r="A358" s="39">
        <v>42660</v>
      </c>
      <c r="B358">
        <v>109.38</v>
      </c>
      <c r="C358">
        <v>109.54</v>
      </c>
      <c r="D358">
        <v>108.94</v>
      </c>
      <c r="E358">
        <v>109.06</v>
      </c>
      <c r="F358">
        <v>2507712</v>
      </c>
    </row>
    <row r="359" spans="1:6">
      <c r="A359" s="39">
        <v>42661</v>
      </c>
      <c r="B359">
        <v>109.92</v>
      </c>
      <c r="C359">
        <v>110.02</v>
      </c>
      <c r="D359">
        <v>109.5</v>
      </c>
      <c r="E359">
        <v>109.7</v>
      </c>
      <c r="F359">
        <v>1635215</v>
      </c>
    </row>
    <row r="360" spans="1:6">
      <c r="A360" s="39">
        <v>42662</v>
      </c>
      <c r="B360">
        <v>109.94</v>
      </c>
      <c r="C360">
        <v>110.25</v>
      </c>
      <c r="D360">
        <v>109.62</v>
      </c>
      <c r="E360">
        <v>110.05</v>
      </c>
      <c r="F360">
        <v>1408238</v>
      </c>
    </row>
    <row r="361" spans="1:6">
      <c r="A361" s="39">
        <v>42663</v>
      </c>
      <c r="B361">
        <v>109.9</v>
      </c>
      <c r="C361">
        <v>110.17</v>
      </c>
      <c r="D361">
        <v>109.42</v>
      </c>
      <c r="E361">
        <v>109.84</v>
      </c>
      <c r="F361">
        <v>2016977</v>
      </c>
    </row>
    <row r="362" spans="1:6">
      <c r="A362" s="39">
        <v>42664</v>
      </c>
      <c r="B362">
        <v>109.41</v>
      </c>
      <c r="C362">
        <v>109.9</v>
      </c>
      <c r="D362">
        <v>109.2</v>
      </c>
      <c r="E362">
        <v>109.8</v>
      </c>
      <c r="F362">
        <v>1234425</v>
      </c>
    </row>
    <row r="363" spans="1:6">
      <c r="A363" s="39">
        <v>42667</v>
      </c>
      <c r="B363">
        <v>110.39</v>
      </c>
      <c r="C363">
        <v>110.6</v>
      </c>
      <c r="D363">
        <v>110.13</v>
      </c>
      <c r="E363">
        <v>110.35</v>
      </c>
      <c r="F363">
        <v>2004855</v>
      </c>
    </row>
    <row r="364" spans="1:6">
      <c r="A364" s="39">
        <v>42668</v>
      </c>
      <c r="B364">
        <v>110.25</v>
      </c>
      <c r="C364">
        <v>110.33</v>
      </c>
      <c r="D364">
        <v>109.79</v>
      </c>
      <c r="E364">
        <v>109.88</v>
      </c>
      <c r="F364">
        <v>2079087</v>
      </c>
    </row>
    <row r="365" spans="1:6">
      <c r="A365" s="39">
        <v>42669</v>
      </c>
      <c r="B365">
        <v>109.47</v>
      </c>
      <c r="C365">
        <v>109.96</v>
      </c>
      <c r="D365">
        <v>109.26</v>
      </c>
      <c r="E365">
        <v>109.55</v>
      </c>
      <c r="F365">
        <v>1827448</v>
      </c>
    </row>
    <row r="366" spans="1:6">
      <c r="A366" s="39">
        <v>42670</v>
      </c>
      <c r="B366">
        <v>110</v>
      </c>
      <c r="C366">
        <v>110</v>
      </c>
      <c r="D366">
        <v>109.08</v>
      </c>
      <c r="E366">
        <v>109.18</v>
      </c>
      <c r="F366">
        <v>1598109</v>
      </c>
    </row>
    <row r="367" spans="1:6">
      <c r="A367" s="39">
        <v>42671</v>
      </c>
      <c r="B367">
        <v>109.11</v>
      </c>
      <c r="C367">
        <v>109.56</v>
      </c>
      <c r="D367">
        <v>108.47</v>
      </c>
      <c r="E367">
        <v>108.82</v>
      </c>
      <c r="F367">
        <v>2868068</v>
      </c>
    </row>
    <row r="368" spans="1:6">
      <c r="A368" s="39">
        <v>42674</v>
      </c>
      <c r="B368">
        <v>109.05</v>
      </c>
      <c r="C368">
        <v>109.2</v>
      </c>
      <c r="D368">
        <v>108.8</v>
      </c>
      <c r="E368">
        <v>108.89</v>
      </c>
      <c r="F368">
        <v>1913647</v>
      </c>
    </row>
    <row r="369" spans="1:6">
      <c r="A369" s="39">
        <v>42675</v>
      </c>
      <c r="B369">
        <v>109.1</v>
      </c>
      <c r="C369">
        <v>109.19</v>
      </c>
      <c r="D369">
        <v>107.39</v>
      </c>
      <c r="E369">
        <v>108.08</v>
      </c>
      <c r="F369">
        <v>3169752</v>
      </c>
    </row>
    <row r="370" spans="1:6">
      <c r="A370" s="39">
        <v>42676</v>
      </c>
      <c r="B370">
        <v>107.87</v>
      </c>
      <c r="C370">
        <v>108.08</v>
      </c>
      <c r="D370">
        <v>107.11</v>
      </c>
      <c r="E370">
        <v>107.33</v>
      </c>
      <c r="F370">
        <v>2957396</v>
      </c>
    </row>
    <row r="371" spans="1:6">
      <c r="A371" s="39">
        <v>42677</v>
      </c>
      <c r="B371">
        <v>107.42</v>
      </c>
      <c r="C371">
        <v>107.63</v>
      </c>
      <c r="D371">
        <v>106.71</v>
      </c>
      <c r="E371">
        <v>106.86</v>
      </c>
      <c r="F371">
        <v>2096498</v>
      </c>
    </row>
    <row r="372" spans="1:6">
      <c r="A372" s="39">
        <v>42678</v>
      </c>
      <c r="B372">
        <v>106.89</v>
      </c>
      <c r="C372">
        <v>107.51</v>
      </c>
      <c r="D372">
        <v>106.69</v>
      </c>
      <c r="E372">
        <v>106.79</v>
      </c>
      <c r="F372">
        <v>2805438</v>
      </c>
    </row>
    <row r="373" spans="1:6">
      <c r="A373" s="39">
        <v>42681</v>
      </c>
      <c r="B373">
        <v>108.41</v>
      </c>
      <c r="C373">
        <v>109.17</v>
      </c>
      <c r="D373">
        <v>108.21</v>
      </c>
      <c r="E373">
        <v>109.15</v>
      </c>
      <c r="F373">
        <v>2527683</v>
      </c>
    </row>
    <row r="374" spans="1:6">
      <c r="A374" s="39">
        <v>42682</v>
      </c>
      <c r="B374">
        <v>109.01</v>
      </c>
      <c r="C374">
        <v>109.99</v>
      </c>
      <c r="D374">
        <v>108.73</v>
      </c>
      <c r="E374">
        <v>109.62</v>
      </c>
      <c r="F374">
        <v>2074192</v>
      </c>
    </row>
    <row r="375" spans="1:6">
      <c r="A375" s="39">
        <v>42683</v>
      </c>
      <c r="B375">
        <v>108.77</v>
      </c>
      <c r="C375">
        <v>111.33</v>
      </c>
      <c r="D375">
        <v>108.5</v>
      </c>
      <c r="E375">
        <v>111</v>
      </c>
      <c r="F375">
        <v>6482023</v>
      </c>
    </row>
    <row r="376" spans="1:6">
      <c r="A376" s="39">
        <v>42684</v>
      </c>
      <c r="B376">
        <v>111.59</v>
      </c>
      <c r="C376">
        <v>112.13</v>
      </c>
      <c r="D376">
        <v>110.48</v>
      </c>
      <c r="E376">
        <v>111.37</v>
      </c>
      <c r="F376">
        <v>5083515</v>
      </c>
    </row>
    <row r="377" spans="1:6">
      <c r="A377" s="39">
        <v>42685</v>
      </c>
      <c r="B377">
        <v>111</v>
      </c>
      <c r="C377">
        <v>111.51</v>
      </c>
      <c r="D377">
        <v>110.69</v>
      </c>
      <c r="E377">
        <v>111.41</v>
      </c>
      <c r="F377">
        <v>4005183</v>
      </c>
    </row>
    <row r="378" spans="1:6">
      <c r="A378" s="39">
        <v>42688</v>
      </c>
      <c r="B378">
        <v>111.78</v>
      </c>
      <c r="C378">
        <v>112.05</v>
      </c>
      <c r="D378">
        <v>111.29</v>
      </c>
      <c r="E378">
        <v>111.7</v>
      </c>
      <c r="F378">
        <v>5234135</v>
      </c>
    </row>
    <row r="379" spans="1:6">
      <c r="A379" s="39">
        <v>42689</v>
      </c>
      <c r="B379">
        <v>112.04</v>
      </c>
      <c r="C379">
        <v>112.6</v>
      </c>
      <c r="D379">
        <v>111.76</v>
      </c>
      <c r="E379">
        <v>112.57</v>
      </c>
      <c r="F379">
        <v>6037248</v>
      </c>
    </row>
    <row r="380" spans="1:6">
      <c r="A380" s="39">
        <v>42690</v>
      </c>
      <c r="B380">
        <v>112.37</v>
      </c>
      <c r="C380">
        <v>112.53</v>
      </c>
      <c r="D380">
        <v>112.14</v>
      </c>
      <c r="E380">
        <v>112.41</v>
      </c>
      <c r="F380">
        <v>7113854</v>
      </c>
    </row>
    <row r="381" spans="1:6">
      <c r="A381" s="39">
        <v>42691</v>
      </c>
      <c r="B381">
        <v>112.53</v>
      </c>
      <c r="C381">
        <v>113.04</v>
      </c>
      <c r="D381">
        <v>112.35</v>
      </c>
      <c r="E381">
        <v>112.98</v>
      </c>
      <c r="F381">
        <v>1874960</v>
      </c>
    </row>
    <row r="382" spans="1:6">
      <c r="A382" s="39">
        <v>42692</v>
      </c>
      <c r="B382">
        <v>113.05</v>
      </c>
      <c r="C382">
        <v>113.12</v>
      </c>
      <c r="D382">
        <v>112.67</v>
      </c>
      <c r="E382">
        <v>112.77</v>
      </c>
      <c r="F382">
        <v>2298224</v>
      </c>
    </row>
    <row r="383" spans="1:6">
      <c r="A383" s="39">
        <v>42695</v>
      </c>
      <c r="B383">
        <v>113.12</v>
      </c>
      <c r="C383">
        <v>113.63</v>
      </c>
      <c r="D383">
        <v>112.87</v>
      </c>
      <c r="E383">
        <v>113.62</v>
      </c>
      <c r="F383">
        <v>2493871</v>
      </c>
    </row>
    <row r="384" spans="1:6">
      <c r="A384" s="39">
        <v>42696</v>
      </c>
      <c r="B384">
        <v>113.88</v>
      </c>
      <c r="C384">
        <v>114.04</v>
      </c>
      <c r="D384">
        <v>113.44</v>
      </c>
      <c r="E384">
        <v>113.95</v>
      </c>
      <c r="F384">
        <v>2673635</v>
      </c>
    </row>
    <row r="385" spans="1:6">
      <c r="A385" s="39">
        <v>42697</v>
      </c>
      <c r="B385">
        <v>113.72</v>
      </c>
      <c r="C385">
        <v>114.12</v>
      </c>
      <c r="D385">
        <v>113.49</v>
      </c>
      <c r="E385">
        <v>114.11</v>
      </c>
      <c r="F385">
        <v>1818707</v>
      </c>
    </row>
    <row r="386" spans="1:6">
      <c r="A386" s="39">
        <v>42699</v>
      </c>
      <c r="B386">
        <v>114.35</v>
      </c>
      <c r="C386">
        <v>114.55</v>
      </c>
      <c r="D386">
        <v>114.21</v>
      </c>
      <c r="E386">
        <v>114.55</v>
      </c>
      <c r="F386">
        <v>889818</v>
      </c>
    </row>
    <row r="387" spans="1:6">
      <c r="A387" s="39">
        <v>42702</v>
      </c>
      <c r="B387">
        <v>114.32</v>
      </c>
      <c r="C387">
        <v>114.41</v>
      </c>
      <c r="D387">
        <v>113.8</v>
      </c>
      <c r="E387">
        <v>113.89</v>
      </c>
      <c r="F387">
        <v>1849844</v>
      </c>
    </row>
    <row r="388" spans="1:6">
      <c r="A388" s="39">
        <v>42703</v>
      </c>
      <c r="B388">
        <v>113.9</v>
      </c>
      <c r="C388">
        <v>114.35</v>
      </c>
      <c r="D388">
        <v>113.68</v>
      </c>
      <c r="E388">
        <v>114.05</v>
      </c>
      <c r="F388">
        <v>1544243</v>
      </c>
    </row>
    <row r="389" spans="1:6">
      <c r="A389" s="39">
        <v>42704</v>
      </c>
      <c r="B389">
        <v>114.47</v>
      </c>
      <c r="C389">
        <v>114.55</v>
      </c>
      <c r="D389">
        <v>113.78</v>
      </c>
      <c r="E389">
        <v>113.78</v>
      </c>
      <c r="F389">
        <v>4406342</v>
      </c>
    </row>
    <row r="390" spans="1:6">
      <c r="A390" s="39">
        <v>42705</v>
      </c>
      <c r="B390">
        <v>114.03</v>
      </c>
      <c r="C390">
        <v>114.03</v>
      </c>
      <c r="D390">
        <v>113.07</v>
      </c>
      <c r="E390">
        <v>113.31</v>
      </c>
      <c r="F390">
        <v>2601218</v>
      </c>
    </row>
    <row r="391" spans="1:6">
      <c r="A391" s="39">
        <v>42706</v>
      </c>
      <c r="B391">
        <v>113.34</v>
      </c>
      <c r="C391">
        <v>113.67</v>
      </c>
      <c r="D391">
        <v>113.15</v>
      </c>
      <c r="E391">
        <v>113.31</v>
      </c>
      <c r="F391">
        <v>1755885</v>
      </c>
    </row>
    <row r="392" spans="1:6">
      <c r="A392" s="39">
        <v>42709</v>
      </c>
      <c r="B392">
        <v>113.9</v>
      </c>
      <c r="C392">
        <v>114.37</v>
      </c>
      <c r="D392">
        <v>113.77</v>
      </c>
      <c r="E392">
        <v>114.1</v>
      </c>
      <c r="F392">
        <v>3843070</v>
      </c>
    </row>
    <row r="393" spans="1:6">
      <c r="A393" s="39">
        <v>42710</v>
      </c>
      <c r="B393">
        <v>114.34</v>
      </c>
      <c r="C393">
        <v>114.7</v>
      </c>
      <c r="D393">
        <v>114.02</v>
      </c>
      <c r="E393">
        <v>114.68</v>
      </c>
      <c r="F393">
        <v>2357053</v>
      </c>
    </row>
    <row r="394" spans="1:6">
      <c r="A394" s="39">
        <v>42711</v>
      </c>
      <c r="B394">
        <v>114.63</v>
      </c>
      <c r="C394">
        <v>116.19</v>
      </c>
      <c r="D394">
        <v>114.51</v>
      </c>
      <c r="E394">
        <v>116.1</v>
      </c>
      <c r="F394">
        <v>3999999</v>
      </c>
    </row>
    <row r="395" spans="1:6">
      <c r="A395" s="39">
        <v>42712</v>
      </c>
      <c r="B395">
        <v>116.18</v>
      </c>
      <c r="C395">
        <v>116.85</v>
      </c>
      <c r="D395">
        <v>115.97</v>
      </c>
      <c r="E395">
        <v>116.52</v>
      </c>
      <c r="F395">
        <v>2679840</v>
      </c>
    </row>
    <row r="396" spans="1:6">
      <c r="A396" s="39">
        <v>42713</v>
      </c>
      <c r="B396">
        <v>116.77</v>
      </c>
      <c r="C396">
        <v>117.15</v>
      </c>
      <c r="D396">
        <v>116.62</v>
      </c>
      <c r="E396">
        <v>117.15</v>
      </c>
      <c r="F396">
        <v>2310201</v>
      </c>
    </row>
    <row r="397" spans="1:6">
      <c r="A397" s="39">
        <v>42716</v>
      </c>
      <c r="B397">
        <v>117.12</v>
      </c>
      <c r="C397">
        <v>117.35</v>
      </c>
      <c r="D397">
        <v>116.59</v>
      </c>
      <c r="E397">
        <v>116.85</v>
      </c>
      <c r="F397">
        <v>4224688</v>
      </c>
    </row>
    <row r="398" spans="1:6">
      <c r="A398" s="39">
        <v>42717</v>
      </c>
      <c r="B398">
        <v>117.3</v>
      </c>
      <c r="C398">
        <v>117.79</v>
      </c>
      <c r="D398">
        <v>117.13</v>
      </c>
      <c r="E398">
        <v>117.53</v>
      </c>
      <c r="F398">
        <v>4394138</v>
      </c>
    </row>
    <row r="399" spans="1:6">
      <c r="A399" s="39">
        <v>42718</v>
      </c>
      <c r="B399">
        <v>117.48</v>
      </c>
      <c r="C399">
        <v>117.73</v>
      </c>
      <c r="D399">
        <v>116.23</v>
      </c>
      <c r="E399">
        <v>116.47</v>
      </c>
      <c r="F399">
        <v>3885394</v>
      </c>
    </row>
    <row r="400" spans="1:6">
      <c r="A400" s="39">
        <v>42719</v>
      </c>
      <c r="B400">
        <v>116.56</v>
      </c>
      <c r="C400">
        <v>117.53</v>
      </c>
      <c r="D400">
        <v>116.5</v>
      </c>
      <c r="E400">
        <v>116.95</v>
      </c>
      <c r="F400">
        <v>3343080</v>
      </c>
    </row>
    <row r="401" spans="1:6">
      <c r="A401" s="39">
        <v>42720</v>
      </c>
      <c r="B401">
        <v>117.27</v>
      </c>
      <c r="C401">
        <v>117.38</v>
      </c>
      <c r="D401">
        <v>116.59</v>
      </c>
      <c r="E401">
        <v>116.77</v>
      </c>
      <c r="F401">
        <v>1991626</v>
      </c>
    </row>
    <row r="402" spans="1:6">
      <c r="A402" s="39">
        <v>42723</v>
      </c>
      <c r="B402">
        <v>116.96</v>
      </c>
      <c r="C402">
        <v>117.32</v>
      </c>
      <c r="D402">
        <v>116.8</v>
      </c>
      <c r="E402">
        <v>117.1</v>
      </c>
      <c r="F402">
        <v>2405748</v>
      </c>
    </row>
    <row r="403" spans="1:6">
      <c r="A403" s="39">
        <v>42724</v>
      </c>
      <c r="B403">
        <v>116.88</v>
      </c>
      <c r="C403">
        <v>116.93</v>
      </c>
      <c r="D403">
        <v>116.6</v>
      </c>
      <c r="E403">
        <v>116.87</v>
      </c>
      <c r="F403">
        <v>2942518</v>
      </c>
    </row>
    <row r="404" spans="1:6">
      <c r="A404" s="39">
        <v>42725</v>
      </c>
      <c r="B404">
        <v>116.87</v>
      </c>
      <c r="C404">
        <v>116.92</v>
      </c>
      <c r="D404">
        <v>116.54</v>
      </c>
      <c r="E404">
        <v>116.54</v>
      </c>
      <c r="F404">
        <v>2248950</v>
      </c>
    </row>
    <row r="405" spans="1:6">
      <c r="A405" s="39">
        <v>42726</v>
      </c>
      <c r="B405">
        <v>116.42</v>
      </c>
      <c r="C405">
        <v>116.51</v>
      </c>
      <c r="D405">
        <v>115.98</v>
      </c>
      <c r="E405">
        <v>116.24</v>
      </c>
      <c r="F405">
        <v>3105779</v>
      </c>
    </row>
    <row r="406" spans="1:6">
      <c r="A406" s="39">
        <v>42727</v>
      </c>
      <c r="B406">
        <v>116.23</v>
      </c>
      <c r="C406">
        <v>116.42</v>
      </c>
      <c r="D406">
        <v>116.13</v>
      </c>
      <c r="E406">
        <v>116.42</v>
      </c>
      <c r="F406">
        <v>2325820</v>
      </c>
    </row>
    <row r="407" spans="1:6">
      <c r="A407" s="39">
        <v>42731</v>
      </c>
      <c r="B407">
        <v>116.57</v>
      </c>
      <c r="C407">
        <v>116.99</v>
      </c>
      <c r="D407">
        <v>116.5</v>
      </c>
      <c r="E407">
        <v>116.71</v>
      </c>
      <c r="F407">
        <v>3386903</v>
      </c>
    </row>
    <row r="408" spans="1:6">
      <c r="A408" s="39">
        <v>42732</v>
      </c>
      <c r="B408">
        <v>116.88</v>
      </c>
      <c r="C408">
        <v>116.93</v>
      </c>
      <c r="D408">
        <v>115.66</v>
      </c>
      <c r="E408">
        <v>115.74</v>
      </c>
      <c r="F408">
        <v>2591078</v>
      </c>
    </row>
    <row r="409" spans="1:6">
      <c r="A409" s="39">
        <v>42733</v>
      </c>
      <c r="B409">
        <v>115.74</v>
      </c>
      <c r="C409">
        <v>116.03</v>
      </c>
      <c r="D409">
        <v>115.47</v>
      </c>
      <c r="E409">
        <v>115.75</v>
      </c>
      <c r="F409">
        <v>1622737</v>
      </c>
    </row>
    <row r="410" spans="1:6">
      <c r="A410" s="39">
        <v>42734</v>
      </c>
      <c r="B410">
        <v>116</v>
      </c>
      <c r="C410">
        <v>116</v>
      </c>
      <c r="D410">
        <v>114.96</v>
      </c>
      <c r="E410">
        <v>115.32</v>
      </c>
      <c r="F410">
        <v>2910108</v>
      </c>
    </row>
    <row r="411" spans="1:6">
      <c r="A411" s="39">
        <v>42738</v>
      </c>
      <c r="B411">
        <v>116.15</v>
      </c>
      <c r="C411">
        <v>116.55</v>
      </c>
      <c r="D411">
        <v>115.49</v>
      </c>
      <c r="E411">
        <v>116.2</v>
      </c>
      <c r="F411">
        <v>2731646</v>
      </c>
    </row>
    <row r="412" spans="1:6">
      <c r="A412" s="39">
        <v>42739</v>
      </c>
      <c r="B412">
        <v>116.47</v>
      </c>
      <c r="C412">
        <v>117.19</v>
      </c>
      <c r="D412">
        <v>116.42</v>
      </c>
      <c r="E412">
        <v>117.09</v>
      </c>
      <c r="F412">
        <v>3228738</v>
      </c>
    </row>
    <row r="413" spans="1:6">
      <c r="A413" s="39">
        <v>42740</v>
      </c>
      <c r="B413">
        <v>116.95</v>
      </c>
      <c r="C413">
        <v>117.09</v>
      </c>
      <c r="D413">
        <v>116.4</v>
      </c>
      <c r="E413">
        <v>116.86</v>
      </c>
      <c r="F413">
        <v>2604038</v>
      </c>
    </row>
    <row r="414" spans="1:6">
      <c r="A414" s="39">
        <v>42741</v>
      </c>
      <c r="B414">
        <v>117.02</v>
      </c>
      <c r="C414">
        <v>117.52</v>
      </c>
      <c r="D414">
        <v>116.64</v>
      </c>
      <c r="E414">
        <v>117.23</v>
      </c>
      <c r="F414">
        <v>2317806</v>
      </c>
    </row>
    <row r="415" spans="1:6">
      <c r="A415" s="39">
        <v>42744</v>
      </c>
      <c r="B415">
        <v>117.1</v>
      </c>
      <c r="C415">
        <v>117.14</v>
      </c>
      <c r="D415">
        <v>116.74</v>
      </c>
      <c r="E415">
        <v>116.78</v>
      </c>
      <c r="F415">
        <v>2461680</v>
      </c>
    </row>
    <row r="416" spans="1:6">
      <c r="A416" s="39">
        <v>42745</v>
      </c>
      <c r="B416">
        <v>116.76</v>
      </c>
      <c r="C416">
        <v>117.36</v>
      </c>
      <c r="D416">
        <v>116.62</v>
      </c>
      <c r="E416">
        <v>116.87</v>
      </c>
      <c r="F416">
        <v>2055428</v>
      </c>
    </row>
    <row r="417" spans="1:6">
      <c r="A417" s="39">
        <v>42746</v>
      </c>
      <c r="B417">
        <v>116.91</v>
      </c>
      <c r="C417">
        <v>117.24</v>
      </c>
      <c r="D417">
        <v>116.49</v>
      </c>
      <c r="E417">
        <v>117.24</v>
      </c>
      <c r="F417">
        <v>2751838</v>
      </c>
    </row>
    <row r="418" spans="1:6">
      <c r="A418" s="39">
        <v>42747</v>
      </c>
      <c r="B418">
        <v>117.04</v>
      </c>
      <c r="C418">
        <v>117.04</v>
      </c>
      <c r="D418">
        <v>116.01</v>
      </c>
      <c r="E418">
        <v>116.93</v>
      </c>
      <c r="F418">
        <v>2342402</v>
      </c>
    </row>
    <row r="419" spans="1:6">
      <c r="A419" s="39">
        <v>42748</v>
      </c>
      <c r="B419">
        <v>116.99</v>
      </c>
      <c r="C419">
        <v>117.4</v>
      </c>
      <c r="D419">
        <v>116.98</v>
      </c>
      <c r="E419">
        <v>117.22</v>
      </c>
      <c r="F419">
        <v>2031780</v>
      </c>
    </row>
    <row r="420" spans="1:6">
      <c r="A420" s="39">
        <v>42752</v>
      </c>
      <c r="B420">
        <v>116.86</v>
      </c>
      <c r="C420">
        <v>117.06</v>
      </c>
      <c r="D420">
        <v>116.47</v>
      </c>
      <c r="E420">
        <v>116.7</v>
      </c>
      <c r="F420">
        <v>2583709</v>
      </c>
    </row>
    <row r="421" spans="1:6">
      <c r="A421" s="39">
        <v>42753</v>
      </c>
      <c r="B421">
        <v>116.8</v>
      </c>
      <c r="C421">
        <v>117</v>
      </c>
      <c r="D421">
        <v>116.48</v>
      </c>
      <c r="E421">
        <v>116.97</v>
      </c>
      <c r="F421">
        <v>1901752</v>
      </c>
    </row>
    <row r="422" spans="1:6">
      <c r="A422" s="39">
        <v>42754</v>
      </c>
      <c r="B422">
        <v>117.03</v>
      </c>
      <c r="C422">
        <v>117.14</v>
      </c>
      <c r="D422">
        <v>116.24</v>
      </c>
      <c r="E422">
        <v>116.51</v>
      </c>
      <c r="F422">
        <v>1899267</v>
      </c>
    </row>
    <row r="423" spans="1:6">
      <c r="A423" s="39">
        <v>42755</v>
      </c>
      <c r="B423">
        <v>116.84</v>
      </c>
      <c r="C423">
        <v>117.23</v>
      </c>
      <c r="D423">
        <v>116.59</v>
      </c>
      <c r="E423">
        <v>116.91</v>
      </c>
      <c r="F423">
        <v>2636114</v>
      </c>
    </row>
    <row r="424" spans="1:6">
      <c r="A424" s="39">
        <v>42758</v>
      </c>
      <c r="B424">
        <v>116.75</v>
      </c>
      <c r="C424">
        <v>116.97</v>
      </c>
      <c r="D424">
        <v>116.17</v>
      </c>
      <c r="E424">
        <v>116.6</v>
      </c>
      <c r="F424">
        <v>1938950</v>
      </c>
    </row>
    <row r="425" spans="1:6">
      <c r="A425" s="39">
        <v>42759</v>
      </c>
      <c r="B425">
        <v>116.82</v>
      </c>
      <c r="C425">
        <v>117.74</v>
      </c>
      <c r="D425">
        <v>116.74</v>
      </c>
      <c r="E425">
        <v>117.51</v>
      </c>
      <c r="F425">
        <v>2165876</v>
      </c>
    </row>
    <row r="426" spans="1:6">
      <c r="A426" s="39">
        <v>42760</v>
      </c>
      <c r="B426">
        <v>118.02</v>
      </c>
      <c r="C426">
        <v>118.56</v>
      </c>
      <c r="D426">
        <v>117.94</v>
      </c>
      <c r="E426">
        <v>118.52</v>
      </c>
      <c r="F426">
        <v>2427847</v>
      </c>
    </row>
    <row r="427" spans="1:6">
      <c r="A427" s="39">
        <v>42761</v>
      </c>
      <c r="B427">
        <v>118.56</v>
      </c>
      <c r="C427">
        <v>118.62</v>
      </c>
      <c r="D427">
        <v>118.23</v>
      </c>
      <c r="E427">
        <v>118.35</v>
      </c>
      <c r="F427">
        <v>2178512</v>
      </c>
    </row>
    <row r="428" spans="1:6">
      <c r="A428" s="39">
        <v>42762</v>
      </c>
      <c r="B428">
        <v>118.45</v>
      </c>
      <c r="C428">
        <v>118.48</v>
      </c>
      <c r="D428">
        <v>118.02</v>
      </c>
      <c r="E428">
        <v>118.16</v>
      </c>
      <c r="F428">
        <v>1479541</v>
      </c>
    </row>
    <row r="429" spans="1:6">
      <c r="A429" s="39">
        <v>42765</v>
      </c>
      <c r="B429">
        <v>117.73</v>
      </c>
      <c r="C429">
        <v>117.8</v>
      </c>
      <c r="D429">
        <v>116.68</v>
      </c>
      <c r="E429">
        <v>117.36</v>
      </c>
      <c r="F429">
        <v>3006131</v>
      </c>
    </row>
    <row r="430" spans="1:6">
      <c r="A430" s="39">
        <v>42766</v>
      </c>
      <c r="B430">
        <v>117</v>
      </c>
      <c r="C430">
        <v>117.46</v>
      </c>
      <c r="D430">
        <v>116.73</v>
      </c>
      <c r="E430">
        <v>117.46</v>
      </c>
      <c r="F430">
        <v>3309743</v>
      </c>
    </row>
    <row r="431" spans="1:6">
      <c r="A431" s="39">
        <v>42767</v>
      </c>
      <c r="B431">
        <v>117.86</v>
      </c>
      <c r="C431">
        <v>118.04</v>
      </c>
      <c r="D431">
        <v>117.07</v>
      </c>
      <c r="E431">
        <v>117.45</v>
      </c>
      <c r="F431">
        <v>2614514</v>
      </c>
    </row>
    <row r="432" spans="1:6">
      <c r="A432" s="39">
        <v>42768</v>
      </c>
      <c r="B432">
        <v>117.21</v>
      </c>
      <c r="C432">
        <v>117.72</v>
      </c>
      <c r="D432">
        <v>117.02</v>
      </c>
      <c r="E432">
        <v>117.53</v>
      </c>
      <c r="F432">
        <v>1745302</v>
      </c>
    </row>
    <row r="433" spans="1:6">
      <c r="A433" s="39">
        <v>42769</v>
      </c>
      <c r="B433">
        <v>117.99</v>
      </c>
      <c r="C433">
        <v>118.52</v>
      </c>
      <c r="D433">
        <v>117.92</v>
      </c>
      <c r="E433">
        <v>118.42</v>
      </c>
      <c r="F433">
        <v>1837627</v>
      </c>
    </row>
    <row r="434" spans="1:6">
      <c r="A434" s="39">
        <v>42772</v>
      </c>
      <c r="B434">
        <v>118.26</v>
      </c>
      <c r="C434">
        <v>118.41</v>
      </c>
      <c r="D434">
        <v>117.94</v>
      </c>
      <c r="E434">
        <v>118.14</v>
      </c>
      <c r="F434">
        <v>1598846</v>
      </c>
    </row>
    <row r="435" spans="1:6">
      <c r="A435" s="39">
        <v>42773</v>
      </c>
      <c r="B435">
        <v>118.43</v>
      </c>
      <c r="C435">
        <v>118.53</v>
      </c>
      <c r="D435">
        <v>117.96</v>
      </c>
      <c r="E435">
        <v>118.13</v>
      </c>
      <c r="F435">
        <v>3366070</v>
      </c>
    </row>
    <row r="436" spans="1:6">
      <c r="A436" s="39">
        <v>42774</v>
      </c>
      <c r="B436">
        <v>117.92</v>
      </c>
      <c r="C436">
        <v>118.32</v>
      </c>
      <c r="D436">
        <v>117.69</v>
      </c>
      <c r="E436">
        <v>118.26</v>
      </c>
      <c r="F436">
        <v>1835984</v>
      </c>
    </row>
    <row r="437" spans="1:6">
      <c r="A437" s="39">
        <v>42775</v>
      </c>
      <c r="B437">
        <v>118.42</v>
      </c>
      <c r="C437">
        <v>119.21</v>
      </c>
      <c r="D437">
        <v>118.38</v>
      </c>
      <c r="E437">
        <v>119.04</v>
      </c>
      <c r="F437">
        <v>1635319</v>
      </c>
    </row>
    <row r="438" spans="1:6">
      <c r="A438" s="39">
        <v>42776</v>
      </c>
      <c r="B438">
        <v>119.29</v>
      </c>
      <c r="C438">
        <v>119.7</v>
      </c>
      <c r="D438">
        <v>119.21</v>
      </c>
      <c r="E438">
        <v>119.54</v>
      </c>
      <c r="F438">
        <v>1837821</v>
      </c>
    </row>
    <row r="439" spans="1:6">
      <c r="A439" s="39">
        <v>42779</v>
      </c>
      <c r="B439">
        <v>119.92</v>
      </c>
      <c r="C439">
        <v>120.33</v>
      </c>
      <c r="D439">
        <v>119.87</v>
      </c>
      <c r="E439">
        <v>120.14</v>
      </c>
      <c r="F439">
        <v>1985570</v>
      </c>
    </row>
    <row r="440" spans="1:6">
      <c r="A440" s="39">
        <v>42780</v>
      </c>
      <c r="B440">
        <v>120.1</v>
      </c>
      <c r="C440">
        <v>120.63</v>
      </c>
      <c r="D440">
        <v>119.85</v>
      </c>
      <c r="E440">
        <v>120.58</v>
      </c>
      <c r="F440">
        <v>2051179</v>
      </c>
    </row>
    <row r="441" spans="1:6">
      <c r="A441" s="39">
        <v>42781</v>
      </c>
      <c r="B441">
        <v>120.57</v>
      </c>
      <c r="C441">
        <v>121.35</v>
      </c>
      <c r="D441">
        <v>120.45</v>
      </c>
      <c r="E441">
        <v>121.24</v>
      </c>
      <c r="F441">
        <v>1998213</v>
      </c>
    </row>
    <row r="442" spans="1:6">
      <c r="A442" s="39">
        <v>42782</v>
      </c>
      <c r="B442">
        <v>121.25</v>
      </c>
      <c r="C442">
        <v>121.37</v>
      </c>
      <c r="D442">
        <v>120.64</v>
      </c>
      <c r="E442">
        <v>121.13</v>
      </c>
      <c r="F442">
        <v>2034805</v>
      </c>
    </row>
    <row r="443" spans="1:6">
      <c r="A443" s="39">
        <v>42783</v>
      </c>
      <c r="B443">
        <v>120.66</v>
      </c>
      <c r="C443">
        <v>121.31</v>
      </c>
      <c r="D443">
        <v>120.66</v>
      </c>
      <c r="E443">
        <v>121.31</v>
      </c>
      <c r="F443">
        <v>1948471</v>
      </c>
    </row>
    <row r="444" spans="1:6">
      <c r="A444" s="39">
        <v>42787</v>
      </c>
      <c r="B444">
        <v>121.55</v>
      </c>
      <c r="C444">
        <v>122.13</v>
      </c>
      <c r="D444">
        <v>121.39</v>
      </c>
      <c r="E444">
        <v>122.03</v>
      </c>
      <c r="F444">
        <v>2423039</v>
      </c>
    </row>
    <row r="445" spans="1:6">
      <c r="A445" s="39">
        <v>42788</v>
      </c>
      <c r="B445">
        <v>121.82</v>
      </c>
      <c r="C445">
        <v>122.03</v>
      </c>
      <c r="D445">
        <v>121.68</v>
      </c>
      <c r="E445">
        <v>121.87</v>
      </c>
      <c r="F445">
        <v>1973959</v>
      </c>
    </row>
    <row r="446" spans="1:6">
      <c r="A446" s="39">
        <v>42789</v>
      </c>
      <c r="B446">
        <v>122.21</v>
      </c>
      <c r="C446">
        <v>122.23</v>
      </c>
      <c r="D446">
        <v>121.32</v>
      </c>
      <c r="E446">
        <v>121.78</v>
      </c>
      <c r="F446">
        <v>2024945</v>
      </c>
    </row>
    <row r="447" spans="1:6">
      <c r="A447" s="39">
        <v>42790</v>
      </c>
      <c r="B447">
        <v>121.38</v>
      </c>
      <c r="C447">
        <v>121.99</v>
      </c>
      <c r="D447">
        <v>121.24</v>
      </c>
      <c r="E447">
        <v>121.98</v>
      </c>
      <c r="F447">
        <v>2962944</v>
      </c>
    </row>
    <row r="448" spans="1:6">
      <c r="A448" s="39">
        <v>42793</v>
      </c>
      <c r="B448">
        <v>121.92</v>
      </c>
      <c r="C448">
        <v>122.36</v>
      </c>
      <c r="D448">
        <v>121.74</v>
      </c>
      <c r="E448">
        <v>122.25</v>
      </c>
      <c r="F448">
        <v>2625148</v>
      </c>
    </row>
    <row r="449" spans="1:6">
      <c r="A449" s="39">
        <v>42794</v>
      </c>
      <c r="B449">
        <v>122.18</v>
      </c>
      <c r="C449">
        <v>122.18</v>
      </c>
      <c r="D449">
        <v>121.61</v>
      </c>
      <c r="E449">
        <v>121.8</v>
      </c>
      <c r="F449">
        <v>2231827</v>
      </c>
    </row>
    <row r="450" spans="1:6">
      <c r="A450" s="39">
        <v>42795</v>
      </c>
      <c r="B450">
        <v>122.81</v>
      </c>
      <c r="C450">
        <v>123.73</v>
      </c>
      <c r="D450">
        <v>122.65</v>
      </c>
      <c r="E450">
        <v>123.44</v>
      </c>
      <c r="F450">
        <v>2874677</v>
      </c>
    </row>
    <row r="451" spans="1:6">
      <c r="A451" s="39">
        <v>42796</v>
      </c>
      <c r="B451">
        <v>123.42</v>
      </c>
      <c r="C451">
        <v>123.42</v>
      </c>
      <c r="D451">
        <v>122.61</v>
      </c>
      <c r="E451">
        <v>122.65</v>
      </c>
      <c r="F451">
        <v>2421598</v>
      </c>
    </row>
    <row r="452" spans="1:6">
      <c r="A452" s="39">
        <v>42797</v>
      </c>
      <c r="B452">
        <v>122.63</v>
      </c>
      <c r="C452">
        <v>122.8</v>
      </c>
      <c r="D452">
        <v>122.33</v>
      </c>
      <c r="E452">
        <v>122.75</v>
      </c>
      <c r="F452">
        <v>1651644</v>
      </c>
    </row>
    <row r="453" spans="1:6">
      <c r="A453" s="39">
        <v>42800</v>
      </c>
      <c r="B453">
        <v>122.48</v>
      </c>
      <c r="C453">
        <v>122.48</v>
      </c>
      <c r="D453">
        <v>121.9</v>
      </c>
      <c r="E453">
        <v>122.27</v>
      </c>
      <c r="F453">
        <v>1716343</v>
      </c>
    </row>
    <row r="454" spans="1:6">
      <c r="A454" s="39">
        <v>42801</v>
      </c>
      <c r="B454">
        <v>122.21</v>
      </c>
      <c r="C454">
        <v>122.29</v>
      </c>
      <c r="D454">
        <v>121.75</v>
      </c>
      <c r="E454">
        <v>121.88</v>
      </c>
      <c r="F454">
        <v>1612658</v>
      </c>
    </row>
    <row r="455" spans="1:6">
      <c r="A455" s="39">
        <v>42802</v>
      </c>
      <c r="B455">
        <v>121.99</v>
      </c>
      <c r="C455">
        <v>122.18</v>
      </c>
      <c r="D455">
        <v>121.47</v>
      </c>
      <c r="E455">
        <v>121.54</v>
      </c>
      <c r="F455">
        <v>2374579</v>
      </c>
    </row>
    <row r="456" spans="1:6">
      <c r="A456" s="39">
        <v>42803</v>
      </c>
      <c r="B456">
        <v>121.6</v>
      </c>
      <c r="C456">
        <v>121.89</v>
      </c>
      <c r="D456">
        <v>121.02</v>
      </c>
      <c r="E456">
        <v>121.6</v>
      </c>
      <c r="F456">
        <v>3852842</v>
      </c>
    </row>
    <row r="457" spans="1:6">
      <c r="A457" s="39">
        <v>42804</v>
      </c>
      <c r="B457">
        <v>122.19</v>
      </c>
      <c r="C457">
        <v>122.25</v>
      </c>
      <c r="D457">
        <v>121.46</v>
      </c>
      <c r="E457">
        <v>122.04</v>
      </c>
      <c r="F457">
        <v>2987473</v>
      </c>
    </row>
    <row r="458" spans="1:6">
      <c r="A458" s="39">
        <v>42807</v>
      </c>
      <c r="B458">
        <v>122.06</v>
      </c>
      <c r="C458">
        <v>122.16</v>
      </c>
      <c r="D458">
        <v>121.86</v>
      </c>
      <c r="E458">
        <v>122.13</v>
      </c>
      <c r="F458">
        <v>2003857</v>
      </c>
    </row>
    <row r="459" spans="1:6">
      <c r="A459" s="39">
        <v>42808</v>
      </c>
      <c r="B459">
        <v>121.87</v>
      </c>
      <c r="C459">
        <v>121.87</v>
      </c>
      <c r="D459">
        <v>121.24</v>
      </c>
      <c r="E459">
        <v>121.69</v>
      </c>
      <c r="F459">
        <v>2269587</v>
      </c>
    </row>
    <row r="460" spans="1:6">
      <c r="A460" s="39">
        <v>42809</v>
      </c>
      <c r="B460">
        <v>121.98</v>
      </c>
      <c r="C460">
        <v>123.04</v>
      </c>
      <c r="D460">
        <v>121.89</v>
      </c>
      <c r="E460">
        <v>122.79</v>
      </c>
      <c r="F460">
        <v>1892226</v>
      </c>
    </row>
    <row r="461" spans="1:6">
      <c r="A461" s="39">
        <v>42810</v>
      </c>
      <c r="B461">
        <v>122.96</v>
      </c>
      <c r="C461">
        <v>123</v>
      </c>
      <c r="D461">
        <v>122.43</v>
      </c>
      <c r="E461">
        <v>122.64</v>
      </c>
      <c r="F461">
        <v>2050110</v>
      </c>
    </row>
    <row r="462" spans="1:6">
      <c r="A462" s="39">
        <v>42811</v>
      </c>
      <c r="B462">
        <v>122.84</v>
      </c>
      <c r="C462">
        <v>122.88</v>
      </c>
      <c r="D462">
        <v>122.45</v>
      </c>
      <c r="E462">
        <v>122.57</v>
      </c>
      <c r="F462">
        <v>1973987</v>
      </c>
    </row>
    <row r="463" spans="1:6">
      <c r="A463" s="39">
        <v>42814</v>
      </c>
      <c r="B463">
        <v>122.51</v>
      </c>
      <c r="C463">
        <v>122.62</v>
      </c>
      <c r="D463">
        <v>122.07</v>
      </c>
      <c r="E463">
        <v>122.27</v>
      </c>
      <c r="F463">
        <v>3239871</v>
      </c>
    </row>
    <row r="464" spans="1:6">
      <c r="A464" s="39">
        <v>42815</v>
      </c>
      <c r="B464">
        <v>122.69</v>
      </c>
      <c r="C464">
        <v>122.72</v>
      </c>
      <c r="D464">
        <v>120.44</v>
      </c>
      <c r="E464">
        <v>120.57</v>
      </c>
      <c r="F464">
        <v>3355145</v>
      </c>
    </row>
    <row r="465" spans="1:6">
      <c r="A465" s="39">
        <v>42816</v>
      </c>
      <c r="B465">
        <v>120.48</v>
      </c>
      <c r="C465">
        <v>120.91</v>
      </c>
      <c r="D465">
        <v>120.1</v>
      </c>
      <c r="E465">
        <v>120.73</v>
      </c>
      <c r="F465">
        <v>2896603</v>
      </c>
    </row>
    <row r="466" spans="1:6">
      <c r="A466" s="39">
        <v>42817</v>
      </c>
      <c r="B466">
        <v>120.66</v>
      </c>
      <c r="C466">
        <v>121.39</v>
      </c>
      <c r="D466">
        <v>120.47</v>
      </c>
      <c r="E466">
        <v>120.69</v>
      </c>
      <c r="F466">
        <v>2257114</v>
      </c>
    </row>
    <row r="467" spans="1:6">
      <c r="A467" s="39">
        <v>42818</v>
      </c>
      <c r="B467">
        <v>120.42</v>
      </c>
      <c r="C467">
        <v>120.74</v>
      </c>
      <c r="D467">
        <v>119.66</v>
      </c>
      <c r="E467">
        <v>120.16</v>
      </c>
      <c r="F467">
        <v>2305692</v>
      </c>
    </row>
    <row r="468" spans="1:6">
      <c r="A468" s="39">
        <v>42821</v>
      </c>
      <c r="B468">
        <v>119.18</v>
      </c>
      <c r="C468">
        <v>120.19</v>
      </c>
      <c r="D468">
        <v>118.89</v>
      </c>
      <c r="E468">
        <v>120.02</v>
      </c>
      <c r="F468">
        <v>2927702</v>
      </c>
    </row>
    <row r="469" spans="1:6">
      <c r="A469" s="39">
        <v>42822</v>
      </c>
      <c r="B469">
        <v>119.96</v>
      </c>
      <c r="C469">
        <v>121.14</v>
      </c>
      <c r="D469">
        <v>119.78</v>
      </c>
      <c r="E469">
        <v>120.86</v>
      </c>
      <c r="F469">
        <v>2699241</v>
      </c>
    </row>
    <row r="470" spans="1:6">
      <c r="A470" s="39">
        <v>42823</v>
      </c>
      <c r="B470">
        <v>120.88</v>
      </c>
      <c r="C470">
        <v>121.23</v>
      </c>
      <c r="D470">
        <v>120.58</v>
      </c>
      <c r="E470">
        <v>121.08</v>
      </c>
      <c r="F470">
        <v>3196549</v>
      </c>
    </row>
    <row r="471" spans="1:6">
      <c r="A471" s="39">
        <v>42824</v>
      </c>
      <c r="B471">
        <v>121.14</v>
      </c>
      <c r="C471">
        <v>121.62</v>
      </c>
      <c r="D471">
        <v>120.99</v>
      </c>
      <c r="E471">
        <v>121.53</v>
      </c>
      <c r="F471">
        <v>2076852</v>
      </c>
    </row>
    <row r="472" spans="1:6">
      <c r="A472" s="39">
        <v>42825</v>
      </c>
      <c r="B472">
        <v>121.42</v>
      </c>
      <c r="C472">
        <v>121.72</v>
      </c>
      <c r="D472">
        <v>121.26</v>
      </c>
      <c r="E472">
        <v>121.32</v>
      </c>
      <c r="F472">
        <v>1815860</v>
      </c>
    </row>
    <row r="473" spans="1:6">
      <c r="A473" s="39">
        <v>42828</v>
      </c>
      <c r="B473">
        <v>121.45</v>
      </c>
      <c r="C473">
        <v>121.5</v>
      </c>
      <c r="D473">
        <v>120.33</v>
      </c>
      <c r="E473">
        <v>121.02</v>
      </c>
      <c r="F473">
        <v>3103060</v>
      </c>
    </row>
    <row r="474" spans="1:6">
      <c r="A474" s="39">
        <v>42829</v>
      </c>
      <c r="B474">
        <v>120.89</v>
      </c>
      <c r="C474">
        <v>121.1</v>
      </c>
      <c r="D474">
        <v>120.64</v>
      </c>
      <c r="E474">
        <v>121.08</v>
      </c>
      <c r="F474">
        <v>2462645</v>
      </c>
    </row>
    <row r="475" spans="1:6">
      <c r="A475" s="39">
        <v>42830</v>
      </c>
      <c r="B475">
        <v>121.49</v>
      </c>
      <c r="C475">
        <v>122.02</v>
      </c>
      <c r="D475">
        <v>120.44</v>
      </c>
      <c r="E475">
        <v>120.59</v>
      </c>
      <c r="F475">
        <v>3905750</v>
      </c>
    </row>
    <row r="476" spans="1:6">
      <c r="A476" s="39">
        <v>42831</v>
      </c>
      <c r="B476">
        <v>120.69</v>
      </c>
      <c r="C476">
        <v>121.26</v>
      </c>
      <c r="D476">
        <v>120.38</v>
      </c>
      <c r="E476">
        <v>120.97</v>
      </c>
      <c r="F476">
        <v>2056068</v>
      </c>
    </row>
    <row r="477" spans="1:6">
      <c r="A477" s="39">
        <v>42832</v>
      </c>
      <c r="B477">
        <v>120.84</v>
      </c>
      <c r="C477">
        <v>121.29</v>
      </c>
      <c r="D477">
        <v>120.59</v>
      </c>
      <c r="E477">
        <v>120.88</v>
      </c>
      <c r="F477">
        <v>1997440</v>
      </c>
    </row>
    <row r="478" spans="1:6">
      <c r="A478" s="39">
        <v>42835</v>
      </c>
      <c r="B478">
        <v>121.04</v>
      </c>
      <c r="C478">
        <v>121.51</v>
      </c>
      <c r="D478">
        <v>120.7</v>
      </c>
      <c r="E478">
        <v>121.03</v>
      </c>
      <c r="F478">
        <v>1669475</v>
      </c>
    </row>
    <row r="479" spans="1:6">
      <c r="A479" s="39">
        <v>42836</v>
      </c>
      <c r="B479">
        <v>120.87</v>
      </c>
      <c r="C479">
        <v>121</v>
      </c>
      <c r="D479">
        <v>120.06</v>
      </c>
      <c r="E479">
        <v>120.99</v>
      </c>
      <c r="F479">
        <v>2895455</v>
      </c>
    </row>
    <row r="480" spans="1:6">
      <c r="A480" s="39">
        <v>42837</v>
      </c>
      <c r="B480">
        <v>120.88</v>
      </c>
      <c r="C480">
        <v>120.99</v>
      </c>
      <c r="D480">
        <v>120.23</v>
      </c>
      <c r="E480">
        <v>120.37</v>
      </c>
      <c r="F480">
        <v>1967393</v>
      </c>
    </row>
    <row r="481" spans="1:6">
      <c r="A481" s="39">
        <v>42838</v>
      </c>
      <c r="B481">
        <v>120.15</v>
      </c>
      <c r="C481">
        <v>120.56</v>
      </c>
      <c r="D481">
        <v>119.55</v>
      </c>
      <c r="E481">
        <v>119.55</v>
      </c>
      <c r="F481">
        <v>2852219</v>
      </c>
    </row>
    <row r="482" spans="1:6">
      <c r="A482" s="39">
        <v>42842</v>
      </c>
      <c r="B482">
        <v>119.88</v>
      </c>
      <c r="C482">
        <v>120.61</v>
      </c>
      <c r="D482">
        <v>119.68</v>
      </c>
      <c r="E482">
        <v>120.59</v>
      </c>
      <c r="F482">
        <v>3198909</v>
      </c>
    </row>
    <row r="483" spans="1:6">
      <c r="A483" s="39">
        <v>42843</v>
      </c>
      <c r="B483">
        <v>120.2</v>
      </c>
      <c r="C483">
        <v>120.56</v>
      </c>
      <c r="D483">
        <v>119.85</v>
      </c>
      <c r="E483">
        <v>120.33</v>
      </c>
      <c r="F483">
        <v>1865766</v>
      </c>
    </row>
    <row r="484" spans="1:6">
      <c r="A484" s="39">
        <v>42844</v>
      </c>
      <c r="B484">
        <v>120.72</v>
      </c>
      <c r="C484">
        <v>120.92</v>
      </c>
      <c r="D484">
        <v>120.08</v>
      </c>
      <c r="E484">
        <v>120.23</v>
      </c>
      <c r="F484">
        <v>1807017</v>
      </c>
    </row>
    <row r="485" spans="1:6">
      <c r="A485" s="39">
        <v>42845</v>
      </c>
      <c r="B485">
        <v>120.59</v>
      </c>
      <c r="C485">
        <v>121.43</v>
      </c>
      <c r="D485">
        <v>120.37</v>
      </c>
      <c r="E485">
        <v>121.22</v>
      </c>
      <c r="F485">
        <v>1783429</v>
      </c>
    </row>
    <row r="486" spans="1:6">
      <c r="A486" s="39">
        <v>42846</v>
      </c>
      <c r="B486">
        <v>121.21</v>
      </c>
      <c r="C486">
        <v>121.21</v>
      </c>
      <c r="D486">
        <v>120.61</v>
      </c>
      <c r="E486">
        <v>120.83</v>
      </c>
      <c r="F486">
        <v>2006549</v>
      </c>
    </row>
    <row r="487" spans="1:6">
      <c r="A487" s="39">
        <v>42849</v>
      </c>
      <c r="B487">
        <v>122.17</v>
      </c>
      <c r="C487">
        <v>122.28</v>
      </c>
      <c r="D487">
        <v>121.88</v>
      </c>
      <c r="E487">
        <v>122.11</v>
      </c>
      <c r="F487">
        <v>2178763</v>
      </c>
    </row>
    <row r="488" spans="1:6">
      <c r="A488" s="39">
        <v>42850</v>
      </c>
      <c r="B488">
        <v>122.56</v>
      </c>
      <c r="C488">
        <v>123.09</v>
      </c>
      <c r="D488">
        <v>122.52</v>
      </c>
      <c r="E488">
        <v>122.87</v>
      </c>
      <c r="F488">
        <v>2145193</v>
      </c>
    </row>
    <row r="489" spans="1:6">
      <c r="A489" s="39">
        <v>42851</v>
      </c>
      <c r="B489">
        <v>122.9</v>
      </c>
      <c r="C489">
        <v>123.45</v>
      </c>
      <c r="D489">
        <v>122.85</v>
      </c>
      <c r="E489">
        <v>122.9</v>
      </c>
      <c r="F489">
        <v>3080062</v>
      </c>
    </row>
    <row r="490" spans="1:6">
      <c r="A490" s="39">
        <v>42852</v>
      </c>
      <c r="B490">
        <v>123.12</v>
      </c>
      <c r="C490">
        <v>123.21</v>
      </c>
      <c r="D490">
        <v>122.69</v>
      </c>
      <c r="E490">
        <v>123.02</v>
      </c>
      <c r="F490">
        <v>1867838</v>
      </c>
    </row>
    <row r="491" spans="1:6">
      <c r="A491" s="39">
        <v>42853</v>
      </c>
      <c r="B491">
        <v>123.16</v>
      </c>
      <c r="C491">
        <v>123.21</v>
      </c>
      <c r="D491">
        <v>122.55</v>
      </c>
      <c r="E491">
        <v>122.61</v>
      </c>
      <c r="F491">
        <v>1795827</v>
      </c>
    </row>
    <row r="492" spans="1:6">
      <c r="A492" s="39">
        <v>42856</v>
      </c>
      <c r="B492">
        <v>122.93</v>
      </c>
      <c r="C492">
        <v>123.19</v>
      </c>
      <c r="D492">
        <v>122.62</v>
      </c>
      <c r="E492">
        <v>122.93</v>
      </c>
      <c r="F492">
        <v>1983507</v>
      </c>
    </row>
    <row r="493" spans="1:6">
      <c r="A493" s="39">
        <v>42857</v>
      </c>
      <c r="B493">
        <v>123.09</v>
      </c>
      <c r="C493">
        <v>123.25</v>
      </c>
      <c r="D493">
        <v>122.7</v>
      </c>
      <c r="E493">
        <v>122.93</v>
      </c>
      <c r="F493">
        <v>1756917</v>
      </c>
    </row>
    <row r="494" spans="1:6">
      <c r="A494" s="39">
        <v>42858</v>
      </c>
      <c r="B494">
        <v>122.59</v>
      </c>
      <c r="C494">
        <v>122.78</v>
      </c>
      <c r="D494">
        <v>122.28</v>
      </c>
      <c r="E494">
        <v>122.63</v>
      </c>
      <c r="F494">
        <v>3690976</v>
      </c>
    </row>
    <row r="495" spans="1:6">
      <c r="A495" s="39">
        <v>42859</v>
      </c>
      <c r="B495">
        <v>122.83</v>
      </c>
      <c r="C495">
        <v>122.83</v>
      </c>
      <c r="D495">
        <v>122.16</v>
      </c>
      <c r="E495">
        <v>122.72</v>
      </c>
      <c r="F495">
        <v>1564459</v>
      </c>
    </row>
    <row r="496" spans="1:6">
      <c r="A496" s="39">
        <v>42860</v>
      </c>
      <c r="B496">
        <v>122.95</v>
      </c>
      <c r="C496">
        <v>123.33</v>
      </c>
      <c r="D496">
        <v>122.68</v>
      </c>
      <c r="E496">
        <v>123.33</v>
      </c>
      <c r="F496">
        <v>2057663</v>
      </c>
    </row>
    <row r="497" spans="1:6">
      <c r="A497" s="39">
        <v>42863</v>
      </c>
      <c r="B497">
        <v>123.36</v>
      </c>
      <c r="C497">
        <v>123.45</v>
      </c>
      <c r="D497">
        <v>122.9</v>
      </c>
      <c r="E497">
        <v>123.14</v>
      </c>
      <c r="F497">
        <v>2150873</v>
      </c>
    </row>
    <row r="498" spans="1:6">
      <c r="A498" s="39">
        <v>42864</v>
      </c>
      <c r="B498">
        <v>123.36</v>
      </c>
      <c r="C498">
        <v>123.43</v>
      </c>
      <c r="D498">
        <v>122.85</v>
      </c>
      <c r="E498">
        <v>123.1</v>
      </c>
      <c r="F498">
        <v>1846216</v>
      </c>
    </row>
    <row r="499" spans="1:6">
      <c r="A499" s="39">
        <v>42865</v>
      </c>
      <c r="B499">
        <v>123.09</v>
      </c>
      <c r="C499">
        <v>123.38</v>
      </c>
      <c r="D499">
        <v>122.93</v>
      </c>
      <c r="E499">
        <v>123.37</v>
      </c>
      <c r="F499">
        <v>1468633</v>
      </c>
    </row>
    <row r="500" spans="1:6">
      <c r="A500" s="39">
        <v>42866</v>
      </c>
      <c r="B500">
        <v>123.02</v>
      </c>
      <c r="C500">
        <v>123.13</v>
      </c>
      <c r="D500">
        <v>122.33</v>
      </c>
      <c r="E500">
        <v>123.01</v>
      </c>
      <c r="F500">
        <v>1500018</v>
      </c>
    </row>
    <row r="501" spans="1:6">
      <c r="A501" s="39">
        <v>42867</v>
      </c>
      <c r="B501">
        <v>122.91</v>
      </c>
      <c r="C501">
        <v>122.91</v>
      </c>
      <c r="D501">
        <v>122.6</v>
      </c>
      <c r="E501">
        <v>122.77</v>
      </c>
      <c r="F501">
        <v>1235304</v>
      </c>
    </row>
    <row r="502" spans="1:6">
      <c r="A502" s="39">
        <v>42870</v>
      </c>
      <c r="B502">
        <v>123.07</v>
      </c>
      <c r="C502">
        <v>123.59</v>
      </c>
      <c r="D502">
        <v>123.04</v>
      </c>
      <c r="E502">
        <v>123.43</v>
      </c>
      <c r="F502">
        <v>3097149</v>
      </c>
    </row>
    <row r="503" spans="1:6">
      <c r="A503" s="39">
        <v>42871</v>
      </c>
      <c r="B503">
        <v>123.63</v>
      </c>
      <c r="C503">
        <v>123.65</v>
      </c>
      <c r="D503">
        <v>123.07</v>
      </c>
      <c r="E503">
        <v>123.36</v>
      </c>
      <c r="F503">
        <v>2128403</v>
      </c>
    </row>
    <row r="504" spans="1:6">
      <c r="A504" s="39">
        <v>42872</v>
      </c>
      <c r="B504">
        <v>122.31</v>
      </c>
      <c r="C504">
        <v>122.56</v>
      </c>
      <c r="D504">
        <v>121.07</v>
      </c>
      <c r="E504">
        <v>121.14</v>
      </c>
      <c r="F504">
        <v>3703517</v>
      </c>
    </row>
    <row r="505" spans="1:6">
      <c r="A505" s="39">
        <v>42873</v>
      </c>
      <c r="B505">
        <v>120.94</v>
      </c>
      <c r="C505">
        <v>122.02</v>
      </c>
      <c r="D505">
        <v>120.85</v>
      </c>
      <c r="E505">
        <v>121.5</v>
      </c>
      <c r="F505">
        <v>2883455</v>
      </c>
    </row>
    <row r="506" spans="1:6">
      <c r="A506" s="39">
        <v>42874</v>
      </c>
      <c r="B506">
        <v>121.91</v>
      </c>
      <c r="C506">
        <v>122.77</v>
      </c>
      <c r="D506">
        <v>121.82</v>
      </c>
      <c r="E506">
        <v>122.37</v>
      </c>
      <c r="F506">
        <v>2144173</v>
      </c>
    </row>
  </sheetData>
  <sortState ref="A3:F506">
    <sortCondition ref="A3:A50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06"/>
  <sheetViews>
    <sheetView workbookViewId="0"/>
  </sheetViews>
  <sheetFormatPr defaultRowHeight="15"/>
  <cols>
    <col min="1" max="7" width="10.7109375" customWidth="1"/>
  </cols>
  <sheetData>
    <row r="1" spans="1:6">
      <c r="A1" t="s">
        <v>40</v>
      </c>
    </row>
    <row r="2" spans="1:6">
      <c r="A2" t="s">
        <v>26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</row>
    <row r="3" spans="1:6">
      <c r="A3" s="39">
        <v>42145</v>
      </c>
      <c r="B3">
        <v>51.8</v>
      </c>
      <c r="C3">
        <v>52</v>
      </c>
      <c r="D3">
        <v>51.72</v>
      </c>
      <c r="E3">
        <v>51.93</v>
      </c>
      <c r="F3">
        <v>1037326</v>
      </c>
    </row>
    <row r="4" spans="1:6">
      <c r="A4" s="39">
        <v>42146</v>
      </c>
      <c r="B4">
        <v>51.8</v>
      </c>
      <c r="C4">
        <v>51.83</v>
      </c>
      <c r="D4">
        <v>51.67</v>
      </c>
      <c r="E4">
        <v>51.7</v>
      </c>
      <c r="F4">
        <v>717563</v>
      </c>
    </row>
    <row r="5" spans="1:6">
      <c r="A5" s="39">
        <v>42150</v>
      </c>
      <c r="B5">
        <v>51.37</v>
      </c>
      <c r="C5">
        <v>51.37</v>
      </c>
      <c r="D5">
        <v>50.77</v>
      </c>
      <c r="E5">
        <v>50.88</v>
      </c>
      <c r="F5">
        <v>1684115</v>
      </c>
    </row>
    <row r="6" spans="1:6">
      <c r="A6" s="39">
        <v>42151</v>
      </c>
      <c r="B6">
        <v>50.86</v>
      </c>
      <c r="C6">
        <v>51.3</v>
      </c>
      <c r="D6">
        <v>50.81</v>
      </c>
      <c r="E6">
        <v>51.24</v>
      </c>
      <c r="F6">
        <v>1687347</v>
      </c>
    </row>
    <row r="7" spans="1:6">
      <c r="A7" s="39">
        <v>42152</v>
      </c>
      <c r="B7">
        <v>50.86</v>
      </c>
      <c r="C7">
        <v>51.06</v>
      </c>
      <c r="D7">
        <v>50.66</v>
      </c>
      <c r="E7">
        <v>51.05</v>
      </c>
      <c r="F7">
        <v>833478</v>
      </c>
    </row>
    <row r="8" spans="1:6">
      <c r="A8" s="39">
        <v>42153</v>
      </c>
      <c r="B8">
        <v>50.83</v>
      </c>
      <c r="C8">
        <v>50.84</v>
      </c>
      <c r="D8">
        <v>50.38</v>
      </c>
      <c r="E8">
        <v>50.51</v>
      </c>
      <c r="F8">
        <v>1901843</v>
      </c>
    </row>
    <row r="9" spans="1:6">
      <c r="A9" s="39">
        <v>42156</v>
      </c>
      <c r="B9">
        <v>50.66</v>
      </c>
      <c r="C9">
        <v>50.69</v>
      </c>
      <c r="D9">
        <v>50.2</v>
      </c>
      <c r="E9">
        <v>50.4</v>
      </c>
      <c r="F9">
        <v>1580731</v>
      </c>
    </row>
    <row r="10" spans="1:6">
      <c r="A10" s="39">
        <v>42157</v>
      </c>
      <c r="B10">
        <v>50.53</v>
      </c>
      <c r="C10">
        <v>50.85</v>
      </c>
      <c r="D10">
        <v>50.43</v>
      </c>
      <c r="E10">
        <v>50.6</v>
      </c>
      <c r="F10">
        <v>2576159</v>
      </c>
    </row>
    <row r="11" spans="1:6">
      <c r="A11" s="39">
        <v>42158</v>
      </c>
      <c r="B11">
        <v>50.74</v>
      </c>
      <c r="C11">
        <v>50.99</v>
      </c>
      <c r="D11">
        <v>50.67</v>
      </c>
      <c r="E11">
        <v>50.77</v>
      </c>
      <c r="F11">
        <v>1352959</v>
      </c>
    </row>
    <row r="12" spans="1:6">
      <c r="A12" s="39">
        <v>42159</v>
      </c>
      <c r="B12">
        <v>50.49</v>
      </c>
      <c r="C12">
        <v>50.72</v>
      </c>
      <c r="D12">
        <v>50.08</v>
      </c>
      <c r="E12">
        <v>50.2</v>
      </c>
      <c r="F12">
        <v>1381560</v>
      </c>
    </row>
    <row r="13" spans="1:6">
      <c r="A13" s="39">
        <v>42160</v>
      </c>
      <c r="B13">
        <v>49.68</v>
      </c>
      <c r="C13">
        <v>49.9</v>
      </c>
      <c r="D13">
        <v>49.42</v>
      </c>
      <c r="E13">
        <v>49.76</v>
      </c>
      <c r="F13">
        <v>1724551</v>
      </c>
    </row>
    <row r="14" spans="1:6">
      <c r="A14" s="39">
        <v>42163</v>
      </c>
      <c r="B14">
        <v>49.7</v>
      </c>
      <c r="C14">
        <v>49.74</v>
      </c>
      <c r="D14">
        <v>49.5</v>
      </c>
      <c r="E14">
        <v>49.64</v>
      </c>
      <c r="F14">
        <v>1388445</v>
      </c>
    </row>
    <row r="15" spans="1:6">
      <c r="A15" s="39">
        <v>42164</v>
      </c>
      <c r="B15">
        <v>49.47</v>
      </c>
      <c r="C15">
        <v>49.55</v>
      </c>
      <c r="D15">
        <v>49.23</v>
      </c>
      <c r="E15">
        <v>49.41</v>
      </c>
      <c r="F15">
        <v>1633895</v>
      </c>
    </row>
    <row r="16" spans="1:6">
      <c r="A16" s="39">
        <v>42165</v>
      </c>
      <c r="B16">
        <v>50.11</v>
      </c>
      <c r="C16">
        <v>50.45</v>
      </c>
      <c r="D16">
        <v>50.03</v>
      </c>
      <c r="E16">
        <v>50.32</v>
      </c>
      <c r="F16">
        <v>1132019</v>
      </c>
    </row>
    <row r="17" spans="1:6">
      <c r="A17" s="39">
        <v>42166</v>
      </c>
      <c r="B17">
        <v>50.45</v>
      </c>
      <c r="C17">
        <v>50.49</v>
      </c>
      <c r="D17">
        <v>50.17</v>
      </c>
      <c r="E17">
        <v>50.35</v>
      </c>
      <c r="F17">
        <v>2327605</v>
      </c>
    </row>
    <row r="18" spans="1:6">
      <c r="A18" s="39">
        <v>42167</v>
      </c>
      <c r="B18">
        <v>50.01</v>
      </c>
      <c r="C18">
        <v>50.19</v>
      </c>
      <c r="D18">
        <v>49.82</v>
      </c>
      <c r="E18">
        <v>50.03</v>
      </c>
      <c r="F18">
        <v>1240196</v>
      </c>
    </row>
    <row r="19" spans="1:6">
      <c r="A19" s="39">
        <v>42170</v>
      </c>
      <c r="B19">
        <v>49.53</v>
      </c>
      <c r="C19">
        <v>49.7</v>
      </c>
      <c r="D19">
        <v>49.4</v>
      </c>
      <c r="E19">
        <v>49.67</v>
      </c>
      <c r="F19">
        <v>1999580</v>
      </c>
    </row>
    <row r="20" spans="1:6">
      <c r="A20" s="39">
        <v>42171</v>
      </c>
      <c r="B20">
        <v>49.52</v>
      </c>
      <c r="C20">
        <v>49.69</v>
      </c>
      <c r="D20">
        <v>49.43</v>
      </c>
      <c r="E20">
        <v>49.66</v>
      </c>
      <c r="F20">
        <v>2423876</v>
      </c>
    </row>
    <row r="21" spans="1:6">
      <c r="A21" s="39">
        <v>42172</v>
      </c>
      <c r="B21">
        <v>49.56</v>
      </c>
      <c r="C21">
        <v>49.8</v>
      </c>
      <c r="D21">
        <v>49.21</v>
      </c>
      <c r="E21">
        <v>49.69</v>
      </c>
      <c r="F21">
        <v>1258697</v>
      </c>
    </row>
    <row r="22" spans="1:6">
      <c r="A22" s="39">
        <v>42173</v>
      </c>
      <c r="B22">
        <v>49.82</v>
      </c>
      <c r="C22">
        <v>50.44</v>
      </c>
      <c r="D22">
        <v>49.82</v>
      </c>
      <c r="E22">
        <v>50.12</v>
      </c>
      <c r="F22">
        <v>1935599</v>
      </c>
    </row>
    <row r="23" spans="1:6">
      <c r="A23" s="39">
        <v>42174</v>
      </c>
      <c r="B23">
        <v>50</v>
      </c>
      <c r="C23">
        <v>50.06</v>
      </c>
      <c r="D23">
        <v>49.88</v>
      </c>
      <c r="E23">
        <v>49.89</v>
      </c>
      <c r="F23">
        <v>730243</v>
      </c>
    </row>
    <row r="24" spans="1:6">
      <c r="A24" s="39">
        <v>42177</v>
      </c>
      <c r="B24">
        <v>50.64</v>
      </c>
      <c r="C24">
        <v>51.01</v>
      </c>
      <c r="D24">
        <v>50.62</v>
      </c>
      <c r="E24">
        <v>50.77</v>
      </c>
      <c r="F24">
        <v>1124469</v>
      </c>
    </row>
    <row r="25" spans="1:6">
      <c r="A25" s="39">
        <v>42178</v>
      </c>
      <c r="B25">
        <v>50.94</v>
      </c>
      <c r="C25">
        <v>51.03</v>
      </c>
      <c r="D25">
        <v>50.84</v>
      </c>
      <c r="E25">
        <v>51</v>
      </c>
      <c r="F25">
        <v>1564224</v>
      </c>
    </row>
    <row r="26" spans="1:6">
      <c r="A26" s="39">
        <v>42179</v>
      </c>
      <c r="B26">
        <v>50.76</v>
      </c>
      <c r="C26">
        <v>50.85</v>
      </c>
      <c r="D26">
        <v>50.57</v>
      </c>
      <c r="E26">
        <v>50.58</v>
      </c>
      <c r="F26">
        <v>2594512</v>
      </c>
    </row>
    <row r="27" spans="1:6">
      <c r="A27" s="39">
        <v>42180</v>
      </c>
      <c r="B27">
        <v>50.79</v>
      </c>
      <c r="C27">
        <v>50.86</v>
      </c>
      <c r="D27">
        <v>50.54</v>
      </c>
      <c r="E27">
        <v>50.54</v>
      </c>
      <c r="F27">
        <v>1258392</v>
      </c>
    </row>
    <row r="28" spans="1:6">
      <c r="A28" s="39">
        <v>42181</v>
      </c>
      <c r="B28">
        <v>49.99</v>
      </c>
      <c r="C28">
        <v>50.09</v>
      </c>
      <c r="D28">
        <v>49.77</v>
      </c>
      <c r="E28">
        <v>49.89</v>
      </c>
      <c r="F28">
        <v>955959</v>
      </c>
    </row>
    <row r="29" spans="1:6">
      <c r="A29" s="39">
        <v>42184</v>
      </c>
      <c r="B29">
        <v>48.98</v>
      </c>
      <c r="C29">
        <v>49.14</v>
      </c>
      <c r="D29">
        <v>48.42</v>
      </c>
      <c r="E29">
        <v>48.5</v>
      </c>
      <c r="F29">
        <v>2302137</v>
      </c>
    </row>
    <row r="30" spans="1:6">
      <c r="A30" s="39">
        <v>42185</v>
      </c>
      <c r="B30">
        <v>49.01</v>
      </c>
      <c r="C30">
        <v>49.03</v>
      </c>
      <c r="D30">
        <v>48.37</v>
      </c>
      <c r="E30">
        <v>48.55</v>
      </c>
      <c r="F30">
        <v>2223977</v>
      </c>
    </row>
    <row r="31" spans="1:6">
      <c r="A31" s="39">
        <v>42186</v>
      </c>
      <c r="B31">
        <v>49</v>
      </c>
      <c r="C31">
        <v>49.07</v>
      </c>
      <c r="D31">
        <v>48.63</v>
      </c>
      <c r="E31">
        <v>48.79</v>
      </c>
      <c r="F31">
        <v>6822287</v>
      </c>
    </row>
    <row r="32" spans="1:6">
      <c r="A32" s="39">
        <v>42187</v>
      </c>
      <c r="B32">
        <v>48.94</v>
      </c>
      <c r="C32">
        <v>48.95</v>
      </c>
      <c r="D32">
        <v>48.75</v>
      </c>
      <c r="E32">
        <v>48.85</v>
      </c>
      <c r="F32">
        <v>1265967</v>
      </c>
    </row>
    <row r="33" spans="1:6">
      <c r="A33" s="39">
        <v>42191</v>
      </c>
      <c r="B33">
        <v>47.94</v>
      </c>
      <c r="C33">
        <v>48.26</v>
      </c>
      <c r="D33">
        <v>47.74</v>
      </c>
      <c r="E33">
        <v>47.91</v>
      </c>
      <c r="F33">
        <v>1729669</v>
      </c>
    </row>
    <row r="34" spans="1:6">
      <c r="A34" s="39">
        <v>42192</v>
      </c>
      <c r="B34">
        <v>47.45</v>
      </c>
      <c r="C34">
        <v>47.84</v>
      </c>
      <c r="D34">
        <v>46.84</v>
      </c>
      <c r="E34">
        <v>47.77</v>
      </c>
      <c r="F34">
        <v>3656087</v>
      </c>
    </row>
    <row r="35" spans="1:6">
      <c r="A35" s="39">
        <v>42193</v>
      </c>
      <c r="B35">
        <v>46.82</v>
      </c>
      <c r="C35">
        <v>46.97</v>
      </c>
      <c r="D35">
        <v>46.45</v>
      </c>
      <c r="E35">
        <v>46.52</v>
      </c>
      <c r="F35">
        <v>4118449</v>
      </c>
    </row>
    <row r="36" spans="1:6">
      <c r="A36" s="39">
        <v>42194</v>
      </c>
      <c r="B36">
        <v>47.45</v>
      </c>
      <c r="C36">
        <v>47.67</v>
      </c>
      <c r="D36">
        <v>47.19</v>
      </c>
      <c r="E36">
        <v>47.25</v>
      </c>
      <c r="F36">
        <v>2111844</v>
      </c>
    </row>
    <row r="37" spans="1:6">
      <c r="A37" s="39">
        <v>42195</v>
      </c>
      <c r="B37">
        <v>48.53</v>
      </c>
      <c r="C37">
        <v>48.67</v>
      </c>
      <c r="D37">
        <v>48.28</v>
      </c>
      <c r="E37">
        <v>48.58</v>
      </c>
      <c r="F37">
        <v>2948684</v>
      </c>
    </row>
    <row r="38" spans="1:6">
      <c r="A38" s="39">
        <v>42198</v>
      </c>
      <c r="B38">
        <v>48.79</v>
      </c>
      <c r="C38">
        <v>48.87</v>
      </c>
      <c r="D38">
        <v>48.73</v>
      </c>
      <c r="E38">
        <v>48.81</v>
      </c>
      <c r="F38">
        <v>2297643</v>
      </c>
    </row>
    <row r="39" spans="1:6">
      <c r="A39" s="39">
        <v>42199</v>
      </c>
      <c r="B39">
        <v>48.89</v>
      </c>
      <c r="C39">
        <v>49.13</v>
      </c>
      <c r="D39">
        <v>48.83</v>
      </c>
      <c r="E39">
        <v>49.1</v>
      </c>
      <c r="F39">
        <v>2449788</v>
      </c>
    </row>
    <row r="40" spans="1:6">
      <c r="A40" s="39">
        <v>42200</v>
      </c>
      <c r="B40">
        <v>48.96</v>
      </c>
      <c r="C40">
        <v>48.99</v>
      </c>
      <c r="D40">
        <v>48.68</v>
      </c>
      <c r="E40">
        <v>48.8</v>
      </c>
      <c r="F40">
        <v>1657047</v>
      </c>
    </row>
    <row r="41" spans="1:6">
      <c r="A41" s="39">
        <v>42201</v>
      </c>
      <c r="B41">
        <v>49.22</v>
      </c>
      <c r="C41">
        <v>49.32</v>
      </c>
      <c r="D41">
        <v>49.15</v>
      </c>
      <c r="E41">
        <v>49.25</v>
      </c>
      <c r="F41">
        <v>795982</v>
      </c>
    </row>
    <row r="42" spans="1:6">
      <c r="A42" s="39">
        <v>42202</v>
      </c>
      <c r="B42">
        <v>49.22</v>
      </c>
      <c r="C42">
        <v>49.24</v>
      </c>
      <c r="D42">
        <v>49.07</v>
      </c>
      <c r="E42">
        <v>49.12</v>
      </c>
      <c r="F42">
        <v>879651</v>
      </c>
    </row>
    <row r="43" spans="1:6">
      <c r="A43" s="39">
        <v>42205</v>
      </c>
      <c r="B43">
        <v>49.14</v>
      </c>
      <c r="C43">
        <v>49.24</v>
      </c>
      <c r="D43">
        <v>49</v>
      </c>
      <c r="E43">
        <v>49.11</v>
      </c>
      <c r="F43">
        <v>895141</v>
      </c>
    </row>
    <row r="44" spans="1:6">
      <c r="A44" s="39">
        <v>42206</v>
      </c>
      <c r="B44">
        <v>49.13</v>
      </c>
      <c r="C44">
        <v>49.19</v>
      </c>
      <c r="D44">
        <v>48.99</v>
      </c>
      <c r="E44">
        <v>49.04</v>
      </c>
      <c r="F44">
        <v>1974542</v>
      </c>
    </row>
    <row r="45" spans="1:6">
      <c r="A45" s="39">
        <v>42207</v>
      </c>
      <c r="B45">
        <v>48.65</v>
      </c>
      <c r="C45">
        <v>48.69</v>
      </c>
      <c r="D45">
        <v>48.55</v>
      </c>
      <c r="E45">
        <v>48.62</v>
      </c>
      <c r="F45">
        <v>979772</v>
      </c>
    </row>
    <row r="46" spans="1:6">
      <c r="A46" s="39">
        <v>42208</v>
      </c>
      <c r="B46">
        <v>48.71</v>
      </c>
      <c r="C46">
        <v>48.71</v>
      </c>
      <c r="D46">
        <v>48.37</v>
      </c>
      <c r="E46">
        <v>48.44</v>
      </c>
      <c r="F46">
        <v>2210396</v>
      </c>
    </row>
    <row r="47" spans="1:6">
      <c r="A47" s="39">
        <v>42209</v>
      </c>
      <c r="B47">
        <v>48.27</v>
      </c>
      <c r="C47">
        <v>48.27</v>
      </c>
      <c r="D47">
        <v>47.77</v>
      </c>
      <c r="E47">
        <v>47.82</v>
      </c>
      <c r="F47">
        <v>1471819</v>
      </c>
    </row>
    <row r="48" spans="1:6">
      <c r="A48" s="39">
        <v>42212</v>
      </c>
      <c r="B48">
        <v>47.6</v>
      </c>
      <c r="C48">
        <v>47.66</v>
      </c>
      <c r="D48">
        <v>47.33</v>
      </c>
      <c r="E48">
        <v>47.42</v>
      </c>
      <c r="F48">
        <v>1153558</v>
      </c>
    </row>
    <row r="49" spans="1:6">
      <c r="A49" s="39">
        <v>42213</v>
      </c>
      <c r="B49">
        <v>47.71</v>
      </c>
      <c r="C49">
        <v>48.04</v>
      </c>
      <c r="D49">
        <v>47.52</v>
      </c>
      <c r="E49">
        <v>48.01</v>
      </c>
      <c r="F49">
        <v>1205472</v>
      </c>
    </row>
    <row r="50" spans="1:6">
      <c r="A50" s="39">
        <v>42214</v>
      </c>
      <c r="B50">
        <v>47.99</v>
      </c>
      <c r="C50">
        <v>48.35</v>
      </c>
      <c r="D50">
        <v>47.9</v>
      </c>
      <c r="E50">
        <v>48.16</v>
      </c>
      <c r="F50">
        <v>4314553</v>
      </c>
    </row>
    <row r="51" spans="1:6">
      <c r="A51" s="39">
        <v>42215</v>
      </c>
      <c r="B51">
        <v>48.03</v>
      </c>
      <c r="C51">
        <v>48.15</v>
      </c>
      <c r="D51">
        <v>47.81</v>
      </c>
      <c r="E51">
        <v>48.14</v>
      </c>
      <c r="F51">
        <v>1950572</v>
      </c>
    </row>
    <row r="52" spans="1:6">
      <c r="A52" s="39">
        <v>42216</v>
      </c>
      <c r="B52">
        <v>48.51</v>
      </c>
      <c r="C52">
        <v>48.61</v>
      </c>
      <c r="D52">
        <v>48.3</v>
      </c>
      <c r="E52">
        <v>48.41</v>
      </c>
      <c r="F52">
        <v>963930</v>
      </c>
    </row>
    <row r="53" spans="1:6">
      <c r="A53" s="39">
        <v>42219</v>
      </c>
      <c r="B53">
        <v>48.36</v>
      </c>
      <c r="C53">
        <v>48.39</v>
      </c>
      <c r="D53">
        <v>48.01</v>
      </c>
      <c r="E53">
        <v>48.19</v>
      </c>
      <c r="F53">
        <v>1674402</v>
      </c>
    </row>
    <row r="54" spans="1:6">
      <c r="A54" s="39">
        <v>42220</v>
      </c>
      <c r="B54">
        <v>48.29</v>
      </c>
      <c r="C54">
        <v>48.37</v>
      </c>
      <c r="D54">
        <v>48.1</v>
      </c>
      <c r="E54">
        <v>48.22</v>
      </c>
      <c r="F54">
        <v>1356266</v>
      </c>
    </row>
    <row r="55" spans="1:6">
      <c r="A55" s="39">
        <v>42221</v>
      </c>
      <c r="B55">
        <v>48.5</v>
      </c>
      <c r="C55">
        <v>48.62</v>
      </c>
      <c r="D55">
        <v>48.35</v>
      </c>
      <c r="E55">
        <v>48.39</v>
      </c>
      <c r="F55">
        <v>1258166</v>
      </c>
    </row>
    <row r="56" spans="1:6">
      <c r="A56" s="39">
        <v>42222</v>
      </c>
      <c r="B56">
        <v>48.3</v>
      </c>
      <c r="C56">
        <v>48.36</v>
      </c>
      <c r="D56">
        <v>48.05</v>
      </c>
      <c r="E56">
        <v>48.17</v>
      </c>
      <c r="F56">
        <v>1206258</v>
      </c>
    </row>
    <row r="57" spans="1:6">
      <c r="A57" s="39">
        <v>42223</v>
      </c>
      <c r="B57">
        <v>48</v>
      </c>
      <c r="C57">
        <v>48.16</v>
      </c>
      <c r="D57">
        <v>47.95</v>
      </c>
      <c r="E57">
        <v>48.1</v>
      </c>
      <c r="F57">
        <v>943464</v>
      </c>
    </row>
    <row r="58" spans="1:6">
      <c r="A58" s="39">
        <v>42226</v>
      </c>
      <c r="B58">
        <v>48.23</v>
      </c>
      <c r="C58">
        <v>48.79</v>
      </c>
      <c r="D58">
        <v>48.23</v>
      </c>
      <c r="E58">
        <v>48.77</v>
      </c>
      <c r="F58">
        <v>818416</v>
      </c>
    </row>
    <row r="59" spans="1:6">
      <c r="A59" s="39">
        <v>42227</v>
      </c>
      <c r="B59">
        <v>48.05</v>
      </c>
      <c r="C59">
        <v>48.05</v>
      </c>
      <c r="D59">
        <v>47.7</v>
      </c>
      <c r="E59">
        <v>47.94</v>
      </c>
      <c r="F59">
        <v>1120608</v>
      </c>
    </row>
    <row r="60" spans="1:6">
      <c r="A60" s="39">
        <v>42228</v>
      </c>
      <c r="B60">
        <v>47.34</v>
      </c>
      <c r="C60">
        <v>47.63</v>
      </c>
      <c r="D60">
        <v>47.09</v>
      </c>
      <c r="E60">
        <v>47.63</v>
      </c>
      <c r="F60">
        <v>1347193</v>
      </c>
    </row>
    <row r="61" spans="1:6">
      <c r="A61" s="39">
        <v>42229</v>
      </c>
      <c r="B61">
        <v>47.51</v>
      </c>
      <c r="C61">
        <v>47.65</v>
      </c>
      <c r="D61">
        <v>47.4</v>
      </c>
      <c r="E61">
        <v>47.52</v>
      </c>
      <c r="F61">
        <v>1275983</v>
      </c>
    </row>
    <row r="62" spans="1:6">
      <c r="A62" s="39">
        <v>42230</v>
      </c>
      <c r="B62">
        <v>47.44</v>
      </c>
      <c r="C62">
        <v>47.62</v>
      </c>
      <c r="D62">
        <v>47.38</v>
      </c>
      <c r="E62">
        <v>47.57</v>
      </c>
      <c r="F62">
        <v>1364982</v>
      </c>
    </row>
    <row r="63" spans="1:6">
      <c r="A63" s="39">
        <v>42233</v>
      </c>
      <c r="B63">
        <v>47.14</v>
      </c>
      <c r="C63">
        <v>47.43</v>
      </c>
      <c r="D63">
        <v>47.09</v>
      </c>
      <c r="E63">
        <v>47.43</v>
      </c>
      <c r="F63">
        <v>864955</v>
      </c>
    </row>
    <row r="64" spans="1:6">
      <c r="A64" s="39">
        <v>42234</v>
      </c>
      <c r="B64">
        <v>47.17</v>
      </c>
      <c r="C64">
        <v>47.24</v>
      </c>
      <c r="D64">
        <v>47.05</v>
      </c>
      <c r="E64">
        <v>47.13</v>
      </c>
      <c r="F64">
        <v>1047507</v>
      </c>
    </row>
    <row r="65" spans="1:6">
      <c r="A65" s="39">
        <v>42235</v>
      </c>
      <c r="B65">
        <v>46.78</v>
      </c>
      <c r="C65">
        <v>46.93</v>
      </c>
      <c r="D65">
        <v>46.36</v>
      </c>
      <c r="E65">
        <v>46.65</v>
      </c>
      <c r="F65">
        <v>1866927</v>
      </c>
    </row>
    <row r="66" spans="1:6">
      <c r="A66" s="39">
        <v>42236</v>
      </c>
      <c r="B66">
        <v>46.19</v>
      </c>
      <c r="C66">
        <v>46.24</v>
      </c>
      <c r="D66">
        <v>45.58</v>
      </c>
      <c r="E66">
        <v>45.58</v>
      </c>
      <c r="F66">
        <v>1757718</v>
      </c>
    </row>
    <row r="67" spans="1:6">
      <c r="A67" s="39">
        <v>42237</v>
      </c>
      <c r="B67">
        <v>45.42</v>
      </c>
      <c r="C67">
        <v>45.5</v>
      </c>
      <c r="D67">
        <v>44.4</v>
      </c>
      <c r="E67">
        <v>44.45</v>
      </c>
      <c r="F67">
        <v>5927806</v>
      </c>
    </row>
    <row r="68" spans="1:6">
      <c r="A68" s="39">
        <v>42240</v>
      </c>
      <c r="B68">
        <v>42.31</v>
      </c>
      <c r="C68">
        <v>43.83</v>
      </c>
      <c r="D68">
        <v>41.61</v>
      </c>
      <c r="E68">
        <v>42.71</v>
      </c>
      <c r="F68">
        <v>6638581</v>
      </c>
    </row>
    <row r="69" spans="1:6">
      <c r="A69" s="39">
        <v>42241</v>
      </c>
      <c r="B69">
        <v>44.8</v>
      </c>
      <c r="C69">
        <v>44.8</v>
      </c>
      <c r="D69">
        <v>43.11</v>
      </c>
      <c r="E69">
        <v>43.11</v>
      </c>
      <c r="F69">
        <v>5418506</v>
      </c>
    </row>
    <row r="70" spans="1:6">
      <c r="A70" s="39">
        <v>42242</v>
      </c>
      <c r="B70">
        <v>43.97</v>
      </c>
      <c r="C70">
        <v>44.23</v>
      </c>
      <c r="D70">
        <v>43.19</v>
      </c>
      <c r="E70">
        <v>44.23</v>
      </c>
      <c r="F70">
        <v>4884286</v>
      </c>
    </row>
    <row r="71" spans="1:6">
      <c r="A71" s="39">
        <v>42243</v>
      </c>
      <c r="B71">
        <v>44.48</v>
      </c>
      <c r="C71">
        <v>45.18</v>
      </c>
      <c r="D71">
        <v>44.48</v>
      </c>
      <c r="E71">
        <v>45.08</v>
      </c>
      <c r="F71">
        <v>4502460</v>
      </c>
    </row>
    <row r="72" spans="1:6">
      <c r="A72" s="39">
        <v>42244</v>
      </c>
      <c r="B72">
        <v>44.78</v>
      </c>
      <c r="C72">
        <v>45.02</v>
      </c>
      <c r="D72">
        <v>44.67</v>
      </c>
      <c r="E72">
        <v>44.94</v>
      </c>
      <c r="F72">
        <v>2947272</v>
      </c>
    </row>
    <row r="73" spans="1:6">
      <c r="A73" s="39">
        <v>42247</v>
      </c>
      <c r="B73">
        <v>44.72</v>
      </c>
      <c r="C73">
        <v>44.85</v>
      </c>
      <c r="D73">
        <v>44.43</v>
      </c>
      <c r="E73">
        <v>44.66</v>
      </c>
      <c r="F73">
        <v>2692525</v>
      </c>
    </row>
    <row r="74" spans="1:6">
      <c r="A74" s="39">
        <v>42248</v>
      </c>
      <c r="B74">
        <v>43.43</v>
      </c>
      <c r="C74">
        <v>43.71</v>
      </c>
      <c r="D74">
        <v>43.05</v>
      </c>
      <c r="E74">
        <v>43.16</v>
      </c>
      <c r="F74">
        <v>4400710</v>
      </c>
    </row>
    <row r="75" spans="1:6">
      <c r="A75" s="39">
        <v>42249</v>
      </c>
      <c r="B75">
        <v>43.93</v>
      </c>
      <c r="C75">
        <v>43.93</v>
      </c>
      <c r="D75">
        <v>43.36</v>
      </c>
      <c r="E75">
        <v>43.81</v>
      </c>
      <c r="F75">
        <v>3445153</v>
      </c>
    </row>
    <row r="76" spans="1:6">
      <c r="A76" s="39">
        <v>42250</v>
      </c>
      <c r="B76">
        <v>43.99</v>
      </c>
      <c r="C76">
        <v>44.3</v>
      </c>
      <c r="D76">
        <v>43.8</v>
      </c>
      <c r="E76">
        <v>43.9</v>
      </c>
      <c r="F76">
        <v>2893784</v>
      </c>
    </row>
    <row r="77" spans="1:6">
      <c r="A77" s="39">
        <v>42251</v>
      </c>
      <c r="B77">
        <v>43.06</v>
      </c>
      <c r="C77">
        <v>43.17</v>
      </c>
      <c r="D77">
        <v>42.72</v>
      </c>
      <c r="E77">
        <v>42.91</v>
      </c>
      <c r="F77">
        <v>3172904</v>
      </c>
    </row>
    <row r="78" spans="1:6">
      <c r="A78" s="39">
        <v>42255</v>
      </c>
      <c r="B78">
        <v>44</v>
      </c>
      <c r="C78">
        <v>44.14</v>
      </c>
      <c r="D78">
        <v>43.84</v>
      </c>
      <c r="E78">
        <v>44.13</v>
      </c>
      <c r="F78">
        <v>2435704</v>
      </c>
    </row>
    <row r="79" spans="1:6">
      <c r="A79" s="39">
        <v>42256</v>
      </c>
      <c r="B79">
        <v>44.76</v>
      </c>
      <c r="C79">
        <v>44.79</v>
      </c>
      <c r="D79">
        <v>43.82</v>
      </c>
      <c r="E79">
        <v>43.86</v>
      </c>
      <c r="F79">
        <v>2805820</v>
      </c>
    </row>
    <row r="80" spans="1:6">
      <c r="A80" s="39">
        <v>42257</v>
      </c>
      <c r="B80">
        <v>43.89</v>
      </c>
      <c r="C80">
        <v>44.35</v>
      </c>
      <c r="D80">
        <v>43.83</v>
      </c>
      <c r="E80">
        <v>44.17</v>
      </c>
      <c r="F80">
        <v>2967006</v>
      </c>
    </row>
    <row r="81" spans="1:6">
      <c r="A81" s="39">
        <v>42258</v>
      </c>
      <c r="B81">
        <v>43.92</v>
      </c>
      <c r="C81">
        <v>44.18</v>
      </c>
      <c r="D81">
        <v>43.82</v>
      </c>
      <c r="E81">
        <v>44.18</v>
      </c>
      <c r="F81">
        <v>1889089</v>
      </c>
    </row>
    <row r="82" spans="1:6">
      <c r="A82" s="39">
        <v>42261</v>
      </c>
      <c r="B82">
        <v>43.93</v>
      </c>
      <c r="C82">
        <v>44</v>
      </c>
      <c r="D82">
        <v>43.71</v>
      </c>
      <c r="E82">
        <v>43.91</v>
      </c>
      <c r="F82">
        <v>2095350</v>
      </c>
    </row>
    <row r="83" spans="1:6">
      <c r="A83" s="39">
        <v>42262</v>
      </c>
      <c r="B83">
        <v>43.91</v>
      </c>
      <c r="C83">
        <v>44.3</v>
      </c>
      <c r="D83">
        <v>43.83</v>
      </c>
      <c r="E83">
        <v>44.27</v>
      </c>
      <c r="F83">
        <v>1759516</v>
      </c>
    </row>
    <row r="84" spans="1:6">
      <c r="A84" s="39">
        <v>42263</v>
      </c>
      <c r="B84">
        <v>44.67</v>
      </c>
      <c r="C84">
        <v>45.04</v>
      </c>
      <c r="D84">
        <v>44.6</v>
      </c>
      <c r="E84">
        <v>45</v>
      </c>
      <c r="F84">
        <v>1012665</v>
      </c>
    </row>
    <row r="85" spans="1:6">
      <c r="A85" s="39">
        <v>42264</v>
      </c>
      <c r="B85">
        <v>44.74</v>
      </c>
      <c r="C85">
        <v>45.61</v>
      </c>
      <c r="D85">
        <v>44.68</v>
      </c>
      <c r="E85">
        <v>45.07</v>
      </c>
      <c r="F85">
        <v>2239673</v>
      </c>
    </row>
    <row r="86" spans="1:6">
      <c r="A86" s="39">
        <v>42265</v>
      </c>
      <c r="B86">
        <v>44.33</v>
      </c>
      <c r="C86">
        <v>44.5</v>
      </c>
      <c r="D86">
        <v>44</v>
      </c>
      <c r="E86">
        <v>44.07</v>
      </c>
      <c r="F86">
        <v>1995528</v>
      </c>
    </row>
    <row r="87" spans="1:6">
      <c r="A87" s="39">
        <v>42268</v>
      </c>
      <c r="B87">
        <v>44.25</v>
      </c>
      <c r="C87">
        <v>44.25</v>
      </c>
      <c r="D87">
        <v>43.88</v>
      </c>
      <c r="E87">
        <v>44.07</v>
      </c>
      <c r="F87">
        <v>1338901</v>
      </c>
    </row>
    <row r="88" spans="1:6">
      <c r="A88" s="39">
        <v>42269</v>
      </c>
      <c r="B88">
        <v>43.15</v>
      </c>
      <c r="C88">
        <v>43.19</v>
      </c>
      <c r="D88">
        <v>42.78</v>
      </c>
      <c r="E88">
        <v>43.02</v>
      </c>
      <c r="F88">
        <v>1859992</v>
      </c>
    </row>
    <row r="89" spans="1:6">
      <c r="A89" s="39">
        <v>42270</v>
      </c>
      <c r="B89">
        <v>43.1</v>
      </c>
      <c r="C89">
        <v>43.11</v>
      </c>
      <c r="D89">
        <v>42.65</v>
      </c>
      <c r="E89">
        <v>42.77</v>
      </c>
      <c r="F89">
        <v>2530537</v>
      </c>
    </row>
    <row r="90" spans="1:6">
      <c r="A90" s="39">
        <v>42271</v>
      </c>
      <c r="B90">
        <v>42.4</v>
      </c>
      <c r="C90">
        <v>42.7</v>
      </c>
      <c r="D90">
        <v>42.12</v>
      </c>
      <c r="E90">
        <v>42.58</v>
      </c>
      <c r="F90">
        <v>3206483</v>
      </c>
    </row>
    <row r="91" spans="1:6">
      <c r="A91" s="39">
        <v>42272</v>
      </c>
      <c r="B91">
        <v>43.01</v>
      </c>
      <c r="C91">
        <v>43.09</v>
      </c>
      <c r="D91">
        <v>42.47</v>
      </c>
      <c r="E91">
        <v>42.65</v>
      </c>
      <c r="F91">
        <v>1439567</v>
      </c>
    </row>
    <row r="92" spans="1:6">
      <c r="A92" s="39">
        <v>42275</v>
      </c>
      <c r="B92">
        <v>42.36</v>
      </c>
      <c r="C92">
        <v>42.38</v>
      </c>
      <c r="D92">
        <v>41.68</v>
      </c>
      <c r="E92">
        <v>41.75</v>
      </c>
      <c r="F92">
        <v>2276546</v>
      </c>
    </row>
    <row r="93" spans="1:6">
      <c r="A93" s="39">
        <v>42276</v>
      </c>
      <c r="B93">
        <v>41.67</v>
      </c>
      <c r="C93">
        <v>41.88</v>
      </c>
      <c r="D93">
        <v>41.5</v>
      </c>
      <c r="E93">
        <v>41.8</v>
      </c>
      <c r="F93">
        <v>3480423</v>
      </c>
    </row>
    <row r="94" spans="1:6">
      <c r="A94" s="39">
        <v>42277</v>
      </c>
      <c r="B94">
        <v>42.45</v>
      </c>
      <c r="C94">
        <v>42.68</v>
      </c>
      <c r="D94">
        <v>42.2</v>
      </c>
      <c r="E94">
        <v>42.63</v>
      </c>
      <c r="F94">
        <v>2885940</v>
      </c>
    </row>
    <row r="95" spans="1:6">
      <c r="A95" s="39">
        <v>42278</v>
      </c>
      <c r="B95">
        <v>42.97</v>
      </c>
      <c r="C95">
        <v>42.97</v>
      </c>
      <c r="D95">
        <v>42.4</v>
      </c>
      <c r="E95">
        <v>42.79</v>
      </c>
      <c r="F95">
        <v>4530550</v>
      </c>
    </row>
    <row r="96" spans="1:6">
      <c r="A96" s="39">
        <v>42279</v>
      </c>
      <c r="B96">
        <v>42.62</v>
      </c>
      <c r="C96">
        <v>43.53</v>
      </c>
      <c r="D96">
        <v>42.49</v>
      </c>
      <c r="E96">
        <v>43.52</v>
      </c>
      <c r="F96">
        <v>1734012</v>
      </c>
    </row>
    <row r="97" spans="1:6">
      <c r="A97" s="39">
        <v>42282</v>
      </c>
      <c r="B97">
        <v>44.08</v>
      </c>
      <c r="C97">
        <v>44.46</v>
      </c>
      <c r="D97">
        <v>44</v>
      </c>
      <c r="E97">
        <v>44.43</v>
      </c>
      <c r="F97">
        <v>3253576</v>
      </c>
    </row>
    <row r="98" spans="1:6">
      <c r="A98" s="39">
        <v>42283</v>
      </c>
      <c r="B98">
        <v>44.32</v>
      </c>
      <c r="C98">
        <v>44.58</v>
      </c>
      <c r="D98">
        <v>44.32</v>
      </c>
      <c r="E98">
        <v>44.45</v>
      </c>
      <c r="F98">
        <v>1478926</v>
      </c>
    </row>
    <row r="99" spans="1:6">
      <c r="A99" s="39">
        <v>42284</v>
      </c>
      <c r="B99">
        <v>45.05</v>
      </c>
      <c r="C99">
        <v>45.3</v>
      </c>
      <c r="D99">
        <v>44.81</v>
      </c>
      <c r="E99">
        <v>45.14</v>
      </c>
      <c r="F99">
        <v>2669374</v>
      </c>
    </row>
    <row r="100" spans="1:6">
      <c r="A100" s="39">
        <v>42285</v>
      </c>
      <c r="B100">
        <v>44.92</v>
      </c>
      <c r="C100">
        <v>45.57</v>
      </c>
      <c r="D100">
        <v>44.89</v>
      </c>
      <c r="E100">
        <v>45.54</v>
      </c>
      <c r="F100">
        <v>1762672</v>
      </c>
    </row>
    <row r="101" spans="1:6">
      <c r="A101" s="39">
        <v>42286</v>
      </c>
      <c r="B101">
        <v>45.65</v>
      </c>
      <c r="C101">
        <v>45.79</v>
      </c>
      <c r="D101">
        <v>45.47</v>
      </c>
      <c r="E101">
        <v>45.63</v>
      </c>
      <c r="F101">
        <v>2700551</v>
      </c>
    </row>
    <row r="102" spans="1:6">
      <c r="A102" s="39">
        <v>42289</v>
      </c>
      <c r="B102">
        <v>45.54</v>
      </c>
      <c r="C102">
        <v>45.57</v>
      </c>
      <c r="D102">
        <v>45.41</v>
      </c>
      <c r="E102">
        <v>45.48</v>
      </c>
      <c r="F102">
        <v>2023145</v>
      </c>
    </row>
    <row r="103" spans="1:6">
      <c r="A103" s="39">
        <v>42290</v>
      </c>
      <c r="B103">
        <v>44.97</v>
      </c>
      <c r="C103">
        <v>45.27</v>
      </c>
      <c r="D103">
        <v>44.84</v>
      </c>
      <c r="E103">
        <v>44.87</v>
      </c>
      <c r="F103">
        <v>3152930</v>
      </c>
    </row>
    <row r="104" spans="1:6">
      <c r="A104" s="39">
        <v>42291</v>
      </c>
      <c r="B104">
        <v>45.02</v>
      </c>
      <c r="C104">
        <v>45.2</v>
      </c>
      <c r="D104">
        <v>44.91</v>
      </c>
      <c r="E104">
        <v>45.03</v>
      </c>
      <c r="F104">
        <v>2360080</v>
      </c>
    </row>
    <row r="105" spans="1:6">
      <c r="A105" s="39">
        <v>42292</v>
      </c>
      <c r="B105">
        <v>45.42</v>
      </c>
      <c r="C105">
        <v>45.9</v>
      </c>
      <c r="D105">
        <v>45.37</v>
      </c>
      <c r="E105">
        <v>45.87</v>
      </c>
      <c r="F105">
        <v>2444283</v>
      </c>
    </row>
    <row r="106" spans="1:6">
      <c r="A106" s="39">
        <v>42293</v>
      </c>
      <c r="B106">
        <v>45.8</v>
      </c>
      <c r="C106">
        <v>45.9</v>
      </c>
      <c r="D106">
        <v>45.64</v>
      </c>
      <c r="E106">
        <v>45.88</v>
      </c>
      <c r="F106">
        <v>2058669</v>
      </c>
    </row>
    <row r="107" spans="1:6">
      <c r="A107" s="39">
        <v>42296</v>
      </c>
      <c r="B107">
        <v>45.6</v>
      </c>
      <c r="C107">
        <v>45.62</v>
      </c>
      <c r="D107">
        <v>45.44</v>
      </c>
      <c r="E107">
        <v>45.61</v>
      </c>
      <c r="F107">
        <v>926595</v>
      </c>
    </row>
    <row r="108" spans="1:6">
      <c r="A108" s="39">
        <v>42297</v>
      </c>
      <c r="B108">
        <v>45.44</v>
      </c>
      <c r="C108">
        <v>45.63</v>
      </c>
      <c r="D108">
        <v>45.43</v>
      </c>
      <c r="E108">
        <v>45.55</v>
      </c>
      <c r="F108">
        <v>2670256</v>
      </c>
    </row>
    <row r="109" spans="1:6">
      <c r="A109" s="39">
        <v>42298</v>
      </c>
      <c r="B109">
        <v>45.68</v>
      </c>
      <c r="C109">
        <v>45.71</v>
      </c>
      <c r="D109">
        <v>45.31</v>
      </c>
      <c r="E109">
        <v>45.34</v>
      </c>
      <c r="F109">
        <v>2199293</v>
      </c>
    </row>
    <row r="110" spans="1:6">
      <c r="A110" s="39">
        <v>42299</v>
      </c>
      <c r="B110">
        <v>45.58</v>
      </c>
      <c r="C110">
        <v>46.07</v>
      </c>
      <c r="D110">
        <v>45.58</v>
      </c>
      <c r="E110">
        <v>45.95</v>
      </c>
      <c r="F110">
        <v>3662587</v>
      </c>
    </row>
    <row r="111" spans="1:6">
      <c r="A111" s="39">
        <v>42300</v>
      </c>
      <c r="B111">
        <v>46.3</v>
      </c>
      <c r="C111">
        <v>46.46</v>
      </c>
      <c r="D111">
        <v>46.15</v>
      </c>
      <c r="E111">
        <v>46.37</v>
      </c>
      <c r="F111">
        <v>1893321</v>
      </c>
    </row>
    <row r="112" spans="1:6">
      <c r="A112" s="39">
        <v>42303</v>
      </c>
      <c r="B112">
        <v>46.23</v>
      </c>
      <c r="C112">
        <v>46.23</v>
      </c>
      <c r="D112">
        <v>46.07</v>
      </c>
      <c r="E112">
        <v>46.08</v>
      </c>
      <c r="F112">
        <v>1335726</v>
      </c>
    </row>
    <row r="113" spans="1:6">
      <c r="A113" s="39">
        <v>42304</v>
      </c>
      <c r="B113">
        <v>45.77</v>
      </c>
      <c r="C113">
        <v>45.83</v>
      </c>
      <c r="D113">
        <v>45.61</v>
      </c>
      <c r="E113">
        <v>45.71</v>
      </c>
      <c r="F113">
        <v>1443019</v>
      </c>
    </row>
    <row r="114" spans="1:6">
      <c r="A114" s="39">
        <v>42305</v>
      </c>
      <c r="B114">
        <v>45.83</v>
      </c>
      <c r="C114">
        <v>46.22</v>
      </c>
      <c r="D114">
        <v>45.52</v>
      </c>
      <c r="E114">
        <v>45.93</v>
      </c>
      <c r="F114">
        <v>2177049</v>
      </c>
    </row>
    <row r="115" spans="1:6">
      <c r="A115" s="39">
        <v>42306</v>
      </c>
      <c r="B115">
        <v>45.42</v>
      </c>
      <c r="C115">
        <v>45.59</v>
      </c>
      <c r="D115">
        <v>45.35</v>
      </c>
      <c r="E115">
        <v>45.51</v>
      </c>
      <c r="F115">
        <v>1632473</v>
      </c>
    </row>
    <row r="116" spans="1:6">
      <c r="A116" s="39">
        <v>42307</v>
      </c>
      <c r="B116">
        <v>45.62</v>
      </c>
      <c r="C116">
        <v>45.75</v>
      </c>
      <c r="D116">
        <v>45.47</v>
      </c>
      <c r="E116">
        <v>45.48</v>
      </c>
      <c r="F116">
        <v>1318831</v>
      </c>
    </row>
    <row r="117" spans="1:6">
      <c r="A117" s="39">
        <v>42310</v>
      </c>
      <c r="B117">
        <v>45.68</v>
      </c>
      <c r="C117">
        <v>45.92</v>
      </c>
      <c r="D117">
        <v>45.59</v>
      </c>
      <c r="E117">
        <v>45.89</v>
      </c>
      <c r="F117">
        <v>1896939</v>
      </c>
    </row>
    <row r="118" spans="1:6">
      <c r="A118" s="39">
        <v>42311</v>
      </c>
      <c r="B118">
        <v>45.66</v>
      </c>
      <c r="C118">
        <v>46.15</v>
      </c>
      <c r="D118">
        <v>45.63</v>
      </c>
      <c r="E118">
        <v>46.05</v>
      </c>
      <c r="F118">
        <v>2090072</v>
      </c>
    </row>
    <row r="119" spans="1:6">
      <c r="A119" s="39">
        <v>42312</v>
      </c>
      <c r="B119">
        <v>46.13</v>
      </c>
      <c r="C119">
        <v>46.16</v>
      </c>
      <c r="D119">
        <v>45.65</v>
      </c>
      <c r="E119">
        <v>45.78</v>
      </c>
      <c r="F119">
        <v>1736231</v>
      </c>
    </row>
    <row r="120" spans="1:6">
      <c r="A120" s="39">
        <v>42313</v>
      </c>
      <c r="B120">
        <v>45.87</v>
      </c>
      <c r="C120">
        <v>45.89</v>
      </c>
      <c r="D120">
        <v>45.56</v>
      </c>
      <c r="E120">
        <v>45.68</v>
      </c>
      <c r="F120">
        <v>3388410</v>
      </c>
    </row>
    <row r="121" spans="1:6">
      <c r="A121" s="39">
        <v>42314</v>
      </c>
      <c r="B121">
        <v>45.32</v>
      </c>
      <c r="C121">
        <v>45.4</v>
      </c>
      <c r="D121">
        <v>45.08</v>
      </c>
      <c r="E121">
        <v>45.38</v>
      </c>
      <c r="F121">
        <v>3303204</v>
      </c>
    </row>
    <row r="122" spans="1:6">
      <c r="A122" s="39">
        <v>42317</v>
      </c>
      <c r="B122">
        <v>45.14</v>
      </c>
      <c r="C122">
        <v>45.17</v>
      </c>
      <c r="D122">
        <v>44.72</v>
      </c>
      <c r="E122">
        <v>44.86</v>
      </c>
      <c r="F122">
        <v>2072153</v>
      </c>
    </row>
    <row r="123" spans="1:6">
      <c r="A123" s="39">
        <v>42318</v>
      </c>
      <c r="B123">
        <v>44.64</v>
      </c>
      <c r="C123">
        <v>44.84</v>
      </c>
      <c r="D123">
        <v>44.55</v>
      </c>
      <c r="E123">
        <v>44.84</v>
      </c>
      <c r="F123">
        <v>5203937</v>
      </c>
    </row>
    <row r="124" spans="1:6">
      <c r="A124" s="39">
        <v>42319</v>
      </c>
      <c r="B124">
        <v>45.19</v>
      </c>
      <c r="C124">
        <v>45.19</v>
      </c>
      <c r="D124">
        <v>44.91</v>
      </c>
      <c r="E124">
        <v>44.96</v>
      </c>
      <c r="F124">
        <v>1105749</v>
      </c>
    </row>
    <row r="125" spans="1:6">
      <c r="A125" s="39">
        <v>42320</v>
      </c>
      <c r="B125">
        <v>44.66</v>
      </c>
      <c r="C125">
        <v>44.79</v>
      </c>
      <c r="D125">
        <v>44.42</v>
      </c>
      <c r="E125">
        <v>44.42</v>
      </c>
      <c r="F125">
        <v>2123591</v>
      </c>
    </row>
    <row r="126" spans="1:6">
      <c r="A126" s="39">
        <v>42321</v>
      </c>
      <c r="B126">
        <v>44.23</v>
      </c>
      <c r="C126">
        <v>44.25</v>
      </c>
      <c r="D126">
        <v>43.95</v>
      </c>
      <c r="E126">
        <v>44.05</v>
      </c>
      <c r="F126">
        <v>2269337</v>
      </c>
    </row>
    <row r="127" spans="1:6">
      <c r="A127" s="39">
        <v>42324</v>
      </c>
      <c r="B127">
        <v>44.05</v>
      </c>
      <c r="C127">
        <v>44.63</v>
      </c>
      <c r="D127">
        <v>44.05</v>
      </c>
      <c r="E127">
        <v>44.63</v>
      </c>
      <c r="F127">
        <v>2763296</v>
      </c>
    </row>
    <row r="128" spans="1:6">
      <c r="A128" s="39">
        <v>42325</v>
      </c>
      <c r="B128">
        <v>44.74</v>
      </c>
      <c r="C128">
        <v>44.91</v>
      </c>
      <c r="D128">
        <v>44.58</v>
      </c>
      <c r="E128">
        <v>44.69</v>
      </c>
      <c r="F128">
        <v>2011641</v>
      </c>
    </row>
    <row r="129" spans="1:6">
      <c r="A129" s="39">
        <v>42326</v>
      </c>
      <c r="B129">
        <v>44.81</v>
      </c>
      <c r="C129">
        <v>45.12</v>
      </c>
      <c r="D129">
        <v>44.72</v>
      </c>
      <c r="E129">
        <v>45.07</v>
      </c>
      <c r="F129">
        <v>1626159</v>
      </c>
    </row>
    <row r="130" spans="1:6">
      <c r="A130" s="39">
        <v>42327</v>
      </c>
      <c r="B130">
        <v>45.31</v>
      </c>
      <c r="C130">
        <v>45.45</v>
      </c>
      <c r="D130">
        <v>45.28</v>
      </c>
      <c r="E130">
        <v>45.35</v>
      </c>
      <c r="F130">
        <v>2102505</v>
      </c>
    </row>
    <row r="131" spans="1:6">
      <c r="A131" s="39">
        <v>42328</v>
      </c>
      <c r="B131">
        <v>45.55</v>
      </c>
      <c r="C131">
        <v>45.62</v>
      </c>
      <c r="D131">
        <v>45.32</v>
      </c>
      <c r="E131">
        <v>45.33</v>
      </c>
      <c r="F131">
        <v>2062959</v>
      </c>
    </row>
    <row r="132" spans="1:6">
      <c r="A132" s="39">
        <v>42331</v>
      </c>
      <c r="B132">
        <v>45.21</v>
      </c>
      <c r="C132">
        <v>45.3</v>
      </c>
      <c r="D132">
        <v>44.96</v>
      </c>
      <c r="E132">
        <v>45.02</v>
      </c>
      <c r="F132">
        <v>3238229</v>
      </c>
    </row>
    <row r="133" spans="1:6">
      <c r="A133" s="39">
        <v>42332</v>
      </c>
      <c r="B133">
        <v>44.78</v>
      </c>
      <c r="C133">
        <v>45.18</v>
      </c>
      <c r="D133">
        <v>44.72</v>
      </c>
      <c r="E133">
        <v>45.09</v>
      </c>
      <c r="F133">
        <v>4027155</v>
      </c>
    </row>
    <row r="134" spans="1:6">
      <c r="A134" s="39">
        <v>42333</v>
      </c>
      <c r="B134">
        <v>45.12</v>
      </c>
      <c r="C134">
        <v>45.2</v>
      </c>
      <c r="D134">
        <v>44.96</v>
      </c>
      <c r="E134">
        <v>45.11</v>
      </c>
      <c r="F134">
        <v>1650915</v>
      </c>
    </row>
    <row r="135" spans="1:6">
      <c r="A135" s="39">
        <v>42335</v>
      </c>
      <c r="B135">
        <v>45.04</v>
      </c>
      <c r="C135">
        <v>45.05</v>
      </c>
      <c r="D135">
        <v>44.92</v>
      </c>
      <c r="E135">
        <v>44.95</v>
      </c>
      <c r="F135">
        <v>686435</v>
      </c>
    </row>
    <row r="136" spans="1:6">
      <c r="A136" s="39">
        <v>42338</v>
      </c>
      <c r="B136">
        <v>44.91</v>
      </c>
      <c r="C136">
        <v>45.02</v>
      </c>
      <c r="D136">
        <v>44.86</v>
      </c>
      <c r="E136">
        <v>44.88</v>
      </c>
      <c r="F136">
        <v>2997962</v>
      </c>
    </row>
    <row r="137" spans="1:6">
      <c r="A137" s="39">
        <v>42339</v>
      </c>
      <c r="B137">
        <v>45.19</v>
      </c>
      <c r="C137">
        <v>45.36</v>
      </c>
      <c r="D137">
        <v>45.14</v>
      </c>
      <c r="E137">
        <v>45.33</v>
      </c>
      <c r="F137">
        <v>3343156</v>
      </c>
    </row>
    <row r="138" spans="1:6">
      <c r="A138" s="39">
        <v>42340</v>
      </c>
      <c r="B138">
        <v>45.14</v>
      </c>
      <c r="C138">
        <v>45.23</v>
      </c>
      <c r="D138">
        <v>44.76</v>
      </c>
      <c r="E138">
        <v>44.86</v>
      </c>
      <c r="F138">
        <v>2329480</v>
      </c>
    </row>
    <row r="139" spans="1:6">
      <c r="A139" s="39">
        <v>42341</v>
      </c>
      <c r="B139">
        <v>45.09</v>
      </c>
      <c r="C139">
        <v>45.1</v>
      </c>
      <c r="D139">
        <v>44.44</v>
      </c>
      <c r="E139">
        <v>44.6</v>
      </c>
      <c r="F139">
        <v>3761844</v>
      </c>
    </row>
    <row r="140" spans="1:6">
      <c r="A140" s="39">
        <v>42342</v>
      </c>
      <c r="B140">
        <v>44.5</v>
      </c>
      <c r="C140">
        <v>45.01</v>
      </c>
      <c r="D140">
        <v>44.44</v>
      </c>
      <c r="E140">
        <v>44.93</v>
      </c>
      <c r="F140">
        <v>2811636</v>
      </c>
    </row>
    <row r="141" spans="1:6">
      <c r="A141" s="39">
        <v>42345</v>
      </c>
      <c r="B141">
        <v>44.69</v>
      </c>
      <c r="C141">
        <v>44.7</v>
      </c>
      <c r="D141">
        <v>44.32</v>
      </c>
      <c r="E141">
        <v>44.48</v>
      </c>
      <c r="F141">
        <v>2228356</v>
      </c>
    </row>
    <row r="142" spans="1:6">
      <c r="A142" s="39">
        <v>42346</v>
      </c>
      <c r="B142">
        <v>43.77</v>
      </c>
      <c r="C142">
        <v>43.93</v>
      </c>
      <c r="D142">
        <v>43.6</v>
      </c>
      <c r="E142">
        <v>43.83</v>
      </c>
      <c r="F142">
        <v>2410732</v>
      </c>
    </row>
    <row r="143" spans="1:6">
      <c r="A143" s="39">
        <v>42347</v>
      </c>
      <c r="B143">
        <v>43.83</v>
      </c>
      <c r="C143">
        <v>44.21</v>
      </c>
      <c r="D143">
        <v>43.49</v>
      </c>
      <c r="E143">
        <v>43.67</v>
      </c>
      <c r="F143">
        <v>3350074</v>
      </c>
    </row>
    <row r="144" spans="1:6">
      <c r="A144" s="39">
        <v>42348</v>
      </c>
      <c r="B144">
        <v>43.78</v>
      </c>
      <c r="C144">
        <v>43.91</v>
      </c>
      <c r="D144">
        <v>43.57</v>
      </c>
      <c r="E144">
        <v>43.6</v>
      </c>
      <c r="F144">
        <v>3396338</v>
      </c>
    </row>
    <row r="145" spans="1:6">
      <c r="A145" s="39">
        <v>42349</v>
      </c>
      <c r="B145">
        <v>43.02</v>
      </c>
      <c r="C145">
        <v>43.05</v>
      </c>
      <c r="D145">
        <v>42.67</v>
      </c>
      <c r="E145">
        <v>42.74</v>
      </c>
      <c r="F145">
        <v>4914118</v>
      </c>
    </row>
    <row r="146" spans="1:6">
      <c r="A146" s="39">
        <v>42352</v>
      </c>
      <c r="B146">
        <v>42.91</v>
      </c>
      <c r="C146">
        <v>43.02</v>
      </c>
      <c r="D146">
        <v>42.45</v>
      </c>
      <c r="E146">
        <v>42.9</v>
      </c>
      <c r="F146">
        <v>5136256</v>
      </c>
    </row>
    <row r="147" spans="1:6">
      <c r="A147" s="39">
        <v>42353</v>
      </c>
      <c r="B147">
        <v>43.19</v>
      </c>
      <c r="C147">
        <v>43.39</v>
      </c>
      <c r="D147">
        <v>43.13</v>
      </c>
      <c r="E147">
        <v>43.22</v>
      </c>
      <c r="F147">
        <v>4638353</v>
      </c>
    </row>
    <row r="148" spans="1:6">
      <c r="A148" s="39">
        <v>42354</v>
      </c>
      <c r="B148">
        <v>43.63</v>
      </c>
      <c r="C148">
        <v>44.1</v>
      </c>
      <c r="D148">
        <v>43.44</v>
      </c>
      <c r="E148">
        <v>44.01</v>
      </c>
      <c r="F148">
        <v>3587876</v>
      </c>
    </row>
    <row r="149" spans="1:6">
      <c r="A149" s="39">
        <v>42355</v>
      </c>
      <c r="B149">
        <v>43.99</v>
      </c>
      <c r="C149">
        <v>43.99</v>
      </c>
      <c r="D149">
        <v>43.45</v>
      </c>
      <c r="E149">
        <v>43.46</v>
      </c>
      <c r="F149">
        <v>4807785</v>
      </c>
    </row>
    <row r="150" spans="1:6">
      <c r="A150" s="39">
        <v>42356</v>
      </c>
      <c r="B150">
        <v>43.28</v>
      </c>
      <c r="C150">
        <v>43.39</v>
      </c>
      <c r="D150">
        <v>43.1</v>
      </c>
      <c r="E150">
        <v>43.1</v>
      </c>
      <c r="F150">
        <v>4403915</v>
      </c>
    </row>
    <row r="151" spans="1:6">
      <c r="A151" s="39">
        <v>42359</v>
      </c>
      <c r="B151">
        <v>43.23</v>
      </c>
      <c r="C151">
        <v>43.28</v>
      </c>
      <c r="D151">
        <v>42.78</v>
      </c>
      <c r="E151">
        <v>42.96</v>
      </c>
      <c r="F151">
        <v>5320834</v>
      </c>
    </row>
    <row r="152" spans="1:6">
      <c r="A152" s="39">
        <v>42360</v>
      </c>
      <c r="B152">
        <v>43.07</v>
      </c>
      <c r="C152">
        <v>43.34</v>
      </c>
      <c r="D152">
        <v>42.96</v>
      </c>
      <c r="E152">
        <v>43.3</v>
      </c>
      <c r="F152">
        <v>5884126</v>
      </c>
    </row>
    <row r="153" spans="1:6">
      <c r="A153" s="39">
        <v>42361</v>
      </c>
      <c r="B153">
        <v>43.67</v>
      </c>
      <c r="C153">
        <v>44.04</v>
      </c>
      <c r="D153">
        <v>43.63</v>
      </c>
      <c r="E153">
        <v>44.02</v>
      </c>
      <c r="F153">
        <v>4694171</v>
      </c>
    </row>
    <row r="154" spans="1:6">
      <c r="A154" s="39">
        <v>42362</v>
      </c>
      <c r="B154">
        <v>43.92</v>
      </c>
      <c r="C154">
        <v>44.07</v>
      </c>
      <c r="D154">
        <v>43.9</v>
      </c>
      <c r="E154">
        <v>43.96</v>
      </c>
      <c r="F154">
        <v>1899963</v>
      </c>
    </row>
    <row r="155" spans="1:6">
      <c r="A155" s="39">
        <v>42366</v>
      </c>
      <c r="B155">
        <v>43.82</v>
      </c>
      <c r="C155">
        <v>43.96</v>
      </c>
      <c r="D155">
        <v>43.65</v>
      </c>
      <c r="E155">
        <v>43.8</v>
      </c>
      <c r="F155">
        <v>3660073</v>
      </c>
    </row>
    <row r="156" spans="1:6">
      <c r="A156" s="39">
        <v>42367</v>
      </c>
      <c r="B156">
        <v>44.06</v>
      </c>
      <c r="C156">
        <v>44.27</v>
      </c>
      <c r="D156">
        <v>44.04</v>
      </c>
      <c r="E156">
        <v>44.22</v>
      </c>
      <c r="F156">
        <v>4136354</v>
      </c>
    </row>
    <row r="157" spans="1:6">
      <c r="A157" s="39">
        <v>42368</v>
      </c>
      <c r="B157">
        <v>43.99</v>
      </c>
      <c r="C157">
        <v>44.01</v>
      </c>
      <c r="D157">
        <v>43.8</v>
      </c>
      <c r="E157">
        <v>43.84</v>
      </c>
      <c r="F157">
        <v>3785085</v>
      </c>
    </row>
    <row r="158" spans="1:6">
      <c r="A158" s="39">
        <v>42369</v>
      </c>
      <c r="B158">
        <v>43.61</v>
      </c>
      <c r="C158">
        <v>43.7</v>
      </c>
      <c r="D158">
        <v>43.4</v>
      </c>
      <c r="E158">
        <v>43.41</v>
      </c>
      <c r="F158">
        <v>4475701</v>
      </c>
    </row>
    <row r="159" spans="1:6">
      <c r="A159" s="39">
        <v>42373</v>
      </c>
      <c r="B159">
        <v>42.63</v>
      </c>
      <c r="C159">
        <v>42.68</v>
      </c>
      <c r="D159">
        <v>42.18</v>
      </c>
      <c r="E159">
        <v>42.67</v>
      </c>
      <c r="F159">
        <v>4047793</v>
      </c>
    </row>
    <row r="160" spans="1:6">
      <c r="A160" s="39">
        <v>42374</v>
      </c>
      <c r="B160">
        <v>42.59</v>
      </c>
      <c r="C160">
        <v>42.62</v>
      </c>
      <c r="D160">
        <v>42.32</v>
      </c>
      <c r="E160">
        <v>42.57</v>
      </c>
      <c r="F160">
        <v>2752213</v>
      </c>
    </row>
    <row r="161" spans="1:6">
      <c r="A161" s="39">
        <v>42375</v>
      </c>
      <c r="B161">
        <v>41.76</v>
      </c>
      <c r="C161">
        <v>41.99</v>
      </c>
      <c r="D161">
        <v>41.64</v>
      </c>
      <c r="E161">
        <v>41.84</v>
      </c>
      <c r="F161">
        <v>3007783</v>
      </c>
    </row>
    <row r="162" spans="1:6">
      <c r="A162" s="39">
        <v>42376</v>
      </c>
      <c r="B162">
        <v>41.02</v>
      </c>
      <c r="C162">
        <v>41.42</v>
      </c>
      <c r="D162">
        <v>40.89</v>
      </c>
      <c r="E162">
        <v>40.94</v>
      </c>
      <c r="F162">
        <v>3711673</v>
      </c>
    </row>
    <row r="163" spans="1:6">
      <c r="A163" s="39">
        <v>42377</v>
      </c>
      <c r="B163">
        <v>41.17</v>
      </c>
      <c r="C163">
        <v>41.23</v>
      </c>
      <c r="D163">
        <v>40.380000000000003</v>
      </c>
      <c r="E163">
        <v>40.450000000000003</v>
      </c>
      <c r="F163">
        <v>3974101</v>
      </c>
    </row>
    <row r="164" spans="1:6">
      <c r="A164" s="39">
        <v>42380</v>
      </c>
      <c r="B164">
        <v>40.909999999999997</v>
      </c>
      <c r="C164">
        <v>40.909999999999997</v>
      </c>
      <c r="D164">
        <v>40.18</v>
      </c>
      <c r="E164">
        <v>40.53</v>
      </c>
      <c r="F164">
        <v>4126041</v>
      </c>
    </row>
    <row r="165" spans="1:6">
      <c r="A165" s="39">
        <v>42381</v>
      </c>
      <c r="B165">
        <v>40.869999999999997</v>
      </c>
      <c r="C165">
        <v>40.92</v>
      </c>
      <c r="D165">
        <v>40.33</v>
      </c>
      <c r="E165">
        <v>40.700000000000003</v>
      </c>
      <c r="F165">
        <v>2702884</v>
      </c>
    </row>
    <row r="166" spans="1:6">
      <c r="A166" s="39">
        <v>42382</v>
      </c>
      <c r="B166">
        <v>40.97</v>
      </c>
      <c r="C166">
        <v>41.06</v>
      </c>
      <c r="D166">
        <v>39.96</v>
      </c>
      <c r="E166">
        <v>40.06</v>
      </c>
      <c r="F166">
        <v>3808599</v>
      </c>
    </row>
    <row r="167" spans="1:6">
      <c r="A167" s="39">
        <v>42383</v>
      </c>
      <c r="B167">
        <v>40.21</v>
      </c>
      <c r="C167">
        <v>40.74</v>
      </c>
      <c r="D167">
        <v>39.909999999999997</v>
      </c>
      <c r="E167">
        <v>40.57</v>
      </c>
      <c r="F167">
        <v>3711844</v>
      </c>
    </row>
    <row r="168" spans="1:6">
      <c r="A168" s="39">
        <v>42384</v>
      </c>
      <c r="B168">
        <v>39.25</v>
      </c>
      <c r="C168">
        <v>39.42</v>
      </c>
      <c r="D168">
        <v>38.82</v>
      </c>
      <c r="E168">
        <v>39.090000000000003</v>
      </c>
      <c r="F168">
        <v>4392195</v>
      </c>
    </row>
    <row r="169" spans="1:6">
      <c r="A169" s="39">
        <v>42388</v>
      </c>
      <c r="B169">
        <v>39.79</v>
      </c>
      <c r="C169">
        <v>39.83</v>
      </c>
      <c r="D169">
        <v>39.159999999999997</v>
      </c>
      <c r="E169">
        <v>39.44</v>
      </c>
      <c r="F169">
        <v>5505452</v>
      </c>
    </row>
    <row r="170" spans="1:6">
      <c r="A170" s="39">
        <v>42389</v>
      </c>
      <c r="B170">
        <v>38.61</v>
      </c>
      <c r="C170">
        <v>38.81</v>
      </c>
      <c r="D170">
        <v>37.799999999999997</v>
      </c>
      <c r="E170">
        <v>38.58</v>
      </c>
      <c r="F170">
        <v>6970516</v>
      </c>
    </row>
    <row r="171" spans="1:6">
      <c r="A171" s="39">
        <v>42390</v>
      </c>
      <c r="B171">
        <v>38.4</v>
      </c>
      <c r="C171">
        <v>39.090000000000003</v>
      </c>
      <c r="D171">
        <v>38.130000000000003</v>
      </c>
      <c r="E171">
        <v>38.880000000000003</v>
      </c>
      <c r="F171">
        <v>7529831</v>
      </c>
    </row>
    <row r="172" spans="1:6">
      <c r="A172" s="39">
        <v>42391</v>
      </c>
      <c r="B172">
        <v>39.840000000000003</v>
      </c>
      <c r="C172">
        <v>40.08</v>
      </c>
      <c r="D172">
        <v>39.74</v>
      </c>
      <c r="E172">
        <v>40.04</v>
      </c>
      <c r="F172">
        <v>4599454</v>
      </c>
    </row>
    <row r="173" spans="1:6">
      <c r="A173" s="39">
        <v>42394</v>
      </c>
      <c r="B173">
        <v>39.71</v>
      </c>
      <c r="C173">
        <v>39.86</v>
      </c>
      <c r="D173">
        <v>39.409999999999997</v>
      </c>
      <c r="E173">
        <v>39.409999999999997</v>
      </c>
      <c r="F173">
        <v>3993487</v>
      </c>
    </row>
    <row r="174" spans="1:6">
      <c r="A174" s="39">
        <v>42395</v>
      </c>
      <c r="B174">
        <v>39.67</v>
      </c>
      <c r="C174">
        <v>40.159999999999997</v>
      </c>
      <c r="D174">
        <v>39.630000000000003</v>
      </c>
      <c r="E174">
        <v>40.119999999999997</v>
      </c>
      <c r="F174">
        <v>4070164</v>
      </c>
    </row>
    <row r="175" spans="1:6">
      <c r="A175" s="39">
        <v>42396</v>
      </c>
      <c r="B175">
        <v>40.03</v>
      </c>
      <c r="C175">
        <v>40.5</v>
      </c>
      <c r="D175">
        <v>39.74</v>
      </c>
      <c r="E175">
        <v>39.89</v>
      </c>
      <c r="F175">
        <v>2890178</v>
      </c>
    </row>
    <row r="176" spans="1:6">
      <c r="A176" s="39">
        <v>42397</v>
      </c>
      <c r="B176">
        <v>40.380000000000003</v>
      </c>
      <c r="C176">
        <v>40.409999999999997</v>
      </c>
      <c r="D176">
        <v>39.81</v>
      </c>
      <c r="E176">
        <v>40.11</v>
      </c>
      <c r="F176">
        <v>3130798</v>
      </c>
    </row>
    <row r="177" spans="1:6">
      <c r="A177" s="39">
        <v>42398</v>
      </c>
      <c r="B177">
        <v>40.4</v>
      </c>
      <c r="C177">
        <v>41</v>
      </c>
      <c r="D177">
        <v>40.39</v>
      </c>
      <c r="E177">
        <v>40.98</v>
      </c>
      <c r="F177">
        <v>3833529</v>
      </c>
    </row>
    <row r="178" spans="1:6">
      <c r="A178" s="39">
        <v>42401</v>
      </c>
      <c r="B178">
        <v>40.58</v>
      </c>
      <c r="C178">
        <v>40.99</v>
      </c>
      <c r="D178">
        <v>40.44</v>
      </c>
      <c r="E178">
        <v>40.880000000000003</v>
      </c>
      <c r="F178">
        <v>3197013</v>
      </c>
    </row>
    <row r="179" spans="1:6">
      <c r="A179" s="39">
        <v>42402</v>
      </c>
      <c r="B179">
        <v>40.25</v>
      </c>
      <c r="C179">
        <v>40.299999999999997</v>
      </c>
      <c r="D179">
        <v>39.76</v>
      </c>
      <c r="E179">
        <v>39.89</v>
      </c>
      <c r="F179">
        <v>3120434</v>
      </c>
    </row>
    <row r="180" spans="1:6">
      <c r="A180" s="39">
        <v>42403</v>
      </c>
      <c r="B180">
        <v>40.15</v>
      </c>
      <c r="C180">
        <v>40.36</v>
      </c>
      <c r="D180">
        <v>39.43</v>
      </c>
      <c r="E180">
        <v>40.32</v>
      </c>
      <c r="F180">
        <v>4316156</v>
      </c>
    </row>
    <row r="181" spans="1:6">
      <c r="A181" s="39">
        <v>42404</v>
      </c>
      <c r="B181">
        <v>40.25</v>
      </c>
      <c r="C181">
        <v>40.700000000000003</v>
      </c>
      <c r="D181">
        <v>40.19</v>
      </c>
      <c r="E181">
        <v>40.49</v>
      </c>
      <c r="F181">
        <v>3970880</v>
      </c>
    </row>
    <row r="182" spans="1:6">
      <c r="A182" s="39">
        <v>42405</v>
      </c>
      <c r="B182">
        <v>40.39</v>
      </c>
      <c r="C182">
        <v>40.39</v>
      </c>
      <c r="D182">
        <v>39.799999999999997</v>
      </c>
      <c r="E182">
        <v>39.92</v>
      </c>
      <c r="F182">
        <v>2233041</v>
      </c>
    </row>
    <row r="183" spans="1:6">
      <c r="A183" s="39">
        <v>42408</v>
      </c>
      <c r="B183">
        <v>39.36</v>
      </c>
      <c r="C183">
        <v>39.36</v>
      </c>
      <c r="D183">
        <v>38.840000000000003</v>
      </c>
      <c r="E183">
        <v>39.19</v>
      </c>
      <c r="F183">
        <v>3599904</v>
      </c>
    </row>
    <row r="184" spans="1:6">
      <c r="A184" s="39">
        <v>42409</v>
      </c>
      <c r="B184">
        <v>38.479999999999997</v>
      </c>
      <c r="C184">
        <v>38.96</v>
      </c>
      <c r="D184">
        <v>38.4</v>
      </c>
      <c r="E184">
        <v>38.74</v>
      </c>
      <c r="F184">
        <v>4065724</v>
      </c>
    </row>
    <row r="185" spans="1:6">
      <c r="A185" s="39">
        <v>42410</v>
      </c>
      <c r="B185">
        <v>38.96</v>
      </c>
      <c r="C185">
        <v>39.22</v>
      </c>
      <c r="D185">
        <v>38.68</v>
      </c>
      <c r="E185">
        <v>38.72</v>
      </c>
      <c r="F185">
        <v>5174516</v>
      </c>
    </row>
    <row r="186" spans="1:6">
      <c r="A186" s="39">
        <v>42411</v>
      </c>
      <c r="B186">
        <v>38.15</v>
      </c>
      <c r="C186">
        <v>38.35</v>
      </c>
      <c r="D186">
        <v>37.82</v>
      </c>
      <c r="E186">
        <v>38.18</v>
      </c>
      <c r="F186">
        <v>5177560</v>
      </c>
    </row>
    <row r="187" spans="1:6">
      <c r="A187" s="39">
        <v>42412</v>
      </c>
      <c r="B187">
        <v>38.26</v>
      </c>
      <c r="C187">
        <v>38.81</v>
      </c>
      <c r="D187">
        <v>38.159999999999997</v>
      </c>
      <c r="E187">
        <v>38.799999999999997</v>
      </c>
      <c r="F187">
        <v>2932094</v>
      </c>
    </row>
    <row r="188" spans="1:6">
      <c r="A188" s="39">
        <v>42416</v>
      </c>
      <c r="B188">
        <v>39.49</v>
      </c>
      <c r="C188">
        <v>39.619999999999997</v>
      </c>
      <c r="D188">
        <v>39.21</v>
      </c>
      <c r="E188">
        <v>39.61</v>
      </c>
      <c r="F188">
        <v>2648387</v>
      </c>
    </row>
    <row r="189" spans="1:6">
      <c r="A189" s="39">
        <v>42417</v>
      </c>
      <c r="B189">
        <v>39.9</v>
      </c>
      <c r="C189">
        <v>40.409999999999997</v>
      </c>
      <c r="D189">
        <v>39.9</v>
      </c>
      <c r="E189">
        <v>40.36</v>
      </c>
      <c r="F189">
        <v>2130816</v>
      </c>
    </row>
    <row r="190" spans="1:6">
      <c r="A190" s="39">
        <v>42418</v>
      </c>
      <c r="B190">
        <v>40.479999999999997</v>
      </c>
      <c r="C190">
        <v>40.5</v>
      </c>
      <c r="D190">
        <v>40.130000000000003</v>
      </c>
      <c r="E190">
        <v>40.18</v>
      </c>
      <c r="F190">
        <v>1929517</v>
      </c>
    </row>
    <row r="191" spans="1:6">
      <c r="A191" s="39">
        <v>42419</v>
      </c>
      <c r="B191">
        <v>39.869999999999997</v>
      </c>
      <c r="C191">
        <v>40.1</v>
      </c>
      <c r="D191">
        <v>39.729999999999997</v>
      </c>
      <c r="E191">
        <v>40.07</v>
      </c>
      <c r="F191">
        <v>1695427</v>
      </c>
    </row>
    <row r="192" spans="1:6">
      <c r="A192" s="39">
        <v>42422</v>
      </c>
      <c r="B192">
        <v>40.409999999999997</v>
      </c>
      <c r="C192">
        <v>40.64</v>
      </c>
      <c r="D192">
        <v>40.380000000000003</v>
      </c>
      <c r="E192">
        <v>40.58</v>
      </c>
      <c r="F192">
        <v>1536192</v>
      </c>
    </row>
    <row r="193" spans="1:6">
      <c r="A193" s="39">
        <v>42423</v>
      </c>
      <c r="B193">
        <v>40.270000000000003</v>
      </c>
      <c r="C193">
        <v>40.33</v>
      </c>
      <c r="D193">
        <v>39.840000000000003</v>
      </c>
      <c r="E193">
        <v>39.909999999999997</v>
      </c>
      <c r="F193">
        <v>2069291</v>
      </c>
    </row>
    <row r="194" spans="1:6">
      <c r="A194" s="39">
        <v>42424</v>
      </c>
      <c r="B194">
        <v>39.24</v>
      </c>
      <c r="C194">
        <v>39.86</v>
      </c>
      <c r="D194">
        <v>39.06</v>
      </c>
      <c r="E194">
        <v>39.81</v>
      </c>
      <c r="F194">
        <v>2110935</v>
      </c>
    </row>
    <row r="195" spans="1:6">
      <c r="A195" s="39">
        <v>42425</v>
      </c>
      <c r="B195">
        <v>39.99</v>
      </c>
      <c r="C195">
        <v>40.229999999999997</v>
      </c>
      <c r="D195">
        <v>39.770000000000003</v>
      </c>
      <c r="E195">
        <v>40.22</v>
      </c>
      <c r="F195">
        <v>1401362</v>
      </c>
    </row>
    <row r="196" spans="1:6">
      <c r="A196" s="39">
        <v>42426</v>
      </c>
      <c r="B196">
        <v>40.43</v>
      </c>
      <c r="C196">
        <v>40.47</v>
      </c>
      <c r="D196">
        <v>40.020000000000003</v>
      </c>
      <c r="E196">
        <v>40.08</v>
      </c>
      <c r="F196">
        <v>1970872</v>
      </c>
    </row>
    <row r="197" spans="1:6">
      <c r="A197" s="39">
        <v>42429</v>
      </c>
      <c r="B197">
        <v>40.06</v>
      </c>
      <c r="C197">
        <v>40.32</v>
      </c>
      <c r="D197">
        <v>39.96</v>
      </c>
      <c r="E197">
        <v>39.979999999999997</v>
      </c>
      <c r="F197">
        <v>3419034</v>
      </c>
    </row>
    <row r="198" spans="1:6">
      <c r="A198" s="39">
        <v>42430</v>
      </c>
      <c r="B198">
        <v>40.549999999999997</v>
      </c>
      <c r="C198">
        <v>41.09</v>
      </c>
      <c r="D198">
        <v>40.5</v>
      </c>
      <c r="E198">
        <v>41.05</v>
      </c>
      <c r="F198">
        <v>2298591</v>
      </c>
    </row>
    <row r="199" spans="1:6">
      <c r="A199" s="39">
        <v>42431</v>
      </c>
      <c r="B199">
        <v>41.05</v>
      </c>
      <c r="C199">
        <v>41.42</v>
      </c>
      <c r="D199">
        <v>40.950000000000003</v>
      </c>
      <c r="E199">
        <v>41.42</v>
      </c>
      <c r="F199">
        <v>2192017</v>
      </c>
    </row>
    <row r="200" spans="1:6">
      <c r="A200" s="39">
        <v>42432</v>
      </c>
      <c r="B200">
        <v>41.46</v>
      </c>
      <c r="C200">
        <v>41.86</v>
      </c>
      <c r="D200">
        <v>41.46</v>
      </c>
      <c r="E200">
        <v>41.84</v>
      </c>
      <c r="F200">
        <v>1579585</v>
      </c>
    </row>
    <row r="201" spans="1:6">
      <c r="A201" s="39">
        <v>42433</v>
      </c>
      <c r="B201">
        <v>42.1</v>
      </c>
      <c r="C201">
        <v>42.48</v>
      </c>
      <c r="D201">
        <v>42.05</v>
      </c>
      <c r="E201">
        <v>42.29</v>
      </c>
      <c r="F201">
        <v>2270046</v>
      </c>
    </row>
    <row r="202" spans="1:6">
      <c r="A202" s="39">
        <v>42436</v>
      </c>
      <c r="B202">
        <v>41.87</v>
      </c>
      <c r="C202">
        <v>42.4</v>
      </c>
      <c r="D202">
        <v>41.82</v>
      </c>
      <c r="E202">
        <v>42.29</v>
      </c>
      <c r="F202">
        <v>4217348</v>
      </c>
    </row>
    <row r="203" spans="1:6">
      <c r="A203" s="39">
        <v>42437</v>
      </c>
      <c r="B203">
        <v>42.01</v>
      </c>
      <c r="C203">
        <v>42.02</v>
      </c>
      <c r="D203">
        <v>41.7</v>
      </c>
      <c r="E203">
        <v>41.75</v>
      </c>
      <c r="F203">
        <v>1795637</v>
      </c>
    </row>
    <row r="204" spans="1:6">
      <c r="A204" s="39">
        <v>42438</v>
      </c>
      <c r="B204">
        <v>41.95</v>
      </c>
      <c r="C204">
        <v>42.13</v>
      </c>
      <c r="D204">
        <v>41.87</v>
      </c>
      <c r="E204">
        <v>42</v>
      </c>
      <c r="F204">
        <v>2048479</v>
      </c>
    </row>
    <row r="205" spans="1:6">
      <c r="A205" s="39">
        <v>42439</v>
      </c>
      <c r="B205">
        <v>42.28</v>
      </c>
      <c r="C205">
        <v>42.5</v>
      </c>
      <c r="D205">
        <v>41.55</v>
      </c>
      <c r="E205">
        <v>41.94</v>
      </c>
      <c r="F205">
        <v>3105795</v>
      </c>
    </row>
    <row r="206" spans="1:6">
      <c r="A206" s="39">
        <v>42440</v>
      </c>
      <c r="B206">
        <v>42.65</v>
      </c>
      <c r="C206">
        <v>43.01</v>
      </c>
      <c r="D206">
        <v>42.65</v>
      </c>
      <c r="E206">
        <v>43</v>
      </c>
      <c r="F206">
        <v>1756443</v>
      </c>
    </row>
    <row r="207" spans="1:6">
      <c r="A207" s="39">
        <v>42443</v>
      </c>
      <c r="B207">
        <v>42.91</v>
      </c>
      <c r="C207">
        <v>42.97</v>
      </c>
      <c r="D207">
        <v>42.74</v>
      </c>
      <c r="E207">
        <v>42.86</v>
      </c>
      <c r="F207">
        <v>1552399</v>
      </c>
    </row>
    <row r="208" spans="1:6">
      <c r="A208" s="39">
        <v>42444</v>
      </c>
      <c r="B208">
        <v>42.19</v>
      </c>
      <c r="C208">
        <v>42.24</v>
      </c>
      <c r="D208">
        <v>42.06</v>
      </c>
      <c r="E208">
        <v>42.23</v>
      </c>
      <c r="F208">
        <v>1113245</v>
      </c>
    </row>
    <row r="209" spans="1:6">
      <c r="A209" s="39">
        <v>42445</v>
      </c>
      <c r="B209">
        <v>41.98</v>
      </c>
      <c r="C209">
        <v>42.82</v>
      </c>
      <c r="D209">
        <v>41.94</v>
      </c>
      <c r="E209">
        <v>42.78</v>
      </c>
      <c r="F209">
        <v>1469715</v>
      </c>
    </row>
    <row r="210" spans="1:6">
      <c r="A210" s="39">
        <v>42446</v>
      </c>
      <c r="B210">
        <v>42.86</v>
      </c>
      <c r="C210">
        <v>43.34</v>
      </c>
      <c r="D210">
        <v>42.74</v>
      </c>
      <c r="E210">
        <v>43.24</v>
      </c>
      <c r="F210">
        <v>2360982</v>
      </c>
    </row>
    <row r="211" spans="1:6">
      <c r="A211" s="39">
        <v>42447</v>
      </c>
      <c r="B211">
        <v>43.28</v>
      </c>
      <c r="C211">
        <v>43.36</v>
      </c>
      <c r="D211">
        <v>43.16</v>
      </c>
      <c r="E211">
        <v>43.22</v>
      </c>
      <c r="F211">
        <v>1871414</v>
      </c>
    </row>
    <row r="212" spans="1:6">
      <c r="A212" s="39">
        <v>42450</v>
      </c>
      <c r="B212">
        <v>43.16</v>
      </c>
      <c r="C212">
        <v>43.3</v>
      </c>
      <c r="D212">
        <v>43.05</v>
      </c>
      <c r="E212">
        <v>43.24</v>
      </c>
      <c r="F212">
        <v>2075013</v>
      </c>
    </row>
    <row r="213" spans="1:6">
      <c r="A213" s="39">
        <v>42451</v>
      </c>
      <c r="B213">
        <v>42.93</v>
      </c>
      <c r="C213">
        <v>43.26</v>
      </c>
      <c r="D213">
        <v>42.84</v>
      </c>
      <c r="E213">
        <v>43.16</v>
      </c>
      <c r="F213">
        <v>1850053</v>
      </c>
    </row>
    <row r="214" spans="1:6">
      <c r="A214" s="39">
        <v>42452</v>
      </c>
      <c r="B214">
        <v>43.02</v>
      </c>
      <c r="C214">
        <v>43.02</v>
      </c>
      <c r="D214">
        <v>42.6</v>
      </c>
      <c r="E214">
        <v>42.64</v>
      </c>
      <c r="F214">
        <v>3724203</v>
      </c>
    </row>
    <row r="215" spans="1:6">
      <c r="A215" s="39">
        <v>42453</v>
      </c>
      <c r="B215">
        <v>42.17</v>
      </c>
      <c r="C215">
        <v>42.44</v>
      </c>
      <c r="D215">
        <v>42.08</v>
      </c>
      <c r="E215">
        <v>42.42</v>
      </c>
      <c r="F215">
        <v>1852347</v>
      </c>
    </row>
    <row r="216" spans="1:6">
      <c r="A216" s="39">
        <v>42457</v>
      </c>
      <c r="B216">
        <v>42.65</v>
      </c>
      <c r="C216">
        <v>42.8</v>
      </c>
      <c r="D216">
        <v>42.53</v>
      </c>
      <c r="E216">
        <v>42.66</v>
      </c>
      <c r="F216">
        <v>1185669</v>
      </c>
    </row>
    <row r="217" spans="1:6">
      <c r="A217" s="39">
        <v>42458</v>
      </c>
      <c r="B217">
        <v>42.42</v>
      </c>
      <c r="C217">
        <v>43.13</v>
      </c>
      <c r="D217">
        <v>42.34</v>
      </c>
      <c r="E217">
        <v>43.12</v>
      </c>
      <c r="F217">
        <v>1620177</v>
      </c>
    </row>
    <row r="218" spans="1:6">
      <c r="A218" s="39">
        <v>42459</v>
      </c>
      <c r="B218">
        <v>43.5</v>
      </c>
      <c r="C218">
        <v>43.76</v>
      </c>
      <c r="D218">
        <v>43.43</v>
      </c>
      <c r="E218">
        <v>43.5</v>
      </c>
      <c r="F218">
        <v>2923407</v>
      </c>
    </row>
    <row r="219" spans="1:6">
      <c r="A219" s="39">
        <v>42460</v>
      </c>
      <c r="B219">
        <v>43.38</v>
      </c>
      <c r="C219">
        <v>43.48</v>
      </c>
      <c r="D219">
        <v>43.15</v>
      </c>
      <c r="E219">
        <v>43.15</v>
      </c>
      <c r="F219">
        <v>1291445</v>
      </c>
    </row>
    <row r="220" spans="1:6">
      <c r="A220" s="39">
        <v>42461</v>
      </c>
      <c r="B220">
        <v>42.34</v>
      </c>
      <c r="C220">
        <v>42.84</v>
      </c>
      <c r="D220">
        <v>42.25</v>
      </c>
      <c r="E220">
        <v>42.81</v>
      </c>
      <c r="F220">
        <v>2328729</v>
      </c>
    </row>
    <row r="221" spans="1:6">
      <c r="A221" s="39">
        <v>42464</v>
      </c>
      <c r="B221">
        <v>42.85</v>
      </c>
      <c r="C221">
        <v>42.9</v>
      </c>
      <c r="D221">
        <v>42.56</v>
      </c>
      <c r="E221">
        <v>42.63</v>
      </c>
      <c r="F221">
        <v>996057</v>
      </c>
    </row>
    <row r="222" spans="1:6">
      <c r="A222" s="39">
        <v>42465</v>
      </c>
      <c r="B222">
        <v>41.91</v>
      </c>
      <c r="C222">
        <v>41.95</v>
      </c>
      <c r="D222">
        <v>41.76</v>
      </c>
      <c r="E222">
        <v>41.8</v>
      </c>
      <c r="F222">
        <v>1422262</v>
      </c>
    </row>
    <row r="223" spans="1:6">
      <c r="A223" s="39">
        <v>42466</v>
      </c>
      <c r="B223">
        <v>41.91</v>
      </c>
      <c r="C223">
        <v>42.42</v>
      </c>
      <c r="D223">
        <v>41.84</v>
      </c>
      <c r="E223">
        <v>42.4</v>
      </c>
      <c r="F223">
        <v>2493527</v>
      </c>
    </row>
    <row r="224" spans="1:6">
      <c r="A224" s="39">
        <v>42467</v>
      </c>
      <c r="B224">
        <v>42.08</v>
      </c>
      <c r="C224">
        <v>42.15</v>
      </c>
      <c r="D224">
        <v>41.66</v>
      </c>
      <c r="E224">
        <v>41.81</v>
      </c>
      <c r="F224">
        <v>1791147</v>
      </c>
    </row>
    <row r="225" spans="1:6">
      <c r="A225" s="39">
        <v>42468</v>
      </c>
      <c r="B225">
        <v>42.64</v>
      </c>
      <c r="C225">
        <v>42.75</v>
      </c>
      <c r="D225">
        <v>42.47</v>
      </c>
      <c r="E225">
        <v>42.58</v>
      </c>
      <c r="F225">
        <v>1940290</v>
      </c>
    </row>
    <row r="226" spans="1:6">
      <c r="A226" s="39">
        <v>42471</v>
      </c>
      <c r="B226">
        <v>42.91</v>
      </c>
      <c r="C226">
        <v>43.11</v>
      </c>
      <c r="D226">
        <v>42.71</v>
      </c>
      <c r="E226">
        <v>42.71</v>
      </c>
      <c r="F226">
        <v>1586932</v>
      </c>
    </row>
    <row r="227" spans="1:6">
      <c r="A227" s="39">
        <v>42472</v>
      </c>
      <c r="B227">
        <v>43.01</v>
      </c>
      <c r="C227">
        <v>43.5</v>
      </c>
      <c r="D227">
        <v>42.82</v>
      </c>
      <c r="E227">
        <v>43.41</v>
      </c>
      <c r="F227">
        <v>2178014</v>
      </c>
    </row>
    <row r="228" spans="1:6">
      <c r="A228" s="39">
        <v>42473</v>
      </c>
      <c r="B228">
        <v>43.96</v>
      </c>
      <c r="C228">
        <v>44.14</v>
      </c>
      <c r="D228">
        <v>43.89</v>
      </c>
      <c r="E228">
        <v>44.1</v>
      </c>
      <c r="F228">
        <v>1940016</v>
      </c>
    </row>
    <row r="229" spans="1:6">
      <c r="A229" s="39">
        <v>42474</v>
      </c>
      <c r="B229">
        <v>44.2</v>
      </c>
      <c r="C229">
        <v>44.22</v>
      </c>
      <c r="D229">
        <v>44.04</v>
      </c>
      <c r="E229">
        <v>44.11</v>
      </c>
      <c r="F229">
        <v>1856241</v>
      </c>
    </row>
    <row r="230" spans="1:6">
      <c r="A230" s="39">
        <v>42475</v>
      </c>
      <c r="B230">
        <v>44</v>
      </c>
      <c r="C230">
        <v>44.12</v>
      </c>
      <c r="D230">
        <v>43.96</v>
      </c>
      <c r="E230">
        <v>43.97</v>
      </c>
      <c r="F230">
        <v>1273226</v>
      </c>
    </row>
    <row r="231" spans="1:6">
      <c r="A231" s="39">
        <v>42478</v>
      </c>
      <c r="B231">
        <v>43.87</v>
      </c>
      <c r="C231">
        <v>44.35</v>
      </c>
      <c r="D231">
        <v>43.81</v>
      </c>
      <c r="E231">
        <v>44.29</v>
      </c>
      <c r="F231">
        <v>1796996</v>
      </c>
    </row>
    <row r="232" spans="1:6">
      <c r="A232" s="39">
        <v>42479</v>
      </c>
      <c r="B232">
        <v>44.89</v>
      </c>
      <c r="C232">
        <v>45.14</v>
      </c>
      <c r="D232">
        <v>44.85</v>
      </c>
      <c r="E232">
        <v>45.07</v>
      </c>
      <c r="F232">
        <v>2017305</v>
      </c>
    </row>
    <row r="233" spans="1:6">
      <c r="A233" s="39">
        <v>42480</v>
      </c>
      <c r="B233">
        <v>44.99</v>
      </c>
      <c r="C233">
        <v>45.25</v>
      </c>
      <c r="D233">
        <v>44.86</v>
      </c>
      <c r="E233">
        <v>45.05</v>
      </c>
      <c r="F233">
        <v>1622155</v>
      </c>
    </row>
    <row r="234" spans="1:6">
      <c r="A234" s="39">
        <v>42481</v>
      </c>
      <c r="B234">
        <v>45</v>
      </c>
      <c r="C234">
        <v>45</v>
      </c>
      <c r="D234">
        <v>44.63</v>
      </c>
      <c r="E234">
        <v>44.72</v>
      </c>
      <c r="F234">
        <v>2544364</v>
      </c>
    </row>
    <row r="235" spans="1:6">
      <c r="A235" s="39">
        <v>42482</v>
      </c>
      <c r="B235">
        <v>44.72</v>
      </c>
      <c r="C235">
        <v>44.86</v>
      </c>
      <c r="D235">
        <v>44.54</v>
      </c>
      <c r="E235">
        <v>44.69</v>
      </c>
      <c r="F235">
        <v>1485019</v>
      </c>
    </row>
    <row r="236" spans="1:6">
      <c r="A236" s="39">
        <v>42485</v>
      </c>
      <c r="B236">
        <v>44.5</v>
      </c>
      <c r="C236">
        <v>44.53</v>
      </c>
      <c r="D236">
        <v>44.32</v>
      </c>
      <c r="E236">
        <v>44.46</v>
      </c>
      <c r="F236">
        <v>1667685</v>
      </c>
    </row>
    <row r="237" spans="1:6">
      <c r="A237" s="39">
        <v>42486</v>
      </c>
      <c r="B237">
        <v>44.68</v>
      </c>
      <c r="C237">
        <v>44.7</v>
      </c>
      <c r="D237">
        <v>44.51</v>
      </c>
      <c r="E237">
        <v>44.64</v>
      </c>
      <c r="F237">
        <v>1255935</v>
      </c>
    </row>
    <row r="238" spans="1:6">
      <c r="A238" s="39">
        <v>42487</v>
      </c>
      <c r="B238">
        <v>44.52</v>
      </c>
      <c r="C238">
        <v>44.8</v>
      </c>
      <c r="D238">
        <v>44.45</v>
      </c>
      <c r="E238">
        <v>44.74</v>
      </c>
      <c r="F238">
        <v>1672972</v>
      </c>
    </row>
    <row r="239" spans="1:6">
      <c r="A239" s="39">
        <v>42488</v>
      </c>
      <c r="B239">
        <v>44.26</v>
      </c>
      <c r="C239">
        <v>44.6</v>
      </c>
      <c r="D239">
        <v>44.11</v>
      </c>
      <c r="E239">
        <v>44.2</v>
      </c>
      <c r="F239">
        <v>1468057</v>
      </c>
    </row>
    <row r="240" spans="1:6">
      <c r="A240" s="39">
        <v>42489</v>
      </c>
      <c r="B240">
        <v>44.24</v>
      </c>
      <c r="C240">
        <v>44.32</v>
      </c>
      <c r="D240">
        <v>43.86</v>
      </c>
      <c r="E240">
        <v>44.06</v>
      </c>
      <c r="F240">
        <v>1947397</v>
      </c>
    </row>
    <row r="241" spans="1:6">
      <c r="A241" s="39">
        <v>42492</v>
      </c>
      <c r="B241">
        <v>44.41</v>
      </c>
      <c r="C241">
        <v>44.41</v>
      </c>
      <c r="D241">
        <v>44.16</v>
      </c>
      <c r="E241">
        <v>44.34</v>
      </c>
      <c r="F241">
        <v>1454642</v>
      </c>
    </row>
    <row r="242" spans="1:6">
      <c r="A242" s="39">
        <v>42493</v>
      </c>
      <c r="B242">
        <v>43.85</v>
      </c>
      <c r="C242">
        <v>43.85</v>
      </c>
      <c r="D242">
        <v>43.46</v>
      </c>
      <c r="E242">
        <v>43.5</v>
      </c>
      <c r="F242">
        <v>2597947</v>
      </c>
    </row>
    <row r="243" spans="1:6">
      <c r="A243" s="39">
        <v>42494</v>
      </c>
      <c r="B243">
        <v>43.23</v>
      </c>
      <c r="C243">
        <v>43.24</v>
      </c>
      <c r="D243">
        <v>42.9</v>
      </c>
      <c r="E243">
        <v>42.99</v>
      </c>
      <c r="F243">
        <v>2319167</v>
      </c>
    </row>
    <row r="244" spans="1:6">
      <c r="A244" s="39">
        <v>42495</v>
      </c>
      <c r="B244">
        <v>43.08</v>
      </c>
      <c r="C244">
        <v>43.18</v>
      </c>
      <c r="D244">
        <v>42.82</v>
      </c>
      <c r="E244">
        <v>42.94</v>
      </c>
      <c r="F244">
        <v>2760151</v>
      </c>
    </row>
    <row r="245" spans="1:6">
      <c r="A245" s="39">
        <v>42496</v>
      </c>
      <c r="B245">
        <v>42.72</v>
      </c>
      <c r="C245">
        <v>43.07</v>
      </c>
      <c r="D245">
        <v>42.69</v>
      </c>
      <c r="E245">
        <v>43.04</v>
      </c>
      <c r="F245">
        <v>2055000</v>
      </c>
    </row>
    <row r="246" spans="1:6">
      <c r="A246" s="39">
        <v>42499</v>
      </c>
      <c r="B246">
        <v>43.03</v>
      </c>
      <c r="C246">
        <v>43.11</v>
      </c>
      <c r="D246">
        <v>42.77</v>
      </c>
      <c r="E246">
        <v>42.83</v>
      </c>
      <c r="F246">
        <v>1304872</v>
      </c>
    </row>
    <row r="247" spans="1:6">
      <c r="A247" s="39">
        <v>42500</v>
      </c>
      <c r="B247">
        <v>43.22</v>
      </c>
      <c r="C247">
        <v>43.54</v>
      </c>
      <c r="D247">
        <v>43.17</v>
      </c>
      <c r="E247">
        <v>43.54</v>
      </c>
      <c r="F247">
        <v>1731492</v>
      </c>
    </row>
    <row r="248" spans="1:6">
      <c r="A248" s="39">
        <v>42501</v>
      </c>
      <c r="B248">
        <v>43.27</v>
      </c>
      <c r="C248">
        <v>43.46</v>
      </c>
      <c r="D248">
        <v>43.21</v>
      </c>
      <c r="E248">
        <v>43.24</v>
      </c>
      <c r="F248">
        <v>1323113</v>
      </c>
    </row>
    <row r="249" spans="1:6">
      <c r="A249" s="39">
        <v>42502</v>
      </c>
      <c r="B249">
        <v>43.53</v>
      </c>
      <c r="C249">
        <v>43.57</v>
      </c>
      <c r="D249">
        <v>42.99</v>
      </c>
      <c r="E249">
        <v>43.19</v>
      </c>
      <c r="F249">
        <v>1901359</v>
      </c>
    </row>
    <row r="250" spans="1:6">
      <c r="A250" s="39">
        <v>42503</v>
      </c>
      <c r="B250">
        <v>42.86</v>
      </c>
      <c r="C250">
        <v>43</v>
      </c>
      <c r="D250">
        <v>42.56</v>
      </c>
      <c r="E250">
        <v>42.62</v>
      </c>
      <c r="F250">
        <v>1734377</v>
      </c>
    </row>
    <row r="251" spans="1:6">
      <c r="A251" s="39">
        <v>42506</v>
      </c>
      <c r="B251">
        <v>42.86</v>
      </c>
      <c r="C251">
        <v>43.22</v>
      </c>
      <c r="D251">
        <v>42.86</v>
      </c>
      <c r="E251">
        <v>43.17</v>
      </c>
      <c r="F251">
        <v>1628634</v>
      </c>
    </row>
    <row r="252" spans="1:6">
      <c r="A252" s="39">
        <v>42507</v>
      </c>
      <c r="B252">
        <v>43.11</v>
      </c>
      <c r="C252">
        <v>43.22</v>
      </c>
      <c r="D252">
        <v>42.82</v>
      </c>
      <c r="E252">
        <v>42.91</v>
      </c>
      <c r="F252">
        <v>2621812</v>
      </c>
    </row>
    <row r="253" spans="1:6">
      <c r="A253" s="39">
        <v>42508</v>
      </c>
      <c r="B253">
        <v>42.88</v>
      </c>
      <c r="C253">
        <v>43.3</v>
      </c>
      <c r="D253">
        <v>42.68</v>
      </c>
      <c r="E253">
        <v>42.83</v>
      </c>
      <c r="F253">
        <v>2094079</v>
      </c>
    </row>
    <row r="254" spans="1:6">
      <c r="A254" s="39">
        <v>42509</v>
      </c>
      <c r="B254">
        <v>42.57</v>
      </c>
      <c r="C254">
        <v>42.6</v>
      </c>
      <c r="D254">
        <v>42.33</v>
      </c>
      <c r="E254">
        <v>42.53</v>
      </c>
      <c r="F254">
        <v>2258219</v>
      </c>
    </row>
    <row r="255" spans="1:6">
      <c r="A255" s="39">
        <v>42510</v>
      </c>
      <c r="B255">
        <v>42.84</v>
      </c>
      <c r="C255">
        <v>42.95</v>
      </c>
      <c r="D255">
        <v>42.78</v>
      </c>
      <c r="E255">
        <v>42.87</v>
      </c>
      <c r="F255">
        <v>911981</v>
      </c>
    </row>
    <row r="256" spans="1:6">
      <c r="A256" s="39">
        <v>42513</v>
      </c>
      <c r="B256">
        <v>42.72</v>
      </c>
      <c r="C256">
        <v>42.85</v>
      </c>
      <c r="D256">
        <v>42.66</v>
      </c>
      <c r="E256">
        <v>42.75</v>
      </c>
      <c r="F256">
        <v>1061851</v>
      </c>
    </row>
    <row r="257" spans="1:6">
      <c r="A257" s="39">
        <v>42514</v>
      </c>
      <c r="B257">
        <v>43</v>
      </c>
      <c r="C257">
        <v>43.38</v>
      </c>
      <c r="D257">
        <v>42.98</v>
      </c>
      <c r="E257">
        <v>43.33</v>
      </c>
      <c r="F257">
        <v>1773919</v>
      </c>
    </row>
    <row r="258" spans="1:6">
      <c r="A258" s="39">
        <v>42515</v>
      </c>
      <c r="B258">
        <v>43.6</v>
      </c>
      <c r="C258">
        <v>43.83</v>
      </c>
      <c r="D258">
        <v>43.57</v>
      </c>
      <c r="E258">
        <v>43.73</v>
      </c>
      <c r="F258">
        <v>1773786</v>
      </c>
    </row>
    <row r="259" spans="1:6">
      <c r="A259" s="39">
        <v>42516</v>
      </c>
      <c r="B259">
        <v>43.91</v>
      </c>
      <c r="C259">
        <v>43.99</v>
      </c>
      <c r="D259">
        <v>43.79</v>
      </c>
      <c r="E259">
        <v>43.88</v>
      </c>
      <c r="F259">
        <v>2196677</v>
      </c>
    </row>
    <row r="260" spans="1:6">
      <c r="A260" s="39">
        <v>42517</v>
      </c>
      <c r="B260">
        <v>43.85</v>
      </c>
      <c r="C260">
        <v>43.92</v>
      </c>
      <c r="D260">
        <v>43.74</v>
      </c>
      <c r="E260">
        <v>43.82</v>
      </c>
      <c r="F260">
        <v>923130</v>
      </c>
    </row>
    <row r="261" spans="1:6">
      <c r="A261" s="39">
        <v>42521</v>
      </c>
      <c r="B261">
        <v>43.96</v>
      </c>
      <c r="C261">
        <v>44.07</v>
      </c>
      <c r="D261">
        <v>43.59</v>
      </c>
      <c r="E261">
        <v>43.71</v>
      </c>
      <c r="F261">
        <v>2318254</v>
      </c>
    </row>
    <row r="262" spans="1:6">
      <c r="A262" s="39">
        <v>42522</v>
      </c>
      <c r="B262">
        <v>43.41</v>
      </c>
      <c r="C262">
        <v>43.7</v>
      </c>
      <c r="D262">
        <v>43.39</v>
      </c>
      <c r="E262">
        <v>43.68</v>
      </c>
      <c r="F262">
        <v>2616284</v>
      </c>
    </row>
    <row r="263" spans="1:6">
      <c r="A263" s="39">
        <v>42523</v>
      </c>
      <c r="B263">
        <v>43.46</v>
      </c>
      <c r="C263">
        <v>43.74</v>
      </c>
      <c r="D263">
        <v>43.4</v>
      </c>
      <c r="E263">
        <v>43.72</v>
      </c>
      <c r="F263">
        <v>2235658</v>
      </c>
    </row>
    <row r="264" spans="1:6">
      <c r="A264" s="39">
        <v>42524</v>
      </c>
      <c r="B264">
        <v>43.9</v>
      </c>
      <c r="C264">
        <v>44.12</v>
      </c>
      <c r="D264">
        <v>43.74</v>
      </c>
      <c r="E264">
        <v>44.11</v>
      </c>
      <c r="F264">
        <v>1445172</v>
      </c>
    </row>
    <row r="265" spans="1:6">
      <c r="A265" s="39">
        <v>42527</v>
      </c>
      <c r="B265">
        <v>44.25</v>
      </c>
      <c r="C265">
        <v>44.51</v>
      </c>
      <c r="D265">
        <v>44.25</v>
      </c>
      <c r="E265">
        <v>44.43</v>
      </c>
      <c r="F265">
        <v>1831238</v>
      </c>
    </row>
    <row r="266" spans="1:6">
      <c r="A266" s="39">
        <v>42528</v>
      </c>
      <c r="B266">
        <v>44.76</v>
      </c>
      <c r="C266">
        <v>44.9</v>
      </c>
      <c r="D266">
        <v>44.74</v>
      </c>
      <c r="E266">
        <v>44.8</v>
      </c>
      <c r="F266">
        <v>1704999</v>
      </c>
    </row>
    <row r="267" spans="1:6">
      <c r="A267" s="39">
        <v>42529</v>
      </c>
      <c r="B267">
        <v>44.97</v>
      </c>
      <c r="C267">
        <v>45.09</v>
      </c>
      <c r="D267">
        <v>44.91</v>
      </c>
      <c r="E267">
        <v>44.99</v>
      </c>
      <c r="F267">
        <v>1207850</v>
      </c>
    </row>
    <row r="268" spans="1:6">
      <c r="A268" s="39">
        <v>42530</v>
      </c>
      <c r="B268">
        <v>44.45</v>
      </c>
      <c r="C268">
        <v>44.51</v>
      </c>
      <c r="D268">
        <v>44.27</v>
      </c>
      <c r="E268">
        <v>44.38</v>
      </c>
      <c r="F268">
        <v>2466351</v>
      </c>
    </row>
    <row r="269" spans="1:6">
      <c r="A269" s="39">
        <v>42531</v>
      </c>
      <c r="B269">
        <v>43.61</v>
      </c>
      <c r="C269">
        <v>43.61</v>
      </c>
      <c r="D269">
        <v>43.1</v>
      </c>
      <c r="E269">
        <v>43.23</v>
      </c>
      <c r="F269">
        <v>1826924</v>
      </c>
    </row>
    <row r="270" spans="1:6">
      <c r="A270" s="39">
        <v>42534</v>
      </c>
      <c r="B270">
        <v>42.71</v>
      </c>
      <c r="C270">
        <v>43.01</v>
      </c>
      <c r="D270">
        <v>42.53</v>
      </c>
      <c r="E270">
        <v>42.6</v>
      </c>
      <c r="F270">
        <v>3005248</v>
      </c>
    </row>
    <row r="271" spans="1:6">
      <c r="A271" s="39">
        <v>42535</v>
      </c>
      <c r="B271">
        <v>41.75</v>
      </c>
      <c r="C271">
        <v>41.84</v>
      </c>
      <c r="D271">
        <v>41.34</v>
      </c>
      <c r="E271">
        <v>41.56</v>
      </c>
      <c r="F271">
        <v>3031424</v>
      </c>
    </row>
    <row r="272" spans="1:6">
      <c r="A272" s="39">
        <v>42536</v>
      </c>
      <c r="B272">
        <v>41.91</v>
      </c>
      <c r="C272">
        <v>42.1</v>
      </c>
      <c r="D272">
        <v>41.78</v>
      </c>
      <c r="E272">
        <v>41.86</v>
      </c>
      <c r="F272">
        <v>2862186</v>
      </c>
    </row>
    <row r="273" spans="1:6">
      <c r="A273" s="39">
        <v>42537</v>
      </c>
      <c r="B273">
        <v>41.28</v>
      </c>
      <c r="C273">
        <v>41.88</v>
      </c>
      <c r="D273">
        <v>40.93</v>
      </c>
      <c r="E273">
        <v>41.86</v>
      </c>
      <c r="F273">
        <v>2308247</v>
      </c>
    </row>
    <row r="274" spans="1:6">
      <c r="A274" s="39">
        <v>42538</v>
      </c>
      <c r="B274">
        <v>42.04</v>
      </c>
      <c r="C274">
        <v>42.28</v>
      </c>
      <c r="D274">
        <v>41.81</v>
      </c>
      <c r="E274">
        <v>42.2</v>
      </c>
      <c r="F274">
        <v>2697294</v>
      </c>
    </row>
    <row r="275" spans="1:6">
      <c r="A275" s="39">
        <v>42541</v>
      </c>
      <c r="B275">
        <v>43.38</v>
      </c>
      <c r="C275">
        <v>43.43</v>
      </c>
      <c r="D275">
        <v>43.13</v>
      </c>
      <c r="E275">
        <v>43.14</v>
      </c>
      <c r="F275">
        <v>1648728</v>
      </c>
    </row>
    <row r="276" spans="1:6">
      <c r="A276" s="39">
        <v>42542</v>
      </c>
      <c r="B276">
        <v>43.44</v>
      </c>
      <c r="C276">
        <v>43.74</v>
      </c>
      <c r="D276">
        <v>43.27</v>
      </c>
      <c r="E276">
        <v>43.51</v>
      </c>
      <c r="F276">
        <v>1554073</v>
      </c>
    </row>
    <row r="277" spans="1:6">
      <c r="A277" s="39">
        <v>42543</v>
      </c>
      <c r="B277">
        <v>43.65</v>
      </c>
      <c r="C277">
        <v>43.87</v>
      </c>
      <c r="D277">
        <v>43.5</v>
      </c>
      <c r="E277">
        <v>43.5</v>
      </c>
      <c r="F277">
        <v>9720913</v>
      </c>
    </row>
    <row r="278" spans="1:6">
      <c r="A278" s="39">
        <v>42544</v>
      </c>
      <c r="B278">
        <v>44.32</v>
      </c>
      <c r="C278">
        <v>44.69</v>
      </c>
      <c r="D278">
        <v>44.09</v>
      </c>
      <c r="E278">
        <v>44.64</v>
      </c>
      <c r="F278">
        <v>2248900</v>
      </c>
    </row>
    <row r="279" spans="1:6">
      <c r="A279" s="39">
        <v>42545</v>
      </c>
      <c r="B279">
        <v>41.26</v>
      </c>
      <c r="C279">
        <v>42.19</v>
      </c>
      <c r="D279">
        <v>41.2</v>
      </c>
      <c r="E279">
        <v>41.22</v>
      </c>
      <c r="F279">
        <v>5920458</v>
      </c>
    </row>
    <row r="280" spans="1:6">
      <c r="A280" s="39">
        <v>42548</v>
      </c>
      <c r="B280">
        <v>40.75</v>
      </c>
      <c r="C280">
        <v>40.75</v>
      </c>
      <c r="D280">
        <v>39.96</v>
      </c>
      <c r="E280">
        <v>40.43</v>
      </c>
      <c r="F280">
        <v>5292412</v>
      </c>
    </row>
    <row r="281" spans="1:6">
      <c r="A281" s="39">
        <v>42549</v>
      </c>
      <c r="B281">
        <v>41.35</v>
      </c>
      <c r="C281">
        <v>41.52</v>
      </c>
      <c r="D281">
        <v>41.05</v>
      </c>
      <c r="E281">
        <v>41.49</v>
      </c>
      <c r="F281">
        <v>4884352</v>
      </c>
    </row>
    <row r="282" spans="1:6">
      <c r="A282" s="39">
        <v>42550</v>
      </c>
      <c r="B282">
        <v>42.11</v>
      </c>
      <c r="C282">
        <v>42.4</v>
      </c>
      <c r="D282">
        <v>42.06</v>
      </c>
      <c r="E282">
        <v>42.31</v>
      </c>
      <c r="F282">
        <v>2334794</v>
      </c>
    </row>
    <row r="283" spans="1:6">
      <c r="A283" s="39">
        <v>42551</v>
      </c>
      <c r="B283">
        <v>42.4</v>
      </c>
      <c r="C283">
        <v>42.87</v>
      </c>
      <c r="D283">
        <v>42.29</v>
      </c>
      <c r="E283">
        <v>42.85</v>
      </c>
      <c r="F283">
        <v>4357908</v>
      </c>
    </row>
    <row r="284" spans="1:6">
      <c r="A284" s="39">
        <v>42552</v>
      </c>
      <c r="B284">
        <v>42.93</v>
      </c>
      <c r="C284">
        <v>43.06</v>
      </c>
      <c r="D284">
        <v>42.88</v>
      </c>
      <c r="E284">
        <v>42.98</v>
      </c>
      <c r="F284">
        <v>2173047</v>
      </c>
    </row>
    <row r="285" spans="1:6">
      <c r="A285" s="39">
        <v>42556</v>
      </c>
      <c r="B285">
        <v>42.5</v>
      </c>
      <c r="C285">
        <v>42.5</v>
      </c>
      <c r="D285">
        <v>42.06</v>
      </c>
      <c r="E285">
        <v>42.15</v>
      </c>
      <c r="F285">
        <v>1442208</v>
      </c>
    </row>
    <row r="286" spans="1:6">
      <c r="A286" s="39">
        <v>42557</v>
      </c>
      <c r="B286">
        <v>41.71</v>
      </c>
      <c r="C286">
        <v>42.1</v>
      </c>
      <c r="D286">
        <v>41.46</v>
      </c>
      <c r="E286">
        <v>42.08</v>
      </c>
      <c r="F286">
        <v>2238478</v>
      </c>
    </row>
    <row r="287" spans="1:6">
      <c r="A287" s="39">
        <v>42558</v>
      </c>
      <c r="B287">
        <v>42.19</v>
      </c>
      <c r="C287">
        <v>42.34</v>
      </c>
      <c r="D287">
        <v>41.8</v>
      </c>
      <c r="E287">
        <v>41.94</v>
      </c>
      <c r="F287">
        <v>1568444</v>
      </c>
    </row>
    <row r="288" spans="1:6">
      <c r="A288" s="39">
        <v>42559</v>
      </c>
      <c r="B288">
        <v>42.36</v>
      </c>
      <c r="C288">
        <v>42.65</v>
      </c>
      <c r="D288">
        <v>42.33</v>
      </c>
      <c r="E288">
        <v>42.62</v>
      </c>
      <c r="F288">
        <v>2148931</v>
      </c>
    </row>
    <row r="289" spans="1:6">
      <c r="A289" s="39">
        <v>42562</v>
      </c>
      <c r="B289">
        <v>43.06</v>
      </c>
      <c r="C289">
        <v>43.32</v>
      </c>
      <c r="D289">
        <v>43.06</v>
      </c>
      <c r="E289">
        <v>43.19</v>
      </c>
      <c r="F289">
        <v>1603229</v>
      </c>
    </row>
    <row r="290" spans="1:6">
      <c r="A290" s="39">
        <v>42563</v>
      </c>
      <c r="B290">
        <v>43.7</v>
      </c>
      <c r="C290">
        <v>43.94</v>
      </c>
      <c r="D290">
        <v>43.68</v>
      </c>
      <c r="E290">
        <v>43.78</v>
      </c>
      <c r="F290">
        <v>1947337</v>
      </c>
    </row>
    <row r="291" spans="1:6">
      <c r="A291" s="39">
        <v>42564</v>
      </c>
      <c r="B291">
        <v>43.85</v>
      </c>
      <c r="C291">
        <v>43.91</v>
      </c>
      <c r="D291">
        <v>43.61</v>
      </c>
      <c r="E291">
        <v>43.72</v>
      </c>
      <c r="F291">
        <v>2579122</v>
      </c>
    </row>
    <row r="292" spans="1:6">
      <c r="A292" s="39">
        <v>42565</v>
      </c>
      <c r="B292">
        <v>44.08</v>
      </c>
      <c r="C292">
        <v>44.22</v>
      </c>
      <c r="D292">
        <v>44.03</v>
      </c>
      <c r="E292">
        <v>44.14</v>
      </c>
      <c r="F292">
        <v>2010907</v>
      </c>
    </row>
    <row r="293" spans="1:6">
      <c r="A293" s="39">
        <v>42566</v>
      </c>
      <c r="B293">
        <v>44.05</v>
      </c>
      <c r="C293">
        <v>44.05</v>
      </c>
      <c r="D293">
        <v>43.83</v>
      </c>
      <c r="E293">
        <v>43.92</v>
      </c>
      <c r="F293">
        <v>1608282</v>
      </c>
    </row>
    <row r="294" spans="1:6">
      <c r="A294" s="39">
        <v>42569</v>
      </c>
      <c r="B294">
        <v>43.92</v>
      </c>
      <c r="C294">
        <v>44.13</v>
      </c>
      <c r="D294">
        <v>43.83</v>
      </c>
      <c r="E294">
        <v>44.1</v>
      </c>
      <c r="F294">
        <v>1769467</v>
      </c>
    </row>
    <row r="295" spans="1:6">
      <c r="A295" s="39">
        <v>42570</v>
      </c>
      <c r="B295">
        <v>43.79</v>
      </c>
      <c r="C295">
        <v>43.82</v>
      </c>
      <c r="D295">
        <v>43.62</v>
      </c>
      <c r="E295">
        <v>43.69</v>
      </c>
      <c r="F295">
        <v>888961</v>
      </c>
    </row>
    <row r="296" spans="1:6">
      <c r="A296" s="39">
        <v>42571</v>
      </c>
      <c r="B296">
        <v>43.92</v>
      </c>
      <c r="C296">
        <v>44.11</v>
      </c>
      <c r="D296">
        <v>43.86</v>
      </c>
      <c r="E296">
        <v>44.04</v>
      </c>
      <c r="F296">
        <v>1356446</v>
      </c>
    </row>
    <row r="297" spans="1:6">
      <c r="A297" s="39">
        <v>42572</v>
      </c>
      <c r="B297">
        <v>43.97</v>
      </c>
      <c r="C297">
        <v>44.12</v>
      </c>
      <c r="D297">
        <v>43.85</v>
      </c>
      <c r="E297">
        <v>43.94</v>
      </c>
      <c r="F297">
        <v>2575450</v>
      </c>
    </row>
    <row r="298" spans="1:6">
      <c r="A298" s="39">
        <v>42573</v>
      </c>
      <c r="B298">
        <v>44.03</v>
      </c>
      <c r="C298">
        <v>44.03</v>
      </c>
      <c r="D298">
        <v>43.88</v>
      </c>
      <c r="E298">
        <v>43.98</v>
      </c>
      <c r="F298">
        <v>1573884</v>
      </c>
    </row>
    <row r="299" spans="1:6">
      <c r="A299" s="39">
        <v>42576</v>
      </c>
      <c r="B299">
        <v>44.04</v>
      </c>
      <c r="C299">
        <v>44.05</v>
      </c>
      <c r="D299">
        <v>43.81</v>
      </c>
      <c r="E299">
        <v>43.9</v>
      </c>
      <c r="F299">
        <v>940022</v>
      </c>
    </row>
    <row r="300" spans="1:6">
      <c r="A300" s="39">
        <v>42577</v>
      </c>
      <c r="B300">
        <v>44.03</v>
      </c>
      <c r="C300">
        <v>44.2</v>
      </c>
      <c r="D300">
        <v>43.92</v>
      </c>
      <c r="E300">
        <v>44.07</v>
      </c>
      <c r="F300">
        <v>1336952</v>
      </c>
    </row>
    <row r="301" spans="1:6">
      <c r="A301" s="39">
        <v>42578</v>
      </c>
      <c r="B301">
        <v>44.27</v>
      </c>
      <c r="C301">
        <v>44.36</v>
      </c>
      <c r="D301">
        <v>43.91</v>
      </c>
      <c r="E301">
        <v>44.27</v>
      </c>
      <c r="F301">
        <v>1710151</v>
      </c>
    </row>
    <row r="302" spans="1:6">
      <c r="A302" s="39">
        <v>42579</v>
      </c>
      <c r="B302">
        <v>44.23</v>
      </c>
      <c r="C302">
        <v>44.26</v>
      </c>
      <c r="D302">
        <v>44</v>
      </c>
      <c r="E302">
        <v>44.22</v>
      </c>
      <c r="F302">
        <v>783179</v>
      </c>
    </row>
    <row r="303" spans="1:6">
      <c r="A303" s="39">
        <v>42580</v>
      </c>
      <c r="B303">
        <v>44.47</v>
      </c>
      <c r="C303">
        <v>44.72</v>
      </c>
      <c r="D303">
        <v>44.38</v>
      </c>
      <c r="E303">
        <v>44.67</v>
      </c>
      <c r="F303">
        <v>1787230</v>
      </c>
    </row>
    <row r="304" spans="1:6">
      <c r="A304" s="39">
        <v>42583</v>
      </c>
      <c r="B304">
        <v>44.62</v>
      </c>
      <c r="C304">
        <v>44.68</v>
      </c>
      <c r="D304">
        <v>44.38</v>
      </c>
      <c r="E304">
        <v>44.44</v>
      </c>
      <c r="F304">
        <v>2300358</v>
      </c>
    </row>
    <row r="305" spans="1:6">
      <c r="A305" s="39">
        <v>42584</v>
      </c>
      <c r="B305">
        <v>44.36</v>
      </c>
      <c r="C305">
        <v>44.42</v>
      </c>
      <c r="D305">
        <v>44.02</v>
      </c>
      <c r="E305">
        <v>44.19</v>
      </c>
      <c r="F305">
        <v>2471107</v>
      </c>
    </row>
    <row r="306" spans="1:6">
      <c r="A306" s="39">
        <v>42585</v>
      </c>
      <c r="B306">
        <v>43.87</v>
      </c>
      <c r="C306">
        <v>44.13</v>
      </c>
      <c r="D306">
        <v>43.82</v>
      </c>
      <c r="E306">
        <v>44.12</v>
      </c>
      <c r="F306">
        <v>1514074</v>
      </c>
    </row>
    <row r="307" spans="1:6">
      <c r="A307" s="39">
        <v>42586</v>
      </c>
      <c r="B307">
        <v>44.26</v>
      </c>
      <c r="C307">
        <v>44.4</v>
      </c>
      <c r="D307">
        <v>44.16</v>
      </c>
      <c r="E307">
        <v>44.36</v>
      </c>
      <c r="F307">
        <v>953298</v>
      </c>
    </row>
    <row r="308" spans="1:6">
      <c r="A308" s="39">
        <v>42587</v>
      </c>
      <c r="B308">
        <v>44.39</v>
      </c>
      <c r="C308">
        <v>44.63</v>
      </c>
      <c r="D308">
        <v>44.39</v>
      </c>
      <c r="E308">
        <v>44.54</v>
      </c>
      <c r="F308">
        <v>4728053</v>
      </c>
    </row>
    <row r="309" spans="1:6">
      <c r="A309" s="39">
        <v>42590</v>
      </c>
      <c r="B309">
        <v>44.72</v>
      </c>
      <c r="C309">
        <v>44.81</v>
      </c>
      <c r="D309">
        <v>44.69</v>
      </c>
      <c r="E309">
        <v>44.77</v>
      </c>
      <c r="F309">
        <v>766695</v>
      </c>
    </row>
    <row r="310" spans="1:6">
      <c r="A310" s="39">
        <v>42591</v>
      </c>
      <c r="B310">
        <v>44.95</v>
      </c>
      <c r="C310">
        <v>45.24</v>
      </c>
      <c r="D310">
        <v>44.95</v>
      </c>
      <c r="E310">
        <v>45.15</v>
      </c>
      <c r="F310">
        <v>1253065</v>
      </c>
    </row>
    <row r="311" spans="1:6">
      <c r="A311" s="39">
        <v>42592</v>
      </c>
      <c r="B311">
        <v>45.39</v>
      </c>
      <c r="C311">
        <v>45.4</v>
      </c>
      <c r="D311">
        <v>45.2</v>
      </c>
      <c r="E311">
        <v>45.24</v>
      </c>
      <c r="F311">
        <v>1427508</v>
      </c>
    </row>
    <row r="312" spans="1:6">
      <c r="A312" s="39">
        <v>42593</v>
      </c>
      <c r="B312">
        <v>45.47</v>
      </c>
      <c r="C312">
        <v>45.68</v>
      </c>
      <c r="D312">
        <v>45.42</v>
      </c>
      <c r="E312">
        <v>45.63</v>
      </c>
      <c r="F312">
        <v>1635592</v>
      </c>
    </row>
    <row r="313" spans="1:6">
      <c r="A313" s="39">
        <v>42594</v>
      </c>
      <c r="B313">
        <v>45.66</v>
      </c>
      <c r="C313">
        <v>45.69</v>
      </c>
      <c r="D313">
        <v>45.44</v>
      </c>
      <c r="E313">
        <v>45.49</v>
      </c>
      <c r="F313">
        <v>1405989</v>
      </c>
    </row>
    <row r="314" spans="1:6">
      <c r="A314" s="39">
        <v>42597</v>
      </c>
      <c r="B314">
        <v>45.65</v>
      </c>
      <c r="C314">
        <v>45.85</v>
      </c>
      <c r="D314">
        <v>45.65</v>
      </c>
      <c r="E314">
        <v>45.76</v>
      </c>
      <c r="F314">
        <v>1281773</v>
      </c>
    </row>
    <row r="315" spans="1:6">
      <c r="A315" s="39">
        <v>42598</v>
      </c>
      <c r="B315">
        <v>45.71</v>
      </c>
      <c r="C315">
        <v>45.75</v>
      </c>
      <c r="D315">
        <v>45.58</v>
      </c>
      <c r="E315">
        <v>45.62</v>
      </c>
      <c r="F315">
        <v>1239076</v>
      </c>
    </row>
    <row r="316" spans="1:6">
      <c r="A316" s="39">
        <v>42599</v>
      </c>
      <c r="B316">
        <v>45.5</v>
      </c>
      <c r="C316">
        <v>45.7</v>
      </c>
      <c r="D316">
        <v>45.28</v>
      </c>
      <c r="E316">
        <v>45.62</v>
      </c>
      <c r="F316">
        <v>1423663</v>
      </c>
    </row>
    <row r="317" spans="1:6">
      <c r="A317" s="39">
        <v>42600</v>
      </c>
      <c r="B317">
        <v>45.63</v>
      </c>
      <c r="C317">
        <v>45.84</v>
      </c>
      <c r="D317">
        <v>45.59</v>
      </c>
      <c r="E317">
        <v>45.83</v>
      </c>
      <c r="F317">
        <v>984472</v>
      </c>
    </row>
    <row r="318" spans="1:6">
      <c r="A318" s="39">
        <v>42601</v>
      </c>
      <c r="B318">
        <v>45.42</v>
      </c>
      <c r="C318">
        <v>45.56</v>
      </c>
      <c r="D318">
        <v>45.26</v>
      </c>
      <c r="E318">
        <v>45.54</v>
      </c>
      <c r="F318">
        <v>970778</v>
      </c>
    </row>
    <row r="319" spans="1:6">
      <c r="A319" s="39">
        <v>42604</v>
      </c>
      <c r="B319">
        <v>45.38</v>
      </c>
      <c r="C319">
        <v>45.49</v>
      </c>
      <c r="D319">
        <v>45.25</v>
      </c>
      <c r="E319">
        <v>45.45</v>
      </c>
      <c r="F319">
        <v>1076133</v>
      </c>
    </row>
    <row r="320" spans="1:6">
      <c r="A320" s="39">
        <v>42605</v>
      </c>
      <c r="B320">
        <v>45.77</v>
      </c>
      <c r="C320">
        <v>45.83</v>
      </c>
      <c r="D320">
        <v>45.57</v>
      </c>
      <c r="E320">
        <v>45.58</v>
      </c>
      <c r="F320">
        <v>2290080</v>
      </c>
    </row>
    <row r="321" spans="1:6">
      <c r="A321" s="39">
        <v>42606</v>
      </c>
      <c r="B321">
        <v>45.56</v>
      </c>
      <c r="C321">
        <v>45.64</v>
      </c>
      <c r="D321">
        <v>45.41</v>
      </c>
      <c r="E321">
        <v>45.45</v>
      </c>
      <c r="F321">
        <v>3919449</v>
      </c>
    </row>
    <row r="322" spans="1:6">
      <c r="A322" s="39">
        <v>42607</v>
      </c>
      <c r="B322">
        <v>45.36</v>
      </c>
      <c r="C322">
        <v>45.45</v>
      </c>
      <c r="D322">
        <v>45.31</v>
      </c>
      <c r="E322">
        <v>45.35</v>
      </c>
      <c r="F322">
        <v>1712494</v>
      </c>
    </row>
    <row r="323" spans="1:6">
      <c r="A323" s="39">
        <v>42608</v>
      </c>
      <c r="B323">
        <v>45.48</v>
      </c>
      <c r="C323">
        <v>45.83</v>
      </c>
      <c r="D323">
        <v>44.85</v>
      </c>
      <c r="E323">
        <v>45.05</v>
      </c>
      <c r="F323">
        <v>2744864</v>
      </c>
    </row>
    <row r="324" spans="1:6">
      <c r="A324" s="39">
        <v>42611</v>
      </c>
      <c r="B324">
        <v>45.02</v>
      </c>
      <c r="C324">
        <v>45.28</v>
      </c>
      <c r="D324">
        <v>45</v>
      </c>
      <c r="E324">
        <v>45.25</v>
      </c>
      <c r="F324">
        <v>1070061</v>
      </c>
    </row>
    <row r="325" spans="1:6">
      <c r="A325" s="39">
        <v>42612</v>
      </c>
      <c r="B325">
        <v>45.31</v>
      </c>
      <c r="C325">
        <v>45.36</v>
      </c>
      <c r="D325">
        <v>45.1</v>
      </c>
      <c r="E325">
        <v>45.17</v>
      </c>
      <c r="F325">
        <v>1139799</v>
      </c>
    </row>
    <row r="326" spans="1:6">
      <c r="A326" s="39">
        <v>42613</v>
      </c>
      <c r="B326">
        <v>45.13</v>
      </c>
      <c r="C326">
        <v>45.16</v>
      </c>
      <c r="D326">
        <v>44.83</v>
      </c>
      <c r="E326">
        <v>44.98</v>
      </c>
      <c r="F326">
        <v>1378912</v>
      </c>
    </row>
    <row r="327" spans="1:6">
      <c r="A327" s="39">
        <v>42614</v>
      </c>
      <c r="B327">
        <v>45.16</v>
      </c>
      <c r="C327">
        <v>45.31</v>
      </c>
      <c r="D327">
        <v>45.02</v>
      </c>
      <c r="E327">
        <v>45.31</v>
      </c>
      <c r="F327">
        <v>1705406</v>
      </c>
    </row>
    <row r="328" spans="1:6">
      <c r="A328" s="39">
        <v>42615</v>
      </c>
      <c r="B328">
        <v>45.71</v>
      </c>
      <c r="C328">
        <v>45.86</v>
      </c>
      <c r="D328">
        <v>45.6</v>
      </c>
      <c r="E328">
        <v>45.82</v>
      </c>
      <c r="F328">
        <v>1121924</v>
      </c>
    </row>
    <row r="329" spans="1:6">
      <c r="A329" s="39">
        <v>42619</v>
      </c>
      <c r="B329">
        <v>46.06</v>
      </c>
      <c r="C329">
        <v>46.29</v>
      </c>
      <c r="D329">
        <v>46.02</v>
      </c>
      <c r="E329">
        <v>46.29</v>
      </c>
      <c r="F329">
        <v>1376778</v>
      </c>
    </row>
    <row r="330" spans="1:6">
      <c r="A330" s="39">
        <v>42620</v>
      </c>
      <c r="B330">
        <v>46.45</v>
      </c>
      <c r="C330">
        <v>46.48</v>
      </c>
      <c r="D330">
        <v>46.22</v>
      </c>
      <c r="E330">
        <v>46.37</v>
      </c>
      <c r="F330">
        <v>2929678</v>
      </c>
    </row>
    <row r="331" spans="1:6">
      <c r="A331" s="39">
        <v>42621</v>
      </c>
      <c r="B331">
        <v>46.32</v>
      </c>
      <c r="C331">
        <v>46.4</v>
      </c>
      <c r="D331">
        <v>46.15</v>
      </c>
      <c r="E331">
        <v>46.22</v>
      </c>
      <c r="F331">
        <v>2511929</v>
      </c>
    </row>
    <row r="332" spans="1:6">
      <c r="A332" s="39">
        <v>42622</v>
      </c>
      <c r="B332">
        <v>45.81</v>
      </c>
      <c r="C332">
        <v>45.81</v>
      </c>
      <c r="D332">
        <v>45.17</v>
      </c>
      <c r="E332">
        <v>45.17</v>
      </c>
      <c r="F332">
        <v>2808637</v>
      </c>
    </row>
    <row r="333" spans="1:6">
      <c r="A333" s="39">
        <v>42625</v>
      </c>
      <c r="B333">
        <v>44.82</v>
      </c>
      <c r="C333">
        <v>45.59</v>
      </c>
      <c r="D333">
        <v>44.75</v>
      </c>
      <c r="E333">
        <v>45.56</v>
      </c>
      <c r="F333">
        <v>3385557</v>
      </c>
    </row>
    <row r="334" spans="1:6">
      <c r="A334" s="39">
        <v>42626</v>
      </c>
      <c r="B334">
        <v>44.68</v>
      </c>
      <c r="C334">
        <v>44.71</v>
      </c>
      <c r="D334">
        <v>44.08</v>
      </c>
      <c r="E334">
        <v>44.25</v>
      </c>
      <c r="F334">
        <v>3007788</v>
      </c>
    </row>
    <row r="335" spans="1:6">
      <c r="A335" s="39">
        <v>42627</v>
      </c>
      <c r="B335">
        <v>44.3</v>
      </c>
      <c r="C335">
        <v>44.54</v>
      </c>
      <c r="D335">
        <v>44.2</v>
      </c>
      <c r="E335">
        <v>44.27</v>
      </c>
      <c r="F335">
        <v>2684875</v>
      </c>
    </row>
    <row r="336" spans="1:6">
      <c r="A336" s="39">
        <v>42628</v>
      </c>
      <c r="B336">
        <v>44.33</v>
      </c>
      <c r="C336">
        <v>44.78</v>
      </c>
      <c r="D336">
        <v>44.22</v>
      </c>
      <c r="E336">
        <v>44.7</v>
      </c>
      <c r="F336">
        <v>3221709</v>
      </c>
    </row>
    <row r="337" spans="1:6">
      <c r="A337" s="39">
        <v>42629</v>
      </c>
      <c r="B337">
        <v>44.27</v>
      </c>
      <c r="C337">
        <v>44.28</v>
      </c>
      <c r="D337">
        <v>44.06</v>
      </c>
      <c r="E337">
        <v>44.17</v>
      </c>
      <c r="F337">
        <v>2221357</v>
      </c>
    </row>
    <row r="338" spans="1:6">
      <c r="A338" s="39">
        <v>42632</v>
      </c>
      <c r="B338">
        <v>44.64</v>
      </c>
      <c r="C338">
        <v>44.74</v>
      </c>
      <c r="D338">
        <v>44.43</v>
      </c>
      <c r="E338">
        <v>44.46</v>
      </c>
      <c r="F338">
        <v>2475717</v>
      </c>
    </row>
    <row r="339" spans="1:6">
      <c r="A339" s="39">
        <v>42633</v>
      </c>
      <c r="B339">
        <v>44.8</v>
      </c>
      <c r="C339">
        <v>44.87</v>
      </c>
      <c r="D339">
        <v>44.63</v>
      </c>
      <c r="E339">
        <v>44.69</v>
      </c>
      <c r="F339">
        <v>1816700</v>
      </c>
    </row>
    <row r="340" spans="1:6">
      <c r="A340" s="39">
        <v>42634</v>
      </c>
      <c r="B340">
        <v>45.12</v>
      </c>
      <c r="C340">
        <v>45.6</v>
      </c>
      <c r="D340">
        <v>44.96</v>
      </c>
      <c r="E340">
        <v>45.53</v>
      </c>
      <c r="F340">
        <v>2112401</v>
      </c>
    </row>
    <row r="341" spans="1:6">
      <c r="A341" s="39">
        <v>42635</v>
      </c>
      <c r="B341">
        <v>46.09</v>
      </c>
      <c r="C341">
        <v>46.24</v>
      </c>
      <c r="D341">
        <v>45.89</v>
      </c>
      <c r="E341">
        <v>45.97</v>
      </c>
      <c r="F341">
        <v>2494034</v>
      </c>
    </row>
    <row r="342" spans="1:6">
      <c r="A342" s="39">
        <v>42636</v>
      </c>
      <c r="B342">
        <v>45.56</v>
      </c>
      <c r="C342">
        <v>45.68</v>
      </c>
      <c r="D342">
        <v>45.47</v>
      </c>
      <c r="E342">
        <v>45.49</v>
      </c>
      <c r="F342">
        <v>2810567</v>
      </c>
    </row>
    <row r="343" spans="1:6">
      <c r="A343" s="39">
        <v>42639</v>
      </c>
      <c r="B343">
        <v>45.17</v>
      </c>
      <c r="C343">
        <v>45.19</v>
      </c>
      <c r="D343">
        <v>45.02</v>
      </c>
      <c r="E343">
        <v>45.04</v>
      </c>
      <c r="F343">
        <v>1352035</v>
      </c>
    </row>
    <row r="344" spans="1:6">
      <c r="A344" s="39">
        <v>42640</v>
      </c>
      <c r="B344">
        <v>45.01</v>
      </c>
      <c r="C344">
        <v>45.35</v>
      </c>
      <c r="D344">
        <v>44.92</v>
      </c>
      <c r="E344">
        <v>45.34</v>
      </c>
      <c r="F344">
        <v>1597698</v>
      </c>
    </row>
    <row r="345" spans="1:6">
      <c r="A345" s="39">
        <v>42641</v>
      </c>
      <c r="B345">
        <v>45.49</v>
      </c>
      <c r="C345">
        <v>45.74</v>
      </c>
      <c r="D345">
        <v>45.18</v>
      </c>
      <c r="E345">
        <v>45.73</v>
      </c>
      <c r="F345">
        <v>1740475</v>
      </c>
    </row>
    <row r="346" spans="1:6">
      <c r="A346" s="39">
        <v>42642</v>
      </c>
      <c r="B346">
        <v>45.59</v>
      </c>
      <c r="C346">
        <v>45.7</v>
      </c>
      <c r="D346">
        <v>45.02</v>
      </c>
      <c r="E346">
        <v>45.16</v>
      </c>
      <c r="F346">
        <v>1768688</v>
      </c>
    </row>
    <row r="347" spans="1:6">
      <c r="A347" s="39">
        <v>42643</v>
      </c>
      <c r="B347">
        <v>45.25</v>
      </c>
      <c r="C347">
        <v>45.55</v>
      </c>
      <c r="D347">
        <v>45.18</v>
      </c>
      <c r="E347">
        <v>45.43</v>
      </c>
      <c r="F347">
        <v>2118258</v>
      </c>
    </row>
    <row r="348" spans="1:6">
      <c r="A348" s="39">
        <v>42646</v>
      </c>
      <c r="B348">
        <v>45.4</v>
      </c>
      <c r="C348">
        <v>45.48</v>
      </c>
      <c r="D348">
        <v>45.27</v>
      </c>
      <c r="E348">
        <v>45.44</v>
      </c>
      <c r="F348">
        <v>1485400</v>
      </c>
    </row>
    <row r="349" spans="1:6">
      <c r="A349" s="39">
        <v>42647</v>
      </c>
      <c r="B349">
        <v>45.56</v>
      </c>
      <c r="C349">
        <v>45.65</v>
      </c>
      <c r="D349">
        <v>45.12</v>
      </c>
      <c r="E349">
        <v>45.26</v>
      </c>
      <c r="F349">
        <v>2097814</v>
      </c>
    </row>
    <row r="350" spans="1:6">
      <c r="A350" s="39">
        <v>42648</v>
      </c>
      <c r="B350">
        <v>45.53</v>
      </c>
      <c r="C350">
        <v>45.64</v>
      </c>
      <c r="D350">
        <v>45.42</v>
      </c>
      <c r="E350">
        <v>45.59</v>
      </c>
      <c r="F350">
        <v>1412175</v>
      </c>
    </row>
    <row r="351" spans="1:6">
      <c r="A351" s="39">
        <v>42649</v>
      </c>
      <c r="B351">
        <v>45.36</v>
      </c>
      <c r="C351">
        <v>45.42</v>
      </c>
      <c r="D351">
        <v>45.22</v>
      </c>
      <c r="E351">
        <v>45.4</v>
      </c>
      <c r="F351">
        <v>1181720</v>
      </c>
    </row>
    <row r="352" spans="1:6">
      <c r="A352" s="39">
        <v>42650</v>
      </c>
      <c r="B352">
        <v>45.28</v>
      </c>
      <c r="C352">
        <v>45.28</v>
      </c>
      <c r="D352">
        <v>44.82</v>
      </c>
      <c r="E352">
        <v>45.14</v>
      </c>
      <c r="F352">
        <v>2380406</v>
      </c>
    </row>
    <row r="353" spans="1:6">
      <c r="A353" s="39">
        <v>42653</v>
      </c>
      <c r="B353">
        <v>45.24</v>
      </c>
      <c r="C353">
        <v>45.47</v>
      </c>
      <c r="D353">
        <v>45.24</v>
      </c>
      <c r="E353">
        <v>45.34</v>
      </c>
      <c r="F353">
        <v>698358</v>
      </c>
    </row>
    <row r="354" spans="1:6">
      <c r="A354" s="39">
        <v>42654</v>
      </c>
      <c r="B354">
        <v>45.05</v>
      </c>
      <c r="C354">
        <v>45.05</v>
      </c>
      <c r="D354">
        <v>44.5</v>
      </c>
      <c r="E354">
        <v>44.64</v>
      </c>
      <c r="F354">
        <v>1412356</v>
      </c>
    </row>
    <row r="355" spans="1:6">
      <c r="A355" s="39">
        <v>42655</v>
      </c>
      <c r="B355">
        <v>44.58</v>
      </c>
      <c r="C355">
        <v>44.7</v>
      </c>
      <c r="D355">
        <v>44.46</v>
      </c>
      <c r="E355">
        <v>44.61</v>
      </c>
      <c r="F355">
        <v>1574044</v>
      </c>
    </row>
    <row r="356" spans="1:6">
      <c r="A356" s="39">
        <v>42656</v>
      </c>
      <c r="B356">
        <v>44.11</v>
      </c>
      <c r="C356">
        <v>44.48</v>
      </c>
      <c r="D356">
        <v>43.92</v>
      </c>
      <c r="E356">
        <v>44.37</v>
      </c>
      <c r="F356">
        <v>1775091</v>
      </c>
    </row>
    <row r="357" spans="1:6">
      <c r="A357" s="39">
        <v>42657</v>
      </c>
      <c r="B357">
        <v>44.68</v>
      </c>
      <c r="C357">
        <v>44.8</v>
      </c>
      <c r="D357">
        <v>44.46</v>
      </c>
      <c r="E357">
        <v>44.46</v>
      </c>
      <c r="F357">
        <v>1499917</v>
      </c>
    </row>
    <row r="358" spans="1:6">
      <c r="A358" s="39">
        <v>42660</v>
      </c>
      <c r="B358">
        <v>44.43</v>
      </c>
      <c r="C358">
        <v>44.51</v>
      </c>
      <c r="D358">
        <v>44.34</v>
      </c>
      <c r="E358">
        <v>44.38</v>
      </c>
      <c r="F358">
        <v>1394094</v>
      </c>
    </row>
    <row r="359" spans="1:6">
      <c r="A359" s="39">
        <v>42661</v>
      </c>
      <c r="B359">
        <v>44.97</v>
      </c>
      <c r="C359">
        <v>45</v>
      </c>
      <c r="D359">
        <v>44.81</v>
      </c>
      <c r="E359">
        <v>44.92</v>
      </c>
      <c r="F359">
        <v>2198344</v>
      </c>
    </row>
    <row r="360" spans="1:6">
      <c r="A360" s="39">
        <v>42662</v>
      </c>
      <c r="B360">
        <v>44.98</v>
      </c>
      <c r="C360">
        <v>45.16</v>
      </c>
      <c r="D360">
        <v>44.96</v>
      </c>
      <c r="E360">
        <v>45.08</v>
      </c>
      <c r="F360">
        <v>809848</v>
      </c>
    </row>
    <row r="361" spans="1:6">
      <c r="A361" s="39">
        <v>42663</v>
      </c>
      <c r="B361">
        <v>44.99</v>
      </c>
      <c r="C361">
        <v>45.19</v>
      </c>
      <c r="D361">
        <v>44.93</v>
      </c>
      <c r="E361">
        <v>45.09</v>
      </c>
      <c r="F361">
        <v>1115053</v>
      </c>
    </row>
    <row r="362" spans="1:6">
      <c r="A362" s="39">
        <v>42664</v>
      </c>
      <c r="B362">
        <v>44.79</v>
      </c>
      <c r="C362">
        <v>45.01</v>
      </c>
      <c r="D362">
        <v>44.73</v>
      </c>
      <c r="E362">
        <v>45</v>
      </c>
      <c r="F362">
        <v>1111500</v>
      </c>
    </row>
    <row r="363" spans="1:6">
      <c r="A363" s="39">
        <v>42667</v>
      </c>
      <c r="B363">
        <v>45.16</v>
      </c>
      <c r="C363">
        <v>45.19</v>
      </c>
      <c r="D363">
        <v>44.94</v>
      </c>
      <c r="E363">
        <v>45.03</v>
      </c>
      <c r="F363">
        <v>1353283</v>
      </c>
    </row>
    <row r="364" spans="1:6">
      <c r="A364" s="39">
        <v>42668</v>
      </c>
      <c r="B364">
        <v>44.98</v>
      </c>
      <c r="C364">
        <v>45.06</v>
      </c>
      <c r="D364">
        <v>44.86</v>
      </c>
      <c r="E364">
        <v>45</v>
      </c>
      <c r="F364">
        <v>1200348</v>
      </c>
    </row>
    <row r="365" spans="1:6">
      <c r="A365" s="39">
        <v>42669</v>
      </c>
      <c r="B365">
        <v>44.77</v>
      </c>
      <c r="C365">
        <v>44.9</v>
      </c>
      <c r="D365">
        <v>44.65</v>
      </c>
      <c r="E365">
        <v>44.72</v>
      </c>
      <c r="F365">
        <v>1150457</v>
      </c>
    </row>
    <row r="366" spans="1:6">
      <c r="A366" s="39">
        <v>42670</v>
      </c>
      <c r="B366">
        <v>44.89</v>
      </c>
      <c r="C366">
        <v>44.89</v>
      </c>
      <c r="D366">
        <v>44.65</v>
      </c>
      <c r="E366">
        <v>44.68</v>
      </c>
      <c r="F366">
        <v>1539171</v>
      </c>
    </row>
    <row r="367" spans="1:6">
      <c r="A367" s="39">
        <v>42671</v>
      </c>
      <c r="B367">
        <v>44.63</v>
      </c>
      <c r="C367">
        <v>44.75</v>
      </c>
      <c r="D367">
        <v>44.48</v>
      </c>
      <c r="E367">
        <v>44.6</v>
      </c>
      <c r="F367">
        <v>3357382</v>
      </c>
    </row>
    <row r="368" spans="1:6">
      <c r="A368" s="39">
        <v>42674</v>
      </c>
      <c r="B368">
        <v>44.62</v>
      </c>
      <c r="C368">
        <v>44.74</v>
      </c>
      <c r="D368">
        <v>44.53</v>
      </c>
      <c r="E368">
        <v>44.66</v>
      </c>
      <c r="F368">
        <v>2523464</v>
      </c>
    </row>
    <row r="369" spans="1:6">
      <c r="A369" s="39">
        <v>42675</v>
      </c>
      <c r="B369">
        <v>44.85</v>
      </c>
      <c r="C369">
        <v>44.85</v>
      </c>
      <c r="D369">
        <v>44.28</v>
      </c>
      <c r="E369">
        <v>44.48</v>
      </c>
      <c r="F369">
        <v>2170221</v>
      </c>
    </row>
    <row r="370" spans="1:6">
      <c r="A370" s="39">
        <v>42676</v>
      </c>
      <c r="B370">
        <v>44.4</v>
      </c>
      <c r="C370">
        <v>44.45</v>
      </c>
      <c r="D370">
        <v>44.04</v>
      </c>
      <c r="E370">
        <v>44.13</v>
      </c>
      <c r="F370">
        <v>2047151</v>
      </c>
    </row>
    <row r="371" spans="1:6">
      <c r="A371" s="39">
        <v>42677</v>
      </c>
      <c r="B371">
        <v>44.23</v>
      </c>
      <c r="C371">
        <v>44.3</v>
      </c>
      <c r="D371">
        <v>43.99</v>
      </c>
      <c r="E371">
        <v>44.06</v>
      </c>
      <c r="F371">
        <v>1698893</v>
      </c>
    </row>
    <row r="372" spans="1:6">
      <c r="A372" s="39">
        <v>42678</v>
      </c>
      <c r="B372">
        <v>43.79</v>
      </c>
      <c r="C372">
        <v>43.9</v>
      </c>
      <c r="D372">
        <v>43.63</v>
      </c>
      <c r="E372">
        <v>43.66</v>
      </c>
      <c r="F372">
        <v>2126975</v>
      </c>
    </row>
    <row r="373" spans="1:6">
      <c r="A373" s="39">
        <v>42681</v>
      </c>
      <c r="B373">
        <v>44.27</v>
      </c>
      <c r="C373">
        <v>44.48</v>
      </c>
      <c r="D373">
        <v>44.24</v>
      </c>
      <c r="E373">
        <v>44.47</v>
      </c>
      <c r="F373">
        <v>1102969</v>
      </c>
    </row>
    <row r="374" spans="1:6">
      <c r="A374" s="39">
        <v>42682</v>
      </c>
      <c r="B374">
        <v>44.31</v>
      </c>
      <c r="C374">
        <v>44.72</v>
      </c>
      <c r="D374">
        <v>44.23</v>
      </c>
      <c r="E374">
        <v>44.6</v>
      </c>
      <c r="F374">
        <v>1019587</v>
      </c>
    </row>
    <row r="375" spans="1:6">
      <c r="A375" s="39">
        <v>42683</v>
      </c>
      <c r="B375">
        <v>44.03</v>
      </c>
      <c r="C375">
        <v>44.58</v>
      </c>
      <c r="D375">
        <v>44.01</v>
      </c>
      <c r="E375">
        <v>44.35</v>
      </c>
      <c r="F375">
        <v>3562320</v>
      </c>
    </row>
    <row r="376" spans="1:6">
      <c r="A376" s="39">
        <v>42684</v>
      </c>
      <c r="B376">
        <v>44.32</v>
      </c>
      <c r="C376">
        <v>44.39</v>
      </c>
      <c r="D376">
        <v>43.77</v>
      </c>
      <c r="E376">
        <v>44.03</v>
      </c>
      <c r="F376">
        <v>2505300</v>
      </c>
    </row>
    <row r="377" spans="1:6">
      <c r="A377" s="39">
        <v>42685</v>
      </c>
      <c r="B377">
        <v>43.74</v>
      </c>
      <c r="C377">
        <v>43.75</v>
      </c>
      <c r="D377">
        <v>43.34</v>
      </c>
      <c r="E377">
        <v>43.63</v>
      </c>
      <c r="F377">
        <v>1489584</v>
      </c>
    </row>
    <row r="378" spans="1:6">
      <c r="A378" s="39">
        <v>42688</v>
      </c>
      <c r="B378">
        <v>43.3</v>
      </c>
      <c r="C378">
        <v>43.36</v>
      </c>
      <c r="D378">
        <v>43.13</v>
      </c>
      <c r="E378">
        <v>43.32</v>
      </c>
      <c r="F378">
        <v>3502207</v>
      </c>
    </row>
    <row r="379" spans="1:6">
      <c r="A379" s="39">
        <v>42689</v>
      </c>
      <c r="B379">
        <v>43.3</v>
      </c>
      <c r="C379">
        <v>43.69</v>
      </c>
      <c r="D379">
        <v>43.3</v>
      </c>
      <c r="E379">
        <v>43.68</v>
      </c>
      <c r="F379">
        <v>2523670</v>
      </c>
    </row>
    <row r="380" spans="1:6">
      <c r="A380" s="39">
        <v>42690</v>
      </c>
      <c r="B380">
        <v>43.26</v>
      </c>
      <c r="C380">
        <v>43.37</v>
      </c>
      <c r="D380">
        <v>43.19</v>
      </c>
      <c r="E380">
        <v>43.27</v>
      </c>
      <c r="F380">
        <v>1865690</v>
      </c>
    </row>
    <row r="381" spans="1:6">
      <c r="A381" s="39">
        <v>42691</v>
      </c>
      <c r="B381">
        <v>43.42</v>
      </c>
      <c r="C381">
        <v>43.61</v>
      </c>
      <c r="D381">
        <v>43.4</v>
      </c>
      <c r="E381">
        <v>43.48</v>
      </c>
      <c r="F381">
        <v>2661116</v>
      </c>
    </row>
    <row r="382" spans="1:6">
      <c r="A382" s="39">
        <v>42692</v>
      </c>
      <c r="B382">
        <v>43.25</v>
      </c>
      <c r="C382">
        <v>43.26</v>
      </c>
      <c r="D382">
        <v>43.05</v>
      </c>
      <c r="E382">
        <v>43.12</v>
      </c>
      <c r="F382">
        <v>1544878</v>
      </c>
    </row>
    <row r="383" spans="1:6">
      <c r="A383" s="39">
        <v>42695</v>
      </c>
      <c r="B383">
        <v>43.32</v>
      </c>
      <c r="C383">
        <v>43.55</v>
      </c>
      <c r="D383">
        <v>43.32</v>
      </c>
      <c r="E383">
        <v>43.53</v>
      </c>
      <c r="F383">
        <v>1798183</v>
      </c>
    </row>
    <row r="384" spans="1:6">
      <c r="A384" s="39">
        <v>42696</v>
      </c>
      <c r="B384">
        <v>43.72</v>
      </c>
      <c r="C384">
        <v>43.72</v>
      </c>
      <c r="D384">
        <v>43.52</v>
      </c>
      <c r="E384">
        <v>43.71</v>
      </c>
      <c r="F384">
        <v>1971422</v>
      </c>
    </row>
    <row r="385" spans="1:6">
      <c r="A385" s="39">
        <v>42697</v>
      </c>
      <c r="B385">
        <v>43.29</v>
      </c>
      <c r="C385">
        <v>43.55</v>
      </c>
      <c r="D385">
        <v>43.24</v>
      </c>
      <c r="E385">
        <v>43.53</v>
      </c>
      <c r="F385">
        <v>1507144</v>
      </c>
    </row>
    <row r="386" spans="1:6">
      <c r="A386" s="39">
        <v>42699</v>
      </c>
      <c r="B386">
        <v>43.71</v>
      </c>
      <c r="C386">
        <v>43.71</v>
      </c>
      <c r="D386">
        <v>43.59</v>
      </c>
      <c r="E386">
        <v>43.68</v>
      </c>
      <c r="F386">
        <v>1605783</v>
      </c>
    </row>
    <row r="387" spans="1:6">
      <c r="A387" s="39">
        <v>42702</v>
      </c>
      <c r="B387">
        <v>43.63</v>
      </c>
      <c r="C387">
        <v>43.67</v>
      </c>
      <c r="D387">
        <v>43.5</v>
      </c>
      <c r="E387">
        <v>43.52</v>
      </c>
      <c r="F387">
        <v>2558281</v>
      </c>
    </row>
    <row r="388" spans="1:6">
      <c r="A388" s="39">
        <v>42703</v>
      </c>
      <c r="B388">
        <v>43.55</v>
      </c>
      <c r="C388">
        <v>43.8</v>
      </c>
      <c r="D388">
        <v>43.45</v>
      </c>
      <c r="E388">
        <v>43.72</v>
      </c>
      <c r="F388">
        <v>2966929</v>
      </c>
    </row>
    <row r="389" spans="1:6">
      <c r="A389" s="39">
        <v>42704</v>
      </c>
      <c r="B389">
        <v>43.88</v>
      </c>
      <c r="C389">
        <v>43.88</v>
      </c>
      <c r="D389">
        <v>43.68</v>
      </c>
      <c r="E389">
        <v>43.71</v>
      </c>
      <c r="F389">
        <v>2325733</v>
      </c>
    </row>
    <row r="390" spans="1:6">
      <c r="A390" s="39">
        <v>42705</v>
      </c>
      <c r="B390">
        <v>43.7</v>
      </c>
      <c r="C390">
        <v>43.71</v>
      </c>
      <c r="D390">
        <v>43.48</v>
      </c>
      <c r="E390">
        <v>43.55</v>
      </c>
      <c r="F390">
        <v>2339505</v>
      </c>
    </row>
    <row r="391" spans="1:6">
      <c r="A391" s="39">
        <v>42706</v>
      </c>
      <c r="B391">
        <v>43.49</v>
      </c>
      <c r="C391">
        <v>43.74</v>
      </c>
      <c r="D391">
        <v>43.45</v>
      </c>
      <c r="E391">
        <v>43.67</v>
      </c>
      <c r="F391">
        <v>1771671</v>
      </c>
    </row>
    <row r="392" spans="1:6">
      <c r="A392" s="39">
        <v>42709</v>
      </c>
      <c r="B392">
        <v>43.84</v>
      </c>
      <c r="C392">
        <v>44.06</v>
      </c>
      <c r="D392">
        <v>43.79</v>
      </c>
      <c r="E392">
        <v>44</v>
      </c>
      <c r="F392">
        <v>2544845</v>
      </c>
    </row>
    <row r="393" spans="1:6">
      <c r="A393" s="39">
        <v>42710</v>
      </c>
      <c r="B393">
        <v>44.02</v>
      </c>
      <c r="C393">
        <v>44.3</v>
      </c>
      <c r="D393">
        <v>44</v>
      </c>
      <c r="E393">
        <v>44.26</v>
      </c>
      <c r="F393">
        <v>3044870</v>
      </c>
    </row>
    <row r="394" spans="1:6">
      <c r="A394" s="39">
        <v>42711</v>
      </c>
      <c r="B394">
        <v>44.42</v>
      </c>
      <c r="C394">
        <v>44.96</v>
      </c>
      <c r="D394">
        <v>44.39</v>
      </c>
      <c r="E394">
        <v>44.9</v>
      </c>
      <c r="F394">
        <v>2428685</v>
      </c>
    </row>
    <row r="395" spans="1:6">
      <c r="A395" s="39">
        <v>42712</v>
      </c>
      <c r="B395">
        <v>44.81</v>
      </c>
      <c r="C395">
        <v>45</v>
      </c>
      <c r="D395">
        <v>44.76</v>
      </c>
      <c r="E395">
        <v>44.94</v>
      </c>
      <c r="F395">
        <v>3319439</v>
      </c>
    </row>
    <row r="396" spans="1:6">
      <c r="A396" s="39">
        <v>42713</v>
      </c>
      <c r="B396">
        <v>44.88</v>
      </c>
      <c r="C396">
        <v>45.06</v>
      </c>
      <c r="D396">
        <v>44.88</v>
      </c>
      <c r="E396">
        <v>45.05</v>
      </c>
      <c r="F396">
        <v>2545366</v>
      </c>
    </row>
    <row r="397" spans="1:6">
      <c r="A397" s="39">
        <v>42716</v>
      </c>
      <c r="B397">
        <v>44.87</v>
      </c>
      <c r="C397">
        <v>45.01</v>
      </c>
      <c r="D397">
        <v>44.78</v>
      </c>
      <c r="E397">
        <v>44.83</v>
      </c>
      <c r="F397">
        <v>2567161</v>
      </c>
    </row>
    <row r="398" spans="1:6">
      <c r="A398" s="39">
        <v>42717</v>
      </c>
      <c r="B398">
        <v>45.17</v>
      </c>
      <c r="C398">
        <v>45.4</v>
      </c>
      <c r="D398">
        <v>45.17</v>
      </c>
      <c r="E398">
        <v>45.29</v>
      </c>
      <c r="F398">
        <v>2019780</v>
      </c>
    </row>
    <row r="399" spans="1:6">
      <c r="A399" s="39">
        <v>42718</v>
      </c>
      <c r="B399">
        <v>45.15</v>
      </c>
      <c r="C399">
        <v>45.24</v>
      </c>
      <c r="D399">
        <v>44.47</v>
      </c>
      <c r="E399">
        <v>44.53</v>
      </c>
      <c r="F399">
        <v>2106254</v>
      </c>
    </row>
    <row r="400" spans="1:6">
      <c r="A400" s="39">
        <v>42719</v>
      </c>
      <c r="B400">
        <v>44.37</v>
      </c>
      <c r="C400">
        <v>44.51</v>
      </c>
      <c r="D400">
        <v>44.3</v>
      </c>
      <c r="E400">
        <v>44.47</v>
      </c>
      <c r="F400">
        <v>1730546</v>
      </c>
    </row>
    <row r="401" spans="1:6">
      <c r="A401" s="39">
        <v>42720</v>
      </c>
      <c r="B401">
        <v>44.45</v>
      </c>
      <c r="C401">
        <v>44.54</v>
      </c>
      <c r="D401">
        <v>44.34</v>
      </c>
      <c r="E401">
        <v>44.4</v>
      </c>
      <c r="F401">
        <v>1979937</v>
      </c>
    </row>
    <row r="402" spans="1:6">
      <c r="A402" s="39">
        <v>42723</v>
      </c>
      <c r="B402">
        <v>44.4</v>
      </c>
      <c r="C402">
        <v>44.51</v>
      </c>
      <c r="D402">
        <v>44.33</v>
      </c>
      <c r="E402">
        <v>44.33</v>
      </c>
      <c r="F402">
        <v>2081211</v>
      </c>
    </row>
    <row r="403" spans="1:6">
      <c r="A403" s="39">
        <v>42724</v>
      </c>
      <c r="B403">
        <v>44.03</v>
      </c>
      <c r="C403">
        <v>44.13</v>
      </c>
      <c r="D403">
        <v>43.99</v>
      </c>
      <c r="E403">
        <v>44.09</v>
      </c>
      <c r="F403">
        <v>3143365</v>
      </c>
    </row>
    <row r="404" spans="1:6">
      <c r="A404" s="39">
        <v>42725</v>
      </c>
      <c r="B404">
        <v>44.08</v>
      </c>
      <c r="C404">
        <v>44.13</v>
      </c>
      <c r="D404">
        <v>44.04</v>
      </c>
      <c r="E404">
        <v>44.04</v>
      </c>
      <c r="F404">
        <v>2371159</v>
      </c>
    </row>
    <row r="405" spans="1:6">
      <c r="A405" s="39">
        <v>42726</v>
      </c>
      <c r="B405">
        <v>43.99</v>
      </c>
      <c r="C405">
        <v>43.99</v>
      </c>
      <c r="D405">
        <v>43.85</v>
      </c>
      <c r="E405">
        <v>43.87</v>
      </c>
      <c r="F405">
        <v>2396903</v>
      </c>
    </row>
    <row r="406" spans="1:6">
      <c r="A406" s="39">
        <v>42727</v>
      </c>
      <c r="B406">
        <v>43.91</v>
      </c>
      <c r="C406">
        <v>43.98</v>
      </c>
      <c r="D406">
        <v>43.88</v>
      </c>
      <c r="E406">
        <v>43.97</v>
      </c>
      <c r="F406">
        <v>1869948</v>
      </c>
    </row>
    <row r="407" spans="1:6">
      <c r="A407" s="39">
        <v>42731</v>
      </c>
      <c r="B407">
        <v>44</v>
      </c>
      <c r="C407">
        <v>44.06</v>
      </c>
      <c r="D407">
        <v>43.98</v>
      </c>
      <c r="E407">
        <v>43.99</v>
      </c>
      <c r="F407">
        <v>2337375</v>
      </c>
    </row>
    <row r="408" spans="1:6">
      <c r="A408" s="39">
        <v>42732</v>
      </c>
      <c r="B408">
        <v>44.04</v>
      </c>
      <c r="C408">
        <v>44.05</v>
      </c>
      <c r="D408">
        <v>43.85</v>
      </c>
      <c r="E408">
        <v>43.91</v>
      </c>
      <c r="F408">
        <v>4064677</v>
      </c>
    </row>
    <row r="409" spans="1:6">
      <c r="A409" s="39">
        <v>42733</v>
      </c>
      <c r="B409">
        <v>44.09</v>
      </c>
      <c r="C409">
        <v>44.22</v>
      </c>
      <c r="D409">
        <v>44.08</v>
      </c>
      <c r="E409">
        <v>44.16</v>
      </c>
      <c r="F409">
        <v>3168432</v>
      </c>
    </row>
    <row r="410" spans="1:6">
      <c r="A410" s="39">
        <v>42734</v>
      </c>
      <c r="B410">
        <v>44.43</v>
      </c>
      <c r="C410">
        <v>44.43</v>
      </c>
      <c r="D410">
        <v>44.12</v>
      </c>
      <c r="E410">
        <v>44.18</v>
      </c>
      <c r="F410">
        <v>3017729</v>
      </c>
    </row>
    <row r="411" spans="1:6">
      <c r="A411" s="39">
        <v>42738</v>
      </c>
      <c r="B411">
        <v>44.47</v>
      </c>
      <c r="C411">
        <v>44.54</v>
      </c>
      <c r="D411">
        <v>44.39</v>
      </c>
      <c r="E411">
        <v>44.5</v>
      </c>
      <c r="F411">
        <v>3659944</v>
      </c>
    </row>
    <row r="412" spans="1:6">
      <c r="A412" s="39">
        <v>42739</v>
      </c>
      <c r="B412">
        <v>44.77</v>
      </c>
      <c r="C412">
        <v>45.01</v>
      </c>
      <c r="D412">
        <v>44.75</v>
      </c>
      <c r="E412">
        <v>45.01</v>
      </c>
      <c r="F412">
        <v>2614490</v>
      </c>
    </row>
    <row r="413" spans="1:6">
      <c r="A413" s="39">
        <v>42740</v>
      </c>
      <c r="B413">
        <v>45.16</v>
      </c>
      <c r="C413">
        <v>45.46</v>
      </c>
      <c r="D413">
        <v>45.16</v>
      </c>
      <c r="E413">
        <v>45.43</v>
      </c>
      <c r="F413">
        <v>1850756</v>
      </c>
    </row>
    <row r="414" spans="1:6">
      <c r="A414" s="39">
        <v>42741</v>
      </c>
      <c r="B414">
        <v>45.27</v>
      </c>
      <c r="C414">
        <v>45.31</v>
      </c>
      <c r="D414">
        <v>45.19</v>
      </c>
      <c r="E414">
        <v>45.26</v>
      </c>
      <c r="F414">
        <v>2030140</v>
      </c>
    </row>
    <row r="415" spans="1:6">
      <c r="A415" s="39">
        <v>42744</v>
      </c>
      <c r="B415">
        <v>45.14</v>
      </c>
      <c r="C415">
        <v>45.24</v>
      </c>
      <c r="D415">
        <v>45.06</v>
      </c>
      <c r="E415">
        <v>45.21</v>
      </c>
      <c r="F415">
        <v>2213759</v>
      </c>
    </row>
    <row r="416" spans="1:6">
      <c r="A416" s="39">
        <v>42745</v>
      </c>
      <c r="B416">
        <v>45.26</v>
      </c>
      <c r="C416">
        <v>45.39</v>
      </c>
      <c r="D416">
        <v>45.23</v>
      </c>
      <c r="E416">
        <v>45.23</v>
      </c>
      <c r="F416">
        <v>1620113</v>
      </c>
    </row>
    <row r="417" spans="1:6">
      <c r="A417" s="39">
        <v>42746</v>
      </c>
      <c r="B417">
        <v>45.24</v>
      </c>
      <c r="C417">
        <v>45.6</v>
      </c>
      <c r="D417">
        <v>45.14</v>
      </c>
      <c r="E417">
        <v>45.6</v>
      </c>
      <c r="F417">
        <v>2437833</v>
      </c>
    </row>
    <row r="418" spans="1:6">
      <c r="A418" s="39">
        <v>42747</v>
      </c>
      <c r="B418">
        <v>45.69</v>
      </c>
      <c r="C418">
        <v>45.69</v>
      </c>
      <c r="D418">
        <v>45.46</v>
      </c>
      <c r="E418">
        <v>45.62</v>
      </c>
      <c r="F418">
        <v>2443289</v>
      </c>
    </row>
    <row r="419" spans="1:6">
      <c r="A419" s="39">
        <v>42748</v>
      </c>
      <c r="B419">
        <v>45.67</v>
      </c>
      <c r="C419">
        <v>45.77</v>
      </c>
      <c r="D419">
        <v>45.61</v>
      </c>
      <c r="E419">
        <v>45.77</v>
      </c>
      <c r="F419">
        <v>2576150</v>
      </c>
    </row>
    <row r="420" spans="1:6">
      <c r="A420" s="39">
        <v>42752</v>
      </c>
      <c r="B420">
        <v>45.7</v>
      </c>
      <c r="C420">
        <v>45.72</v>
      </c>
      <c r="D420">
        <v>45.58</v>
      </c>
      <c r="E420">
        <v>45.69</v>
      </c>
      <c r="F420">
        <v>2435023</v>
      </c>
    </row>
    <row r="421" spans="1:6">
      <c r="A421" s="39">
        <v>42753</v>
      </c>
      <c r="B421">
        <v>45.58</v>
      </c>
      <c r="C421">
        <v>45.64</v>
      </c>
      <c r="D421">
        <v>45.38</v>
      </c>
      <c r="E421">
        <v>45.48</v>
      </c>
      <c r="F421">
        <v>1427893</v>
      </c>
    </row>
    <row r="422" spans="1:6">
      <c r="A422" s="39">
        <v>42754</v>
      </c>
      <c r="B422">
        <v>45.44</v>
      </c>
      <c r="C422">
        <v>45.48</v>
      </c>
      <c r="D422">
        <v>45.23</v>
      </c>
      <c r="E422">
        <v>45.38</v>
      </c>
      <c r="F422">
        <v>2017702</v>
      </c>
    </row>
    <row r="423" spans="1:6">
      <c r="A423" s="39">
        <v>42755</v>
      </c>
      <c r="B423">
        <v>45.5</v>
      </c>
      <c r="C423">
        <v>45.6</v>
      </c>
      <c r="D423">
        <v>45.44</v>
      </c>
      <c r="E423">
        <v>45.6</v>
      </c>
      <c r="F423">
        <v>1382883</v>
      </c>
    </row>
    <row r="424" spans="1:6">
      <c r="A424" s="39">
        <v>42758</v>
      </c>
      <c r="B424">
        <v>45.62</v>
      </c>
      <c r="C424">
        <v>45.78</v>
      </c>
      <c r="D424">
        <v>45.54</v>
      </c>
      <c r="E424">
        <v>45.73</v>
      </c>
      <c r="F424">
        <v>2017851</v>
      </c>
    </row>
    <row r="425" spans="1:6">
      <c r="A425" s="39">
        <v>42759</v>
      </c>
      <c r="B425">
        <v>45.77</v>
      </c>
      <c r="C425">
        <v>46.01</v>
      </c>
      <c r="D425">
        <v>45.75</v>
      </c>
      <c r="E425">
        <v>45.97</v>
      </c>
      <c r="F425">
        <v>2133320</v>
      </c>
    </row>
    <row r="426" spans="1:6">
      <c r="A426" s="39">
        <v>42760</v>
      </c>
      <c r="B426">
        <v>46.23</v>
      </c>
      <c r="C426">
        <v>46.41</v>
      </c>
      <c r="D426">
        <v>46.18</v>
      </c>
      <c r="E426">
        <v>46.4</v>
      </c>
      <c r="F426">
        <v>1996364</v>
      </c>
    </row>
    <row r="427" spans="1:6">
      <c r="A427" s="39">
        <v>42761</v>
      </c>
      <c r="B427">
        <v>46.35</v>
      </c>
      <c r="C427">
        <v>46.37</v>
      </c>
      <c r="D427">
        <v>46.2</v>
      </c>
      <c r="E427">
        <v>46.25</v>
      </c>
      <c r="F427">
        <v>1802778</v>
      </c>
    </row>
    <row r="428" spans="1:6">
      <c r="A428" s="39">
        <v>42762</v>
      </c>
      <c r="B428">
        <v>46.23</v>
      </c>
      <c r="C428">
        <v>46.25</v>
      </c>
      <c r="D428">
        <v>46.09</v>
      </c>
      <c r="E428">
        <v>46.17</v>
      </c>
      <c r="F428">
        <v>1729930</v>
      </c>
    </row>
    <row r="429" spans="1:6">
      <c r="A429" s="39">
        <v>42765</v>
      </c>
      <c r="B429">
        <v>45.84</v>
      </c>
      <c r="C429">
        <v>45.89</v>
      </c>
      <c r="D429">
        <v>45.68</v>
      </c>
      <c r="E429">
        <v>45.88</v>
      </c>
      <c r="F429">
        <v>1991675</v>
      </c>
    </row>
    <row r="430" spans="1:6">
      <c r="A430" s="39">
        <v>42766</v>
      </c>
      <c r="B430">
        <v>45.94</v>
      </c>
      <c r="C430">
        <v>46.03</v>
      </c>
      <c r="D430">
        <v>45.79</v>
      </c>
      <c r="E430">
        <v>46.01</v>
      </c>
      <c r="F430">
        <v>3433359</v>
      </c>
    </row>
    <row r="431" spans="1:6">
      <c r="A431" s="39">
        <v>42767</v>
      </c>
      <c r="B431">
        <v>46.21</v>
      </c>
      <c r="C431">
        <v>46.26</v>
      </c>
      <c r="D431">
        <v>46</v>
      </c>
      <c r="E431">
        <v>46.12</v>
      </c>
      <c r="F431">
        <v>2878028</v>
      </c>
    </row>
    <row r="432" spans="1:6">
      <c r="A432" s="39">
        <v>42768</v>
      </c>
      <c r="B432">
        <v>46.21</v>
      </c>
      <c r="C432">
        <v>46.26</v>
      </c>
      <c r="D432">
        <v>46.09</v>
      </c>
      <c r="E432">
        <v>46.18</v>
      </c>
      <c r="F432">
        <v>2262766</v>
      </c>
    </row>
    <row r="433" spans="1:6">
      <c r="A433" s="39">
        <v>42769</v>
      </c>
      <c r="B433">
        <v>46.33</v>
      </c>
      <c r="C433">
        <v>46.46</v>
      </c>
      <c r="D433">
        <v>46.24</v>
      </c>
      <c r="E433">
        <v>46.41</v>
      </c>
      <c r="F433">
        <v>1471660</v>
      </c>
    </row>
    <row r="434" spans="1:6">
      <c r="A434" s="39">
        <v>42772</v>
      </c>
      <c r="B434">
        <v>46.06</v>
      </c>
      <c r="C434">
        <v>46.13</v>
      </c>
      <c r="D434">
        <v>45.98</v>
      </c>
      <c r="E434">
        <v>46.12</v>
      </c>
      <c r="F434">
        <v>1255117</v>
      </c>
    </row>
    <row r="435" spans="1:6">
      <c r="A435" s="39">
        <v>42773</v>
      </c>
      <c r="B435">
        <v>46.04</v>
      </c>
      <c r="C435">
        <v>46.07</v>
      </c>
      <c r="D435">
        <v>45.98</v>
      </c>
      <c r="E435">
        <v>46.02</v>
      </c>
      <c r="F435">
        <v>1220938</v>
      </c>
    </row>
    <row r="436" spans="1:6">
      <c r="A436" s="39">
        <v>42774</v>
      </c>
      <c r="B436">
        <v>46.05</v>
      </c>
      <c r="C436">
        <v>46.2</v>
      </c>
      <c r="D436">
        <v>45.96</v>
      </c>
      <c r="E436">
        <v>46.18</v>
      </c>
      <c r="F436">
        <v>1151922</v>
      </c>
    </row>
    <row r="437" spans="1:6">
      <c r="A437" s="39">
        <v>42775</v>
      </c>
      <c r="B437">
        <v>46.27</v>
      </c>
      <c r="C437">
        <v>46.39</v>
      </c>
      <c r="D437">
        <v>46.22</v>
      </c>
      <c r="E437">
        <v>46.33</v>
      </c>
      <c r="F437">
        <v>1354424</v>
      </c>
    </row>
    <row r="438" spans="1:6">
      <c r="A438" s="39">
        <v>42776</v>
      </c>
      <c r="B438">
        <v>46.37</v>
      </c>
      <c r="C438">
        <v>46.58</v>
      </c>
      <c r="D438">
        <v>46.35</v>
      </c>
      <c r="E438">
        <v>46.53</v>
      </c>
      <c r="F438">
        <v>1445026</v>
      </c>
    </row>
    <row r="439" spans="1:6">
      <c r="A439" s="39">
        <v>42779</v>
      </c>
      <c r="B439">
        <v>46.71</v>
      </c>
      <c r="C439">
        <v>46.82</v>
      </c>
      <c r="D439">
        <v>46.68</v>
      </c>
      <c r="E439">
        <v>46.75</v>
      </c>
      <c r="F439">
        <v>1780130</v>
      </c>
    </row>
    <row r="440" spans="1:6">
      <c r="A440" s="39">
        <v>42780</v>
      </c>
      <c r="B440">
        <v>46.67</v>
      </c>
      <c r="C440">
        <v>46.72</v>
      </c>
      <c r="D440">
        <v>46.43</v>
      </c>
      <c r="E440">
        <v>46.7</v>
      </c>
      <c r="F440">
        <v>1857832</v>
      </c>
    </row>
    <row r="441" spans="1:6">
      <c r="A441" s="39">
        <v>42781</v>
      </c>
      <c r="B441">
        <v>46.57</v>
      </c>
      <c r="C441">
        <v>46.96</v>
      </c>
      <c r="D441">
        <v>46.57</v>
      </c>
      <c r="E441">
        <v>46.94</v>
      </c>
      <c r="F441">
        <v>3694444</v>
      </c>
    </row>
    <row r="442" spans="1:6">
      <c r="A442" s="39">
        <v>42782</v>
      </c>
      <c r="B442">
        <v>46.98</v>
      </c>
      <c r="C442">
        <v>47.01</v>
      </c>
      <c r="D442">
        <v>46.9</v>
      </c>
      <c r="E442">
        <v>46.99</v>
      </c>
      <c r="F442">
        <v>1870974</v>
      </c>
    </row>
    <row r="443" spans="1:6">
      <c r="A443" s="39">
        <v>42783</v>
      </c>
      <c r="B443">
        <v>46.73</v>
      </c>
      <c r="C443">
        <v>46.87</v>
      </c>
      <c r="D443">
        <v>46.69</v>
      </c>
      <c r="E443">
        <v>46.87</v>
      </c>
      <c r="F443">
        <v>2025551</v>
      </c>
    </row>
    <row r="444" spans="1:6">
      <c r="A444" s="39">
        <v>42787</v>
      </c>
      <c r="B444">
        <v>46.9</v>
      </c>
      <c r="C444">
        <v>47.1</v>
      </c>
      <c r="D444">
        <v>46.87</v>
      </c>
      <c r="E444">
        <v>47.09</v>
      </c>
      <c r="F444">
        <v>2401986</v>
      </c>
    </row>
    <row r="445" spans="1:6">
      <c r="A445" s="39">
        <v>42788</v>
      </c>
      <c r="B445">
        <v>46.92</v>
      </c>
      <c r="C445">
        <v>47.12</v>
      </c>
      <c r="D445">
        <v>46.88</v>
      </c>
      <c r="E445">
        <v>47.1</v>
      </c>
      <c r="F445">
        <v>1978209</v>
      </c>
    </row>
    <row r="446" spans="1:6">
      <c r="A446" s="39">
        <v>42789</v>
      </c>
      <c r="B446">
        <v>47.25</v>
      </c>
      <c r="C446">
        <v>47.3</v>
      </c>
      <c r="D446">
        <v>47.09</v>
      </c>
      <c r="E446">
        <v>47.17</v>
      </c>
      <c r="F446">
        <v>1727952</v>
      </c>
    </row>
    <row r="447" spans="1:6">
      <c r="A447" s="39">
        <v>42790</v>
      </c>
      <c r="B447">
        <v>46.7</v>
      </c>
      <c r="C447">
        <v>46.84</v>
      </c>
      <c r="D447">
        <v>46.66</v>
      </c>
      <c r="E447">
        <v>46.76</v>
      </c>
      <c r="F447">
        <v>1628183</v>
      </c>
    </row>
    <row r="448" spans="1:6">
      <c r="A448" s="39">
        <v>42793</v>
      </c>
      <c r="B448">
        <v>46.6</v>
      </c>
      <c r="C448">
        <v>46.78</v>
      </c>
      <c r="D448">
        <v>46.6</v>
      </c>
      <c r="E448">
        <v>46.73</v>
      </c>
      <c r="F448">
        <v>1769078</v>
      </c>
    </row>
    <row r="449" spans="1:6">
      <c r="A449" s="39">
        <v>42794</v>
      </c>
      <c r="B449">
        <v>46.68</v>
      </c>
      <c r="C449">
        <v>46.76</v>
      </c>
      <c r="D449">
        <v>46.52</v>
      </c>
      <c r="E449">
        <v>46.59</v>
      </c>
      <c r="F449">
        <v>1705772</v>
      </c>
    </row>
    <row r="450" spans="1:6">
      <c r="A450" s="39">
        <v>42795</v>
      </c>
      <c r="B450">
        <v>46.9</v>
      </c>
      <c r="C450">
        <v>47.19</v>
      </c>
      <c r="D450">
        <v>46.89</v>
      </c>
      <c r="E450">
        <v>47.1</v>
      </c>
      <c r="F450">
        <v>1729098</v>
      </c>
    </row>
    <row r="451" spans="1:6">
      <c r="A451" s="39">
        <v>42796</v>
      </c>
      <c r="B451">
        <v>46.87</v>
      </c>
      <c r="C451">
        <v>46.87</v>
      </c>
      <c r="D451">
        <v>46.68</v>
      </c>
      <c r="E451">
        <v>46.71</v>
      </c>
      <c r="F451">
        <v>1771382</v>
      </c>
    </row>
    <row r="452" spans="1:6">
      <c r="A452" s="39">
        <v>42797</v>
      </c>
      <c r="B452">
        <v>46.75</v>
      </c>
      <c r="C452">
        <v>46.99</v>
      </c>
      <c r="D452">
        <v>46.7</v>
      </c>
      <c r="E452">
        <v>46.96</v>
      </c>
      <c r="F452">
        <v>2168516</v>
      </c>
    </row>
    <row r="453" spans="1:6">
      <c r="A453" s="39">
        <v>42800</v>
      </c>
      <c r="B453">
        <v>46.85</v>
      </c>
      <c r="C453">
        <v>46.86</v>
      </c>
      <c r="D453">
        <v>46.74</v>
      </c>
      <c r="E453">
        <v>46.85</v>
      </c>
      <c r="F453">
        <v>1474415</v>
      </c>
    </row>
    <row r="454" spans="1:6">
      <c r="A454" s="39">
        <v>42801</v>
      </c>
      <c r="B454">
        <v>46.76</v>
      </c>
      <c r="C454">
        <v>46.84</v>
      </c>
      <c r="D454">
        <v>46.66</v>
      </c>
      <c r="E454">
        <v>46.74</v>
      </c>
      <c r="F454">
        <v>1284590</v>
      </c>
    </row>
    <row r="455" spans="1:6">
      <c r="A455" s="39">
        <v>42802</v>
      </c>
      <c r="B455">
        <v>46.72</v>
      </c>
      <c r="C455">
        <v>46.75</v>
      </c>
      <c r="D455">
        <v>46.48</v>
      </c>
      <c r="E455">
        <v>46.5</v>
      </c>
      <c r="F455">
        <v>2458292</v>
      </c>
    </row>
    <row r="456" spans="1:6">
      <c r="A456" s="39">
        <v>42803</v>
      </c>
      <c r="B456">
        <v>46.55</v>
      </c>
      <c r="C456">
        <v>46.59</v>
      </c>
      <c r="D456">
        <v>46.4</v>
      </c>
      <c r="E456">
        <v>46.55</v>
      </c>
      <c r="F456">
        <v>2591914</v>
      </c>
    </row>
    <row r="457" spans="1:6">
      <c r="A457" s="39">
        <v>42804</v>
      </c>
      <c r="B457">
        <v>46.88</v>
      </c>
      <c r="C457">
        <v>46.96</v>
      </c>
      <c r="D457">
        <v>46.77</v>
      </c>
      <c r="E457">
        <v>46.93</v>
      </c>
      <c r="F457">
        <v>1811419</v>
      </c>
    </row>
    <row r="458" spans="1:6">
      <c r="A458" s="39">
        <v>42807</v>
      </c>
      <c r="B458">
        <v>47.1</v>
      </c>
      <c r="C458">
        <v>47.23</v>
      </c>
      <c r="D458">
        <v>47.1</v>
      </c>
      <c r="E458">
        <v>47.23</v>
      </c>
      <c r="F458">
        <v>1757000</v>
      </c>
    </row>
    <row r="459" spans="1:6">
      <c r="A459" s="39">
        <v>42808</v>
      </c>
      <c r="B459">
        <v>46.93</v>
      </c>
      <c r="C459">
        <v>46.97</v>
      </c>
      <c r="D459">
        <v>46.83</v>
      </c>
      <c r="E459">
        <v>46.88</v>
      </c>
      <c r="F459">
        <v>942164</v>
      </c>
    </row>
    <row r="460" spans="1:6">
      <c r="A460" s="39">
        <v>42809</v>
      </c>
      <c r="B460">
        <v>47.02</v>
      </c>
      <c r="C460">
        <v>47.69</v>
      </c>
      <c r="D460">
        <v>47</v>
      </c>
      <c r="E460">
        <v>47.65</v>
      </c>
      <c r="F460">
        <v>1749764</v>
      </c>
    </row>
    <row r="461" spans="1:6">
      <c r="A461" s="39">
        <v>42810</v>
      </c>
      <c r="B461">
        <v>47.95</v>
      </c>
      <c r="C461">
        <v>47.99</v>
      </c>
      <c r="D461">
        <v>47.84</v>
      </c>
      <c r="E461">
        <v>47.95</v>
      </c>
      <c r="F461">
        <v>1670615</v>
      </c>
    </row>
    <row r="462" spans="1:6">
      <c r="A462" s="39">
        <v>42811</v>
      </c>
      <c r="B462">
        <v>48</v>
      </c>
      <c r="C462">
        <v>48.07</v>
      </c>
      <c r="D462">
        <v>47.89</v>
      </c>
      <c r="E462">
        <v>47.98</v>
      </c>
      <c r="F462">
        <v>1411025</v>
      </c>
    </row>
    <row r="463" spans="1:6">
      <c r="A463" s="39">
        <v>42814</v>
      </c>
      <c r="B463">
        <v>48</v>
      </c>
      <c r="C463">
        <v>48.15</v>
      </c>
      <c r="D463">
        <v>47.95</v>
      </c>
      <c r="E463">
        <v>48.02</v>
      </c>
      <c r="F463">
        <v>1639510</v>
      </c>
    </row>
    <row r="464" spans="1:6">
      <c r="A464" s="39">
        <v>42815</v>
      </c>
      <c r="B464">
        <v>48.36</v>
      </c>
      <c r="C464">
        <v>48.4</v>
      </c>
      <c r="D464">
        <v>47.68</v>
      </c>
      <c r="E464">
        <v>47.69</v>
      </c>
      <c r="F464">
        <v>1920712</v>
      </c>
    </row>
    <row r="465" spans="1:6">
      <c r="A465" s="39">
        <v>42816</v>
      </c>
      <c r="B465">
        <v>47.45</v>
      </c>
      <c r="C465">
        <v>47.67</v>
      </c>
      <c r="D465">
        <v>47.38</v>
      </c>
      <c r="E465">
        <v>47.66</v>
      </c>
      <c r="F465">
        <v>2242054</v>
      </c>
    </row>
    <row r="466" spans="1:6">
      <c r="A466" s="39">
        <v>42817</v>
      </c>
      <c r="B466">
        <v>47.55</v>
      </c>
      <c r="C466">
        <v>47.84</v>
      </c>
      <c r="D466">
        <v>47.53</v>
      </c>
      <c r="E466">
        <v>47.73</v>
      </c>
      <c r="F466">
        <v>1767117</v>
      </c>
    </row>
    <row r="467" spans="1:6">
      <c r="A467" s="39">
        <v>42818</v>
      </c>
      <c r="B467">
        <v>47.81</v>
      </c>
      <c r="C467">
        <v>47.94</v>
      </c>
      <c r="D467">
        <v>47.77</v>
      </c>
      <c r="E467">
        <v>47.86</v>
      </c>
      <c r="F467">
        <v>1524520</v>
      </c>
    </row>
    <row r="468" spans="1:6">
      <c r="A468" s="39">
        <v>42821</v>
      </c>
      <c r="B468">
        <v>47.73</v>
      </c>
      <c r="C468">
        <v>47.98</v>
      </c>
      <c r="D468">
        <v>47.66</v>
      </c>
      <c r="E468">
        <v>47.95</v>
      </c>
      <c r="F468">
        <v>1497092</v>
      </c>
    </row>
    <row r="469" spans="1:6">
      <c r="A469" s="39">
        <v>42822</v>
      </c>
      <c r="B469">
        <v>47.97</v>
      </c>
      <c r="C469">
        <v>48.18</v>
      </c>
      <c r="D469">
        <v>47.95</v>
      </c>
      <c r="E469">
        <v>48.1</v>
      </c>
      <c r="F469">
        <v>1902183</v>
      </c>
    </row>
    <row r="470" spans="1:6">
      <c r="A470" s="39">
        <v>42823</v>
      </c>
      <c r="B470">
        <v>47.98</v>
      </c>
      <c r="C470">
        <v>48.18</v>
      </c>
      <c r="D470">
        <v>47.94</v>
      </c>
      <c r="E470">
        <v>48.18</v>
      </c>
      <c r="F470">
        <v>1531746</v>
      </c>
    </row>
    <row r="471" spans="1:6">
      <c r="A471" s="39">
        <v>42824</v>
      </c>
      <c r="B471">
        <v>48.04</v>
      </c>
      <c r="C471">
        <v>48.15</v>
      </c>
      <c r="D471">
        <v>47.96</v>
      </c>
      <c r="E471">
        <v>47.99</v>
      </c>
      <c r="F471">
        <v>1306761</v>
      </c>
    </row>
    <row r="472" spans="1:6">
      <c r="A472" s="39">
        <v>42825</v>
      </c>
      <c r="B472">
        <v>47.77</v>
      </c>
      <c r="C472">
        <v>47.94</v>
      </c>
      <c r="D472">
        <v>47.72</v>
      </c>
      <c r="E472">
        <v>47.83</v>
      </c>
      <c r="F472">
        <v>1193233</v>
      </c>
    </row>
    <row r="473" spans="1:6">
      <c r="A473" s="39">
        <v>42828</v>
      </c>
      <c r="B473">
        <v>47.84</v>
      </c>
      <c r="C473">
        <v>47.87</v>
      </c>
      <c r="D473">
        <v>47.51</v>
      </c>
      <c r="E473">
        <v>47.84</v>
      </c>
      <c r="F473">
        <v>2729192</v>
      </c>
    </row>
    <row r="474" spans="1:6">
      <c r="A474" s="39">
        <v>42829</v>
      </c>
      <c r="B474">
        <v>47.69</v>
      </c>
      <c r="C474">
        <v>47.89</v>
      </c>
      <c r="D474">
        <v>47.62</v>
      </c>
      <c r="E474">
        <v>47.88</v>
      </c>
      <c r="F474">
        <v>2006765</v>
      </c>
    </row>
    <row r="475" spans="1:6">
      <c r="A475" s="39">
        <v>42830</v>
      </c>
      <c r="B475">
        <v>47.89</v>
      </c>
      <c r="C475">
        <v>48.03</v>
      </c>
      <c r="D475">
        <v>47.64</v>
      </c>
      <c r="E475">
        <v>47.64</v>
      </c>
      <c r="F475">
        <v>2306961</v>
      </c>
    </row>
    <row r="476" spans="1:6">
      <c r="A476" s="39">
        <v>42831</v>
      </c>
      <c r="B476">
        <v>47.65</v>
      </c>
      <c r="C476">
        <v>47.73</v>
      </c>
      <c r="D476">
        <v>47.56</v>
      </c>
      <c r="E476">
        <v>47.65</v>
      </c>
      <c r="F476">
        <v>2522960</v>
      </c>
    </row>
    <row r="477" spans="1:6">
      <c r="A477" s="39">
        <v>42832</v>
      </c>
      <c r="B477">
        <v>47.56</v>
      </c>
      <c r="C477">
        <v>47.7</v>
      </c>
      <c r="D477">
        <v>47.54</v>
      </c>
      <c r="E477">
        <v>47.59</v>
      </c>
      <c r="F477">
        <v>1580473</v>
      </c>
    </row>
    <row r="478" spans="1:6">
      <c r="A478" s="39">
        <v>42835</v>
      </c>
      <c r="B478">
        <v>47.53</v>
      </c>
      <c r="C478">
        <v>47.6</v>
      </c>
      <c r="D478">
        <v>47.46</v>
      </c>
      <c r="E478">
        <v>47.52</v>
      </c>
      <c r="F478">
        <v>1042868</v>
      </c>
    </row>
    <row r="479" spans="1:6">
      <c r="A479" s="39">
        <v>42836</v>
      </c>
      <c r="B479">
        <v>47.68</v>
      </c>
      <c r="C479">
        <v>47.7</v>
      </c>
      <c r="D479">
        <v>47.36</v>
      </c>
      <c r="E479">
        <v>47.67</v>
      </c>
      <c r="F479">
        <v>1884299</v>
      </c>
    </row>
    <row r="480" spans="1:6">
      <c r="A480" s="39">
        <v>42837</v>
      </c>
      <c r="B480">
        <v>47.67</v>
      </c>
      <c r="C480">
        <v>47.74</v>
      </c>
      <c r="D480">
        <v>47.51</v>
      </c>
      <c r="E480">
        <v>47.73</v>
      </c>
      <c r="F480">
        <v>1694025</v>
      </c>
    </row>
    <row r="481" spans="1:6">
      <c r="A481" s="39">
        <v>42838</v>
      </c>
      <c r="B481">
        <v>47.57</v>
      </c>
      <c r="C481">
        <v>47.63</v>
      </c>
      <c r="D481">
        <v>47.39</v>
      </c>
      <c r="E481">
        <v>47.39</v>
      </c>
      <c r="F481">
        <v>1067794</v>
      </c>
    </row>
    <row r="482" spans="1:6">
      <c r="A482" s="39">
        <v>42842</v>
      </c>
      <c r="B482">
        <v>47.63</v>
      </c>
      <c r="C482">
        <v>47.8</v>
      </c>
      <c r="D482">
        <v>47.61</v>
      </c>
      <c r="E482">
        <v>47.79</v>
      </c>
      <c r="F482">
        <v>1278098</v>
      </c>
    </row>
    <row r="483" spans="1:6">
      <c r="A483" s="39">
        <v>42843</v>
      </c>
      <c r="B483">
        <v>47.41</v>
      </c>
      <c r="C483">
        <v>47.5</v>
      </c>
      <c r="D483">
        <v>47.26</v>
      </c>
      <c r="E483">
        <v>47.45</v>
      </c>
      <c r="F483">
        <v>1597393</v>
      </c>
    </row>
    <row r="484" spans="1:6">
      <c r="A484" s="39">
        <v>42844</v>
      </c>
      <c r="B484">
        <v>47.52</v>
      </c>
      <c r="C484">
        <v>47.53</v>
      </c>
      <c r="D484">
        <v>47.18</v>
      </c>
      <c r="E484">
        <v>47.21</v>
      </c>
      <c r="F484">
        <v>1188674</v>
      </c>
    </row>
    <row r="485" spans="1:6">
      <c r="A485" s="39">
        <v>42845</v>
      </c>
      <c r="B485">
        <v>47.62</v>
      </c>
      <c r="C485">
        <v>47.72</v>
      </c>
      <c r="D485">
        <v>47.6</v>
      </c>
      <c r="E485">
        <v>47.64</v>
      </c>
      <c r="F485">
        <v>1202625</v>
      </c>
    </row>
    <row r="486" spans="1:6">
      <c r="A486" s="39">
        <v>42846</v>
      </c>
      <c r="B486">
        <v>47.63</v>
      </c>
      <c r="C486">
        <v>47.68</v>
      </c>
      <c r="D486">
        <v>47.56</v>
      </c>
      <c r="E486">
        <v>47.66</v>
      </c>
      <c r="F486">
        <v>1060130</v>
      </c>
    </row>
    <row r="487" spans="1:6">
      <c r="A487" s="39">
        <v>42849</v>
      </c>
      <c r="B487">
        <v>48.54</v>
      </c>
      <c r="C487">
        <v>48.71</v>
      </c>
      <c r="D487">
        <v>48.54</v>
      </c>
      <c r="E487">
        <v>48.66</v>
      </c>
      <c r="F487">
        <v>1763796</v>
      </c>
    </row>
    <row r="488" spans="1:6">
      <c r="A488" s="39">
        <v>42850</v>
      </c>
      <c r="B488">
        <v>48.91</v>
      </c>
      <c r="C488">
        <v>49.06</v>
      </c>
      <c r="D488">
        <v>48.87</v>
      </c>
      <c r="E488">
        <v>49.01</v>
      </c>
      <c r="F488">
        <v>1406827</v>
      </c>
    </row>
    <row r="489" spans="1:6">
      <c r="A489" s="39">
        <v>42851</v>
      </c>
      <c r="B489">
        <v>48.91</v>
      </c>
      <c r="C489">
        <v>49.04</v>
      </c>
      <c r="D489">
        <v>48.85</v>
      </c>
      <c r="E489">
        <v>48.85</v>
      </c>
      <c r="F489">
        <v>3264074</v>
      </c>
    </row>
    <row r="490" spans="1:6">
      <c r="A490" s="39">
        <v>42852</v>
      </c>
      <c r="B490">
        <v>48.93</v>
      </c>
      <c r="C490">
        <v>48.93</v>
      </c>
      <c r="D490">
        <v>48.72</v>
      </c>
      <c r="E490">
        <v>48.83</v>
      </c>
      <c r="F490">
        <v>1220193</v>
      </c>
    </row>
    <row r="491" spans="1:6">
      <c r="A491" s="39">
        <v>42853</v>
      </c>
      <c r="B491">
        <v>48.87</v>
      </c>
      <c r="C491">
        <v>48.88</v>
      </c>
      <c r="D491">
        <v>48.8</v>
      </c>
      <c r="E491">
        <v>48.83</v>
      </c>
      <c r="F491">
        <v>1245121</v>
      </c>
    </row>
    <row r="492" spans="1:6">
      <c r="A492" s="39">
        <v>42856</v>
      </c>
      <c r="B492">
        <v>49.04</v>
      </c>
      <c r="C492">
        <v>49.09</v>
      </c>
      <c r="D492">
        <v>48.93</v>
      </c>
      <c r="E492">
        <v>48.96</v>
      </c>
      <c r="F492">
        <v>1676487</v>
      </c>
    </row>
    <row r="493" spans="1:6">
      <c r="A493" s="39">
        <v>42857</v>
      </c>
      <c r="B493">
        <v>49.15</v>
      </c>
      <c r="C493">
        <v>49.28</v>
      </c>
      <c r="D493">
        <v>49.11</v>
      </c>
      <c r="E493">
        <v>49.27</v>
      </c>
      <c r="F493">
        <v>1277386</v>
      </c>
    </row>
    <row r="494" spans="1:6">
      <c r="A494" s="39">
        <v>42858</v>
      </c>
      <c r="B494">
        <v>49.12</v>
      </c>
      <c r="C494">
        <v>49.19</v>
      </c>
      <c r="D494">
        <v>49.01</v>
      </c>
      <c r="E494">
        <v>49.1</v>
      </c>
      <c r="F494">
        <v>1223836</v>
      </c>
    </row>
    <row r="495" spans="1:6">
      <c r="A495" s="39">
        <v>42859</v>
      </c>
      <c r="B495">
        <v>49.21</v>
      </c>
      <c r="C495">
        <v>49.31</v>
      </c>
      <c r="D495">
        <v>49.1</v>
      </c>
      <c r="E495">
        <v>49.3</v>
      </c>
      <c r="F495">
        <v>1127750</v>
      </c>
    </row>
    <row r="496" spans="1:6">
      <c r="A496" s="39">
        <v>42860</v>
      </c>
      <c r="B496">
        <v>49.31</v>
      </c>
      <c r="C496">
        <v>49.78</v>
      </c>
      <c r="D496">
        <v>49.3</v>
      </c>
      <c r="E496">
        <v>49.78</v>
      </c>
      <c r="F496">
        <v>1275385</v>
      </c>
    </row>
    <row r="497" spans="1:6">
      <c r="A497" s="39">
        <v>42863</v>
      </c>
      <c r="B497">
        <v>49.56</v>
      </c>
      <c r="C497">
        <v>49.6</v>
      </c>
      <c r="D497">
        <v>49.47</v>
      </c>
      <c r="E497">
        <v>49.52</v>
      </c>
      <c r="F497">
        <v>1707045</v>
      </c>
    </row>
    <row r="498" spans="1:6">
      <c r="A498" s="39">
        <v>42864</v>
      </c>
      <c r="B498">
        <v>49.55</v>
      </c>
      <c r="C498">
        <v>49.61</v>
      </c>
      <c r="D498">
        <v>49.45</v>
      </c>
      <c r="E498">
        <v>49.54</v>
      </c>
      <c r="F498">
        <v>2404019</v>
      </c>
    </row>
    <row r="499" spans="1:6">
      <c r="A499" s="39">
        <v>42865</v>
      </c>
      <c r="B499">
        <v>49.59</v>
      </c>
      <c r="C499">
        <v>49.66</v>
      </c>
      <c r="D499">
        <v>49.53</v>
      </c>
      <c r="E499">
        <v>49.64</v>
      </c>
      <c r="F499">
        <v>1283289</v>
      </c>
    </row>
    <row r="500" spans="1:6">
      <c r="A500" s="39">
        <v>42866</v>
      </c>
      <c r="B500">
        <v>49.52</v>
      </c>
      <c r="C500">
        <v>49.61</v>
      </c>
      <c r="D500">
        <v>49.4</v>
      </c>
      <c r="E500">
        <v>49.59</v>
      </c>
      <c r="F500">
        <v>1548461</v>
      </c>
    </row>
    <row r="501" spans="1:6">
      <c r="A501" s="39">
        <v>42867</v>
      </c>
      <c r="B501">
        <v>49.64</v>
      </c>
      <c r="C501">
        <v>49.84</v>
      </c>
      <c r="D501">
        <v>49.64</v>
      </c>
      <c r="E501">
        <v>49.84</v>
      </c>
      <c r="F501">
        <v>1174404</v>
      </c>
    </row>
    <row r="502" spans="1:6">
      <c r="A502" s="39">
        <v>42870</v>
      </c>
      <c r="B502">
        <v>50.01</v>
      </c>
      <c r="C502">
        <v>50.16</v>
      </c>
      <c r="D502">
        <v>50.01</v>
      </c>
      <c r="E502">
        <v>50.16</v>
      </c>
      <c r="F502">
        <v>1830096</v>
      </c>
    </row>
    <row r="503" spans="1:6">
      <c r="A503" s="39">
        <v>42871</v>
      </c>
      <c r="B503">
        <v>50.39</v>
      </c>
      <c r="C503">
        <v>50.41</v>
      </c>
      <c r="D503">
        <v>50.3</v>
      </c>
      <c r="E503">
        <v>50.36</v>
      </c>
      <c r="F503">
        <v>2110313</v>
      </c>
    </row>
    <row r="504" spans="1:6">
      <c r="A504" s="39">
        <v>42872</v>
      </c>
      <c r="B504">
        <v>50.13</v>
      </c>
      <c r="C504">
        <v>50.14</v>
      </c>
      <c r="D504">
        <v>49.74</v>
      </c>
      <c r="E504">
        <v>49.76</v>
      </c>
      <c r="F504">
        <v>2262366</v>
      </c>
    </row>
    <row r="505" spans="1:6">
      <c r="A505" s="39">
        <v>42873</v>
      </c>
      <c r="B505">
        <v>49.45</v>
      </c>
      <c r="C505">
        <v>49.73</v>
      </c>
      <c r="D505">
        <v>49.35</v>
      </c>
      <c r="E505">
        <v>49.6</v>
      </c>
      <c r="F505">
        <v>3195011</v>
      </c>
    </row>
    <row r="506" spans="1:6">
      <c r="A506" s="39">
        <v>42874</v>
      </c>
      <c r="B506">
        <v>50.05</v>
      </c>
      <c r="C506">
        <v>50.32</v>
      </c>
      <c r="D506">
        <v>50.03</v>
      </c>
      <c r="E506">
        <v>50.28</v>
      </c>
      <c r="F506">
        <v>1554436</v>
      </c>
    </row>
  </sheetData>
  <sortState ref="A3:F506">
    <sortCondition ref="A3:A50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06"/>
  <sheetViews>
    <sheetView workbookViewId="0"/>
  </sheetViews>
  <sheetFormatPr defaultRowHeight="15"/>
  <cols>
    <col min="1" max="7" width="10.7109375" customWidth="1"/>
  </cols>
  <sheetData>
    <row r="1" spans="1:6">
      <c r="A1" t="s">
        <v>42</v>
      </c>
    </row>
    <row r="2" spans="1:6">
      <c r="A2" t="s">
        <v>26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</row>
    <row r="3" spans="1:6">
      <c r="A3" s="39">
        <v>42145</v>
      </c>
      <c r="B3">
        <v>43.69</v>
      </c>
      <c r="C3">
        <v>43.88</v>
      </c>
      <c r="D3">
        <v>43.65</v>
      </c>
      <c r="E3">
        <v>43.85</v>
      </c>
      <c r="F3">
        <v>9166850</v>
      </c>
    </row>
    <row r="4" spans="1:6">
      <c r="A4" s="39">
        <v>42146</v>
      </c>
      <c r="B4">
        <v>44.05</v>
      </c>
      <c r="C4">
        <v>44.11</v>
      </c>
      <c r="D4">
        <v>43.89</v>
      </c>
      <c r="E4">
        <v>43.96</v>
      </c>
      <c r="F4">
        <v>9856403</v>
      </c>
    </row>
    <row r="5" spans="1:6">
      <c r="A5" s="39">
        <v>42150</v>
      </c>
      <c r="B5">
        <v>43.77</v>
      </c>
      <c r="C5">
        <v>43.77</v>
      </c>
      <c r="D5">
        <v>43.17</v>
      </c>
      <c r="E5">
        <v>43.31</v>
      </c>
      <c r="F5">
        <v>8760455</v>
      </c>
    </row>
    <row r="6" spans="1:6">
      <c r="A6" s="39">
        <v>42151</v>
      </c>
      <c r="B6">
        <v>43.09</v>
      </c>
      <c r="C6">
        <v>43.47</v>
      </c>
      <c r="D6">
        <v>42.99</v>
      </c>
      <c r="E6">
        <v>43.42</v>
      </c>
      <c r="F6">
        <v>8811590</v>
      </c>
    </row>
    <row r="7" spans="1:6">
      <c r="A7" s="39">
        <v>42152</v>
      </c>
      <c r="B7">
        <v>42.76</v>
      </c>
      <c r="C7">
        <v>42.85</v>
      </c>
      <c r="D7">
        <v>42.56</v>
      </c>
      <c r="E7">
        <v>42.81</v>
      </c>
      <c r="F7">
        <v>9480285</v>
      </c>
    </row>
    <row r="8" spans="1:6">
      <c r="A8" s="39">
        <v>42153</v>
      </c>
      <c r="B8">
        <v>42.72</v>
      </c>
      <c r="C8">
        <v>42.77</v>
      </c>
      <c r="D8">
        <v>42.33</v>
      </c>
      <c r="E8">
        <v>42.34</v>
      </c>
      <c r="F8">
        <v>9557911</v>
      </c>
    </row>
    <row r="9" spans="1:6">
      <c r="A9" s="39">
        <v>42156</v>
      </c>
      <c r="B9">
        <v>42.5</v>
      </c>
      <c r="C9">
        <v>42.54</v>
      </c>
      <c r="D9">
        <v>42.16</v>
      </c>
      <c r="E9">
        <v>42.31</v>
      </c>
      <c r="F9">
        <v>12350006</v>
      </c>
    </row>
    <row r="10" spans="1:6">
      <c r="A10" s="39">
        <v>42157</v>
      </c>
      <c r="B10">
        <v>42.27</v>
      </c>
      <c r="C10">
        <v>42.64</v>
      </c>
      <c r="D10">
        <v>42.21</v>
      </c>
      <c r="E10">
        <v>42.46</v>
      </c>
      <c r="F10">
        <v>11940135</v>
      </c>
    </row>
    <row r="11" spans="1:6">
      <c r="A11" s="39">
        <v>42158</v>
      </c>
      <c r="B11">
        <v>42.28</v>
      </c>
      <c r="C11">
        <v>42.39</v>
      </c>
      <c r="D11">
        <v>42.12</v>
      </c>
      <c r="E11">
        <v>42.25</v>
      </c>
      <c r="F11">
        <v>19170082</v>
      </c>
    </row>
    <row r="12" spans="1:6">
      <c r="A12" s="39">
        <v>42159</v>
      </c>
      <c r="B12">
        <v>41.93</v>
      </c>
      <c r="C12">
        <v>42.03</v>
      </c>
      <c r="D12">
        <v>41.58</v>
      </c>
      <c r="E12">
        <v>41.63</v>
      </c>
      <c r="F12">
        <v>10652257</v>
      </c>
    </row>
    <row r="13" spans="1:6">
      <c r="A13" s="39">
        <v>42160</v>
      </c>
      <c r="B13">
        <v>41.36</v>
      </c>
      <c r="C13">
        <v>41.61</v>
      </c>
      <c r="D13">
        <v>41.19</v>
      </c>
      <c r="E13">
        <v>41.43</v>
      </c>
      <c r="F13">
        <v>8362173</v>
      </c>
    </row>
    <row r="14" spans="1:6">
      <c r="A14" s="39">
        <v>42163</v>
      </c>
      <c r="B14">
        <v>41.45</v>
      </c>
      <c r="C14">
        <v>41.54</v>
      </c>
      <c r="D14">
        <v>41.38</v>
      </c>
      <c r="E14">
        <v>41.41</v>
      </c>
      <c r="F14">
        <v>9510917</v>
      </c>
    </row>
    <row r="15" spans="1:6">
      <c r="A15" s="39">
        <v>42164</v>
      </c>
      <c r="B15">
        <v>41.2</v>
      </c>
      <c r="C15">
        <v>41.26</v>
      </c>
      <c r="D15">
        <v>41.07</v>
      </c>
      <c r="E15">
        <v>41.11</v>
      </c>
      <c r="F15">
        <v>9589787</v>
      </c>
    </row>
    <row r="16" spans="1:6">
      <c r="A16" s="39">
        <v>42165</v>
      </c>
      <c r="B16">
        <v>41.57</v>
      </c>
      <c r="C16">
        <v>41.81</v>
      </c>
      <c r="D16">
        <v>41.51</v>
      </c>
      <c r="E16">
        <v>41.71</v>
      </c>
      <c r="F16">
        <v>8038469</v>
      </c>
    </row>
    <row r="17" spans="1:6">
      <c r="A17" s="39">
        <v>42166</v>
      </c>
      <c r="B17">
        <v>41.63</v>
      </c>
      <c r="C17">
        <v>41.63</v>
      </c>
      <c r="D17">
        <v>41.39</v>
      </c>
      <c r="E17">
        <v>41.54</v>
      </c>
      <c r="F17">
        <v>7797943</v>
      </c>
    </row>
    <row r="18" spans="1:6">
      <c r="A18" s="39">
        <v>42167</v>
      </c>
      <c r="B18">
        <v>41.55</v>
      </c>
      <c r="C18">
        <v>41.66</v>
      </c>
      <c r="D18">
        <v>41.46</v>
      </c>
      <c r="E18">
        <v>41.55</v>
      </c>
      <c r="F18">
        <v>12815326</v>
      </c>
    </row>
    <row r="19" spans="1:6">
      <c r="A19" s="39">
        <v>42170</v>
      </c>
      <c r="B19">
        <v>41.1</v>
      </c>
      <c r="C19">
        <v>41.16</v>
      </c>
      <c r="D19">
        <v>40.97</v>
      </c>
      <c r="E19">
        <v>41.13</v>
      </c>
      <c r="F19">
        <v>9747552</v>
      </c>
    </row>
    <row r="20" spans="1:6">
      <c r="A20" s="39">
        <v>42171</v>
      </c>
      <c r="B20">
        <v>41.07</v>
      </c>
      <c r="C20">
        <v>41.25</v>
      </c>
      <c r="D20">
        <v>40.97</v>
      </c>
      <c r="E20">
        <v>41.22</v>
      </c>
      <c r="F20">
        <v>7337192</v>
      </c>
    </row>
    <row r="21" spans="1:6">
      <c r="A21" s="39">
        <v>42172</v>
      </c>
      <c r="B21">
        <v>41.19</v>
      </c>
      <c r="C21">
        <v>41.66</v>
      </c>
      <c r="D21">
        <v>40.98</v>
      </c>
      <c r="E21">
        <v>41.48</v>
      </c>
      <c r="F21">
        <v>14673038</v>
      </c>
    </row>
    <row r="22" spans="1:6">
      <c r="A22" s="39">
        <v>42173</v>
      </c>
      <c r="B22">
        <v>41.71</v>
      </c>
      <c r="C22">
        <v>41.96</v>
      </c>
      <c r="D22">
        <v>41.66</v>
      </c>
      <c r="E22">
        <v>41.85</v>
      </c>
      <c r="F22">
        <v>17347078</v>
      </c>
    </row>
    <row r="23" spans="1:6">
      <c r="A23" s="39">
        <v>42174</v>
      </c>
      <c r="B23">
        <v>41.63</v>
      </c>
      <c r="C23">
        <v>41.73</v>
      </c>
      <c r="D23">
        <v>41.47</v>
      </c>
      <c r="E23">
        <v>41.47</v>
      </c>
      <c r="F23">
        <v>16788252</v>
      </c>
    </row>
    <row r="24" spans="1:6">
      <c r="A24" s="39">
        <v>42177</v>
      </c>
      <c r="B24">
        <v>42.06</v>
      </c>
      <c r="C24">
        <v>42.14</v>
      </c>
      <c r="D24">
        <v>41.98</v>
      </c>
      <c r="E24">
        <v>42.01</v>
      </c>
      <c r="F24">
        <v>10445020</v>
      </c>
    </row>
    <row r="25" spans="1:6">
      <c r="A25" s="39">
        <v>42178</v>
      </c>
      <c r="B25">
        <v>42.24</v>
      </c>
      <c r="C25">
        <v>42.43</v>
      </c>
      <c r="D25">
        <v>42.19</v>
      </c>
      <c r="E25">
        <v>42.39</v>
      </c>
      <c r="F25">
        <v>7286268</v>
      </c>
    </row>
    <row r="26" spans="1:6">
      <c r="A26" s="39">
        <v>42179</v>
      </c>
      <c r="B26">
        <v>42.39</v>
      </c>
      <c r="C26">
        <v>42.5</v>
      </c>
      <c r="D26">
        <v>42.16</v>
      </c>
      <c r="E26">
        <v>42.17</v>
      </c>
      <c r="F26">
        <v>10280027</v>
      </c>
    </row>
    <row r="27" spans="1:6">
      <c r="A27" s="39">
        <v>42180</v>
      </c>
      <c r="B27">
        <v>42.3</v>
      </c>
      <c r="C27">
        <v>42.3</v>
      </c>
      <c r="D27">
        <v>41.99</v>
      </c>
      <c r="E27">
        <v>42.02</v>
      </c>
      <c r="F27">
        <v>9855148</v>
      </c>
    </row>
    <row r="28" spans="1:6">
      <c r="A28" s="39">
        <v>42181</v>
      </c>
      <c r="B28">
        <v>41.29</v>
      </c>
      <c r="C28">
        <v>41.46</v>
      </c>
      <c r="D28">
        <v>41.2</v>
      </c>
      <c r="E28">
        <v>41.25</v>
      </c>
      <c r="F28">
        <v>8493263</v>
      </c>
    </row>
    <row r="29" spans="1:6">
      <c r="A29" s="39">
        <v>42184</v>
      </c>
      <c r="B29">
        <v>40.61</v>
      </c>
      <c r="C29">
        <v>40.74</v>
      </c>
      <c r="D29">
        <v>40.32</v>
      </c>
      <c r="E29">
        <v>40.340000000000003</v>
      </c>
      <c r="F29">
        <v>18997288</v>
      </c>
    </row>
    <row r="30" spans="1:6">
      <c r="A30" s="39">
        <v>42185</v>
      </c>
      <c r="B30">
        <v>41.11</v>
      </c>
      <c r="C30">
        <v>41.11</v>
      </c>
      <c r="D30">
        <v>40.75</v>
      </c>
      <c r="E30">
        <v>40.880000000000003</v>
      </c>
      <c r="F30">
        <v>20400851</v>
      </c>
    </row>
    <row r="31" spans="1:6">
      <c r="A31" s="39">
        <v>42186</v>
      </c>
      <c r="B31">
        <v>41.07</v>
      </c>
      <c r="C31">
        <v>41.14</v>
      </c>
      <c r="D31">
        <v>40.76</v>
      </c>
      <c r="E31">
        <v>40.880000000000003</v>
      </c>
      <c r="F31">
        <v>16460752</v>
      </c>
    </row>
    <row r="32" spans="1:6">
      <c r="A32" s="39">
        <v>42187</v>
      </c>
      <c r="B32">
        <v>41.12</v>
      </c>
      <c r="C32">
        <v>41.29</v>
      </c>
      <c r="D32">
        <v>41</v>
      </c>
      <c r="E32">
        <v>41.07</v>
      </c>
      <c r="F32">
        <v>9116098</v>
      </c>
    </row>
    <row r="33" spans="1:6">
      <c r="A33" s="39">
        <v>42191</v>
      </c>
      <c r="B33">
        <v>40</v>
      </c>
      <c r="C33">
        <v>40.25</v>
      </c>
      <c r="D33">
        <v>39.75</v>
      </c>
      <c r="E33">
        <v>39.93</v>
      </c>
      <c r="F33">
        <v>14949842</v>
      </c>
    </row>
    <row r="34" spans="1:6">
      <c r="A34" s="39">
        <v>42192</v>
      </c>
      <c r="B34">
        <v>39.130000000000003</v>
      </c>
      <c r="C34">
        <v>39.36</v>
      </c>
      <c r="D34">
        <v>38.54</v>
      </c>
      <c r="E34">
        <v>39.32</v>
      </c>
      <c r="F34">
        <v>18876413</v>
      </c>
    </row>
    <row r="35" spans="1:6">
      <c r="A35" s="39">
        <v>42193</v>
      </c>
      <c r="B35">
        <v>38.18</v>
      </c>
      <c r="C35">
        <v>38.35</v>
      </c>
      <c r="D35">
        <v>37.83</v>
      </c>
      <c r="E35">
        <v>37.869999999999997</v>
      </c>
      <c r="F35">
        <v>21238337</v>
      </c>
    </row>
    <row r="36" spans="1:6">
      <c r="A36" s="39">
        <v>42194</v>
      </c>
      <c r="B36">
        <v>38.99</v>
      </c>
      <c r="C36">
        <v>39.19</v>
      </c>
      <c r="D36">
        <v>38.630000000000003</v>
      </c>
      <c r="E36">
        <v>38.64</v>
      </c>
      <c r="F36">
        <v>18488926</v>
      </c>
    </row>
    <row r="37" spans="1:6">
      <c r="A37" s="39">
        <v>42195</v>
      </c>
      <c r="B37">
        <v>39.630000000000003</v>
      </c>
      <c r="C37">
        <v>39.83</v>
      </c>
      <c r="D37">
        <v>39.4</v>
      </c>
      <c r="E37">
        <v>39.729999999999997</v>
      </c>
      <c r="F37">
        <v>16651402</v>
      </c>
    </row>
    <row r="38" spans="1:6">
      <c r="A38" s="39">
        <v>42198</v>
      </c>
      <c r="B38">
        <v>39.96</v>
      </c>
      <c r="C38">
        <v>40.07</v>
      </c>
      <c r="D38">
        <v>39.880000000000003</v>
      </c>
      <c r="E38">
        <v>39.979999999999997</v>
      </c>
      <c r="F38">
        <v>20934725</v>
      </c>
    </row>
    <row r="39" spans="1:6">
      <c r="A39" s="39">
        <v>42199</v>
      </c>
      <c r="B39">
        <v>39.9</v>
      </c>
      <c r="C39">
        <v>40.119999999999997</v>
      </c>
      <c r="D39">
        <v>39.79</v>
      </c>
      <c r="E39">
        <v>40.08</v>
      </c>
      <c r="F39">
        <v>10899370</v>
      </c>
    </row>
    <row r="40" spans="1:6">
      <c r="A40" s="39">
        <v>42200</v>
      </c>
      <c r="B40">
        <v>39.85</v>
      </c>
      <c r="C40">
        <v>39.89</v>
      </c>
      <c r="D40">
        <v>39.57</v>
      </c>
      <c r="E40">
        <v>39.590000000000003</v>
      </c>
      <c r="F40">
        <v>11107766</v>
      </c>
    </row>
    <row r="41" spans="1:6">
      <c r="A41" s="39">
        <v>42201</v>
      </c>
      <c r="B41">
        <v>40.01</v>
      </c>
      <c r="C41">
        <v>40.119999999999997</v>
      </c>
      <c r="D41">
        <v>39.909999999999997</v>
      </c>
      <c r="E41">
        <v>40.06</v>
      </c>
      <c r="F41">
        <v>7439914</v>
      </c>
    </row>
    <row r="42" spans="1:6">
      <c r="A42" s="39">
        <v>42202</v>
      </c>
      <c r="B42">
        <v>40.159999999999997</v>
      </c>
      <c r="C42">
        <v>40.21</v>
      </c>
      <c r="D42">
        <v>40</v>
      </c>
      <c r="E42">
        <v>40.049999999999997</v>
      </c>
      <c r="F42">
        <v>8366513</v>
      </c>
    </row>
    <row r="43" spans="1:6">
      <c r="A43" s="39">
        <v>42205</v>
      </c>
      <c r="B43">
        <v>39.79</v>
      </c>
      <c r="C43">
        <v>39.89</v>
      </c>
      <c r="D43">
        <v>39.54</v>
      </c>
      <c r="E43">
        <v>39.799999999999997</v>
      </c>
      <c r="F43">
        <v>9953918</v>
      </c>
    </row>
    <row r="44" spans="1:6">
      <c r="A44" s="39">
        <v>42206</v>
      </c>
      <c r="B44">
        <v>39.9</v>
      </c>
      <c r="C44">
        <v>40.03</v>
      </c>
      <c r="D44">
        <v>39.799999999999997</v>
      </c>
      <c r="E44">
        <v>39.81</v>
      </c>
      <c r="F44">
        <v>8696210</v>
      </c>
    </row>
    <row r="45" spans="1:6">
      <c r="A45" s="39">
        <v>42207</v>
      </c>
      <c r="B45">
        <v>39.46</v>
      </c>
      <c r="C45">
        <v>39.520000000000003</v>
      </c>
      <c r="D45">
        <v>39.229999999999997</v>
      </c>
      <c r="E45">
        <v>39.28</v>
      </c>
      <c r="F45">
        <v>9318073</v>
      </c>
    </row>
    <row r="46" spans="1:6">
      <c r="A46" s="39">
        <v>42208</v>
      </c>
      <c r="B46">
        <v>39.229999999999997</v>
      </c>
      <c r="C46">
        <v>39.29</v>
      </c>
      <c r="D46">
        <v>38.9</v>
      </c>
      <c r="E46">
        <v>38.950000000000003</v>
      </c>
      <c r="F46">
        <v>9391079</v>
      </c>
    </row>
    <row r="47" spans="1:6">
      <c r="A47" s="39">
        <v>42209</v>
      </c>
      <c r="B47">
        <v>38.67</v>
      </c>
      <c r="C47">
        <v>38.67</v>
      </c>
      <c r="D47">
        <v>38.200000000000003</v>
      </c>
      <c r="E47">
        <v>38.39</v>
      </c>
      <c r="F47">
        <v>9799805</v>
      </c>
    </row>
    <row r="48" spans="1:6">
      <c r="A48" s="39">
        <v>42212</v>
      </c>
      <c r="B48">
        <v>37.659999999999997</v>
      </c>
      <c r="C48">
        <v>37.72</v>
      </c>
      <c r="D48">
        <v>37.42</v>
      </c>
      <c r="E48">
        <v>37.53</v>
      </c>
      <c r="F48">
        <v>16577478</v>
      </c>
    </row>
    <row r="49" spans="1:6">
      <c r="A49" s="39">
        <v>42213</v>
      </c>
      <c r="B49">
        <v>37.74</v>
      </c>
      <c r="C49">
        <v>37.89</v>
      </c>
      <c r="D49">
        <v>37.520000000000003</v>
      </c>
      <c r="E49">
        <v>37.89</v>
      </c>
      <c r="F49">
        <v>17999548</v>
      </c>
    </row>
    <row r="50" spans="1:6">
      <c r="A50" s="39">
        <v>42214</v>
      </c>
      <c r="B50">
        <v>37.92</v>
      </c>
      <c r="C50">
        <v>38.39</v>
      </c>
      <c r="D50">
        <v>37.82</v>
      </c>
      <c r="E50">
        <v>38.24</v>
      </c>
      <c r="F50">
        <v>12955163</v>
      </c>
    </row>
    <row r="51" spans="1:6">
      <c r="A51" s="39">
        <v>42215</v>
      </c>
      <c r="B51">
        <v>37.97</v>
      </c>
      <c r="C51">
        <v>38.03</v>
      </c>
      <c r="D51">
        <v>37.75</v>
      </c>
      <c r="E51">
        <v>38</v>
      </c>
      <c r="F51">
        <v>10258135</v>
      </c>
    </row>
    <row r="52" spans="1:6">
      <c r="A52" s="39">
        <v>42216</v>
      </c>
      <c r="B52">
        <v>38.33</v>
      </c>
      <c r="C52">
        <v>38.5</v>
      </c>
      <c r="D52">
        <v>38.159999999999997</v>
      </c>
      <c r="E52">
        <v>38.32</v>
      </c>
      <c r="F52">
        <v>16153208</v>
      </c>
    </row>
    <row r="53" spans="1:6">
      <c r="A53" s="39">
        <v>42219</v>
      </c>
      <c r="B53">
        <v>37.909999999999997</v>
      </c>
      <c r="C53">
        <v>37.96</v>
      </c>
      <c r="D53">
        <v>37.54</v>
      </c>
      <c r="E53">
        <v>37.69</v>
      </c>
      <c r="F53">
        <v>13893778</v>
      </c>
    </row>
    <row r="54" spans="1:6">
      <c r="A54" s="39">
        <v>42220</v>
      </c>
      <c r="B54">
        <v>37.99</v>
      </c>
      <c r="C54">
        <v>38.119999999999997</v>
      </c>
      <c r="D54">
        <v>37.68</v>
      </c>
      <c r="E54">
        <v>37.81</v>
      </c>
      <c r="F54">
        <v>12430311</v>
      </c>
    </row>
    <row r="55" spans="1:6">
      <c r="A55" s="39">
        <v>42221</v>
      </c>
      <c r="B55">
        <v>38.14</v>
      </c>
      <c r="C55">
        <v>38.25</v>
      </c>
      <c r="D55">
        <v>37.79</v>
      </c>
      <c r="E55">
        <v>37.85</v>
      </c>
      <c r="F55">
        <v>11748608</v>
      </c>
    </row>
    <row r="56" spans="1:6">
      <c r="A56" s="39">
        <v>42222</v>
      </c>
      <c r="B56">
        <v>37.65</v>
      </c>
      <c r="C56">
        <v>37.72</v>
      </c>
      <c r="D56">
        <v>37.46</v>
      </c>
      <c r="E56">
        <v>37.58</v>
      </c>
      <c r="F56">
        <v>12595136</v>
      </c>
    </row>
    <row r="57" spans="1:6">
      <c r="A57" s="39">
        <v>42223</v>
      </c>
      <c r="B57">
        <v>37.57</v>
      </c>
      <c r="C57">
        <v>37.72</v>
      </c>
      <c r="D57">
        <v>37.47</v>
      </c>
      <c r="E57">
        <v>37.54</v>
      </c>
      <c r="F57">
        <v>15026291</v>
      </c>
    </row>
    <row r="58" spans="1:6">
      <c r="A58" s="39">
        <v>42226</v>
      </c>
      <c r="B58">
        <v>37.72</v>
      </c>
      <c r="C58">
        <v>38.270000000000003</v>
      </c>
      <c r="D58">
        <v>37.72</v>
      </c>
      <c r="E58">
        <v>38.18</v>
      </c>
      <c r="F58">
        <v>9670291</v>
      </c>
    </row>
    <row r="59" spans="1:6">
      <c r="A59" s="39">
        <v>42227</v>
      </c>
      <c r="B59">
        <v>37.42</v>
      </c>
      <c r="C59">
        <v>37.46</v>
      </c>
      <c r="D59">
        <v>37.04</v>
      </c>
      <c r="E59">
        <v>37.36</v>
      </c>
      <c r="F59">
        <v>13511040</v>
      </c>
    </row>
    <row r="60" spans="1:6">
      <c r="A60" s="39">
        <v>42228</v>
      </c>
      <c r="B60">
        <v>36.68</v>
      </c>
      <c r="C60">
        <v>36.79</v>
      </c>
      <c r="D60">
        <v>36.479999999999997</v>
      </c>
      <c r="E60">
        <v>36.78</v>
      </c>
      <c r="F60">
        <v>21512512</v>
      </c>
    </row>
    <row r="61" spans="1:6">
      <c r="A61" s="39">
        <v>42229</v>
      </c>
      <c r="B61">
        <v>36.81</v>
      </c>
      <c r="C61">
        <v>36.92</v>
      </c>
      <c r="D61">
        <v>36.64</v>
      </c>
      <c r="E61">
        <v>36.71</v>
      </c>
      <c r="F61">
        <v>10543284</v>
      </c>
    </row>
    <row r="62" spans="1:6">
      <c r="A62" s="39">
        <v>42230</v>
      </c>
      <c r="B62">
        <v>36.79</v>
      </c>
      <c r="C62">
        <v>36.92</v>
      </c>
      <c r="D62">
        <v>36.76</v>
      </c>
      <c r="E62">
        <v>36.82</v>
      </c>
      <c r="F62">
        <v>8488483</v>
      </c>
    </row>
    <row r="63" spans="1:6">
      <c r="A63" s="39">
        <v>42233</v>
      </c>
      <c r="B63">
        <v>36.340000000000003</v>
      </c>
      <c r="C63">
        <v>36.47</v>
      </c>
      <c r="D63">
        <v>36.200000000000003</v>
      </c>
      <c r="E63">
        <v>36.43</v>
      </c>
      <c r="F63">
        <v>11034328</v>
      </c>
    </row>
    <row r="64" spans="1:6">
      <c r="A64" s="39">
        <v>42234</v>
      </c>
      <c r="B64">
        <v>36.020000000000003</v>
      </c>
      <c r="C64">
        <v>36.11</v>
      </c>
      <c r="D64">
        <v>35.9</v>
      </c>
      <c r="E64">
        <v>36.01</v>
      </c>
      <c r="F64">
        <v>10526830</v>
      </c>
    </row>
    <row r="65" spans="1:6">
      <c r="A65" s="39">
        <v>42235</v>
      </c>
      <c r="B65">
        <v>35.770000000000003</v>
      </c>
      <c r="C65">
        <v>35.9</v>
      </c>
      <c r="D65">
        <v>35.229999999999997</v>
      </c>
      <c r="E65">
        <v>35.520000000000003</v>
      </c>
      <c r="F65">
        <v>51010195</v>
      </c>
    </row>
    <row r="66" spans="1:6">
      <c r="A66" s="39">
        <v>42236</v>
      </c>
      <c r="B66">
        <v>35.06</v>
      </c>
      <c r="C66">
        <v>35.18</v>
      </c>
      <c r="D66">
        <v>34.92</v>
      </c>
      <c r="E66">
        <v>34.950000000000003</v>
      </c>
      <c r="F66">
        <v>24406713</v>
      </c>
    </row>
    <row r="67" spans="1:6">
      <c r="A67" s="39">
        <v>42237</v>
      </c>
      <c r="B67">
        <v>34.549999999999997</v>
      </c>
      <c r="C67">
        <v>34.590000000000003</v>
      </c>
      <c r="D67">
        <v>33.86</v>
      </c>
      <c r="E67">
        <v>33.86</v>
      </c>
      <c r="F67">
        <v>28553554</v>
      </c>
    </row>
    <row r="68" spans="1:6">
      <c r="A68" s="39">
        <v>42240</v>
      </c>
      <c r="B68">
        <v>31.45</v>
      </c>
      <c r="C68">
        <v>33.159999999999997</v>
      </c>
      <c r="D68">
        <v>30.9</v>
      </c>
      <c r="E68">
        <v>32.17</v>
      </c>
      <c r="F68">
        <v>57266428</v>
      </c>
    </row>
    <row r="69" spans="1:6">
      <c r="A69" s="39">
        <v>42241</v>
      </c>
      <c r="B69">
        <v>34.15</v>
      </c>
      <c r="C69">
        <v>34.229999999999997</v>
      </c>
      <c r="D69">
        <v>32.619999999999997</v>
      </c>
      <c r="E69">
        <v>32.630000000000003</v>
      </c>
      <c r="F69">
        <v>46410761</v>
      </c>
    </row>
    <row r="70" spans="1:6">
      <c r="A70" s="39">
        <v>42242</v>
      </c>
      <c r="B70">
        <v>33.4</v>
      </c>
      <c r="C70">
        <v>33.799999999999997</v>
      </c>
      <c r="D70">
        <v>32.75</v>
      </c>
      <c r="E70">
        <v>33.76</v>
      </c>
      <c r="F70">
        <v>41852367</v>
      </c>
    </row>
    <row r="71" spans="1:6">
      <c r="A71" s="39">
        <v>42243</v>
      </c>
      <c r="B71">
        <v>34.64</v>
      </c>
      <c r="C71">
        <v>35.14</v>
      </c>
      <c r="D71">
        <v>34.1</v>
      </c>
      <c r="E71">
        <v>35.119999999999997</v>
      </c>
      <c r="F71">
        <v>33427469</v>
      </c>
    </row>
    <row r="72" spans="1:6">
      <c r="A72" s="39">
        <v>42244</v>
      </c>
      <c r="B72">
        <v>34.67</v>
      </c>
      <c r="C72">
        <v>34.880000000000003</v>
      </c>
      <c r="D72">
        <v>34.44</v>
      </c>
      <c r="E72">
        <v>34.61</v>
      </c>
      <c r="F72">
        <v>38177381</v>
      </c>
    </row>
    <row r="73" spans="1:6">
      <c r="A73" s="39">
        <v>42247</v>
      </c>
      <c r="B73">
        <v>34.29</v>
      </c>
      <c r="C73">
        <v>34.65</v>
      </c>
      <c r="D73">
        <v>34</v>
      </c>
      <c r="E73">
        <v>34.54</v>
      </c>
      <c r="F73">
        <v>36191729</v>
      </c>
    </row>
    <row r="74" spans="1:6">
      <c r="A74" s="39">
        <v>42248</v>
      </c>
      <c r="B74">
        <v>33.590000000000003</v>
      </c>
      <c r="C74">
        <v>33.76</v>
      </c>
      <c r="D74">
        <v>33.04</v>
      </c>
      <c r="E74">
        <v>33.19</v>
      </c>
      <c r="F74">
        <v>38525814</v>
      </c>
    </row>
    <row r="75" spans="1:6">
      <c r="A75" s="39">
        <v>42249</v>
      </c>
      <c r="B75">
        <v>33.64</v>
      </c>
      <c r="C75">
        <v>33.700000000000003</v>
      </c>
      <c r="D75">
        <v>33.25</v>
      </c>
      <c r="E75">
        <v>33.69</v>
      </c>
      <c r="F75">
        <v>28057652</v>
      </c>
    </row>
    <row r="76" spans="1:6">
      <c r="A76" s="39">
        <v>42250</v>
      </c>
      <c r="B76">
        <v>33.729999999999997</v>
      </c>
      <c r="C76">
        <v>34.26</v>
      </c>
      <c r="D76">
        <v>33.71</v>
      </c>
      <c r="E76">
        <v>33.840000000000003</v>
      </c>
      <c r="F76">
        <v>24314258</v>
      </c>
    </row>
    <row r="77" spans="1:6">
      <c r="A77" s="39">
        <v>42251</v>
      </c>
      <c r="B77">
        <v>33.090000000000003</v>
      </c>
      <c r="C77">
        <v>33.24</v>
      </c>
      <c r="D77">
        <v>32.619999999999997</v>
      </c>
      <c r="E77">
        <v>32.78</v>
      </c>
      <c r="F77">
        <v>31536801</v>
      </c>
    </row>
    <row r="78" spans="1:6">
      <c r="A78" s="39">
        <v>42255</v>
      </c>
      <c r="B78">
        <v>33.729999999999997</v>
      </c>
      <c r="C78">
        <v>33.9</v>
      </c>
      <c r="D78">
        <v>33.58</v>
      </c>
      <c r="E78">
        <v>33.880000000000003</v>
      </c>
      <c r="F78">
        <v>27381723</v>
      </c>
    </row>
    <row r="79" spans="1:6">
      <c r="A79" s="39">
        <v>42256</v>
      </c>
      <c r="B79">
        <v>34.520000000000003</v>
      </c>
      <c r="C79">
        <v>34.54</v>
      </c>
      <c r="D79">
        <v>33.659999999999997</v>
      </c>
      <c r="E79">
        <v>33.69</v>
      </c>
      <c r="F79">
        <v>22798602</v>
      </c>
    </row>
    <row r="80" spans="1:6">
      <c r="A80" s="39">
        <v>42257</v>
      </c>
      <c r="B80">
        <v>33.64</v>
      </c>
      <c r="C80">
        <v>34.159999999999997</v>
      </c>
      <c r="D80">
        <v>33.61</v>
      </c>
      <c r="E80">
        <v>33.94</v>
      </c>
      <c r="F80">
        <v>17693724</v>
      </c>
    </row>
    <row r="81" spans="1:6">
      <c r="A81" s="39">
        <v>42258</v>
      </c>
      <c r="B81">
        <v>33.869999999999997</v>
      </c>
      <c r="C81">
        <v>34.08</v>
      </c>
      <c r="D81">
        <v>33.770000000000003</v>
      </c>
      <c r="E81">
        <v>34.07</v>
      </c>
      <c r="F81">
        <v>19755762</v>
      </c>
    </row>
    <row r="82" spans="1:6">
      <c r="A82" s="39">
        <v>42261</v>
      </c>
      <c r="B82">
        <v>33.99</v>
      </c>
      <c r="C82">
        <v>34.119999999999997</v>
      </c>
      <c r="D82">
        <v>33.79</v>
      </c>
      <c r="E82">
        <v>34.07</v>
      </c>
      <c r="F82">
        <v>15522718</v>
      </c>
    </row>
    <row r="83" spans="1:6">
      <c r="A83" s="39">
        <v>42262</v>
      </c>
      <c r="B83">
        <v>34.03</v>
      </c>
      <c r="C83">
        <v>34.479999999999997</v>
      </c>
      <c r="D83">
        <v>34.01</v>
      </c>
      <c r="E83">
        <v>34.42</v>
      </c>
      <c r="F83">
        <v>11497900</v>
      </c>
    </row>
    <row r="84" spans="1:6">
      <c r="A84" s="39">
        <v>42263</v>
      </c>
      <c r="B84">
        <v>34.85</v>
      </c>
      <c r="C84">
        <v>35.299999999999997</v>
      </c>
      <c r="D84">
        <v>34.799999999999997</v>
      </c>
      <c r="E84">
        <v>35.22</v>
      </c>
      <c r="F84">
        <v>19198029</v>
      </c>
    </row>
    <row r="85" spans="1:6">
      <c r="A85" s="39">
        <v>42264</v>
      </c>
      <c r="B85">
        <v>34.9</v>
      </c>
      <c r="C85">
        <v>36</v>
      </c>
      <c r="D85">
        <v>34.82</v>
      </c>
      <c r="E85">
        <v>35.22</v>
      </c>
      <c r="F85">
        <v>35484823</v>
      </c>
    </row>
    <row r="86" spans="1:6">
      <c r="A86" s="39">
        <v>42265</v>
      </c>
      <c r="B86">
        <v>34.82</v>
      </c>
      <c r="C86">
        <v>34.99</v>
      </c>
      <c r="D86">
        <v>34.31</v>
      </c>
      <c r="E86">
        <v>34.380000000000003</v>
      </c>
      <c r="F86">
        <v>25827095</v>
      </c>
    </row>
    <row r="87" spans="1:6">
      <c r="A87" s="39">
        <v>42268</v>
      </c>
      <c r="B87">
        <v>34.520000000000003</v>
      </c>
      <c r="C87">
        <v>34.590000000000003</v>
      </c>
      <c r="D87">
        <v>34.31</v>
      </c>
      <c r="E87">
        <v>34.44</v>
      </c>
      <c r="F87">
        <v>18833640</v>
      </c>
    </row>
    <row r="88" spans="1:6">
      <c r="A88" s="39">
        <v>42269</v>
      </c>
      <c r="B88">
        <v>33.729999999999997</v>
      </c>
      <c r="C88">
        <v>33.840000000000003</v>
      </c>
      <c r="D88">
        <v>33.520000000000003</v>
      </c>
      <c r="E88">
        <v>33.770000000000003</v>
      </c>
      <c r="F88">
        <v>22127117</v>
      </c>
    </row>
    <row r="89" spans="1:6">
      <c r="A89" s="39">
        <v>42270</v>
      </c>
      <c r="B89">
        <v>33.61</v>
      </c>
      <c r="C89">
        <v>33.67</v>
      </c>
      <c r="D89">
        <v>33.24</v>
      </c>
      <c r="E89">
        <v>33.26</v>
      </c>
      <c r="F89">
        <v>16098688</v>
      </c>
    </row>
    <row r="90" spans="1:6">
      <c r="A90" s="39">
        <v>42271</v>
      </c>
      <c r="B90">
        <v>32.75</v>
      </c>
      <c r="C90">
        <v>33.28</v>
      </c>
      <c r="D90">
        <v>32.54</v>
      </c>
      <c r="E90">
        <v>33.19</v>
      </c>
      <c r="F90">
        <v>37790593</v>
      </c>
    </row>
    <row r="91" spans="1:6">
      <c r="A91" s="39">
        <v>42272</v>
      </c>
      <c r="B91">
        <v>33.1</v>
      </c>
      <c r="C91">
        <v>33.18</v>
      </c>
      <c r="D91">
        <v>32.6</v>
      </c>
      <c r="E91">
        <v>32.69</v>
      </c>
      <c r="F91">
        <v>24882993</v>
      </c>
    </row>
    <row r="92" spans="1:6">
      <c r="A92" s="39">
        <v>42275</v>
      </c>
      <c r="B92">
        <v>32.33</v>
      </c>
      <c r="C92">
        <v>32.4</v>
      </c>
      <c r="D92">
        <v>31.89</v>
      </c>
      <c r="E92">
        <v>31.96</v>
      </c>
      <c r="F92">
        <v>26665084</v>
      </c>
    </row>
    <row r="93" spans="1:6">
      <c r="A93" s="39">
        <v>42276</v>
      </c>
      <c r="B93">
        <v>32.08</v>
      </c>
      <c r="C93">
        <v>32.369999999999997</v>
      </c>
      <c r="D93">
        <v>31.96</v>
      </c>
      <c r="E93">
        <v>32.22</v>
      </c>
      <c r="F93">
        <v>17911529</v>
      </c>
    </row>
    <row r="94" spans="1:6">
      <c r="A94" s="39">
        <v>42277</v>
      </c>
      <c r="B94">
        <v>33.01</v>
      </c>
      <c r="C94">
        <v>33.159999999999997</v>
      </c>
      <c r="D94">
        <v>32.799999999999997</v>
      </c>
      <c r="E94">
        <v>33.090000000000003</v>
      </c>
      <c r="F94">
        <v>24814553</v>
      </c>
    </row>
    <row r="95" spans="1:6">
      <c r="A95" s="39">
        <v>42278</v>
      </c>
      <c r="B95">
        <v>33.340000000000003</v>
      </c>
      <c r="C95">
        <v>33.39</v>
      </c>
      <c r="D95">
        <v>32.93</v>
      </c>
      <c r="E95">
        <v>33.200000000000003</v>
      </c>
      <c r="F95">
        <v>22868919</v>
      </c>
    </row>
    <row r="96" spans="1:6">
      <c r="A96" s="39">
        <v>42279</v>
      </c>
      <c r="B96">
        <v>33.049999999999997</v>
      </c>
      <c r="C96">
        <v>34.08</v>
      </c>
      <c r="D96">
        <v>32.94</v>
      </c>
      <c r="E96">
        <v>34.07</v>
      </c>
      <c r="F96">
        <v>25143994</v>
      </c>
    </row>
    <row r="97" spans="1:6">
      <c r="A97" s="39">
        <v>42282</v>
      </c>
      <c r="B97">
        <v>34.47</v>
      </c>
      <c r="C97">
        <v>34.799999999999997</v>
      </c>
      <c r="D97">
        <v>34.409999999999997</v>
      </c>
      <c r="E97">
        <v>34.75</v>
      </c>
      <c r="F97">
        <v>20860394</v>
      </c>
    </row>
    <row r="98" spans="1:6">
      <c r="A98" s="39">
        <v>42283</v>
      </c>
      <c r="B98">
        <v>34.68</v>
      </c>
      <c r="C98">
        <v>34.79</v>
      </c>
      <c r="D98">
        <v>34.5</v>
      </c>
      <c r="E98">
        <v>34.659999999999997</v>
      </c>
      <c r="F98">
        <v>19085252</v>
      </c>
    </row>
    <row r="99" spans="1:6">
      <c r="A99" s="39">
        <v>42284</v>
      </c>
      <c r="B99">
        <v>35.4</v>
      </c>
      <c r="C99">
        <v>35.82</v>
      </c>
      <c r="D99">
        <v>35.270000000000003</v>
      </c>
      <c r="E99">
        <v>35.520000000000003</v>
      </c>
      <c r="F99">
        <v>25465565</v>
      </c>
    </row>
    <row r="100" spans="1:6">
      <c r="A100" s="39">
        <v>42285</v>
      </c>
      <c r="B100">
        <v>35.35</v>
      </c>
      <c r="C100">
        <v>36.01</v>
      </c>
      <c r="D100">
        <v>35.28</v>
      </c>
      <c r="E100">
        <v>35.979999999999997</v>
      </c>
      <c r="F100">
        <v>19802350</v>
      </c>
    </row>
    <row r="101" spans="1:6">
      <c r="A101" s="39">
        <v>42286</v>
      </c>
      <c r="B101">
        <v>36.130000000000003</v>
      </c>
      <c r="C101">
        <v>36.33</v>
      </c>
      <c r="D101">
        <v>35.909999999999997</v>
      </c>
      <c r="E101">
        <v>36.020000000000003</v>
      </c>
      <c r="F101">
        <v>14719635</v>
      </c>
    </row>
    <row r="102" spans="1:6">
      <c r="A102" s="39">
        <v>42289</v>
      </c>
      <c r="B102">
        <v>36.159999999999997</v>
      </c>
      <c r="C102">
        <v>36.17</v>
      </c>
      <c r="D102">
        <v>35.770000000000003</v>
      </c>
      <c r="E102">
        <v>35.82</v>
      </c>
      <c r="F102">
        <v>10790632</v>
      </c>
    </row>
    <row r="103" spans="1:6">
      <c r="A103" s="39">
        <v>42290</v>
      </c>
      <c r="B103">
        <v>35.39</v>
      </c>
      <c r="C103">
        <v>35.67</v>
      </c>
      <c r="D103">
        <v>35.159999999999997</v>
      </c>
      <c r="E103">
        <v>35.18</v>
      </c>
      <c r="F103">
        <v>16355126</v>
      </c>
    </row>
    <row r="104" spans="1:6">
      <c r="A104" s="39">
        <v>42291</v>
      </c>
      <c r="B104">
        <v>35.43</v>
      </c>
      <c r="C104">
        <v>35.65</v>
      </c>
      <c r="D104">
        <v>35.36</v>
      </c>
      <c r="E104">
        <v>35.450000000000003</v>
      </c>
      <c r="F104">
        <v>20822114</v>
      </c>
    </row>
    <row r="105" spans="1:6">
      <c r="A105" s="39">
        <v>42292</v>
      </c>
      <c r="B105">
        <v>36.020000000000003</v>
      </c>
      <c r="C105">
        <v>36.31</v>
      </c>
      <c r="D105">
        <v>35.799999999999997</v>
      </c>
      <c r="E105">
        <v>36.26</v>
      </c>
      <c r="F105">
        <v>13701998</v>
      </c>
    </row>
    <row r="106" spans="1:6">
      <c r="A106" s="39">
        <v>42293</v>
      </c>
      <c r="B106">
        <v>36.19</v>
      </c>
      <c r="C106">
        <v>36.4</v>
      </c>
      <c r="D106">
        <v>36.020000000000003</v>
      </c>
      <c r="E106">
        <v>36.369999999999997</v>
      </c>
      <c r="F106">
        <v>15282900</v>
      </c>
    </row>
    <row r="107" spans="1:6">
      <c r="A107" s="39">
        <v>42296</v>
      </c>
      <c r="B107">
        <v>36.01</v>
      </c>
      <c r="C107">
        <v>36.04</v>
      </c>
      <c r="D107">
        <v>35.81</v>
      </c>
      <c r="E107">
        <v>36</v>
      </c>
      <c r="F107">
        <v>11931045</v>
      </c>
    </row>
    <row r="108" spans="1:6">
      <c r="A108" s="39">
        <v>42297</v>
      </c>
      <c r="B108">
        <v>35.909999999999997</v>
      </c>
      <c r="C108">
        <v>36.03</v>
      </c>
      <c r="D108">
        <v>35.81</v>
      </c>
      <c r="E108">
        <v>35.92</v>
      </c>
      <c r="F108">
        <v>13382582</v>
      </c>
    </row>
    <row r="109" spans="1:6">
      <c r="A109" s="39">
        <v>42298</v>
      </c>
      <c r="B109">
        <v>35.78</v>
      </c>
      <c r="C109">
        <v>35.79</v>
      </c>
      <c r="D109">
        <v>35.4</v>
      </c>
      <c r="E109">
        <v>35.4</v>
      </c>
      <c r="F109">
        <v>18034856</v>
      </c>
    </row>
    <row r="110" spans="1:6">
      <c r="A110" s="39">
        <v>42299</v>
      </c>
      <c r="B110">
        <v>35.83</v>
      </c>
      <c r="C110">
        <v>36.25</v>
      </c>
      <c r="D110">
        <v>35.83</v>
      </c>
      <c r="E110">
        <v>36.17</v>
      </c>
      <c r="F110">
        <v>13883452</v>
      </c>
    </row>
    <row r="111" spans="1:6">
      <c r="A111" s="39">
        <v>42300</v>
      </c>
      <c r="B111">
        <v>36.450000000000003</v>
      </c>
      <c r="C111">
        <v>36.520000000000003</v>
      </c>
      <c r="D111">
        <v>36.229999999999997</v>
      </c>
      <c r="E111">
        <v>36.409999999999997</v>
      </c>
      <c r="F111">
        <v>13521674</v>
      </c>
    </row>
    <row r="112" spans="1:6">
      <c r="A112" s="39">
        <v>42303</v>
      </c>
      <c r="B112">
        <v>36.18</v>
      </c>
      <c r="C112">
        <v>36.229999999999997</v>
      </c>
      <c r="D112">
        <v>35.97</v>
      </c>
      <c r="E112">
        <v>36</v>
      </c>
      <c r="F112">
        <v>10645927</v>
      </c>
    </row>
    <row r="113" spans="1:6">
      <c r="A113" s="39">
        <v>42304</v>
      </c>
      <c r="B113">
        <v>35.68</v>
      </c>
      <c r="C113">
        <v>35.729999999999997</v>
      </c>
      <c r="D113">
        <v>35.49</v>
      </c>
      <c r="E113">
        <v>35.67</v>
      </c>
      <c r="F113">
        <v>25301749</v>
      </c>
    </row>
    <row r="114" spans="1:6">
      <c r="A114" s="39">
        <v>42305</v>
      </c>
      <c r="B114">
        <v>35.68</v>
      </c>
      <c r="C114">
        <v>35.85</v>
      </c>
      <c r="D114">
        <v>35.03</v>
      </c>
      <c r="E114">
        <v>35.28</v>
      </c>
      <c r="F114">
        <v>22699984</v>
      </c>
    </row>
    <row r="115" spans="1:6">
      <c r="A115" s="39">
        <v>42306</v>
      </c>
      <c r="B115">
        <v>34.89</v>
      </c>
      <c r="C115">
        <v>35.049999999999997</v>
      </c>
      <c r="D115">
        <v>34.82</v>
      </c>
      <c r="E115">
        <v>34.89</v>
      </c>
      <c r="F115">
        <v>13551728</v>
      </c>
    </row>
    <row r="116" spans="1:6">
      <c r="A116" s="39">
        <v>42307</v>
      </c>
      <c r="B116">
        <v>35.07</v>
      </c>
      <c r="C116">
        <v>35.090000000000003</v>
      </c>
      <c r="D116">
        <v>34.840000000000003</v>
      </c>
      <c r="E116">
        <v>34.840000000000003</v>
      </c>
      <c r="F116">
        <v>16265183</v>
      </c>
    </row>
    <row r="117" spans="1:6">
      <c r="A117" s="39">
        <v>42310</v>
      </c>
      <c r="B117">
        <v>35.130000000000003</v>
      </c>
      <c r="C117">
        <v>35.520000000000003</v>
      </c>
      <c r="D117">
        <v>35.11</v>
      </c>
      <c r="E117">
        <v>35.5</v>
      </c>
      <c r="F117">
        <v>14081092</v>
      </c>
    </row>
    <row r="118" spans="1:6">
      <c r="A118" s="39">
        <v>42311</v>
      </c>
      <c r="B118">
        <v>35.409999999999997</v>
      </c>
      <c r="C118">
        <v>36.1</v>
      </c>
      <c r="D118">
        <v>35.4</v>
      </c>
      <c r="E118">
        <v>35.94</v>
      </c>
      <c r="F118">
        <v>10746374</v>
      </c>
    </row>
    <row r="119" spans="1:6">
      <c r="A119" s="39">
        <v>42312</v>
      </c>
      <c r="B119">
        <v>36.26</v>
      </c>
      <c r="C119">
        <v>36.299999999999997</v>
      </c>
      <c r="D119">
        <v>35.659999999999997</v>
      </c>
      <c r="E119">
        <v>35.74</v>
      </c>
      <c r="F119">
        <v>14083622</v>
      </c>
    </row>
    <row r="120" spans="1:6">
      <c r="A120" s="39">
        <v>42313</v>
      </c>
      <c r="B120">
        <v>35.71</v>
      </c>
      <c r="C120">
        <v>35.950000000000003</v>
      </c>
      <c r="D120">
        <v>35.6</v>
      </c>
      <c r="E120">
        <v>35.79</v>
      </c>
      <c r="F120">
        <v>11033733</v>
      </c>
    </row>
    <row r="121" spans="1:6">
      <c r="A121" s="39">
        <v>42314</v>
      </c>
      <c r="B121">
        <v>35.049999999999997</v>
      </c>
      <c r="C121">
        <v>35.42</v>
      </c>
      <c r="D121">
        <v>34.880000000000003</v>
      </c>
      <c r="E121">
        <v>35.39</v>
      </c>
      <c r="F121">
        <v>15823795</v>
      </c>
    </row>
    <row r="122" spans="1:6">
      <c r="A122" s="39">
        <v>42317</v>
      </c>
      <c r="B122">
        <v>34.92</v>
      </c>
      <c r="C122">
        <v>35.020000000000003</v>
      </c>
      <c r="D122">
        <v>34.43</v>
      </c>
      <c r="E122">
        <v>34.56</v>
      </c>
      <c r="F122">
        <v>21176281</v>
      </c>
    </row>
    <row r="123" spans="1:6">
      <c r="A123" s="39">
        <v>42318</v>
      </c>
      <c r="B123">
        <v>34.42</v>
      </c>
      <c r="C123">
        <v>34.520000000000003</v>
      </c>
      <c r="D123">
        <v>34.270000000000003</v>
      </c>
      <c r="E123">
        <v>34.47</v>
      </c>
      <c r="F123">
        <v>19549771</v>
      </c>
    </row>
    <row r="124" spans="1:6">
      <c r="A124" s="39">
        <v>42319</v>
      </c>
      <c r="B124">
        <v>34.729999999999997</v>
      </c>
      <c r="C124">
        <v>34.729999999999997</v>
      </c>
      <c r="D124">
        <v>34.409999999999997</v>
      </c>
      <c r="E124">
        <v>34.51</v>
      </c>
      <c r="F124">
        <v>9942167</v>
      </c>
    </row>
    <row r="125" spans="1:6">
      <c r="A125" s="39">
        <v>42320</v>
      </c>
      <c r="B125">
        <v>34.380000000000003</v>
      </c>
      <c r="C125">
        <v>34.56</v>
      </c>
      <c r="D125">
        <v>34.11</v>
      </c>
      <c r="E125">
        <v>34.15</v>
      </c>
      <c r="F125">
        <v>11942999</v>
      </c>
    </row>
    <row r="126" spans="1:6">
      <c r="A126" s="39">
        <v>42321</v>
      </c>
      <c r="B126">
        <v>34.01</v>
      </c>
      <c r="C126">
        <v>34.03</v>
      </c>
      <c r="D126">
        <v>33.590000000000003</v>
      </c>
      <c r="E126">
        <v>33.700000000000003</v>
      </c>
      <c r="F126">
        <v>21667005</v>
      </c>
    </row>
    <row r="127" spans="1:6">
      <c r="A127" s="39">
        <v>42324</v>
      </c>
      <c r="B127">
        <v>33.85</v>
      </c>
      <c r="C127">
        <v>34.44</v>
      </c>
      <c r="D127">
        <v>33.81</v>
      </c>
      <c r="E127">
        <v>34.43</v>
      </c>
      <c r="F127">
        <v>13815024</v>
      </c>
    </row>
    <row r="128" spans="1:6">
      <c r="A128" s="39">
        <v>42325</v>
      </c>
      <c r="B128">
        <v>34.46</v>
      </c>
      <c r="C128">
        <v>34.54</v>
      </c>
      <c r="D128">
        <v>34.270000000000003</v>
      </c>
      <c r="E128">
        <v>34.39</v>
      </c>
      <c r="F128">
        <v>32173666</v>
      </c>
    </row>
    <row r="129" spans="1:6">
      <c r="A129" s="39">
        <v>42326</v>
      </c>
      <c r="B129">
        <v>34.31</v>
      </c>
      <c r="C129">
        <v>34.700000000000003</v>
      </c>
      <c r="D129">
        <v>34.24</v>
      </c>
      <c r="E129">
        <v>34.659999999999997</v>
      </c>
      <c r="F129">
        <v>17408227</v>
      </c>
    </row>
    <row r="130" spans="1:6">
      <c r="A130" s="39">
        <v>42327</v>
      </c>
      <c r="B130">
        <v>34.799999999999997</v>
      </c>
      <c r="C130">
        <v>35</v>
      </c>
      <c r="D130">
        <v>34.76</v>
      </c>
      <c r="E130">
        <v>34.92</v>
      </c>
      <c r="F130">
        <v>16116387</v>
      </c>
    </row>
    <row r="131" spans="1:6">
      <c r="A131" s="39">
        <v>42328</v>
      </c>
      <c r="B131">
        <v>35.200000000000003</v>
      </c>
      <c r="C131">
        <v>35.44</v>
      </c>
      <c r="D131">
        <v>35.14</v>
      </c>
      <c r="E131">
        <v>35.22</v>
      </c>
      <c r="F131">
        <v>13749246</v>
      </c>
    </row>
    <row r="132" spans="1:6">
      <c r="A132" s="39">
        <v>42331</v>
      </c>
      <c r="B132">
        <v>35.08</v>
      </c>
      <c r="C132">
        <v>35.18</v>
      </c>
      <c r="D132">
        <v>34.85</v>
      </c>
      <c r="E132">
        <v>34.93</v>
      </c>
      <c r="F132">
        <v>19688068</v>
      </c>
    </row>
    <row r="133" spans="1:6">
      <c r="A133" s="39">
        <v>42332</v>
      </c>
      <c r="B133">
        <v>34.700000000000003</v>
      </c>
      <c r="C133">
        <v>35.08</v>
      </c>
      <c r="D133">
        <v>34.58</v>
      </c>
      <c r="E133">
        <v>35.020000000000003</v>
      </c>
      <c r="F133">
        <v>18208164</v>
      </c>
    </row>
    <row r="134" spans="1:6">
      <c r="A134" s="39">
        <v>42333</v>
      </c>
      <c r="B134">
        <v>34.81</v>
      </c>
      <c r="C134">
        <v>34.81</v>
      </c>
      <c r="D134">
        <v>34.6</v>
      </c>
      <c r="E134">
        <v>34.75</v>
      </c>
      <c r="F134">
        <v>14325580</v>
      </c>
    </row>
    <row r="135" spans="1:6">
      <c r="A135" s="39">
        <v>42335</v>
      </c>
      <c r="B135">
        <v>34.270000000000003</v>
      </c>
      <c r="C135">
        <v>34.33</v>
      </c>
      <c r="D135">
        <v>33.94</v>
      </c>
      <c r="E135">
        <v>33.99</v>
      </c>
      <c r="F135">
        <v>11853104</v>
      </c>
    </row>
    <row r="136" spans="1:6">
      <c r="A136" s="39">
        <v>42338</v>
      </c>
      <c r="B136">
        <v>33.92</v>
      </c>
      <c r="C136">
        <v>34.090000000000003</v>
      </c>
      <c r="D136">
        <v>33.840000000000003</v>
      </c>
      <c r="E136">
        <v>34.04</v>
      </c>
      <c r="F136">
        <v>20716472</v>
      </c>
    </row>
    <row r="137" spans="1:6">
      <c r="A137" s="39">
        <v>42339</v>
      </c>
      <c r="B137">
        <v>34.19</v>
      </c>
      <c r="C137">
        <v>34.299999999999997</v>
      </c>
      <c r="D137">
        <v>34.1</v>
      </c>
      <c r="E137">
        <v>34.24</v>
      </c>
      <c r="F137">
        <v>25153367</v>
      </c>
    </row>
    <row r="138" spans="1:6">
      <c r="A138" s="39">
        <v>42340</v>
      </c>
      <c r="B138">
        <v>34.14</v>
      </c>
      <c r="C138">
        <v>34.200000000000003</v>
      </c>
      <c r="D138">
        <v>33.76</v>
      </c>
      <c r="E138">
        <v>33.9</v>
      </c>
      <c r="F138">
        <v>20783231</v>
      </c>
    </row>
    <row r="139" spans="1:6">
      <c r="A139" s="39">
        <v>42341</v>
      </c>
      <c r="B139">
        <v>34.07</v>
      </c>
      <c r="C139">
        <v>34.130000000000003</v>
      </c>
      <c r="D139">
        <v>33.64</v>
      </c>
      <c r="E139">
        <v>33.799999999999997</v>
      </c>
      <c r="F139">
        <v>18260775</v>
      </c>
    </row>
    <row r="140" spans="1:6">
      <c r="A140" s="39">
        <v>42342</v>
      </c>
      <c r="B140">
        <v>33.57</v>
      </c>
      <c r="C140">
        <v>34.020000000000003</v>
      </c>
      <c r="D140">
        <v>33.5</v>
      </c>
      <c r="E140">
        <v>33.93</v>
      </c>
      <c r="F140">
        <v>21297043</v>
      </c>
    </row>
    <row r="141" spans="1:6">
      <c r="A141" s="39">
        <v>42345</v>
      </c>
      <c r="B141">
        <v>33.75</v>
      </c>
      <c r="C141">
        <v>33.75</v>
      </c>
      <c r="D141">
        <v>33.35</v>
      </c>
      <c r="E141">
        <v>33.450000000000003</v>
      </c>
      <c r="F141">
        <v>17519822</v>
      </c>
    </row>
    <row r="142" spans="1:6">
      <c r="A142" s="39">
        <v>42346</v>
      </c>
      <c r="B142">
        <v>32.770000000000003</v>
      </c>
      <c r="C142">
        <v>33.07</v>
      </c>
      <c r="D142">
        <v>32.67</v>
      </c>
      <c r="E142">
        <v>33.049999999999997</v>
      </c>
      <c r="F142">
        <v>27372754</v>
      </c>
    </row>
    <row r="143" spans="1:6">
      <c r="A143" s="39">
        <v>42347</v>
      </c>
      <c r="B143">
        <v>33.31</v>
      </c>
      <c r="C143">
        <v>33.31</v>
      </c>
      <c r="D143">
        <v>32.71</v>
      </c>
      <c r="E143">
        <v>32.81</v>
      </c>
      <c r="F143">
        <v>22757431</v>
      </c>
    </row>
    <row r="144" spans="1:6">
      <c r="A144" s="39">
        <v>42348</v>
      </c>
      <c r="B144">
        <v>32.68</v>
      </c>
      <c r="C144">
        <v>32.78</v>
      </c>
      <c r="D144">
        <v>32.42</v>
      </c>
      <c r="E144">
        <v>32.479999999999997</v>
      </c>
      <c r="F144">
        <v>18375654</v>
      </c>
    </row>
    <row r="145" spans="1:6">
      <c r="A145" s="39">
        <v>42349</v>
      </c>
      <c r="B145">
        <v>31.82</v>
      </c>
      <c r="C145">
        <v>31.86</v>
      </c>
      <c r="D145">
        <v>31.51</v>
      </c>
      <c r="E145">
        <v>31.56</v>
      </c>
      <c r="F145">
        <v>35138973</v>
      </c>
    </row>
    <row r="146" spans="1:6">
      <c r="A146" s="39">
        <v>42352</v>
      </c>
      <c r="B146">
        <v>31.92</v>
      </c>
      <c r="C146">
        <v>32.1</v>
      </c>
      <c r="D146">
        <v>31.63</v>
      </c>
      <c r="E146">
        <v>32.08</v>
      </c>
      <c r="F146">
        <v>34568526</v>
      </c>
    </row>
    <row r="147" spans="1:6">
      <c r="A147" s="39">
        <v>42353</v>
      </c>
      <c r="B147">
        <v>32.450000000000003</v>
      </c>
      <c r="C147">
        <v>32.700000000000003</v>
      </c>
      <c r="D147">
        <v>32.450000000000003</v>
      </c>
      <c r="E147">
        <v>32.549999999999997</v>
      </c>
      <c r="F147">
        <v>25302809</v>
      </c>
    </row>
    <row r="148" spans="1:6">
      <c r="A148" s="39">
        <v>42354</v>
      </c>
      <c r="B148">
        <v>32.75</v>
      </c>
      <c r="C148">
        <v>33.299999999999997</v>
      </c>
      <c r="D148">
        <v>32.6</v>
      </c>
      <c r="E148">
        <v>33.1</v>
      </c>
      <c r="F148">
        <v>27582488</v>
      </c>
    </row>
    <row r="149" spans="1:6">
      <c r="A149" s="39">
        <v>42355</v>
      </c>
      <c r="B149">
        <v>33.29</v>
      </c>
      <c r="C149">
        <v>33.340000000000003</v>
      </c>
      <c r="D149">
        <v>32.81</v>
      </c>
      <c r="E149">
        <v>32.81</v>
      </c>
      <c r="F149">
        <v>25812334</v>
      </c>
    </row>
    <row r="150" spans="1:6">
      <c r="A150" s="39">
        <v>42356</v>
      </c>
      <c r="B150">
        <v>32.79</v>
      </c>
      <c r="C150">
        <v>32.9</v>
      </c>
      <c r="D150">
        <v>32.630000000000003</v>
      </c>
      <c r="E150">
        <v>32.64</v>
      </c>
      <c r="F150">
        <v>25895541</v>
      </c>
    </row>
    <row r="151" spans="1:6">
      <c r="A151" s="39">
        <v>42359</v>
      </c>
      <c r="B151">
        <v>32.72</v>
      </c>
      <c r="C151">
        <v>32.81</v>
      </c>
      <c r="D151">
        <v>32.49</v>
      </c>
      <c r="E151">
        <v>32.71</v>
      </c>
      <c r="F151">
        <v>27997319</v>
      </c>
    </row>
    <row r="152" spans="1:6">
      <c r="A152" s="39">
        <v>42360</v>
      </c>
      <c r="B152">
        <v>32.69</v>
      </c>
      <c r="C152">
        <v>32.97</v>
      </c>
      <c r="D152">
        <v>32.68</v>
      </c>
      <c r="E152">
        <v>32.96</v>
      </c>
      <c r="F152">
        <v>23691411</v>
      </c>
    </row>
    <row r="153" spans="1:6">
      <c r="A153" s="39">
        <v>42361</v>
      </c>
      <c r="B153">
        <v>33.24</v>
      </c>
      <c r="C153">
        <v>33.47</v>
      </c>
      <c r="D153">
        <v>33.200000000000003</v>
      </c>
      <c r="E153">
        <v>33.450000000000003</v>
      </c>
      <c r="F153">
        <v>26337262</v>
      </c>
    </row>
    <row r="154" spans="1:6">
      <c r="A154" s="39">
        <v>42362</v>
      </c>
      <c r="B154">
        <v>33.31</v>
      </c>
      <c r="C154">
        <v>33.44</v>
      </c>
      <c r="D154">
        <v>33.28</v>
      </c>
      <c r="E154">
        <v>33.35</v>
      </c>
      <c r="F154">
        <v>8553521</v>
      </c>
    </row>
    <row r="155" spans="1:6">
      <c r="A155" s="39">
        <v>42366</v>
      </c>
      <c r="B155">
        <v>33.19</v>
      </c>
      <c r="C155">
        <v>33.229999999999997</v>
      </c>
      <c r="D155">
        <v>33.01</v>
      </c>
      <c r="E155">
        <v>33.18</v>
      </c>
      <c r="F155">
        <v>22117029</v>
      </c>
    </row>
    <row r="156" spans="1:6">
      <c r="A156" s="39">
        <v>42367</v>
      </c>
      <c r="B156">
        <v>33.25</v>
      </c>
      <c r="C156">
        <v>33.31</v>
      </c>
      <c r="D156">
        <v>33.130000000000003</v>
      </c>
      <c r="E156">
        <v>33.159999999999997</v>
      </c>
      <c r="F156">
        <v>15829381</v>
      </c>
    </row>
    <row r="157" spans="1:6">
      <c r="A157" s="39">
        <v>42368</v>
      </c>
      <c r="B157">
        <v>32.840000000000003</v>
      </c>
      <c r="C157">
        <v>32.94</v>
      </c>
      <c r="D157">
        <v>32.68</v>
      </c>
      <c r="E157">
        <v>32.700000000000003</v>
      </c>
      <c r="F157">
        <v>18923187</v>
      </c>
    </row>
    <row r="158" spans="1:6">
      <c r="A158" s="39">
        <v>42369</v>
      </c>
      <c r="B158">
        <v>32.71</v>
      </c>
      <c r="C158">
        <v>32.9</v>
      </c>
      <c r="D158">
        <v>32.659999999999997</v>
      </c>
      <c r="E158">
        <v>32.71</v>
      </c>
      <c r="F158">
        <v>18736896</v>
      </c>
    </row>
    <row r="159" spans="1:6">
      <c r="A159" s="39">
        <v>42373</v>
      </c>
      <c r="B159">
        <v>31.84</v>
      </c>
      <c r="C159">
        <v>31.88</v>
      </c>
      <c r="D159">
        <v>31.52</v>
      </c>
      <c r="E159">
        <v>31.78</v>
      </c>
      <c r="F159">
        <v>27116062</v>
      </c>
    </row>
    <row r="160" spans="1:6">
      <c r="A160" s="39">
        <v>42374</v>
      </c>
      <c r="B160">
        <v>31.9</v>
      </c>
      <c r="C160">
        <v>31.97</v>
      </c>
      <c r="D160">
        <v>31.77</v>
      </c>
      <c r="E160">
        <v>31.85</v>
      </c>
      <c r="F160">
        <v>17664433</v>
      </c>
    </row>
    <row r="161" spans="1:6">
      <c r="A161" s="39">
        <v>42375</v>
      </c>
      <c r="B161">
        <v>31.32</v>
      </c>
      <c r="C161">
        <v>31.47</v>
      </c>
      <c r="D161">
        <v>31.15</v>
      </c>
      <c r="E161">
        <v>31.28</v>
      </c>
      <c r="F161">
        <v>19744825</v>
      </c>
    </row>
    <row r="162" spans="1:6">
      <c r="A162" s="39">
        <v>42376</v>
      </c>
      <c r="B162">
        <v>30.48</v>
      </c>
      <c r="C162">
        <v>30.87</v>
      </c>
      <c r="D162">
        <v>30.25</v>
      </c>
      <c r="E162">
        <v>30.27</v>
      </c>
      <c r="F162">
        <v>29616412</v>
      </c>
    </row>
    <row r="163" spans="1:6">
      <c r="A163" s="39">
        <v>42377</v>
      </c>
      <c r="B163">
        <v>30.48</v>
      </c>
      <c r="C163">
        <v>30.58</v>
      </c>
      <c r="D163">
        <v>29.96</v>
      </c>
      <c r="E163">
        <v>30</v>
      </c>
      <c r="F163">
        <v>32237435</v>
      </c>
    </row>
    <row r="164" spans="1:6">
      <c r="A164" s="39">
        <v>42380</v>
      </c>
      <c r="B164">
        <v>30.16</v>
      </c>
      <c r="C164">
        <v>30.22</v>
      </c>
      <c r="D164">
        <v>29.61</v>
      </c>
      <c r="E164">
        <v>29.87</v>
      </c>
      <c r="F164">
        <v>22946750</v>
      </c>
    </row>
    <row r="165" spans="1:6">
      <c r="A165" s="39">
        <v>42381</v>
      </c>
      <c r="B165">
        <v>30.16</v>
      </c>
      <c r="C165">
        <v>30.28</v>
      </c>
      <c r="D165">
        <v>29.74</v>
      </c>
      <c r="E165">
        <v>29.98</v>
      </c>
      <c r="F165">
        <v>18211707</v>
      </c>
    </row>
    <row r="166" spans="1:6">
      <c r="A166" s="39">
        <v>42382</v>
      </c>
      <c r="B166">
        <v>30.23</v>
      </c>
      <c r="C166">
        <v>30.35</v>
      </c>
      <c r="D166">
        <v>29.55</v>
      </c>
      <c r="E166">
        <v>29.64</v>
      </c>
      <c r="F166">
        <v>25800415</v>
      </c>
    </row>
    <row r="167" spans="1:6">
      <c r="A167" s="39">
        <v>42383</v>
      </c>
      <c r="B167">
        <v>29.67</v>
      </c>
      <c r="C167">
        <v>30.12</v>
      </c>
      <c r="D167">
        <v>29.43</v>
      </c>
      <c r="E167">
        <v>30.02</v>
      </c>
      <c r="F167">
        <v>28401571</v>
      </c>
    </row>
    <row r="168" spans="1:6">
      <c r="A168" s="39">
        <v>42384</v>
      </c>
      <c r="B168">
        <v>28.85</v>
      </c>
      <c r="C168">
        <v>29.01</v>
      </c>
      <c r="D168">
        <v>28.44</v>
      </c>
      <c r="E168">
        <v>28.76</v>
      </c>
      <c r="F168">
        <v>30549754</v>
      </c>
    </row>
    <row r="169" spans="1:6">
      <c r="A169" s="39">
        <v>42388</v>
      </c>
      <c r="B169">
        <v>29.48</v>
      </c>
      <c r="C169">
        <v>29.52</v>
      </c>
      <c r="D169">
        <v>28.93</v>
      </c>
      <c r="E169">
        <v>29.16</v>
      </c>
      <c r="F169">
        <v>26831202</v>
      </c>
    </row>
    <row r="170" spans="1:6">
      <c r="A170" s="39">
        <v>42389</v>
      </c>
      <c r="B170">
        <v>28.51</v>
      </c>
      <c r="C170">
        <v>28.79</v>
      </c>
      <c r="D170">
        <v>27.98</v>
      </c>
      <c r="E170">
        <v>28.55</v>
      </c>
      <c r="F170">
        <v>37732796</v>
      </c>
    </row>
    <row r="171" spans="1:6">
      <c r="A171" s="39">
        <v>42390</v>
      </c>
      <c r="B171">
        <v>28.48</v>
      </c>
      <c r="C171">
        <v>29</v>
      </c>
      <c r="D171">
        <v>28.29</v>
      </c>
      <c r="E171">
        <v>28.6</v>
      </c>
      <c r="F171">
        <v>35402894</v>
      </c>
    </row>
    <row r="172" spans="1:6">
      <c r="A172" s="39">
        <v>42391</v>
      </c>
      <c r="B172">
        <v>29.44</v>
      </c>
      <c r="C172">
        <v>29.59</v>
      </c>
      <c r="D172">
        <v>29.28</v>
      </c>
      <c r="E172">
        <v>29.57</v>
      </c>
      <c r="F172">
        <v>27700083</v>
      </c>
    </row>
    <row r="173" spans="1:6">
      <c r="A173" s="39">
        <v>42394</v>
      </c>
      <c r="B173">
        <v>29.29</v>
      </c>
      <c r="C173">
        <v>29.47</v>
      </c>
      <c r="D173">
        <v>29.05</v>
      </c>
      <c r="E173">
        <v>29.08</v>
      </c>
      <c r="F173">
        <v>23226718</v>
      </c>
    </row>
    <row r="174" spans="1:6">
      <c r="A174" s="39">
        <v>42395</v>
      </c>
      <c r="B174">
        <v>29.22</v>
      </c>
      <c r="C174">
        <v>29.54</v>
      </c>
      <c r="D174">
        <v>29.18</v>
      </c>
      <c r="E174">
        <v>29.5</v>
      </c>
      <c r="F174">
        <v>19935526</v>
      </c>
    </row>
    <row r="175" spans="1:6">
      <c r="A175" s="39">
        <v>42396</v>
      </c>
      <c r="B175">
        <v>29.44</v>
      </c>
      <c r="C175">
        <v>29.79</v>
      </c>
      <c r="D175">
        <v>29.18</v>
      </c>
      <c r="E175">
        <v>29.31</v>
      </c>
      <c r="F175">
        <v>27058641</v>
      </c>
    </row>
    <row r="176" spans="1:6">
      <c r="A176" s="39">
        <v>42397</v>
      </c>
      <c r="B176">
        <v>29.8</v>
      </c>
      <c r="C176">
        <v>29.98</v>
      </c>
      <c r="D176">
        <v>29.54</v>
      </c>
      <c r="E176">
        <v>29.78</v>
      </c>
      <c r="F176">
        <v>24075895</v>
      </c>
    </row>
    <row r="177" spans="1:6">
      <c r="A177" s="39">
        <v>42398</v>
      </c>
      <c r="B177">
        <v>30.39</v>
      </c>
      <c r="C177">
        <v>30.87</v>
      </c>
      <c r="D177">
        <v>30.34</v>
      </c>
      <c r="E177">
        <v>30.83</v>
      </c>
      <c r="F177">
        <v>26927110</v>
      </c>
    </row>
    <row r="178" spans="1:6">
      <c r="A178" s="39">
        <v>42401</v>
      </c>
      <c r="B178">
        <v>30.31</v>
      </c>
      <c r="C178">
        <v>30.62</v>
      </c>
      <c r="D178">
        <v>30.22</v>
      </c>
      <c r="E178">
        <v>30.52</v>
      </c>
      <c r="F178">
        <v>24699908</v>
      </c>
    </row>
    <row r="179" spans="1:6">
      <c r="A179" s="39">
        <v>42402</v>
      </c>
      <c r="B179">
        <v>30.01</v>
      </c>
      <c r="C179">
        <v>30.07</v>
      </c>
      <c r="D179">
        <v>29.52</v>
      </c>
      <c r="E179">
        <v>29.61</v>
      </c>
      <c r="F179">
        <v>29716516</v>
      </c>
    </row>
    <row r="180" spans="1:6">
      <c r="A180" s="39">
        <v>42403</v>
      </c>
      <c r="B180">
        <v>29.95</v>
      </c>
      <c r="C180">
        <v>30.43</v>
      </c>
      <c r="D180">
        <v>29.44</v>
      </c>
      <c r="E180">
        <v>30.4</v>
      </c>
      <c r="F180">
        <v>32564770</v>
      </c>
    </row>
    <row r="181" spans="1:6">
      <c r="A181" s="39">
        <v>42404</v>
      </c>
      <c r="B181">
        <v>30.62</v>
      </c>
      <c r="C181">
        <v>30.98</v>
      </c>
      <c r="D181">
        <v>30.4</v>
      </c>
      <c r="E181">
        <v>30.61</v>
      </c>
      <c r="F181">
        <v>29315889</v>
      </c>
    </row>
    <row r="182" spans="1:6">
      <c r="A182" s="39">
        <v>42405</v>
      </c>
      <c r="B182">
        <v>30.55</v>
      </c>
      <c r="C182">
        <v>30.62</v>
      </c>
      <c r="D182">
        <v>30.18</v>
      </c>
      <c r="E182">
        <v>30.29</v>
      </c>
      <c r="F182">
        <v>21578653</v>
      </c>
    </row>
    <row r="183" spans="1:6">
      <c r="A183" s="39">
        <v>42408</v>
      </c>
      <c r="B183">
        <v>29.91</v>
      </c>
      <c r="C183">
        <v>30.02</v>
      </c>
      <c r="D183">
        <v>29.54</v>
      </c>
      <c r="E183">
        <v>29.87</v>
      </c>
      <c r="F183">
        <v>21018468</v>
      </c>
    </row>
    <row r="184" spans="1:6">
      <c r="A184" s="39">
        <v>42409</v>
      </c>
      <c r="B184">
        <v>29.33</v>
      </c>
      <c r="C184">
        <v>29.8</v>
      </c>
      <c r="D184">
        <v>29.21</v>
      </c>
      <c r="E184">
        <v>29.49</v>
      </c>
      <c r="F184">
        <v>22522778</v>
      </c>
    </row>
    <row r="185" spans="1:6">
      <c r="A185" s="39">
        <v>42410</v>
      </c>
      <c r="B185">
        <v>29.79</v>
      </c>
      <c r="C185">
        <v>30.11</v>
      </c>
      <c r="D185">
        <v>29.58</v>
      </c>
      <c r="E185">
        <v>29.58</v>
      </c>
      <c r="F185">
        <v>24953144</v>
      </c>
    </row>
    <row r="186" spans="1:6">
      <c r="A186" s="39">
        <v>42411</v>
      </c>
      <c r="B186">
        <v>29.05</v>
      </c>
      <c r="C186">
        <v>29.33</v>
      </c>
      <c r="D186">
        <v>28.9</v>
      </c>
      <c r="E186">
        <v>29.15</v>
      </c>
      <c r="F186">
        <v>33509300</v>
      </c>
    </row>
    <row r="187" spans="1:6">
      <c r="A187" s="39">
        <v>42412</v>
      </c>
      <c r="B187">
        <v>29.4</v>
      </c>
      <c r="C187">
        <v>29.66</v>
      </c>
      <c r="D187">
        <v>29.22</v>
      </c>
      <c r="E187">
        <v>29.63</v>
      </c>
      <c r="F187">
        <v>14751676</v>
      </c>
    </row>
    <row r="188" spans="1:6">
      <c r="A188" s="39">
        <v>42416</v>
      </c>
      <c r="B188">
        <v>30.21</v>
      </c>
      <c r="C188">
        <v>30.39</v>
      </c>
      <c r="D188">
        <v>30.12</v>
      </c>
      <c r="E188">
        <v>30.33</v>
      </c>
      <c r="F188">
        <v>15577164</v>
      </c>
    </row>
    <row r="189" spans="1:6">
      <c r="A189" s="39">
        <v>42417</v>
      </c>
      <c r="B189">
        <v>30.59</v>
      </c>
      <c r="C189">
        <v>31.04</v>
      </c>
      <c r="D189">
        <v>30.59</v>
      </c>
      <c r="E189">
        <v>30.96</v>
      </c>
      <c r="F189">
        <v>14718663</v>
      </c>
    </row>
    <row r="190" spans="1:6">
      <c r="A190" s="39">
        <v>42418</v>
      </c>
      <c r="B190">
        <v>31.06</v>
      </c>
      <c r="C190">
        <v>31.13</v>
      </c>
      <c r="D190">
        <v>30.78</v>
      </c>
      <c r="E190">
        <v>30.81</v>
      </c>
      <c r="F190">
        <v>19042119</v>
      </c>
    </row>
    <row r="191" spans="1:6">
      <c r="A191" s="39">
        <v>42419</v>
      </c>
      <c r="B191">
        <v>30.65</v>
      </c>
      <c r="C191">
        <v>30.84</v>
      </c>
      <c r="D191">
        <v>30.51</v>
      </c>
      <c r="E191">
        <v>30.68</v>
      </c>
      <c r="F191">
        <v>12877292</v>
      </c>
    </row>
    <row r="192" spans="1:6">
      <c r="A192" s="39">
        <v>42422</v>
      </c>
      <c r="B192">
        <v>31.2</v>
      </c>
      <c r="C192">
        <v>31.46</v>
      </c>
      <c r="D192">
        <v>31.15</v>
      </c>
      <c r="E192">
        <v>31.44</v>
      </c>
      <c r="F192">
        <v>11432267</v>
      </c>
    </row>
    <row r="193" spans="1:6">
      <c r="A193" s="39">
        <v>42423</v>
      </c>
      <c r="B193">
        <v>31.12</v>
      </c>
      <c r="C193">
        <v>31.14</v>
      </c>
      <c r="D193">
        <v>30.76</v>
      </c>
      <c r="E193">
        <v>30.76</v>
      </c>
      <c r="F193">
        <v>15057246</v>
      </c>
    </row>
    <row r="194" spans="1:6">
      <c r="A194" s="39">
        <v>42424</v>
      </c>
      <c r="B194">
        <v>30.3</v>
      </c>
      <c r="C194">
        <v>30.85</v>
      </c>
      <c r="D194">
        <v>30.12</v>
      </c>
      <c r="E194">
        <v>30.76</v>
      </c>
      <c r="F194">
        <v>26766446</v>
      </c>
    </row>
    <row r="195" spans="1:6">
      <c r="A195" s="39">
        <v>42425</v>
      </c>
      <c r="B195">
        <v>30.62</v>
      </c>
      <c r="C195">
        <v>30.86</v>
      </c>
      <c r="D195">
        <v>30.46</v>
      </c>
      <c r="E195">
        <v>30.81</v>
      </c>
      <c r="F195">
        <v>13854684</v>
      </c>
    </row>
    <row r="196" spans="1:6">
      <c r="A196" s="39">
        <v>42426</v>
      </c>
      <c r="B196">
        <v>31</v>
      </c>
      <c r="C196">
        <v>31.03</v>
      </c>
      <c r="D196">
        <v>30.48</v>
      </c>
      <c r="E196">
        <v>30.54</v>
      </c>
      <c r="F196">
        <v>23966332</v>
      </c>
    </row>
    <row r="197" spans="1:6">
      <c r="A197" s="39">
        <v>42429</v>
      </c>
      <c r="B197">
        <v>30.77</v>
      </c>
      <c r="C197">
        <v>31.05</v>
      </c>
      <c r="D197">
        <v>30.71</v>
      </c>
      <c r="E197">
        <v>30.73</v>
      </c>
      <c r="F197">
        <v>15012509</v>
      </c>
    </row>
    <row r="198" spans="1:6">
      <c r="A198" s="39">
        <v>42430</v>
      </c>
      <c r="B198">
        <v>31.36</v>
      </c>
      <c r="C198">
        <v>31.9</v>
      </c>
      <c r="D198">
        <v>31.33</v>
      </c>
      <c r="E198">
        <v>31.85</v>
      </c>
      <c r="F198">
        <v>18666408</v>
      </c>
    </row>
    <row r="199" spans="1:6">
      <c r="A199" s="39">
        <v>42431</v>
      </c>
      <c r="B199">
        <v>31.93</v>
      </c>
      <c r="C199">
        <v>32.369999999999997</v>
      </c>
      <c r="D199">
        <v>31.88</v>
      </c>
      <c r="E199">
        <v>32.340000000000003</v>
      </c>
      <c r="F199">
        <v>20574927</v>
      </c>
    </row>
    <row r="200" spans="1:6">
      <c r="A200" s="39">
        <v>42432</v>
      </c>
      <c r="B200">
        <v>32.36</v>
      </c>
      <c r="C200">
        <v>32.74</v>
      </c>
      <c r="D200">
        <v>32.299999999999997</v>
      </c>
      <c r="E200">
        <v>32.69</v>
      </c>
      <c r="F200">
        <v>21570653</v>
      </c>
    </row>
    <row r="201" spans="1:6">
      <c r="A201" s="39">
        <v>42433</v>
      </c>
      <c r="B201">
        <v>33.049999999999997</v>
      </c>
      <c r="C201">
        <v>33.57</v>
      </c>
      <c r="D201">
        <v>32.97</v>
      </c>
      <c r="E201">
        <v>33.409999999999997</v>
      </c>
      <c r="F201">
        <v>27829287</v>
      </c>
    </row>
    <row r="202" spans="1:6">
      <c r="A202" s="39">
        <v>42436</v>
      </c>
      <c r="B202">
        <v>33.15</v>
      </c>
      <c r="C202">
        <v>33.520000000000003</v>
      </c>
      <c r="D202">
        <v>33.03</v>
      </c>
      <c r="E202">
        <v>33.340000000000003</v>
      </c>
      <c r="F202">
        <v>20467466</v>
      </c>
    </row>
    <row r="203" spans="1:6">
      <c r="A203" s="39">
        <v>42437</v>
      </c>
      <c r="B203">
        <v>33.01</v>
      </c>
      <c r="C203">
        <v>33.020000000000003</v>
      </c>
      <c r="D203">
        <v>32.67</v>
      </c>
      <c r="E203">
        <v>32.76</v>
      </c>
      <c r="F203">
        <v>14888767</v>
      </c>
    </row>
    <row r="204" spans="1:6">
      <c r="A204" s="39">
        <v>42438</v>
      </c>
      <c r="B204">
        <v>32.97</v>
      </c>
      <c r="C204">
        <v>33.200000000000003</v>
      </c>
      <c r="D204">
        <v>32.9</v>
      </c>
      <c r="E204">
        <v>32.97</v>
      </c>
      <c r="F204">
        <v>22002781</v>
      </c>
    </row>
    <row r="205" spans="1:6">
      <c r="A205" s="39">
        <v>42439</v>
      </c>
      <c r="B205">
        <v>33.1</v>
      </c>
      <c r="C205">
        <v>33.14</v>
      </c>
      <c r="D205">
        <v>32.44</v>
      </c>
      <c r="E205">
        <v>32.89</v>
      </c>
      <c r="F205">
        <v>18410447</v>
      </c>
    </row>
    <row r="206" spans="1:6">
      <c r="A206" s="39">
        <v>42440</v>
      </c>
      <c r="B206">
        <v>33.369999999999997</v>
      </c>
      <c r="C206">
        <v>33.659999999999997</v>
      </c>
      <c r="D206">
        <v>33.36</v>
      </c>
      <c r="E206">
        <v>33.61</v>
      </c>
      <c r="F206">
        <v>13728258</v>
      </c>
    </row>
    <row r="207" spans="1:6">
      <c r="A207" s="39">
        <v>42443</v>
      </c>
      <c r="B207">
        <v>33.5</v>
      </c>
      <c r="C207">
        <v>33.630000000000003</v>
      </c>
      <c r="D207">
        <v>33.299999999999997</v>
      </c>
      <c r="E207">
        <v>33.42</v>
      </c>
      <c r="F207">
        <v>11352639</v>
      </c>
    </row>
    <row r="208" spans="1:6">
      <c r="A208" s="39">
        <v>42444</v>
      </c>
      <c r="B208">
        <v>32.83</v>
      </c>
      <c r="C208">
        <v>32.840000000000003</v>
      </c>
      <c r="D208">
        <v>32.65</v>
      </c>
      <c r="E208">
        <v>32.799999999999997</v>
      </c>
      <c r="F208">
        <v>11979468</v>
      </c>
    </row>
    <row r="209" spans="1:6">
      <c r="A209" s="39">
        <v>42445</v>
      </c>
      <c r="B209">
        <v>32.57</v>
      </c>
      <c r="C209">
        <v>33.58</v>
      </c>
      <c r="D209">
        <v>32.54</v>
      </c>
      <c r="E209">
        <v>33.49</v>
      </c>
      <c r="F209">
        <v>13208168</v>
      </c>
    </row>
    <row r="210" spans="1:6">
      <c r="A210" s="39">
        <v>42446</v>
      </c>
      <c r="B210">
        <v>33.909999999999997</v>
      </c>
      <c r="C210">
        <v>34.28</v>
      </c>
      <c r="D210">
        <v>33.74</v>
      </c>
      <c r="E210">
        <v>34.17</v>
      </c>
      <c r="F210">
        <v>15863200</v>
      </c>
    </row>
    <row r="211" spans="1:6">
      <c r="A211" s="39">
        <v>42447</v>
      </c>
      <c r="B211">
        <v>34.43</v>
      </c>
      <c r="C211">
        <v>34.57</v>
      </c>
      <c r="D211">
        <v>34.36</v>
      </c>
      <c r="E211">
        <v>34.4</v>
      </c>
      <c r="F211">
        <v>16644208</v>
      </c>
    </row>
    <row r="212" spans="1:6">
      <c r="A212" s="39">
        <v>42450</v>
      </c>
      <c r="B212">
        <v>34.44</v>
      </c>
      <c r="C212">
        <v>34.619999999999997</v>
      </c>
      <c r="D212">
        <v>34.380000000000003</v>
      </c>
      <c r="E212">
        <v>34.54</v>
      </c>
      <c r="F212">
        <v>10944407</v>
      </c>
    </row>
    <row r="213" spans="1:6">
      <c r="A213" s="39">
        <v>42451</v>
      </c>
      <c r="B213">
        <v>34.25</v>
      </c>
      <c r="C213">
        <v>34.58</v>
      </c>
      <c r="D213">
        <v>34.200000000000003</v>
      </c>
      <c r="E213">
        <v>34.39</v>
      </c>
      <c r="F213">
        <v>16639749</v>
      </c>
    </row>
    <row r="214" spans="1:6">
      <c r="A214" s="39">
        <v>42452</v>
      </c>
      <c r="B214">
        <v>34.17</v>
      </c>
      <c r="C214">
        <v>34.17</v>
      </c>
      <c r="D214">
        <v>33.799999999999997</v>
      </c>
      <c r="E214">
        <v>33.86</v>
      </c>
      <c r="F214">
        <v>11668000</v>
      </c>
    </row>
    <row r="215" spans="1:6">
      <c r="A215" s="39">
        <v>42453</v>
      </c>
      <c r="B215">
        <v>33.49</v>
      </c>
      <c r="C215">
        <v>33.81</v>
      </c>
      <c r="D215">
        <v>33.380000000000003</v>
      </c>
      <c r="E215">
        <v>33.81</v>
      </c>
      <c r="F215">
        <v>16494677</v>
      </c>
    </row>
    <row r="216" spans="1:6">
      <c r="A216" s="39">
        <v>42457</v>
      </c>
      <c r="B216">
        <v>33.86</v>
      </c>
      <c r="C216">
        <v>33.92</v>
      </c>
      <c r="D216">
        <v>33.74</v>
      </c>
      <c r="E216">
        <v>33.9</v>
      </c>
      <c r="F216">
        <v>11695417</v>
      </c>
    </row>
    <row r="217" spans="1:6">
      <c r="A217" s="39">
        <v>42458</v>
      </c>
      <c r="B217">
        <v>33.68</v>
      </c>
      <c r="C217">
        <v>34.28</v>
      </c>
      <c r="D217">
        <v>33.549999999999997</v>
      </c>
      <c r="E217">
        <v>34.229999999999997</v>
      </c>
      <c r="F217">
        <v>16645772</v>
      </c>
    </row>
    <row r="218" spans="1:6">
      <c r="A218" s="39">
        <v>42459</v>
      </c>
      <c r="B218">
        <v>34.75</v>
      </c>
      <c r="C218">
        <v>34.93</v>
      </c>
      <c r="D218">
        <v>34.619999999999997</v>
      </c>
      <c r="E218">
        <v>34.619999999999997</v>
      </c>
      <c r="F218">
        <v>12617715</v>
      </c>
    </row>
    <row r="219" spans="1:6">
      <c r="A219" s="39">
        <v>42460</v>
      </c>
      <c r="B219">
        <v>34.799999999999997</v>
      </c>
      <c r="C219">
        <v>34.9</v>
      </c>
      <c r="D219">
        <v>34.549999999999997</v>
      </c>
      <c r="E219">
        <v>34.58</v>
      </c>
      <c r="F219">
        <v>15572935</v>
      </c>
    </row>
    <row r="220" spans="1:6">
      <c r="A220" s="39">
        <v>42461</v>
      </c>
      <c r="B220">
        <v>34.01</v>
      </c>
      <c r="C220">
        <v>34.71</v>
      </c>
      <c r="D220">
        <v>33.880000000000003</v>
      </c>
      <c r="E220">
        <v>34.68</v>
      </c>
      <c r="F220">
        <v>19357842</v>
      </c>
    </row>
    <row r="221" spans="1:6">
      <c r="A221" s="39">
        <v>42464</v>
      </c>
      <c r="B221">
        <v>34.68</v>
      </c>
      <c r="C221">
        <v>34.68</v>
      </c>
      <c r="D221">
        <v>34.200000000000003</v>
      </c>
      <c r="E221">
        <v>34.21</v>
      </c>
      <c r="F221">
        <v>8805351</v>
      </c>
    </row>
    <row r="222" spans="1:6">
      <c r="A222" s="39">
        <v>42465</v>
      </c>
      <c r="B222">
        <v>33.82</v>
      </c>
      <c r="C222">
        <v>33.869999999999997</v>
      </c>
      <c r="D222">
        <v>33.53</v>
      </c>
      <c r="E222">
        <v>33.57</v>
      </c>
      <c r="F222">
        <v>16526374</v>
      </c>
    </row>
    <row r="223" spans="1:6">
      <c r="A223" s="39">
        <v>42466</v>
      </c>
      <c r="B223">
        <v>33.53</v>
      </c>
      <c r="C223">
        <v>34</v>
      </c>
      <c r="D223">
        <v>33.39</v>
      </c>
      <c r="E223">
        <v>34</v>
      </c>
      <c r="F223">
        <v>11604688</v>
      </c>
    </row>
    <row r="224" spans="1:6">
      <c r="A224" s="39">
        <v>42467</v>
      </c>
      <c r="B224">
        <v>33.54</v>
      </c>
      <c r="C224">
        <v>33.590000000000003</v>
      </c>
      <c r="D224">
        <v>33.200000000000003</v>
      </c>
      <c r="E224">
        <v>33.29</v>
      </c>
      <c r="F224">
        <v>11248445</v>
      </c>
    </row>
    <row r="225" spans="1:6">
      <c r="A225" s="39">
        <v>42468</v>
      </c>
      <c r="B225">
        <v>33.97</v>
      </c>
      <c r="C225">
        <v>34.07</v>
      </c>
      <c r="D225">
        <v>33.78</v>
      </c>
      <c r="E225">
        <v>33.869999999999997</v>
      </c>
      <c r="F225">
        <v>14067081</v>
      </c>
    </row>
    <row r="226" spans="1:6">
      <c r="A226" s="39">
        <v>42471</v>
      </c>
      <c r="B226">
        <v>34.369999999999997</v>
      </c>
      <c r="C226">
        <v>34.590000000000003</v>
      </c>
      <c r="D226">
        <v>34.299999999999997</v>
      </c>
      <c r="E226">
        <v>34.32</v>
      </c>
      <c r="F226">
        <v>14099254</v>
      </c>
    </row>
    <row r="227" spans="1:6">
      <c r="A227" s="39">
        <v>42472</v>
      </c>
      <c r="B227">
        <v>34.49</v>
      </c>
      <c r="C227">
        <v>34.979999999999997</v>
      </c>
      <c r="D227">
        <v>34.31</v>
      </c>
      <c r="E227">
        <v>34.85</v>
      </c>
      <c r="F227">
        <v>15883573</v>
      </c>
    </row>
    <row r="228" spans="1:6">
      <c r="A228" s="39">
        <v>42473</v>
      </c>
      <c r="B228">
        <v>35.369999999999997</v>
      </c>
      <c r="C228">
        <v>35.51</v>
      </c>
      <c r="D228">
        <v>35.28</v>
      </c>
      <c r="E228">
        <v>35.5</v>
      </c>
      <c r="F228">
        <v>20158612</v>
      </c>
    </row>
    <row r="229" spans="1:6">
      <c r="A229" s="39">
        <v>42474</v>
      </c>
      <c r="B229">
        <v>35.42</v>
      </c>
      <c r="C229">
        <v>35.43</v>
      </c>
      <c r="D229">
        <v>35.26</v>
      </c>
      <c r="E229">
        <v>35.32</v>
      </c>
      <c r="F229">
        <v>12682352</v>
      </c>
    </row>
    <row r="230" spans="1:6">
      <c r="A230" s="39">
        <v>42475</v>
      </c>
      <c r="B230">
        <v>35.22</v>
      </c>
      <c r="C230">
        <v>35.31</v>
      </c>
      <c r="D230">
        <v>35.08</v>
      </c>
      <c r="E230">
        <v>35.11</v>
      </c>
      <c r="F230">
        <v>14448473</v>
      </c>
    </row>
    <row r="231" spans="1:6">
      <c r="A231" s="39">
        <v>42478</v>
      </c>
      <c r="B231">
        <v>34.950000000000003</v>
      </c>
      <c r="C231">
        <v>35.43</v>
      </c>
      <c r="D231">
        <v>34.89</v>
      </c>
      <c r="E231">
        <v>35.229999999999997</v>
      </c>
      <c r="F231">
        <v>14328235</v>
      </c>
    </row>
    <row r="232" spans="1:6">
      <c r="A232" s="39">
        <v>42479</v>
      </c>
      <c r="B232">
        <v>35.520000000000003</v>
      </c>
      <c r="C232">
        <v>35.83</v>
      </c>
      <c r="D232">
        <v>35.49</v>
      </c>
      <c r="E232">
        <v>35.770000000000003</v>
      </c>
      <c r="F232">
        <v>14039487</v>
      </c>
    </row>
    <row r="233" spans="1:6">
      <c r="A233" s="39">
        <v>42480</v>
      </c>
      <c r="B233">
        <v>35.43</v>
      </c>
      <c r="C233">
        <v>35.74</v>
      </c>
      <c r="D233">
        <v>35.299999999999997</v>
      </c>
      <c r="E233">
        <v>35.54</v>
      </c>
      <c r="F233">
        <v>11243648</v>
      </c>
    </row>
    <row r="234" spans="1:6">
      <c r="A234" s="39">
        <v>42481</v>
      </c>
      <c r="B234">
        <v>35.450000000000003</v>
      </c>
      <c r="C234">
        <v>35.450000000000003</v>
      </c>
      <c r="D234">
        <v>35.07</v>
      </c>
      <c r="E234">
        <v>35.15</v>
      </c>
      <c r="F234">
        <v>14503480</v>
      </c>
    </row>
    <row r="235" spans="1:6">
      <c r="A235" s="39">
        <v>42482</v>
      </c>
      <c r="B235">
        <v>35.11</v>
      </c>
      <c r="C235">
        <v>35.31</v>
      </c>
      <c r="D235">
        <v>34.950000000000003</v>
      </c>
      <c r="E235">
        <v>35.020000000000003</v>
      </c>
      <c r="F235">
        <v>13128275</v>
      </c>
    </row>
    <row r="236" spans="1:6">
      <c r="A236" s="39">
        <v>42485</v>
      </c>
      <c r="B236">
        <v>34.93</v>
      </c>
      <c r="C236">
        <v>34.97</v>
      </c>
      <c r="D236">
        <v>34.700000000000003</v>
      </c>
      <c r="E236">
        <v>34.74</v>
      </c>
      <c r="F236">
        <v>14106294</v>
      </c>
    </row>
    <row r="237" spans="1:6">
      <c r="A237" s="39">
        <v>42486</v>
      </c>
      <c r="B237">
        <v>35.03</v>
      </c>
      <c r="C237">
        <v>35.15</v>
      </c>
      <c r="D237">
        <v>34.909999999999997</v>
      </c>
      <c r="E237">
        <v>35.15</v>
      </c>
      <c r="F237">
        <v>8723460</v>
      </c>
    </row>
    <row r="238" spans="1:6">
      <c r="A238" s="39">
        <v>42487</v>
      </c>
      <c r="B238">
        <v>35.049999999999997</v>
      </c>
      <c r="C238">
        <v>35.450000000000003</v>
      </c>
      <c r="D238">
        <v>34.93</v>
      </c>
      <c r="E238">
        <v>35.36</v>
      </c>
      <c r="F238">
        <v>17914209</v>
      </c>
    </row>
    <row r="239" spans="1:6">
      <c r="A239" s="39">
        <v>42488</v>
      </c>
      <c r="B239">
        <v>35.049999999999997</v>
      </c>
      <c r="C239">
        <v>35.340000000000003</v>
      </c>
      <c r="D239">
        <v>34.96</v>
      </c>
      <c r="E239">
        <v>35</v>
      </c>
      <c r="F239">
        <v>12803239</v>
      </c>
    </row>
    <row r="240" spans="1:6">
      <c r="A240" s="39">
        <v>42489</v>
      </c>
      <c r="B240">
        <v>35</v>
      </c>
      <c r="C240">
        <v>35.1</v>
      </c>
      <c r="D240">
        <v>34.65</v>
      </c>
      <c r="E240">
        <v>34.93</v>
      </c>
      <c r="F240">
        <v>15633109</v>
      </c>
    </row>
    <row r="241" spans="1:6">
      <c r="A241" s="39">
        <v>42492</v>
      </c>
      <c r="B241">
        <v>34.92</v>
      </c>
      <c r="C241">
        <v>34.92</v>
      </c>
      <c r="D241">
        <v>34.659999999999997</v>
      </c>
      <c r="E241">
        <v>34.840000000000003</v>
      </c>
      <c r="F241">
        <v>14558493</v>
      </c>
    </row>
    <row r="242" spans="1:6">
      <c r="A242" s="39">
        <v>42493</v>
      </c>
      <c r="B242">
        <v>34.229999999999997</v>
      </c>
      <c r="C242">
        <v>34.299999999999997</v>
      </c>
      <c r="D242">
        <v>33.85</v>
      </c>
      <c r="E242">
        <v>33.869999999999997</v>
      </c>
      <c r="F242">
        <v>15472624</v>
      </c>
    </row>
    <row r="243" spans="1:6">
      <c r="A243" s="39">
        <v>42494</v>
      </c>
      <c r="B243">
        <v>33.74</v>
      </c>
      <c r="C243">
        <v>33.75</v>
      </c>
      <c r="D243">
        <v>33.35</v>
      </c>
      <c r="E243">
        <v>33.39</v>
      </c>
      <c r="F243">
        <v>18128414</v>
      </c>
    </row>
    <row r="244" spans="1:6">
      <c r="A244" s="39">
        <v>42495</v>
      </c>
      <c r="B244">
        <v>33.68</v>
      </c>
      <c r="C244">
        <v>33.76</v>
      </c>
      <c r="D244">
        <v>33.299999999999997</v>
      </c>
      <c r="E244">
        <v>33.39</v>
      </c>
      <c r="F244">
        <v>10408311</v>
      </c>
    </row>
    <row r="245" spans="1:6">
      <c r="A245" s="39">
        <v>42496</v>
      </c>
      <c r="B245">
        <v>33.24</v>
      </c>
      <c r="C245">
        <v>33.57</v>
      </c>
      <c r="D245">
        <v>33.24</v>
      </c>
      <c r="E245">
        <v>33.47</v>
      </c>
      <c r="F245">
        <v>17872606</v>
      </c>
    </row>
    <row r="246" spans="1:6">
      <c r="A246" s="39">
        <v>42499</v>
      </c>
      <c r="B246">
        <v>33.36</v>
      </c>
      <c r="C246">
        <v>33.36</v>
      </c>
      <c r="D246">
        <v>32.86</v>
      </c>
      <c r="E246">
        <v>32.96</v>
      </c>
      <c r="F246">
        <v>13902846</v>
      </c>
    </row>
    <row r="247" spans="1:6">
      <c r="A247" s="39">
        <v>42500</v>
      </c>
      <c r="B247">
        <v>33.29</v>
      </c>
      <c r="C247">
        <v>33.619999999999997</v>
      </c>
      <c r="D247">
        <v>33.25</v>
      </c>
      <c r="E247">
        <v>33.619999999999997</v>
      </c>
      <c r="F247">
        <v>15832985</v>
      </c>
    </row>
    <row r="248" spans="1:6">
      <c r="A248" s="39">
        <v>42501</v>
      </c>
      <c r="B248">
        <v>33.6</v>
      </c>
      <c r="C248">
        <v>33.75</v>
      </c>
      <c r="D248">
        <v>33.450000000000003</v>
      </c>
      <c r="E248">
        <v>33.520000000000003</v>
      </c>
      <c r="F248">
        <v>7523162</v>
      </c>
    </row>
    <row r="249" spans="1:6">
      <c r="A249" s="39">
        <v>42502</v>
      </c>
      <c r="B249">
        <v>33.72</v>
      </c>
      <c r="C249">
        <v>33.770000000000003</v>
      </c>
      <c r="D249">
        <v>33.32</v>
      </c>
      <c r="E249">
        <v>33.46</v>
      </c>
      <c r="F249">
        <v>13447855</v>
      </c>
    </row>
    <row r="250" spans="1:6">
      <c r="A250" s="39">
        <v>42503</v>
      </c>
      <c r="B250">
        <v>33.24</v>
      </c>
      <c r="C250">
        <v>33.340000000000003</v>
      </c>
      <c r="D250">
        <v>32.770000000000003</v>
      </c>
      <c r="E250">
        <v>32.86</v>
      </c>
      <c r="F250">
        <v>32199734</v>
      </c>
    </row>
    <row r="251" spans="1:6">
      <c r="A251" s="39">
        <v>42506</v>
      </c>
      <c r="B251">
        <v>33.15</v>
      </c>
      <c r="C251">
        <v>33.369999999999997</v>
      </c>
      <c r="D251">
        <v>33.14</v>
      </c>
      <c r="E251">
        <v>33.24</v>
      </c>
      <c r="F251">
        <v>11871311</v>
      </c>
    </row>
    <row r="252" spans="1:6">
      <c r="A252" s="39">
        <v>42507</v>
      </c>
      <c r="B252">
        <v>33.22</v>
      </c>
      <c r="C252">
        <v>33.31</v>
      </c>
      <c r="D252">
        <v>32.979999999999997</v>
      </c>
      <c r="E252">
        <v>33.1</v>
      </c>
      <c r="F252">
        <v>11681995</v>
      </c>
    </row>
    <row r="253" spans="1:6">
      <c r="A253" s="39">
        <v>42508</v>
      </c>
      <c r="B253">
        <v>32.92</v>
      </c>
      <c r="C253">
        <v>33.28</v>
      </c>
      <c r="D253">
        <v>32.65</v>
      </c>
      <c r="E253">
        <v>32.840000000000003</v>
      </c>
      <c r="F253">
        <v>20859563</v>
      </c>
    </row>
    <row r="254" spans="1:6">
      <c r="A254" s="39">
        <v>42509</v>
      </c>
      <c r="B254">
        <v>32.47</v>
      </c>
      <c r="C254">
        <v>32.54</v>
      </c>
      <c r="D254">
        <v>32.25</v>
      </c>
      <c r="E254">
        <v>32.44</v>
      </c>
      <c r="F254">
        <v>14302464</v>
      </c>
    </row>
    <row r="255" spans="1:6">
      <c r="A255" s="39">
        <v>42510</v>
      </c>
      <c r="B255">
        <v>32.729999999999997</v>
      </c>
      <c r="C255">
        <v>32.92</v>
      </c>
      <c r="D255">
        <v>32.700000000000003</v>
      </c>
      <c r="E255">
        <v>32.799999999999997</v>
      </c>
      <c r="F255">
        <v>20352869</v>
      </c>
    </row>
    <row r="256" spans="1:6">
      <c r="A256" s="39">
        <v>42513</v>
      </c>
      <c r="B256">
        <v>32.71</v>
      </c>
      <c r="C256">
        <v>32.93</v>
      </c>
      <c r="D256">
        <v>32.68</v>
      </c>
      <c r="E256">
        <v>32.729999999999997</v>
      </c>
      <c r="F256">
        <v>16078532</v>
      </c>
    </row>
    <row r="257" spans="1:6">
      <c r="A257" s="39">
        <v>42514</v>
      </c>
      <c r="B257">
        <v>32.979999999999997</v>
      </c>
      <c r="C257">
        <v>33.22</v>
      </c>
      <c r="D257">
        <v>32.94</v>
      </c>
      <c r="E257">
        <v>33.119999999999997</v>
      </c>
      <c r="F257">
        <v>18077765</v>
      </c>
    </row>
    <row r="258" spans="1:6">
      <c r="A258" s="39">
        <v>42515</v>
      </c>
      <c r="B258">
        <v>33.42</v>
      </c>
      <c r="C258">
        <v>33.64</v>
      </c>
      <c r="D258">
        <v>33.380000000000003</v>
      </c>
      <c r="E258">
        <v>33.5</v>
      </c>
      <c r="F258">
        <v>10387034</v>
      </c>
    </row>
    <row r="259" spans="1:6">
      <c r="A259" s="39">
        <v>42516</v>
      </c>
      <c r="B259">
        <v>33.75</v>
      </c>
      <c r="C259">
        <v>33.83</v>
      </c>
      <c r="D259">
        <v>33.56</v>
      </c>
      <c r="E259">
        <v>33.72</v>
      </c>
      <c r="F259">
        <v>9201009</v>
      </c>
    </row>
    <row r="260" spans="1:6">
      <c r="A260" s="39">
        <v>42517</v>
      </c>
      <c r="B260">
        <v>33.83</v>
      </c>
      <c r="C260">
        <v>33.9</v>
      </c>
      <c r="D260">
        <v>33.6</v>
      </c>
      <c r="E260">
        <v>33.71</v>
      </c>
      <c r="F260">
        <v>13249905</v>
      </c>
    </row>
    <row r="261" spans="1:6">
      <c r="A261" s="39">
        <v>42521</v>
      </c>
      <c r="B261">
        <v>33.75</v>
      </c>
      <c r="C261">
        <v>33.92</v>
      </c>
      <c r="D261">
        <v>33.659999999999997</v>
      </c>
      <c r="E261">
        <v>33.799999999999997</v>
      </c>
      <c r="F261">
        <v>23613793</v>
      </c>
    </row>
    <row r="262" spans="1:6">
      <c r="A262" s="39">
        <v>42522</v>
      </c>
      <c r="B262">
        <v>33.69</v>
      </c>
      <c r="C262">
        <v>33.85</v>
      </c>
      <c r="D262">
        <v>33.549999999999997</v>
      </c>
      <c r="E262">
        <v>33.770000000000003</v>
      </c>
      <c r="F262">
        <v>16739148</v>
      </c>
    </row>
    <row r="263" spans="1:6">
      <c r="A263" s="39">
        <v>42523</v>
      </c>
      <c r="B263">
        <v>33.78</v>
      </c>
      <c r="C263">
        <v>34.07</v>
      </c>
      <c r="D263">
        <v>33.69</v>
      </c>
      <c r="E263">
        <v>34.04</v>
      </c>
      <c r="F263">
        <v>12816062</v>
      </c>
    </row>
    <row r="264" spans="1:6">
      <c r="A264" s="39">
        <v>42524</v>
      </c>
      <c r="B264">
        <v>34.43</v>
      </c>
      <c r="C264">
        <v>34.619999999999997</v>
      </c>
      <c r="D264">
        <v>34.21</v>
      </c>
      <c r="E264">
        <v>34.57</v>
      </c>
      <c r="F264">
        <v>31195999</v>
      </c>
    </row>
    <row r="265" spans="1:6">
      <c r="A265" s="39">
        <v>42527</v>
      </c>
      <c r="B265">
        <v>34.67</v>
      </c>
      <c r="C265">
        <v>34.92</v>
      </c>
      <c r="D265">
        <v>34.659999999999997</v>
      </c>
      <c r="E265">
        <v>34.86</v>
      </c>
      <c r="F265">
        <v>14301291</v>
      </c>
    </row>
    <row r="266" spans="1:6">
      <c r="A266" s="39">
        <v>42528</v>
      </c>
      <c r="B266">
        <v>35.06</v>
      </c>
      <c r="C266">
        <v>35.25</v>
      </c>
      <c r="D266">
        <v>35.03</v>
      </c>
      <c r="E266">
        <v>35.200000000000003</v>
      </c>
      <c r="F266">
        <v>12981785</v>
      </c>
    </row>
    <row r="267" spans="1:6">
      <c r="A267" s="39">
        <v>42529</v>
      </c>
      <c r="B267">
        <v>35.409999999999997</v>
      </c>
      <c r="C267">
        <v>35.520000000000003</v>
      </c>
      <c r="D267">
        <v>35.35</v>
      </c>
      <c r="E267">
        <v>35.49</v>
      </c>
      <c r="F267">
        <v>13666833</v>
      </c>
    </row>
    <row r="268" spans="1:6">
      <c r="A268" s="39">
        <v>42530</v>
      </c>
      <c r="B268">
        <v>35.08</v>
      </c>
      <c r="C268">
        <v>35.130000000000003</v>
      </c>
      <c r="D268">
        <v>34.950000000000003</v>
      </c>
      <c r="E268">
        <v>35.090000000000003</v>
      </c>
      <c r="F268">
        <v>12983331</v>
      </c>
    </row>
    <row r="269" spans="1:6">
      <c r="A269" s="39">
        <v>42531</v>
      </c>
      <c r="B269">
        <v>34.450000000000003</v>
      </c>
      <c r="C269">
        <v>34.5</v>
      </c>
      <c r="D269">
        <v>34.11</v>
      </c>
      <c r="E269">
        <v>34.200000000000003</v>
      </c>
      <c r="F269">
        <v>13902715</v>
      </c>
    </row>
    <row r="270" spans="1:6">
      <c r="A270" s="39">
        <v>42534</v>
      </c>
      <c r="B270">
        <v>33.86</v>
      </c>
      <c r="C270">
        <v>34.06</v>
      </c>
      <c r="D270">
        <v>33.729999999999997</v>
      </c>
      <c r="E270">
        <v>33.770000000000003</v>
      </c>
      <c r="F270">
        <v>17217083</v>
      </c>
    </row>
    <row r="271" spans="1:6">
      <c r="A271" s="39">
        <v>42535</v>
      </c>
      <c r="B271">
        <v>33.479999999999997</v>
      </c>
      <c r="C271">
        <v>33.61</v>
      </c>
      <c r="D271">
        <v>33.159999999999997</v>
      </c>
      <c r="E271">
        <v>33.450000000000003</v>
      </c>
      <c r="F271">
        <v>21714412</v>
      </c>
    </row>
    <row r="272" spans="1:6">
      <c r="A272" s="39">
        <v>42536</v>
      </c>
      <c r="B272">
        <v>33.729999999999997</v>
      </c>
      <c r="C272">
        <v>34.090000000000003</v>
      </c>
      <c r="D272">
        <v>33.69</v>
      </c>
      <c r="E272">
        <v>33.76</v>
      </c>
      <c r="F272">
        <v>14844452</v>
      </c>
    </row>
    <row r="273" spans="1:6">
      <c r="A273" s="39">
        <v>42537</v>
      </c>
      <c r="B273">
        <v>33.28</v>
      </c>
      <c r="C273">
        <v>33.72</v>
      </c>
      <c r="D273">
        <v>33.01</v>
      </c>
      <c r="E273">
        <v>33.68</v>
      </c>
      <c r="F273">
        <v>18044926</v>
      </c>
    </row>
    <row r="274" spans="1:6">
      <c r="A274" s="39">
        <v>42538</v>
      </c>
      <c r="B274">
        <v>33.72</v>
      </c>
      <c r="C274">
        <v>33.89</v>
      </c>
      <c r="D274">
        <v>33.58</v>
      </c>
      <c r="E274">
        <v>33.83</v>
      </c>
      <c r="F274">
        <v>25507626</v>
      </c>
    </row>
    <row r="275" spans="1:6">
      <c r="A275" s="39">
        <v>42541</v>
      </c>
      <c r="B275">
        <v>34.39</v>
      </c>
      <c r="C275">
        <v>34.56</v>
      </c>
      <c r="D275">
        <v>34.29</v>
      </c>
      <c r="E275">
        <v>34.32</v>
      </c>
      <c r="F275">
        <v>26054130</v>
      </c>
    </row>
    <row r="276" spans="1:6">
      <c r="A276" s="39">
        <v>42542</v>
      </c>
      <c r="B276">
        <v>34.5</v>
      </c>
      <c r="C276">
        <v>34.68</v>
      </c>
      <c r="D276">
        <v>34.29</v>
      </c>
      <c r="E276">
        <v>34.58</v>
      </c>
      <c r="F276">
        <v>17067170</v>
      </c>
    </row>
    <row r="277" spans="1:6">
      <c r="A277" s="39">
        <v>42543</v>
      </c>
      <c r="B277">
        <v>34.76</v>
      </c>
      <c r="C277">
        <v>34.89</v>
      </c>
      <c r="D277">
        <v>34.57</v>
      </c>
      <c r="E277">
        <v>34.630000000000003</v>
      </c>
      <c r="F277">
        <v>30413968</v>
      </c>
    </row>
    <row r="278" spans="1:6">
      <c r="A278" s="39">
        <v>42544</v>
      </c>
      <c r="B278">
        <v>35.07</v>
      </c>
      <c r="C278">
        <v>35.520000000000003</v>
      </c>
      <c r="D278">
        <v>34.979999999999997</v>
      </c>
      <c r="E278">
        <v>35.49</v>
      </c>
      <c r="F278">
        <v>15544591</v>
      </c>
    </row>
    <row r="279" spans="1:6">
      <c r="A279" s="39">
        <v>42545</v>
      </c>
      <c r="B279">
        <v>33.57</v>
      </c>
      <c r="C279">
        <v>34.26</v>
      </c>
      <c r="D279">
        <v>33.36</v>
      </c>
      <c r="E279">
        <v>33.479999999999997</v>
      </c>
      <c r="F279">
        <v>33890654</v>
      </c>
    </row>
    <row r="280" spans="1:6">
      <c r="A280" s="39">
        <v>42548</v>
      </c>
      <c r="B280">
        <v>33.380000000000003</v>
      </c>
      <c r="C280">
        <v>33.409999999999997</v>
      </c>
      <c r="D280">
        <v>32.78</v>
      </c>
      <c r="E280">
        <v>33.130000000000003</v>
      </c>
      <c r="F280">
        <v>35826637</v>
      </c>
    </row>
    <row r="281" spans="1:6">
      <c r="A281" s="39">
        <v>42549</v>
      </c>
      <c r="B281">
        <v>33.89</v>
      </c>
      <c r="C281">
        <v>34.08</v>
      </c>
      <c r="D281">
        <v>33.74</v>
      </c>
      <c r="E281">
        <v>34.08</v>
      </c>
      <c r="F281">
        <v>17853578</v>
      </c>
    </row>
    <row r="282" spans="1:6">
      <c r="A282" s="39">
        <v>42550</v>
      </c>
      <c r="B282">
        <v>34.68</v>
      </c>
      <c r="C282">
        <v>34.9</v>
      </c>
      <c r="D282">
        <v>34.630000000000003</v>
      </c>
      <c r="E282">
        <v>34.880000000000003</v>
      </c>
      <c r="F282">
        <v>16422251</v>
      </c>
    </row>
    <row r="283" spans="1:6">
      <c r="A283" s="39">
        <v>42551</v>
      </c>
      <c r="B283">
        <v>35</v>
      </c>
      <c r="C283">
        <v>35.29</v>
      </c>
      <c r="D283">
        <v>34.83</v>
      </c>
      <c r="E283">
        <v>35.229999999999997</v>
      </c>
      <c r="F283">
        <v>24261575</v>
      </c>
    </row>
    <row r="284" spans="1:6">
      <c r="A284" s="39">
        <v>42552</v>
      </c>
      <c r="B284">
        <v>35.369999999999997</v>
      </c>
      <c r="C284">
        <v>35.56</v>
      </c>
      <c r="D284">
        <v>35.35</v>
      </c>
      <c r="E284">
        <v>35.49</v>
      </c>
      <c r="F284">
        <v>18071329</v>
      </c>
    </row>
    <row r="285" spans="1:6">
      <c r="A285" s="39">
        <v>42556</v>
      </c>
      <c r="B285">
        <v>34.950000000000003</v>
      </c>
      <c r="C285">
        <v>35.049999999999997</v>
      </c>
      <c r="D285">
        <v>34.700000000000003</v>
      </c>
      <c r="E285">
        <v>34.79</v>
      </c>
      <c r="F285">
        <v>21404249</v>
      </c>
    </row>
    <row r="286" spans="1:6">
      <c r="A286" s="39">
        <v>42557</v>
      </c>
      <c r="B286">
        <v>34.369999999999997</v>
      </c>
      <c r="C286">
        <v>34.799999999999997</v>
      </c>
      <c r="D286">
        <v>34.25</v>
      </c>
      <c r="E286">
        <v>34.79</v>
      </c>
      <c r="F286">
        <v>19563624</v>
      </c>
    </row>
    <row r="287" spans="1:6">
      <c r="A287" s="39">
        <v>42558</v>
      </c>
      <c r="B287">
        <v>34.909999999999997</v>
      </c>
      <c r="C287">
        <v>35.01</v>
      </c>
      <c r="D287">
        <v>34.54</v>
      </c>
      <c r="E287">
        <v>34.64</v>
      </c>
      <c r="F287">
        <v>11178061</v>
      </c>
    </row>
    <row r="288" spans="1:6">
      <c r="A288" s="39">
        <v>42559</v>
      </c>
      <c r="B288">
        <v>35.020000000000003</v>
      </c>
      <c r="C288">
        <v>35.43</v>
      </c>
      <c r="D288">
        <v>35.020000000000003</v>
      </c>
      <c r="E288">
        <v>35.409999999999997</v>
      </c>
      <c r="F288">
        <v>9527197</v>
      </c>
    </row>
    <row r="289" spans="1:6">
      <c r="A289" s="39">
        <v>42562</v>
      </c>
      <c r="B289">
        <v>35.61</v>
      </c>
      <c r="C289">
        <v>35.82</v>
      </c>
      <c r="D289">
        <v>35.61</v>
      </c>
      <c r="E289">
        <v>35.700000000000003</v>
      </c>
      <c r="F289">
        <v>15134357</v>
      </c>
    </row>
    <row r="290" spans="1:6">
      <c r="A290" s="39">
        <v>42563</v>
      </c>
      <c r="B290">
        <v>36.19</v>
      </c>
      <c r="C290">
        <v>36.35</v>
      </c>
      <c r="D290">
        <v>36.08</v>
      </c>
      <c r="E290">
        <v>36.25</v>
      </c>
      <c r="F290">
        <v>18160510</v>
      </c>
    </row>
    <row r="291" spans="1:6">
      <c r="A291" s="39">
        <v>42564</v>
      </c>
      <c r="B291">
        <v>36.25</v>
      </c>
      <c r="C291">
        <v>36.26</v>
      </c>
      <c r="D291">
        <v>35.96</v>
      </c>
      <c r="E291">
        <v>36.19</v>
      </c>
      <c r="F291">
        <v>15234626</v>
      </c>
    </row>
    <row r="292" spans="1:6">
      <c r="A292" s="39">
        <v>42565</v>
      </c>
      <c r="B292">
        <v>36.5</v>
      </c>
      <c r="C292">
        <v>36.76</v>
      </c>
      <c r="D292">
        <v>36.46</v>
      </c>
      <c r="E292">
        <v>36.69</v>
      </c>
      <c r="F292">
        <v>14575241</v>
      </c>
    </row>
    <row r="293" spans="1:6">
      <c r="A293" s="39">
        <v>42566</v>
      </c>
      <c r="B293">
        <v>36.619999999999997</v>
      </c>
      <c r="C293">
        <v>36.65</v>
      </c>
      <c r="D293">
        <v>36.450000000000003</v>
      </c>
      <c r="E293">
        <v>36.56</v>
      </c>
      <c r="F293">
        <v>16445928</v>
      </c>
    </row>
    <row r="294" spans="1:6">
      <c r="A294" s="39">
        <v>42569</v>
      </c>
      <c r="B294">
        <v>36.479999999999997</v>
      </c>
      <c r="C294">
        <v>36.9</v>
      </c>
      <c r="D294">
        <v>36.43</v>
      </c>
      <c r="E294">
        <v>36.880000000000003</v>
      </c>
      <c r="F294">
        <v>10288418</v>
      </c>
    </row>
    <row r="295" spans="1:6">
      <c r="A295" s="39">
        <v>42570</v>
      </c>
      <c r="B295">
        <v>36.61</v>
      </c>
      <c r="C295">
        <v>36.67</v>
      </c>
      <c r="D295">
        <v>36.43</v>
      </c>
      <c r="E295">
        <v>36.56</v>
      </c>
      <c r="F295">
        <v>10503759</v>
      </c>
    </row>
    <row r="296" spans="1:6">
      <c r="A296" s="39">
        <v>42571</v>
      </c>
      <c r="B296">
        <v>36.630000000000003</v>
      </c>
      <c r="C296">
        <v>36.82</v>
      </c>
      <c r="D296">
        <v>36.54</v>
      </c>
      <c r="E296">
        <v>36.75</v>
      </c>
      <c r="F296">
        <v>7415812</v>
      </c>
    </row>
    <row r="297" spans="1:6">
      <c r="A297" s="39">
        <v>42572</v>
      </c>
      <c r="B297">
        <v>36.700000000000003</v>
      </c>
      <c r="C297">
        <v>36.82</v>
      </c>
      <c r="D297">
        <v>36.54</v>
      </c>
      <c r="E297">
        <v>36.65</v>
      </c>
      <c r="F297">
        <v>10652254</v>
      </c>
    </row>
    <row r="298" spans="1:6">
      <c r="A298" s="39">
        <v>42573</v>
      </c>
      <c r="B298">
        <v>36.76</v>
      </c>
      <c r="C298">
        <v>36.92</v>
      </c>
      <c r="D298">
        <v>36.659999999999997</v>
      </c>
      <c r="E298">
        <v>36.89</v>
      </c>
      <c r="F298">
        <v>13090061</v>
      </c>
    </row>
    <row r="299" spans="1:6">
      <c r="A299" s="39">
        <v>42576</v>
      </c>
      <c r="B299">
        <v>36.799999999999997</v>
      </c>
      <c r="C299">
        <v>36.799999999999997</v>
      </c>
      <c r="D299">
        <v>36.53</v>
      </c>
      <c r="E299">
        <v>36.590000000000003</v>
      </c>
      <c r="F299">
        <v>7189158</v>
      </c>
    </row>
    <row r="300" spans="1:6">
      <c r="A300" s="39">
        <v>42577</v>
      </c>
      <c r="B300">
        <v>36.729999999999997</v>
      </c>
      <c r="C300">
        <v>36.86</v>
      </c>
      <c r="D300">
        <v>36.65</v>
      </c>
      <c r="E300">
        <v>36.81</v>
      </c>
      <c r="F300">
        <v>12670168</v>
      </c>
    </row>
    <row r="301" spans="1:6">
      <c r="A301" s="39">
        <v>42578</v>
      </c>
      <c r="B301">
        <v>36.85</v>
      </c>
      <c r="C301">
        <v>36.979999999999997</v>
      </c>
      <c r="D301">
        <v>36.520000000000003</v>
      </c>
      <c r="E301">
        <v>36.86</v>
      </c>
      <c r="F301">
        <v>13836348</v>
      </c>
    </row>
    <row r="302" spans="1:6">
      <c r="A302" s="39">
        <v>42579</v>
      </c>
      <c r="B302">
        <v>36.840000000000003</v>
      </c>
      <c r="C302">
        <v>36.86</v>
      </c>
      <c r="D302">
        <v>36.64</v>
      </c>
      <c r="E302">
        <v>36.840000000000003</v>
      </c>
      <c r="F302">
        <v>8528456</v>
      </c>
    </row>
    <row r="303" spans="1:6">
      <c r="A303" s="39">
        <v>42580</v>
      </c>
      <c r="B303">
        <v>36.82</v>
      </c>
      <c r="C303">
        <v>37.1</v>
      </c>
      <c r="D303">
        <v>36.700000000000003</v>
      </c>
      <c r="E303">
        <v>37.04</v>
      </c>
      <c r="F303">
        <v>17030811</v>
      </c>
    </row>
    <row r="304" spans="1:6">
      <c r="A304" s="39">
        <v>42583</v>
      </c>
      <c r="B304">
        <v>37.08</v>
      </c>
      <c r="C304">
        <v>37.130000000000003</v>
      </c>
      <c r="D304">
        <v>36.840000000000003</v>
      </c>
      <c r="E304">
        <v>36.9</v>
      </c>
      <c r="F304">
        <v>11055040</v>
      </c>
    </row>
    <row r="305" spans="1:6">
      <c r="A305" s="39">
        <v>42584</v>
      </c>
      <c r="B305">
        <v>36.92</v>
      </c>
      <c r="C305">
        <v>36.93</v>
      </c>
      <c r="D305">
        <v>36.42</v>
      </c>
      <c r="E305">
        <v>36.700000000000003</v>
      </c>
      <c r="F305">
        <v>12871347</v>
      </c>
    </row>
    <row r="306" spans="1:6">
      <c r="A306" s="39">
        <v>42585</v>
      </c>
      <c r="B306">
        <v>36.51</v>
      </c>
      <c r="C306">
        <v>36.94</v>
      </c>
      <c r="D306">
        <v>36.409999999999997</v>
      </c>
      <c r="E306">
        <v>36.9</v>
      </c>
      <c r="F306">
        <v>14441652</v>
      </c>
    </row>
    <row r="307" spans="1:6">
      <c r="A307" s="39">
        <v>42586</v>
      </c>
      <c r="B307">
        <v>37.01</v>
      </c>
      <c r="C307">
        <v>37.24</v>
      </c>
      <c r="D307">
        <v>36.909999999999997</v>
      </c>
      <c r="E307">
        <v>37.08</v>
      </c>
      <c r="F307">
        <v>17134115</v>
      </c>
    </row>
    <row r="308" spans="1:6">
      <c r="A308" s="39">
        <v>42587</v>
      </c>
      <c r="B308">
        <v>37.32</v>
      </c>
      <c r="C308">
        <v>37.51</v>
      </c>
      <c r="D308">
        <v>37.24</v>
      </c>
      <c r="E308">
        <v>37.49</v>
      </c>
      <c r="F308">
        <v>12316509</v>
      </c>
    </row>
    <row r="309" spans="1:6">
      <c r="A309" s="39">
        <v>42590</v>
      </c>
      <c r="B309">
        <v>37.71</v>
      </c>
      <c r="C309">
        <v>37.799999999999997</v>
      </c>
      <c r="D309">
        <v>37.67</v>
      </c>
      <c r="E309">
        <v>37.729999999999997</v>
      </c>
      <c r="F309">
        <v>8541750</v>
      </c>
    </row>
    <row r="310" spans="1:6">
      <c r="A310" s="39">
        <v>42591</v>
      </c>
      <c r="B310">
        <v>37.869999999999997</v>
      </c>
      <c r="C310">
        <v>38.090000000000003</v>
      </c>
      <c r="D310">
        <v>37.85</v>
      </c>
      <c r="E310">
        <v>37.979999999999997</v>
      </c>
      <c r="F310">
        <v>12643362</v>
      </c>
    </row>
    <row r="311" spans="1:6">
      <c r="A311" s="39">
        <v>42592</v>
      </c>
      <c r="B311">
        <v>38.119999999999997</v>
      </c>
      <c r="C311">
        <v>38.130000000000003</v>
      </c>
      <c r="D311">
        <v>37.81</v>
      </c>
      <c r="E311">
        <v>37.89</v>
      </c>
      <c r="F311">
        <v>12931265</v>
      </c>
    </row>
    <row r="312" spans="1:6">
      <c r="A312" s="39">
        <v>42593</v>
      </c>
      <c r="B312">
        <v>38.01</v>
      </c>
      <c r="C312">
        <v>38.36</v>
      </c>
      <c r="D312">
        <v>37.99</v>
      </c>
      <c r="E312">
        <v>38.33</v>
      </c>
      <c r="F312">
        <v>15284927</v>
      </c>
    </row>
    <row r="313" spans="1:6">
      <c r="A313" s="39">
        <v>42594</v>
      </c>
      <c r="B313">
        <v>38.25</v>
      </c>
      <c r="C313">
        <v>38.340000000000003</v>
      </c>
      <c r="D313">
        <v>38.049999999999997</v>
      </c>
      <c r="E313">
        <v>38.18</v>
      </c>
      <c r="F313">
        <v>10770347</v>
      </c>
    </row>
    <row r="314" spans="1:6">
      <c r="A314" s="39">
        <v>42597</v>
      </c>
      <c r="B314">
        <v>38.409999999999997</v>
      </c>
      <c r="C314">
        <v>38.67</v>
      </c>
      <c r="D314">
        <v>38.409999999999997</v>
      </c>
      <c r="E314">
        <v>38.6</v>
      </c>
      <c r="F314">
        <v>9350448</v>
      </c>
    </row>
    <row r="315" spans="1:6">
      <c r="A315" s="39">
        <v>42598</v>
      </c>
      <c r="B315">
        <v>38.53</v>
      </c>
      <c r="C315">
        <v>38.53</v>
      </c>
      <c r="D315">
        <v>38.299999999999997</v>
      </c>
      <c r="E315">
        <v>38.4</v>
      </c>
      <c r="F315">
        <v>26223205</v>
      </c>
    </row>
    <row r="316" spans="1:6">
      <c r="A316" s="39">
        <v>42599</v>
      </c>
      <c r="B316">
        <v>38.15</v>
      </c>
      <c r="C316">
        <v>38.31</v>
      </c>
      <c r="D316">
        <v>37.86</v>
      </c>
      <c r="E316">
        <v>38.26</v>
      </c>
      <c r="F316">
        <v>22088566</v>
      </c>
    </row>
    <row r="317" spans="1:6">
      <c r="A317" s="39">
        <v>42600</v>
      </c>
      <c r="B317">
        <v>38.43</v>
      </c>
      <c r="C317">
        <v>38.58</v>
      </c>
      <c r="D317">
        <v>38.369999999999997</v>
      </c>
      <c r="E317">
        <v>38.57</v>
      </c>
      <c r="F317">
        <v>8914149</v>
      </c>
    </row>
    <row r="318" spans="1:6">
      <c r="A318" s="39">
        <v>42601</v>
      </c>
      <c r="B318">
        <v>38.130000000000003</v>
      </c>
      <c r="C318">
        <v>38.36</v>
      </c>
      <c r="D318">
        <v>37.979999999999997</v>
      </c>
      <c r="E318">
        <v>38.340000000000003</v>
      </c>
      <c r="F318">
        <v>11658211</v>
      </c>
    </row>
    <row r="319" spans="1:6">
      <c r="A319" s="39">
        <v>42604</v>
      </c>
      <c r="B319">
        <v>37.99</v>
      </c>
      <c r="C319">
        <v>38</v>
      </c>
      <c r="D319">
        <v>37.75</v>
      </c>
      <c r="E319">
        <v>37.86</v>
      </c>
      <c r="F319">
        <v>12970200</v>
      </c>
    </row>
    <row r="320" spans="1:6">
      <c r="A320" s="39">
        <v>42605</v>
      </c>
      <c r="B320">
        <v>38.159999999999997</v>
      </c>
      <c r="C320">
        <v>38.24</v>
      </c>
      <c r="D320">
        <v>37.65</v>
      </c>
      <c r="E320">
        <v>37.67</v>
      </c>
      <c r="F320">
        <v>14133810</v>
      </c>
    </row>
    <row r="321" spans="1:6">
      <c r="A321" s="39">
        <v>42606</v>
      </c>
      <c r="B321">
        <v>37.64</v>
      </c>
      <c r="C321">
        <v>37.840000000000003</v>
      </c>
      <c r="D321">
        <v>37.54</v>
      </c>
      <c r="E321">
        <v>37.78</v>
      </c>
      <c r="F321">
        <v>19142951</v>
      </c>
    </row>
    <row r="322" spans="1:6">
      <c r="A322" s="39">
        <v>42607</v>
      </c>
      <c r="B322">
        <v>37.67</v>
      </c>
      <c r="C322">
        <v>37.81</v>
      </c>
      <c r="D322">
        <v>37.619999999999997</v>
      </c>
      <c r="E322">
        <v>37.770000000000003</v>
      </c>
      <c r="F322">
        <v>17293654</v>
      </c>
    </row>
    <row r="323" spans="1:6">
      <c r="A323" s="39">
        <v>42608</v>
      </c>
      <c r="B323">
        <v>37.85</v>
      </c>
      <c r="C323">
        <v>38.25</v>
      </c>
      <c r="D323">
        <v>37.18</v>
      </c>
      <c r="E323">
        <v>37.47</v>
      </c>
      <c r="F323">
        <v>24056088</v>
      </c>
    </row>
    <row r="324" spans="1:6">
      <c r="A324" s="39">
        <v>42611</v>
      </c>
      <c r="B324">
        <v>37.47</v>
      </c>
      <c r="C324">
        <v>37.82</v>
      </c>
      <c r="D324">
        <v>37.450000000000003</v>
      </c>
      <c r="E324">
        <v>37.75</v>
      </c>
      <c r="F324">
        <v>9128916</v>
      </c>
    </row>
    <row r="325" spans="1:6">
      <c r="A325" s="39">
        <v>42612</v>
      </c>
      <c r="B325">
        <v>37.770000000000003</v>
      </c>
      <c r="C325">
        <v>37.92</v>
      </c>
      <c r="D325">
        <v>37.58</v>
      </c>
      <c r="E325">
        <v>37.69</v>
      </c>
      <c r="F325">
        <v>12146184</v>
      </c>
    </row>
    <row r="326" spans="1:6">
      <c r="A326" s="39">
        <v>42613</v>
      </c>
      <c r="B326">
        <v>37.53</v>
      </c>
      <c r="C326">
        <v>37.54</v>
      </c>
      <c r="D326">
        <v>37.159999999999997</v>
      </c>
      <c r="E326">
        <v>37.33</v>
      </c>
      <c r="F326">
        <v>20049844</v>
      </c>
    </row>
    <row r="327" spans="1:6">
      <c r="A327" s="39">
        <v>42614</v>
      </c>
      <c r="B327">
        <v>37.340000000000003</v>
      </c>
      <c r="C327">
        <v>37.53</v>
      </c>
      <c r="D327">
        <v>37.21</v>
      </c>
      <c r="E327">
        <v>37.53</v>
      </c>
      <c r="F327">
        <v>18507431</v>
      </c>
    </row>
    <row r="328" spans="1:6">
      <c r="A328" s="39">
        <v>42615</v>
      </c>
      <c r="B328">
        <v>38.020000000000003</v>
      </c>
      <c r="C328">
        <v>38.119999999999997</v>
      </c>
      <c r="D328">
        <v>37.86</v>
      </c>
      <c r="E328">
        <v>38.1</v>
      </c>
      <c r="F328">
        <v>18235539</v>
      </c>
    </row>
    <row r="329" spans="1:6">
      <c r="A329" s="39">
        <v>42619</v>
      </c>
      <c r="B329">
        <v>38.619999999999997</v>
      </c>
      <c r="C329">
        <v>38.840000000000003</v>
      </c>
      <c r="D329">
        <v>38.46</v>
      </c>
      <c r="E329">
        <v>38.76</v>
      </c>
      <c r="F329">
        <v>20559890</v>
      </c>
    </row>
    <row r="330" spans="1:6">
      <c r="A330" s="39">
        <v>42620</v>
      </c>
      <c r="B330">
        <v>38.799999999999997</v>
      </c>
      <c r="C330">
        <v>38.840000000000003</v>
      </c>
      <c r="D330">
        <v>38.6</v>
      </c>
      <c r="E330">
        <v>38.71</v>
      </c>
      <c r="F330">
        <v>15457783</v>
      </c>
    </row>
    <row r="331" spans="1:6">
      <c r="A331" s="39">
        <v>42621</v>
      </c>
      <c r="B331">
        <v>38.79</v>
      </c>
      <c r="C331">
        <v>38.869999999999997</v>
      </c>
      <c r="D331">
        <v>38.549999999999997</v>
      </c>
      <c r="E331">
        <v>38.630000000000003</v>
      </c>
      <c r="F331">
        <v>23677240</v>
      </c>
    </row>
    <row r="332" spans="1:6">
      <c r="A332" s="39">
        <v>42622</v>
      </c>
      <c r="B332">
        <v>38.08</v>
      </c>
      <c r="C332">
        <v>38.119999999999997</v>
      </c>
      <c r="D332">
        <v>37.409999999999997</v>
      </c>
      <c r="E332">
        <v>37.409999999999997</v>
      </c>
      <c r="F332">
        <v>17067011</v>
      </c>
    </row>
    <row r="333" spans="1:6">
      <c r="A333" s="39">
        <v>42625</v>
      </c>
      <c r="B333">
        <v>37.01</v>
      </c>
      <c r="C333">
        <v>37.83</v>
      </c>
      <c r="D333">
        <v>36.89</v>
      </c>
      <c r="E333">
        <v>37.72</v>
      </c>
      <c r="F333">
        <v>18950394</v>
      </c>
    </row>
    <row r="334" spans="1:6">
      <c r="A334" s="39">
        <v>42626</v>
      </c>
      <c r="B334">
        <v>36.75</v>
      </c>
      <c r="C334">
        <v>36.83</v>
      </c>
      <c r="D334">
        <v>36.130000000000003</v>
      </c>
      <c r="E334">
        <v>36.340000000000003</v>
      </c>
      <c r="F334">
        <v>26155178</v>
      </c>
    </row>
    <row r="335" spans="1:6">
      <c r="A335" s="39">
        <v>42627</v>
      </c>
      <c r="B335">
        <v>36.5</v>
      </c>
      <c r="C335">
        <v>36.81</v>
      </c>
      <c r="D335">
        <v>36.43</v>
      </c>
      <c r="E335">
        <v>36.47</v>
      </c>
      <c r="F335">
        <v>19857084</v>
      </c>
    </row>
    <row r="336" spans="1:6">
      <c r="A336" s="39">
        <v>42628</v>
      </c>
      <c r="B336">
        <v>36.700000000000003</v>
      </c>
      <c r="C336">
        <v>37.17</v>
      </c>
      <c r="D336">
        <v>36.56</v>
      </c>
      <c r="E336">
        <v>37.049999999999997</v>
      </c>
      <c r="F336">
        <v>15309330</v>
      </c>
    </row>
    <row r="337" spans="1:6">
      <c r="A337" s="39">
        <v>42629</v>
      </c>
      <c r="B337">
        <v>36.79</v>
      </c>
      <c r="C337">
        <v>36.880000000000003</v>
      </c>
      <c r="D337">
        <v>36.5</v>
      </c>
      <c r="E337">
        <v>36.799999999999997</v>
      </c>
      <c r="F337">
        <v>18397837</v>
      </c>
    </row>
    <row r="338" spans="1:6">
      <c r="A338" s="39">
        <v>42632</v>
      </c>
      <c r="B338">
        <v>37.26</v>
      </c>
      <c r="C338">
        <v>37.4</v>
      </c>
      <c r="D338">
        <v>37.06</v>
      </c>
      <c r="E338">
        <v>37.11</v>
      </c>
      <c r="F338">
        <v>12623872</v>
      </c>
    </row>
    <row r="339" spans="1:6">
      <c r="A339" s="39">
        <v>42633</v>
      </c>
      <c r="B339">
        <v>37.36</v>
      </c>
      <c r="C339">
        <v>37.380000000000003</v>
      </c>
      <c r="D339">
        <v>37.119999999999997</v>
      </c>
      <c r="E339">
        <v>37.119999999999997</v>
      </c>
      <c r="F339">
        <v>18862694</v>
      </c>
    </row>
    <row r="340" spans="1:6">
      <c r="A340" s="39">
        <v>42634</v>
      </c>
      <c r="B340">
        <v>37.479999999999997</v>
      </c>
      <c r="C340">
        <v>38.07</v>
      </c>
      <c r="D340">
        <v>37.32</v>
      </c>
      <c r="E340">
        <v>38.020000000000003</v>
      </c>
      <c r="F340">
        <v>25792764</v>
      </c>
    </row>
    <row r="341" spans="1:6">
      <c r="A341" s="39">
        <v>42635</v>
      </c>
      <c r="B341">
        <v>38.29</v>
      </c>
      <c r="C341">
        <v>38.409999999999997</v>
      </c>
      <c r="D341">
        <v>38.08</v>
      </c>
      <c r="E341">
        <v>38.19</v>
      </c>
      <c r="F341">
        <v>15670373</v>
      </c>
    </row>
    <row r="342" spans="1:6">
      <c r="A342" s="39">
        <v>42636</v>
      </c>
      <c r="B342">
        <v>37.909999999999997</v>
      </c>
      <c r="C342">
        <v>38</v>
      </c>
      <c r="D342">
        <v>37.68</v>
      </c>
      <c r="E342">
        <v>37.69</v>
      </c>
      <c r="F342">
        <v>11140518</v>
      </c>
    </row>
    <row r="343" spans="1:6">
      <c r="A343" s="39">
        <v>42639</v>
      </c>
      <c r="B343">
        <v>37.39</v>
      </c>
      <c r="C343">
        <v>37.46</v>
      </c>
      <c r="D343">
        <v>37.200000000000003</v>
      </c>
      <c r="E343">
        <v>37.229999999999997</v>
      </c>
      <c r="F343">
        <v>9973491</v>
      </c>
    </row>
    <row r="344" spans="1:6">
      <c r="A344" s="39">
        <v>42640</v>
      </c>
      <c r="B344">
        <v>37.43</v>
      </c>
      <c r="C344">
        <v>37.64</v>
      </c>
      <c r="D344">
        <v>37.24</v>
      </c>
      <c r="E344">
        <v>37.619999999999997</v>
      </c>
      <c r="F344">
        <v>11045813</v>
      </c>
    </row>
    <row r="345" spans="1:6">
      <c r="A345" s="39">
        <v>42641</v>
      </c>
      <c r="B345">
        <v>37.71</v>
      </c>
      <c r="C345">
        <v>38.020000000000003</v>
      </c>
      <c r="D345">
        <v>37.409999999999997</v>
      </c>
      <c r="E345">
        <v>37.99</v>
      </c>
      <c r="F345">
        <v>10150788</v>
      </c>
    </row>
    <row r="346" spans="1:6">
      <c r="A346" s="39">
        <v>42642</v>
      </c>
      <c r="B346">
        <v>37.81</v>
      </c>
      <c r="C346">
        <v>37.89</v>
      </c>
      <c r="D346">
        <v>37.25</v>
      </c>
      <c r="E346">
        <v>37.36</v>
      </c>
      <c r="F346">
        <v>12570859</v>
      </c>
    </row>
    <row r="347" spans="1:6">
      <c r="A347" s="39">
        <v>42643</v>
      </c>
      <c r="B347">
        <v>37.549999999999997</v>
      </c>
      <c r="C347">
        <v>37.729999999999997</v>
      </c>
      <c r="D347">
        <v>37.4</v>
      </c>
      <c r="E347">
        <v>37.630000000000003</v>
      </c>
      <c r="F347">
        <v>19286690</v>
      </c>
    </row>
    <row r="348" spans="1:6">
      <c r="A348" s="39">
        <v>42646</v>
      </c>
      <c r="B348">
        <v>37.700000000000003</v>
      </c>
      <c r="C348">
        <v>37.93</v>
      </c>
      <c r="D348">
        <v>37.56</v>
      </c>
      <c r="E348">
        <v>37.880000000000003</v>
      </c>
      <c r="F348">
        <v>23704658</v>
      </c>
    </row>
    <row r="349" spans="1:6">
      <c r="A349" s="39">
        <v>42647</v>
      </c>
      <c r="B349">
        <v>37.92</v>
      </c>
      <c r="C349">
        <v>38.020000000000003</v>
      </c>
      <c r="D349">
        <v>37.409999999999997</v>
      </c>
      <c r="E349">
        <v>37.5</v>
      </c>
      <c r="F349">
        <v>17833369</v>
      </c>
    </row>
    <row r="350" spans="1:6">
      <c r="A350" s="39">
        <v>42648</v>
      </c>
      <c r="B350">
        <v>37.89</v>
      </c>
      <c r="C350">
        <v>38.119999999999997</v>
      </c>
      <c r="D350">
        <v>37.79</v>
      </c>
      <c r="E350">
        <v>38.07</v>
      </c>
      <c r="F350">
        <v>11921861</v>
      </c>
    </row>
    <row r="351" spans="1:6">
      <c r="A351" s="39">
        <v>42649</v>
      </c>
      <c r="B351">
        <v>37.86</v>
      </c>
      <c r="C351">
        <v>38.1</v>
      </c>
      <c r="D351">
        <v>37.770000000000003</v>
      </c>
      <c r="E351">
        <v>38.07</v>
      </c>
      <c r="F351">
        <v>13547480</v>
      </c>
    </row>
    <row r="352" spans="1:6">
      <c r="A352" s="39">
        <v>42650</v>
      </c>
      <c r="B352">
        <v>38.08</v>
      </c>
      <c r="C352">
        <v>38.14</v>
      </c>
      <c r="D352">
        <v>37.630000000000003</v>
      </c>
      <c r="E352">
        <v>37.94</v>
      </c>
      <c r="F352">
        <v>17118566</v>
      </c>
    </row>
    <row r="353" spans="1:6">
      <c r="A353" s="39">
        <v>42653</v>
      </c>
      <c r="B353">
        <v>38.090000000000003</v>
      </c>
      <c r="C353">
        <v>38.33</v>
      </c>
      <c r="D353">
        <v>38.07</v>
      </c>
      <c r="E353">
        <v>38.200000000000003</v>
      </c>
      <c r="F353">
        <v>8509401</v>
      </c>
    </row>
    <row r="354" spans="1:6">
      <c r="A354" s="39">
        <v>42654</v>
      </c>
      <c r="B354">
        <v>37.68</v>
      </c>
      <c r="C354">
        <v>37.72</v>
      </c>
      <c r="D354">
        <v>37.32</v>
      </c>
      <c r="E354">
        <v>37.49</v>
      </c>
      <c r="F354">
        <v>19170672</v>
      </c>
    </row>
    <row r="355" spans="1:6">
      <c r="A355" s="39">
        <v>42655</v>
      </c>
      <c r="B355">
        <v>37.39</v>
      </c>
      <c r="C355">
        <v>37.58</v>
      </c>
      <c r="D355">
        <v>37.26</v>
      </c>
      <c r="E355">
        <v>37.450000000000003</v>
      </c>
      <c r="F355">
        <v>12309333</v>
      </c>
    </row>
    <row r="356" spans="1:6">
      <c r="A356" s="39">
        <v>42656</v>
      </c>
      <c r="B356">
        <v>37</v>
      </c>
      <c r="C356">
        <v>37.36</v>
      </c>
      <c r="D356">
        <v>36.75</v>
      </c>
      <c r="E356">
        <v>37.22</v>
      </c>
      <c r="F356">
        <v>12723285</v>
      </c>
    </row>
    <row r="357" spans="1:6">
      <c r="A357" s="39">
        <v>42657</v>
      </c>
      <c r="B357">
        <v>37.56</v>
      </c>
      <c r="C357">
        <v>37.64</v>
      </c>
      <c r="D357">
        <v>37.26</v>
      </c>
      <c r="E357">
        <v>37.32</v>
      </c>
      <c r="F357">
        <v>13522758</v>
      </c>
    </row>
    <row r="358" spans="1:6">
      <c r="A358" s="39">
        <v>42660</v>
      </c>
      <c r="B358">
        <v>37.26</v>
      </c>
      <c r="C358">
        <v>37.380000000000003</v>
      </c>
      <c r="D358">
        <v>37.19</v>
      </c>
      <c r="E358">
        <v>37.25</v>
      </c>
      <c r="F358">
        <v>13280126</v>
      </c>
    </row>
    <row r="359" spans="1:6">
      <c r="A359" s="39">
        <v>42661</v>
      </c>
      <c r="B359">
        <v>37.869999999999997</v>
      </c>
      <c r="C359">
        <v>37.950000000000003</v>
      </c>
      <c r="D359">
        <v>37.71</v>
      </c>
      <c r="E359">
        <v>37.909999999999997</v>
      </c>
      <c r="F359">
        <v>11709224</v>
      </c>
    </row>
    <row r="360" spans="1:6">
      <c r="A360" s="39">
        <v>42662</v>
      </c>
      <c r="B360">
        <v>38.049999999999997</v>
      </c>
      <c r="C360">
        <v>38.19</v>
      </c>
      <c r="D360">
        <v>37.909999999999997</v>
      </c>
      <c r="E360">
        <v>38.11</v>
      </c>
      <c r="F360">
        <v>10188146</v>
      </c>
    </row>
    <row r="361" spans="1:6">
      <c r="A361" s="39">
        <v>42663</v>
      </c>
      <c r="B361">
        <v>38</v>
      </c>
      <c r="C361">
        <v>38.18</v>
      </c>
      <c r="D361">
        <v>37.9</v>
      </c>
      <c r="E361">
        <v>38.06</v>
      </c>
      <c r="F361">
        <v>12620380</v>
      </c>
    </row>
    <row r="362" spans="1:6">
      <c r="A362" s="39">
        <v>42664</v>
      </c>
      <c r="B362">
        <v>37.869999999999997</v>
      </c>
      <c r="C362">
        <v>38.1</v>
      </c>
      <c r="D362">
        <v>37.82</v>
      </c>
      <c r="E362">
        <v>38.07</v>
      </c>
      <c r="F362">
        <v>6764069</v>
      </c>
    </row>
    <row r="363" spans="1:6">
      <c r="A363" s="39">
        <v>42667</v>
      </c>
      <c r="B363">
        <v>38.31</v>
      </c>
      <c r="C363">
        <v>38.380000000000003</v>
      </c>
      <c r="D363">
        <v>38.14</v>
      </c>
      <c r="E363">
        <v>38.26</v>
      </c>
      <c r="F363">
        <v>8127191</v>
      </c>
    </row>
    <row r="364" spans="1:6">
      <c r="A364" s="39">
        <v>42668</v>
      </c>
      <c r="B364">
        <v>38.21</v>
      </c>
      <c r="C364">
        <v>38.33</v>
      </c>
      <c r="D364">
        <v>38.14</v>
      </c>
      <c r="E364">
        <v>38.229999999999997</v>
      </c>
      <c r="F364">
        <v>7842510</v>
      </c>
    </row>
    <row r="365" spans="1:6">
      <c r="A365" s="39">
        <v>42669</v>
      </c>
      <c r="B365">
        <v>37.92</v>
      </c>
      <c r="C365">
        <v>38.11</v>
      </c>
      <c r="D365">
        <v>37.81</v>
      </c>
      <c r="E365">
        <v>37.950000000000003</v>
      </c>
      <c r="F365">
        <v>8109171</v>
      </c>
    </row>
    <row r="366" spans="1:6">
      <c r="A366" s="39">
        <v>42670</v>
      </c>
      <c r="B366">
        <v>37.979999999999997</v>
      </c>
      <c r="C366">
        <v>37.979999999999997</v>
      </c>
      <c r="D366">
        <v>37.630000000000003</v>
      </c>
      <c r="E366">
        <v>37.659999999999997</v>
      </c>
      <c r="F366">
        <v>18351847</v>
      </c>
    </row>
    <row r="367" spans="1:6">
      <c r="A367" s="39">
        <v>42671</v>
      </c>
      <c r="B367">
        <v>37.69</v>
      </c>
      <c r="C367">
        <v>37.81</v>
      </c>
      <c r="D367">
        <v>37.299999999999997</v>
      </c>
      <c r="E367">
        <v>37.450000000000003</v>
      </c>
      <c r="F367">
        <v>14379532</v>
      </c>
    </row>
    <row r="368" spans="1:6">
      <c r="A368" s="39">
        <v>42674</v>
      </c>
      <c r="B368">
        <v>37.659999999999997</v>
      </c>
      <c r="C368">
        <v>37.83</v>
      </c>
      <c r="D368">
        <v>37.57</v>
      </c>
      <c r="E368">
        <v>37.75</v>
      </c>
      <c r="F368">
        <v>11070797</v>
      </c>
    </row>
    <row r="369" spans="1:6">
      <c r="A369" s="39">
        <v>42675</v>
      </c>
      <c r="B369">
        <v>37.89</v>
      </c>
      <c r="C369">
        <v>37.89</v>
      </c>
      <c r="D369">
        <v>37.15</v>
      </c>
      <c r="E369">
        <v>37.47</v>
      </c>
      <c r="F369">
        <v>20149715</v>
      </c>
    </row>
    <row r="370" spans="1:6">
      <c r="A370" s="39">
        <v>42676</v>
      </c>
      <c r="B370">
        <v>37.36</v>
      </c>
      <c r="C370">
        <v>37.4</v>
      </c>
      <c r="D370">
        <v>36.869999999999997</v>
      </c>
      <c r="E370">
        <v>37.04</v>
      </c>
      <c r="F370">
        <v>29829962</v>
      </c>
    </row>
    <row r="371" spans="1:6">
      <c r="A371" s="39">
        <v>42677</v>
      </c>
      <c r="B371">
        <v>37.07</v>
      </c>
      <c r="C371">
        <v>37.17</v>
      </c>
      <c r="D371">
        <v>36.82</v>
      </c>
      <c r="E371">
        <v>36.950000000000003</v>
      </c>
      <c r="F371">
        <v>24351203</v>
      </c>
    </row>
    <row r="372" spans="1:6">
      <c r="A372" s="39">
        <v>42678</v>
      </c>
      <c r="B372">
        <v>36.700000000000003</v>
      </c>
      <c r="C372">
        <v>36.79</v>
      </c>
      <c r="D372">
        <v>36.479999999999997</v>
      </c>
      <c r="E372">
        <v>36.56</v>
      </c>
      <c r="F372">
        <v>11795729</v>
      </c>
    </row>
    <row r="373" spans="1:6">
      <c r="A373" s="39">
        <v>42681</v>
      </c>
      <c r="B373">
        <v>37.5</v>
      </c>
      <c r="C373">
        <v>37.840000000000003</v>
      </c>
      <c r="D373">
        <v>37.39</v>
      </c>
      <c r="E373">
        <v>37.799999999999997</v>
      </c>
      <c r="F373">
        <v>21821031</v>
      </c>
    </row>
    <row r="374" spans="1:6">
      <c r="A374" s="39">
        <v>42682</v>
      </c>
      <c r="B374">
        <v>37.64</v>
      </c>
      <c r="C374">
        <v>38.19</v>
      </c>
      <c r="D374">
        <v>37.54</v>
      </c>
      <c r="E374">
        <v>37.979999999999997</v>
      </c>
      <c r="F374">
        <v>37954803</v>
      </c>
    </row>
    <row r="375" spans="1:6">
      <c r="A375" s="39">
        <v>42683</v>
      </c>
      <c r="B375">
        <v>36.9</v>
      </c>
      <c r="C375">
        <v>37.39</v>
      </c>
      <c r="D375">
        <v>36.700000000000003</v>
      </c>
      <c r="E375">
        <v>36.979999999999997</v>
      </c>
      <c r="F375">
        <v>24617999</v>
      </c>
    </row>
    <row r="376" spans="1:6">
      <c r="A376" s="39">
        <v>42684</v>
      </c>
      <c r="B376">
        <v>36.71</v>
      </c>
      <c r="C376">
        <v>36.72</v>
      </c>
      <c r="D376">
        <v>35.74</v>
      </c>
      <c r="E376">
        <v>35.909999999999997</v>
      </c>
      <c r="F376">
        <v>35285812</v>
      </c>
    </row>
    <row r="377" spans="1:6">
      <c r="A377" s="39">
        <v>42685</v>
      </c>
      <c r="B377">
        <v>35.29</v>
      </c>
      <c r="C377">
        <v>35.5</v>
      </c>
      <c r="D377">
        <v>34.78</v>
      </c>
      <c r="E377">
        <v>35.25</v>
      </c>
      <c r="F377">
        <v>25373321</v>
      </c>
    </row>
    <row r="378" spans="1:6">
      <c r="A378" s="39">
        <v>42688</v>
      </c>
      <c r="B378">
        <v>35.07</v>
      </c>
      <c r="C378">
        <v>35.29</v>
      </c>
      <c r="D378">
        <v>34.81</v>
      </c>
      <c r="E378">
        <v>35.08</v>
      </c>
      <c r="F378">
        <v>22905710</v>
      </c>
    </row>
    <row r="379" spans="1:6">
      <c r="A379" s="39">
        <v>42689</v>
      </c>
      <c r="B379">
        <v>35.369999999999997</v>
      </c>
      <c r="C379">
        <v>35.78</v>
      </c>
      <c r="D379">
        <v>35.29</v>
      </c>
      <c r="E379">
        <v>35.74</v>
      </c>
      <c r="F379">
        <v>21154226</v>
      </c>
    </row>
    <row r="380" spans="1:6">
      <c r="A380" s="39">
        <v>42690</v>
      </c>
      <c r="B380">
        <v>35.28</v>
      </c>
      <c r="C380">
        <v>35.53</v>
      </c>
      <c r="D380">
        <v>35.26</v>
      </c>
      <c r="E380">
        <v>35.450000000000003</v>
      </c>
      <c r="F380">
        <v>27749835</v>
      </c>
    </row>
    <row r="381" spans="1:6">
      <c r="A381" s="39">
        <v>42691</v>
      </c>
      <c r="B381">
        <v>35.53</v>
      </c>
      <c r="C381">
        <v>35.78</v>
      </c>
      <c r="D381">
        <v>35.42</v>
      </c>
      <c r="E381">
        <v>35.46</v>
      </c>
      <c r="F381">
        <v>20662157</v>
      </c>
    </row>
    <row r="382" spans="1:6">
      <c r="A382" s="39">
        <v>42692</v>
      </c>
      <c r="B382">
        <v>35.549999999999997</v>
      </c>
      <c r="C382">
        <v>35.619999999999997</v>
      </c>
      <c r="D382">
        <v>35.32</v>
      </c>
      <c r="E382">
        <v>35.380000000000003</v>
      </c>
      <c r="F382">
        <v>9265341</v>
      </c>
    </row>
    <row r="383" spans="1:6">
      <c r="A383" s="39">
        <v>42695</v>
      </c>
      <c r="B383">
        <v>35.65</v>
      </c>
      <c r="C383">
        <v>35.79</v>
      </c>
      <c r="D383">
        <v>35.61</v>
      </c>
      <c r="E383">
        <v>35.729999999999997</v>
      </c>
      <c r="F383">
        <v>12332900</v>
      </c>
    </row>
    <row r="384" spans="1:6">
      <c r="A384" s="39">
        <v>42696</v>
      </c>
      <c r="B384">
        <v>36.19</v>
      </c>
      <c r="C384">
        <v>36.22</v>
      </c>
      <c r="D384">
        <v>35.94</v>
      </c>
      <c r="E384">
        <v>36.119999999999997</v>
      </c>
      <c r="F384">
        <v>17857007</v>
      </c>
    </row>
    <row r="385" spans="1:6">
      <c r="A385" s="39">
        <v>42697</v>
      </c>
      <c r="B385">
        <v>35.65</v>
      </c>
      <c r="C385">
        <v>35.82</v>
      </c>
      <c r="D385">
        <v>35.590000000000003</v>
      </c>
      <c r="E385">
        <v>35.770000000000003</v>
      </c>
      <c r="F385">
        <v>13910964</v>
      </c>
    </row>
    <row r="386" spans="1:6">
      <c r="A386" s="39">
        <v>42699</v>
      </c>
      <c r="B386">
        <v>35.96</v>
      </c>
      <c r="C386">
        <v>36.03</v>
      </c>
      <c r="D386">
        <v>35.92</v>
      </c>
      <c r="E386">
        <v>35.96</v>
      </c>
      <c r="F386">
        <v>3781715</v>
      </c>
    </row>
    <row r="387" spans="1:6">
      <c r="A387" s="39">
        <v>42702</v>
      </c>
      <c r="B387">
        <v>36.08</v>
      </c>
      <c r="C387">
        <v>36.25</v>
      </c>
      <c r="D387">
        <v>36.06</v>
      </c>
      <c r="E387">
        <v>36.14</v>
      </c>
      <c r="F387">
        <v>12095075</v>
      </c>
    </row>
    <row r="388" spans="1:6">
      <c r="A388" s="39">
        <v>42703</v>
      </c>
      <c r="B388">
        <v>36.090000000000003</v>
      </c>
      <c r="C388">
        <v>36.24</v>
      </c>
      <c r="D388">
        <v>35.979999999999997</v>
      </c>
      <c r="E388">
        <v>36.159999999999997</v>
      </c>
      <c r="F388">
        <v>8356593</v>
      </c>
    </row>
    <row r="389" spans="1:6">
      <c r="A389" s="39">
        <v>42704</v>
      </c>
      <c r="B389">
        <v>36.32</v>
      </c>
      <c r="C389">
        <v>36.340000000000003</v>
      </c>
      <c r="D389">
        <v>36.19</v>
      </c>
      <c r="E389">
        <v>36.22</v>
      </c>
      <c r="F389">
        <v>22257923</v>
      </c>
    </row>
    <row r="390" spans="1:6">
      <c r="A390" s="39">
        <v>42705</v>
      </c>
      <c r="B390">
        <v>36.119999999999997</v>
      </c>
      <c r="C390">
        <v>36.15</v>
      </c>
      <c r="D390">
        <v>35.76</v>
      </c>
      <c r="E390">
        <v>35.81</v>
      </c>
      <c r="F390">
        <v>18792785</v>
      </c>
    </row>
    <row r="391" spans="1:6">
      <c r="A391" s="39">
        <v>42706</v>
      </c>
      <c r="B391">
        <v>35.79</v>
      </c>
      <c r="C391">
        <v>35.99</v>
      </c>
      <c r="D391">
        <v>35.76</v>
      </c>
      <c r="E391">
        <v>35.770000000000003</v>
      </c>
      <c r="F391">
        <v>19213689</v>
      </c>
    </row>
    <row r="392" spans="1:6">
      <c r="A392" s="39">
        <v>42709</v>
      </c>
      <c r="B392">
        <v>35.880000000000003</v>
      </c>
      <c r="C392">
        <v>36.06</v>
      </c>
      <c r="D392">
        <v>35.869999999999997</v>
      </c>
      <c r="E392">
        <v>36.01</v>
      </c>
      <c r="F392">
        <v>11260617</v>
      </c>
    </row>
    <row r="393" spans="1:6">
      <c r="A393" s="39">
        <v>42710</v>
      </c>
      <c r="B393">
        <v>36.14</v>
      </c>
      <c r="C393">
        <v>36.229999999999997</v>
      </c>
      <c r="D393">
        <v>36.04</v>
      </c>
      <c r="E393">
        <v>36.159999999999997</v>
      </c>
      <c r="F393">
        <v>19646321</v>
      </c>
    </row>
    <row r="394" spans="1:6">
      <c r="A394" s="39">
        <v>42711</v>
      </c>
      <c r="B394">
        <v>36.4</v>
      </c>
      <c r="C394">
        <v>36.770000000000003</v>
      </c>
      <c r="D394">
        <v>36.35</v>
      </c>
      <c r="E394">
        <v>36.700000000000003</v>
      </c>
      <c r="F394">
        <v>15254689</v>
      </c>
    </row>
    <row r="395" spans="1:6">
      <c r="A395" s="39">
        <v>42712</v>
      </c>
      <c r="B395">
        <v>36.659999999999997</v>
      </c>
      <c r="C395">
        <v>36.880000000000003</v>
      </c>
      <c r="D395">
        <v>36.6</v>
      </c>
      <c r="E395">
        <v>36.869999999999997</v>
      </c>
      <c r="F395">
        <v>10455306</v>
      </c>
    </row>
    <row r="396" spans="1:6">
      <c r="A396" s="39">
        <v>42713</v>
      </c>
      <c r="B396">
        <v>36.64</v>
      </c>
      <c r="C396">
        <v>36.75</v>
      </c>
      <c r="D396">
        <v>36.56</v>
      </c>
      <c r="E396">
        <v>36.700000000000003</v>
      </c>
      <c r="F396">
        <v>9646059</v>
      </c>
    </row>
    <row r="397" spans="1:6">
      <c r="A397" s="39">
        <v>42716</v>
      </c>
      <c r="B397">
        <v>36.39</v>
      </c>
      <c r="C397">
        <v>36.549999999999997</v>
      </c>
      <c r="D397">
        <v>36.28</v>
      </c>
      <c r="E397">
        <v>36.4</v>
      </c>
      <c r="F397">
        <v>8385573</v>
      </c>
    </row>
    <row r="398" spans="1:6">
      <c r="A398" s="39">
        <v>42717</v>
      </c>
      <c r="B398">
        <v>36.65</v>
      </c>
      <c r="C398">
        <v>36.85</v>
      </c>
      <c r="D398">
        <v>36.6</v>
      </c>
      <c r="E398">
        <v>36.770000000000003</v>
      </c>
      <c r="F398">
        <v>8788533</v>
      </c>
    </row>
    <row r="399" spans="1:6">
      <c r="A399" s="39">
        <v>42718</v>
      </c>
      <c r="B399">
        <v>36.46</v>
      </c>
      <c r="C399">
        <v>36.53</v>
      </c>
      <c r="D399">
        <v>35.68</v>
      </c>
      <c r="E399">
        <v>35.71</v>
      </c>
      <c r="F399">
        <v>18577149</v>
      </c>
    </row>
    <row r="400" spans="1:6">
      <c r="A400" s="39">
        <v>42719</v>
      </c>
      <c r="B400">
        <v>35.700000000000003</v>
      </c>
      <c r="C400">
        <v>35.97</v>
      </c>
      <c r="D400">
        <v>35.67</v>
      </c>
      <c r="E400">
        <v>35.869999999999997</v>
      </c>
      <c r="F400">
        <v>24969806</v>
      </c>
    </row>
    <row r="401" spans="1:6">
      <c r="A401" s="39">
        <v>42720</v>
      </c>
      <c r="B401">
        <v>35.840000000000003</v>
      </c>
      <c r="C401">
        <v>35.9</v>
      </c>
      <c r="D401">
        <v>35.58</v>
      </c>
      <c r="E401">
        <v>35.65</v>
      </c>
      <c r="F401">
        <v>21234554</v>
      </c>
    </row>
    <row r="402" spans="1:6">
      <c r="A402" s="39">
        <v>42723</v>
      </c>
      <c r="B402">
        <v>35.64</v>
      </c>
      <c r="C402">
        <v>35.68</v>
      </c>
      <c r="D402">
        <v>35.4</v>
      </c>
      <c r="E402">
        <v>35.409999999999997</v>
      </c>
      <c r="F402">
        <v>13079226</v>
      </c>
    </row>
    <row r="403" spans="1:6">
      <c r="A403" s="39">
        <v>42724</v>
      </c>
      <c r="B403">
        <v>35.36</v>
      </c>
      <c r="C403">
        <v>35.39</v>
      </c>
      <c r="D403">
        <v>35.270000000000003</v>
      </c>
      <c r="E403">
        <v>35.299999999999997</v>
      </c>
      <c r="F403">
        <v>13983521</v>
      </c>
    </row>
    <row r="404" spans="1:6">
      <c r="A404" s="39">
        <v>42725</v>
      </c>
      <c r="B404">
        <v>35.4</v>
      </c>
      <c r="C404">
        <v>35.44</v>
      </c>
      <c r="D404">
        <v>35.19</v>
      </c>
      <c r="E404">
        <v>35.19</v>
      </c>
      <c r="F404">
        <v>12815285</v>
      </c>
    </row>
    <row r="405" spans="1:6">
      <c r="A405" s="39">
        <v>42726</v>
      </c>
      <c r="B405">
        <v>34.909999999999997</v>
      </c>
      <c r="C405">
        <v>34.909999999999997</v>
      </c>
      <c r="D405">
        <v>34.71</v>
      </c>
      <c r="E405">
        <v>34.86</v>
      </c>
      <c r="F405">
        <v>16299899</v>
      </c>
    </row>
    <row r="406" spans="1:6">
      <c r="A406" s="39">
        <v>42727</v>
      </c>
      <c r="B406">
        <v>34.880000000000003</v>
      </c>
      <c r="C406">
        <v>35.03</v>
      </c>
      <c r="D406">
        <v>34.880000000000003</v>
      </c>
      <c r="E406">
        <v>35.03</v>
      </c>
      <c r="F406">
        <v>9171428</v>
      </c>
    </row>
    <row r="407" spans="1:6">
      <c r="A407" s="39">
        <v>42731</v>
      </c>
      <c r="B407">
        <v>35.119999999999997</v>
      </c>
      <c r="C407">
        <v>35.22</v>
      </c>
      <c r="D407">
        <v>35.119999999999997</v>
      </c>
      <c r="E407">
        <v>35.200000000000003</v>
      </c>
      <c r="F407">
        <v>12169125</v>
      </c>
    </row>
    <row r="408" spans="1:6">
      <c r="A408" s="39">
        <v>42732</v>
      </c>
      <c r="B408">
        <v>35.39</v>
      </c>
      <c r="C408">
        <v>35.47</v>
      </c>
      <c r="D408">
        <v>35.33</v>
      </c>
      <c r="E408">
        <v>35.42</v>
      </c>
      <c r="F408">
        <v>13701896</v>
      </c>
    </row>
    <row r="409" spans="1:6">
      <c r="A409" s="39">
        <v>42733</v>
      </c>
      <c r="B409">
        <v>35.75</v>
      </c>
      <c r="C409">
        <v>36.04</v>
      </c>
      <c r="D409">
        <v>35.75</v>
      </c>
      <c r="E409">
        <v>35.97</v>
      </c>
      <c r="F409">
        <v>11408403</v>
      </c>
    </row>
    <row r="410" spans="1:6">
      <c r="A410" s="39">
        <v>42734</v>
      </c>
      <c r="B410">
        <v>35.99</v>
      </c>
      <c r="C410">
        <v>36</v>
      </c>
      <c r="D410">
        <v>35.700000000000003</v>
      </c>
      <c r="E410">
        <v>35.78</v>
      </c>
      <c r="F410">
        <v>11522991</v>
      </c>
    </row>
    <row r="411" spans="1:6">
      <c r="A411" s="39">
        <v>42738</v>
      </c>
      <c r="B411">
        <v>36.18</v>
      </c>
      <c r="C411">
        <v>36.39</v>
      </c>
      <c r="D411">
        <v>36.03</v>
      </c>
      <c r="E411">
        <v>36.17</v>
      </c>
      <c r="F411">
        <v>18705170</v>
      </c>
    </row>
    <row r="412" spans="1:6">
      <c r="A412" s="39">
        <v>42739</v>
      </c>
      <c r="B412">
        <v>36.39</v>
      </c>
      <c r="C412">
        <v>36.58</v>
      </c>
      <c r="D412">
        <v>36.36</v>
      </c>
      <c r="E412">
        <v>36.5</v>
      </c>
      <c r="F412">
        <v>19171179</v>
      </c>
    </row>
    <row r="413" spans="1:6">
      <c r="A413" s="39">
        <v>42740</v>
      </c>
      <c r="B413">
        <v>36.75</v>
      </c>
      <c r="C413">
        <v>36.93</v>
      </c>
      <c r="D413">
        <v>36.74</v>
      </c>
      <c r="E413">
        <v>36.880000000000003</v>
      </c>
      <c r="F413">
        <v>11923382</v>
      </c>
    </row>
    <row r="414" spans="1:6">
      <c r="A414" s="39">
        <v>42741</v>
      </c>
      <c r="B414">
        <v>36.76</v>
      </c>
      <c r="C414">
        <v>36.79</v>
      </c>
      <c r="D414">
        <v>36.590000000000003</v>
      </c>
      <c r="E414">
        <v>36.729999999999997</v>
      </c>
      <c r="F414">
        <v>13515274</v>
      </c>
    </row>
    <row r="415" spans="1:6">
      <c r="A415" s="39">
        <v>42744</v>
      </c>
      <c r="B415">
        <v>36.69</v>
      </c>
      <c r="C415">
        <v>36.770000000000003</v>
      </c>
      <c r="D415">
        <v>36.65</v>
      </c>
      <c r="E415">
        <v>36.67</v>
      </c>
      <c r="F415">
        <v>14763376</v>
      </c>
    </row>
    <row r="416" spans="1:6">
      <c r="A416" s="39">
        <v>42745</v>
      </c>
      <c r="B416">
        <v>36.869999999999997</v>
      </c>
      <c r="C416">
        <v>37.04</v>
      </c>
      <c r="D416">
        <v>36.82</v>
      </c>
      <c r="E416">
        <v>36.869999999999997</v>
      </c>
      <c r="F416">
        <v>12678364</v>
      </c>
    </row>
    <row r="417" spans="1:6">
      <c r="A417" s="39">
        <v>42746</v>
      </c>
      <c r="B417">
        <v>36.880000000000003</v>
      </c>
      <c r="C417">
        <v>37.21</v>
      </c>
      <c r="D417">
        <v>36.72</v>
      </c>
      <c r="E417">
        <v>37.19</v>
      </c>
      <c r="F417">
        <v>13874603</v>
      </c>
    </row>
    <row r="418" spans="1:6">
      <c r="A418" s="39">
        <v>42747</v>
      </c>
      <c r="B418">
        <v>37.26</v>
      </c>
      <c r="C418">
        <v>37.31</v>
      </c>
      <c r="D418">
        <v>37.119999999999997</v>
      </c>
      <c r="E418">
        <v>37.28</v>
      </c>
      <c r="F418">
        <v>11681915</v>
      </c>
    </row>
    <row r="419" spans="1:6">
      <c r="A419" s="39">
        <v>42748</v>
      </c>
      <c r="B419">
        <v>37.19</v>
      </c>
      <c r="C419">
        <v>37.29</v>
      </c>
      <c r="D419">
        <v>37.15</v>
      </c>
      <c r="E419">
        <v>37.24</v>
      </c>
      <c r="F419">
        <v>11592575</v>
      </c>
    </row>
    <row r="420" spans="1:6">
      <c r="A420" s="39">
        <v>42752</v>
      </c>
      <c r="B420">
        <v>37.200000000000003</v>
      </c>
      <c r="C420">
        <v>37.26</v>
      </c>
      <c r="D420">
        <v>37.11</v>
      </c>
      <c r="E420">
        <v>37.200000000000003</v>
      </c>
      <c r="F420">
        <v>8271669</v>
      </c>
    </row>
    <row r="421" spans="1:6">
      <c r="A421" s="39">
        <v>42753</v>
      </c>
      <c r="B421">
        <v>37.24</v>
      </c>
      <c r="C421">
        <v>37.270000000000003</v>
      </c>
      <c r="D421">
        <v>37</v>
      </c>
      <c r="E421">
        <v>37.06</v>
      </c>
      <c r="F421">
        <v>14802092</v>
      </c>
    </row>
    <row r="422" spans="1:6">
      <c r="A422" s="39">
        <v>42754</v>
      </c>
      <c r="B422">
        <v>36.99</v>
      </c>
      <c r="C422">
        <v>37.049999999999997</v>
      </c>
      <c r="D422">
        <v>36.799999999999997</v>
      </c>
      <c r="E422">
        <v>36.96</v>
      </c>
      <c r="F422">
        <v>13001318</v>
      </c>
    </row>
    <row r="423" spans="1:6">
      <c r="A423" s="39">
        <v>42755</v>
      </c>
      <c r="B423">
        <v>37</v>
      </c>
      <c r="C423">
        <v>37.06</v>
      </c>
      <c r="D423">
        <v>36.85</v>
      </c>
      <c r="E423">
        <v>37.020000000000003</v>
      </c>
      <c r="F423">
        <v>10665078</v>
      </c>
    </row>
    <row r="424" spans="1:6">
      <c r="A424" s="39">
        <v>42758</v>
      </c>
      <c r="B424">
        <v>37.299999999999997</v>
      </c>
      <c r="C424">
        <v>37.58</v>
      </c>
      <c r="D424">
        <v>37.28</v>
      </c>
      <c r="E424">
        <v>37.53</v>
      </c>
      <c r="F424">
        <v>11086631</v>
      </c>
    </row>
    <row r="425" spans="1:6">
      <c r="A425" s="39">
        <v>42759</v>
      </c>
      <c r="B425">
        <v>37.71</v>
      </c>
      <c r="C425">
        <v>37.93</v>
      </c>
      <c r="D425">
        <v>37.69</v>
      </c>
      <c r="E425">
        <v>37.799999999999997</v>
      </c>
      <c r="F425">
        <v>8260091</v>
      </c>
    </row>
    <row r="426" spans="1:6">
      <c r="A426" s="39">
        <v>42760</v>
      </c>
      <c r="B426">
        <v>37.99</v>
      </c>
      <c r="C426">
        <v>38.15</v>
      </c>
      <c r="D426">
        <v>37.93</v>
      </c>
      <c r="E426">
        <v>38.130000000000003</v>
      </c>
      <c r="F426">
        <v>13756522</v>
      </c>
    </row>
    <row r="427" spans="1:6">
      <c r="A427" s="39">
        <v>42761</v>
      </c>
      <c r="B427">
        <v>38.1</v>
      </c>
      <c r="C427">
        <v>38.119999999999997</v>
      </c>
      <c r="D427">
        <v>37.950000000000003</v>
      </c>
      <c r="E427">
        <v>37.97</v>
      </c>
      <c r="F427">
        <v>10131928</v>
      </c>
    </row>
    <row r="428" spans="1:6">
      <c r="A428" s="39">
        <v>42762</v>
      </c>
      <c r="B428">
        <v>38.04</v>
      </c>
      <c r="C428">
        <v>38.090000000000003</v>
      </c>
      <c r="D428">
        <v>37.909999999999997</v>
      </c>
      <c r="E428">
        <v>38.01</v>
      </c>
      <c r="F428">
        <v>9442881</v>
      </c>
    </row>
    <row r="429" spans="1:6">
      <c r="A429" s="39">
        <v>42765</v>
      </c>
      <c r="B429">
        <v>37.82</v>
      </c>
      <c r="C429">
        <v>37.86</v>
      </c>
      <c r="D429">
        <v>37.71</v>
      </c>
      <c r="E429">
        <v>37.82</v>
      </c>
      <c r="F429">
        <v>12465816</v>
      </c>
    </row>
    <row r="430" spans="1:6">
      <c r="A430" s="39">
        <v>42766</v>
      </c>
      <c r="B430">
        <v>37.82</v>
      </c>
      <c r="C430">
        <v>37.93</v>
      </c>
      <c r="D430">
        <v>37.71</v>
      </c>
      <c r="E430">
        <v>37.840000000000003</v>
      </c>
      <c r="F430">
        <v>15383950</v>
      </c>
    </row>
    <row r="431" spans="1:6">
      <c r="A431" s="39">
        <v>42767</v>
      </c>
      <c r="B431">
        <v>38.090000000000003</v>
      </c>
      <c r="C431">
        <v>38.1</v>
      </c>
      <c r="D431">
        <v>37.840000000000003</v>
      </c>
      <c r="E431">
        <v>37.92</v>
      </c>
      <c r="F431">
        <v>11604741</v>
      </c>
    </row>
    <row r="432" spans="1:6">
      <c r="A432" s="39">
        <v>42768</v>
      </c>
      <c r="B432">
        <v>38.03</v>
      </c>
      <c r="C432">
        <v>38.1</v>
      </c>
      <c r="D432">
        <v>37.979999999999997</v>
      </c>
      <c r="E432">
        <v>38.049999999999997</v>
      </c>
      <c r="F432">
        <v>10856109</v>
      </c>
    </row>
    <row r="433" spans="1:6">
      <c r="A433" s="39">
        <v>42769</v>
      </c>
      <c r="B433">
        <v>38.24</v>
      </c>
      <c r="C433">
        <v>38.36</v>
      </c>
      <c r="D433">
        <v>38.14</v>
      </c>
      <c r="E433">
        <v>38.29</v>
      </c>
      <c r="F433">
        <v>8619346</v>
      </c>
    </row>
    <row r="434" spans="1:6">
      <c r="A434" s="39">
        <v>42772</v>
      </c>
      <c r="B434">
        <v>38.32</v>
      </c>
      <c r="C434">
        <v>38.32</v>
      </c>
      <c r="D434">
        <v>38.159999999999997</v>
      </c>
      <c r="E434">
        <v>38.200000000000003</v>
      </c>
      <c r="F434">
        <v>10007476</v>
      </c>
    </row>
    <row r="435" spans="1:6">
      <c r="A435" s="39">
        <v>42773</v>
      </c>
      <c r="B435">
        <v>38.19</v>
      </c>
      <c r="C435">
        <v>38.22</v>
      </c>
      <c r="D435">
        <v>38.020000000000003</v>
      </c>
      <c r="E435">
        <v>38.06</v>
      </c>
      <c r="F435">
        <v>10258043</v>
      </c>
    </row>
    <row r="436" spans="1:6">
      <c r="A436" s="39">
        <v>42774</v>
      </c>
      <c r="B436">
        <v>38.15</v>
      </c>
      <c r="C436">
        <v>38.4</v>
      </c>
      <c r="D436">
        <v>38.14</v>
      </c>
      <c r="E436">
        <v>38.36</v>
      </c>
      <c r="F436">
        <v>7498771</v>
      </c>
    </row>
    <row r="437" spans="1:6">
      <c r="A437" s="39">
        <v>42775</v>
      </c>
      <c r="B437">
        <v>38.54</v>
      </c>
      <c r="C437">
        <v>38.619999999999997</v>
      </c>
      <c r="D437">
        <v>38.5</v>
      </c>
      <c r="E437">
        <v>38.56</v>
      </c>
      <c r="F437">
        <v>10809285</v>
      </c>
    </row>
    <row r="438" spans="1:6">
      <c r="A438" s="39">
        <v>42776</v>
      </c>
      <c r="B438">
        <v>38.64</v>
      </c>
      <c r="C438">
        <v>38.92</v>
      </c>
      <c r="D438">
        <v>38.619999999999997</v>
      </c>
      <c r="E438">
        <v>38.909999999999997</v>
      </c>
      <c r="F438">
        <v>9271635</v>
      </c>
    </row>
    <row r="439" spans="1:6">
      <c r="A439" s="39">
        <v>42779</v>
      </c>
      <c r="B439">
        <v>38.96</v>
      </c>
      <c r="C439">
        <v>39.130000000000003</v>
      </c>
      <c r="D439">
        <v>38.96</v>
      </c>
      <c r="E439">
        <v>39.06</v>
      </c>
      <c r="F439">
        <v>8548695</v>
      </c>
    </row>
    <row r="440" spans="1:6">
      <c r="A440" s="39">
        <v>42780</v>
      </c>
      <c r="B440">
        <v>39.04</v>
      </c>
      <c r="C440">
        <v>39.130000000000003</v>
      </c>
      <c r="D440">
        <v>38.78</v>
      </c>
      <c r="E440">
        <v>39.119999999999997</v>
      </c>
      <c r="F440">
        <v>11946252</v>
      </c>
    </row>
    <row r="441" spans="1:6">
      <c r="A441" s="39">
        <v>42781</v>
      </c>
      <c r="B441">
        <v>39.130000000000003</v>
      </c>
      <c r="C441">
        <v>39.43</v>
      </c>
      <c r="D441">
        <v>39.1</v>
      </c>
      <c r="E441">
        <v>39.409999999999997</v>
      </c>
      <c r="F441">
        <v>10624712</v>
      </c>
    </row>
    <row r="442" spans="1:6">
      <c r="A442" s="39">
        <v>42782</v>
      </c>
      <c r="B442">
        <v>39.46</v>
      </c>
      <c r="C442">
        <v>39.49</v>
      </c>
      <c r="D442">
        <v>39.270000000000003</v>
      </c>
      <c r="E442">
        <v>39.299999999999997</v>
      </c>
      <c r="F442">
        <v>9897237</v>
      </c>
    </row>
    <row r="443" spans="1:6">
      <c r="A443" s="39">
        <v>42783</v>
      </c>
      <c r="B443">
        <v>39</v>
      </c>
      <c r="C443">
        <v>39.17</v>
      </c>
      <c r="D443">
        <v>38.979999999999997</v>
      </c>
      <c r="E443">
        <v>39.17</v>
      </c>
      <c r="F443">
        <v>8944643</v>
      </c>
    </row>
    <row r="444" spans="1:6">
      <c r="A444" s="39">
        <v>42787</v>
      </c>
      <c r="B444">
        <v>39.380000000000003</v>
      </c>
      <c r="C444">
        <v>39.520000000000003</v>
      </c>
      <c r="D444">
        <v>39.33</v>
      </c>
      <c r="E444">
        <v>39.49</v>
      </c>
      <c r="F444">
        <v>6873383</v>
      </c>
    </row>
    <row r="445" spans="1:6">
      <c r="A445" s="39">
        <v>42788</v>
      </c>
      <c r="B445">
        <v>39.479999999999997</v>
      </c>
      <c r="C445">
        <v>39.6</v>
      </c>
      <c r="D445">
        <v>39.44</v>
      </c>
      <c r="E445">
        <v>39.590000000000003</v>
      </c>
      <c r="F445">
        <v>7027835</v>
      </c>
    </row>
    <row r="446" spans="1:6">
      <c r="A446" s="39">
        <v>42789</v>
      </c>
      <c r="B446">
        <v>39.75</v>
      </c>
      <c r="C446">
        <v>39.78</v>
      </c>
      <c r="D446">
        <v>39.57</v>
      </c>
      <c r="E446">
        <v>39.61</v>
      </c>
      <c r="F446">
        <v>15360207</v>
      </c>
    </row>
    <row r="447" spans="1:6">
      <c r="A447" s="39">
        <v>42790</v>
      </c>
      <c r="B447">
        <v>39.19</v>
      </c>
      <c r="C447">
        <v>39.270000000000003</v>
      </c>
      <c r="D447">
        <v>39.130000000000003</v>
      </c>
      <c r="E447">
        <v>39.19</v>
      </c>
      <c r="F447">
        <v>12380087</v>
      </c>
    </row>
    <row r="448" spans="1:6">
      <c r="A448" s="39">
        <v>42793</v>
      </c>
      <c r="B448">
        <v>39.07</v>
      </c>
      <c r="C448">
        <v>39.17</v>
      </c>
      <c r="D448">
        <v>38.979999999999997</v>
      </c>
      <c r="E448">
        <v>39.03</v>
      </c>
      <c r="F448">
        <v>8300763</v>
      </c>
    </row>
    <row r="449" spans="1:6">
      <c r="A449" s="39">
        <v>42794</v>
      </c>
      <c r="B449">
        <v>38.99</v>
      </c>
      <c r="C449">
        <v>39</v>
      </c>
      <c r="D449">
        <v>38.69</v>
      </c>
      <c r="E449">
        <v>38.69</v>
      </c>
      <c r="F449">
        <v>12186333</v>
      </c>
    </row>
    <row r="450" spans="1:6">
      <c r="A450" s="39">
        <v>42795</v>
      </c>
      <c r="B450">
        <v>39.03</v>
      </c>
      <c r="C450">
        <v>39.33</v>
      </c>
      <c r="D450">
        <v>39</v>
      </c>
      <c r="E450">
        <v>39.31</v>
      </c>
      <c r="F450">
        <v>14624731</v>
      </c>
    </row>
    <row r="451" spans="1:6">
      <c r="A451" s="39">
        <v>42796</v>
      </c>
      <c r="B451">
        <v>38.86</v>
      </c>
      <c r="C451">
        <v>38.89</v>
      </c>
      <c r="D451">
        <v>38.6</v>
      </c>
      <c r="E451">
        <v>38.61</v>
      </c>
      <c r="F451">
        <v>13656104</v>
      </c>
    </row>
    <row r="452" spans="1:6">
      <c r="A452" s="39">
        <v>42797</v>
      </c>
      <c r="B452">
        <v>38.81</v>
      </c>
      <c r="C452">
        <v>38.99</v>
      </c>
      <c r="D452">
        <v>38.729999999999997</v>
      </c>
      <c r="E452">
        <v>38.94</v>
      </c>
      <c r="F452">
        <v>10081081</v>
      </c>
    </row>
    <row r="453" spans="1:6">
      <c r="A453" s="39">
        <v>42800</v>
      </c>
      <c r="B453">
        <v>39.03</v>
      </c>
      <c r="C453">
        <v>39.049999999999997</v>
      </c>
      <c r="D453">
        <v>38.880000000000003</v>
      </c>
      <c r="E453">
        <v>39</v>
      </c>
      <c r="F453">
        <v>8232767</v>
      </c>
    </row>
    <row r="454" spans="1:6">
      <c r="A454" s="39">
        <v>42801</v>
      </c>
      <c r="B454">
        <v>39.11</v>
      </c>
      <c r="C454">
        <v>39.14</v>
      </c>
      <c r="D454">
        <v>38.979999999999997</v>
      </c>
      <c r="E454">
        <v>39.049999999999997</v>
      </c>
      <c r="F454">
        <v>14789719</v>
      </c>
    </row>
    <row r="455" spans="1:6">
      <c r="A455" s="39">
        <v>42802</v>
      </c>
      <c r="B455">
        <v>38.909999999999997</v>
      </c>
      <c r="C455">
        <v>38.94</v>
      </c>
      <c r="D455">
        <v>38.61</v>
      </c>
      <c r="E455">
        <v>38.659999999999997</v>
      </c>
      <c r="F455">
        <v>15602239</v>
      </c>
    </row>
    <row r="456" spans="1:6">
      <c r="A456" s="39">
        <v>42803</v>
      </c>
      <c r="B456">
        <v>38.43</v>
      </c>
      <c r="C456">
        <v>38.47</v>
      </c>
      <c r="D456">
        <v>38.119999999999997</v>
      </c>
      <c r="E456">
        <v>38.33</v>
      </c>
      <c r="F456">
        <v>12131881</v>
      </c>
    </row>
    <row r="457" spans="1:6">
      <c r="A457" s="39">
        <v>42804</v>
      </c>
      <c r="B457">
        <v>38.57</v>
      </c>
      <c r="C457">
        <v>38.65</v>
      </c>
      <c r="D457">
        <v>38.46</v>
      </c>
      <c r="E457">
        <v>38.65</v>
      </c>
      <c r="F457">
        <v>14955555</v>
      </c>
    </row>
    <row r="458" spans="1:6">
      <c r="A458" s="39">
        <v>42807</v>
      </c>
      <c r="B458">
        <v>39.03</v>
      </c>
      <c r="C458">
        <v>39.18</v>
      </c>
      <c r="D458">
        <v>38.97</v>
      </c>
      <c r="E458">
        <v>39.14</v>
      </c>
      <c r="F458">
        <v>9506818</v>
      </c>
    </row>
    <row r="459" spans="1:6">
      <c r="A459" s="39">
        <v>42808</v>
      </c>
      <c r="B459">
        <v>39.049999999999997</v>
      </c>
      <c r="C459">
        <v>39.049999999999997</v>
      </c>
      <c r="D459">
        <v>38.880000000000003</v>
      </c>
      <c r="E459">
        <v>38.92</v>
      </c>
      <c r="F459">
        <v>12217694</v>
      </c>
    </row>
    <row r="460" spans="1:6">
      <c r="A460" s="39">
        <v>42809</v>
      </c>
      <c r="B460">
        <v>39.07</v>
      </c>
      <c r="C460">
        <v>39.92</v>
      </c>
      <c r="D460">
        <v>38.979999999999997</v>
      </c>
      <c r="E460">
        <v>39.83</v>
      </c>
      <c r="F460">
        <v>22872746</v>
      </c>
    </row>
    <row r="461" spans="1:6">
      <c r="A461" s="39">
        <v>42810</v>
      </c>
      <c r="B461">
        <v>40.119999999999997</v>
      </c>
      <c r="C461">
        <v>40.22</v>
      </c>
      <c r="D461">
        <v>40.04</v>
      </c>
      <c r="E461">
        <v>40.1</v>
      </c>
      <c r="F461">
        <v>28561489</v>
      </c>
    </row>
    <row r="462" spans="1:6">
      <c r="A462" s="39">
        <v>42811</v>
      </c>
      <c r="B462">
        <v>40.119999999999997</v>
      </c>
      <c r="C462">
        <v>40.159999999999997</v>
      </c>
      <c r="D462">
        <v>39.97</v>
      </c>
      <c r="E462">
        <v>40.06</v>
      </c>
      <c r="F462">
        <v>17399445</v>
      </c>
    </row>
    <row r="463" spans="1:6">
      <c r="A463" s="39">
        <v>42814</v>
      </c>
      <c r="B463">
        <v>40.21</v>
      </c>
      <c r="C463">
        <v>40.520000000000003</v>
      </c>
      <c r="D463">
        <v>40.18</v>
      </c>
      <c r="E463">
        <v>40.47</v>
      </c>
      <c r="F463">
        <v>13336341</v>
      </c>
    </row>
    <row r="464" spans="1:6">
      <c r="A464" s="39">
        <v>42815</v>
      </c>
      <c r="B464">
        <v>40.57</v>
      </c>
      <c r="C464">
        <v>40.630000000000003</v>
      </c>
      <c r="D464">
        <v>39.93</v>
      </c>
      <c r="E464">
        <v>39.96</v>
      </c>
      <c r="F464">
        <v>17365941</v>
      </c>
    </row>
    <row r="465" spans="1:6">
      <c r="A465" s="39">
        <v>42816</v>
      </c>
      <c r="B465">
        <v>39.89</v>
      </c>
      <c r="C465">
        <v>40.18</v>
      </c>
      <c r="D465">
        <v>39.799999999999997</v>
      </c>
      <c r="E465">
        <v>40.08</v>
      </c>
      <c r="F465">
        <v>14085437</v>
      </c>
    </row>
    <row r="466" spans="1:6">
      <c r="A466" s="39">
        <v>42817</v>
      </c>
      <c r="B466">
        <v>39.97</v>
      </c>
      <c r="C466">
        <v>40.229999999999997</v>
      </c>
      <c r="D466">
        <v>39.94</v>
      </c>
      <c r="E466">
        <v>40.1</v>
      </c>
      <c r="F466">
        <v>12783255</v>
      </c>
    </row>
    <row r="467" spans="1:6">
      <c r="A467" s="39">
        <v>42818</v>
      </c>
      <c r="B467">
        <v>40.1</v>
      </c>
      <c r="C467">
        <v>40.28</v>
      </c>
      <c r="D467">
        <v>40.090000000000003</v>
      </c>
      <c r="E467">
        <v>40.21</v>
      </c>
      <c r="F467">
        <v>12544024</v>
      </c>
    </row>
    <row r="468" spans="1:6">
      <c r="A468" s="39">
        <v>42821</v>
      </c>
      <c r="B468">
        <v>39.92</v>
      </c>
      <c r="C468">
        <v>40.15</v>
      </c>
      <c r="D468">
        <v>39.799999999999997</v>
      </c>
      <c r="E468">
        <v>40.090000000000003</v>
      </c>
      <c r="F468">
        <v>12759625</v>
      </c>
    </row>
    <row r="469" spans="1:6">
      <c r="A469" s="39">
        <v>42822</v>
      </c>
      <c r="B469">
        <v>40.06</v>
      </c>
      <c r="C469">
        <v>40.28</v>
      </c>
      <c r="D469">
        <v>40.06</v>
      </c>
      <c r="E469">
        <v>40.19</v>
      </c>
      <c r="F469">
        <v>14136345</v>
      </c>
    </row>
    <row r="470" spans="1:6">
      <c r="A470" s="39">
        <v>42823</v>
      </c>
      <c r="B470">
        <v>40.08</v>
      </c>
      <c r="C470">
        <v>40.26</v>
      </c>
      <c r="D470">
        <v>40.06</v>
      </c>
      <c r="E470">
        <v>40.25</v>
      </c>
      <c r="F470">
        <v>8453012</v>
      </c>
    </row>
    <row r="471" spans="1:6">
      <c r="A471" s="39">
        <v>42824</v>
      </c>
      <c r="B471">
        <v>40.090000000000003</v>
      </c>
      <c r="C471">
        <v>40.19</v>
      </c>
      <c r="D471">
        <v>40</v>
      </c>
      <c r="E471">
        <v>40.020000000000003</v>
      </c>
      <c r="F471">
        <v>7377953</v>
      </c>
    </row>
    <row r="472" spans="1:6">
      <c r="A472" s="39">
        <v>42825</v>
      </c>
      <c r="B472">
        <v>39.79</v>
      </c>
      <c r="C472">
        <v>39.880000000000003</v>
      </c>
      <c r="D472">
        <v>39.72</v>
      </c>
      <c r="E472">
        <v>39.72</v>
      </c>
      <c r="F472">
        <v>12271783</v>
      </c>
    </row>
    <row r="473" spans="1:6">
      <c r="A473" s="39">
        <v>42828</v>
      </c>
      <c r="B473">
        <v>39.93</v>
      </c>
      <c r="C473">
        <v>40.04</v>
      </c>
      <c r="D473">
        <v>39.76</v>
      </c>
      <c r="E473">
        <v>40.03</v>
      </c>
      <c r="F473">
        <v>15366434</v>
      </c>
    </row>
    <row r="474" spans="1:6">
      <c r="A474" s="39">
        <v>42829</v>
      </c>
      <c r="B474">
        <v>39.950000000000003</v>
      </c>
      <c r="C474">
        <v>40.15</v>
      </c>
      <c r="D474">
        <v>39.92</v>
      </c>
      <c r="E474">
        <v>40.119999999999997</v>
      </c>
      <c r="F474">
        <v>9319594</v>
      </c>
    </row>
    <row r="475" spans="1:6">
      <c r="A475" s="39">
        <v>42830</v>
      </c>
      <c r="B475">
        <v>40.29</v>
      </c>
      <c r="C475">
        <v>40.409999999999997</v>
      </c>
      <c r="D475">
        <v>40.020000000000003</v>
      </c>
      <c r="E475">
        <v>40.049999999999997</v>
      </c>
      <c r="F475">
        <v>12539596</v>
      </c>
    </row>
    <row r="476" spans="1:6">
      <c r="A476" s="39">
        <v>42831</v>
      </c>
      <c r="B476">
        <v>40.03</v>
      </c>
      <c r="C476">
        <v>40.07</v>
      </c>
      <c r="D476">
        <v>39.86</v>
      </c>
      <c r="E476">
        <v>39.979999999999997</v>
      </c>
      <c r="F476">
        <v>9571414</v>
      </c>
    </row>
    <row r="477" spans="1:6">
      <c r="A477" s="39">
        <v>42832</v>
      </c>
      <c r="B477">
        <v>39.950000000000003</v>
      </c>
      <c r="C477">
        <v>40.14</v>
      </c>
      <c r="D477">
        <v>39.9</v>
      </c>
      <c r="E477">
        <v>39.97</v>
      </c>
      <c r="F477">
        <v>9168485</v>
      </c>
    </row>
    <row r="478" spans="1:6">
      <c r="A478" s="39">
        <v>42835</v>
      </c>
      <c r="B478">
        <v>39.76</v>
      </c>
      <c r="C478">
        <v>39.85</v>
      </c>
      <c r="D478">
        <v>39.68</v>
      </c>
      <c r="E478">
        <v>39.78</v>
      </c>
      <c r="F478">
        <v>9915821</v>
      </c>
    </row>
    <row r="479" spans="1:6">
      <c r="A479" s="39">
        <v>42836</v>
      </c>
      <c r="B479">
        <v>39.840000000000003</v>
      </c>
      <c r="C479">
        <v>39.869999999999997</v>
      </c>
      <c r="D479">
        <v>39.520000000000003</v>
      </c>
      <c r="E479">
        <v>39.82</v>
      </c>
      <c r="F479">
        <v>9421641</v>
      </c>
    </row>
    <row r="480" spans="1:6">
      <c r="A480" s="39">
        <v>42837</v>
      </c>
      <c r="B480">
        <v>39.92</v>
      </c>
      <c r="C480">
        <v>39.96</v>
      </c>
      <c r="D480">
        <v>39.68</v>
      </c>
      <c r="E480">
        <v>39.96</v>
      </c>
      <c r="F480">
        <v>15934706</v>
      </c>
    </row>
    <row r="481" spans="1:6">
      <c r="A481" s="39">
        <v>42838</v>
      </c>
      <c r="B481">
        <v>39.96</v>
      </c>
      <c r="C481">
        <v>40.08</v>
      </c>
      <c r="D481">
        <v>39.74</v>
      </c>
      <c r="E481">
        <v>39.75</v>
      </c>
      <c r="F481">
        <v>7977147</v>
      </c>
    </row>
    <row r="482" spans="1:6">
      <c r="A482" s="39">
        <v>42842</v>
      </c>
      <c r="B482">
        <v>39.869999999999997</v>
      </c>
      <c r="C482">
        <v>40.090000000000003</v>
      </c>
      <c r="D482">
        <v>39.82</v>
      </c>
      <c r="E482">
        <v>40.090000000000003</v>
      </c>
      <c r="F482">
        <v>8196614</v>
      </c>
    </row>
    <row r="483" spans="1:6">
      <c r="A483" s="39">
        <v>42843</v>
      </c>
      <c r="B483">
        <v>39.659999999999997</v>
      </c>
      <c r="C483">
        <v>39.79</v>
      </c>
      <c r="D483">
        <v>39.53</v>
      </c>
      <c r="E483">
        <v>39.619999999999997</v>
      </c>
      <c r="F483">
        <v>9943552</v>
      </c>
    </row>
    <row r="484" spans="1:6">
      <c r="A484" s="39">
        <v>42844</v>
      </c>
      <c r="B484">
        <v>39.64</v>
      </c>
      <c r="C484">
        <v>39.68</v>
      </c>
      <c r="D484">
        <v>39.26</v>
      </c>
      <c r="E484">
        <v>39.33</v>
      </c>
      <c r="F484">
        <v>9400560</v>
      </c>
    </row>
    <row r="485" spans="1:6">
      <c r="A485" s="39">
        <v>42845</v>
      </c>
      <c r="B485">
        <v>39.71</v>
      </c>
      <c r="C485">
        <v>39.76</v>
      </c>
      <c r="D485">
        <v>39.57</v>
      </c>
      <c r="E485">
        <v>39.74</v>
      </c>
      <c r="F485">
        <v>10125175</v>
      </c>
    </row>
    <row r="486" spans="1:6">
      <c r="A486" s="39">
        <v>42846</v>
      </c>
      <c r="B486">
        <v>39.72</v>
      </c>
      <c r="C486">
        <v>39.74</v>
      </c>
      <c r="D486">
        <v>39.619999999999997</v>
      </c>
      <c r="E486">
        <v>39.700000000000003</v>
      </c>
      <c r="F486">
        <v>15182196</v>
      </c>
    </row>
    <row r="487" spans="1:6">
      <c r="A487" s="39">
        <v>42849</v>
      </c>
      <c r="B487">
        <v>40.19</v>
      </c>
      <c r="C487">
        <v>40.229999999999997</v>
      </c>
      <c r="D487">
        <v>40.1</v>
      </c>
      <c r="E487">
        <v>40.159999999999997</v>
      </c>
      <c r="F487">
        <v>12490842</v>
      </c>
    </row>
    <row r="488" spans="1:6">
      <c r="A488" s="39">
        <v>42850</v>
      </c>
      <c r="B488">
        <v>40.380000000000003</v>
      </c>
      <c r="C488">
        <v>40.53</v>
      </c>
      <c r="D488">
        <v>40.340000000000003</v>
      </c>
      <c r="E488">
        <v>40.450000000000003</v>
      </c>
      <c r="F488">
        <v>14389042</v>
      </c>
    </row>
    <row r="489" spans="1:6">
      <c r="A489" s="39">
        <v>42851</v>
      </c>
      <c r="B489">
        <v>40.35</v>
      </c>
      <c r="C489">
        <v>40.47</v>
      </c>
      <c r="D489">
        <v>40.26</v>
      </c>
      <c r="E489">
        <v>40.299999999999997</v>
      </c>
      <c r="F489">
        <v>14912855</v>
      </c>
    </row>
    <row r="490" spans="1:6">
      <c r="A490" s="39">
        <v>42852</v>
      </c>
      <c r="B490">
        <v>40.32</v>
      </c>
      <c r="C490">
        <v>40.340000000000003</v>
      </c>
      <c r="D490">
        <v>40.07</v>
      </c>
      <c r="E490">
        <v>40.17</v>
      </c>
      <c r="F490">
        <v>9172730</v>
      </c>
    </row>
    <row r="491" spans="1:6">
      <c r="A491" s="39">
        <v>42853</v>
      </c>
      <c r="B491">
        <v>40.26</v>
      </c>
      <c r="C491">
        <v>40.369999999999997</v>
      </c>
      <c r="D491">
        <v>40.200000000000003</v>
      </c>
      <c r="E491">
        <v>40.340000000000003</v>
      </c>
      <c r="F491">
        <v>11072591</v>
      </c>
    </row>
    <row r="492" spans="1:6">
      <c r="A492" s="39">
        <v>42856</v>
      </c>
      <c r="B492">
        <v>40.479999999999997</v>
      </c>
      <c r="C492">
        <v>40.6</v>
      </c>
      <c r="D492">
        <v>40.39</v>
      </c>
      <c r="E492">
        <v>40.5</v>
      </c>
      <c r="F492">
        <v>11578862</v>
      </c>
    </row>
    <row r="493" spans="1:6">
      <c r="A493" s="39">
        <v>42857</v>
      </c>
      <c r="B493">
        <v>40.6</v>
      </c>
      <c r="C493">
        <v>40.74</v>
      </c>
      <c r="D493">
        <v>40.57</v>
      </c>
      <c r="E493">
        <v>40.700000000000003</v>
      </c>
      <c r="F493">
        <v>12444461</v>
      </c>
    </row>
    <row r="494" spans="1:6">
      <c r="A494" s="39">
        <v>42858</v>
      </c>
      <c r="B494">
        <v>40.56</v>
      </c>
      <c r="C494">
        <v>40.56</v>
      </c>
      <c r="D494">
        <v>40.36</v>
      </c>
      <c r="E494">
        <v>40.409999999999997</v>
      </c>
      <c r="F494">
        <v>11621678</v>
      </c>
    </row>
    <row r="495" spans="1:6">
      <c r="A495" s="39">
        <v>42859</v>
      </c>
      <c r="B495">
        <v>40.229999999999997</v>
      </c>
      <c r="C495">
        <v>40.25</v>
      </c>
      <c r="D495">
        <v>39.94</v>
      </c>
      <c r="E495">
        <v>39.979999999999997</v>
      </c>
      <c r="F495">
        <v>8595272</v>
      </c>
    </row>
    <row r="496" spans="1:6">
      <c r="A496" s="39">
        <v>42860</v>
      </c>
      <c r="B496">
        <v>39.94</v>
      </c>
      <c r="C496">
        <v>40.229999999999997</v>
      </c>
      <c r="D496">
        <v>39.9</v>
      </c>
      <c r="E496">
        <v>40.21</v>
      </c>
      <c r="F496">
        <v>12179682</v>
      </c>
    </row>
    <row r="497" spans="1:6">
      <c r="A497" s="39">
        <v>42863</v>
      </c>
      <c r="B497">
        <v>40.17</v>
      </c>
      <c r="C497">
        <v>40.21</v>
      </c>
      <c r="D497">
        <v>39.96</v>
      </c>
      <c r="E497">
        <v>39.96</v>
      </c>
      <c r="F497">
        <v>11275723</v>
      </c>
    </row>
    <row r="498" spans="1:6">
      <c r="A498" s="39">
        <v>42864</v>
      </c>
      <c r="B498">
        <v>40.25</v>
      </c>
      <c r="C498">
        <v>40.49</v>
      </c>
      <c r="D498">
        <v>40.25</v>
      </c>
      <c r="E498">
        <v>40.409999999999997</v>
      </c>
      <c r="F498">
        <v>11585195</v>
      </c>
    </row>
    <row r="499" spans="1:6">
      <c r="A499" s="39">
        <v>42865</v>
      </c>
      <c r="B499">
        <v>40.6</v>
      </c>
      <c r="C499">
        <v>40.75</v>
      </c>
      <c r="D499">
        <v>40.590000000000003</v>
      </c>
      <c r="E499">
        <v>40.729999999999997</v>
      </c>
      <c r="F499">
        <v>11575636</v>
      </c>
    </row>
    <row r="500" spans="1:6">
      <c r="A500" s="39">
        <v>42866</v>
      </c>
      <c r="B500">
        <v>40.68</v>
      </c>
      <c r="C500">
        <v>40.76</v>
      </c>
      <c r="D500">
        <v>40.5</v>
      </c>
      <c r="E500">
        <v>40.71</v>
      </c>
      <c r="F500">
        <v>15037444</v>
      </c>
    </row>
    <row r="501" spans="1:6">
      <c r="A501" s="39">
        <v>42867</v>
      </c>
      <c r="B501">
        <v>40.799999999999997</v>
      </c>
      <c r="C501">
        <v>40.96</v>
      </c>
      <c r="D501">
        <v>40.770000000000003</v>
      </c>
      <c r="E501">
        <v>40.93</v>
      </c>
      <c r="F501">
        <v>12963923</v>
      </c>
    </row>
    <row r="502" spans="1:6">
      <c r="A502" s="39">
        <v>42870</v>
      </c>
      <c r="B502">
        <v>41.14</v>
      </c>
      <c r="C502">
        <v>41.32</v>
      </c>
      <c r="D502">
        <v>41.09</v>
      </c>
      <c r="E502">
        <v>41.31</v>
      </c>
      <c r="F502">
        <v>11248335</v>
      </c>
    </row>
    <row r="503" spans="1:6">
      <c r="A503" s="39">
        <v>42871</v>
      </c>
      <c r="B503">
        <v>41.32</v>
      </c>
      <c r="C503">
        <v>41.36</v>
      </c>
      <c r="D503">
        <v>41.2</v>
      </c>
      <c r="E503">
        <v>41.35</v>
      </c>
      <c r="F503">
        <v>12030940</v>
      </c>
    </row>
    <row r="504" spans="1:6">
      <c r="A504" s="39">
        <v>42872</v>
      </c>
      <c r="B504">
        <v>41.01</v>
      </c>
      <c r="C504">
        <v>41.06</v>
      </c>
      <c r="D504">
        <v>40.69</v>
      </c>
      <c r="E504">
        <v>40.729999999999997</v>
      </c>
      <c r="F504">
        <v>15453262</v>
      </c>
    </row>
    <row r="505" spans="1:6">
      <c r="A505" s="39">
        <v>42873</v>
      </c>
      <c r="B505">
        <v>39.86</v>
      </c>
      <c r="C505">
        <v>40.299999999999997</v>
      </c>
      <c r="D505">
        <v>39.619999999999997</v>
      </c>
      <c r="E505">
        <v>39.979999999999997</v>
      </c>
      <c r="F505">
        <v>28731150</v>
      </c>
    </row>
    <row r="506" spans="1:6">
      <c r="A506" s="39">
        <v>42874</v>
      </c>
      <c r="B506">
        <v>40.5</v>
      </c>
      <c r="C506">
        <v>40.799999999999997</v>
      </c>
      <c r="D506">
        <v>40.47</v>
      </c>
      <c r="E506">
        <v>40.69</v>
      </c>
      <c r="F506">
        <v>13669292</v>
      </c>
    </row>
  </sheetData>
  <sortState ref="A3:F506">
    <sortCondition ref="A3:A50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06"/>
  <sheetViews>
    <sheetView workbookViewId="0"/>
  </sheetViews>
  <sheetFormatPr defaultRowHeight="15"/>
  <cols>
    <col min="1" max="7" width="10.7109375" customWidth="1"/>
  </cols>
  <sheetData>
    <row r="1" spans="1:6">
      <c r="A1" t="s">
        <v>44</v>
      </c>
    </row>
    <row r="2" spans="1:6">
      <c r="A2" t="s">
        <v>26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</row>
    <row r="3" spans="1:6">
      <c r="A3" s="39">
        <v>42145</v>
      </c>
      <c r="B3">
        <v>82</v>
      </c>
      <c r="C3">
        <v>82.16</v>
      </c>
      <c r="D3">
        <v>81.95</v>
      </c>
      <c r="E3">
        <v>82.11</v>
      </c>
      <c r="F3">
        <v>2314127</v>
      </c>
    </row>
    <row r="4" spans="1:6">
      <c r="A4" s="39">
        <v>42146</v>
      </c>
      <c r="B4">
        <v>82.06</v>
      </c>
      <c r="C4">
        <v>82.09</v>
      </c>
      <c r="D4">
        <v>81.91</v>
      </c>
      <c r="E4">
        <v>82.06</v>
      </c>
      <c r="F4">
        <v>816588</v>
      </c>
    </row>
    <row r="5" spans="1:6">
      <c r="A5" s="39">
        <v>42150</v>
      </c>
      <c r="B5">
        <v>82.06</v>
      </c>
      <c r="C5">
        <v>82.31</v>
      </c>
      <c r="D5">
        <v>82.03</v>
      </c>
      <c r="E5">
        <v>82.26</v>
      </c>
      <c r="F5">
        <v>1178341</v>
      </c>
    </row>
    <row r="6" spans="1:6">
      <c r="A6" s="39">
        <v>42151</v>
      </c>
      <c r="B6">
        <v>82.28</v>
      </c>
      <c r="C6">
        <v>82.34</v>
      </c>
      <c r="D6">
        <v>82.14</v>
      </c>
      <c r="E6">
        <v>82.3</v>
      </c>
      <c r="F6">
        <v>2564521</v>
      </c>
    </row>
    <row r="7" spans="1:6">
      <c r="A7" s="39">
        <v>42152</v>
      </c>
      <c r="B7">
        <v>82.33</v>
      </c>
      <c r="C7">
        <v>82.38</v>
      </c>
      <c r="D7">
        <v>82.25</v>
      </c>
      <c r="E7">
        <v>82.31</v>
      </c>
      <c r="F7">
        <v>1073339</v>
      </c>
    </row>
    <row r="8" spans="1:6">
      <c r="A8" s="39">
        <v>42153</v>
      </c>
      <c r="B8">
        <v>82.42</v>
      </c>
      <c r="C8">
        <v>82.46</v>
      </c>
      <c r="D8">
        <v>82.29</v>
      </c>
      <c r="E8">
        <v>82.34</v>
      </c>
      <c r="F8">
        <v>2494294</v>
      </c>
    </row>
    <row r="9" spans="1:6">
      <c r="A9" s="39">
        <v>42156</v>
      </c>
      <c r="B9">
        <v>82.19</v>
      </c>
      <c r="C9">
        <v>82.19</v>
      </c>
      <c r="D9">
        <v>81.86</v>
      </c>
      <c r="E9">
        <v>81.900000000000006</v>
      </c>
      <c r="F9">
        <v>1362772</v>
      </c>
    </row>
    <row r="10" spans="1:6">
      <c r="A10" s="39">
        <v>42157</v>
      </c>
      <c r="B10">
        <v>81.8</v>
      </c>
      <c r="C10">
        <v>81.83</v>
      </c>
      <c r="D10">
        <v>81.599999999999994</v>
      </c>
      <c r="E10">
        <v>81.67</v>
      </c>
      <c r="F10">
        <v>1509973</v>
      </c>
    </row>
    <row r="11" spans="1:6">
      <c r="A11" s="39">
        <v>42158</v>
      </c>
      <c r="B11">
        <v>81.52</v>
      </c>
      <c r="C11">
        <v>81.53</v>
      </c>
      <c r="D11">
        <v>81.22</v>
      </c>
      <c r="E11">
        <v>81.31</v>
      </c>
      <c r="F11">
        <v>1390169</v>
      </c>
    </row>
    <row r="12" spans="1:6">
      <c r="A12" s="39">
        <v>42159</v>
      </c>
      <c r="B12">
        <v>81.42</v>
      </c>
      <c r="C12">
        <v>81.61</v>
      </c>
      <c r="D12">
        <v>81.400000000000006</v>
      </c>
      <c r="E12">
        <v>81.510000000000005</v>
      </c>
      <c r="F12">
        <v>1111349</v>
      </c>
    </row>
    <row r="13" spans="1:6">
      <c r="A13" s="39">
        <v>42160</v>
      </c>
      <c r="B13">
        <v>81.27</v>
      </c>
      <c r="C13">
        <v>81.349999999999994</v>
      </c>
      <c r="D13">
        <v>81.099999999999994</v>
      </c>
      <c r="E13">
        <v>81.19</v>
      </c>
      <c r="F13">
        <v>4115257</v>
      </c>
    </row>
    <row r="14" spans="1:6">
      <c r="A14" s="39">
        <v>42163</v>
      </c>
      <c r="B14">
        <v>81.27</v>
      </c>
      <c r="C14">
        <v>81.34</v>
      </c>
      <c r="D14">
        <v>81.23</v>
      </c>
      <c r="E14">
        <v>81.290000000000006</v>
      </c>
      <c r="F14">
        <v>4954540</v>
      </c>
    </row>
    <row r="15" spans="1:6">
      <c r="A15" s="39">
        <v>42164</v>
      </c>
      <c r="B15">
        <v>81.2</v>
      </c>
      <c r="C15">
        <v>81.2</v>
      </c>
      <c r="D15">
        <v>81.010000000000005</v>
      </c>
      <c r="E15">
        <v>81.05</v>
      </c>
      <c r="F15">
        <v>2883304</v>
      </c>
    </row>
    <row r="16" spans="1:6">
      <c r="A16" s="39">
        <v>42165</v>
      </c>
      <c r="B16">
        <v>80.92</v>
      </c>
      <c r="C16">
        <v>81</v>
      </c>
      <c r="D16">
        <v>80.83</v>
      </c>
      <c r="E16">
        <v>80.88</v>
      </c>
      <c r="F16">
        <v>1222801</v>
      </c>
    </row>
    <row r="17" spans="1:6">
      <c r="A17" s="39">
        <v>42166</v>
      </c>
      <c r="B17">
        <v>81</v>
      </c>
      <c r="C17">
        <v>81.27</v>
      </c>
      <c r="D17">
        <v>80.94</v>
      </c>
      <c r="E17">
        <v>81.260000000000005</v>
      </c>
      <c r="F17">
        <v>1815889</v>
      </c>
    </row>
    <row r="18" spans="1:6">
      <c r="A18" s="39">
        <v>42167</v>
      </c>
      <c r="B18">
        <v>81.17</v>
      </c>
      <c r="C18">
        <v>81.42</v>
      </c>
      <c r="D18">
        <v>81.12</v>
      </c>
      <c r="E18">
        <v>81.2</v>
      </c>
      <c r="F18">
        <v>1785104</v>
      </c>
    </row>
    <row r="19" spans="1:6">
      <c r="A19" s="39">
        <v>42170</v>
      </c>
      <c r="B19">
        <v>81.38</v>
      </c>
      <c r="C19">
        <v>81.430000000000007</v>
      </c>
      <c r="D19">
        <v>81.19</v>
      </c>
      <c r="E19">
        <v>81.209999999999994</v>
      </c>
      <c r="F19">
        <v>2082936</v>
      </c>
    </row>
    <row r="20" spans="1:6">
      <c r="A20" s="39">
        <v>42171</v>
      </c>
      <c r="B20">
        <v>81.34</v>
      </c>
      <c r="C20">
        <v>81.42</v>
      </c>
      <c r="D20">
        <v>81.23</v>
      </c>
      <c r="E20">
        <v>81.42</v>
      </c>
      <c r="F20">
        <v>2250660</v>
      </c>
    </row>
    <row r="21" spans="1:6">
      <c r="A21" s="39">
        <v>42172</v>
      </c>
      <c r="B21">
        <v>81.38</v>
      </c>
      <c r="C21">
        <v>81.47</v>
      </c>
      <c r="D21">
        <v>81.099999999999994</v>
      </c>
      <c r="E21">
        <v>81.45</v>
      </c>
      <c r="F21">
        <v>865724</v>
      </c>
    </row>
    <row r="22" spans="1:6">
      <c r="A22" s="39">
        <v>42173</v>
      </c>
      <c r="B22">
        <v>81.37</v>
      </c>
      <c r="C22">
        <v>81.44</v>
      </c>
      <c r="D22">
        <v>81.2</v>
      </c>
      <c r="E22">
        <v>81.39</v>
      </c>
      <c r="F22">
        <v>1210281</v>
      </c>
    </row>
    <row r="23" spans="1:6">
      <c r="A23" s="39">
        <v>42174</v>
      </c>
      <c r="B23">
        <v>81.55</v>
      </c>
      <c r="C23">
        <v>81.650000000000006</v>
      </c>
      <c r="D23">
        <v>81.510000000000005</v>
      </c>
      <c r="E23">
        <v>81.62</v>
      </c>
      <c r="F23">
        <v>1176670</v>
      </c>
    </row>
    <row r="24" spans="1:6">
      <c r="A24" s="39">
        <v>42177</v>
      </c>
      <c r="B24">
        <v>81.42</v>
      </c>
      <c r="C24">
        <v>81.489999999999995</v>
      </c>
      <c r="D24">
        <v>81.209999999999994</v>
      </c>
      <c r="E24">
        <v>81.23</v>
      </c>
      <c r="F24">
        <v>1019989</v>
      </c>
    </row>
    <row r="25" spans="1:6">
      <c r="A25" s="39">
        <v>42178</v>
      </c>
      <c r="B25">
        <v>81.040000000000006</v>
      </c>
      <c r="C25">
        <v>81.23</v>
      </c>
      <c r="D25">
        <v>81</v>
      </c>
      <c r="E25">
        <v>81.040000000000006</v>
      </c>
      <c r="F25">
        <v>1096018</v>
      </c>
    </row>
    <row r="26" spans="1:6">
      <c r="A26" s="39">
        <v>42179</v>
      </c>
      <c r="B26">
        <v>81.150000000000006</v>
      </c>
      <c r="C26">
        <v>81.23</v>
      </c>
      <c r="D26">
        <v>81.08</v>
      </c>
      <c r="E26">
        <v>81.19</v>
      </c>
      <c r="F26">
        <v>6836870</v>
      </c>
    </row>
    <row r="27" spans="1:6">
      <c r="A27" s="39">
        <v>42180</v>
      </c>
      <c r="B27">
        <v>81.16</v>
      </c>
      <c r="C27">
        <v>81.2</v>
      </c>
      <c r="D27">
        <v>81.040000000000006</v>
      </c>
      <c r="E27">
        <v>81.08</v>
      </c>
      <c r="F27">
        <v>2894479</v>
      </c>
    </row>
    <row r="28" spans="1:6">
      <c r="A28" s="39">
        <v>42181</v>
      </c>
      <c r="B28">
        <v>80.94</v>
      </c>
      <c r="C28">
        <v>80.98</v>
      </c>
      <c r="D28">
        <v>80.849999999999994</v>
      </c>
      <c r="E28">
        <v>80.930000000000007</v>
      </c>
      <c r="F28">
        <v>963015</v>
      </c>
    </row>
    <row r="29" spans="1:6">
      <c r="A29" s="39">
        <v>42184</v>
      </c>
      <c r="B29">
        <v>81.19</v>
      </c>
      <c r="C29">
        <v>81.400000000000006</v>
      </c>
      <c r="D29">
        <v>81.08</v>
      </c>
      <c r="E29">
        <v>81.34</v>
      </c>
      <c r="F29">
        <v>2168404</v>
      </c>
    </row>
    <row r="30" spans="1:6">
      <c r="A30" s="39">
        <v>42185</v>
      </c>
      <c r="B30">
        <v>81.260000000000005</v>
      </c>
      <c r="C30">
        <v>81.48</v>
      </c>
      <c r="D30">
        <v>81.239999999999995</v>
      </c>
      <c r="E30">
        <v>81.260000000000005</v>
      </c>
      <c r="F30">
        <v>1547823</v>
      </c>
    </row>
    <row r="31" spans="1:6">
      <c r="A31" s="39">
        <v>42186</v>
      </c>
      <c r="B31">
        <v>80.87</v>
      </c>
      <c r="C31">
        <v>81.03</v>
      </c>
      <c r="D31">
        <v>80.83</v>
      </c>
      <c r="E31">
        <v>80.900000000000006</v>
      </c>
      <c r="F31">
        <v>5399304</v>
      </c>
    </row>
    <row r="32" spans="1:6">
      <c r="A32" s="39">
        <v>42187</v>
      </c>
      <c r="B32">
        <v>81.06</v>
      </c>
      <c r="C32">
        <v>81.180000000000007</v>
      </c>
      <c r="D32">
        <v>81.06</v>
      </c>
      <c r="E32">
        <v>81.099999999999994</v>
      </c>
      <c r="F32">
        <v>1060092</v>
      </c>
    </row>
    <row r="33" spans="1:6">
      <c r="A33" s="39">
        <v>42191</v>
      </c>
      <c r="B33">
        <v>81.44</v>
      </c>
      <c r="C33">
        <v>81.44</v>
      </c>
      <c r="D33">
        <v>81.22</v>
      </c>
      <c r="E33">
        <v>81.38</v>
      </c>
      <c r="F33">
        <v>2210705</v>
      </c>
    </row>
    <row r="34" spans="1:6">
      <c r="A34" s="39">
        <v>42192</v>
      </c>
      <c r="B34">
        <v>81.69</v>
      </c>
      <c r="C34">
        <v>81.77</v>
      </c>
      <c r="D34">
        <v>81.459999999999994</v>
      </c>
      <c r="E34">
        <v>81.459999999999994</v>
      </c>
      <c r="F34">
        <v>4183163</v>
      </c>
    </row>
    <row r="35" spans="1:6">
      <c r="A35" s="39">
        <v>42193</v>
      </c>
      <c r="B35">
        <v>81.64</v>
      </c>
      <c r="C35">
        <v>81.760000000000005</v>
      </c>
      <c r="D35">
        <v>81.56</v>
      </c>
      <c r="E35">
        <v>81.69</v>
      </c>
      <c r="F35">
        <v>1967828</v>
      </c>
    </row>
    <row r="36" spans="1:6">
      <c r="A36" s="39">
        <v>42194</v>
      </c>
      <c r="B36">
        <v>81.56</v>
      </c>
      <c r="C36">
        <v>81.58</v>
      </c>
      <c r="D36">
        <v>81.38</v>
      </c>
      <c r="E36">
        <v>81.42</v>
      </c>
      <c r="F36">
        <v>1670882</v>
      </c>
    </row>
    <row r="37" spans="1:6">
      <c r="A37" s="39">
        <v>42195</v>
      </c>
      <c r="B37">
        <v>81.02</v>
      </c>
      <c r="C37">
        <v>81.16</v>
      </c>
      <c r="D37">
        <v>80.95</v>
      </c>
      <c r="E37">
        <v>81.040000000000006</v>
      </c>
      <c r="F37">
        <v>2038299</v>
      </c>
    </row>
    <row r="38" spans="1:6">
      <c r="A38" s="39">
        <v>42198</v>
      </c>
      <c r="B38">
        <v>80.86</v>
      </c>
      <c r="C38">
        <v>81.010000000000005</v>
      </c>
      <c r="D38">
        <v>80.84</v>
      </c>
      <c r="E38">
        <v>80.849999999999994</v>
      </c>
      <c r="F38">
        <v>2846477</v>
      </c>
    </row>
    <row r="39" spans="1:6">
      <c r="A39" s="39">
        <v>42199</v>
      </c>
      <c r="B39">
        <v>81</v>
      </c>
      <c r="C39">
        <v>81.069999999999993</v>
      </c>
      <c r="D39">
        <v>80.959999999999994</v>
      </c>
      <c r="E39">
        <v>81</v>
      </c>
      <c r="F39">
        <v>1567663</v>
      </c>
    </row>
    <row r="40" spans="1:6">
      <c r="A40" s="39">
        <v>42200</v>
      </c>
      <c r="B40">
        <v>81.010000000000005</v>
      </c>
      <c r="C40">
        <v>81.260000000000005</v>
      </c>
      <c r="D40">
        <v>80.98</v>
      </c>
      <c r="E40">
        <v>81.23</v>
      </c>
      <c r="F40">
        <v>2630955</v>
      </c>
    </row>
    <row r="41" spans="1:6">
      <c r="A41" s="39">
        <v>42201</v>
      </c>
      <c r="B41">
        <v>81.069999999999993</v>
      </c>
      <c r="C41">
        <v>81.28</v>
      </c>
      <c r="D41">
        <v>81.05</v>
      </c>
      <c r="E41">
        <v>81.23</v>
      </c>
      <c r="F41">
        <v>1063112</v>
      </c>
    </row>
    <row r="42" spans="1:6">
      <c r="A42" s="39">
        <v>42202</v>
      </c>
      <c r="B42">
        <v>81.25</v>
      </c>
      <c r="C42">
        <v>81.319999999999993</v>
      </c>
      <c r="D42">
        <v>81.2</v>
      </c>
      <c r="E42">
        <v>81.239999999999995</v>
      </c>
      <c r="F42">
        <v>807934</v>
      </c>
    </row>
    <row r="43" spans="1:6">
      <c r="A43" s="39">
        <v>42205</v>
      </c>
      <c r="B43">
        <v>81.19</v>
      </c>
      <c r="C43">
        <v>81.22</v>
      </c>
      <c r="D43">
        <v>81.08</v>
      </c>
      <c r="E43">
        <v>81.13</v>
      </c>
      <c r="F43">
        <v>1026885</v>
      </c>
    </row>
    <row r="44" spans="1:6">
      <c r="A44" s="39">
        <v>42206</v>
      </c>
      <c r="B44">
        <v>81.12</v>
      </c>
      <c r="C44">
        <v>81.33</v>
      </c>
      <c r="D44">
        <v>81.099999999999994</v>
      </c>
      <c r="E44">
        <v>81.28</v>
      </c>
      <c r="F44">
        <v>1422884</v>
      </c>
    </row>
    <row r="45" spans="1:6">
      <c r="A45" s="39">
        <v>42207</v>
      </c>
      <c r="B45">
        <v>81.319999999999993</v>
      </c>
      <c r="C45">
        <v>81.430000000000007</v>
      </c>
      <c r="D45">
        <v>81.3</v>
      </c>
      <c r="E45">
        <v>81.31</v>
      </c>
      <c r="F45">
        <v>1624143</v>
      </c>
    </row>
    <row r="46" spans="1:6">
      <c r="A46" s="39">
        <v>42208</v>
      </c>
      <c r="B46">
        <v>81.349999999999994</v>
      </c>
      <c r="C46">
        <v>81.540000000000006</v>
      </c>
      <c r="D46">
        <v>81.290000000000006</v>
      </c>
      <c r="E46">
        <v>81.5</v>
      </c>
      <c r="F46">
        <v>1178365</v>
      </c>
    </row>
    <row r="47" spans="1:6">
      <c r="A47" s="39">
        <v>42209</v>
      </c>
      <c r="B47">
        <v>81.59</v>
      </c>
      <c r="C47">
        <v>81.61</v>
      </c>
      <c r="D47">
        <v>81.5</v>
      </c>
      <c r="E47">
        <v>81.55</v>
      </c>
      <c r="F47">
        <v>804258</v>
      </c>
    </row>
    <row r="48" spans="1:6">
      <c r="A48" s="39">
        <v>42212</v>
      </c>
      <c r="B48">
        <v>81.69</v>
      </c>
      <c r="C48">
        <v>81.72</v>
      </c>
      <c r="D48">
        <v>81.62</v>
      </c>
      <c r="E48">
        <v>81.709999999999994</v>
      </c>
      <c r="F48">
        <v>2022824</v>
      </c>
    </row>
    <row r="49" spans="1:6">
      <c r="A49" s="39">
        <v>42213</v>
      </c>
      <c r="B49">
        <v>81.61</v>
      </c>
      <c r="C49">
        <v>81.64</v>
      </c>
      <c r="D49">
        <v>81.56</v>
      </c>
      <c r="E49">
        <v>81.569999999999993</v>
      </c>
      <c r="F49">
        <v>1434737</v>
      </c>
    </row>
    <row r="50" spans="1:6">
      <c r="A50" s="39">
        <v>42214</v>
      </c>
      <c r="B50">
        <v>81.569999999999993</v>
      </c>
      <c r="C50">
        <v>81.58</v>
      </c>
      <c r="D50">
        <v>81.44</v>
      </c>
      <c r="E50">
        <v>81.5</v>
      </c>
      <c r="F50">
        <v>1020519</v>
      </c>
    </row>
    <row r="51" spans="1:6">
      <c r="A51" s="39">
        <v>42215</v>
      </c>
      <c r="B51">
        <v>81.48</v>
      </c>
      <c r="C51">
        <v>81.58</v>
      </c>
      <c r="D51">
        <v>81.44</v>
      </c>
      <c r="E51">
        <v>81.53</v>
      </c>
      <c r="F51">
        <v>788049</v>
      </c>
    </row>
    <row r="52" spans="1:6">
      <c r="A52" s="39">
        <v>42216</v>
      </c>
      <c r="B52">
        <v>81.78</v>
      </c>
      <c r="C52">
        <v>81.83</v>
      </c>
      <c r="D52">
        <v>81.72</v>
      </c>
      <c r="E52">
        <v>81.81</v>
      </c>
      <c r="F52">
        <v>1589053</v>
      </c>
    </row>
    <row r="53" spans="1:6">
      <c r="A53" s="39">
        <v>42219</v>
      </c>
      <c r="B53">
        <v>81.7</v>
      </c>
      <c r="C53">
        <v>81.849999999999994</v>
      </c>
      <c r="D53">
        <v>81.64</v>
      </c>
      <c r="E53">
        <v>81.83</v>
      </c>
      <c r="F53">
        <v>2085780</v>
      </c>
    </row>
    <row r="54" spans="1:6">
      <c r="A54" s="39">
        <v>42220</v>
      </c>
      <c r="B54">
        <v>81.760000000000005</v>
      </c>
      <c r="C54">
        <v>81.78</v>
      </c>
      <c r="D54">
        <v>81.53</v>
      </c>
      <c r="E54">
        <v>81.55</v>
      </c>
      <c r="F54">
        <v>1007295</v>
      </c>
    </row>
    <row r="55" spans="1:6">
      <c r="A55" s="39">
        <v>42221</v>
      </c>
      <c r="B55">
        <v>81.45</v>
      </c>
      <c r="C55">
        <v>81.47</v>
      </c>
      <c r="D55">
        <v>81.31</v>
      </c>
      <c r="E55">
        <v>81.42</v>
      </c>
      <c r="F55">
        <v>2097032</v>
      </c>
    </row>
    <row r="56" spans="1:6">
      <c r="A56" s="39">
        <v>42222</v>
      </c>
      <c r="B56">
        <v>81.44</v>
      </c>
      <c r="C56">
        <v>81.55</v>
      </c>
      <c r="D56">
        <v>81.42</v>
      </c>
      <c r="E56">
        <v>81.47</v>
      </c>
      <c r="F56">
        <v>1173044</v>
      </c>
    </row>
    <row r="57" spans="1:6">
      <c r="A57" s="39">
        <v>42223</v>
      </c>
      <c r="B57">
        <v>81.599999999999994</v>
      </c>
      <c r="C57">
        <v>81.709999999999994</v>
      </c>
      <c r="D57">
        <v>81.55</v>
      </c>
      <c r="E57">
        <v>81.64</v>
      </c>
      <c r="F57">
        <v>1773813</v>
      </c>
    </row>
    <row r="58" spans="1:6">
      <c r="A58" s="39">
        <v>42226</v>
      </c>
      <c r="B58">
        <v>81.58</v>
      </c>
      <c r="C58">
        <v>81.61</v>
      </c>
      <c r="D58">
        <v>81.42</v>
      </c>
      <c r="E58">
        <v>81.47</v>
      </c>
      <c r="F58">
        <v>1173282</v>
      </c>
    </row>
    <row r="59" spans="1:6">
      <c r="A59" s="39">
        <v>42227</v>
      </c>
      <c r="B59">
        <v>81.739999999999995</v>
      </c>
      <c r="C59">
        <v>81.89</v>
      </c>
      <c r="D59">
        <v>81.709999999999994</v>
      </c>
      <c r="E59">
        <v>81.78</v>
      </c>
      <c r="F59">
        <v>1424192</v>
      </c>
    </row>
    <row r="60" spans="1:6">
      <c r="A60" s="39">
        <v>42228</v>
      </c>
      <c r="B60">
        <v>81.92</v>
      </c>
      <c r="C60">
        <v>82.03</v>
      </c>
      <c r="D60">
        <v>81.73</v>
      </c>
      <c r="E60">
        <v>81.75</v>
      </c>
      <c r="F60">
        <v>1029723</v>
      </c>
    </row>
    <row r="61" spans="1:6">
      <c r="A61" s="39">
        <v>42229</v>
      </c>
      <c r="B61">
        <v>81.67</v>
      </c>
      <c r="C61">
        <v>81.75</v>
      </c>
      <c r="D61">
        <v>81.55</v>
      </c>
      <c r="E61">
        <v>81.58</v>
      </c>
      <c r="F61">
        <v>845481</v>
      </c>
    </row>
    <row r="62" spans="1:6">
      <c r="A62" s="39">
        <v>42230</v>
      </c>
      <c r="B62">
        <v>81.55</v>
      </c>
      <c r="C62">
        <v>81.67</v>
      </c>
      <c r="D62">
        <v>81.510000000000005</v>
      </c>
      <c r="E62">
        <v>81.55</v>
      </c>
      <c r="F62">
        <v>2279807</v>
      </c>
    </row>
    <row r="63" spans="1:6">
      <c r="A63" s="39">
        <v>42233</v>
      </c>
      <c r="B63">
        <v>81.739999999999995</v>
      </c>
      <c r="C63">
        <v>81.78</v>
      </c>
      <c r="D63">
        <v>81.66</v>
      </c>
      <c r="E63">
        <v>81.7</v>
      </c>
      <c r="F63">
        <v>821871</v>
      </c>
    </row>
    <row r="64" spans="1:6">
      <c r="A64" s="39">
        <v>42234</v>
      </c>
      <c r="B64">
        <v>81.599999999999994</v>
      </c>
      <c r="C64">
        <v>81.66</v>
      </c>
      <c r="D64">
        <v>81.52</v>
      </c>
      <c r="E64">
        <v>81.55</v>
      </c>
      <c r="F64">
        <v>1083906</v>
      </c>
    </row>
    <row r="65" spans="1:6">
      <c r="A65" s="39">
        <v>42235</v>
      </c>
      <c r="B65">
        <v>81.47</v>
      </c>
      <c r="C65">
        <v>81.87</v>
      </c>
      <c r="D65">
        <v>81.42</v>
      </c>
      <c r="E65">
        <v>81.84</v>
      </c>
      <c r="F65">
        <v>1356579</v>
      </c>
    </row>
    <row r="66" spans="1:6">
      <c r="A66" s="39">
        <v>42236</v>
      </c>
      <c r="B66">
        <v>81.87</v>
      </c>
      <c r="C66">
        <v>81.97</v>
      </c>
      <c r="D66">
        <v>81.84</v>
      </c>
      <c r="E66">
        <v>81.91</v>
      </c>
      <c r="F66">
        <v>1536746</v>
      </c>
    </row>
    <row r="67" spans="1:6">
      <c r="A67" s="39">
        <v>42237</v>
      </c>
      <c r="B67">
        <v>81.97</v>
      </c>
      <c r="C67">
        <v>82.09</v>
      </c>
      <c r="D67">
        <v>81.87</v>
      </c>
      <c r="E67">
        <v>82.04</v>
      </c>
      <c r="F67">
        <v>3459172</v>
      </c>
    </row>
    <row r="68" spans="1:6">
      <c r="A68" s="39">
        <v>42240</v>
      </c>
      <c r="B68">
        <v>82.3</v>
      </c>
      <c r="C68">
        <v>82.43</v>
      </c>
      <c r="D68">
        <v>82.13</v>
      </c>
      <c r="E68">
        <v>82.02</v>
      </c>
      <c r="F68">
        <v>4751764</v>
      </c>
    </row>
    <row r="69" spans="1:6">
      <c r="A69" s="39">
        <v>42241</v>
      </c>
      <c r="B69">
        <v>81.92</v>
      </c>
      <c r="C69">
        <v>81.92</v>
      </c>
      <c r="D69">
        <v>81.599999999999994</v>
      </c>
      <c r="E69">
        <v>81.75</v>
      </c>
      <c r="F69">
        <v>5325145</v>
      </c>
    </row>
    <row r="70" spans="1:6">
      <c r="A70" s="39">
        <v>42242</v>
      </c>
      <c r="B70">
        <v>81.540000000000006</v>
      </c>
      <c r="C70">
        <v>81.739999999999995</v>
      </c>
      <c r="D70">
        <v>81.349999999999994</v>
      </c>
      <c r="E70">
        <v>81.400000000000006</v>
      </c>
      <c r="F70">
        <v>2742517</v>
      </c>
    </row>
    <row r="71" spans="1:6">
      <c r="A71" s="39">
        <v>42243</v>
      </c>
      <c r="B71">
        <v>81.37</v>
      </c>
      <c r="C71">
        <v>81.62</v>
      </c>
      <c r="D71">
        <v>81.349999999999994</v>
      </c>
      <c r="E71">
        <v>81.510000000000005</v>
      </c>
      <c r="F71">
        <v>2671020</v>
      </c>
    </row>
    <row r="72" spans="1:6">
      <c r="A72" s="39">
        <v>42244</v>
      </c>
      <c r="B72">
        <v>81.69</v>
      </c>
      <c r="C72">
        <v>81.739999999999995</v>
      </c>
      <c r="D72">
        <v>81.510000000000005</v>
      </c>
      <c r="E72">
        <v>81.55</v>
      </c>
      <c r="F72">
        <v>2723859</v>
      </c>
    </row>
    <row r="73" spans="1:6">
      <c r="A73" s="39">
        <v>42247</v>
      </c>
      <c r="B73">
        <v>81.680000000000007</v>
      </c>
      <c r="C73">
        <v>81.7</v>
      </c>
      <c r="D73">
        <v>81.430000000000007</v>
      </c>
      <c r="E73">
        <v>81.44</v>
      </c>
      <c r="F73">
        <v>3103188</v>
      </c>
    </row>
    <row r="74" spans="1:6">
      <c r="A74" s="39">
        <v>42248</v>
      </c>
      <c r="B74">
        <v>81.39</v>
      </c>
      <c r="C74">
        <v>81.540000000000006</v>
      </c>
      <c r="D74">
        <v>81.34</v>
      </c>
      <c r="E74">
        <v>81.47</v>
      </c>
      <c r="F74">
        <v>2577706</v>
      </c>
    </row>
    <row r="75" spans="1:6">
      <c r="A75" s="39">
        <v>42249</v>
      </c>
      <c r="B75">
        <v>81.39</v>
      </c>
      <c r="C75">
        <v>81.5</v>
      </c>
      <c r="D75">
        <v>81.33</v>
      </c>
      <c r="E75">
        <v>81.41</v>
      </c>
      <c r="F75">
        <v>1934683</v>
      </c>
    </row>
    <row r="76" spans="1:6">
      <c r="A76" s="39">
        <v>42250</v>
      </c>
      <c r="B76">
        <v>81.52</v>
      </c>
      <c r="C76">
        <v>81.569999999999993</v>
      </c>
      <c r="D76">
        <v>81.400000000000006</v>
      </c>
      <c r="E76">
        <v>81.47</v>
      </c>
      <c r="F76">
        <v>2490832</v>
      </c>
    </row>
    <row r="77" spans="1:6">
      <c r="A77" s="39">
        <v>42251</v>
      </c>
      <c r="B77">
        <v>81.61</v>
      </c>
      <c r="C77">
        <v>81.7</v>
      </c>
      <c r="D77">
        <v>81.48</v>
      </c>
      <c r="E77">
        <v>81.67</v>
      </c>
      <c r="F77">
        <v>1213802</v>
      </c>
    </row>
    <row r="78" spans="1:6">
      <c r="A78" s="39">
        <v>42255</v>
      </c>
      <c r="B78">
        <v>81.52</v>
      </c>
      <c r="C78">
        <v>81.52</v>
      </c>
      <c r="D78">
        <v>81.41</v>
      </c>
      <c r="E78">
        <v>81.47</v>
      </c>
      <c r="F78">
        <v>1194646</v>
      </c>
    </row>
    <row r="79" spans="1:6">
      <c r="A79" s="39">
        <v>42256</v>
      </c>
      <c r="B79">
        <v>81.22</v>
      </c>
      <c r="C79">
        <v>81.569999999999993</v>
      </c>
      <c r="D79">
        <v>81.2</v>
      </c>
      <c r="E79">
        <v>81.45</v>
      </c>
      <c r="F79">
        <v>4265412</v>
      </c>
    </row>
    <row r="80" spans="1:6">
      <c r="A80" s="39">
        <v>42257</v>
      </c>
      <c r="B80">
        <v>81.430000000000007</v>
      </c>
      <c r="C80">
        <v>81.430000000000007</v>
      </c>
      <c r="D80">
        <v>81.28</v>
      </c>
      <c r="E80">
        <v>81.28</v>
      </c>
      <c r="F80">
        <v>1889031</v>
      </c>
    </row>
    <row r="81" spans="1:6">
      <c r="A81" s="39">
        <v>42258</v>
      </c>
      <c r="B81">
        <v>81.489999999999995</v>
      </c>
      <c r="C81">
        <v>81.53</v>
      </c>
      <c r="D81">
        <v>81.42</v>
      </c>
      <c r="E81">
        <v>81.45</v>
      </c>
      <c r="F81">
        <v>1411467</v>
      </c>
    </row>
    <row r="82" spans="1:6">
      <c r="A82" s="39">
        <v>42261</v>
      </c>
      <c r="B82">
        <v>81.55</v>
      </c>
      <c r="C82">
        <v>81.56</v>
      </c>
      <c r="D82">
        <v>81.44</v>
      </c>
      <c r="E82">
        <v>81.47</v>
      </c>
      <c r="F82">
        <v>905896</v>
      </c>
    </row>
    <row r="83" spans="1:6">
      <c r="A83" s="39">
        <v>42262</v>
      </c>
      <c r="B83">
        <v>81.39</v>
      </c>
      <c r="C83">
        <v>81.400000000000006</v>
      </c>
      <c r="D83">
        <v>81.06</v>
      </c>
      <c r="E83">
        <v>81.13</v>
      </c>
      <c r="F83">
        <v>1697254</v>
      </c>
    </row>
    <row r="84" spans="1:6">
      <c r="A84" s="39">
        <v>42263</v>
      </c>
      <c r="B84">
        <v>81.069999999999993</v>
      </c>
      <c r="C84">
        <v>81.14</v>
      </c>
      <c r="D84">
        <v>81</v>
      </c>
      <c r="E84">
        <v>81.08</v>
      </c>
      <c r="F84">
        <v>1578897</v>
      </c>
    </row>
    <row r="85" spans="1:6">
      <c r="A85" s="39">
        <v>42264</v>
      </c>
      <c r="B85">
        <v>81.040000000000006</v>
      </c>
      <c r="C85">
        <v>81.540000000000006</v>
      </c>
      <c r="D85">
        <v>81.02</v>
      </c>
      <c r="E85">
        <v>81.540000000000006</v>
      </c>
      <c r="F85">
        <v>1833183</v>
      </c>
    </row>
    <row r="86" spans="1:6">
      <c r="A86" s="39">
        <v>42265</v>
      </c>
      <c r="B86">
        <v>81.63</v>
      </c>
      <c r="C86">
        <v>81.78</v>
      </c>
      <c r="D86">
        <v>81.59</v>
      </c>
      <c r="E86">
        <v>81.77</v>
      </c>
      <c r="F86">
        <v>1639495</v>
      </c>
    </row>
    <row r="87" spans="1:6">
      <c r="A87" s="39">
        <v>42268</v>
      </c>
      <c r="B87">
        <v>81.62</v>
      </c>
      <c r="C87">
        <v>81.67</v>
      </c>
      <c r="D87">
        <v>81.41</v>
      </c>
      <c r="E87">
        <v>81.47</v>
      </c>
      <c r="F87">
        <v>933734</v>
      </c>
    </row>
    <row r="88" spans="1:6">
      <c r="A88" s="39">
        <v>42269</v>
      </c>
      <c r="B88">
        <v>81.599999999999994</v>
      </c>
      <c r="C88">
        <v>81.78</v>
      </c>
      <c r="D88">
        <v>81.58</v>
      </c>
      <c r="E88">
        <v>81.62</v>
      </c>
      <c r="F88">
        <v>1444042</v>
      </c>
    </row>
    <row r="89" spans="1:6">
      <c r="A89" s="39">
        <v>42270</v>
      </c>
      <c r="B89">
        <v>81.66</v>
      </c>
      <c r="C89">
        <v>81.7</v>
      </c>
      <c r="D89">
        <v>81.55</v>
      </c>
      <c r="E89">
        <v>81.62</v>
      </c>
      <c r="F89">
        <v>708980</v>
      </c>
    </row>
    <row r="90" spans="1:6">
      <c r="A90" s="39">
        <v>42271</v>
      </c>
      <c r="B90">
        <v>81.84</v>
      </c>
      <c r="C90">
        <v>81.86</v>
      </c>
      <c r="D90">
        <v>81.63</v>
      </c>
      <c r="E90">
        <v>81.650000000000006</v>
      </c>
      <c r="F90">
        <v>1454282</v>
      </c>
    </row>
    <row r="91" spans="1:6">
      <c r="A91" s="39">
        <v>42272</v>
      </c>
      <c r="B91">
        <v>81.599999999999994</v>
      </c>
      <c r="C91">
        <v>81.63</v>
      </c>
      <c r="D91">
        <v>81.5</v>
      </c>
      <c r="E91">
        <v>81.5</v>
      </c>
      <c r="F91">
        <v>1133970</v>
      </c>
    </row>
    <row r="92" spans="1:6">
      <c r="A92" s="39">
        <v>42275</v>
      </c>
      <c r="B92">
        <v>81.63</v>
      </c>
      <c r="C92">
        <v>81.760000000000005</v>
      </c>
      <c r="D92">
        <v>81.540000000000006</v>
      </c>
      <c r="E92">
        <v>81.709999999999994</v>
      </c>
      <c r="F92">
        <v>1304973</v>
      </c>
    </row>
    <row r="93" spans="1:6">
      <c r="A93" s="39">
        <v>42276</v>
      </c>
      <c r="B93">
        <v>81.72</v>
      </c>
      <c r="C93">
        <v>81.88</v>
      </c>
      <c r="D93">
        <v>81.7</v>
      </c>
      <c r="E93">
        <v>81.77</v>
      </c>
      <c r="F93">
        <v>1256182</v>
      </c>
    </row>
    <row r="94" spans="1:6">
      <c r="A94" s="39">
        <v>42277</v>
      </c>
      <c r="B94">
        <v>81.790000000000006</v>
      </c>
      <c r="C94">
        <v>81.94</v>
      </c>
      <c r="D94">
        <v>81.75</v>
      </c>
      <c r="E94">
        <v>81.93</v>
      </c>
      <c r="F94">
        <v>4431983</v>
      </c>
    </row>
    <row r="95" spans="1:6">
      <c r="A95" s="39">
        <v>42278</v>
      </c>
      <c r="B95">
        <v>81.89</v>
      </c>
      <c r="C95">
        <v>81.96</v>
      </c>
      <c r="D95">
        <v>81.8</v>
      </c>
      <c r="E95">
        <v>81.81</v>
      </c>
      <c r="F95">
        <v>2023674</v>
      </c>
    </row>
    <row r="96" spans="1:6">
      <c r="A96" s="39">
        <v>42279</v>
      </c>
      <c r="B96">
        <v>82.17</v>
      </c>
      <c r="C96">
        <v>82.34</v>
      </c>
      <c r="D96">
        <v>82</v>
      </c>
      <c r="E96">
        <v>82.12</v>
      </c>
      <c r="F96">
        <v>1770429</v>
      </c>
    </row>
    <row r="97" spans="1:6">
      <c r="A97" s="39">
        <v>42282</v>
      </c>
      <c r="B97">
        <v>82.02</v>
      </c>
      <c r="C97">
        <v>82.02</v>
      </c>
      <c r="D97">
        <v>81.8</v>
      </c>
      <c r="E97">
        <v>81.8</v>
      </c>
      <c r="F97">
        <v>4199859</v>
      </c>
    </row>
    <row r="98" spans="1:6">
      <c r="A98" s="39">
        <v>42283</v>
      </c>
      <c r="B98">
        <v>81.900000000000006</v>
      </c>
      <c r="C98">
        <v>81.99</v>
      </c>
      <c r="D98">
        <v>81.8</v>
      </c>
      <c r="E98">
        <v>81.91</v>
      </c>
      <c r="F98">
        <v>1925337</v>
      </c>
    </row>
    <row r="99" spans="1:6">
      <c r="A99" s="39">
        <v>42284</v>
      </c>
      <c r="B99">
        <v>81.87</v>
      </c>
      <c r="C99">
        <v>81.97</v>
      </c>
      <c r="D99">
        <v>81.8</v>
      </c>
      <c r="E99">
        <v>81.91</v>
      </c>
      <c r="F99">
        <v>1870977</v>
      </c>
    </row>
    <row r="100" spans="1:6">
      <c r="A100" s="39">
        <v>42285</v>
      </c>
      <c r="B100">
        <v>81.92</v>
      </c>
      <c r="C100">
        <v>81.96</v>
      </c>
      <c r="D100">
        <v>81.739999999999995</v>
      </c>
      <c r="E100">
        <v>81.78</v>
      </c>
      <c r="F100">
        <v>1118149</v>
      </c>
    </row>
    <row r="101" spans="1:6">
      <c r="A101" s="39">
        <v>42286</v>
      </c>
      <c r="B101">
        <v>81.680000000000007</v>
      </c>
      <c r="C101">
        <v>81.84</v>
      </c>
      <c r="D101">
        <v>81.680000000000007</v>
      </c>
      <c r="E101">
        <v>81.77</v>
      </c>
      <c r="F101">
        <v>1197445</v>
      </c>
    </row>
    <row r="102" spans="1:6">
      <c r="A102" s="39">
        <v>42289</v>
      </c>
      <c r="B102">
        <v>81.84</v>
      </c>
      <c r="C102">
        <v>81.97</v>
      </c>
      <c r="D102">
        <v>81.8</v>
      </c>
      <c r="E102">
        <v>81.91</v>
      </c>
      <c r="F102">
        <v>864090</v>
      </c>
    </row>
    <row r="103" spans="1:6">
      <c r="A103" s="39">
        <v>42290</v>
      </c>
      <c r="B103">
        <v>81.94</v>
      </c>
      <c r="C103">
        <v>82</v>
      </c>
      <c r="D103">
        <v>81.86</v>
      </c>
      <c r="E103">
        <v>81.96</v>
      </c>
      <c r="F103">
        <v>971743</v>
      </c>
    </row>
    <row r="104" spans="1:6">
      <c r="A104" s="39">
        <v>42291</v>
      </c>
      <c r="B104">
        <v>82.08</v>
      </c>
      <c r="C104">
        <v>82.26</v>
      </c>
      <c r="D104">
        <v>82.04</v>
      </c>
      <c r="E104">
        <v>82.26</v>
      </c>
      <c r="F104">
        <v>786259</v>
      </c>
    </row>
    <row r="105" spans="1:6">
      <c r="A105" s="39">
        <v>42292</v>
      </c>
      <c r="B105">
        <v>82.15</v>
      </c>
      <c r="C105">
        <v>82.22</v>
      </c>
      <c r="D105">
        <v>82.06</v>
      </c>
      <c r="E105">
        <v>82.1</v>
      </c>
      <c r="F105">
        <v>2264342</v>
      </c>
    </row>
    <row r="106" spans="1:6">
      <c r="A106" s="39">
        <v>42293</v>
      </c>
      <c r="B106">
        <v>82.06</v>
      </c>
      <c r="C106">
        <v>82.15</v>
      </c>
      <c r="D106">
        <v>82.04</v>
      </c>
      <c r="E106">
        <v>82.07</v>
      </c>
      <c r="F106">
        <v>1241326</v>
      </c>
    </row>
    <row r="107" spans="1:6">
      <c r="A107" s="39">
        <v>42296</v>
      </c>
      <c r="B107">
        <v>82.08</v>
      </c>
      <c r="C107">
        <v>82.12</v>
      </c>
      <c r="D107">
        <v>81.98</v>
      </c>
      <c r="E107">
        <v>82.07</v>
      </c>
      <c r="F107">
        <v>840064</v>
      </c>
    </row>
    <row r="108" spans="1:6">
      <c r="A108" s="39">
        <v>42297</v>
      </c>
      <c r="B108">
        <v>81.94</v>
      </c>
      <c r="C108">
        <v>81.98</v>
      </c>
      <c r="D108">
        <v>81.900000000000006</v>
      </c>
      <c r="E108">
        <v>81.94</v>
      </c>
      <c r="F108">
        <v>1348214</v>
      </c>
    </row>
    <row r="109" spans="1:6">
      <c r="A109" s="39">
        <v>42298</v>
      </c>
      <c r="B109">
        <v>82.09</v>
      </c>
      <c r="C109">
        <v>82.18</v>
      </c>
      <c r="D109">
        <v>82.03</v>
      </c>
      <c r="E109">
        <v>82.09</v>
      </c>
      <c r="F109">
        <v>943545</v>
      </c>
    </row>
    <row r="110" spans="1:6">
      <c r="A110" s="39">
        <v>42299</v>
      </c>
      <c r="B110">
        <v>82.09</v>
      </c>
      <c r="C110">
        <v>82.29</v>
      </c>
      <c r="D110">
        <v>82.09</v>
      </c>
      <c r="E110">
        <v>82.23</v>
      </c>
      <c r="F110">
        <v>1100952</v>
      </c>
    </row>
    <row r="111" spans="1:6">
      <c r="A111" s="39">
        <v>42300</v>
      </c>
      <c r="B111">
        <v>82.08</v>
      </c>
      <c r="C111">
        <v>82.08</v>
      </c>
      <c r="D111">
        <v>82</v>
      </c>
      <c r="E111">
        <v>82.02</v>
      </c>
      <c r="F111">
        <v>1367148</v>
      </c>
    </row>
    <row r="112" spans="1:6">
      <c r="A112" s="39">
        <v>42303</v>
      </c>
      <c r="B112">
        <v>82.14</v>
      </c>
      <c r="C112">
        <v>82.2</v>
      </c>
      <c r="D112">
        <v>82.11</v>
      </c>
      <c r="E112">
        <v>82.11</v>
      </c>
      <c r="F112">
        <v>1512205</v>
      </c>
    </row>
    <row r="113" spans="1:6">
      <c r="A113" s="39">
        <v>42304</v>
      </c>
      <c r="B113">
        <v>82.26</v>
      </c>
      <c r="C113">
        <v>82.28</v>
      </c>
      <c r="D113">
        <v>82.13</v>
      </c>
      <c r="E113">
        <v>82.13</v>
      </c>
      <c r="F113">
        <v>922880</v>
      </c>
    </row>
    <row r="114" spans="1:6">
      <c r="A114" s="39">
        <v>42305</v>
      </c>
      <c r="B114">
        <v>82.18</v>
      </c>
      <c r="C114">
        <v>82.18</v>
      </c>
      <c r="D114">
        <v>81.89</v>
      </c>
      <c r="E114">
        <v>81.900000000000006</v>
      </c>
      <c r="F114">
        <v>2617340</v>
      </c>
    </row>
    <row r="115" spans="1:6">
      <c r="A115" s="39">
        <v>42306</v>
      </c>
      <c r="B115">
        <v>81.8</v>
      </c>
      <c r="C115">
        <v>81.8</v>
      </c>
      <c r="D115">
        <v>81.569999999999993</v>
      </c>
      <c r="E115">
        <v>81.61</v>
      </c>
      <c r="F115">
        <v>943060</v>
      </c>
    </row>
    <row r="116" spans="1:6">
      <c r="A116" s="39">
        <v>42307</v>
      </c>
      <c r="B116">
        <v>81.61</v>
      </c>
      <c r="C116">
        <v>81.790000000000006</v>
      </c>
      <c r="D116">
        <v>81.59</v>
      </c>
      <c r="E116">
        <v>81.790000000000006</v>
      </c>
      <c r="F116">
        <v>1473678</v>
      </c>
    </row>
    <row r="117" spans="1:6">
      <c r="A117" s="39">
        <v>42310</v>
      </c>
      <c r="B117">
        <v>81.44</v>
      </c>
      <c r="C117">
        <v>81.540000000000006</v>
      </c>
      <c r="D117">
        <v>81.41</v>
      </c>
      <c r="E117">
        <v>81.459999999999994</v>
      </c>
      <c r="F117">
        <v>2939233</v>
      </c>
    </row>
    <row r="118" spans="1:6">
      <c r="A118" s="39">
        <v>42311</v>
      </c>
      <c r="B118">
        <v>81.400000000000006</v>
      </c>
      <c r="C118">
        <v>81.44</v>
      </c>
      <c r="D118">
        <v>81.260000000000005</v>
      </c>
      <c r="E118">
        <v>81.319999999999993</v>
      </c>
      <c r="F118">
        <v>3997137</v>
      </c>
    </row>
    <row r="119" spans="1:6">
      <c r="A119" s="39">
        <v>42312</v>
      </c>
      <c r="B119">
        <v>81.39</v>
      </c>
      <c r="C119">
        <v>81.44</v>
      </c>
      <c r="D119">
        <v>81.23</v>
      </c>
      <c r="E119">
        <v>81.37</v>
      </c>
      <c r="F119">
        <v>3594403</v>
      </c>
    </row>
    <row r="120" spans="1:6">
      <c r="A120" s="39">
        <v>42313</v>
      </c>
      <c r="B120">
        <v>81.349999999999994</v>
      </c>
      <c r="C120">
        <v>81.37</v>
      </c>
      <c r="D120">
        <v>81.11</v>
      </c>
      <c r="E120">
        <v>81.22</v>
      </c>
      <c r="F120">
        <v>1715388</v>
      </c>
    </row>
    <row r="121" spans="1:6">
      <c r="A121" s="39">
        <v>42314</v>
      </c>
      <c r="B121">
        <v>80.98</v>
      </c>
      <c r="C121">
        <v>81.02</v>
      </c>
      <c r="D121">
        <v>80.83</v>
      </c>
      <c r="E121">
        <v>80.900000000000006</v>
      </c>
      <c r="F121">
        <v>1198654</v>
      </c>
    </row>
    <row r="122" spans="1:6">
      <c r="A122" s="39">
        <v>42317</v>
      </c>
      <c r="B122">
        <v>80.77</v>
      </c>
      <c r="C122">
        <v>80.930000000000007</v>
      </c>
      <c r="D122">
        <v>80.75</v>
      </c>
      <c r="E122">
        <v>80.83</v>
      </c>
      <c r="F122">
        <v>2358244</v>
      </c>
    </row>
    <row r="123" spans="1:6">
      <c r="A123" s="39">
        <v>42318</v>
      </c>
      <c r="B123">
        <v>80.930000000000007</v>
      </c>
      <c r="C123">
        <v>81.040000000000006</v>
      </c>
      <c r="D123">
        <v>80.84</v>
      </c>
      <c r="E123">
        <v>80.92</v>
      </c>
      <c r="F123">
        <v>1421015</v>
      </c>
    </row>
    <row r="124" spans="1:6">
      <c r="A124" s="39">
        <v>42319</v>
      </c>
      <c r="B124">
        <v>80.930000000000007</v>
      </c>
      <c r="C124">
        <v>80.97</v>
      </c>
      <c r="D124">
        <v>80.87</v>
      </c>
      <c r="E124">
        <v>80.930000000000007</v>
      </c>
      <c r="F124">
        <v>1303455</v>
      </c>
    </row>
    <row r="125" spans="1:6">
      <c r="A125" s="39">
        <v>42320</v>
      </c>
      <c r="B125">
        <v>81.040000000000006</v>
      </c>
      <c r="C125">
        <v>81.06</v>
      </c>
      <c r="D125">
        <v>80.94</v>
      </c>
      <c r="E125">
        <v>80.94</v>
      </c>
      <c r="F125">
        <v>1263972</v>
      </c>
    </row>
    <row r="126" spans="1:6">
      <c r="A126" s="39">
        <v>42321</v>
      </c>
      <c r="B126">
        <v>81.010000000000005</v>
      </c>
      <c r="C126">
        <v>81.12</v>
      </c>
      <c r="D126">
        <v>81.010000000000005</v>
      </c>
      <c r="E126">
        <v>81.09</v>
      </c>
      <c r="F126">
        <v>1583233</v>
      </c>
    </row>
    <row r="127" spans="1:6">
      <c r="A127" s="39">
        <v>42324</v>
      </c>
      <c r="B127">
        <v>81.12</v>
      </c>
      <c r="C127">
        <v>81.2</v>
      </c>
      <c r="D127">
        <v>81.05</v>
      </c>
      <c r="E127">
        <v>81.09</v>
      </c>
      <c r="F127">
        <v>949133</v>
      </c>
    </row>
    <row r="128" spans="1:6">
      <c r="A128" s="39">
        <v>42325</v>
      </c>
      <c r="B128">
        <v>81.03</v>
      </c>
      <c r="C128">
        <v>81.239999999999995</v>
      </c>
      <c r="D128">
        <v>80.959999999999994</v>
      </c>
      <c r="E128">
        <v>81.180000000000007</v>
      </c>
      <c r="F128">
        <v>1155931</v>
      </c>
    </row>
    <row r="129" spans="1:6">
      <c r="A129" s="39">
        <v>42326</v>
      </c>
      <c r="B129">
        <v>81.13</v>
      </c>
      <c r="C129">
        <v>81.19</v>
      </c>
      <c r="D129">
        <v>81.069999999999993</v>
      </c>
      <c r="E129">
        <v>81.14</v>
      </c>
      <c r="F129">
        <v>944059</v>
      </c>
    </row>
    <row r="130" spans="1:6">
      <c r="A130" s="39">
        <v>42327</v>
      </c>
      <c r="B130">
        <v>81.28</v>
      </c>
      <c r="C130">
        <v>81.3</v>
      </c>
      <c r="D130">
        <v>81.23</v>
      </c>
      <c r="E130">
        <v>81.25</v>
      </c>
      <c r="F130">
        <v>1085505</v>
      </c>
    </row>
    <row r="131" spans="1:6">
      <c r="A131" s="39">
        <v>42328</v>
      </c>
      <c r="B131">
        <v>81.319999999999993</v>
      </c>
      <c r="C131">
        <v>81.319999999999993</v>
      </c>
      <c r="D131">
        <v>81.2</v>
      </c>
      <c r="E131">
        <v>81.23</v>
      </c>
      <c r="F131">
        <v>1273826</v>
      </c>
    </row>
    <row r="132" spans="1:6">
      <c r="A132" s="39">
        <v>42331</v>
      </c>
      <c r="B132">
        <v>81.209999999999994</v>
      </c>
      <c r="C132">
        <v>81.31</v>
      </c>
      <c r="D132">
        <v>81.150000000000006</v>
      </c>
      <c r="E132">
        <v>81.260000000000005</v>
      </c>
      <c r="F132">
        <v>1647311</v>
      </c>
    </row>
    <row r="133" spans="1:6">
      <c r="A133" s="39">
        <v>42332</v>
      </c>
      <c r="B133">
        <v>81.290000000000006</v>
      </c>
      <c r="C133">
        <v>81.349999999999994</v>
      </c>
      <c r="D133">
        <v>81.25</v>
      </c>
      <c r="E133">
        <v>81.290000000000006</v>
      </c>
      <c r="F133">
        <v>1361902</v>
      </c>
    </row>
    <row r="134" spans="1:6">
      <c r="A134" s="39">
        <v>42333</v>
      </c>
      <c r="B134">
        <v>81.33</v>
      </c>
      <c r="C134">
        <v>81.36</v>
      </c>
      <c r="D134">
        <v>81.27</v>
      </c>
      <c r="E134">
        <v>81.3</v>
      </c>
      <c r="F134">
        <v>904601</v>
      </c>
    </row>
    <row r="135" spans="1:6">
      <c r="A135" s="39">
        <v>42335</v>
      </c>
      <c r="B135">
        <v>81.37</v>
      </c>
      <c r="C135">
        <v>81.39</v>
      </c>
      <c r="D135">
        <v>81.31</v>
      </c>
      <c r="E135">
        <v>81.34</v>
      </c>
      <c r="F135">
        <v>515956</v>
      </c>
    </row>
    <row r="136" spans="1:6">
      <c r="A136" s="39">
        <v>42338</v>
      </c>
      <c r="B136">
        <v>81.33</v>
      </c>
      <c r="C136">
        <v>81.38</v>
      </c>
      <c r="D136">
        <v>81.260000000000005</v>
      </c>
      <c r="E136">
        <v>81.3</v>
      </c>
      <c r="F136">
        <v>6285194</v>
      </c>
    </row>
    <row r="137" spans="1:6">
      <c r="A137" s="39">
        <v>42339</v>
      </c>
      <c r="B137">
        <v>81.17</v>
      </c>
      <c r="C137">
        <v>81.45</v>
      </c>
      <c r="D137">
        <v>81.14</v>
      </c>
      <c r="E137">
        <v>81.44</v>
      </c>
      <c r="F137">
        <v>1780195</v>
      </c>
    </row>
    <row r="138" spans="1:6">
      <c r="A138" s="39">
        <v>42340</v>
      </c>
      <c r="B138">
        <v>81.400000000000006</v>
      </c>
      <c r="C138">
        <v>81.41</v>
      </c>
      <c r="D138">
        <v>81.28</v>
      </c>
      <c r="E138">
        <v>81.34</v>
      </c>
      <c r="F138">
        <v>1413685</v>
      </c>
    </row>
    <row r="139" spans="1:6">
      <c r="A139" s="39">
        <v>42341</v>
      </c>
      <c r="B139">
        <v>81.150000000000006</v>
      </c>
      <c r="C139">
        <v>81.150000000000006</v>
      </c>
      <c r="D139">
        <v>80.680000000000007</v>
      </c>
      <c r="E139">
        <v>80.709999999999994</v>
      </c>
      <c r="F139">
        <v>2510609</v>
      </c>
    </row>
    <row r="140" spans="1:6">
      <c r="A140" s="39">
        <v>42342</v>
      </c>
      <c r="B140">
        <v>80.87</v>
      </c>
      <c r="C140">
        <v>81.040000000000006</v>
      </c>
      <c r="D140">
        <v>80.790000000000006</v>
      </c>
      <c r="E140">
        <v>81.03</v>
      </c>
      <c r="F140">
        <v>3815924</v>
      </c>
    </row>
    <row r="141" spans="1:6">
      <c r="A141" s="39">
        <v>42345</v>
      </c>
      <c r="B141">
        <v>81.06</v>
      </c>
      <c r="C141">
        <v>81.290000000000006</v>
      </c>
      <c r="D141">
        <v>81.040000000000006</v>
      </c>
      <c r="E141">
        <v>81.17</v>
      </c>
      <c r="F141">
        <v>1543294</v>
      </c>
    </row>
    <row r="142" spans="1:6">
      <c r="A142" s="39">
        <v>42346</v>
      </c>
      <c r="B142">
        <v>81.25</v>
      </c>
      <c r="C142">
        <v>81.27</v>
      </c>
      <c r="D142">
        <v>81.11</v>
      </c>
      <c r="E142">
        <v>81.19</v>
      </c>
      <c r="F142">
        <v>1687308</v>
      </c>
    </row>
    <row r="143" spans="1:6">
      <c r="A143" s="39">
        <v>42347</v>
      </c>
      <c r="B143">
        <v>81.11</v>
      </c>
      <c r="C143">
        <v>81.260000000000005</v>
      </c>
      <c r="D143">
        <v>80.97</v>
      </c>
      <c r="E143">
        <v>81.16</v>
      </c>
      <c r="F143">
        <v>2076935</v>
      </c>
    </row>
    <row r="144" spans="1:6">
      <c r="A144" s="39">
        <v>42348</v>
      </c>
      <c r="B144">
        <v>81.22</v>
      </c>
      <c r="C144">
        <v>81.22</v>
      </c>
      <c r="D144">
        <v>81.13</v>
      </c>
      <c r="E144">
        <v>81.150000000000006</v>
      </c>
      <c r="F144">
        <v>2004401</v>
      </c>
    </row>
    <row r="145" spans="1:6">
      <c r="A145" s="39">
        <v>42349</v>
      </c>
      <c r="B145">
        <v>81.37</v>
      </c>
      <c r="C145">
        <v>81.42</v>
      </c>
      <c r="D145">
        <v>81.27</v>
      </c>
      <c r="E145">
        <v>81.37</v>
      </c>
      <c r="F145">
        <v>1994489</v>
      </c>
    </row>
    <row r="146" spans="1:6">
      <c r="A146" s="39">
        <v>42352</v>
      </c>
      <c r="B146">
        <v>81.2</v>
      </c>
      <c r="C146">
        <v>81.260000000000005</v>
      </c>
      <c r="D146">
        <v>80.98</v>
      </c>
      <c r="E146">
        <v>80.989999999999995</v>
      </c>
      <c r="F146">
        <v>2967739</v>
      </c>
    </row>
    <row r="147" spans="1:6">
      <c r="A147" s="39">
        <v>42353</v>
      </c>
      <c r="B147">
        <v>80.88</v>
      </c>
      <c r="C147">
        <v>80.959999999999994</v>
      </c>
      <c r="D147">
        <v>80.819999999999993</v>
      </c>
      <c r="E147">
        <v>80.900000000000006</v>
      </c>
      <c r="F147">
        <v>1806320</v>
      </c>
    </row>
    <row r="148" spans="1:6">
      <c r="A148" s="39">
        <v>42354</v>
      </c>
      <c r="B148">
        <v>80.87</v>
      </c>
      <c r="C148">
        <v>81</v>
      </c>
      <c r="D148">
        <v>80.69</v>
      </c>
      <c r="E148">
        <v>80.81</v>
      </c>
      <c r="F148">
        <v>2332674</v>
      </c>
    </row>
    <row r="149" spans="1:6">
      <c r="A149" s="39">
        <v>42355</v>
      </c>
      <c r="B149">
        <v>80.92</v>
      </c>
      <c r="C149">
        <v>81.02</v>
      </c>
      <c r="D149">
        <v>80.89</v>
      </c>
      <c r="E149">
        <v>80.98</v>
      </c>
      <c r="F149">
        <v>2290529</v>
      </c>
    </row>
    <row r="150" spans="1:6">
      <c r="A150" s="39">
        <v>42356</v>
      </c>
      <c r="B150">
        <v>81.09</v>
      </c>
      <c r="C150">
        <v>81.17</v>
      </c>
      <c r="D150">
        <v>81.02</v>
      </c>
      <c r="E150">
        <v>81.16</v>
      </c>
      <c r="F150">
        <v>3211537</v>
      </c>
    </row>
    <row r="151" spans="1:6">
      <c r="A151" s="39">
        <v>42359</v>
      </c>
      <c r="B151">
        <v>81.19</v>
      </c>
      <c r="C151">
        <v>81.23</v>
      </c>
      <c r="D151">
        <v>81.040000000000006</v>
      </c>
      <c r="E151">
        <v>81.069999999999993</v>
      </c>
      <c r="F151">
        <v>3158268</v>
      </c>
    </row>
    <row r="152" spans="1:6">
      <c r="A152" s="39">
        <v>42360</v>
      </c>
      <c r="B152">
        <v>81.03</v>
      </c>
      <c r="C152">
        <v>81.040000000000006</v>
      </c>
      <c r="D152">
        <v>80.94</v>
      </c>
      <c r="E152">
        <v>80.959999999999994</v>
      </c>
      <c r="F152">
        <v>2348555</v>
      </c>
    </row>
    <row r="153" spans="1:6">
      <c r="A153" s="39">
        <v>42361</v>
      </c>
      <c r="B153">
        <v>80.62</v>
      </c>
      <c r="C153">
        <v>80.739999999999995</v>
      </c>
      <c r="D153">
        <v>80.59</v>
      </c>
      <c r="E153">
        <v>80.739999999999995</v>
      </c>
      <c r="F153">
        <v>2538571</v>
      </c>
    </row>
    <row r="154" spans="1:6">
      <c r="A154" s="39">
        <v>42362</v>
      </c>
      <c r="B154">
        <v>80.75</v>
      </c>
      <c r="C154">
        <v>80.83</v>
      </c>
      <c r="D154">
        <v>80.7</v>
      </c>
      <c r="E154">
        <v>80.8</v>
      </c>
      <c r="F154">
        <v>1361676</v>
      </c>
    </row>
    <row r="155" spans="1:6">
      <c r="A155" s="39">
        <v>42366</v>
      </c>
      <c r="B155">
        <v>80.709999999999994</v>
      </c>
      <c r="C155">
        <v>80.88</v>
      </c>
      <c r="D155">
        <v>80.709999999999994</v>
      </c>
      <c r="E155">
        <v>80.8</v>
      </c>
      <c r="F155">
        <v>1580571</v>
      </c>
    </row>
    <row r="156" spans="1:6">
      <c r="A156" s="39">
        <v>42367</v>
      </c>
      <c r="B156">
        <v>80.73</v>
      </c>
      <c r="C156">
        <v>80.73</v>
      </c>
      <c r="D156">
        <v>80.510000000000005</v>
      </c>
      <c r="E156">
        <v>80.55</v>
      </c>
      <c r="F156">
        <v>2586645</v>
      </c>
    </row>
    <row r="157" spans="1:6">
      <c r="A157" s="39">
        <v>42368</v>
      </c>
      <c r="B157">
        <v>80.53</v>
      </c>
      <c r="C157">
        <v>80.650000000000006</v>
      </c>
      <c r="D157">
        <v>80.47</v>
      </c>
      <c r="E157">
        <v>80.599999999999994</v>
      </c>
      <c r="F157">
        <v>2367188</v>
      </c>
    </row>
    <row r="158" spans="1:6">
      <c r="A158" s="39">
        <v>42369</v>
      </c>
      <c r="B158">
        <v>80.73</v>
      </c>
      <c r="C158">
        <v>80.81</v>
      </c>
      <c r="D158">
        <v>80.64</v>
      </c>
      <c r="E158">
        <v>80.760000000000005</v>
      </c>
      <c r="F158">
        <v>2419717</v>
      </c>
    </row>
    <row r="159" spans="1:6">
      <c r="A159" s="39">
        <v>42373</v>
      </c>
      <c r="B159">
        <v>80.790000000000006</v>
      </c>
      <c r="C159">
        <v>80.930000000000007</v>
      </c>
      <c r="D159">
        <v>80.7</v>
      </c>
      <c r="E159">
        <v>80.72</v>
      </c>
      <c r="F159">
        <v>2750474</v>
      </c>
    </row>
    <row r="160" spans="1:6">
      <c r="A160" s="39">
        <v>42374</v>
      </c>
      <c r="B160">
        <v>80.760000000000005</v>
      </c>
      <c r="C160">
        <v>80.900000000000006</v>
      </c>
      <c r="D160">
        <v>80.7</v>
      </c>
      <c r="E160">
        <v>80.819999999999993</v>
      </c>
      <c r="F160">
        <v>1513577</v>
      </c>
    </row>
    <row r="161" spans="1:6">
      <c r="A161" s="39">
        <v>42375</v>
      </c>
      <c r="B161">
        <v>81.03</v>
      </c>
      <c r="C161">
        <v>81.180000000000007</v>
      </c>
      <c r="D161">
        <v>80.98</v>
      </c>
      <c r="E161">
        <v>81.180000000000007</v>
      </c>
      <c r="F161">
        <v>2391113</v>
      </c>
    </row>
    <row r="162" spans="1:6">
      <c r="A162" s="39">
        <v>42376</v>
      </c>
      <c r="B162">
        <v>81.12</v>
      </c>
      <c r="C162">
        <v>81.2</v>
      </c>
      <c r="D162">
        <v>80.97</v>
      </c>
      <c r="E162">
        <v>81.19</v>
      </c>
      <c r="F162">
        <v>2792851</v>
      </c>
    </row>
    <row r="163" spans="1:6">
      <c r="A163" s="39">
        <v>42377</v>
      </c>
      <c r="B163">
        <v>81.14</v>
      </c>
      <c r="C163">
        <v>81.319999999999993</v>
      </c>
      <c r="D163">
        <v>81.099999999999994</v>
      </c>
      <c r="E163">
        <v>81.290000000000006</v>
      </c>
      <c r="F163">
        <v>1405163</v>
      </c>
    </row>
    <row r="164" spans="1:6">
      <c r="A164" s="39">
        <v>42380</v>
      </c>
      <c r="B164">
        <v>81.11</v>
      </c>
      <c r="C164">
        <v>81.16</v>
      </c>
      <c r="D164">
        <v>80.95</v>
      </c>
      <c r="E164">
        <v>80.95</v>
      </c>
      <c r="F164">
        <v>2147099</v>
      </c>
    </row>
    <row r="165" spans="1:6">
      <c r="A165" s="39">
        <v>42381</v>
      </c>
      <c r="B165">
        <v>81.08</v>
      </c>
      <c r="C165">
        <v>81.33</v>
      </c>
      <c r="D165">
        <v>81</v>
      </c>
      <c r="E165">
        <v>81.16</v>
      </c>
      <c r="F165">
        <v>1645303</v>
      </c>
    </row>
    <row r="166" spans="1:6">
      <c r="A166" s="39">
        <v>42382</v>
      </c>
      <c r="B166">
        <v>81.2</v>
      </c>
      <c r="C166">
        <v>81.45</v>
      </c>
      <c r="D166">
        <v>81.16</v>
      </c>
      <c r="E166">
        <v>81.36</v>
      </c>
      <c r="F166">
        <v>2887790</v>
      </c>
    </row>
    <row r="167" spans="1:6">
      <c r="A167" s="39">
        <v>42383</v>
      </c>
      <c r="B167">
        <v>81.34</v>
      </c>
      <c r="C167">
        <v>81.47</v>
      </c>
      <c r="D167">
        <v>81.22</v>
      </c>
      <c r="E167">
        <v>81.260000000000005</v>
      </c>
      <c r="F167">
        <v>4545777</v>
      </c>
    </row>
    <row r="168" spans="1:6">
      <c r="A168" s="39">
        <v>42384</v>
      </c>
      <c r="B168">
        <v>81.5</v>
      </c>
      <c r="C168">
        <v>81.52</v>
      </c>
      <c r="D168">
        <v>81.36</v>
      </c>
      <c r="E168">
        <v>81.400000000000006</v>
      </c>
      <c r="F168">
        <v>1773875</v>
      </c>
    </row>
    <row r="169" spans="1:6">
      <c r="A169" s="39">
        <v>42388</v>
      </c>
      <c r="B169">
        <v>81.400000000000006</v>
      </c>
      <c r="C169">
        <v>81.400000000000006</v>
      </c>
      <c r="D169">
        <v>81.23</v>
      </c>
      <c r="E169">
        <v>81.3</v>
      </c>
      <c r="F169">
        <v>3856662</v>
      </c>
    </row>
    <row r="170" spans="1:6">
      <c r="A170" s="39">
        <v>42389</v>
      </c>
      <c r="B170">
        <v>81.53</v>
      </c>
      <c r="C170">
        <v>81.61</v>
      </c>
      <c r="D170">
        <v>81.3</v>
      </c>
      <c r="E170">
        <v>81.39</v>
      </c>
      <c r="F170">
        <v>7777908</v>
      </c>
    </row>
    <row r="171" spans="1:6">
      <c r="A171" s="39">
        <v>42390</v>
      </c>
      <c r="B171">
        <v>81.53</v>
      </c>
      <c r="C171">
        <v>81.56</v>
      </c>
      <c r="D171">
        <v>81.33</v>
      </c>
      <c r="E171">
        <v>81.34</v>
      </c>
      <c r="F171">
        <v>3062566</v>
      </c>
    </row>
    <row r="172" spans="1:6">
      <c r="A172" s="39">
        <v>42391</v>
      </c>
      <c r="B172">
        <v>81.319999999999993</v>
      </c>
      <c r="C172">
        <v>81.33</v>
      </c>
      <c r="D172">
        <v>81.2</v>
      </c>
      <c r="E172">
        <v>81.31</v>
      </c>
      <c r="F172">
        <v>3004117</v>
      </c>
    </row>
    <row r="173" spans="1:6">
      <c r="A173" s="39">
        <v>42394</v>
      </c>
      <c r="B173">
        <v>81.400000000000006</v>
      </c>
      <c r="C173">
        <v>81.42</v>
      </c>
      <c r="D173">
        <v>81.3</v>
      </c>
      <c r="E173">
        <v>81.31</v>
      </c>
      <c r="F173">
        <v>2164714</v>
      </c>
    </row>
    <row r="174" spans="1:6">
      <c r="A174" s="39">
        <v>42395</v>
      </c>
      <c r="B174">
        <v>81.41</v>
      </c>
      <c r="C174">
        <v>81.47</v>
      </c>
      <c r="D174">
        <v>81.319999999999993</v>
      </c>
      <c r="E174">
        <v>81.430000000000007</v>
      </c>
      <c r="F174">
        <v>2659114</v>
      </c>
    </row>
    <row r="175" spans="1:6">
      <c r="A175" s="39">
        <v>42396</v>
      </c>
      <c r="B175">
        <v>81.349999999999994</v>
      </c>
      <c r="C175">
        <v>81.5</v>
      </c>
      <c r="D175">
        <v>81.25</v>
      </c>
      <c r="E175">
        <v>81.430000000000007</v>
      </c>
      <c r="F175">
        <v>1734400</v>
      </c>
    </row>
    <row r="176" spans="1:6">
      <c r="A176" s="39">
        <v>42397</v>
      </c>
      <c r="B176">
        <v>81.41</v>
      </c>
      <c r="C176">
        <v>81.53</v>
      </c>
      <c r="D176">
        <v>81.37</v>
      </c>
      <c r="E176">
        <v>81.489999999999995</v>
      </c>
      <c r="F176">
        <v>1487555</v>
      </c>
    </row>
    <row r="177" spans="1:6">
      <c r="A177" s="39">
        <v>42398</v>
      </c>
      <c r="B177">
        <v>81.760000000000005</v>
      </c>
      <c r="C177">
        <v>81.8</v>
      </c>
      <c r="D177">
        <v>81.650000000000006</v>
      </c>
      <c r="E177">
        <v>81.73</v>
      </c>
      <c r="F177">
        <v>3634330</v>
      </c>
    </row>
    <row r="178" spans="1:6">
      <c r="A178" s="39">
        <v>42401</v>
      </c>
      <c r="B178">
        <v>81.52</v>
      </c>
      <c r="C178">
        <v>81.63</v>
      </c>
      <c r="D178">
        <v>81.34</v>
      </c>
      <c r="E178">
        <v>81.39</v>
      </c>
      <c r="F178">
        <v>2255310</v>
      </c>
    </row>
    <row r="179" spans="1:6">
      <c r="A179" s="39">
        <v>42402</v>
      </c>
      <c r="B179">
        <v>81.67</v>
      </c>
      <c r="C179">
        <v>81.72</v>
      </c>
      <c r="D179">
        <v>81.58</v>
      </c>
      <c r="E179">
        <v>81.67</v>
      </c>
      <c r="F179">
        <v>2552916</v>
      </c>
    </row>
    <row r="180" spans="1:6">
      <c r="A180" s="39">
        <v>42403</v>
      </c>
      <c r="B180">
        <v>81.66</v>
      </c>
      <c r="C180">
        <v>81.93</v>
      </c>
      <c r="D180">
        <v>81.56</v>
      </c>
      <c r="E180">
        <v>81.73</v>
      </c>
      <c r="F180">
        <v>3238116</v>
      </c>
    </row>
    <row r="181" spans="1:6">
      <c r="A181" s="39">
        <v>42404</v>
      </c>
      <c r="B181">
        <v>81.739999999999995</v>
      </c>
      <c r="C181">
        <v>81.86</v>
      </c>
      <c r="D181">
        <v>81.69</v>
      </c>
      <c r="E181">
        <v>81.790000000000006</v>
      </c>
      <c r="F181">
        <v>1179221</v>
      </c>
    </row>
    <row r="182" spans="1:6">
      <c r="A182" s="39">
        <v>42405</v>
      </c>
      <c r="B182">
        <v>81.7</v>
      </c>
      <c r="C182">
        <v>81.8</v>
      </c>
      <c r="D182">
        <v>81.599999999999994</v>
      </c>
      <c r="E182">
        <v>81.709999999999994</v>
      </c>
      <c r="F182">
        <v>2360189</v>
      </c>
    </row>
    <row r="183" spans="1:6">
      <c r="A183" s="39">
        <v>42408</v>
      </c>
      <c r="B183">
        <v>81.92</v>
      </c>
      <c r="C183">
        <v>82.14</v>
      </c>
      <c r="D183">
        <v>81.84</v>
      </c>
      <c r="E183">
        <v>82.06</v>
      </c>
      <c r="F183">
        <v>2516473</v>
      </c>
    </row>
    <row r="184" spans="1:6">
      <c r="A184" s="39">
        <v>42409</v>
      </c>
      <c r="B184">
        <v>82.21</v>
      </c>
      <c r="C184">
        <v>82.22</v>
      </c>
      <c r="D184">
        <v>81.97</v>
      </c>
      <c r="E184">
        <v>82.05</v>
      </c>
      <c r="F184">
        <v>2354548</v>
      </c>
    </row>
    <row r="185" spans="1:6">
      <c r="A185" s="39">
        <v>42410</v>
      </c>
      <c r="B185">
        <v>82.1</v>
      </c>
      <c r="C185">
        <v>82.23</v>
      </c>
      <c r="D185">
        <v>81.92</v>
      </c>
      <c r="E185">
        <v>82.22</v>
      </c>
      <c r="F185">
        <v>2553851</v>
      </c>
    </row>
    <row r="186" spans="1:6">
      <c r="A186" s="39">
        <v>42411</v>
      </c>
      <c r="B186">
        <v>82.5</v>
      </c>
      <c r="C186">
        <v>82.58</v>
      </c>
      <c r="D186">
        <v>82.22</v>
      </c>
      <c r="E186">
        <v>82.27</v>
      </c>
      <c r="F186">
        <v>1887598</v>
      </c>
    </row>
    <row r="187" spans="1:6">
      <c r="A187" s="39">
        <v>42412</v>
      </c>
      <c r="B187">
        <v>82.16</v>
      </c>
      <c r="C187">
        <v>82.2</v>
      </c>
      <c r="D187">
        <v>81.89</v>
      </c>
      <c r="E187">
        <v>82</v>
      </c>
      <c r="F187">
        <v>1474650</v>
      </c>
    </row>
    <row r="188" spans="1:6">
      <c r="A188" s="39">
        <v>42416</v>
      </c>
      <c r="B188">
        <v>81.89</v>
      </c>
      <c r="C188">
        <v>81.93</v>
      </c>
      <c r="D188">
        <v>81.8</v>
      </c>
      <c r="E188">
        <v>81.88</v>
      </c>
      <c r="F188">
        <v>1488799</v>
      </c>
    </row>
    <row r="189" spans="1:6">
      <c r="A189" s="39">
        <v>42417</v>
      </c>
      <c r="B189">
        <v>81.81</v>
      </c>
      <c r="C189">
        <v>81.88</v>
      </c>
      <c r="D189">
        <v>81.66</v>
      </c>
      <c r="E189">
        <v>81.86</v>
      </c>
      <c r="F189">
        <v>2158151</v>
      </c>
    </row>
    <row r="190" spans="1:6">
      <c r="A190" s="39">
        <v>42418</v>
      </c>
      <c r="B190">
        <v>81.86</v>
      </c>
      <c r="C190">
        <v>82.15</v>
      </c>
      <c r="D190">
        <v>81.86</v>
      </c>
      <c r="E190">
        <v>82.14</v>
      </c>
      <c r="F190">
        <v>1819213</v>
      </c>
    </row>
    <row r="191" spans="1:6">
      <c r="A191" s="39">
        <v>42419</v>
      </c>
      <c r="B191">
        <v>82.06</v>
      </c>
      <c r="C191">
        <v>82.15</v>
      </c>
      <c r="D191">
        <v>82</v>
      </c>
      <c r="E191">
        <v>82.03</v>
      </c>
      <c r="F191">
        <v>1862602</v>
      </c>
    </row>
    <row r="192" spans="1:6">
      <c r="A192" s="39">
        <v>42422</v>
      </c>
      <c r="B192">
        <v>82.05</v>
      </c>
      <c r="C192">
        <v>82.09</v>
      </c>
      <c r="D192">
        <v>81.97</v>
      </c>
      <c r="E192">
        <v>82.05</v>
      </c>
      <c r="F192">
        <v>1596898</v>
      </c>
    </row>
    <row r="193" spans="1:6">
      <c r="A193" s="39">
        <v>42423</v>
      </c>
      <c r="B193">
        <v>81.94</v>
      </c>
      <c r="C193">
        <v>82.23</v>
      </c>
      <c r="D193">
        <v>81.900000000000006</v>
      </c>
      <c r="E193">
        <v>82.1</v>
      </c>
      <c r="F193">
        <v>2243671</v>
      </c>
    </row>
    <row r="194" spans="1:6">
      <c r="A194" s="39">
        <v>42424</v>
      </c>
      <c r="B194">
        <v>82.24</v>
      </c>
      <c r="C194">
        <v>82.49</v>
      </c>
      <c r="D194">
        <v>82.11</v>
      </c>
      <c r="E194">
        <v>82.16</v>
      </c>
      <c r="F194">
        <v>2434276</v>
      </c>
    </row>
    <row r="195" spans="1:6">
      <c r="A195" s="39">
        <v>42425</v>
      </c>
      <c r="B195">
        <v>82.24</v>
      </c>
      <c r="C195">
        <v>82.39</v>
      </c>
      <c r="D195">
        <v>82.23</v>
      </c>
      <c r="E195">
        <v>82.28</v>
      </c>
      <c r="F195">
        <v>2407556</v>
      </c>
    </row>
    <row r="196" spans="1:6">
      <c r="A196" s="39">
        <v>42426</v>
      </c>
      <c r="B196">
        <v>82.12</v>
      </c>
      <c r="C196">
        <v>82.21</v>
      </c>
      <c r="D196">
        <v>82.03</v>
      </c>
      <c r="E196">
        <v>82.2</v>
      </c>
      <c r="F196">
        <v>1628369</v>
      </c>
    </row>
    <row r="197" spans="1:6">
      <c r="A197" s="39">
        <v>42429</v>
      </c>
      <c r="B197">
        <v>82.13</v>
      </c>
      <c r="C197">
        <v>82.32</v>
      </c>
      <c r="D197">
        <v>82.13</v>
      </c>
      <c r="E197">
        <v>82.25</v>
      </c>
      <c r="F197">
        <v>1827791</v>
      </c>
    </row>
    <row r="198" spans="1:6">
      <c r="A198" s="39">
        <v>42430</v>
      </c>
      <c r="B198">
        <v>82.17</v>
      </c>
      <c r="C198">
        <v>82.17</v>
      </c>
      <c r="D198">
        <v>81.73</v>
      </c>
      <c r="E198">
        <v>81.81</v>
      </c>
      <c r="F198">
        <v>2546305</v>
      </c>
    </row>
    <row r="199" spans="1:6">
      <c r="A199" s="39">
        <v>42431</v>
      </c>
      <c r="B199">
        <v>81.75</v>
      </c>
      <c r="C199">
        <v>81.81</v>
      </c>
      <c r="D199">
        <v>81.650000000000006</v>
      </c>
      <c r="E199">
        <v>81.760000000000005</v>
      </c>
      <c r="F199">
        <v>2137294</v>
      </c>
    </row>
    <row r="200" spans="1:6">
      <c r="A200" s="39">
        <v>42432</v>
      </c>
      <c r="B200">
        <v>81.78</v>
      </c>
      <c r="C200">
        <v>81.94</v>
      </c>
      <c r="D200">
        <v>81.739999999999995</v>
      </c>
      <c r="E200">
        <v>81.8</v>
      </c>
      <c r="F200">
        <v>2750463</v>
      </c>
    </row>
    <row r="201" spans="1:6">
      <c r="A201" s="39">
        <v>42433</v>
      </c>
      <c r="B201">
        <v>81.849999999999994</v>
      </c>
      <c r="C201">
        <v>81.87</v>
      </c>
      <c r="D201">
        <v>81.650000000000006</v>
      </c>
      <c r="E201">
        <v>81.760000000000005</v>
      </c>
      <c r="F201">
        <v>1147719</v>
      </c>
    </row>
    <row r="202" spans="1:6">
      <c r="A202" s="39">
        <v>42436</v>
      </c>
      <c r="B202">
        <v>81.709999999999994</v>
      </c>
      <c r="C202">
        <v>81.78</v>
      </c>
      <c r="D202">
        <v>81.67</v>
      </c>
      <c r="E202">
        <v>81.739999999999995</v>
      </c>
      <c r="F202">
        <v>1303180</v>
      </c>
    </row>
    <row r="203" spans="1:6">
      <c r="A203" s="39">
        <v>42437</v>
      </c>
      <c r="B203">
        <v>82.07</v>
      </c>
      <c r="C203">
        <v>82.13</v>
      </c>
      <c r="D203">
        <v>82</v>
      </c>
      <c r="E203">
        <v>82.01</v>
      </c>
      <c r="F203">
        <v>1713062</v>
      </c>
    </row>
    <row r="204" spans="1:6">
      <c r="A204" s="39">
        <v>42438</v>
      </c>
      <c r="B204">
        <v>81.89</v>
      </c>
      <c r="C204">
        <v>82</v>
      </c>
      <c r="D204">
        <v>81.84</v>
      </c>
      <c r="E204">
        <v>81.87</v>
      </c>
      <c r="F204">
        <v>2010036</v>
      </c>
    </row>
    <row r="205" spans="1:6">
      <c r="A205" s="39">
        <v>42439</v>
      </c>
      <c r="B205">
        <v>81.96</v>
      </c>
      <c r="C205">
        <v>82.02</v>
      </c>
      <c r="D205">
        <v>81.760000000000005</v>
      </c>
      <c r="E205">
        <v>81.83</v>
      </c>
      <c r="F205">
        <v>1785645</v>
      </c>
    </row>
    <row r="206" spans="1:6">
      <c r="A206" s="39">
        <v>42440</v>
      </c>
      <c r="B206">
        <v>81.900000000000006</v>
      </c>
      <c r="C206">
        <v>81.900000000000006</v>
      </c>
      <c r="D206">
        <v>81.72</v>
      </c>
      <c r="E206">
        <v>81.72</v>
      </c>
      <c r="F206">
        <v>1422269</v>
      </c>
    </row>
    <row r="207" spans="1:6">
      <c r="A207" s="39">
        <v>42443</v>
      </c>
      <c r="B207">
        <v>81.83</v>
      </c>
      <c r="C207">
        <v>81.97</v>
      </c>
      <c r="D207">
        <v>81.8</v>
      </c>
      <c r="E207">
        <v>81.900000000000006</v>
      </c>
      <c r="F207">
        <v>1534153</v>
      </c>
    </row>
    <row r="208" spans="1:6">
      <c r="A208" s="39">
        <v>42444</v>
      </c>
      <c r="B208">
        <v>81.98</v>
      </c>
      <c r="C208">
        <v>82.01</v>
      </c>
      <c r="D208">
        <v>81.790000000000006</v>
      </c>
      <c r="E208">
        <v>81.819999999999993</v>
      </c>
      <c r="F208">
        <v>1870201</v>
      </c>
    </row>
    <row r="209" spans="1:6">
      <c r="A209" s="39">
        <v>42445</v>
      </c>
      <c r="B209">
        <v>81.760000000000005</v>
      </c>
      <c r="C209">
        <v>82.14</v>
      </c>
      <c r="D209">
        <v>81.709999999999994</v>
      </c>
      <c r="E209">
        <v>82.14</v>
      </c>
      <c r="F209">
        <v>1402896</v>
      </c>
    </row>
    <row r="210" spans="1:6">
      <c r="A210" s="39">
        <v>42446</v>
      </c>
      <c r="B210">
        <v>82.21</v>
      </c>
      <c r="C210">
        <v>82.34</v>
      </c>
      <c r="D210">
        <v>82.18</v>
      </c>
      <c r="E210">
        <v>82.32</v>
      </c>
      <c r="F210">
        <v>1570971</v>
      </c>
    </row>
    <row r="211" spans="1:6">
      <c r="A211" s="39">
        <v>42447</v>
      </c>
      <c r="B211">
        <v>82.39</v>
      </c>
      <c r="C211">
        <v>82.46</v>
      </c>
      <c r="D211">
        <v>82.32</v>
      </c>
      <c r="E211">
        <v>82.39</v>
      </c>
      <c r="F211">
        <v>1219376</v>
      </c>
    </row>
    <row r="212" spans="1:6">
      <c r="A212" s="39">
        <v>42450</v>
      </c>
      <c r="B212">
        <v>82.3</v>
      </c>
      <c r="C212">
        <v>82.3</v>
      </c>
      <c r="D212">
        <v>82.21</v>
      </c>
      <c r="E212">
        <v>82.24</v>
      </c>
      <c r="F212">
        <v>1613645</v>
      </c>
    </row>
    <row r="213" spans="1:6">
      <c r="A213" s="39">
        <v>42451</v>
      </c>
      <c r="B213">
        <v>82.39</v>
      </c>
      <c r="C213">
        <v>82.42</v>
      </c>
      <c r="D213">
        <v>82.19</v>
      </c>
      <c r="E213">
        <v>82.22</v>
      </c>
      <c r="F213">
        <v>2150240</v>
      </c>
    </row>
    <row r="214" spans="1:6">
      <c r="A214" s="39">
        <v>42452</v>
      </c>
      <c r="B214">
        <v>82.27</v>
      </c>
      <c r="C214">
        <v>82.41</v>
      </c>
      <c r="D214">
        <v>82.23</v>
      </c>
      <c r="E214">
        <v>82.4</v>
      </c>
      <c r="F214">
        <v>1234729</v>
      </c>
    </row>
    <row r="215" spans="1:6">
      <c r="A215" s="39">
        <v>42453</v>
      </c>
      <c r="B215">
        <v>82.52</v>
      </c>
      <c r="C215">
        <v>82.52</v>
      </c>
      <c r="D215">
        <v>82.21</v>
      </c>
      <c r="E215">
        <v>82.3</v>
      </c>
      <c r="F215">
        <v>1752328</v>
      </c>
    </row>
    <row r="216" spans="1:6">
      <c r="A216" s="39">
        <v>42457</v>
      </c>
      <c r="B216">
        <v>82.29</v>
      </c>
      <c r="C216">
        <v>82.44</v>
      </c>
      <c r="D216">
        <v>82.28</v>
      </c>
      <c r="E216">
        <v>82.34</v>
      </c>
      <c r="F216">
        <v>2369635</v>
      </c>
    </row>
    <row r="217" spans="1:6">
      <c r="A217" s="39">
        <v>42458</v>
      </c>
      <c r="B217">
        <v>82.45</v>
      </c>
      <c r="C217">
        <v>82.74</v>
      </c>
      <c r="D217">
        <v>82.42</v>
      </c>
      <c r="E217">
        <v>82.68</v>
      </c>
      <c r="F217">
        <v>1841832</v>
      </c>
    </row>
    <row r="218" spans="1:6">
      <c r="A218" s="39">
        <v>42459</v>
      </c>
      <c r="B218">
        <v>82.63</v>
      </c>
      <c r="C218">
        <v>82.74</v>
      </c>
      <c r="D218">
        <v>82.54</v>
      </c>
      <c r="E218">
        <v>82.65</v>
      </c>
      <c r="F218">
        <v>1624328</v>
      </c>
    </row>
    <row r="219" spans="1:6">
      <c r="A219" s="39">
        <v>42460</v>
      </c>
      <c r="B219">
        <v>82.72</v>
      </c>
      <c r="C219">
        <v>82.92</v>
      </c>
      <c r="D219">
        <v>82.69</v>
      </c>
      <c r="E219">
        <v>82.8</v>
      </c>
      <c r="F219">
        <v>3037550</v>
      </c>
    </row>
    <row r="220" spans="1:6">
      <c r="A220" s="39">
        <v>42461</v>
      </c>
      <c r="B220">
        <v>82.65</v>
      </c>
      <c r="C220">
        <v>82.79</v>
      </c>
      <c r="D220">
        <v>82.53</v>
      </c>
      <c r="E220">
        <v>82.73</v>
      </c>
      <c r="F220">
        <v>3027385</v>
      </c>
    </row>
    <row r="221" spans="1:6">
      <c r="A221" s="39">
        <v>42464</v>
      </c>
      <c r="B221">
        <v>82.77</v>
      </c>
      <c r="C221">
        <v>82.86</v>
      </c>
      <c r="D221">
        <v>82.7</v>
      </c>
      <c r="E221">
        <v>82.73</v>
      </c>
      <c r="F221">
        <v>1452361</v>
      </c>
    </row>
    <row r="222" spans="1:6">
      <c r="A222" s="39">
        <v>42465</v>
      </c>
      <c r="B222">
        <v>82.96</v>
      </c>
      <c r="C222">
        <v>82.99</v>
      </c>
      <c r="D222">
        <v>82.88</v>
      </c>
      <c r="E222">
        <v>82.88</v>
      </c>
      <c r="F222">
        <v>2148222</v>
      </c>
    </row>
    <row r="223" spans="1:6">
      <c r="A223" s="39">
        <v>42466</v>
      </c>
      <c r="B223">
        <v>82.9</v>
      </c>
      <c r="C223">
        <v>82.92</v>
      </c>
      <c r="D223">
        <v>82.8</v>
      </c>
      <c r="E223">
        <v>82.84</v>
      </c>
      <c r="F223">
        <v>1833120</v>
      </c>
    </row>
    <row r="224" spans="1:6">
      <c r="A224" s="39">
        <v>42467</v>
      </c>
      <c r="B224">
        <v>83.08</v>
      </c>
      <c r="C224">
        <v>83.15</v>
      </c>
      <c r="D224">
        <v>83</v>
      </c>
      <c r="E224">
        <v>83.11</v>
      </c>
      <c r="F224">
        <v>1533335</v>
      </c>
    </row>
    <row r="225" spans="1:6">
      <c r="A225" s="39">
        <v>42468</v>
      </c>
      <c r="B225">
        <v>83.06</v>
      </c>
      <c r="C225">
        <v>83.07</v>
      </c>
      <c r="D225">
        <v>82.97</v>
      </c>
      <c r="E225">
        <v>83.04</v>
      </c>
      <c r="F225">
        <v>1402106</v>
      </c>
    </row>
    <row r="226" spans="1:6">
      <c r="A226" s="39">
        <v>42471</v>
      </c>
      <c r="B226">
        <v>82.99</v>
      </c>
      <c r="C226">
        <v>83.07</v>
      </c>
      <c r="D226">
        <v>82.93</v>
      </c>
      <c r="E226">
        <v>83.03</v>
      </c>
      <c r="F226">
        <v>1213937</v>
      </c>
    </row>
    <row r="227" spans="1:6">
      <c r="A227" s="39">
        <v>42472</v>
      </c>
      <c r="B227">
        <v>82.92</v>
      </c>
      <c r="C227">
        <v>82.98</v>
      </c>
      <c r="D227">
        <v>82.82</v>
      </c>
      <c r="E227">
        <v>82.9</v>
      </c>
      <c r="F227">
        <v>2388095</v>
      </c>
    </row>
    <row r="228" spans="1:6">
      <c r="A228" s="39">
        <v>42473</v>
      </c>
      <c r="B228">
        <v>82.87</v>
      </c>
      <c r="C228">
        <v>83</v>
      </c>
      <c r="D228">
        <v>82.8</v>
      </c>
      <c r="E228">
        <v>82.95</v>
      </c>
      <c r="F228">
        <v>1747979</v>
      </c>
    </row>
    <row r="229" spans="1:6">
      <c r="A229" s="39">
        <v>42474</v>
      </c>
      <c r="B229">
        <v>82.95</v>
      </c>
      <c r="C229">
        <v>82.98</v>
      </c>
      <c r="D229">
        <v>82.85</v>
      </c>
      <c r="E229">
        <v>82.88</v>
      </c>
      <c r="F229">
        <v>1617265</v>
      </c>
    </row>
    <row r="230" spans="1:6">
      <c r="A230" s="39">
        <v>42475</v>
      </c>
      <c r="B230">
        <v>82.99</v>
      </c>
      <c r="C230">
        <v>83.14</v>
      </c>
      <c r="D230">
        <v>82.96</v>
      </c>
      <c r="E230">
        <v>83.07</v>
      </c>
      <c r="F230">
        <v>1181034</v>
      </c>
    </row>
    <row r="231" spans="1:6">
      <c r="A231" s="39">
        <v>42478</v>
      </c>
      <c r="B231">
        <v>83.02</v>
      </c>
      <c r="C231">
        <v>83.04</v>
      </c>
      <c r="D231">
        <v>82.96</v>
      </c>
      <c r="E231">
        <v>83.04</v>
      </c>
      <c r="F231">
        <v>1395354</v>
      </c>
    </row>
    <row r="232" spans="1:6">
      <c r="A232" s="39">
        <v>42479</v>
      </c>
      <c r="B232">
        <v>83.04</v>
      </c>
      <c r="C232">
        <v>83.09</v>
      </c>
      <c r="D232">
        <v>82.94</v>
      </c>
      <c r="E232">
        <v>83.09</v>
      </c>
      <c r="F232">
        <v>1163644</v>
      </c>
    </row>
    <row r="233" spans="1:6">
      <c r="A233" s="39">
        <v>42480</v>
      </c>
      <c r="B233">
        <v>83.11</v>
      </c>
      <c r="C233">
        <v>83.15</v>
      </c>
      <c r="D233">
        <v>82.86</v>
      </c>
      <c r="E233">
        <v>82.86</v>
      </c>
      <c r="F233">
        <v>2388630</v>
      </c>
    </row>
    <row r="234" spans="1:6">
      <c r="A234" s="39">
        <v>42481</v>
      </c>
      <c r="B234">
        <v>82.8</v>
      </c>
      <c r="C234">
        <v>82.86</v>
      </c>
      <c r="D234">
        <v>82.68</v>
      </c>
      <c r="E234">
        <v>82.76</v>
      </c>
      <c r="F234">
        <v>1683859</v>
      </c>
    </row>
    <row r="235" spans="1:6">
      <c r="A235" s="39">
        <v>42482</v>
      </c>
      <c r="B235">
        <v>82.82</v>
      </c>
      <c r="C235">
        <v>82.88</v>
      </c>
      <c r="D235">
        <v>82.71</v>
      </c>
      <c r="E235">
        <v>82.73</v>
      </c>
      <c r="F235">
        <v>5115333</v>
      </c>
    </row>
    <row r="236" spans="1:6">
      <c r="A236" s="39">
        <v>42485</v>
      </c>
      <c r="B236">
        <v>82.72</v>
      </c>
      <c r="C236">
        <v>82.77</v>
      </c>
      <c r="D236">
        <v>82.62</v>
      </c>
      <c r="E236">
        <v>82.63</v>
      </c>
      <c r="F236">
        <v>2483327</v>
      </c>
    </row>
    <row r="237" spans="1:6">
      <c r="A237" s="39">
        <v>42486</v>
      </c>
      <c r="B237">
        <v>82.67</v>
      </c>
      <c r="C237">
        <v>82.67</v>
      </c>
      <c r="D237">
        <v>82.44</v>
      </c>
      <c r="E237">
        <v>82.51</v>
      </c>
      <c r="F237">
        <v>1689567</v>
      </c>
    </row>
    <row r="238" spans="1:6">
      <c r="A238" s="39">
        <v>42487</v>
      </c>
      <c r="B238">
        <v>82.61</v>
      </c>
      <c r="C238">
        <v>82.81</v>
      </c>
      <c r="D238">
        <v>82.55</v>
      </c>
      <c r="E238">
        <v>82.76</v>
      </c>
      <c r="F238">
        <v>1456351</v>
      </c>
    </row>
    <row r="239" spans="1:6">
      <c r="A239" s="39">
        <v>42488</v>
      </c>
      <c r="B239">
        <v>82.78</v>
      </c>
      <c r="C239">
        <v>82.97</v>
      </c>
      <c r="D239">
        <v>82.74</v>
      </c>
      <c r="E239">
        <v>82.91</v>
      </c>
      <c r="F239">
        <v>1625803</v>
      </c>
    </row>
    <row r="240" spans="1:6">
      <c r="A240" s="39">
        <v>42489</v>
      </c>
      <c r="B240">
        <v>82.87</v>
      </c>
      <c r="C240">
        <v>82.98</v>
      </c>
      <c r="D240">
        <v>82.82</v>
      </c>
      <c r="E240">
        <v>82.97</v>
      </c>
      <c r="F240">
        <v>2856894</v>
      </c>
    </row>
    <row r="241" spans="1:6">
      <c r="A241" s="39">
        <v>42492</v>
      </c>
      <c r="B241">
        <v>82.78</v>
      </c>
      <c r="C241">
        <v>82.78</v>
      </c>
      <c r="D241">
        <v>82.63</v>
      </c>
      <c r="E241">
        <v>82.66</v>
      </c>
      <c r="F241">
        <v>2443703</v>
      </c>
    </row>
    <row r="242" spans="1:6">
      <c r="A242" s="39">
        <v>42493</v>
      </c>
      <c r="B242">
        <v>82.95</v>
      </c>
      <c r="C242">
        <v>82.96</v>
      </c>
      <c r="D242">
        <v>82.84</v>
      </c>
      <c r="E242">
        <v>82.89</v>
      </c>
      <c r="F242">
        <v>1765505</v>
      </c>
    </row>
    <row r="243" spans="1:6">
      <c r="A243" s="39">
        <v>42494</v>
      </c>
      <c r="B243">
        <v>82.94</v>
      </c>
      <c r="C243">
        <v>83.01</v>
      </c>
      <c r="D243">
        <v>82.83</v>
      </c>
      <c r="E243">
        <v>82.92</v>
      </c>
      <c r="F243">
        <v>2868489</v>
      </c>
    </row>
    <row r="244" spans="1:6">
      <c r="A244" s="39">
        <v>42495</v>
      </c>
      <c r="B244">
        <v>82.96</v>
      </c>
      <c r="C244">
        <v>83.1</v>
      </c>
      <c r="D244">
        <v>82.87</v>
      </c>
      <c r="E244">
        <v>83.07</v>
      </c>
      <c r="F244">
        <v>1270665</v>
      </c>
    </row>
    <row r="245" spans="1:6">
      <c r="A245" s="39">
        <v>42496</v>
      </c>
      <c r="B245">
        <v>83.07</v>
      </c>
      <c r="C245">
        <v>83.1</v>
      </c>
      <c r="D245">
        <v>82.97</v>
      </c>
      <c r="E245">
        <v>83.03</v>
      </c>
      <c r="F245">
        <v>1520589</v>
      </c>
    </row>
    <row r="246" spans="1:6">
      <c r="A246" s="39">
        <v>42499</v>
      </c>
      <c r="B246">
        <v>83.11</v>
      </c>
      <c r="C246">
        <v>83.14</v>
      </c>
      <c r="D246">
        <v>83.03</v>
      </c>
      <c r="E246">
        <v>83.09</v>
      </c>
      <c r="F246">
        <v>1373191</v>
      </c>
    </row>
    <row r="247" spans="1:6">
      <c r="A247" s="39">
        <v>42500</v>
      </c>
      <c r="B247">
        <v>83.09</v>
      </c>
      <c r="C247">
        <v>83.16</v>
      </c>
      <c r="D247">
        <v>83.03</v>
      </c>
      <c r="E247">
        <v>83.09</v>
      </c>
      <c r="F247">
        <v>1889312</v>
      </c>
    </row>
    <row r="248" spans="1:6">
      <c r="A248" s="39">
        <v>42501</v>
      </c>
      <c r="B248">
        <v>83.14</v>
      </c>
      <c r="C248">
        <v>83.26</v>
      </c>
      <c r="D248">
        <v>83.07</v>
      </c>
      <c r="E248">
        <v>83.11</v>
      </c>
      <c r="F248">
        <v>2381020</v>
      </c>
    </row>
    <row r="249" spans="1:6">
      <c r="A249" s="39">
        <v>42502</v>
      </c>
      <c r="B249">
        <v>83.1</v>
      </c>
      <c r="C249">
        <v>83.18</v>
      </c>
      <c r="D249">
        <v>83.06</v>
      </c>
      <c r="E249">
        <v>83.12</v>
      </c>
      <c r="F249">
        <v>1653269</v>
      </c>
    </row>
    <row r="250" spans="1:6">
      <c r="A250" s="39">
        <v>42503</v>
      </c>
      <c r="B250">
        <v>83.16</v>
      </c>
      <c r="C250">
        <v>83.24</v>
      </c>
      <c r="D250">
        <v>83.08</v>
      </c>
      <c r="E250">
        <v>83.21</v>
      </c>
      <c r="F250">
        <v>1397400</v>
      </c>
    </row>
    <row r="251" spans="1:6">
      <c r="A251" s="39">
        <v>42506</v>
      </c>
      <c r="B251">
        <v>83.15</v>
      </c>
      <c r="C251">
        <v>83.15</v>
      </c>
      <c r="D251">
        <v>83.02</v>
      </c>
      <c r="E251">
        <v>83.03</v>
      </c>
      <c r="F251">
        <v>3132006</v>
      </c>
    </row>
    <row r="252" spans="1:6">
      <c r="A252" s="39">
        <v>42507</v>
      </c>
      <c r="B252">
        <v>83.13</v>
      </c>
      <c r="C252">
        <v>83.13</v>
      </c>
      <c r="D252">
        <v>82.94</v>
      </c>
      <c r="E252">
        <v>82.97</v>
      </c>
      <c r="F252">
        <v>1735874</v>
      </c>
    </row>
    <row r="253" spans="1:6">
      <c r="A253" s="39">
        <v>42508</v>
      </c>
      <c r="B253">
        <v>82.92</v>
      </c>
      <c r="C253">
        <v>82.92</v>
      </c>
      <c r="D253">
        <v>82.52</v>
      </c>
      <c r="E253">
        <v>82.58</v>
      </c>
      <c r="F253">
        <v>1685902</v>
      </c>
    </row>
    <row r="254" spans="1:6">
      <c r="A254" s="39">
        <v>42509</v>
      </c>
      <c r="B254">
        <v>82.63</v>
      </c>
      <c r="C254">
        <v>82.69</v>
      </c>
      <c r="D254">
        <v>82.59</v>
      </c>
      <c r="E254">
        <v>82.67</v>
      </c>
      <c r="F254">
        <v>1463982</v>
      </c>
    </row>
    <row r="255" spans="1:6">
      <c r="A255" s="39">
        <v>42510</v>
      </c>
      <c r="B255">
        <v>82.66</v>
      </c>
      <c r="C255">
        <v>82.77</v>
      </c>
      <c r="D255">
        <v>82.62</v>
      </c>
      <c r="E255">
        <v>82.67</v>
      </c>
      <c r="F255">
        <v>2043950</v>
      </c>
    </row>
    <row r="256" spans="1:6">
      <c r="A256" s="39">
        <v>42513</v>
      </c>
      <c r="B256">
        <v>82.73</v>
      </c>
      <c r="C256">
        <v>82.77</v>
      </c>
      <c r="D256">
        <v>82.63</v>
      </c>
      <c r="E256">
        <v>82.69</v>
      </c>
      <c r="F256">
        <v>1310731</v>
      </c>
    </row>
    <row r="257" spans="1:6">
      <c r="A257" s="39">
        <v>42514</v>
      </c>
      <c r="B257">
        <v>82.69</v>
      </c>
      <c r="C257">
        <v>82.7</v>
      </c>
      <c r="D257">
        <v>82.56</v>
      </c>
      <c r="E257">
        <v>82.65</v>
      </c>
      <c r="F257">
        <v>2656760</v>
      </c>
    </row>
    <row r="258" spans="1:6">
      <c r="A258" s="39">
        <v>42515</v>
      </c>
      <c r="B258">
        <v>82.67</v>
      </c>
      <c r="C258">
        <v>82.7</v>
      </c>
      <c r="D258">
        <v>82.59</v>
      </c>
      <c r="E258">
        <v>82.62</v>
      </c>
      <c r="F258">
        <v>1474825</v>
      </c>
    </row>
    <row r="259" spans="1:6">
      <c r="A259" s="39">
        <v>42516</v>
      </c>
      <c r="B259">
        <v>82.72</v>
      </c>
      <c r="C259">
        <v>82.82</v>
      </c>
      <c r="D259">
        <v>82.67</v>
      </c>
      <c r="E259">
        <v>82.76</v>
      </c>
      <c r="F259">
        <v>1571749</v>
      </c>
    </row>
    <row r="260" spans="1:6">
      <c r="A260" s="39">
        <v>42517</v>
      </c>
      <c r="B260">
        <v>82.8</v>
      </c>
      <c r="C260">
        <v>82.8</v>
      </c>
      <c r="D260">
        <v>82.65</v>
      </c>
      <c r="E260">
        <v>82.73</v>
      </c>
      <c r="F260">
        <v>2045573</v>
      </c>
    </row>
    <row r="261" spans="1:6">
      <c r="A261" s="39">
        <v>42521</v>
      </c>
      <c r="B261">
        <v>82.66</v>
      </c>
      <c r="C261">
        <v>82.89</v>
      </c>
      <c r="D261">
        <v>82.6</v>
      </c>
      <c r="E261">
        <v>82.8</v>
      </c>
      <c r="F261">
        <v>1361420</v>
      </c>
    </row>
    <row r="262" spans="1:6">
      <c r="A262" s="39">
        <v>42522</v>
      </c>
      <c r="B262">
        <v>82.74</v>
      </c>
      <c r="C262">
        <v>82.78</v>
      </c>
      <c r="D262">
        <v>82.6</v>
      </c>
      <c r="E262">
        <v>82.66</v>
      </c>
      <c r="F262">
        <v>1625561</v>
      </c>
    </row>
    <row r="263" spans="1:6">
      <c r="A263" s="39">
        <v>42523</v>
      </c>
      <c r="B263">
        <v>82.75</v>
      </c>
      <c r="C263">
        <v>82.89</v>
      </c>
      <c r="D263">
        <v>82.73</v>
      </c>
      <c r="E263">
        <v>82.82</v>
      </c>
      <c r="F263">
        <v>1503350</v>
      </c>
    </row>
    <row r="264" spans="1:6">
      <c r="A264" s="39">
        <v>42524</v>
      </c>
      <c r="B264">
        <v>83.22</v>
      </c>
      <c r="C264">
        <v>83.37</v>
      </c>
      <c r="D264">
        <v>83.17</v>
      </c>
      <c r="E264">
        <v>83.34</v>
      </c>
      <c r="F264">
        <v>1964454</v>
      </c>
    </row>
    <row r="265" spans="1:6">
      <c r="A265" s="39">
        <v>42527</v>
      </c>
      <c r="B265">
        <v>83.23</v>
      </c>
      <c r="C265">
        <v>83.25</v>
      </c>
      <c r="D265">
        <v>83.13</v>
      </c>
      <c r="E265">
        <v>83.21</v>
      </c>
      <c r="F265">
        <v>1603070</v>
      </c>
    </row>
    <row r="266" spans="1:6">
      <c r="A266" s="39">
        <v>42528</v>
      </c>
      <c r="B266">
        <v>83.28</v>
      </c>
      <c r="C266">
        <v>83.3</v>
      </c>
      <c r="D266">
        <v>83.2</v>
      </c>
      <c r="E266">
        <v>83.22</v>
      </c>
      <c r="F266">
        <v>1283150</v>
      </c>
    </row>
    <row r="267" spans="1:6">
      <c r="A267" s="39">
        <v>42529</v>
      </c>
      <c r="B267">
        <v>83.3</v>
      </c>
      <c r="C267">
        <v>83.33</v>
      </c>
      <c r="D267">
        <v>83.25</v>
      </c>
      <c r="E267">
        <v>83.32</v>
      </c>
      <c r="F267">
        <v>1374484</v>
      </c>
    </row>
    <row r="268" spans="1:6">
      <c r="A268" s="39">
        <v>42530</v>
      </c>
      <c r="B268">
        <v>83.47</v>
      </c>
      <c r="C268">
        <v>83.47</v>
      </c>
      <c r="D268">
        <v>83.37</v>
      </c>
      <c r="E268">
        <v>83.4</v>
      </c>
      <c r="F268">
        <v>1611200</v>
      </c>
    </row>
    <row r="269" spans="1:6">
      <c r="A269" s="39">
        <v>42531</v>
      </c>
      <c r="B269">
        <v>83.49</v>
      </c>
      <c r="C269">
        <v>83.58</v>
      </c>
      <c r="D269">
        <v>83.43</v>
      </c>
      <c r="E269">
        <v>83.48</v>
      </c>
      <c r="F269">
        <v>1575284</v>
      </c>
    </row>
    <row r="270" spans="1:6">
      <c r="A270" s="39">
        <v>42534</v>
      </c>
      <c r="B270">
        <v>83.56</v>
      </c>
      <c r="C270">
        <v>83.58</v>
      </c>
      <c r="D270">
        <v>83.48</v>
      </c>
      <c r="E270">
        <v>83.5</v>
      </c>
      <c r="F270">
        <v>1681537</v>
      </c>
    </row>
    <row r="271" spans="1:6">
      <c r="A271" s="39">
        <v>42535</v>
      </c>
      <c r="B271">
        <v>83.62</v>
      </c>
      <c r="C271">
        <v>83.62</v>
      </c>
      <c r="D271">
        <v>83.47</v>
      </c>
      <c r="E271">
        <v>83.49</v>
      </c>
      <c r="F271">
        <v>1524219</v>
      </c>
    </row>
    <row r="272" spans="1:6">
      <c r="A272" s="39">
        <v>42536</v>
      </c>
      <c r="B272">
        <v>83.56</v>
      </c>
      <c r="C272">
        <v>83.75</v>
      </c>
      <c r="D272">
        <v>83.54</v>
      </c>
      <c r="E272">
        <v>83.68</v>
      </c>
      <c r="F272">
        <v>1345093</v>
      </c>
    </row>
    <row r="273" spans="1:6">
      <c r="A273" s="39">
        <v>42537</v>
      </c>
      <c r="B273">
        <v>83.82</v>
      </c>
      <c r="C273">
        <v>83.91</v>
      </c>
      <c r="D273">
        <v>83.69</v>
      </c>
      <c r="E273">
        <v>83.77</v>
      </c>
      <c r="F273">
        <v>1111567</v>
      </c>
    </row>
    <row r="274" spans="1:6">
      <c r="A274" s="39">
        <v>42538</v>
      </c>
      <c r="B274">
        <v>83.71</v>
      </c>
      <c r="C274">
        <v>83.74</v>
      </c>
      <c r="D274">
        <v>83.59</v>
      </c>
      <c r="E274">
        <v>83.65</v>
      </c>
      <c r="F274">
        <v>1860815</v>
      </c>
    </row>
    <row r="275" spans="1:6">
      <c r="A275" s="39">
        <v>42541</v>
      </c>
      <c r="B275">
        <v>83.48</v>
      </c>
      <c r="C275">
        <v>83.53</v>
      </c>
      <c r="D275">
        <v>83.44</v>
      </c>
      <c r="E275">
        <v>83.46</v>
      </c>
      <c r="F275">
        <v>2347501</v>
      </c>
    </row>
    <row r="276" spans="1:6">
      <c r="A276" s="39">
        <v>42542</v>
      </c>
      <c r="B276">
        <v>83.48</v>
      </c>
      <c r="C276">
        <v>83.5</v>
      </c>
      <c r="D276">
        <v>83.33</v>
      </c>
      <c r="E276">
        <v>83.35</v>
      </c>
      <c r="F276">
        <v>1785155</v>
      </c>
    </row>
    <row r="277" spans="1:6">
      <c r="A277" s="39">
        <v>42543</v>
      </c>
      <c r="B277">
        <v>83.38</v>
      </c>
      <c r="C277">
        <v>83.42</v>
      </c>
      <c r="D277">
        <v>83.32</v>
      </c>
      <c r="E277">
        <v>83.38</v>
      </c>
      <c r="F277">
        <v>1337666</v>
      </c>
    </row>
    <row r="278" spans="1:6">
      <c r="A278" s="39">
        <v>42544</v>
      </c>
      <c r="B278">
        <v>83.27</v>
      </c>
      <c r="C278">
        <v>83.37</v>
      </c>
      <c r="D278">
        <v>83.22</v>
      </c>
      <c r="E278">
        <v>83.23</v>
      </c>
      <c r="F278">
        <v>1152760</v>
      </c>
    </row>
    <row r="279" spans="1:6">
      <c r="A279" s="39">
        <v>42545</v>
      </c>
      <c r="B279">
        <v>83.84</v>
      </c>
      <c r="C279">
        <v>83.92</v>
      </c>
      <c r="D279">
        <v>83.67</v>
      </c>
      <c r="E279">
        <v>83.69</v>
      </c>
      <c r="F279">
        <v>2030433</v>
      </c>
    </row>
    <row r="280" spans="1:6">
      <c r="A280" s="39">
        <v>42548</v>
      </c>
      <c r="B280">
        <v>84.16</v>
      </c>
      <c r="C280">
        <v>84.17</v>
      </c>
      <c r="D280">
        <v>84.01</v>
      </c>
      <c r="E280">
        <v>84.12</v>
      </c>
      <c r="F280">
        <v>2466088</v>
      </c>
    </row>
    <row r="281" spans="1:6">
      <c r="A281" s="39">
        <v>42549</v>
      </c>
      <c r="B281">
        <v>84.25</v>
      </c>
      <c r="C281">
        <v>84.25</v>
      </c>
      <c r="D281">
        <v>84.12</v>
      </c>
      <c r="E281">
        <v>84.22</v>
      </c>
      <c r="F281">
        <v>2971802</v>
      </c>
    </row>
    <row r="282" spans="1:6">
      <c r="A282" s="39">
        <v>42550</v>
      </c>
      <c r="B282">
        <v>84.32</v>
      </c>
      <c r="C282">
        <v>84.33</v>
      </c>
      <c r="D282">
        <v>84.13</v>
      </c>
      <c r="E282">
        <v>84.19</v>
      </c>
      <c r="F282">
        <v>2425743</v>
      </c>
    </row>
    <row r="283" spans="1:6">
      <c r="A283" s="39">
        <v>42551</v>
      </c>
      <c r="B283">
        <v>84.21</v>
      </c>
      <c r="C283">
        <v>84.41</v>
      </c>
      <c r="D283">
        <v>84.19</v>
      </c>
      <c r="E283">
        <v>84.3</v>
      </c>
      <c r="F283">
        <v>3362364</v>
      </c>
    </row>
    <row r="284" spans="1:6">
      <c r="A284" s="39">
        <v>42552</v>
      </c>
      <c r="B284">
        <v>84.44</v>
      </c>
      <c r="C284">
        <v>84.48</v>
      </c>
      <c r="D284">
        <v>84.24</v>
      </c>
      <c r="E284">
        <v>84.37</v>
      </c>
      <c r="F284">
        <v>2531588</v>
      </c>
    </row>
    <row r="285" spans="1:6">
      <c r="A285" s="39">
        <v>42556</v>
      </c>
      <c r="B285">
        <v>84.6</v>
      </c>
      <c r="C285">
        <v>84.71</v>
      </c>
      <c r="D285">
        <v>84.49</v>
      </c>
      <c r="E285">
        <v>84.66</v>
      </c>
      <c r="F285">
        <v>3193762</v>
      </c>
    </row>
    <row r="286" spans="1:6">
      <c r="A286" s="39">
        <v>42557</v>
      </c>
      <c r="B286">
        <v>84.74</v>
      </c>
      <c r="C286">
        <v>84.81</v>
      </c>
      <c r="D286">
        <v>84.63</v>
      </c>
      <c r="E286">
        <v>84.81</v>
      </c>
      <c r="F286">
        <v>1936801</v>
      </c>
    </row>
    <row r="287" spans="1:6">
      <c r="A287" s="39">
        <v>42558</v>
      </c>
      <c r="B287">
        <v>84.67</v>
      </c>
      <c r="C287">
        <v>84.77</v>
      </c>
      <c r="D287">
        <v>84.58</v>
      </c>
      <c r="E287">
        <v>84.67</v>
      </c>
      <c r="F287">
        <v>2032485</v>
      </c>
    </row>
    <row r="288" spans="1:6">
      <c r="A288" s="39">
        <v>42559</v>
      </c>
      <c r="B288">
        <v>84.8</v>
      </c>
      <c r="C288">
        <v>84.92</v>
      </c>
      <c r="D288">
        <v>84.68</v>
      </c>
      <c r="E288">
        <v>84.89</v>
      </c>
      <c r="F288">
        <v>1748008</v>
      </c>
    </row>
    <row r="289" spans="1:6">
      <c r="A289" s="39">
        <v>42562</v>
      </c>
      <c r="B289">
        <v>84.81</v>
      </c>
      <c r="C289">
        <v>84.84</v>
      </c>
      <c r="D289">
        <v>84.61</v>
      </c>
      <c r="E289">
        <v>84.64</v>
      </c>
      <c r="F289">
        <v>2617160</v>
      </c>
    </row>
    <row r="290" spans="1:6">
      <c r="A290" s="39">
        <v>42563</v>
      </c>
      <c r="B290">
        <v>84.53</v>
      </c>
      <c r="C290">
        <v>84.53</v>
      </c>
      <c r="D290">
        <v>84.23</v>
      </c>
      <c r="E290">
        <v>84.3</v>
      </c>
      <c r="F290">
        <v>1775380</v>
      </c>
    </row>
    <row r="291" spans="1:6">
      <c r="A291" s="39">
        <v>42564</v>
      </c>
      <c r="B291">
        <v>84.51</v>
      </c>
      <c r="C291">
        <v>84.53</v>
      </c>
      <c r="D291">
        <v>84.43</v>
      </c>
      <c r="E291">
        <v>84.45</v>
      </c>
      <c r="F291">
        <v>1352495</v>
      </c>
    </row>
    <row r="292" spans="1:6">
      <c r="A292" s="39">
        <v>42565</v>
      </c>
      <c r="B292">
        <v>84.3</v>
      </c>
      <c r="C292">
        <v>84.39</v>
      </c>
      <c r="D292">
        <v>84.24</v>
      </c>
      <c r="E292">
        <v>84.32</v>
      </c>
      <c r="F292">
        <v>1621560</v>
      </c>
    </row>
    <row r="293" spans="1:6">
      <c r="A293" s="39">
        <v>42566</v>
      </c>
      <c r="B293">
        <v>84.26</v>
      </c>
      <c r="C293">
        <v>84.26</v>
      </c>
      <c r="D293">
        <v>84</v>
      </c>
      <c r="E293">
        <v>84.05</v>
      </c>
      <c r="F293">
        <v>2233910</v>
      </c>
    </row>
    <row r="294" spans="1:6">
      <c r="A294" s="39">
        <v>42569</v>
      </c>
      <c r="B294">
        <v>84.2</v>
      </c>
      <c r="C294">
        <v>84.21</v>
      </c>
      <c r="D294">
        <v>84</v>
      </c>
      <c r="E294">
        <v>84.08</v>
      </c>
      <c r="F294">
        <v>2155882</v>
      </c>
    </row>
    <row r="295" spans="1:6">
      <c r="A295" s="39">
        <v>42570</v>
      </c>
      <c r="B295">
        <v>84.17</v>
      </c>
      <c r="C295">
        <v>84.23</v>
      </c>
      <c r="D295">
        <v>84.11</v>
      </c>
      <c r="E295">
        <v>84.21</v>
      </c>
      <c r="F295">
        <v>1559682</v>
      </c>
    </row>
    <row r="296" spans="1:6">
      <c r="A296" s="39">
        <v>42571</v>
      </c>
      <c r="B296">
        <v>84.16</v>
      </c>
      <c r="C296">
        <v>84.16</v>
      </c>
      <c r="D296">
        <v>84.05</v>
      </c>
      <c r="E296">
        <v>84.12</v>
      </c>
      <c r="F296">
        <v>1688080</v>
      </c>
    </row>
    <row r="297" spans="1:6">
      <c r="A297" s="39">
        <v>42572</v>
      </c>
      <c r="B297">
        <v>84.05</v>
      </c>
      <c r="C297">
        <v>84.23</v>
      </c>
      <c r="D297">
        <v>83.95</v>
      </c>
      <c r="E297">
        <v>84.22</v>
      </c>
      <c r="F297">
        <v>2076049</v>
      </c>
    </row>
    <row r="298" spans="1:6">
      <c r="A298" s="39">
        <v>42573</v>
      </c>
      <c r="B298">
        <v>84.14</v>
      </c>
      <c r="C298">
        <v>84.28</v>
      </c>
      <c r="D298">
        <v>84.09</v>
      </c>
      <c r="E298">
        <v>84.23</v>
      </c>
      <c r="F298">
        <v>1611974</v>
      </c>
    </row>
    <row r="299" spans="1:6">
      <c r="A299" s="39">
        <v>42576</v>
      </c>
      <c r="B299">
        <v>84.23</v>
      </c>
      <c r="C299">
        <v>84.28</v>
      </c>
      <c r="D299">
        <v>84.14</v>
      </c>
      <c r="E299">
        <v>84.18</v>
      </c>
      <c r="F299">
        <v>1204613</v>
      </c>
    </row>
    <row r="300" spans="1:6">
      <c r="A300" s="39">
        <v>42577</v>
      </c>
      <c r="B300">
        <v>84.27</v>
      </c>
      <c r="C300">
        <v>84.27</v>
      </c>
      <c r="D300">
        <v>84.11</v>
      </c>
      <c r="E300">
        <v>84.17</v>
      </c>
      <c r="F300">
        <v>2385382</v>
      </c>
    </row>
    <row r="301" spans="1:6">
      <c r="A301" s="39">
        <v>42578</v>
      </c>
      <c r="B301">
        <v>84.22</v>
      </c>
      <c r="C301">
        <v>84.42</v>
      </c>
      <c r="D301">
        <v>84.2</v>
      </c>
      <c r="E301">
        <v>84.42</v>
      </c>
      <c r="F301">
        <v>1575358</v>
      </c>
    </row>
    <row r="302" spans="1:6">
      <c r="A302" s="39">
        <v>42579</v>
      </c>
      <c r="B302">
        <v>84.36</v>
      </c>
      <c r="C302">
        <v>84.45</v>
      </c>
      <c r="D302">
        <v>84.27</v>
      </c>
      <c r="E302">
        <v>84.37</v>
      </c>
      <c r="F302">
        <v>1418956</v>
      </c>
    </row>
    <row r="303" spans="1:6">
      <c r="A303" s="39">
        <v>42580</v>
      </c>
      <c r="B303">
        <v>84.49</v>
      </c>
      <c r="C303">
        <v>84.64</v>
      </c>
      <c r="D303">
        <v>84.44</v>
      </c>
      <c r="E303">
        <v>84.64</v>
      </c>
      <c r="F303">
        <v>2758096</v>
      </c>
    </row>
    <row r="304" spans="1:6">
      <c r="A304" s="39">
        <v>42583</v>
      </c>
      <c r="B304">
        <v>84.25</v>
      </c>
      <c r="C304">
        <v>84.44</v>
      </c>
      <c r="D304">
        <v>84.2</v>
      </c>
      <c r="E304">
        <v>84.21</v>
      </c>
      <c r="F304">
        <v>3705684</v>
      </c>
    </row>
    <row r="305" spans="1:6">
      <c r="A305" s="39">
        <v>42584</v>
      </c>
      <c r="B305">
        <v>84.18</v>
      </c>
      <c r="C305">
        <v>84.25</v>
      </c>
      <c r="D305">
        <v>84.05</v>
      </c>
      <c r="E305">
        <v>84.13</v>
      </c>
      <c r="F305">
        <v>4575748</v>
      </c>
    </row>
    <row r="306" spans="1:6">
      <c r="A306" s="39">
        <v>42585</v>
      </c>
      <c r="B306">
        <v>84.13</v>
      </c>
      <c r="C306">
        <v>84.18</v>
      </c>
      <c r="D306">
        <v>83.98</v>
      </c>
      <c r="E306">
        <v>84.13</v>
      </c>
      <c r="F306">
        <v>3472357</v>
      </c>
    </row>
    <row r="307" spans="1:6">
      <c r="A307" s="39">
        <v>42586</v>
      </c>
      <c r="B307">
        <v>84.27</v>
      </c>
      <c r="C307">
        <v>84.38</v>
      </c>
      <c r="D307">
        <v>84.24</v>
      </c>
      <c r="E307">
        <v>84.28</v>
      </c>
      <c r="F307">
        <v>1202019</v>
      </c>
    </row>
    <row r="308" spans="1:6">
      <c r="A308" s="39">
        <v>42587</v>
      </c>
      <c r="B308">
        <v>84.25</v>
      </c>
      <c r="C308">
        <v>84.25</v>
      </c>
      <c r="D308">
        <v>83.98</v>
      </c>
      <c r="E308">
        <v>84</v>
      </c>
      <c r="F308">
        <v>2018671</v>
      </c>
    </row>
    <row r="309" spans="1:6">
      <c r="A309" s="39">
        <v>42590</v>
      </c>
      <c r="B309">
        <v>83.96</v>
      </c>
      <c r="C309">
        <v>84.07</v>
      </c>
      <c r="D309">
        <v>83.88</v>
      </c>
      <c r="E309">
        <v>84.01</v>
      </c>
      <c r="F309">
        <v>1843105</v>
      </c>
    </row>
    <row r="310" spans="1:6">
      <c r="A310" s="39">
        <v>42591</v>
      </c>
      <c r="B310">
        <v>84.06</v>
      </c>
      <c r="C310">
        <v>84.25</v>
      </c>
      <c r="D310">
        <v>84.05</v>
      </c>
      <c r="E310">
        <v>84.25</v>
      </c>
      <c r="F310">
        <v>2262683</v>
      </c>
    </row>
    <row r="311" spans="1:6">
      <c r="A311" s="39">
        <v>42592</v>
      </c>
      <c r="B311">
        <v>84.31</v>
      </c>
      <c r="C311">
        <v>84.39</v>
      </c>
      <c r="D311">
        <v>84.25</v>
      </c>
      <c r="E311">
        <v>84.36</v>
      </c>
      <c r="F311">
        <v>1672237</v>
      </c>
    </row>
    <row r="312" spans="1:6">
      <c r="A312" s="39">
        <v>42593</v>
      </c>
      <c r="B312">
        <v>84.39</v>
      </c>
      <c r="C312">
        <v>84.39</v>
      </c>
      <c r="D312">
        <v>84.08</v>
      </c>
      <c r="E312">
        <v>84.14</v>
      </c>
      <c r="F312">
        <v>1760145</v>
      </c>
    </row>
    <row r="313" spans="1:6">
      <c r="A313" s="39">
        <v>42594</v>
      </c>
      <c r="B313">
        <v>84.41</v>
      </c>
      <c r="C313">
        <v>84.47</v>
      </c>
      <c r="D313">
        <v>84.31</v>
      </c>
      <c r="E313">
        <v>84.33</v>
      </c>
      <c r="F313">
        <v>1605961</v>
      </c>
    </row>
    <row r="314" spans="1:6">
      <c r="A314" s="39">
        <v>42597</v>
      </c>
      <c r="B314">
        <v>84.22</v>
      </c>
      <c r="C314">
        <v>84.32</v>
      </c>
      <c r="D314">
        <v>84.18</v>
      </c>
      <c r="E314">
        <v>84.19</v>
      </c>
      <c r="F314">
        <v>1942476</v>
      </c>
    </row>
    <row r="315" spans="1:6">
      <c r="A315" s="39">
        <v>42598</v>
      </c>
      <c r="B315">
        <v>84.22</v>
      </c>
      <c r="C315">
        <v>84.23</v>
      </c>
      <c r="D315">
        <v>84.11</v>
      </c>
      <c r="E315">
        <v>84.15</v>
      </c>
      <c r="F315">
        <v>2163229</v>
      </c>
    </row>
    <row r="316" spans="1:6">
      <c r="A316" s="39">
        <v>42599</v>
      </c>
      <c r="B316">
        <v>84.19</v>
      </c>
      <c r="C316">
        <v>84.34</v>
      </c>
      <c r="D316">
        <v>84.15</v>
      </c>
      <c r="E316">
        <v>84.28</v>
      </c>
      <c r="F316">
        <v>2024562</v>
      </c>
    </row>
    <row r="317" spans="1:6">
      <c r="A317" s="39">
        <v>42600</v>
      </c>
      <c r="B317">
        <v>84.32</v>
      </c>
      <c r="C317">
        <v>84.41</v>
      </c>
      <c r="D317">
        <v>84.24</v>
      </c>
      <c r="E317">
        <v>84.37</v>
      </c>
      <c r="F317">
        <v>1750992</v>
      </c>
    </row>
    <row r="318" spans="1:6">
      <c r="A318" s="39">
        <v>42601</v>
      </c>
      <c r="B318">
        <v>84.22</v>
      </c>
      <c r="C318">
        <v>84.26</v>
      </c>
      <c r="D318">
        <v>84.08</v>
      </c>
      <c r="E318">
        <v>84.2</v>
      </c>
      <c r="F318">
        <v>1995133</v>
      </c>
    </row>
    <row r="319" spans="1:6">
      <c r="A319" s="39">
        <v>42604</v>
      </c>
      <c r="B319">
        <v>84.29</v>
      </c>
      <c r="C319">
        <v>84.35</v>
      </c>
      <c r="D319">
        <v>84.23</v>
      </c>
      <c r="E319">
        <v>84.32</v>
      </c>
      <c r="F319">
        <v>1388133</v>
      </c>
    </row>
    <row r="320" spans="1:6">
      <c r="A320" s="39">
        <v>42605</v>
      </c>
      <c r="B320">
        <v>84.44</v>
      </c>
      <c r="C320">
        <v>84.45</v>
      </c>
      <c r="D320">
        <v>84.32</v>
      </c>
      <c r="E320">
        <v>84.36</v>
      </c>
      <c r="F320">
        <v>1668316</v>
      </c>
    </row>
    <row r="321" spans="1:6">
      <c r="A321" s="39">
        <v>42606</v>
      </c>
      <c r="B321">
        <v>84.43</v>
      </c>
      <c r="C321">
        <v>84.45</v>
      </c>
      <c r="D321">
        <v>84.32</v>
      </c>
      <c r="E321">
        <v>84.35</v>
      </c>
      <c r="F321">
        <v>2083316</v>
      </c>
    </row>
    <row r="322" spans="1:6">
      <c r="A322" s="39">
        <v>42607</v>
      </c>
      <c r="B322">
        <v>84.32</v>
      </c>
      <c r="C322">
        <v>84.38</v>
      </c>
      <c r="D322">
        <v>84.25</v>
      </c>
      <c r="E322">
        <v>84.26</v>
      </c>
      <c r="F322">
        <v>1737848</v>
      </c>
    </row>
    <row r="323" spans="1:6">
      <c r="A323" s="39">
        <v>42608</v>
      </c>
      <c r="B323">
        <v>84.38</v>
      </c>
      <c r="C323">
        <v>84.49</v>
      </c>
      <c r="D323">
        <v>84.05</v>
      </c>
      <c r="E323">
        <v>84.05</v>
      </c>
      <c r="F323">
        <v>2874496</v>
      </c>
    </row>
    <row r="324" spans="1:6">
      <c r="A324" s="39">
        <v>42611</v>
      </c>
      <c r="B324">
        <v>84.23</v>
      </c>
      <c r="C324">
        <v>84.34</v>
      </c>
      <c r="D324">
        <v>84.18</v>
      </c>
      <c r="E324">
        <v>84.34</v>
      </c>
      <c r="F324">
        <v>1446779</v>
      </c>
    </row>
    <row r="325" spans="1:6">
      <c r="A325" s="39">
        <v>42612</v>
      </c>
      <c r="B325">
        <v>84.36</v>
      </c>
      <c r="C325">
        <v>84.36</v>
      </c>
      <c r="D325">
        <v>84.23</v>
      </c>
      <c r="E325">
        <v>84.27</v>
      </c>
      <c r="F325">
        <v>4750675</v>
      </c>
    </row>
    <row r="326" spans="1:6">
      <c r="A326" s="39">
        <v>42613</v>
      </c>
      <c r="B326">
        <v>84.3</v>
      </c>
      <c r="C326">
        <v>84.35</v>
      </c>
      <c r="D326">
        <v>84.21</v>
      </c>
      <c r="E326">
        <v>84.21</v>
      </c>
      <c r="F326">
        <v>1911926</v>
      </c>
    </row>
    <row r="327" spans="1:6">
      <c r="A327" s="39">
        <v>42614</v>
      </c>
      <c r="B327">
        <v>83.9</v>
      </c>
      <c r="C327">
        <v>84.19</v>
      </c>
      <c r="D327">
        <v>83.9</v>
      </c>
      <c r="E327">
        <v>84.16</v>
      </c>
      <c r="F327">
        <v>3108572</v>
      </c>
    </row>
    <row r="328" spans="1:6">
      <c r="A328" s="39">
        <v>42615</v>
      </c>
      <c r="B328">
        <v>84.13</v>
      </c>
      <c r="C328">
        <v>84.13</v>
      </c>
      <c r="D328">
        <v>83.94</v>
      </c>
      <c r="E328">
        <v>84.04</v>
      </c>
      <c r="F328">
        <v>1797490</v>
      </c>
    </row>
    <row r="329" spans="1:6">
      <c r="A329" s="39">
        <v>42619</v>
      </c>
      <c r="B329">
        <v>84.1</v>
      </c>
      <c r="C329">
        <v>84.35</v>
      </c>
      <c r="D329">
        <v>84.02</v>
      </c>
      <c r="E329">
        <v>84.29</v>
      </c>
      <c r="F329">
        <v>4316172</v>
      </c>
    </row>
    <row r="330" spans="1:6">
      <c r="A330" s="39">
        <v>42620</v>
      </c>
      <c r="B330">
        <v>84.4</v>
      </c>
      <c r="C330">
        <v>84.4</v>
      </c>
      <c r="D330">
        <v>84.28</v>
      </c>
      <c r="E330">
        <v>84.3</v>
      </c>
      <c r="F330">
        <v>1849513</v>
      </c>
    </row>
    <row r="331" spans="1:6">
      <c r="A331" s="39">
        <v>42621</v>
      </c>
      <c r="B331">
        <v>84.17</v>
      </c>
      <c r="C331">
        <v>84.21</v>
      </c>
      <c r="D331">
        <v>83.87</v>
      </c>
      <c r="E331">
        <v>83.98</v>
      </c>
      <c r="F331">
        <v>3475942</v>
      </c>
    </row>
    <row r="332" spans="1:6">
      <c r="A332" s="39">
        <v>42622</v>
      </c>
      <c r="B332">
        <v>83.71</v>
      </c>
      <c r="C332">
        <v>83.81</v>
      </c>
      <c r="D332">
        <v>83.57</v>
      </c>
      <c r="E332">
        <v>83.61</v>
      </c>
      <c r="F332">
        <v>2888916</v>
      </c>
    </row>
    <row r="333" spans="1:6">
      <c r="A333" s="39">
        <v>42625</v>
      </c>
      <c r="B333">
        <v>83.55</v>
      </c>
      <c r="C333">
        <v>83.68</v>
      </c>
      <c r="D333">
        <v>83.51</v>
      </c>
      <c r="E333">
        <v>83.64</v>
      </c>
      <c r="F333">
        <v>3190956</v>
      </c>
    </row>
    <row r="334" spans="1:6">
      <c r="A334" s="39">
        <v>42626</v>
      </c>
      <c r="B334">
        <v>83.77</v>
      </c>
      <c r="C334">
        <v>83.77</v>
      </c>
      <c r="D334">
        <v>83.29</v>
      </c>
      <c r="E334">
        <v>83.4</v>
      </c>
      <c r="F334">
        <v>2670139</v>
      </c>
    </row>
    <row r="335" spans="1:6">
      <c r="A335" s="39">
        <v>42627</v>
      </c>
      <c r="B335">
        <v>83.42</v>
      </c>
      <c r="C335">
        <v>83.6</v>
      </c>
      <c r="D335">
        <v>83.4</v>
      </c>
      <c r="E335">
        <v>83.51</v>
      </c>
      <c r="F335">
        <v>2124546</v>
      </c>
    </row>
    <row r="336" spans="1:6">
      <c r="A336" s="39">
        <v>42628</v>
      </c>
      <c r="B336">
        <v>83.47</v>
      </c>
      <c r="C336">
        <v>83.61</v>
      </c>
      <c r="D336">
        <v>83.4</v>
      </c>
      <c r="E336">
        <v>83.58</v>
      </c>
      <c r="F336">
        <v>1817238</v>
      </c>
    </row>
    <row r="337" spans="1:6">
      <c r="A337" s="39">
        <v>42629</v>
      </c>
      <c r="B337">
        <v>83.65</v>
      </c>
      <c r="C337">
        <v>83.69</v>
      </c>
      <c r="D337">
        <v>83.55</v>
      </c>
      <c r="E337">
        <v>83.65</v>
      </c>
      <c r="F337">
        <v>1307912</v>
      </c>
    </row>
    <row r="338" spans="1:6">
      <c r="A338" s="39">
        <v>42632</v>
      </c>
      <c r="B338">
        <v>83.64</v>
      </c>
      <c r="C338">
        <v>83.67</v>
      </c>
      <c r="D338">
        <v>83.56</v>
      </c>
      <c r="E338">
        <v>83.59</v>
      </c>
      <c r="F338">
        <v>1558070</v>
      </c>
    </row>
    <row r="339" spans="1:6">
      <c r="A339" s="39">
        <v>42633</v>
      </c>
      <c r="B339">
        <v>83.66</v>
      </c>
      <c r="C339">
        <v>83.76</v>
      </c>
      <c r="D339">
        <v>83.6</v>
      </c>
      <c r="E339">
        <v>83.61</v>
      </c>
      <c r="F339">
        <v>1260941</v>
      </c>
    </row>
    <row r="340" spans="1:6">
      <c r="A340" s="39">
        <v>42634</v>
      </c>
      <c r="B340">
        <v>83.55</v>
      </c>
      <c r="C340">
        <v>83.85</v>
      </c>
      <c r="D340">
        <v>83.53</v>
      </c>
      <c r="E340">
        <v>83.85</v>
      </c>
      <c r="F340">
        <v>1979973</v>
      </c>
    </row>
    <row r="341" spans="1:6">
      <c r="A341" s="39">
        <v>42635</v>
      </c>
      <c r="B341">
        <v>83.94</v>
      </c>
      <c r="C341">
        <v>84.1</v>
      </c>
      <c r="D341">
        <v>83.91</v>
      </c>
      <c r="E341">
        <v>84.02</v>
      </c>
      <c r="F341">
        <v>1473897</v>
      </c>
    </row>
    <row r="342" spans="1:6">
      <c r="A342" s="39">
        <v>42636</v>
      </c>
      <c r="B342">
        <v>84.03</v>
      </c>
      <c r="C342">
        <v>84.08</v>
      </c>
      <c r="D342">
        <v>83.98</v>
      </c>
      <c r="E342">
        <v>84</v>
      </c>
      <c r="F342">
        <v>1441511</v>
      </c>
    </row>
    <row r="343" spans="1:6">
      <c r="A343" s="39">
        <v>42639</v>
      </c>
      <c r="B343">
        <v>84.08</v>
      </c>
      <c r="C343">
        <v>84.17</v>
      </c>
      <c r="D343">
        <v>84.05</v>
      </c>
      <c r="E343">
        <v>84.14</v>
      </c>
      <c r="F343">
        <v>1709285</v>
      </c>
    </row>
    <row r="344" spans="1:6">
      <c r="A344" s="39">
        <v>42640</v>
      </c>
      <c r="B344">
        <v>84.26</v>
      </c>
      <c r="C344">
        <v>84.27</v>
      </c>
      <c r="D344">
        <v>84.13</v>
      </c>
      <c r="E344">
        <v>84.24</v>
      </c>
      <c r="F344">
        <v>2458300</v>
      </c>
    </row>
    <row r="345" spans="1:6">
      <c r="A345" s="39">
        <v>42641</v>
      </c>
      <c r="B345">
        <v>84.24</v>
      </c>
      <c r="C345">
        <v>84.3</v>
      </c>
      <c r="D345">
        <v>84.18</v>
      </c>
      <c r="E345">
        <v>84.24</v>
      </c>
      <c r="F345">
        <v>2284595</v>
      </c>
    </row>
    <row r="346" spans="1:6">
      <c r="A346" s="39">
        <v>42642</v>
      </c>
      <c r="B346">
        <v>84.14</v>
      </c>
      <c r="C346">
        <v>84.31</v>
      </c>
      <c r="D346">
        <v>84.11</v>
      </c>
      <c r="E346">
        <v>84.25</v>
      </c>
      <c r="F346">
        <v>2886223</v>
      </c>
    </row>
    <row r="347" spans="1:6">
      <c r="A347" s="39">
        <v>42643</v>
      </c>
      <c r="B347">
        <v>84.25</v>
      </c>
      <c r="C347">
        <v>84.28</v>
      </c>
      <c r="D347">
        <v>84.02</v>
      </c>
      <c r="E347">
        <v>84.14</v>
      </c>
      <c r="F347">
        <v>1663650</v>
      </c>
    </row>
    <row r="348" spans="1:6">
      <c r="A348" s="39">
        <v>42646</v>
      </c>
      <c r="B348">
        <v>83.95</v>
      </c>
      <c r="C348">
        <v>84.01</v>
      </c>
      <c r="D348">
        <v>83.84</v>
      </c>
      <c r="E348">
        <v>83.89</v>
      </c>
      <c r="F348">
        <v>1509327</v>
      </c>
    </row>
    <row r="349" spans="1:6">
      <c r="A349" s="39">
        <v>42647</v>
      </c>
      <c r="B349">
        <v>83.84</v>
      </c>
      <c r="C349">
        <v>83.85</v>
      </c>
      <c r="D349">
        <v>83.6</v>
      </c>
      <c r="E349">
        <v>83.61</v>
      </c>
      <c r="F349">
        <v>1815729</v>
      </c>
    </row>
    <row r="350" spans="1:6">
      <c r="A350" s="39">
        <v>42648</v>
      </c>
      <c r="B350">
        <v>83.66</v>
      </c>
      <c r="C350">
        <v>83.66</v>
      </c>
      <c r="D350">
        <v>83.44</v>
      </c>
      <c r="E350">
        <v>83.47</v>
      </c>
      <c r="F350">
        <v>2666081</v>
      </c>
    </row>
    <row r="351" spans="1:6">
      <c r="A351" s="39">
        <v>42649</v>
      </c>
      <c r="B351">
        <v>83.46</v>
      </c>
      <c r="C351">
        <v>83.56</v>
      </c>
      <c r="D351">
        <v>83.38</v>
      </c>
      <c r="E351">
        <v>83.44</v>
      </c>
      <c r="F351">
        <v>1148648</v>
      </c>
    </row>
    <row r="352" spans="1:6">
      <c r="A352" s="39">
        <v>42650</v>
      </c>
      <c r="B352">
        <v>83.52</v>
      </c>
      <c r="C352">
        <v>83.53</v>
      </c>
      <c r="D352">
        <v>83.31</v>
      </c>
      <c r="E352">
        <v>83.51</v>
      </c>
      <c r="F352">
        <v>1783262</v>
      </c>
    </row>
    <row r="353" spans="1:6">
      <c r="A353" s="39">
        <v>42653</v>
      </c>
      <c r="B353">
        <v>83.38</v>
      </c>
      <c r="C353">
        <v>83.43</v>
      </c>
      <c r="D353">
        <v>83.31</v>
      </c>
      <c r="E353">
        <v>83.42</v>
      </c>
      <c r="F353">
        <v>1425493</v>
      </c>
    </row>
    <row r="354" spans="1:6">
      <c r="A354" s="39">
        <v>42654</v>
      </c>
      <c r="B354">
        <v>83.38</v>
      </c>
      <c r="C354">
        <v>83.43</v>
      </c>
      <c r="D354">
        <v>83.28</v>
      </c>
      <c r="E354">
        <v>83.29</v>
      </c>
      <c r="F354">
        <v>1476744</v>
      </c>
    </row>
    <row r="355" spans="1:6">
      <c r="A355" s="39">
        <v>42655</v>
      </c>
      <c r="B355">
        <v>83.3</v>
      </c>
      <c r="C355">
        <v>83.36</v>
      </c>
      <c r="D355">
        <v>83.23</v>
      </c>
      <c r="E355">
        <v>83.34</v>
      </c>
      <c r="F355">
        <v>1286551</v>
      </c>
    </row>
    <row r="356" spans="1:6">
      <c r="A356" s="39">
        <v>42656</v>
      </c>
      <c r="B356">
        <v>83.52</v>
      </c>
      <c r="C356">
        <v>83.54</v>
      </c>
      <c r="D356">
        <v>83.43</v>
      </c>
      <c r="E356">
        <v>83.44</v>
      </c>
      <c r="F356">
        <v>1625887</v>
      </c>
    </row>
    <row r="357" spans="1:6">
      <c r="A357" s="39">
        <v>42657</v>
      </c>
      <c r="B357">
        <v>83.34</v>
      </c>
      <c r="C357">
        <v>83.46</v>
      </c>
      <c r="D357">
        <v>83.26</v>
      </c>
      <c r="E357">
        <v>83.27</v>
      </c>
      <c r="F357">
        <v>1379899</v>
      </c>
    </row>
    <row r="358" spans="1:6">
      <c r="A358" s="39">
        <v>42660</v>
      </c>
      <c r="B358">
        <v>83.33</v>
      </c>
      <c r="C358">
        <v>83.47</v>
      </c>
      <c r="D358">
        <v>83.28</v>
      </c>
      <c r="E358">
        <v>83.45</v>
      </c>
      <c r="F358">
        <v>1008868</v>
      </c>
    </row>
    <row r="359" spans="1:6">
      <c r="A359" s="39">
        <v>42661</v>
      </c>
      <c r="B359">
        <v>83.38</v>
      </c>
      <c r="C359">
        <v>83.57</v>
      </c>
      <c r="D359">
        <v>83.37</v>
      </c>
      <c r="E359">
        <v>83.56</v>
      </c>
      <c r="F359">
        <v>1167303</v>
      </c>
    </row>
    <row r="360" spans="1:6">
      <c r="A360" s="39">
        <v>42662</v>
      </c>
      <c r="B360">
        <v>83.51</v>
      </c>
      <c r="C360">
        <v>83.62</v>
      </c>
      <c r="D360">
        <v>83.5</v>
      </c>
      <c r="E360">
        <v>83.62</v>
      </c>
      <c r="F360">
        <v>1546425</v>
      </c>
    </row>
    <row r="361" spans="1:6">
      <c r="A361" s="39">
        <v>42663</v>
      </c>
      <c r="B361">
        <v>83.63</v>
      </c>
      <c r="C361">
        <v>83.68</v>
      </c>
      <c r="D361">
        <v>83.53</v>
      </c>
      <c r="E361">
        <v>83.57</v>
      </c>
      <c r="F361">
        <v>1283228</v>
      </c>
    </row>
    <row r="362" spans="1:6">
      <c r="A362" s="39">
        <v>42664</v>
      </c>
      <c r="B362">
        <v>83.6</v>
      </c>
      <c r="C362">
        <v>83.65</v>
      </c>
      <c r="D362">
        <v>83.53</v>
      </c>
      <c r="E362">
        <v>83.64</v>
      </c>
      <c r="F362">
        <v>1018842</v>
      </c>
    </row>
    <row r="363" spans="1:6">
      <c r="A363" s="39">
        <v>42667</v>
      </c>
      <c r="B363">
        <v>83.65</v>
      </c>
      <c r="C363">
        <v>83.65</v>
      </c>
      <c r="D363">
        <v>83.45</v>
      </c>
      <c r="E363">
        <v>83.52</v>
      </c>
      <c r="F363">
        <v>1453955</v>
      </c>
    </row>
    <row r="364" spans="1:6">
      <c r="A364" s="39">
        <v>42668</v>
      </c>
      <c r="B364">
        <v>83.48</v>
      </c>
      <c r="C364">
        <v>83.6</v>
      </c>
      <c r="D364">
        <v>83.46</v>
      </c>
      <c r="E364">
        <v>83.52</v>
      </c>
      <c r="F364">
        <v>1462118</v>
      </c>
    </row>
    <row r="365" spans="1:6">
      <c r="A365" s="39">
        <v>42669</v>
      </c>
      <c r="B365">
        <v>83.39</v>
      </c>
      <c r="C365">
        <v>83.45</v>
      </c>
      <c r="D365">
        <v>83.34</v>
      </c>
      <c r="E365">
        <v>83.37</v>
      </c>
      <c r="F365">
        <v>1144511</v>
      </c>
    </row>
    <row r="366" spans="1:6">
      <c r="A366" s="39">
        <v>42670</v>
      </c>
      <c r="B366">
        <v>83.17</v>
      </c>
      <c r="C366">
        <v>83.2</v>
      </c>
      <c r="D366">
        <v>83.02</v>
      </c>
      <c r="E366">
        <v>83.14</v>
      </c>
      <c r="F366">
        <v>1848247</v>
      </c>
    </row>
    <row r="367" spans="1:6">
      <c r="A367" s="39">
        <v>42671</v>
      </c>
      <c r="B367">
        <v>83.09</v>
      </c>
      <c r="C367">
        <v>83.18</v>
      </c>
      <c r="D367">
        <v>83.07</v>
      </c>
      <c r="E367">
        <v>83.1</v>
      </c>
      <c r="F367">
        <v>1574393</v>
      </c>
    </row>
    <row r="368" spans="1:6">
      <c r="A368" s="39">
        <v>42674</v>
      </c>
      <c r="B368">
        <v>83.21</v>
      </c>
      <c r="C368">
        <v>83.25</v>
      </c>
      <c r="D368">
        <v>83.14</v>
      </c>
      <c r="E368">
        <v>83.19</v>
      </c>
      <c r="F368">
        <v>1664698</v>
      </c>
    </row>
    <row r="369" spans="1:6">
      <c r="A369" s="39">
        <v>42675</v>
      </c>
      <c r="B369">
        <v>82.89</v>
      </c>
      <c r="C369">
        <v>83.07</v>
      </c>
      <c r="D369">
        <v>82.83</v>
      </c>
      <c r="E369">
        <v>83</v>
      </c>
      <c r="F369">
        <v>1623628</v>
      </c>
    </row>
    <row r="370" spans="1:6">
      <c r="A370" s="39">
        <v>42676</v>
      </c>
      <c r="B370">
        <v>83.06</v>
      </c>
      <c r="C370">
        <v>83.2</v>
      </c>
      <c r="D370">
        <v>83</v>
      </c>
      <c r="E370">
        <v>83.08</v>
      </c>
      <c r="F370">
        <v>3138540</v>
      </c>
    </row>
    <row r="371" spans="1:6">
      <c r="A371" s="39">
        <v>42677</v>
      </c>
      <c r="B371">
        <v>83.06</v>
      </c>
      <c r="C371">
        <v>83.13</v>
      </c>
      <c r="D371">
        <v>83.01</v>
      </c>
      <c r="E371">
        <v>83.03</v>
      </c>
      <c r="F371">
        <v>2335702</v>
      </c>
    </row>
    <row r="372" spans="1:6">
      <c r="A372" s="39">
        <v>42678</v>
      </c>
      <c r="B372">
        <v>83.08</v>
      </c>
      <c r="C372">
        <v>83.24</v>
      </c>
      <c r="D372">
        <v>83.08</v>
      </c>
      <c r="E372">
        <v>83.18</v>
      </c>
      <c r="F372">
        <v>1047314</v>
      </c>
    </row>
    <row r="373" spans="1:6">
      <c r="A373" s="39">
        <v>42681</v>
      </c>
      <c r="B373">
        <v>83.16</v>
      </c>
      <c r="C373">
        <v>83.16</v>
      </c>
      <c r="D373">
        <v>83.06</v>
      </c>
      <c r="E373">
        <v>83.07</v>
      </c>
      <c r="F373">
        <v>1290171</v>
      </c>
    </row>
    <row r="374" spans="1:6">
      <c r="A374" s="39">
        <v>42682</v>
      </c>
      <c r="B374">
        <v>83.12</v>
      </c>
      <c r="C374">
        <v>83.13</v>
      </c>
      <c r="D374">
        <v>82.9</v>
      </c>
      <c r="E374">
        <v>82.92</v>
      </c>
      <c r="F374">
        <v>2509098</v>
      </c>
    </row>
    <row r="375" spans="1:6">
      <c r="A375" s="39">
        <v>42683</v>
      </c>
      <c r="B375">
        <v>82.5</v>
      </c>
      <c r="C375">
        <v>82.61</v>
      </c>
      <c r="D375">
        <v>82.02</v>
      </c>
      <c r="E375">
        <v>82.1</v>
      </c>
      <c r="F375">
        <v>3449200</v>
      </c>
    </row>
    <row r="376" spans="1:6">
      <c r="A376" s="39">
        <v>42684</v>
      </c>
      <c r="B376">
        <v>81.99</v>
      </c>
      <c r="C376">
        <v>82.1</v>
      </c>
      <c r="D376">
        <v>81.739999999999995</v>
      </c>
      <c r="E376">
        <v>81.75</v>
      </c>
      <c r="F376">
        <v>2836025</v>
      </c>
    </row>
    <row r="377" spans="1:6">
      <c r="A377" s="39">
        <v>42685</v>
      </c>
      <c r="B377">
        <v>81.72</v>
      </c>
      <c r="C377">
        <v>81.83</v>
      </c>
      <c r="D377">
        <v>81.569999999999993</v>
      </c>
      <c r="E377">
        <v>81.599999999999994</v>
      </c>
      <c r="F377">
        <v>1580858</v>
      </c>
    </row>
    <row r="378" spans="1:6">
      <c r="A378" s="39">
        <v>42688</v>
      </c>
      <c r="B378">
        <v>81.44</v>
      </c>
      <c r="C378">
        <v>81.5</v>
      </c>
      <c r="D378">
        <v>81.209999999999994</v>
      </c>
      <c r="E378">
        <v>81.290000000000006</v>
      </c>
      <c r="F378">
        <v>2079369</v>
      </c>
    </row>
    <row r="379" spans="1:6">
      <c r="A379" s="39">
        <v>42689</v>
      </c>
      <c r="B379">
        <v>81.430000000000007</v>
      </c>
      <c r="C379">
        <v>81.53</v>
      </c>
      <c r="D379">
        <v>81.37</v>
      </c>
      <c r="E379">
        <v>81.400000000000006</v>
      </c>
      <c r="F379">
        <v>2098125</v>
      </c>
    </row>
    <row r="380" spans="1:6">
      <c r="A380" s="39">
        <v>42690</v>
      </c>
      <c r="B380">
        <v>81.47</v>
      </c>
      <c r="C380">
        <v>81.58</v>
      </c>
      <c r="D380">
        <v>81.42</v>
      </c>
      <c r="E380">
        <v>81.569999999999993</v>
      </c>
      <c r="F380">
        <v>1629295</v>
      </c>
    </row>
    <row r="381" spans="1:6">
      <c r="A381" s="39">
        <v>42691</v>
      </c>
      <c r="B381">
        <v>81.44</v>
      </c>
      <c r="C381">
        <v>81.48</v>
      </c>
      <c r="D381">
        <v>81.22</v>
      </c>
      <c r="E381">
        <v>81.239999999999995</v>
      </c>
      <c r="F381">
        <v>1761691</v>
      </c>
    </row>
    <row r="382" spans="1:6">
      <c r="A382" s="39">
        <v>42692</v>
      </c>
      <c r="B382">
        <v>81.28</v>
      </c>
      <c r="C382">
        <v>81.349999999999994</v>
      </c>
      <c r="D382">
        <v>81</v>
      </c>
      <c r="E382">
        <v>81.040000000000006</v>
      </c>
      <c r="F382">
        <v>1561763</v>
      </c>
    </row>
    <row r="383" spans="1:6">
      <c r="A383" s="39">
        <v>42695</v>
      </c>
      <c r="B383">
        <v>81.099999999999994</v>
      </c>
      <c r="C383">
        <v>81.150000000000006</v>
      </c>
      <c r="D383">
        <v>81</v>
      </c>
      <c r="E383">
        <v>81.03</v>
      </c>
      <c r="F383">
        <v>2074043</v>
      </c>
    </row>
    <row r="384" spans="1:6">
      <c r="A384" s="39">
        <v>42696</v>
      </c>
      <c r="B384">
        <v>81.19</v>
      </c>
      <c r="C384">
        <v>81.22</v>
      </c>
      <c r="D384">
        <v>81.069999999999993</v>
      </c>
      <c r="E384">
        <v>81.099999999999994</v>
      </c>
      <c r="F384">
        <v>1866861</v>
      </c>
    </row>
    <row r="385" spans="1:6">
      <c r="A385" s="39">
        <v>42697</v>
      </c>
      <c r="B385">
        <v>80.89</v>
      </c>
      <c r="C385">
        <v>81</v>
      </c>
      <c r="D385">
        <v>80.7</v>
      </c>
      <c r="E385">
        <v>80.89</v>
      </c>
      <c r="F385">
        <v>1643170</v>
      </c>
    </row>
    <row r="386" spans="1:6">
      <c r="A386" s="39">
        <v>42699</v>
      </c>
      <c r="B386">
        <v>80.91</v>
      </c>
      <c r="C386">
        <v>80.989999999999995</v>
      </c>
      <c r="D386">
        <v>80.819999999999993</v>
      </c>
      <c r="E386">
        <v>80.92</v>
      </c>
      <c r="F386">
        <v>942670</v>
      </c>
    </row>
    <row r="387" spans="1:6">
      <c r="A387" s="39">
        <v>42702</v>
      </c>
      <c r="B387">
        <v>81.010000000000005</v>
      </c>
      <c r="C387">
        <v>81.14</v>
      </c>
      <c r="D387">
        <v>81</v>
      </c>
      <c r="E387">
        <v>81.11</v>
      </c>
      <c r="F387">
        <v>1352630</v>
      </c>
    </row>
    <row r="388" spans="1:6">
      <c r="A388" s="39">
        <v>42703</v>
      </c>
      <c r="B388">
        <v>81.010000000000005</v>
      </c>
      <c r="C388">
        <v>81.239999999999995</v>
      </c>
      <c r="D388">
        <v>81</v>
      </c>
      <c r="E388">
        <v>81.17</v>
      </c>
      <c r="F388">
        <v>1583577</v>
      </c>
    </row>
    <row r="389" spans="1:6">
      <c r="A389" s="39">
        <v>42704</v>
      </c>
      <c r="B389">
        <v>80.930000000000007</v>
      </c>
      <c r="C389">
        <v>81.040000000000006</v>
      </c>
      <c r="D389">
        <v>80.8</v>
      </c>
      <c r="E389">
        <v>80.89</v>
      </c>
      <c r="F389">
        <v>2372195</v>
      </c>
    </row>
    <row r="390" spans="1:6">
      <c r="A390" s="39">
        <v>42705</v>
      </c>
      <c r="B390">
        <v>80.48</v>
      </c>
      <c r="C390">
        <v>80.52</v>
      </c>
      <c r="D390">
        <v>80.27</v>
      </c>
      <c r="E390">
        <v>80.430000000000007</v>
      </c>
      <c r="F390">
        <v>2998159</v>
      </c>
    </row>
    <row r="391" spans="1:6">
      <c r="A391" s="39">
        <v>42706</v>
      </c>
      <c r="B391">
        <v>80.62</v>
      </c>
      <c r="C391">
        <v>80.87</v>
      </c>
      <c r="D391">
        <v>80.61</v>
      </c>
      <c r="E391">
        <v>80.72</v>
      </c>
      <c r="F391">
        <v>1951435</v>
      </c>
    </row>
    <row r="392" spans="1:6">
      <c r="A392" s="39">
        <v>42709</v>
      </c>
      <c r="B392">
        <v>80.599999999999994</v>
      </c>
      <c r="C392">
        <v>80.91</v>
      </c>
      <c r="D392">
        <v>80.540000000000006</v>
      </c>
      <c r="E392">
        <v>80.819999999999993</v>
      </c>
      <c r="F392">
        <v>2479472</v>
      </c>
    </row>
    <row r="393" spans="1:6">
      <c r="A393" s="39">
        <v>42710</v>
      </c>
      <c r="B393">
        <v>80.849999999999994</v>
      </c>
      <c r="C393">
        <v>80.88</v>
      </c>
      <c r="D393">
        <v>80.77</v>
      </c>
      <c r="E393">
        <v>80.81</v>
      </c>
      <c r="F393">
        <v>2337838</v>
      </c>
    </row>
    <row r="394" spans="1:6">
      <c r="A394" s="39">
        <v>42711</v>
      </c>
      <c r="B394">
        <v>80.930000000000007</v>
      </c>
      <c r="C394">
        <v>81.06</v>
      </c>
      <c r="D394">
        <v>80.900000000000006</v>
      </c>
      <c r="E394">
        <v>81</v>
      </c>
      <c r="F394">
        <v>4273070</v>
      </c>
    </row>
    <row r="395" spans="1:6">
      <c r="A395" s="39">
        <v>42712</v>
      </c>
      <c r="B395">
        <v>80.89</v>
      </c>
      <c r="C395">
        <v>80.900000000000006</v>
      </c>
      <c r="D395">
        <v>80.78</v>
      </c>
      <c r="E395">
        <v>80.84</v>
      </c>
      <c r="F395">
        <v>2322978</v>
      </c>
    </row>
    <row r="396" spans="1:6">
      <c r="A396" s="39">
        <v>42713</v>
      </c>
      <c r="B396">
        <v>80.8</v>
      </c>
      <c r="C396">
        <v>80.849999999999994</v>
      </c>
      <c r="D396">
        <v>80.53</v>
      </c>
      <c r="E396">
        <v>80.599999999999994</v>
      </c>
      <c r="F396">
        <v>2696981</v>
      </c>
    </row>
    <row r="397" spans="1:6">
      <c r="A397" s="39">
        <v>42716</v>
      </c>
      <c r="B397">
        <v>80.5</v>
      </c>
      <c r="C397">
        <v>80.59</v>
      </c>
      <c r="D397">
        <v>80.430000000000007</v>
      </c>
      <c r="E397">
        <v>80.510000000000005</v>
      </c>
      <c r="F397">
        <v>3464820</v>
      </c>
    </row>
    <row r="398" spans="1:6">
      <c r="A398" s="39">
        <v>42717</v>
      </c>
      <c r="B398">
        <v>80.650000000000006</v>
      </c>
      <c r="C398">
        <v>80.7</v>
      </c>
      <c r="D398">
        <v>80.48</v>
      </c>
      <c r="E398">
        <v>80.599999999999994</v>
      </c>
      <c r="F398">
        <v>4372600</v>
      </c>
    </row>
    <row r="399" spans="1:6">
      <c r="A399" s="39">
        <v>42718</v>
      </c>
      <c r="B399">
        <v>80.760000000000005</v>
      </c>
      <c r="C399">
        <v>80.78</v>
      </c>
      <c r="D399">
        <v>80.180000000000007</v>
      </c>
      <c r="E399">
        <v>80.19</v>
      </c>
      <c r="F399">
        <v>2971699</v>
      </c>
    </row>
    <row r="400" spans="1:6">
      <c r="A400" s="39">
        <v>42719</v>
      </c>
      <c r="B400">
        <v>80.2</v>
      </c>
      <c r="C400">
        <v>80.260000000000005</v>
      </c>
      <c r="D400">
        <v>80.06</v>
      </c>
      <c r="E400">
        <v>80.069999999999993</v>
      </c>
      <c r="F400">
        <v>2651224</v>
      </c>
    </row>
    <row r="401" spans="1:6">
      <c r="A401" s="39">
        <v>42720</v>
      </c>
      <c r="B401">
        <v>80.150000000000006</v>
      </c>
      <c r="C401">
        <v>80.27</v>
      </c>
      <c r="D401">
        <v>80.03</v>
      </c>
      <c r="E401">
        <v>80.14</v>
      </c>
      <c r="F401">
        <v>3080074</v>
      </c>
    </row>
    <row r="402" spans="1:6">
      <c r="A402" s="39">
        <v>42723</v>
      </c>
      <c r="B402">
        <v>80.34</v>
      </c>
      <c r="C402">
        <v>80.400000000000006</v>
      </c>
      <c r="D402">
        <v>80.239999999999995</v>
      </c>
      <c r="E402">
        <v>80.349999999999994</v>
      </c>
      <c r="F402">
        <v>2937185</v>
      </c>
    </row>
    <row r="403" spans="1:6">
      <c r="A403" s="39">
        <v>42724</v>
      </c>
      <c r="B403">
        <v>80.23</v>
      </c>
      <c r="C403">
        <v>80.37</v>
      </c>
      <c r="D403">
        <v>80.2</v>
      </c>
      <c r="E403">
        <v>80.36</v>
      </c>
      <c r="F403">
        <v>5853310</v>
      </c>
    </row>
    <row r="404" spans="1:6">
      <c r="A404" s="39">
        <v>42725</v>
      </c>
      <c r="B404">
        <v>80.44</v>
      </c>
      <c r="C404">
        <v>80.5</v>
      </c>
      <c r="D404">
        <v>80.39</v>
      </c>
      <c r="E404">
        <v>80.48</v>
      </c>
      <c r="F404">
        <v>2752285</v>
      </c>
    </row>
    <row r="405" spans="1:6">
      <c r="A405" s="39">
        <v>42726</v>
      </c>
      <c r="B405">
        <v>80.17</v>
      </c>
      <c r="C405">
        <v>80.28</v>
      </c>
      <c r="D405">
        <v>80.17</v>
      </c>
      <c r="E405">
        <v>80.22</v>
      </c>
      <c r="F405">
        <v>2851458</v>
      </c>
    </row>
    <row r="406" spans="1:6">
      <c r="A406" s="39">
        <v>42727</v>
      </c>
      <c r="B406">
        <v>80.36</v>
      </c>
      <c r="C406">
        <v>80.36</v>
      </c>
      <c r="D406">
        <v>80.260000000000005</v>
      </c>
      <c r="E406">
        <v>80.260000000000005</v>
      </c>
      <c r="F406">
        <v>2096869</v>
      </c>
    </row>
    <row r="407" spans="1:6">
      <c r="A407" s="39">
        <v>42731</v>
      </c>
      <c r="B407">
        <v>80.13</v>
      </c>
      <c r="C407">
        <v>80.2</v>
      </c>
      <c r="D407">
        <v>80.12</v>
      </c>
      <c r="E407">
        <v>80.2</v>
      </c>
      <c r="F407">
        <v>2178376</v>
      </c>
    </row>
    <row r="408" spans="1:6">
      <c r="A408" s="39">
        <v>42732</v>
      </c>
      <c r="B408">
        <v>80.239999999999995</v>
      </c>
      <c r="C408">
        <v>80.47</v>
      </c>
      <c r="D408">
        <v>80.180000000000007</v>
      </c>
      <c r="E408">
        <v>80.400000000000006</v>
      </c>
      <c r="F408">
        <v>4097050</v>
      </c>
    </row>
    <row r="409" spans="1:6">
      <c r="A409" s="39">
        <v>42733</v>
      </c>
      <c r="B409">
        <v>80.540000000000006</v>
      </c>
      <c r="C409">
        <v>80.650000000000006</v>
      </c>
      <c r="D409">
        <v>80.48</v>
      </c>
      <c r="E409">
        <v>80.62</v>
      </c>
      <c r="F409">
        <v>3116177</v>
      </c>
    </row>
    <row r="410" spans="1:6">
      <c r="A410" s="39">
        <v>42734</v>
      </c>
      <c r="B410">
        <v>80.63</v>
      </c>
      <c r="C410">
        <v>80.83</v>
      </c>
      <c r="D410">
        <v>80.62</v>
      </c>
      <c r="E410">
        <v>80.790000000000006</v>
      </c>
      <c r="F410">
        <v>2338228</v>
      </c>
    </row>
    <row r="411" spans="1:6">
      <c r="A411" s="39">
        <v>42738</v>
      </c>
      <c r="B411">
        <v>80.55</v>
      </c>
      <c r="C411">
        <v>80.84</v>
      </c>
      <c r="D411">
        <v>80.5</v>
      </c>
      <c r="E411">
        <v>80.8</v>
      </c>
      <c r="F411">
        <v>3312581</v>
      </c>
    </row>
    <row r="412" spans="1:6">
      <c r="A412" s="39">
        <v>42739</v>
      </c>
      <c r="B412">
        <v>80.84</v>
      </c>
      <c r="C412">
        <v>80.88</v>
      </c>
      <c r="D412">
        <v>80.75</v>
      </c>
      <c r="E412">
        <v>80.86</v>
      </c>
      <c r="F412">
        <v>3095025</v>
      </c>
    </row>
    <row r="413" spans="1:6">
      <c r="A413" s="39">
        <v>42740</v>
      </c>
      <c r="B413">
        <v>80.98</v>
      </c>
      <c r="C413">
        <v>81.28</v>
      </c>
      <c r="D413">
        <v>80.900000000000006</v>
      </c>
      <c r="E413">
        <v>81.27</v>
      </c>
      <c r="F413">
        <v>3890365</v>
      </c>
    </row>
    <row r="414" spans="1:6">
      <c r="A414" s="39">
        <v>42741</v>
      </c>
      <c r="B414">
        <v>81.099999999999994</v>
      </c>
      <c r="C414">
        <v>81.13</v>
      </c>
      <c r="D414">
        <v>80.95</v>
      </c>
      <c r="E414">
        <v>80.95</v>
      </c>
      <c r="F414">
        <v>2287987</v>
      </c>
    </row>
    <row r="415" spans="1:6">
      <c r="A415" s="39">
        <v>42744</v>
      </c>
      <c r="B415">
        <v>81.17</v>
      </c>
      <c r="C415">
        <v>81.180000000000007</v>
      </c>
      <c r="D415">
        <v>81.09</v>
      </c>
      <c r="E415">
        <v>81.150000000000006</v>
      </c>
      <c r="F415">
        <v>1785910</v>
      </c>
    </row>
    <row r="416" spans="1:6">
      <c r="A416" s="39">
        <v>42745</v>
      </c>
      <c r="B416">
        <v>81.14</v>
      </c>
      <c r="C416">
        <v>81.180000000000007</v>
      </c>
      <c r="D416">
        <v>81.06</v>
      </c>
      <c r="E416">
        <v>81.13</v>
      </c>
      <c r="F416">
        <v>2250692</v>
      </c>
    </row>
    <row r="417" spans="1:6">
      <c r="A417" s="39">
        <v>42746</v>
      </c>
      <c r="B417">
        <v>81.14</v>
      </c>
      <c r="C417">
        <v>81.430000000000007</v>
      </c>
      <c r="D417">
        <v>81.06</v>
      </c>
      <c r="E417">
        <v>81.17</v>
      </c>
      <c r="F417">
        <v>2327647</v>
      </c>
    </row>
    <row r="418" spans="1:6">
      <c r="A418" s="39">
        <v>42747</v>
      </c>
      <c r="B418">
        <v>81.37</v>
      </c>
      <c r="C418">
        <v>81.42</v>
      </c>
      <c r="D418">
        <v>81.150000000000006</v>
      </c>
      <c r="E418">
        <v>81.19</v>
      </c>
      <c r="F418">
        <v>2981241</v>
      </c>
    </row>
    <row r="419" spans="1:6">
      <c r="A419" s="39">
        <v>42748</v>
      </c>
      <c r="B419">
        <v>81.12</v>
      </c>
      <c r="C419">
        <v>81.150000000000006</v>
      </c>
      <c r="D419">
        <v>80.91</v>
      </c>
      <c r="E419">
        <v>81.06</v>
      </c>
      <c r="F419">
        <v>2424983</v>
      </c>
    </row>
    <row r="420" spans="1:6">
      <c r="A420" s="39">
        <v>42752</v>
      </c>
      <c r="B420">
        <v>81.34</v>
      </c>
      <c r="C420">
        <v>81.400000000000006</v>
      </c>
      <c r="D420">
        <v>81.209999999999994</v>
      </c>
      <c r="E420">
        <v>81.31</v>
      </c>
      <c r="F420">
        <v>2188598</v>
      </c>
    </row>
    <row r="421" spans="1:6">
      <c r="A421" s="39">
        <v>42753</v>
      </c>
      <c r="B421">
        <v>81.209999999999994</v>
      </c>
      <c r="C421">
        <v>81.209999999999994</v>
      </c>
      <c r="D421">
        <v>80.88</v>
      </c>
      <c r="E421">
        <v>80.89</v>
      </c>
      <c r="F421">
        <v>1981696</v>
      </c>
    </row>
    <row r="422" spans="1:6">
      <c r="A422" s="39">
        <v>42754</v>
      </c>
      <c r="B422">
        <v>80.78</v>
      </c>
      <c r="C422">
        <v>80.84</v>
      </c>
      <c r="D422">
        <v>80.64</v>
      </c>
      <c r="E422">
        <v>80.75</v>
      </c>
      <c r="F422">
        <v>2121301</v>
      </c>
    </row>
    <row r="423" spans="1:6">
      <c r="A423" s="39">
        <v>42755</v>
      </c>
      <c r="B423">
        <v>80.67</v>
      </c>
      <c r="C423">
        <v>80.849999999999994</v>
      </c>
      <c r="D423">
        <v>80.62</v>
      </c>
      <c r="E423">
        <v>80.81</v>
      </c>
      <c r="F423">
        <v>1836282</v>
      </c>
    </row>
    <row r="424" spans="1:6">
      <c r="A424" s="39">
        <v>42758</v>
      </c>
      <c r="B424">
        <v>80.819999999999993</v>
      </c>
      <c r="C424">
        <v>81.19</v>
      </c>
      <c r="D424">
        <v>80.819999999999993</v>
      </c>
      <c r="E424">
        <v>81.03</v>
      </c>
      <c r="F424">
        <v>1490164</v>
      </c>
    </row>
    <row r="425" spans="1:6">
      <c r="A425" s="39">
        <v>42759</v>
      </c>
      <c r="B425">
        <v>80.97</v>
      </c>
      <c r="C425">
        <v>81.05</v>
      </c>
      <c r="D425">
        <v>80.819999999999993</v>
      </c>
      <c r="E425">
        <v>80.91</v>
      </c>
      <c r="F425">
        <v>2136042</v>
      </c>
    </row>
    <row r="426" spans="1:6">
      <c r="A426" s="39">
        <v>42760</v>
      </c>
      <c r="B426">
        <v>80.739999999999995</v>
      </c>
      <c r="C426">
        <v>80.790000000000006</v>
      </c>
      <c r="D426">
        <v>80.62</v>
      </c>
      <c r="E426">
        <v>80.67</v>
      </c>
      <c r="F426">
        <v>1897825</v>
      </c>
    </row>
    <row r="427" spans="1:6">
      <c r="A427" s="39">
        <v>42761</v>
      </c>
      <c r="B427">
        <v>80.62</v>
      </c>
      <c r="C427">
        <v>80.73</v>
      </c>
      <c r="D427">
        <v>80.52</v>
      </c>
      <c r="E427">
        <v>80.7</v>
      </c>
      <c r="F427">
        <v>2381630</v>
      </c>
    </row>
    <row r="428" spans="1:6">
      <c r="A428" s="39">
        <v>42762</v>
      </c>
      <c r="B428">
        <v>80.739999999999995</v>
      </c>
      <c r="C428">
        <v>80.84</v>
      </c>
      <c r="D428">
        <v>80.739999999999995</v>
      </c>
      <c r="E428">
        <v>80.790000000000006</v>
      </c>
      <c r="F428">
        <v>1768665</v>
      </c>
    </row>
    <row r="429" spans="1:6">
      <c r="A429" s="39">
        <v>42765</v>
      </c>
      <c r="B429">
        <v>80.78</v>
      </c>
      <c r="C429">
        <v>80.88</v>
      </c>
      <c r="D429">
        <v>80.75</v>
      </c>
      <c r="E429">
        <v>80.77</v>
      </c>
      <c r="F429">
        <v>2699524</v>
      </c>
    </row>
    <row r="430" spans="1:6">
      <c r="A430" s="39">
        <v>42766</v>
      </c>
      <c r="B430">
        <v>80.8</v>
      </c>
      <c r="C430">
        <v>81.02</v>
      </c>
      <c r="D430">
        <v>80.8</v>
      </c>
      <c r="E430">
        <v>80.94</v>
      </c>
      <c r="F430">
        <v>2857626</v>
      </c>
    </row>
    <row r="431" spans="1:6">
      <c r="A431" s="39">
        <v>42767</v>
      </c>
      <c r="B431">
        <v>80.56</v>
      </c>
      <c r="C431">
        <v>80.739999999999995</v>
      </c>
      <c r="D431">
        <v>80.5</v>
      </c>
      <c r="E431">
        <v>80.63</v>
      </c>
      <c r="F431">
        <v>2313445</v>
      </c>
    </row>
    <row r="432" spans="1:6">
      <c r="A432" s="39">
        <v>42768</v>
      </c>
      <c r="B432">
        <v>80.790000000000006</v>
      </c>
      <c r="C432">
        <v>80.849999999999994</v>
      </c>
      <c r="D432">
        <v>80.67</v>
      </c>
      <c r="E432">
        <v>80.680000000000007</v>
      </c>
      <c r="F432">
        <v>1745432</v>
      </c>
    </row>
    <row r="433" spans="1:6">
      <c r="A433" s="39">
        <v>42769</v>
      </c>
      <c r="B433">
        <v>80.86</v>
      </c>
      <c r="C433">
        <v>80.94</v>
      </c>
      <c r="D433">
        <v>80.61</v>
      </c>
      <c r="E433">
        <v>80.7</v>
      </c>
      <c r="F433">
        <v>2398917</v>
      </c>
    </row>
    <row r="434" spans="1:6">
      <c r="A434" s="39">
        <v>42772</v>
      </c>
      <c r="B434">
        <v>80.959999999999994</v>
      </c>
      <c r="C434">
        <v>81.010000000000005</v>
      </c>
      <c r="D434">
        <v>80.8</v>
      </c>
      <c r="E434">
        <v>80.95</v>
      </c>
      <c r="F434">
        <v>3238073</v>
      </c>
    </row>
    <row r="435" spans="1:6">
      <c r="A435" s="39">
        <v>42773</v>
      </c>
      <c r="B435">
        <v>80.959999999999994</v>
      </c>
      <c r="C435">
        <v>81.150000000000006</v>
      </c>
      <c r="D435">
        <v>80.900000000000006</v>
      </c>
      <c r="E435">
        <v>81.08</v>
      </c>
      <c r="F435">
        <v>5239327</v>
      </c>
    </row>
    <row r="436" spans="1:6">
      <c r="A436" s="39">
        <v>42774</v>
      </c>
      <c r="B436">
        <v>81.17</v>
      </c>
      <c r="C436">
        <v>81.349999999999994</v>
      </c>
      <c r="D436">
        <v>81.16</v>
      </c>
      <c r="E436">
        <v>81.3</v>
      </c>
      <c r="F436">
        <v>2172725</v>
      </c>
    </row>
    <row r="437" spans="1:6">
      <c r="A437" s="39">
        <v>42775</v>
      </c>
      <c r="B437">
        <v>81.14</v>
      </c>
      <c r="C437">
        <v>81.22</v>
      </c>
      <c r="D437">
        <v>81.03</v>
      </c>
      <c r="E437">
        <v>81.08</v>
      </c>
      <c r="F437">
        <v>3410760</v>
      </c>
    </row>
    <row r="438" spans="1:6">
      <c r="A438" s="39">
        <v>42776</v>
      </c>
      <c r="B438">
        <v>80.95</v>
      </c>
      <c r="C438">
        <v>81.09</v>
      </c>
      <c r="D438">
        <v>80.94</v>
      </c>
      <c r="E438">
        <v>81.06</v>
      </c>
      <c r="F438">
        <v>2011917</v>
      </c>
    </row>
    <row r="439" spans="1:6">
      <c r="A439" s="39">
        <v>42779</v>
      </c>
      <c r="B439">
        <v>80.98</v>
      </c>
      <c r="C439">
        <v>81.010000000000005</v>
      </c>
      <c r="D439">
        <v>80.88</v>
      </c>
      <c r="E439">
        <v>80.97</v>
      </c>
      <c r="F439">
        <v>1863017</v>
      </c>
    </row>
    <row r="440" spans="1:6">
      <c r="A440" s="39">
        <v>42780</v>
      </c>
      <c r="B440">
        <v>80.94</v>
      </c>
      <c r="C440">
        <v>80.97</v>
      </c>
      <c r="D440">
        <v>80.66</v>
      </c>
      <c r="E440">
        <v>80.8</v>
      </c>
      <c r="F440">
        <v>2178328</v>
      </c>
    </row>
    <row r="441" spans="1:6">
      <c r="A441" s="39">
        <v>42781</v>
      </c>
      <c r="B441">
        <v>80.61</v>
      </c>
      <c r="C441">
        <v>80.72</v>
      </c>
      <c r="D441">
        <v>80.599999999999994</v>
      </c>
      <c r="E441">
        <v>80.67</v>
      </c>
      <c r="F441">
        <v>1503728</v>
      </c>
    </row>
    <row r="442" spans="1:6">
      <c r="A442" s="39">
        <v>42782</v>
      </c>
      <c r="B442">
        <v>80.739999999999995</v>
      </c>
      <c r="C442">
        <v>80.94</v>
      </c>
      <c r="D442">
        <v>80.73</v>
      </c>
      <c r="E442">
        <v>80.819999999999993</v>
      </c>
      <c r="F442">
        <v>3290696</v>
      </c>
    </row>
    <row r="443" spans="1:6">
      <c r="A443" s="39">
        <v>42783</v>
      </c>
      <c r="B443">
        <v>81</v>
      </c>
      <c r="C443">
        <v>81.05</v>
      </c>
      <c r="D443">
        <v>80.959999999999994</v>
      </c>
      <c r="E443">
        <v>81.010000000000005</v>
      </c>
      <c r="F443">
        <v>1520021</v>
      </c>
    </row>
    <row r="444" spans="1:6">
      <c r="A444" s="39">
        <v>42787</v>
      </c>
      <c r="B444">
        <v>80.94</v>
      </c>
      <c r="C444">
        <v>81.08</v>
      </c>
      <c r="D444">
        <v>80.900000000000006</v>
      </c>
      <c r="E444">
        <v>81</v>
      </c>
      <c r="F444">
        <v>1811284</v>
      </c>
    </row>
    <row r="445" spans="1:6">
      <c r="A445" s="39">
        <v>42788</v>
      </c>
      <c r="B445">
        <v>81.17</v>
      </c>
      <c r="C445">
        <v>81.17</v>
      </c>
      <c r="D445">
        <v>80.88</v>
      </c>
      <c r="E445">
        <v>81.05</v>
      </c>
      <c r="F445">
        <v>1965822</v>
      </c>
    </row>
    <row r="446" spans="1:6">
      <c r="A446" s="39">
        <v>42789</v>
      </c>
      <c r="B446">
        <v>81.17</v>
      </c>
      <c r="C446">
        <v>81.2</v>
      </c>
      <c r="D446">
        <v>81.13</v>
      </c>
      <c r="E446">
        <v>81.2</v>
      </c>
      <c r="F446">
        <v>1590520</v>
      </c>
    </row>
    <row r="447" spans="1:6">
      <c r="A447" s="39">
        <v>42790</v>
      </c>
      <c r="B447">
        <v>81.36</v>
      </c>
      <c r="C447">
        <v>81.52</v>
      </c>
      <c r="D447">
        <v>81.319999999999993</v>
      </c>
      <c r="E447">
        <v>81.5</v>
      </c>
      <c r="F447">
        <v>1703834</v>
      </c>
    </row>
    <row r="448" spans="1:6">
      <c r="A448" s="39">
        <v>42793</v>
      </c>
      <c r="B448">
        <v>81.459999999999994</v>
      </c>
      <c r="C448">
        <v>81.459999999999994</v>
      </c>
      <c r="D448">
        <v>81.290000000000006</v>
      </c>
      <c r="E448">
        <v>81.33</v>
      </c>
      <c r="F448">
        <v>2005647</v>
      </c>
    </row>
    <row r="449" spans="1:6">
      <c r="A449" s="39">
        <v>42794</v>
      </c>
      <c r="B449">
        <v>81.33</v>
      </c>
      <c r="C449">
        <v>81.400000000000006</v>
      </c>
      <c r="D449">
        <v>81.260000000000005</v>
      </c>
      <c r="E449">
        <v>81.27</v>
      </c>
      <c r="F449">
        <v>1975726</v>
      </c>
    </row>
    <row r="450" spans="1:6">
      <c r="A450" s="39">
        <v>42795</v>
      </c>
      <c r="B450">
        <v>80.78</v>
      </c>
      <c r="C450">
        <v>80.81</v>
      </c>
      <c r="D450">
        <v>80.709999999999994</v>
      </c>
      <c r="E450">
        <v>80.78</v>
      </c>
      <c r="F450">
        <v>2954358</v>
      </c>
    </row>
    <row r="451" spans="1:6">
      <c r="A451" s="39">
        <v>42796</v>
      </c>
      <c r="B451">
        <v>80.709999999999994</v>
      </c>
      <c r="C451">
        <v>80.72</v>
      </c>
      <c r="D451">
        <v>80.540000000000006</v>
      </c>
      <c r="E451">
        <v>80.63</v>
      </c>
      <c r="F451">
        <v>2077305</v>
      </c>
    </row>
    <row r="452" spans="1:6">
      <c r="A452" s="39">
        <v>42797</v>
      </c>
      <c r="B452">
        <v>80.64</v>
      </c>
      <c r="C452">
        <v>80.69</v>
      </c>
      <c r="D452">
        <v>80.53</v>
      </c>
      <c r="E452">
        <v>80.69</v>
      </c>
      <c r="F452">
        <v>2242758</v>
      </c>
    </row>
    <row r="453" spans="1:6">
      <c r="A453" s="39">
        <v>42800</v>
      </c>
      <c r="B453">
        <v>80.72</v>
      </c>
      <c r="C453">
        <v>80.72</v>
      </c>
      <c r="D453">
        <v>80.569999999999993</v>
      </c>
      <c r="E453">
        <v>80.64</v>
      </c>
      <c r="F453">
        <v>1880936</v>
      </c>
    </row>
    <row r="454" spans="1:6">
      <c r="A454" s="39">
        <v>42801</v>
      </c>
      <c r="B454">
        <v>80.599999999999994</v>
      </c>
      <c r="C454">
        <v>80.63</v>
      </c>
      <c r="D454">
        <v>80.489999999999995</v>
      </c>
      <c r="E454">
        <v>80.489999999999995</v>
      </c>
      <c r="F454">
        <v>1644855</v>
      </c>
    </row>
    <row r="455" spans="1:6">
      <c r="A455" s="39">
        <v>42802</v>
      </c>
      <c r="B455">
        <v>80.239999999999995</v>
      </c>
      <c r="C455">
        <v>80.349999999999994</v>
      </c>
      <c r="D455">
        <v>80.209999999999994</v>
      </c>
      <c r="E455">
        <v>80.3</v>
      </c>
      <c r="F455">
        <v>2173044</v>
      </c>
    </row>
    <row r="456" spans="1:6">
      <c r="A456" s="39">
        <v>42803</v>
      </c>
      <c r="B456">
        <v>80.16</v>
      </c>
      <c r="C456">
        <v>80.180000000000007</v>
      </c>
      <c r="D456">
        <v>80.02</v>
      </c>
      <c r="E456">
        <v>80.05</v>
      </c>
      <c r="F456">
        <v>2761256</v>
      </c>
    </row>
    <row r="457" spans="1:6">
      <c r="A457" s="39">
        <v>42804</v>
      </c>
      <c r="B457">
        <v>80.14</v>
      </c>
      <c r="C457">
        <v>80.23</v>
      </c>
      <c r="D457">
        <v>80.099999999999994</v>
      </c>
      <c r="E457">
        <v>80.209999999999994</v>
      </c>
      <c r="F457">
        <v>3430937</v>
      </c>
    </row>
    <row r="458" spans="1:6">
      <c r="A458" s="39">
        <v>42807</v>
      </c>
      <c r="B458">
        <v>80.12</v>
      </c>
      <c r="C458">
        <v>80.209999999999994</v>
      </c>
      <c r="D458">
        <v>80.03</v>
      </c>
      <c r="E458">
        <v>80.05</v>
      </c>
      <c r="F458">
        <v>2164621</v>
      </c>
    </row>
    <row r="459" spans="1:6">
      <c r="A459" s="39">
        <v>42808</v>
      </c>
      <c r="B459">
        <v>80.03</v>
      </c>
      <c r="C459">
        <v>80.14</v>
      </c>
      <c r="D459">
        <v>80.02</v>
      </c>
      <c r="E459">
        <v>80.040000000000006</v>
      </c>
      <c r="F459">
        <v>3620704</v>
      </c>
    </row>
    <row r="460" spans="1:6">
      <c r="A460" s="39">
        <v>42809</v>
      </c>
      <c r="B460">
        <v>80.16</v>
      </c>
      <c r="C460">
        <v>80.55</v>
      </c>
      <c r="D460">
        <v>80.13</v>
      </c>
      <c r="E460">
        <v>80.540000000000006</v>
      </c>
      <c r="F460">
        <v>2281368</v>
      </c>
    </row>
    <row r="461" spans="1:6">
      <c r="A461" s="39">
        <v>42810</v>
      </c>
      <c r="B461">
        <v>80.48</v>
      </c>
      <c r="C461">
        <v>80.53</v>
      </c>
      <c r="D461">
        <v>80.41</v>
      </c>
      <c r="E461">
        <v>80.42</v>
      </c>
      <c r="F461">
        <v>2617769</v>
      </c>
    </row>
    <row r="462" spans="1:6">
      <c r="A462" s="39">
        <v>42811</v>
      </c>
      <c r="B462">
        <v>80.47</v>
      </c>
      <c r="C462">
        <v>80.61</v>
      </c>
      <c r="D462">
        <v>80.47</v>
      </c>
      <c r="E462">
        <v>80.58</v>
      </c>
      <c r="F462">
        <v>1292991</v>
      </c>
    </row>
    <row r="463" spans="1:6">
      <c r="A463" s="39">
        <v>42814</v>
      </c>
      <c r="B463">
        <v>80.59</v>
      </c>
      <c r="C463">
        <v>80.75</v>
      </c>
      <c r="D463">
        <v>80.569999999999993</v>
      </c>
      <c r="E463">
        <v>80.739999999999995</v>
      </c>
      <c r="F463">
        <v>1510931</v>
      </c>
    </row>
    <row r="464" spans="1:6">
      <c r="A464" s="39">
        <v>42815</v>
      </c>
      <c r="B464">
        <v>80.7</v>
      </c>
      <c r="C464">
        <v>80.930000000000007</v>
      </c>
      <c r="D464">
        <v>80.66</v>
      </c>
      <c r="E464">
        <v>80.930000000000007</v>
      </c>
      <c r="F464">
        <v>2078954</v>
      </c>
    </row>
    <row r="465" spans="1:6">
      <c r="A465" s="39">
        <v>42816</v>
      </c>
      <c r="B465">
        <v>81</v>
      </c>
      <c r="C465">
        <v>81.11</v>
      </c>
      <c r="D465">
        <v>80.95</v>
      </c>
      <c r="E465">
        <v>81.040000000000006</v>
      </c>
      <c r="F465">
        <v>1339572</v>
      </c>
    </row>
    <row r="466" spans="1:6">
      <c r="A466" s="39">
        <v>42817</v>
      </c>
      <c r="B466">
        <v>81.069999999999993</v>
      </c>
      <c r="C466">
        <v>81.099999999999994</v>
      </c>
      <c r="D466">
        <v>80.89</v>
      </c>
      <c r="E466">
        <v>81</v>
      </c>
      <c r="F466">
        <v>1790362</v>
      </c>
    </row>
    <row r="467" spans="1:6">
      <c r="A467" s="39">
        <v>42818</v>
      </c>
      <c r="B467">
        <v>80.94</v>
      </c>
      <c r="C467">
        <v>81.069999999999993</v>
      </c>
      <c r="D467">
        <v>80.930000000000007</v>
      </c>
      <c r="E467">
        <v>80.98</v>
      </c>
      <c r="F467">
        <v>3736682</v>
      </c>
    </row>
    <row r="468" spans="1:6">
      <c r="A468" s="39">
        <v>42821</v>
      </c>
      <c r="B468">
        <v>81.2</v>
      </c>
      <c r="C468">
        <v>81.22</v>
      </c>
      <c r="D468">
        <v>81.09</v>
      </c>
      <c r="E468">
        <v>81.150000000000006</v>
      </c>
      <c r="F468">
        <v>1870514</v>
      </c>
    </row>
    <row r="469" spans="1:6">
      <c r="A469" s="39">
        <v>42822</v>
      </c>
      <c r="B469">
        <v>81.23</v>
      </c>
      <c r="C469">
        <v>81.23</v>
      </c>
      <c r="D469">
        <v>80.959999999999994</v>
      </c>
      <c r="E469">
        <v>81</v>
      </c>
      <c r="F469">
        <v>1990824</v>
      </c>
    </row>
    <row r="470" spans="1:6">
      <c r="A470" s="39">
        <v>42823</v>
      </c>
      <c r="B470">
        <v>81.05</v>
      </c>
      <c r="C470">
        <v>81.16</v>
      </c>
      <c r="D470">
        <v>81.02</v>
      </c>
      <c r="E470">
        <v>81.16</v>
      </c>
      <c r="F470">
        <v>1356818</v>
      </c>
    </row>
    <row r="471" spans="1:6">
      <c r="A471" s="39">
        <v>42824</v>
      </c>
      <c r="B471">
        <v>81.099999999999994</v>
      </c>
      <c r="C471">
        <v>81.11</v>
      </c>
      <c r="D471">
        <v>80.97</v>
      </c>
      <c r="E471">
        <v>81.03</v>
      </c>
      <c r="F471">
        <v>1403541</v>
      </c>
    </row>
    <row r="472" spans="1:6">
      <c r="A472" s="39">
        <v>42825</v>
      </c>
      <c r="B472">
        <v>81.010000000000005</v>
      </c>
      <c r="C472">
        <v>81.099999999999994</v>
      </c>
      <c r="D472">
        <v>81.010000000000005</v>
      </c>
      <c r="E472">
        <v>81.08</v>
      </c>
      <c r="F472">
        <v>2399459</v>
      </c>
    </row>
    <row r="473" spans="1:6">
      <c r="A473" s="39">
        <v>42828</v>
      </c>
      <c r="B473">
        <v>80.97</v>
      </c>
      <c r="C473">
        <v>81.2</v>
      </c>
      <c r="D473">
        <v>80.91</v>
      </c>
      <c r="E473">
        <v>81.2</v>
      </c>
      <c r="F473">
        <v>2142715</v>
      </c>
    </row>
    <row r="474" spans="1:6">
      <c r="A474" s="39">
        <v>42829</v>
      </c>
      <c r="B474">
        <v>81.180000000000007</v>
      </c>
      <c r="C474">
        <v>81.180000000000007</v>
      </c>
      <c r="D474">
        <v>81.08</v>
      </c>
      <c r="E474">
        <v>81.11</v>
      </c>
      <c r="F474">
        <v>1983228</v>
      </c>
    </row>
    <row r="475" spans="1:6">
      <c r="A475" s="39">
        <v>42830</v>
      </c>
      <c r="B475">
        <v>81.069999999999993</v>
      </c>
      <c r="C475">
        <v>81.239999999999995</v>
      </c>
      <c r="D475">
        <v>81.02</v>
      </c>
      <c r="E475">
        <v>81.180000000000007</v>
      </c>
      <c r="F475">
        <v>2050810</v>
      </c>
    </row>
    <row r="476" spans="1:6">
      <c r="A476" s="39">
        <v>42831</v>
      </c>
      <c r="B476">
        <v>81.180000000000007</v>
      </c>
      <c r="C476">
        <v>81.23</v>
      </c>
      <c r="D476">
        <v>81.06</v>
      </c>
      <c r="E476">
        <v>81.209999999999994</v>
      </c>
      <c r="F476">
        <v>1855272</v>
      </c>
    </row>
    <row r="477" spans="1:6">
      <c r="A477" s="39">
        <v>42832</v>
      </c>
      <c r="B477">
        <v>81.3</v>
      </c>
      <c r="C477">
        <v>81.36</v>
      </c>
      <c r="D477">
        <v>81.010000000000005</v>
      </c>
      <c r="E477">
        <v>81.03</v>
      </c>
      <c r="F477">
        <v>1608178</v>
      </c>
    </row>
    <row r="478" spans="1:6">
      <c r="A478" s="39">
        <v>42835</v>
      </c>
      <c r="B478">
        <v>81.12</v>
      </c>
      <c r="C478">
        <v>81.19</v>
      </c>
      <c r="D478">
        <v>81.069999999999993</v>
      </c>
      <c r="E478">
        <v>81.11</v>
      </c>
      <c r="F478">
        <v>1481751</v>
      </c>
    </row>
    <row r="479" spans="1:6">
      <c r="A479" s="39">
        <v>42836</v>
      </c>
      <c r="B479">
        <v>81.239999999999995</v>
      </c>
      <c r="C479">
        <v>81.41</v>
      </c>
      <c r="D479">
        <v>81.23</v>
      </c>
      <c r="E479">
        <v>81.37</v>
      </c>
      <c r="F479">
        <v>1340521</v>
      </c>
    </row>
    <row r="480" spans="1:6">
      <c r="A480" s="39">
        <v>42837</v>
      </c>
      <c r="B480">
        <v>81.36</v>
      </c>
      <c r="C480">
        <v>81.56</v>
      </c>
      <c r="D480">
        <v>81.33</v>
      </c>
      <c r="E480">
        <v>81.56</v>
      </c>
      <c r="F480">
        <v>1801558</v>
      </c>
    </row>
    <row r="481" spans="1:6">
      <c r="A481" s="39">
        <v>42838</v>
      </c>
      <c r="B481">
        <v>81.61</v>
      </c>
      <c r="C481">
        <v>81.73</v>
      </c>
      <c r="D481">
        <v>81.52</v>
      </c>
      <c r="E481">
        <v>81.680000000000007</v>
      </c>
      <c r="F481">
        <v>1393521</v>
      </c>
    </row>
    <row r="482" spans="1:6">
      <c r="A482" s="39">
        <v>42842</v>
      </c>
      <c r="B482">
        <v>81.69</v>
      </c>
      <c r="C482">
        <v>81.73</v>
      </c>
      <c r="D482">
        <v>81.540000000000006</v>
      </c>
      <c r="E482">
        <v>81.63</v>
      </c>
      <c r="F482">
        <v>1494596</v>
      </c>
    </row>
    <row r="483" spans="1:6">
      <c r="A483" s="39">
        <v>42843</v>
      </c>
      <c r="B483">
        <v>81.72</v>
      </c>
      <c r="C483">
        <v>81.97</v>
      </c>
      <c r="D483">
        <v>81.72</v>
      </c>
      <c r="E483">
        <v>81.92</v>
      </c>
      <c r="F483">
        <v>1783017</v>
      </c>
    </row>
    <row r="484" spans="1:6">
      <c r="A484" s="39">
        <v>42844</v>
      </c>
      <c r="B484">
        <v>81.83</v>
      </c>
      <c r="C484">
        <v>81.83</v>
      </c>
      <c r="D484">
        <v>81.72</v>
      </c>
      <c r="E484">
        <v>81.77</v>
      </c>
      <c r="F484">
        <v>1437089</v>
      </c>
    </row>
    <row r="485" spans="1:6">
      <c r="A485" s="39">
        <v>42845</v>
      </c>
      <c r="B485">
        <v>81.739999999999995</v>
      </c>
      <c r="C485">
        <v>81.739999999999995</v>
      </c>
      <c r="D485">
        <v>81.58</v>
      </c>
      <c r="E485">
        <v>81.66</v>
      </c>
      <c r="F485">
        <v>1425716</v>
      </c>
    </row>
    <row r="486" spans="1:6">
      <c r="A486" s="39">
        <v>42846</v>
      </c>
      <c r="B486">
        <v>81.73</v>
      </c>
      <c r="C486">
        <v>81.790000000000006</v>
      </c>
      <c r="D486">
        <v>81.66</v>
      </c>
      <c r="E486">
        <v>81.680000000000007</v>
      </c>
      <c r="F486">
        <v>1241682</v>
      </c>
    </row>
    <row r="487" spans="1:6">
      <c r="A487" s="39">
        <v>42849</v>
      </c>
      <c r="B487">
        <v>81.48</v>
      </c>
      <c r="C487">
        <v>81.59</v>
      </c>
      <c r="D487">
        <v>81.430000000000007</v>
      </c>
      <c r="E487">
        <v>81.569999999999993</v>
      </c>
      <c r="F487">
        <v>2665681</v>
      </c>
    </row>
    <row r="488" spans="1:6">
      <c r="A488" s="39">
        <v>42850</v>
      </c>
      <c r="B488">
        <v>81.41</v>
      </c>
      <c r="C488">
        <v>81.459999999999994</v>
      </c>
      <c r="D488">
        <v>81.27</v>
      </c>
      <c r="E488">
        <v>81.319999999999993</v>
      </c>
      <c r="F488">
        <v>1670922</v>
      </c>
    </row>
    <row r="489" spans="1:6">
      <c r="A489" s="39">
        <v>42851</v>
      </c>
      <c r="B489">
        <v>81.290000000000006</v>
      </c>
      <c r="C489">
        <v>81.42</v>
      </c>
      <c r="D489">
        <v>81.260000000000005</v>
      </c>
      <c r="E489">
        <v>81.400000000000006</v>
      </c>
      <c r="F489">
        <v>1876229</v>
      </c>
    </row>
    <row r="490" spans="1:6">
      <c r="A490" s="39">
        <v>42852</v>
      </c>
      <c r="B490">
        <v>81.42</v>
      </c>
      <c r="C490">
        <v>81.52</v>
      </c>
      <c r="D490">
        <v>81.37</v>
      </c>
      <c r="E490">
        <v>81.459999999999994</v>
      </c>
      <c r="F490">
        <v>1543129</v>
      </c>
    </row>
    <row r="491" spans="1:6">
      <c r="A491" s="39">
        <v>42853</v>
      </c>
      <c r="B491">
        <v>81.400000000000006</v>
      </c>
      <c r="C491">
        <v>81.59</v>
      </c>
      <c r="D491">
        <v>81.36</v>
      </c>
      <c r="E491">
        <v>81.55</v>
      </c>
      <c r="F491">
        <v>2100002</v>
      </c>
    </row>
    <row r="492" spans="1:6">
      <c r="A492" s="39">
        <v>42856</v>
      </c>
      <c r="B492">
        <v>81.34</v>
      </c>
      <c r="C492">
        <v>81.41</v>
      </c>
      <c r="D492">
        <v>81.14</v>
      </c>
      <c r="E492">
        <v>81.23</v>
      </c>
      <c r="F492">
        <v>1478157</v>
      </c>
    </row>
    <row r="493" spans="1:6">
      <c r="A493" s="39">
        <v>42857</v>
      </c>
      <c r="B493">
        <v>81.239999999999995</v>
      </c>
      <c r="C493">
        <v>81.38</v>
      </c>
      <c r="D493">
        <v>81.2</v>
      </c>
      <c r="E493">
        <v>81.37</v>
      </c>
      <c r="F493">
        <v>1664291</v>
      </c>
    </row>
    <row r="494" spans="1:6">
      <c r="A494" s="39">
        <v>42858</v>
      </c>
      <c r="B494">
        <v>81.400000000000006</v>
      </c>
      <c r="C494">
        <v>81.45</v>
      </c>
      <c r="D494">
        <v>81.22</v>
      </c>
      <c r="E494">
        <v>81.28</v>
      </c>
      <c r="F494">
        <v>2948426</v>
      </c>
    </row>
    <row r="495" spans="1:6">
      <c r="A495" s="39">
        <v>42859</v>
      </c>
      <c r="B495">
        <v>81.14</v>
      </c>
      <c r="C495">
        <v>81.2</v>
      </c>
      <c r="D495">
        <v>81.09</v>
      </c>
      <c r="E495">
        <v>81.19</v>
      </c>
      <c r="F495">
        <v>1216082</v>
      </c>
    </row>
    <row r="496" spans="1:6">
      <c r="A496" s="39">
        <v>42860</v>
      </c>
      <c r="B496">
        <v>81.2</v>
      </c>
      <c r="C496">
        <v>81.239999999999995</v>
      </c>
      <c r="D496">
        <v>81.099999999999994</v>
      </c>
      <c r="E496">
        <v>81.239999999999995</v>
      </c>
      <c r="F496">
        <v>1658920</v>
      </c>
    </row>
    <row r="497" spans="1:6">
      <c r="A497" s="39">
        <v>42863</v>
      </c>
      <c r="B497">
        <v>81.19</v>
      </c>
      <c r="C497">
        <v>81.209999999999994</v>
      </c>
      <c r="D497">
        <v>81.06</v>
      </c>
      <c r="E497">
        <v>81.099999999999994</v>
      </c>
      <c r="F497">
        <v>1832262</v>
      </c>
    </row>
    <row r="498" spans="1:6">
      <c r="A498" s="39">
        <v>42864</v>
      </c>
      <c r="B498">
        <v>81.05</v>
      </c>
      <c r="C498">
        <v>81.099999999999994</v>
      </c>
      <c r="D498">
        <v>81</v>
      </c>
      <c r="E498">
        <v>81.06</v>
      </c>
      <c r="F498">
        <v>2532184</v>
      </c>
    </row>
    <row r="499" spans="1:6">
      <c r="A499" s="39">
        <v>42865</v>
      </c>
      <c r="B499">
        <v>81.14</v>
      </c>
      <c r="C499">
        <v>81.2</v>
      </c>
      <c r="D499">
        <v>81.010000000000005</v>
      </c>
      <c r="E499">
        <v>81.05</v>
      </c>
      <c r="F499">
        <v>1845536</v>
      </c>
    </row>
    <row r="500" spans="1:6">
      <c r="A500" s="39">
        <v>42866</v>
      </c>
      <c r="B500">
        <v>81</v>
      </c>
      <c r="C500">
        <v>81.11</v>
      </c>
      <c r="D500">
        <v>80.930000000000007</v>
      </c>
      <c r="E500">
        <v>81.11</v>
      </c>
      <c r="F500">
        <v>1421523</v>
      </c>
    </row>
    <row r="501" spans="1:6">
      <c r="A501" s="39">
        <v>42867</v>
      </c>
      <c r="B501">
        <v>81.290000000000006</v>
      </c>
      <c r="C501">
        <v>81.38</v>
      </c>
      <c r="D501">
        <v>81.25</v>
      </c>
      <c r="E501">
        <v>81.349999999999994</v>
      </c>
      <c r="F501">
        <v>1510314</v>
      </c>
    </row>
    <row r="502" spans="1:6">
      <c r="A502" s="39">
        <v>42870</v>
      </c>
      <c r="B502">
        <v>81.3</v>
      </c>
      <c r="C502">
        <v>81.39</v>
      </c>
      <c r="D502">
        <v>81.3</v>
      </c>
      <c r="E502">
        <v>81.33</v>
      </c>
      <c r="F502">
        <v>1823465</v>
      </c>
    </row>
    <row r="503" spans="1:6">
      <c r="A503" s="39">
        <v>42871</v>
      </c>
      <c r="B503">
        <v>81.36</v>
      </c>
      <c r="C503">
        <v>81.510000000000005</v>
      </c>
      <c r="D503">
        <v>81.36</v>
      </c>
      <c r="E503">
        <v>81.41</v>
      </c>
      <c r="F503">
        <v>1760573</v>
      </c>
    </row>
    <row r="504" spans="1:6">
      <c r="A504" s="39">
        <v>42872</v>
      </c>
      <c r="B504">
        <v>81.63</v>
      </c>
      <c r="C504">
        <v>81.87</v>
      </c>
      <c r="D504">
        <v>81.63</v>
      </c>
      <c r="E504">
        <v>81.849999999999994</v>
      </c>
      <c r="F504">
        <v>1987109</v>
      </c>
    </row>
    <row r="505" spans="1:6">
      <c r="A505" s="39">
        <v>42873</v>
      </c>
      <c r="B505">
        <v>81.87</v>
      </c>
      <c r="C505">
        <v>81.89</v>
      </c>
      <c r="D505">
        <v>81.739999999999995</v>
      </c>
      <c r="E505">
        <v>81.78</v>
      </c>
      <c r="F505">
        <v>1881841</v>
      </c>
    </row>
    <row r="506" spans="1:6">
      <c r="A506" s="39">
        <v>42874</v>
      </c>
      <c r="B506">
        <v>81.81</v>
      </c>
      <c r="C506">
        <v>81.83</v>
      </c>
      <c r="D506">
        <v>81.7</v>
      </c>
      <c r="E506">
        <v>81.83</v>
      </c>
      <c r="F506">
        <v>1394681</v>
      </c>
    </row>
  </sheetData>
  <sortState ref="A3:F506">
    <sortCondition ref="A3:A506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06"/>
  <sheetViews>
    <sheetView workbookViewId="0"/>
  </sheetViews>
  <sheetFormatPr defaultRowHeight="15"/>
  <cols>
    <col min="1" max="7" width="10.7109375" customWidth="1"/>
  </cols>
  <sheetData>
    <row r="1" spans="1:6">
      <c r="A1" t="s">
        <v>46</v>
      </c>
    </row>
    <row r="2" spans="1:6">
      <c r="A2" t="s">
        <v>26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</row>
    <row r="3" spans="1:6">
      <c r="A3" s="39">
        <v>42145</v>
      </c>
      <c r="B3">
        <v>112.47</v>
      </c>
      <c r="C3">
        <v>112.84</v>
      </c>
      <c r="D3">
        <v>112.47</v>
      </c>
      <c r="E3">
        <v>112.74</v>
      </c>
      <c r="F3">
        <v>498812</v>
      </c>
    </row>
    <row r="4" spans="1:6">
      <c r="A4" s="39">
        <v>42146</v>
      </c>
      <c r="B4">
        <v>112.97</v>
      </c>
      <c r="C4">
        <v>113</v>
      </c>
      <c r="D4">
        <v>112.66</v>
      </c>
      <c r="E4">
        <v>112.93</v>
      </c>
      <c r="F4">
        <v>468871</v>
      </c>
    </row>
    <row r="5" spans="1:6">
      <c r="A5" s="39">
        <v>42150</v>
      </c>
      <c r="B5">
        <v>112.85</v>
      </c>
      <c r="C5">
        <v>113.2</v>
      </c>
      <c r="D5">
        <v>112.8</v>
      </c>
      <c r="E5">
        <v>113.02</v>
      </c>
      <c r="F5">
        <v>408158</v>
      </c>
    </row>
    <row r="6" spans="1:6">
      <c r="A6" s="39">
        <v>42151</v>
      </c>
      <c r="B6">
        <v>112.83</v>
      </c>
      <c r="C6">
        <v>112.98</v>
      </c>
      <c r="D6">
        <v>112.64</v>
      </c>
      <c r="E6">
        <v>112.92</v>
      </c>
      <c r="F6">
        <v>377250</v>
      </c>
    </row>
    <row r="7" spans="1:6">
      <c r="A7" s="39">
        <v>42152</v>
      </c>
      <c r="B7">
        <v>112.77</v>
      </c>
      <c r="C7">
        <v>112.91</v>
      </c>
      <c r="D7">
        <v>112.59</v>
      </c>
      <c r="E7">
        <v>112.85</v>
      </c>
      <c r="F7">
        <v>377303</v>
      </c>
    </row>
    <row r="8" spans="1:6">
      <c r="A8" s="39">
        <v>42153</v>
      </c>
      <c r="B8">
        <v>113.09</v>
      </c>
      <c r="C8">
        <v>113.46</v>
      </c>
      <c r="D8">
        <v>113.04</v>
      </c>
      <c r="E8">
        <v>113.21</v>
      </c>
      <c r="F8">
        <v>561294</v>
      </c>
    </row>
    <row r="9" spans="1:6">
      <c r="A9" s="39">
        <v>42156</v>
      </c>
      <c r="B9">
        <v>113.06</v>
      </c>
      <c r="C9">
        <v>113.11</v>
      </c>
      <c r="D9">
        <v>112.43</v>
      </c>
      <c r="E9">
        <v>112.51</v>
      </c>
      <c r="F9">
        <v>1019119</v>
      </c>
    </row>
    <row r="10" spans="1:6">
      <c r="A10" s="39">
        <v>42157</v>
      </c>
      <c r="B10">
        <v>112.24</v>
      </c>
      <c r="C10">
        <v>112.26</v>
      </c>
      <c r="D10">
        <v>111.99</v>
      </c>
      <c r="E10">
        <v>112.05</v>
      </c>
      <c r="F10">
        <v>1524817</v>
      </c>
    </row>
    <row r="11" spans="1:6">
      <c r="A11" s="39">
        <v>42158</v>
      </c>
      <c r="B11">
        <v>111.61</v>
      </c>
      <c r="C11">
        <v>111.69</v>
      </c>
      <c r="D11">
        <v>111.13</v>
      </c>
      <c r="E11">
        <v>111.36</v>
      </c>
      <c r="F11">
        <v>564481</v>
      </c>
    </row>
    <row r="12" spans="1:6">
      <c r="A12" s="39">
        <v>42159</v>
      </c>
      <c r="B12">
        <v>111.54</v>
      </c>
      <c r="C12">
        <v>111.89</v>
      </c>
      <c r="D12">
        <v>111.49</v>
      </c>
      <c r="E12">
        <v>111.67</v>
      </c>
      <c r="F12">
        <v>304358</v>
      </c>
    </row>
    <row r="13" spans="1:6">
      <c r="A13" s="39">
        <v>42160</v>
      </c>
      <c r="B13">
        <v>111.18</v>
      </c>
      <c r="C13">
        <v>111.58</v>
      </c>
      <c r="D13">
        <v>111.08</v>
      </c>
      <c r="E13">
        <v>111.36</v>
      </c>
      <c r="F13">
        <v>295061</v>
      </c>
    </row>
    <row r="14" spans="1:6">
      <c r="A14" s="39">
        <v>42163</v>
      </c>
      <c r="B14">
        <v>111.61</v>
      </c>
      <c r="C14">
        <v>111.65</v>
      </c>
      <c r="D14">
        <v>111.4</v>
      </c>
      <c r="E14">
        <v>111.51</v>
      </c>
      <c r="F14">
        <v>288467</v>
      </c>
    </row>
    <row r="15" spans="1:6">
      <c r="A15" s="39">
        <v>42164</v>
      </c>
      <c r="B15">
        <v>111.38</v>
      </c>
      <c r="C15">
        <v>111.45</v>
      </c>
      <c r="D15">
        <v>111.11</v>
      </c>
      <c r="E15">
        <v>111.26</v>
      </c>
      <c r="F15">
        <v>311143</v>
      </c>
    </row>
    <row r="16" spans="1:6">
      <c r="A16" s="39">
        <v>42165</v>
      </c>
      <c r="B16">
        <v>111.18</v>
      </c>
      <c r="C16">
        <v>111.25</v>
      </c>
      <c r="D16">
        <v>110.75</v>
      </c>
      <c r="E16">
        <v>110.86</v>
      </c>
      <c r="F16">
        <v>417917</v>
      </c>
    </row>
    <row r="17" spans="1:6">
      <c r="A17" s="39">
        <v>42166</v>
      </c>
      <c r="B17">
        <v>111.14</v>
      </c>
      <c r="C17">
        <v>111.43</v>
      </c>
      <c r="D17">
        <v>110.99</v>
      </c>
      <c r="E17">
        <v>111.41</v>
      </c>
      <c r="F17">
        <v>427936</v>
      </c>
    </row>
    <row r="18" spans="1:6">
      <c r="A18" s="39">
        <v>42167</v>
      </c>
      <c r="B18">
        <v>111.29</v>
      </c>
      <c r="C18">
        <v>111.77</v>
      </c>
      <c r="D18">
        <v>111.27</v>
      </c>
      <c r="E18">
        <v>111.47</v>
      </c>
      <c r="F18">
        <v>376278</v>
      </c>
    </row>
    <row r="19" spans="1:6">
      <c r="A19" s="39">
        <v>42170</v>
      </c>
      <c r="B19">
        <v>111.78</v>
      </c>
      <c r="C19">
        <v>111.88</v>
      </c>
      <c r="D19">
        <v>111.51</v>
      </c>
      <c r="E19">
        <v>111.83</v>
      </c>
      <c r="F19">
        <v>298802</v>
      </c>
    </row>
    <row r="20" spans="1:6">
      <c r="A20" s="39">
        <v>42171</v>
      </c>
      <c r="B20">
        <v>112.01</v>
      </c>
      <c r="C20">
        <v>112.49</v>
      </c>
      <c r="D20">
        <v>111.91</v>
      </c>
      <c r="E20">
        <v>112.49</v>
      </c>
      <c r="F20">
        <v>374357</v>
      </c>
    </row>
    <row r="21" spans="1:6">
      <c r="A21" s="39">
        <v>42172</v>
      </c>
      <c r="B21">
        <v>112.28</v>
      </c>
      <c r="C21">
        <v>112.65</v>
      </c>
      <c r="D21">
        <v>111.79</v>
      </c>
      <c r="E21">
        <v>112.62</v>
      </c>
      <c r="F21">
        <v>866992</v>
      </c>
    </row>
    <row r="22" spans="1:6">
      <c r="A22" s="39">
        <v>42173</v>
      </c>
      <c r="B22">
        <v>112.12</v>
      </c>
      <c r="C22">
        <v>112.37</v>
      </c>
      <c r="D22">
        <v>111.97</v>
      </c>
      <c r="E22">
        <v>112.35</v>
      </c>
      <c r="F22">
        <v>394935</v>
      </c>
    </row>
    <row r="23" spans="1:6">
      <c r="A23" s="39">
        <v>42174</v>
      </c>
      <c r="B23">
        <v>112.36</v>
      </c>
      <c r="C23">
        <v>112.74</v>
      </c>
      <c r="D23">
        <v>112.36</v>
      </c>
      <c r="E23">
        <v>112.61</v>
      </c>
      <c r="F23">
        <v>446167</v>
      </c>
    </row>
    <row r="24" spans="1:6">
      <c r="A24" s="39">
        <v>42177</v>
      </c>
      <c r="B24">
        <v>112.29</v>
      </c>
      <c r="C24">
        <v>112.44</v>
      </c>
      <c r="D24">
        <v>112.02</v>
      </c>
      <c r="E24">
        <v>112.11</v>
      </c>
      <c r="F24">
        <v>373755</v>
      </c>
    </row>
    <row r="25" spans="1:6">
      <c r="A25" s="39">
        <v>42178</v>
      </c>
      <c r="B25">
        <v>111.75</v>
      </c>
      <c r="C25">
        <v>112.17</v>
      </c>
      <c r="D25">
        <v>111.66</v>
      </c>
      <c r="E25">
        <v>111.86</v>
      </c>
      <c r="F25">
        <v>407439</v>
      </c>
    </row>
    <row r="26" spans="1:6">
      <c r="A26" s="39">
        <v>42179</v>
      </c>
      <c r="B26">
        <v>111.96</v>
      </c>
      <c r="C26">
        <v>112.22</v>
      </c>
      <c r="D26">
        <v>111.85</v>
      </c>
      <c r="E26">
        <v>112.06</v>
      </c>
      <c r="F26">
        <v>502793</v>
      </c>
    </row>
    <row r="27" spans="1:6">
      <c r="A27" s="39">
        <v>42180</v>
      </c>
      <c r="B27">
        <v>111.95</v>
      </c>
      <c r="C27">
        <v>112.1</v>
      </c>
      <c r="D27">
        <v>111.79</v>
      </c>
      <c r="E27">
        <v>111.94</v>
      </c>
      <c r="F27">
        <v>402108</v>
      </c>
    </row>
    <row r="28" spans="1:6">
      <c r="A28" s="39">
        <v>42181</v>
      </c>
      <c r="B28">
        <v>111.56</v>
      </c>
      <c r="C28">
        <v>111.65</v>
      </c>
      <c r="D28">
        <v>111.37</v>
      </c>
      <c r="E28">
        <v>111.44</v>
      </c>
      <c r="F28">
        <v>370256</v>
      </c>
    </row>
    <row r="29" spans="1:6">
      <c r="A29" s="39">
        <v>42184</v>
      </c>
      <c r="B29">
        <v>111.85</v>
      </c>
      <c r="C29">
        <v>112.41</v>
      </c>
      <c r="D29">
        <v>111.68</v>
      </c>
      <c r="E29">
        <v>112.26</v>
      </c>
      <c r="F29">
        <v>564847</v>
      </c>
    </row>
    <row r="30" spans="1:6">
      <c r="A30" s="39">
        <v>42185</v>
      </c>
      <c r="B30">
        <v>112.08</v>
      </c>
      <c r="C30">
        <v>112.57</v>
      </c>
      <c r="D30">
        <v>112.05</v>
      </c>
      <c r="E30">
        <v>112.05</v>
      </c>
      <c r="F30">
        <v>384591</v>
      </c>
    </row>
    <row r="31" spans="1:6">
      <c r="A31" s="39">
        <v>42186</v>
      </c>
      <c r="B31">
        <v>111.71</v>
      </c>
      <c r="C31">
        <v>111.94</v>
      </c>
      <c r="D31">
        <v>111.62</v>
      </c>
      <c r="E31">
        <v>111.64</v>
      </c>
      <c r="F31">
        <v>1317520</v>
      </c>
    </row>
    <row r="32" spans="1:6">
      <c r="A32" s="39">
        <v>42187</v>
      </c>
      <c r="B32">
        <v>112.02</v>
      </c>
      <c r="C32">
        <v>112.31</v>
      </c>
      <c r="D32">
        <v>111.9</v>
      </c>
      <c r="E32">
        <v>112.13</v>
      </c>
      <c r="F32">
        <v>850278</v>
      </c>
    </row>
    <row r="33" spans="1:6">
      <c r="A33" s="39">
        <v>42191</v>
      </c>
      <c r="B33">
        <v>112.58</v>
      </c>
      <c r="C33">
        <v>112.76</v>
      </c>
      <c r="D33">
        <v>112.25</v>
      </c>
      <c r="E33">
        <v>112.57</v>
      </c>
      <c r="F33">
        <v>634385</v>
      </c>
    </row>
    <row r="34" spans="1:6">
      <c r="A34" s="39">
        <v>42192</v>
      </c>
      <c r="B34">
        <v>113.03</v>
      </c>
      <c r="C34">
        <v>113.29</v>
      </c>
      <c r="D34">
        <v>112.82</v>
      </c>
      <c r="E34">
        <v>112.94</v>
      </c>
      <c r="F34">
        <v>995169</v>
      </c>
    </row>
    <row r="35" spans="1:6">
      <c r="A35" s="39">
        <v>42193</v>
      </c>
      <c r="B35">
        <v>113.11</v>
      </c>
      <c r="C35">
        <v>113.14</v>
      </c>
      <c r="D35">
        <v>112.85</v>
      </c>
      <c r="E35">
        <v>113.08</v>
      </c>
      <c r="F35">
        <v>1842739</v>
      </c>
    </row>
    <row r="36" spans="1:6">
      <c r="A36" s="39">
        <v>42194</v>
      </c>
      <c r="B36">
        <v>112.69</v>
      </c>
      <c r="C36">
        <v>112.77</v>
      </c>
      <c r="D36">
        <v>112.31</v>
      </c>
      <c r="E36">
        <v>112.35</v>
      </c>
      <c r="F36">
        <v>461301</v>
      </c>
    </row>
    <row r="37" spans="1:6">
      <c r="A37" s="39">
        <v>42195</v>
      </c>
      <c r="B37">
        <v>111.83</v>
      </c>
      <c r="C37">
        <v>112.09</v>
      </c>
      <c r="D37">
        <v>111.65</v>
      </c>
      <c r="E37">
        <v>111.82</v>
      </c>
      <c r="F37">
        <v>699520</v>
      </c>
    </row>
    <row r="38" spans="1:6">
      <c r="A38" s="39">
        <v>42198</v>
      </c>
      <c r="B38">
        <v>111.51</v>
      </c>
      <c r="C38">
        <v>111.8</v>
      </c>
      <c r="D38">
        <v>111.42</v>
      </c>
      <c r="E38">
        <v>111.43</v>
      </c>
      <c r="F38">
        <v>410415</v>
      </c>
    </row>
    <row r="39" spans="1:6">
      <c r="A39" s="39">
        <v>42199</v>
      </c>
      <c r="B39">
        <v>111.56</v>
      </c>
      <c r="C39">
        <v>111.72</v>
      </c>
      <c r="D39">
        <v>111.46</v>
      </c>
      <c r="E39">
        <v>111.61</v>
      </c>
      <c r="F39">
        <v>359631</v>
      </c>
    </row>
    <row r="40" spans="1:6">
      <c r="A40" s="39">
        <v>42200</v>
      </c>
      <c r="B40">
        <v>111.6</v>
      </c>
      <c r="C40">
        <v>112.02</v>
      </c>
      <c r="D40">
        <v>111.5</v>
      </c>
      <c r="E40">
        <v>111.92</v>
      </c>
      <c r="F40">
        <v>361062</v>
      </c>
    </row>
    <row r="41" spans="1:6">
      <c r="A41" s="39">
        <v>42201</v>
      </c>
      <c r="B41">
        <v>111.81</v>
      </c>
      <c r="C41">
        <v>112.17</v>
      </c>
      <c r="D41">
        <v>111.67</v>
      </c>
      <c r="E41">
        <v>112.06</v>
      </c>
      <c r="F41">
        <v>716710</v>
      </c>
    </row>
    <row r="42" spans="1:6">
      <c r="A42" s="39">
        <v>42202</v>
      </c>
      <c r="B42">
        <v>111.89</v>
      </c>
      <c r="C42">
        <v>112.13</v>
      </c>
      <c r="D42">
        <v>111.89</v>
      </c>
      <c r="E42">
        <v>112.02</v>
      </c>
      <c r="F42">
        <v>228397</v>
      </c>
    </row>
    <row r="43" spans="1:6">
      <c r="A43" s="39">
        <v>42205</v>
      </c>
      <c r="B43">
        <v>111.77</v>
      </c>
      <c r="C43">
        <v>111.87</v>
      </c>
      <c r="D43">
        <v>111.58</v>
      </c>
      <c r="E43">
        <v>111.72</v>
      </c>
      <c r="F43">
        <v>355226</v>
      </c>
    </row>
    <row r="44" spans="1:6">
      <c r="A44" s="39">
        <v>42206</v>
      </c>
      <c r="B44">
        <v>111.65</v>
      </c>
      <c r="C44">
        <v>112.06</v>
      </c>
      <c r="D44">
        <v>111.59</v>
      </c>
      <c r="E44">
        <v>111.98</v>
      </c>
      <c r="F44">
        <v>679868</v>
      </c>
    </row>
    <row r="45" spans="1:6">
      <c r="A45" s="39">
        <v>42207</v>
      </c>
      <c r="B45">
        <v>112.02</v>
      </c>
      <c r="C45">
        <v>112.31</v>
      </c>
      <c r="D45">
        <v>111.99</v>
      </c>
      <c r="E45">
        <v>112.03</v>
      </c>
      <c r="F45">
        <v>320311</v>
      </c>
    </row>
    <row r="46" spans="1:6">
      <c r="A46" s="39">
        <v>42208</v>
      </c>
      <c r="B46">
        <v>111.96</v>
      </c>
      <c r="C46">
        <v>112.32</v>
      </c>
      <c r="D46">
        <v>111.91</v>
      </c>
      <c r="E46">
        <v>112.22</v>
      </c>
      <c r="F46">
        <v>321020</v>
      </c>
    </row>
    <row r="47" spans="1:6">
      <c r="A47" s="39">
        <v>42209</v>
      </c>
      <c r="B47">
        <v>112.34</v>
      </c>
      <c r="C47">
        <v>112.36</v>
      </c>
      <c r="D47">
        <v>111.91</v>
      </c>
      <c r="E47">
        <v>112.1</v>
      </c>
      <c r="F47">
        <v>631990</v>
      </c>
    </row>
    <row r="48" spans="1:6">
      <c r="A48" s="39">
        <v>42212</v>
      </c>
      <c r="B48">
        <v>112.37</v>
      </c>
      <c r="C48">
        <v>112.45</v>
      </c>
      <c r="D48">
        <v>112.13</v>
      </c>
      <c r="E48">
        <v>112.33</v>
      </c>
      <c r="F48">
        <v>396951</v>
      </c>
    </row>
    <row r="49" spans="1:6">
      <c r="A49" s="39">
        <v>42213</v>
      </c>
      <c r="B49">
        <v>112.08</v>
      </c>
      <c r="C49">
        <v>112.25</v>
      </c>
      <c r="D49">
        <v>112</v>
      </c>
      <c r="E49">
        <v>112.06</v>
      </c>
      <c r="F49">
        <v>388996</v>
      </c>
    </row>
    <row r="50" spans="1:6">
      <c r="A50" s="39">
        <v>42214</v>
      </c>
      <c r="B50">
        <v>112.02</v>
      </c>
      <c r="C50">
        <v>112.21</v>
      </c>
      <c r="D50">
        <v>111.82</v>
      </c>
      <c r="E50">
        <v>112.05</v>
      </c>
      <c r="F50">
        <v>382713</v>
      </c>
    </row>
    <row r="51" spans="1:6">
      <c r="A51" s="39">
        <v>42215</v>
      </c>
      <c r="B51">
        <v>112.19</v>
      </c>
      <c r="C51">
        <v>112.36</v>
      </c>
      <c r="D51">
        <v>112.1</v>
      </c>
      <c r="E51">
        <v>112.21</v>
      </c>
      <c r="F51">
        <v>290622</v>
      </c>
    </row>
    <row r="52" spans="1:6">
      <c r="A52" s="39">
        <v>42216</v>
      </c>
      <c r="B52">
        <v>112.55</v>
      </c>
      <c r="C52">
        <v>112.71</v>
      </c>
      <c r="D52">
        <v>112.45</v>
      </c>
      <c r="E52">
        <v>112.65</v>
      </c>
      <c r="F52">
        <v>298985</v>
      </c>
    </row>
    <row r="53" spans="1:6">
      <c r="A53" s="39">
        <v>42219</v>
      </c>
      <c r="B53">
        <v>112.59</v>
      </c>
      <c r="C53">
        <v>112.68</v>
      </c>
      <c r="D53">
        <v>112.42</v>
      </c>
      <c r="E53">
        <v>112.55</v>
      </c>
      <c r="F53">
        <v>1030490</v>
      </c>
    </row>
    <row r="54" spans="1:6">
      <c r="A54" s="39">
        <v>42220</v>
      </c>
      <c r="B54">
        <v>112.42</v>
      </c>
      <c r="C54">
        <v>112.5</v>
      </c>
      <c r="D54">
        <v>111.89</v>
      </c>
      <c r="E54">
        <v>111.92</v>
      </c>
      <c r="F54">
        <v>2022438</v>
      </c>
    </row>
    <row r="55" spans="1:6">
      <c r="A55" s="39">
        <v>42221</v>
      </c>
      <c r="B55">
        <v>111.83</v>
      </c>
      <c r="C55">
        <v>111.87</v>
      </c>
      <c r="D55">
        <v>111.54</v>
      </c>
      <c r="E55">
        <v>111.57</v>
      </c>
      <c r="F55">
        <v>424004</v>
      </c>
    </row>
    <row r="56" spans="1:6">
      <c r="A56" s="39">
        <v>42222</v>
      </c>
      <c r="B56">
        <v>111.6</v>
      </c>
      <c r="C56">
        <v>111.79</v>
      </c>
      <c r="D56">
        <v>111.48</v>
      </c>
      <c r="E56">
        <v>111.77</v>
      </c>
      <c r="F56">
        <v>372211</v>
      </c>
    </row>
    <row r="57" spans="1:6">
      <c r="A57" s="39">
        <v>42223</v>
      </c>
      <c r="B57">
        <v>111.8</v>
      </c>
      <c r="C57">
        <v>112.21</v>
      </c>
      <c r="D57">
        <v>111.7</v>
      </c>
      <c r="E57">
        <v>112.08</v>
      </c>
      <c r="F57">
        <v>475754</v>
      </c>
    </row>
    <row r="58" spans="1:6">
      <c r="A58" s="39">
        <v>42226</v>
      </c>
      <c r="B58">
        <v>111.91</v>
      </c>
      <c r="C58">
        <v>112</v>
      </c>
      <c r="D58">
        <v>111.83</v>
      </c>
      <c r="E58">
        <v>111.92</v>
      </c>
      <c r="F58">
        <v>486718</v>
      </c>
    </row>
    <row r="59" spans="1:6">
      <c r="A59" s="39">
        <v>42227</v>
      </c>
      <c r="B59">
        <v>112.14</v>
      </c>
      <c r="C59">
        <v>112.5</v>
      </c>
      <c r="D59">
        <v>112.1</v>
      </c>
      <c r="E59">
        <v>112.38</v>
      </c>
      <c r="F59">
        <v>1401525</v>
      </c>
    </row>
    <row r="60" spans="1:6">
      <c r="A60" s="39">
        <v>42228</v>
      </c>
      <c r="B60">
        <v>112.5</v>
      </c>
      <c r="C60">
        <v>112.84</v>
      </c>
      <c r="D60">
        <v>112.05</v>
      </c>
      <c r="E60">
        <v>112.12</v>
      </c>
      <c r="F60">
        <v>461403</v>
      </c>
    </row>
    <row r="61" spans="1:6">
      <c r="A61" s="39">
        <v>42229</v>
      </c>
      <c r="B61">
        <v>111.72</v>
      </c>
      <c r="C61">
        <v>111.91</v>
      </c>
      <c r="D61">
        <v>111.54</v>
      </c>
      <c r="E61">
        <v>111.82</v>
      </c>
      <c r="F61">
        <v>447659</v>
      </c>
    </row>
    <row r="62" spans="1:6">
      <c r="A62" s="39">
        <v>42230</v>
      </c>
      <c r="B62">
        <v>111.66</v>
      </c>
      <c r="C62">
        <v>111.96</v>
      </c>
      <c r="D62">
        <v>111.6</v>
      </c>
      <c r="E62">
        <v>111.7</v>
      </c>
      <c r="F62">
        <v>1885373</v>
      </c>
    </row>
    <row r="63" spans="1:6">
      <c r="A63" s="39">
        <v>42233</v>
      </c>
      <c r="B63">
        <v>111.97</v>
      </c>
      <c r="C63">
        <v>112.09</v>
      </c>
      <c r="D63">
        <v>111.68</v>
      </c>
      <c r="E63">
        <v>111.69</v>
      </c>
      <c r="F63">
        <v>393212</v>
      </c>
    </row>
    <row r="64" spans="1:6">
      <c r="A64" s="39">
        <v>42234</v>
      </c>
      <c r="B64">
        <v>111.47</v>
      </c>
      <c r="C64">
        <v>111.68</v>
      </c>
      <c r="D64">
        <v>111.38</v>
      </c>
      <c r="E64">
        <v>111.42</v>
      </c>
      <c r="F64">
        <v>394934</v>
      </c>
    </row>
    <row r="65" spans="1:6">
      <c r="A65" s="39">
        <v>42235</v>
      </c>
      <c r="B65">
        <v>111.15</v>
      </c>
      <c r="C65">
        <v>111.91</v>
      </c>
      <c r="D65">
        <v>111.06</v>
      </c>
      <c r="E65">
        <v>111.8</v>
      </c>
      <c r="F65">
        <v>500471</v>
      </c>
    </row>
    <row r="66" spans="1:6">
      <c r="A66" s="39">
        <v>42236</v>
      </c>
      <c r="B66">
        <v>111.76</v>
      </c>
      <c r="C66">
        <v>112.17</v>
      </c>
      <c r="D66">
        <v>111.61</v>
      </c>
      <c r="E66">
        <v>112.11</v>
      </c>
      <c r="F66">
        <v>552318</v>
      </c>
    </row>
    <row r="67" spans="1:6">
      <c r="A67" s="39">
        <v>42237</v>
      </c>
      <c r="B67">
        <v>112.04</v>
      </c>
      <c r="C67">
        <v>112.21</v>
      </c>
      <c r="D67">
        <v>111.86</v>
      </c>
      <c r="E67">
        <v>112.15</v>
      </c>
      <c r="F67">
        <v>586312</v>
      </c>
    </row>
    <row r="68" spans="1:6">
      <c r="A68" s="39">
        <v>42240</v>
      </c>
      <c r="B68">
        <v>112.58</v>
      </c>
      <c r="C68">
        <v>112.84</v>
      </c>
      <c r="D68">
        <v>111.64</v>
      </c>
      <c r="E68">
        <v>111.76</v>
      </c>
      <c r="F68">
        <v>960318</v>
      </c>
    </row>
    <row r="69" spans="1:6">
      <c r="A69" s="39">
        <v>42241</v>
      </c>
      <c r="B69">
        <v>111.61</v>
      </c>
      <c r="C69">
        <v>111.74</v>
      </c>
      <c r="D69">
        <v>111.24</v>
      </c>
      <c r="E69">
        <v>111.49</v>
      </c>
      <c r="F69">
        <v>1024542</v>
      </c>
    </row>
    <row r="70" spans="1:6">
      <c r="A70" s="39">
        <v>42242</v>
      </c>
      <c r="B70">
        <v>111.16</v>
      </c>
      <c r="C70">
        <v>111.67</v>
      </c>
      <c r="D70">
        <v>110.77</v>
      </c>
      <c r="E70">
        <v>110.82</v>
      </c>
      <c r="F70">
        <v>562063</v>
      </c>
    </row>
    <row r="71" spans="1:6">
      <c r="A71" s="39">
        <v>42243</v>
      </c>
      <c r="B71">
        <v>111.13</v>
      </c>
      <c r="C71">
        <v>111.6</v>
      </c>
      <c r="D71">
        <v>111.09</v>
      </c>
      <c r="E71">
        <v>111.36</v>
      </c>
      <c r="F71">
        <v>601637</v>
      </c>
    </row>
    <row r="72" spans="1:6">
      <c r="A72" s="39">
        <v>42244</v>
      </c>
      <c r="B72">
        <v>111.72</v>
      </c>
      <c r="C72">
        <v>112</v>
      </c>
      <c r="D72">
        <v>111.62</v>
      </c>
      <c r="E72">
        <v>111.68</v>
      </c>
      <c r="F72">
        <v>452672</v>
      </c>
    </row>
    <row r="73" spans="1:6">
      <c r="A73" s="39">
        <v>42247</v>
      </c>
      <c r="B73">
        <v>111.86</v>
      </c>
      <c r="C73">
        <v>111.89</v>
      </c>
      <c r="D73">
        <v>111.38</v>
      </c>
      <c r="E73">
        <v>111.58</v>
      </c>
      <c r="F73">
        <v>3113851</v>
      </c>
    </row>
    <row r="74" spans="1:6">
      <c r="A74" s="39">
        <v>42248</v>
      </c>
      <c r="B74">
        <v>111.18</v>
      </c>
      <c r="C74">
        <v>111.29</v>
      </c>
      <c r="D74">
        <v>110.9</v>
      </c>
      <c r="E74">
        <v>111.07</v>
      </c>
      <c r="F74">
        <v>831342</v>
      </c>
    </row>
    <row r="75" spans="1:6">
      <c r="A75" s="39">
        <v>42249</v>
      </c>
      <c r="B75">
        <v>110.97</v>
      </c>
      <c r="C75">
        <v>111.07</v>
      </c>
      <c r="D75">
        <v>110.72</v>
      </c>
      <c r="E75">
        <v>110.72</v>
      </c>
      <c r="F75">
        <v>2281911</v>
      </c>
    </row>
    <row r="76" spans="1:6">
      <c r="A76" s="39">
        <v>42250</v>
      </c>
      <c r="B76">
        <v>110.84</v>
      </c>
      <c r="C76">
        <v>110.93</v>
      </c>
      <c r="D76">
        <v>110.69</v>
      </c>
      <c r="E76">
        <v>110.73</v>
      </c>
      <c r="F76">
        <v>478040</v>
      </c>
    </row>
    <row r="77" spans="1:6">
      <c r="A77" s="39">
        <v>42251</v>
      </c>
      <c r="B77">
        <v>110.85</v>
      </c>
      <c r="C77">
        <v>111.05</v>
      </c>
      <c r="D77">
        <v>110.69</v>
      </c>
      <c r="E77">
        <v>110.91</v>
      </c>
      <c r="F77">
        <v>358206</v>
      </c>
    </row>
    <row r="78" spans="1:6">
      <c r="A78" s="39">
        <v>42255</v>
      </c>
      <c r="B78">
        <v>110.58</v>
      </c>
      <c r="C78">
        <v>110.61</v>
      </c>
      <c r="D78">
        <v>110.36</v>
      </c>
      <c r="E78">
        <v>110.41</v>
      </c>
      <c r="F78">
        <v>415900</v>
      </c>
    </row>
    <row r="79" spans="1:6">
      <c r="A79" s="39">
        <v>42256</v>
      </c>
      <c r="B79">
        <v>110.22</v>
      </c>
      <c r="C79">
        <v>110.77</v>
      </c>
      <c r="D79">
        <v>110.19</v>
      </c>
      <c r="E79">
        <v>110.66</v>
      </c>
      <c r="F79">
        <v>429434</v>
      </c>
    </row>
    <row r="80" spans="1:6">
      <c r="A80" s="39">
        <v>42257</v>
      </c>
      <c r="B80">
        <v>110.55</v>
      </c>
      <c r="C80">
        <v>110.7</v>
      </c>
      <c r="D80">
        <v>110.48</v>
      </c>
      <c r="E80">
        <v>110.69</v>
      </c>
      <c r="F80">
        <v>576035</v>
      </c>
    </row>
    <row r="81" spans="1:6">
      <c r="A81" s="39">
        <v>42258</v>
      </c>
      <c r="B81">
        <v>110.94</v>
      </c>
      <c r="C81">
        <v>111.1</v>
      </c>
      <c r="D81">
        <v>110.83</v>
      </c>
      <c r="E81">
        <v>111</v>
      </c>
      <c r="F81">
        <v>1127594</v>
      </c>
    </row>
    <row r="82" spans="1:6">
      <c r="A82" s="39">
        <v>42261</v>
      </c>
      <c r="B82">
        <v>111.08</v>
      </c>
      <c r="C82">
        <v>111.17</v>
      </c>
      <c r="D82">
        <v>110.76</v>
      </c>
      <c r="E82">
        <v>110.79</v>
      </c>
      <c r="F82">
        <v>461643</v>
      </c>
    </row>
    <row r="83" spans="1:6">
      <c r="A83" s="39">
        <v>42262</v>
      </c>
      <c r="B83">
        <v>110.6</v>
      </c>
      <c r="C83">
        <v>110.68</v>
      </c>
      <c r="D83">
        <v>109.97</v>
      </c>
      <c r="E83">
        <v>110.04</v>
      </c>
      <c r="F83">
        <v>316337</v>
      </c>
    </row>
    <row r="84" spans="1:6">
      <c r="A84" s="39">
        <v>42263</v>
      </c>
      <c r="B84">
        <v>110.02</v>
      </c>
      <c r="C84">
        <v>110.33</v>
      </c>
      <c r="D84">
        <v>109.92</v>
      </c>
      <c r="E84">
        <v>110.01</v>
      </c>
      <c r="F84">
        <v>438780</v>
      </c>
    </row>
    <row r="85" spans="1:6">
      <c r="A85" s="39">
        <v>42264</v>
      </c>
      <c r="B85">
        <v>109.98</v>
      </c>
      <c r="C85">
        <v>110.89</v>
      </c>
      <c r="D85">
        <v>109.79</v>
      </c>
      <c r="E85">
        <v>110.87</v>
      </c>
      <c r="F85">
        <v>380824</v>
      </c>
    </row>
    <row r="86" spans="1:6">
      <c r="A86" s="39">
        <v>42265</v>
      </c>
      <c r="B86">
        <v>110.9</v>
      </c>
      <c r="C86">
        <v>111.27</v>
      </c>
      <c r="D86">
        <v>110.8</v>
      </c>
      <c r="E86">
        <v>111.22</v>
      </c>
      <c r="F86">
        <v>348357</v>
      </c>
    </row>
    <row r="87" spans="1:6">
      <c r="A87" s="39">
        <v>42268</v>
      </c>
      <c r="B87">
        <v>110.95</v>
      </c>
      <c r="C87">
        <v>110.95</v>
      </c>
      <c r="D87">
        <v>110.45</v>
      </c>
      <c r="E87">
        <v>110.52</v>
      </c>
      <c r="F87">
        <v>398471</v>
      </c>
    </row>
    <row r="88" spans="1:6">
      <c r="A88" s="39">
        <v>42269</v>
      </c>
      <c r="B88">
        <v>110.6</v>
      </c>
      <c r="C88">
        <v>110.88</v>
      </c>
      <c r="D88">
        <v>110.44</v>
      </c>
      <c r="E88">
        <v>110.79</v>
      </c>
      <c r="F88">
        <v>409415</v>
      </c>
    </row>
    <row r="89" spans="1:6">
      <c r="A89" s="39">
        <v>42270</v>
      </c>
      <c r="B89">
        <v>110.72</v>
      </c>
      <c r="C89">
        <v>110.9</v>
      </c>
      <c r="D89">
        <v>110.62</v>
      </c>
      <c r="E89">
        <v>110.71</v>
      </c>
      <c r="F89">
        <v>254470</v>
      </c>
    </row>
    <row r="90" spans="1:6">
      <c r="A90" s="39">
        <v>42271</v>
      </c>
      <c r="B90">
        <v>110.94</v>
      </c>
      <c r="C90">
        <v>111.1</v>
      </c>
      <c r="D90">
        <v>110.69</v>
      </c>
      <c r="E90">
        <v>110.72</v>
      </c>
      <c r="F90">
        <v>459448</v>
      </c>
    </row>
    <row r="91" spans="1:6">
      <c r="A91" s="39">
        <v>42272</v>
      </c>
      <c r="B91">
        <v>110.46</v>
      </c>
      <c r="C91">
        <v>110.57</v>
      </c>
      <c r="D91">
        <v>110.13</v>
      </c>
      <c r="E91">
        <v>110.13</v>
      </c>
      <c r="F91">
        <v>436698</v>
      </c>
    </row>
    <row r="92" spans="1:6">
      <c r="A92" s="39">
        <v>42275</v>
      </c>
      <c r="B92">
        <v>110.2</v>
      </c>
      <c r="C92">
        <v>110.53</v>
      </c>
      <c r="D92">
        <v>110.12</v>
      </c>
      <c r="E92">
        <v>110.16</v>
      </c>
      <c r="F92">
        <v>475582</v>
      </c>
    </row>
    <row r="93" spans="1:6">
      <c r="A93" s="39">
        <v>42276</v>
      </c>
      <c r="B93">
        <v>110.42</v>
      </c>
      <c r="C93">
        <v>110.59</v>
      </c>
      <c r="D93">
        <v>110.34</v>
      </c>
      <c r="E93">
        <v>110.47</v>
      </c>
      <c r="F93">
        <v>373085</v>
      </c>
    </row>
    <row r="94" spans="1:6">
      <c r="A94" s="39">
        <v>42277</v>
      </c>
      <c r="B94">
        <v>110.53</v>
      </c>
      <c r="C94">
        <v>110.7</v>
      </c>
      <c r="D94">
        <v>110.46</v>
      </c>
      <c r="E94">
        <v>110.69</v>
      </c>
      <c r="F94">
        <v>537936</v>
      </c>
    </row>
    <row r="95" spans="1:6">
      <c r="A95" s="39">
        <v>42278</v>
      </c>
      <c r="B95">
        <v>111.1</v>
      </c>
      <c r="C95">
        <v>111.29</v>
      </c>
      <c r="D95">
        <v>110.98</v>
      </c>
      <c r="E95">
        <v>111.03</v>
      </c>
      <c r="F95">
        <v>529738</v>
      </c>
    </row>
    <row r="96" spans="1:6">
      <c r="A96" s="39">
        <v>42279</v>
      </c>
      <c r="B96">
        <v>111.8</v>
      </c>
      <c r="C96">
        <v>111.96</v>
      </c>
      <c r="D96">
        <v>111.52</v>
      </c>
      <c r="E96">
        <v>111.67</v>
      </c>
      <c r="F96">
        <v>771295</v>
      </c>
    </row>
    <row r="97" spans="1:6">
      <c r="A97" s="39">
        <v>42282</v>
      </c>
      <c r="B97">
        <v>111.67</v>
      </c>
      <c r="C97">
        <v>111.73</v>
      </c>
      <c r="D97">
        <v>111.32</v>
      </c>
      <c r="E97">
        <v>111.33</v>
      </c>
      <c r="F97">
        <v>617638</v>
      </c>
    </row>
    <row r="98" spans="1:6">
      <c r="A98" s="39">
        <v>42283</v>
      </c>
      <c r="B98">
        <v>111.33</v>
      </c>
      <c r="C98">
        <v>111.8</v>
      </c>
      <c r="D98">
        <v>111.31</v>
      </c>
      <c r="E98">
        <v>111.65</v>
      </c>
      <c r="F98">
        <v>481154</v>
      </c>
    </row>
    <row r="99" spans="1:6">
      <c r="A99" s="39">
        <v>42284</v>
      </c>
      <c r="B99">
        <v>111.49</v>
      </c>
      <c r="C99">
        <v>111.73</v>
      </c>
      <c r="D99">
        <v>111.4</v>
      </c>
      <c r="E99">
        <v>111.63</v>
      </c>
      <c r="F99">
        <v>458133</v>
      </c>
    </row>
    <row r="100" spans="1:6">
      <c r="A100" s="39">
        <v>42285</v>
      </c>
      <c r="B100">
        <v>111.66</v>
      </c>
      <c r="C100">
        <v>111.89</v>
      </c>
      <c r="D100">
        <v>111.43</v>
      </c>
      <c r="E100">
        <v>111.59</v>
      </c>
      <c r="F100">
        <v>426974</v>
      </c>
    </row>
    <row r="101" spans="1:6">
      <c r="A101" s="39">
        <v>42286</v>
      </c>
      <c r="B101">
        <v>111.41</v>
      </c>
      <c r="C101">
        <v>111.61</v>
      </c>
      <c r="D101">
        <v>111.21</v>
      </c>
      <c r="E101">
        <v>111.28</v>
      </c>
      <c r="F101">
        <v>607522</v>
      </c>
    </row>
    <row r="102" spans="1:6">
      <c r="A102" s="39">
        <v>42289</v>
      </c>
      <c r="B102">
        <v>111.47</v>
      </c>
      <c r="C102">
        <v>111.58</v>
      </c>
      <c r="D102">
        <v>111.35</v>
      </c>
      <c r="E102">
        <v>111.48</v>
      </c>
      <c r="F102">
        <v>287721</v>
      </c>
    </row>
    <row r="103" spans="1:6">
      <c r="A103" s="39">
        <v>42290</v>
      </c>
      <c r="B103">
        <v>111.39</v>
      </c>
      <c r="C103">
        <v>111.54</v>
      </c>
      <c r="D103">
        <v>111.21</v>
      </c>
      <c r="E103">
        <v>111.42</v>
      </c>
      <c r="F103">
        <v>395497</v>
      </c>
    </row>
    <row r="104" spans="1:6">
      <c r="A104" s="39">
        <v>42291</v>
      </c>
      <c r="B104">
        <v>111.5</v>
      </c>
      <c r="C104">
        <v>111.81</v>
      </c>
      <c r="D104">
        <v>111.39</v>
      </c>
      <c r="E104">
        <v>111.8</v>
      </c>
      <c r="F104">
        <v>466367</v>
      </c>
    </row>
    <row r="105" spans="1:6">
      <c r="A105" s="39">
        <v>42292</v>
      </c>
      <c r="B105">
        <v>111.82</v>
      </c>
      <c r="C105">
        <v>111.85</v>
      </c>
      <c r="D105">
        <v>111.51</v>
      </c>
      <c r="E105">
        <v>111.59</v>
      </c>
      <c r="F105">
        <v>1843825</v>
      </c>
    </row>
    <row r="106" spans="1:6">
      <c r="A106" s="39">
        <v>42293</v>
      </c>
      <c r="B106">
        <v>111.5</v>
      </c>
      <c r="C106">
        <v>111.5</v>
      </c>
      <c r="D106">
        <v>111.25</v>
      </c>
      <c r="E106">
        <v>111.29</v>
      </c>
      <c r="F106">
        <v>467655</v>
      </c>
    </row>
    <row r="107" spans="1:6">
      <c r="A107" s="39">
        <v>42296</v>
      </c>
      <c r="B107">
        <v>111.12</v>
      </c>
      <c r="C107">
        <v>111.19</v>
      </c>
      <c r="D107">
        <v>110.92</v>
      </c>
      <c r="E107">
        <v>111.1</v>
      </c>
      <c r="F107">
        <v>326618</v>
      </c>
    </row>
    <row r="108" spans="1:6">
      <c r="A108" s="39">
        <v>42297</v>
      </c>
      <c r="B108">
        <v>110.85</v>
      </c>
      <c r="C108">
        <v>110.98</v>
      </c>
      <c r="D108">
        <v>110.75</v>
      </c>
      <c r="E108">
        <v>110.97</v>
      </c>
      <c r="F108">
        <v>420319</v>
      </c>
    </row>
    <row r="109" spans="1:6">
      <c r="A109" s="39">
        <v>42298</v>
      </c>
      <c r="B109">
        <v>111.12</v>
      </c>
      <c r="C109">
        <v>111.27</v>
      </c>
      <c r="D109">
        <v>111.04</v>
      </c>
      <c r="E109">
        <v>111.04</v>
      </c>
      <c r="F109">
        <v>371781</v>
      </c>
    </row>
    <row r="110" spans="1:6">
      <c r="A110" s="39">
        <v>42299</v>
      </c>
      <c r="B110">
        <v>111.13</v>
      </c>
      <c r="C110">
        <v>111.51</v>
      </c>
      <c r="D110">
        <v>111.02</v>
      </c>
      <c r="E110">
        <v>111.42</v>
      </c>
      <c r="F110">
        <v>368372</v>
      </c>
    </row>
    <row r="111" spans="1:6">
      <c r="A111" s="39">
        <v>42300</v>
      </c>
      <c r="B111">
        <v>111.26</v>
      </c>
      <c r="C111">
        <v>111.34</v>
      </c>
      <c r="D111">
        <v>111.14</v>
      </c>
      <c r="E111">
        <v>111.26</v>
      </c>
      <c r="F111">
        <v>303989</v>
      </c>
    </row>
    <row r="112" spans="1:6">
      <c r="A112" s="39">
        <v>42303</v>
      </c>
      <c r="B112">
        <v>111.4</v>
      </c>
      <c r="C112">
        <v>111.45</v>
      </c>
      <c r="D112">
        <v>111.23</v>
      </c>
      <c r="E112">
        <v>111.23</v>
      </c>
      <c r="F112">
        <v>256272</v>
      </c>
    </row>
    <row r="113" spans="1:6">
      <c r="A113" s="39">
        <v>42304</v>
      </c>
      <c r="B113">
        <v>111.5</v>
      </c>
      <c r="C113">
        <v>111.6</v>
      </c>
      <c r="D113">
        <v>111.4</v>
      </c>
      <c r="E113">
        <v>111.48</v>
      </c>
      <c r="F113">
        <v>312321</v>
      </c>
    </row>
    <row r="114" spans="1:6">
      <c r="A114" s="39">
        <v>42305</v>
      </c>
      <c r="B114">
        <v>111.39</v>
      </c>
      <c r="C114">
        <v>111.43</v>
      </c>
      <c r="D114">
        <v>110.84</v>
      </c>
      <c r="E114">
        <v>110.92</v>
      </c>
      <c r="F114">
        <v>387497</v>
      </c>
    </row>
    <row r="115" spans="1:6">
      <c r="A115" s="39">
        <v>42306</v>
      </c>
      <c r="B115">
        <v>110.69</v>
      </c>
      <c r="C115">
        <v>110.78</v>
      </c>
      <c r="D115">
        <v>110.48</v>
      </c>
      <c r="E115">
        <v>110.62</v>
      </c>
      <c r="F115">
        <v>478224</v>
      </c>
    </row>
    <row r="116" spans="1:6">
      <c r="A116" s="39">
        <v>42307</v>
      </c>
      <c r="B116">
        <v>110.84</v>
      </c>
      <c r="C116">
        <v>110.98</v>
      </c>
      <c r="D116">
        <v>110.71</v>
      </c>
      <c r="E116">
        <v>110.96</v>
      </c>
      <c r="F116">
        <v>807323</v>
      </c>
    </row>
    <row r="117" spans="1:6">
      <c r="A117" s="39">
        <v>42310</v>
      </c>
      <c r="B117">
        <v>110.71</v>
      </c>
      <c r="C117">
        <v>110.92</v>
      </c>
      <c r="D117">
        <v>110.63</v>
      </c>
      <c r="E117">
        <v>110.91</v>
      </c>
      <c r="F117">
        <v>1376966</v>
      </c>
    </row>
    <row r="118" spans="1:6">
      <c r="A118" s="39">
        <v>42311</v>
      </c>
      <c r="B118">
        <v>110.86</v>
      </c>
      <c r="C118">
        <v>111</v>
      </c>
      <c r="D118">
        <v>110.63</v>
      </c>
      <c r="E118">
        <v>110.72</v>
      </c>
      <c r="F118">
        <v>653657</v>
      </c>
    </row>
    <row r="119" spans="1:6">
      <c r="A119" s="39">
        <v>42312</v>
      </c>
      <c r="B119">
        <v>110.76</v>
      </c>
      <c r="C119">
        <v>110.93</v>
      </c>
      <c r="D119">
        <v>110.34</v>
      </c>
      <c r="E119">
        <v>110.57</v>
      </c>
      <c r="F119">
        <v>533206</v>
      </c>
    </row>
    <row r="120" spans="1:6">
      <c r="A120" s="39">
        <v>42313</v>
      </c>
      <c r="B120">
        <v>110.4</v>
      </c>
      <c r="C120">
        <v>110.43</v>
      </c>
      <c r="D120">
        <v>110.03</v>
      </c>
      <c r="E120">
        <v>110.22</v>
      </c>
      <c r="F120">
        <v>545277</v>
      </c>
    </row>
    <row r="121" spans="1:6">
      <c r="A121" s="39">
        <v>42314</v>
      </c>
      <c r="B121">
        <v>109.94</v>
      </c>
      <c r="C121">
        <v>109.94</v>
      </c>
      <c r="D121">
        <v>109.62</v>
      </c>
      <c r="E121">
        <v>109.76</v>
      </c>
      <c r="F121">
        <v>455781</v>
      </c>
    </row>
    <row r="122" spans="1:6">
      <c r="A122" s="39">
        <v>42317</v>
      </c>
      <c r="B122">
        <v>109.61</v>
      </c>
      <c r="C122">
        <v>109.92</v>
      </c>
      <c r="D122">
        <v>109.61</v>
      </c>
      <c r="E122">
        <v>109.72</v>
      </c>
      <c r="F122">
        <v>549893</v>
      </c>
    </row>
    <row r="123" spans="1:6">
      <c r="A123" s="39">
        <v>42318</v>
      </c>
      <c r="B123">
        <v>109.8</v>
      </c>
      <c r="C123">
        <v>110.02</v>
      </c>
      <c r="D123">
        <v>109.66</v>
      </c>
      <c r="E123">
        <v>109.68</v>
      </c>
      <c r="F123">
        <v>855966</v>
      </c>
    </row>
    <row r="124" spans="1:6">
      <c r="A124" s="39">
        <v>42319</v>
      </c>
      <c r="B124">
        <v>109.59</v>
      </c>
      <c r="C124">
        <v>109.7</v>
      </c>
      <c r="D124">
        <v>109.51</v>
      </c>
      <c r="E124">
        <v>109.67</v>
      </c>
      <c r="F124">
        <v>439240</v>
      </c>
    </row>
    <row r="125" spans="1:6">
      <c r="A125" s="39">
        <v>42320</v>
      </c>
      <c r="B125">
        <v>109.56</v>
      </c>
      <c r="C125">
        <v>109.74</v>
      </c>
      <c r="D125">
        <v>109.53</v>
      </c>
      <c r="E125">
        <v>109.67</v>
      </c>
      <c r="F125">
        <v>569406</v>
      </c>
    </row>
    <row r="126" spans="1:6">
      <c r="A126" s="39">
        <v>42321</v>
      </c>
      <c r="B126">
        <v>109.87</v>
      </c>
      <c r="C126">
        <v>109.97</v>
      </c>
      <c r="D126">
        <v>109.76</v>
      </c>
      <c r="E126">
        <v>109.82</v>
      </c>
      <c r="F126">
        <v>564487</v>
      </c>
    </row>
    <row r="127" spans="1:6">
      <c r="A127" s="39">
        <v>42324</v>
      </c>
      <c r="B127">
        <v>110.02</v>
      </c>
      <c r="C127">
        <v>110.02</v>
      </c>
      <c r="D127">
        <v>109.66</v>
      </c>
      <c r="E127">
        <v>109.76</v>
      </c>
      <c r="F127">
        <v>544333</v>
      </c>
    </row>
    <row r="128" spans="1:6">
      <c r="A128" s="39">
        <v>42325</v>
      </c>
      <c r="B128">
        <v>109.71</v>
      </c>
      <c r="C128">
        <v>110.1</v>
      </c>
      <c r="D128">
        <v>109.68</v>
      </c>
      <c r="E128">
        <v>109.96</v>
      </c>
      <c r="F128">
        <v>810076</v>
      </c>
    </row>
    <row r="129" spans="1:6">
      <c r="A129" s="39">
        <v>42326</v>
      </c>
      <c r="B129">
        <v>109.86</v>
      </c>
      <c r="C129">
        <v>110.16</v>
      </c>
      <c r="D129">
        <v>109.81</v>
      </c>
      <c r="E129">
        <v>110.12</v>
      </c>
      <c r="F129">
        <v>558944</v>
      </c>
    </row>
    <row r="130" spans="1:6">
      <c r="A130" s="39">
        <v>42327</v>
      </c>
      <c r="B130">
        <v>110.35</v>
      </c>
      <c r="C130">
        <v>110.53</v>
      </c>
      <c r="D130">
        <v>110.25</v>
      </c>
      <c r="E130">
        <v>110.51</v>
      </c>
      <c r="F130">
        <v>503992</v>
      </c>
    </row>
    <row r="131" spans="1:6">
      <c r="A131" s="39">
        <v>42328</v>
      </c>
      <c r="B131">
        <v>110.51</v>
      </c>
      <c r="C131">
        <v>110.69</v>
      </c>
      <c r="D131">
        <v>110.49</v>
      </c>
      <c r="E131">
        <v>110.6</v>
      </c>
      <c r="F131">
        <v>445565</v>
      </c>
    </row>
    <row r="132" spans="1:6">
      <c r="A132" s="39">
        <v>42331</v>
      </c>
      <c r="B132">
        <v>110.57</v>
      </c>
      <c r="C132">
        <v>110.82</v>
      </c>
      <c r="D132">
        <v>110.45</v>
      </c>
      <c r="E132">
        <v>110.73</v>
      </c>
      <c r="F132">
        <v>533221</v>
      </c>
    </row>
    <row r="133" spans="1:6">
      <c r="A133" s="39">
        <v>42332</v>
      </c>
      <c r="B133">
        <v>110.82</v>
      </c>
      <c r="C133">
        <v>110.98</v>
      </c>
      <c r="D133">
        <v>110.73</v>
      </c>
      <c r="E133">
        <v>110.85</v>
      </c>
      <c r="F133">
        <v>578117</v>
      </c>
    </row>
    <row r="134" spans="1:6">
      <c r="A134" s="39">
        <v>42333</v>
      </c>
      <c r="B134">
        <v>110.74</v>
      </c>
      <c r="C134">
        <v>110.86</v>
      </c>
      <c r="D134">
        <v>110.6</v>
      </c>
      <c r="E134">
        <v>110.79</v>
      </c>
      <c r="F134">
        <v>567085</v>
      </c>
    </row>
    <row r="135" spans="1:6">
      <c r="A135" s="39">
        <v>42335</v>
      </c>
      <c r="B135">
        <v>110.87</v>
      </c>
      <c r="C135">
        <v>110.93</v>
      </c>
      <c r="D135">
        <v>110.79</v>
      </c>
      <c r="E135">
        <v>110.85</v>
      </c>
      <c r="F135">
        <v>308954</v>
      </c>
    </row>
    <row r="136" spans="1:6">
      <c r="A136" s="39">
        <v>42338</v>
      </c>
      <c r="B136">
        <v>110.89</v>
      </c>
      <c r="C136">
        <v>111</v>
      </c>
      <c r="D136">
        <v>110.67</v>
      </c>
      <c r="E136">
        <v>110.8</v>
      </c>
      <c r="F136">
        <v>1383720</v>
      </c>
    </row>
    <row r="137" spans="1:6">
      <c r="A137" s="39">
        <v>42339</v>
      </c>
      <c r="B137">
        <v>110.82</v>
      </c>
      <c r="C137">
        <v>111.33</v>
      </c>
      <c r="D137">
        <v>110.79</v>
      </c>
      <c r="E137">
        <v>111.21</v>
      </c>
      <c r="F137">
        <v>1398596</v>
      </c>
    </row>
    <row r="138" spans="1:6">
      <c r="A138" s="39">
        <v>42340</v>
      </c>
      <c r="B138">
        <v>110.94</v>
      </c>
      <c r="C138">
        <v>110.98</v>
      </c>
      <c r="D138">
        <v>110.73</v>
      </c>
      <c r="E138">
        <v>110.83</v>
      </c>
      <c r="F138">
        <v>838615</v>
      </c>
    </row>
    <row r="139" spans="1:6">
      <c r="A139" s="39">
        <v>42341</v>
      </c>
      <c r="B139">
        <v>110.65</v>
      </c>
      <c r="C139">
        <v>110.65</v>
      </c>
      <c r="D139">
        <v>110.02</v>
      </c>
      <c r="E139">
        <v>110.14</v>
      </c>
      <c r="F139">
        <v>1903750</v>
      </c>
    </row>
    <row r="140" spans="1:6">
      <c r="A140" s="39">
        <v>42342</v>
      </c>
      <c r="B140">
        <v>110.33</v>
      </c>
      <c r="C140">
        <v>110.63</v>
      </c>
      <c r="D140">
        <v>110.22</v>
      </c>
      <c r="E140">
        <v>110.42</v>
      </c>
      <c r="F140">
        <v>950466</v>
      </c>
    </row>
    <row r="141" spans="1:6">
      <c r="A141" s="39">
        <v>42345</v>
      </c>
      <c r="B141">
        <v>110.23</v>
      </c>
      <c r="C141">
        <v>110.62</v>
      </c>
      <c r="D141">
        <v>110.2</v>
      </c>
      <c r="E141">
        <v>110.38</v>
      </c>
      <c r="F141">
        <v>456169</v>
      </c>
    </row>
    <row r="142" spans="1:6">
      <c r="A142" s="39">
        <v>42346</v>
      </c>
      <c r="B142">
        <v>110.38</v>
      </c>
      <c r="C142">
        <v>110.58</v>
      </c>
      <c r="D142">
        <v>110.24</v>
      </c>
      <c r="E142">
        <v>110.41</v>
      </c>
      <c r="F142">
        <v>375517</v>
      </c>
    </row>
    <row r="143" spans="1:6">
      <c r="A143" s="39">
        <v>42347</v>
      </c>
      <c r="B143">
        <v>110.26</v>
      </c>
      <c r="C143">
        <v>110.44</v>
      </c>
      <c r="D143">
        <v>110.11</v>
      </c>
      <c r="E143">
        <v>110.2</v>
      </c>
      <c r="F143">
        <v>531131</v>
      </c>
    </row>
    <row r="144" spans="1:6">
      <c r="A144" s="39">
        <v>42348</v>
      </c>
      <c r="B144">
        <v>110.16</v>
      </c>
      <c r="C144">
        <v>110.23</v>
      </c>
      <c r="D144">
        <v>109.9</v>
      </c>
      <c r="E144">
        <v>109.96</v>
      </c>
      <c r="F144">
        <v>392746</v>
      </c>
    </row>
    <row r="145" spans="1:6">
      <c r="A145" s="39">
        <v>42349</v>
      </c>
      <c r="B145">
        <v>110.3</v>
      </c>
      <c r="C145">
        <v>110.48</v>
      </c>
      <c r="D145">
        <v>110.1</v>
      </c>
      <c r="E145">
        <v>110.32</v>
      </c>
      <c r="F145">
        <v>361781</v>
      </c>
    </row>
    <row r="146" spans="1:6">
      <c r="A146" s="39">
        <v>42352</v>
      </c>
      <c r="B146">
        <v>109.91</v>
      </c>
      <c r="C146">
        <v>110</v>
      </c>
      <c r="D146">
        <v>109.48</v>
      </c>
      <c r="E146">
        <v>109.53</v>
      </c>
      <c r="F146">
        <v>645133</v>
      </c>
    </row>
    <row r="147" spans="1:6">
      <c r="A147" s="39">
        <v>42353</v>
      </c>
      <c r="B147">
        <v>109.5</v>
      </c>
      <c r="C147">
        <v>109.61</v>
      </c>
      <c r="D147">
        <v>109.39</v>
      </c>
      <c r="E147">
        <v>109.47</v>
      </c>
      <c r="F147">
        <v>1634593</v>
      </c>
    </row>
    <row r="148" spans="1:6">
      <c r="A148" s="39">
        <v>42354</v>
      </c>
      <c r="B148">
        <v>109.33</v>
      </c>
      <c r="C148">
        <v>109.49</v>
      </c>
      <c r="D148">
        <v>108.98</v>
      </c>
      <c r="E148">
        <v>109.15</v>
      </c>
      <c r="F148">
        <v>505117</v>
      </c>
    </row>
    <row r="149" spans="1:6">
      <c r="A149" s="39">
        <v>42355</v>
      </c>
      <c r="B149">
        <v>109.12</v>
      </c>
      <c r="C149">
        <v>109.67</v>
      </c>
      <c r="D149">
        <v>109.12</v>
      </c>
      <c r="E149">
        <v>109.53</v>
      </c>
      <c r="F149">
        <v>1722197</v>
      </c>
    </row>
    <row r="150" spans="1:6">
      <c r="A150" s="39">
        <v>42356</v>
      </c>
      <c r="B150">
        <v>109.65</v>
      </c>
      <c r="C150">
        <v>109.97</v>
      </c>
      <c r="D150">
        <v>109.61</v>
      </c>
      <c r="E150">
        <v>109.83</v>
      </c>
      <c r="F150">
        <v>825900</v>
      </c>
    </row>
    <row r="151" spans="1:6">
      <c r="A151" s="39">
        <v>42359</v>
      </c>
      <c r="B151">
        <v>109.74</v>
      </c>
      <c r="C151">
        <v>109.82</v>
      </c>
      <c r="D151">
        <v>109.55</v>
      </c>
      <c r="E151">
        <v>109.63</v>
      </c>
      <c r="F151">
        <v>519734</v>
      </c>
    </row>
    <row r="152" spans="1:6">
      <c r="A152" s="39">
        <v>42360</v>
      </c>
      <c r="B152">
        <v>109.45</v>
      </c>
      <c r="C152">
        <v>109.54</v>
      </c>
      <c r="D152">
        <v>109.34</v>
      </c>
      <c r="E152">
        <v>109.48</v>
      </c>
      <c r="F152">
        <v>758796</v>
      </c>
    </row>
    <row r="153" spans="1:6">
      <c r="A153" s="39">
        <v>42361</v>
      </c>
      <c r="B153">
        <v>109.23</v>
      </c>
      <c r="C153">
        <v>109.67</v>
      </c>
      <c r="D153">
        <v>109.23</v>
      </c>
      <c r="E153">
        <v>109.58</v>
      </c>
      <c r="F153">
        <v>846886</v>
      </c>
    </row>
    <row r="154" spans="1:6">
      <c r="A154" s="39">
        <v>42362</v>
      </c>
      <c r="B154">
        <v>109.84</v>
      </c>
      <c r="C154">
        <v>109.84</v>
      </c>
      <c r="D154">
        <v>109.61</v>
      </c>
      <c r="E154">
        <v>109.77</v>
      </c>
      <c r="F154">
        <v>302735</v>
      </c>
    </row>
    <row r="155" spans="1:6">
      <c r="A155" s="39">
        <v>42366</v>
      </c>
      <c r="B155">
        <v>109.74</v>
      </c>
      <c r="C155">
        <v>109.99</v>
      </c>
      <c r="D155">
        <v>109.64</v>
      </c>
      <c r="E155">
        <v>109.8</v>
      </c>
      <c r="F155">
        <v>1356991</v>
      </c>
    </row>
    <row r="156" spans="1:6">
      <c r="A156" s="39">
        <v>42367</v>
      </c>
      <c r="B156">
        <v>109.76</v>
      </c>
      <c r="C156">
        <v>109.85</v>
      </c>
      <c r="D156">
        <v>109.3</v>
      </c>
      <c r="E156">
        <v>109.38</v>
      </c>
      <c r="F156">
        <v>682856</v>
      </c>
    </row>
    <row r="157" spans="1:6">
      <c r="A157" s="39">
        <v>42368</v>
      </c>
      <c r="B157">
        <v>109.24</v>
      </c>
      <c r="C157">
        <v>109.6</v>
      </c>
      <c r="D157">
        <v>109.21</v>
      </c>
      <c r="E157">
        <v>109.5</v>
      </c>
      <c r="F157">
        <v>574512</v>
      </c>
    </row>
    <row r="158" spans="1:6">
      <c r="A158" s="39">
        <v>42369</v>
      </c>
      <c r="B158">
        <v>109.66</v>
      </c>
      <c r="C158">
        <v>109.91</v>
      </c>
      <c r="D158">
        <v>109.59</v>
      </c>
      <c r="E158">
        <v>109.68</v>
      </c>
      <c r="F158">
        <v>553316</v>
      </c>
    </row>
    <row r="159" spans="1:6">
      <c r="A159" s="39">
        <v>42373</v>
      </c>
      <c r="B159">
        <v>110.22</v>
      </c>
      <c r="C159">
        <v>110.37</v>
      </c>
      <c r="D159">
        <v>109.99</v>
      </c>
      <c r="E159">
        <v>110.11</v>
      </c>
      <c r="F159">
        <v>1356211</v>
      </c>
    </row>
    <row r="160" spans="1:6">
      <c r="A160" s="39">
        <v>42374</v>
      </c>
      <c r="B160">
        <v>109.88</v>
      </c>
      <c r="C160">
        <v>110.13</v>
      </c>
      <c r="D160">
        <v>109.82</v>
      </c>
      <c r="E160">
        <v>110.04</v>
      </c>
      <c r="F160">
        <v>647991</v>
      </c>
    </row>
    <row r="161" spans="1:6">
      <c r="A161" s="39">
        <v>42375</v>
      </c>
      <c r="B161">
        <v>110.12</v>
      </c>
      <c r="C161">
        <v>110.42</v>
      </c>
      <c r="D161">
        <v>110.06</v>
      </c>
      <c r="E161">
        <v>110.39</v>
      </c>
      <c r="F161">
        <v>418180</v>
      </c>
    </row>
    <row r="162" spans="1:6">
      <c r="A162" s="39">
        <v>42376</v>
      </c>
      <c r="B162">
        <v>110.32</v>
      </c>
      <c r="C162">
        <v>110.43</v>
      </c>
      <c r="D162">
        <v>110.13</v>
      </c>
      <c r="E162">
        <v>110.3</v>
      </c>
      <c r="F162">
        <v>877622</v>
      </c>
    </row>
    <row r="163" spans="1:6">
      <c r="A163" s="39">
        <v>42377</v>
      </c>
      <c r="B163">
        <v>110.13</v>
      </c>
      <c r="C163">
        <v>110.43</v>
      </c>
      <c r="D163">
        <v>110.11</v>
      </c>
      <c r="E163">
        <v>110.39</v>
      </c>
      <c r="F163">
        <v>587326</v>
      </c>
    </row>
    <row r="164" spans="1:6">
      <c r="A164" s="39">
        <v>42380</v>
      </c>
      <c r="B164">
        <v>110.1</v>
      </c>
      <c r="C164">
        <v>110.24</v>
      </c>
      <c r="D164">
        <v>109.78</v>
      </c>
      <c r="E164">
        <v>109.81</v>
      </c>
      <c r="F164">
        <v>758649</v>
      </c>
    </row>
    <row r="165" spans="1:6">
      <c r="A165" s="39">
        <v>42381</v>
      </c>
      <c r="B165">
        <v>109.91</v>
      </c>
      <c r="C165">
        <v>110.36</v>
      </c>
      <c r="D165">
        <v>109.84</v>
      </c>
      <c r="E165">
        <v>110.11</v>
      </c>
      <c r="F165">
        <v>799111</v>
      </c>
    </row>
    <row r="166" spans="1:6">
      <c r="A166" s="39">
        <v>42382</v>
      </c>
      <c r="B166">
        <v>110.02</v>
      </c>
      <c r="C166">
        <v>110.59</v>
      </c>
      <c r="D166">
        <v>110</v>
      </c>
      <c r="E166">
        <v>110.34</v>
      </c>
      <c r="F166">
        <v>544610</v>
      </c>
    </row>
    <row r="167" spans="1:6">
      <c r="A167" s="39">
        <v>42383</v>
      </c>
      <c r="B167">
        <v>110.27</v>
      </c>
      <c r="C167">
        <v>110.45</v>
      </c>
      <c r="D167">
        <v>110.12</v>
      </c>
      <c r="E167">
        <v>110.24</v>
      </c>
      <c r="F167">
        <v>1006215</v>
      </c>
    </row>
    <row r="168" spans="1:6">
      <c r="A168" s="39">
        <v>42384</v>
      </c>
      <c r="B168">
        <v>110.52</v>
      </c>
      <c r="C168">
        <v>110.65</v>
      </c>
      <c r="D168">
        <v>110.21</v>
      </c>
      <c r="E168">
        <v>110.24</v>
      </c>
      <c r="F168">
        <v>851385</v>
      </c>
    </row>
    <row r="169" spans="1:6">
      <c r="A169" s="39">
        <v>42388</v>
      </c>
      <c r="B169">
        <v>110.19</v>
      </c>
      <c r="C169">
        <v>110.4</v>
      </c>
      <c r="D169">
        <v>110.05</v>
      </c>
      <c r="E169">
        <v>110.13</v>
      </c>
      <c r="F169">
        <v>967863</v>
      </c>
    </row>
    <row r="170" spans="1:6">
      <c r="A170" s="39">
        <v>42389</v>
      </c>
      <c r="B170">
        <v>110.47</v>
      </c>
      <c r="C170">
        <v>110.63</v>
      </c>
      <c r="D170">
        <v>110.09</v>
      </c>
      <c r="E170">
        <v>110.19</v>
      </c>
      <c r="F170">
        <v>784276</v>
      </c>
    </row>
    <row r="171" spans="1:6">
      <c r="A171" s="39">
        <v>42390</v>
      </c>
      <c r="B171">
        <v>110.32</v>
      </c>
      <c r="C171">
        <v>110.43</v>
      </c>
      <c r="D171">
        <v>109.79</v>
      </c>
      <c r="E171">
        <v>109.79</v>
      </c>
      <c r="F171">
        <v>1344267</v>
      </c>
    </row>
    <row r="172" spans="1:6">
      <c r="A172" s="39">
        <v>42391</v>
      </c>
      <c r="B172">
        <v>109.77</v>
      </c>
      <c r="C172">
        <v>110.07</v>
      </c>
      <c r="D172">
        <v>109.77</v>
      </c>
      <c r="E172">
        <v>109.95</v>
      </c>
      <c r="F172">
        <v>1215188</v>
      </c>
    </row>
    <row r="173" spans="1:6">
      <c r="A173" s="39">
        <v>42394</v>
      </c>
      <c r="B173">
        <v>110.09</v>
      </c>
      <c r="C173">
        <v>110.22</v>
      </c>
      <c r="D173">
        <v>110.05</v>
      </c>
      <c r="E173">
        <v>110.16</v>
      </c>
      <c r="F173">
        <v>810599</v>
      </c>
    </row>
    <row r="174" spans="1:6">
      <c r="A174" s="39">
        <v>42395</v>
      </c>
      <c r="B174">
        <v>110.32</v>
      </c>
      <c r="C174">
        <v>110.56</v>
      </c>
      <c r="D174">
        <v>110.23</v>
      </c>
      <c r="E174">
        <v>110.44</v>
      </c>
      <c r="F174">
        <v>415130</v>
      </c>
    </row>
    <row r="175" spans="1:6">
      <c r="A175" s="39">
        <v>42396</v>
      </c>
      <c r="B175">
        <v>110.28</v>
      </c>
      <c r="C175">
        <v>110.79</v>
      </c>
      <c r="D175">
        <v>109.9</v>
      </c>
      <c r="E175">
        <v>110.72</v>
      </c>
      <c r="F175">
        <v>567247</v>
      </c>
    </row>
    <row r="176" spans="1:6">
      <c r="A176" s="39">
        <v>42397</v>
      </c>
      <c r="B176">
        <v>110.77</v>
      </c>
      <c r="C176">
        <v>111.05</v>
      </c>
      <c r="D176">
        <v>110.68</v>
      </c>
      <c r="E176">
        <v>110.95</v>
      </c>
      <c r="F176">
        <v>1020493</v>
      </c>
    </row>
    <row r="177" spans="1:6">
      <c r="A177" s="39">
        <v>42398</v>
      </c>
      <c r="B177">
        <v>111.41</v>
      </c>
      <c r="C177">
        <v>111.55</v>
      </c>
      <c r="D177">
        <v>111.22</v>
      </c>
      <c r="E177">
        <v>111.4</v>
      </c>
      <c r="F177">
        <v>1017237</v>
      </c>
    </row>
    <row r="178" spans="1:6">
      <c r="A178" s="39">
        <v>42401</v>
      </c>
      <c r="B178">
        <v>111.26</v>
      </c>
      <c r="C178">
        <v>111.4</v>
      </c>
      <c r="D178">
        <v>111.04</v>
      </c>
      <c r="E178">
        <v>111.2</v>
      </c>
      <c r="F178">
        <v>1366716</v>
      </c>
    </row>
    <row r="179" spans="1:6">
      <c r="A179" s="39">
        <v>42402</v>
      </c>
      <c r="B179">
        <v>111.48</v>
      </c>
      <c r="C179">
        <v>111.65</v>
      </c>
      <c r="D179">
        <v>111.43</v>
      </c>
      <c r="E179">
        <v>111.54</v>
      </c>
      <c r="F179">
        <v>1061820</v>
      </c>
    </row>
    <row r="180" spans="1:6">
      <c r="A180" s="39">
        <v>42403</v>
      </c>
      <c r="B180">
        <v>111.71</v>
      </c>
      <c r="C180">
        <v>112.24</v>
      </c>
      <c r="D180">
        <v>111.58</v>
      </c>
      <c r="E180">
        <v>111.68</v>
      </c>
      <c r="F180">
        <v>822814</v>
      </c>
    </row>
    <row r="181" spans="1:6">
      <c r="A181" s="39">
        <v>42404</v>
      </c>
      <c r="B181">
        <v>111.76</v>
      </c>
      <c r="C181">
        <v>111.91</v>
      </c>
      <c r="D181">
        <v>111.57</v>
      </c>
      <c r="E181">
        <v>111.7</v>
      </c>
      <c r="F181">
        <v>607489</v>
      </c>
    </row>
    <row r="182" spans="1:6">
      <c r="A182" s="39">
        <v>42405</v>
      </c>
      <c r="B182">
        <v>111.48</v>
      </c>
      <c r="C182">
        <v>111.62</v>
      </c>
      <c r="D182">
        <v>111.32</v>
      </c>
      <c r="E182">
        <v>111.39</v>
      </c>
      <c r="F182">
        <v>554809</v>
      </c>
    </row>
    <row r="183" spans="1:6">
      <c r="A183" s="39">
        <v>42408</v>
      </c>
      <c r="B183">
        <v>111.47</v>
      </c>
      <c r="C183">
        <v>111.83</v>
      </c>
      <c r="D183">
        <v>111.4</v>
      </c>
      <c r="E183">
        <v>111.47</v>
      </c>
      <c r="F183">
        <v>782400</v>
      </c>
    </row>
    <row r="184" spans="1:6">
      <c r="A184" s="39">
        <v>42409</v>
      </c>
      <c r="B184">
        <v>111.41</v>
      </c>
      <c r="C184">
        <v>111.46</v>
      </c>
      <c r="D184">
        <v>110.92</v>
      </c>
      <c r="E184">
        <v>111.22</v>
      </c>
      <c r="F184">
        <v>652077</v>
      </c>
    </row>
    <row r="185" spans="1:6">
      <c r="A185" s="39">
        <v>42410</v>
      </c>
      <c r="B185">
        <v>111.37</v>
      </c>
      <c r="C185">
        <v>111.71</v>
      </c>
      <c r="D185">
        <v>111.35</v>
      </c>
      <c r="E185">
        <v>111.63</v>
      </c>
      <c r="F185">
        <v>795334</v>
      </c>
    </row>
    <row r="186" spans="1:6">
      <c r="A186" s="39">
        <v>42411</v>
      </c>
      <c r="B186">
        <v>111.86</v>
      </c>
      <c r="C186">
        <v>112.21</v>
      </c>
      <c r="D186">
        <v>111.66</v>
      </c>
      <c r="E186">
        <v>112.02</v>
      </c>
      <c r="F186">
        <v>1289622</v>
      </c>
    </row>
    <row r="187" spans="1:6">
      <c r="A187" s="39">
        <v>42412</v>
      </c>
      <c r="B187">
        <v>111.84</v>
      </c>
      <c r="C187">
        <v>112.14</v>
      </c>
      <c r="D187">
        <v>111.45</v>
      </c>
      <c r="E187">
        <v>111.6</v>
      </c>
      <c r="F187">
        <v>626681</v>
      </c>
    </row>
    <row r="188" spans="1:6">
      <c r="A188" s="39">
        <v>42416</v>
      </c>
      <c r="B188">
        <v>111.38</v>
      </c>
      <c r="C188">
        <v>111.53</v>
      </c>
      <c r="D188">
        <v>111.09</v>
      </c>
      <c r="E188">
        <v>111.14</v>
      </c>
      <c r="F188">
        <v>1349912</v>
      </c>
    </row>
    <row r="189" spans="1:6">
      <c r="A189" s="39">
        <v>42417</v>
      </c>
      <c r="B189">
        <v>111.25</v>
      </c>
      <c r="C189">
        <v>111.27</v>
      </c>
      <c r="D189">
        <v>110.94</v>
      </c>
      <c r="E189">
        <v>110.95</v>
      </c>
      <c r="F189">
        <v>718611</v>
      </c>
    </row>
    <row r="190" spans="1:6">
      <c r="A190" s="39">
        <v>42418</v>
      </c>
      <c r="B190">
        <v>111</v>
      </c>
      <c r="C190">
        <v>111.46</v>
      </c>
      <c r="D190">
        <v>110.8</v>
      </c>
      <c r="E190">
        <v>111.26</v>
      </c>
      <c r="F190">
        <v>987395</v>
      </c>
    </row>
    <row r="191" spans="1:6">
      <c r="A191" s="39">
        <v>42419</v>
      </c>
      <c r="B191">
        <v>111.33</v>
      </c>
      <c r="C191">
        <v>111.59</v>
      </c>
      <c r="D191">
        <v>111.18</v>
      </c>
      <c r="E191">
        <v>111.35</v>
      </c>
      <c r="F191">
        <v>659445</v>
      </c>
    </row>
    <row r="192" spans="1:6">
      <c r="A192" s="39">
        <v>42422</v>
      </c>
      <c r="B192">
        <v>111.47</v>
      </c>
      <c r="C192">
        <v>111.65</v>
      </c>
      <c r="D192">
        <v>111.36</v>
      </c>
      <c r="E192">
        <v>111.62</v>
      </c>
      <c r="F192">
        <v>493422</v>
      </c>
    </row>
    <row r="193" spans="1:6">
      <c r="A193" s="39">
        <v>42423</v>
      </c>
      <c r="B193">
        <v>111.27</v>
      </c>
      <c r="C193">
        <v>111.96</v>
      </c>
      <c r="D193">
        <v>111.27</v>
      </c>
      <c r="E193">
        <v>111.96</v>
      </c>
      <c r="F193">
        <v>497361</v>
      </c>
    </row>
    <row r="194" spans="1:6">
      <c r="A194" s="39">
        <v>42424</v>
      </c>
      <c r="B194">
        <v>112.15</v>
      </c>
      <c r="C194">
        <v>112.62</v>
      </c>
      <c r="D194">
        <v>112.08</v>
      </c>
      <c r="E194">
        <v>112.21</v>
      </c>
      <c r="F194">
        <v>708603</v>
      </c>
    </row>
    <row r="195" spans="1:6">
      <c r="A195" s="39">
        <v>42425</v>
      </c>
      <c r="B195">
        <v>112.27</v>
      </c>
      <c r="C195">
        <v>112.83</v>
      </c>
      <c r="D195">
        <v>112.26</v>
      </c>
      <c r="E195">
        <v>112.67</v>
      </c>
      <c r="F195">
        <v>1431315</v>
      </c>
    </row>
    <row r="196" spans="1:6">
      <c r="A196" s="39">
        <v>42426</v>
      </c>
      <c r="B196">
        <v>112.23</v>
      </c>
      <c r="C196">
        <v>112.47</v>
      </c>
      <c r="D196">
        <v>112.17</v>
      </c>
      <c r="E196">
        <v>112.38</v>
      </c>
      <c r="F196">
        <v>860814</v>
      </c>
    </row>
    <row r="197" spans="1:6">
      <c r="A197" s="39">
        <v>42429</v>
      </c>
      <c r="B197">
        <v>112.49</v>
      </c>
      <c r="C197">
        <v>112.83</v>
      </c>
      <c r="D197">
        <v>112.36</v>
      </c>
      <c r="E197">
        <v>112.76</v>
      </c>
      <c r="F197">
        <v>1823618</v>
      </c>
    </row>
    <row r="198" spans="1:6">
      <c r="A198" s="39">
        <v>42430</v>
      </c>
      <c r="B198">
        <v>112.87</v>
      </c>
      <c r="C198">
        <v>112.99</v>
      </c>
      <c r="D198">
        <v>112.23</v>
      </c>
      <c r="E198">
        <v>112.45</v>
      </c>
      <c r="F198">
        <v>3510570</v>
      </c>
    </row>
    <row r="199" spans="1:6">
      <c r="A199" s="39">
        <v>42431</v>
      </c>
      <c r="B199">
        <v>112.22</v>
      </c>
      <c r="C199">
        <v>112.69</v>
      </c>
      <c r="D199">
        <v>112.22</v>
      </c>
      <c r="E199">
        <v>112.69</v>
      </c>
      <c r="F199">
        <v>2099776</v>
      </c>
    </row>
    <row r="200" spans="1:6">
      <c r="A200" s="39">
        <v>42432</v>
      </c>
      <c r="B200">
        <v>112.67</v>
      </c>
      <c r="C200">
        <v>113.05</v>
      </c>
      <c r="D200">
        <v>112.63</v>
      </c>
      <c r="E200">
        <v>112.92</v>
      </c>
      <c r="F200">
        <v>1068777</v>
      </c>
    </row>
    <row r="201" spans="1:6">
      <c r="A201" s="39">
        <v>42433</v>
      </c>
      <c r="B201">
        <v>112.86</v>
      </c>
      <c r="C201">
        <v>112.99</v>
      </c>
      <c r="D201">
        <v>112.37</v>
      </c>
      <c r="E201">
        <v>112.57</v>
      </c>
      <c r="F201">
        <v>2049515</v>
      </c>
    </row>
    <row r="202" spans="1:6">
      <c r="A202" s="39">
        <v>42436</v>
      </c>
      <c r="B202">
        <v>112.44</v>
      </c>
      <c r="C202">
        <v>112.45</v>
      </c>
      <c r="D202">
        <v>112.04</v>
      </c>
      <c r="E202">
        <v>112.12</v>
      </c>
      <c r="F202">
        <v>807474</v>
      </c>
    </row>
    <row r="203" spans="1:6">
      <c r="A203" s="39">
        <v>42437</v>
      </c>
      <c r="B203">
        <v>112.47</v>
      </c>
      <c r="C203">
        <v>112.64</v>
      </c>
      <c r="D203">
        <v>112.37</v>
      </c>
      <c r="E203">
        <v>112.55</v>
      </c>
      <c r="F203">
        <v>763826</v>
      </c>
    </row>
    <row r="204" spans="1:6">
      <c r="A204" s="39">
        <v>42438</v>
      </c>
      <c r="B204">
        <v>112.26</v>
      </c>
      <c r="C204">
        <v>112.67</v>
      </c>
      <c r="D204">
        <v>112.24</v>
      </c>
      <c r="E204">
        <v>112.48</v>
      </c>
      <c r="F204">
        <v>663978</v>
      </c>
    </row>
    <row r="205" spans="1:6">
      <c r="A205" s="39">
        <v>42439</v>
      </c>
      <c r="B205">
        <v>112.55</v>
      </c>
      <c r="C205">
        <v>112.68</v>
      </c>
      <c r="D205">
        <v>111.94</v>
      </c>
      <c r="E205">
        <v>112.09</v>
      </c>
      <c r="F205">
        <v>1119663</v>
      </c>
    </row>
    <row r="206" spans="1:6">
      <c r="A206" s="39">
        <v>42440</v>
      </c>
      <c r="B206">
        <v>112.19</v>
      </c>
      <c r="C206">
        <v>112.19</v>
      </c>
      <c r="D206">
        <v>111.84</v>
      </c>
      <c r="E206">
        <v>112.05</v>
      </c>
      <c r="F206">
        <v>580491</v>
      </c>
    </row>
    <row r="207" spans="1:6">
      <c r="A207" s="39">
        <v>42443</v>
      </c>
      <c r="B207">
        <v>112.03</v>
      </c>
      <c r="C207">
        <v>112.17</v>
      </c>
      <c r="D207">
        <v>111.9</v>
      </c>
      <c r="E207">
        <v>111.92</v>
      </c>
      <c r="F207">
        <v>752010</v>
      </c>
    </row>
    <row r="208" spans="1:6">
      <c r="A208" s="39">
        <v>42444</v>
      </c>
      <c r="B208">
        <v>111.96</v>
      </c>
      <c r="C208">
        <v>112.09</v>
      </c>
      <c r="D208">
        <v>111.66</v>
      </c>
      <c r="E208">
        <v>111.7</v>
      </c>
      <c r="F208">
        <v>828177</v>
      </c>
    </row>
    <row r="209" spans="1:6">
      <c r="A209" s="39">
        <v>42445</v>
      </c>
      <c r="B209">
        <v>111.96</v>
      </c>
      <c r="C209">
        <v>112.9</v>
      </c>
      <c r="D209">
        <v>111.92</v>
      </c>
      <c r="E209">
        <v>112.89</v>
      </c>
      <c r="F209">
        <v>823525</v>
      </c>
    </row>
    <row r="210" spans="1:6">
      <c r="A210" s="39">
        <v>42446</v>
      </c>
      <c r="B210">
        <v>113.12</v>
      </c>
      <c r="C210">
        <v>113.51</v>
      </c>
      <c r="D210">
        <v>113</v>
      </c>
      <c r="E210">
        <v>113.14</v>
      </c>
      <c r="F210">
        <v>1926719</v>
      </c>
    </row>
    <row r="211" spans="1:6">
      <c r="A211" s="39">
        <v>42447</v>
      </c>
      <c r="B211">
        <v>113.65</v>
      </c>
      <c r="C211">
        <v>113.78</v>
      </c>
      <c r="D211">
        <v>113.18</v>
      </c>
      <c r="E211">
        <v>113.52</v>
      </c>
      <c r="F211">
        <v>1320169</v>
      </c>
    </row>
    <row r="212" spans="1:6">
      <c r="A212" s="39">
        <v>42450</v>
      </c>
      <c r="B212">
        <v>113.4</v>
      </c>
      <c r="C212">
        <v>113.81</v>
      </c>
      <c r="D212">
        <v>113.23</v>
      </c>
      <c r="E212">
        <v>113.55</v>
      </c>
      <c r="F212">
        <v>1011676</v>
      </c>
    </row>
    <row r="213" spans="1:6">
      <c r="A213" s="39">
        <v>42451</v>
      </c>
      <c r="B213">
        <v>113.71</v>
      </c>
      <c r="C213">
        <v>113.71</v>
      </c>
      <c r="D213">
        <v>113.23</v>
      </c>
      <c r="E213">
        <v>113.26</v>
      </c>
      <c r="F213">
        <v>1028983</v>
      </c>
    </row>
    <row r="214" spans="1:6">
      <c r="A214" s="39">
        <v>42452</v>
      </c>
      <c r="B214">
        <v>113.25</v>
      </c>
      <c r="C214">
        <v>113.55</v>
      </c>
      <c r="D214">
        <v>113.25</v>
      </c>
      <c r="E214">
        <v>113.38</v>
      </c>
      <c r="F214">
        <v>753489</v>
      </c>
    </row>
    <row r="215" spans="1:6">
      <c r="A215" s="39">
        <v>42453</v>
      </c>
      <c r="B215">
        <v>113.27</v>
      </c>
      <c r="C215">
        <v>113.5</v>
      </c>
      <c r="D215">
        <v>113.12</v>
      </c>
      <c r="E215">
        <v>113.12</v>
      </c>
      <c r="F215">
        <v>1225531</v>
      </c>
    </row>
    <row r="216" spans="1:6">
      <c r="A216" s="39">
        <v>42457</v>
      </c>
      <c r="B216">
        <v>113.15</v>
      </c>
      <c r="C216">
        <v>113.35</v>
      </c>
      <c r="D216">
        <v>113.08</v>
      </c>
      <c r="E216">
        <v>113.26</v>
      </c>
      <c r="F216">
        <v>877474</v>
      </c>
    </row>
    <row r="217" spans="1:6">
      <c r="A217" s="39">
        <v>42458</v>
      </c>
      <c r="B217">
        <v>113.55</v>
      </c>
      <c r="C217">
        <v>114.5</v>
      </c>
      <c r="D217">
        <v>113.46</v>
      </c>
      <c r="E217">
        <v>114.45</v>
      </c>
      <c r="F217">
        <v>1530634</v>
      </c>
    </row>
    <row r="218" spans="1:6">
      <c r="A218" s="39">
        <v>42459</v>
      </c>
      <c r="B218">
        <v>114.31</v>
      </c>
      <c r="C218">
        <v>114.54</v>
      </c>
      <c r="D218">
        <v>114.2</v>
      </c>
      <c r="E218">
        <v>114.52</v>
      </c>
      <c r="F218">
        <v>752090</v>
      </c>
    </row>
    <row r="219" spans="1:6">
      <c r="A219" s="39">
        <v>42460</v>
      </c>
      <c r="B219">
        <v>114.6</v>
      </c>
      <c r="C219">
        <v>114.74</v>
      </c>
      <c r="D219">
        <v>114.46</v>
      </c>
      <c r="E219">
        <v>114.64</v>
      </c>
      <c r="F219">
        <v>1702848</v>
      </c>
    </row>
    <row r="220" spans="1:6">
      <c r="A220" s="39">
        <v>42461</v>
      </c>
      <c r="B220">
        <v>114.79</v>
      </c>
      <c r="C220">
        <v>114.88</v>
      </c>
      <c r="D220">
        <v>114.41</v>
      </c>
      <c r="E220">
        <v>114.73</v>
      </c>
      <c r="F220">
        <v>2303571</v>
      </c>
    </row>
    <row r="221" spans="1:6">
      <c r="A221" s="39">
        <v>42464</v>
      </c>
      <c r="B221">
        <v>114.86</v>
      </c>
      <c r="C221">
        <v>114.97</v>
      </c>
      <c r="D221">
        <v>114.74</v>
      </c>
      <c r="E221">
        <v>114.87</v>
      </c>
      <c r="F221">
        <v>2679573</v>
      </c>
    </row>
    <row r="222" spans="1:6">
      <c r="A222" s="39">
        <v>42465</v>
      </c>
      <c r="B222">
        <v>115</v>
      </c>
      <c r="C222">
        <v>115.11</v>
      </c>
      <c r="D222">
        <v>114.79</v>
      </c>
      <c r="E222">
        <v>114.99</v>
      </c>
      <c r="F222">
        <v>1817005</v>
      </c>
    </row>
    <row r="223" spans="1:6">
      <c r="A223" s="39">
        <v>42466</v>
      </c>
      <c r="B223">
        <v>114.8</v>
      </c>
      <c r="C223">
        <v>114.95</v>
      </c>
      <c r="D223">
        <v>114.39</v>
      </c>
      <c r="E223">
        <v>114.69</v>
      </c>
      <c r="F223">
        <v>2700463</v>
      </c>
    </row>
    <row r="224" spans="1:6">
      <c r="A224" s="39">
        <v>42467</v>
      </c>
      <c r="B224">
        <v>114.98</v>
      </c>
      <c r="C224">
        <v>115.14</v>
      </c>
      <c r="D224">
        <v>114.9</v>
      </c>
      <c r="E224">
        <v>115.09</v>
      </c>
      <c r="F224">
        <v>1217313</v>
      </c>
    </row>
    <row r="225" spans="1:6">
      <c r="A225" s="39">
        <v>42468</v>
      </c>
      <c r="B225">
        <v>114.99</v>
      </c>
      <c r="C225">
        <v>114.99</v>
      </c>
      <c r="D225">
        <v>114.73</v>
      </c>
      <c r="E225">
        <v>114.86</v>
      </c>
      <c r="F225">
        <v>769487</v>
      </c>
    </row>
    <row r="226" spans="1:6">
      <c r="A226" s="39">
        <v>42471</v>
      </c>
      <c r="B226">
        <v>114.65</v>
      </c>
      <c r="C226">
        <v>114.88</v>
      </c>
      <c r="D226">
        <v>114.47</v>
      </c>
      <c r="E226">
        <v>114.57</v>
      </c>
      <c r="F226">
        <v>685954</v>
      </c>
    </row>
    <row r="227" spans="1:6">
      <c r="A227" s="39">
        <v>42472</v>
      </c>
      <c r="B227">
        <v>114.34</v>
      </c>
      <c r="C227">
        <v>114.34</v>
      </c>
      <c r="D227">
        <v>114.03</v>
      </c>
      <c r="E227">
        <v>114.09</v>
      </c>
      <c r="F227">
        <v>1314408</v>
      </c>
    </row>
    <row r="228" spans="1:6">
      <c r="A228" s="39">
        <v>42473</v>
      </c>
      <c r="B228">
        <v>113.98</v>
      </c>
      <c r="C228">
        <v>114.31</v>
      </c>
      <c r="D228">
        <v>113.91</v>
      </c>
      <c r="E228">
        <v>114.19</v>
      </c>
      <c r="F228">
        <v>809638</v>
      </c>
    </row>
    <row r="229" spans="1:6">
      <c r="A229" s="39">
        <v>42474</v>
      </c>
      <c r="B229">
        <v>113.88</v>
      </c>
      <c r="C229">
        <v>114.54</v>
      </c>
      <c r="D229">
        <v>113.82</v>
      </c>
      <c r="E229">
        <v>113.92</v>
      </c>
      <c r="F229">
        <v>1222492</v>
      </c>
    </row>
    <row r="230" spans="1:6">
      <c r="A230" s="39">
        <v>42475</v>
      </c>
      <c r="B230">
        <v>113.94</v>
      </c>
      <c r="C230">
        <v>114.42</v>
      </c>
      <c r="D230">
        <v>113.88</v>
      </c>
      <c r="E230">
        <v>114.33</v>
      </c>
      <c r="F230">
        <v>541645</v>
      </c>
    </row>
    <row r="231" spans="1:6">
      <c r="A231" s="39">
        <v>42478</v>
      </c>
      <c r="B231">
        <v>114.11</v>
      </c>
      <c r="C231">
        <v>114.32</v>
      </c>
      <c r="D231">
        <v>114.03</v>
      </c>
      <c r="E231">
        <v>114.31</v>
      </c>
      <c r="F231">
        <v>755036</v>
      </c>
    </row>
    <row r="232" spans="1:6">
      <c r="A232" s="39">
        <v>42479</v>
      </c>
      <c r="B232">
        <v>114.41</v>
      </c>
      <c r="C232">
        <v>114.57</v>
      </c>
      <c r="D232">
        <v>114.32</v>
      </c>
      <c r="E232">
        <v>114.51</v>
      </c>
      <c r="F232">
        <v>619630</v>
      </c>
    </row>
    <row r="233" spans="1:6">
      <c r="A233" s="39">
        <v>42480</v>
      </c>
      <c r="B233">
        <v>114.52</v>
      </c>
      <c r="C233">
        <v>114.8</v>
      </c>
      <c r="D233">
        <v>114.01</v>
      </c>
      <c r="E233">
        <v>114.03</v>
      </c>
      <c r="F233">
        <v>631531</v>
      </c>
    </row>
    <row r="234" spans="1:6">
      <c r="A234" s="39">
        <v>42481</v>
      </c>
      <c r="B234">
        <v>113.86</v>
      </c>
      <c r="C234">
        <v>114.03</v>
      </c>
      <c r="D234">
        <v>113.67</v>
      </c>
      <c r="E234">
        <v>113.89</v>
      </c>
      <c r="F234">
        <v>837964</v>
      </c>
    </row>
    <row r="235" spans="1:6">
      <c r="A235" s="39">
        <v>42482</v>
      </c>
      <c r="B235">
        <v>114</v>
      </c>
      <c r="C235">
        <v>114.09</v>
      </c>
      <c r="D235">
        <v>113.82</v>
      </c>
      <c r="E235">
        <v>113.82</v>
      </c>
      <c r="F235">
        <v>743287</v>
      </c>
    </row>
    <row r="236" spans="1:6">
      <c r="A236" s="39">
        <v>42485</v>
      </c>
      <c r="B236">
        <v>113.93</v>
      </c>
      <c r="C236">
        <v>114.07</v>
      </c>
      <c r="D236">
        <v>113.69</v>
      </c>
      <c r="E236">
        <v>113.69</v>
      </c>
      <c r="F236">
        <v>1147964</v>
      </c>
    </row>
    <row r="237" spans="1:6">
      <c r="A237" s="39">
        <v>42486</v>
      </c>
      <c r="B237">
        <v>113.81</v>
      </c>
      <c r="C237">
        <v>113.82</v>
      </c>
      <c r="D237">
        <v>113.59</v>
      </c>
      <c r="E237">
        <v>113.64</v>
      </c>
      <c r="F237">
        <v>816845</v>
      </c>
    </row>
    <row r="238" spans="1:6">
      <c r="A238" s="39">
        <v>42487</v>
      </c>
      <c r="B238">
        <v>114.06</v>
      </c>
      <c r="C238">
        <v>114.42</v>
      </c>
      <c r="D238">
        <v>113.74</v>
      </c>
      <c r="E238">
        <v>114.33</v>
      </c>
      <c r="F238">
        <v>677912</v>
      </c>
    </row>
    <row r="239" spans="1:6">
      <c r="A239" s="39">
        <v>42488</v>
      </c>
      <c r="B239">
        <v>114.47</v>
      </c>
      <c r="C239">
        <v>114.96</v>
      </c>
      <c r="D239">
        <v>114.42</v>
      </c>
      <c r="E239">
        <v>114.93</v>
      </c>
      <c r="F239">
        <v>1822250</v>
      </c>
    </row>
    <row r="240" spans="1:6">
      <c r="A240" s="39">
        <v>42489</v>
      </c>
      <c r="B240">
        <v>114.72</v>
      </c>
      <c r="C240">
        <v>115.09</v>
      </c>
      <c r="D240">
        <v>114.54</v>
      </c>
      <c r="E240">
        <v>114.88</v>
      </c>
      <c r="F240">
        <v>798552</v>
      </c>
    </row>
    <row r="241" spans="1:6">
      <c r="A241" s="39">
        <v>42492</v>
      </c>
      <c r="B241">
        <v>114.66</v>
      </c>
      <c r="C241">
        <v>114.71</v>
      </c>
      <c r="D241">
        <v>114.3</v>
      </c>
      <c r="E241">
        <v>114.5</v>
      </c>
      <c r="F241">
        <v>4130115</v>
      </c>
    </row>
    <row r="242" spans="1:6">
      <c r="A242" s="39">
        <v>42493</v>
      </c>
      <c r="B242">
        <v>114.83</v>
      </c>
      <c r="C242">
        <v>114.83</v>
      </c>
      <c r="D242">
        <v>114.55</v>
      </c>
      <c r="E242">
        <v>114.55</v>
      </c>
      <c r="F242">
        <v>2645803</v>
      </c>
    </row>
    <row r="243" spans="1:6">
      <c r="A243" s="39">
        <v>42494</v>
      </c>
      <c r="B243">
        <v>114.7</v>
      </c>
      <c r="C243">
        <v>114.73</v>
      </c>
      <c r="D243">
        <v>114.44</v>
      </c>
      <c r="E243">
        <v>114.68</v>
      </c>
      <c r="F243">
        <v>1321342</v>
      </c>
    </row>
    <row r="244" spans="1:6">
      <c r="A244" s="39">
        <v>42495</v>
      </c>
      <c r="B244">
        <v>114.68</v>
      </c>
      <c r="C244">
        <v>115.07</v>
      </c>
      <c r="D244">
        <v>114.56</v>
      </c>
      <c r="E244">
        <v>115.05</v>
      </c>
      <c r="F244">
        <v>2363871</v>
      </c>
    </row>
    <row r="245" spans="1:6">
      <c r="A245" s="39">
        <v>42496</v>
      </c>
      <c r="B245">
        <v>115.02</v>
      </c>
      <c r="C245">
        <v>115.02</v>
      </c>
      <c r="D245">
        <v>114.58</v>
      </c>
      <c r="E245">
        <v>114.65</v>
      </c>
      <c r="F245">
        <v>1271875</v>
      </c>
    </row>
    <row r="246" spans="1:6">
      <c r="A246" s="39">
        <v>42499</v>
      </c>
      <c r="B246">
        <v>114.79</v>
      </c>
      <c r="C246">
        <v>114.83</v>
      </c>
      <c r="D246">
        <v>114.55</v>
      </c>
      <c r="E246">
        <v>114.72</v>
      </c>
      <c r="F246">
        <v>1020590</v>
      </c>
    </row>
    <row r="247" spans="1:6">
      <c r="A247" s="39">
        <v>42500</v>
      </c>
      <c r="B247">
        <v>115.02</v>
      </c>
      <c r="C247">
        <v>115.08</v>
      </c>
      <c r="D247">
        <v>114.68</v>
      </c>
      <c r="E247">
        <v>115.07</v>
      </c>
      <c r="F247">
        <v>1118077</v>
      </c>
    </row>
    <row r="248" spans="1:6">
      <c r="A248" s="39">
        <v>42501</v>
      </c>
      <c r="B248">
        <v>115.09</v>
      </c>
      <c r="C248">
        <v>115.42</v>
      </c>
      <c r="D248">
        <v>114.95</v>
      </c>
      <c r="E248">
        <v>115.05</v>
      </c>
      <c r="F248">
        <v>3774151</v>
      </c>
    </row>
    <row r="249" spans="1:6">
      <c r="A249" s="39">
        <v>42502</v>
      </c>
      <c r="B249">
        <v>114.87</v>
      </c>
      <c r="C249">
        <v>115.02</v>
      </c>
      <c r="D249">
        <v>114.72</v>
      </c>
      <c r="E249">
        <v>114.97</v>
      </c>
      <c r="F249">
        <v>1327856</v>
      </c>
    </row>
    <row r="250" spans="1:6">
      <c r="A250" s="39">
        <v>42503</v>
      </c>
      <c r="B250">
        <v>115.06</v>
      </c>
      <c r="C250">
        <v>115.28</v>
      </c>
      <c r="D250">
        <v>114.96</v>
      </c>
      <c r="E250">
        <v>115.25</v>
      </c>
      <c r="F250">
        <v>769027</v>
      </c>
    </row>
    <row r="251" spans="1:6">
      <c r="A251" s="39">
        <v>42506</v>
      </c>
      <c r="B251">
        <v>115.14</v>
      </c>
      <c r="C251">
        <v>115.22</v>
      </c>
      <c r="D251">
        <v>115.06</v>
      </c>
      <c r="E251">
        <v>115.12</v>
      </c>
      <c r="F251">
        <v>704499</v>
      </c>
    </row>
    <row r="252" spans="1:6">
      <c r="A252" s="39">
        <v>42507</v>
      </c>
      <c r="B252">
        <v>115.16</v>
      </c>
      <c r="C252">
        <v>115.42</v>
      </c>
      <c r="D252">
        <v>115.13</v>
      </c>
      <c r="E252">
        <v>115.2</v>
      </c>
      <c r="F252">
        <v>780993</v>
      </c>
    </row>
    <row r="253" spans="1:6">
      <c r="A253" s="39">
        <v>42508</v>
      </c>
      <c r="B253">
        <v>114.95</v>
      </c>
      <c r="C253">
        <v>114.98</v>
      </c>
      <c r="D253">
        <v>114.02</v>
      </c>
      <c r="E253">
        <v>114.2</v>
      </c>
      <c r="F253">
        <v>1320619</v>
      </c>
    </row>
    <row r="254" spans="1:6">
      <c r="A254" s="39">
        <v>42509</v>
      </c>
      <c r="B254">
        <v>114.14</v>
      </c>
      <c r="C254">
        <v>114.33</v>
      </c>
      <c r="D254">
        <v>114.08</v>
      </c>
      <c r="E254">
        <v>114.15</v>
      </c>
      <c r="F254">
        <v>795011</v>
      </c>
    </row>
    <row r="255" spans="1:6">
      <c r="A255" s="39">
        <v>42510</v>
      </c>
      <c r="B255">
        <v>114.2</v>
      </c>
      <c r="C255">
        <v>114.35</v>
      </c>
      <c r="D255">
        <v>114.09</v>
      </c>
      <c r="E255">
        <v>114.09</v>
      </c>
      <c r="F255">
        <v>818188</v>
      </c>
    </row>
    <row r="256" spans="1:6">
      <c r="A256" s="39">
        <v>42513</v>
      </c>
      <c r="B256">
        <v>114</v>
      </c>
      <c r="C256">
        <v>114.23</v>
      </c>
      <c r="D256">
        <v>113.36</v>
      </c>
      <c r="E256">
        <v>114.15</v>
      </c>
      <c r="F256">
        <v>748611</v>
      </c>
    </row>
    <row r="257" spans="1:6">
      <c r="A257" s="39">
        <v>42514</v>
      </c>
      <c r="B257">
        <v>114.01</v>
      </c>
      <c r="C257">
        <v>114.13</v>
      </c>
      <c r="D257">
        <v>113.84</v>
      </c>
      <c r="E257">
        <v>114.04</v>
      </c>
      <c r="F257">
        <v>456693</v>
      </c>
    </row>
    <row r="258" spans="1:6">
      <c r="A258" s="39">
        <v>42515</v>
      </c>
      <c r="B258">
        <v>114.11</v>
      </c>
      <c r="C258">
        <v>114.2</v>
      </c>
      <c r="D258">
        <v>114</v>
      </c>
      <c r="E258">
        <v>114.13</v>
      </c>
      <c r="F258">
        <v>546444</v>
      </c>
    </row>
    <row r="259" spans="1:6">
      <c r="A259" s="39">
        <v>42516</v>
      </c>
      <c r="B259">
        <v>114.4</v>
      </c>
      <c r="C259">
        <v>114.63</v>
      </c>
      <c r="D259">
        <v>114.34</v>
      </c>
      <c r="E259">
        <v>114.46</v>
      </c>
      <c r="F259">
        <v>1096874</v>
      </c>
    </row>
    <row r="260" spans="1:6">
      <c r="A260" s="39">
        <v>42517</v>
      </c>
      <c r="B260">
        <v>114.51</v>
      </c>
      <c r="C260">
        <v>114.8</v>
      </c>
      <c r="D260">
        <v>114.24</v>
      </c>
      <c r="E260">
        <v>114.31</v>
      </c>
      <c r="F260">
        <v>532838</v>
      </c>
    </row>
    <row r="261" spans="1:6">
      <c r="A261" s="39">
        <v>42521</v>
      </c>
      <c r="B261">
        <v>114.08</v>
      </c>
      <c r="C261">
        <v>114.32</v>
      </c>
      <c r="D261">
        <v>114</v>
      </c>
      <c r="E261">
        <v>114.14</v>
      </c>
      <c r="F261">
        <v>588762</v>
      </c>
    </row>
    <row r="262" spans="1:6">
      <c r="A262" s="39">
        <v>42522</v>
      </c>
      <c r="B262">
        <v>114.26</v>
      </c>
      <c r="C262">
        <v>114.28</v>
      </c>
      <c r="D262">
        <v>113.92</v>
      </c>
      <c r="E262">
        <v>113.93</v>
      </c>
      <c r="F262">
        <v>5882781</v>
      </c>
    </row>
    <row r="263" spans="1:6">
      <c r="A263" s="39">
        <v>42523</v>
      </c>
      <c r="B263">
        <v>114.06</v>
      </c>
      <c r="C263">
        <v>114.41</v>
      </c>
      <c r="D263">
        <v>113.97</v>
      </c>
      <c r="E263">
        <v>114.32</v>
      </c>
      <c r="F263">
        <v>1874267</v>
      </c>
    </row>
    <row r="264" spans="1:6">
      <c r="A264" s="39">
        <v>42524</v>
      </c>
      <c r="B264">
        <v>115.2</v>
      </c>
      <c r="C264">
        <v>115.26</v>
      </c>
      <c r="D264">
        <v>115</v>
      </c>
      <c r="E264">
        <v>115.06</v>
      </c>
      <c r="F264">
        <v>580387</v>
      </c>
    </row>
    <row r="265" spans="1:6">
      <c r="A265" s="39">
        <v>42527</v>
      </c>
      <c r="B265">
        <v>114.9</v>
      </c>
      <c r="C265">
        <v>115.27</v>
      </c>
      <c r="D265">
        <v>114.87</v>
      </c>
      <c r="E265">
        <v>115.19</v>
      </c>
      <c r="F265">
        <v>543755</v>
      </c>
    </row>
    <row r="266" spans="1:6">
      <c r="A266" s="39">
        <v>42528</v>
      </c>
      <c r="B266">
        <v>115.34</v>
      </c>
      <c r="C266">
        <v>115.58</v>
      </c>
      <c r="D266">
        <v>115.34</v>
      </c>
      <c r="E266">
        <v>115.5</v>
      </c>
      <c r="F266">
        <v>1030607</v>
      </c>
    </row>
    <row r="267" spans="1:6">
      <c r="A267" s="39">
        <v>42529</v>
      </c>
      <c r="B267">
        <v>115.76</v>
      </c>
      <c r="C267">
        <v>115.79</v>
      </c>
      <c r="D267">
        <v>115.61</v>
      </c>
      <c r="E267">
        <v>115.77</v>
      </c>
      <c r="F267">
        <v>1086538</v>
      </c>
    </row>
    <row r="268" spans="1:6">
      <c r="A268" s="39">
        <v>42530</v>
      </c>
      <c r="B268">
        <v>115.95</v>
      </c>
      <c r="C268">
        <v>115.95</v>
      </c>
      <c r="D268">
        <v>115.71</v>
      </c>
      <c r="E268">
        <v>115.81</v>
      </c>
      <c r="F268">
        <v>535539</v>
      </c>
    </row>
    <row r="269" spans="1:6">
      <c r="A269" s="39">
        <v>42531</v>
      </c>
      <c r="B269">
        <v>115.85</v>
      </c>
      <c r="C269">
        <v>116</v>
      </c>
      <c r="D269">
        <v>115.74</v>
      </c>
      <c r="E269">
        <v>115.81</v>
      </c>
      <c r="F269">
        <v>662572</v>
      </c>
    </row>
    <row r="270" spans="1:6">
      <c r="A270" s="39">
        <v>42534</v>
      </c>
      <c r="B270">
        <v>115.7</v>
      </c>
      <c r="C270">
        <v>115.78</v>
      </c>
      <c r="D270">
        <v>115.57</v>
      </c>
      <c r="E270">
        <v>115.66</v>
      </c>
      <c r="F270">
        <v>650514</v>
      </c>
    </row>
    <row r="271" spans="1:6">
      <c r="A271" s="39">
        <v>42535</v>
      </c>
      <c r="B271">
        <v>115.64</v>
      </c>
      <c r="C271">
        <v>115.7</v>
      </c>
      <c r="D271">
        <v>115.37</v>
      </c>
      <c r="E271">
        <v>115.37</v>
      </c>
      <c r="F271">
        <v>659131</v>
      </c>
    </row>
    <row r="272" spans="1:6">
      <c r="A272" s="39">
        <v>42536</v>
      </c>
      <c r="B272">
        <v>115.41</v>
      </c>
      <c r="C272">
        <v>115.91</v>
      </c>
      <c r="D272">
        <v>115.13</v>
      </c>
      <c r="E272">
        <v>115.91</v>
      </c>
      <c r="F272">
        <v>1116532</v>
      </c>
    </row>
    <row r="273" spans="1:6">
      <c r="A273" s="39">
        <v>42537</v>
      </c>
      <c r="B273">
        <v>115.88</v>
      </c>
      <c r="C273">
        <v>116.04</v>
      </c>
      <c r="D273">
        <v>115.63</v>
      </c>
      <c r="E273">
        <v>115.68</v>
      </c>
      <c r="F273">
        <v>567124</v>
      </c>
    </row>
    <row r="274" spans="1:6">
      <c r="A274" s="39">
        <v>42538</v>
      </c>
      <c r="B274">
        <v>115.72</v>
      </c>
      <c r="C274">
        <v>115.73</v>
      </c>
      <c r="D274">
        <v>115.24</v>
      </c>
      <c r="E274">
        <v>115.39</v>
      </c>
      <c r="F274">
        <v>747933</v>
      </c>
    </row>
    <row r="275" spans="1:6">
      <c r="A275" s="39">
        <v>42541</v>
      </c>
      <c r="B275">
        <v>115.17</v>
      </c>
      <c r="C275">
        <v>115.25</v>
      </c>
      <c r="D275">
        <v>114.94</v>
      </c>
      <c r="E275">
        <v>115.06</v>
      </c>
      <c r="F275">
        <v>955439</v>
      </c>
    </row>
    <row r="276" spans="1:6">
      <c r="A276" s="39">
        <v>42542</v>
      </c>
      <c r="B276">
        <v>114.89</v>
      </c>
      <c r="C276">
        <v>114.96</v>
      </c>
      <c r="D276">
        <v>114.68</v>
      </c>
      <c r="E276">
        <v>114.71</v>
      </c>
      <c r="F276">
        <v>1413799</v>
      </c>
    </row>
    <row r="277" spans="1:6">
      <c r="A277" s="39">
        <v>42543</v>
      </c>
      <c r="B277">
        <v>114.76</v>
      </c>
      <c r="C277">
        <v>115.14</v>
      </c>
      <c r="D277">
        <v>114.53</v>
      </c>
      <c r="E277">
        <v>115.02</v>
      </c>
      <c r="F277">
        <v>3495559</v>
      </c>
    </row>
    <row r="278" spans="1:6">
      <c r="A278" s="39">
        <v>42544</v>
      </c>
      <c r="B278">
        <v>115.06</v>
      </c>
      <c r="C278">
        <v>115.28</v>
      </c>
      <c r="D278">
        <v>114.99</v>
      </c>
      <c r="E278">
        <v>115.06</v>
      </c>
      <c r="F278">
        <v>510656</v>
      </c>
    </row>
    <row r="279" spans="1:6">
      <c r="A279" s="39">
        <v>42545</v>
      </c>
      <c r="B279">
        <v>115.77</v>
      </c>
      <c r="C279">
        <v>116.09</v>
      </c>
      <c r="D279">
        <v>115.62</v>
      </c>
      <c r="E279">
        <v>115.78</v>
      </c>
      <c r="F279">
        <v>1366127</v>
      </c>
    </row>
    <row r="280" spans="1:6">
      <c r="A280" s="39">
        <v>42548</v>
      </c>
      <c r="B280">
        <v>116</v>
      </c>
      <c r="C280">
        <v>116.25</v>
      </c>
      <c r="D280">
        <v>115.84</v>
      </c>
      <c r="E280">
        <v>116.12</v>
      </c>
      <c r="F280">
        <v>826805</v>
      </c>
    </row>
    <row r="281" spans="1:6">
      <c r="A281" s="39">
        <v>42549</v>
      </c>
      <c r="B281">
        <v>116.2</v>
      </c>
      <c r="C281">
        <v>116.53</v>
      </c>
      <c r="D281">
        <v>116.09</v>
      </c>
      <c r="E281">
        <v>116.52</v>
      </c>
      <c r="F281">
        <v>729855</v>
      </c>
    </row>
    <row r="282" spans="1:6">
      <c r="A282" s="39">
        <v>42550</v>
      </c>
      <c r="B282">
        <v>116.63</v>
      </c>
      <c r="C282">
        <v>116.71</v>
      </c>
      <c r="D282">
        <v>116.35</v>
      </c>
      <c r="E282">
        <v>116.45</v>
      </c>
      <c r="F282">
        <v>792168</v>
      </c>
    </row>
    <row r="283" spans="1:6">
      <c r="A283" s="39">
        <v>42551</v>
      </c>
      <c r="B283">
        <v>116.58</v>
      </c>
      <c r="C283">
        <v>116.86</v>
      </c>
      <c r="D283">
        <v>116.47</v>
      </c>
      <c r="E283">
        <v>116.67</v>
      </c>
      <c r="F283">
        <v>1322380</v>
      </c>
    </row>
    <row r="284" spans="1:6">
      <c r="A284" s="39">
        <v>42552</v>
      </c>
      <c r="B284">
        <v>117</v>
      </c>
      <c r="C284">
        <v>117.4</v>
      </c>
      <c r="D284">
        <v>116.65</v>
      </c>
      <c r="E284">
        <v>117.06</v>
      </c>
      <c r="F284">
        <v>2362479</v>
      </c>
    </row>
    <row r="285" spans="1:6">
      <c r="A285" s="39">
        <v>42556</v>
      </c>
      <c r="B285">
        <v>117.16</v>
      </c>
      <c r="C285">
        <v>117.33</v>
      </c>
      <c r="D285">
        <v>117.02</v>
      </c>
      <c r="E285">
        <v>117.25</v>
      </c>
      <c r="F285">
        <v>691371</v>
      </c>
    </row>
    <row r="286" spans="1:6">
      <c r="A286" s="39">
        <v>42557</v>
      </c>
      <c r="B286">
        <v>117.48</v>
      </c>
      <c r="C286">
        <v>117.55</v>
      </c>
      <c r="D286">
        <v>117.22</v>
      </c>
      <c r="E286">
        <v>117.53</v>
      </c>
      <c r="F286">
        <v>791316</v>
      </c>
    </row>
    <row r="287" spans="1:6">
      <c r="A287" s="39">
        <v>42558</v>
      </c>
      <c r="B287">
        <v>117.51</v>
      </c>
      <c r="C287">
        <v>117.55</v>
      </c>
      <c r="D287">
        <v>117.22</v>
      </c>
      <c r="E287">
        <v>117.29</v>
      </c>
      <c r="F287">
        <v>1912699</v>
      </c>
    </row>
    <row r="288" spans="1:6">
      <c r="A288" s="39">
        <v>42559</v>
      </c>
      <c r="B288">
        <v>117.4</v>
      </c>
      <c r="C288">
        <v>117.55</v>
      </c>
      <c r="D288">
        <v>117.17</v>
      </c>
      <c r="E288">
        <v>117.55</v>
      </c>
      <c r="F288">
        <v>1047779</v>
      </c>
    </row>
    <row r="289" spans="1:6">
      <c r="A289" s="39">
        <v>42562</v>
      </c>
      <c r="B289">
        <v>117.38</v>
      </c>
      <c r="C289">
        <v>117.43</v>
      </c>
      <c r="D289">
        <v>116.96</v>
      </c>
      <c r="E289">
        <v>116.98</v>
      </c>
      <c r="F289">
        <v>904645</v>
      </c>
    </row>
    <row r="290" spans="1:6">
      <c r="A290" s="39">
        <v>42563</v>
      </c>
      <c r="B290">
        <v>116.85</v>
      </c>
      <c r="C290">
        <v>116.85</v>
      </c>
      <c r="D290">
        <v>116.54</v>
      </c>
      <c r="E290">
        <v>116.59</v>
      </c>
      <c r="F290">
        <v>894108</v>
      </c>
    </row>
    <row r="291" spans="1:6">
      <c r="A291" s="39">
        <v>42564</v>
      </c>
      <c r="B291">
        <v>116.91</v>
      </c>
      <c r="C291">
        <v>117.15</v>
      </c>
      <c r="D291">
        <v>116.74</v>
      </c>
      <c r="E291">
        <v>116.84</v>
      </c>
      <c r="F291">
        <v>813218</v>
      </c>
    </row>
    <row r="292" spans="1:6">
      <c r="A292" s="39">
        <v>42565</v>
      </c>
      <c r="B292">
        <v>116.61</v>
      </c>
      <c r="C292">
        <v>116.7</v>
      </c>
      <c r="D292">
        <v>116.33</v>
      </c>
      <c r="E292">
        <v>116.54</v>
      </c>
      <c r="F292">
        <v>860517</v>
      </c>
    </row>
    <row r="293" spans="1:6">
      <c r="A293" s="39">
        <v>42566</v>
      </c>
      <c r="B293">
        <v>116.33</v>
      </c>
      <c r="C293">
        <v>116.44</v>
      </c>
      <c r="D293">
        <v>116.22</v>
      </c>
      <c r="E293">
        <v>116.41</v>
      </c>
      <c r="F293">
        <v>2211581</v>
      </c>
    </row>
    <row r="294" spans="1:6">
      <c r="A294" s="39">
        <v>42569</v>
      </c>
      <c r="B294">
        <v>116.44</v>
      </c>
      <c r="C294">
        <v>116.56</v>
      </c>
      <c r="D294">
        <v>116.22</v>
      </c>
      <c r="E294">
        <v>116.33</v>
      </c>
      <c r="F294">
        <v>928189</v>
      </c>
    </row>
    <row r="295" spans="1:6">
      <c r="A295" s="39">
        <v>42570</v>
      </c>
      <c r="B295">
        <v>116.49</v>
      </c>
      <c r="C295">
        <v>116.52</v>
      </c>
      <c r="D295">
        <v>116.27</v>
      </c>
      <c r="E295">
        <v>116.34</v>
      </c>
      <c r="F295">
        <v>1040113</v>
      </c>
    </row>
    <row r="296" spans="1:6">
      <c r="A296" s="39">
        <v>42571</v>
      </c>
      <c r="B296">
        <v>116.07</v>
      </c>
      <c r="C296">
        <v>116.22</v>
      </c>
      <c r="D296">
        <v>115.86</v>
      </c>
      <c r="E296">
        <v>116.13</v>
      </c>
      <c r="F296">
        <v>789601</v>
      </c>
    </row>
    <row r="297" spans="1:6">
      <c r="A297" s="39">
        <v>42572</v>
      </c>
      <c r="B297">
        <v>115.88</v>
      </c>
      <c r="C297">
        <v>116.27</v>
      </c>
      <c r="D297">
        <v>115.78</v>
      </c>
      <c r="E297">
        <v>116.18</v>
      </c>
      <c r="F297">
        <v>645943</v>
      </c>
    </row>
    <row r="298" spans="1:6">
      <c r="A298" s="39">
        <v>42573</v>
      </c>
      <c r="B298">
        <v>115.97</v>
      </c>
      <c r="C298">
        <v>116.19</v>
      </c>
      <c r="D298">
        <v>115.66</v>
      </c>
      <c r="E298">
        <v>116.08</v>
      </c>
      <c r="F298">
        <v>820558</v>
      </c>
    </row>
    <row r="299" spans="1:6">
      <c r="A299" s="39">
        <v>42576</v>
      </c>
      <c r="B299">
        <v>116.06</v>
      </c>
      <c r="C299">
        <v>116.1</v>
      </c>
      <c r="D299">
        <v>115.83</v>
      </c>
      <c r="E299">
        <v>115.83</v>
      </c>
      <c r="F299">
        <v>770015</v>
      </c>
    </row>
    <row r="300" spans="1:6">
      <c r="A300" s="39">
        <v>42577</v>
      </c>
      <c r="B300">
        <v>116.01</v>
      </c>
      <c r="C300">
        <v>116.05</v>
      </c>
      <c r="D300">
        <v>115.73</v>
      </c>
      <c r="E300">
        <v>116.03</v>
      </c>
      <c r="F300">
        <v>928778</v>
      </c>
    </row>
    <row r="301" spans="1:6">
      <c r="A301" s="39">
        <v>42578</v>
      </c>
      <c r="B301">
        <v>116.17</v>
      </c>
      <c r="C301">
        <v>116.48</v>
      </c>
      <c r="D301">
        <v>115.98</v>
      </c>
      <c r="E301">
        <v>116.48</v>
      </c>
      <c r="F301">
        <v>714230</v>
      </c>
    </row>
    <row r="302" spans="1:6">
      <c r="A302" s="39">
        <v>42579</v>
      </c>
      <c r="B302">
        <v>116.46</v>
      </c>
      <c r="C302">
        <v>116.68</v>
      </c>
      <c r="D302">
        <v>116.27</v>
      </c>
      <c r="E302">
        <v>116.64</v>
      </c>
      <c r="F302">
        <v>1113334</v>
      </c>
    </row>
    <row r="303" spans="1:6">
      <c r="A303" s="39">
        <v>42580</v>
      </c>
      <c r="B303">
        <v>116.95</v>
      </c>
      <c r="C303">
        <v>117.08</v>
      </c>
      <c r="D303">
        <v>116.83</v>
      </c>
      <c r="E303">
        <v>116.9</v>
      </c>
      <c r="F303">
        <v>971805</v>
      </c>
    </row>
    <row r="304" spans="1:6">
      <c r="A304" s="39">
        <v>42583</v>
      </c>
      <c r="B304">
        <v>116.12</v>
      </c>
      <c r="C304">
        <v>116.17</v>
      </c>
      <c r="D304">
        <v>115.73</v>
      </c>
      <c r="E304">
        <v>115.75</v>
      </c>
      <c r="F304">
        <v>3330822</v>
      </c>
    </row>
    <row r="305" spans="1:6">
      <c r="A305" s="39">
        <v>42584</v>
      </c>
      <c r="B305">
        <v>115.37</v>
      </c>
      <c r="C305">
        <v>115.58</v>
      </c>
      <c r="D305">
        <v>115.18</v>
      </c>
      <c r="E305">
        <v>115.18</v>
      </c>
      <c r="F305">
        <v>1182506</v>
      </c>
    </row>
    <row r="306" spans="1:6">
      <c r="A306" s="39">
        <v>42585</v>
      </c>
      <c r="B306">
        <v>115.38</v>
      </c>
      <c r="C306">
        <v>115.56</v>
      </c>
      <c r="D306">
        <v>115.11</v>
      </c>
      <c r="E306">
        <v>115.51</v>
      </c>
      <c r="F306">
        <v>968519</v>
      </c>
    </row>
    <row r="307" spans="1:6">
      <c r="A307" s="39">
        <v>42586</v>
      </c>
      <c r="B307">
        <v>116.02</v>
      </c>
      <c r="C307">
        <v>116.36</v>
      </c>
      <c r="D307">
        <v>115.93</v>
      </c>
      <c r="E307">
        <v>115.99</v>
      </c>
      <c r="F307">
        <v>591008</v>
      </c>
    </row>
    <row r="308" spans="1:6">
      <c r="A308" s="39">
        <v>42587</v>
      </c>
      <c r="B308">
        <v>115.86</v>
      </c>
      <c r="C308">
        <v>115.96</v>
      </c>
      <c r="D308">
        <v>115.64</v>
      </c>
      <c r="E308">
        <v>115.71</v>
      </c>
      <c r="F308">
        <v>628924</v>
      </c>
    </row>
    <row r="309" spans="1:6">
      <c r="A309" s="39">
        <v>42590</v>
      </c>
      <c r="B309">
        <v>115.78</v>
      </c>
      <c r="C309">
        <v>116</v>
      </c>
      <c r="D309">
        <v>115.63</v>
      </c>
      <c r="E309">
        <v>115.79</v>
      </c>
      <c r="F309">
        <v>881265</v>
      </c>
    </row>
    <row r="310" spans="1:6">
      <c r="A310" s="39">
        <v>42591</v>
      </c>
      <c r="B310">
        <v>115.79</v>
      </c>
      <c r="C310">
        <v>116.1</v>
      </c>
      <c r="D310">
        <v>115.72</v>
      </c>
      <c r="E310">
        <v>116.07</v>
      </c>
      <c r="F310">
        <v>633021</v>
      </c>
    </row>
    <row r="311" spans="1:6">
      <c r="A311" s="39">
        <v>42592</v>
      </c>
      <c r="B311">
        <v>116.18</v>
      </c>
      <c r="C311">
        <v>116.24</v>
      </c>
      <c r="D311">
        <v>116.04</v>
      </c>
      <c r="E311">
        <v>116.1</v>
      </c>
      <c r="F311">
        <v>883824</v>
      </c>
    </row>
    <row r="312" spans="1:6">
      <c r="A312" s="39">
        <v>42593</v>
      </c>
      <c r="B312">
        <v>116.08</v>
      </c>
      <c r="C312">
        <v>116.11</v>
      </c>
      <c r="D312">
        <v>115.71</v>
      </c>
      <c r="E312">
        <v>115.79</v>
      </c>
      <c r="F312">
        <v>691233</v>
      </c>
    </row>
    <row r="313" spans="1:6">
      <c r="A313" s="39">
        <v>42594</v>
      </c>
      <c r="B313">
        <v>116.28</v>
      </c>
      <c r="C313">
        <v>116.34</v>
      </c>
      <c r="D313">
        <v>116.08</v>
      </c>
      <c r="E313">
        <v>116.09</v>
      </c>
      <c r="F313">
        <v>1798157</v>
      </c>
    </row>
    <row r="314" spans="1:6">
      <c r="A314" s="39">
        <v>42597</v>
      </c>
      <c r="B314">
        <v>116.05</v>
      </c>
      <c r="C314">
        <v>116.16</v>
      </c>
      <c r="D314">
        <v>115.79</v>
      </c>
      <c r="E314">
        <v>115.79</v>
      </c>
      <c r="F314">
        <v>604734</v>
      </c>
    </row>
    <row r="315" spans="1:6">
      <c r="A315" s="39">
        <v>42598</v>
      </c>
      <c r="B315">
        <v>115.5</v>
      </c>
      <c r="C315">
        <v>115.72</v>
      </c>
      <c r="D315">
        <v>115.46</v>
      </c>
      <c r="E315">
        <v>115.63</v>
      </c>
      <c r="F315">
        <v>800590</v>
      </c>
    </row>
    <row r="316" spans="1:6">
      <c r="A316" s="39">
        <v>42599</v>
      </c>
      <c r="B316">
        <v>115.71</v>
      </c>
      <c r="C316">
        <v>116.04</v>
      </c>
      <c r="D316">
        <v>115.62</v>
      </c>
      <c r="E316">
        <v>115.98</v>
      </c>
      <c r="F316">
        <v>509484</v>
      </c>
    </row>
    <row r="317" spans="1:6">
      <c r="A317" s="39">
        <v>42600</v>
      </c>
      <c r="B317">
        <v>116.15</v>
      </c>
      <c r="C317">
        <v>116.34</v>
      </c>
      <c r="D317">
        <v>116.03</v>
      </c>
      <c r="E317">
        <v>116.18</v>
      </c>
      <c r="F317">
        <v>895725</v>
      </c>
    </row>
    <row r="318" spans="1:6">
      <c r="A318" s="39">
        <v>42601</v>
      </c>
      <c r="B318">
        <v>116</v>
      </c>
      <c r="C318">
        <v>116.06</v>
      </c>
      <c r="D318">
        <v>115.76</v>
      </c>
      <c r="E318">
        <v>115.99</v>
      </c>
      <c r="F318">
        <v>501262</v>
      </c>
    </row>
    <row r="319" spans="1:6">
      <c r="A319" s="39">
        <v>42604</v>
      </c>
      <c r="B319">
        <v>116.18</v>
      </c>
      <c r="C319">
        <v>116.31</v>
      </c>
      <c r="D319">
        <v>116.05</v>
      </c>
      <c r="E319">
        <v>116.23</v>
      </c>
      <c r="F319">
        <v>576610</v>
      </c>
    </row>
    <row r="320" spans="1:6">
      <c r="A320" s="39">
        <v>42605</v>
      </c>
      <c r="B320">
        <v>116.37</v>
      </c>
      <c r="C320">
        <v>116.44</v>
      </c>
      <c r="D320">
        <v>116.22</v>
      </c>
      <c r="E320">
        <v>116.39</v>
      </c>
      <c r="F320">
        <v>1067799</v>
      </c>
    </row>
    <row r="321" spans="1:6">
      <c r="A321" s="39">
        <v>42606</v>
      </c>
      <c r="B321">
        <v>116.54</v>
      </c>
      <c r="C321">
        <v>116.54</v>
      </c>
      <c r="D321">
        <v>116.21</v>
      </c>
      <c r="E321">
        <v>116.21</v>
      </c>
      <c r="F321">
        <v>914175</v>
      </c>
    </row>
    <row r="322" spans="1:6">
      <c r="A322" s="39">
        <v>42607</v>
      </c>
      <c r="B322">
        <v>116.12</v>
      </c>
      <c r="C322">
        <v>116.32</v>
      </c>
      <c r="D322">
        <v>116.01</v>
      </c>
      <c r="E322">
        <v>116.15</v>
      </c>
      <c r="F322">
        <v>1819610</v>
      </c>
    </row>
    <row r="323" spans="1:6">
      <c r="A323" s="39">
        <v>42608</v>
      </c>
      <c r="B323">
        <v>116.48</v>
      </c>
      <c r="C323">
        <v>116.76</v>
      </c>
      <c r="D323">
        <v>115.62</v>
      </c>
      <c r="E323">
        <v>115.7</v>
      </c>
      <c r="F323">
        <v>1004480</v>
      </c>
    </row>
    <row r="324" spans="1:6">
      <c r="A324" s="39">
        <v>42611</v>
      </c>
      <c r="B324">
        <v>115.93</v>
      </c>
      <c r="C324">
        <v>116.12</v>
      </c>
      <c r="D324">
        <v>115.83</v>
      </c>
      <c r="E324">
        <v>116.12</v>
      </c>
      <c r="F324">
        <v>696519</v>
      </c>
    </row>
    <row r="325" spans="1:6">
      <c r="A325" s="39">
        <v>42612</v>
      </c>
      <c r="B325">
        <v>116.12</v>
      </c>
      <c r="C325">
        <v>116.13</v>
      </c>
      <c r="D325">
        <v>115.95</v>
      </c>
      <c r="E325">
        <v>116.02</v>
      </c>
      <c r="F325">
        <v>579457</v>
      </c>
    </row>
    <row r="326" spans="1:6">
      <c r="A326" s="39">
        <v>42613</v>
      </c>
      <c r="B326">
        <v>115.87</v>
      </c>
      <c r="C326">
        <v>116.17</v>
      </c>
      <c r="D326">
        <v>115.85</v>
      </c>
      <c r="E326">
        <v>116.04</v>
      </c>
      <c r="F326">
        <v>690939</v>
      </c>
    </row>
    <row r="327" spans="1:6">
      <c r="A327" s="39">
        <v>42614</v>
      </c>
      <c r="B327">
        <v>115.38</v>
      </c>
      <c r="C327">
        <v>115.83</v>
      </c>
      <c r="D327">
        <v>115.33</v>
      </c>
      <c r="E327">
        <v>115.72</v>
      </c>
      <c r="F327">
        <v>3705563</v>
      </c>
    </row>
    <row r="328" spans="1:6">
      <c r="A328" s="39">
        <v>42615</v>
      </c>
      <c r="B328">
        <v>115.68</v>
      </c>
      <c r="C328">
        <v>115.69</v>
      </c>
      <c r="D328">
        <v>115.34</v>
      </c>
      <c r="E328">
        <v>115.59</v>
      </c>
      <c r="F328">
        <v>987192</v>
      </c>
    </row>
    <row r="329" spans="1:6">
      <c r="A329" s="39">
        <v>42619</v>
      </c>
      <c r="B329">
        <v>115.64</v>
      </c>
      <c r="C329">
        <v>116.28</v>
      </c>
      <c r="D329">
        <v>115.53</v>
      </c>
      <c r="E329">
        <v>116.14</v>
      </c>
      <c r="F329">
        <v>1671227</v>
      </c>
    </row>
    <row r="330" spans="1:6">
      <c r="A330" s="39">
        <v>42620</v>
      </c>
      <c r="B330">
        <v>116.41</v>
      </c>
      <c r="C330">
        <v>116.43</v>
      </c>
      <c r="D330">
        <v>116.21</v>
      </c>
      <c r="E330">
        <v>116.29</v>
      </c>
      <c r="F330">
        <v>811775</v>
      </c>
    </row>
    <row r="331" spans="1:6">
      <c r="A331" s="39">
        <v>42621</v>
      </c>
      <c r="B331">
        <v>116.23</v>
      </c>
      <c r="C331">
        <v>116.32</v>
      </c>
      <c r="D331">
        <v>115.79</v>
      </c>
      <c r="E331">
        <v>115.88</v>
      </c>
      <c r="F331">
        <v>668024</v>
      </c>
    </row>
    <row r="332" spans="1:6">
      <c r="A332" s="39">
        <v>42622</v>
      </c>
      <c r="B332">
        <v>115.34</v>
      </c>
      <c r="C332">
        <v>115.35</v>
      </c>
      <c r="D332">
        <v>115.08</v>
      </c>
      <c r="E332">
        <v>115.08</v>
      </c>
      <c r="F332">
        <v>863404</v>
      </c>
    </row>
    <row r="333" spans="1:6">
      <c r="A333" s="39">
        <v>42625</v>
      </c>
      <c r="B333">
        <v>114.98</v>
      </c>
      <c r="C333">
        <v>115.26</v>
      </c>
      <c r="D333">
        <v>114.84</v>
      </c>
      <c r="E333">
        <v>115.12</v>
      </c>
      <c r="F333">
        <v>776051</v>
      </c>
    </row>
    <row r="334" spans="1:6">
      <c r="A334" s="39">
        <v>42626</v>
      </c>
      <c r="B334">
        <v>115.18</v>
      </c>
      <c r="C334">
        <v>115.24</v>
      </c>
      <c r="D334">
        <v>114.37</v>
      </c>
      <c r="E334">
        <v>114.61</v>
      </c>
      <c r="F334">
        <v>1087821</v>
      </c>
    </row>
    <row r="335" spans="1:6">
      <c r="A335" s="39">
        <v>42627</v>
      </c>
      <c r="B335">
        <v>114.66</v>
      </c>
      <c r="C335">
        <v>114.91</v>
      </c>
      <c r="D335">
        <v>114.6</v>
      </c>
      <c r="E335">
        <v>114.79</v>
      </c>
      <c r="F335">
        <v>688128</v>
      </c>
    </row>
    <row r="336" spans="1:6">
      <c r="A336" s="39">
        <v>42628</v>
      </c>
      <c r="B336">
        <v>114.62</v>
      </c>
      <c r="C336">
        <v>114.85</v>
      </c>
      <c r="D336">
        <v>114.47</v>
      </c>
      <c r="E336">
        <v>114.76</v>
      </c>
      <c r="F336">
        <v>764910</v>
      </c>
    </row>
    <row r="337" spans="1:6">
      <c r="A337" s="39">
        <v>42629</v>
      </c>
      <c r="B337">
        <v>115.1</v>
      </c>
      <c r="C337">
        <v>115.11</v>
      </c>
      <c r="D337">
        <v>114.84</v>
      </c>
      <c r="E337">
        <v>114.95</v>
      </c>
      <c r="F337">
        <v>1003228</v>
      </c>
    </row>
    <row r="338" spans="1:6">
      <c r="A338" s="39">
        <v>42632</v>
      </c>
      <c r="B338">
        <v>115.04</v>
      </c>
      <c r="C338">
        <v>115.05</v>
      </c>
      <c r="D338">
        <v>114.76</v>
      </c>
      <c r="E338">
        <v>114.81</v>
      </c>
      <c r="F338">
        <v>517843</v>
      </c>
    </row>
    <row r="339" spans="1:6">
      <c r="A339" s="39">
        <v>42633</v>
      </c>
      <c r="B339">
        <v>114.87</v>
      </c>
      <c r="C339">
        <v>115.04</v>
      </c>
      <c r="D339">
        <v>114.74</v>
      </c>
      <c r="E339">
        <v>114.79</v>
      </c>
      <c r="F339">
        <v>485219</v>
      </c>
    </row>
    <row r="340" spans="1:6">
      <c r="A340" s="39">
        <v>42634</v>
      </c>
      <c r="B340">
        <v>114.78</v>
      </c>
      <c r="C340">
        <v>115.36</v>
      </c>
      <c r="D340">
        <v>114.72</v>
      </c>
      <c r="E340">
        <v>115.33</v>
      </c>
      <c r="F340">
        <v>842634</v>
      </c>
    </row>
    <row r="341" spans="1:6">
      <c r="A341" s="39">
        <v>42635</v>
      </c>
      <c r="B341">
        <v>115.57</v>
      </c>
      <c r="C341">
        <v>116</v>
      </c>
      <c r="D341">
        <v>115.55</v>
      </c>
      <c r="E341">
        <v>115.9</v>
      </c>
      <c r="F341">
        <v>746852</v>
      </c>
    </row>
    <row r="342" spans="1:6">
      <c r="A342" s="39">
        <v>42636</v>
      </c>
      <c r="B342">
        <v>116.06</v>
      </c>
      <c r="C342">
        <v>116.3</v>
      </c>
      <c r="D342">
        <v>115.98</v>
      </c>
      <c r="E342">
        <v>116.22</v>
      </c>
      <c r="F342">
        <v>768390</v>
      </c>
    </row>
    <row r="343" spans="1:6">
      <c r="A343" s="39">
        <v>42639</v>
      </c>
      <c r="B343">
        <v>116.37</v>
      </c>
      <c r="C343">
        <v>116.41</v>
      </c>
      <c r="D343">
        <v>116.18</v>
      </c>
      <c r="E343">
        <v>116.27</v>
      </c>
      <c r="F343">
        <v>813709</v>
      </c>
    </row>
    <row r="344" spans="1:6">
      <c r="A344" s="39">
        <v>42640</v>
      </c>
      <c r="B344">
        <v>116.28</v>
      </c>
      <c r="C344">
        <v>116.37</v>
      </c>
      <c r="D344">
        <v>116.08</v>
      </c>
      <c r="E344">
        <v>116.37</v>
      </c>
      <c r="F344">
        <v>953076</v>
      </c>
    </row>
    <row r="345" spans="1:6">
      <c r="A345" s="39">
        <v>42641</v>
      </c>
      <c r="B345">
        <v>116.47</v>
      </c>
      <c r="C345">
        <v>116.7</v>
      </c>
      <c r="D345">
        <v>116.46</v>
      </c>
      <c r="E345">
        <v>116.51</v>
      </c>
      <c r="F345">
        <v>1517411</v>
      </c>
    </row>
    <row r="346" spans="1:6">
      <c r="A346" s="39">
        <v>42642</v>
      </c>
      <c r="B346">
        <v>116.33</v>
      </c>
      <c r="C346">
        <v>116.68</v>
      </c>
      <c r="D346">
        <v>116.25</v>
      </c>
      <c r="E346">
        <v>116.49</v>
      </c>
      <c r="F346">
        <v>973204</v>
      </c>
    </row>
    <row r="347" spans="1:6">
      <c r="A347" s="39">
        <v>42643</v>
      </c>
      <c r="B347">
        <v>116.51</v>
      </c>
      <c r="C347">
        <v>116.58</v>
      </c>
      <c r="D347">
        <v>116.24</v>
      </c>
      <c r="E347">
        <v>116.49</v>
      </c>
      <c r="F347">
        <v>1450220</v>
      </c>
    </row>
    <row r="348" spans="1:6">
      <c r="A348" s="39">
        <v>42646</v>
      </c>
      <c r="B348">
        <v>116.63</v>
      </c>
      <c r="C348">
        <v>116.63</v>
      </c>
      <c r="D348">
        <v>116.34</v>
      </c>
      <c r="E348">
        <v>116.38</v>
      </c>
      <c r="F348">
        <v>2319396</v>
      </c>
    </row>
    <row r="349" spans="1:6">
      <c r="A349" s="39">
        <v>42647</v>
      </c>
      <c r="B349">
        <v>116.48</v>
      </c>
      <c r="C349">
        <v>116.48</v>
      </c>
      <c r="D349">
        <v>115.79</v>
      </c>
      <c r="E349">
        <v>115.81</v>
      </c>
      <c r="F349">
        <v>3761684</v>
      </c>
    </row>
    <row r="350" spans="1:6">
      <c r="A350" s="39">
        <v>42648</v>
      </c>
      <c r="B350">
        <v>115.9</v>
      </c>
      <c r="C350">
        <v>115.9</v>
      </c>
      <c r="D350">
        <v>115.58</v>
      </c>
      <c r="E350">
        <v>115.62</v>
      </c>
      <c r="F350">
        <v>1071587</v>
      </c>
    </row>
    <row r="351" spans="1:6">
      <c r="A351" s="39">
        <v>42649</v>
      </c>
      <c r="B351">
        <v>115.73</v>
      </c>
      <c r="C351">
        <v>115.84</v>
      </c>
      <c r="D351">
        <v>115.56</v>
      </c>
      <c r="E351">
        <v>115.68</v>
      </c>
      <c r="F351">
        <v>820144</v>
      </c>
    </row>
    <row r="352" spans="1:6">
      <c r="A352" s="39">
        <v>42650</v>
      </c>
      <c r="B352">
        <v>115.78</v>
      </c>
      <c r="C352">
        <v>115.87</v>
      </c>
      <c r="D352">
        <v>115.45</v>
      </c>
      <c r="E352">
        <v>115.65</v>
      </c>
      <c r="F352">
        <v>990066</v>
      </c>
    </row>
    <row r="353" spans="1:6">
      <c r="A353" s="39">
        <v>42653</v>
      </c>
      <c r="B353">
        <v>115.49</v>
      </c>
      <c r="C353">
        <v>115.58</v>
      </c>
      <c r="D353">
        <v>115.38</v>
      </c>
      <c r="E353">
        <v>115.49</v>
      </c>
      <c r="F353">
        <v>912468</v>
      </c>
    </row>
    <row r="354" spans="1:6">
      <c r="A354" s="39">
        <v>42654</v>
      </c>
      <c r="B354">
        <v>115.57</v>
      </c>
      <c r="C354">
        <v>115.65</v>
      </c>
      <c r="D354">
        <v>115.37</v>
      </c>
      <c r="E354">
        <v>115.4</v>
      </c>
      <c r="F354">
        <v>839602</v>
      </c>
    </row>
    <row r="355" spans="1:6">
      <c r="A355" s="39">
        <v>42655</v>
      </c>
      <c r="B355">
        <v>115.35</v>
      </c>
      <c r="C355">
        <v>115.46</v>
      </c>
      <c r="D355">
        <v>115.23</v>
      </c>
      <c r="E355">
        <v>115.36</v>
      </c>
      <c r="F355">
        <v>627079</v>
      </c>
    </row>
    <row r="356" spans="1:6">
      <c r="A356" s="39">
        <v>42656</v>
      </c>
      <c r="B356">
        <v>115.47</v>
      </c>
      <c r="C356">
        <v>115.73</v>
      </c>
      <c r="D356">
        <v>115.36</v>
      </c>
      <c r="E356">
        <v>115.54</v>
      </c>
      <c r="F356">
        <v>727670</v>
      </c>
    </row>
    <row r="357" spans="1:6">
      <c r="A357" s="39">
        <v>42657</v>
      </c>
      <c r="B357">
        <v>115.4</v>
      </c>
      <c r="C357">
        <v>115.7</v>
      </c>
      <c r="D357">
        <v>115.4</v>
      </c>
      <c r="E357">
        <v>115.43</v>
      </c>
      <c r="F357">
        <v>753465</v>
      </c>
    </row>
    <row r="358" spans="1:6">
      <c r="A358" s="39">
        <v>42660</v>
      </c>
      <c r="B358">
        <v>115.74</v>
      </c>
      <c r="C358">
        <v>115.98</v>
      </c>
      <c r="D358">
        <v>115.72</v>
      </c>
      <c r="E358">
        <v>115.95</v>
      </c>
      <c r="F358">
        <v>616567</v>
      </c>
    </row>
    <row r="359" spans="1:6">
      <c r="A359" s="39">
        <v>42661</v>
      </c>
      <c r="B359">
        <v>115.84</v>
      </c>
      <c r="C359">
        <v>116.08</v>
      </c>
      <c r="D359">
        <v>115.8</v>
      </c>
      <c r="E359">
        <v>116.02</v>
      </c>
      <c r="F359">
        <v>945349</v>
      </c>
    </row>
    <row r="360" spans="1:6">
      <c r="A360" s="39">
        <v>42662</v>
      </c>
      <c r="B360">
        <v>115.9</v>
      </c>
      <c r="C360">
        <v>116.19</v>
      </c>
      <c r="D360">
        <v>115.86</v>
      </c>
      <c r="E360">
        <v>116.18</v>
      </c>
      <c r="F360">
        <v>910922</v>
      </c>
    </row>
    <row r="361" spans="1:6">
      <c r="A361" s="39">
        <v>42663</v>
      </c>
      <c r="B361">
        <v>116.3</v>
      </c>
      <c r="C361">
        <v>116.3</v>
      </c>
      <c r="D361">
        <v>116</v>
      </c>
      <c r="E361">
        <v>116</v>
      </c>
      <c r="F361">
        <v>824409</v>
      </c>
    </row>
    <row r="362" spans="1:6">
      <c r="A362" s="39">
        <v>42664</v>
      </c>
      <c r="B362">
        <v>116.21</v>
      </c>
      <c r="C362">
        <v>116.21</v>
      </c>
      <c r="D362">
        <v>115.97</v>
      </c>
      <c r="E362">
        <v>116.13</v>
      </c>
      <c r="F362">
        <v>690381</v>
      </c>
    </row>
    <row r="363" spans="1:6">
      <c r="A363" s="39">
        <v>42667</v>
      </c>
      <c r="B363">
        <v>116.13</v>
      </c>
      <c r="C363">
        <v>116.13</v>
      </c>
      <c r="D363">
        <v>115.79</v>
      </c>
      <c r="E363">
        <v>115.95</v>
      </c>
      <c r="F363">
        <v>947672</v>
      </c>
    </row>
    <row r="364" spans="1:6">
      <c r="A364" s="39">
        <v>42668</v>
      </c>
      <c r="B364">
        <v>115.92</v>
      </c>
      <c r="C364">
        <v>116.16</v>
      </c>
      <c r="D364">
        <v>115.87</v>
      </c>
      <c r="E364">
        <v>116.13</v>
      </c>
      <c r="F364">
        <v>1259554</v>
      </c>
    </row>
    <row r="365" spans="1:6">
      <c r="A365" s="39">
        <v>42669</v>
      </c>
      <c r="B365">
        <v>115.89</v>
      </c>
      <c r="C365">
        <v>116.11</v>
      </c>
      <c r="D365">
        <v>115.78</v>
      </c>
      <c r="E365">
        <v>116.01</v>
      </c>
      <c r="F365">
        <v>926089</v>
      </c>
    </row>
    <row r="366" spans="1:6">
      <c r="A366" s="39">
        <v>42670</v>
      </c>
      <c r="B366">
        <v>115.81</v>
      </c>
      <c r="C366">
        <v>115.81</v>
      </c>
      <c r="D366">
        <v>115.45</v>
      </c>
      <c r="E366">
        <v>115.51</v>
      </c>
      <c r="F366">
        <v>1716501</v>
      </c>
    </row>
    <row r="367" spans="1:6">
      <c r="A367" s="39">
        <v>42671</v>
      </c>
      <c r="B367">
        <v>115.55</v>
      </c>
      <c r="C367">
        <v>115.74</v>
      </c>
      <c r="D367">
        <v>115.47</v>
      </c>
      <c r="E367">
        <v>115.64</v>
      </c>
      <c r="F367">
        <v>2316532</v>
      </c>
    </row>
    <row r="368" spans="1:6">
      <c r="A368" s="39">
        <v>42674</v>
      </c>
      <c r="B368">
        <v>115.77</v>
      </c>
      <c r="C368">
        <v>115.86</v>
      </c>
      <c r="D368">
        <v>115.67</v>
      </c>
      <c r="E368">
        <v>115.86</v>
      </c>
      <c r="F368">
        <v>2417253</v>
      </c>
    </row>
    <row r="369" spans="1:6">
      <c r="A369" s="39">
        <v>42675</v>
      </c>
      <c r="B369">
        <v>115.6</v>
      </c>
      <c r="C369">
        <v>115.97</v>
      </c>
      <c r="D369">
        <v>115.5</v>
      </c>
      <c r="E369">
        <v>115.87</v>
      </c>
      <c r="F369">
        <v>6073461</v>
      </c>
    </row>
    <row r="370" spans="1:6">
      <c r="A370" s="39">
        <v>42676</v>
      </c>
      <c r="B370">
        <v>115.96</v>
      </c>
      <c r="C370">
        <v>116.05</v>
      </c>
      <c r="D370">
        <v>115.8</v>
      </c>
      <c r="E370">
        <v>115.92</v>
      </c>
      <c r="F370">
        <v>4758659</v>
      </c>
    </row>
    <row r="371" spans="1:6">
      <c r="A371" s="39">
        <v>42677</v>
      </c>
      <c r="B371">
        <v>115.8</v>
      </c>
      <c r="C371">
        <v>115.82</v>
      </c>
      <c r="D371">
        <v>115.53</v>
      </c>
      <c r="E371">
        <v>115.59</v>
      </c>
      <c r="F371">
        <v>2430982</v>
      </c>
    </row>
    <row r="372" spans="1:6">
      <c r="A372" s="39">
        <v>42678</v>
      </c>
      <c r="B372">
        <v>115.71</v>
      </c>
      <c r="C372">
        <v>115.91</v>
      </c>
      <c r="D372">
        <v>115.63</v>
      </c>
      <c r="E372">
        <v>115.89</v>
      </c>
      <c r="F372">
        <v>1724140</v>
      </c>
    </row>
    <row r="373" spans="1:6">
      <c r="A373" s="39">
        <v>42681</v>
      </c>
      <c r="B373">
        <v>115.7</v>
      </c>
      <c r="C373">
        <v>115.87</v>
      </c>
      <c r="D373">
        <v>115.65</v>
      </c>
      <c r="E373">
        <v>115.83</v>
      </c>
      <c r="F373">
        <v>1904970</v>
      </c>
    </row>
    <row r="374" spans="1:6">
      <c r="A374" s="39">
        <v>42682</v>
      </c>
      <c r="B374">
        <v>115.84</v>
      </c>
      <c r="C374">
        <v>115.86</v>
      </c>
      <c r="D374">
        <v>115.54</v>
      </c>
      <c r="E374">
        <v>115.63</v>
      </c>
      <c r="F374">
        <v>1208188</v>
      </c>
    </row>
    <row r="375" spans="1:6">
      <c r="A375" s="39">
        <v>42683</v>
      </c>
      <c r="B375">
        <v>115.81</v>
      </c>
      <c r="C375">
        <v>115.81</v>
      </c>
      <c r="D375">
        <v>114.72</v>
      </c>
      <c r="E375">
        <v>114.77</v>
      </c>
      <c r="F375">
        <v>2309179</v>
      </c>
    </row>
    <row r="376" spans="1:6">
      <c r="A376" s="39">
        <v>42684</v>
      </c>
      <c r="B376">
        <v>114.9</v>
      </c>
      <c r="C376">
        <v>115.31</v>
      </c>
      <c r="D376">
        <v>114.57</v>
      </c>
      <c r="E376">
        <v>114.57</v>
      </c>
      <c r="F376">
        <v>3905943</v>
      </c>
    </row>
    <row r="377" spans="1:6">
      <c r="A377" s="39">
        <v>42685</v>
      </c>
      <c r="B377">
        <v>114.73</v>
      </c>
      <c r="C377">
        <v>114.74</v>
      </c>
      <c r="D377">
        <v>114.2</v>
      </c>
      <c r="E377">
        <v>114.25</v>
      </c>
      <c r="F377">
        <v>2395229</v>
      </c>
    </row>
    <row r="378" spans="1:6">
      <c r="A378" s="39">
        <v>42688</v>
      </c>
      <c r="B378">
        <v>114.15</v>
      </c>
      <c r="C378">
        <v>114.15</v>
      </c>
      <c r="D378">
        <v>113.31</v>
      </c>
      <c r="E378">
        <v>113.37</v>
      </c>
      <c r="F378">
        <v>2709659</v>
      </c>
    </row>
    <row r="379" spans="1:6">
      <c r="A379" s="39">
        <v>42689</v>
      </c>
      <c r="B379">
        <v>113.79</v>
      </c>
      <c r="C379">
        <v>113.97</v>
      </c>
      <c r="D379">
        <v>113.44</v>
      </c>
      <c r="E379">
        <v>113.44</v>
      </c>
      <c r="F379">
        <v>1919968</v>
      </c>
    </row>
    <row r="380" spans="1:6">
      <c r="A380" s="39">
        <v>42690</v>
      </c>
      <c r="B380">
        <v>113.35</v>
      </c>
      <c r="C380">
        <v>113.78</v>
      </c>
      <c r="D380">
        <v>113.25</v>
      </c>
      <c r="E380">
        <v>113.68</v>
      </c>
      <c r="F380">
        <v>1425997</v>
      </c>
    </row>
    <row r="381" spans="1:6">
      <c r="A381" s="39">
        <v>42691</v>
      </c>
      <c r="B381">
        <v>113.93</v>
      </c>
      <c r="C381">
        <v>113.98</v>
      </c>
      <c r="D381">
        <v>113.45</v>
      </c>
      <c r="E381">
        <v>113.49</v>
      </c>
      <c r="F381">
        <v>1901087</v>
      </c>
    </row>
    <row r="382" spans="1:6">
      <c r="A382" s="39">
        <v>42692</v>
      </c>
      <c r="B382">
        <v>113.65</v>
      </c>
      <c r="C382">
        <v>113.71</v>
      </c>
      <c r="D382">
        <v>113.13</v>
      </c>
      <c r="E382">
        <v>113.32</v>
      </c>
      <c r="F382">
        <v>2542768</v>
      </c>
    </row>
    <row r="383" spans="1:6">
      <c r="A383" s="39">
        <v>42695</v>
      </c>
      <c r="B383">
        <v>113.59</v>
      </c>
      <c r="C383">
        <v>113.69</v>
      </c>
      <c r="D383">
        <v>113.46</v>
      </c>
      <c r="E383">
        <v>113.59</v>
      </c>
      <c r="F383">
        <v>2991832</v>
      </c>
    </row>
    <row r="384" spans="1:6">
      <c r="A384" s="39">
        <v>42696</v>
      </c>
      <c r="B384">
        <v>113.78</v>
      </c>
      <c r="C384">
        <v>113.79</v>
      </c>
      <c r="D384">
        <v>113.53</v>
      </c>
      <c r="E384">
        <v>113.69</v>
      </c>
      <c r="F384">
        <v>3390469</v>
      </c>
    </row>
    <row r="385" spans="1:6">
      <c r="A385" s="39">
        <v>42697</v>
      </c>
      <c r="B385">
        <v>113.31</v>
      </c>
      <c r="C385">
        <v>113.46</v>
      </c>
      <c r="D385">
        <v>112.91</v>
      </c>
      <c r="E385">
        <v>113.31</v>
      </c>
      <c r="F385">
        <v>1824196</v>
      </c>
    </row>
    <row r="386" spans="1:6">
      <c r="A386" s="39">
        <v>42699</v>
      </c>
      <c r="B386">
        <v>113.43</v>
      </c>
      <c r="C386">
        <v>113.45</v>
      </c>
      <c r="D386">
        <v>113</v>
      </c>
      <c r="E386">
        <v>113.12</v>
      </c>
      <c r="F386">
        <v>1007644</v>
      </c>
    </row>
    <row r="387" spans="1:6">
      <c r="A387" s="39">
        <v>42702</v>
      </c>
      <c r="B387">
        <v>113.47</v>
      </c>
      <c r="C387">
        <v>113.58</v>
      </c>
      <c r="D387">
        <v>113.19</v>
      </c>
      <c r="E387">
        <v>113.29</v>
      </c>
      <c r="F387">
        <v>1350989</v>
      </c>
    </row>
    <row r="388" spans="1:6">
      <c r="A388" s="39">
        <v>42703</v>
      </c>
      <c r="B388">
        <v>112.93</v>
      </c>
      <c r="C388">
        <v>113.46</v>
      </c>
      <c r="D388">
        <v>112.83</v>
      </c>
      <c r="E388">
        <v>113.4</v>
      </c>
      <c r="F388">
        <v>1593690</v>
      </c>
    </row>
    <row r="389" spans="1:6">
      <c r="A389" s="39">
        <v>42704</v>
      </c>
      <c r="B389">
        <v>113.09</v>
      </c>
      <c r="C389">
        <v>113.61</v>
      </c>
      <c r="D389">
        <v>112.99</v>
      </c>
      <c r="E389">
        <v>113.46</v>
      </c>
      <c r="F389">
        <v>2367620</v>
      </c>
    </row>
    <row r="390" spans="1:6">
      <c r="A390" s="39">
        <v>42705</v>
      </c>
      <c r="B390">
        <v>112.84</v>
      </c>
      <c r="C390">
        <v>113.16</v>
      </c>
      <c r="D390">
        <v>112.63</v>
      </c>
      <c r="E390">
        <v>112.89</v>
      </c>
      <c r="F390">
        <v>8524343</v>
      </c>
    </row>
    <row r="391" spans="1:6">
      <c r="A391" s="39">
        <v>42706</v>
      </c>
      <c r="B391">
        <v>113.18</v>
      </c>
      <c r="C391">
        <v>113.45</v>
      </c>
      <c r="D391">
        <v>112.91</v>
      </c>
      <c r="E391">
        <v>112.95</v>
      </c>
      <c r="F391">
        <v>1330615</v>
      </c>
    </row>
    <row r="392" spans="1:6">
      <c r="A392" s="39">
        <v>42709</v>
      </c>
      <c r="B392">
        <v>112.99</v>
      </c>
      <c r="C392">
        <v>113.53</v>
      </c>
      <c r="D392">
        <v>112.78</v>
      </c>
      <c r="E392">
        <v>113.11</v>
      </c>
      <c r="F392">
        <v>1701492</v>
      </c>
    </row>
    <row r="393" spans="1:6">
      <c r="A393" s="39">
        <v>42710</v>
      </c>
      <c r="B393">
        <v>113.14</v>
      </c>
      <c r="C393">
        <v>113.36</v>
      </c>
      <c r="D393">
        <v>113.03</v>
      </c>
      <c r="E393">
        <v>113.33</v>
      </c>
      <c r="F393">
        <v>2123143</v>
      </c>
    </row>
    <row r="394" spans="1:6">
      <c r="A394" s="39">
        <v>42711</v>
      </c>
      <c r="B394">
        <v>113.54</v>
      </c>
      <c r="C394">
        <v>113.67</v>
      </c>
      <c r="D394">
        <v>113.38</v>
      </c>
      <c r="E394">
        <v>113.43</v>
      </c>
      <c r="F394">
        <v>1835409</v>
      </c>
    </row>
    <row r="395" spans="1:6">
      <c r="A395" s="39">
        <v>42712</v>
      </c>
      <c r="B395">
        <v>113.43</v>
      </c>
      <c r="C395">
        <v>113.43</v>
      </c>
      <c r="D395">
        <v>113.14</v>
      </c>
      <c r="E395">
        <v>113.32</v>
      </c>
      <c r="F395">
        <v>1227582</v>
      </c>
    </row>
    <row r="396" spans="1:6">
      <c r="A396" s="39">
        <v>42713</v>
      </c>
      <c r="B396">
        <v>113.3</v>
      </c>
      <c r="C396">
        <v>113.34</v>
      </c>
      <c r="D396">
        <v>112.69</v>
      </c>
      <c r="E396">
        <v>112.8</v>
      </c>
      <c r="F396">
        <v>2218756</v>
      </c>
    </row>
    <row r="397" spans="1:6">
      <c r="A397" s="39">
        <v>42716</v>
      </c>
      <c r="B397">
        <v>112.91</v>
      </c>
      <c r="C397">
        <v>112.91</v>
      </c>
      <c r="D397">
        <v>112.65</v>
      </c>
      <c r="E397">
        <v>112.78</v>
      </c>
      <c r="F397">
        <v>2026885</v>
      </c>
    </row>
    <row r="398" spans="1:6">
      <c r="A398" s="39">
        <v>42717</v>
      </c>
      <c r="B398">
        <v>113.02</v>
      </c>
      <c r="C398">
        <v>113.03</v>
      </c>
      <c r="D398">
        <v>112.54</v>
      </c>
      <c r="E398">
        <v>112.74</v>
      </c>
      <c r="F398">
        <v>1867529</v>
      </c>
    </row>
    <row r="399" spans="1:6">
      <c r="A399" s="39">
        <v>42718</v>
      </c>
      <c r="B399">
        <v>113.05</v>
      </c>
      <c r="C399">
        <v>113.08</v>
      </c>
      <c r="D399">
        <v>111.81</v>
      </c>
      <c r="E399">
        <v>111.85</v>
      </c>
      <c r="F399">
        <v>1320233</v>
      </c>
    </row>
    <row r="400" spans="1:6">
      <c r="A400" s="39">
        <v>42719</v>
      </c>
      <c r="B400">
        <v>111.41</v>
      </c>
      <c r="C400">
        <v>111.57</v>
      </c>
      <c r="D400">
        <v>111.12</v>
      </c>
      <c r="E400">
        <v>111.15</v>
      </c>
      <c r="F400">
        <v>2909014</v>
      </c>
    </row>
    <row r="401" spans="1:6">
      <c r="A401" s="39">
        <v>42720</v>
      </c>
      <c r="B401">
        <v>111.28</v>
      </c>
      <c r="C401">
        <v>111.37</v>
      </c>
      <c r="D401">
        <v>110.9</v>
      </c>
      <c r="E401">
        <v>111.09</v>
      </c>
      <c r="F401">
        <v>1240787</v>
      </c>
    </row>
    <row r="402" spans="1:6">
      <c r="A402" s="39">
        <v>42723</v>
      </c>
      <c r="B402">
        <v>111.43</v>
      </c>
      <c r="C402">
        <v>111.58</v>
      </c>
      <c r="D402">
        <v>111.3</v>
      </c>
      <c r="E402">
        <v>111.55</v>
      </c>
      <c r="F402">
        <v>1320386</v>
      </c>
    </row>
    <row r="403" spans="1:6">
      <c r="A403" s="39">
        <v>42724</v>
      </c>
      <c r="B403">
        <v>111.39</v>
      </c>
      <c r="C403">
        <v>111.79</v>
      </c>
      <c r="D403">
        <v>111.33</v>
      </c>
      <c r="E403">
        <v>111.66</v>
      </c>
      <c r="F403">
        <v>2541031</v>
      </c>
    </row>
    <row r="404" spans="1:6">
      <c r="A404" s="39">
        <v>42725</v>
      </c>
      <c r="B404">
        <v>112.05</v>
      </c>
      <c r="C404">
        <v>112.06</v>
      </c>
      <c r="D404">
        <v>111.84</v>
      </c>
      <c r="E404">
        <v>111.94</v>
      </c>
      <c r="F404">
        <v>1438271</v>
      </c>
    </row>
    <row r="405" spans="1:6">
      <c r="A405" s="39">
        <v>42726</v>
      </c>
      <c r="B405">
        <v>111.85</v>
      </c>
      <c r="C405">
        <v>112.31</v>
      </c>
      <c r="D405">
        <v>111.8</v>
      </c>
      <c r="E405">
        <v>112.29</v>
      </c>
      <c r="F405">
        <v>1563787</v>
      </c>
    </row>
    <row r="406" spans="1:6">
      <c r="A406" s="39">
        <v>42727</v>
      </c>
      <c r="B406">
        <v>112.34</v>
      </c>
      <c r="C406">
        <v>112.57</v>
      </c>
      <c r="D406">
        <v>112.34</v>
      </c>
      <c r="E406">
        <v>112.42</v>
      </c>
      <c r="F406">
        <v>1777187</v>
      </c>
    </row>
    <row r="407" spans="1:6">
      <c r="A407" s="39">
        <v>42731</v>
      </c>
      <c r="B407">
        <v>112.25</v>
      </c>
      <c r="C407">
        <v>112.45</v>
      </c>
      <c r="D407">
        <v>112.2</v>
      </c>
      <c r="E407">
        <v>112.37</v>
      </c>
      <c r="F407">
        <v>1666938</v>
      </c>
    </row>
    <row r="408" spans="1:6">
      <c r="A408" s="39">
        <v>42732</v>
      </c>
      <c r="B408">
        <v>112.49</v>
      </c>
      <c r="C408">
        <v>112.74</v>
      </c>
      <c r="D408">
        <v>112.39</v>
      </c>
      <c r="E408">
        <v>112.66</v>
      </c>
      <c r="F408">
        <v>1290611</v>
      </c>
    </row>
    <row r="409" spans="1:6">
      <c r="A409" s="39">
        <v>42733</v>
      </c>
      <c r="B409">
        <v>112.79</v>
      </c>
      <c r="C409">
        <v>112.86</v>
      </c>
      <c r="D409">
        <v>112.62</v>
      </c>
      <c r="E409">
        <v>112.8</v>
      </c>
      <c r="F409">
        <v>1297632</v>
      </c>
    </row>
    <row r="410" spans="1:6">
      <c r="A410" s="39">
        <v>42734</v>
      </c>
      <c r="B410">
        <v>112.76</v>
      </c>
      <c r="C410">
        <v>113.2</v>
      </c>
      <c r="D410">
        <v>112.75</v>
      </c>
      <c r="E410">
        <v>113.17</v>
      </c>
      <c r="F410">
        <v>1024216</v>
      </c>
    </row>
    <row r="411" spans="1:6">
      <c r="A411" s="39">
        <v>42738</v>
      </c>
      <c r="B411">
        <v>112.96</v>
      </c>
      <c r="C411">
        <v>113.4</v>
      </c>
      <c r="D411">
        <v>112.94</v>
      </c>
      <c r="E411">
        <v>113.28</v>
      </c>
      <c r="F411">
        <v>2957464</v>
      </c>
    </row>
    <row r="412" spans="1:6">
      <c r="A412" s="39">
        <v>42739</v>
      </c>
      <c r="B412">
        <v>113.23</v>
      </c>
      <c r="C412">
        <v>113.54</v>
      </c>
      <c r="D412">
        <v>113.19</v>
      </c>
      <c r="E412">
        <v>113.53</v>
      </c>
      <c r="F412">
        <v>2976245</v>
      </c>
    </row>
    <row r="413" spans="1:6">
      <c r="A413" s="39">
        <v>42740</v>
      </c>
      <c r="B413">
        <v>113.52</v>
      </c>
      <c r="C413">
        <v>113.92</v>
      </c>
      <c r="D413">
        <v>113.37</v>
      </c>
      <c r="E413">
        <v>113.92</v>
      </c>
      <c r="F413">
        <v>1775608</v>
      </c>
    </row>
    <row r="414" spans="1:6">
      <c r="A414" s="39">
        <v>42741</v>
      </c>
      <c r="B414">
        <v>113.58</v>
      </c>
      <c r="C414">
        <v>113.7</v>
      </c>
      <c r="D414">
        <v>113.42</v>
      </c>
      <c r="E414">
        <v>113.45</v>
      </c>
      <c r="F414">
        <v>978173</v>
      </c>
    </row>
    <row r="415" spans="1:6">
      <c r="A415" s="39">
        <v>42744</v>
      </c>
      <c r="B415">
        <v>113.71</v>
      </c>
      <c r="C415">
        <v>113.73</v>
      </c>
      <c r="D415">
        <v>113.5</v>
      </c>
      <c r="E415">
        <v>113.63</v>
      </c>
      <c r="F415">
        <v>1691574</v>
      </c>
    </row>
    <row r="416" spans="1:6">
      <c r="A416" s="39">
        <v>42745</v>
      </c>
      <c r="B416">
        <v>113.47</v>
      </c>
      <c r="C416">
        <v>113.82</v>
      </c>
      <c r="D416">
        <v>113.47</v>
      </c>
      <c r="E416">
        <v>113.72</v>
      </c>
      <c r="F416">
        <v>2508714</v>
      </c>
    </row>
    <row r="417" spans="1:6">
      <c r="A417" s="39">
        <v>42746</v>
      </c>
      <c r="B417">
        <v>114.07</v>
      </c>
      <c r="C417">
        <v>114.5</v>
      </c>
      <c r="D417">
        <v>113.86</v>
      </c>
      <c r="E417">
        <v>114.08</v>
      </c>
      <c r="F417">
        <v>1169134</v>
      </c>
    </row>
    <row r="418" spans="1:6">
      <c r="A418" s="39">
        <v>42747</v>
      </c>
      <c r="B418">
        <v>114.51</v>
      </c>
      <c r="C418">
        <v>114.62</v>
      </c>
      <c r="D418">
        <v>114.13</v>
      </c>
      <c r="E418">
        <v>114.18</v>
      </c>
      <c r="F418">
        <v>1014287</v>
      </c>
    </row>
    <row r="419" spans="1:6">
      <c r="A419" s="39">
        <v>42748</v>
      </c>
      <c r="B419">
        <v>113.99</v>
      </c>
      <c r="C419">
        <v>114.11</v>
      </c>
      <c r="D419">
        <v>113.66</v>
      </c>
      <c r="E419">
        <v>113.98</v>
      </c>
      <c r="F419">
        <v>1920360</v>
      </c>
    </row>
    <row r="420" spans="1:6">
      <c r="A420" s="39">
        <v>42752</v>
      </c>
      <c r="B420">
        <v>114.54</v>
      </c>
      <c r="C420">
        <v>114.54</v>
      </c>
      <c r="D420">
        <v>114.07</v>
      </c>
      <c r="E420">
        <v>114.34</v>
      </c>
      <c r="F420">
        <v>1440820</v>
      </c>
    </row>
    <row r="421" spans="1:6">
      <c r="A421" s="39">
        <v>42753</v>
      </c>
      <c r="B421">
        <v>114.05</v>
      </c>
      <c r="C421">
        <v>114.29</v>
      </c>
      <c r="D421">
        <v>113.74</v>
      </c>
      <c r="E421">
        <v>113.78</v>
      </c>
      <c r="F421">
        <v>1267225</v>
      </c>
    </row>
    <row r="422" spans="1:6">
      <c r="A422" s="39">
        <v>42754</v>
      </c>
      <c r="B422">
        <v>113.65</v>
      </c>
      <c r="C422">
        <v>113.84</v>
      </c>
      <c r="D422">
        <v>113.35</v>
      </c>
      <c r="E422">
        <v>113.69</v>
      </c>
      <c r="F422">
        <v>2081068</v>
      </c>
    </row>
    <row r="423" spans="1:6">
      <c r="A423" s="39">
        <v>42755</v>
      </c>
      <c r="B423">
        <v>113.72</v>
      </c>
      <c r="C423">
        <v>113.86</v>
      </c>
      <c r="D423">
        <v>113.49</v>
      </c>
      <c r="E423">
        <v>113.71</v>
      </c>
      <c r="F423">
        <v>2925635</v>
      </c>
    </row>
    <row r="424" spans="1:6">
      <c r="A424" s="39">
        <v>42758</v>
      </c>
      <c r="B424">
        <v>113.87</v>
      </c>
      <c r="C424">
        <v>114.28</v>
      </c>
      <c r="D424">
        <v>113.7</v>
      </c>
      <c r="E424">
        <v>114.17</v>
      </c>
      <c r="F424">
        <v>4172464</v>
      </c>
    </row>
    <row r="425" spans="1:6">
      <c r="A425" s="39">
        <v>42759</v>
      </c>
      <c r="B425">
        <v>114</v>
      </c>
      <c r="C425">
        <v>114.17</v>
      </c>
      <c r="D425">
        <v>113.82</v>
      </c>
      <c r="E425">
        <v>113.98</v>
      </c>
      <c r="F425">
        <v>1583480</v>
      </c>
    </row>
    <row r="426" spans="1:6">
      <c r="A426" s="39">
        <v>42760</v>
      </c>
      <c r="B426">
        <v>113.51</v>
      </c>
      <c r="C426">
        <v>113.7</v>
      </c>
      <c r="D426">
        <v>113.2</v>
      </c>
      <c r="E426">
        <v>113.61</v>
      </c>
      <c r="F426">
        <v>2934806</v>
      </c>
    </row>
    <row r="427" spans="1:6">
      <c r="A427" s="39">
        <v>42761</v>
      </c>
      <c r="B427">
        <v>113.66</v>
      </c>
      <c r="C427">
        <v>113.81</v>
      </c>
      <c r="D427">
        <v>113.41</v>
      </c>
      <c r="E427">
        <v>113.78</v>
      </c>
      <c r="F427">
        <v>1958886</v>
      </c>
    </row>
    <row r="428" spans="1:6">
      <c r="A428" s="39">
        <v>42762</v>
      </c>
      <c r="B428">
        <v>113.95</v>
      </c>
      <c r="C428">
        <v>114.05</v>
      </c>
      <c r="D428">
        <v>113.85</v>
      </c>
      <c r="E428">
        <v>113.97</v>
      </c>
      <c r="F428">
        <v>2023029</v>
      </c>
    </row>
    <row r="429" spans="1:6">
      <c r="A429" s="39">
        <v>42765</v>
      </c>
      <c r="B429">
        <v>114.03</v>
      </c>
      <c r="C429">
        <v>114.12</v>
      </c>
      <c r="D429">
        <v>113.85</v>
      </c>
      <c r="E429">
        <v>113.94</v>
      </c>
      <c r="F429">
        <v>1922839</v>
      </c>
    </row>
    <row r="430" spans="1:6">
      <c r="A430" s="39">
        <v>42766</v>
      </c>
      <c r="B430">
        <v>114</v>
      </c>
      <c r="C430">
        <v>114.25</v>
      </c>
      <c r="D430">
        <v>113.94</v>
      </c>
      <c r="E430">
        <v>114.18</v>
      </c>
      <c r="F430">
        <v>7613057</v>
      </c>
    </row>
    <row r="431" spans="1:6">
      <c r="A431" s="39">
        <v>42767</v>
      </c>
      <c r="B431">
        <v>113.95</v>
      </c>
      <c r="C431">
        <v>114.17</v>
      </c>
      <c r="D431">
        <v>113.77</v>
      </c>
      <c r="E431">
        <v>113.94</v>
      </c>
      <c r="F431">
        <v>1777719</v>
      </c>
    </row>
    <row r="432" spans="1:6">
      <c r="A432" s="39">
        <v>42768</v>
      </c>
      <c r="B432">
        <v>114.25</v>
      </c>
      <c r="C432">
        <v>114.28</v>
      </c>
      <c r="D432">
        <v>113.9</v>
      </c>
      <c r="E432">
        <v>113.95</v>
      </c>
      <c r="F432">
        <v>3938790</v>
      </c>
    </row>
    <row r="433" spans="1:6">
      <c r="A433" s="39">
        <v>42769</v>
      </c>
      <c r="B433">
        <v>114.17</v>
      </c>
      <c r="C433">
        <v>114.35</v>
      </c>
      <c r="D433">
        <v>113.65</v>
      </c>
      <c r="E433">
        <v>113.83</v>
      </c>
      <c r="F433">
        <v>1376829</v>
      </c>
    </row>
    <row r="434" spans="1:6">
      <c r="A434" s="39">
        <v>42772</v>
      </c>
      <c r="B434">
        <v>114.05</v>
      </c>
      <c r="C434">
        <v>114.17</v>
      </c>
      <c r="D434">
        <v>113.85</v>
      </c>
      <c r="E434">
        <v>114.11</v>
      </c>
      <c r="F434">
        <v>1786385</v>
      </c>
    </row>
    <row r="435" spans="1:6">
      <c r="A435" s="39">
        <v>42773</v>
      </c>
      <c r="B435">
        <v>114.14</v>
      </c>
      <c r="C435">
        <v>114.24</v>
      </c>
      <c r="D435">
        <v>113.98</v>
      </c>
      <c r="E435">
        <v>114.06</v>
      </c>
      <c r="F435">
        <v>1462337</v>
      </c>
    </row>
    <row r="436" spans="1:6">
      <c r="A436" s="39">
        <v>42774</v>
      </c>
      <c r="B436">
        <v>114.39</v>
      </c>
      <c r="C436">
        <v>114.48</v>
      </c>
      <c r="D436">
        <v>114.13</v>
      </c>
      <c r="E436">
        <v>114.33</v>
      </c>
      <c r="F436">
        <v>1456432</v>
      </c>
    </row>
    <row r="437" spans="1:6">
      <c r="A437" s="39">
        <v>42775</v>
      </c>
      <c r="B437">
        <v>114.28</v>
      </c>
      <c r="C437">
        <v>114.3</v>
      </c>
      <c r="D437">
        <v>114.08</v>
      </c>
      <c r="E437">
        <v>114.11</v>
      </c>
      <c r="F437">
        <v>1045277</v>
      </c>
    </row>
    <row r="438" spans="1:6">
      <c r="A438" s="39">
        <v>42776</v>
      </c>
      <c r="B438">
        <v>114.16</v>
      </c>
      <c r="C438">
        <v>114.29</v>
      </c>
      <c r="D438">
        <v>114.07</v>
      </c>
      <c r="E438">
        <v>114.2</v>
      </c>
      <c r="F438">
        <v>1585636</v>
      </c>
    </row>
    <row r="439" spans="1:6">
      <c r="A439" s="39">
        <v>42779</v>
      </c>
      <c r="B439">
        <v>114.09</v>
      </c>
      <c r="C439">
        <v>114.14</v>
      </c>
      <c r="D439">
        <v>114</v>
      </c>
      <c r="E439">
        <v>114.02</v>
      </c>
      <c r="F439">
        <v>1002396</v>
      </c>
    </row>
    <row r="440" spans="1:6">
      <c r="A440" s="39">
        <v>42780</v>
      </c>
      <c r="B440">
        <v>114.18</v>
      </c>
      <c r="C440">
        <v>114.19</v>
      </c>
      <c r="D440">
        <v>113.52</v>
      </c>
      <c r="E440">
        <v>113.75</v>
      </c>
      <c r="F440">
        <v>1012084</v>
      </c>
    </row>
    <row r="441" spans="1:6">
      <c r="A441" s="39">
        <v>42781</v>
      </c>
      <c r="B441">
        <v>113.74</v>
      </c>
      <c r="C441">
        <v>113.94</v>
      </c>
      <c r="D441">
        <v>113.66</v>
      </c>
      <c r="E441">
        <v>113.9</v>
      </c>
      <c r="F441">
        <v>1131948</v>
      </c>
    </row>
    <row r="442" spans="1:6">
      <c r="A442" s="39">
        <v>42782</v>
      </c>
      <c r="B442">
        <v>114.1</v>
      </c>
      <c r="C442">
        <v>114.38</v>
      </c>
      <c r="D442">
        <v>113.9</v>
      </c>
      <c r="E442">
        <v>113.9</v>
      </c>
      <c r="F442">
        <v>1171052</v>
      </c>
    </row>
    <row r="443" spans="1:6">
      <c r="A443" s="39">
        <v>42783</v>
      </c>
      <c r="B443">
        <v>114.26</v>
      </c>
      <c r="C443">
        <v>114.26</v>
      </c>
      <c r="D443">
        <v>114.11</v>
      </c>
      <c r="E443">
        <v>114.16</v>
      </c>
      <c r="F443">
        <v>983008</v>
      </c>
    </row>
    <row r="444" spans="1:6">
      <c r="A444" s="39">
        <v>42787</v>
      </c>
      <c r="B444">
        <v>114.15</v>
      </c>
      <c r="C444">
        <v>114.28</v>
      </c>
      <c r="D444">
        <v>114.05</v>
      </c>
      <c r="E444">
        <v>114.15</v>
      </c>
      <c r="F444">
        <v>1061085</v>
      </c>
    </row>
    <row r="445" spans="1:6">
      <c r="A445" s="39">
        <v>42788</v>
      </c>
      <c r="B445">
        <v>114.35</v>
      </c>
      <c r="C445">
        <v>114.37</v>
      </c>
      <c r="D445">
        <v>113.98</v>
      </c>
      <c r="E445">
        <v>114.36</v>
      </c>
      <c r="F445">
        <v>1082649</v>
      </c>
    </row>
    <row r="446" spans="1:6">
      <c r="A446" s="39">
        <v>42789</v>
      </c>
      <c r="B446">
        <v>114.62</v>
      </c>
      <c r="C446">
        <v>114.65</v>
      </c>
      <c r="D446">
        <v>114.5</v>
      </c>
      <c r="E446">
        <v>114.63</v>
      </c>
      <c r="F446">
        <v>1042115</v>
      </c>
    </row>
    <row r="447" spans="1:6">
      <c r="A447" s="39">
        <v>42790</v>
      </c>
      <c r="B447">
        <v>114.83</v>
      </c>
      <c r="C447">
        <v>115.05</v>
      </c>
      <c r="D447">
        <v>114.76</v>
      </c>
      <c r="E447">
        <v>114.96</v>
      </c>
      <c r="F447">
        <v>2409071</v>
      </c>
    </row>
    <row r="448" spans="1:6">
      <c r="A448" s="39">
        <v>42793</v>
      </c>
      <c r="B448">
        <v>114.94</v>
      </c>
      <c r="C448">
        <v>114.96</v>
      </c>
      <c r="D448">
        <v>114.6</v>
      </c>
      <c r="E448">
        <v>114.65</v>
      </c>
      <c r="F448">
        <v>2523849</v>
      </c>
    </row>
    <row r="449" spans="1:6">
      <c r="A449" s="39">
        <v>42794</v>
      </c>
      <c r="B449">
        <v>114.63</v>
      </c>
      <c r="C449">
        <v>114.8</v>
      </c>
      <c r="D449">
        <v>114.51</v>
      </c>
      <c r="E449">
        <v>114.65</v>
      </c>
      <c r="F449">
        <v>1599687</v>
      </c>
    </row>
    <row r="450" spans="1:6">
      <c r="A450" s="39">
        <v>42795</v>
      </c>
      <c r="B450">
        <v>113.9</v>
      </c>
      <c r="C450">
        <v>114</v>
      </c>
      <c r="D450">
        <v>113.76</v>
      </c>
      <c r="E450">
        <v>113.96</v>
      </c>
      <c r="F450">
        <v>3412197</v>
      </c>
    </row>
    <row r="451" spans="1:6">
      <c r="A451" s="39">
        <v>42796</v>
      </c>
      <c r="B451">
        <v>113.75</v>
      </c>
      <c r="C451">
        <v>113.79</v>
      </c>
      <c r="D451">
        <v>113.51</v>
      </c>
      <c r="E451">
        <v>113.6</v>
      </c>
      <c r="F451">
        <v>1967215</v>
      </c>
    </row>
    <row r="452" spans="1:6">
      <c r="A452" s="39">
        <v>42797</v>
      </c>
      <c r="B452">
        <v>113.73</v>
      </c>
      <c r="C452">
        <v>113.89</v>
      </c>
      <c r="D452">
        <v>113.44</v>
      </c>
      <c r="E452">
        <v>113.86</v>
      </c>
      <c r="F452">
        <v>2882492</v>
      </c>
    </row>
    <row r="453" spans="1:6">
      <c r="A453" s="39">
        <v>42800</v>
      </c>
      <c r="B453">
        <v>113.94</v>
      </c>
      <c r="C453">
        <v>113.94</v>
      </c>
      <c r="D453">
        <v>113.67</v>
      </c>
      <c r="E453">
        <v>113.74</v>
      </c>
      <c r="F453">
        <v>1553620</v>
      </c>
    </row>
    <row r="454" spans="1:6">
      <c r="A454" s="39">
        <v>42801</v>
      </c>
      <c r="B454">
        <v>113.7</v>
      </c>
      <c r="C454">
        <v>113.7</v>
      </c>
      <c r="D454">
        <v>113.47</v>
      </c>
      <c r="E454">
        <v>113.54</v>
      </c>
      <c r="F454">
        <v>1545161</v>
      </c>
    </row>
    <row r="455" spans="1:6">
      <c r="A455" s="39">
        <v>42802</v>
      </c>
      <c r="B455">
        <v>113.18</v>
      </c>
      <c r="C455">
        <v>113.27</v>
      </c>
      <c r="D455">
        <v>113.01</v>
      </c>
      <c r="E455">
        <v>113.05</v>
      </c>
      <c r="F455">
        <v>1357160</v>
      </c>
    </row>
    <row r="456" spans="1:6">
      <c r="A456" s="39">
        <v>42803</v>
      </c>
      <c r="B456">
        <v>112.95</v>
      </c>
      <c r="C456">
        <v>113.01</v>
      </c>
      <c r="D456">
        <v>112.7</v>
      </c>
      <c r="E456">
        <v>112.75</v>
      </c>
      <c r="F456">
        <v>1098293</v>
      </c>
    </row>
    <row r="457" spans="1:6">
      <c r="A457" s="39">
        <v>42804</v>
      </c>
      <c r="B457">
        <v>113.07</v>
      </c>
      <c r="C457">
        <v>113.11</v>
      </c>
      <c r="D457">
        <v>112.7</v>
      </c>
      <c r="E457">
        <v>112.96</v>
      </c>
      <c r="F457">
        <v>2424480</v>
      </c>
    </row>
    <row r="458" spans="1:6">
      <c r="A458" s="39">
        <v>42807</v>
      </c>
      <c r="B458">
        <v>112.83</v>
      </c>
      <c r="C458">
        <v>113.01</v>
      </c>
      <c r="D458">
        <v>112.7</v>
      </c>
      <c r="E458">
        <v>112.7</v>
      </c>
      <c r="F458">
        <v>1040345</v>
      </c>
    </row>
    <row r="459" spans="1:6">
      <c r="A459" s="39">
        <v>42808</v>
      </c>
      <c r="B459">
        <v>112.66</v>
      </c>
      <c r="C459">
        <v>112.79</v>
      </c>
      <c r="D459">
        <v>112.61</v>
      </c>
      <c r="E459">
        <v>112.62</v>
      </c>
      <c r="F459">
        <v>951381</v>
      </c>
    </row>
    <row r="460" spans="1:6">
      <c r="A460" s="39">
        <v>42809</v>
      </c>
      <c r="B460">
        <v>112.75</v>
      </c>
      <c r="C460">
        <v>113.71</v>
      </c>
      <c r="D460">
        <v>112.75</v>
      </c>
      <c r="E460">
        <v>113.64</v>
      </c>
      <c r="F460">
        <v>1990028</v>
      </c>
    </row>
    <row r="461" spans="1:6">
      <c r="A461" s="39">
        <v>42810</v>
      </c>
      <c r="B461">
        <v>113.73</v>
      </c>
      <c r="C461">
        <v>113.73</v>
      </c>
      <c r="D461">
        <v>113.48</v>
      </c>
      <c r="E461">
        <v>113.56</v>
      </c>
      <c r="F461">
        <v>2883656</v>
      </c>
    </row>
    <row r="462" spans="1:6">
      <c r="A462" s="39">
        <v>42811</v>
      </c>
      <c r="B462">
        <v>113.71</v>
      </c>
      <c r="C462">
        <v>113.83</v>
      </c>
      <c r="D462">
        <v>113.68</v>
      </c>
      <c r="E462">
        <v>113.81</v>
      </c>
      <c r="F462">
        <v>1115400</v>
      </c>
    </row>
    <row r="463" spans="1:6">
      <c r="A463" s="39">
        <v>42814</v>
      </c>
      <c r="B463">
        <v>113.71</v>
      </c>
      <c r="C463">
        <v>113.98</v>
      </c>
      <c r="D463">
        <v>113.7</v>
      </c>
      <c r="E463">
        <v>113.96</v>
      </c>
      <c r="F463">
        <v>791565</v>
      </c>
    </row>
    <row r="464" spans="1:6">
      <c r="A464" s="39">
        <v>42815</v>
      </c>
      <c r="B464">
        <v>113.98</v>
      </c>
      <c r="C464">
        <v>114.22</v>
      </c>
      <c r="D464">
        <v>113.98</v>
      </c>
      <c r="E464">
        <v>114.06</v>
      </c>
      <c r="F464">
        <v>1479301</v>
      </c>
    </row>
    <row r="465" spans="1:6">
      <c r="A465" s="39">
        <v>42816</v>
      </c>
      <c r="B465">
        <v>114.21</v>
      </c>
      <c r="C465">
        <v>114.33</v>
      </c>
      <c r="D465">
        <v>114</v>
      </c>
      <c r="E465">
        <v>114.25</v>
      </c>
      <c r="F465">
        <v>824502</v>
      </c>
    </row>
    <row r="466" spans="1:6">
      <c r="A466" s="39">
        <v>42817</v>
      </c>
      <c r="B466">
        <v>114.24</v>
      </c>
      <c r="C466">
        <v>114.3</v>
      </c>
      <c r="D466">
        <v>114.02</v>
      </c>
      <c r="E466">
        <v>114.12</v>
      </c>
      <c r="F466">
        <v>913094</v>
      </c>
    </row>
    <row r="467" spans="1:6">
      <c r="A467" s="39">
        <v>42818</v>
      </c>
      <c r="B467">
        <v>114.13</v>
      </c>
      <c r="C467">
        <v>114.69</v>
      </c>
      <c r="D467">
        <v>114.11</v>
      </c>
      <c r="E467">
        <v>114.45</v>
      </c>
      <c r="F467">
        <v>1379056</v>
      </c>
    </row>
    <row r="468" spans="1:6">
      <c r="A468" s="39">
        <v>42821</v>
      </c>
      <c r="B468">
        <v>114.77</v>
      </c>
      <c r="C468">
        <v>114.78</v>
      </c>
      <c r="D468">
        <v>114.54</v>
      </c>
      <c r="E468">
        <v>114.67</v>
      </c>
      <c r="F468">
        <v>1078204</v>
      </c>
    </row>
    <row r="469" spans="1:6">
      <c r="A469" s="39">
        <v>42822</v>
      </c>
      <c r="B469">
        <v>114.73</v>
      </c>
      <c r="C469">
        <v>114.73</v>
      </c>
      <c r="D469">
        <v>114.18</v>
      </c>
      <c r="E469">
        <v>114.29</v>
      </c>
      <c r="F469">
        <v>1658761</v>
      </c>
    </row>
    <row r="470" spans="1:6">
      <c r="A470" s="39">
        <v>42823</v>
      </c>
      <c r="B470">
        <v>114.47</v>
      </c>
      <c r="C470">
        <v>114.67</v>
      </c>
      <c r="D470">
        <v>114.39</v>
      </c>
      <c r="E470">
        <v>114.59</v>
      </c>
      <c r="F470">
        <v>933858</v>
      </c>
    </row>
    <row r="471" spans="1:6">
      <c r="A471" s="39">
        <v>42824</v>
      </c>
      <c r="B471">
        <v>114.49</v>
      </c>
      <c r="C471">
        <v>114.57</v>
      </c>
      <c r="D471">
        <v>114.23</v>
      </c>
      <c r="E471">
        <v>114.31</v>
      </c>
      <c r="F471">
        <v>996199</v>
      </c>
    </row>
    <row r="472" spans="1:6">
      <c r="A472" s="39">
        <v>42825</v>
      </c>
      <c r="B472">
        <v>114.37</v>
      </c>
      <c r="C472">
        <v>114.65</v>
      </c>
      <c r="D472">
        <v>114.3</v>
      </c>
      <c r="E472">
        <v>114.65</v>
      </c>
      <c r="F472">
        <v>899413</v>
      </c>
    </row>
    <row r="473" spans="1:6">
      <c r="A473" s="39">
        <v>42828</v>
      </c>
      <c r="B473">
        <v>114.55</v>
      </c>
      <c r="C473">
        <v>114.92</v>
      </c>
      <c r="D473">
        <v>114.52</v>
      </c>
      <c r="E473">
        <v>114.77</v>
      </c>
      <c r="F473">
        <v>3097452</v>
      </c>
    </row>
    <row r="474" spans="1:6">
      <c r="A474" s="39">
        <v>42829</v>
      </c>
      <c r="B474">
        <v>114.73</v>
      </c>
      <c r="C474">
        <v>114.82</v>
      </c>
      <c r="D474">
        <v>114.58</v>
      </c>
      <c r="E474">
        <v>114.64</v>
      </c>
      <c r="F474">
        <v>1064941</v>
      </c>
    </row>
    <row r="475" spans="1:6">
      <c r="A475" s="39">
        <v>42830</v>
      </c>
      <c r="B475">
        <v>114.62</v>
      </c>
      <c r="C475">
        <v>114.97</v>
      </c>
      <c r="D475">
        <v>114.56</v>
      </c>
      <c r="E475">
        <v>114.86</v>
      </c>
      <c r="F475">
        <v>1460593</v>
      </c>
    </row>
    <row r="476" spans="1:6">
      <c r="A476" s="39">
        <v>42831</v>
      </c>
      <c r="B476">
        <v>114.8</v>
      </c>
      <c r="C476">
        <v>114.89</v>
      </c>
      <c r="D476">
        <v>114.58</v>
      </c>
      <c r="E476">
        <v>114.8</v>
      </c>
      <c r="F476">
        <v>774696</v>
      </c>
    </row>
    <row r="477" spans="1:6">
      <c r="A477" s="39">
        <v>42832</v>
      </c>
      <c r="B477">
        <v>114.82</v>
      </c>
      <c r="C477">
        <v>115.01</v>
      </c>
      <c r="D477">
        <v>114.35</v>
      </c>
      <c r="E477">
        <v>114.35</v>
      </c>
      <c r="F477">
        <v>858494</v>
      </c>
    </row>
    <row r="478" spans="1:6">
      <c r="A478" s="39">
        <v>42835</v>
      </c>
      <c r="B478">
        <v>114.67</v>
      </c>
      <c r="C478">
        <v>114.67</v>
      </c>
      <c r="D478">
        <v>114.41</v>
      </c>
      <c r="E478">
        <v>114.41</v>
      </c>
      <c r="F478">
        <v>752758</v>
      </c>
    </row>
    <row r="479" spans="1:6">
      <c r="A479" s="39">
        <v>42836</v>
      </c>
      <c r="B479">
        <v>114.6</v>
      </c>
      <c r="C479">
        <v>114.82</v>
      </c>
      <c r="D479">
        <v>114.53</v>
      </c>
      <c r="E479">
        <v>114.63</v>
      </c>
      <c r="F479">
        <v>1540922</v>
      </c>
    </row>
    <row r="480" spans="1:6">
      <c r="A480" s="39">
        <v>42837</v>
      </c>
      <c r="B480">
        <v>114.84</v>
      </c>
      <c r="C480">
        <v>115.12</v>
      </c>
      <c r="D480">
        <v>114.75</v>
      </c>
      <c r="E480">
        <v>115.06</v>
      </c>
      <c r="F480">
        <v>1050774</v>
      </c>
    </row>
    <row r="481" spans="1:6">
      <c r="A481" s="39">
        <v>42838</v>
      </c>
      <c r="B481">
        <v>115.3</v>
      </c>
      <c r="C481">
        <v>115.46</v>
      </c>
      <c r="D481">
        <v>115.17</v>
      </c>
      <c r="E481">
        <v>115.23</v>
      </c>
      <c r="F481">
        <v>2870539</v>
      </c>
    </row>
    <row r="482" spans="1:6">
      <c r="A482" s="39">
        <v>42842</v>
      </c>
      <c r="B482">
        <v>115.17</v>
      </c>
      <c r="C482">
        <v>115.18</v>
      </c>
      <c r="D482">
        <v>114.86</v>
      </c>
      <c r="E482">
        <v>114.96</v>
      </c>
      <c r="F482">
        <v>954373</v>
      </c>
    </row>
    <row r="483" spans="1:6">
      <c r="A483" s="39">
        <v>42843</v>
      </c>
      <c r="B483">
        <v>115.21</v>
      </c>
      <c r="C483">
        <v>115.31</v>
      </c>
      <c r="D483">
        <v>115.02</v>
      </c>
      <c r="E483">
        <v>115.21</v>
      </c>
      <c r="F483">
        <v>1609743</v>
      </c>
    </row>
    <row r="484" spans="1:6">
      <c r="A484" s="39">
        <v>42844</v>
      </c>
      <c r="B484">
        <v>115.07</v>
      </c>
      <c r="C484">
        <v>115.15</v>
      </c>
      <c r="D484">
        <v>114.9</v>
      </c>
      <c r="E484">
        <v>115</v>
      </c>
      <c r="F484">
        <v>1057812</v>
      </c>
    </row>
    <row r="485" spans="1:6">
      <c r="A485" s="39">
        <v>42845</v>
      </c>
      <c r="B485">
        <v>114.81</v>
      </c>
      <c r="C485">
        <v>114.96</v>
      </c>
      <c r="D485">
        <v>114.78</v>
      </c>
      <c r="E485">
        <v>114.88</v>
      </c>
      <c r="F485">
        <v>1082450</v>
      </c>
    </row>
    <row r="486" spans="1:6">
      <c r="A486" s="39">
        <v>42846</v>
      </c>
      <c r="B486">
        <v>114.96</v>
      </c>
      <c r="C486">
        <v>115</v>
      </c>
      <c r="D486">
        <v>114.67</v>
      </c>
      <c r="E486">
        <v>114.72</v>
      </c>
      <c r="F486">
        <v>700525</v>
      </c>
    </row>
    <row r="487" spans="1:6">
      <c r="A487" s="39">
        <v>42849</v>
      </c>
      <c r="B487">
        <v>114.7</v>
      </c>
      <c r="C487">
        <v>114.82</v>
      </c>
      <c r="D487">
        <v>114.57</v>
      </c>
      <c r="E487">
        <v>114.69</v>
      </c>
      <c r="F487">
        <v>949288</v>
      </c>
    </row>
    <row r="488" spans="1:6">
      <c r="A488" s="39">
        <v>42850</v>
      </c>
      <c r="B488">
        <v>114.73</v>
      </c>
      <c r="C488">
        <v>114.76</v>
      </c>
      <c r="D488">
        <v>114.46</v>
      </c>
      <c r="E488">
        <v>114.5</v>
      </c>
      <c r="F488">
        <v>926560</v>
      </c>
    </row>
    <row r="489" spans="1:6">
      <c r="A489" s="39">
        <v>42851</v>
      </c>
      <c r="B489">
        <v>114.51</v>
      </c>
      <c r="C489">
        <v>114.84</v>
      </c>
      <c r="D489">
        <v>114.51</v>
      </c>
      <c r="E489">
        <v>114.74</v>
      </c>
      <c r="F489">
        <v>819301</v>
      </c>
    </row>
    <row r="490" spans="1:6">
      <c r="A490" s="39">
        <v>42852</v>
      </c>
      <c r="B490">
        <v>114.68</v>
      </c>
      <c r="C490">
        <v>114.85</v>
      </c>
      <c r="D490">
        <v>114.64</v>
      </c>
      <c r="E490">
        <v>114.84</v>
      </c>
      <c r="F490">
        <v>2010317</v>
      </c>
    </row>
    <row r="491" spans="1:6">
      <c r="A491" s="39">
        <v>42853</v>
      </c>
      <c r="B491">
        <v>114.84</v>
      </c>
      <c r="C491">
        <v>115.06</v>
      </c>
      <c r="D491">
        <v>114.76</v>
      </c>
      <c r="E491">
        <v>115.01</v>
      </c>
      <c r="F491">
        <v>2351009</v>
      </c>
    </row>
    <row r="492" spans="1:6">
      <c r="A492" s="39">
        <v>42856</v>
      </c>
      <c r="B492">
        <v>114.55</v>
      </c>
      <c r="C492">
        <v>114.7</v>
      </c>
      <c r="D492">
        <v>114.21</v>
      </c>
      <c r="E492">
        <v>114.34</v>
      </c>
      <c r="F492">
        <v>1221900</v>
      </c>
    </row>
    <row r="493" spans="1:6">
      <c r="A493" s="39">
        <v>42857</v>
      </c>
      <c r="B493">
        <v>114.33</v>
      </c>
      <c r="C493">
        <v>114.46</v>
      </c>
      <c r="D493">
        <v>114.25</v>
      </c>
      <c r="E493">
        <v>114.34</v>
      </c>
      <c r="F493">
        <v>1102120</v>
      </c>
    </row>
    <row r="494" spans="1:6">
      <c r="A494" s="39">
        <v>42858</v>
      </c>
      <c r="B494">
        <v>114.37</v>
      </c>
      <c r="C494">
        <v>114.37</v>
      </c>
      <c r="D494">
        <v>113.96</v>
      </c>
      <c r="E494">
        <v>114.09</v>
      </c>
      <c r="F494">
        <v>908044</v>
      </c>
    </row>
    <row r="495" spans="1:6">
      <c r="A495" s="39">
        <v>42859</v>
      </c>
      <c r="B495">
        <v>113.69</v>
      </c>
      <c r="C495">
        <v>113.71</v>
      </c>
      <c r="D495">
        <v>113.41</v>
      </c>
      <c r="E495">
        <v>113.66</v>
      </c>
      <c r="F495">
        <v>865044</v>
      </c>
    </row>
    <row r="496" spans="1:6">
      <c r="A496" s="39">
        <v>42860</v>
      </c>
      <c r="B496">
        <v>113.72</v>
      </c>
      <c r="C496">
        <v>113.77</v>
      </c>
      <c r="D496">
        <v>113.54</v>
      </c>
      <c r="E496">
        <v>113.75</v>
      </c>
      <c r="F496">
        <v>632838</v>
      </c>
    </row>
    <row r="497" spans="1:6">
      <c r="A497" s="39">
        <v>42863</v>
      </c>
      <c r="B497">
        <v>113.56</v>
      </c>
      <c r="C497">
        <v>113.61</v>
      </c>
      <c r="D497">
        <v>113.24</v>
      </c>
      <c r="E497">
        <v>113.31</v>
      </c>
      <c r="F497">
        <v>1983487</v>
      </c>
    </row>
    <row r="498" spans="1:6">
      <c r="A498" s="39">
        <v>42864</v>
      </c>
      <c r="B498">
        <v>113.31</v>
      </c>
      <c r="C498">
        <v>113.34</v>
      </c>
      <c r="D498">
        <v>113.14</v>
      </c>
      <c r="E498">
        <v>113.21</v>
      </c>
      <c r="F498">
        <v>1319156</v>
      </c>
    </row>
    <row r="499" spans="1:6">
      <c r="A499" s="39">
        <v>42865</v>
      </c>
      <c r="B499">
        <v>113.47</v>
      </c>
      <c r="C499">
        <v>113.48</v>
      </c>
      <c r="D499">
        <v>113.18</v>
      </c>
      <c r="E499">
        <v>113.25</v>
      </c>
      <c r="F499">
        <v>3910100</v>
      </c>
    </row>
    <row r="500" spans="1:6">
      <c r="A500" s="39">
        <v>42866</v>
      </c>
      <c r="B500">
        <v>113.29</v>
      </c>
      <c r="C500">
        <v>113.65</v>
      </c>
      <c r="D500">
        <v>113.26</v>
      </c>
      <c r="E500">
        <v>113.59</v>
      </c>
      <c r="F500">
        <v>1350301</v>
      </c>
    </row>
    <row r="501" spans="1:6">
      <c r="A501" s="39">
        <v>42867</v>
      </c>
      <c r="B501">
        <v>113.68</v>
      </c>
      <c r="C501">
        <v>113.85</v>
      </c>
      <c r="D501">
        <v>113.58</v>
      </c>
      <c r="E501">
        <v>113.77</v>
      </c>
      <c r="F501">
        <v>778621</v>
      </c>
    </row>
    <row r="502" spans="1:6">
      <c r="A502" s="39">
        <v>42870</v>
      </c>
      <c r="B502">
        <v>113.79</v>
      </c>
      <c r="C502">
        <v>113.79</v>
      </c>
      <c r="D502">
        <v>113.47</v>
      </c>
      <c r="E502">
        <v>113.47</v>
      </c>
      <c r="F502">
        <v>733287</v>
      </c>
    </row>
    <row r="503" spans="1:6">
      <c r="A503" s="39">
        <v>42871</v>
      </c>
      <c r="B503">
        <v>113.49</v>
      </c>
      <c r="C503">
        <v>113.68</v>
      </c>
      <c r="D503">
        <v>113.44</v>
      </c>
      <c r="E503">
        <v>113.55</v>
      </c>
      <c r="F503">
        <v>651269</v>
      </c>
    </row>
    <row r="504" spans="1:6">
      <c r="A504" s="39">
        <v>42872</v>
      </c>
      <c r="B504">
        <v>113.88</v>
      </c>
      <c r="C504">
        <v>114.34</v>
      </c>
      <c r="D504">
        <v>113.88</v>
      </c>
      <c r="E504">
        <v>114.21</v>
      </c>
      <c r="F504">
        <v>1044218</v>
      </c>
    </row>
    <row r="505" spans="1:6">
      <c r="A505" s="39">
        <v>42873</v>
      </c>
      <c r="B505">
        <v>114.2</v>
      </c>
      <c r="C505">
        <v>114.39</v>
      </c>
      <c r="D505">
        <v>114.04</v>
      </c>
      <c r="E505">
        <v>114.39</v>
      </c>
      <c r="F505">
        <v>2719626</v>
      </c>
    </row>
    <row r="506" spans="1:6">
      <c r="A506" s="39">
        <v>42874</v>
      </c>
      <c r="B506">
        <v>114.4</v>
      </c>
      <c r="C506">
        <v>114.59</v>
      </c>
      <c r="D506">
        <v>114.31</v>
      </c>
      <c r="E506">
        <v>114.59</v>
      </c>
      <c r="F506">
        <v>712674</v>
      </c>
    </row>
  </sheetData>
  <sortState ref="A3:F506">
    <sortCondition ref="A3:A506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06"/>
  <sheetViews>
    <sheetView workbookViewId="0"/>
  </sheetViews>
  <sheetFormatPr defaultRowHeight="15"/>
  <cols>
    <col min="1" max="7" width="10.7109375" customWidth="1"/>
  </cols>
  <sheetData>
    <row r="1" spans="1:6">
      <c r="A1" t="s">
        <v>48</v>
      </c>
    </row>
    <row r="2" spans="1:6">
      <c r="A2" t="s">
        <v>26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</row>
    <row r="3" spans="1:6">
      <c r="A3" s="39">
        <v>42145</v>
      </c>
      <c r="B3">
        <v>108.36</v>
      </c>
      <c r="C3">
        <v>108.62</v>
      </c>
      <c r="D3">
        <v>108.25</v>
      </c>
      <c r="E3">
        <v>108.6</v>
      </c>
      <c r="F3">
        <v>286827</v>
      </c>
    </row>
    <row r="4" spans="1:6">
      <c r="A4" s="39">
        <v>42146</v>
      </c>
      <c r="B4">
        <v>108.44</v>
      </c>
      <c r="C4">
        <v>108.46</v>
      </c>
      <c r="D4">
        <v>108.26</v>
      </c>
      <c r="E4">
        <v>108.42</v>
      </c>
      <c r="F4">
        <v>200436</v>
      </c>
    </row>
    <row r="5" spans="1:6">
      <c r="A5" s="39">
        <v>42150</v>
      </c>
      <c r="B5">
        <v>108.45</v>
      </c>
      <c r="C5">
        <v>108.69</v>
      </c>
      <c r="D5">
        <v>108.37</v>
      </c>
      <c r="E5">
        <v>108.58</v>
      </c>
      <c r="F5">
        <v>316076</v>
      </c>
    </row>
    <row r="6" spans="1:6">
      <c r="A6" s="39">
        <v>42151</v>
      </c>
      <c r="B6">
        <v>108.68</v>
      </c>
      <c r="C6">
        <v>108.68</v>
      </c>
      <c r="D6">
        <v>108.52</v>
      </c>
      <c r="E6">
        <v>108.66</v>
      </c>
      <c r="F6">
        <v>162755</v>
      </c>
    </row>
    <row r="7" spans="1:6">
      <c r="A7" s="39">
        <v>42152</v>
      </c>
      <c r="B7">
        <v>108.66</v>
      </c>
      <c r="C7">
        <v>108.76</v>
      </c>
      <c r="D7">
        <v>108.62</v>
      </c>
      <c r="E7">
        <v>108.65</v>
      </c>
      <c r="F7">
        <v>411824</v>
      </c>
    </row>
    <row r="8" spans="1:6">
      <c r="A8" s="39">
        <v>42153</v>
      </c>
      <c r="B8">
        <v>108.76</v>
      </c>
      <c r="C8">
        <v>108.92</v>
      </c>
      <c r="D8">
        <v>108.71</v>
      </c>
      <c r="E8">
        <v>108.81</v>
      </c>
      <c r="F8">
        <v>203252</v>
      </c>
    </row>
    <row r="9" spans="1:6">
      <c r="A9" s="39">
        <v>42156</v>
      </c>
      <c r="B9">
        <v>108.67</v>
      </c>
      <c r="C9">
        <v>108.69</v>
      </c>
      <c r="D9">
        <v>108.39</v>
      </c>
      <c r="E9">
        <v>108.44</v>
      </c>
      <c r="F9">
        <v>249212</v>
      </c>
    </row>
    <row r="10" spans="1:6">
      <c r="A10" s="39">
        <v>42157</v>
      </c>
      <c r="B10">
        <v>108.37</v>
      </c>
      <c r="C10">
        <v>108.37</v>
      </c>
      <c r="D10">
        <v>108.04</v>
      </c>
      <c r="E10">
        <v>108.06</v>
      </c>
      <c r="F10">
        <v>429341</v>
      </c>
    </row>
    <row r="11" spans="1:6">
      <c r="A11" s="39">
        <v>42158</v>
      </c>
      <c r="B11">
        <v>108.03</v>
      </c>
      <c r="C11">
        <v>108.03</v>
      </c>
      <c r="D11">
        <v>107.91</v>
      </c>
      <c r="E11">
        <v>107.96</v>
      </c>
      <c r="F11">
        <v>741549</v>
      </c>
    </row>
    <row r="12" spans="1:6">
      <c r="A12" s="39">
        <v>42159</v>
      </c>
      <c r="B12">
        <v>108.03</v>
      </c>
      <c r="C12">
        <v>108.23</v>
      </c>
      <c r="D12">
        <v>107.96</v>
      </c>
      <c r="E12">
        <v>108.18</v>
      </c>
      <c r="F12">
        <v>222370</v>
      </c>
    </row>
    <row r="13" spans="1:6">
      <c r="A13" s="39">
        <v>42160</v>
      </c>
      <c r="B13">
        <v>107.82</v>
      </c>
      <c r="C13">
        <v>107.94</v>
      </c>
      <c r="D13">
        <v>107.68</v>
      </c>
      <c r="E13">
        <v>107.89</v>
      </c>
      <c r="F13">
        <v>266241</v>
      </c>
    </row>
    <row r="14" spans="1:6">
      <c r="A14" s="39">
        <v>42163</v>
      </c>
      <c r="B14">
        <v>107.88</v>
      </c>
      <c r="C14">
        <v>107.99</v>
      </c>
      <c r="D14">
        <v>107.81</v>
      </c>
      <c r="E14">
        <v>107.88</v>
      </c>
      <c r="F14">
        <v>288261</v>
      </c>
    </row>
    <row r="15" spans="1:6">
      <c r="A15" s="39">
        <v>42164</v>
      </c>
      <c r="B15">
        <v>107.87</v>
      </c>
      <c r="C15">
        <v>107.92</v>
      </c>
      <c r="D15">
        <v>107.62</v>
      </c>
      <c r="E15">
        <v>107.64</v>
      </c>
      <c r="F15">
        <v>317042</v>
      </c>
    </row>
    <row r="16" spans="1:6">
      <c r="A16" s="39">
        <v>42165</v>
      </c>
      <c r="B16">
        <v>107.65</v>
      </c>
      <c r="C16">
        <v>107.74</v>
      </c>
      <c r="D16">
        <v>107.58</v>
      </c>
      <c r="E16">
        <v>107.67</v>
      </c>
      <c r="F16">
        <v>208560</v>
      </c>
    </row>
    <row r="17" spans="1:6">
      <c r="A17" s="39">
        <v>42166</v>
      </c>
      <c r="B17">
        <v>107.85</v>
      </c>
      <c r="C17">
        <v>107.99</v>
      </c>
      <c r="D17">
        <v>107.67</v>
      </c>
      <c r="E17">
        <v>107.93</v>
      </c>
      <c r="F17">
        <v>343729</v>
      </c>
    </row>
    <row r="18" spans="1:6">
      <c r="A18" s="39">
        <v>42167</v>
      </c>
      <c r="B18">
        <v>107.88</v>
      </c>
      <c r="C18">
        <v>108.19</v>
      </c>
      <c r="D18">
        <v>107.88</v>
      </c>
      <c r="E18">
        <v>108.09</v>
      </c>
      <c r="F18">
        <v>157888</v>
      </c>
    </row>
    <row r="19" spans="1:6">
      <c r="A19" s="39">
        <v>42170</v>
      </c>
      <c r="B19">
        <v>108.15</v>
      </c>
      <c r="C19">
        <v>108.26</v>
      </c>
      <c r="D19">
        <v>108.01</v>
      </c>
      <c r="E19">
        <v>108.13</v>
      </c>
      <c r="F19">
        <v>469206</v>
      </c>
    </row>
    <row r="20" spans="1:6">
      <c r="A20" s="39">
        <v>42171</v>
      </c>
      <c r="B20">
        <v>108.21</v>
      </c>
      <c r="C20">
        <v>108.34</v>
      </c>
      <c r="D20">
        <v>108.15</v>
      </c>
      <c r="E20">
        <v>108.32</v>
      </c>
      <c r="F20">
        <v>140336</v>
      </c>
    </row>
    <row r="21" spans="1:6">
      <c r="A21" s="39">
        <v>42172</v>
      </c>
      <c r="B21">
        <v>108.32</v>
      </c>
      <c r="C21">
        <v>108.32</v>
      </c>
      <c r="D21">
        <v>108.01</v>
      </c>
      <c r="E21">
        <v>108.29</v>
      </c>
      <c r="F21">
        <v>148510</v>
      </c>
    </row>
    <row r="22" spans="1:6">
      <c r="A22" s="39">
        <v>42173</v>
      </c>
      <c r="B22">
        <v>108.23</v>
      </c>
      <c r="C22">
        <v>108.38</v>
      </c>
      <c r="D22">
        <v>108.14</v>
      </c>
      <c r="E22">
        <v>108.26</v>
      </c>
      <c r="F22">
        <v>239376</v>
      </c>
    </row>
    <row r="23" spans="1:6">
      <c r="A23" s="39">
        <v>42174</v>
      </c>
      <c r="B23">
        <v>108.3</v>
      </c>
      <c r="C23">
        <v>108.48</v>
      </c>
      <c r="D23">
        <v>108.3</v>
      </c>
      <c r="E23">
        <v>108.45</v>
      </c>
      <c r="F23">
        <v>190650</v>
      </c>
    </row>
    <row r="24" spans="1:6">
      <c r="A24" s="39">
        <v>42177</v>
      </c>
      <c r="B24">
        <v>108.23</v>
      </c>
      <c r="C24">
        <v>108.28</v>
      </c>
      <c r="D24">
        <v>108</v>
      </c>
      <c r="E24">
        <v>108.12</v>
      </c>
      <c r="F24">
        <v>234760</v>
      </c>
    </row>
    <row r="25" spans="1:6">
      <c r="A25" s="39">
        <v>42178</v>
      </c>
      <c r="B25">
        <v>108.09</v>
      </c>
      <c r="C25">
        <v>108.22</v>
      </c>
      <c r="D25">
        <v>108</v>
      </c>
      <c r="E25">
        <v>108.09</v>
      </c>
      <c r="F25">
        <v>439584</v>
      </c>
    </row>
    <row r="26" spans="1:6">
      <c r="A26" s="39">
        <v>42179</v>
      </c>
      <c r="B26">
        <v>108.29</v>
      </c>
      <c r="C26">
        <v>108.38</v>
      </c>
      <c r="D26">
        <v>108.17</v>
      </c>
      <c r="E26">
        <v>108.38</v>
      </c>
      <c r="F26">
        <v>158154</v>
      </c>
    </row>
    <row r="27" spans="1:6">
      <c r="A27" s="39">
        <v>42180</v>
      </c>
      <c r="B27">
        <v>108.34</v>
      </c>
      <c r="C27">
        <v>108.37</v>
      </c>
      <c r="D27">
        <v>108.17</v>
      </c>
      <c r="E27">
        <v>108.26</v>
      </c>
      <c r="F27">
        <v>169932</v>
      </c>
    </row>
    <row r="28" spans="1:6">
      <c r="A28" s="39">
        <v>42181</v>
      </c>
      <c r="B28">
        <v>108.2</v>
      </c>
      <c r="C28">
        <v>108.22</v>
      </c>
      <c r="D28">
        <v>108.1</v>
      </c>
      <c r="E28">
        <v>108.13</v>
      </c>
      <c r="F28">
        <v>206868</v>
      </c>
    </row>
    <row r="29" spans="1:6">
      <c r="A29" s="39">
        <v>42184</v>
      </c>
      <c r="B29">
        <v>108.32</v>
      </c>
      <c r="C29">
        <v>108.59</v>
      </c>
      <c r="D29">
        <v>108.07</v>
      </c>
      <c r="E29">
        <v>108.59</v>
      </c>
      <c r="F29">
        <v>354556</v>
      </c>
    </row>
    <row r="30" spans="1:6">
      <c r="A30" s="39">
        <v>42185</v>
      </c>
      <c r="B30">
        <v>108.39</v>
      </c>
      <c r="C30">
        <v>108.42</v>
      </c>
      <c r="D30">
        <v>108.15</v>
      </c>
      <c r="E30">
        <v>108.21</v>
      </c>
      <c r="F30">
        <v>272309</v>
      </c>
    </row>
    <row r="31" spans="1:6">
      <c r="A31" s="39">
        <v>42186</v>
      </c>
      <c r="B31">
        <v>107.85</v>
      </c>
      <c r="C31">
        <v>108.11</v>
      </c>
      <c r="D31">
        <v>107.85</v>
      </c>
      <c r="E31">
        <v>107.99</v>
      </c>
      <c r="F31">
        <v>212344</v>
      </c>
    </row>
    <row r="32" spans="1:6">
      <c r="A32" s="39">
        <v>42187</v>
      </c>
      <c r="B32">
        <v>107.99</v>
      </c>
      <c r="C32">
        <v>108.17</v>
      </c>
      <c r="D32">
        <v>107.97</v>
      </c>
      <c r="E32">
        <v>108.15</v>
      </c>
      <c r="F32">
        <v>204377</v>
      </c>
    </row>
    <row r="33" spans="1:6">
      <c r="A33" s="39">
        <v>42191</v>
      </c>
      <c r="B33">
        <v>108.35</v>
      </c>
      <c r="C33">
        <v>108.46</v>
      </c>
      <c r="D33">
        <v>108.23</v>
      </c>
      <c r="E33">
        <v>108.32</v>
      </c>
      <c r="F33">
        <v>251299</v>
      </c>
    </row>
    <row r="34" spans="1:6">
      <c r="A34" s="39">
        <v>42192</v>
      </c>
      <c r="B34">
        <v>108.43</v>
      </c>
      <c r="C34">
        <v>108.63</v>
      </c>
      <c r="D34">
        <v>108.3</v>
      </c>
      <c r="E34">
        <v>108.3</v>
      </c>
      <c r="F34">
        <v>349661</v>
      </c>
    </row>
    <row r="35" spans="1:6">
      <c r="A35" s="39">
        <v>42193</v>
      </c>
      <c r="B35">
        <v>108.69</v>
      </c>
      <c r="C35">
        <v>108.75</v>
      </c>
      <c r="D35">
        <v>108.45</v>
      </c>
      <c r="E35">
        <v>108.7</v>
      </c>
      <c r="F35">
        <v>180616</v>
      </c>
    </row>
    <row r="36" spans="1:6">
      <c r="A36" s="39">
        <v>42194</v>
      </c>
      <c r="B36">
        <v>108.55</v>
      </c>
      <c r="C36">
        <v>108.64</v>
      </c>
      <c r="D36">
        <v>108.48</v>
      </c>
      <c r="E36">
        <v>108.53</v>
      </c>
      <c r="F36">
        <v>189640</v>
      </c>
    </row>
    <row r="37" spans="1:6">
      <c r="A37" s="39">
        <v>42195</v>
      </c>
      <c r="B37">
        <v>108.37</v>
      </c>
      <c r="C37">
        <v>108.5</v>
      </c>
      <c r="D37">
        <v>108.35</v>
      </c>
      <c r="E37">
        <v>108.41</v>
      </c>
      <c r="F37">
        <v>250323</v>
      </c>
    </row>
    <row r="38" spans="1:6">
      <c r="A38" s="39">
        <v>42198</v>
      </c>
      <c r="B38">
        <v>108.33</v>
      </c>
      <c r="C38">
        <v>108.4</v>
      </c>
      <c r="D38">
        <v>108.21</v>
      </c>
      <c r="E38">
        <v>108.36</v>
      </c>
      <c r="F38">
        <v>262649</v>
      </c>
    </row>
    <row r="39" spans="1:6">
      <c r="A39" s="39">
        <v>42199</v>
      </c>
      <c r="B39">
        <v>108.41</v>
      </c>
      <c r="C39">
        <v>108.52</v>
      </c>
      <c r="D39">
        <v>108.36</v>
      </c>
      <c r="E39">
        <v>108.46</v>
      </c>
      <c r="F39">
        <v>311562</v>
      </c>
    </row>
    <row r="40" spans="1:6">
      <c r="A40" s="39">
        <v>42200</v>
      </c>
      <c r="B40">
        <v>108.44</v>
      </c>
      <c r="C40">
        <v>108.48</v>
      </c>
      <c r="D40">
        <v>108.33</v>
      </c>
      <c r="E40">
        <v>108.4</v>
      </c>
      <c r="F40">
        <v>248797</v>
      </c>
    </row>
    <row r="41" spans="1:6">
      <c r="A41" s="39">
        <v>42201</v>
      </c>
      <c r="B41">
        <v>108.35</v>
      </c>
      <c r="C41">
        <v>108.59</v>
      </c>
      <c r="D41">
        <v>108.35</v>
      </c>
      <c r="E41">
        <v>108.49</v>
      </c>
      <c r="F41">
        <v>185198</v>
      </c>
    </row>
    <row r="42" spans="1:6">
      <c r="A42" s="39">
        <v>42202</v>
      </c>
      <c r="B42">
        <v>108.43</v>
      </c>
      <c r="C42">
        <v>108.71</v>
      </c>
      <c r="D42">
        <v>108.42</v>
      </c>
      <c r="E42">
        <v>108.68</v>
      </c>
      <c r="F42">
        <v>134856</v>
      </c>
    </row>
    <row r="43" spans="1:6">
      <c r="A43" s="39">
        <v>42205</v>
      </c>
      <c r="B43">
        <v>108.67</v>
      </c>
      <c r="C43">
        <v>108.72</v>
      </c>
      <c r="D43">
        <v>108.55</v>
      </c>
      <c r="E43">
        <v>108.7</v>
      </c>
      <c r="F43">
        <v>212775</v>
      </c>
    </row>
    <row r="44" spans="1:6">
      <c r="A44" s="39">
        <v>42206</v>
      </c>
      <c r="B44">
        <v>108.71</v>
      </c>
      <c r="C44">
        <v>108.81</v>
      </c>
      <c r="D44">
        <v>108.61</v>
      </c>
      <c r="E44">
        <v>108.79</v>
      </c>
      <c r="F44">
        <v>185735</v>
      </c>
    </row>
    <row r="45" spans="1:6">
      <c r="A45" s="39">
        <v>42207</v>
      </c>
      <c r="B45">
        <v>108.78</v>
      </c>
      <c r="C45">
        <v>108.95</v>
      </c>
      <c r="D45">
        <v>108.71</v>
      </c>
      <c r="E45">
        <v>108.87</v>
      </c>
      <c r="F45">
        <v>577611</v>
      </c>
    </row>
    <row r="46" spans="1:6">
      <c r="A46" s="39">
        <v>42208</v>
      </c>
      <c r="B46">
        <v>108.9</v>
      </c>
      <c r="C46">
        <v>109.15</v>
      </c>
      <c r="D46">
        <v>108.85</v>
      </c>
      <c r="E46">
        <v>109</v>
      </c>
      <c r="F46">
        <v>216614</v>
      </c>
    </row>
    <row r="47" spans="1:6">
      <c r="A47" s="39">
        <v>42209</v>
      </c>
      <c r="B47">
        <v>108.95</v>
      </c>
      <c r="C47">
        <v>109.1</v>
      </c>
      <c r="D47">
        <v>108.89</v>
      </c>
      <c r="E47">
        <v>109.09</v>
      </c>
      <c r="F47">
        <v>113457</v>
      </c>
    </row>
    <row r="48" spans="1:6">
      <c r="A48" s="39">
        <v>42212</v>
      </c>
      <c r="B48">
        <v>109.1</v>
      </c>
      <c r="C48">
        <v>109.22</v>
      </c>
      <c r="D48">
        <v>109.1</v>
      </c>
      <c r="E48">
        <v>109.17</v>
      </c>
      <c r="F48">
        <v>269892</v>
      </c>
    </row>
    <row r="49" spans="1:6">
      <c r="A49" s="39">
        <v>42213</v>
      </c>
      <c r="B49">
        <v>109.13</v>
      </c>
      <c r="C49">
        <v>109.14</v>
      </c>
      <c r="D49">
        <v>109.04</v>
      </c>
      <c r="E49">
        <v>109.07</v>
      </c>
      <c r="F49">
        <v>144497</v>
      </c>
    </row>
    <row r="50" spans="1:6">
      <c r="A50" s="39">
        <v>42214</v>
      </c>
      <c r="B50">
        <v>109.01</v>
      </c>
      <c r="C50">
        <v>109.06</v>
      </c>
      <c r="D50">
        <v>108.91</v>
      </c>
      <c r="E50">
        <v>108.96</v>
      </c>
      <c r="F50">
        <v>110565</v>
      </c>
    </row>
    <row r="51" spans="1:6">
      <c r="A51" s="39">
        <v>42215</v>
      </c>
      <c r="B51">
        <v>108.93</v>
      </c>
      <c r="C51">
        <v>109.08</v>
      </c>
      <c r="D51">
        <v>108.91</v>
      </c>
      <c r="E51">
        <v>108.97</v>
      </c>
      <c r="F51">
        <v>162103</v>
      </c>
    </row>
    <row r="52" spans="1:6">
      <c r="A52" s="39">
        <v>42216</v>
      </c>
      <c r="B52">
        <v>109.13</v>
      </c>
      <c r="C52">
        <v>109.28</v>
      </c>
      <c r="D52">
        <v>109.1</v>
      </c>
      <c r="E52">
        <v>109.19</v>
      </c>
      <c r="F52">
        <v>172346</v>
      </c>
    </row>
    <row r="53" spans="1:6">
      <c r="A53" s="39">
        <v>42219</v>
      </c>
      <c r="B53">
        <v>108.88</v>
      </c>
      <c r="C53">
        <v>109.14</v>
      </c>
      <c r="D53">
        <v>108.88</v>
      </c>
      <c r="E53">
        <v>109.1</v>
      </c>
      <c r="F53">
        <v>365498</v>
      </c>
    </row>
    <row r="54" spans="1:6">
      <c r="A54" s="39">
        <v>42220</v>
      </c>
      <c r="B54">
        <v>109.07</v>
      </c>
      <c r="C54">
        <v>109.08</v>
      </c>
      <c r="D54">
        <v>108.81</v>
      </c>
      <c r="E54">
        <v>108.87</v>
      </c>
      <c r="F54">
        <v>168255</v>
      </c>
    </row>
    <row r="55" spans="1:6">
      <c r="A55" s="39">
        <v>42221</v>
      </c>
      <c r="B55">
        <v>108.87</v>
      </c>
      <c r="C55">
        <v>108.93</v>
      </c>
      <c r="D55">
        <v>108.72</v>
      </c>
      <c r="E55">
        <v>108.82</v>
      </c>
      <c r="F55">
        <v>163241</v>
      </c>
    </row>
    <row r="56" spans="1:6">
      <c r="A56" s="39">
        <v>42222</v>
      </c>
      <c r="B56">
        <v>108.81</v>
      </c>
      <c r="C56">
        <v>108.99</v>
      </c>
      <c r="D56">
        <v>108.8</v>
      </c>
      <c r="E56">
        <v>108.87</v>
      </c>
      <c r="F56">
        <v>191457</v>
      </c>
    </row>
    <row r="57" spans="1:6">
      <c r="A57" s="39">
        <v>42223</v>
      </c>
      <c r="B57">
        <v>108.86</v>
      </c>
      <c r="C57">
        <v>108.98</v>
      </c>
      <c r="D57">
        <v>108.82</v>
      </c>
      <c r="E57">
        <v>108.89</v>
      </c>
      <c r="F57">
        <v>272301</v>
      </c>
    </row>
    <row r="58" spans="1:6">
      <c r="A58" s="39">
        <v>42226</v>
      </c>
      <c r="B58">
        <v>108.85</v>
      </c>
      <c r="C58">
        <v>108.85</v>
      </c>
      <c r="D58">
        <v>108.61</v>
      </c>
      <c r="E58">
        <v>108.61</v>
      </c>
      <c r="F58">
        <v>337665</v>
      </c>
    </row>
    <row r="59" spans="1:6">
      <c r="A59" s="39">
        <v>42227</v>
      </c>
      <c r="B59">
        <v>108.87</v>
      </c>
      <c r="C59">
        <v>109.14</v>
      </c>
      <c r="D59">
        <v>108.86</v>
      </c>
      <c r="E59">
        <v>109.09</v>
      </c>
      <c r="F59">
        <v>201405</v>
      </c>
    </row>
    <row r="60" spans="1:6">
      <c r="A60" s="39">
        <v>42228</v>
      </c>
      <c r="B60">
        <v>109.09</v>
      </c>
      <c r="C60">
        <v>109.2</v>
      </c>
      <c r="D60">
        <v>108.81</v>
      </c>
      <c r="E60">
        <v>108.81</v>
      </c>
      <c r="F60">
        <v>187342</v>
      </c>
    </row>
    <row r="61" spans="1:6">
      <c r="A61" s="39">
        <v>42229</v>
      </c>
      <c r="B61">
        <v>108.89</v>
      </c>
      <c r="C61">
        <v>109.04</v>
      </c>
      <c r="D61">
        <v>108.81</v>
      </c>
      <c r="E61">
        <v>108.92</v>
      </c>
      <c r="F61">
        <v>260358</v>
      </c>
    </row>
    <row r="62" spans="1:6">
      <c r="A62" s="39">
        <v>42230</v>
      </c>
      <c r="B62">
        <v>108.8</v>
      </c>
      <c r="C62">
        <v>108.99</v>
      </c>
      <c r="D62">
        <v>108.77</v>
      </c>
      <c r="E62">
        <v>108.93</v>
      </c>
      <c r="F62">
        <v>159442</v>
      </c>
    </row>
    <row r="63" spans="1:6">
      <c r="A63" s="39">
        <v>42233</v>
      </c>
      <c r="B63">
        <v>109.02</v>
      </c>
      <c r="C63">
        <v>109.08</v>
      </c>
      <c r="D63">
        <v>108.9</v>
      </c>
      <c r="E63">
        <v>108.94</v>
      </c>
      <c r="F63">
        <v>204742</v>
      </c>
    </row>
    <row r="64" spans="1:6">
      <c r="A64" s="39">
        <v>42234</v>
      </c>
      <c r="B64">
        <v>108.9</v>
      </c>
      <c r="C64">
        <v>108.94</v>
      </c>
      <c r="D64">
        <v>108.77</v>
      </c>
      <c r="E64">
        <v>108.78</v>
      </c>
      <c r="F64">
        <v>162139</v>
      </c>
    </row>
    <row r="65" spans="1:6">
      <c r="A65" s="39">
        <v>42235</v>
      </c>
      <c r="B65">
        <v>108.76</v>
      </c>
      <c r="C65">
        <v>109.06</v>
      </c>
      <c r="D65">
        <v>108.73</v>
      </c>
      <c r="E65">
        <v>109.03</v>
      </c>
      <c r="F65">
        <v>328234</v>
      </c>
    </row>
    <row r="66" spans="1:6">
      <c r="A66" s="39">
        <v>42236</v>
      </c>
      <c r="B66">
        <v>108.87</v>
      </c>
      <c r="C66">
        <v>109.18</v>
      </c>
      <c r="D66">
        <v>108.87</v>
      </c>
      <c r="E66">
        <v>109</v>
      </c>
      <c r="F66">
        <v>716121</v>
      </c>
    </row>
    <row r="67" spans="1:6">
      <c r="A67" s="39">
        <v>42237</v>
      </c>
      <c r="B67">
        <v>109.1</v>
      </c>
      <c r="C67">
        <v>109.24</v>
      </c>
      <c r="D67">
        <v>109.02</v>
      </c>
      <c r="E67">
        <v>109.24</v>
      </c>
      <c r="F67">
        <v>319435</v>
      </c>
    </row>
    <row r="68" spans="1:6">
      <c r="A68" s="39">
        <v>42240</v>
      </c>
      <c r="B68">
        <v>109.49</v>
      </c>
      <c r="C68">
        <v>109.5</v>
      </c>
      <c r="D68">
        <v>108.87</v>
      </c>
      <c r="E68">
        <v>108.91</v>
      </c>
      <c r="F68">
        <v>641899</v>
      </c>
    </row>
    <row r="69" spans="1:6">
      <c r="A69" s="39">
        <v>42241</v>
      </c>
      <c r="B69">
        <v>108.75</v>
      </c>
      <c r="C69">
        <v>109</v>
      </c>
      <c r="D69">
        <v>108.65</v>
      </c>
      <c r="E69">
        <v>108.73</v>
      </c>
      <c r="F69">
        <v>406193</v>
      </c>
    </row>
    <row r="70" spans="1:6">
      <c r="A70" s="39">
        <v>42242</v>
      </c>
      <c r="B70">
        <v>108.49</v>
      </c>
      <c r="C70">
        <v>108.89</v>
      </c>
      <c r="D70">
        <v>108.33</v>
      </c>
      <c r="E70">
        <v>108.63</v>
      </c>
      <c r="F70">
        <v>304117</v>
      </c>
    </row>
    <row r="71" spans="1:6">
      <c r="A71" s="39">
        <v>42243</v>
      </c>
      <c r="B71">
        <v>108.89</v>
      </c>
      <c r="C71">
        <v>109</v>
      </c>
      <c r="D71">
        <v>108.7</v>
      </c>
      <c r="E71">
        <v>108.9</v>
      </c>
      <c r="F71">
        <v>265972</v>
      </c>
    </row>
    <row r="72" spans="1:6">
      <c r="A72" s="39">
        <v>42244</v>
      </c>
      <c r="B72">
        <v>108.89</v>
      </c>
      <c r="C72">
        <v>109</v>
      </c>
      <c r="D72">
        <v>108.83</v>
      </c>
      <c r="E72">
        <v>108.92</v>
      </c>
      <c r="F72">
        <v>188390</v>
      </c>
    </row>
    <row r="73" spans="1:6">
      <c r="A73" s="39">
        <v>42247</v>
      </c>
      <c r="B73">
        <v>108.92</v>
      </c>
      <c r="C73">
        <v>109</v>
      </c>
      <c r="D73">
        <v>108.76</v>
      </c>
      <c r="E73">
        <v>108.84</v>
      </c>
      <c r="F73">
        <v>348143</v>
      </c>
    </row>
    <row r="74" spans="1:6">
      <c r="A74" s="39">
        <v>42248</v>
      </c>
      <c r="B74">
        <v>108.89</v>
      </c>
      <c r="C74">
        <v>109.03</v>
      </c>
      <c r="D74">
        <v>108.66</v>
      </c>
      <c r="E74">
        <v>108.95</v>
      </c>
      <c r="F74">
        <v>372503</v>
      </c>
    </row>
    <row r="75" spans="1:6">
      <c r="A75" s="39">
        <v>42249</v>
      </c>
      <c r="B75">
        <v>108.82</v>
      </c>
      <c r="C75">
        <v>108.96</v>
      </c>
      <c r="D75">
        <v>108.75</v>
      </c>
      <c r="E75">
        <v>108.79</v>
      </c>
      <c r="F75">
        <v>138608</v>
      </c>
    </row>
    <row r="76" spans="1:6">
      <c r="A76" s="39">
        <v>42250</v>
      </c>
      <c r="B76">
        <v>109.05</v>
      </c>
      <c r="C76">
        <v>109.05</v>
      </c>
      <c r="D76">
        <v>108.82</v>
      </c>
      <c r="E76">
        <v>108.88</v>
      </c>
      <c r="F76">
        <v>280912</v>
      </c>
    </row>
    <row r="77" spans="1:6">
      <c r="A77" s="39">
        <v>42251</v>
      </c>
      <c r="B77">
        <v>108.92</v>
      </c>
      <c r="C77">
        <v>109</v>
      </c>
      <c r="D77">
        <v>108.75</v>
      </c>
      <c r="E77">
        <v>109</v>
      </c>
      <c r="F77">
        <v>125730</v>
      </c>
    </row>
    <row r="78" spans="1:6">
      <c r="A78" s="39">
        <v>42255</v>
      </c>
      <c r="B78">
        <v>108.76</v>
      </c>
      <c r="C78">
        <v>108.8</v>
      </c>
      <c r="D78">
        <v>108.64</v>
      </c>
      <c r="E78">
        <v>108.7</v>
      </c>
      <c r="F78">
        <v>255160</v>
      </c>
    </row>
    <row r="79" spans="1:6">
      <c r="A79" s="39">
        <v>42256</v>
      </c>
      <c r="B79">
        <v>108.67</v>
      </c>
      <c r="C79">
        <v>108.76</v>
      </c>
      <c r="D79">
        <v>108.5</v>
      </c>
      <c r="E79">
        <v>108.72</v>
      </c>
      <c r="F79">
        <v>298297</v>
      </c>
    </row>
    <row r="80" spans="1:6">
      <c r="A80" s="39">
        <v>42257</v>
      </c>
      <c r="B80">
        <v>108.67</v>
      </c>
      <c r="C80">
        <v>108.68</v>
      </c>
      <c r="D80">
        <v>108.54</v>
      </c>
      <c r="E80">
        <v>108.6</v>
      </c>
      <c r="F80">
        <v>169083</v>
      </c>
    </row>
    <row r="81" spans="1:6">
      <c r="A81" s="39">
        <v>42258</v>
      </c>
      <c r="B81">
        <v>108.63</v>
      </c>
      <c r="C81">
        <v>108.74</v>
      </c>
      <c r="D81">
        <v>108.57</v>
      </c>
      <c r="E81">
        <v>108.64</v>
      </c>
      <c r="F81">
        <v>247108</v>
      </c>
    </row>
    <row r="82" spans="1:6">
      <c r="A82" s="39">
        <v>42261</v>
      </c>
      <c r="B82">
        <v>108.64</v>
      </c>
      <c r="C82">
        <v>108.66</v>
      </c>
      <c r="D82">
        <v>108.54</v>
      </c>
      <c r="E82">
        <v>108.6</v>
      </c>
      <c r="F82">
        <v>187498</v>
      </c>
    </row>
    <row r="83" spans="1:6">
      <c r="A83" s="39">
        <v>42262</v>
      </c>
      <c r="B83">
        <v>108.56</v>
      </c>
      <c r="C83">
        <v>108.58</v>
      </c>
      <c r="D83">
        <v>108.18</v>
      </c>
      <c r="E83">
        <v>108.18</v>
      </c>
      <c r="F83">
        <v>264702</v>
      </c>
    </row>
    <row r="84" spans="1:6">
      <c r="A84" s="39">
        <v>42263</v>
      </c>
      <c r="B84">
        <v>108.29</v>
      </c>
      <c r="C84">
        <v>108.43</v>
      </c>
      <c r="D84">
        <v>108.17</v>
      </c>
      <c r="E84">
        <v>108.19</v>
      </c>
      <c r="F84">
        <v>231955</v>
      </c>
    </row>
    <row r="85" spans="1:6">
      <c r="A85" s="39">
        <v>42264</v>
      </c>
      <c r="B85">
        <v>108.29</v>
      </c>
      <c r="C85">
        <v>108.7</v>
      </c>
      <c r="D85">
        <v>108.23</v>
      </c>
      <c r="E85">
        <v>108.7</v>
      </c>
      <c r="F85">
        <v>280045</v>
      </c>
    </row>
    <row r="86" spans="1:6">
      <c r="A86" s="39">
        <v>42265</v>
      </c>
      <c r="B86">
        <v>108.72</v>
      </c>
      <c r="C86">
        <v>108.95</v>
      </c>
      <c r="D86">
        <v>108.67</v>
      </c>
      <c r="E86">
        <v>108.95</v>
      </c>
      <c r="F86">
        <v>216265</v>
      </c>
    </row>
    <row r="87" spans="1:6">
      <c r="A87" s="39">
        <v>42268</v>
      </c>
      <c r="B87">
        <v>108.84</v>
      </c>
      <c r="C87">
        <v>108.84</v>
      </c>
      <c r="D87">
        <v>108.65</v>
      </c>
      <c r="E87">
        <v>108.83</v>
      </c>
      <c r="F87">
        <v>206822</v>
      </c>
    </row>
    <row r="88" spans="1:6">
      <c r="A88" s="39">
        <v>42269</v>
      </c>
      <c r="B88">
        <v>108.92</v>
      </c>
      <c r="C88">
        <v>109.16</v>
      </c>
      <c r="D88">
        <v>108.92</v>
      </c>
      <c r="E88">
        <v>109.13</v>
      </c>
      <c r="F88">
        <v>327687</v>
      </c>
    </row>
    <row r="89" spans="1:6">
      <c r="A89" s="39">
        <v>42270</v>
      </c>
      <c r="B89">
        <v>109.14</v>
      </c>
      <c r="C89">
        <v>109.16</v>
      </c>
      <c r="D89">
        <v>109.02</v>
      </c>
      <c r="E89">
        <v>109.11</v>
      </c>
      <c r="F89">
        <v>128111</v>
      </c>
    </row>
    <row r="90" spans="1:6">
      <c r="A90" s="39">
        <v>42271</v>
      </c>
      <c r="B90">
        <v>109.2</v>
      </c>
      <c r="C90">
        <v>109.36</v>
      </c>
      <c r="D90">
        <v>109.14</v>
      </c>
      <c r="E90">
        <v>109.15</v>
      </c>
      <c r="F90">
        <v>571561</v>
      </c>
    </row>
    <row r="91" spans="1:6">
      <c r="A91" s="39">
        <v>42272</v>
      </c>
      <c r="B91">
        <v>109.15</v>
      </c>
      <c r="C91">
        <v>109.2</v>
      </c>
      <c r="D91">
        <v>109.1</v>
      </c>
      <c r="E91">
        <v>109.1</v>
      </c>
      <c r="F91">
        <v>240235</v>
      </c>
    </row>
    <row r="92" spans="1:6">
      <c r="A92" s="39">
        <v>42275</v>
      </c>
      <c r="B92">
        <v>109.27</v>
      </c>
      <c r="C92">
        <v>109.44</v>
      </c>
      <c r="D92">
        <v>109.23</v>
      </c>
      <c r="E92">
        <v>109.39</v>
      </c>
      <c r="F92">
        <v>273715</v>
      </c>
    </row>
    <row r="93" spans="1:6">
      <c r="A93" s="39">
        <v>42276</v>
      </c>
      <c r="B93">
        <v>109.43</v>
      </c>
      <c r="C93">
        <v>109.6</v>
      </c>
      <c r="D93">
        <v>109.42</v>
      </c>
      <c r="E93">
        <v>109.58</v>
      </c>
      <c r="F93">
        <v>361782</v>
      </c>
    </row>
    <row r="94" spans="1:6">
      <c r="A94" s="39">
        <v>42277</v>
      </c>
      <c r="B94">
        <v>109.57</v>
      </c>
      <c r="C94">
        <v>109.58</v>
      </c>
      <c r="D94">
        <v>109.3</v>
      </c>
      <c r="E94">
        <v>109.55</v>
      </c>
      <c r="F94">
        <v>367468</v>
      </c>
    </row>
    <row r="95" spans="1:6">
      <c r="A95" s="39">
        <v>42278</v>
      </c>
      <c r="B95">
        <v>109.47</v>
      </c>
      <c r="C95">
        <v>109.63</v>
      </c>
      <c r="D95">
        <v>109.3</v>
      </c>
      <c r="E95">
        <v>109.3</v>
      </c>
      <c r="F95">
        <v>1493695</v>
      </c>
    </row>
    <row r="96" spans="1:6">
      <c r="A96" s="39">
        <v>42279</v>
      </c>
      <c r="B96">
        <v>109.61</v>
      </c>
      <c r="C96">
        <v>109.8</v>
      </c>
      <c r="D96">
        <v>109.53</v>
      </c>
      <c r="E96">
        <v>109.66</v>
      </c>
      <c r="F96">
        <v>425702</v>
      </c>
    </row>
    <row r="97" spans="1:6">
      <c r="A97" s="39">
        <v>42282</v>
      </c>
      <c r="B97">
        <v>109.61</v>
      </c>
      <c r="C97">
        <v>109.61</v>
      </c>
      <c r="D97">
        <v>109.35</v>
      </c>
      <c r="E97">
        <v>109.49</v>
      </c>
      <c r="F97">
        <v>262289</v>
      </c>
    </row>
    <row r="98" spans="1:6">
      <c r="A98" s="39">
        <v>42283</v>
      </c>
      <c r="B98">
        <v>109.55</v>
      </c>
      <c r="C98">
        <v>109.63</v>
      </c>
      <c r="D98">
        <v>109.43</v>
      </c>
      <c r="E98">
        <v>109.56</v>
      </c>
      <c r="F98">
        <v>363078</v>
      </c>
    </row>
    <row r="99" spans="1:6">
      <c r="A99" s="39">
        <v>42284</v>
      </c>
      <c r="B99">
        <v>109.51</v>
      </c>
      <c r="C99">
        <v>109.51</v>
      </c>
      <c r="D99">
        <v>109.32</v>
      </c>
      <c r="E99">
        <v>109.42</v>
      </c>
      <c r="F99">
        <v>300688</v>
      </c>
    </row>
    <row r="100" spans="1:6">
      <c r="A100" s="39">
        <v>42285</v>
      </c>
      <c r="B100">
        <v>109.5</v>
      </c>
      <c r="C100">
        <v>109.5</v>
      </c>
      <c r="D100">
        <v>109.23</v>
      </c>
      <c r="E100">
        <v>109.31</v>
      </c>
      <c r="F100">
        <v>226352</v>
      </c>
    </row>
    <row r="101" spans="1:6">
      <c r="A101" s="39">
        <v>42286</v>
      </c>
      <c r="B101">
        <v>109.23</v>
      </c>
      <c r="C101">
        <v>109.39</v>
      </c>
      <c r="D101">
        <v>109.22</v>
      </c>
      <c r="E101">
        <v>109.32</v>
      </c>
      <c r="F101">
        <v>238146</v>
      </c>
    </row>
    <row r="102" spans="1:6">
      <c r="A102" s="39">
        <v>42289</v>
      </c>
      <c r="B102">
        <v>109.49</v>
      </c>
      <c r="C102">
        <v>109.55</v>
      </c>
      <c r="D102">
        <v>109.36</v>
      </c>
      <c r="E102">
        <v>109.52</v>
      </c>
      <c r="F102">
        <v>149447</v>
      </c>
    </row>
    <row r="103" spans="1:6">
      <c r="A103" s="39">
        <v>42290</v>
      </c>
      <c r="B103">
        <v>109.49</v>
      </c>
      <c r="C103">
        <v>109.55</v>
      </c>
      <c r="D103">
        <v>109.4</v>
      </c>
      <c r="E103">
        <v>109.45</v>
      </c>
      <c r="F103">
        <v>269761</v>
      </c>
    </row>
    <row r="104" spans="1:6">
      <c r="A104" s="39">
        <v>42291</v>
      </c>
      <c r="B104">
        <v>109.54</v>
      </c>
      <c r="C104">
        <v>109.62</v>
      </c>
      <c r="D104">
        <v>109.46</v>
      </c>
      <c r="E104">
        <v>109.6</v>
      </c>
      <c r="F104">
        <v>313422</v>
      </c>
    </row>
    <row r="105" spans="1:6">
      <c r="A105" s="39">
        <v>42292</v>
      </c>
      <c r="B105">
        <v>109.63</v>
      </c>
      <c r="C105">
        <v>109.63</v>
      </c>
      <c r="D105">
        <v>109.38</v>
      </c>
      <c r="E105">
        <v>109.43</v>
      </c>
      <c r="F105">
        <v>208203</v>
      </c>
    </row>
    <row r="106" spans="1:6">
      <c r="A106" s="39">
        <v>42293</v>
      </c>
      <c r="B106">
        <v>109.61</v>
      </c>
      <c r="C106">
        <v>109.61</v>
      </c>
      <c r="D106">
        <v>109.46</v>
      </c>
      <c r="E106">
        <v>109.46</v>
      </c>
      <c r="F106">
        <v>144316</v>
      </c>
    </row>
    <row r="107" spans="1:6">
      <c r="A107" s="39">
        <v>42296</v>
      </c>
      <c r="B107">
        <v>109.52</v>
      </c>
      <c r="C107">
        <v>109.65</v>
      </c>
      <c r="D107">
        <v>109.44</v>
      </c>
      <c r="E107">
        <v>109.55</v>
      </c>
      <c r="F107">
        <v>311464</v>
      </c>
    </row>
    <row r="108" spans="1:6">
      <c r="A108" s="39">
        <v>42297</v>
      </c>
      <c r="B108">
        <v>109.57</v>
      </c>
      <c r="C108">
        <v>109.57</v>
      </c>
      <c r="D108">
        <v>109.46</v>
      </c>
      <c r="E108">
        <v>109.52</v>
      </c>
      <c r="F108">
        <v>243357</v>
      </c>
    </row>
    <row r="109" spans="1:6">
      <c r="A109" s="39">
        <v>42298</v>
      </c>
      <c r="B109">
        <v>109.65</v>
      </c>
      <c r="C109">
        <v>109.75</v>
      </c>
      <c r="D109">
        <v>109.56</v>
      </c>
      <c r="E109">
        <v>109.65</v>
      </c>
      <c r="F109">
        <v>210378</v>
      </c>
    </row>
    <row r="110" spans="1:6">
      <c r="A110" s="39">
        <v>42299</v>
      </c>
      <c r="B110">
        <v>109.7</v>
      </c>
      <c r="C110">
        <v>109.72</v>
      </c>
      <c r="D110">
        <v>109.52</v>
      </c>
      <c r="E110">
        <v>109.68</v>
      </c>
      <c r="F110">
        <v>230146</v>
      </c>
    </row>
    <row r="111" spans="1:6">
      <c r="A111" s="39">
        <v>42300</v>
      </c>
      <c r="B111">
        <v>109.58</v>
      </c>
      <c r="C111">
        <v>109.62</v>
      </c>
      <c r="D111">
        <v>109.47</v>
      </c>
      <c r="E111">
        <v>109.52</v>
      </c>
      <c r="F111">
        <v>171597</v>
      </c>
    </row>
    <row r="112" spans="1:6">
      <c r="A112" s="39">
        <v>42303</v>
      </c>
      <c r="B112">
        <v>109.67</v>
      </c>
      <c r="C112">
        <v>109.7</v>
      </c>
      <c r="D112">
        <v>109.6</v>
      </c>
      <c r="E112">
        <v>109.63</v>
      </c>
      <c r="F112">
        <v>213544</v>
      </c>
    </row>
    <row r="113" spans="1:6">
      <c r="A113" s="39">
        <v>42304</v>
      </c>
      <c r="B113">
        <v>109.72</v>
      </c>
      <c r="C113">
        <v>109.78</v>
      </c>
      <c r="D113">
        <v>109.66</v>
      </c>
      <c r="E113">
        <v>109.72</v>
      </c>
      <c r="F113">
        <v>181566</v>
      </c>
    </row>
    <row r="114" spans="1:6">
      <c r="A114" s="39">
        <v>42305</v>
      </c>
      <c r="B114">
        <v>109.77</v>
      </c>
      <c r="C114">
        <v>109.84</v>
      </c>
      <c r="D114">
        <v>109.56</v>
      </c>
      <c r="E114">
        <v>109.59</v>
      </c>
      <c r="F114">
        <v>185563</v>
      </c>
    </row>
    <row r="115" spans="1:6">
      <c r="A115" s="39">
        <v>42306</v>
      </c>
      <c r="B115">
        <v>109.75</v>
      </c>
      <c r="C115">
        <v>109.75</v>
      </c>
      <c r="D115">
        <v>109.51</v>
      </c>
      <c r="E115">
        <v>109.51</v>
      </c>
      <c r="F115">
        <v>216925</v>
      </c>
    </row>
    <row r="116" spans="1:6">
      <c r="A116" s="39">
        <v>42307</v>
      </c>
      <c r="B116">
        <v>109.57</v>
      </c>
      <c r="C116">
        <v>109.73</v>
      </c>
      <c r="D116">
        <v>109.53</v>
      </c>
      <c r="E116">
        <v>109.71</v>
      </c>
      <c r="F116">
        <v>191995</v>
      </c>
    </row>
    <row r="117" spans="1:6">
      <c r="A117" s="39">
        <v>42310</v>
      </c>
      <c r="B117">
        <v>109.51</v>
      </c>
      <c r="C117">
        <v>109.51</v>
      </c>
      <c r="D117">
        <v>109.26</v>
      </c>
      <c r="E117">
        <v>109.42</v>
      </c>
      <c r="F117">
        <v>373206</v>
      </c>
    </row>
    <row r="118" spans="1:6">
      <c r="A118" s="39">
        <v>42311</v>
      </c>
      <c r="B118">
        <v>109.36</v>
      </c>
      <c r="C118">
        <v>109.45</v>
      </c>
      <c r="D118">
        <v>109.25</v>
      </c>
      <c r="E118">
        <v>109.25</v>
      </c>
      <c r="F118">
        <v>291201</v>
      </c>
    </row>
    <row r="119" spans="1:6">
      <c r="A119" s="39">
        <v>42312</v>
      </c>
      <c r="B119">
        <v>109.3</v>
      </c>
      <c r="C119">
        <v>109.39</v>
      </c>
      <c r="D119">
        <v>109.23</v>
      </c>
      <c r="E119">
        <v>109.29</v>
      </c>
      <c r="F119">
        <v>234548</v>
      </c>
    </row>
    <row r="120" spans="1:6">
      <c r="A120" s="39">
        <v>42313</v>
      </c>
      <c r="B120">
        <v>109.31</v>
      </c>
      <c r="C120">
        <v>109.38</v>
      </c>
      <c r="D120">
        <v>109.23</v>
      </c>
      <c r="E120">
        <v>109.28</v>
      </c>
      <c r="F120">
        <v>317285</v>
      </c>
    </row>
    <row r="121" spans="1:6">
      <c r="A121" s="39">
        <v>42314</v>
      </c>
      <c r="B121">
        <v>109.14</v>
      </c>
      <c r="C121">
        <v>109.15</v>
      </c>
      <c r="D121">
        <v>108.9</v>
      </c>
      <c r="E121">
        <v>108.91</v>
      </c>
      <c r="F121">
        <v>267367</v>
      </c>
    </row>
    <row r="122" spans="1:6">
      <c r="A122" s="39">
        <v>42317</v>
      </c>
      <c r="B122">
        <v>108.98</v>
      </c>
      <c r="C122">
        <v>109</v>
      </c>
      <c r="D122">
        <v>108.81</v>
      </c>
      <c r="E122">
        <v>108.84</v>
      </c>
      <c r="F122">
        <v>387109</v>
      </c>
    </row>
    <row r="123" spans="1:6">
      <c r="A123" s="39">
        <v>42318</v>
      </c>
      <c r="B123">
        <v>108.78</v>
      </c>
      <c r="C123">
        <v>109</v>
      </c>
      <c r="D123">
        <v>108.78</v>
      </c>
      <c r="E123">
        <v>108.9</v>
      </c>
      <c r="F123">
        <v>211316</v>
      </c>
    </row>
    <row r="124" spans="1:6">
      <c r="A124" s="39">
        <v>42319</v>
      </c>
      <c r="B124">
        <v>108.9</v>
      </c>
      <c r="C124">
        <v>108.95</v>
      </c>
      <c r="D124">
        <v>108.83</v>
      </c>
      <c r="E124">
        <v>108.95</v>
      </c>
      <c r="F124">
        <v>174663</v>
      </c>
    </row>
    <row r="125" spans="1:6">
      <c r="A125" s="39">
        <v>42320</v>
      </c>
      <c r="B125">
        <v>108.97</v>
      </c>
      <c r="C125">
        <v>109.05</v>
      </c>
      <c r="D125">
        <v>108.9</v>
      </c>
      <c r="E125">
        <v>109.04</v>
      </c>
      <c r="F125">
        <v>463288</v>
      </c>
    </row>
    <row r="126" spans="1:6">
      <c r="A126" s="39">
        <v>42321</v>
      </c>
      <c r="B126">
        <v>108.98</v>
      </c>
      <c r="C126">
        <v>109.17</v>
      </c>
      <c r="D126">
        <v>108.96</v>
      </c>
      <c r="E126">
        <v>109.15</v>
      </c>
      <c r="F126">
        <v>293007</v>
      </c>
    </row>
    <row r="127" spans="1:6">
      <c r="A127" s="39">
        <v>42324</v>
      </c>
      <c r="B127">
        <v>109.21</v>
      </c>
      <c r="C127">
        <v>109.25</v>
      </c>
      <c r="D127">
        <v>109.06</v>
      </c>
      <c r="E127">
        <v>109.09</v>
      </c>
      <c r="F127">
        <v>234985</v>
      </c>
    </row>
    <row r="128" spans="1:6">
      <c r="A128" s="39">
        <v>42325</v>
      </c>
      <c r="B128">
        <v>109.06</v>
      </c>
      <c r="C128">
        <v>109.3</v>
      </c>
      <c r="D128">
        <v>109.06</v>
      </c>
      <c r="E128">
        <v>109.29</v>
      </c>
      <c r="F128">
        <v>317529</v>
      </c>
    </row>
    <row r="129" spans="1:6">
      <c r="A129" s="39">
        <v>42326</v>
      </c>
      <c r="B129">
        <v>109.32</v>
      </c>
      <c r="C129">
        <v>109.5</v>
      </c>
      <c r="D129">
        <v>109.2</v>
      </c>
      <c r="E129">
        <v>109.49</v>
      </c>
      <c r="F129">
        <v>262395</v>
      </c>
    </row>
    <row r="130" spans="1:6">
      <c r="A130" s="39">
        <v>42327</v>
      </c>
      <c r="B130">
        <v>109.45</v>
      </c>
      <c r="C130">
        <v>109.69</v>
      </c>
      <c r="D130">
        <v>109.45</v>
      </c>
      <c r="E130">
        <v>109.68</v>
      </c>
      <c r="F130">
        <v>261972</v>
      </c>
    </row>
    <row r="131" spans="1:6">
      <c r="A131" s="39">
        <v>42328</v>
      </c>
      <c r="B131">
        <v>109.7</v>
      </c>
      <c r="C131">
        <v>109.75</v>
      </c>
      <c r="D131">
        <v>109.66</v>
      </c>
      <c r="E131">
        <v>109.7</v>
      </c>
      <c r="F131">
        <v>224175</v>
      </c>
    </row>
    <row r="132" spans="1:6">
      <c r="A132" s="39">
        <v>42331</v>
      </c>
      <c r="B132">
        <v>109.78</v>
      </c>
      <c r="C132">
        <v>109.84</v>
      </c>
      <c r="D132">
        <v>109.7</v>
      </c>
      <c r="E132">
        <v>109.8</v>
      </c>
      <c r="F132">
        <v>290656</v>
      </c>
    </row>
    <row r="133" spans="1:6">
      <c r="A133" s="39">
        <v>42332</v>
      </c>
      <c r="B133">
        <v>109.83</v>
      </c>
      <c r="C133">
        <v>109.9</v>
      </c>
      <c r="D133">
        <v>109.77</v>
      </c>
      <c r="E133">
        <v>109.88</v>
      </c>
      <c r="F133">
        <v>225195</v>
      </c>
    </row>
    <row r="134" spans="1:6">
      <c r="A134" s="39">
        <v>42333</v>
      </c>
      <c r="B134">
        <v>109.89</v>
      </c>
      <c r="C134">
        <v>109.96</v>
      </c>
      <c r="D134">
        <v>109.8</v>
      </c>
      <c r="E134">
        <v>109.94</v>
      </c>
      <c r="F134">
        <v>257610</v>
      </c>
    </row>
    <row r="135" spans="1:6">
      <c r="A135" s="39">
        <v>42335</v>
      </c>
      <c r="B135">
        <v>109.98</v>
      </c>
      <c r="C135">
        <v>109.98</v>
      </c>
      <c r="D135">
        <v>109.86</v>
      </c>
      <c r="E135">
        <v>109.96</v>
      </c>
      <c r="F135">
        <v>118416</v>
      </c>
    </row>
    <row r="136" spans="1:6">
      <c r="A136" s="39">
        <v>42338</v>
      </c>
      <c r="B136">
        <v>109.95</v>
      </c>
      <c r="C136">
        <v>110.04</v>
      </c>
      <c r="D136">
        <v>109.88</v>
      </c>
      <c r="E136">
        <v>110.03</v>
      </c>
      <c r="F136">
        <v>212708</v>
      </c>
    </row>
    <row r="137" spans="1:6">
      <c r="A137" s="39">
        <v>42339</v>
      </c>
      <c r="B137">
        <v>109.83</v>
      </c>
      <c r="C137">
        <v>110.04</v>
      </c>
      <c r="D137">
        <v>109.78</v>
      </c>
      <c r="E137">
        <v>109.95</v>
      </c>
      <c r="F137">
        <v>760882</v>
      </c>
    </row>
    <row r="138" spans="1:6">
      <c r="A138" s="39">
        <v>42340</v>
      </c>
      <c r="B138">
        <v>110.01</v>
      </c>
      <c r="C138">
        <v>110.07</v>
      </c>
      <c r="D138">
        <v>109.89</v>
      </c>
      <c r="E138">
        <v>110</v>
      </c>
      <c r="F138">
        <v>376007</v>
      </c>
    </row>
    <row r="139" spans="1:6">
      <c r="A139" s="39">
        <v>42341</v>
      </c>
      <c r="B139">
        <v>109.96</v>
      </c>
      <c r="C139">
        <v>109.96</v>
      </c>
      <c r="D139">
        <v>109.53</v>
      </c>
      <c r="E139">
        <v>109.65</v>
      </c>
      <c r="F139">
        <v>330150</v>
      </c>
    </row>
    <row r="140" spans="1:6">
      <c r="A140" s="39">
        <v>42342</v>
      </c>
      <c r="B140">
        <v>109.72</v>
      </c>
      <c r="C140">
        <v>109.94</v>
      </c>
      <c r="D140">
        <v>109.65</v>
      </c>
      <c r="E140">
        <v>109.83</v>
      </c>
      <c r="F140">
        <v>450886</v>
      </c>
    </row>
    <row r="141" spans="1:6">
      <c r="A141" s="39">
        <v>42345</v>
      </c>
      <c r="B141">
        <v>109.75</v>
      </c>
      <c r="C141">
        <v>109.98</v>
      </c>
      <c r="D141">
        <v>109.75</v>
      </c>
      <c r="E141">
        <v>109.94</v>
      </c>
      <c r="F141">
        <v>310998</v>
      </c>
    </row>
    <row r="142" spans="1:6">
      <c r="A142" s="39">
        <v>42346</v>
      </c>
      <c r="B142">
        <v>110.04</v>
      </c>
      <c r="C142">
        <v>110.11</v>
      </c>
      <c r="D142">
        <v>109.93</v>
      </c>
      <c r="E142">
        <v>110.01</v>
      </c>
      <c r="F142">
        <v>220242</v>
      </c>
    </row>
    <row r="143" spans="1:6">
      <c r="A143" s="39">
        <v>42347</v>
      </c>
      <c r="B143">
        <v>110.08</v>
      </c>
      <c r="C143">
        <v>110.16</v>
      </c>
      <c r="D143">
        <v>109.94</v>
      </c>
      <c r="E143">
        <v>110.13</v>
      </c>
      <c r="F143">
        <v>472242</v>
      </c>
    </row>
    <row r="144" spans="1:6">
      <c r="A144" s="39">
        <v>42348</v>
      </c>
      <c r="B144">
        <v>110.17</v>
      </c>
      <c r="C144">
        <v>110.26</v>
      </c>
      <c r="D144">
        <v>110.06</v>
      </c>
      <c r="E144">
        <v>110.18</v>
      </c>
      <c r="F144">
        <v>413322</v>
      </c>
    </row>
    <row r="145" spans="1:6">
      <c r="A145" s="39">
        <v>42349</v>
      </c>
      <c r="B145">
        <v>110.3</v>
      </c>
      <c r="C145">
        <v>110.48</v>
      </c>
      <c r="D145">
        <v>110.24</v>
      </c>
      <c r="E145">
        <v>110.38</v>
      </c>
      <c r="F145">
        <v>1575014</v>
      </c>
    </row>
    <row r="146" spans="1:6">
      <c r="A146" s="39">
        <v>42352</v>
      </c>
      <c r="B146">
        <v>110.34</v>
      </c>
      <c r="C146">
        <v>110.34</v>
      </c>
      <c r="D146">
        <v>110</v>
      </c>
      <c r="E146">
        <v>110.12</v>
      </c>
      <c r="F146">
        <v>500304</v>
      </c>
    </row>
    <row r="147" spans="1:6">
      <c r="A147" s="39">
        <v>42353</v>
      </c>
      <c r="B147">
        <v>110.15</v>
      </c>
      <c r="C147">
        <v>110.15</v>
      </c>
      <c r="D147">
        <v>110</v>
      </c>
      <c r="E147">
        <v>110.01</v>
      </c>
      <c r="F147">
        <v>285658</v>
      </c>
    </row>
    <row r="148" spans="1:6">
      <c r="A148" s="39">
        <v>42354</v>
      </c>
      <c r="B148">
        <v>109.95</v>
      </c>
      <c r="C148">
        <v>110.09</v>
      </c>
      <c r="D148">
        <v>109.85</v>
      </c>
      <c r="E148">
        <v>110.02</v>
      </c>
      <c r="F148">
        <v>373983</v>
      </c>
    </row>
    <row r="149" spans="1:6">
      <c r="A149" s="39">
        <v>42355</v>
      </c>
      <c r="B149">
        <v>110.17</v>
      </c>
      <c r="C149">
        <v>110.36</v>
      </c>
      <c r="D149">
        <v>110.07</v>
      </c>
      <c r="E149">
        <v>110.35</v>
      </c>
      <c r="F149">
        <v>468784</v>
      </c>
    </row>
    <row r="150" spans="1:6">
      <c r="A150" s="39">
        <v>42356</v>
      </c>
      <c r="B150">
        <v>110.43</v>
      </c>
      <c r="C150">
        <v>110.6</v>
      </c>
      <c r="D150">
        <v>110.26</v>
      </c>
      <c r="E150">
        <v>110.55</v>
      </c>
      <c r="F150">
        <v>458998</v>
      </c>
    </row>
    <row r="151" spans="1:6">
      <c r="A151" s="39">
        <v>42359</v>
      </c>
      <c r="B151">
        <v>110.61</v>
      </c>
      <c r="C151">
        <v>110.62</v>
      </c>
      <c r="D151">
        <v>110.37</v>
      </c>
      <c r="E151">
        <v>110.6</v>
      </c>
      <c r="F151">
        <v>380457</v>
      </c>
    </row>
    <row r="152" spans="1:6">
      <c r="A152" s="39">
        <v>42360</v>
      </c>
      <c r="B152">
        <v>110.55</v>
      </c>
      <c r="C152">
        <v>110.61</v>
      </c>
      <c r="D152">
        <v>110.47</v>
      </c>
      <c r="E152">
        <v>110.57</v>
      </c>
      <c r="F152">
        <v>568326</v>
      </c>
    </row>
    <row r="153" spans="1:6">
      <c r="A153" s="39">
        <v>42361</v>
      </c>
      <c r="B153">
        <v>110.57</v>
      </c>
      <c r="C153">
        <v>110.62</v>
      </c>
      <c r="D153">
        <v>110.43</v>
      </c>
      <c r="E153">
        <v>110.62</v>
      </c>
      <c r="F153">
        <v>321391</v>
      </c>
    </row>
    <row r="154" spans="1:6">
      <c r="A154" s="39">
        <v>42362</v>
      </c>
      <c r="B154">
        <v>110.44</v>
      </c>
      <c r="C154">
        <v>110.44</v>
      </c>
      <c r="D154">
        <v>110.29</v>
      </c>
      <c r="E154">
        <v>110.39</v>
      </c>
      <c r="F154">
        <v>201849</v>
      </c>
    </row>
    <row r="155" spans="1:6">
      <c r="A155" s="39">
        <v>42366</v>
      </c>
      <c r="B155">
        <v>110.55</v>
      </c>
      <c r="C155">
        <v>110.55</v>
      </c>
      <c r="D155">
        <v>110.35</v>
      </c>
      <c r="E155">
        <v>110.44</v>
      </c>
      <c r="F155">
        <v>435809</v>
      </c>
    </row>
    <row r="156" spans="1:6">
      <c r="A156" s="39">
        <v>42367</v>
      </c>
      <c r="B156">
        <v>110.54</v>
      </c>
      <c r="C156">
        <v>110.54</v>
      </c>
      <c r="D156">
        <v>110.4</v>
      </c>
      <c r="E156">
        <v>110.47</v>
      </c>
      <c r="F156">
        <v>345846</v>
      </c>
    </row>
    <row r="157" spans="1:6">
      <c r="A157" s="39">
        <v>42368</v>
      </c>
      <c r="B157">
        <v>110.53</v>
      </c>
      <c r="C157">
        <v>110.55</v>
      </c>
      <c r="D157">
        <v>110.43</v>
      </c>
      <c r="E157">
        <v>110.54</v>
      </c>
      <c r="F157">
        <v>657044</v>
      </c>
    </row>
    <row r="158" spans="1:6">
      <c r="A158" s="39">
        <v>42369</v>
      </c>
      <c r="B158">
        <v>110.62</v>
      </c>
      <c r="C158">
        <v>110.73</v>
      </c>
      <c r="D158">
        <v>110.53</v>
      </c>
      <c r="E158">
        <v>110.71</v>
      </c>
      <c r="F158">
        <v>519450</v>
      </c>
    </row>
    <row r="159" spans="1:6">
      <c r="A159" s="39">
        <v>42373</v>
      </c>
      <c r="B159">
        <v>110.63</v>
      </c>
      <c r="C159">
        <v>110.75</v>
      </c>
      <c r="D159">
        <v>110.47</v>
      </c>
      <c r="E159">
        <v>110.47</v>
      </c>
      <c r="F159">
        <v>1653713</v>
      </c>
    </row>
    <row r="160" spans="1:6">
      <c r="A160" s="39">
        <v>42374</v>
      </c>
      <c r="B160">
        <v>110.51</v>
      </c>
      <c r="C160">
        <v>110.65</v>
      </c>
      <c r="D160">
        <v>110.51</v>
      </c>
      <c r="E160">
        <v>110.6</v>
      </c>
      <c r="F160">
        <v>389196</v>
      </c>
    </row>
    <row r="161" spans="1:6">
      <c r="A161" s="39">
        <v>42375</v>
      </c>
      <c r="B161">
        <v>110.77</v>
      </c>
      <c r="C161">
        <v>111.12</v>
      </c>
      <c r="D161">
        <v>110.77</v>
      </c>
      <c r="E161">
        <v>111.09</v>
      </c>
      <c r="F161">
        <v>351155</v>
      </c>
    </row>
    <row r="162" spans="1:6">
      <c r="A162" s="39">
        <v>42376</v>
      </c>
      <c r="B162">
        <v>111.2</v>
      </c>
      <c r="C162">
        <v>111.25</v>
      </c>
      <c r="D162">
        <v>111.05</v>
      </c>
      <c r="E162">
        <v>111.25</v>
      </c>
      <c r="F162">
        <v>1011923</v>
      </c>
    </row>
    <row r="163" spans="1:6">
      <c r="A163" s="39">
        <v>42377</v>
      </c>
      <c r="B163">
        <v>111.05</v>
      </c>
      <c r="C163">
        <v>111.41</v>
      </c>
      <c r="D163">
        <v>111</v>
      </c>
      <c r="E163">
        <v>111.3</v>
      </c>
      <c r="F163">
        <v>638253</v>
      </c>
    </row>
    <row r="164" spans="1:6">
      <c r="A164" s="39">
        <v>42380</v>
      </c>
      <c r="B164">
        <v>111.18</v>
      </c>
      <c r="C164">
        <v>111.28</v>
      </c>
      <c r="D164">
        <v>111.1</v>
      </c>
      <c r="E164">
        <v>111.12</v>
      </c>
      <c r="F164">
        <v>498091</v>
      </c>
    </row>
    <row r="165" spans="1:6">
      <c r="A165" s="39">
        <v>42381</v>
      </c>
      <c r="B165">
        <v>111.12</v>
      </c>
      <c r="C165">
        <v>111.25</v>
      </c>
      <c r="D165">
        <v>111.1</v>
      </c>
      <c r="E165">
        <v>111.16</v>
      </c>
      <c r="F165">
        <v>745099</v>
      </c>
    </row>
    <row r="166" spans="1:6">
      <c r="A166" s="39">
        <v>42382</v>
      </c>
      <c r="B166">
        <v>111.08</v>
      </c>
      <c r="C166">
        <v>111.26</v>
      </c>
      <c r="D166">
        <v>111.03</v>
      </c>
      <c r="E166">
        <v>111.21</v>
      </c>
      <c r="F166">
        <v>490528</v>
      </c>
    </row>
    <row r="167" spans="1:6">
      <c r="A167" s="39">
        <v>42383</v>
      </c>
      <c r="B167">
        <v>111.21</v>
      </c>
      <c r="C167">
        <v>111.26</v>
      </c>
      <c r="D167">
        <v>110.92</v>
      </c>
      <c r="E167">
        <v>111.01</v>
      </c>
      <c r="F167">
        <v>473024</v>
      </c>
    </row>
    <row r="168" spans="1:6">
      <c r="A168" s="39">
        <v>42384</v>
      </c>
      <c r="B168">
        <v>111.14</v>
      </c>
      <c r="C168">
        <v>111.36</v>
      </c>
      <c r="D168">
        <v>111.11</v>
      </c>
      <c r="E168">
        <v>111.35</v>
      </c>
      <c r="F168">
        <v>549287</v>
      </c>
    </row>
    <row r="169" spans="1:6">
      <c r="A169" s="39">
        <v>42388</v>
      </c>
      <c r="B169">
        <v>111.28</v>
      </c>
      <c r="C169">
        <v>111.37</v>
      </c>
      <c r="D169">
        <v>111.16</v>
      </c>
      <c r="E169">
        <v>111.34</v>
      </c>
      <c r="F169">
        <v>858329</v>
      </c>
    </row>
    <row r="170" spans="1:6">
      <c r="A170" s="39">
        <v>42389</v>
      </c>
      <c r="B170">
        <v>111.61</v>
      </c>
      <c r="C170">
        <v>111.71</v>
      </c>
      <c r="D170">
        <v>111.38</v>
      </c>
      <c r="E170">
        <v>111.51</v>
      </c>
      <c r="F170">
        <v>513031</v>
      </c>
    </row>
    <row r="171" spans="1:6">
      <c r="A171" s="39">
        <v>42390</v>
      </c>
      <c r="B171">
        <v>111.55</v>
      </c>
      <c r="C171">
        <v>111.65</v>
      </c>
      <c r="D171">
        <v>111.35</v>
      </c>
      <c r="E171">
        <v>111.44</v>
      </c>
      <c r="F171">
        <v>706346</v>
      </c>
    </row>
    <row r="172" spans="1:6">
      <c r="A172" s="39">
        <v>42391</v>
      </c>
      <c r="B172">
        <v>111.32</v>
      </c>
      <c r="C172">
        <v>111.46</v>
      </c>
      <c r="D172">
        <v>111.22</v>
      </c>
      <c r="E172">
        <v>111.3</v>
      </c>
      <c r="F172">
        <v>504842</v>
      </c>
    </row>
    <row r="173" spans="1:6">
      <c r="A173" s="39">
        <v>42394</v>
      </c>
      <c r="B173">
        <v>111.28</v>
      </c>
      <c r="C173">
        <v>111.37</v>
      </c>
      <c r="D173">
        <v>111.22</v>
      </c>
      <c r="E173">
        <v>111.36</v>
      </c>
      <c r="F173">
        <v>329425</v>
      </c>
    </row>
    <row r="174" spans="1:6">
      <c r="A174" s="39">
        <v>42395</v>
      </c>
      <c r="B174">
        <v>111.3</v>
      </c>
      <c r="C174">
        <v>111.36</v>
      </c>
      <c r="D174">
        <v>111.22</v>
      </c>
      <c r="E174">
        <v>111.33</v>
      </c>
      <c r="F174">
        <v>317187</v>
      </c>
    </row>
    <row r="175" spans="1:6">
      <c r="A175" s="39">
        <v>42396</v>
      </c>
      <c r="B175">
        <v>111.25</v>
      </c>
      <c r="C175">
        <v>111.41</v>
      </c>
      <c r="D175">
        <v>111.25</v>
      </c>
      <c r="E175">
        <v>111.39</v>
      </c>
      <c r="F175">
        <v>294249</v>
      </c>
    </row>
    <row r="176" spans="1:6">
      <c r="A176" s="39">
        <v>42397</v>
      </c>
      <c r="B176">
        <v>111.39</v>
      </c>
      <c r="C176">
        <v>111.42</v>
      </c>
      <c r="D176">
        <v>111.25</v>
      </c>
      <c r="E176">
        <v>111.41</v>
      </c>
      <c r="F176">
        <v>260964</v>
      </c>
    </row>
    <row r="177" spans="1:6">
      <c r="A177" s="39">
        <v>42398</v>
      </c>
      <c r="B177">
        <v>111.4</v>
      </c>
      <c r="C177">
        <v>111.59</v>
      </c>
      <c r="D177">
        <v>111.38</v>
      </c>
      <c r="E177">
        <v>111.56</v>
      </c>
      <c r="F177">
        <v>431746</v>
      </c>
    </row>
    <row r="178" spans="1:6">
      <c r="A178" s="39">
        <v>42401</v>
      </c>
      <c r="B178">
        <v>111.34</v>
      </c>
      <c r="C178">
        <v>111.37</v>
      </c>
      <c r="D178">
        <v>111.08</v>
      </c>
      <c r="E178">
        <v>111.08</v>
      </c>
      <c r="F178">
        <v>788080</v>
      </c>
    </row>
    <row r="179" spans="1:6">
      <c r="A179" s="39">
        <v>42402</v>
      </c>
      <c r="B179">
        <v>111.27</v>
      </c>
      <c r="C179">
        <v>111.41</v>
      </c>
      <c r="D179">
        <v>111.21</v>
      </c>
      <c r="E179">
        <v>111.37</v>
      </c>
      <c r="F179">
        <v>723649</v>
      </c>
    </row>
    <row r="180" spans="1:6">
      <c r="A180" s="39">
        <v>42403</v>
      </c>
      <c r="B180">
        <v>111.46</v>
      </c>
      <c r="C180">
        <v>111.67</v>
      </c>
      <c r="D180">
        <v>111.4</v>
      </c>
      <c r="E180">
        <v>111.47</v>
      </c>
      <c r="F180">
        <v>356081</v>
      </c>
    </row>
    <row r="181" spans="1:6">
      <c r="A181" s="39">
        <v>42404</v>
      </c>
      <c r="B181">
        <v>111.61</v>
      </c>
      <c r="C181">
        <v>111.62</v>
      </c>
      <c r="D181">
        <v>111.49</v>
      </c>
      <c r="E181">
        <v>111.56</v>
      </c>
      <c r="F181">
        <v>464559</v>
      </c>
    </row>
    <row r="182" spans="1:6">
      <c r="A182" s="39">
        <v>42405</v>
      </c>
      <c r="B182">
        <v>111.58</v>
      </c>
      <c r="C182">
        <v>111.65</v>
      </c>
      <c r="D182">
        <v>111.45</v>
      </c>
      <c r="E182">
        <v>111.65</v>
      </c>
      <c r="F182">
        <v>363897</v>
      </c>
    </row>
    <row r="183" spans="1:6">
      <c r="A183" s="39">
        <v>42408</v>
      </c>
      <c r="B183">
        <v>111.76</v>
      </c>
      <c r="C183">
        <v>111.95</v>
      </c>
      <c r="D183">
        <v>111.73</v>
      </c>
      <c r="E183">
        <v>111.94</v>
      </c>
      <c r="F183">
        <v>402766</v>
      </c>
    </row>
    <row r="184" spans="1:6">
      <c r="A184" s="39">
        <v>42409</v>
      </c>
      <c r="B184">
        <v>112.06</v>
      </c>
      <c r="C184">
        <v>112.06</v>
      </c>
      <c r="D184">
        <v>111.8</v>
      </c>
      <c r="E184">
        <v>111.95</v>
      </c>
      <c r="F184">
        <v>259142</v>
      </c>
    </row>
    <row r="185" spans="1:6">
      <c r="A185" s="39">
        <v>42410</v>
      </c>
      <c r="B185">
        <v>111.91</v>
      </c>
      <c r="C185">
        <v>112</v>
      </c>
      <c r="D185">
        <v>111.83</v>
      </c>
      <c r="E185">
        <v>111.98</v>
      </c>
      <c r="F185">
        <v>365426</v>
      </c>
    </row>
    <row r="186" spans="1:6">
      <c r="A186" s="39">
        <v>42411</v>
      </c>
      <c r="B186">
        <v>112.22</v>
      </c>
      <c r="C186">
        <v>112.27</v>
      </c>
      <c r="D186">
        <v>112.05</v>
      </c>
      <c r="E186">
        <v>112.15</v>
      </c>
      <c r="F186">
        <v>408011</v>
      </c>
    </row>
    <row r="187" spans="1:6">
      <c r="A187" s="39">
        <v>42412</v>
      </c>
      <c r="B187">
        <v>112.1</v>
      </c>
      <c r="C187">
        <v>112.1</v>
      </c>
      <c r="D187">
        <v>111.8</v>
      </c>
      <c r="E187">
        <v>111.87</v>
      </c>
      <c r="F187">
        <v>458570</v>
      </c>
    </row>
    <row r="188" spans="1:6">
      <c r="A188" s="39">
        <v>42416</v>
      </c>
      <c r="B188">
        <v>112.09</v>
      </c>
      <c r="C188">
        <v>112.09</v>
      </c>
      <c r="D188">
        <v>111.84</v>
      </c>
      <c r="E188">
        <v>111.93</v>
      </c>
      <c r="F188">
        <v>325695</v>
      </c>
    </row>
    <row r="189" spans="1:6">
      <c r="A189" s="39">
        <v>42417</v>
      </c>
      <c r="B189">
        <v>111.75</v>
      </c>
      <c r="C189">
        <v>111.86</v>
      </c>
      <c r="D189">
        <v>111.65</v>
      </c>
      <c r="E189">
        <v>111.78</v>
      </c>
      <c r="F189">
        <v>455167</v>
      </c>
    </row>
    <row r="190" spans="1:6">
      <c r="A190" s="39">
        <v>42418</v>
      </c>
      <c r="B190">
        <v>111.62</v>
      </c>
      <c r="C190">
        <v>111.82</v>
      </c>
      <c r="D190">
        <v>111.59</v>
      </c>
      <c r="E190">
        <v>111.77</v>
      </c>
      <c r="F190">
        <v>551030</v>
      </c>
    </row>
    <row r="191" spans="1:6">
      <c r="A191" s="39">
        <v>42419</v>
      </c>
      <c r="B191">
        <v>111.76</v>
      </c>
      <c r="C191">
        <v>111.78</v>
      </c>
      <c r="D191">
        <v>111.61</v>
      </c>
      <c r="E191">
        <v>111.69</v>
      </c>
      <c r="F191">
        <v>824822</v>
      </c>
    </row>
    <row r="192" spans="1:6">
      <c r="A192" s="39">
        <v>42422</v>
      </c>
      <c r="B192">
        <v>111.67</v>
      </c>
      <c r="C192">
        <v>111.7</v>
      </c>
      <c r="D192">
        <v>111.58</v>
      </c>
      <c r="E192">
        <v>111.58</v>
      </c>
      <c r="F192">
        <v>368522</v>
      </c>
    </row>
    <row r="193" spans="1:6">
      <c r="A193" s="39">
        <v>42423</v>
      </c>
      <c r="B193">
        <v>111.58</v>
      </c>
      <c r="C193">
        <v>111.62</v>
      </c>
      <c r="D193">
        <v>111.47</v>
      </c>
      <c r="E193">
        <v>111.62</v>
      </c>
      <c r="F193">
        <v>509532</v>
      </c>
    </row>
    <row r="194" spans="1:6">
      <c r="A194" s="39">
        <v>42424</v>
      </c>
      <c r="B194">
        <v>111.65</v>
      </c>
      <c r="C194">
        <v>111.67</v>
      </c>
      <c r="D194">
        <v>111.42</v>
      </c>
      <c r="E194">
        <v>111.47</v>
      </c>
      <c r="F194">
        <v>383969</v>
      </c>
    </row>
    <row r="195" spans="1:6">
      <c r="A195" s="39">
        <v>42425</v>
      </c>
      <c r="B195">
        <v>111.61</v>
      </c>
      <c r="C195">
        <v>111.61</v>
      </c>
      <c r="D195">
        <v>111.5</v>
      </c>
      <c r="E195">
        <v>111.55</v>
      </c>
      <c r="F195">
        <v>408834</v>
      </c>
    </row>
    <row r="196" spans="1:6">
      <c r="A196" s="39">
        <v>42426</v>
      </c>
      <c r="B196">
        <v>111.5</v>
      </c>
      <c r="C196">
        <v>111.5</v>
      </c>
      <c r="D196">
        <v>111.31</v>
      </c>
      <c r="E196">
        <v>111.37</v>
      </c>
      <c r="F196">
        <v>427851</v>
      </c>
    </row>
    <row r="197" spans="1:6">
      <c r="A197" s="39">
        <v>42429</v>
      </c>
      <c r="B197">
        <v>111.39</v>
      </c>
      <c r="C197">
        <v>111.47</v>
      </c>
      <c r="D197">
        <v>111.32</v>
      </c>
      <c r="E197">
        <v>111.36</v>
      </c>
      <c r="F197">
        <v>456955</v>
      </c>
    </row>
    <row r="198" spans="1:6">
      <c r="A198" s="39">
        <v>42430</v>
      </c>
      <c r="B198">
        <v>111.16</v>
      </c>
      <c r="C198">
        <v>111.29</v>
      </c>
      <c r="D198">
        <v>110.95</v>
      </c>
      <c r="E198">
        <v>110.95</v>
      </c>
      <c r="F198">
        <v>439281</v>
      </c>
    </row>
    <row r="199" spans="1:6">
      <c r="A199" s="39">
        <v>42431</v>
      </c>
      <c r="B199">
        <v>110.94</v>
      </c>
      <c r="C199">
        <v>110.95</v>
      </c>
      <c r="D199">
        <v>110.83</v>
      </c>
      <c r="E199">
        <v>110.83</v>
      </c>
      <c r="F199">
        <v>323911</v>
      </c>
    </row>
    <row r="200" spans="1:6">
      <c r="A200" s="39">
        <v>42432</v>
      </c>
      <c r="B200">
        <v>110.9</v>
      </c>
      <c r="C200">
        <v>110.98</v>
      </c>
      <c r="D200">
        <v>110.83</v>
      </c>
      <c r="E200">
        <v>110.9</v>
      </c>
      <c r="F200">
        <v>353507</v>
      </c>
    </row>
    <row r="201" spans="1:6">
      <c r="A201" s="39">
        <v>42433</v>
      </c>
      <c r="B201">
        <v>110.92</v>
      </c>
      <c r="C201">
        <v>110.92</v>
      </c>
      <c r="D201">
        <v>110.62</v>
      </c>
      <c r="E201">
        <v>110.7</v>
      </c>
      <c r="F201">
        <v>367371</v>
      </c>
    </row>
    <row r="202" spans="1:6">
      <c r="A202" s="39">
        <v>42436</v>
      </c>
      <c r="B202">
        <v>110.68</v>
      </c>
      <c r="C202">
        <v>110.73</v>
      </c>
      <c r="D202">
        <v>110.6</v>
      </c>
      <c r="E202">
        <v>110.73</v>
      </c>
      <c r="F202">
        <v>332916</v>
      </c>
    </row>
    <row r="203" spans="1:6">
      <c r="A203" s="39">
        <v>42437</v>
      </c>
      <c r="B203">
        <v>110.84</v>
      </c>
      <c r="C203">
        <v>110.86</v>
      </c>
      <c r="D203">
        <v>110.75</v>
      </c>
      <c r="E203">
        <v>110.83</v>
      </c>
      <c r="F203">
        <v>408365</v>
      </c>
    </row>
    <row r="204" spans="1:6">
      <c r="A204" s="39">
        <v>42438</v>
      </c>
      <c r="B204">
        <v>110.8</v>
      </c>
      <c r="C204">
        <v>110.87</v>
      </c>
      <c r="D204">
        <v>110.77</v>
      </c>
      <c r="E204">
        <v>110.8</v>
      </c>
      <c r="F204">
        <v>340632</v>
      </c>
    </row>
    <row r="205" spans="1:6">
      <c r="A205" s="39">
        <v>42439</v>
      </c>
      <c r="B205">
        <v>110.88</v>
      </c>
      <c r="C205">
        <v>110.9</v>
      </c>
      <c r="D205">
        <v>110.76</v>
      </c>
      <c r="E205">
        <v>110.87</v>
      </c>
      <c r="F205">
        <v>384569</v>
      </c>
    </row>
    <row r="206" spans="1:6">
      <c r="A206" s="39">
        <v>42440</v>
      </c>
      <c r="B206">
        <v>110.93</v>
      </c>
      <c r="C206">
        <v>110.93</v>
      </c>
      <c r="D206">
        <v>110.75</v>
      </c>
      <c r="E206">
        <v>110.78</v>
      </c>
      <c r="F206">
        <v>263494</v>
      </c>
    </row>
    <row r="207" spans="1:6">
      <c r="A207" s="39">
        <v>42443</v>
      </c>
      <c r="B207">
        <v>110.87</v>
      </c>
      <c r="C207">
        <v>110.91</v>
      </c>
      <c r="D207">
        <v>110.78</v>
      </c>
      <c r="E207">
        <v>110.86</v>
      </c>
      <c r="F207">
        <v>323134</v>
      </c>
    </row>
    <row r="208" spans="1:6">
      <c r="A208" s="39">
        <v>42444</v>
      </c>
      <c r="B208">
        <v>110.83</v>
      </c>
      <c r="C208">
        <v>110.88</v>
      </c>
      <c r="D208">
        <v>110.76</v>
      </c>
      <c r="E208">
        <v>110.84</v>
      </c>
      <c r="F208">
        <v>209478</v>
      </c>
    </row>
    <row r="209" spans="1:6">
      <c r="A209" s="39">
        <v>42445</v>
      </c>
      <c r="B209">
        <v>110.85</v>
      </c>
      <c r="C209">
        <v>110.97</v>
      </c>
      <c r="D209">
        <v>110.77</v>
      </c>
      <c r="E209">
        <v>110.88</v>
      </c>
      <c r="F209">
        <v>271346</v>
      </c>
    </row>
    <row r="210" spans="1:6">
      <c r="A210" s="39">
        <v>42446</v>
      </c>
      <c r="B210">
        <v>110.94</v>
      </c>
      <c r="C210">
        <v>111.07</v>
      </c>
      <c r="D210">
        <v>110.87</v>
      </c>
      <c r="E210">
        <v>111.02</v>
      </c>
      <c r="F210">
        <v>303012</v>
      </c>
    </row>
    <row r="211" spans="1:6">
      <c r="A211" s="39">
        <v>42447</v>
      </c>
      <c r="B211">
        <v>111.14</v>
      </c>
      <c r="C211">
        <v>111.14</v>
      </c>
      <c r="D211">
        <v>111.01</v>
      </c>
      <c r="E211">
        <v>111.06</v>
      </c>
      <c r="F211">
        <v>345993</v>
      </c>
    </row>
    <row r="212" spans="1:6">
      <c r="A212" s="39">
        <v>42450</v>
      </c>
      <c r="B212">
        <v>111.1</v>
      </c>
      <c r="C212">
        <v>111.11</v>
      </c>
      <c r="D212">
        <v>111.03</v>
      </c>
      <c r="E212">
        <v>111.08</v>
      </c>
      <c r="F212">
        <v>355170</v>
      </c>
    </row>
    <row r="213" spans="1:6">
      <c r="A213" s="39">
        <v>42451</v>
      </c>
      <c r="B213">
        <v>111.23</v>
      </c>
      <c r="C213">
        <v>111.23</v>
      </c>
      <c r="D213">
        <v>111.07</v>
      </c>
      <c r="E213">
        <v>111.1</v>
      </c>
      <c r="F213">
        <v>291921</v>
      </c>
    </row>
    <row r="214" spans="1:6">
      <c r="A214" s="39">
        <v>42452</v>
      </c>
      <c r="B214">
        <v>111.06</v>
      </c>
      <c r="C214">
        <v>111.21</v>
      </c>
      <c r="D214">
        <v>111.06</v>
      </c>
      <c r="E214">
        <v>111.21</v>
      </c>
      <c r="F214">
        <v>735463</v>
      </c>
    </row>
    <row r="215" spans="1:6">
      <c r="A215" s="39">
        <v>42453</v>
      </c>
      <c r="B215">
        <v>111.25</v>
      </c>
      <c r="C215">
        <v>111.25</v>
      </c>
      <c r="D215">
        <v>111.06</v>
      </c>
      <c r="E215">
        <v>111.07</v>
      </c>
      <c r="F215">
        <v>340976</v>
      </c>
    </row>
    <row r="216" spans="1:6">
      <c r="A216" s="39">
        <v>42457</v>
      </c>
      <c r="B216">
        <v>111.22</v>
      </c>
      <c r="C216">
        <v>111.23</v>
      </c>
      <c r="D216">
        <v>111.09</v>
      </c>
      <c r="E216">
        <v>111.2</v>
      </c>
      <c r="F216">
        <v>515585</v>
      </c>
    </row>
    <row r="217" spans="1:6">
      <c r="A217" s="39">
        <v>42458</v>
      </c>
      <c r="B217">
        <v>111.28</v>
      </c>
      <c r="C217">
        <v>111.45</v>
      </c>
      <c r="D217">
        <v>111.2</v>
      </c>
      <c r="E217">
        <v>111.35</v>
      </c>
      <c r="F217">
        <v>313715</v>
      </c>
    </row>
    <row r="218" spans="1:6">
      <c r="A218" s="39">
        <v>42459</v>
      </c>
      <c r="B218">
        <v>111.4</v>
      </c>
      <c r="C218">
        <v>111.47</v>
      </c>
      <c r="D218">
        <v>111.3</v>
      </c>
      <c r="E218">
        <v>111.47</v>
      </c>
      <c r="F218">
        <v>295301</v>
      </c>
    </row>
    <row r="219" spans="1:6">
      <c r="A219" s="39">
        <v>42460</v>
      </c>
      <c r="B219">
        <v>111.64</v>
      </c>
      <c r="C219">
        <v>111.65</v>
      </c>
      <c r="D219">
        <v>111.48</v>
      </c>
      <c r="E219">
        <v>111.65</v>
      </c>
      <c r="F219">
        <v>410980</v>
      </c>
    </row>
    <row r="220" spans="1:6">
      <c r="A220" s="39">
        <v>42461</v>
      </c>
      <c r="B220">
        <v>111.4</v>
      </c>
      <c r="C220">
        <v>111.49</v>
      </c>
      <c r="D220">
        <v>111.27</v>
      </c>
      <c r="E220">
        <v>111.39</v>
      </c>
      <c r="F220">
        <v>461520</v>
      </c>
    </row>
    <row r="221" spans="1:6">
      <c r="A221" s="39">
        <v>42464</v>
      </c>
      <c r="B221">
        <v>111.49</v>
      </c>
      <c r="C221">
        <v>111.58</v>
      </c>
      <c r="D221">
        <v>111.42</v>
      </c>
      <c r="E221">
        <v>111.58</v>
      </c>
      <c r="F221">
        <v>793572</v>
      </c>
    </row>
    <row r="222" spans="1:6">
      <c r="A222" s="39">
        <v>42465</v>
      </c>
      <c r="B222">
        <v>111.74</v>
      </c>
      <c r="C222">
        <v>111.75</v>
      </c>
      <c r="D222">
        <v>111.63</v>
      </c>
      <c r="E222">
        <v>111.71</v>
      </c>
      <c r="F222">
        <v>425297</v>
      </c>
    </row>
    <row r="223" spans="1:6">
      <c r="A223" s="39">
        <v>42466</v>
      </c>
      <c r="B223">
        <v>111.89</v>
      </c>
      <c r="C223">
        <v>111.9</v>
      </c>
      <c r="D223">
        <v>111.72</v>
      </c>
      <c r="E223">
        <v>111.77</v>
      </c>
      <c r="F223">
        <v>304509</v>
      </c>
    </row>
    <row r="224" spans="1:6">
      <c r="A224" s="39">
        <v>42467</v>
      </c>
      <c r="B224">
        <v>112</v>
      </c>
      <c r="C224">
        <v>112.15</v>
      </c>
      <c r="D224">
        <v>111.89</v>
      </c>
      <c r="E224">
        <v>112.15</v>
      </c>
      <c r="F224">
        <v>393711</v>
      </c>
    </row>
    <row r="225" spans="1:6">
      <c r="A225" s="39">
        <v>42468</v>
      </c>
      <c r="B225">
        <v>112.14</v>
      </c>
      <c r="C225">
        <v>112.17</v>
      </c>
      <c r="D225">
        <v>112.06</v>
      </c>
      <c r="E225">
        <v>112.17</v>
      </c>
      <c r="F225">
        <v>409043</v>
      </c>
    </row>
    <row r="226" spans="1:6">
      <c r="A226" s="39">
        <v>42471</v>
      </c>
      <c r="B226">
        <v>112.18</v>
      </c>
      <c r="C226">
        <v>112.2</v>
      </c>
      <c r="D226">
        <v>112.11</v>
      </c>
      <c r="E226">
        <v>112.15</v>
      </c>
      <c r="F226">
        <v>276173</v>
      </c>
    </row>
    <row r="227" spans="1:6">
      <c r="A227" s="39">
        <v>42472</v>
      </c>
      <c r="B227">
        <v>112.17</v>
      </c>
      <c r="C227">
        <v>112.19</v>
      </c>
      <c r="D227">
        <v>112.09</v>
      </c>
      <c r="E227">
        <v>112.1</v>
      </c>
      <c r="F227">
        <v>301995</v>
      </c>
    </row>
    <row r="228" spans="1:6">
      <c r="A228" s="39">
        <v>42473</v>
      </c>
      <c r="B228">
        <v>112.14</v>
      </c>
      <c r="C228">
        <v>112.2</v>
      </c>
      <c r="D228">
        <v>112.07</v>
      </c>
      <c r="E228">
        <v>112.17</v>
      </c>
      <c r="F228">
        <v>334220</v>
      </c>
    </row>
    <row r="229" spans="1:6">
      <c r="A229" s="39">
        <v>42474</v>
      </c>
      <c r="B229">
        <v>112.11</v>
      </c>
      <c r="C229">
        <v>112.19</v>
      </c>
      <c r="D229">
        <v>112.08</v>
      </c>
      <c r="E229">
        <v>112.15</v>
      </c>
      <c r="F229">
        <v>324194</v>
      </c>
    </row>
    <row r="230" spans="1:6">
      <c r="A230" s="39">
        <v>42475</v>
      </c>
      <c r="B230">
        <v>112.2</v>
      </c>
      <c r="C230">
        <v>112.3</v>
      </c>
      <c r="D230">
        <v>112.18</v>
      </c>
      <c r="E230">
        <v>112.26</v>
      </c>
      <c r="F230">
        <v>366188</v>
      </c>
    </row>
    <row r="231" spans="1:6">
      <c r="A231" s="39">
        <v>42478</v>
      </c>
      <c r="B231">
        <v>112.24</v>
      </c>
      <c r="C231">
        <v>112.32</v>
      </c>
      <c r="D231">
        <v>112.17</v>
      </c>
      <c r="E231">
        <v>112.31</v>
      </c>
      <c r="F231">
        <v>1008877</v>
      </c>
    </row>
    <row r="232" spans="1:6">
      <c r="A232" s="39">
        <v>42479</v>
      </c>
      <c r="B232">
        <v>112.4</v>
      </c>
      <c r="C232">
        <v>112.4</v>
      </c>
      <c r="D232">
        <v>112.07</v>
      </c>
      <c r="E232">
        <v>112.23</v>
      </c>
      <c r="F232">
        <v>910568</v>
      </c>
    </row>
    <row r="233" spans="1:6">
      <c r="A233" s="39">
        <v>42480</v>
      </c>
      <c r="B233">
        <v>112.21</v>
      </c>
      <c r="C233">
        <v>112.35</v>
      </c>
      <c r="D233">
        <v>112.1</v>
      </c>
      <c r="E233">
        <v>112.11</v>
      </c>
      <c r="F233">
        <v>325982</v>
      </c>
    </row>
    <row r="234" spans="1:6">
      <c r="A234" s="39">
        <v>42481</v>
      </c>
      <c r="B234">
        <v>112.18</v>
      </c>
      <c r="C234">
        <v>112.24</v>
      </c>
      <c r="D234">
        <v>112.05</v>
      </c>
      <c r="E234">
        <v>112.14</v>
      </c>
      <c r="F234">
        <v>378399</v>
      </c>
    </row>
    <row r="235" spans="1:6">
      <c r="A235" s="39">
        <v>42482</v>
      </c>
      <c r="B235">
        <v>112.11</v>
      </c>
      <c r="C235">
        <v>112.12</v>
      </c>
      <c r="D235">
        <v>112</v>
      </c>
      <c r="E235">
        <v>112.05</v>
      </c>
      <c r="F235">
        <v>427746</v>
      </c>
    </row>
    <row r="236" spans="1:6">
      <c r="A236" s="39">
        <v>42485</v>
      </c>
      <c r="B236">
        <v>112.04</v>
      </c>
      <c r="C236">
        <v>112.08</v>
      </c>
      <c r="D236">
        <v>112</v>
      </c>
      <c r="E236">
        <v>112.01</v>
      </c>
      <c r="F236">
        <v>286028</v>
      </c>
    </row>
    <row r="237" spans="1:6">
      <c r="A237" s="39">
        <v>42486</v>
      </c>
      <c r="B237">
        <v>112</v>
      </c>
      <c r="C237">
        <v>112.08</v>
      </c>
      <c r="D237">
        <v>111.94</v>
      </c>
      <c r="E237">
        <v>112</v>
      </c>
      <c r="F237">
        <v>237292</v>
      </c>
    </row>
    <row r="238" spans="1:6">
      <c r="A238" s="39">
        <v>42487</v>
      </c>
      <c r="B238">
        <v>112.07</v>
      </c>
      <c r="C238">
        <v>112.1</v>
      </c>
      <c r="D238">
        <v>111.98</v>
      </c>
      <c r="E238">
        <v>112.04</v>
      </c>
      <c r="F238">
        <v>217540</v>
      </c>
    </row>
    <row r="239" spans="1:6">
      <c r="A239" s="39">
        <v>42488</v>
      </c>
      <c r="B239">
        <v>112.16</v>
      </c>
      <c r="C239">
        <v>112.2</v>
      </c>
      <c r="D239">
        <v>112.06</v>
      </c>
      <c r="E239">
        <v>112.17</v>
      </c>
      <c r="F239">
        <v>535722</v>
      </c>
    </row>
    <row r="240" spans="1:6">
      <c r="A240" s="39">
        <v>42489</v>
      </c>
      <c r="B240">
        <v>112.17</v>
      </c>
      <c r="C240">
        <v>112.28</v>
      </c>
      <c r="D240">
        <v>112.06</v>
      </c>
      <c r="E240">
        <v>112.21</v>
      </c>
      <c r="F240">
        <v>319256</v>
      </c>
    </row>
    <row r="241" spans="1:6">
      <c r="A241" s="39">
        <v>42492</v>
      </c>
      <c r="B241">
        <v>112.08</v>
      </c>
      <c r="C241">
        <v>112.08</v>
      </c>
      <c r="D241">
        <v>111.94</v>
      </c>
      <c r="E241">
        <v>111.97</v>
      </c>
      <c r="F241">
        <v>429526</v>
      </c>
    </row>
    <row r="242" spans="1:6">
      <c r="A242" s="39">
        <v>42493</v>
      </c>
      <c r="B242">
        <v>112.13</v>
      </c>
      <c r="C242">
        <v>112.32</v>
      </c>
      <c r="D242">
        <v>112.13</v>
      </c>
      <c r="E242">
        <v>112.29</v>
      </c>
      <c r="F242">
        <v>459086</v>
      </c>
    </row>
    <row r="243" spans="1:6">
      <c r="A243" s="39">
        <v>42494</v>
      </c>
      <c r="B243">
        <v>112.34</v>
      </c>
      <c r="C243">
        <v>112.41</v>
      </c>
      <c r="D243">
        <v>112.18</v>
      </c>
      <c r="E243">
        <v>112.31</v>
      </c>
      <c r="F243">
        <v>309968</v>
      </c>
    </row>
    <row r="244" spans="1:6">
      <c r="A244" s="39">
        <v>42495</v>
      </c>
      <c r="B244">
        <v>112.35</v>
      </c>
      <c r="C244">
        <v>112.4</v>
      </c>
      <c r="D244">
        <v>112.27</v>
      </c>
      <c r="E244">
        <v>112.38</v>
      </c>
      <c r="F244">
        <v>430492</v>
      </c>
    </row>
    <row r="245" spans="1:6">
      <c r="A245" s="39">
        <v>42496</v>
      </c>
      <c r="B245">
        <v>112.4</v>
      </c>
      <c r="C245">
        <v>112.41</v>
      </c>
      <c r="D245">
        <v>112.28</v>
      </c>
      <c r="E245">
        <v>112.35</v>
      </c>
      <c r="F245">
        <v>691120</v>
      </c>
    </row>
    <row r="246" spans="1:6">
      <c r="A246" s="39">
        <v>42499</v>
      </c>
      <c r="B246">
        <v>112.46</v>
      </c>
      <c r="C246">
        <v>112.46</v>
      </c>
      <c r="D246">
        <v>112.36</v>
      </c>
      <c r="E246">
        <v>112.46</v>
      </c>
      <c r="F246">
        <v>325107</v>
      </c>
    </row>
    <row r="247" spans="1:6">
      <c r="A247" s="39">
        <v>42500</v>
      </c>
      <c r="B247">
        <v>112.45</v>
      </c>
      <c r="C247">
        <v>112.49</v>
      </c>
      <c r="D247">
        <v>112.38</v>
      </c>
      <c r="E247">
        <v>112.48</v>
      </c>
      <c r="F247">
        <v>464389</v>
      </c>
    </row>
    <row r="248" spans="1:6">
      <c r="A248" s="39">
        <v>42501</v>
      </c>
      <c r="B248">
        <v>112.52</v>
      </c>
      <c r="C248">
        <v>112.69</v>
      </c>
      <c r="D248">
        <v>112.51</v>
      </c>
      <c r="E248">
        <v>112.57</v>
      </c>
      <c r="F248">
        <v>546063</v>
      </c>
    </row>
    <row r="249" spans="1:6">
      <c r="A249" s="39">
        <v>42502</v>
      </c>
      <c r="B249">
        <v>112.63</v>
      </c>
      <c r="C249">
        <v>112.68</v>
      </c>
      <c r="D249">
        <v>112.58</v>
      </c>
      <c r="E249">
        <v>112.67</v>
      </c>
      <c r="F249">
        <v>367905</v>
      </c>
    </row>
    <row r="250" spans="1:6">
      <c r="A250" s="39">
        <v>42503</v>
      </c>
      <c r="B250">
        <v>112.71</v>
      </c>
      <c r="C250">
        <v>112.81</v>
      </c>
      <c r="D250">
        <v>112.7</v>
      </c>
      <c r="E250">
        <v>112.78</v>
      </c>
      <c r="F250">
        <v>364904</v>
      </c>
    </row>
    <row r="251" spans="1:6">
      <c r="A251" s="39">
        <v>42506</v>
      </c>
      <c r="B251">
        <v>112.7</v>
      </c>
      <c r="C251">
        <v>112.7</v>
      </c>
      <c r="D251">
        <v>112.61</v>
      </c>
      <c r="E251">
        <v>112.61</v>
      </c>
      <c r="F251">
        <v>280705</v>
      </c>
    </row>
    <row r="252" spans="1:6">
      <c r="A252" s="39">
        <v>42507</v>
      </c>
      <c r="B252">
        <v>112.74</v>
      </c>
      <c r="C252">
        <v>112.84</v>
      </c>
      <c r="D252">
        <v>112.73</v>
      </c>
      <c r="E252">
        <v>112.83</v>
      </c>
      <c r="F252">
        <v>280469</v>
      </c>
    </row>
    <row r="253" spans="1:6">
      <c r="A253" s="39">
        <v>42508</v>
      </c>
      <c r="B253">
        <v>112.89</v>
      </c>
      <c r="C253">
        <v>112.89</v>
      </c>
      <c r="D253">
        <v>112.48</v>
      </c>
      <c r="E253">
        <v>112.53</v>
      </c>
      <c r="F253">
        <v>581566</v>
      </c>
    </row>
    <row r="254" spans="1:6">
      <c r="A254" s="39">
        <v>42509</v>
      </c>
      <c r="B254">
        <v>112.59</v>
      </c>
      <c r="C254">
        <v>112.64</v>
      </c>
      <c r="D254">
        <v>112.48</v>
      </c>
      <c r="E254">
        <v>112.51</v>
      </c>
      <c r="F254">
        <v>354377</v>
      </c>
    </row>
    <row r="255" spans="1:6">
      <c r="A255" s="39">
        <v>42510</v>
      </c>
      <c r="B255">
        <v>112.6</v>
      </c>
      <c r="C255">
        <v>112.6</v>
      </c>
      <c r="D255">
        <v>112.4</v>
      </c>
      <c r="E255">
        <v>112.42</v>
      </c>
      <c r="F255">
        <v>292363</v>
      </c>
    </row>
    <row r="256" spans="1:6">
      <c r="A256" s="39">
        <v>42513</v>
      </c>
      <c r="B256">
        <v>112.52</v>
      </c>
      <c r="C256">
        <v>112.54</v>
      </c>
      <c r="D256">
        <v>112.36</v>
      </c>
      <c r="E256">
        <v>112.47</v>
      </c>
      <c r="F256">
        <v>278257</v>
      </c>
    </row>
    <row r="257" spans="1:6">
      <c r="A257" s="39">
        <v>42514</v>
      </c>
      <c r="B257">
        <v>112.41</v>
      </c>
      <c r="C257">
        <v>112.47</v>
      </c>
      <c r="D257">
        <v>112.3</v>
      </c>
      <c r="E257">
        <v>112.34</v>
      </c>
      <c r="F257">
        <v>333118</v>
      </c>
    </row>
    <row r="258" spans="1:6">
      <c r="A258" s="39">
        <v>42515</v>
      </c>
      <c r="B258">
        <v>112.44</v>
      </c>
      <c r="C258">
        <v>112.45</v>
      </c>
      <c r="D258">
        <v>112.3</v>
      </c>
      <c r="E258">
        <v>112.32</v>
      </c>
      <c r="F258">
        <v>283530</v>
      </c>
    </row>
    <row r="259" spans="1:6">
      <c r="A259" s="39">
        <v>42516</v>
      </c>
      <c r="B259">
        <v>112.43</v>
      </c>
      <c r="C259">
        <v>112.43</v>
      </c>
      <c r="D259">
        <v>112.34</v>
      </c>
      <c r="E259">
        <v>112.37</v>
      </c>
      <c r="F259">
        <v>304550</v>
      </c>
    </row>
    <row r="260" spans="1:6">
      <c r="A260" s="39">
        <v>42517</v>
      </c>
      <c r="B260">
        <v>112.37</v>
      </c>
      <c r="C260">
        <v>112.39</v>
      </c>
      <c r="D260">
        <v>112.23</v>
      </c>
      <c r="E260">
        <v>112.23</v>
      </c>
      <c r="F260">
        <v>244388</v>
      </c>
    </row>
    <row r="261" spans="1:6">
      <c r="A261" s="39">
        <v>42521</v>
      </c>
      <c r="B261">
        <v>112.21</v>
      </c>
      <c r="C261">
        <v>112.34</v>
      </c>
      <c r="D261">
        <v>112.17</v>
      </c>
      <c r="E261">
        <v>112.32</v>
      </c>
      <c r="F261">
        <v>337284</v>
      </c>
    </row>
    <row r="262" spans="1:6">
      <c r="A262" s="39">
        <v>42522</v>
      </c>
      <c r="B262">
        <v>112.24</v>
      </c>
      <c r="C262">
        <v>112.27</v>
      </c>
      <c r="D262">
        <v>112.12</v>
      </c>
      <c r="E262">
        <v>112.12</v>
      </c>
      <c r="F262">
        <v>307630</v>
      </c>
    </row>
    <row r="263" spans="1:6">
      <c r="A263" s="39">
        <v>42523</v>
      </c>
      <c r="B263">
        <v>112.19</v>
      </c>
      <c r="C263">
        <v>112.27</v>
      </c>
      <c r="D263">
        <v>112.17</v>
      </c>
      <c r="E263">
        <v>112.26</v>
      </c>
      <c r="F263">
        <v>329988</v>
      </c>
    </row>
    <row r="264" spans="1:6">
      <c r="A264" s="39">
        <v>42524</v>
      </c>
      <c r="B264">
        <v>112.4</v>
      </c>
      <c r="C264">
        <v>112.51</v>
      </c>
      <c r="D264">
        <v>112.35</v>
      </c>
      <c r="E264">
        <v>112.4</v>
      </c>
      <c r="F264">
        <v>309008</v>
      </c>
    </row>
    <row r="265" spans="1:6">
      <c r="A265" s="39">
        <v>42527</v>
      </c>
      <c r="B265">
        <v>112.43</v>
      </c>
      <c r="C265">
        <v>112.44</v>
      </c>
      <c r="D265">
        <v>112.36</v>
      </c>
      <c r="E265">
        <v>112.4</v>
      </c>
      <c r="F265">
        <v>330671</v>
      </c>
    </row>
    <row r="266" spans="1:6">
      <c r="A266" s="39">
        <v>42528</v>
      </c>
      <c r="B266">
        <v>112.49</v>
      </c>
      <c r="C266">
        <v>112.49</v>
      </c>
      <c r="D266">
        <v>112.45</v>
      </c>
      <c r="E266">
        <v>112.47</v>
      </c>
      <c r="F266">
        <v>287608</v>
      </c>
    </row>
    <row r="267" spans="1:6">
      <c r="A267" s="39">
        <v>42529</v>
      </c>
      <c r="B267">
        <v>112.56</v>
      </c>
      <c r="C267">
        <v>112.61</v>
      </c>
      <c r="D267">
        <v>112.54</v>
      </c>
      <c r="E267">
        <v>112.59</v>
      </c>
      <c r="F267">
        <v>270968</v>
      </c>
    </row>
    <row r="268" spans="1:6">
      <c r="A268" s="39">
        <v>42530</v>
      </c>
      <c r="B268">
        <v>112.68</v>
      </c>
      <c r="C268">
        <v>112.79</v>
      </c>
      <c r="D268">
        <v>112.64</v>
      </c>
      <c r="E268">
        <v>112.78</v>
      </c>
      <c r="F268">
        <v>525906</v>
      </c>
    </row>
    <row r="269" spans="1:6">
      <c r="A269" s="39">
        <v>42531</v>
      </c>
      <c r="B269">
        <v>112.92</v>
      </c>
      <c r="C269">
        <v>113.02</v>
      </c>
      <c r="D269">
        <v>112.82</v>
      </c>
      <c r="E269">
        <v>112.97</v>
      </c>
      <c r="F269">
        <v>263596</v>
      </c>
    </row>
    <row r="270" spans="1:6">
      <c r="A270" s="39">
        <v>42534</v>
      </c>
      <c r="B270">
        <v>113.1</v>
      </c>
      <c r="C270">
        <v>113.14</v>
      </c>
      <c r="D270">
        <v>112.98</v>
      </c>
      <c r="E270">
        <v>113.04</v>
      </c>
      <c r="F270">
        <v>281861</v>
      </c>
    </row>
    <row r="271" spans="1:6">
      <c r="A271" s="39">
        <v>42535</v>
      </c>
      <c r="B271">
        <v>113.19</v>
      </c>
      <c r="C271">
        <v>113.23</v>
      </c>
      <c r="D271">
        <v>113.12</v>
      </c>
      <c r="E271">
        <v>113.23</v>
      </c>
      <c r="F271">
        <v>393134</v>
      </c>
    </row>
    <row r="272" spans="1:6">
      <c r="A272" s="39">
        <v>42536</v>
      </c>
      <c r="B272">
        <v>113.23</v>
      </c>
      <c r="C272">
        <v>113.34</v>
      </c>
      <c r="D272">
        <v>113.17</v>
      </c>
      <c r="E272">
        <v>113.29</v>
      </c>
      <c r="F272">
        <v>313588</v>
      </c>
    </row>
    <row r="273" spans="1:6">
      <c r="A273" s="39">
        <v>42537</v>
      </c>
      <c r="B273">
        <v>113.39</v>
      </c>
      <c r="C273">
        <v>113.54</v>
      </c>
      <c r="D273">
        <v>113.32</v>
      </c>
      <c r="E273">
        <v>113.46</v>
      </c>
      <c r="F273">
        <v>290718</v>
      </c>
    </row>
    <row r="274" spans="1:6">
      <c r="A274" s="39">
        <v>42538</v>
      </c>
      <c r="B274">
        <v>113.5</v>
      </c>
      <c r="C274">
        <v>113.51</v>
      </c>
      <c r="D274">
        <v>113.44</v>
      </c>
      <c r="E274">
        <v>113.48</v>
      </c>
      <c r="F274">
        <v>256363</v>
      </c>
    </row>
    <row r="275" spans="1:6">
      <c r="A275" s="39">
        <v>42541</v>
      </c>
      <c r="B275">
        <v>113.3</v>
      </c>
      <c r="C275">
        <v>113.38</v>
      </c>
      <c r="D275">
        <v>113.25</v>
      </c>
      <c r="E275">
        <v>113.25</v>
      </c>
      <c r="F275">
        <v>372252</v>
      </c>
    </row>
    <row r="276" spans="1:6">
      <c r="A276" s="39">
        <v>42542</v>
      </c>
      <c r="B276">
        <v>113.3</v>
      </c>
      <c r="C276">
        <v>113.31</v>
      </c>
      <c r="D276">
        <v>113.18</v>
      </c>
      <c r="E276">
        <v>113.21</v>
      </c>
      <c r="F276">
        <v>238773</v>
      </c>
    </row>
    <row r="277" spans="1:6">
      <c r="A277" s="39">
        <v>42543</v>
      </c>
      <c r="B277">
        <v>113.25</v>
      </c>
      <c r="C277">
        <v>113.26</v>
      </c>
      <c r="D277">
        <v>113.14</v>
      </c>
      <c r="E277">
        <v>113.17</v>
      </c>
      <c r="F277">
        <v>430087</v>
      </c>
    </row>
    <row r="278" spans="1:6">
      <c r="A278" s="39">
        <v>42544</v>
      </c>
      <c r="B278">
        <v>113.08</v>
      </c>
      <c r="C278">
        <v>113.09</v>
      </c>
      <c r="D278">
        <v>112.9</v>
      </c>
      <c r="E278">
        <v>112.9</v>
      </c>
      <c r="F278">
        <v>729537</v>
      </c>
    </row>
    <row r="279" spans="1:6">
      <c r="A279" s="39">
        <v>42545</v>
      </c>
      <c r="B279">
        <v>113.99</v>
      </c>
      <c r="C279">
        <v>113.99</v>
      </c>
      <c r="D279">
        <v>113.66</v>
      </c>
      <c r="E279">
        <v>113.74</v>
      </c>
      <c r="F279">
        <v>518968</v>
      </c>
    </row>
    <row r="280" spans="1:6">
      <c r="A280" s="39">
        <v>42548</v>
      </c>
      <c r="B280">
        <v>114.07</v>
      </c>
      <c r="C280">
        <v>114.18</v>
      </c>
      <c r="D280">
        <v>114</v>
      </c>
      <c r="E280">
        <v>114.1</v>
      </c>
      <c r="F280">
        <v>517241</v>
      </c>
    </row>
    <row r="281" spans="1:6">
      <c r="A281" s="39">
        <v>42549</v>
      </c>
      <c r="B281">
        <v>114.06</v>
      </c>
      <c r="C281">
        <v>114.1</v>
      </c>
      <c r="D281">
        <v>114.02</v>
      </c>
      <c r="E281">
        <v>114.1</v>
      </c>
      <c r="F281">
        <v>279369</v>
      </c>
    </row>
    <row r="282" spans="1:6">
      <c r="A282" s="39">
        <v>42550</v>
      </c>
      <c r="B282">
        <v>113.88</v>
      </c>
      <c r="C282">
        <v>114</v>
      </c>
      <c r="D282">
        <v>113.81</v>
      </c>
      <c r="E282">
        <v>113.81</v>
      </c>
      <c r="F282">
        <v>351634</v>
      </c>
    </row>
    <row r="283" spans="1:6">
      <c r="A283" s="39">
        <v>42551</v>
      </c>
      <c r="B283">
        <v>113.92</v>
      </c>
      <c r="C283">
        <v>113.98</v>
      </c>
      <c r="D283">
        <v>113.85</v>
      </c>
      <c r="E283">
        <v>113.92</v>
      </c>
      <c r="F283">
        <v>728896</v>
      </c>
    </row>
    <row r="284" spans="1:6">
      <c r="A284" s="39">
        <v>42552</v>
      </c>
      <c r="B284">
        <v>113.79</v>
      </c>
      <c r="C284">
        <v>113.98</v>
      </c>
      <c r="D284">
        <v>113.71</v>
      </c>
      <c r="E284">
        <v>113.83</v>
      </c>
      <c r="F284">
        <v>456813</v>
      </c>
    </row>
    <row r="285" spans="1:6">
      <c r="A285" s="39">
        <v>42556</v>
      </c>
      <c r="B285">
        <v>114.03</v>
      </c>
      <c r="C285">
        <v>114.1</v>
      </c>
      <c r="D285">
        <v>113.96</v>
      </c>
      <c r="E285">
        <v>114.02</v>
      </c>
      <c r="F285">
        <v>321820</v>
      </c>
    </row>
    <row r="286" spans="1:6">
      <c r="A286" s="39">
        <v>42557</v>
      </c>
      <c r="B286">
        <v>114.1</v>
      </c>
      <c r="C286">
        <v>114.15</v>
      </c>
      <c r="D286">
        <v>114.02</v>
      </c>
      <c r="E286">
        <v>114.08</v>
      </c>
      <c r="F286">
        <v>423770</v>
      </c>
    </row>
    <row r="287" spans="1:6">
      <c r="A287" s="39">
        <v>42558</v>
      </c>
      <c r="B287">
        <v>114.02</v>
      </c>
      <c r="C287">
        <v>115.19</v>
      </c>
      <c r="D287">
        <v>113.97</v>
      </c>
      <c r="E287">
        <v>115.19</v>
      </c>
      <c r="F287">
        <v>272535</v>
      </c>
    </row>
    <row r="288" spans="1:6">
      <c r="A288" s="39">
        <v>42559</v>
      </c>
      <c r="B288">
        <v>113.94</v>
      </c>
      <c r="C288">
        <v>114.06</v>
      </c>
      <c r="D288">
        <v>113.9</v>
      </c>
      <c r="E288">
        <v>113.98</v>
      </c>
      <c r="F288">
        <v>373678</v>
      </c>
    </row>
    <row r="289" spans="1:6">
      <c r="A289" s="39">
        <v>42562</v>
      </c>
      <c r="B289">
        <v>113.97</v>
      </c>
      <c r="C289">
        <v>113.99</v>
      </c>
      <c r="D289">
        <v>113.8</v>
      </c>
      <c r="E289">
        <v>113.81</v>
      </c>
      <c r="F289">
        <v>371421</v>
      </c>
    </row>
    <row r="290" spans="1:6">
      <c r="A290" s="39">
        <v>42563</v>
      </c>
      <c r="B290">
        <v>113.86</v>
      </c>
      <c r="C290">
        <v>113.87</v>
      </c>
      <c r="D290">
        <v>113.63</v>
      </c>
      <c r="E290">
        <v>113.68</v>
      </c>
      <c r="F290">
        <v>427291</v>
      </c>
    </row>
    <row r="291" spans="1:6">
      <c r="A291" s="39">
        <v>42564</v>
      </c>
      <c r="B291">
        <v>113.75</v>
      </c>
      <c r="C291">
        <v>113.76</v>
      </c>
      <c r="D291">
        <v>113.61</v>
      </c>
      <c r="E291">
        <v>113.66</v>
      </c>
      <c r="F291">
        <v>338555</v>
      </c>
    </row>
    <row r="292" spans="1:6">
      <c r="A292" s="39">
        <v>42565</v>
      </c>
      <c r="B292">
        <v>113.61</v>
      </c>
      <c r="C292">
        <v>113.62</v>
      </c>
      <c r="D292">
        <v>113.5</v>
      </c>
      <c r="E292">
        <v>113.53</v>
      </c>
      <c r="F292">
        <v>365946</v>
      </c>
    </row>
    <row r="293" spans="1:6">
      <c r="A293" s="39">
        <v>42566</v>
      </c>
      <c r="B293">
        <v>113.51</v>
      </c>
      <c r="C293">
        <v>113.51</v>
      </c>
      <c r="D293">
        <v>113.34</v>
      </c>
      <c r="E293">
        <v>113.41</v>
      </c>
      <c r="F293">
        <v>414584</v>
      </c>
    </row>
    <row r="294" spans="1:6">
      <c r="A294" s="39">
        <v>42569</v>
      </c>
      <c r="B294">
        <v>113.42</v>
      </c>
      <c r="C294">
        <v>113.44</v>
      </c>
      <c r="D294">
        <v>113.32</v>
      </c>
      <c r="E294">
        <v>113.38</v>
      </c>
      <c r="F294">
        <v>366421</v>
      </c>
    </row>
    <row r="295" spans="1:6">
      <c r="A295" s="39">
        <v>42570</v>
      </c>
      <c r="B295">
        <v>113.33</v>
      </c>
      <c r="C295">
        <v>113.42</v>
      </c>
      <c r="D295">
        <v>113.31</v>
      </c>
      <c r="E295">
        <v>113.4</v>
      </c>
      <c r="F295">
        <v>278413</v>
      </c>
    </row>
    <row r="296" spans="1:6">
      <c r="A296" s="39">
        <v>42571</v>
      </c>
      <c r="B296">
        <v>113.4</v>
      </c>
      <c r="C296">
        <v>113.4</v>
      </c>
      <c r="D296">
        <v>113.26</v>
      </c>
      <c r="E296">
        <v>113.32</v>
      </c>
      <c r="F296">
        <v>367229</v>
      </c>
    </row>
    <row r="297" spans="1:6">
      <c r="A297" s="39">
        <v>42572</v>
      </c>
      <c r="B297">
        <v>113.24</v>
      </c>
      <c r="C297">
        <v>113.35</v>
      </c>
      <c r="D297">
        <v>113.16</v>
      </c>
      <c r="E297">
        <v>113.34</v>
      </c>
      <c r="F297">
        <v>537450</v>
      </c>
    </row>
    <row r="298" spans="1:6">
      <c r="A298" s="39">
        <v>42573</v>
      </c>
      <c r="B298">
        <v>113.2</v>
      </c>
      <c r="C298">
        <v>113.3</v>
      </c>
      <c r="D298">
        <v>113.2</v>
      </c>
      <c r="E298">
        <v>113.3</v>
      </c>
      <c r="F298">
        <v>259156</v>
      </c>
    </row>
    <row r="299" spans="1:6">
      <c r="A299" s="39">
        <v>42576</v>
      </c>
      <c r="B299">
        <v>113.32</v>
      </c>
      <c r="C299">
        <v>113.34</v>
      </c>
      <c r="D299">
        <v>113.24</v>
      </c>
      <c r="E299">
        <v>113.24</v>
      </c>
      <c r="F299">
        <v>485975</v>
      </c>
    </row>
    <row r="300" spans="1:6">
      <c r="A300" s="39">
        <v>42577</v>
      </c>
      <c r="B300">
        <v>113.34</v>
      </c>
      <c r="C300">
        <v>113.34</v>
      </c>
      <c r="D300">
        <v>113.22</v>
      </c>
      <c r="E300">
        <v>113.31</v>
      </c>
      <c r="F300">
        <v>412420</v>
      </c>
    </row>
    <row r="301" spans="1:6">
      <c r="A301" s="39">
        <v>42578</v>
      </c>
      <c r="B301">
        <v>113.34</v>
      </c>
      <c r="C301">
        <v>113.53</v>
      </c>
      <c r="D301">
        <v>113.34</v>
      </c>
      <c r="E301">
        <v>113.45</v>
      </c>
      <c r="F301">
        <v>542022</v>
      </c>
    </row>
    <row r="302" spans="1:6">
      <c r="A302" s="39">
        <v>42579</v>
      </c>
      <c r="B302">
        <v>113.45</v>
      </c>
      <c r="C302">
        <v>113.51</v>
      </c>
      <c r="D302">
        <v>113.43</v>
      </c>
      <c r="E302">
        <v>113.5</v>
      </c>
      <c r="F302">
        <v>328679</v>
      </c>
    </row>
    <row r="303" spans="1:6">
      <c r="A303" s="39">
        <v>42580</v>
      </c>
      <c r="B303">
        <v>113.58</v>
      </c>
      <c r="C303">
        <v>113.66</v>
      </c>
      <c r="D303">
        <v>113.53</v>
      </c>
      <c r="E303">
        <v>113.66</v>
      </c>
      <c r="F303">
        <v>305969</v>
      </c>
    </row>
    <row r="304" spans="1:6">
      <c r="A304" s="39">
        <v>42583</v>
      </c>
      <c r="B304">
        <v>113.29</v>
      </c>
      <c r="C304">
        <v>113.29</v>
      </c>
      <c r="D304">
        <v>113.19</v>
      </c>
      <c r="E304">
        <v>113.23</v>
      </c>
      <c r="F304">
        <v>396625</v>
      </c>
    </row>
    <row r="305" spans="1:6">
      <c r="A305" s="39">
        <v>42584</v>
      </c>
      <c r="B305">
        <v>113.16</v>
      </c>
      <c r="C305">
        <v>113.2</v>
      </c>
      <c r="D305">
        <v>113.12</v>
      </c>
      <c r="E305">
        <v>113.16</v>
      </c>
      <c r="F305">
        <v>350732</v>
      </c>
    </row>
    <row r="306" spans="1:6">
      <c r="A306" s="39">
        <v>42585</v>
      </c>
      <c r="B306">
        <v>113.08</v>
      </c>
      <c r="C306">
        <v>113.22</v>
      </c>
      <c r="D306">
        <v>113.07</v>
      </c>
      <c r="E306">
        <v>113.19</v>
      </c>
      <c r="F306">
        <v>383080</v>
      </c>
    </row>
    <row r="307" spans="1:6">
      <c r="A307" s="39">
        <v>42586</v>
      </c>
      <c r="B307">
        <v>113.32</v>
      </c>
      <c r="C307">
        <v>113.37</v>
      </c>
      <c r="D307">
        <v>113.26</v>
      </c>
      <c r="E307">
        <v>113.34</v>
      </c>
      <c r="F307">
        <v>394657</v>
      </c>
    </row>
    <row r="308" spans="1:6">
      <c r="A308" s="39">
        <v>42587</v>
      </c>
      <c r="B308">
        <v>113.23</v>
      </c>
      <c r="C308">
        <v>113.23</v>
      </c>
      <c r="D308">
        <v>113.09</v>
      </c>
      <c r="E308">
        <v>113.12</v>
      </c>
      <c r="F308">
        <v>270846</v>
      </c>
    </row>
    <row r="309" spans="1:6">
      <c r="A309" s="39">
        <v>42590</v>
      </c>
      <c r="B309">
        <v>113.18</v>
      </c>
      <c r="C309">
        <v>113.24</v>
      </c>
      <c r="D309">
        <v>113.13</v>
      </c>
      <c r="E309">
        <v>113.16</v>
      </c>
      <c r="F309">
        <v>389707</v>
      </c>
    </row>
    <row r="310" spans="1:6">
      <c r="A310" s="39">
        <v>42591</v>
      </c>
      <c r="B310">
        <v>113.22</v>
      </c>
      <c r="C310">
        <v>113.29</v>
      </c>
      <c r="D310">
        <v>113.22</v>
      </c>
      <c r="E310">
        <v>113.25</v>
      </c>
      <c r="F310">
        <v>548996</v>
      </c>
    </row>
    <row r="311" spans="1:6">
      <c r="A311" s="39">
        <v>42592</v>
      </c>
      <c r="B311">
        <v>113.32</v>
      </c>
      <c r="C311">
        <v>113.33</v>
      </c>
      <c r="D311">
        <v>113.28</v>
      </c>
      <c r="E311">
        <v>113.31</v>
      </c>
      <c r="F311">
        <v>415916</v>
      </c>
    </row>
    <row r="312" spans="1:6">
      <c r="A312" s="39">
        <v>42593</v>
      </c>
      <c r="B312">
        <v>113.37</v>
      </c>
      <c r="C312">
        <v>113.37</v>
      </c>
      <c r="D312">
        <v>113.17</v>
      </c>
      <c r="E312">
        <v>113.23</v>
      </c>
      <c r="F312">
        <v>726051</v>
      </c>
    </row>
    <row r="313" spans="1:6">
      <c r="A313" s="39">
        <v>42594</v>
      </c>
      <c r="B313">
        <v>113.41</v>
      </c>
      <c r="C313">
        <v>113.51</v>
      </c>
      <c r="D313">
        <v>113.39</v>
      </c>
      <c r="E313">
        <v>113.46</v>
      </c>
      <c r="F313">
        <v>335085</v>
      </c>
    </row>
    <row r="314" spans="1:6">
      <c r="A314" s="39">
        <v>42597</v>
      </c>
      <c r="B314">
        <v>113.43</v>
      </c>
      <c r="C314">
        <v>113.44</v>
      </c>
      <c r="D314">
        <v>113.33</v>
      </c>
      <c r="E314">
        <v>113.33</v>
      </c>
      <c r="F314">
        <v>343253</v>
      </c>
    </row>
    <row r="315" spans="1:6">
      <c r="A315" s="39">
        <v>42598</v>
      </c>
      <c r="B315">
        <v>113.49</v>
      </c>
      <c r="C315">
        <v>113.54</v>
      </c>
      <c r="D315">
        <v>113.34</v>
      </c>
      <c r="E315">
        <v>113.41</v>
      </c>
      <c r="F315">
        <v>457897</v>
      </c>
    </row>
    <row r="316" spans="1:6">
      <c r="A316" s="39">
        <v>42599</v>
      </c>
      <c r="B316">
        <v>113.49</v>
      </c>
      <c r="C316">
        <v>113.52</v>
      </c>
      <c r="D316">
        <v>113.41</v>
      </c>
      <c r="E316">
        <v>113.45</v>
      </c>
      <c r="F316">
        <v>300446</v>
      </c>
    </row>
    <row r="317" spans="1:6">
      <c r="A317" s="39">
        <v>42600</v>
      </c>
      <c r="B317">
        <v>113.55</v>
      </c>
      <c r="C317">
        <v>113.62</v>
      </c>
      <c r="D317">
        <v>113.49</v>
      </c>
      <c r="E317">
        <v>113.62</v>
      </c>
      <c r="F317">
        <v>372563</v>
      </c>
    </row>
    <row r="318" spans="1:6">
      <c r="A318" s="39">
        <v>42601</v>
      </c>
      <c r="B318">
        <v>113.55</v>
      </c>
      <c r="C318">
        <v>113.55</v>
      </c>
      <c r="D318">
        <v>113.47</v>
      </c>
      <c r="E318">
        <v>113.52</v>
      </c>
      <c r="F318">
        <v>458208</v>
      </c>
    </row>
    <row r="319" spans="1:6">
      <c r="A319" s="39">
        <v>42604</v>
      </c>
      <c r="B319">
        <v>113.66</v>
      </c>
      <c r="C319">
        <v>113.72</v>
      </c>
      <c r="D319">
        <v>113.61</v>
      </c>
      <c r="E319">
        <v>113.69</v>
      </c>
      <c r="F319">
        <v>243111</v>
      </c>
    </row>
    <row r="320" spans="1:6">
      <c r="A320" s="39">
        <v>42605</v>
      </c>
      <c r="B320">
        <v>113.68</v>
      </c>
      <c r="C320">
        <v>113.7</v>
      </c>
      <c r="D320">
        <v>113.6</v>
      </c>
      <c r="E320">
        <v>113.65</v>
      </c>
      <c r="F320">
        <v>294458</v>
      </c>
    </row>
    <row r="321" spans="1:6">
      <c r="A321" s="39">
        <v>42606</v>
      </c>
      <c r="B321">
        <v>113.69</v>
      </c>
      <c r="C321">
        <v>113.69</v>
      </c>
      <c r="D321">
        <v>113.6</v>
      </c>
      <c r="E321">
        <v>113.62</v>
      </c>
      <c r="F321">
        <v>233507</v>
      </c>
    </row>
    <row r="322" spans="1:6">
      <c r="A322" s="39">
        <v>42607</v>
      </c>
      <c r="B322">
        <v>113.64</v>
      </c>
      <c r="C322">
        <v>113.65</v>
      </c>
      <c r="D322">
        <v>113.59</v>
      </c>
      <c r="E322">
        <v>113.62</v>
      </c>
      <c r="F322">
        <v>230114</v>
      </c>
    </row>
    <row r="323" spans="1:6">
      <c r="A323" s="39">
        <v>42608</v>
      </c>
      <c r="B323">
        <v>113.67</v>
      </c>
      <c r="C323">
        <v>113.71</v>
      </c>
      <c r="D323">
        <v>113.48</v>
      </c>
      <c r="E323">
        <v>113.53</v>
      </c>
      <c r="F323">
        <v>411672</v>
      </c>
    </row>
    <row r="324" spans="1:6">
      <c r="A324" s="39">
        <v>42611</v>
      </c>
      <c r="B324">
        <v>113.66</v>
      </c>
      <c r="C324">
        <v>113.74</v>
      </c>
      <c r="D324">
        <v>113.58</v>
      </c>
      <c r="E324">
        <v>113.68</v>
      </c>
      <c r="F324">
        <v>275572</v>
      </c>
    </row>
    <row r="325" spans="1:6">
      <c r="A325" s="39">
        <v>42612</v>
      </c>
      <c r="B325">
        <v>113.69</v>
      </c>
      <c r="C325">
        <v>113.69</v>
      </c>
      <c r="D325">
        <v>113.55</v>
      </c>
      <c r="E325">
        <v>113.63</v>
      </c>
      <c r="F325">
        <v>337338</v>
      </c>
    </row>
    <row r="326" spans="1:6">
      <c r="A326" s="39">
        <v>42613</v>
      </c>
      <c r="B326">
        <v>113.63</v>
      </c>
      <c r="C326">
        <v>113.65</v>
      </c>
      <c r="D326">
        <v>113.58</v>
      </c>
      <c r="E326">
        <v>113.6</v>
      </c>
      <c r="F326">
        <v>313466</v>
      </c>
    </row>
    <row r="327" spans="1:6">
      <c r="A327" s="39">
        <v>42614</v>
      </c>
      <c r="B327">
        <v>113.33</v>
      </c>
      <c r="C327">
        <v>113.4</v>
      </c>
      <c r="D327">
        <v>113.28</v>
      </c>
      <c r="E327">
        <v>113.34</v>
      </c>
      <c r="F327">
        <v>454816</v>
      </c>
    </row>
    <row r="328" spans="1:6">
      <c r="A328" s="39">
        <v>42615</v>
      </c>
      <c r="B328">
        <v>113.25</v>
      </c>
      <c r="C328">
        <v>113.32</v>
      </c>
      <c r="D328">
        <v>113.18</v>
      </c>
      <c r="E328">
        <v>113.2</v>
      </c>
      <c r="F328">
        <v>304428</v>
      </c>
    </row>
    <row r="329" spans="1:6">
      <c r="A329" s="39">
        <v>42619</v>
      </c>
      <c r="B329">
        <v>113.2</v>
      </c>
      <c r="C329">
        <v>113.34</v>
      </c>
      <c r="D329">
        <v>113.2</v>
      </c>
      <c r="E329">
        <v>113.3</v>
      </c>
      <c r="F329">
        <v>359666</v>
      </c>
    </row>
    <row r="330" spans="1:6">
      <c r="A330" s="39">
        <v>42620</v>
      </c>
      <c r="B330">
        <v>113.26</v>
      </c>
      <c r="C330">
        <v>113.31</v>
      </c>
      <c r="D330">
        <v>113.22</v>
      </c>
      <c r="E330">
        <v>113.3</v>
      </c>
      <c r="F330">
        <v>370493</v>
      </c>
    </row>
    <row r="331" spans="1:6">
      <c r="A331" s="39">
        <v>42621</v>
      </c>
      <c r="B331">
        <v>113.26</v>
      </c>
      <c r="C331">
        <v>113.3</v>
      </c>
      <c r="D331">
        <v>113.14</v>
      </c>
      <c r="E331">
        <v>113.15</v>
      </c>
      <c r="F331">
        <v>313628</v>
      </c>
    </row>
    <row r="332" spans="1:6">
      <c r="A332" s="39">
        <v>42622</v>
      </c>
      <c r="B332">
        <v>113.09</v>
      </c>
      <c r="C332">
        <v>113.09</v>
      </c>
      <c r="D332">
        <v>112.92</v>
      </c>
      <c r="E332">
        <v>112.95</v>
      </c>
      <c r="F332">
        <v>538485</v>
      </c>
    </row>
    <row r="333" spans="1:6">
      <c r="A333" s="39">
        <v>42625</v>
      </c>
      <c r="B333">
        <v>112.95</v>
      </c>
      <c r="C333">
        <v>112.95</v>
      </c>
      <c r="D333">
        <v>112.83</v>
      </c>
      <c r="E333">
        <v>112.86</v>
      </c>
      <c r="F333">
        <v>346162</v>
      </c>
    </row>
    <row r="334" spans="1:6">
      <c r="A334" s="39">
        <v>42626</v>
      </c>
      <c r="B334">
        <v>112.91</v>
      </c>
      <c r="C334">
        <v>112.91</v>
      </c>
      <c r="D334">
        <v>112.59</v>
      </c>
      <c r="E334">
        <v>112.63</v>
      </c>
      <c r="F334">
        <v>420286</v>
      </c>
    </row>
    <row r="335" spans="1:6">
      <c r="A335" s="39">
        <v>42627</v>
      </c>
      <c r="B335">
        <v>112.69</v>
      </c>
      <c r="C335">
        <v>112.71</v>
      </c>
      <c r="D335">
        <v>112.44</v>
      </c>
      <c r="E335">
        <v>112.58</v>
      </c>
      <c r="F335">
        <v>376363</v>
      </c>
    </row>
    <row r="336" spans="1:6">
      <c r="A336" s="39">
        <v>42628</v>
      </c>
      <c r="B336">
        <v>112.62</v>
      </c>
      <c r="C336">
        <v>112.63</v>
      </c>
      <c r="D336">
        <v>112.51</v>
      </c>
      <c r="E336">
        <v>112.58</v>
      </c>
      <c r="F336">
        <v>419090</v>
      </c>
    </row>
    <row r="337" spans="1:6">
      <c r="A337" s="39">
        <v>42629</v>
      </c>
      <c r="B337">
        <v>112.6</v>
      </c>
      <c r="C337">
        <v>112.63</v>
      </c>
      <c r="D337">
        <v>112.5</v>
      </c>
      <c r="E337">
        <v>112.61</v>
      </c>
      <c r="F337">
        <v>528175</v>
      </c>
    </row>
    <row r="338" spans="1:6">
      <c r="A338" s="39">
        <v>42632</v>
      </c>
      <c r="B338">
        <v>112.49</v>
      </c>
      <c r="C338">
        <v>112.6</v>
      </c>
      <c r="D338">
        <v>112.49</v>
      </c>
      <c r="E338">
        <v>112.5</v>
      </c>
      <c r="F338">
        <v>348230</v>
      </c>
    </row>
    <row r="339" spans="1:6">
      <c r="A339" s="39">
        <v>42633</v>
      </c>
      <c r="B339">
        <v>112.59</v>
      </c>
      <c r="C339">
        <v>112.63</v>
      </c>
      <c r="D339">
        <v>112.56</v>
      </c>
      <c r="E339">
        <v>112.59</v>
      </c>
      <c r="F339">
        <v>217909</v>
      </c>
    </row>
    <row r="340" spans="1:6">
      <c r="A340" s="39">
        <v>42634</v>
      </c>
      <c r="B340">
        <v>112.57</v>
      </c>
      <c r="C340">
        <v>112.62</v>
      </c>
      <c r="D340">
        <v>112.47</v>
      </c>
      <c r="E340">
        <v>112.56</v>
      </c>
      <c r="F340">
        <v>490935</v>
      </c>
    </row>
    <row r="341" spans="1:6">
      <c r="A341" s="39">
        <v>42635</v>
      </c>
      <c r="B341">
        <v>112.61</v>
      </c>
      <c r="C341">
        <v>112.74</v>
      </c>
      <c r="D341">
        <v>112.61</v>
      </c>
      <c r="E341">
        <v>112.71</v>
      </c>
      <c r="F341">
        <v>369958</v>
      </c>
    </row>
    <row r="342" spans="1:6">
      <c r="A342" s="39">
        <v>42636</v>
      </c>
      <c r="B342">
        <v>112.62</v>
      </c>
      <c r="C342">
        <v>112.7</v>
      </c>
      <c r="D342">
        <v>112.59</v>
      </c>
      <c r="E342">
        <v>112.69</v>
      </c>
      <c r="F342">
        <v>403766</v>
      </c>
    </row>
    <row r="343" spans="1:6">
      <c r="A343" s="39">
        <v>42639</v>
      </c>
      <c r="B343">
        <v>112.75</v>
      </c>
      <c r="C343">
        <v>112.79</v>
      </c>
      <c r="D343">
        <v>112.7</v>
      </c>
      <c r="E343">
        <v>112.73</v>
      </c>
      <c r="F343">
        <v>307023</v>
      </c>
    </row>
    <row r="344" spans="1:6">
      <c r="A344" s="39">
        <v>42640</v>
      </c>
      <c r="B344">
        <v>112.84</v>
      </c>
      <c r="C344">
        <v>112.91</v>
      </c>
      <c r="D344">
        <v>112.75</v>
      </c>
      <c r="E344">
        <v>112.87</v>
      </c>
      <c r="F344">
        <v>315075</v>
      </c>
    </row>
    <row r="345" spans="1:6">
      <c r="A345" s="39">
        <v>42641</v>
      </c>
      <c r="B345">
        <v>112.9</v>
      </c>
      <c r="C345">
        <v>112.93</v>
      </c>
      <c r="D345">
        <v>112.85</v>
      </c>
      <c r="E345">
        <v>112.89</v>
      </c>
      <c r="F345">
        <v>301911</v>
      </c>
    </row>
    <row r="346" spans="1:6">
      <c r="A346" s="39">
        <v>42642</v>
      </c>
      <c r="B346">
        <v>112.85</v>
      </c>
      <c r="C346">
        <v>112.9</v>
      </c>
      <c r="D346">
        <v>112.8</v>
      </c>
      <c r="E346">
        <v>112.88</v>
      </c>
      <c r="F346">
        <v>561513</v>
      </c>
    </row>
    <row r="347" spans="1:6">
      <c r="A347" s="39">
        <v>42643</v>
      </c>
      <c r="B347">
        <v>112.76</v>
      </c>
      <c r="C347">
        <v>112.82</v>
      </c>
      <c r="D347">
        <v>112.7</v>
      </c>
      <c r="E347">
        <v>112.75</v>
      </c>
      <c r="F347">
        <v>508535</v>
      </c>
    </row>
    <row r="348" spans="1:6">
      <c r="A348" s="39">
        <v>42646</v>
      </c>
      <c r="B348">
        <v>112.59</v>
      </c>
      <c r="C348">
        <v>112.59</v>
      </c>
      <c r="D348">
        <v>112.47</v>
      </c>
      <c r="E348">
        <v>112.49</v>
      </c>
      <c r="F348">
        <v>579628</v>
      </c>
    </row>
    <row r="349" spans="1:6">
      <c r="A349" s="39">
        <v>42647</v>
      </c>
      <c r="B349">
        <v>112.44</v>
      </c>
      <c r="C349">
        <v>112.49</v>
      </c>
      <c r="D349">
        <v>112.23</v>
      </c>
      <c r="E349">
        <v>112.26</v>
      </c>
      <c r="F349">
        <v>449843</v>
      </c>
    </row>
    <row r="350" spans="1:6">
      <c r="A350" s="39">
        <v>42648</v>
      </c>
      <c r="B350">
        <v>112.35</v>
      </c>
      <c r="C350">
        <v>112.35</v>
      </c>
      <c r="D350">
        <v>112.04</v>
      </c>
      <c r="E350">
        <v>112.06</v>
      </c>
      <c r="F350">
        <v>599132</v>
      </c>
    </row>
    <row r="351" spans="1:6">
      <c r="A351" s="39">
        <v>42649</v>
      </c>
      <c r="B351">
        <v>111.99</v>
      </c>
      <c r="C351">
        <v>112</v>
      </c>
      <c r="D351">
        <v>111.8</v>
      </c>
      <c r="E351">
        <v>111.96</v>
      </c>
      <c r="F351">
        <v>473864</v>
      </c>
    </row>
    <row r="352" spans="1:6">
      <c r="A352" s="39">
        <v>42650</v>
      </c>
      <c r="B352">
        <v>111.95</v>
      </c>
      <c r="C352">
        <v>111.99</v>
      </c>
      <c r="D352">
        <v>111.83</v>
      </c>
      <c r="E352">
        <v>111.98</v>
      </c>
      <c r="F352">
        <v>422595</v>
      </c>
    </row>
    <row r="353" spans="1:6">
      <c r="A353" s="39">
        <v>42653</v>
      </c>
      <c r="B353">
        <v>111.87</v>
      </c>
      <c r="C353">
        <v>111.87</v>
      </c>
      <c r="D353">
        <v>111.77</v>
      </c>
      <c r="E353">
        <v>111.86</v>
      </c>
      <c r="F353">
        <v>216562</v>
      </c>
    </row>
    <row r="354" spans="1:6">
      <c r="A354" s="39">
        <v>42654</v>
      </c>
      <c r="B354">
        <v>111.83</v>
      </c>
      <c r="C354">
        <v>111.84</v>
      </c>
      <c r="D354">
        <v>111.7</v>
      </c>
      <c r="E354">
        <v>111.74</v>
      </c>
      <c r="F354">
        <v>402131</v>
      </c>
    </row>
    <row r="355" spans="1:6">
      <c r="A355" s="39">
        <v>42655</v>
      </c>
      <c r="B355">
        <v>111.63</v>
      </c>
      <c r="C355">
        <v>111.64</v>
      </c>
      <c r="D355">
        <v>111.54</v>
      </c>
      <c r="E355">
        <v>111.61</v>
      </c>
      <c r="F355">
        <v>284275</v>
      </c>
    </row>
    <row r="356" spans="1:6">
      <c r="A356" s="39">
        <v>42656</v>
      </c>
      <c r="B356">
        <v>111.68</v>
      </c>
      <c r="C356">
        <v>111.69</v>
      </c>
      <c r="D356">
        <v>111.55</v>
      </c>
      <c r="E356">
        <v>111.56</v>
      </c>
      <c r="F356">
        <v>419271</v>
      </c>
    </row>
    <row r="357" spans="1:6">
      <c r="A357" s="39">
        <v>42657</v>
      </c>
      <c r="B357">
        <v>111.51</v>
      </c>
      <c r="C357">
        <v>111.55</v>
      </c>
      <c r="D357">
        <v>111.41</v>
      </c>
      <c r="E357">
        <v>111.41</v>
      </c>
      <c r="F357">
        <v>319843</v>
      </c>
    </row>
    <row r="358" spans="1:6">
      <c r="A358" s="39">
        <v>42660</v>
      </c>
      <c r="B358">
        <v>111.46</v>
      </c>
      <c r="C358">
        <v>111.5</v>
      </c>
      <c r="D358">
        <v>111.41</v>
      </c>
      <c r="E358">
        <v>111.45</v>
      </c>
      <c r="F358">
        <v>373910</v>
      </c>
    </row>
    <row r="359" spans="1:6">
      <c r="A359" s="39">
        <v>42661</v>
      </c>
      <c r="B359">
        <v>111.35</v>
      </c>
      <c r="C359">
        <v>111.47</v>
      </c>
      <c r="D359">
        <v>111.35</v>
      </c>
      <c r="E359">
        <v>111.43</v>
      </c>
      <c r="F359">
        <v>359431</v>
      </c>
    </row>
    <row r="360" spans="1:6">
      <c r="A360" s="39">
        <v>42662</v>
      </c>
      <c r="B360">
        <v>111.38</v>
      </c>
      <c r="C360">
        <v>111.47</v>
      </c>
      <c r="D360">
        <v>111.33</v>
      </c>
      <c r="E360">
        <v>111.4</v>
      </c>
      <c r="F360">
        <v>351242</v>
      </c>
    </row>
    <row r="361" spans="1:6">
      <c r="A361" s="39">
        <v>42663</v>
      </c>
      <c r="B361">
        <v>111.46</v>
      </c>
      <c r="C361">
        <v>111.55</v>
      </c>
      <c r="D361">
        <v>111.42</v>
      </c>
      <c r="E361">
        <v>111.55</v>
      </c>
      <c r="F361">
        <v>402795</v>
      </c>
    </row>
    <row r="362" spans="1:6">
      <c r="A362" s="39">
        <v>42664</v>
      </c>
      <c r="B362">
        <v>111.63</v>
      </c>
      <c r="C362">
        <v>111.63</v>
      </c>
      <c r="D362">
        <v>111.53</v>
      </c>
      <c r="E362">
        <v>111.56</v>
      </c>
      <c r="F362">
        <v>524308</v>
      </c>
    </row>
    <row r="363" spans="1:6">
      <c r="A363" s="39">
        <v>42667</v>
      </c>
      <c r="B363">
        <v>111.6</v>
      </c>
      <c r="C363">
        <v>111.6</v>
      </c>
      <c r="D363">
        <v>111.36</v>
      </c>
      <c r="E363">
        <v>111.36</v>
      </c>
      <c r="F363">
        <v>361120</v>
      </c>
    </row>
    <row r="364" spans="1:6">
      <c r="A364" s="39">
        <v>42668</v>
      </c>
      <c r="B364">
        <v>111.42</v>
      </c>
      <c r="C364">
        <v>111.56</v>
      </c>
      <c r="D364">
        <v>111.42</v>
      </c>
      <c r="E364">
        <v>111.53</v>
      </c>
      <c r="F364">
        <v>437717</v>
      </c>
    </row>
    <row r="365" spans="1:6">
      <c r="A365" s="39">
        <v>42669</v>
      </c>
      <c r="B365">
        <v>111.51</v>
      </c>
      <c r="C365">
        <v>111.52</v>
      </c>
      <c r="D365">
        <v>111.45</v>
      </c>
      <c r="E365">
        <v>111.45</v>
      </c>
      <c r="F365">
        <v>249714</v>
      </c>
    </row>
    <row r="366" spans="1:6">
      <c r="A366" s="39">
        <v>42670</v>
      </c>
      <c r="B366">
        <v>111.44</v>
      </c>
      <c r="C366">
        <v>111.46</v>
      </c>
      <c r="D366">
        <v>111.24</v>
      </c>
      <c r="E366">
        <v>111.26</v>
      </c>
      <c r="F366">
        <v>472391</v>
      </c>
    </row>
    <row r="367" spans="1:6">
      <c r="A367" s="39">
        <v>42671</v>
      </c>
      <c r="B367">
        <v>111.28</v>
      </c>
      <c r="C367">
        <v>111.43</v>
      </c>
      <c r="D367">
        <v>111.25</v>
      </c>
      <c r="E367">
        <v>111.38</v>
      </c>
      <c r="F367">
        <v>327223</v>
      </c>
    </row>
    <row r="368" spans="1:6">
      <c r="A368" s="39">
        <v>42674</v>
      </c>
      <c r="B368">
        <v>111.4</v>
      </c>
      <c r="C368">
        <v>111.47</v>
      </c>
      <c r="D368">
        <v>111.38</v>
      </c>
      <c r="E368">
        <v>111.46</v>
      </c>
      <c r="F368">
        <v>452946</v>
      </c>
    </row>
    <row r="369" spans="1:6">
      <c r="A369" s="39">
        <v>42675</v>
      </c>
      <c r="B369">
        <v>111.2</v>
      </c>
      <c r="C369">
        <v>111.24</v>
      </c>
      <c r="D369">
        <v>111.09</v>
      </c>
      <c r="E369">
        <v>111.15</v>
      </c>
      <c r="F369">
        <v>352244</v>
      </c>
    </row>
    <row r="370" spans="1:6">
      <c r="A370" s="39">
        <v>42676</v>
      </c>
      <c r="B370">
        <v>111.35</v>
      </c>
      <c r="C370">
        <v>111.42</v>
      </c>
      <c r="D370">
        <v>111.27</v>
      </c>
      <c r="E370">
        <v>111.38</v>
      </c>
      <c r="F370">
        <v>539393</v>
      </c>
    </row>
    <row r="371" spans="1:6">
      <c r="A371" s="39">
        <v>42677</v>
      </c>
      <c r="B371">
        <v>111.39</v>
      </c>
      <c r="C371">
        <v>111.44</v>
      </c>
      <c r="D371">
        <v>111.32</v>
      </c>
      <c r="E371">
        <v>111.42</v>
      </c>
      <c r="F371">
        <v>420353</v>
      </c>
    </row>
    <row r="372" spans="1:6">
      <c r="A372" s="39">
        <v>42678</v>
      </c>
      <c r="B372">
        <v>111.44</v>
      </c>
      <c r="C372">
        <v>111.55</v>
      </c>
      <c r="D372">
        <v>111.42</v>
      </c>
      <c r="E372">
        <v>111.47</v>
      </c>
      <c r="F372">
        <v>486349</v>
      </c>
    </row>
    <row r="373" spans="1:6">
      <c r="A373" s="39">
        <v>42681</v>
      </c>
      <c r="B373">
        <v>111.36</v>
      </c>
      <c r="C373">
        <v>111.44</v>
      </c>
      <c r="D373">
        <v>111.3</v>
      </c>
      <c r="E373">
        <v>111.38</v>
      </c>
      <c r="F373">
        <v>380409</v>
      </c>
    </row>
    <row r="374" spans="1:6">
      <c r="A374" s="39">
        <v>42682</v>
      </c>
      <c r="B374">
        <v>111.43</v>
      </c>
      <c r="C374">
        <v>111.49</v>
      </c>
      <c r="D374">
        <v>111.32</v>
      </c>
      <c r="E374">
        <v>111.33</v>
      </c>
      <c r="F374">
        <v>286838</v>
      </c>
    </row>
    <row r="375" spans="1:6">
      <c r="A375" s="39">
        <v>42683</v>
      </c>
      <c r="B375">
        <v>111.05</v>
      </c>
      <c r="C375">
        <v>111.05</v>
      </c>
      <c r="D375">
        <v>110.34</v>
      </c>
      <c r="E375">
        <v>110.41</v>
      </c>
      <c r="F375">
        <v>900258</v>
      </c>
    </row>
    <row r="376" spans="1:6">
      <c r="A376" s="39">
        <v>42684</v>
      </c>
      <c r="B376">
        <v>110.16</v>
      </c>
      <c r="C376">
        <v>110.33</v>
      </c>
      <c r="D376">
        <v>109.59</v>
      </c>
      <c r="E376">
        <v>109.83</v>
      </c>
      <c r="F376">
        <v>1483478</v>
      </c>
    </row>
    <row r="377" spans="1:6">
      <c r="A377" s="39">
        <v>42685</v>
      </c>
      <c r="B377">
        <v>109.78</v>
      </c>
      <c r="C377">
        <v>109.85</v>
      </c>
      <c r="D377">
        <v>109.6</v>
      </c>
      <c r="E377">
        <v>109.62</v>
      </c>
      <c r="F377">
        <v>422160</v>
      </c>
    </row>
    <row r="378" spans="1:6">
      <c r="A378" s="39">
        <v>42688</v>
      </c>
      <c r="B378">
        <v>109.31</v>
      </c>
      <c r="C378">
        <v>109.37</v>
      </c>
      <c r="D378">
        <v>108.16</v>
      </c>
      <c r="E378">
        <v>108.41</v>
      </c>
      <c r="F378">
        <v>2206339</v>
      </c>
    </row>
    <row r="379" spans="1:6">
      <c r="A379" s="39">
        <v>42689</v>
      </c>
      <c r="B379">
        <v>108.58</v>
      </c>
      <c r="C379">
        <v>108.86</v>
      </c>
      <c r="D379">
        <v>108.58</v>
      </c>
      <c r="E379">
        <v>108.81</v>
      </c>
      <c r="F379">
        <v>942658</v>
      </c>
    </row>
    <row r="380" spans="1:6">
      <c r="A380" s="39">
        <v>42690</v>
      </c>
      <c r="B380">
        <v>108.71</v>
      </c>
      <c r="C380">
        <v>108.73</v>
      </c>
      <c r="D380">
        <v>108.54</v>
      </c>
      <c r="E380">
        <v>108.56</v>
      </c>
      <c r="F380">
        <v>795664</v>
      </c>
    </row>
    <row r="381" spans="1:6">
      <c r="A381" s="39">
        <v>42691</v>
      </c>
      <c r="B381">
        <v>108.52</v>
      </c>
      <c r="C381">
        <v>108.55</v>
      </c>
      <c r="D381">
        <v>108.32</v>
      </c>
      <c r="E381">
        <v>108.41</v>
      </c>
      <c r="F381">
        <v>584230</v>
      </c>
    </row>
    <row r="382" spans="1:6">
      <c r="A382" s="39">
        <v>42692</v>
      </c>
      <c r="B382">
        <v>108.49</v>
      </c>
      <c r="C382">
        <v>108.52</v>
      </c>
      <c r="D382">
        <v>108.33</v>
      </c>
      <c r="E382">
        <v>108.41</v>
      </c>
      <c r="F382">
        <v>675506</v>
      </c>
    </row>
    <row r="383" spans="1:6">
      <c r="A383" s="39">
        <v>42695</v>
      </c>
      <c r="B383">
        <v>108.48</v>
      </c>
      <c r="C383">
        <v>108.6</v>
      </c>
      <c r="D383">
        <v>108.22</v>
      </c>
      <c r="E383">
        <v>108.34</v>
      </c>
      <c r="F383">
        <v>693827</v>
      </c>
    </row>
    <row r="384" spans="1:6">
      <c r="A384" s="39">
        <v>42696</v>
      </c>
      <c r="B384">
        <v>108.38</v>
      </c>
      <c r="C384">
        <v>108.38</v>
      </c>
      <c r="D384">
        <v>108.04</v>
      </c>
      <c r="E384">
        <v>108.1</v>
      </c>
      <c r="F384">
        <v>952942</v>
      </c>
    </row>
    <row r="385" spans="1:6">
      <c r="A385" s="39">
        <v>42697</v>
      </c>
      <c r="B385">
        <v>107.9</v>
      </c>
      <c r="C385">
        <v>107.97</v>
      </c>
      <c r="D385">
        <v>107.62</v>
      </c>
      <c r="E385">
        <v>107.72</v>
      </c>
      <c r="F385">
        <v>1127938</v>
      </c>
    </row>
    <row r="386" spans="1:6">
      <c r="A386" s="39">
        <v>42699</v>
      </c>
      <c r="B386">
        <v>107.74</v>
      </c>
      <c r="C386">
        <v>107.85</v>
      </c>
      <c r="D386">
        <v>107.69</v>
      </c>
      <c r="E386">
        <v>107.78</v>
      </c>
      <c r="F386">
        <v>306339</v>
      </c>
    </row>
    <row r="387" spans="1:6">
      <c r="A387" s="39">
        <v>42702</v>
      </c>
      <c r="B387">
        <v>107.85</v>
      </c>
      <c r="C387">
        <v>107.89</v>
      </c>
      <c r="D387">
        <v>107.58</v>
      </c>
      <c r="E387">
        <v>107.65</v>
      </c>
      <c r="F387">
        <v>893820</v>
      </c>
    </row>
    <row r="388" spans="1:6">
      <c r="A388" s="39">
        <v>42703</v>
      </c>
      <c r="B388">
        <v>107.58</v>
      </c>
      <c r="C388">
        <v>107.64</v>
      </c>
      <c r="D388">
        <v>106.99</v>
      </c>
      <c r="E388">
        <v>107.07</v>
      </c>
      <c r="F388">
        <v>1435669</v>
      </c>
    </row>
    <row r="389" spans="1:6">
      <c r="A389" s="39">
        <v>42704</v>
      </c>
      <c r="B389">
        <v>106.68</v>
      </c>
      <c r="C389">
        <v>106.84</v>
      </c>
      <c r="D389">
        <v>106.35</v>
      </c>
      <c r="E389">
        <v>106.7</v>
      </c>
      <c r="F389">
        <v>1213923</v>
      </c>
    </row>
    <row r="390" spans="1:6">
      <c r="A390" s="39">
        <v>42705</v>
      </c>
      <c r="B390">
        <v>106.52</v>
      </c>
      <c r="C390">
        <v>106.66</v>
      </c>
      <c r="D390">
        <v>106.3</v>
      </c>
      <c r="E390">
        <v>106.51</v>
      </c>
      <c r="F390">
        <v>1349606</v>
      </c>
    </row>
    <row r="391" spans="1:6">
      <c r="A391" s="39">
        <v>42706</v>
      </c>
      <c r="B391">
        <v>106.43</v>
      </c>
      <c r="C391">
        <v>106.92</v>
      </c>
      <c r="D391">
        <v>106.42</v>
      </c>
      <c r="E391">
        <v>106.78</v>
      </c>
      <c r="F391">
        <v>1279332</v>
      </c>
    </row>
    <row r="392" spans="1:6">
      <c r="A392" s="39">
        <v>42709</v>
      </c>
      <c r="B392">
        <v>106.57</v>
      </c>
      <c r="C392">
        <v>106.8</v>
      </c>
      <c r="D392">
        <v>106.57</v>
      </c>
      <c r="E392">
        <v>106.72</v>
      </c>
      <c r="F392">
        <v>1228835</v>
      </c>
    </row>
    <row r="393" spans="1:6">
      <c r="A393" s="39">
        <v>42710</v>
      </c>
      <c r="B393">
        <v>106.9</v>
      </c>
      <c r="C393">
        <v>107.42</v>
      </c>
      <c r="D393">
        <v>106.9</v>
      </c>
      <c r="E393">
        <v>107.35</v>
      </c>
      <c r="F393">
        <v>2292913</v>
      </c>
    </row>
    <row r="394" spans="1:6">
      <c r="A394" s="39">
        <v>42711</v>
      </c>
      <c r="B394">
        <v>107.54</v>
      </c>
      <c r="C394">
        <v>108.28</v>
      </c>
      <c r="D394">
        <v>107.54</v>
      </c>
      <c r="E394">
        <v>108.16</v>
      </c>
      <c r="F394">
        <v>2364396</v>
      </c>
    </row>
    <row r="395" spans="1:6">
      <c r="A395" s="39">
        <v>42712</v>
      </c>
      <c r="B395">
        <v>108.04</v>
      </c>
      <c r="C395">
        <v>108.15</v>
      </c>
      <c r="D395">
        <v>107.84</v>
      </c>
      <c r="E395">
        <v>108.05</v>
      </c>
      <c r="F395">
        <v>1899926</v>
      </c>
    </row>
    <row r="396" spans="1:6">
      <c r="A396" s="39">
        <v>42713</v>
      </c>
      <c r="B396">
        <v>107.96</v>
      </c>
      <c r="C396">
        <v>108.13</v>
      </c>
      <c r="D396">
        <v>107.82</v>
      </c>
      <c r="E396">
        <v>107.91</v>
      </c>
      <c r="F396">
        <v>1437928</v>
      </c>
    </row>
    <row r="397" spans="1:6">
      <c r="A397" s="39">
        <v>42716</v>
      </c>
      <c r="B397">
        <v>107.76</v>
      </c>
      <c r="C397">
        <v>107.9</v>
      </c>
      <c r="D397">
        <v>107.5</v>
      </c>
      <c r="E397">
        <v>107.7</v>
      </c>
      <c r="F397">
        <v>1280813</v>
      </c>
    </row>
    <row r="398" spans="1:6">
      <c r="A398" s="39">
        <v>42717</v>
      </c>
      <c r="B398">
        <v>107.72</v>
      </c>
      <c r="C398">
        <v>107.85</v>
      </c>
      <c r="D398">
        <v>107.68</v>
      </c>
      <c r="E398">
        <v>107.78</v>
      </c>
      <c r="F398">
        <v>1491607</v>
      </c>
    </row>
    <row r="399" spans="1:6">
      <c r="A399" s="39">
        <v>42718</v>
      </c>
      <c r="B399">
        <v>107.82</v>
      </c>
      <c r="C399">
        <v>108</v>
      </c>
      <c r="D399">
        <v>107.58</v>
      </c>
      <c r="E399">
        <v>107.6</v>
      </c>
      <c r="F399">
        <v>1488381</v>
      </c>
    </row>
    <row r="400" spans="1:6">
      <c r="A400" s="39">
        <v>42719</v>
      </c>
      <c r="B400">
        <v>107.64</v>
      </c>
      <c r="C400">
        <v>107.64</v>
      </c>
      <c r="D400">
        <v>107.22</v>
      </c>
      <c r="E400">
        <v>107.24</v>
      </c>
      <c r="F400">
        <v>2051297</v>
      </c>
    </row>
    <row r="401" spans="1:6">
      <c r="A401" s="39">
        <v>42720</v>
      </c>
      <c r="B401">
        <v>107.2</v>
      </c>
      <c r="C401">
        <v>107.39</v>
      </c>
      <c r="D401">
        <v>107.18</v>
      </c>
      <c r="E401">
        <v>107.31</v>
      </c>
      <c r="F401">
        <v>1431662</v>
      </c>
    </row>
    <row r="402" spans="1:6">
      <c r="A402" s="39">
        <v>42723</v>
      </c>
      <c r="B402">
        <v>107.47</v>
      </c>
      <c r="C402">
        <v>107.64</v>
      </c>
      <c r="D402">
        <v>107.31</v>
      </c>
      <c r="E402">
        <v>107.55</v>
      </c>
      <c r="F402">
        <v>1901751</v>
      </c>
    </row>
    <row r="403" spans="1:6">
      <c r="A403" s="39">
        <v>42724</v>
      </c>
      <c r="B403">
        <v>107.55</v>
      </c>
      <c r="C403">
        <v>107.59</v>
      </c>
      <c r="D403">
        <v>107.45</v>
      </c>
      <c r="E403">
        <v>107.59</v>
      </c>
      <c r="F403">
        <v>2594331</v>
      </c>
    </row>
    <row r="404" spans="1:6">
      <c r="A404" s="39">
        <v>42725</v>
      </c>
      <c r="B404">
        <v>107.62</v>
      </c>
      <c r="C404">
        <v>107.71</v>
      </c>
      <c r="D404">
        <v>107.55</v>
      </c>
      <c r="E404">
        <v>107.71</v>
      </c>
      <c r="F404">
        <v>1389677</v>
      </c>
    </row>
    <row r="405" spans="1:6">
      <c r="A405" s="39">
        <v>42726</v>
      </c>
      <c r="B405">
        <v>107.55</v>
      </c>
      <c r="C405">
        <v>107.78</v>
      </c>
      <c r="D405">
        <v>107.47</v>
      </c>
      <c r="E405">
        <v>107.72</v>
      </c>
      <c r="F405">
        <v>1950248</v>
      </c>
    </row>
    <row r="406" spans="1:6">
      <c r="A406" s="39">
        <v>42727</v>
      </c>
      <c r="B406">
        <v>107.74</v>
      </c>
      <c r="C406">
        <v>107.88</v>
      </c>
      <c r="D406">
        <v>107.67</v>
      </c>
      <c r="E406">
        <v>107.83</v>
      </c>
      <c r="F406">
        <v>1136650</v>
      </c>
    </row>
    <row r="407" spans="1:6">
      <c r="A407" s="39">
        <v>42731</v>
      </c>
      <c r="B407">
        <v>107.78</v>
      </c>
      <c r="C407">
        <v>107.83</v>
      </c>
      <c r="D407">
        <v>107.7</v>
      </c>
      <c r="E407">
        <v>107.8</v>
      </c>
      <c r="F407">
        <v>1774274</v>
      </c>
    </row>
    <row r="408" spans="1:6">
      <c r="A408" s="39">
        <v>42732</v>
      </c>
      <c r="B408">
        <v>107.85</v>
      </c>
      <c r="C408">
        <v>108.09</v>
      </c>
      <c r="D408">
        <v>107.79</v>
      </c>
      <c r="E408">
        <v>108.07</v>
      </c>
      <c r="F408">
        <v>2711009</v>
      </c>
    </row>
    <row r="409" spans="1:6">
      <c r="A409" s="39">
        <v>42733</v>
      </c>
      <c r="B409">
        <v>108.01</v>
      </c>
      <c r="C409">
        <v>108.29</v>
      </c>
      <c r="D409">
        <v>107.98</v>
      </c>
      <c r="E409">
        <v>108.25</v>
      </c>
      <c r="F409">
        <v>2324878</v>
      </c>
    </row>
    <row r="410" spans="1:6">
      <c r="A410" s="39">
        <v>42734</v>
      </c>
      <c r="B410">
        <v>108.26</v>
      </c>
      <c r="C410">
        <v>108.37</v>
      </c>
      <c r="D410">
        <v>108.09</v>
      </c>
      <c r="E410">
        <v>108.18</v>
      </c>
      <c r="F410">
        <v>1382192</v>
      </c>
    </row>
    <row r="411" spans="1:6">
      <c r="A411" s="39">
        <v>42738</v>
      </c>
      <c r="B411">
        <v>107.94</v>
      </c>
      <c r="C411">
        <v>108.14</v>
      </c>
      <c r="D411">
        <v>107.84</v>
      </c>
      <c r="E411">
        <v>108.08</v>
      </c>
      <c r="F411">
        <v>1113914</v>
      </c>
    </row>
    <row r="412" spans="1:6">
      <c r="A412" s="39">
        <v>42739</v>
      </c>
      <c r="B412">
        <v>108.12</v>
      </c>
      <c r="C412">
        <v>108.31</v>
      </c>
      <c r="D412">
        <v>108.11</v>
      </c>
      <c r="E412">
        <v>108.3</v>
      </c>
      <c r="F412">
        <v>765650</v>
      </c>
    </row>
    <row r="413" spans="1:6">
      <c r="A413" s="39">
        <v>42740</v>
      </c>
      <c r="B413">
        <v>108.45</v>
      </c>
      <c r="C413">
        <v>108.54</v>
      </c>
      <c r="D413">
        <v>108.36</v>
      </c>
      <c r="E413">
        <v>108.51</v>
      </c>
      <c r="F413">
        <v>655805</v>
      </c>
    </row>
    <row r="414" spans="1:6">
      <c r="A414" s="39">
        <v>42741</v>
      </c>
      <c r="B414">
        <v>108.39</v>
      </c>
      <c r="C414">
        <v>108.47</v>
      </c>
      <c r="D414">
        <v>108.34</v>
      </c>
      <c r="E414">
        <v>108.35</v>
      </c>
      <c r="F414">
        <v>720790</v>
      </c>
    </row>
    <row r="415" spans="1:6">
      <c r="A415" s="39">
        <v>42744</v>
      </c>
      <c r="B415">
        <v>108.64</v>
      </c>
      <c r="C415">
        <v>108.68</v>
      </c>
      <c r="D415">
        <v>108.43</v>
      </c>
      <c r="E415">
        <v>108.62</v>
      </c>
      <c r="F415">
        <v>2183740</v>
      </c>
    </row>
    <row r="416" spans="1:6">
      <c r="A416" s="39">
        <v>42745</v>
      </c>
      <c r="B416">
        <v>108.58</v>
      </c>
      <c r="C416">
        <v>108.65</v>
      </c>
      <c r="D416">
        <v>108.56</v>
      </c>
      <c r="E416">
        <v>108.59</v>
      </c>
      <c r="F416">
        <v>921642</v>
      </c>
    </row>
    <row r="417" spans="1:6">
      <c r="A417" s="39">
        <v>42746</v>
      </c>
      <c r="B417">
        <v>108.86</v>
      </c>
      <c r="C417">
        <v>108.94</v>
      </c>
      <c r="D417">
        <v>108.69</v>
      </c>
      <c r="E417">
        <v>108.92</v>
      </c>
      <c r="F417">
        <v>1329305</v>
      </c>
    </row>
    <row r="418" spans="1:6">
      <c r="A418" s="39">
        <v>42747</v>
      </c>
      <c r="B418">
        <v>109.14</v>
      </c>
      <c r="C418">
        <v>109.32</v>
      </c>
      <c r="D418">
        <v>109.09</v>
      </c>
      <c r="E418">
        <v>109.26</v>
      </c>
      <c r="F418">
        <v>1164053</v>
      </c>
    </row>
    <row r="419" spans="1:6">
      <c r="A419" s="39">
        <v>42748</v>
      </c>
      <c r="B419">
        <v>109.19</v>
      </c>
      <c r="C419">
        <v>109.19</v>
      </c>
      <c r="D419">
        <v>109.03</v>
      </c>
      <c r="E419">
        <v>109.16</v>
      </c>
      <c r="F419">
        <v>859705</v>
      </c>
    </row>
    <row r="420" spans="1:6">
      <c r="A420" s="39">
        <v>42752</v>
      </c>
      <c r="B420">
        <v>109.33</v>
      </c>
      <c r="C420">
        <v>109.39</v>
      </c>
      <c r="D420">
        <v>109.08</v>
      </c>
      <c r="E420">
        <v>109.23</v>
      </c>
      <c r="F420">
        <v>1626372</v>
      </c>
    </row>
    <row r="421" spans="1:6">
      <c r="A421" s="39">
        <v>42753</v>
      </c>
      <c r="B421">
        <v>109.2</v>
      </c>
      <c r="C421">
        <v>109.22</v>
      </c>
      <c r="D421">
        <v>108.97</v>
      </c>
      <c r="E421">
        <v>108.99</v>
      </c>
      <c r="F421">
        <v>754713</v>
      </c>
    </row>
    <row r="422" spans="1:6">
      <c r="A422" s="39">
        <v>42754</v>
      </c>
      <c r="B422">
        <v>108.93</v>
      </c>
      <c r="C422">
        <v>108.95</v>
      </c>
      <c r="D422">
        <v>108.5</v>
      </c>
      <c r="E422">
        <v>108.54</v>
      </c>
      <c r="F422">
        <v>1285018</v>
      </c>
    </row>
    <row r="423" spans="1:6">
      <c r="A423" s="39">
        <v>42755</v>
      </c>
      <c r="B423">
        <v>108.48</v>
      </c>
      <c r="C423">
        <v>108.48</v>
      </c>
      <c r="D423">
        <v>108.12</v>
      </c>
      <c r="E423">
        <v>108.33</v>
      </c>
      <c r="F423">
        <v>1096762</v>
      </c>
    </row>
    <row r="424" spans="1:6">
      <c r="A424" s="39">
        <v>42758</v>
      </c>
      <c r="B424">
        <v>108.39</v>
      </c>
      <c r="C424">
        <v>108.62</v>
      </c>
      <c r="D424">
        <v>108.22</v>
      </c>
      <c r="E424">
        <v>108.45</v>
      </c>
      <c r="F424">
        <v>1443647</v>
      </c>
    </row>
    <row r="425" spans="1:6">
      <c r="A425" s="39">
        <v>42759</v>
      </c>
      <c r="B425">
        <v>108.5</v>
      </c>
      <c r="C425">
        <v>108.52</v>
      </c>
      <c r="D425">
        <v>108.28</v>
      </c>
      <c r="E425">
        <v>108.31</v>
      </c>
      <c r="F425">
        <v>931039</v>
      </c>
    </row>
    <row r="426" spans="1:6">
      <c r="A426" s="39">
        <v>42760</v>
      </c>
      <c r="B426">
        <v>108.27</v>
      </c>
      <c r="C426">
        <v>108.38</v>
      </c>
      <c r="D426">
        <v>108.09</v>
      </c>
      <c r="E426">
        <v>108.14</v>
      </c>
      <c r="F426">
        <v>862024</v>
      </c>
    </row>
    <row r="427" spans="1:6">
      <c r="A427" s="39">
        <v>42761</v>
      </c>
      <c r="B427">
        <v>108.28</v>
      </c>
      <c r="C427">
        <v>108.33</v>
      </c>
      <c r="D427">
        <v>108.07</v>
      </c>
      <c r="E427">
        <v>108.15</v>
      </c>
      <c r="F427">
        <v>1266488</v>
      </c>
    </row>
    <row r="428" spans="1:6">
      <c r="A428" s="39">
        <v>42762</v>
      </c>
      <c r="B428">
        <v>108.38</v>
      </c>
      <c r="C428">
        <v>108.38</v>
      </c>
      <c r="D428">
        <v>108.23</v>
      </c>
      <c r="E428">
        <v>108.31</v>
      </c>
      <c r="F428">
        <v>579427</v>
      </c>
    </row>
    <row r="429" spans="1:6">
      <c r="A429" s="39">
        <v>42765</v>
      </c>
      <c r="B429">
        <v>108.45</v>
      </c>
      <c r="C429">
        <v>108.46</v>
      </c>
      <c r="D429">
        <v>108.31</v>
      </c>
      <c r="E429">
        <v>108.31</v>
      </c>
      <c r="F429">
        <v>1129698</v>
      </c>
    </row>
    <row r="430" spans="1:6">
      <c r="A430" s="39">
        <v>42766</v>
      </c>
      <c r="B430">
        <v>108.39</v>
      </c>
      <c r="C430">
        <v>108.54</v>
      </c>
      <c r="D430">
        <v>108.39</v>
      </c>
      <c r="E430">
        <v>108.46</v>
      </c>
      <c r="F430">
        <v>901658</v>
      </c>
    </row>
    <row r="431" spans="1:6">
      <c r="A431" s="39">
        <v>42767</v>
      </c>
      <c r="B431">
        <v>108.17</v>
      </c>
      <c r="C431">
        <v>108.17</v>
      </c>
      <c r="D431">
        <v>107.94</v>
      </c>
      <c r="E431">
        <v>108.09</v>
      </c>
      <c r="F431">
        <v>1536399</v>
      </c>
    </row>
    <row r="432" spans="1:6">
      <c r="A432" s="39">
        <v>42768</v>
      </c>
      <c r="B432">
        <v>108.37</v>
      </c>
      <c r="C432">
        <v>108.37</v>
      </c>
      <c r="D432">
        <v>108.16</v>
      </c>
      <c r="E432">
        <v>108.25</v>
      </c>
      <c r="F432">
        <v>680436</v>
      </c>
    </row>
    <row r="433" spans="1:6">
      <c r="A433" s="39">
        <v>42769</v>
      </c>
      <c r="B433">
        <v>108.35</v>
      </c>
      <c r="C433">
        <v>108.47</v>
      </c>
      <c r="D433">
        <v>108.14</v>
      </c>
      <c r="E433">
        <v>108.21</v>
      </c>
      <c r="F433">
        <v>1627865</v>
      </c>
    </row>
    <row r="434" spans="1:6">
      <c r="A434" s="39">
        <v>42772</v>
      </c>
      <c r="B434">
        <v>108.48</v>
      </c>
      <c r="C434">
        <v>108.5</v>
      </c>
      <c r="D434">
        <v>108.21</v>
      </c>
      <c r="E434">
        <v>108.39</v>
      </c>
      <c r="F434">
        <v>1471172</v>
      </c>
    </row>
    <row r="435" spans="1:6">
      <c r="A435" s="39">
        <v>42773</v>
      </c>
      <c r="B435">
        <v>108.43</v>
      </c>
      <c r="C435">
        <v>108.53</v>
      </c>
      <c r="D435">
        <v>108.34</v>
      </c>
      <c r="E435">
        <v>108.47</v>
      </c>
      <c r="F435">
        <v>751603</v>
      </c>
    </row>
    <row r="436" spans="1:6">
      <c r="A436" s="39">
        <v>42774</v>
      </c>
      <c r="B436">
        <v>108.73</v>
      </c>
      <c r="C436">
        <v>108.75</v>
      </c>
      <c r="D436">
        <v>108.57</v>
      </c>
      <c r="E436">
        <v>108.69</v>
      </c>
      <c r="F436">
        <v>727005</v>
      </c>
    </row>
    <row r="437" spans="1:6">
      <c r="A437" s="39">
        <v>42775</v>
      </c>
      <c r="B437">
        <v>108.56</v>
      </c>
      <c r="C437">
        <v>108.62</v>
      </c>
      <c r="D437">
        <v>108.4</v>
      </c>
      <c r="E437">
        <v>108.43</v>
      </c>
      <c r="F437">
        <v>502658</v>
      </c>
    </row>
    <row r="438" spans="1:6">
      <c r="A438" s="39">
        <v>42776</v>
      </c>
      <c r="B438">
        <v>108.34</v>
      </c>
      <c r="C438">
        <v>108.48</v>
      </c>
      <c r="D438">
        <v>108.34</v>
      </c>
      <c r="E438">
        <v>108.45</v>
      </c>
      <c r="F438">
        <v>458341</v>
      </c>
    </row>
    <row r="439" spans="1:6">
      <c r="A439" s="39">
        <v>42779</v>
      </c>
      <c r="B439">
        <v>108.4</v>
      </c>
      <c r="C439">
        <v>108.47</v>
      </c>
      <c r="D439">
        <v>108.26</v>
      </c>
      <c r="E439">
        <v>108.37</v>
      </c>
      <c r="F439">
        <v>613729</v>
      </c>
    </row>
    <row r="440" spans="1:6">
      <c r="A440" s="39">
        <v>42780</v>
      </c>
      <c r="B440">
        <v>108.34</v>
      </c>
      <c r="C440">
        <v>108.41</v>
      </c>
      <c r="D440">
        <v>108.06</v>
      </c>
      <c r="E440">
        <v>108.08</v>
      </c>
      <c r="F440">
        <v>492348</v>
      </c>
    </row>
    <row r="441" spans="1:6">
      <c r="A441" s="39">
        <v>42781</v>
      </c>
      <c r="B441">
        <v>108.01</v>
      </c>
      <c r="C441">
        <v>108.08</v>
      </c>
      <c r="D441">
        <v>107.81</v>
      </c>
      <c r="E441">
        <v>107.89</v>
      </c>
      <c r="F441">
        <v>788032</v>
      </c>
    </row>
    <row r="442" spans="1:6">
      <c r="A442" s="39">
        <v>42782</v>
      </c>
      <c r="B442">
        <v>108.11</v>
      </c>
      <c r="C442">
        <v>108.18</v>
      </c>
      <c r="D442">
        <v>107.96</v>
      </c>
      <c r="E442">
        <v>108.16</v>
      </c>
      <c r="F442">
        <v>570178</v>
      </c>
    </row>
    <row r="443" spans="1:6">
      <c r="A443" s="39">
        <v>42783</v>
      </c>
      <c r="B443">
        <v>108.27</v>
      </c>
      <c r="C443">
        <v>108.32</v>
      </c>
      <c r="D443">
        <v>108.19</v>
      </c>
      <c r="E443">
        <v>108.3</v>
      </c>
      <c r="F443">
        <v>405450</v>
      </c>
    </row>
    <row r="444" spans="1:6">
      <c r="A444" s="39">
        <v>42787</v>
      </c>
      <c r="B444">
        <v>108.2</v>
      </c>
      <c r="C444">
        <v>108.36</v>
      </c>
      <c r="D444">
        <v>108.13</v>
      </c>
      <c r="E444">
        <v>108.3</v>
      </c>
      <c r="F444">
        <v>508254</v>
      </c>
    </row>
    <row r="445" spans="1:6">
      <c r="A445" s="39">
        <v>42788</v>
      </c>
      <c r="B445">
        <v>108.45</v>
      </c>
      <c r="C445">
        <v>108.45</v>
      </c>
      <c r="D445">
        <v>108.36</v>
      </c>
      <c r="E445">
        <v>108.45</v>
      </c>
      <c r="F445">
        <v>473407</v>
      </c>
    </row>
    <row r="446" spans="1:6">
      <c r="A446" s="39">
        <v>42789</v>
      </c>
      <c r="B446">
        <v>108.59</v>
      </c>
      <c r="C446">
        <v>108.62</v>
      </c>
      <c r="D446">
        <v>108.43</v>
      </c>
      <c r="E446">
        <v>108.54</v>
      </c>
      <c r="F446">
        <v>473113</v>
      </c>
    </row>
    <row r="447" spans="1:6">
      <c r="A447" s="39">
        <v>42790</v>
      </c>
      <c r="B447">
        <v>108.7</v>
      </c>
      <c r="C447">
        <v>108.88</v>
      </c>
      <c r="D447">
        <v>108.7</v>
      </c>
      <c r="E447">
        <v>108.86</v>
      </c>
      <c r="F447">
        <v>669755</v>
      </c>
    </row>
    <row r="448" spans="1:6">
      <c r="A448" s="39">
        <v>42793</v>
      </c>
      <c r="B448">
        <v>108.81</v>
      </c>
      <c r="C448">
        <v>108.9</v>
      </c>
      <c r="D448">
        <v>108.69</v>
      </c>
      <c r="E448">
        <v>108.72</v>
      </c>
      <c r="F448">
        <v>1103026</v>
      </c>
    </row>
    <row r="449" spans="1:6">
      <c r="A449" s="39">
        <v>42794</v>
      </c>
      <c r="B449">
        <v>108.79</v>
      </c>
      <c r="C449">
        <v>108.87</v>
      </c>
      <c r="D449">
        <v>108.76</v>
      </c>
      <c r="E449">
        <v>108.82</v>
      </c>
      <c r="F449">
        <v>556220</v>
      </c>
    </row>
    <row r="450" spans="1:6">
      <c r="A450" s="39">
        <v>42795</v>
      </c>
      <c r="B450">
        <v>108.36</v>
      </c>
      <c r="C450">
        <v>108.43</v>
      </c>
      <c r="D450">
        <v>108.12</v>
      </c>
      <c r="E450">
        <v>108.24</v>
      </c>
      <c r="F450">
        <v>896992</v>
      </c>
    </row>
    <row r="451" spans="1:6">
      <c r="A451" s="39">
        <v>42796</v>
      </c>
      <c r="B451">
        <v>108.2</v>
      </c>
      <c r="C451">
        <v>108.25</v>
      </c>
      <c r="D451">
        <v>108.08</v>
      </c>
      <c r="E451">
        <v>108.19</v>
      </c>
      <c r="F451">
        <v>445167</v>
      </c>
    </row>
    <row r="452" spans="1:6">
      <c r="A452" s="39">
        <v>42797</v>
      </c>
      <c r="B452">
        <v>108.23</v>
      </c>
      <c r="C452">
        <v>108.23</v>
      </c>
      <c r="D452">
        <v>107.98</v>
      </c>
      <c r="E452">
        <v>108.06</v>
      </c>
      <c r="F452">
        <v>477767</v>
      </c>
    </row>
    <row r="453" spans="1:6">
      <c r="A453" s="39">
        <v>42800</v>
      </c>
      <c r="B453">
        <v>108.02</v>
      </c>
      <c r="C453">
        <v>108.11</v>
      </c>
      <c r="D453">
        <v>107.98</v>
      </c>
      <c r="E453">
        <v>108.03</v>
      </c>
      <c r="F453">
        <v>513448</v>
      </c>
    </row>
    <row r="454" spans="1:6">
      <c r="A454" s="39">
        <v>42801</v>
      </c>
      <c r="B454">
        <v>108.03</v>
      </c>
      <c r="C454">
        <v>108.04</v>
      </c>
      <c r="D454">
        <v>107.97</v>
      </c>
      <c r="E454">
        <v>108.01</v>
      </c>
      <c r="F454">
        <v>423118</v>
      </c>
    </row>
    <row r="455" spans="1:6">
      <c r="A455" s="39">
        <v>42802</v>
      </c>
      <c r="B455">
        <v>107.83</v>
      </c>
      <c r="C455">
        <v>107.92</v>
      </c>
      <c r="D455">
        <v>107.73</v>
      </c>
      <c r="E455">
        <v>107.83</v>
      </c>
      <c r="F455">
        <v>837738</v>
      </c>
    </row>
    <row r="456" spans="1:6">
      <c r="A456" s="39">
        <v>42803</v>
      </c>
      <c r="B456">
        <v>107.74</v>
      </c>
      <c r="C456">
        <v>107.8</v>
      </c>
      <c r="D456">
        <v>107.62</v>
      </c>
      <c r="E456">
        <v>107.63</v>
      </c>
      <c r="F456">
        <v>527646</v>
      </c>
    </row>
    <row r="457" spans="1:6">
      <c r="A457" s="39">
        <v>42804</v>
      </c>
      <c r="B457">
        <v>107.73</v>
      </c>
      <c r="C457">
        <v>107.8</v>
      </c>
      <c r="D457">
        <v>107.7</v>
      </c>
      <c r="E457">
        <v>107.74</v>
      </c>
      <c r="F457">
        <v>554886</v>
      </c>
    </row>
    <row r="458" spans="1:6">
      <c r="A458" s="39">
        <v>42807</v>
      </c>
      <c r="B458">
        <v>107.79</v>
      </c>
      <c r="C458">
        <v>107.86</v>
      </c>
      <c r="D458">
        <v>107.69</v>
      </c>
      <c r="E458">
        <v>107.74</v>
      </c>
      <c r="F458">
        <v>467162</v>
      </c>
    </row>
    <row r="459" spans="1:6">
      <c r="A459" s="39">
        <v>42808</v>
      </c>
      <c r="B459">
        <v>107.74</v>
      </c>
      <c r="C459">
        <v>107.84</v>
      </c>
      <c r="D459">
        <v>107.7</v>
      </c>
      <c r="E459">
        <v>107.78</v>
      </c>
      <c r="F459">
        <v>530707</v>
      </c>
    </row>
    <row r="460" spans="1:6">
      <c r="A460" s="39">
        <v>42809</v>
      </c>
      <c r="B460">
        <v>107.89</v>
      </c>
      <c r="C460">
        <v>108.15</v>
      </c>
      <c r="D460">
        <v>107.77</v>
      </c>
      <c r="E460">
        <v>108.12</v>
      </c>
      <c r="F460">
        <v>705211</v>
      </c>
    </row>
    <row r="461" spans="1:6">
      <c r="A461" s="39">
        <v>42810</v>
      </c>
      <c r="B461">
        <v>108.13</v>
      </c>
      <c r="C461">
        <v>108.13</v>
      </c>
      <c r="D461">
        <v>108.03</v>
      </c>
      <c r="E461">
        <v>108.05</v>
      </c>
      <c r="F461">
        <v>354473</v>
      </c>
    </row>
    <row r="462" spans="1:6">
      <c r="A462" s="39">
        <v>42811</v>
      </c>
      <c r="B462">
        <v>108.02</v>
      </c>
      <c r="C462">
        <v>108.2</v>
      </c>
      <c r="D462">
        <v>108</v>
      </c>
      <c r="E462">
        <v>108.11</v>
      </c>
      <c r="F462">
        <v>388580</v>
      </c>
    </row>
    <row r="463" spans="1:6">
      <c r="A463" s="39">
        <v>42814</v>
      </c>
      <c r="B463">
        <v>108.1</v>
      </c>
      <c r="C463">
        <v>108.26</v>
      </c>
      <c r="D463">
        <v>108.1</v>
      </c>
      <c r="E463">
        <v>108.22</v>
      </c>
      <c r="F463">
        <v>341931</v>
      </c>
    </row>
    <row r="464" spans="1:6">
      <c r="A464" s="39">
        <v>42815</v>
      </c>
      <c r="B464">
        <v>108.19</v>
      </c>
      <c r="C464">
        <v>108.5</v>
      </c>
      <c r="D464">
        <v>108.19</v>
      </c>
      <c r="E464">
        <v>108.5</v>
      </c>
      <c r="F464">
        <v>537378</v>
      </c>
    </row>
    <row r="465" spans="1:6">
      <c r="A465" s="39">
        <v>42816</v>
      </c>
      <c r="B465">
        <v>108.6</v>
      </c>
      <c r="C465">
        <v>108.67</v>
      </c>
      <c r="D465">
        <v>108.5</v>
      </c>
      <c r="E465">
        <v>108.63</v>
      </c>
      <c r="F465">
        <v>408529</v>
      </c>
    </row>
    <row r="466" spans="1:6">
      <c r="A466" s="39">
        <v>42817</v>
      </c>
      <c r="B466">
        <v>108.69</v>
      </c>
      <c r="C466">
        <v>108.77</v>
      </c>
      <c r="D466">
        <v>108.63</v>
      </c>
      <c r="E466">
        <v>108.71</v>
      </c>
      <c r="F466">
        <v>1096631</v>
      </c>
    </row>
    <row r="467" spans="1:6">
      <c r="A467" s="39">
        <v>42818</v>
      </c>
      <c r="B467">
        <v>108.7</v>
      </c>
      <c r="C467">
        <v>108.8</v>
      </c>
      <c r="D467">
        <v>108.67</v>
      </c>
      <c r="E467">
        <v>108.78</v>
      </c>
      <c r="F467">
        <v>612202</v>
      </c>
    </row>
    <row r="468" spans="1:6">
      <c r="A468" s="39">
        <v>42821</v>
      </c>
      <c r="B468">
        <v>108.92</v>
      </c>
      <c r="C468">
        <v>108.95</v>
      </c>
      <c r="D468">
        <v>108.87</v>
      </c>
      <c r="E468">
        <v>108.95</v>
      </c>
      <c r="F468">
        <v>439626</v>
      </c>
    </row>
    <row r="469" spans="1:6">
      <c r="A469" s="39">
        <v>42822</v>
      </c>
      <c r="B469">
        <v>109</v>
      </c>
      <c r="C469">
        <v>109</v>
      </c>
      <c r="D469">
        <v>108.86</v>
      </c>
      <c r="E469">
        <v>108.88</v>
      </c>
      <c r="F469">
        <v>467875</v>
      </c>
    </row>
    <row r="470" spans="1:6">
      <c r="A470" s="39">
        <v>42823</v>
      </c>
      <c r="B470">
        <v>109.08</v>
      </c>
      <c r="C470">
        <v>109.1</v>
      </c>
      <c r="D470">
        <v>109.04</v>
      </c>
      <c r="E470">
        <v>109.1</v>
      </c>
      <c r="F470">
        <v>402373</v>
      </c>
    </row>
    <row r="471" spans="1:6">
      <c r="A471" s="39">
        <v>42824</v>
      </c>
      <c r="B471">
        <v>108.97</v>
      </c>
      <c r="C471">
        <v>109.06</v>
      </c>
      <c r="D471">
        <v>108.91</v>
      </c>
      <c r="E471">
        <v>108.91</v>
      </c>
      <c r="F471">
        <v>550147</v>
      </c>
    </row>
    <row r="472" spans="1:6">
      <c r="A472" s="39">
        <v>42825</v>
      </c>
      <c r="B472">
        <v>108.94</v>
      </c>
      <c r="C472">
        <v>108.99</v>
      </c>
      <c r="D472">
        <v>108.87</v>
      </c>
      <c r="E472">
        <v>108.95</v>
      </c>
      <c r="F472">
        <v>347458</v>
      </c>
    </row>
    <row r="473" spans="1:6">
      <c r="A473" s="39">
        <v>42828</v>
      </c>
      <c r="B473">
        <v>108.77</v>
      </c>
      <c r="C473">
        <v>108.82</v>
      </c>
      <c r="D473">
        <v>108.7</v>
      </c>
      <c r="E473">
        <v>108.81</v>
      </c>
      <c r="F473">
        <v>1884541</v>
      </c>
    </row>
    <row r="474" spans="1:6">
      <c r="A474" s="39">
        <v>42829</v>
      </c>
      <c r="B474">
        <v>108.94</v>
      </c>
      <c r="C474">
        <v>108.94</v>
      </c>
      <c r="D474">
        <v>108.84</v>
      </c>
      <c r="E474">
        <v>108.87</v>
      </c>
      <c r="F474">
        <v>559776</v>
      </c>
    </row>
    <row r="475" spans="1:6">
      <c r="A475" s="39">
        <v>42830</v>
      </c>
      <c r="B475">
        <v>108.91</v>
      </c>
      <c r="C475">
        <v>109.03</v>
      </c>
      <c r="D475">
        <v>108.86</v>
      </c>
      <c r="E475">
        <v>108.97</v>
      </c>
      <c r="F475">
        <v>528431</v>
      </c>
    </row>
    <row r="476" spans="1:6">
      <c r="A476" s="39">
        <v>42831</v>
      </c>
      <c r="B476">
        <v>109.07</v>
      </c>
      <c r="C476">
        <v>109.09</v>
      </c>
      <c r="D476">
        <v>109</v>
      </c>
      <c r="E476">
        <v>109.05</v>
      </c>
      <c r="F476">
        <v>595847</v>
      </c>
    </row>
    <row r="477" spans="1:6">
      <c r="A477" s="39">
        <v>42832</v>
      </c>
      <c r="B477">
        <v>109.12</v>
      </c>
      <c r="C477">
        <v>109.23</v>
      </c>
      <c r="D477">
        <v>109.1</v>
      </c>
      <c r="E477">
        <v>109.12</v>
      </c>
      <c r="F477">
        <v>686399</v>
      </c>
    </row>
    <row r="478" spans="1:6">
      <c r="A478" s="39">
        <v>42835</v>
      </c>
      <c r="B478">
        <v>109.2</v>
      </c>
      <c r="C478">
        <v>109.25</v>
      </c>
      <c r="D478">
        <v>109.14</v>
      </c>
      <c r="E478">
        <v>109.22</v>
      </c>
      <c r="F478">
        <v>514524</v>
      </c>
    </row>
    <row r="479" spans="1:6">
      <c r="A479" s="39">
        <v>42836</v>
      </c>
      <c r="B479">
        <v>109.28</v>
      </c>
      <c r="C479">
        <v>109.42</v>
      </c>
      <c r="D479">
        <v>109.28</v>
      </c>
      <c r="E479">
        <v>109.38</v>
      </c>
      <c r="F479">
        <v>541300</v>
      </c>
    </row>
    <row r="480" spans="1:6">
      <c r="A480" s="39">
        <v>42837</v>
      </c>
      <c r="B480">
        <v>109.44</v>
      </c>
      <c r="C480">
        <v>109.57</v>
      </c>
      <c r="D480">
        <v>109.39</v>
      </c>
      <c r="E480">
        <v>109.56</v>
      </c>
      <c r="F480">
        <v>554174</v>
      </c>
    </row>
    <row r="481" spans="1:6">
      <c r="A481" s="39">
        <v>42838</v>
      </c>
      <c r="B481">
        <v>109.58</v>
      </c>
      <c r="C481">
        <v>109.67</v>
      </c>
      <c r="D481">
        <v>109.52</v>
      </c>
      <c r="E481">
        <v>109.64</v>
      </c>
      <c r="F481">
        <v>338831</v>
      </c>
    </row>
    <row r="482" spans="1:6">
      <c r="A482" s="39">
        <v>42842</v>
      </c>
      <c r="B482">
        <v>109.57</v>
      </c>
      <c r="C482">
        <v>109.65</v>
      </c>
      <c r="D482">
        <v>109.55</v>
      </c>
      <c r="E482">
        <v>109.62</v>
      </c>
      <c r="F482">
        <v>449215</v>
      </c>
    </row>
    <row r="483" spans="1:6">
      <c r="A483" s="39">
        <v>42843</v>
      </c>
      <c r="B483">
        <v>109.8</v>
      </c>
      <c r="C483">
        <v>109.96</v>
      </c>
      <c r="D483">
        <v>109.74</v>
      </c>
      <c r="E483">
        <v>109.95</v>
      </c>
      <c r="F483">
        <v>927397</v>
      </c>
    </row>
    <row r="484" spans="1:6">
      <c r="A484" s="39">
        <v>42844</v>
      </c>
      <c r="B484">
        <v>109.93</v>
      </c>
      <c r="C484">
        <v>109.93</v>
      </c>
      <c r="D484">
        <v>109.81</v>
      </c>
      <c r="E484">
        <v>109.87</v>
      </c>
      <c r="F484">
        <v>462859</v>
      </c>
    </row>
    <row r="485" spans="1:6">
      <c r="A485" s="39">
        <v>42845</v>
      </c>
      <c r="B485">
        <v>109.87</v>
      </c>
      <c r="C485">
        <v>109.88</v>
      </c>
      <c r="D485">
        <v>109.7</v>
      </c>
      <c r="E485">
        <v>109.74</v>
      </c>
      <c r="F485">
        <v>950120</v>
      </c>
    </row>
    <row r="486" spans="1:6">
      <c r="A486" s="39">
        <v>42846</v>
      </c>
      <c r="B486">
        <v>109.85</v>
      </c>
      <c r="C486">
        <v>109.85</v>
      </c>
      <c r="D486">
        <v>108.98</v>
      </c>
      <c r="E486">
        <v>109.76</v>
      </c>
      <c r="F486">
        <v>538969</v>
      </c>
    </row>
    <row r="487" spans="1:6">
      <c r="A487" s="39">
        <v>42849</v>
      </c>
      <c r="B487">
        <v>109.53</v>
      </c>
      <c r="C487">
        <v>109.58</v>
      </c>
      <c r="D487">
        <v>109.42</v>
      </c>
      <c r="E487">
        <v>109.5</v>
      </c>
      <c r="F487">
        <v>638061</v>
      </c>
    </row>
    <row r="488" spans="1:6">
      <c r="A488" s="39">
        <v>42850</v>
      </c>
      <c r="B488">
        <v>109.46</v>
      </c>
      <c r="C488">
        <v>109.49</v>
      </c>
      <c r="D488">
        <v>109.2</v>
      </c>
      <c r="E488">
        <v>109.23</v>
      </c>
      <c r="F488">
        <v>446512</v>
      </c>
    </row>
    <row r="489" spans="1:6">
      <c r="A489" s="39">
        <v>42851</v>
      </c>
      <c r="B489">
        <v>109.4</v>
      </c>
      <c r="C489">
        <v>109.41</v>
      </c>
      <c r="D489">
        <v>109.24</v>
      </c>
      <c r="E489">
        <v>109.31</v>
      </c>
      <c r="F489">
        <v>473719</v>
      </c>
    </row>
    <row r="490" spans="1:6">
      <c r="A490" s="39">
        <v>42852</v>
      </c>
      <c r="B490">
        <v>109.36</v>
      </c>
      <c r="C490">
        <v>109.45</v>
      </c>
      <c r="D490">
        <v>109.3</v>
      </c>
      <c r="E490">
        <v>109.37</v>
      </c>
      <c r="F490">
        <v>352649</v>
      </c>
    </row>
    <row r="491" spans="1:6">
      <c r="A491" s="39">
        <v>42853</v>
      </c>
      <c r="B491">
        <v>109.33</v>
      </c>
      <c r="C491">
        <v>109.38</v>
      </c>
      <c r="D491">
        <v>109.25</v>
      </c>
      <c r="E491">
        <v>109.33</v>
      </c>
      <c r="F491">
        <v>519533</v>
      </c>
    </row>
    <row r="492" spans="1:6">
      <c r="A492" s="39">
        <v>42856</v>
      </c>
      <c r="B492">
        <v>109.07</v>
      </c>
      <c r="C492">
        <v>109.13</v>
      </c>
      <c r="D492">
        <v>108.91</v>
      </c>
      <c r="E492">
        <v>108.92</v>
      </c>
      <c r="F492">
        <v>546642</v>
      </c>
    </row>
    <row r="493" spans="1:6">
      <c r="A493" s="39">
        <v>42857</v>
      </c>
      <c r="B493">
        <v>108.96</v>
      </c>
      <c r="C493">
        <v>109.08</v>
      </c>
      <c r="D493">
        <v>108.95</v>
      </c>
      <c r="E493">
        <v>109.08</v>
      </c>
      <c r="F493">
        <v>420798</v>
      </c>
    </row>
    <row r="494" spans="1:6">
      <c r="A494" s="39">
        <v>42858</v>
      </c>
      <c r="B494">
        <v>109.17</v>
      </c>
      <c r="C494">
        <v>109.23</v>
      </c>
      <c r="D494">
        <v>109.11</v>
      </c>
      <c r="E494">
        <v>109.17</v>
      </c>
      <c r="F494">
        <v>397336</v>
      </c>
    </row>
    <row r="495" spans="1:6">
      <c r="A495" s="39">
        <v>42859</v>
      </c>
      <c r="B495">
        <v>109.11</v>
      </c>
      <c r="C495">
        <v>109.15</v>
      </c>
      <c r="D495">
        <v>109.05</v>
      </c>
      <c r="E495">
        <v>109.14</v>
      </c>
      <c r="F495">
        <v>450384</v>
      </c>
    </row>
    <row r="496" spans="1:6">
      <c r="A496" s="39">
        <v>42860</v>
      </c>
      <c r="B496">
        <v>109.18</v>
      </c>
      <c r="C496">
        <v>109.23</v>
      </c>
      <c r="D496">
        <v>109.14</v>
      </c>
      <c r="E496">
        <v>109.21</v>
      </c>
      <c r="F496">
        <v>293553</v>
      </c>
    </row>
    <row r="497" spans="1:6">
      <c r="A497" s="39">
        <v>42863</v>
      </c>
      <c r="B497">
        <v>109.19</v>
      </c>
      <c r="C497">
        <v>109.2</v>
      </c>
      <c r="D497">
        <v>109.14</v>
      </c>
      <c r="E497">
        <v>109.18</v>
      </c>
      <c r="F497">
        <v>428579</v>
      </c>
    </row>
    <row r="498" spans="1:6">
      <c r="A498" s="39">
        <v>42864</v>
      </c>
      <c r="B498">
        <v>109.14</v>
      </c>
      <c r="C498">
        <v>109.17</v>
      </c>
      <c r="D498">
        <v>109.11</v>
      </c>
      <c r="E498">
        <v>109.13</v>
      </c>
      <c r="F498">
        <v>463070</v>
      </c>
    </row>
    <row r="499" spans="1:6">
      <c r="A499" s="39">
        <v>42865</v>
      </c>
      <c r="B499">
        <v>109.24</v>
      </c>
      <c r="C499">
        <v>109.29</v>
      </c>
      <c r="D499">
        <v>109.19</v>
      </c>
      <c r="E499">
        <v>109.24</v>
      </c>
      <c r="F499">
        <v>511064</v>
      </c>
    </row>
    <row r="500" spans="1:6">
      <c r="A500" s="39">
        <v>42866</v>
      </c>
      <c r="B500">
        <v>109.28</v>
      </c>
      <c r="C500">
        <v>109.37</v>
      </c>
      <c r="D500">
        <v>109.26</v>
      </c>
      <c r="E500">
        <v>109.34</v>
      </c>
      <c r="F500">
        <v>410968</v>
      </c>
    </row>
    <row r="501" spans="1:6">
      <c r="A501" s="39">
        <v>42867</v>
      </c>
      <c r="B501">
        <v>109.44</v>
      </c>
      <c r="C501">
        <v>109.54</v>
      </c>
      <c r="D501">
        <v>109.44</v>
      </c>
      <c r="E501">
        <v>109.52</v>
      </c>
      <c r="F501">
        <v>320256</v>
      </c>
    </row>
    <row r="502" spans="1:6">
      <c r="A502" s="39">
        <v>42870</v>
      </c>
      <c r="B502">
        <v>109.55</v>
      </c>
      <c r="C502">
        <v>109.58</v>
      </c>
      <c r="D502">
        <v>109.52</v>
      </c>
      <c r="E502">
        <v>109.53</v>
      </c>
      <c r="F502">
        <v>448582</v>
      </c>
    </row>
    <row r="503" spans="1:6">
      <c r="A503" s="39">
        <v>42871</v>
      </c>
      <c r="B503">
        <v>109.6</v>
      </c>
      <c r="C503">
        <v>109.69</v>
      </c>
      <c r="D503">
        <v>109.56</v>
      </c>
      <c r="E503">
        <v>109.67</v>
      </c>
      <c r="F503">
        <v>438502</v>
      </c>
    </row>
    <row r="504" spans="1:6">
      <c r="A504" s="39">
        <v>42872</v>
      </c>
      <c r="B504">
        <v>109.89</v>
      </c>
      <c r="C504">
        <v>110.08</v>
      </c>
      <c r="D504">
        <v>109.89</v>
      </c>
      <c r="E504">
        <v>110.02</v>
      </c>
      <c r="F504">
        <v>813762</v>
      </c>
    </row>
    <row r="505" spans="1:6">
      <c r="A505" s="39">
        <v>42873</v>
      </c>
      <c r="B505">
        <v>110.07</v>
      </c>
      <c r="C505">
        <v>110.16</v>
      </c>
      <c r="D505">
        <v>110.05</v>
      </c>
      <c r="E505">
        <v>110.14</v>
      </c>
      <c r="F505">
        <v>326153</v>
      </c>
    </row>
    <row r="506" spans="1:6">
      <c r="A506" s="39">
        <v>42874</v>
      </c>
      <c r="B506">
        <v>110.07</v>
      </c>
      <c r="C506">
        <v>110.16</v>
      </c>
      <c r="D506">
        <v>110.07</v>
      </c>
      <c r="E506">
        <v>110.16</v>
      </c>
      <c r="F506">
        <v>340487</v>
      </c>
    </row>
  </sheetData>
  <sortState ref="A3:F506">
    <sortCondition ref="A3:A506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06"/>
  <sheetViews>
    <sheetView workbookViewId="0"/>
  </sheetViews>
  <sheetFormatPr defaultRowHeight="15"/>
  <cols>
    <col min="1" max="7" width="10.7109375" customWidth="1"/>
  </cols>
  <sheetData>
    <row r="1" spans="1:6">
      <c r="A1" t="s">
        <v>50</v>
      </c>
    </row>
    <row r="2" spans="1:6">
      <c r="A2" t="s">
        <v>26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</row>
    <row r="3" spans="1:6">
      <c r="A3" s="39">
        <v>42145</v>
      </c>
      <c r="B3">
        <v>80.61</v>
      </c>
      <c r="C3">
        <v>80.709999999999994</v>
      </c>
      <c r="D3">
        <v>79.78</v>
      </c>
      <c r="E3">
        <v>80.150000000000006</v>
      </c>
      <c r="F3">
        <v>2667793</v>
      </c>
    </row>
    <row r="4" spans="1:6">
      <c r="A4" s="39">
        <v>42146</v>
      </c>
      <c r="B4">
        <v>79.86</v>
      </c>
      <c r="C4">
        <v>80.599999999999994</v>
      </c>
      <c r="D4">
        <v>79.599999999999994</v>
      </c>
      <c r="E4">
        <v>80.05</v>
      </c>
      <c r="F4">
        <v>4067546</v>
      </c>
    </row>
    <row r="5" spans="1:6">
      <c r="A5" s="39">
        <v>42150</v>
      </c>
      <c r="B5">
        <v>80</v>
      </c>
      <c r="C5">
        <v>80.05</v>
      </c>
      <c r="D5">
        <v>79.209999999999994</v>
      </c>
      <c r="E5">
        <v>79.44</v>
      </c>
      <c r="F5">
        <v>3041692</v>
      </c>
    </row>
    <row r="6" spans="1:6">
      <c r="A6" s="39">
        <v>42151</v>
      </c>
      <c r="B6">
        <v>79.739999999999995</v>
      </c>
      <c r="C6">
        <v>80.34</v>
      </c>
      <c r="D6">
        <v>79.36</v>
      </c>
      <c r="E6">
        <v>80.22</v>
      </c>
      <c r="F6">
        <v>2978592</v>
      </c>
    </row>
    <row r="7" spans="1:6">
      <c r="A7" s="39">
        <v>42152</v>
      </c>
      <c r="B7">
        <v>80.17</v>
      </c>
      <c r="C7">
        <v>80.39</v>
      </c>
      <c r="D7">
        <v>79.650000000000006</v>
      </c>
      <c r="E7">
        <v>80.06</v>
      </c>
      <c r="F7">
        <v>2771954</v>
      </c>
    </row>
    <row r="8" spans="1:6">
      <c r="A8" s="39">
        <v>42153</v>
      </c>
      <c r="B8">
        <v>79.930000000000007</v>
      </c>
      <c r="C8">
        <v>80.2</v>
      </c>
      <c r="D8">
        <v>79.03</v>
      </c>
      <c r="E8">
        <v>79.14</v>
      </c>
      <c r="F8">
        <v>4786536</v>
      </c>
    </row>
    <row r="9" spans="1:6">
      <c r="A9" s="39">
        <v>42156</v>
      </c>
      <c r="B9">
        <v>79.39</v>
      </c>
      <c r="C9">
        <v>80.260000000000005</v>
      </c>
      <c r="D9">
        <v>79.02</v>
      </c>
      <c r="E9">
        <v>80.11</v>
      </c>
      <c r="F9">
        <v>4464422</v>
      </c>
    </row>
    <row r="10" spans="1:6">
      <c r="A10" s="39">
        <v>42157</v>
      </c>
      <c r="B10">
        <v>79.760000000000005</v>
      </c>
      <c r="C10">
        <v>79.8</v>
      </c>
      <c r="D10">
        <v>79.03</v>
      </c>
      <c r="E10">
        <v>79.37</v>
      </c>
      <c r="F10">
        <v>3313202</v>
      </c>
    </row>
    <row r="11" spans="1:6">
      <c r="A11" s="39">
        <v>42158</v>
      </c>
      <c r="B11">
        <v>79.150000000000006</v>
      </c>
      <c r="C11">
        <v>79.31</v>
      </c>
      <c r="D11">
        <v>78.14</v>
      </c>
      <c r="E11">
        <v>78.23</v>
      </c>
      <c r="F11">
        <v>3886830</v>
      </c>
    </row>
    <row r="12" spans="1:6">
      <c r="A12" s="39">
        <v>42159</v>
      </c>
      <c r="B12">
        <v>78.150000000000006</v>
      </c>
      <c r="C12">
        <v>78.44</v>
      </c>
      <c r="D12">
        <v>77.83</v>
      </c>
      <c r="E12">
        <v>78.08</v>
      </c>
      <c r="F12">
        <v>3710106</v>
      </c>
    </row>
    <row r="13" spans="1:6">
      <c r="A13" s="39">
        <v>42160</v>
      </c>
      <c r="B13">
        <v>77.05</v>
      </c>
      <c r="C13">
        <v>77.8</v>
      </c>
      <c r="D13">
        <v>76.5</v>
      </c>
      <c r="E13">
        <v>77.209999999999994</v>
      </c>
      <c r="F13">
        <v>6140965</v>
      </c>
    </row>
    <row r="14" spans="1:6">
      <c r="A14" s="39">
        <v>42163</v>
      </c>
      <c r="B14">
        <v>77.2</v>
      </c>
      <c r="C14">
        <v>77.41</v>
      </c>
      <c r="D14">
        <v>76.900000000000006</v>
      </c>
      <c r="E14">
        <v>77.069999999999993</v>
      </c>
      <c r="F14">
        <v>3347087</v>
      </c>
    </row>
    <row r="15" spans="1:6">
      <c r="A15" s="39">
        <v>42164</v>
      </c>
      <c r="B15">
        <v>76.819999999999993</v>
      </c>
      <c r="C15">
        <v>77.209999999999994</v>
      </c>
      <c r="D15">
        <v>76.400000000000006</v>
      </c>
      <c r="E15">
        <v>76.510000000000005</v>
      </c>
      <c r="F15">
        <v>4604470</v>
      </c>
    </row>
    <row r="16" spans="1:6">
      <c r="A16" s="39">
        <v>42165</v>
      </c>
      <c r="B16">
        <v>76.47</v>
      </c>
      <c r="C16">
        <v>77.73</v>
      </c>
      <c r="D16">
        <v>76.38</v>
      </c>
      <c r="E16">
        <v>77.05</v>
      </c>
      <c r="F16">
        <v>4332027</v>
      </c>
    </row>
    <row r="17" spans="1:6">
      <c r="A17" s="39">
        <v>42166</v>
      </c>
      <c r="B17">
        <v>77.62</v>
      </c>
      <c r="C17">
        <v>77.81</v>
      </c>
      <c r="D17">
        <v>77.37</v>
      </c>
      <c r="E17">
        <v>77.52</v>
      </c>
      <c r="F17">
        <v>9410978</v>
      </c>
    </row>
    <row r="18" spans="1:6">
      <c r="A18" s="39">
        <v>42167</v>
      </c>
      <c r="B18">
        <v>77.239999999999995</v>
      </c>
      <c r="C18">
        <v>77.760000000000005</v>
      </c>
      <c r="D18">
        <v>77.22</v>
      </c>
      <c r="E18">
        <v>77.45</v>
      </c>
      <c r="F18">
        <v>3125471</v>
      </c>
    </row>
    <row r="19" spans="1:6">
      <c r="A19" s="39">
        <v>42170</v>
      </c>
      <c r="B19">
        <v>77.38</v>
      </c>
      <c r="C19">
        <v>77.38</v>
      </c>
      <c r="D19">
        <v>76.849999999999994</v>
      </c>
      <c r="E19">
        <v>77.03</v>
      </c>
      <c r="F19">
        <v>3565242</v>
      </c>
    </row>
    <row r="20" spans="1:6">
      <c r="A20" s="39">
        <v>42171</v>
      </c>
      <c r="B20">
        <v>77.099999999999994</v>
      </c>
      <c r="C20">
        <v>77.77</v>
      </c>
      <c r="D20">
        <v>76.94</v>
      </c>
      <c r="E20">
        <v>77.650000000000006</v>
      </c>
      <c r="F20">
        <v>5474761</v>
      </c>
    </row>
    <row r="21" spans="1:6">
      <c r="A21" s="39">
        <v>42172</v>
      </c>
      <c r="B21">
        <v>77.709999999999994</v>
      </c>
      <c r="C21">
        <v>78.37</v>
      </c>
      <c r="D21">
        <v>77.12</v>
      </c>
      <c r="E21">
        <v>78.31</v>
      </c>
      <c r="F21">
        <v>3922279</v>
      </c>
    </row>
    <row r="22" spans="1:6">
      <c r="A22" s="39">
        <v>42173</v>
      </c>
      <c r="B22">
        <v>78.36</v>
      </c>
      <c r="C22">
        <v>79.72</v>
      </c>
      <c r="D22">
        <v>78.31</v>
      </c>
      <c r="E22">
        <v>79.39</v>
      </c>
      <c r="F22">
        <v>5616873</v>
      </c>
    </row>
    <row r="23" spans="1:6">
      <c r="A23" s="39">
        <v>42174</v>
      </c>
      <c r="B23">
        <v>79.44</v>
      </c>
      <c r="C23">
        <v>79.61</v>
      </c>
      <c r="D23">
        <v>78.53</v>
      </c>
      <c r="E23">
        <v>78.78</v>
      </c>
      <c r="F23">
        <v>5986296</v>
      </c>
    </row>
    <row r="24" spans="1:6">
      <c r="A24" s="39">
        <v>42177</v>
      </c>
      <c r="B24">
        <v>78.78</v>
      </c>
      <c r="C24">
        <v>79.13</v>
      </c>
      <c r="D24">
        <v>77.89</v>
      </c>
      <c r="E24">
        <v>77.97</v>
      </c>
      <c r="F24">
        <v>3898729</v>
      </c>
    </row>
    <row r="25" spans="1:6">
      <c r="A25" s="39">
        <v>42178</v>
      </c>
      <c r="B25">
        <v>77.650000000000006</v>
      </c>
      <c r="C25">
        <v>77.819999999999993</v>
      </c>
      <c r="D25">
        <v>77.180000000000007</v>
      </c>
      <c r="E25">
        <v>77.319999999999993</v>
      </c>
      <c r="F25">
        <v>2933150</v>
      </c>
    </row>
    <row r="26" spans="1:6">
      <c r="A26" s="39">
        <v>42179</v>
      </c>
      <c r="B26">
        <v>77.349999999999994</v>
      </c>
      <c r="C26">
        <v>77.66</v>
      </c>
      <c r="D26">
        <v>76.87</v>
      </c>
      <c r="E26">
        <v>76.900000000000006</v>
      </c>
      <c r="F26">
        <v>3900179</v>
      </c>
    </row>
    <row r="27" spans="1:6">
      <c r="A27" s="39">
        <v>42180</v>
      </c>
      <c r="B27">
        <v>77</v>
      </c>
      <c r="C27">
        <v>77</v>
      </c>
      <c r="D27">
        <v>76.09</v>
      </c>
      <c r="E27">
        <v>76.12</v>
      </c>
      <c r="F27">
        <v>4820644</v>
      </c>
    </row>
    <row r="28" spans="1:6">
      <c r="A28" s="39">
        <v>42181</v>
      </c>
      <c r="B28">
        <v>75.3</v>
      </c>
      <c r="C28">
        <v>76.09</v>
      </c>
      <c r="D28">
        <v>75.09</v>
      </c>
      <c r="E28">
        <v>75.900000000000006</v>
      </c>
      <c r="F28">
        <v>3789498</v>
      </c>
    </row>
    <row r="29" spans="1:6">
      <c r="A29" s="39">
        <v>42184</v>
      </c>
      <c r="B29">
        <v>75.62</v>
      </c>
      <c r="C29">
        <v>76.38</v>
      </c>
      <c r="D29">
        <v>74.67</v>
      </c>
      <c r="E29">
        <v>74.72</v>
      </c>
      <c r="F29">
        <v>5111977</v>
      </c>
    </row>
    <row r="30" spans="1:6">
      <c r="A30" s="39">
        <v>42185</v>
      </c>
      <c r="B30">
        <v>75.13</v>
      </c>
      <c r="C30">
        <v>75.39</v>
      </c>
      <c r="D30">
        <v>74.5</v>
      </c>
      <c r="E30">
        <v>74.69</v>
      </c>
      <c r="F30">
        <v>5855884</v>
      </c>
    </row>
    <row r="31" spans="1:6">
      <c r="A31" s="39">
        <v>42186</v>
      </c>
      <c r="B31">
        <v>74.38</v>
      </c>
      <c r="C31">
        <v>75.92</v>
      </c>
      <c r="D31">
        <v>74.36</v>
      </c>
      <c r="E31">
        <v>75.92</v>
      </c>
      <c r="F31">
        <v>6318896</v>
      </c>
    </row>
    <row r="32" spans="1:6">
      <c r="A32" s="39">
        <v>42187</v>
      </c>
      <c r="B32">
        <v>76.459999999999994</v>
      </c>
      <c r="C32">
        <v>77.14</v>
      </c>
      <c r="D32">
        <v>75.98</v>
      </c>
      <c r="E32">
        <v>76.11</v>
      </c>
      <c r="F32">
        <v>4303682</v>
      </c>
    </row>
    <row r="33" spans="1:6">
      <c r="A33" s="39">
        <v>42191</v>
      </c>
      <c r="B33">
        <v>75.73</v>
      </c>
      <c r="C33">
        <v>76.69</v>
      </c>
      <c r="D33">
        <v>75.64</v>
      </c>
      <c r="E33">
        <v>76.59</v>
      </c>
      <c r="F33">
        <v>5116724</v>
      </c>
    </row>
    <row r="34" spans="1:6">
      <c r="A34" s="39">
        <v>42192</v>
      </c>
      <c r="B34">
        <v>77</v>
      </c>
      <c r="C34">
        <v>77.92</v>
      </c>
      <c r="D34">
        <v>76.81</v>
      </c>
      <c r="E34">
        <v>77.790000000000006</v>
      </c>
      <c r="F34">
        <v>5921002</v>
      </c>
    </row>
    <row r="35" spans="1:6">
      <c r="A35" s="39">
        <v>42193</v>
      </c>
      <c r="B35">
        <v>77.37</v>
      </c>
      <c r="C35">
        <v>77.760000000000005</v>
      </c>
      <c r="D35">
        <v>77.25</v>
      </c>
      <c r="E35">
        <v>77.489999999999995</v>
      </c>
      <c r="F35">
        <v>4941847</v>
      </c>
    </row>
    <row r="36" spans="1:6">
      <c r="A36" s="39">
        <v>42194</v>
      </c>
      <c r="B36">
        <v>77.680000000000007</v>
      </c>
      <c r="C36">
        <v>77.94</v>
      </c>
      <c r="D36">
        <v>76.930000000000007</v>
      </c>
      <c r="E36">
        <v>77.12</v>
      </c>
      <c r="F36">
        <v>3313528</v>
      </c>
    </row>
    <row r="37" spans="1:6">
      <c r="A37" s="39">
        <v>42195</v>
      </c>
      <c r="B37">
        <v>77.44</v>
      </c>
      <c r="C37">
        <v>78.28</v>
      </c>
      <c r="D37">
        <v>77.260000000000005</v>
      </c>
      <c r="E37">
        <v>77.760000000000005</v>
      </c>
      <c r="F37">
        <v>4774131</v>
      </c>
    </row>
    <row r="38" spans="1:6">
      <c r="A38" s="39">
        <v>42198</v>
      </c>
      <c r="B38">
        <v>77.819999999999993</v>
      </c>
      <c r="C38">
        <v>78.739999999999995</v>
      </c>
      <c r="D38">
        <v>77.459999999999994</v>
      </c>
      <c r="E38">
        <v>77.87</v>
      </c>
      <c r="F38">
        <v>2887776</v>
      </c>
    </row>
    <row r="39" spans="1:6">
      <c r="A39" s="39">
        <v>42199</v>
      </c>
      <c r="B39">
        <v>78</v>
      </c>
      <c r="C39">
        <v>78.3</v>
      </c>
      <c r="D39">
        <v>77.569999999999993</v>
      </c>
      <c r="E39">
        <v>78.03</v>
      </c>
      <c r="F39">
        <v>2422879</v>
      </c>
    </row>
    <row r="40" spans="1:6">
      <c r="A40" s="39">
        <v>42200</v>
      </c>
      <c r="B40">
        <v>77.83</v>
      </c>
      <c r="C40">
        <v>78.44</v>
      </c>
      <c r="D40">
        <v>77.680000000000007</v>
      </c>
      <c r="E40">
        <v>78.16</v>
      </c>
      <c r="F40">
        <v>2238054</v>
      </c>
    </row>
    <row r="41" spans="1:6">
      <c r="A41" s="39">
        <v>42201</v>
      </c>
      <c r="B41">
        <v>78.290000000000006</v>
      </c>
      <c r="C41">
        <v>78.89</v>
      </c>
      <c r="D41">
        <v>78.290000000000006</v>
      </c>
      <c r="E41">
        <v>78.790000000000006</v>
      </c>
      <c r="F41">
        <v>2494775</v>
      </c>
    </row>
    <row r="42" spans="1:6">
      <c r="A42" s="39">
        <v>42202</v>
      </c>
      <c r="B42">
        <v>78.739999999999995</v>
      </c>
      <c r="C42">
        <v>78.83</v>
      </c>
      <c r="D42">
        <v>78.27</v>
      </c>
      <c r="E42">
        <v>78.510000000000005</v>
      </c>
      <c r="F42">
        <v>1803094</v>
      </c>
    </row>
    <row r="43" spans="1:6">
      <c r="A43" s="39">
        <v>42205</v>
      </c>
      <c r="B43">
        <v>78.319999999999993</v>
      </c>
      <c r="C43">
        <v>78.739999999999995</v>
      </c>
      <c r="D43">
        <v>78.08</v>
      </c>
      <c r="E43">
        <v>78.599999999999994</v>
      </c>
      <c r="F43">
        <v>2164757</v>
      </c>
    </row>
    <row r="44" spans="1:6">
      <c r="A44" s="39">
        <v>42206</v>
      </c>
      <c r="B44">
        <v>78.680000000000007</v>
      </c>
      <c r="C44">
        <v>78.989999999999995</v>
      </c>
      <c r="D44">
        <v>78.37</v>
      </c>
      <c r="E44">
        <v>78.38</v>
      </c>
      <c r="F44">
        <v>3540725</v>
      </c>
    </row>
    <row r="45" spans="1:6">
      <c r="A45" s="39">
        <v>42207</v>
      </c>
      <c r="B45">
        <v>78.45</v>
      </c>
      <c r="C45">
        <v>79</v>
      </c>
      <c r="D45">
        <v>78.37</v>
      </c>
      <c r="E45">
        <v>78.72</v>
      </c>
      <c r="F45">
        <v>2883484</v>
      </c>
    </row>
    <row r="46" spans="1:6">
      <c r="A46" s="39">
        <v>42208</v>
      </c>
      <c r="B46">
        <v>78.67</v>
      </c>
      <c r="C46">
        <v>78.709999999999994</v>
      </c>
      <c r="D46">
        <v>77.27</v>
      </c>
      <c r="E46">
        <v>77.739999999999995</v>
      </c>
      <c r="F46">
        <v>3188934</v>
      </c>
    </row>
    <row r="47" spans="1:6">
      <c r="A47" s="39">
        <v>42209</v>
      </c>
      <c r="B47">
        <v>77.77</v>
      </c>
      <c r="C47">
        <v>78.33</v>
      </c>
      <c r="D47">
        <v>77.53</v>
      </c>
      <c r="E47">
        <v>78.069999999999993</v>
      </c>
      <c r="F47">
        <v>2800285</v>
      </c>
    </row>
    <row r="48" spans="1:6">
      <c r="A48" s="39">
        <v>42212</v>
      </c>
      <c r="B48">
        <v>77.94</v>
      </c>
      <c r="C48">
        <v>78.66</v>
      </c>
      <c r="D48">
        <v>77.94</v>
      </c>
      <c r="E48">
        <v>78.209999999999994</v>
      </c>
      <c r="F48">
        <v>3003046</v>
      </c>
    </row>
    <row r="49" spans="1:6">
      <c r="A49" s="39">
        <v>42213</v>
      </c>
      <c r="B49">
        <v>78.22</v>
      </c>
      <c r="C49">
        <v>78.510000000000005</v>
      </c>
      <c r="D49">
        <v>77.98</v>
      </c>
      <c r="E49">
        <v>78.260000000000005</v>
      </c>
      <c r="F49">
        <v>2673997</v>
      </c>
    </row>
    <row r="50" spans="1:6">
      <c r="A50" s="39">
        <v>42214</v>
      </c>
      <c r="B50">
        <v>78.17</v>
      </c>
      <c r="C50">
        <v>78.900000000000006</v>
      </c>
      <c r="D50">
        <v>77.849999999999994</v>
      </c>
      <c r="E50">
        <v>78.77</v>
      </c>
      <c r="F50">
        <v>7988137</v>
      </c>
    </row>
    <row r="51" spans="1:6">
      <c r="A51" s="39">
        <v>42215</v>
      </c>
      <c r="B51">
        <v>78.650000000000006</v>
      </c>
      <c r="C51">
        <v>78.78</v>
      </c>
      <c r="D51">
        <v>78.12</v>
      </c>
      <c r="E51">
        <v>78.38</v>
      </c>
      <c r="F51">
        <v>2932498</v>
      </c>
    </row>
    <row r="52" spans="1:6">
      <c r="A52" s="39">
        <v>42216</v>
      </c>
      <c r="B52">
        <v>78.92</v>
      </c>
      <c r="C52">
        <v>79.63</v>
      </c>
      <c r="D52">
        <v>78.849999999999994</v>
      </c>
      <c r="E52">
        <v>79</v>
      </c>
      <c r="F52">
        <v>5490420</v>
      </c>
    </row>
    <row r="53" spans="1:6">
      <c r="A53" s="39">
        <v>42219</v>
      </c>
      <c r="B53">
        <v>79.27</v>
      </c>
      <c r="C53">
        <v>79.569999999999993</v>
      </c>
      <c r="D53">
        <v>79</v>
      </c>
      <c r="E53">
        <v>79.489999999999995</v>
      </c>
      <c r="F53">
        <v>3766413</v>
      </c>
    </row>
    <row r="54" spans="1:6">
      <c r="A54" s="39">
        <v>42220</v>
      </c>
      <c r="B54">
        <v>79.72</v>
      </c>
      <c r="C54">
        <v>79.86</v>
      </c>
      <c r="D54">
        <v>78.73</v>
      </c>
      <c r="E54">
        <v>78.91</v>
      </c>
      <c r="F54">
        <v>4087323</v>
      </c>
    </row>
    <row r="55" spans="1:6">
      <c r="A55" s="39">
        <v>42221</v>
      </c>
      <c r="B55">
        <v>79</v>
      </c>
      <c r="C55">
        <v>79.150000000000006</v>
      </c>
      <c r="D55">
        <v>78.08</v>
      </c>
      <c r="E55">
        <v>78.39</v>
      </c>
      <c r="F55">
        <v>3783091</v>
      </c>
    </row>
    <row r="56" spans="1:6">
      <c r="A56" s="39">
        <v>42222</v>
      </c>
      <c r="B56">
        <v>78.459999999999994</v>
      </c>
      <c r="C56">
        <v>78.55</v>
      </c>
      <c r="D56">
        <v>77.19</v>
      </c>
      <c r="E56">
        <v>78.5</v>
      </c>
      <c r="F56">
        <v>3473260</v>
      </c>
    </row>
    <row r="57" spans="1:6">
      <c r="A57" s="39">
        <v>42223</v>
      </c>
      <c r="B57">
        <v>78.37</v>
      </c>
      <c r="C57">
        <v>78.900000000000006</v>
      </c>
      <c r="D57">
        <v>77.8</v>
      </c>
      <c r="E57">
        <v>78.790000000000006</v>
      </c>
      <c r="F57">
        <v>3942615</v>
      </c>
    </row>
    <row r="58" spans="1:6">
      <c r="A58" s="39">
        <v>42226</v>
      </c>
      <c r="B58">
        <v>79.099999999999994</v>
      </c>
      <c r="C58">
        <v>79.17</v>
      </c>
      <c r="D58">
        <v>78.180000000000007</v>
      </c>
      <c r="E58">
        <v>78.540000000000006</v>
      </c>
      <c r="F58">
        <v>2605110</v>
      </c>
    </row>
    <row r="59" spans="1:6">
      <c r="A59" s="39">
        <v>42227</v>
      </c>
      <c r="B59">
        <v>78.34</v>
      </c>
      <c r="C59">
        <v>79.39</v>
      </c>
      <c r="D59">
        <v>78.25</v>
      </c>
      <c r="E59">
        <v>79.06</v>
      </c>
      <c r="F59">
        <v>4539891</v>
      </c>
    </row>
    <row r="60" spans="1:6">
      <c r="A60" s="39">
        <v>42228</v>
      </c>
      <c r="B60">
        <v>78.78</v>
      </c>
      <c r="C60">
        <v>79.33</v>
      </c>
      <c r="D60">
        <v>78.36</v>
      </c>
      <c r="E60">
        <v>79.31</v>
      </c>
      <c r="F60">
        <v>3229165</v>
      </c>
    </row>
    <row r="61" spans="1:6">
      <c r="A61" s="39">
        <v>42229</v>
      </c>
      <c r="B61">
        <v>79.13</v>
      </c>
      <c r="C61">
        <v>79.73</v>
      </c>
      <c r="D61">
        <v>78.47</v>
      </c>
      <c r="E61">
        <v>79.400000000000006</v>
      </c>
      <c r="F61">
        <v>2381923</v>
      </c>
    </row>
    <row r="62" spans="1:6">
      <c r="A62" s="39">
        <v>42230</v>
      </c>
      <c r="B62">
        <v>79.17</v>
      </c>
      <c r="C62">
        <v>79.86</v>
      </c>
      <c r="D62">
        <v>78.87</v>
      </c>
      <c r="E62">
        <v>79.83</v>
      </c>
      <c r="F62">
        <v>2558213</v>
      </c>
    </row>
    <row r="63" spans="1:6">
      <c r="A63" s="39">
        <v>42233</v>
      </c>
      <c r="B63">
        <v>79.91</v>
      </c>
      <c r="C63">
        <v>80.569999999999993</v>
      </c>
      <c r="D63">
        <v>79.489999999999995</v>
      </c>
      <c r="E63">
        <v>80.510000000000005</v>
      </c>
      <c r="F63">
        <v>2912583</v>
      </c>
    </row>
    <row r="64" spans="1:6">
      <c r="A64" s="39">
        <v>42234</v>
      </c>
      <c r="B64">
        <v>80.47</v>
      </c>
      <c r="C64">
        <v>80.83</v>
      </c>
      <c r="D64">
        <v>80.239999999999995</v>
      </c>
      <c r="E64">
        <v>80.73</v>
      </c>
      <c r="F64">
        <v>2904785</v>
      </c>
    </row>
    <row r="65" spans="1:6">
      <c r="A65" s="39">
        <v>42235</v>
      </c>
      <c r="B65">
        <v>80.510000000000005</v>
      </c>
      <c r="C65">
        <v>80.62</v>
      </c>
      <c r="D65">
        <v>79.77</v>
      </c>
      <c r="E65">
        <v>80.25</v>
      </c>
      <c r="F65">
        <v>2400981</v>
      </c>
    </row>
    <row r="66" spans="1:6">
      <c r="A66" s="39">
        <v>42236</v>
      </c>
      <c r="B66">
        <v>79.86</v>
      </c>
      <c r="C66">
        <v>80.260000000000005</v>
      </c>
      <c r="D66">
        <v>79.42</v>
      </c>
      <c r="E66">
        <v>79.66</v>
      </c>
      <c r="F66">
        <v>3894139</v>
      </c>
    </row>
    <row r="67" spans="1:6">
      <c r="A67" s="39">
        <v>42237</v>
      </c>
      <c r="B67">
        <v>79.260000000000005</v>
      </c>
      <c r="C67">
        <v>79.56</v>
      </c>
      <c r="D67">
        <v>78.180000000000007</v>
      </c>
      <c r="E67">
        <v>78.180000000000007</v>
      </c>
      <c r="F67">
        <v>4120553</v>
      </c>
    </row>
    <row r="68" spans="1:6">
      <c r="A68" s="39">
        <v>42240</v>
      </c>
      <c r="B68">
        <v>75.52</v>
      </c>
      <c r="C68">
        <v>77.069999999999993</v>
      </c>
      <c r="D68">
        <v>72.25</v>
      </c>
      <c r="E68">
        <v>74.52</v>
      </c>
      <c r="F68">
        <v>10864370</v>
      </c>
    </row>
    <row r="69" spans="1:6">
      <c r="A69" s="39">
        <v>42241</v>
      </c>
      <c r="B69">
        <v>75.52</v>
      </c>
      <c r="C69">
        <v>76</v>
      </c>
      <c r="D69">
        <v>72.459999999999994</v>
      </c>
      <c r="E69">
        <v>72.47</v>
      </c>
      <c r="F69">
        <v>9148939</v>
      </c>
    </row>
    <row r="70" spans="1:6">
      <c r="A70" s="39">
        <v>42242</v>
      </c>
      <c r="B70">
        <v>73.19</v>
      </c>
      <c r="C70">
        <v>74.63</v>
      </c>
      <c r="D70">
        <v>72.86</v>
      </c>
      <c r="E70">
        <v>74.430000000000007</v>
      </c>
      <c r="F70">
        <v>5067430</v>
      </c>
    </row>
    <row r="71" spans="1:6">
      <c r="A71" s="39">
        <v>42243</v>
      </c>
      <c r="B71">
        <v>75.12</v>
      </c>
      <c r="C71">
        <v>76.459999999999994</v>
      </c>
      <c r="D71">
        <v>74.48</v>
      </c>
      <c r="E71">
        <v>75.87</v>
      </c>
      <c r="F71">
        <v>5627399</v>
      </c>
    </row>
    <row r="72" spans="1:6">
      <c r="A72" s="39">
        <v>42244</v>
      </c>
      <c r="B72">
        <v>75.819999999999993</v>
      </c>
      <c r="C72">
        <v>75.98</v>
      </c>
      <c r="D72">
        <v>75.22</v>
      </c>
      <c r="E72">
        <v>75.760000000000005</v>
      </c>
      <c r="F72">
        <v>3867557</v>
      </c>
    </row>
    <row r="73" spans="1:6">
      <c r="A73" s="39">
        <v>42247</v>
      </c>
      <c r="B73">
        <v>75.58</v>
      </c>
      <c r="C73">
        <v>75.75</v>
      </c>
      <c r="D73">
        <v>74.03</v>
      </c>
      <c r="E73">
        <v>74.03</v>
      </c>
      <c r="F73">
        <v>6178545</v>
      </c>
    </row>
    <row r="74" spans="1:6">
      <c r="A74" s="39">
        <v>42248</v>
      </c>
      <c r="B74">
        <v>73.290000000000006</v>
      </c>
      <c r="C74">
        <v>73.66</v>
      </c>
      <c r="D74">
        <v>72.099999999999994</v>
      </c>
      <c r="E74">
        <v>72.61</v>
      </c>
      <c r="F74">
        <v>7204170</v>
      </c>
    </row>
    <row r="75" spans="1:6">
      <c r="A75" s="39">
        <v>42249</v>
      </c>
      <c r="B75">
        <v>73.09</v>
      </c>
      <c r="C75">
        <v>73.62</v>
      </c>
      <c r="D75">
        <v>72.72</v>
      </c>
      <c r="E75">
        <v>73.37</v>
      </c>
      <c r="F75">
        <v>5018509</v>
      </c>
    </row>
    <row r="76" spans="1:6">
      <c r="A76" s="39">
        <v>42250</v>
      </c>
      <c r="B76">
        <v>73.62</v>
      </c>
      <c r="C76">
        <v>74.11</v>
      </c>
      <c r="D76">
        <v>73.400000000000006</v>
      </c>
      <c r="E76">
        <v>73.569999999999993</v>
      </c>
      <c r="F76">
        <v>3712138</v>
      </c>
    </row>
    <row r="77" spans="1:6">
      <c r="A77" s="39">
        <v>42251</v>
      </c>
      <c r="B77">
        <v>73.12</v>
      </c>
      <c r="C77">
        <v>73.12</v>
      </c>
      <c r="D77">
        <v>71.67</v>
      </c>
      <c r="E77">
        <v>72.150000000000006</v>
      </c>
      <c r="F77">
        <v>4262666</v>
      </c>
    </row>
    <row r="78" spans="1:6">
      <c r="A78" s="39">
        <v>42255</v>
      </c>
      <c r="B78">
        <v>72.84</v>
      </c>
      <c r="C78">
        <v>73.489999999999995</v>
      </c>
      <c r="D78">
        <v>72.61</v>
      </c>
      <c r="E78">
        <v>73.290000000000006</v>
      </c>
      <c r="F78">
        <v>3004455</v>
      </c>
    </row>
    <row r="79" spans="1:6">
      <c r="A79" s="39">
        <v>42256</v>
      </c>
      <c r="B79">
        <v>73.87</v>
      </c>
      <c r="C79">
        <v>74.14</v>
      </c>
      <c r="D79">
        <v>72.34</v>
      </c>
      <c r="E79">
        <v>72.45</v>
      </c>
      <c r="F79">
        <v>2999263</v>
      </c>
    </row>
    <row r="80" spans="1:6">
      <c r="A80" s="39">
        <v>42257</v>
      </c>
      <c r="B80">
        <v>72.33</v>
      </c>
      <c r="C80">
        <v>73.37</v>
      </c>
      <c r="D80">
        <v>72.25</v>
      </c>
      <c r="E80">
        <v>72.61</v>
      </c>
      <c r="F80">
        <v>4609548</v>
      </c>
    </row>
    <row r="81" spans="1:6">
      <c r="A81" s="39">
        <v>42258</v>
      </c>
      <c r="B81">
        <v>72.599999999999994</v>
      </c>
      <c r="C81">
        <v>74.02</v>
      </c>
      <c r="D81">
        <v>72.489999999999995</v>
      </c>
      <c r="E81">
        <v>74</v>
      </c>
      <c r="F81">
        <v>3892267</v>
      </c>
    </row>
    <row r="82" spans="1:6">
      <c r="A82" s="39">
        <v>42261</v>
      </c>
      <c r="B82">
        <v>74.11</v>
      </c>
      <c r="C82">
        <v>74.25</v>
      </c>
      <c r="D82">
        <v>73.819999999999993</v>
      </c>
      <c r="E82">
        <v>74.040000000000006</v>
      </c>
      <c r="F82">
        <v>3040480</v>
      </c>
    </row>
    <row r="83" spans="1:6">
      <c r="A83" s="39">
        <v>42262</v>
      </c>
      <c r="B83">
        <v>74.069999999999993</v>
      </c>
      <c r="C83">
        <v>74.930000000000007</v>
      </c>
      <c r="D83">
        <v>73.569999999999993</v>
      </c>
      <c r="E83">
        <v>74.77</v>
      </c>
      <c r="F83">
        <v>2736777</v>
      </c>
    </row>
    <row r="84" spans="1:6">
      <c r="A84" s="39">
        <v>42263</v>
      </c>
      <c r="B84">
        <v>74.72</v>
      </c>
      <c r="C84">
        <v>75.75</v>
      </c>
      <c r="D84">
        <v>74.69</v>
      </c>
      <c r="E84">
        <v>75.569999999999993</v>
      </c>
      <c r="F84">
        <v>3318529</v>
      </c>
    </row>
    <row r="85" spans="1:6">
      <c r="A85" s="39">
        <v>42264</v>
      </c>
      <c r="B85">
        <v>75.650000000000006</v>
      </c>
      <c r="C85">
        <v>77.739999999999995</v>
      </c>
      <c r="D85">
        <v>75.27</v>
      </c>
      <c r="E85">
        <v>76.430000000000007</v>
      </c>
      <c r="F85">
        <v>6337721</v>
      </c>
    </row>
    <row r="86" spans="1:6">
      <c r="A86" s="39">
        <v>42265</v>
      </c>
      <c r="B86">
        <v>75.89</v>
      </c>
      <c r="C86">
        <v>77.209999999999994</v>
      </c>
      <c r="D86">
        <v>75.540000000000006</v>
      </c>
      <c r="E86">
        <v>76.3</v>
      </c>
      <c r="F86">
        <v>5798278</v>
      </c>
    </row>
    <row r="87" spans="1:6">
      <c r="A87" s="39">
        <v>42268</v>
      </c>
      <c r="B87">
        <v>76.34</v>
      </c>
      <c r="C87">
        <v>77.34</v>
      </c>
      <c r="D87">
        <v>76.3</v>
      </c>
      <c r="E87">
        <v>76.95</v>
      </c>
      <c r="F87">
        <v>3131948</v>
      </c>
    </row>
    <row r="88" spans="1:6">
      <c r="A88" s="39">
        <v>42269</v>
      </c>
      <c r="B88">
        <v>76.41</v>
      </c>
      <c r="C88">
        <v>76.83</v>
      </c>
      <c r="D88">
        <v>75.81</v>
      </c>
      <c r="E88">
        <v>75.989999999999995</v>
      </c>
      <c r="F88">
        <v>2963525</v>
      </c>
    </row>
    <row r="89" spans="1:6">
      <c r="A89" s="39">
        <v>42270</v>
      </c>
      <c r="B89">
        <v>75.5</v>
      </c>
      <c r="C89">
        <v>76.08</v>
      </c>
      <c r="D89">
        <v>75.09</v>
      </c>
      <c r="E89">
        <v>75.69</v>
      </c>
      <c r="F89">
        <v>3708676</v>
      </c>
    </row>
    <row r="90" spans="1:6">
      <c r="A90" s="39">
        <v>42271</v>
      </c>
      <c r="B90">
        <v>75.59</v>
      </c>
      <c r="C90">
        <v>75.91</v>
      </c>
      <c r="D90">
        <v>74.53</v>
      </c>
      <c r="E90">
        <v>74.989999999999995</v>
      </c>
      <c r="F90">
        <v>3707516</v>
      </c>
    </row>
    <row r="91" spans="1:6">
      <c r="A91" s="39">
        <v>42272</v>
      </c>
      <c r="B91">
        <v>75.319999999999993</v>
      </c>
      <c r="C91">
        <v>75.92</v>
      </c>
      <c r="D91">
        <v>74.849999999999994</v>
      </c>
      <c r="E91">
        <v>75.290000000000006</v>
      </c>
      <c r="F91">
        <v>3330030</v>
      </c>
    </row>
    <row r="92" spans="1:6">
      <c r="A92" s="39">
        <v>42275</v>
      </c>
      <c r="B92">
        <v>75.12</v>
      </c>
      <c r="C92">
        <v>75.150000000000006</v>
      </c>
      <c r="D92">
        <v>73.569999999999993</v>
      </c>
      <c r="E92">
        <v>74.12</v>
      </c>
      <c r="F92">
        <v>4094553</v>
      </c>
    </row>
    <row r="93" spans="1:6">
      <c r="A93" s="39">
        <v>42276</v>
      </c>
      <c r="B93">
        <v>74.569999999999993</v>
      </c>
      <c r="C93">
        <v>75.23</v>
      </c>
      <c r="D93">
        <v>74.05</v>
      </c>
      <c r="E93">
        <v>74.91</v>
      </c>
      <c r="F93">
        <v>3784860</v>
      </c>
    </row>
    <row r="94" spans="1:6">
      <c r="A94" s="39">
        <v>42277</v>
      </c>
      <c r="B94">
        <v>75.45</v>
      </c>
      <c r="C94">
        <v>75.69</v>
      </c>
      <c r="D94">
        <v>74.91</v>
      </c>
      <c r="E94">
        <v>75.540000000000006</v>
      </c>
      <c r="F94">
        <v>6236989</v>
      </c>
    </row>
    <row r="95" spans="1:6">
      <c r="A95" s="39">
        <v>42278</v>
      </c>
      <c r="B95">
        <v>75.66</v>
      </c>
      <c r="C95">
        <v>76.03</v>
      </c>
      <c r="D95">
        <v>75.11</v>
      </c>
      <c r="E95">
        <v>75.91</v>
      </c>
      <c r="F95">
        <v>4105109</v>
      </c>
    </row>
    <row r="96" spans="1:6">
      <c r="A96" s="39">
        <v>42279</v>
      </c>
      <c r="B96">
        <v>76.11</v>
      </c>
      <c r="C96">
        <v>76.48</v>
      </c>
      <c r="D96">
        <v>75.040000000000006</v>
      </c>
      <c r="E96">
        <v>76.459999999999994</v>
      </c>
      <c r="F96">
        <v>4601952</v>
      </c>
    </row>
    <row r="97" spans="1:6">
      <c r="A97" s="39">
        <v>42282</v>
      </c>
      <c r="B97">
        <v>76.78</v>
      </c>
      <c r="C97">
        <v>77.88</v>
      </c>
      <c r="D97">
        <v>76.75</v>
      </c>
      <c r="E97">
        <v>77.75</v>
      </c>
      <c r="F97">
        <v>5176458</v>
      </c>
    </row>
    <row r="98" spans="1:6">
      <c r="A98" s="39">
        <v>42283</v>
      </c>
      <c r="B98">
        <v>77.790000000000006</v>
      </c>
      <c r="C98">
        <v>78.209999999999994</v>
      </c>
      <c r="D98">
        <v>77.349999999999994</v>
      </c>
      <c r="E98">
        <v>77.569999999999993</v>
      </c>
      <c r="F98">
        <v>3570660</v>
      </c>
    </row>
    <row r="99" spans="1:6">
      <c r="A99" s="39">
        <v>42284</v>
      </c>
      <c r="B99">
        <v>77.88</v>
      </c>
      <c r="C99">
        <v>78.459999999999994</v>
      </c>
      <c r="D99">
        <v>77.61</v>
      </c>
      <c r="E99">
        <v>78.459999999999994</v>
      </c>
      <c r="F99">
        <v>4211646</v>
      </c>
    </row>
    <row r="100" spans="1:6">
      <c r="A100" s="39">
        <v>42285</v>
      </c>
      <c r="B100">
        <v>78.39</v>
      </c>
      <c r="C100">
        <v>79.2</v>
      </c>
      <c r="D100">
        <v>78.13</v>
      </c>
      <c r="E100">
        <v>79.12</v>
      </c>
      <c r="F100">
        <v>3953200</v>
      </c>
    </row>
    <row r="101" spans="1:6">
      <c r="A101" s="39">
        <v>42286</v>
      </c>
      <c r="B101">
        <v>79.11</v>
      </c>
      <c r="C101">
        <v>79.180000000000007</v>
      </c>
      <c r="D101">
        <v>78.599999999999994</v>
      </c>
      <c r="E101">
        <v>78.989999999999995</v>
      </c>
      <c r="F101">
        <v>3102650</v>
      </c>
    </row>
    <row r="102" spans="1:6">
      <c r="A102" s="39">
        <v>42289</v>
      </c>
      <c r="B102">
        <v>79.16</v>
      </c>
      <c r="C102">
        <v>79.849999999999994</v>
      </c>
      <c r="D102">
        <v>78.989999999999995</v>
      </c>
      <c r="E102">
        <v>79.55</v>
      </c>
      <c r="F102">
        <v>3216534</v>
      </c>
    </row>
    <row r="103" spans="1:6">
      <c r="A103" s="39">
        <v>42290</v>
      </c>
      <c r="B103">
        <v>79.3</v>
      </c>
      <c r="C103">
        <v>79.599999999999994</v>
      </c>
      <c r="D103">
        <v>78.7</v>
      </c>
      <c r="E103">
        <v>78.930000000000007</v>
      </c>
      <c r="F103">
        <v>2362743</v>
      </c>
    </row>
    <row r="104" spans="1:6">
      <c r="A104" s="39">
        <v>42291</v>
      </c>
      <c r="B104">
        <v>79.09</v>
      </c>
      <c r="C104">
        <v>79.180000000000007</v>
      </c>
      <c r="D104">
        <v>78.17</v>
      </c>
      <c r="E104">
        <v>78.34</v>
      </c>
      <c r="F104">
        <v>3349195</v>
      </c>
    </row>
    <row r="105" spans="1:6">
      <c r="A105" s="39">
        <v>42292</v>
      </c>
      <c r="B105">
        <v>78.42</v>
      </c>
      <c r="C105">
        <v>79.41</v>
      </c>
      <c r="D105">
        <v>78.349999999999994</v>
      </c>
      <c r="E105">
        <v>79.41</v>
      </c>
      <c r="F105">
        <v>2533336</v>
      </c>
    </row>
    <row r="106" spans="1:6">
      <c r="A106" s="39">
        <v>42293</v>
      </c>
      <c r="B106">
        <v>79.459999999999994</v>
      </c>
      <c r="C106">
        <v>80.150000000000006</v>
      </c>
      <c r="D106">
        <v>79.430000000000007</v>
      </c>
      <c r="E106">
        <v>80</v>
      </c>
      <c r="F106">
        <v>2873557</v>
      </c>
    </row>
    <row r="107" spans="1:6">
      <c r="A107" s="39">
        <v>42296</v>
      </c>
      <c r="B107">
        <v>79.98</v>
      </c>
      <c r="C107">
        <v>81.13</v>
      </c>
      <c r="D107">
        <v>79.87</v>
      </c>
      <c r="E107">
        <v>81.13</v>
      </c>
      <c r="F107">
        <v>3146051</v>
      </c>
    </row>
    <row r="108" spans="1:6">
      <c r="A108" s="39">
        <v>42297</v>
      </c>
      <c r="B108">
        <v>80.98</v>
      </c>
      <c r="C108">
        <v>81.319999999999993</v>
      </c>
      <c r="D108">
        <v>80.760000000000005</v>
      </c>
      <c r="E108">
        <v>81.099999999999994</v>
      </c>
      <c r="F108">
        <v>2781522</v>
      </c>
    </row>
    <row r="109" spans="1:6">
      <c r="A109" s="39">
        <v>42298</v>
      </c>
      <c r="B109">
        <v>81.25</v>
      </c>
      <c r="C109">
        <v>81.489999999999995</v>
      </c>
      <c r="D109">
        <v>80.739999999999995</v>
      </c>
      <c r="E109">
        <v>80.8</v>
      </c>
      <c r="F109">
        <v>3460448</v>
      </c>
    </row>
    <row r="110" spans="1:6">
      <c r="A110" s="39">
        <v>42299</v>
      </c>
      <c r="B110">
        <v>80.959999999999994</v>
      </c>
      <c r="C110">
        <v>81.77</v>
      </c>
      <c r="D110">
        <v>80.81</v>
      </c>
      <c r="E110">
        <v>81.510000000000005</v>
      </c>
      <c r="F110">
        <v>3504133</v>
      </c>
    </row>
    <row r="111" spans="1:6">
      <c r="A111" s="39">
        <v>42300</v>
      </c>
      <c r="B111">
        <v>81.540000000000006</v>
      </c>
      <c r="C111">
        <v>81.680000000000007</v>
      </c>
      <c r="D111">
        <v>80.23</v>
      </c>
      <c r="E111">
        <v>80.72</v>
      </c>
      <c r="F111">
        <v>3421193</v>
      </c>
    </row>
    <row r="112" spans="1:6">
      <c r="A112" s="39">
        <v>42303</v>
      </c>
      <c r="B112">
        <v>80.75</v>
      </c>
      <c r="C112">
        <v>80.94</v>
      </c>
      <c r="D112">
        <v>80.040000000000006</v>
      </c>
      <c r="E112">
        <v>80.7</v>
      </c>
      <c r="F112">
        <v>3279976</v>
      </c>
    </row>
    <row r="113" spans="1:6">
      <c r="A113" s="39">
        <v>42304</v>
      </c>
      <c r="B113">
        <v>80.69</v>
      </c>
      <c r="C113">
        <v>80.88</v>
      </c>
      <c r="D113">
        <v>80.27</v>
      </c>
      <c r="E113">
        <v>80.67</v>
      </c>
      <c r="F113">
        <v>7133900</v>
      </c>
    </row>
    <row r="114" spans="1:6">
      <c r="A114" s="39">
        <v>42305</v>
      </c>
      <c r="B114">
        <v>80.67</v>
      </c>
      <c r="C114">
        <v>81.260000000000005</v>
      </c>
      <c r="D114">
        <v>79.25</v>
      </c>
      <c r="E114">
        <v>80.739999999999995</v>
      </c>
      <c r="F114">
        <v>4576414</v>
      </c>
    </row>
    <row r="115" spans="1:6">
      <c r="A115" s="39">
        <v>42306</v>
      </c>
      <c r="B115">
        <v>80.5</v>
      </c>
      <c r="C115">
        <v>80.739999999999995</v>
      </c>
      <c r="D115">
        <v>80.09</v>
      </c>
      <c r="E115">
        <v>80.63</v>
      </c>
      <c r="F115">
        <v>3283007</v>
      </c>
    </row>
    <row r="116" spans="1:6">
      <c r="A116" s="39">
        <v>42307</v>
      </c>
      <c r="B116">
        <v>80.64</v>
      </c>
      <c r="C116">
        <v>80.81</v>
      </c>
      <c r="D116">
        <v>79.819999999999993</v>
      </c>
      <c r="E116">
        <v>79.89</v>
      </c>
      <c r="F116">
        <v>7057075</v>
      </c>
    </row>
    <row r="117" spans="1:6">
      <c r="A117" s="39">
        <v>42310</v>
      </c>
      <c r="B117">
        <v>80.069999999999993</v>
      </c>
      <c r="C117">
        <v>81.599999999999994</v>
      </c>
      <c r="D117">
        <v>79.78</v>
      </c>
      <c r="E117">
        <v>81.59</v>
      </c>
      <c r="F117">
        <v>6869596</v>
      </c>
    </row>
    <row r="118" spans="1:6">
      <c r="A118" s="39">
        <v>42311</v>
      </c>
      <c r="B118">
        <v>81.41</v>
      </c>
      <c r="C118">
        <v>81.489999999999995</v>
      </c>
      <c r="D118">
        <v>80.45</v>
      </c>
      <c r="E118">
        <v>80.77</v>
      </c>
      <c r="F118">
        <v>5285316</v>
      </c>
    </row>
    <row r="119" spans="1:6">
      <c r="A119" s="39">
        <v>42312</v>
      </c>
      <c r="B119">
        <v>80.819999999999993</v>
      </c>
      <c r="C119">
        <v>80.959999999999994</v>
      </c>
      <c r="D119">
        <v>80.17</v>
      </c>
      <c r="E119">
        <v>80.41</v>
      </c>
      <c r="F119">
        <v>3165070</v>
      </c>
    </row>
    <row r="120" spans="1:6">
      <c r="A120" s="39">
        <v>42313</v>
      </c>
      <c r="B120">
        <v>80.44</v>
      </c>
      <c r="C120">
        <v>80.819999999999993</v>
      </c>
      <c r="D120">
        <v>79.98</v>
      </c>
      <c r="E120">
        <v>80.73</v>
      </c>
      <c r="F120">
        <v>2804126</v>
      </c>
    </row>
    <row r="121" spans="1:6">
      <c r="A121" s="39">
        <v>42314</v>
      </c>
      <c r="B121">
        <v>79.430000000000007</v>
      </c>
      <c r="C121">
        <v>79.760000000000005</v>
      </c>
      <c r="D121">
        <v>77.72</v>
      </c>
      <c r="E121">
        <v>78.22</v>
      </c>
      <c r="F121">
        <v>7070094</v>
      </c>
    </row>
    <row r="122" spans="1:6">
      <c r="A122" s="39">
        <v>42317</v>
      </c>
      <c r="B122">
        <v>77.72</v>
      </c>
      <c r="C122">
        <v>77.88</v>
      </c>
      <c r="D122">
        <v>76.38</v>
      </c>
      <c r="E122">
        <v>76.88</v>
      </c>
      <c r="F122">
        <v>5918921</v>
      </c>
    </row>
    <row r="123" spans="1:6">
      <c r="A123" s="39">
        <v>42318</v>
      </c>
      <c r="B123">
        <v>76.87</v>
      </c>
      <c r="C123">
        <v>77.94</v>
      </c>
      <c r="D123">
        <v>76.849999999999994</v>
      </c>
      <c r="E123">
        <v>77.760000000000005</v>
      </c>
      <c r="F123">
        <v>4688603</v>
      </c>
    </row>
    <row r="124" spans="1:6">
      <c r="A124" s="39">
        <v>42319</v>
      </c>
      <c r="B124">
        <v>77.760000000000005</v>
      </c>
      <c r="C124">
        <v>78.180000000000007</v>
      </c>
      <c r="D124">
        <v>77.56</v>
      </c>
      <c r="E124">
        <v>77.87</v>
      </c>
      <c r="F124">
        <v>2228288</v>
      </c>
    </row>
    <row r="125" spans="1:6">
      <c r="A125" s="39">
        <v>42320</v>
      </c>
      <c r="B125">
        <v>77.64</v>
      </c>
      <c r="C125">
        <v>78.010000000000005</v>
      </c>
      <c r="D125">
        <v>77.180000000000007</v>
      </c>
      <c r="E125">
        <v>77.319999999999993</v>
      </c>
      <c r="F125">
        <v>3212227</v>
      </c>
    </row>
    <row r="126" spans="1:6">
      <c r="A126" s="39">
        <v>42321</v>
      </c>
      <c r="B126">
        <v>77.36</v>
      </c>
      <c r="C126">
        <v>77.75</v>
      </c>
      <c r="D126">
        <v>76.38</v>
      </c>
      <c r="E126">
        <v>76.44</v>
      </c>
      <c r="F126">
        <v>4249350</v>
      </c>
    </row>
    <row r="127" spans="1:6">
      <c r="A127" s="39">
        <v>42324</v>
      </c>
      <c r="B127">
        <v>76.27</v>
      </c>
      <c r="C127">
        <v>77.319999999999993</v>
      </c>
      <c r="D127">
        <v>76.12</v>
      </c>
      <c r="E127">
        <v>77.319999999999993</v>
      </c>
      <c r="F127">
        <v>3117899</v>
      </c>
    </row>
    <row r="128" spans="1:6">
      <c r="A128" s="39">
        <v>42325</v>
      </c>
      <c r="B128">
        <v>77.11</v>
      </c>
      <c r="C128">
        <v>77.98</v>
      </c>
      <c r="D128">
        <v>77.03</v>
      </c>
      <c r="E128">
        <v>77.319999999999993</v>
      </c>
      <c r="F128">
        <v>3845609</v>
      </c>
    </row>
    <row r="129" spans="1:6">
      <c r="A129" s="39">
        <v>42326</v>
      </c>
      <c r="B129">
        <v>77.41</v>
      </c>
      <c r="C129">
        <v>78.05</v>
      </c>
      <c r="D129">
        <v>76.92</v>
      </c>
      <c r="E129">
        <v>78</v>
      </c>
      <c r="F129">
        <v>3429248</v>
      </c>
    </row>
    <row r="130" spans="1:6">
      <c r="A130" s="39">
        <v>42327</v>
      </c>
      <c r="B130">
        <v>78.099999999999994</v>
      </c>
      <c r="C130">
        <v>78.63</v>
      </c>
      <c r="D130">
        <v>77.89</v>
      </c>
      <c r="E130">
        <v>78.239999999999995</v>
      </c>
      <c r="F130">
        <v>3628076</v>
      </c>
    </row>
    <row r="131" spans="1:6">
      <c r="A131" s="39">
        <v>42328</v>
      </c>
      <c r="B131">
        <v>78.73</v>
      </c>
      <c r="C131">
        <v>79.31</v>
      </c>
      <c r="D131">
        <v>78.5</v>
      </c>
      <c r="E131">
        <v>79.22</v>
      </c>
      <c r="F131">
        <v>3964607</v>
      </c>
    </row>
    <row r="132" spans="1:6">
      <c r="A132" s="39">
        <v>42331</v>
      </c>
      <c r="B132">
        <v>79.260000000000005</v>
      </c>
      <c r="C132">
        <v>79.69</v>
      </c>
      <c r="D132">
        <v>79.11</v>
      </c>
      <c r="E132">
        <v>79.39</v>
      </c>
      <c r="F132">
        <v>2369382</v>
      </c>
    </row>
    <row r="133" spans="1:6">
      <c r="A133" s="39">
        <v>42332</v>
      </c>
      <c r="B133">
        <v>78.959999999999994</v>
      </c>
      <c r="C133">
        <v>79.13</v>
      </c>
      <c r="D133">
        <v>78.319999999999993</v>
      </c>
      <c r="E133">
        <v>78.97</v>
      </c>
      <c r="F133">
        <v>3498947</v>
      </c>
    </row>
    <row r="134" spans="1:6">
      <c r="A134" s="39">
        <v>42333</v>
      </c>
      <c r="B134">
        <v>79.010000000000005</v>
      </c>
      <c r="C134">
        <v>79.48</v>
      </c>
      <c r="D134">
        <v>78.930000000000007</v>
      </c>
      <c r="E134">
        <v>79.290000000000006</v>
      </c>
      <c r="F134">
        <v>1959716</v>
      </c>
    </row>
    <row r="135" spans="1:6">
      <c r="A135" s="39">
        <v>42335</v>
      </c>
      <c r="B135">
        <v>79.260000000000005</v>
      </c>
      <c r="C135">
        <v>80.23</v>
      </c>
      <c r="D135">
        <v>79.239999999999995</v>
      </c>
      <c r="E135">
        <v>79.98</v>
      </c>
      <c r="F135">
        <v>1348687</v>
      </c>
    </row>
    <row r="136" spans="1:6">
      <c r="A136" s="39">
        <v>42338</v>
      </c>
      <c r="B136">
        <v>80.27</v>
      </c>
      <c r="C136">
        <v>80.459999999999994</v>
      </c>
      <c r="D136">
        <v>79.180000000000007</v>
      </c>
      <c r="E136">
        <v>79.39</v>
      </c>
      <c r="F136">
        <v>7043376</v>
      </c>
    </row>
    <row r="137" spans="1:6">
      <c r="A137" s="39">
        <v>42339</v>
      </c>
      <c r="B137">
        <v>79.5</v>
      </c>
      <c r="C137">
        <v>80.52</v>
      </c>
      <c r="D137">
        <v>79.42</v>
      </c>
      <c r="E137">
        <v>80.489999999999995</v>
      </c>
      <c r="F137">
        <v>3847326</v>
      </c>
    </row>
    <row r="138" spans="1:6">
      <c r="A138" s="39">
        <v>42340</v>
      </c>
      <c r="B138">
        <v>80.260000000000005</v>
      </c>
      <c r="C138">
        <v>80.37</v>
      </c>
      <c r="D138">
        <v>78.73</v>
      </c>
      <c r="E138">
        <v>78.849999999999994</v>
      </c>
      <c r="F138">
        <v>5713529</v>
      </c>
    </row>
    <row r="139" spans="1:6">
      <c r="A139" s="39">
        <v>42341</v>
      </c>
      <c r="B139">
        <v>78.73</v>
      </c>
      <c r="C139">
        <v>78.849999999999994</v>
      </c>
      <c r="D139">
        <v>77.400000000000006</v>
      </c>
      <c r="E139">
        <v>77.61</v>
      </c>
      <c r="F139">
        <v>4737363</v>
      </c>
    </row>
    <row r="140" spans="1:6">
      <c r="A140" s="39">
        <v>42342</v>
      </c>
      <c r="B140">
        <v>77.680000000000007</v>
      </c>
      <c r="C140">
        <v>79.290000000000006</v>
      </c>
      <c r="D140">
        <v>77.650000000000006</v>
      </c>
      <c r="E140">
        <v>79.09</v>
      </c>
      <c r="F140">
        <v>3434099</v>
      </c>
    </row>
    <row r="141" spans="1:6">
      <c r="A141" s="39">
        <v>42345</v>
      </c>
      <c r="B141">
        <v>78.959999999999994</v>
      </c>
      <c r="C141">
        <v>79.19</v>
      </c>
      <c r="D141">
        <v>78.52</v>
      </c>
      <c r="E141">
        <v>78.87</v>
      </c>
      <c r="F141">
        <v>4195204</v>
      </c>
    </row>
    <row r="142" spans="1:6">
      <c r="A142" s="39">
        <v>42346</v>
      </c>
      <c r="B142">
        <v>78.44</v>
      </c>
      <c r="C142">
        <v>79.09</v>
      </c>
      <c r="D142">
        <v>78.36</v>
      </c>
      <c r="E142">
        <v>78.8</v>
      </c>
      <c r="F142">
        <v>3638648</v>
      </c>
    </row>
    <row r="143" spans="1:6">
      <c r="A143" s="39">
        <v>42347</v>
      </c>
      <c r="B143">
        <v>78.53</v>
      </c>
      <c r="C143">
        <v>79.16</v>
      </c>
      <c r="D143">
        <v>77.959999999999994</v>
      </c>
      <c r="E143">
        <v>78.36</v>
      </c>
      <c r="F143">
        <v>4219153</v>
      </c>
    </row>
    <row r="144" spans="1:6">
      <c r="A144" s="39">
        <v>42348</v>
      </c>
      <c r="B144">
        <v>78.489999999999995</v>
      </c>
      <c r="C144">
        <v>78.760000000000005</v>
      </c>
      <c r="D144">
        <v>77.73</v>
      </c>
      <c r="E144">
        <v>77.8</v>
      </c>
      <c r="F144">
        <v>3464962</v>
      </c>
    </row>
    <row r="145" spans="1:6">
      <c r="A145" s="39">
        <v>42349</v>
      </c>
      <c r="B145">
        <v>77.62</v>
      </c>
      <c r="C145">
        <v>78.010000000000005</v>
      </c>
      <c r="D145">
        <v>77.17</v>
      </c>
      <c r="E145">
        <v>77.66</v>
      </c>
      <c r="F145">
        <v>3420846</v>
      </c>
    </row>
    <row r="146" spans="1:6">
      <c r="A146" s="39">
        <v>42352</v>
      </c>
      <c r="B146">
        <v>77.77</v>
      </c>
      <c r="C146">
        <v>78.06</v>
      </c>
      <c r="D146">
        <v>77.06</v>
      </c>
      <c r="E146">
        <v>78.02</v>
      </c>
      <c r="F146">
        <v>4769633</v>
      </c>
    </row>
    <row r="147" spans="1:6">
      <c r="A147" s="39">
        <v>42353</v>
      </c>
      <c r="B147">
        <v>78.37</v>
      </c>
      <c r="C147">
        <v>79.260000000000005</v>
      </c>
      <c r="D147">
        <v>78.37</v>
      </c>
      <c r="E147">
        <v>78.87</v>
      </c>
      <c r="F147">
        <v>3449103</v>
      </c>
    </row>
    <row r="148" spans="1:6">
      <c r="A148" s="39">
        <v>42354</v>
      </c>
      <c r="B148">
        <v>79.2</v>
      </c>
      <c r="C148">
        <v>80.56</v>
      </c>
      <c r="D148">
        <v>79.010000000000005</v>
      </c>
      <c r="E148">
        <v>80.41</v>
      </c>
      <c r="F148">
        <v>4699255</v>
      </c>
    </row>
    <row r="149" spans="1:6">
      <c r="A149" s="39">
        <v>42355</v>
      </c>
      <c r="B149">
        <v>80.510000000000005</v>
      </c>
      <c r="C149">
        <v>80.59</v>
      </c>
      <c r="D149">
        <v>79.78</v>
      </c>
      <c r="E149">
        <v>80.010000000000005</v>
      </c>
      <c r="F149">
        <v>3726819</v>
      </c>
    </row>
    <row r="150" spans="1:6">
      <c r="A150" s="39">
        <v>42356</v>
      </c>
      <c r="B150">
        <v>79.92</v>
      </c>
      <c r="C150">
        <v>80.05</v>
      </c>
      <c r="D150">
        <v>79.08</v>
      </c>
      <c r="E150">
        <v>79.08</v>
      </c>
      <c r="F150">
        <v>5724431</v>
      </c>
    </row>
    <row r="151" spans="1:6">
      <c r="A151" s="39">
        <v>42359</v>
      </c>
      <c r="B151">
        <v>79.5</v>
      </c>
      <c r="C151">
        <v>79.87</v>
      </c>
      <c r="D151">
        <v>78.959999999999994</v>
      </c>
      <c r="E151">
        <v>79.39</v>
      </c>
      <c r="F151">
        <v>4455436</v>
      </c>
    </row>
    <row r="152" spans="1:6">
      <c r="A152" s="39">
        <v>42360</v>
      </c>
      <c r="B152">
        <v>79.569999999999993</v>
      </c>
      <c r="C152">
        <v>80.209999999999994</v>
      </c>
      <c r="D152">
        <v>79.56</v>
      </c>
      <c r="E152">
        <v>79.709999999999994</v>
      </c>
      <c r="F152">
        <v>6484383</v>
      </c>
    </row>
    <row r="153" spans="1:6">
      <c r="A153" s="39">
        <v>42361</v>
      </c>
      <c r="B153">
        <v>78.8</v>
      </c>
      <c r="C153">
        <v>79.44</v>
      </c>
      <c r="D153">
        <v>78.709999999999994</v>
      </c>
      <c r="E153">
        <v>79.42</v>
      </c>
      <c r="F153">
        <v>4028968</v>
      </c>
    </row>
    <row r="154" spans="1:6">
      <c r="A154" s="39">
        <v>42362</v>
      </c>
      <c r="B154">
        <v>79.27</v>
      </c>
      <c r="C154">
        <v>79.69</v>
      </c>
      <c r="D154">
        <v>78.98</v>
      </c>
      <c r="E154">
        <v>79.42</v>
      </c>
      <c r="F154">
        <v>1425968</v>
      </c>
    </row>
    <row r="155" spans="1:6">
      <c r="A155" s="39">
        <v>42366</v>
      </c>
      <c r="B155">
        <v>79.16</v>
      </c>
      <c r="C155">
        <v>79.87</v>
      </c>
      <c r="D155">
        <v>79.010000000000005</v>
      </c>
      <c r="E155">
        <v>79.86</v>
      </c>
      <c r="F155">
        <v>6628779</v>
      </c>
    </row>
    <row r="156" spans="1:6">
      <c r="A156" s="39">
        <v>42367</v>
      </c>
      <c r="B156">
        <v>80</v>
      </c>
      <c r="C156">
        <v>80.8</v>
      </c>
      <c r="D156">
        <v>79.87</v>
      </c>
      <c r="E156">
        <v>80.709999999999994</v>
      </c>
      <c r="F156">
        <v>3499777</v>
      </c>
    </row>
    <row r="157" spans="1:6">
      <c r="A157" s="39">
        <v>42368</v>
      </c>
      <c r="B157">
        <v>80.650000000000006</v>
      </c>
      <c r="C157">
        <v>80.91</v>
      </c>
      <c r="D157">
        <v>80.37</v>
      </c>
      <c r="E157">
        <v>80.430000000000007</v>
      </c>
      <c r="F157">
        <v>3114296</v>
      </c>
    </row>
    <row r="158" spans="1:6">
      <c r="A158" s="39">
        <v>42369</v>
      </c>
      <c r="B158">
        <v>80.39</v>
      </c>
      <c r="C158">
        <v>80.64</v>
      </c>
      <c r="D158">
        <v>79.72</v>
      </c>
      <c r="E158">
        <v>79.73</v>
      </c>
      <c r="F158">
        <v>3292351</v>
      </c>
    </row>
    <row r="159" spans="1:6">
      <c r="A159" s="39">
        <v>42373</v>
      </c>
      <c r="B159">
        <v>79.069999999999993</v>
      </c>
      <c r="C159">
        <v>79.099999999999994</v>
      </c>
      <c r="D159">
        <v>78.040000000000006</v>
      </c>
      <c r="E159">
        <v>78.77</v>
      </c>
      <c r="F159">
        <v>8843664</v>
      </c>
    </row>
    <row r="160" spans="1:6">
      <c r="A160" s="39">
        <v>42374</v>
      </c>
      <c r="B160">
        <v>78.8</v>
      </c>
      <c r="C160">
        <v>80.540000000000006</v>
      </c>
      <c r="D160">
        <v>78.73</v>
      </c>
      <c r="E160">
        <v>80.290000000000006</v>
      </c>
      <c r="F160">
        <v>7114727</v>
      </c>
    </row>
    <row r="161" spans="1:6">
      <c r="A161" s="39">
        <v>42375</v>
      </c>
      <c r="B161">
        <v>79.569999999999993</v>
      </c>
      <c r="C161">
        <v>80.19</v>
      </c>
      <c r="D161">
        <v>79.53</v>
      </c>
      <c r="E161">
        <v>80.069999999999993</v>
      </c>
      <c r="F161">
        <v>5481163</v>
      </c>
    </row>
    <row r="162" spans="1:6">
      <c r="A162" s="39">
        <v>42376</v>
      </c>
      <c r="B162">
        <v>79.099999999999994</v>
      </c>
      <c r="C162">
        <v>79.430000000000007</v>
      </c>
      <c r="D162">
        <v>78.430000000000007</v>
      </c>
      <c r="E162">
        <v>78.510000000000005</v>
      </c>
      <c r="F162">
        <v>6297507</v>
      </c>
    </row>
    <row r="163" spans="1:6">
      <c r="A163" s="39">
        <v>42377</v>
      </c>
      <c r="B163">
        <v>79.040000000000006</v>
      </c>
      <c r="C163">
        <v>79.099999999999994</v>
      </c>
      <c r="D163">
        <v>77.33</v>
      </c>
      <c r="E163">
        <v>77.459999999999994</v>
      </c>
      <c r="F163">
        <v>4628638</v>
      </c>
    </row>
    <row r="164" spans="1:6">
      <c r="A164" s="39">
        <v>42380</v>
      </c>
      <c r="B164">
        <v>77.53</v>
      </c>
      <c r="C164">
        <v>78.36</v>
      </c>
      <c r="D164">
        <v>77.5</v>
      </c>
      <c r="E164">
        <v>77.900000000000006</v>
      </c>
      <c r="F164">
        <v>4956810</v>
      </c>
    </row>
    <row r="165" spans="1:6">
      <c r="A165" s="39">
        <v>42381</v>
      </c>
      <c r="B165">
        <v>78.31</v>
      </c>
      <c r="C165">
        <v>78.41</v>
      </c>
      <c r="D165">
        <v>76.98</v>
      </c>
      <c r="E165">
        <v>77.38</v>
      </c>
      <c r="F165">
        <v>5951947</v>
      </c>
    </row>
    <row r="166" spans="1:6">
      <c r="A166" s="39">
        <v>42382</v>
      </c>
      <c r="B166">
        <v>77.63</v>
      </c>
      <c r="C166">
        <v>78.2</v>
      </c>
      <c r="D166">
        <v>76.099999999999994</v>
      </c>
      <c r="E166">
        <v>76.27</v>
      </c>
      <c r="F166">
        <v>7679355</v>
      </c>
    </row>
    <row r="167" spans="1:6">
      <c r="A167" s="39">
        <v>42383</v>
      </c>
      <c r="B167">
        <v>76.17</v>
      </c>
      <c r="C167">
        <v>76.78</v>
      </c>
      <c r="D167">
        <v>75.52</v>
      </c>
      <c r="E167">
        <v>76.09</v>
      </c>
      <c r="F167">
        <v>5167498</v>
      </c>
    </row>
    <row r="168" spans="1:6">
      <c r="A168" s="39">
        <v>42384</v>
      </c>
      <c r="B168">
        <v>75.14</v>
      </c>
      <c r="C168">
        <v>75.760000000000005</v>
      </c>
      <c r="D168">
        <v>74.55</v>
      </c>
      <c r="E168">
        <v>75.569999999999993</v>
      </c>
      <c r="F168">
        <v>5571398</v>
      </c>
    </row>
    <row r="169" spans="1:6">
      <c r="A169" s="39">
        <v>42388</v>
      </c>
      <c r="B169">
        <v>75.92</v>
      </c>
      <c r="C169">
        <v>76.56</v>
      </c>
      <c r="D169">
        <v>75.569999999999993</v>
      </c>
      <c r="E169">
        <v>75.97</v>
      </c>
      <c r="F169">
        <v>4978063</v>
      </c>
    </row>
    <row r="170" spans="1:6">
      <c r="A170" s="39">
        <v>42389</v>
      </c>
      <c r="B170">
        <v>75.099999999999994</v>
      </c>
      <c r="C170">
        <v>75.3</v>
      </c>
      <c r="D170">
        <v>72.33</v>
      </c>
      <c r="E170">
        <v>73.930000000000007</v>
      </c>
      <c r="F170">
        <v>9085460</v>
      </c>
    </row>
    <row r="171" spans="1:6">
      <c r="A171" s="39">
        <v>42390</v>
      </c>
      <c r="B171">
        <v>74.28</v>
      </c>
      <c r="C171">
        <v>75.39</v>
      </c>
      <c r="D171">
        <v>73.680000000000007</v>
      </c>
      <c r="E171">
        <v>74.34</v>
      </c>
      <c r="F171">
        <v>6849313</v>
      </c>
    </row>
    <row r="172" spans="1:6">
      <c r="A172" s="39">
        <v>42391</v>
      </c>
      <c r="B172">
        <v>75.06</v>
      </c>
      <c r="C172">
        <v>76.7</v>
      </c>
      <c r="D172">
        <v>74.94</v>
      </c>
      <c r="E172">
        <v>76.41</v>
      </c>
      <c r="F172">
        <v>4542016</v>
      </c>
    </row>
    <row r="173" spans="1:6">
      <c r="A173" s="39">
        <v>42394</v>
      </c>
      <c r="B173">
        <v>76.25</v>
      </c>
      <c r="C173">
        <v>77.069999999999993</v>
      </c>
      <c r="D173">
        <v>75.73</v>
      </c>
      <c r="E173">
        <v>75.930000000000007</v>
      </c>
      <c r="F173">
        <v>4669619</v>
      </c>
    </row>
    <row r="174" spans="1:6">
      <c r="A174" s="39">
        <v>42395</v>
      </c>
      <c r="B174">
        <v>76.28</v>
      </c>
      <c r="C174">
        <v>77.55</v>
      </c>
      <c r="D174">
        <v>76.13</v>
      </c>
      <c r="E174">
        <v>77.52</v>
      </c>
      <c r="F174">
        <v>5213715</v>
      </c>
    </row>
    <row r="175" spans="1:6">
      <c r="A175" s="39">
        <v>42396</v>
      </c>
      <c r="B175">
        <v>77.42</v>
      </c>
      <c r="C175">
        <v>77.42</v>
      </c>
      <c r="D175">
        <v>75.540000000000006</v>
      </c>
      <c r="E175">
        <v>76.02</v>
      </c>
      <c r="F175">
        <v>4883284</v>
      </c>
    </row>
    <row r="176" spans="1:6">
      <c r="A176" s="39">
        <v>42397</v>
      </c>
      <c r="B176">
        <v>76.459999999999994</v>
      </c>
      <c r="C176">
        <v>76.739999999999995</v>
      </c>
      <c r="D176">
        <v>75.150000000000006</v>
      </c>
      <c r="E176">
        <v>75.44</v>
      </c>
      <c r="F176">
        <v>5580726</v>
      </c>
    </row>
    <row r="177" spans="1:6">
      <c r="A177" s="39">
        <v>42398</v>
      </c>
      <c r="B177">
        <v>75.900000000000006</v>
      </c>
      <c r="C177">
        <v>77.069999999999993</v>
      </c>
      <c r="D177">
        <v>75.33</v>
      </c>
      <c r="E177">
        <v>76.989999999999995</v>
      </c>
      <c r="F177">
        <v>10927691</v>
      </c>
    </row>
    <row r="178" spans="1:6">
      <c r="A178" s="39">
        <v>42401</v>
      </c>
      <c r="B178">
        <v>76.52</v>
      </c>
      <c r="C178">
        <v>77.77</v>
      </c>
      <c r="D178">
        <v>76.27</v>
      </c>
      <c r="E178">
        <v>77.12</v>
      </c>
      <c r="F178">
        <v>6925313</v>
      </c>
    </row>
    <row r="179" spans="1:6">
      <c r="A179" s="39">
        <v>42402</v>
      </c>
      <c r="B179">
        <v>76.75</v>
      </c>
      <c r="C179">
        <v>77</v>
      </c>
      <c r="D179">
        <v>75.989999999999995</v>
      </c>
      <c r="E179">
        <v>76.42</v>
      </c>
      <c r="F179">
        <v>6404965</v>
      </c>
    </row>
    <row r="180" spans="1:6">
      <c r="A180" s="39">
        <v>42403</v>
      </c>
      <c r="B180">
        <v>76.81</v>
      </c>
      <c r="C180">
        <v>77.23</v>
      </c>
      <c r="D180">
        <v>75.98</v>
      </c>
      <c r="E180">
        <v>76.930000000000007</v>
      </c>
      <c r="F180">
        <v>5729119</v>
      </c>
    </row>
    <row r="181" spans="1:6">
      <c r="A181" s="39">
        <v>42404</v>
      </c>
      <c r="B181">
        <v>76.88</v>
      </c>
      <c r="C181">
        <v>77.39</v>
      </c>
      <c r="D181">
        <v>76.180000000000007</v>
      </c>
      <c r="E181">
        <v>76.97</v>
      </c>
      <c r="F181">
        <v>4286688</v>
      </c>
    </row>
    <row r="182" spans="1:6">
      <c r="A182" s="39">
        <v>42405</v>
      </c>
      <c r="B182">
        <v>76.81</v>
      </c>
      <c r="C182">
        <v>76.81</v>
      </c>
      <c r="D182">
        <v>75.44</v>
      </c>
      <c r="E182">
        <v>75.510000000000005</v>
      </c>
      <c r="F182">
        <v>4033760</v>
      </c>
    </row>
    <row r="183" spans="1:6">
      <c r="A183" s="39">
        <v>42408</v>
      </c>
      <c r="B183">
        <v>75.02</v>
      </c>
      <c r="C183">
        <v>75.12</v>
      </c>
      <c r="D183">
        <v>72.19</v>
      </c>
      <c r="E183">
        <v>73.349999999999994</v>
      </c>
      <c r="F183">
        <v>5440715</v>
      </c>
    </row>
    <row r="184" spans="1:6">
      <c r="A184" s="39">
        <v>42409</v>
      </c>
      <c r="B184">
        <v>72.61</v>
      </c>
      <c r="C184">
        <v>72.8</v>
      </c>
      <c r="D184">
        <v>71.44</v>
      </c>
      <c r="E184">
        <v>72</v>
      </c>
      <c r="F184">
        <v>8404641</v>
      </c>
    </row>
    <row r="185" spans="1:6">
      <c r="A185" s="39">
        <v>42410</v>
      </c>
      <c r="B185">
        <v>72.47</v>
      </c>
      <c r="C185">
        <v>73.48</v>
      </c>
      <c r="D185">
        <v>72.180000000000007</v>
      </c>
      <c r="E185">
        <v>72.5</v>
      </c>
      <c r="F185">
        <v>3877078</v>
      </c>
    </row>
    <row r="186" spans="1:6">
      <c r="A186" s="39">
        <v>42411</v>
      </c>
      <c r="B186">
        <v>71.48</v>
      </c>
      <c r="C186">
        <v>71.95</v>
      </c>
      <c r="D186">
        <v>70.89</v>
      </c>
      <c r="E186">
        <v>71.47</v>
      </c>
      <c r="F186">
        <v>4930687</v>
      </c>
    </row>
    <row r="187" spans="1:6">
      <c r="A187" s="39">
        <v>42412</v>
      </c>
      <c r="B187">
        <v>72.13</v>
      </c>
      <c r="C187">
        <v>72.489999999999995</v>
      </c>
      <c r="D187">
        <v>71.55</v>
      </c>
      <c r="E187">
        <v>72.290000000000006</v>
      </c>
      <c r="F187">
        <v>5067039</v>
      </c>
    </row>
    <row r="188" spans="1:6">
      <c r="A188" s="39">
        <v>42416</v>
      </c>
      <c r="B188">
        <v>72.849999999999994</v>
      </c>
      <c r="C188">
        <v>73.7</v>
      </c>
      <c r="D188">
        <v>72.510000000000005</v>
      </c>
      <c r="E188">
        <v>73.62</v>
      </c>
      <c r="F188">
        <v>3888888</v>
      </c>
    </row>
    <row r="189" spans="1:6">
      <c r="A189" s="39">
        <v>42417</v>
      </c>
      <c r="B189">
        <v>73.69</v>
      </c>
      <c r="C189">
        <v>75.09</v>
      </c>
      <c r="D189">
        <v>73.69</v>
      </c>
      <c r="E189">
        <v>74.25</v>
      </c>
      <c r="F189">
        <v>3060921</v>
      </c>
    </row>
    <row r="190" spans="1:6">
      <c r="A190" s="39">
        <v>42418</v>
      </c>
      <c r="B190">
        <v>74.41</v>
      </c>
      <c r="C190">
        <v>75.2</v>
      </c>
      <c r="D190">
        <v>73.95</v>
      </c>
      <c r="E190">
        <v>75</v>
      </c>
      <c r="F190">
        <v>3539725</v>
      </c>
    </row>
    <row r="191" spans="1:6">
      <c r="A191" s="39">
        <v>42419</v>
      </c>
      <c r="B191">
        <v>74.739999999999995</v>
      </c>
      <c r="C191">
        <v>75.75</v>
      </c>
      <c r="D191">
        <v>74.489999999999995</v>
      </c>
      <c r="E191">
        <v>75.430000000000007</v>
      </c>
      <c r="F191">
        <v>2885537</v>
      </c>
    </row>
    <row r="192" spans="1:6">
      <c r="A192" s="39">
        <v>42422</v>
      </c>
      <c r="B192">
        <v>76.03</v>
      </c>
      <c r="C192">
        <v>76.709999999999994</v>
      </c>
      <c r="D192">
        <v>76</v>
      </c>
      <c r="E192">
        <v>76.150000000000006</v>
      </c>
      <c r="F192">
        <v>2956575</v>
      </c>
    </row>
    <row r="193" spans="1:6">
      <c r="A193" s="39">
        <v>42423</v>
      </c>
      <c r="B193">
        <v>76.08</v>
      </c>
      <c r="C193">
        <v>76.849999999999994</v>
      </c>
      <c r="D193">
        <v>75.83</v>
      </c>
      <c r="E193">
        <v>75.95</v>
      </c>
      <c r="F193">
        <v>2608306</v>
      </c>
    </row>
    <row r="194" spans="1:6">
      <c r="A194" s="39">
        <v>42424</v>
      </c>
      <c r="B194">
        <v>75.62</v>
      </c>
      <c r="C194">
        <v>76.02</v>
      </c>
      <c r="D194">
        <v>75.08</v>
      </c>
      <c r="E194">
        <v>75.86</v>
      </c>
      <c r="F194">
        <v>2997528</v>
      </c>
    </row>
    <row r="195" spans="1:6">
      <c r="A195" s="39">
        <v>42425</v>
      </c>
      <c r="B195">
        <v>76.2</v>
      </c>
      <c r="C195">
        <v>77.45</v>
      </c>
      <c r="D195">
        <v>76.2</v>
      </c>
      <c r="E195">
        <v>77.41</v>
      </c>
      <c r="F195">
        <v>3380685</v>
      </c>
    </row>
    <row r="196" spans="1:6">
      <c r="A196" s="39">
        <v>42426</v>
      </c>
      <c r="B196">
        <v>77.33</v>
      </c>
      <c r="C196">
        <v>77.680000000000007</v>
      </c>
      <c r="D196">
        <v>76.98</v>
      </c>
      <c r="E196">
        <v>77.010000000000005</v>
      </c>
      <c r="F196">
        <v>3180536</v>
      </c>
    </row>
    <row r="197" spans="1:6">
      <c r="A197" s="39">
        <v>42429</v>
      </c>
      <c r="B197">
        <v>76.930000000000007</v>
      </c>
      <c r="C197">
        <v>77.78</v>
      </c>
      <c r="D197">
        <v>76.59</v>
      </c>
      <c r="E197">
        <v>76.709999999999994</v>
      </c>
      <c r="F197">
        <v>5057180</v>
      </c>
    </row>
    <row r="198" spans="1:6">
      <c r="A198" s="39">
        <v>42430</v>
      </c>
      <c r="B198">
        <v>76.78</v>
      </c>
      <c r="C198">
        <v>78.88</v>
      </c>
      <c r="D198">
        <v>76.64</v>
      </c>
      <c r="E198">
        <v>78.87</v>
      </c>
      <c r="F198">
        <v>5309506</v>
      </c>
    </row>
    <row r="199" spans="1:6">
      <c r="A199" s="39">
        <v>42431</v>
      </c>
      <c r="B199">
        <v>78.56</v>
      </c>
      <c r="C199">
        <v>79.48</v>
      </c>
      <c r="D199">
        <v>78.41</v>
      </c>
      <c r="E199">
        <v>79.44</v>
      </c>
      <c r="F199">
        <v>3621658</v>
      </c>
    </row>
    <row r="200" spans="1:6">
      <c r="A200" s="39">
        <v>42432</v>
      </c>
      <c r="B200">
        <v>79.47</v>
      </c>
      <c r="C200">
        <v>79.86</v>
      </c>
      <c r="D200">
        <v>79.06</v>
      </c>
      <c r="E200">
        <v>79.86</v>
      </c>
      <c r="F200">
        <v>2906943</v>
      </c>
    </row>
    <row r="201" spans="1:6">
      <c r="A201" s="39">
        <v>42433</v>
      </c>
      <c r="B201">
        <v>79.73</v>
      </c>
      <c r="C201">
        <v>79.94</v>
      </c>
      <c r="D201">
        <v>79.290000000000006</v>
      </c>
      <c r="E201">
        <v>79.87</v>
      </c>
      <c r="F201">
        <v>2740018</v>
      </c>
    </row>
    <row r="202" spans="1:6">
      <c r="A202" s="39">
        <v>42436</v>
      </c>
      <c r="B202">
        <v>79.459999999999994</v>
      </c>
      <c r="C202">
        <v>80.260000000000005</v>
      </c>
      <c r="D202">
        <v>79.319999999999993</v>
      </c>
      <c r="E202">
        <v>80.08</v>
      </c>
      <c r="F202">
        <v>3504622</v>
      </c>
    </row>
    <row r="203" spans="1:6">
      <c r="A203" s="39">
        <v>42437</v>
      </c>
      <c r="B203">
        <v>79.97</v>
      </c>
      <c r="C203">
        <v>80.040000000000006</v>
      </c>
      <c r="D203">
        <v>79.16</v>
      </c>
      <c r="E203">
        <v>79.260000000000005</v>
      </c>
      <c r="F203">
        <v>2829016</v>
      </c>
    </row>
    <row r="204" spans="1:6">
      <c r="A204" s="39">
        <v>42438</v>
      </c>
      <c r="B204">
        <v>79.510000000000005</v>
      </c>
      <c r="C204">
        <v>80.12</v>
      </c>
      <c r="D204">
        <v>79.33</v>
      </c>
      <c r="E204">
        <v>79.7</v>
      </c>
      <c r="F204">
        <v>3566715</v>
      </c>
    </row>
    <row r="205" spans="1:6">
      <c r="A205" s="39">
        <v>42439</v>
      </c>
      <c r="B205">
        <v>80.25</v>
      </c>
      <c r="C205">
        <v>80.41</v>
      </c>
      <c r="D205">
        <v>78.53</v>
      </c>
      <c r="E205">
        <v>79.41</v>
      </c>
      <c r="F205">
        <v>2472538</v>
      </c>
    </row>
    <row r="206" spans="1:6">
      <c r="A206" s="39">
        <v>42440</v>
      </c>
      <c r="B206">
        <v>80.209999999999994</v>
      </c>
      <c r="C206">
        <v>81.27</v>
      </c>
      <c r="D206">
        <v>80.03</v>
      </c>
      <c r="E206">
        <v>81.19</v>
      </c>
      <c r="F206">
        <v>2520933</v>
      </c>
    </row>
    <row r="207" spans="1:6">
      <c r="A207" s="39">
        <v>42443</v>
      </c>
      <c r="B207">
        <v>81.069999999999993</v>
      </c>
      <c r="C207">
        <v>81.28</v>
      </c>
      <c r="D207">
        <v>80.75</v>
      </c>
      <c r="E207">
        <v>81.2</v>
      </c>
      <c r="F207">
        <v>2593869</v>
      </c>
    </row>
    <row r="208" spans="1:6">
      <c r="A208" s="39">
        <v>42444</v>
      </c>
      <c r="B208">
        <v>80.86</v>
      </c>
      <c r="C208">
        <v>81.41</v>
      </c>
      <c r="D208">
        <v>80.7</v>
      </c>
      <c r="E208">
        <v>81.239999999999995</v>
      </c>
      <c r="F208">
        <v>1898151</v>
      </c>
    </row>
    <row r="209" spans="1:6">
      <c r="A209" s="39">
        <v>42445</v>
      </c>
      <c r="B209">
        <v>81.010000000000005</v>
      </c>
      <c r="C209">
        <v>82.35</v>
      </c>
      <c r="D209">
        <v>80.72</v>
      </c>
      <c r="E209">
        <v>82.22</v>
      </c>
      <c r="F209">
        <v>3439585</v>
      </c>
    </row>
    <row r="210" spans="1:6">
      <c r="A210" s="39">
        <v>42446</v>
      </c>
      <c r="B210">
        <v>82.35</v>
      </c>
      <c r="C210">
        <v>83.56</v>
      </c>
      <c r="D210">
        <v>81.98</v>
      </c>
      <c r="E210">
        <v>83.38</v>
      </c>
      <c r="F210">
        <v>5526429</v>
      </c>
    </row>
    <row r="211" spans="1:6">
      <c r="A211" s="39">
        <v>42447</v>
      </c>
      <c r="B211">
        <v>83.54</v>
      </c>
      <c r="C211">
        <v>83.75</v>
      </c>
      <c r="D211">
        <v>83.02</v>
      </c>
      <c r="E211">
        <v>83.02</v>
      </c>
      <c r="F211">
        <v>3274741</v>
      </c>
    </row>
    <row r="212" spans="1:6">
      <c r="A212" s="39">
        <v>42450</v>
      </c>
      <c r="B212">
        <v>81.96</v>
      </c>
      <c r="C212">
        <v>82.22</v>
      </c>
      <c r="D212">
        <v>81.22</v>
      </c>
      <c r="E212">
        <v>81.36</v>
      </c>
      <c r="F212">
        <v>4342967</v>
      </c>
    </row>
    <row r="213" spans="1:6">
      <c r="A213" s="39">
        <v>42451</v>
      </c>
      <c r="B213">
        <v>81.2</v>
      </c>
      <c r="C213">
        <v>81.599999999999994</v>
      </c>
      <c r="D213">
        <v>80.88</v>
      </c>
      <c r="E213">
        <v>81.36</v>
      </c>
      <c r="F213">
        <v>4791256</v>
      </c>
    </row>
    <row r="214" spans="1:6">
      <c r="A214" s="39">
        <v>42452</v>
      </c>
      <c r="B214">
        <v>81.36</v>
      </c>
      <c r="C214">
        <v>81.45</v>
      </c>
      <c r="D214">
        <v>80.87</v>
      </c>
      <c r="E214">
        <v>80.92</v>
      </c>
      <c r="F214">
        <v>2837464</v>
      </c>
    </row>
    <row r="215" spans="1:6">
      <c r="A215" s="39">
        <v>42453</v>
      </c>
      <c r="B215">
        <v>80.78</v>
      </c>
      <c r="C215">
        <v>81.02</v>
      </c>
      <c r="D215">
        <v>80.23</v>
      </c>
      <c r="E215">
        <v>80.95</v>
      </c>
      <c r="F215">
        <v>2839380</v>
      </c>
    </row>
    <row r="216" spans="1:6">
      <c r="A216" s="39">
        <v>42457</v>
      </c>
      <c r="B216">
        <v>80.930000000000007</v>
      </c>
      <c r="C216">
        <v>81.86</v>
      </c>
      <c r="D216">
        <v>80.91</v>
      </c>
      <c r="E216">
        <v>81.680000000000007</v>
      </c>
      <c r="F216">
        <v>3885066</v>
      </c>
    </row>
    <row r="217" spans="1:6">
      <c r="A217" s="39">
        <v>42458</v>
      </c>
      <c r="B217">
        <v>81.78</v>
      </c>
      <c r="C217">
        <v>83.49</v>
      </c>
      <c r="D217">
        <v>81.53</v>
      </c>
      <c r="E217">
        <v>83.45</v>
      </c>
      <c r="F217">
        <v>5023465</v>
      </c>
    </row>
    <row r="218" spans="1:6">
      <c r="A218" s="39">
        <v>42459</v>
      </c>
      <c r="B218">
        <v>83.66</v>
      </c>
      <c r="C218">
        <v>83.84</v>
      </c>
      <c r="D218">
        <v>83.22</v>
      </c>
      <c r="E218">
        <v>83.29</v>
      </c>
      <c r="F218">
        <v>3503133</v>
      </c>
    </row>
    <row r="219" spans="1:6">
      <c r="A219" s="39">
        <v>42460</v>
      </c>
      <c r="B219">
        <v>83.28</v>
      </c>
      <c r="C219">
        <v>83.91</v>
      </c>
      <c r="D219">
        <v>83.11</v>
      </c>
      <c r="E219">
        <v>83.8</v>
      </c>
      <c r="F219">
        <v>7533927</v>
      </c>
    </row>
    <row r="220" spans="1:6">
      <c r="A220" s="39">
        <v>42461</v>
      </c>
      <c r="B220">
        <v>83.63</v>
      </c>
      <c r="C220">
        <v>83.83</v>
      </c>
      <c r="D220">
        <v>83.17</v>
      </c>
      <c r="E220">
        <v>83.69</v>
      </c>
      <c r="F220">
        <v>5266687</v>
      </c>
    </row>
    <row r="221" spans="1:6">
      <c r="A221" s="39">
        <v>42464</v>
      </c>
      <c r="B221">
        <v>83.86</v>
      </c>
      <c r="C221">
        <v>83.94</v>
      </c>
      <c r="D221">
        <v>83.28</v>
      </c>
      <c r="E221">
        <v>83.57</v>
      </c>
      <c r="F221">
        <v>6908841</v>
      </c>
    </row>
    <row r="222" spans="1:6">
      <c r="A222" s="39">
        <v>42465</v>
      </c>
      <c r="B222">
        <v>83.2</v>
      </c>
      <c r="C222">
        <v>83.42</v>
      </c>
      <c r="D222">
        <v>82.81</v>
      </c>
      <c r="E222">
        <v>83.02</v>
      </c>
      <c r="F222">
        <v>3251287</v>
      </c>
    </row>
    <row r="223" spans="1:6">
      <c r="A223" s="39">
        <v>42466</v>
      </c>
      <c r="B223">
        <v>83.05</v>
      </c>
      <c r="C223">
        <v>83.26</v>
      </c>
      <c r="D223">
        <v>82.59</v>
      </c>
      <c r="E223">
        <v>83.22</v>
      </c>
      <c r="F223">
        <v>2940469</v>
      </c>
    </row>
    <row r="224" spans="1:6">
      <c r="A224" s="39">
        <v>42467</v>
      </c>
      <c r="B224">
        <v>83.02</v>
      </c>
      <c r="C224">
        <v>83.22</v>
      </c>
      <c r="D224">
        <v>82.33</v>
      </c>
      <c r="E224">
        <v>82.7</v>
      </c>
      <c r="F224">
        <v>2339433</v>
      </c>
    </row>
    <row r="225" spans="1:6">
      <c r="A225" s="39">
        <v>42468</v>
      </c>
      <c r="B225">
        <v>83.13</v>
      </c>
      <c r="C225">
        <v>83.5</v>
      </c>
      <c r="D225">
        <v>82.95</v>
      </c>
      <c r="E225">
        <v>83.16</v>
      </c>
      <c r="F225">
        <v>3370305</v>
      </c>
    </row>
    <row r="226" spans="1:6">
      <c r="A226" s="39">
        <v>42471</v>
      </c>
      <c r="B226">
        <v>83.32</v>
      </c>
      <c r="C226">
        <v>83.56</v>
      </c>
      <c r="D226">
        <v>82.97</v>
      </c>
      <c r="E226">
        <v>82.99</v>
      </c>
      <c r="F226">
        <v>2848010</v>
      </c>
    </row>
    <row r="227" spans="1:6">
      <c r="A227" s="39">
        <v>42472</v>
      </c>
      <c r="B227">
        <v>83.17</v>
      </c>
      <c r="C227">
        <v>83.79</v>
      </c>
      <c r="D227">
        <v>82.96</v>
      </c>
      <c r="E227">
        <v>83.59</v>
      </c>
      <c r="F227">
        <v>2504642</v>
      </c>
    </row>
    <row r="228" spans="1:6">
      <c r="A228" s="39">
        <v>42473</v>
      </c>
      <c r="B228">
        <v>83.83</v>
      </c>
      <c r="C228">
        <v>83.87</v>
      </c>
      <c r="D228">
        <v>82.94</v>
      </c>
      <c r="E228">
        <v>83.22</v>
      </c>
      <c r="F228">
        <v>2827279</v>
      </c>
    </row>
    <row r="229" spans="1:6">
      <c r="A229" s="39">
        <v>42474</v>
      </c>
      <c r="B229">
        <v>83.17</v>
      </c>
      <c r="C229">
        <v>83.23</v>
      </c>
      <c r="D229">
        <v>82.54</v>
      </c>
      <c r="E229">
        <v>82.76</v>
      </c>
      <c r="F229">
        <v>2044232</v>
      </c>
    </row>
    <row r="230" spans="1:6">
      <c r="A230" s="39">
        <v>42475</v>
      </c>
      <c r="B230">
        <v>82.92</v>
      </c>
      <c r="C230">
        <v>83.58</v>
      </c>
      <c r="D230">
        <v>82.5</v>
      </c>
      <c r="E230">
        <v>83.38</v>
      </c>
      <c r="F230">
        <v>2429068</v>
      </c>
    </row>
    <row r="231" spans="1:6">
      <c r="A231" s="39">
        <v>42478</v>
      </c>
      <c r="B231">
        <v>83.25</v>
      </c>
      <c r="C231">
        <v>83.79</v>
      </c>
      <c r="D231">
        <v>83.14</v>
      </c>
      <c r="E231">
        <v>83.78</v>
      </c>
      <c r="F231">
        <v>2347387</v>
      </c>
    </row>
    <row r="232" spans="1:6">
      <c r="A232" s="39">
        <v>42479</v>
      </c>
      <c r="B232">
        <v>84.01</v>
      </c>
      <c r="C232">
        <v>84.01</v>
      </c>
      <c r="D232">
        <v>83.48</v>
      </c>
      <c r="E232">
        <v>83.82</v>
      </c>
      <c r="F232">
        <v>3137230</v>
      </c>
    </row>
    <row r="233" spans="1:6">
      <c r="A233" s="39">
        <v>42480</v>
      </c>
      <c r="B233">
        <v>83.83</v>
      </c>
      <c r="C233">
        <v>84</v>
      </c>
      <c r="D233">
        <v>82.33</v>
      </c>
      <c r="E233">
        <v>82.4</v>
      </c>
      <c r="F233">
        <v>4085843</v>
      </c>
    </row>
    <row r="234" spans="1:6">
      <c r="A234" s="39">
        <v>42481</v>
      </c>
      <c r="B234">
        <v>82.36</v>
      </c>
      <c r="C234">
        <v>82.53</v>
      </c>
      <c r="D234">
        <v>80.680000000000007</v>
      </c>
      <c r="E234">
        <v>80.930000000000007</v>
      </c>
      <c r="F234">
        <v>5046121</v>
      </c>
    </row>
    <row r="235" spans="1:6">
      <c r="A235" s="39">
        <v>42482</v>
      </c>
      <c r="B235">
        <v>80.930000000000007</v>
      </c>
      <c r="C235">
        <v>81.95</v>
      </c>
      <c r="D235">
        <v>80.81</v>
      </c>
      <c r="E235">
        <v>81.81</v>
      </c>
      <c r="F235">
        <v>3124388</v>
      </c>
    </row>
    <row r="236" spans="1:6">
      <c r="A236" s="39">
        <v>42485</v>
      </c>
      <c r="B236">
        <v>81.55</v>
      </c>
      <c r="C236">
        <v>82.5</v>
      </c>
      <c r="D236">
        <v>81.53</v>
      </c>
      <c r="E236">
        <v>82.49</v>
      </c>
      <c r="F236">
        <v>2381352</v>
      </c>
    </row>
    <row r="237" spans="1:6">
      <c r="A237" s="39">
        <v>42486</v>
      </c>
      <c r="B237">
        <v>82.79</v>
      </c>
      <c r="C237">
        <v>83.28</v>
      </c>
      <c r="D237">
        <v>82.51</v>
      </c>
      <c r="E237">
        <v>82.81</v>
      </c>
      <c r="F237">
        <v>3190848</v>
      </c>
    </row>
    <row r="238" spans="1:6">
      <c r="A238" s="39">
        <v>42487</v>
      </c>
      <c r="B238">
        <v>82.79</v>
      </c>
      <c r="C238">
        <v>82.92</v>
      </c>
      <c r="D238">
        <v>81.86</v>
      </c>
      <c r="E238">
        <v>82.76</v>
      </c>
      <c r="F238">
        <v>3239838</v>
      </c>
    </row>
    <row r="239" spans="1:6">
      <c r="A239" s="39">
        <v>42488</v>
      </c>
      <c r="B239">
        <v>82.26</v>
      </c>
      <c r="C239">
        <v>83.09</v>
      </c>
      <c r="D239">
        <v>81.94</v>
      </c>
      <c r="E239">
        <v>82.59</v>
      </c>
      <c r="F239">
        <v>2870579</v>
      </c>
    </row>
    <row r="240" spans="1:6">
      <c r="A240" s="39">
        <v>42489</v>
      </c>
      <c r="B240">
        <v>82.19</v>
      </c>
      <c r="C240">
        <v>82.37</v>
      </c>
      <c r="D240">
        <v>81.03</v>
      </c>
      <c r="E240">
        <v>81.83</v>
      </c>
      <c r="F240">
        <v>4115469</v>
      </c>
    </row>
    <row r="241" spans="1:6">
      <c r="A241" s="39">
        <v>42492</v>
      </c>
      <c r="B241">
        <v>81.78</v>
      </c>
      <c r="C241">
        <v>83.31</v>
      </c>
      <c r="D241">
        <v>81.78</v>
      </c>
      <c r="E241">
        <v>83.1</v>
      </c>
      <c r="F241">
        <v>4008164</v>
      </c>
    </row>
    <row r="242" spans="1:6">
      <c r="A242" s="39">
        <v>42493</v>
      </c>
      <c r="B242">
        <v>83.07</v>
      </c>
      <c r="C242">
        <v>83.29</v>
      </c>
      <c r="D242">
        <v>82.59</v>
      </c>
      <c r="E242">
        <v>83.23</v>
      </c>
      <c r="F242">
        <v>3305703</v>
      </c>
    </row>
    <row r="243" spans="1:6">
      <c r="A243" s="39">
        <v>42494</v>
      </c>
      <c r="B243">
        <v>82.71</v>
      </c>
      <c r="C243">
        <v>84.58</v>
      </c>
      <c r="D243">
        <v>82.71</v>
      </c>
      <c r="E243">
        <v>84.42</v>
      </c>
      <c r="F243">
        <v>4138251</v>
      </c>
    </row>
    <row r="244" spans="1:6">
      <c r="A244" s="39">
        <v>42495</v>
      </c>
      <c r="B244">
        <v>84.53</v>
      </c>
      <c r="C244">
        <v>84.82</v>
      </c>
      <c r="D244">
        <v>84.13</v>
      </c>
      <c r="E244">
        <v>84.66</v>
      </c>
      <c r="F244">
        <v>3323682</v>
      </c>
    </row>
    <row r="245" spans="1:6">
      <c r="A245" s="39">
        <v>42496</v>
      </c>
      <c r="B245">
        <v>84.65</v>
      </c>
      <c r="C245">
        <v>85.66</v>
      </c>
      <c r="D245">
        <v>84.26</v>
      </c>
      <c r="E245">
        <v>85.59</v>
      </c>
      <c r="F245">
        <v>3496429</v>
      </c>
    </row>
    <row r="246" spans="1:6">
      <c r="A246" s="39">
        <v>42499</v>
      </c>
      <c r="B246">
        <v>85.86</v>
      </c>
      <c r="C246">
        <v>86.67</v>
      </c>
      <c r="D246">
        <v>85.62</v>
      </c>
      <c r="E246">
        <v>86.53</v>
      </c>
      <c r="F246">
        <v>4568701</v>
      </c>
    </row>
    <row r="247" spans="1:6">
      <c r="A247" s="39">
        <v>42500</v>
      </c>
      <c r="B247">
        <v>86.72</v>
      </c>
      <c r="C247">
        <v>86.82</v>
      </c>
      <c r="D247">
        <v>86.22</v>
      </c>
      <c r="E247">
        <v>86.52</v>
      </c>
      <c r="F247">
        <v>4033767</v>
      </c>
    </row>
    <row r="248" spans="1:6">
      <c r="A248" s="39">
        <v>42501</v>
      </c>
      <c r="B248">
        <v>86.47</v>
      </c>
      <c r="C248">
        <v>86.47</v>
      </c>
      <c r="D248">
        <v>84.34</v>
      </c>
      <c r="E248">
        <v>84.67</v>
      </c>
      <c r="F248">
        <v>4062435</v>
      </c>
    </row>
    <row r="249" spans="1:6">
      <c r="A249" s="39">
        <v>42502</v>
      </c>
      <c r="B249">
        <v>84.77</v>
      </c>
      <c r="C249">
        <v>85.44</v>
      </c>
      <c r="D249">
        <v>84.08</v>
      </c>
      <c r="E249">
        <v>85.16</v>
      </c>
      <c r="F249">
        <v>3470957</v>
      </c>
    </row>
    <row r="250" spans="1:6">
      <c r="A250" s="39">
        <v>42503</v>
      </c>
      <c r="B250">
        <v>84.93</v>
      </c>
      <c r="C250">
        <v>84.93</v>
      </c>
      <c r="D250">
        <v>83.81</v>
      </c>
      <c r="E250">
        <v>84.4</v>
      </c>
      <c r="F250">
        <v>3991612</v>
      </c>
    </row>
    <row r="251" spans="1:6">
      <c r="A251" s="39">
        <v>42506</v>
      </c>
      <c r="B251">
        <v>84.39</v>
      </c>
      <c r="C251">
        <v>85.44</v>
      </c>
      <c r="D251">
        <v>84.32</v>
      </c>
      <c r="E251">
        <v>85.2</v>
      </c>
      <c r="F251">
        <v>3374902</v>
      </c>
    </row>
    <row r="252" spans="1:6">
      <c r="A252" s="39">
        <v>42507</v>
      </c>
      <c r="B252">
        <v>84.99</v>
      </c>
      <c r="C252">
        <v>84.99</v>
      </c>
      <c r="D252">
        <v>83.16</v>
      </c>
      <c r="E252">
        <v>83.62</v>
      </c>
      <c r="F252">
        <v>4308320</v>
      </c>
    </row>
    <row r="253" spans="1:6">
      <c r="A253" s="39">
        <v>42508</v>
      </c>
      <c r="B253">
        <v>83.27</v>
      </c>
      <c r="C253">
        <v>83.36</v>
      </c>
      <c r="D253">
        <v>81.37</v>
      </c>
      <c r="E253">
        <v>82.31</v>
      </c>
      <c r="F253">
        <v>4707456</v>
      </c>
    </row>
    <row r="254" spans="1:6">
      <c r="A254" s="39">
        <v>42509</v>
      </c>
      <c r="B254">
        <v>81.790000000000006</v>
      </c>
      <c r="C254">
        <v>81.98</v>
      </c>
      <c r="D254">
        <v>80.959999999999994</v>
      </c>
      <c r="E254">
        <v>81.39</v>
      </c>
      <c r="F254">
        <v>4315974</v>
      </c>
    </row>
    <row r="255" spans="1:6">
      <c r="A255" s="39">
        <v>42510</v>
      </c>
      <c r="B255">
        <v>81.7</v>
      </c>
      <c r="C255">
        <v>82.19</v>
      </c>
      <c r="D255">
        <v>81.55</v>
      </c>
      <c r="E255">
        <v>82.04</v>
      </c>
      <c r="F255">
        <v>3295510</v>
      </c>
    </row>
    <row r="256" spans="1:6">
      <c r="A256" s="39">
        <v>42513</v>
      </c>
      <c r="B256">
        <v>82.18</v>
      </c>
      <c r="C256">
        <v>82.36</v>
      </c>
      <c r="D256">
        <v>81.849999999999994</v>
      </c>
      <c r="E256">
        <v>82.05</v>
      </c>
      <c r="F256">
        <v>2729391</v>
      </c>
    </row>
    <row r="257" spans="1:6">
      <c r="A257" s="39">
        <v>42514</v>
      </c>
      <c r="B257">
        <v>82.56</v>
      </c>
      <c r="C257">
        <v>83.21</v>
      </c>
      <c r="D257">
        <v>82.26</v>
      </c>
      <c r="E257">
        <v>83.07</v>
      </c>
      <c r="F257">
        <v>2998340</v>
      </c>
    </row>
    <row r="258" spans="1:6">
      <c r="A258" s="39">
        <v>42515</v>
      </c>
      <c r="B258">
        <v>83.29</v>
      </c>
      <c r="C258">
        <v>83.29</v>
      </c>
      <c r="D258">
        <v>82.25</v>
      </c>
      <c r="E258">
        <v>83.07</v>
      </c>
      <c r="F258">
        <v>3289985</v>
      </c>
    </row>
    <row r="259" spans="1:6">
      <c r="A259" s="39">
        <v>42516</v>
      </c>
      <c r="B259">
        <v>82.91</v>
      </c>
      <c r="C259">
        <v>83.48</v>
      </c>
      <c r="D259">
        <v>82.72</v>
      </c>
      <c r="E259">
        <v>83.23</v>
      </c>
      <c r="F259">
        <v>3045919</v>
      </c>
    </row>
    <row r="260" spans="1:6">
      <c r="A260" s="39">
        <v>42517</v>
      </c>
      <c r="B260">
        <v>83.37</v>
      </c>
      <c r="C260">
        <v>84.03</v>
      </c>
      <c r="D260">
        <v>83.29</v>
      </c>
      <c r="E260">
        <v>83.68</v>
      </c>
      <c r="F260">
        <v>3006859</v>
      </c>
    </row>
    <row r="261" spans="1:6">
      <c r="A261" s="39">
        <v>42521</v>
      </c>
      <c r="B261">
        <v>83.55</v>
      </c>
      <c r="C261">
        <v>83.92</v>
      </c>
      <c r="D261">
        <v>83.16</v>
      </c>
      <c r="E261">
        <v>83.67</v>
      </c>
      <c r="F261">
        <v>4810900</v>
      </c>
    </row>
    <row r="262" spans="1:6">
      <c r="A262" s="39">
        <v>42522</v>
      </c>
      <c r="B262">
        <v>83.38</v>
      </c>
      <c r="C262">
        <v>83.95</v>
      </c>
      <c r="D262">
        <v>83.3</v>
      </c>
      <c r="E262">
        <v>83.74</v>
      </c>
      <c r="F262">
        <v>4417661</v>
      </c>
    </row>
    <row r="263" spans="1:6">
      <c r="A263" s="39">
        <v>42523</v>
      </c>
      <c r="B263">
        <v>83.5</v>
      </c>
      <c r="C263">
        <v>84.2</v>
      </c>
      <c r="D263">
        <v>83.29</v>
      </c>
      <c r="E263">
        <v>84.17</v>
      </c>
      <c r="F263">
        <v>8043493</v>
      </c>
    </row>
    <row r="264" spans="1:6">
      <c r="A264" s="39">
        <v>42524</v>
      </c>
      <c r="B264">
        <v>84.98</v>
      </c>
      <c r="C264">
        <v>85.24</v>
      </c>
      <c r="D264">
        <v>84.1</v>
      </c>
      <c r="E264">
        <v>84.51</v>
      </c>
      <c r="F264">
        <v>4295432</v>
      </c>
    </row>
    <row r="265" spans="1:6">
      <c r="A265" s="39">
        <v>42527</v>
      </c>
      <c r="B265">
        <v>84.59</v>
      </c>
      <c r="C265">
        <v>84.77</v>
      </c>
      <c r="D265">
        <v>83.42</v>
      </c>
      <c r="E265">
        <v>83.86</v>
      </c>
      <c r="F265">
        <v>3231941</v>
      </c>
    </row>
    <row r="266" spans="1:6">
      <c r="A266" s="39">
        <v>42528</v>
      </c>
      <c r="B266">
        <v>84.23</v>
      </c>
      <c r="C266">
        <v>84.62</v>
      </c>
      <c r="D266">
        <v>83.99</v>
      </c>
      <c r="E266">
        <v>84.37</v>
      </c>
      <c r="F266">
        <v>2424578</v>
      </c>
    </row>
    <row r="267" spans="1:6">
      <c r="A267" s="39">
        <v>42529</v>
      </c>
      <c r="B267">
        <v>84.31</v>
      </c>
      <c r="C267">
        <v>84.98</v>
      </c>
      <c r="D267">
        <v>84.05</v>
      </c>
      <c r="E267">
        <v>84.91</v>
      </c>
      <c r="F267">
        <v>3098992</v>
      </c>
    </row>
    <row r="268" spans="1:6">
      <c r="A268" s="39">
        <v>42530</v>
      </c>
      <c r="B268">
        <v>84.91</v>
      </c>
      <c r="C268">
        <v>85.26</v>
      </c>
      <c r="D268">
        <v>84.61</v>
      </c>
      <c r="E268">
        <v>85.1</v>
      </c>
      <c r="F268">
        <v>4132833</v>
      </c>
    </row>
    <row r="269" spans="1:6">
      <c r="A269" s="39">
        <v>42531</v>
      </c>
      <c r="B269">
        <v>84.78</v>
      </c>
      <c r="C269">
        <v>85.02</v>
      </c>
      <c r="D269">
        <v>84.34</v>
      </c>
      <c r="E269">
        <v>84.7</v>
      </c>
      <c r="F269">
        <v>2538441</v>
      </c>
    </row>
    <row r="270" spans="1:6">
      <c r="A270" s="39">
        <v>42534</v>
      </c>
      <c r="B270">
        <v>84.73</v>
      </c>
      <c r="C270">
        <v>85.36</v>
      </c>
      <c r="D270">
        <v>84.62</v>
      </c>
      <c r="E270">
        <v>84.72</v>
      </c>
      <c r="F270">
        <v>3250301</v>
      </c>
    </row>
    <row r="271" spans="1:6">
      <c r="A271" s="39">
        <v>42535</v>
      </c>
      <c r="B271">
        <v>84.72</v>
      </c>
      <c r="C271">
        <v>85.02</v>
      </c>
      <c r="D271">
        <v>84.19</v>
      </c>
      <c r="E271">
        <v>84.5</v>
      </c>
      <c r="F271">
        <v>3437361</v>
      </c>
    </row>
    <row r="272" spans="1:6">
      <c r="A272" s="39">
        <v>42536</v>
      </c>
      <c r="B272">
        <v>84.69</v>
      </c>
      <c r="C272">
        <v>85.59</v>
      </c>
      <c r="D272">
        <v>84.57</v>
      </c>
      <c r="E272">
        <v>85.3</v>
      </c>
      <c r="F272">
        <v>2829449</v>
      </c>
    </row>
    <row r="273" spans="1:6">
      <c r="A273" s="39">
        <v>42537</v>
      </c>
      <c r="B273">
        <v>85.18</v>
      </c>
      <c r="C273">
        <v>85.81</v>
      </c>
      <c r="D273">
        <v>84.76</v>
      </c>
      <c r="E273">
        <v>85.78</v>
      </c>
      <c r="F273">
        <v>2827142</v>
      </c>
    </row>
    <row r="274" spans="1:6">
      <c r="A274" s="39">
        <v>42538</v>
      </c>
      <c r="B274">
        <v>85.83</v>
      </c>
      <c r="C274">
        <v>85.83</v>
      </c>
      <c r="D274">
        <v>84.98</v>
      </c>
      <c r="E274">
        <v>85.64</v>
      </c>
      <c r="F274">
        <v>4408434</v>
      </c>
    </row>
    <row r="275" spans="1:6">
      <c r="A275" s="39">
        <v>42541</v>
      </c>
      <c r="B275">
        <v>86.05</v>
      </c>
      <c r="C275">
        <v>86.79</v>
      </c>
      <c r="D275">
        <v>85.65</v>
      </c>
      <c r="E275">
        <v>85.76</v>
      </c>
      <c r="F275">
        <v>3987010</v>
      </c>
    </row>
    <row r="276" spans="1:6">
      <c r="A276" s="39">
        <v>42542</v>
      </c>
      <c r="B276">
        <v>85.31</v>
      </c>
      <c r="C276">
        <v>85.57</v>
      </c>
      <c r="D276">
        <v>84.93</v>
      </c>
      <c r="E276">
        <v>85.32</v>
      </c>
      <c r="F276">
        <v>3614855</v>
      </c>
    </row>
    <row r="277" spans="1:6">
      <c r="A277" s="39">
        <v>42543</v>
      </c>
      <c r="B277">
        <v>85.5</v>
      </c>
      <c r="C277">
        <v>85.51</v>
      </c>
      <c r="D277">
        <v>84.98</v>
      </c>
      <c r="E277">
        <v>85.19</v>
      </c>
      <c r="F277">
        <v>3994532</v>
      </c>
    </row>
    <row r="278" spans="1:6">
      <c r="A278" s="39">
        <v>42544</v>
      </c>
      <c r="B278">
        <v>85.58</v>
      </c>
      <c r="C278">
        <v>85.94</v>
      </c>
      <c r="D278">
        <v>85.44</v>
      </c>
      <c r="E278">
        <v>85.62</v>
      </c>
      <c r="F278">
        <v>1672742</v>
      </c>
    </row>
    <row r="279" spans="1:6">
      <c r="A279" s="39">
        <v>42545</v>
      </c>
      <c r="B279">
        <v>84.13</v>
      </c>
      <c r="C279">
        <v>85.72</v>
      </c>
      <c r="D279">
        <v>83.54</v>
      </c>
      <c r="E279">
        <v>84.87</v>
      </c>
      <c r="F279">
        <v>5661665</v>
      </c>
    </row>
    <row r="280" spans="1:6">
      <c r="A280" s="39">
        <v>42548</v>
      </c>
      <c r="B280">
        <v>84.52</v>
      </c>
      <c r="C280">
        <v>85.05</v>
      </c>
      <c r="D280">
        <v>83.71</v>
      </c>
      <c r="E280">
        <v>84.92</v>
      </c>
      <c r="F280">
        <v>4770141</v>
      </c>
    </row>
    <row r="281" spans="1:6">
      <c r="A281" s="39">
        <v>42549</v>
      </c>
      <c r="B281">
        <v>85.47</v>
      </c>
      <c r="C281">
        <v>86.72</v>
      </c>
      <c r="D281">
        <v>85.15</v>
      </c>
      <c r="E281">
        <v>86.71</v>
      </c>
      <c r="F281">
        <v>5128627</v>
      </c>
    </row>
    <row r="282" spans="1:6">
      <c r="A282" s="39">
        <v>42550</v>
      </c>
      <c r="B282">
        <v>87.12</v>
      </c>
      <c r="C282">
        <v>87.88</v>
      </c>
      <c r="D282">
        <v>87.01</v>
      </c>
      <c r="E282">
        <v>87.76</v>
      </c>
      <c r="F282">
        <v>4395608</v>
      </c>
    </row>
    <row r="283" spans="1:6">
      <c r="A283" s="39">
        <v>42551</v>
      </c>
      <c r="B283">
        <v>87.99</v>
      </c>
      <c r="C283">
        <v>88.67</v>
      </c>
      <c r="D283">
        <v>87.27</v>
      </c>
      <c r="E283">
        <v>88.67</v>
      </c>
      <c r="F283">
        <v>6555772</v>
      </c>
    </row>
    <row r="284" spans="1:6">
      <c r="A284" s="39">
        <v>42552</v>
      </c>
      <c r="B284">
        <v>88.97</v>
      </c>
      <c r="C284">
        <v>89.4</v>
      </c>
      <c r="D284">
        <v>88.44</v>
      </c>
      <c r="E284">
        <v>88.7</v>
      </c>
      <c r="F284">
        <v>4731924</v>
      </c>
    </row>
    <row r="285" spans="1:6">
      <c r="A285" s="39">
        <v>42556</v>
      </c>
      <c r="B285">
        <v>88.71</v>
      </c>
      <c r="C285">
        <v>89.68</v>
      </c>
      <c r="D285">
        <v>88.6</v>
      </c>
      <c r="E285">
        <v>89.68</v>
      </c>
      <c r="F285">
        <v>3808415</v>
      </c>
    </row>
    <row r="286" spans="1:6">
      <c r="A286" s="39">
        <v>42557</v>
      </c>
      <c r="B286">
        <v>89.55</v>
      </c>
      <c r="C286">
        <v>89.65</v>
      </c>
      <c r="D286">
        <v>88.85</v>
      </c>
      <c r="E286">
        <v>89.29</v>
      </c>
      <c r="F286">
        <v>4577173</v>
      </c>
    </row>
    <row r="287" spans="1:6">
      <c r="A287" s="39">
        <v>42558</v>
      </c>
      <c r="B287">
        <v>89.2</v>
      </c>
      <c r="C287">
        <v>89.26</v>
      </c>
      <c r="D287">
        <v>87.88</v>
      </c>
      <c r="E287">
        <v>88.37</v>
      </c>
      <c r="F287">
        <v>5342038</v>
      </c>
    </row>
    <row r="288" spans="1:6">
      <c r="A288" s="39">
        <v>42559</v>
      </c>
      <c r="B288">
        <v>88.86</v>
      </c>
      <c r="C288">
        <v>89.84</v>
      </c>
      <c r="D288">
        <v>88.75</v>
      </c>
      <c r="E288">
        <v>89.8</v>
      </c>
      <c r="F288">
        <v>2663479</v>
      </c>
    </row>
    <row r="289" spans="1:6">
      <c r="A289" s="39">
        <v>42562</v>
      </c>
      <c r="B289">
        <v>89.87</v>
      </c>
      <c r="C289">
        <v>90.59</v>
      </c>
      <c r="D289">
        <v>89.33</v>
      </c>
      <c r="E289">
        <v>90.4</v>
      </c>
      <c r="F289">
        <v>3381362</v>
      </c>
    </row>
    <row r="290" spans="1:6">
      <c r="A290" s="39">
        <v>42563</v>
      </c>
      <c r="B290">
        <v>90.41</v>
      </c>
      <c r="C290">
        <v>90.54</v>
      </c>
      <c r="D290">
        <v>89.68</v>
      </c>
      <c r="E290">
        <v>90.39</v>
      </c>
      <c r="F290">
        <v>3727572</v>
      </c>
    </row>
    <row r="291" spans="1:6">
      <c r="A291" s="39">
        <v>42564</v>
      </c>
      <c r="B291">
        <v>90.6</v>
      </c>
      <c r="C291">
        <v>90.89</v>
      </c>
      <c r="D291">
        <v>90.19</v>
      </c>
      <c r="E291">
        <v>90.89</v>
      </c>
      <c r="F291">
        <v>4902939</v>
      </c>
    </row>
    <row r="292" spans="1:6">
      <c r="A292" s="39">
        <v>42565</v>
      </c>
      <c r="B292">
        <v>90.61</v>
      </c>
      <c r="C292">
        <v>90.84</v>
      </c>
      <c r="D292">
        <v>89.87</v>
      </c>
      <c r="E292">
        <v>90.08</v>
      </c>
      <c r="F292">
        <v>3060513</v>
      </c>
    </row>
    <row r="293" spans="1:6">
      <c r="A293" s="39">
        <v>42566</v>
      </c>
      <c r="B293">
        <v>90.07</v>
      </c>
      <c r="C293">
        <v>90.18</v>
      </c>
      <c r="D293">
        <v>89.46</v>
      </c>
      <c r="E293">
        <v>90.11</v>
      </c>
      <c r="F293">
        <v>3345614</v>
      </c>
    </row>
    <row r="294" spans="1:6">
      <c r="A294" s="39">
        <v>42569</v>
      </c>
      <c r="B294">
        <v>90.24</v>
      </c>
      <c r="C294">
        <v>90.38</v>
      </c>
      <c r="D294">
        <v>90</v>
      </c>
      <c r="E294">
        <v>90.35</v>
      </c>
      <c r="F294">
        <v>2699729</v>
      </c>
    </row>
    <row r="295" spans="1:6">
      <c r="A295" s="39">
        <v>42570</v>
      </c>
      <c r="B295">
        <v>90.35</v>
      </c>
      <c r="C295">
        <v>90.79</v>
      </c>
      <c r="D295">
        <v>89.92</v>
      </c>
      <c r="E295">
        <v>90.79</v>
      </c>
      <c r="F295">
        <v>1916544</v>
      </c>
    </row>
    <row r="296" spans="1:6">
      <c r="A296" s="39">
        <v>42571</v>
      </c>
      <c r="B296">
        <v>90.95</v>
      </c>
      <c r="C296">
        <v>91.04</v>
      </c>
      <c r="D296">
        <v>90.51</v>
      </c>
      <c r="E296">
        <v>90.8</v>
      </c>
      <c r="F296">
        <v>2100678</v>
      </c>
    </row>
    <row r="297" spans="1:6">
      <c r="A297" s="39">
        <v>42572</v>
      </c>
      <c r="B297">
        <v>90.6</v>
      </c>
      <c r="C297">
        <v>90.98</v>
      </c>
      <c r="D297">
        <v>90.2</v>
      </c>
      <c r="E297">
        <v>90.98</v>
      </c>
      <c r="F297">
        <v>2179581</v>
      </c>
    </row>
    <row r="298" spans="1:6">
      <c r="A298" s="39">
        <v>42573</v>
      </c>
      <c r="B298">
        <v>90.89</v>
      </c>
      <c r="C298">
        <v>92.05</v>
      </c>
      <c r="D298">
        <v>90.7</v>
      </c>
      <c r="E298">
        <v>91.78</v>
      </c>
      <c r="F298">
        <v>2482896</v>
      </c>
    </row>
    <row r="299" spans="1:6">
      <c r="A299" s="39">
        <v>42576</v>
      </c>
      <c r="B299">
        <v>91.81</v>
      </c>
      <c r="C299">
        <v>92.14</v>
      </c>
      <c r="D299">
        <v>91.3</v>
      </c>
      <c r="E299">
        <v>91.61</v>
      </c>
      <c r="F299">
        <v>2374746</v>
      </c>
    </row>
    <row r="300" spans="1:6">
      <c r="A300" s="39">
        <v>42577</v>
      </c>
      <c r="B300">
        <v>91.69</v>
      </c>
      <c r="C300">
        <v>91.97</v>
      </c>
      <c r="D300">
        <v>90.94</v>
      </c>
      <c r="E300">
        <v>91.16</v>
      </c>
      <c r="F300">
        <v>2460855</v>
      </c>
    </row>
    <row r="301" spans="1:6">
      <c r="A301" s="39">
        <v>42578</v>
      </c>
      <c r="B301">
        <v>91.14</v>
      </c>
      <c r="C301">
        <v>91.14</v>
      </c>
      <c r="D301">
        <v>89.7</v>
      </c>
      <c r="E301">
        <v>90.45</v>
      </c>
      <c r="F301">
        <v>3935234</v>
      </c>
    </row>
    <row r="302" spans="1:6">
      <c r="A302" s="39">
        <v>42579</v>
      </c>
      <c r="B302">
        <v>90.31</v>
      </c>
      <c r="C302">
        <v>91.64</v>
      </c>
      <c r="D302">
        <v>90.1</v>
      </c>
      <c r="E302">
        <v>91.29</v>
      </c>
      <c r="F302">
        <v>2853289</v>
      </c>
    </row>
    <row r="303" spans="1:6">
      <c r="A303" s="39">
        <v>42580</v>
      </c>
      <c r="B303">
        <v>91.54</v>
      </c>
      <c r="C303">
        <v>92.92</v>
      </c>
      <c r="D303">
        <v>91.2</v>
      </c>
      <c r="E303">
        <v>92.45</v>
      </c>
      <c r="F303">
        <v>3502575</v>
      </c>
    </row>
    <row r="304" spans="1:6">
      <c r="A304" s="39">
        <v>42583</v>
      </c>
      <c r="B304">
        <v>92.33</v>
      </c>
      <c r="C304">
        <v>92.75</v>
      </c>
      <c r="D304">
        <v>92.26</v>
      </c>
      <c r="E304">
        <v>92.65</v>
      </c>
      <c r="F304">
        <v>3335062</v>
      </c>
    </row>
    <row r="305" spans="1:6">
      <c r="A305" s="39">
        <v>42584</v>
      </c>
      <c r="B305">
        <v>92.38</v>
      </c>
      <c r="C305">
        <v>92.54</v>
      </c>
      <c r="D305">
        <v>91</v>
      </c>
      <c r="E305">
        <v>91.17</v>
      </c>
      <c r="F305">
        <v>3877133</v>
      </c>
    </row>
    <row r="306" spans="1:6">
      <c r="A306" s="39">
        <v>42585</v>
      </c>
      <c r="B306">
        <v>90.85</v>
      </c>
      <c r="C306">
        <v>91.23</v>
      </c>
      <c r="D306">
        <v>90.15</v>
      </c>
      <c r="E306">
        <v>90.64</v>
      </c>
      <c r="F306">
        <v>3829397</v>
      </c>
    </row>
    <row r="307" spans="1:6">
      <c r="A307" s="39">
        <v>42586</v>
      </c>
      <c r="B307">
        <v>90.75</v>
      </c>
      <c r="C307">
        <v>90.92</v>
      </c>
      <c r="D307">
        <v>90.11</v>
      </c>
      <c r="E307">
        <v>90.27</v>
      </c>
      <c r="F307">
        <v>2649733</v>
      </c>
    </row>
    <row r="308" spans="1:6">
      <c r="A308" s="39">
        <v>42587</v>
      </c>
      <c r="B308">
        <v>90.32</v>
      </c>
      <c r="C308">
        <v>90.6</v>
      </c>
      <c r="D308">
        <v>90.01</v>
      </c>
      <c r="E308">
        <v>90.33</v>
      </c>
      <c r="F308">
        <v>2941629</v>
      </c>
    </row>
    <row r="309" spans="1:6">
      <c r="A309" s="39">
        <v>42590</v>
      </c>
      <c r="B309">
        <v>90.27</v>
      </c>
      <c r="C309">
        <v>90.91</v>
      </c>
      <c r="D309">
        <v>90.11</v>
      </c>
      <c r="E309">
        <v>90.49</v>
      </c>
      <c r="F309">
        <v>2240225</v>
      </c>
    </row>
    <row r="310" spans="1:6">
      <c r="A310" s="39">
        <v>42591</v>
      </c>
      <c r="B310">
        <v>90.64</v>
      </c>
      <c r="C310">
        <v>90.98</v>
      </c>
      <c r="D310">
        <v>89.94</v>
      </c>
      <c r="E310">
        <v>90.98</v>
      </c>
      <c r="F310">
        <v>3474348</v>
      </c>
    </row>
    <row r="311" spans="1:6">
      <c r="A311" s="39">
        <v>42592</v>
      </c>
      <c r="B311">
        <v>91.24</v>
      </c>
      <c r="C311">
        <v>91.4</v>
      </c>
      <c r="D311">
        <v>90.59</v>
      </c>
      <c r="E311">
        <v>90.88</v>
      </c>
      <c r="F311">
        <v>5302858</v>
      </c>
    </row>
    <row r="312" spans="1:6">
      <c r="A312" s="39">
        <v>42593</v>
      </c>
      <c r="B312">
        <v>90.85</v>
      </c>
      <c r="C312">
        <v>90.89</v>
      </c>
      <c r="D312">
        <v>89.37</v>
      </c>
      <c r="E312">
        <v>89.85</v>
      </c>
      <c r="F312">
        <v>4788415</v>
      </c>
    </row>
    <row r="313" spans="1:6">
      <c r="A313" s="39">
        <v>42594</v>
      </c>
      <c r="B313">
        <v>90.05</v>
      </c>
      <c r="C313">
        <v>91.06</v>
      </c>
      <c r="D313">
        <v>89.78</v>
      </c>
      <c r="E313">
        <v>90.23</v>
      </c>
      <c r="F313">
        <v>2972077</v>
      </c>
    </row>
    <row r="314" spans="1:6">
      <c r="A314" s="39">
        <v>42597</v>
      </c>
      <c r="B314">
        <v>90.37</v>
      </c>
      <c r="C314">
        <v>90.68</v>
      </c>
      <c r="D314">
        <v>90.1</v>
      </c>
      <c r="E314">
        <v>90.14</v>
      </c>
      <c r="F314">
        <v>2961648</v>
      </c>
    </row>
    <row r="315" spans="1:6">
      <c r="A315" s="39">
        <v>42598</v>
      </c>
      <c r="B315">
        <v>89.84</v>
      </c>
      <c r="C315">
        <v>89.95</v>
      </c>
      <c r="D315">
        <v>88.94</v>
      </c>
      <c r="E315">
        <v>89.06</v>
      </c>
      <c r="F315">
        <v>4166784</v>
      </c>
    </row>
    <row r="316" spans="1:6">
      <c r="A316" s="39">
        <v>42599</v>
      </c>
      <c r="B316">
        <v>88.98</v>
      </c>
      <c r="C316">
        <v>89.49</v>
      </c>
      <c r="D316">
        <v>88.37</v>
      </c>
      <c r="E316">
        <v>89.42</v>
      </c>
      <c r="F316">
        <v>5191979</v>
      </c>
    </row>
    <row r="317" spans="1:6">
      <c r="A317" s="39">
        <v>42600</v>
      </c>
      <c r="B317">
        <v>89.29</v>
      </c>
      <c r="C317">
        <v>89.69</v>
      </c>
      <c r="D317">
        <v>88.67</v>
      </c>
      <c r="E317">
        <v>89.09</v>
      </c>
      <c r="F317">
        <v>4074791</v>
      </c>
    </row>
    <row r="318" spans="1:6">
      <c r="A318" s="39">
        <v>42601</v>
      </c>
      <c r="B318">
        <v>88.97</v>
      </c>
      <c r="C318">
        <v>89.07</v>
      </c>
      <c r="D318">
        <v>88.26</v>
      </c>
      <c r="E318">
        <v>88.52</v>
      </c>
      <c r="F318">
        <v>3284937</v>
      </c>
    </row>
    <row r="319" spans="1:6">
      <c r="A319" s="39">
        <v>42604</v>
      </c>
      <c r="B319">
        <v>88.75</v>
      </c>
      <c r="C319">
        <v>89.07</v>
      </c>
      <c r="D319">
        <v>88.54</v>
      </c>
      <c r="E319">
        <v>89</v>
      </c>
      <c r="F319">
        <v>3671284</v>
      </c>
    </row>
    <row r="320" spans="1:6">
      <c r="A320" s="39">
        <v>42605</v>
      </c>
      <c r="B320">
        <v>89.31</v>
      </c>
      <c r="C320">
        <v>89.51</v>
      </c>
      <c r="D320">
        <v>89.01</v>
      </c>
      <c r="E320">
        <v>89.05</v>
      </c>
      <c r="F320">
        <v>6526075</v>
      </c>
    </row>
    <row r="321" spans="1:6">
      <c r="A321" s="39">
        <v>42606</v>
      </c>
      <c r="B321">
        <v>89.28</v>
      </c>
      <c r="C321">
        <v>89.29</v>
      </c>
      <c r="D321">
        <v>88.16</v>
      </c>
      <c r="E321">
        <v>88.66</v>
      </c>
      <c r="F321">
        <v>6064825</v>
      </c>
    </row>
    <row r="322" spans="1:6">
      <c r="A322" s="39">
        <v>42607</v>
      </c>
      <c r="B322">
        <v>88.9</v>
      </c>
      <c r="C322">
        <v>89.6</v>
      </c>
      <c r="D322">
        <v>88.62</v>
      </c>
      <c r="E322">
        <v>89.06</v>
      </c>
      <c r="F322">
        <v>3220013</v>
      </c>
    </row>
    <row r="323" spans="1:6">
      <c r="A323" s="39">
        <v>42608</v>
      </c>
      <c r="B323">
        <v>89.22</v>
      </c>
      <c r="C323">
        <v>89.77</v>
      </c>
      <c r="D323">
        <v>87.59</v>
      </c>
      <c r="E323">
        <v>88.18</v>
      </c>
      <c r="F323">
        <v>5844110</v>
      </c>
    </row>
    <row r="324" spans="1:6">
      <c r="A324" s="39">
        <v>42611</v>
      </c>
      <c r="B324">
        <v>88.37</v>
      </c>
      <c r="C324">
        <v>89.33</v>
      </c>
      <c r="D324">
        <v>88.36</v>
      </c>
      <c r="E324">
        <v>89.05</v>
      </c>
      <c r="F324">
        <v>3318596</v>
      </c>
    </row>
    <row r="325" spans="1:6">
      <c r="A325" s="39">
        <v>42612</v>
      </c>
      <c r="B325">
        <v>89.24</v>
      </c>
      <c r="C325">
        <v>89.35</v>
      </c>
      <c r="D325">
        <v>88.1</v>
      </c>
      <c r="E325">
        <v>88.88</v>
      </c>
      <c r="F325">
        <v>3432264</v>
      </c>
    </row>
    <row r="326" spans="1:6">
      <c r="A326" s="39">
        <v>42613</v>
      </c>
      <c r="B326">
        <v>88.79</v>
      </c>
      <c r="C326">
        <v>89.27</v>
      </c>
      <c r="D326">
        <v>88.47</v>
      </c>
      <c r="E326">
        <v>88.97</v>
      </c>
      <c r="F326">
        <v>5003247</v>
      </c>
    </row>
    <row r="327" spans="1:6">
      <c r="A327" s="39">
        <v>42614</v>
      </c>
      <c r="B327">
        <v>89.07</v>
      </c>
      <c r="C327">
        <v>89.1</v>
      </c>
      <c r="D327">
        <v>88.3</v>
      </c>
      <c r="E327">
        <v>88.75</v>
      </c>
      <c r="F327">
        <v>4097989</v>
      </c>
    </row>
    <row r="328" spans="1:6">
      <c r="A328" s="39">
        <v>42615</v>
      </c>
      <c r="B328">
        <v>89.27</v>
      </c>
      <c r="C328">
        <v>90.61</v>
      </c>
      <c r="D328">
        <v>89.13</v>
      </c>
      <c r="E328">
        <v>89.52</v>
      </c>
      <c r="F328">
        <v>4439526</v>
      </c>
    </row>
    <row r="329" spans="1:6">
      <c r="A329" s="39">
        <v>42619</v>
      </c>
      <c r="B329">
        <v>89.91</v>
      </c>
      <c r="C329">
        <v>90.22</v>
      </c>
      <c r="D329">
        <v>89.12</v>
      </c>
      <c r="E329">
        <v>90.21</v>
      </c>
      <c r="F329">
        <v>3874552</v>
      </c>
    </row>
    <row r="330" spans="1:6">
      <c r="A330" s="39">
        <v>42620</v>
      </c>
      <c r="B330">
        <v>90.09</v>
      </c>
      <c r="C330">
        <v>90.8</v>
      </c>
      <c r="D330">
        <v>89.79</v>
      </c>
      <c r="E330">
        <v>90.75</v>
      </c>
      <c r="F330">
        <v>2874237</v>
      </c>
    </row>
    <row r="331" spans="1:6">
      <c r="A331" s="39">
        <v>42621</v>
      </c>
      <c r="B331">
        <v>90.35</v>
      </c>
      <c r="C331">
        <v>90.5</v>
      </c>
      <c r="D331">
        <v>89.55</v>
      </c>
      <c r="E331">
        <v>89.64</v>
      </c>
      <c r="F331">
        <v>3123860</v>
      </c>
    </row>
    <row r="332" spans="1:6">
      <c r="A332" s="39">
        <v>42622</v>
      </c>
      <c r="B332">
        <v>88.62</v>
      </c>
      <c r="C332">
        <v>88.87</v>
      </c>
      <c r="D332">
        <v>86.07</v>
      </c>
      <c r="E332">
        <v>86.09</v>
      </c>
      <c r="F332">
        <v>7589278</v>
      </c>
    </row>
    <row r="333" spans="1:6">
      <c r="A333" s="39">
        <v>42625</v>
      </c>
      <c r="B333">
        <v>85.92</v>
      </c>
      <c r="C333">
        <v>87.51</v>
      </c>
      <c r="D333">
        <v>85.66</v>
      </c>
      <c r="E333">
        <v>87.11</v>
      </c>
      <c r="F333">
        <v>7088248</v>
      </c>
    </row>
    <row r="334" spans="1:6">
      <c r="A334" s="39">
        <v>42626</v>
      </c>
      <c r="B334">
        <v>86.08</v>
      </c>
      <c r="C334">
        <v>86.11</v>
      </c>
      <c r="D334">
        <v>84.15</v>
      </c>
      <c r="E334">
        <v>84.34</v>
      </c>
      <c r="F334">
        <v>7223001</v>
      </c>
    </row>
    <row r="335" spans="1:6">
      <c r="A335" s="39">
        <v>42627</v>
      </c>
      <c r="B335">
        <v>84.56</v>
      </c>
      <c r="C335">
        <v>85.08</v>
      </c>
      <c r="D335">
        <v>84.27</v>
      </c>
      <c r="E335">
        <v>84.61</v>
      </c>
      <c r="F335">
        <v>4781906</v>
      </c>
    </row>
    <row r="336" spans="1:6">
      <c r="A336" s="39">
        <v>42628</v>
      </c>
      <c r="B336">
        <v>84.58</v>
      </c>
      <c r="C336">
        <v>85.06</v>
      </c>
      <c r="D336">
        <v>84.13</v>
      </c>
      <c r="E336">
        <v>84.93</v>
      </c>
      <c r="F336">
        <v>5923163</v>
      </c>
    </row>
    <row r="337" spans="1:6">
      <c r="A337" s="39">
        <v>42629</v>
      </c>
      <c r="B337">
        <v>84.83</v>
      </c>
      <c r="C337">
        <v>85.04</v>
      </c>
      <c r="D337">
        <v>84.35</v>
      </c>
      <c r="E337">
        <v>84.97</v>
      </c>
      <c r="F337">
        <v>6251809</v>
      </c>
    </row>
    <row r="338" spans="1:6">
      <c r="A338" s="39">
        <v>42632</v>
      </c>
      <c r="B338">
        <v>85.25</v>
      </c>
      <c r="C338">
        <v>85.84</v>
      </c>
      <c r="D338">
        <v>85.16</v>
      </c>
      <c r="E338">
        <v>85.74</v>
      </c>
      <c r="F338">
        <v>3407692</v>
      </c>
    </row>
    <row r="339" spans="1:6">
      <c r="A339" s="39">
        <v>42633</v>
      </c>
      <c r="B339">
        <v>86.14</v>
      </c>
      <c r="C339">
        <v>86.25</v>
      </c>
      <c r="D339">
        <v>85.61</v>
      </c>
      <c r="E339">
        <v>85.61</v>
      </c>
      <c r="F339">
        <v>3905798</v>
      </c>
    </row>
    <row r="340" spans="1:6">
      <c r="A340" s="39">
        <v>42634</v>
      </c>
      <c r="B340">
        <v>85.76</v>
      </c>
      <c r="C340">
        <v>86.84</v>
      </c>
      <c r="D340">
        <v>84.6</v>
      </c>
      <c r="E340">
        <v>86.71</v>
      </c>
      <c r="F340">
        <v>6905007</v>
      </c>
    </row>
    <row r="341" spans="1:6">
      <c r="A341" s="39">
        <v>42635</v>
      </c>
      <c r="B341">
        <v>87.51</v>
      </c>
      <c r="C341">
        <v>88.34</v>
      </c>
      <c r="D341">
        <v>87.29</v>
      </c>
      <c r="E341">
        <v>88.26</v>
      </c>
      <c r="F341">
        <v>3575735</v>
      </c>
    </row>
    <row r="342" spans="1:6">
      <c r="A342" s="39">
        <v>42636</v>
      </c>
      <c r="B342">
        <v>88.02</v>
      </c>
      <c r="C342">
        <v>88.83</v>
      </c>
      <c r="D342">
        <v>87.29</v>
      </c>
      <c r="E342">
        <v>88.53</v>
      </c>
      <c r="F342">
        <v>4722530</v>
      </c>
    </row>
    <row r="343" spans="1:6">
      <c r="A343" s="39">
        <v>42639</v>
      </c>
      <c r="B343">
        <v>88.28</v>
      </c>
      <c r="C343">
        <v>88.94</v>
      </c>
      <c r="D343">
        <v>88</v>
      </c>
      <c r="E343">
        <v>88.74</v>
      </c>
      <c r="F343">
        <v>3440212</v>
      </c>
    </row>
    <row r="344" spans="1:6">
      <c r="A344" s="39">
        <v>42640</v>
      </c>
      <c r="B344">
        <v>89.03</v>
      </c>
      <c r="C344">
        <v>89.03</v>
      </c>
      <c r="D344">
        <v>87.65</v>
      </c>
      <c r="E344">
        <v>87.8</v>
      </c>
      <c r="F344">
        <v>6479844</v>
      </c>
    </row>
    <row r="345" spans="1:6">
      <c r="A345" s="39">
        <v>42641</v>
      </c>
      <c r="B345">
        <v>87.94</v>
      </c>
      <c r="C345">
        <v>88.59</v>
      </c>
      <c r="D345">
        <v>87.67</v>
      </c>
      <c r="E345">
        <v>88.52</v>
      </c>
      <c r="F345">
        <v>2676283</v>
      </c>
    </row>
    <row r="346" spans="1:6">
      <c r="A346" s="39">
        <v>42642</v>
      </c>
      <c r="B346">
        <v>88.22</v>
      </c>
      <c r="C346">
        <v>88.28</v>
      </c>
      <c r="D346">
        <v>87.08</v>
      </c>
      <c r="E346">
        <v>87.34</v>
      </c>
      <c r="F346">
        <v>4662848</v>
      </c>
    </row>
    <row r="347" spans="1:6">
      <c r="A347" s="39">
        <v>42643</v>
      </c>
      <c r="B347">
        <v>87.65</v>
      </c>
      <c r="C347">
        <v>88.19</v>
      </c>
      <c r="D347">
        <v>86.73</v>
      </c>
      <c r="E347">
        <v>86.74</v>
      </c>
      <c r="F347">
        <v>6718579</v>
      </c>
    </row>
    <row r="348" spans="1:6">
      <c r="A348" s="39">
        <v>42646</v>
      </c>
      <c r="B348">
        <v>86.01</v>
      </c>
      <c r="C348">
        <v>86.29</v>
      </c>
      <c r="D348">
        <v>84.94</v>
      </c>
      <c r="E348">
        <v>85.12</v>
      </c>
      <c r="F348">
        <v>10473860</v>
      </c>
    </row>
    <row r="349" spans="1:6">
      <c r="A349" s="39">
        <v>42647</v>
      </c>
      <c r="B349">
        <v>85</v>
      </c>
      <c r="C349">
        <v>85.04</v>
      </c>
      <c r="D349">
        <v>83.46</v>
      </c>
      <c r="E349">
        <v>83.96</v>
      </c>
      <c r="F349">
        <v>7415651</v>
      </c>
    </row>
    <row r="350" spans="1:6">
      <c r="A350" s="39">
        <v>42648</v>
      </c>
      <c r="B350">
        <v>84.12</v>
      </c>
      <c r="C350">
        <v>84.55</v>
      </c>
      <c r="D350">
        <v>82.17</v>
      </c>
      <c r="E350">
        <v>82.26</v>
      </c>
      <c r="F350">
        <v>8125205</v>
      </c>
    </row>
    <row r="351" spans="1:6">
      <c r="A351" s="39">
        <v>42649</v>
      </c>
      <c r="B351">
        <v>81.849999999999994</v>
      </c>
      <c r="C351">
        <v>82.89</v>
      </c>
      <c r="D351">
        <v>81.11</v>
      </c>
      <c r="E351">
        <v>82.29</v>
      </c>
      <c r="F351">
        <v>6760314</v>
      </c>
    </row>
    <row r="352" spans="1:6">
      <c r="A352" s="39">
        <v>42650</v>
      </c>
      <c r="B352">
        <v>82.8</v>
      </c>
      <c r="C352">
        <v>83.63</v>
      </c>
      <c r="D352">
        <v>81.77</v>
      </c>
      <c r="E352">
        <v>82.15</v>
      </c>
      <c r="F352">
        <v>6037109</v>
      </c>
    </row>
    <row r="353" spans="1:6">
      <c r="A353" s="39">
        <v>42653</v>
      </c>
      <c r="B353">
        <v>82.22</v>
      </c>
      <c r="C353">
        <v>83</v>
      </c>
      <c r="D353">
        <v>82.22</v>
      </c>
      <c r="E353">
        <v>82.66</v>
      </c>
      <c r="F353">
        <v>2818332</v>
      </c>
    </row>
    <row r="354" spans="1:6">
      <c r="A354" s="39">
        <v>42654</v>
      </c>
      <c r="B354">
        <v>82.55</v>
      </c>
      <c r="C354">
        <v>82.74</v>
      </c>
      <c r="D354">
        <v>81.64</v>
      </c>
      <c r="E354">
        <v>81.86</v>
      </c>
      <c r="F354">
        <v>4306576</v>
      </c>
    </row>
    <row r="355" spans="1:6">
      <c r="A355" s="39">
        <v>42655</v>
      </c>
      <c r="B355">
        <v>81.99</v>
      </c>
      <c r="C355">
        <v>82.92</v>
      </c>
      <c r="D355">
        <v>81.86</v>
      </c>
      <c r="E355">
        <v>82.8</v>
      </c>
      <c r="F355">
        <v>3492581</v>
      </c>
    </row>
    <row r="356" spans="1:6">
      <c r="A356" s="39">
        <v>42656</v>
      </c>
      <c r="B356">
        <v>82.47</v>
      </c>
      <c r="C356">
        <v>83.59</v>
      </c>
      <c r="D356">
        <v>82.22</v>
      </c>
      <c r="E356">
        <v>83.45</v>
      </c>
      <c r="F356">
        <v>3633602</v>
      </c>
    </row>
    <row r="357" spans="1:6">
      <c r="A357" s="39">
        <v>42657</v>
      </c>
      <c r="B357">
        <v>83.3</v>
      </c>
      <c r="C357">
        <v>83.99</v>
      </c>
      <c r="D357">
        <v>82.91</v>
      </c>
      <c r="E357">
        <v>83.08</v>
      </c>
      <c r="F357">
        <v>3187483</v>
      </c>
    </row>
    <row r="358" spans="1:6">
      <c r="A358" s="39">
        <v>42660</v>
      </c>
      <c r="B358">
        <v>83.15</v>
      </c>
      <c r="C358">
        <v>83.77</v>
      </c>
      <c r="D358">
        <v>83.08</v>
      </c>
      <c r="E358">
        <v>83.26</v>
      </c>
      <c r="F358">
        <v>3153983</v>
      </c>
    </row>
    <row r="359" spans="1:6">
      <c r="A359" s="39">
        <v>42661</v>
      </c>
      <c r="B359">
        <v>83.81</v>
      </c>
      <c r="C359">
        <v>84.28</v>
      </c>
      <c r="D359">
        <v>83.5</v>
      </c>
      <c r="E359">
        <v>83.79</v>
      </c>
      <c r="F359">
        <v>2533156</v>
      </c>
    </row>
    <row r="360" spans="1:6">
      <c r="A360" s="39">
        <v>42662</v>
      </c>
      <c r="B360">
        <v>83.81</v>
      </c>
      <c r="C360">
        <v>84.08</v>
      </c>
      <c r="D360">
        <v>83.34</v>
      </c>
      <c r="E360">
        <v>83.97</v>
      </c>
      <c r="F360">
        <v>2870992</v>
      </c>
    </row>
    <row r="361" spans="1:6">
      <c r="A361" s="39">
        <v>42663</v>
      </c>
      <c r="B361">
        <v>83.96</v>
      </c>
      <c r="C361">
        <v>84.33</v>
      </c>
      <c r="D361">
        <v>83.32</v>
      </c>
      <c r="E361">
        <v>83.78</v>
      </c>
      <c r="F361">
        <v>3261117</v>
      </c>
    </row>
    <row r="362" spans="1:6">
      <c r="A362" s="39">
        <v>42664</v>
      </c>
      <c r="B362">
        <v>83.38</v>
      </c>
      <c r="C362">
        <v>83.68</v>
      </c>
      <c r="D362">
        <v>83.1</v>
      </c>
      <c r="E362">
        <v>83.47</v>
      </c>
      <c r="F362">
        <v>3193761</v>
      </c>
    </row>
    <row r="363" spans="1:6">
      <c r="A363" s="39">
        <v>42667</v>
      </c>
      <c r="B363">
        <v>83.85</v>
      </c>
      <c r="C363">
        <v>84.51</v>
      </c>
      <c r="D363">
        <v>83.33</v>
      </c>
      <c r="E363">
        <v>83.66</v>
      </c>
      <c r="F363">
        <v>3948867</v>
      </c>
    </row>
    <row r="364" spans="1:6">
      <c r="A364" s="39">
        <v>42668</v>
      </c>
      <c r="B364">
        <v>83.32</v>
      </c>
      <c r="C364">
        <v>83.62</v>
      </c>
      <c r="D364">
        <v>83.06</v>
      </c>
      <c r="E364">
        <v>83.51</v>
      </c>
      <c r="F364">
        <v>3161360</v>
      </c>
    </row>
    <row r="365" spans="1:6">
      <c r="A365" s="39">
        <v>42669</v>
      </c>
      <c r="B365">
        <v>83.19</v>
      </c>
      <c r="C365">
        <v>83.31</v>
      </c>
      <c r="D365">
        <v>81.849999999999994</v>
      </c>
      <c r="E365">
        <v>82.42</v>
      </c>
      <c r="F365">
        <v>4093093</v>
      </c>
    </row>
    <row r="366" spans="1:6">
      <c r="A366" s="39">
        <v>42670</v>
      </c>
      <c r="B366">
        <v>82.27</v>
      </c>
      <c r="C366">
        <v>82.31</v>
      </c>
      <c r="D366">
        <v>80.040000000000006</v>
      </c>
      <c r="E366">
        <v>80.260000000000005</v>
      </c>
      <c r="F366">
        <v>5969332</v>
      </c>
    </row>
    <row r="367" spans="1:6">
      <c r="A367" s="39">
        <v>42671</v>
      </c>
      <c r="B367">
        <v>80.39</v>
      </c>
      <c r="C367">
        <v>81.14</v>
      </c>
      <c r="D367">
        <v>80.150000000000006</v>
      </c>
      <c r="E367">
        <v>80.45</v>
      </c>
      <c r="F367">
        <v>4819067</v>
      </c>
    </row>
    <row r="368" spans="1:6">
      <c r="A368" s="39">
        <v>42674</v>
      </c>
      <c r="B368">
        <v>80.8</v>
      </c>
      <c r="C368">
        <v>81.91</v>
      </c>
      <c r="D368">
        <v>80.47</v>
      </c>
      <c r="E368">
        <v>81.760000000000005</v>
      </c>
      <c r="F368">
        <v>5009666</v>
      </c>
    </row>
    <row r="369" spans="1:6">
      <c r="A369" s="39">
        <v>42675</v>
      </c>
      <c r="B369">
        <v>81.400000000000006</v>
      </c>
      <c r="C369">
        <v>81.47</v>
      </c>
      <c r="D369">
        <v>79.7</v>
      </c>
      <c r="E369">
        <v>79.98</v>
      </c>
      <c r="F369">
        <v>7465173</v>
      </c>
    </row>
    <row r="370" spans="1:6">
      <c r="A370" s="39">
        <v>42676</v>
      </c>
      <c r="B370">
        <v>79.849999999999994</v>
      </c>
      <c r="C370">
        <v>80.08</v>
      </c>
      <c r="D370">
        <v>78.790000000000006</v>
      </c>
      <c r="E370">
        <v>78.81</v>
      </c>
      <c r="F370">
        <v>7847639</v>
      </c>
    </row>
    <row r="371" spans="1:6">
      <c r="A371" s="39">
        <v>42677</v>
      </c>
      <c r="B371">
        <v>78.87</v>
      </c>
      <c r="C371">
        <v>79</v>
      </c>
      <c r="D371">
        <v>78.180000000000007</v>
      </c>
      <c r="E371">
        <v>78.2</v>
      </c>
      <c r="F371">
        <v>7221932</v>
      </c>
    </row>
    <row r="372" spans="1:6">
      <c r="A372" s="39">
        <v>42678</v>
      </c>
      <c r="B372">
        <v>78.39</v>
      </c>
      <c r="C372">
        <v>79.08</v>
      </c>
      <c r="D372">
        <v>78.06</v>
      </c>
      <c r="E372">
        <v>78.819999999999993</v>
      </c>
      <c r="F372">
        <v>4432577</v>
      </c>
    </row>
    <row r="373" spans="1:6">
      <c r="A373" s="39">
        <v>42681</v>
      </c>
      <c r="B373">
        <v>79.41</v>
      </c>
      <c r="C373">
        <v>80.23</v>
      </c>
      <c r="D373">
        <v>79.41</v>
      </c>
      <c r="E373">
        <v>80.2</v>
      </c>
      <c r="F373">
        <v>5860533</v>
      </c>
    </row>
    <row r="374" spans="1:6">
      <c r="A374" s="39">
        <v>42682</v>
      </c>
      <c r="B374">
        <v>80.180000000000007</v>
      </c>
      <c r="C374">
        <v>80.89</v>
      </c>
      <c r="D374">
        <v>79.8</v>
      </c>
      <c r="E374">
        <v>80.62</v>
      </c>
      <c r="F374">
        <v>4023315</v>
      </c>
    </row>
    <row r="375" spans="1:6">
      <c r="A375" s="39">
        <v>42683</v>
      </c>
      <c r="B375">
        <v>78.7</v>
      </c>
      <c r="C375">
        <v>80</v>
      </c>
      <c r="D375">
        <v>77.77</v>
      </c>
      <c r="E375">
        <v>79.400000000000006</v>
      </c>
      <c r="F375">
        <v>10045793</v>
      </c>
    </row>
    <row r="376" spans="1:6">
      <c r="A376" s="39">
        <v>42684</v>
      </c>
      <c r="B376">
        <v>79.3</v>
      </c>
      <c r="C376">
        <v>79.34</v>
      </c>
      <c r="D376">
        <v>76.98</v>
      </c>
      <c r="E376">
        <v>78.069999999999993</v>
      </c>
      <c r="F376">
        <v>13504662</v>
      </c>
    </row>
    <row r="377" spans="1:6">
      <c r="A377" s="39">
        <v>42685</v>
      </c>
      <c r="B377">
        <v>78</v>
      </c>
      <c r="C377">
        <v>79.510000000000005</v>
      </c>
      <c r="D377">
        <v>77.95</v>
      </c>
      <c r="E377">
        <v>78.540000000000006</v>
      </c>
      <c r="F377">
        <v>5065957</v>
      </c>
    </row>
    <row r="378" spans="1:6">
      <c r="A378" s="39">
        <v>42688</v>
      </c>
      <c r="B378">
        <v>78.400000000000006</v>
      </c>
      <c r="C378">
        <v>80.62</v>
      </c>
      <c r="D378">
        <v>78.02</v>
      </c>
      <c r="E378">
        <v>80.400000000000006</v>
      </c>
      <c r="F378">
        <v>6755223</v>
      </c>
    </row>
    <row r="379" spans="1:6">
      <c r="A379" s="39">
        <v>42689</v>
      </c>
      <c r="B379">
        <v>80.67</v>
      </c>
      <c r="C379">
        <v>81.34</v>
      </c>
      <c r="D379">
        <v>79.180000000000007</v>
      </c>
      <c r="E379">
        <v>79.73</v>
      </c>
      <c r="F379">
        <v>7719935</v>
      </c>
    </row>
    <row r="380" spans="1:6">
      <c r="A380" s="39">
        <v>42690</v>
      </c>
      <c r="B380">
        <v>79.760000000000005</v>
      </c>
      <c r="C380">
        <v>80</v>
      </c>
      <c r="D380">
        <v>78.900000000000006</v>
      </c>
      <c r="E380">
        <v>79.5</v>
      </c>
      <c r="F380">
        <v>10337129</v>
      </c>
    </row>
    <row r="381" spans="1:6">
      <c r="A381" s="39">
        <v>42691</v>
      </c>
      <c r="B381">
        <v>79.459999999999994</v>
      </c>
      <c r="C381">
        <v>80.06</v>
      </c>
      <c r="D381">
        <v>78.58</v>
      </c>
      <c r="E381">
        <v>78.69</v>
      </c>
      <c r="F381">
        <v>3645439</v>
      </c>
    </row>
    <row r="382" spans="1:6">
      <c r="A382" s="39">
        <v>42692</v>
      </c>
      <c r="B382">
        <v>78.790000000000006</v>
      </c>
      <c r="C382">
        <v>79.13</v>
      </c>
      <c r="D382">
        <v>78.42</v>
      </c>
      <c r="E382">
        <v>78.92</v>
      </c>
      <c r="F382">
        <v>3655648</v>
      </c>
    </row>
    <row r="383" spans="1:6">
      <c r="A383" s="39">
        <v>42695</v>
      </c>
      <c r="B383">
        <v>79.180000000000007</v>
      </c>
      <c r="C383">
        <v>79.75</v>
      </c>
      <c r="D383">
        <v>78.59</v>
      </c>
      <c r="E383">
        <v>78.680000000000007</v>
      </c>
      <c r="F383">
        <v>3488233</v>
      </c>
    </row>
    <row r="384" spans="1:6">
      <c r="A384" s="39">
        <v>42696</v>
      </c>
      <c r="B384">
        <v>79.069999999999993</v>
      </c>
      <c r="C384">
        <v>80.099999999999994</v>
      </c>
      <c r="D384">
        <v>78.83</v>
      </c>
      <c r="E384">
        <v>80.06</v>
      </c>
      <c r="F384">
        <v>4226738</v>
      </c>
    </row>
    <row r="385" spans="1:6">
      <c r="A385" s="39">
        <v>42697</v>
      </c>
      <c r="B385">
        <v>79.36</v>
      </c>
      <c r="C385">
        <v>79.8</v>
      </c>
      <c r="D385">
        <v>79.040000000000006</v>
      </c>
      <c r="E385">
        <v>79.72</v>
      </c>
      <c r="F385">
        <v>6542068</v>
      </c>
    </row>
    <row r="386" spans="1:6">
      <c r="A386" s="39">
        <v>42699</v>
      </c>
      <c r="B386">
        <v>79.8</v>
      </c>
      <c r="C386">
        <v>80.63</v>
      </c>
      <c r="D386">
        <v>79.739999999999995</v>
      </c>
      <c r="E386">
        <v>80.180000000000007</v>
      </c>
      <c r="F386">
        <v>1904505</v>
      </c>
    </row>
    <row r="387" spans="1:6">
      <c r="A387" s="39">
        <v>42702</v>
      </c>
      <c r="B387">
        <v>80.180000000000007</v>
      </c>
      <c r="C387">
        <v>81.08</v>
      </c>
      <c r="D387">
        <v>80.13</v>
      </c>
      <c r="E387">
        <v>80.55</v>
      </c>
      <c r="F387">
        <v>4065993</v>
      </c>
    </row>
    <row r="388" spans="1:6">
      <c r="A388" s="39">
        <v>42703</v>
      </c>
      <c r="B388">
        <v>80.63</v>
      </c>
      <c r="C388">
        <v>81.73</v>
      </c>
      <c r="D388">
        <v>80.569999999999993</v>
      </c>
      <c r="E388">
        <v>81.319999999999993</v>
      </c>
      <c r="F388">
        <v>3754254</v>
      </c>
    </row>
    <row r="389" spans="1:6">
      <c r="A389" s="39">
        <v>42704</v>
      </c>
      <c r="B389">
        <v>80.55</v>
      </c>
      <c r="C389">
        <v>81.05</v>
      </c>
      <c r="D389">
        <v>80</v>
      </c>
      <c r="E389">
        <v>80.39</v>
      </c>
      <c r="F389">
        <v>6826365</v>
      </c>
    </row>
    <row r="390" spans="1:6">
      <c r="A390" s="39">
        <v>42705</v>
      </c>
      <c r="B390">
        <v>79.92</v>
      </c>
      <c r="C390">
        <v>80.209999999999994</v>
      </c>
      <c r="D390">
        <v>78.760000000000005</v>
      </c>
      <c r="E390">
        <v>79.209999999999994</v>
      </c>
      <c r="F390">
        <v>6361853</v>
      </c>
    </row>
    <row r="391" spans="1:6">
      <c r="A391" s="39">
        <v>42706</v>
      </c>
      <c r="B391">
        <v>79.56</v>
      </c>
      <c r="C391">
        <v>80.83</v>
      </c>
      <c r="D391">
        <v>79.430000000000007</v>
      </c>
      <c r="E391">
        <v>80</v>
      </c>
      <c r="F391">
        <v>3696073</v>
      </c>
    </row>
    <row r="392" spans="1:6">
      <c r="A392" s="39">
        <v>42709</v>
      </c>
      <c r="B392">
        <v>80.010000000000005</v>
      </c>
      <c r="C392">
        <v>80.69</v>
      </c>
      <c r="D392">
        <v>79.73</v>
      </c>
      <c r="E392">
        <v>80.59</v>
      </c>
      <c r="F392">
        <v>3457161</v>
      </c>
    </row>
    <row r="393" spans="1:6">
      <c r="A393" s="39">
        <v>42710</v>
      </c>
      <c r="B393">
        <v>80.8</v>
      </c>
      <c r="C393">
        <v>81.47</v>
      </c>
      <c r="D393">
        <v>80.5</v>
      </c>
      <c r="E393">
        <v>81.11</v>
      </c>
      <c r="F393">
        <v>4024824</v>
      </c>
    </row>
    <row r="394" spans="1:6">
      <c r="A394" s="39">
        <v>42711</v>
      </c>
      <c r="B394">
        <v>81.17</v>
      </c>
      <c r="C394">
        <v>82.86</v>
      </c>
      <c r="D394">
        <v>81.069999999999993</v>
      </c>
      <c r="E394">
        <v>82.73</v>
      </c>
      <c r="F394">
        <v>5754264</v>
      </c>
    </row>
    <row r="395" spans="1:6">
      <c r="A395" s="39">
        <v>42712</v>
      </c>
      <c r="B395">
        <v>82.45</v>
      </c>
      <c r="C395">
        <v>83.53</v>
      </c>
      <c r="D395">
        <v>82.01</v>
      </c>
      <c r="E395">
        <v>83.3</v>
      </c>
      <c r="F395">
        <v>4404211</v>
      </c>
    </row>
    <row r="396" spans="1:6">
      <c r="A396" s="39">
        <v>42713</v>
      </c>
      <c r="B396">
        <v>83.35</v>
      </c>
      <c r="C396">
        <v>83.99</v>
      </c>
      <c r="D396">
        <v>83.02</v>
      </c>
      <c r="E396">
        <v>83.21</v>
      </c>
      <c r="F396">
        <v>4506163</v>
      </c>
    </row>
    <row r="397" spans="1:6">
      <c r="A397" s="39">
        <v>42716</v>
      </c>
      <c r="B397">
        <v>82.98</v>
      </c>
      <c r="C397">
        <v>83.81</v>
      </c>
      <c r="D397">
        <v>82.83</v>
      </c>
      <c r="E397">
        <v>83.76</v>
      </c>
      <c r="F397">
        <v>3610718</v>
      </c>
    </row>
    <row r="398" spans="1:6">
      <c r="A398" s="39">
        <v>42717</v>
      </c>
      <c r="B398">
        <v>84.1</v>
      </c>
      <c r="C398">
        <v>84.19</v>
      </c>
      <c r="D398">
        <v>83.14</v>
      </c>
      <c r="E398">
        <v>83.72</v>
      </c>
      <c r="F398">
        <v>4015070</v>
      </c>
    </row>
    <row r="399" spans="1:6">
      <c r="A399" s="39">
        <v>42718</v>
      </c>
      <c r="B399">
        <v>83.62</v>
      </c>
      <c r="C399">
        <v>83.83</v>
      </c>
      <c r="D399">
        <v>81.75</v>
      </c>
      <c r="E399">
        <v>81.89</v>
      </c>
      <c r="F399">
        <v>4857278</v>
      </c>
    </row>
    <row r="400" spans="1:6">
      <c r="A400" s="39">
        <v>42719</v>
      </c>
      <c r="B400">
        <v>81.819999999999993</v>
      </c>
      <c r="C400">
        <v>82.47</v>
      </c>
      <c r="D400">
        <v>81.16</v>
      </c>
      <c r="E400">
        <v>81.41</v>
      </c>
      <c r="F400">
        <v>3915241</v>
      </c>
    </row>
    <row r="401" spans="1:6">
      <c r="A401" s="39">
        <v>42720</v>
      </c>
      <c r="B401">
        <v>81.58</v>
      </c>
      <c r="C401">
        <v>83.17</v>
      </c>
      <c r="D401">
        <v>81.45</v>
      </c>
      <c r="E401">
        <v>82.63</v>
      </c>
      <c r="F401">
        <v>6581118</v>
      </c>
    </row>
    <row r="402" spans="1:6">
      <c r="A402" s="39">
        <v>42723</v>
      </c>
      <c r="B402">
        <v>82.91</v>
      </c>
      <c r="C402">
        <v>83.88</v>
      </c>
      <c r="D402">
        <v>82.9</v>
      </c>
      <c r="E402">
        <v>83.52</v>
      </c>
      <c r="F402">
        <v>3663635</v>
      </c>
    </row>
    <row r="403" spans="1:6">
      <c r="A403" s="39">
        <v>42724</v>
      </c>
      <c r="B403">
        <v>83.48</v>
      </c>
      <c r="C403">
        <v>84.08</v>
      </c>
      <c r="D403">
        <v>83.18</v>
      </c>
      <c r="E403">
        <v>83.71</v>
      </c>
      <c r="F403">
        <v>5193553</v>
      </c>
    </row>
    <row r="404" spans="1:6">
      <c r="A404" s="39">
        <v>42725</v>
      </c>
      <c r="B404">
        <v>83.71</v>
      </c>
      <c r="C404">
        <v>84.26</v>
      </c>
      <c r="D404">
        <v>82.42</v>
      </c>
      <c r="E404">
        <v>82.44</v>
      </c>
      <c r="F404">
        <v>4998424</v>
      </c>
    </row>
    <row r="405" spans="1:6">
      <c r="A405" s="39">
        <v>42726</v>
      </c>
      <c r="B405">
        <v>80.64</v>
      </c>
      <c r="C405">
        <v>80.88</v>
      </c>
      <c r="D405">
        <v>79.91</v>
      </c>
      <c r="E405">
        <v>80.61</v>
      </c>
      <c r="F405">
        <v>3891681</v>
      </c>
    </row>
    <row r="406" spans="1:6">
      <c r="A406" s="39">
        <v>42727</v>
      </c>
      <c r="B406">
        <v>80.72</v>
      </c>
      <c r="C406">
        <v>82.28</v>
      </c>
      <c r="D406">
        <v>80.489999999999995</v>
      </c>
      <c r="E406">
        <v>80.819999999999993</v>
      </c>
      <c r="F406">
        <v>4504471</v>
      </c>
    </row>
    <row r="407" spans="1:6">
      <c r="A407" s="39">
        <v>42731</v>
      </c>
      <c r="B407">
        <v>80.94</v>
      </c>
      <c r="C407">
        <v>81.3</v>
      </c>
      <c r="D407">
        <v>80.61</v>
      </c>
      <c r="E407">
        <v>80.989999999999995</v>
      </c>
      <c r="F407">
        <v>3833037</v>
      </c>
    </row>
    <row r="408" spans="1:6">
      <c r="A408" s="39">
        <v>42732</v>
      </c>
      <c r="B408">
        <v>81.180000000000007</v>
      </c>
      <c r="C408">
        <v>81.180000000000007</v>
      </c>
      <c r="D408">
        <v>80.239999999999995</v>
      </c>
      <c r="E408">
        <v>80.5</v>
      </c>
      <c r="F408">
        <v>3979496</v>
      </c>
    </row>
    <row r="409" spans="1:6">
      <c r="A409" s="39">
        <v>42733</v>
      </c>
      <c r="B409">
        <v>80.760000000000005</v>
      </c>
      <c r="C409">
        <v>81.739999999999995</v>
      </c>
      <c r="D409">
        <v>80.45</v>
      </c>
      <c r="E409">
        <v>81.5</v>
      </c>
      <c r="F409">
        <v>4259426</v>
      </c>
    </row>
    <row r="410" spans="1:6">
      <c r="A410" s="39">
        <v>42734</v>
      </c>
      <c r="B410">
        <v>81.59</v>
      </c>
      <c r="C410">
        <v>82.7</v>
      </c>
      <c r="D410">
        <v>81.2</v>
      </c>
      <c r="E410">
        <v>82.53</v>
      </c>
      <c r="F410">
        <v>6673419</v>
      </c>
    </row>
    <row r="411" spans="1:6">
      <c r="A411" s="39">
        <v>42738</v>
      </c>
      <c r="B411">
        <v>82.98</v>
      </c>
      <c r="C411">
        <v>83</v>
      </c>
      <c r="D411">
        <v>82.14</v>
      </c>
      <c r="E411">
        <v>82.8</v>
      </c>
      <c r="F411">
        <v>9380344</v>
      </c>
    </row>
    <row r="412" spans="1:6">
      <c r="A412" s="39">
        <v>42739</v>
      </c>
      <c r="B412">
        <v>82.91</v>
      </c>
      <c r="C412">
        <v>84.19</v>
      </c>
      <c r="D412">
        <v>82.83</v>
      </c>
      <c r="E412">
        <v>84.01</v>
      </c>
      <c r="F412">
        <v>6598743</v>
      </c>
    </row>
    <row r="413" spans="1:6">
      <c r="A413" s="39">
        <v>42740</v>
      </c>
      <c r="B413">
        <v>83.7</v>
      </c>
      <c r="C413">
        <v>84.38</v>
      </c>
      <c r="D413">
        <v>82.92</v>
      </c>
      <c r="E413">
        <v>84.28</v>
      </c>
      <c r="F413">
        <v>8555674</v>
      </c>
    </row>
    <row r="414" spans="1:6">
      <c r="A414" s="39">
        <v>42741</v>
      </c>
      <c r="B414">
        <v>84.02</v>
      </c>
      <c r="C414">
        <v>84.7</v>
      </c>
      <c r="D414">
        <v>83.82</v>
      </c>
      <c r="E414">
        <v>84.29</v>
      </c>
      <c r="F414">
        <v>3901163</v>
      </c>
    </row>
    <row r="415" spans="1:6">
      <c r="A415" s="39">
        <v>42744</v>
      </c>
      <c r="B415">
        <v>84.53</v>
      </c>
      <c r="C415">
        <v>84.53</v>
      </c>
      <c r="D415">
        <v>83.5</v>
      </c>
      <c r="E415">
        <v>83.53</v>
      </c>
      <c r="F415">
        <v>3546074</v>
      </c>
    </row>
    <row r="416" spans="1:6">
      <c r="A416" s="39">
        <v>42745</v>
      </c>
      <c r="B416">
        <v>83.57</v>
      </c>
      <c r="C416">
        <v>83.57</v>
      </c>
      <c r="D416">
        <v>82.78</v>
      </c>
      <c r="E416">
        <v>82.82</v>
      </c>
      <c r="F416">
        <v>3959633</v>
      </c>
    </row>
    <row r="417" spans="1:6">
      <c r="A417" s="39">
        <v>42746</v>
      </c>
      <c r="B417">
        <v>82.87</v>
      </c>
      <c r="C417">
        <v>82.96</v>
      </c>
      <c r="D417">
        <v>82.23</v>
      </c>
      <c r="E417">
        <v>82.31</v>
      </c>
      <c r="F417">
        <v>4498021</v>
      </c>
    </row>
    <row r="418" spans="1:6">
      <c r="A418" s="39">
        <v>42747</v>
      </c>
      <c r="B418">
        <v>82.4</v>
      </c>
      <c r="C418">
        <v>82.77</v>
      </c>
      <c r="D418">
        <v>81.599999999999994</v>
      </c>
      <c r="E418">
        <v>82.73</v>
      </c>
      <c r="F418">
        <v>4670739</v>
      </c>
    </row>
    <row r="419" spans="1:6">
      <c r="A419" s="39">
        <v>42748</v>
      </c>
      <c r="B419">
        <v>82.72</v>
      </c>
      <c r="C419">
        <v>83.02</v>
      </c>
      <c r="D419">
        <v>82.33</v>
      </c>
      <c r="E419">
        <v>82.61</v>
      </c>
      <c r="F419">
        <v>3658131</v>
      </c>
    </row>
    <row r="420" spans="1:6">
      <c r="A420" s="39">
        <v>42752</v>
      </c>
      <c r="B420">
        <v>82.96</v>
      </c>
      <c r="C420">
        <v>83.32</v>
      </c>
      <c r="D420">
        <v>82.76</v>
      </c>
      <c r="E420">
        <v>83.25</v>
      </c>
      <c r="F420">
        <v>4139242</v>
      </c>
    </row>
    <row r="421" spans="1:6">
      <c r="A421" s="39">
        <v>42753</v>
      </c>
      <c r="B421">
        <v>83.22</v>
      </c>
      <c r="C421">
        <v>83.66</v>
      </c>
      <c r="D421">
        <v>83.03</v>
      </c>
      <c r="E421">
        <v>83.39</v>
      </c>
      <c r="F421">
        <v>3317394</v>
      </c>
    </row>
    <row r="422" spans="1:6">
      <c r="A422" s="39">
        <v>42754</v>
      </c>
      <c r="B422">
        <v>83.08</v>
      </c>
      <c r="C422">
        <v>83.25</v>
      </c>
      <c r="D422">
        <v>82.34</v>
      </c>
      <c r="E422">
        <v>82.54</v>
      </c>
      <c r="F422">
        <v>3169244</v>
      </c>
    </row>
    <row r="423" spans="1:6">
      <c r="A423" s="39">
        <v>42755</v>
      </c>
      <c r="B423">
        <v>82.57</v>
      </c>
      <c r="C423">
        <v>83.19</v>
      </c>
      <c r="D423">
        <v>82.38</v>
      </c>
      <c r="E423">
        <v>83.14</v>
      </c>
      <c r="F423">
        <v>3285567</v>
      </c>
    </row>
    <row r="424" spans="1:6">
      <c r="A424" s="39">
        <v>42758</v>
      </c>
      <c r="B424">
        <v>83.26</v>
      </c>
      <c r="C424">
        <v>83.97</v>
      </c>
      <c r="D424">
        <v>83</v>
      </c>
      <c r="E424">
        <v>83.84</v>
      </c>
      <c r="F424">
        <v>3165576</v>
      </c>
    </row>
    <row r="425" spans="1:6">
      <c r="A425" s="39">
        <v>42759</v>
      </c>
      <c r="B425">
        <v>83.84</v>
      </c>
      <c r="C425">
        <v>84.21</v>
      </c>
      <c r="D425">
        <v>83.5</v>
      </c>
      <c r="E425">
        <v>83.86</v>
      </c>
      <c r="F425">
        <v>4204177</v>
      </c>
    </row>
    <row r="426" spans="1:6">
      <c r="A426" s="39">
        <v>42760</v>
      </c>
      <c r="B426">
        <v>83.81</v>
      </c>
      <c r="C426">
        <v>84.16</v>
      </c>
      <c r="D426">
        <v>83.06</v>
      </c>
      <c r="E426">
        <v>83.31</v>
      </c>
      <c r="F426">
        <v>3461494</v>
      </c>
    </row>
    <row r="427" spans="1:6">
      <c r="A427" s="39">
        <v>42761</v>
      </c>
      <c r="B427">
        <v>83.32</v>
      </c>
      <c r="C427">
        <v>83.72</v>
      </c>
      <c r="D427">
        <v>83.03</v>
      </c>
      <c r="E427">
        <v>83.15</v>
      </c>
      <c r="F427">
        <v>4093711</v>
      </c>
    </row>
    <row r="428" spans="1:6">
      <c r="A428" s="39">
        <v>42762</v>
      </c>
      <c r="B428">
        <v>83.39</v>
      </c>
      <c r="C428">
        <v>83.5</v>
      </c>
      <c r="D428">
        <v>82.02</v>
      </c>
      <c r="E428">
        <v>82.34</v>
      </c>
      <c r="F428">
        <v>2996199</v>
      </c>
    </row>
    <row r="429" spans="1:6">
      <c r="A429" s="39">
        <v>42765</v>
      </c>
      <c r="B429">
        <v>82.1</v>
      </c>
      <c r="C429">
        <v>82.27</v>
      </c>
      <c r="D429">
        <v>81.569999999999993</v>
      </c>
      <c r="E429">
        <v>81.78</v>
      </c>
      <c r="F429">
        <v>3182619</v>
      </c>
    </row>
    <row r="430" spans="1:6">
      <c r="A430" s="39">
        <v>42766</v>
      </c>
      <c r="B430">
        <v>81.8</v>
      </c>
      <c r="C430">
        <v>82.95</v>
      </c>
      <c r="D430">
        <v>81.8</v>
      </c>
      <c r="E430">
        <v>82.37</v>
      </c>
      <c r="F430">
        <v>11091498</v>
      </c>
    </row>
    <row r="431" spans="1:6">
      <c r="A431" s="39">
        <v>42767</v>
      </c>
      <c r="B431">
        <v>82.28</v>
      </c>
      <c r="C431">
        <v>82.89</v>
      </c>
      <c r="D431">
        <v>81.319999999999993</v>
      </c>
      <c r="E431">
        <v>81.38</v>
      </c>
      <c r="F431">
        <v>4555854</v>
      </c>
    </row>
    <row r="432" spans="1:6">
      <c r="A432" s="39">
        <v>42768</v>
      </c>
      <c r="B432">
        <v>81.430000000000007</v>
      </c>
      <c r="C432">
        <v>82.43</v>
      </c>
      <c r="D432">
        <v>81.42</v>
      </c>
      <c r="E432">
        <v>82.35</v>
      </c>
      <c r="F432">
        <v>4754825</v>
      </c>
    </row>
    <row r="433" spans="1:6">
      <c r="A433" s="39">
        <v>42769</v>
      </c>
      <c r="B433">
        <v>82.96</v>
      </c>
      <c r="C433">
        <v>83.23</v>
      </c>
      <c r="D433">
        <v>82.46</v>
      </c>
      <c r="E433">
        <v>82.8</v>
      </c>
      <c r="F433">
        <v>4165139</v>
      </c>
    </row>
    <row r="434" spans="1:6">
      <c r="A434" s="39">
        <v>42772</v>
      </c>
      <c r="B434">
        <v>82.9</v>
      </c>
      <c r="C434">
        <v>83.06</v>
      </c>
      <c r="D434">
        <v>82.49</v>
      </c>
      <c r="E434">
        <v>82.66</v>
      </c>
      <c r="F434">
        <v>2985824</v>
      </c>
    </row>
    <row r="435" spans="1:6">
      <c r="A435" s="39">
        <v>42773</v>
      </c>
      <c r="B435">
        <v>82.73</v>
      </c>
      <c r="C435">
        <v>83.03</v>
      </c>
      <c r="D435">
        <v>82.24</v>
      </c>
      <c r="E435">
        <v>82.37</v>
      </c>
      <c r="F435">
        <v>3250658</v>
      </c>
    </row>
    <row r="436" spans="1:6">
      <c r="A436" s="39">
        <v>42774</v>
      </c>
      <c r="B436">
        <v>82.62</v>
      </c>
      <c r="C436">
        <v>83.2</v>
      </c>
      <c r="D436">
        <v>82.3</v>
      </c>
      <c r="E436">
        <v>83.02</v>
      </c>
      <c r="F436">
        <v>3316789</v>
      </c>
    </row>
    <row r="437" spans="1:6">
      <c r="A437" s="39">
        <v>42775</v>
      </c>
      <c r="B437">
        <v>83</v>
      </c>
      <c r="C437">
        <v>83.38</v>
      </c>
      <c r="D437">
        <v>82.92</v>
      </c>
      <c r="E437">
        <v>83.22</v>
      </c>
      <c r="F437">
        <v>2806990</v>
      </c>
    </row>
    <row r="438" spans="1:6">
      <c r="A438" s="39">
        <v>42776</v>
      </c>
      <c r="B438">
        <v>83.19</v>
      </c>
      <c r="C438">
        <v>83.86</v>
      </c>
      <c r="D438">
        <v>83.03</v>
      </c>
      <c r="E438">
        <v>83.81</v>
      </c>
      <c r="F438">
        <v>2983820</v>
      </c>
    </row>
    <row r="439" spans="1:6">
      <c r="A439" s="39">
        <v>42779</v>
      </c>
      <c r="B439">
        <v>83.88</v>
      </c>
      <c r="C439">
        <v>84.2</v>
      </c>
      <c r="D439">
        <v>83.38</v>
      </c>
      <c r="E439">
        <v>83.84</v>
      </c>
      <c r="F439">
        <v>3968165</v>
      </c>
    </row>
    <row r="440" spans="1:6">
      <c r="A440" s="39">
        <v>42780</v>
      </c>
      <c r="B440">
        <v>83.64</v>
      </c>
      <c r="C440">
        <v>83.69</v>
      </c>
      <c r="D440">
        <v>82.75</v>
      </c>
      <c r="E440">
        <v>83.4</v>
      </c>
      <c r="F440">
        <v>2688061</v>
      </c>
    </row>
    <row r="441" spans="1:6">
      <c r="A441" s="39">
        <v>42781</v>
      </c>
      <c r="B441">
        <v>82.88</v>
      </c>
      <c r="C441">
        <v>83.25</v>
      </c>
      <c r="D441">
        <v>82.34</v>
      </c>
      <c r="E441">
        <v>83.12</v>
      </c>
      <c r="F441">
        <v>3687277</v>
      </c>
    </row>
    <row r="442" spans="1:6">
      <c r="A442" s="39">
        <v>42782</v>
      </c>
      <c r="B442">
        <v>83.21</v>
      </c>
      <c r="C442">
        <v>84.17</v>
      </c>
      <c r="D442">
        <v>83.12</v>
      </c>
      <c r="E442">
        <v>83.61</v>
      </c>
      <c r="F442">
        <v>3097815</v>
      </c>
    </row>
    <row r="443" spans="1:6">
      <c r="A443" s="39">
        <v>42783</v>
      </c>
      <c r="B443">
        <v>83.81</v>
      </c>
      <c r="C443">
        <v>83.9</v>
      </c>
      <c r="D443">
        <v>83.07</v>
      </c>
      <c r="E443">
        <v>83.77</v>
      </c>
      <c r="F443">
        <v>2624200</v>
      </c>
    </row>
    <row r="444" spans="1:6">
      <c r="A444" s="39">
        <v>42787</v>
      </c>
      <c r="B444">
        <v>83.68</v>
      </c>
      <c r="C444">
        <v>84.93</v>
      </c>
      <c r="D444">
        <v>83.57</v>
      </c>
      <c r="E444">
        <v>84.84</v>
      </c>
      <c r="F444">
        <v>5646684</v>
      </c>
    </row>
    <row r="445" spans="1:6">
      <c r="A445" s="39">
        <v>42788</v>
      </c>
      <c r="B445">
        <v>84.96</v>
      </c>
      <c r="C445">
        <v>85.25</v>
      </c>
      <c r="D445">
        <v>84.13</v>
      </c>
      <c r="E445">
        <v>84.56</v>
      </c>
      <c r="F445">
        <v>3464404</v>
      </c>
    </row>
    <row r="446" spans="1:6">
      <c r="A446" s="39">
        <v>42789</v>
      </c>
      <c r="B446">
        <v>84.79</v>
      </c>
      <c r="C446">
        <v>85.07</v>
      </c>
      <c r="D446">
        <v>84.22</v>
      </c>
      <c r="E446">
        <v>85</v>
      </c>
      <c r="F446">
        <v>3430911</v>
      </c>
    </row>
    <row r="447" spans="1:6">
      <c r="A447" s="39">
        <v>42790</v>
      </c>
      <c r="B447">
        <v>84.98</v>
      </c>
      <c r="C447">
        <v>85.43</v>
      </c>
      <c r="D447">
        <v>84.52</v>
      </c>
      <c r="E447">
        <v>85.4</v>
      </c>
      <c r="F447">
        <v>3667437</v>
      </c>
    </row>
    <row r="448" spans="1:6">
      <c r="A448" s="39">
        <v>42793</v>
      </c>
      <c r="B448">
        <v>85.39</v>
      </c>
      <c r="C448">
        <v>86.16</v>
      </c>
      <c r="D448">
        <v>85.32</v>
      </c>
      <c r="E448">
        <v>85.85</v>
      </c>
      <c r="F448">
        <v>3326666</v>
      </c>
    </row>
    <row r="449" spans="1:6">
      <c r="A449" s="39">
        <v>42794</v>
      </c>
      <c r="B449">
        <v>85.85</v>
      </c>
      <c r="C449">
        <v>85.85</v>
      </c>
      <c r="D449">
        <v>85.06</v>
      </c>
      <c r="E449">
        <v>85.26</v>
      </c>
      <c r="F449">
        <v>5778083</v>
      </c>
    </row>
    <row r="450" spans="1:6">
      <c r="A450" s="39">
        <v>42795</v>
      </c>
      <c r="B450">
        <v>85</v>
      </c>
      <c r="C450">
        <v>85.49</v>
      </c>
      <c r="D450">
        <v>84.7</v>
      </c>
      <c r="E450">
        <v>85</v>
      </c>
      <c r="F450">
        <v>6282779</v>
      </c>
    </row>
    <row r="451" spans="1:6">
      <c r="A451" s="39">
        <v>42796</v>
      </c>
      <c r="B451">
        <v>84.88</v>
      </c>
      <c r="C451">
        <v>84.95</v>
      </c>
      <c r="D451">
        <v>84.25</v>
      </c>
      <c r="E451">
        <v>84.54</v>
      </c>
      <c r="F451">
        <v>3060437</v>
      </c>
    </row>
    <row r="452" spans="1:6">
      <c r="A452" s="39">
        <v>42797</v>
      </c>
      <c r="B452">
        <v>84.47</v>
      </c>
      <c r="C452">
        <v>84.55</v>
      </c>
      <c r="D452">
        <v>83.35</v>
      </c>
      <c r="E452">
        <v>84.21</v>
      </c>
      <c r="F452">
        <v>4177733</v>
      </c>
    </row>
    <row r="453" spans="1:6">
      <c r="A453" s="39">
        <v>42800</v>
      </c>
      <c r="B453">
        <v>84.06</v>
      </c>
      <c r="C453">
        <v>84.1</v>
      </c>
      <c r="D453">
        <v>83.43</v>
      </c>
      <c r="E453">
        <v>83.83</v>
      </c>
      <c r="F453">
        <v>3237738</v>
      </c>
    </row>
    <row r="454" spans="1:6">
      <c r="A454" s="39">
        <v>42801</v>
      </c>
      <c r="B454">
        <v>83.65</v>
      </c>
      <c r="C454">
        <v>83.79</v>
      </c>
      <c r="D454">
        <v>83.03</v>
      </c>
      <c r="E454">
        <v>83.43</v>
      </c>
      <c r="F454">
        <v>4658035</v>
      </c>
    </row>
    <row r="455" spans="1:6">
      <c r="A455" s="39">
        <v>42802</v>
      </c>
      <c r="B455">
        <v>82.94</v>
      </c>
      <c r="C455">
        <v>83.04</v>
      </c>
      <c r="D455">
        <v>81.83</v>
      </c>
      <c r="E455">
        <v>81.89</v>
      </c>
      <c r="F455">
        <v>4814124</v>
      </c>
    </row>
    <row r="456" spans="1:6">
      <c r="A456" s="39">
        <v>42803</v>
      </c>
      <c r="B456">
        <v>81.73</v>
      </c>
      <c r="C456">
        <v>82.22</v>
      </c>
      <c r="D456">
        <v>80.48</v>
      </c>
      <c r="E456">
        <v>80.66</v>
      </c>
      <c r="F456">
        <v>5604251</v>
      </c>
    </row>
    <row r="457" spans="1:6">
      <c r="A457" s="39">
        <v>42804</v>
      </c>
      <c r="B457">
        <v>81.3</v>
      </c>
      <c r="C457">
        <v>81.709999999999994</v>
      </c>
      <c r="D457">
        <v>79.98</v>
      </c>
      <c r="E457">
        <v>80.41</v>
      </c>
      <c r="F457">
        <v>6278799</v>
      </c>
    </row>
    <row r="458" spans="1:6">
      <c r="A458" s="39">
        <v>42807</v>
      </c>
      <c r="B458">
        <v>80.5</v>
      </c>
      <c r="C458">
        <v>81.11</v>
      </c>
      <c r="D458">
        <v>80.34</v>
      </c>
      <c r="E458">
        <v>80.61</v>
      </c>
      <c r="F458">
        <v>4691167</v>
      </c>
    </row>
    <row r="459" spans="1:6">
      <c r="A459" s="39">
        <v>42808</v>
      </c>
      <c r="B459">
        <v>80.53</v>
      </c>
      <c r="C459">
        <v>80.790000000000006</v>
      </c>
      <c r="D459">
        <v>80.069999999999993</v>
      </c>
      <c r="E459">
        <v>80.59</v>
      </c>
      <c r="F459">
        <v>4582403</v>
      </c>
    </row>
    <row r="460" spans="1:6">
      <c r="A460" s="39">
        <v>42809</v>
      </c>
      <c r="B460">
        <v>80.83</v>
      </c>
      <c r="C460">
        <v>82.64</v>
      </c>
      <c r="D460">
        <v>80.78</v>
      </c>
      <c r="E460">
        <v>82.22</v>
      </c>
      <c r="F460">
        <v>7177832</v>
      </c>
    </row>
    <row r="461" spans="1:6">
      <c r="A461" s="39">
        <v>42810</v>
      </c>
      <c r="B461">
        <v>82.13</v>
      </c>
      <c r="C461">
        <v>82.62</v>
      </c>
      <c r="D461">
        <v>81.91</v>
      </c>
      <c r="E461">
        <v>82.06</v>
      </c>
      <c r="F461">
        <v>4456696</v>
      </c>
    </row>
    <row r="462" spans="1:6">
      <c r="A462" s="39">
        <v>42811</v>
      </c>
      <c r="B462">
        <v>82.4</v>
      </c>
      <c r="C462">
        <v>82.7</v>
      </c>
      <c r="D462">
        <v>82</v>
      </c>
      <c r="E462">
        <v>82.44</v>
      </c>
      <c r="F462">
        <v>4380626</v>
      </c>
    </row>
    <row r="463" spans="1:6">
      <c r="A463" s="39">
        <v>42814</v>
      </c>
      <c r="B463">
        <v>82.5</v>
      </c>
      <c r="C463">
        <v>82.74</v>
      </c>
      <c r="D463">
        <v>82.16</v>
      </c>
      <c r="E463">
        <v>82.3</v>
      </c>
      <c r="F463">
        <v>2748459</v>
      </c>
    </row>
    <row r="464" spans="1:6">
      <c r="A464" s="39">
        <v>42815</v>
      </c>
      <c r="B464">
        <v>82.48</v>
      </c>
      <c r="C464">
        <v>82.72</v>
      </c>
      <c r="D464">
        <v>81.88</v>
      </c>
      <c r="E464">
        <v>82.01</v>
      </c>
      <c r="F464">
        <v>6969660</v>
      </c>
    </row>
    <row r="465" spans="1:6">
      <c r="A465" s="39">
        <v>42816</v>
      </c>
      <c r="B465">
        <v>81.510000000000005</v>
      </c>
      <c r="C465">
        <v>81.56</v>
      </c>
      <c r="D465">
        <v>80.55</v>
      </c>
      <c r="E465">
        <v>81.37</v>
      </c>
      <c r="F465">
        <v>4618023</v>
      </c>
    </row>
    <row r="466" spans="1:6">
      <c r="A466" s="39">
        <v>42817</v>
      </c>
      <c r="B466">
        <v>81.38</v>
      </c>
      <c r="C466">
        <v>82.63</v>
      </c>
      <c r="D466">
        <v>81.260000000000005</v>
      </c>
      <c r="E466">
        <v>81.97</v>
      </c>
      <c r="F466">
        <v>7610221</v>
      </c>
    </row>
    <row r="467" spans="1:6">
      <c r="A467" s="39">
        <v>42818</v>
      </c>
      <c r="B467">
        <v>82.09</v>
      </c>
      <c r="C467">
        <v>82.45</v>
      </c>
      <c r="D467">
        <v>81.78</v>
      </c>
      <c r="E467">
        <v>81.88</v>
      </c>
      <c r="F467">
        <v>4399217</v>
      </c>
    </row>
    <row r="468" spans="1:6">
      <c r="A468" s="39">
        <v>42821</v>
      </c>
      <c r="B468">
        <v>81.760000000000005</v>
      </c>
      <c r="C468">
        <v>82.12</v>
      </c>
      <c r="D468">
        <v>80.88</v>
      </c>
      <c r="E468">
        <v>81.14</v>
      </c>
      <c r="F468">
        <v>4555963</v>
      </c>
    </row>
    <row r="469" spans="1:6">
      <c r="A469" s="39">
        <v>42822</v>
      </c>
      <c r="B469">
        <v>81.33</v>
      </c>
      <c r="C469">
        <v>81.61</v>
      </c>
      <c r="D469">
        <v>80.569999999999993</v>
      </c>
      <c r="E469">
        <v>81.489999999999995</v>
      </c>
      <c r="F469">
        <v>4231891</v>
      </c>
    </row>
    <row r="470" spans="1:6">
      <c r="A470" s="39">
        <v>42823</v>
      </c>
      <c r="B470">
        <v>81.459999999999994</v>
      </c>
      <c r="C470">
        <v>81.96</v>
      </c>
      <c r="D470">
        <v>81.209999999999994</v>
      </c>
      <c r="E470">
        <v>81.95</v>
      </c>
      <c r="F470">
        <v>3123293</v>
      </c>
    </row>
    <row r="471" spans="1:6">
      <c r="A471" s="39">
        <v>42824</v>
      </c>
      <c r="B471">
        <v>81.819999999999993</v>
      </c>
      <c r="C471">
        <v>82.22</v>
      </c>
      <c r="D471">
        <v>81.28</v>
      </c>
      <c r="E471">
        <v>82.1</v>
      </c>
      <c r="F471">
        <v>4593334</v>
      </c>
    </row>
    <row r="472" spans="1:6">
      <c r="A472" s="39">
        <v>42825</v>
      </c>
      <c r="B472">
        <v>82.13</v>
      </c>
      <c r="C472">
        <v>82.89</v>
      </c>
      <c r="D472">
        <v>81.99</v>
      </c>
      <c r="E472">
        <v>82.59</v>
      </c>
      <c r="F472">
        <v>7167920</v>
      </c>
    </row>
    <row r="473" spans="1:6">
      <c r="A473" s="39">
        <v>42828</v>
      </c>
      <c r="B473">
        <v>82.36</v>
      </c>
      <c r="C473">
        <v>82.98</v>
      </c>
      <c r="D473">
        <v>82.32</v>
      </c>
      <c r="E473">
        <v>82.83</v>
      </c>
      <c r="F473">
        <v>7468996</v>
      </c>
    </row>
    <row r="474" spans="1:6">
      <c r="A474" s="39">
        <v>42829</v>
      </c>
      <c r="B474">
        <v>82.71</v>
      </c>
      <c r="C474">
        <v>83.37</v>
      </c>
      <c r="D474">
        <v>82.6</v>
      </c>
      <c r="E474">
        <v>82.83</v>
      </c>
      <c r="F474">
        <v>5359286</v>
      </c>
    </row>
    <row r="475" spans="1:6">
      <c r="A475" s="39">
        <v>42830</v>
      </c>
      <c r="B475">
        <v>82.91</v>
      </c>
      <c r="C475">
        <v>83.41</v>
      </c>
      <c r="D475">
        <v>82.82</v>
      </c>
      <c r="E475">
        <v>82.95</v>
      </c>
      <c r="F475">
        <v>4738723</v>
      </c>
    </row>
    <row r="476" spans="1:6">
      <c r="A476" s="39">
        <v>42831</v>
      </c>
      <c r="B476">
        <v>82.77</v>
      </c>
      <c r="C476">
        <v>83.54</v>
      </c>
      <c r="D476">
        <v>82.43</v>
      </c>
      <c r="E476">
        <v>83.39</v>
      </c>
      <c r="F476">
        <v>4711527</v>
      </c>
    </row>
    <row r="477" spans="1:6">
      <c r="A477" s="39">
        <v>42832</v>
      </c>
      <c r="B477">
        <v>83.59</v>
      </c>
      <c r="C477">
        <v>83.88</v>
      </c>
      <c r="D477">
        <v>83.27</v>
      </c>
      <c r="E477">
        <v>83.51</v>
      </c>
      <c r="F477">
        <v>4483834</v>
      </c>
    </row>
    <row r="478" spans="1:6">
      <c r="A478" s="39">
        <v>42835</v>
      </c>
      <c r="B478">
        <v>83.56</v>
      </c>
      <c r="C478">
        <v>84.16</v>
      </c>
      <c r="D478">
        <v>83.36</v>
      </c>
      <c r="E478">
        <v>84.03</v>
      </c>
      <c r="F478">
        <v>2547820</v>
      </c>
    </row>
    <row r="479" spans="1:6">
      <c r="A479" s="39">
        <v>42836</v>
      </c>
      <c r="B479">
        <v>84.06</v>
      </c>
      <c r="C479">
        <v>84.77</v>
      </c>
      <c r="D479">
        <v>83.94</v>
      </c>
      <c r="E479">
        <v>84.61</v>
      </c>
      <c r="F479">
        <v>3864186</v>
      </c>
    </row>
    <row r="480" spans="1:6">
      <c r="A480" s="39">
        <v>42837</v>
      </c>
      <c r="B480">
        <v>84.58</v>
      </c>
      <c r="C480">
        <v>84.9</v>
      </c>
      <c r="D480">
        <v>84.31</v>
      </c>
      <c r="E480">
        <v>84.46</v>
      </c>
      <c r="F480">
        <v>3526946</v>
      </c>
    </row>
    <row r="481" spans="1:6">
      <c r="A481" s="39">
        <v>42838</v>
      </c>
      <c r="B481">
        <v>84.43</v>
      </c>
      <c r="C481">
        <v>84.65</v>
      </c>
      <c r="D481">
        <v>84.16</v>
      </c>
      <c r="E481">
        <v>84.27</v>
      </c>
      <c r="F481">
        <v>2759502</v>
      </c>
    </row>
    <row r="482" spans="1:6">
      <c r="A482" s="39">
        <v>42842</v>
      </c>
      <c r="B482">
        <v>84.4</v>
      </c>
      <c r="C482">
        <v>85.31</v>
      </c>
      <c r="D482">
        <v>84.31</v>
      </c>
      <c r="E482">
        <v>85.29</v>
      </c>
      <c r="F482">
        <v>3875010</v>
      </c>
    </row>
    <row r="483" spans="1:6">
      <c r="A483" s="39">
        <v>42843</v>
      </c>
      <c r="B483">
        <v>85.22</v>
      </c>
      <c r="C483">
        <v>85.6</v>
      </c>
      <c r="D483">
        <v>85.16</v>
      </c>
      <c r="E483">
        <v>85.52</v>
      </c>
      <c r="F483">
        <v>2807318</v>
      </c>
    </row>
    <row r="484" spans="1:6">
      <c r="A484" s="39">
        <v>42844</v>
      </c>
      <c r="B484">
        <v>85.45</v>
      </c>
      <c r="C484">
        <v>85.72</v>
      </c>
      <c r="D484">
        <v>85.25</v>
      </c>
      <c r="E484">
        <v>85.4</v>
      </c>
      <c r="F484">
        <v>3622934</v>
      </c>
    </row>
    <row r="485" spans="1:6">
      <c r="A485" s="39">
        <v>42845</v>
      </c>
      <c r="B485">
        <v>85.24</v>
      </c>
      <c r="C485">
        <v>85.47</v>
      </c>
      <c r="D485">
        <v>84.8</v>
      </c>
      <c r="E485">
        <v>85.41</v>
      </c>
      <c r="F485">
        <v>3109054</v>
      </c>
    </row>
    <row r="486" spans="1:6">
      <c r="A486" s="39">
        <v>42846</v>
      </c>
      <c r="B486">
        <v>85.36</v>
      </c>
      <c r="C486">
        <v>85.46</v>
      </c>
      <c r="D486">
        <v>84.96</v>
      </c>
      <c r="E486">
        <v>85.1</v>
      </c>
      <c r="F486">
        <v>3261924</v>
      </c>
    </row>
    <row r="487" spans="1:6">
      <c r="A487" s="39">
        <v>42849</v>
      </c>
      <c r="B487">
        <v>85.5</v>
      </c>
      <c r="C487">
        <v>85.55</v>
      </c>
      <c r="D487">
        <v>83.39</v>
      </c>
      <c r="E487">
        <v>84.16</v>
      </c>
      <c r="F487">
        <v>6595301</v>
      </c>
    </row>
    <row r="488" spans="1:6">
      <c r="A488" s="39">
        <v>42850</v>
      </c>
      <c r="B488">
        <v>84.16</v>
      </c>
      <c r="C488">
        <v>84.64</v>
      </c>
      <c r="D488">
        <v>84.02</v>
      </c>
      <c r="E488">
        <v>84.51</v>
      </c>
      <c r="F488">
        <v>3412276</v>
      </c>
    </row>
    <row r="489" spans="1:6">
      <c r="A489" s="39">
        <v>42851</v>
      </c>
      <c r="B489">
        <v>84.45</v>
      </c>
      <c r="C489">
        <v>84.62</v>
      </c>
      <c r="D489">
        <v>83.67</v>
      </c>
      <c r="E489">
        <v>83.88</v>
      </c>
      <c r="F489">
        <v>4185489</v>
      </c>
    </row>
    <row r="490" spans="1:6">
      <c r="A490" s="39">
        <v>42852</v>
      </c>
      <c r="B490">
        <v>84.01</v>
      </c>
      <c r="C490">
        <v>84.21</v>
      </c>
      <c r="D490">
        <v>83.5</v>
      </c>
      <c r="E490">
        <v>83.66</v>
      </c>
      <c r="F490">
        <v>4822219</v>
      </c>
    </row>
    <row r="491" spans="1:6">
      <c r="A491" s="39">
        <v>42853</v>
      </c>
      <c r="B491">
        <v>83.44</v>
      </c>
      <c r="C491">
        <v>83.57</v>
      </c>
      <c r="D491">
        <v>82.49</v>
      </c>
      <c r="E491">
        <v>82.79</v>
      </c>
      <c r="F491">
        <v>5983748</v>
      </c>
    </row>
    <row r="492" spans="1:6">
      <c r="A492" s="39">
        <v>42856</v>
      </c>
      <c r="B492">
        <v>83.15</v>
      </c>
      <c r="C492">
        <v>83.53</v>
      </c>
      <c r="D492">
        <v>82.46</v>
      </c>
      <c r="E492">
        <v>83.28</v>
      </c>
      <c r="F492">
        <v>6003561</v>
      </c>
    </row>
    <row r="493" spans="1:6">
      <c r="A493" s="39">
        <v>42857</v>
      </c>
      <c r="B493">
        <v>83.38</v>
      </c>
      <c r="C493">
        <v>83.59</v>
      </c>
      <c r="D493">
        <v>82.83</v>
      </c>
      <c r="E493">
        <v>83.14</v>
      </c>
      <c r="F493">
        <v>4930021</v>
      </c>
    </row>
    <row r="494" spans="1:6">
      <c r="A494" s="39">
        <v>42858</v>
      </c>
      <c r="B494">
        <v>83.1</v>
      </c>
      <c r="C494">
        <v>83.2</v>
      </c>
      <c r="D494">
        <v>81.760000000000005</v>
      </c>
      <c r="E494">
        <v>82.03</v>
      </c>
      <c r="F494">
        <v>6207577</v>
      </c>
    </row>
    <row r="495" spans="1:6">
      <c r="A495" s="39">
        <v>42859</v>
      </c>
      <c r="B495">
        <v>81.52</v>
      </c>
      <c r="C495">
        <v>81.760000000000005</v>
      </c>
      <c r="D495">
        <v>80.7</v>
      </c>
      <c r="E495">
        <v>81.63</v>
      </c>
      <c r="F495">
        <v>8025099</v>
      </c>
    </row>
    <row r="496" spans="1:6">
      <c r="A496" s="39">
        <v>42860</v>
      </c>
      <c r="B496">
        <v>81.81</v>
      </c>
      <c r="C496">
        <v>82.4</v>
      </c>
      <c r="D496">
        <v>81.77</v>
      </c>
      <c r="E496">
        <v>82.4</v>
      </c>
      <c r="F496">
        <v>5458059</v>
      </c>
    </row>
    <row r="497" spans="1:6">
      <c r="A497" s="39">
        <v>42863</v>
      </c>
      <c r="B497">
        <v>82.58</v>
      </c>
      <c r="C497">
        <v>82.58</v>
      </c>
      <c r="D497">
        <v>81.36</v>
      </c>
      <c r="E497">
        <v>81.819999999999993</v>
      </c>
      <c r="F497">
        <v>3940834</v>
      </c>
    </row>
    <row r="498" spans="1:6">
      <c r="A498" s="39">
        <v>42864</v>
      </c>
      <c r="B498">
        <v>81.81</v>
      </c>
      <c r="C498">
        <v>81.92</v>
      </c>
      <c r="D498">
        <v>81.06</v>
      </c>
      <c r="E498">
        <v>81.38</v>
      </c>
      <c r="F498">
        <v>5790894</v>
      </c>
    </row>
    <row r="499" spans="1:6">
      <c r="A499" s="39">
        <v>42865</v>
      </c>
      <c r="B499">
        <v>81.37</v>
      </c>
      <c r="C499">
        <v>82.3</v>
      </c>
      <c r="D499">
        <v>81.17</v>
      </c>
      <c r="E499">
        <v>82.02</v>
      </c>
      <c r="F499">
        <v>3801407</v>
      </c>
    </row>
    <row r="500" spans="1:6">
      <c r="A500" s="39">
        <v>42866</v>
      </c>
      <c r="B500">
        <v>81.72</v>
      </c>
      <c r="C500">
        <v>81.849999999999994</v>
      </c>
      <c r="D500">
        <v>80.900000000000006</v>
      </c>
      <c r="E500">
        <v>81.61</v>
      </c>
      <c r="F500">
        <v>3542814</v>
      </c>
    </row>
    <row r="501" spans="1:6">
      <c r="A501" s="39">
        <v>42867</v>
      </c>
      <c r="B501">
        <v>81.75</v>
      </c>
      <c r="C501">
        <v>81.78</v>
      </c>
      <c r="D501">
        <v>81.209999999999994</v>
      </c>
      <c r="E501">
        <v>81.28</v>
      </c>
      <c r="F501">
        <v>3115409</v>
      </c>
    </row>
    <row r="502" spans="1:6">
      <c r="A502" s="39">
        <v>42870</v>
      </c>
      <c r="B502">
        <v>81.349999999999994</v>
      </c>
      <c r="C502">
        <v>82.22</v>
      </c>
      <c r="D502">
        <v>81.3</v>
      </c>
      <c r="E502">
        <v>81.52</v>
      </c>
      <c r="F502">
        <v>3263946</v>
      </c>
    </row>
    <row r="503" spans="1:6">
      <c r="A503" s="39">
        <v>42871</v>
      </c>
      <c r="B503">
        <v>81.52</v>
      </c>
      <c r="C503">
        <v>81.69</v>
      </c>
      <c r="D503">
        <v>80.709999999999994</v>
      </c>
      <c r="E503">
        <v>80.97</v>
      </c>
      <c r="F503">
        <v>4338574</v>
      </c>
    </row>
    <row r="504" spans="1:6">
      <c r="A504" s="39">
        <v>42872</v>
      </c>
      <c r="B504">
        <v>80.92</v>
      </c>
      <c r="C504">
        <v>81.61</v>
      </c>
      <c r="D504">
        <v>80.75</v>
      </c>
      <c r="E504">
        <v>81.3</v>
      </c>
      <c r="F504">
        <v>7243679</v>
      </c>
    </row>
    <row r="505" spans="1:6">
      <c r="A505" s="39">
        <v>42873</v>
      </c>
      <c r="B505">
        <v>81.17</v>
      </c>
      <c r="C505">
        <v>81.96</v>
      </c>
      <c r="D505">
        <v>80.73</v>
      </c>
      <c r="E505">
        <v>81.75</v>
      </c>
      <c r="F505">
        <v>4128222</v>
      </c>
    </row>
    <row r="506" spans="1:6">
      <c r="A506" s="39">
        <v>42874</v>
      </c>
      <c r="B506">
        <v>81.69</v>
      </c>
      <c r="C506">
        <v>82.68</v>
      </c>
      <c r="D506">
        <v>81.34</v>
      </c>
      <c r="E506">
        <v>82.19</v>
      </c>
      <c r="F506">
        <v>6390302</v>
      </c>
    </row>
  </sheetData>
  <sortState ref="A3:F506">
    <sortCondition ref="A3:A506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06"/>
  <sheetViews>
    <sheetView workbookViewId="0"/>
  </sheetViews>
  <sheetFormatPr defaultRowHeight="15"/>
  <cols>
    <col min="1" max="7" width="10.7109375" customWidth="1"/>
  </cols>
  <sheetData>
    <row r="1" spans="1:6">
      <c r="A1" t="s">
        <v>52</v>
      </c>
    </row>
    <row r="2" spans="1:6">
      <c r="A2" t="s">
        <v>26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</row>
    <row r="3" spans="1:6">
      <c r="A3" s="39">
        <v>42145</v>
      </c>
      <c r="B3">
        <v>44.87</v>
      </c>
      <c r="C3">
        <v>44.99</v>
      </c>
      <c r="D3">
        <v>44.76</v>
      </c>
      <c r="E3">
        <v>44.96</v>
      </c>
      <c r="F3">
        <v>238121</v>
      </c>
    </row>
    <row r="4" spans="1:6">
      <c r="A4" s="39">
        <v>42146</v>
      </c>
      <c r="B4">
        <v>44.77</v>
      </c>
      <c r="C4">
        <v>44.82</v>
      </c>
      <c r="D4">
        <v>44.64</v>
      </c>
      <c r="E4">
        <v>44.71</v>
      </c>
      <c r="F4">
        <v>147295</v>
      </c>
    </row>
    <row r="5" spans="1:6">
      <c r="A5" s="39">
        <v>42150</v>
      </c>
      <c r="B5">
        <v>44.46</v>
      </c>
      <c r="C5">
        <v>44.46</v>
      </c>
      <c r="D5">
        <v>44.01</v>
      </c>
      <c r="E5">
        <v>44.09</v>
      </c>
      <c r="F5">
        <v>377453</v>
      </c>
    </row>
    <row r="6" spans="1:6">
      <c r="A6" s="39">
        <v>42151</v>
      </c>
      <c r="B6">
        <v>44.14</v>
      </c>
      <c r="C6">
        <v>44.27</v>
      </c>
      <c r="D6">
        <v>44.03</v>
      </c>
      <c r="E6">
        <v>44.2</v>
      </c>
      <c r="F6">
        <v>490728</v>
      </c>
    </row>
    <row r="7" spans="1:6">
      <c r="A7" s="39">
        <v>42152</v>
      </c>
      <c r="B7">
        <v>43.8</v>
      </c>
      <c r="C7">
        <v>43.97</v>
      </c>
      <c r="D7">
        <v>43.62</v>
      </c>
      <c r="E7">
        <v>43.93</v>
      </c>
      <c r="F7">
        <v>234452</v>
      </c>
    </row>
    <row r="8" spans="1:6">
      <c r="A8" s="39">
        <v>42153</v>
      </c>
      <c r="B8">
        <v>43.69</v>
      </c>
      <c r="C8">
        <v>43.9</v>
      </c>
      <c r="D8">
        <v>43.39</v>
      </c>
      <c r="E8">
        <v>43.48</v>
      </c>
      <c r="F8">
        <v>455102</v>
      </c>
    </row>
    <row r="9" spans="1:6">
      <c r="A9" s="39">
        <v>42156</v>
      </c>
      <c r="B9">
        <v>43.68</v>
      </c>
      <c r="C9">
        <v>43.76</v>
      </c>
      <c r="D9">
        <v>43.4</v>
      </c>
      <c r="E9">
        <v>43.56</v>
      </c>
      <c r="F9">
        <v>489042</v>
      </c>
    </row>
    <row r="10" spans="1:6">
      <c r="A10" s="39">
        <v>42157</v>
      </c>
      <c r="B10">
        <v>43.42</v>
      </c>
      <c r="C10">
        <v>43.67</v>
      </c>
      <c r="D10">
        <v>43.39</v>
      </c>
      <c r="E10">
        <v>43.51</v>
      </c>
      <c r="F10">
        <v>269350</v>
      </c>
    </row>
    <row r="11" spans="1:6">
      <c r="A11" s="39">
        <v>42158</v>
      </c>
      <c r="B11">
        <v>43.46</v>
      </c>
      <c r="C11">
        <v>43.51</v>
      </c>
      <c r="D11">
        <v>43.21</v>
      </c>
      <c r="E11">
        <v>43.31</v>
      </c>
      <c r="F11">
        <v>363705</v>
      </c>
    </row>
    <row r="12" spans="1:6">
      <c r="A12" s="39">
        <v>42159</v>
      </c>
      <c r="B12">
        <v>42.99</v>
      </c>
      <c r="C12">
        <v>43.17</v>
      </c>
      <c r="D12">
        <v>42.74</v>
      </c>
      <c r="E12">
        <v>42.91</v>
      </c>
      <c r="F12">
        <v>368343</v>
      </c>
    </row>
    <row r="13" spans="1:6">
      <c r="A13" s="39">
        <v>42160</v>
      </c>
      <c r="B13">
        <v>42.28</v>
      </c>
      <c r="C13">
        <v>42.43</v>
      </c>
      <c r="D13">
        <v>42.1</v>
      </c>
      <c r="E13">
        <v>42.28</v>
      </c>
      <c r="F13">
        <v>596095</v>
      </c>
    </row>
    <row r="14" spans="1:6">
      <c r="A14" s="39">
        <v>42163</v>
      </c>
      <c r="B14">
        <v>42.24</v>
      </c>
      <c r="C14">
        <v>42.27</v>
      </c>
      <c r="D14">
        <v>42.05</v>
      </c>
      <c r="E14">
        <v>42.11</v>
      </c>
      <c r="F14">
        <v>613656</v>
      </c>
    </row>
    <row r="15" spans="1:6">
      <c r="A15" s="39">
        <v>42164</v>
      </c>
      <c r="B15">
        <v>42.23</v>
      </c>
      <c r="C15">
        <v>42.43</v>
      </c>
      <c r="D15">
        <v>42.08</v>
      </c>
      <c r="E15">
        <v>42.33</v>
      </c>
      <c r="F15">
        <v>431733</v>
      </c>
    </row>
    <row r="16" spans="1:6">
      <c r="A16" s="39">
        <v>42165</v>
      </c>
      <c r="B16">
        <v>42.86</v>
      </c>
      <c r="C16">
        <v>43.15</v>
      </c>
      <c r="D16">
        <v>42.82</v>
      </c>
      <c r="E16">
        <v>43.1</v>
      </c>
      <c r="F16">
        <v>283235</v>
      </c>
    </row>
    <row r="17" spans="1:6">
      <c r="A17" s="39">
        <v>42166</v>
      </c>
      <c r="B17">
        <v>43.15</v>
      </c>
      <c r="C17">
        <v>43.33</v>
      </c>
      <c r="D17">
        <v>43</v>
      </c>
      <c r="E17">
        <v>43.21</v>
      </c>
      <c r="F17">
        <v>411584</v>
      </c>
    </row>
    <row r="18" spans="1:6">
      <c r="A18" s="39">
        <v>42167</v>
      </c>
      <c r="B18">
        <v>42.87</v>
      </c>
      <c r="C18">
        <v>43.04</v>
      </c>
      <c r="D18">
        <v>42.78</v>
      </c>
      <c r="E18">
        <v>43</v>
      </c>
      <c r="F18">
        <v>404066</v>
      </c>
    </row>
    <row r="19" spans="1:6">
      <c r="A19" s="39">
        <v>42170</v>
      </c>
      <c r="B19">
        <v>42.75</v>
      </c>
      <c r="C19">
        <v>42.97</v>
      </c>
      <c r="D19">
        <v>42.67</v>
      </c>
      <c r="E19">
        <v>42.97</v>
      </c>
      <c r="F19">
        <v>378640</v>
      </c>
    </row>
    <row r="20" spans="1:6">
      <c r="A20" s="39">
        <v>42171</v>
      </c>
      <c r="B20">
        <v>42.9</v>
      </c>
      <c r="C20">
        <v>43.02</v>
      </c>
      <c r="D20">
        <v>42.81</v>
      </c>
      <c r="E20">
        <v>42.98</v>
      </c>
      <c r="F20">
        <v>498700</v>
      </c>
    </row>
    <row r="21" spans="1:6">
      <c r="A21" s="39">
        <v>42172</v>
      </c>
      <c r="B21">
        <v>42.72</v>
      </c>
      <c r="C21">
        <v>42.89</v>
      </c>
      <c r="D21">
        <v>42.38</v>
      </c>
      <c r="E21">
        <v>42.85</v>
      </c>
      <c r="F21">
        <v>464901</v>
      </c>
    </row>
    <row r="22" spans="1:6">
      <c r="A22" s="39">
        <v>42173</v>
      </c>
      <c r="B22">
        <v>42.87</v>
      </c>
      <c r="C22">
        <v>43.29</v>
      </c>
      <c r="D22">
        <v>42.84</v>
      </c>
      <c r="E22">
        <v>43.09</v>
      </c>
      <c r="F22">
        <v>318550</v>
      </c>
    </row>
    <row r="23" spans="1:6">
      <c r="A23" s="39">
        <v>42174</v>
      </c>
      <c r="B23">
        <v>42.52</v>
      </c>
      <c r="C23">
        <v>42.64</v>
      </c>
      <c r="D23">
        <v>42.43</v>
      </c>
      <c r="E23">
        <v>42.46</v>
      </c>
      <c r="F23">
        <v>184770</v>
      </c>
    </row>
    <row r="24" spans="1:6">
      <c r="A24" s="39">
        <v>42177</v>
      </c>
      <c r="B24">
        <v>43.1</v>
      </c>
      <c r="C24">
        <v>43.15</v>
      </c>
      <c r="D24">
        <v>42.87</v>
      </c>
      <c r="E24">
        <v>42.89</v>
      </c>
      <c r="F24">
        <v>767081</v>
      </c>
    </row>
    <row r="25" spans="1:6">
      <c r="A25" s="39">
        <v>42178</v>
      </c>
      <c r="B25">
        <v>42.99</v>
      </c>
      <c r="C25">
        <v>43.12</v>
      </c>
      <c r="D25">
        <v>42.84</v>
      </c>
      <c r="E25">
        <v>43.05</v>
      </c>
      <c r="F25">
        <v>331806</v>
      </c>
    </row>
    <row r="26" spans="1:6">
      <c r="A26" s="39">
        <v>42179</v>
      </c>
      <c r="B26">
        <v>42.84</v>
      </c>
      <c r="C26">
        <v>42.99</v>
      </c>
      <c r="D26">
        <v>42.72</v>
      </c>
      <c r="E26">
        <v>42.72</v>
      </c>
      <c r="F26">
        <v>228480</v>
      </c>
    </row>
    <row r="27" spans="1:6">
      <c r="A27" s="39">
        <v>42180</v>
      </c>
      <c r="B27">
        <v>42.81</v>
      </c>
      <c r="C27">
        <v>42.87</v>
      </c>
      <c r="D27">
        <v>42.66</v>
      </c>
      <c r="E27">
        <v>42.75</v>
      </c>
      <c r="F27">
        <v>378686</v>
      </c>
    </row>
    <row r="28" spans="1:6">
      <c r="A28" s="39">
        <v>42181</v>
      </c>
      <c r="B28">
        <v>42.63</v>
      </c>
      <c r="C28">
        <v>42.77</v>
      </c>
      <c r="D28">
        <v>42.48</v>
      </c>
      <c r="E28">
        <v>42.76</v>
      </c>
      <c r="F28">
        <v>223155</v>
      </c>
    </row>
    <row r="29" spans="1:6">
      <c r="A29" s="39">
        <v>42184</v>
      </c>
      <c r="B29">
        <v>42.1</v>
      </c>
      <c r="C29">
        <v>42.24</v>
      </c>
      <c r="D29">
        <v>41.66</v>
      </c>
      <c r="E29">
        <v>41.73</v>
      </c>
      <c r="F29">
        <v>275518</v>
      </c>
    </row>
    <row r="30" spans="1:6">
      <c r="A30" s="39">
        <v>42185</v>
      </c>
      <c r="B30">
        <v>42.13</v>
      </c>
      <c r="C30">
        <v>42.16</v>
      </c>
      <c r="D30">
        <v>41.64</v>
      </c>
      <c r="E30">
        <v>41.86</v>
      </c>
      <c r="F30">
        <v>904090</v>
      </c>
    </row>
    <row r="31" spans="1:6">
      <c r="A31" s="39">
        <v>42186</v>
      </c>
      <c r="B31">
        <v>42.13</v>
      </c>
      <c r="C31">
        <v>42.2</v>
      </c>
      <c r="D31">
        <v>41.87</v>
      </c>
      <c r="E31">
        <v>42</v>
      </c>
      <c r="F31">
        <v>582412</v>
      </c>
    </row>
    <row r="32" spans="1:6">
      <c r="A32" s="39">
        <v>42187</v>
      </c>
      <c r="B32">
        <v>41.82</v>
      </c>
      <c r="C32">
        <v>41.98</v>
      </c>
      <c r="D32">
        <v>41.81</v>
      </c>
      <c r="E32">
        <v>41.91</v>
      </c>
      <c r="F32">
        <v>345254</v>
      </c>
    </row>
    <row r="33" spans="1:6">
      <c r="A33" s="39">
        <v>42191</v>
      </c>
      <c r="B33">
        <v>41.37</v>
      </c>
      <c r="C33">
        <v>41.69</v>
      </c>
      <c r="D33">
        <v>41.32</v>
      </c>
      <c r="E33">
        <v>41.5</v>
      </c>
      <c r="F33">
        <v>763884</v>
      </c>
    </row>
    <row r="34" spans="1:6">
      <c r="A34" s="39">
        <v>42192</v>
      </c>
      <c r="B34">
        <v>41.25</v>
      </c>
      <c r="C34">
        <v>41.58</v>
      </c>
      <c r="D34">
        <v>40.85</v>
      </c>
      <c r="E34">
        <v>41.58</v>
      </c>
      <c r="F34">
        <v>604811</v>
      </c>
    </row>
    <row r="35" spans="1:6">
      <c r="A35" s="39">
        <v>42193</v>
      </c>
      <c r="B35">
        <v>41.01</v>
      </c>
      <c r="C35">
        <v>41.04</v>
      </c>
      <c r="D35">
        <v>40.450000000000003</v>
      </c>
      <c r="E35">
        <v>40.479999999999997</v>
      </c>
      <c r="F35">
        <v>1060766</v>
      </c>
    </row>
    <row r="36" spans="1:6">
      <c r="A36" s="39">
        <v>42194</v>
      </c>
      <c r="B36">
        <v>41.16</v>
      </c>
      <c r="C36">
        <v>41.23</v>
      </c>
      <c r="D36">
        <v>40.76</v>
      </c>
      <c r="E36">
        <v>40.869999999999997</v>
      </c>
      <c r="F36">
        <v>537242</v>
      </c>
    </row>
    <row r="37" spans="1:6">
      <c r="A37" s="39">
        <v>42195</v>
      </c>
      <c r="B37">
        <v>41.48</v>
      </c>
      <c r="C37">
        <v>41.73</v>
      </c>
      <c r="D37">
        <v>41.43</v>
      </c>
      <c r="E37">
        <v>41.69</v>
      </c>
      <c r="F37">
        <v>1523052</v>
      </c>
    </row>
    <row r="38" spans="1:6">
      <c r="A38" s="39">
        <v>42198</v>
      </c>
      <c r="B38">
        <v>42.01</v>
      </c>
      <c r="C38">
        <v>42.25</v>
      </c>
      <c r="D38">
        <v>42</v>
      </c>
      <c r="E38">
        <v>42.17</v>
      </c>
      <c r="F38">
        <v>367376</v>
      </c>
    </row>
    <row r="39" spans="1:6">
      <c r="A39" s="39">
        <v>42199</v>
      </c>
      <c r="B39">
        <v>42.23</v>
      </c>
      <c r="C39">
        <v>42.51</v>
      </c>
      <c r="D39">
        <v>42.2</v>
      </c>
      <c r="E39">
        <v>42.49</v>
      </c>
      <c r="F39">
        <v>311779</v>
      </c>
    </row>
    <row r="40" spans="1:6">
      <c r="A40" s="39">
        <v>42200</v>
      </c>
      <c r="B40">
        <v>42.44</v>
      </c>
      <c r="C40">
        <v>42.5</v>
      </c>
      <c r="D40">
        <v>42.26</v>
      </c>
      <c r="E40">
        <v>42.37</v>
      </c>
      <c r="F40">
        <v>232772</v>
      </c>
    </row>
    <row r="41" spans="1:6">
      <c r="A41" s="39">
        <v>42201</v>
      </c>
      <c r="B41">
        <v>42.78</v>
      </c>
      <c r="C41">
        <v>42.9</v>
      </c>
      <c r="D41">
        <v>42.72</v>
      </c>
      <c r="E41">
        <v>42.79</v>
      </c>
      <c r="F41">
        <v>247911</v>
      </c>
    </row>
    <row r="42" spans="1:6">
      <c r="A42" s="39">
        <v>42202</v>
      </c>
      <c r="B42">
        <v>42.83</v>
      </c>
      <c r="C42">
        <v>42.91</v>
      </c>
      <c r="D42">
        <v>42.74</v>
      </c>
      <c r="E42">
        <v>42.81</v>
      </c>
      <c r="F42">
        <v>221849</v>
      </c>
    </row>
    <row r="43" spans="1:6">
      <c r="A43" s="39">
        <v>42205</v>
      </c>
      <c r="B43">
        <v>42.83</v>
      </c>
      <c r="C43">
        <v>42.85</v>
      </c>
      <c r="D43">
        <v>42.69</v>
      </c>
      <c r="E43">
        <v>42.73</v>
      </c>
      <c r="F43">
        <v>201442</v>
      </c>
    </row>
    <row r="44" spans="1:6">
      <c r="A44" s="39">
        <v>42206</v>
      </c>
      <c r="B44">
        <v>42.59</v>
      </c>
      <c r="C44">
        <v>42.73</v>
      </c>
      <c r="D44">
        <v>42.5</v>
      </c>
      <c r="E44">
        <v>42.56</v>
      </c>
      <c r="F44">
        <v>867159</v>
      </c>
    </row>
    <row r="45" spans="1:6">
      <c r="A45" s="39">
        <v>42207</v>
      </c>
      <c r="B45">
        <v>42.46</v>
      </c>
      <c r="C45">
        <v>42.6</v>
      </c>
      <c r="D45">
        <v>42.37</v>
      </c>
      <c r="E45">
        <v>42.45</v>
      </c>
      <c r="F45">
        <v>1433174</v>
      </c>
    </row>
    <row r="46" spans="1:6">
      <c r="A46" s="39">
        <v>42208</v>
      </c>
      <c r="B46">
        <v>42.25</v>
      </c>
      <c r="C46">
        <v>42.36</v>
      </c>
      <c r="D46">
        <v>41.95</v>
      </c>
      <c r="E46">
        <v>41.98</v>
      </c>
      <c r="F46">
        <v>290300</v>
      </c>
    </row>
    <row r="47" spans="1:6">
      <c r="A47" s="39">
        <v>42209</v>
      </c>
      <c r="B47">
        <v>42.12</v>
      </c>
      <c r="C47">
        <v>42.22</v>
      </c>
      <c r="D47">
        <v>41.8</v>
      </c>
      <c r="E47">
        <v>41.87</v>
      </c>
      <c r="F47">
        <v>507651</v>
      </c>
    </row>
    <row r="48" spans="1:6">
      <c r="A48" s="39">
        <v>42212</v>
      </c>
      <c r="B48">
        <v>41.88</v>
      </c>
      <c r="C48">
        <v>41.94</v>
      </c>
      <c r="D48">
        <v>41.65</v>
      </c>
      <c r="E48">
        <v>41.75</v>
      </c>
      <c r="F48">
        <v>289853</v>
      </c>
    </row>
    <row r="49" spans="1:6">
      <c r="A49" s="39">
        <v>42213</v>
      </c>
      <c r="B49">
        <v>42.02</v>
      </c>
      <c r="C49">
        <v>42.29</v>
      </c>
      <c r="D49">
        <v>41.86</v>
      </c>
      <c r="E49">
        <v>42.27</v>
      </c>
      <c r="F49">
        <v>308912</v>
      </c>
    </row>
    <row r="50" spans="1:6">
      <c r="A50" s="39">
        <v>42214</v>
      </c>
      <c r="B50">
        <v>42.05</v>
      </c>
      <c r="C50">
        <v>42.5</v>
      </c>
      <c r="D50">
        <v>42.05</v>
      </c>
      <c r="E50">
        <v>42.27</v>
      </c>
      <c r="F50">
        <v>148941</v>
      </c>
    </row>
    <row r="51" spans="1:6">
      <c r="A51" s="39">
        <v>42215</v>
      </c>
      <c r="B51">
        <v>42.09</v>
      </c>
      <c r="C51">
        <v>42.17</v>
      </c>
      <c r="D51">
        <v>41.9</v>
      </c>
      <c r="E51">
        <v>42.16</v>
      </c>
      <c r="F51">
        <v>271186</v>
      </c>
    </row>
    <row r="52" spans="1:6">
      <c r="A52" s="39">
        <v>42216</v>
      </c>
      <c r="B52">
        <v>42.49</v>
      </c>
      <c r="C52">
        <v>42.56</v>
      </c>
      <c r="D52">
        <v>42.2</v>
      </c>
      <c r="E52">
        <v>42.29</v>
      </c>
      <c r="F52">
        <v>326454</v>
      </c>
    </row>
    <row r="53" spans="1:6">
      <c r="A53" s="39">
        <v>42219</v>
      </c>
      <c r="B53">
        <v>42.24</v>
      </c>
      <c r="C53">
        <v>42.35</v>
      </c>
      <c r="D53">
        <v>41.94</v>
      </c>
      <c r="E53">
        <v>42.11</v>
      </c>
      <c r="F53">
        <v>448083</v>
      </c>
    </row>
    <row r="54" spans="1:6">
      <c r="A54" s="39">
        <v>42220</v>
      </c>
      <c r="B54">
        <v>42.29</v>
      </c>
      <c r="C54">
        <v>42.5</v>
      </c>
      <c r="D54">
        <v>42.21</v>
      </c>
      <c r="E54">
        <v>42.28</v>
      </c>
      <c r="F54">
        <v>458840</v>
      </c>
    </row>
    <row r="55" spans="1:6">
      <c r="A55" s="39">
        <v>42221</v>
      </c>
      <c r="B55">
        <v>42.57</v>
      </c>
      <c r="C55">
        <v>42.69</v>
      </c>
      <c r="D55">
        <v>42.48</v>
      </c>
      <c r="E55">
        <v>42.49</v>
      </c>
      <c r="F55">
        <v>381676</v>
      </c>
    </row>
    <row r="56" spans="1:6">
      <c r="A56" s="39">
        <v>42222</v>
      </c>
      <c r="B56">
        <v>42.39</v>
      </c>
      <c r="C56">
        <v>42.48</v>
      </c>
      <c r="D56">
        <v>42.17</v>
      </c>
      <c r="E56">
        <v>42.44</v>
      </c>
      <c r="F56">
        <v>1539080</v>
      </c>
    </row>
    <row r="57" spans="1:6">
      <c r="A57" s="39">
        <v>42223</v>
      </c>
      <c r="B57">
        <v>42.26</v>
      </c>
      <c r="C57">
        <v>42.41</v>
      </c>
      <c r="D57">
        <v>42.15</v>
      </c>
      <c r="E57">
        <v>42.4</v>
      </c>
      <c r="F57">
        <v>214302</v>
      </c>
    </row>
    <row r="58" spans="1:6">
      <c r="A58" s="39">
        <v>42226</v>
      </c>
      <c r="B58">
        <v>42.5</v>
      </c>
      <c r="C58">
        <v>42.79</v>
      </c>
      <c r="D58">
        <v>42.37</v>
      </c>
      <c r="E58">
        <v>42.73</v>
      </c>
      <c r="F58">
        <v>809210</v>
      </c>
    </row>
    <row r="59" spans="1:6">
      <c r="A59" s="39">
        <v>42227</v>
      </c>
      <c r="B59">
        <v>42.18</v>
      </c>
      <c r="C59">
        <v>42.24</v>
      </c>
      <c r="D59">
        <v>41.86</v>
      </c>
      <c r="E59">
        <v>42.12</v>
      </c>
      <c r="F59">
        <v>1445122</v>
      </c>
    </row>
    <row r="60" spans="1:6">
      <c r="A60" s="39">
        <v>42228</v>
      </c>
      <c r="B60">
        <v>41.86</v>
      </c>
      <c r="C60">
        <v>42.04</v>
      </c>
      <c r="D60">
        <v>41.62</v>
      </c>
      <c r="E60">
        <v>42.01</v>
      </c>
      <c r="F60">
        <v>555093</v>
      </c>
    </row>
    <row r="61" spans="1:6">
      <c r="A61" s="39">
        <v>42229</v>
      </c>
      <c r="B61">
        <v>41.95</v>
      </c>
      <c r="C61">
        <v>42.24</v>
      </c>
      <c r="D61">
        <v>41.83</v>
      </c>
      <c r="E61">
        <v>42.08</v>
      </c>
      <c r="F61">
        <v>188427</v>
      </c>
    </row>
    <row r="62" spans="1:6">
      <c r="A62" s="39">
        <v>42230</v>
      </c>
      <c r="B62">
        <v>42.22</v>
      </c>
      <c r="C62">
        <v>42.39</v>
      </c>
      <c r="D62">
        <v>42.18</v>
      </c>
      <c r="E62">
        <v>42.34</v>
      </c>
      <c r="F62">
        <v>292373</v>
      </c>
    </row>
    <row r="63" spans="1:6">
      <c r="A63" s="39">
        <v>42233</v>
      </c>
      <c r="B63">
        <v>42.05</v>
      </c>
      <c r="C63">
        <v>42.33</v>
      </c>
      <c r="D63">
        <v>41.99</v>
      </c>
      <c r="E63">
        <v>42.33</v>
      </c>
      <c r="F63">
        <v>289687</v>
      </c>
    </row>
    <row r="64" spans="1:6">
      <c r="A64" s="39">
        <v>42234</v>
      </c>
      <c r="B64">
        <v>42.17</v>
      </c>
      <c r="C64">
        <v>42.24</v>
      </c>
      <c r="D64">
        <v>42.06</v>
      </c>
      <c r="E64">
        <v>42.11</v>
      </c>
      <c r="F64">
        <v>273636</v>
      </c>
    </row>
    <row r="65" spans="1:6">
      <c r="A65" s="39">
        <v>42235</v>
      </c>
      <c r="B65">
        <v>41.98</v>
      </c>
      <c r="C65">
        <v>42.15</v>
      </c>
      <c r="D65">
        <v>41.67</v>
      </c>
      <c r="E65">
        <v>41.91</v>
      </c>
      <c r="F65">
        <v>314362</v>
      </c>
    </row>
    <row r="66" spans="1:6">
      <c r="A66" s="39">
        <v>42236</v>
      </c>
      <c r="B66">
        <v>41.55</v>
      </c>
      <c r="C66">
        <v>41.67</v>
      </c>
      <c r="D66">
        <v>41.18</v>
      </c>
      <c r="E66">
        <v>41.18</v>
      </c>
      <c r="F66">
        <v>1047604</v>
      </c>
    </row>
    <row r="67" spans="1:6">
      <c r="A67" s="39">
        <v>42237</v>
      </c>
      <c r="B67">
        <v>41.13</v>
      </c>
      <c r="C67">
        <v>41.18</v>
      </c>
      <c r="D67">
        <v>40.299999999999997</v>
      </c>
      <c r="E67">
        <v>40.33</v>
      </c>
      <c r="F67">
        <v>865663</v>
      </c>
    </row>
    <row r="68" spans="1:6">
      <c r="A68" s="39">
        <v>42240</v>
      </c>
      <c r="B68">
        <v>38.22</v>
      </c>
      <c r="C68">
        <v>39.369999999999997</v>
      </c>
      <c r="D68">
        <v>37.479999999999997</v>
      </c>
      <c r="E68">
        <v>38.619999999999997</v>
      </c>
      <c r="F68">
        <v>1316618</v>
      </c>
    </row>
    <row r="69" spans="1:6">
      <c r="A69" s="39">
        <v>42241</v>
      </c>
      <c r="B69">
        <v>39.270000000000003</v>
      </c>
      <c r="C69">
        <v>40.17</v>
      </c>
      <c r="D69">
        <v>38.770000000000003</v>
      </c>
      <c r="E69">
        <v>38.770000000000003</v>
      </c>
      <c r="F69">
        <v>1222993</v>
      </c>
    </row>
    <row r="70" spans="1:6">
      <c r="A70" s="39">
        <v>42242</v>
      </c>
      <c r="B70">
        <v>39.46</v>
      </c>
      <c r="C70">
        <v>39.58</v>
      </c>
      <c r="D70">
        <v>38.72</v>
      </c>
      <c r="E70">
        <v>39.549999999999997</v>
      </c>
      <c r="F70">
        <v>716418</v>
      </c>
    </row>
    <row r="71" spans="1:6">
      <c r="A71" s="39">
        <v>42243</v>
      </c>
      <c r="B71">
        <v>39.92</v>
      </c>
      <c r="C71">
        <v>40.4</v>
      </c>
      <c r="D71">
        <v>39.83</v>
      </c>
      <c r="E71">
        <v>40.340000000000003</v>
      </c>
      <c r="F71">
        <v>904175</v>
      </c>
    </row>
    <row r="72" spans="1:6">
      <c r="A72" s="39">
        <v>42244</v>
      </c>
      <c r="B72">
        <v>39.86</v>
      </c>
      <c r="C72">
        <v>39.99</v>
      </c>
      <c r="D72">
        <v>39.729999999999997</v>
      </c>
      <c r="E72">
        <v>39.93</v>
      </c>
      <c r="F72">
        <v>554142</v>
      </c>
    </row>
    <row r="73" spans="1:6">
      <c r="A73" s="39">
        <v>42247</v>
      </c>
      <c r="B73">
        <v>39.71</v>
      </c>
      <c r="C73">
        <v>39.729999999999997</v>
      </c>
      <c r="D73">
        <v>39.4</v>
      </c>
      <c r="E73">
        <v>39.450000000000003</v>
      </c>
      <c r="F73">
        <v>581744</v>
      </c>
    </row>
    <row r="74" spans="1:6">
      <c r="A74" s="39">
        <v>42248</v>
      </c>
      <c r="B74">
        <v>38.67</v>
      </c>
      <c r="C74">
        <v>38.81</v>
      </c>
      <c r="D74">
        <v>38.28</v>
      </c>
      <c r="E74">
        <v>38.409999999999997</v>
      </c>
      <c r="F74">
        <v>757007</v>
      </c>
    </row>
    <row r="75" spans="1:6">
      <c r="A75" s="39">
        <v>42249</v>
      </c>
      <c r="B75">
        <v>38.97</v>
      </c>
      <c r="C75">
        <v>39.1</v>
      </c>
      <c r="D75">
        <v>38.67</v>
      </c>
      <c r="E75">
        <v>39.1</v>
      </c>
      <c r="F75">
        <v>410543</v>
      </c>
    </row>
    <row r="76" spans="1:6">
      <c r="A76" s="39">
        <v>42250</v>
      </c>
      <c r="B76">
        <v>38.97</v>
      </c>
      <c r="C76">
        <v>39.26</v>
      </c>
      <c r="D76">
        <v>38.92</v>
      </c>
      <c r="E76">
        <v>38.979999999999997</v>
      </c>
      <c r="F76">
        <v>746934</v>
      </c>
    </row>
    <row r="77" spans="1:6">
      <c r="A77" s="39">
        <v>42251</v>
      </c>
      <c r="B77">
        <v>38.369999999999997</v>
      </c>
      <c r="C77">
        <v>38.49</v>
      </c>
      <c r="D77">
        <v>38.03</v>
      </c>
      <c r="E77">
        <v>38.130000000000003</v>
      </c>
      <c r="F77">
        <v>385625</v>
      </c>
    </row>
    <row r="78" spans="1:6">
      <c r="A78" s="39">
        <v>42255</v>
      </c>
      <c r="B78">
        <v>38.979999999999997</v>
      </c>
      <c r="C78">
        <v>39.17</v>
      </c>
      <c r="D78">
        <v>38.869999999999997</v>
      </c>
      <c r="E78">
        <v>39.090000000000003</v>
      </c>
      <c r="F78">
        <v>858104</v>
      </c>
    </row>
    <row r="79" spans="1:6">
      <c r="A79" s="39">
        <v>42256</v>
      </c>
      <c r="B79">
        <v>39.340000000000003</v>
      </c>
      <c r="C79">
        <v>39.4</v>
      </c>
      <c r="D79">
        <v>38.549999999999997</v>
      </c>
      <c r="E79">
        <v>38.549999999999997</v>
      </c>
      <c r="F79">
        <v>967214</v>
      </c>
    </row>
    <row r="80" spans="1:6">
      <c r="A80" s="39">
        <v>42257</v>
      </c>
      <c r="B80">
        <v>38.65</v>
      </c>
      <c r="C80">
        <v>39.08</v>
      </c>
      <c r="D80">
        <v>38.65</v>
      </c>
      <c r="E80">
        <v>38.93</v>
      </c>
      <c r="F80">
        <v>420368</v>
      </c>
    </row>
    <row r="81" spans="1:6">
      <c r="A81" s="39">
        <v>42258</v>
      </c>
      <c r="B81">
        <v>38.799999999999997</v>
      </c>
      <c r="C81">
        <v>39.01</v>
      </c>
      <c r="D81">
        <v>38.72</v>
      </c>
      <c r="E81">
        <v>39.01</v>
      </c>
      <c r="F81">
        <v>226992</v>
      </c>
    </row>
    <row r="82" spans="1:6">
      <c r="A82" s="39">
        <v>42261</v>
      </c>
      <c r="B82">
        <v>38.950000000000003</v>
      </c>
      <c r="C82">
        <v>39</v>
      </c>
      <c r="D82">
        <v>38.840000000000003</v>
      </c>
      <c r="E82">
        <v>38.9</v>
      </c>
      <c r="F82">
        <v>295553</v>
      </c>
    </row>
    <row r="83" spans="1:6">
      <c r="A83" s="39">
        <v>42262</v>
      </c>
      <c r="B83">
        <v>38.81</v>
      </c>
      <c r="C83">
        <v>39.08</v>
      </c>
      <c r="D83">
        <v>38.74</v>
      </c>
      <c r="E83">
        <v>39.049999999999997</v>
      </c>
      <c r="F83">
        <v>463594</v>
      </c>
    </row>
    <row r="84" spans="1:6">
      <c r="A84" s="39">
        <v>42263</v>
      </c>
      <c r="B84">
        <v>39.090000000000003</v>
      </c>
      <c r="C84">
        <v>39.39</v>
      </c>
      <c r="D84">
        <v>39.020000000000003</v>
      </c>
      <c r="E84">
        <v>39.33</v>
      </c>
      <c r="F84">
        <v>352880</v>
      </c>
    </row>
    <row r="85" spans="1:6">
      <c r="A85" s="39">
        <v>42264</v>
      </c>
      <c r="B85">
        <v>39.19</v>
      </c>
      <c r="C85">
        <v>39.869999999999997</v>
      </c>
      <c r="D85">
        <v>39.14</v>
      </c>
      <c r="E85">
        <v>39.369999999999997</v>
      </c>
      <c r="F85">
        <v>379563</v>
      </c>
    </row>
    <row r="86" spans="1:6">
      <c r="A86" s="39">
        <v>42265</v>
      </c>
      <c r="B86">
        <v>38.979999999999997</v>
      </c>
      <c r="C86">
        <v>39.200000000000003</v>
      </c>
      <c r="D86">
        <v>38.78</v>
      </c>
      <c r="E86">
        <v>38.79</v>
      </c>
      <c r="F86">
        <v>741869</v>
      </c>
    </row>
    <row r="87" spans="1:6">
      <c r="A87" s="39">
        <v>42268</v>
      </c>
      <c r="B87">
        <v>38.979999999999997</v>
      </c>
      <c r="C87">
        <v>39.159999999999997</v>
      </c>
      <c r="D87">
        <v>38.81</v>
      </c>
      <c r="E87">
        <v>38.96</v>
      </c>
      <c r="F87">
        <v>283501</v>
      </c>
    </row>
    <row r="88" spans="1:6">
      <c r="A88" s="39">
        <v>42269</v>
      </c>
      <c r="B88">
        <v>38.380000000000003</v>
      </c>
      <c r="C88">
        <v>38.479999999999997</v>
      </c>
      <c r="D88">
        <v>38.22</v>
      </c>
      <c r="E88">
        <v>38.380000000000003</v>
      </c>
      <c r="F88">
        <v>1167322</v>
      </c>
    </row>
    <row r="89" spans="1:6">
      <c r="A89" s="39">
        <v>42270</v>
      </c>
      <c r="B89">
        <v>38.450000000000003</v>
      </c>
      <c r="C89">
        <v>38.520000000000003</v>
      </c>
      <c r="D89">
        <v>38.200000000000003</v>
      </c>
      <c r="E89">
        <v>38.25</v>
      </c>
      <c r="F89">
        <v>304133</v>
      </c>
    </row>
    <row r="90" spans="1:6">
      <c r="A90" s="39">
        <v>42271</v>
      </c>
      <c r="B90">
        <v>38.340000000000003</v>
      </c>
      <c r="C90">
        <v>38.700000000000003</v>
      </c>
      <c r="D90">
        <v>38.25</v>
      </c>
      <c r="E90">
        <v>38.619999999999997</v>
      </c>
      <c r="F90">
        <v>426654</v>
      </c>
    </row>
    <row r="91" spans="1:6">
      <c r="A91" s="39">
        <v>42272</v>
      </c>
      <c r="B91">
        <v>39.32</v>
      </c>
      <c r="C91">
        <v>39.479999999999997</v>
      </c>
      <c r="D91">
        <v>39.049999999999997</v>
      </c>
      <c r="E91">
        <v>39.15</v>
      </c>
      <c r="F91">
        <v>670680</v>
      </c>
    </row>
    <row r="92" spans="1:6">
      <c r="A92" s="39">
        <v>42275</v>
      </c>
      <c r="B92">
        <v>38.950000000000003</v>
      </c>
      <c r="C92">
        <v>39.22</v>
      </c>
      <c r="D92">
        <v>38.53</v>
      </c>
      <c r="E92">
        <v>38.549999999999997</v>
      </c>
      <c r="F92">
        <v>367920</v>
      </c>
    </row>
    <row r="93" spans="1:6">
      <c r="A93" s="39">
        <v>42276</v>
      </c>
      <c r="B93">
        <v>38.61</v>
      </c>
      <c r="C93">
        <v>38.799999999999997</v>
      </c>
      <c r="D93">
        <v>38.5</v>
      </c>
      <c r="E93">
        <v>38.68</v>
      </c>
      <c r="F93">
        <v>717639</v>
      </c>
    </row>
    <row r="94" spans="1:6">
      <c r="A94" s="39">
        <v>42277</v>
      </c>
      <c r="B94">
        <v>39.19</v>
      </c>
      <c r="C94">
        <v>39.4</v>
      </c>
      <c r="D94">
        <v>39</v>
      </c>
      <c r="E94">
        <v>39.340000000000003</v>
      </c>
      <c r="F94">
        <v>568318</v>
      </c>
    </row>
    <row r="95" spans="1:6">
      <c r="A95" s="39">
        <v>42278</v>
      </c>
      <c r="B95">
        <v>39.65</v>
      </c>
      <c r="C95">
        <v>39.78</v>
      </c>
      <c r="D95">
        <v>39.11</v>
      </c>
      <c r="E95">
        <v>39.4</v>
      </c>
      <c r="F95">
        <v>632848</v>
      </c>
    </row>
    <row r="96" spans="1:6">
      <c r="A96" s="39">
        <v>42279</v>
      </c>
      <c r="B96">
        <v>39.17</v>
      </c>
      <c r="C96">
        <v>39.9</v>
      </c>
      <c r="D96">
        <v>39.07</v>
      </c>
      <c r="E96">
        <v>39.86</v>
      </c>
      <c r="F96">
        <v>721450</v>
      </c>
    </row>
    <row r="97" spans="1:6">
      <c r="A97" s="39">
        <v>42282</v>
      </c>
      <c r="B97">
        <v>40.44</v>
      </c>
      <c r="C97">
        <v>40.78</v>
      </c>
      <c r="D97">
        <v>40.44</v>
      </c>
      <c r="E97">
        <v>40.75</v>
      </c>
      <c r="F97">
        <v>1690334</v>
      </c>
    </row>
    <row r="98" spans="1:6">
      <c r="A98" s="39">
        <v>42283</v>
      </c>
      <c r="B98">
        <v>40.56</v>
      </c>
      <c r="C98">
        <v>40.71</v>
      </c>
      <c r="D98">
        <v>40.49</v>
      </c>
      <c r="E98">
        <v>40.619999999999997</v>
      </c>
      <c r="F98">
        <v>721887</v>
      </c>
    </row>
    <row r="99" spans="1:6">
      <c r="A99" s="39">
        <v>42284</v>
      </c>
      <c r="B99">
        <v>40.69</v>
      </c>
      <c r="C99">
        <v>40.78</v>
      </c>
      <c r="D99">
        <v>40.39</v>
      </c>
      <c r="E99">
        <v>40.619999999999997</v>
      </c>
      <c r="F99">
        <v>716116</v>
      </c>
    </row>
    <row r="100" spans="1:6">
      <c r="A100" s="39">
        <v>42285</v>
      </c>
      <c r="B100">
        <v>40.479999999999997</v>
      </c>
      <c r="C100">
        <v>41.02</v>
      </c>
      <c r="D100">
        <v>40.4</v>
      </c>
      <c r="E100">
        <v>41.01</v>
      </c>
      <c r="F100">
        <v>595034</v>
      </c>
    </row>
    <row r="101" spans="1:6">
      <c r="A101" s="39">
        <v>42286</v>
      </c>
      <c r="B101">
        <v>40.98</v>
      </c>
      <c r="C101">
        <v>41.07</v>
      </c>
      <c r="D101">
        <v>40.72</v>
      </c>
      <c r="E101">
        <v>40.840000000000003</v>
      </c>
      <c r="F101">
        <v>2508203</v>
      </c>
    </row>
    <row r="102" spans="1:6">
      <c r="A102" s="39">
        <v>42289</v>
      </c>
      <c r="B102">
        <v>40.799999999999997</v>
      </c>
      <c r="C102">
        <v>40.909999999999997</v>
      </c>
      <c r="D102">
        <v>40.76</v>
      </c>
      <c r="E102">
        <v>40.76</v>
      </c>
      <c r="F102">
        <v>163167</v>
      </c>
    </row>
    <row r="103" spans="1:6">
      <c r="A103" s="39">
        <v>42290</v>
      </c>
      <c r="B103">
        <v>40.369999999999997</v>
      </c>
      <c r="C103">
        <v>40.630000000000003</v>
      </c>
      <c r="D103">
        <v>40.31</v>
      </c>
      <c r="E103">
        <v>40.36</v>
      </c>
      <c r="F103">
        <v>414995</v>
      </c>
    </row>
    <row r="104" spans="1:6">
      <c r="A104" s="39">
        <v>42291</v>
      </c>
      <c r="B104">
        <v>40.6</v>
      </c>
      <c r="C104">
        <v>40.83</v>
      </c>
      <c r="D104">
        <v>40.56</v>
      </c>
      <c r="E104">
        <v>40.74</v>
      </c>
      <c r="F104">
        <v>370662</v>
      </c>
    </row>
    <row r="105" spans="1:6">
      <c r="A105" s="39">
        <v>42292</v>
      </c>
      <c r="B105">
        <v>40.98</v>
      </c>
      <c r="C105">
        <v>41.29</v>
      </c>
      <c r="D105">
        <v>40.92</v>
      </c>
      <c r="E105">
        <v>41.27</v>
      </c>
      <c r="F105">
        <v>353907</v>
      </c>
    </row>
    <row r="106" spans="1:6">
      <c r="A106" s="39">
        <v>42293</v>
      </c>
      <c r="B106">
        <v>41.31</v>
      </c>
      <c r="C106">
        <v>41.44</v>
      </c>
      <c r="D106">
        <v>41.22</v>
      </c>
      <c r="E106">
        <v>41.4</v>
      </c>
      <c r="F106">
        <v>357087</v>
      </c>
    </row>
    <row r="107" spans="1:6">
      <c r="A107" s="39">
        <v>42296</v>
      </c>
      <c r="B107">
        <v>41.27</v>
      </c>
      <c r="C107">
        <v>41.44</v>
      </c>
      <c r="D107">
        <v>41.26</v>
      </c>
      <c r="E107">
        <v>41.44</v>
      </c>
      <c r="F107">
        <v>237638</v>
      </c>
    </row>
    <row r="108" spans="1:6">
      <c r="A108" s="39">
        <v>42297</v>
      </c>
      <c r="B108">
        <v>41.32</v>
      </c>
      <c r="C108">
        <v>41.49</v>
      </c>
      <c r="D108">
        <v>41.31</v>
      </c>
      <c r="E108">
        <v>41.39</v>
      </c>
      <c r="F108">
        <v>252593</v>
      </c>
    </row>
    <row r="109" spans="1:6">
      <c r="A109" s="39">
        <v>42298</v>
      </c>
      <c r="B109">
        <v>41.47</v>
      </c>
      <c r="C109">
        <v>41.56</v>
      </c>
      <c r="D109">
        <v>41.17</v>
      </c>
      <c r="E109">
        <v>41.18</v>
      </c>
      <c r="F109">
        <v>441918</v>
      </c>
    </row>
    <row r="110" spans="1:6">
      <c r="A110" s="39">
        <v>42299</v>
      </c>
      <c r="B110">
        <v>41.52</v>
      </c>
      <c r="C110">
        <v>41.94</v>
      </c>
      <c r="D110">
        <v>41.52</v>
      </c>
      <c r="E110">
        <v>41.92</v>
      </c>
      <c r="F110">
        <v>1412170</v>
      </c>
    </row>
    <row r="111" spans="1:6">
      <c r="A111" s="39">
        <v>42300</v>
      </c>
      <c r="B111">
        <v>42.01</v>
      </c>
      <c r="C111">
        <v>42.11</v>
      </c>
      <c r="D111">
        <v>41.9</v>
      </c>
      <c r="E111">
        <v>42.02</v>
      </c>
      <c r="F111">
        <v>444930</v>
      </c>
    </row>
    <row r="112" spans="1:6">
      <c r="A112" s="39">
        <v>42303</v>
      </c>
      <c r="B112">
        <v>41.99</v>
      </c>
      <c r="C112">
        <v>42.08</v>
      </c>
      <c r="D112">
        <v>41.85</v>
      </c>
      <c r="E112">
        <v>41.86</v>
      </c>
      <c r="F112">
        <v>439592</v>
      </c>
    </row>
    <row r="113" spans="1:6">
      <c r="A113" s="39">
        <v>42304</v>
      </c>
      <c r="B113">
        <v>41.85</v>
      </c>
      <c r="C113">
        <v>41.92</v>
      </c>
      <c r="D113">
        <v>41.73</v>
      </c>
      <c r="E113">
        <v>41.82</v>
      </c>
      <c r="F113">
        <v>486671</v>
      </c>
    </row>
    <row r="114" spans="1:6">
      <c r="A114" s="39">
        <v>42305</v>
      </c>
      <c r="B114">
        <v>41.9</v>
      </c>
      <c r="C114">
        <v>42.08</v>
      </c>
      <c r="D114">
        <v>41.52</v>
      </c>
      <c r="E114">
        <v>41.82</v>
      </c>
      <c r="F114">
        <v>554385</v>
      </c>
    </row>
    <row r="115" spans="1:6">
      <c r="A115" s="39">
        <v>42306</v>
      </c>
      <c r="B115">
        <v>41.41</v>
      </c>
      <c r="C115">
        <v>41.6</v>
      </c>
      <c r="D115">
        <v>41.4</v>
      </c>
      <c r="E115">
        <v>41.55</v>
      </c>
      <c r="F115">
        <v>606628</v>
      </c>
    </row>
    <row r="116" spans="1:6">
      <c r="A116" s="39">
        <v>42307</v>
      </c>
      <c r="B116">
        <v>41.54</v>
      </c>
      <c r="C116">
        <v>41.68</v>
      </c>
      <c r="D116">
        <v>41.43</v>
      </c>
      <c r="E116">
        <v>41.46</v>
      </c>
      <c r="F116">
        <v>596951</v>
      </c>
    </row>
    <row r="117" spans="1:6">
      <c r="A117" s="39">
        <v>42310</v>
      </c>
      <c r="B117">
        <v>41.48</v>
      </c>
      <c r="C117">
        <v>41.76</v>
      </c>
      <c r="D117">
        <v>41.41</v>
      </c>
      <c r="E117">
        <v>41.69</v>
      </c>
      <c r="F117">
        <v>762170</v>
      </c>
    </row>
    <row r="118" spans="1:6">
      <c r="A118" s="39">
        <v>42311</v>
      </c>
      <c r="B118">
        <v>41.29</v>
      </c>
      <c r="C118">
        <v>41.57</v>
      </c>
      <c r="D118">
        <v>41.16</v>
      </c>
      <c r="E118">
        <v>41.52</v>
      </c>
      <c r="F118">
        <v>460075</v>
      </c>
    </row>
    <row r="119" spans="1:6">
      <c r="A119" s="39">
        <v>42312</v>
      </c>
      <c r="B119">
        <v>41.19</v>
      </c>
      <c r="C119">
        <v>41.25</v>
      </c>
      <c r="D119">
        <v>40.82</v>
      </c>
      <c r="E119">
        <v>40.92</v>
      </c>
      <c r="F119">
        <v>886164</v>
      </c>
    </row>
    <row r="120" spans="1:6">
      <c r="A120" s="39">
        <v>42313</v>
      </c>
      <c r="B120">
        <v>40.950000000000003</v>
      </c>
      <c r="C120">
        <v>41.05</v>
      </c>
      <c r="D120">
        <v>40.880000000000003</v>
      </c>
      <c r="E120">
        <v>40.99</v>
      </c>
      <c r="F120">
        <v>604688</v>
      </c>
    </row>
    <row r="121" spans="1:6">
      <c r="A121" s="39">
        <v>42314</v>
      </c>
      <c r="B121">
        <v>40.53</v>
      </c>
      <c r="C121">
        <v>40.619999999999997</v>
      </c>
      <c r="D121">
        <v>40.31</v>
      </c>
      <c r="E121">
        <v>40.479999999999997</v>
      </c>
      <c r="F121">
        <v>669064</v>
      </c>
    </row>
    <row r="122" spans="1:6">
      <c r="A122" s="39">
        <v>42317</v>
      </c>
      <c r="B122">
        <v>39.81</v>
      </c>
      <c r="C122">
        <v>39.840000000000003</v>
      </c>
      <c r="D122">
        <v>39.31</v>
      </c>
      <c r="E122">
        <v>39.47</v>
      </c>
      <c r="F122">
        <v>527284</v>
      </c>
    </row>
    <row r="123" spans="1:6">
      <c r="A123" s="39">
        <v>42318</v>
      </c>
      <c r="B123">
        <v>39.119999999999997</v>
      </c>
      <c r="C123">
        <v>39.520000000000003</v>
      </c>
      <c r="D123">
        <v>39.11</v>
      </c>
      <c r="E123">
        <v>39.47</v>
      </c>
      <c r="F123">
        <v>2101678</v>
      </c>
    </row>
    <row r="124" spans="1:6">
      <c r="A124" s="39">
        <v>42319</v>
      </c>
      <c r="B124">
        <v>39.86</v>
      </c>
      <c r="C124">
        <v>39.94</v>
      </c>
      <c r="D124">
        <v>39.76</v>
      </c>
      <c r="E124">
        <v>39.79</v>
      </c>
      <c r="F124">
        <v>274952</v>
      </c>
    </row>
    <row r="125" spans="1:6">
      <c r="A125" s="39">
        <v>42320</v>
      </c>
      <c r="B125">
        <v>39.65</v>
      </c>
      <c r="C125">
        <v>39.700000000000003</v>
      </c>
      <c r="D125">
        <v>39.46</v>
      </c>
      <c r="E125">
        <v>39.47</v>
      </c>
      <c r="F125">
        <v>232944</v>
      </c>
    </row>
    <row r="126" spans="1:6">
      <c r="A126" s="39">
        <v>42321</v>
      </c>
      <c r="B126">
        <v>39.42</v>
      </c>
      <c r="C126">
        <v>39.49</v>
      </c>
      <c r="D126">
        <v>39.24</v>
      </c>
      <c r="E126">
        <v>39.28</v>
      </c>
      <c r="F126">
        <v>354028</v>
      </c>
    </row>
    <row r="127" spans="1:6">
      <c r="A127" s="39">
        <v>42324</v>
      </c>
      <c r="B127">
        <v>39.39</v>
      </c>
      <c r="C127">
        <v>39.81</v>
      </c>
      <c r="D127">
        <v>39.33</v>
      </c>
      <c r="E127">
        <v>39.799999999999997</v>
      </c>
      <c r="F127">
        <v>316335</v>
      </c>
    </row>
    <row r="128" spans="1:6">
      <c r="A128" s="39">
        <v>42325</v>
      </c>
      <c r="B128">
        <v>40</v>
      </c>
      <c r="C128">
        <v>40.130000000000003</v>
      </c>
      <c r="D128">
        <v>39.89</v>
      </c>
      <c r="E128">
        <v>39.99</v>
      </c>
      <c r="F128">
        <v>450753</v>
      </c>
    </row>
    <row r="129" spans="1:6">
      <c r="A129" s="39">
        <v>42326</v>
      </c>
      <c r="B129">
        <v>40.01</v>
      </c>
      <c r="C129">
        <v>40.299999999999997</v>
      </c>
      <c r="D129">
        <v>39.89</v>
      </c>
      <c r="E129">
        <v>40.28</v>
      </c>
      <c r="F129">
        <v>316026</v>
      </c>
    </row>
    <row r="130" spans="1:6">
      <c r="A130" s="39">
        <v>42327</v>
      </c>
      <c r="B130">
        <v>40.520000000000003</v>
      </c>
      <c r="C130">
        <v>40.700000000000003</v>
      </c>
      <c r="D130">
        <v>40.46</v>
      </c>
      <c r="E130">
        <v>40.51</v>
      </c>
      <c r="F130">
        <v>739369</v>
      </c>
    </row>
    <row r="131" spans="1:6">
      <c r="A131" s="39">
        <v>42328</v>
      </c>
      <c r="B131">
        <v>40.76</v>
      </c>
      <c r="C131">
        <v>40.869999999999997</v>
      </c>
      <c r="D131">
        <v>40.67</v>
      </c>
      <c r="E131">
        <v>40.69</v>
      </c>
      <c r="F131">
        <v>280237</v>
      </c>
    </row>
    <row r="132" spans="1:6">
      <c r="A132" s="39">
        <v>42331</v>
      </c>
      <c r="B132">
        <v>40.549999999999997</v>
      </c>
      <c r="C132">
        <v>40.61</v>
      </c>
      <c r="D132">
        <v>40.22</v>
      </c>
      <c r="E132">
        <v>40.26</v>
      </c>
      <c r="F132">
        <v>735471</v>
      </c>
    </row>
    <row r="133" spans="1:6">
      <c r="A133" s="39">
        <v>42332</v>
      </c>
      <c r="B133">
        <v>39.89</v>
      </c>
      <c r="C133">
        <v>40.32</v>
      </c>
      <c r="D133">
        <v>39.89</v>
      </c>
      <c r="E133">
        <v>40.229999999999997</v>
      </c>
      <c r="F133">
        <v>422291</v>
      </c>
    </row>
    <row r="134" spans="1:6">
      <c r="A134" s="39">
        <v>42333</v>
      </c>
      <c r="B134">
        <v>40.31</v>
      </c>
      <c r="C134">
        <v>40.340000000000003</v>
      </c>
      <c r="D134">
        <v>40.14</v>
      </c>
      <c r="E134">
        <v>40.24</v>
      </c>
      <c r="F134">
        <v>306978</v>
      </c>
    </row>
    <row r="135" spans="1:6">
      <c r="A135" s="39">
        <v>42335</v>
      </c>
      <c r="B135">
        <v>40.03</v>
      </c>
      <c r="C135">
        <v>40.11</v>
      </c>
      <c r="D135">
        <v>39.99</v>
      </c>
      <c r="E135">
        <v>40.049999999999997</v>
      </c>
      <c r="F135">
        <v>70503</v>
      </c>
    </row>
    <row r="136" spans="1:6">
      <c r="A136" s="39">
        <v>42338</v>
      </c>
      <c r="B136">
        <v>40.01</v>
      </c>
      <c r="C136">
        <v>40.159999999999997</v>
      </c>
      <c r="D136">
        <v>39.86</v>
      </c>
      <c r="E136">
        <v>40.07</v>
      </c>
      <c r="F136">
        <v>748367</v>
      </c>
    </row>
    <row r="137" spans="1:6">
      <c r="A137" s="39">
        <v>42339</v>
      </c>
      <c r="B137">
        <v>40.57</v>
      </c>
      <c r="C137">
        <v>40.82</v>
      </c>
      <c r="D137">
        <v>40.51</v>
      </c>
      <c r="E137">
        <v>40.82</v>
      </c>
      <c r="F137">
        <v>450764</v>
      </c>
    </row>
    <row r="138" spans="1:6">
      <c r="A138" s="39">
        <v>42340</v>
      </c>
      <c r="B138">
        <v>40.54</v>
      </c>
      <c r="C138">
        <v>40.6</v>
      </c>
      <c r="D138">
        <v>40.159999999999997</v>
      </c>
      <c r="E138">
        <v>40.24</v>
      </c>
      <c r="F138">
        <v>771864</v>
      </c>
    </row>
    <row r="139" spans="1:6">
      <c r="A139" s="39">
        <v>42341</v>
      </c>
      <c r="B139">
        <v>40.409999999999997</v>
      </c>
      <c r="C139">
        <v>40.409999999999997</v>
      </c>
      <c r="D139">
        <v>39.86</v>
      </c>
      <c r="E139">
        <v>39.97</v>
      </c>
      <c r="F139">
        <v>864729</v>
      </c>
    </row>
    <row r="140" spans="1:6">
      <c r="A140" s="39">
        <v>42342</v>
      </c>
      <c r="B140">
        <v>39.85</v>
      </c>
      <c r="C140">
        <v>40.32</v>
      </c>
      <c r="D140">
        <v>39.81</v>
      </c>
      <c r="E140">
        <v>40.31</v>
      </c>
      <c r="F140">
        <v>609329</v>
      </c>
    </row>
    <row r="141" spans="1:6">
      <c r="A141" s="39">
        <v>42345</v>
      </c>
      <c r="B141">
        <v>40.159999999999997</v>
      </c>
      <c r="C141">
        <v>40.270000000000003</v>
      </c>
      <c r="D141">
        <v>39.85</v>
      </c>
      <c r="E141">
        <v>39.96</v>
      </c>
      <c r="F141">
        <v>391273</v>
      </c>
    </row>
    <row r="142" spans="1:6">
      <c r="A142" s="39">
        <v>42346</v>
      </c>
      <c r="B142">
        <v>39.590000000000003</v>
      </c>
      <c r="C142">
        <v>39.770000000000003</v>
      </c>
      <c r="D142">
        <v>39.54</v>
      </c>
      <c r="E142">
        <v>39.549999999999997</v>
      </c>
      <c r="F142">
        <v>742047</v>
      </c>
    </row>
    <row r="143" spans="1:6">
      <c r="A143" s="39">
        <v>42347</v>
      </c>
      <c r="B143">
        <v>39.6</v>
      </c>
      <c r="C143">
        <v>39.880000000000003</v>
      </c>
      <c r="D143">
        <v>39.31</v>
      </c>
      <c r="E143">
        <v>39.44</v>
      </c>
      <c r="F143">
        <v>1102372</v>
      </c>
    </row>
    <row r="144" spans="1:6">
      <c r="A144" s="39">
        <v>42348</v>
      </c>
      <c r="B144">
        <v>39.479999999999997</v>
      </c>
      <c r="C144">
        <v>39.56</v>
      </c>
      <c r="D144">
        <v>39.28</v>
      </c>
      <c r="E144">
        <v>39.31</v>
      </c>
      <c r="F144">
        <v>429188</v>
      </c>
    </row>
    <row r="145" spans="1:6">
      <c r="A145" s="39">
        <v>42349</v>
      </c>
      <c r="B145">
        <v>38.79</v>
      </c>
      <c r="C145">
        <v>38.9</v>
      </c>
      <c r="D145">
        <v>38.54</v>
      </c>
      <c r="E145">
        <v>38.65</v>
      </c>
      <c r="F145">
        <v>662216</v>
      </c>
    </row>
    <row r="146" spans="1:6">
      <c r="A146" s="39">
        <v>42352</v>
      </c>
      <c r="B146">
        <v>38.96</v>
      </c>
      <c r="C146">
        <v>39</v>
      </c>
      <c r="D146">
        <v>38.5</v>
      </c>
      <c r="E146">
        <v>38.840000000000003</v>
      </c>
      <c r="F146">
        <v>775792</v>
      </c>
    </row>
    <row r="147" spans="1:6">
      <c r="A147" s="39">
        <v>42353</v>
      </c>
      <c r="B147">
        <v>39</v>
      </c>
      <c r="C147">
        <v>39.119999999999997</v>
      </c>
      <c r="D147">
        <v>38.880000000000003</v>
      </c>
      <c r="E147">
        <v>38.97</v>
      </c>
      <c r="F147">
        <v>836397</v>
      </c>
    </row>
    <row r="148" spans="1:6">
      <c r="A148" s="39">
        <v>42354</v>
      </c>
      <c r="B148">
        <v>39.44</v>
      </c>
      <c r="C148">
        <v>39.86</v>
      </c>
      <c r="D148">
        <v>39.32</v>
      </c>
      <c r="E148">
        <v>39.78</v>
      </c>
      <c r="F148">
        <v>855236</v>
      </c>
    </row>
    <row r="149" spans="1:6">
      <c r="A149" s="39">
        <v>42355</v>
      </c>
      <c r="B149">
        <v>39.65</v>
      </c>
      <c r="C149">
        <v>39.65</v>
      </c>
      <c r="D149">
        <v>39.159999999999997</v>
      </c>
      <c r="E149">
        <v>39.200000000000003</v>
      </c>
      <c r="F149">
        <v>954659</v>
      </c>
    </row>
    <row r="150" spans="1:6">
      <c r="A150" s="39">
        <v>42356</v>
      </c>
      <c r="B150">
        <v>39.08</v>
      </c>
      <c r="C150">
        <v>39.159999999999997</v>
      </c>
      <c r="D150">
        <v>38.85</v>
      </c>
      <c r="E150">
        <v>38.85</v>
      </c>
      <c r="F150">
        <v>1085777</v>
      </c>
    </row>
    <row r="151" spans="1:6">
      <c r="A151" s="39">
        <v>42359</v>
      </c>
      <c r="B151">
        <v>39.26</v>
      </c>
      <c r="C151">
        <v>39.28</v>
      </c>
      <c r="D151">
        <v>38.83</v>
      </c>
      <c r="E151">
        <v>38.99</v>
      </c>
      <c r="F151">
        <v>643443</v>
      </c>
    </row>
    <row r="152" spans="1:6">
      <c r="A152" s="39">
        <v>42360</v>
      </c>
      <c r="B152">
        <v>39.14</v>
      </c>
      <c r="C152">
        <v>39.25</v>
      </c>
      <c r="D152">
        <v>38.99</v>
      </c>
      <c r="E152">
        <v>39.18</v>
      </c>
      <c r="F152">
        <v>760366</v>
      </c>
    </row>
    <row r="153" spans="1:6">
      <c r="A153" s="39">
        <v>42361</v>
      </c>
      <c r="B153">
        <v>39.369999999999997</v>
      </c>
      <c r="C153">
        <v>39.6</v>
      </c>
      <c r="D153">
        <v>39.31</v>
      </c>
      <c r="E153">
        <v>39.57</v>
      </c>
      <c r="F153">
        <v>903298</v>
      </c>
    </row>
    <row r="154" spans="1:6">
      <c r="A154" s="39">
        <v>42362</v>
      </c>
      <c r="B154">
        <v>39.46</v>
      </c>
      <c r="C154">
        <v>39.74</v>
      </c>
      <c r="D154">
        <v>39.42</v>
      </c>
      <c r="E154">
        <v>39.630000000000003</v>
      </c>
      <c r="F154">
        <v>283328</v>
      </c>
    </row>
    <row r="155" spans="1:6">
      <c r="A155" s="39">
        <v>42366</v>
      </c>
      <c r="B155">
        <v>39.340000000000003</v>
      </c>
      <c r="C155">
        <v>39.51</v>
      </c>
      <c r="D155">
        <v>39.22</v>
      </c>
      <c r="E155">
        <v>39.369999999999997</v>
      </c>
      <c r="F155">
        <v>1246262</v>
      </c>
    </row>
    <row r="156" spans="1:6">
      <c r="A156" s="39">
        <v>42367</v>
      </c>
      <c r="B156">
        <v>39.840000000000003</v>
      </c>
      <c r="C156">
        <v>39.869999999999997</v>
      </c>
      <c r="D156">
        <v>39.619999999999997</v>
      </c>
      <c r="E156">
        <v>39.78</v>
      </c>
      <c r="F156">
        <v>769792</v>
      </c>
    </row>
    <row r="157" spans="1:6">
      <c r="A157" s="39">
        <v>42368</v>
      </c>
      <c r="B157">
        <v>39.590000000000003</v>
      </c>
      <c r="C157">
        <v>39.69</v>
      </c>
      <c r="D157">
        <v>39.49</v>
      </c>
      <c r="E157">
        <v>39.5</v>
      </c>
      <c r="F157">
        <v>777980</v>
      </c>
    </row>
    <row r="158" spans="1:6">
      <c r="A158" s="39">
        <v>42369</v>
      </c>
      <c r="B158">
        <v>39.22</v>
      </c>
      <c r="C158">
        <v>39.4</v>
      </c>
      <c r="D158">
        <v>39.049999999999997</v>
      </c>
      <c r="E158">
        <v>39.119999999999997</v>
      </c>
      <c r="F158">
        <v>821932</v>
      </c>
    </row>
    <row r="159" spans="1:6">
      <c r="A159" s="39">
        <v>42373</v>
      </c>
      <c r="B159">
        <v>38.5</v>
      </c>
      <c r="C159">
        <v>38.770000000000003</v>
      </c>
      <c r="D159">
        <v>38.29</v>
      </c>
      <c r="E159">
        <v>38.770000000000003</v>
      </c>
      <c r="F159">
        <v>1013386</v>
      </c>
    </row>
    <row r="160" spans="1:6">
      <c r="A160" s="39">
        <v>42374</v>
      </c>
      <c r="B160">
        <v>38.74</v>
      </c>
      <c r="C160">
        <v>38.869999999999997</v>
      </c>
      <c r="D160">
        <v>38.590000000000003</v>
      </c>
      <c r="E160">
        <v>38.83</v>
      </c>
      <c r="F160">
        <v>360737</v>
      </c>
    </row>
    <row r="161" spans="1:6">
      <c r="A161" s="39">
        <v>42375</v>
      </c>
      <c r="B161">
        <v>38.24</v>
      </c>
      <c r="C161">
        <v>38.479999999999997</v>
      </c>
      <c r="D161">
        <v>38.229999999999997</v>
      </c>
      <c r="E161">
        <v>38.44</v>
      </c>
      <c r="F161">
        <v>1491240</v>
      </c>
    </row>
    <row r="162" spans="1:6">
      <c r="A162" s="39">
        <v>42376</v>
      </c>
      <c r="B162">
        <v>37.75</v>
      </c>
      <c r="C162">
        <v>38</v>
      </c>
      <c r="D162">
        <v>37.56</v>
      </c>
      <c r="E162">
        <v>37.56</v>
      </c>
      <c r="F162">
        <v>514794</v>
      </c>
    </row>
    <row r="163" spans="1:6">
      <c r="A163" s="39">
        <v>42377</v>
      </c>
      <c r="B163">
        <v>37.6</v>
      </c>
      <c r="C163">
        <v>37.619999999999997</v>
      </c>
      <c r="D163">
        <v>36.979999999999997</v>
      </c>
      <c r="E163">
        <v>37.049999999999997</v>
      </c>
      <c r="F163">
        <v>670309</v>
      </c>
    </row>
    <row r="164" spans="1:6">
      <c r="A164" s="39">
        <v>42380</v>
      </c>
      <c r="B164">
        <v>37.369999999999997</v>
      </c>
      <c r="C164">
        <v>37.49</v>
      </c>
      <c r="D164">
        <v>36.89</v>
      </c>
      <c r="E164">
        <v>37.19</v>
      </c>
      <c r="F164">
        <v>490610</v>
      </c>
    </row>
    <row r="165" spans="1:6">
      <c r="A165" s="39">
        <v>42381</v>
      </c>
      <c r="B165">
        <v>37.4</v>
      </c>
      <c r="C165">
        <v>37.53</v>
      </c>
      <c r="D165">
        <v>37.090000000000003</v>
      </c>
      <c r="E165">
        <v>37.35</v>
      </c>
      <c r="F165">
        <v>458068</v>
      </c>
    </row>
    <row r="166" spans="1:6">
      <c r="A166" s="39">
        <v>42382</v>
      </c>
      <c r="B166">
        <v>37.54</v>
      </c>
      <c r="C166">
        <v>37.72</v>
      </c>
      <c r="D166">
        <v>36.840000000000003</v>
      </c>
      <c r="E166">
        <v>36.94</v>
      </c>
      <c r="F166">
        <v>3128400</v>
      </c>
    </row>
    <row r="167" spans="1:6">
      <c r="A167" s="39">
        <v>42383</v>
      </c>
      <c r="B167">
        <v>37.17</v>
      </c>
      <c r="C167">
        <v>37.47</v>
      </c>
      <c r="D167">
        <v>36.880000000000003</v>
      </c>
      <c r="E167">
        <v>37.270000000000003</v>
      </c>
      <c r="F167">
        <v>528694</v>
      </c>
    </row>
    <row r="168" spans="1:6">
      <c r="A168" s="39">
        <v>42384</v>
      </c>
      <c r="B168">
        <v>36.22</v>
      </c>
      <c r="C168">
        <v>36.409999999999997</v>
      </c>
      <c r="D168">
        <v>35.94</v>
      </c>
      <c r="E168">
        <v>36.15</v>
      </c>
      <c r="F168">
        <v>788724</v>
      </c>
    </row>
    <row r="169" spans="1:6">
      <c r="A169" s="39">
        <v>42388</v>
      </c>
      <c r="B169">
        <v>36.619999999999997</v>
      </c>
      <c r="C169">
        <v>36.72</v>
      </c>
      <c r="D169">
        <v>36.06</v>
      </c>
      <c r="E169">
        <v>36.35</v>
      </c>
      <c r="F169">
        <v>782830</v>
      </c>
    </row>
    <row r="170" spans="1:6">
      <c r="A170" s="39">
        <v>42389</v>
      </c>
      <c r="B170">
        <v>35.799999999999997</v>
      </c>
      <c r="C170">
        <v>35.950000000000003</v>
      </c>
      <c r="D170">
        <v>34.549999999999997</v>
      </c>
      <c r="E170">
        <v>35.549999999999997</v>
      </c>
      <c r="F170">
        <v>5393263</v>
      </c>
    </row>
    <row r="171" spans="1:6">
      <c r="A171" s="39">
        <v>42390</v>
      </c>
      <c r="B171">
        <v>35.35</v>
      </c>
      <c r="C171">
        <v>35.92</v>
      </c>
      <c r="D171">
        <v>35.18</v>
      </c>
      <c r="E171">
        <v>35.71</v>
      </c>
      <c r="F171">
        <v>1912594</v>
      </c>
    </row>
    <row r="172" spans="1:6">
      <c r="A172" s="39">
        <v>42391</v>
      </c>
      <c r="B172">
        <v>36.28</v>
      </c>
      <c r="C172">
        <v>36.590000000000003</v>
      </c>
      <c r="D172">
        <v>36.22</v>
      </c>
      <c r="E172">
        <v>36.53</v>
      </c>
      <c r="F172">
        <v>1274792</v>
      </c>
    </row>
    <row r="173" spans="1:6">
      <c r="A173" s="39">
        <v>42394</v>
      </c>
      <c r="B173">
        <v>36.4</v>
      </c>
      <c r="C173">
        <v>36.54</v>
      </c>
      <c r="D173">
        <v>36.200000000000003</v>
      </c>
      <c r="E173">
        <v>36.22</v>
      </c>
      <c r="F173">
        <v>641766</v>
      </c>
    </row>
    <row r="174" spans="1:6">
      <c r="A174" s="39">
        <v>42395</v>
      </c>
      <c r="B174">
        <v>36.479999999999997</v>
      </c>
      <c r="C174">
        <v>36.85</v>
      </c>
      <c r="D174">
        <v>36.36</v>
      </c>
      <c r="E174">
        <v>36.83</v>
      </c>
      <c r="F174">
        <v>440469</v>
      </c>
    </row>
    <row r="175" spans="1:6">
      <c r="A175" s="39">
        <v>42396</v>
      </c>
      <c r="B175">
        <v>36.81</v>
      </c>
      <c r="C175">
        <v>37.01</v>
      </c>
      <c r="D175">
        <v>36.44</v>
      </c>
      <c r="E175">
        <v>36.57</v>
      </c>
      <c r="F175">
        <v>498519</v>
      </c>
    </row>
    <row r="176" spans="1:6">
      <c r="A176" s="39">
        <v>42397</v>
      </c>
      <c r="B176">
        <v>36.93</v>
      </c>
      <c r="C176">
        <v>37.03</v>
      </c>
      <c r="D176">
        <v>36.700000000000003</v>
      </c>
      <c r="E176">
        <v>36.83</v>
      </c>
      <c r="F176">
        <v>955687</v>
      </c>
    </row>
    <row r="177" spans="1:6">
      <c r="A177" s="39">
        <v>42398</v>
      </c>
      <c r="B177">
        <v>37.53</v>
      </c>
      <c r="C177">
        <v>37.9</v>
      </c>
      <c r="D177">
        <v>37.53</v>
      </c>
      <c r="E177">
        <v>37.880000000000003</v>
      </c>
      <c r="F177">
        <v>596720</v>
      </c>
    </row>
    <row r="178" spans="1:6">
      <c r="A178" s="39">
        <v>42401</v>
      </c>
      <c r="B178">
        <v>37.950000000000003</v>
      </c>
      <c r="C178">
        <v>38.29</v>
      </c>
      <c r="D178">
        <v>37.86</v>
      </c>
      <c r="E178">
        <v>38.15</v>
      </c>
      <c r="F178">
        <v>649234</v>
      </c>
    </row>
    <row r="179" spans="1:6">
      <c r="A179" s="39">
        <v>42402</v>
      </c>
      <c r="B179">
        <v>37.729999999999997</v>
      </c>
      <c r="C179">
        <v>37.729999999999997</v>
      </c>
      <c r="D179">
        <v>37.22</v>
      </c>
      <c r="E179">
        <v>37.340000000000003</v>
      </c>
      <c r="F179">
        <v>653962</v>
      </c>
    </row>
    <row r="180" spans="1:6">
      <c r="A180" s="39">
        <v>42403</v>
      </c>
      <c r="B180">
        <v>37.96</v>
      </c>
      <c r="C180">
        <v>38.08</v>
      </c>
      <c r="D180">
        <v>37.369999999999997</v>
      </c>
      <c r="E180">
        <v>38.020000000000003</v>
      </c>
      <c r="F180">
        <v>1459556</v>
      </c>
    </row>
    <row r="181" spans="1:6">
      <c r="A181" s="39">
        <v>42404</v>
      </c>
      <c r="B181">
        <v>38.020000000000003</v>
      </c>
      <c r="C181">
        <v>38.299999999999997</v>
      </c>
      <c r="D181">
        <v>37.96</v>
      </c>
      <c r="E181">
        <v>38.11</v>
      </c>
      <c r="F181">
        <v>463882</v>
      </c>
    </row>
    <row r="182" spans="1:6">
      <c r="A182" s="39">
        <v>42405</v>
      </c>
      <c r="B182">
        <v>37.950000000000003</v>
      </c>
      <c r="C182">
        <v>38.049999999999997</v>
      </c>
      <c r="D182">
        <v>37.39</v>
      </c>
      <c r="E182">
        <v>37.46</v>
      </c>
      <c r="F182">
        <v>903414</v>
      </c>
    </row>
    <row r="183" spans="1:6">
      <c r="A183" s="39">
        <v>42408</v>
      </c>
      <c r="B183">
        <v>37.08</v>
      </c>
      <c r="C183">
        <v>37.21</v>
      </c>
      <c r="D183">
        <v>36.64</v>
      </c>
      <c r="E183">
        <v>36.9</v>
      </c>
      <c r="F183">
        <v>517474</v>
      </c>
    </row>
    <row r="184" spans="1:6">
      <c r="A184" s="39">
        <v>42409</v>
      </c>
      <c r="B184">
        <v>36.36</v>
      </c>
      <c r="C184">
        <v>36.840000000000003</v>
      </c>
      <c r="D184">
        <v>36.32</v>
      </c>
      <c r="E184">
        <v>36.75</v>
      </c>
      <c r="F184">
        <v>2774142</v>
      </c>
    </row>
    <row r="185" spans="1:6">
      <c r="A185" s="39">
        <v>42410</v>
      </c>
      <c r="B185">
        <v>37</v>
      </c>
      <c r="C185">
        <v>37.15</v>
      </c>
      <c r="D185">
        <v>36.74</v>
      </c>
      <c r="E185">
        <v>36.76</v>
      </c>
      <c r="F185">
        <v>385708</v>
      </c>
    </row>
    <row r="186" spans="1:6">
      <c r="A186" s="39">
        <v>42411</v>
      </c>
      <c r="B186">
        <v>36.46</v>
      </c>
      <c r="C186">
        <v>36.64</v>
      </c>
      <c r="D186">
        <v>36.159999999999997</v>
      </c>
      <c r="E186">
        <v>36.450000000000003</v>
      </c>
      <c r="F186">
        <v>373764</v>
      </c>
    </row>
    <row r="187" spans="1:6">
      <c r="A187" s="39">
        <v>42412</v>
      </c>
      <c r="B187">
        <v>36.369999999999997</v>
      </c>
      <c r="C187">
        <v>37.03</v>
      </c>
      <c r="D187">
        <v>36.270000000000003</v>
      </c>
      <c r="E187">
        <v>37</v>
      </c>
      <c r="F187">
        <v>494019</v>
      </c>
    </row>
    <row r="188" spans="1:6">
      <c r="A188" s="39">
        <v>42416</v>
      </c>
      <c r="B188">
        <v>37.75</v>
      </c>
      <c r="C188">
        <v>37.89</v>
      </c>
      <c r="D188">
        <v>37.43</v>
      </c>
      <c r="E188">
        <v>37.75</v>
      </c>
      <c r="F188">
        <v>480667</v>
      </c>
    </row>
    <row r="189" spans="1:6">
      <c r="A189" s="39">
        <v>42417</v>
      </c>
      <c r="B189">
        <v>37.9</v>
      </c>
      <c r="C189">
        <v>38.33</v>
      </c>
      <c r="D189">
        <v>37.9</v>
      </c>
      <c r="E189">
        <v>38.229999999999997</v>
      </c>
      <c r="F189">
        <v>510307</v>
      </c>
    </row>
    <row r="190" spans="1:6">
      <c r="A190" s="39">
        <v>42418</v>
      </c>
      <c r="B190">
        <v>38.229999999999997</v>
      </c>
      <c r="C190">
        <v>38.369999999999997</v>
      </c>
      <c r="D190">
        <v>38</v>
      </c>
      <c r="E190">
        <v>38.08</v>
      </c>
      <c r="F190">
        <v>290109</v>
      </c>
    </row>
    <row r="191" spans="1:6">
      <c r="A191" s="39">
        <v>42419</v>
      </c>
      <c r="B191">
        <v>38.119999999999997</v>
      </c>
      <c r="C191">
        <v>38.44</v>
      </c>
      <c r="D191">
        <v>38.04</v>
      </c>
      <c r="E191">
        <v>38.380000000000003</v>
      </c>
      <c r="F191">
        <v>228457</v>
      </c>
    </row>
    <row r="192" spans="1:6">
      <c r="A192" s="39">
        <v>42422</v>
      </c>
      <c r="B192">
        <v>38.57</v>
      </c>
      <c r="C192">
        <v>38.79</v>
      </c>
      <c r="D192">
        <v>38.56</v>
      </c>
      <c r="E192">
        <v>38.78</v>
      </c>
      <c r="F192">
        <v>1058137</v>
      </c>
    </row>
    <row r="193" spans="1:6">
      <c r="A193" s="39">
        <v>42423</v>
      </c>
      <c r="B193">
        <v>38.36</v>
      </c>
      <c r="C193">
        <v>38.42</v>
      </c>
      <c r="D193">
        <v>38.08</v>
      </c>
      <c r="E193">
        <v>38.130000000000003</v>
      </c>
      <c r="F193">
        <v>453150</v>
      </c>
    </row>
    <row r="194" spans="1:6">
      <c r="A194" s="39">
        <v>42424</v>
      </c>
      <c r="B194">
        <v>37.86</v>
      </c>
      <c r="C194">
        <v>38.380000000000003</v>
      </c>
      <c r="D194">
        <v>37.659999999999997</v>
      </c>
      <c r="E194">
        <v>38.340000000000003</v>
      </c>
      <c r="F194">
        <v>522511</v>
      </c>
    </row>
    <row r="195" spans="1:6">
      <c r="A195" s="39">
        <v>42425</v>
      </c>
      <c r="B195">
        <v>38.49</v>
      </c>
      <c r="C195">
        <v>38.69</v>
      </c>
      <c r="D195">
        <v>38.36</v>
      </c>
      <c r="E195">
        <v>38.659999999999997</v>
      </c>
      <c r="F195">
        <v>327336</v>
      </c>
    </row>
    <row r="196" spans="1:6">
      <c r="A196" s="39">
        <v>42426</v>
      </c>
      <c r="B196">
        <v>38.78</v>
      </c>
      <c r="C196">
        <v>38.880000000000003</v>
      </c>
      <c r="D196">
        <v>38.369999999999997</v>
      </c>
      <c r="E196">
        <v>38.409999999999997</v>
      </c>
      <c r="F196">
        <v>278944</v>
      </c>
    </row>
    <row r="197" spans="1:6">
      <c r="A197" s="39">
        <v>42429</v>
      </c>
      <c r="B197">
        <v>38.51</v>
      </c>
      <c r="C197">
        <v>38.65</v>
      </c>
      <c r="D197">
        <v>38.369999999999997</v>
      </c>
      <c r="E197">
        <v>38.369999999999997</v>
      </c>
      <c r="F197">
        <v>306915</v>
      </c>
    </row>
    <row r="198" spans="1:6">
      <c r="A198" s="39">
        <v>42430</v>
      </c>
      <c r="B198">
        <v>38.909999999999997</v>
      </c>
      <c r="C198">
        <v>39.33</v>
      </c>
      <c r="D198">
        <v>38.83</v>
      </c>
      <c r="E198">
        <v>39.299999999999997</v>
      </c>
      <c r="F198">
        <v>555832</v>
      </c>
    </row>
    <row r="199" spans="1:6">
      <c r="A199" s="39">
        <v>42431</v>
      </c>
      <c r="B199">
        <v>39.18</v>
      </c>
      <c r="C199">
        <v>39.56</v>
      </c>
      <c r="D199">
        <v>39.11</v>
      </c>
      <c r="E199">
        <v>39.53</v>
      </c>
      <c r="F199">
        <v>1172536</v>
      </c>
    </row>
    <row r="200" spans="1:6">
      <c r="A200" s="39">
        <v>42432</v>
      </c>
      <c r="B200">
        <v>39.53</v>
      </c>
      <c r="C200">
        <v>39.770000000000003</v>
      </c>
      <c r="D200">
        <v>39.44</v>
      </c>
      <c r="E200">
        <v>39.71</v>
      </c>
      <c r="F200">
        <v>546648</v>
      </c>
    </row>
    <row r="201" spans="1:6">
      <c r="A201" s="39">
        <v>42433</v>
      </c>
      <c r="B201">
        <v>39.72</v>
      </c>
      <c r="C201">
        <v>39.979999999999997</v>
      </c>
      <c r="D201">
        <v>39.700000000000003</v>
      </c>
      <c r="E201">
        <v>39.83</v>
      </c>
      <c r="F201">
        <v>392746</v>
      </c>
    </row>
    <row r="202" spans="1:6">
      <c r="A202" s="39">
        <v>42436</v>
      </c>
      <c r="B202">
        <v>39.369999999999997</v>
      </c>
      <c r="C202">
        <v>39.69</v>
      </c>
      <c r="D202">
        <v>39.22</v>
      </c>
      <c r="E202">
        <v>39.6</v>
      </c>
      <c r="F202">
        <v>528551</v>
      </c>
    </row>
    <row r="203" spans="1:6">
      <c r="A203" s="39">
        <v>42437</v>
      </c>
      <c r="B203">
        <v>39.46</v>
      </c>
      <c r="C203">
        <v>39.58</v>
      </c>
      <c r="D203">
        <v>39.32</v>
      </c>
      <c r="E203">
        <v>39.479999999999997</v>
      </c>
      <c r="F203">
        <v>604920</v>
      </c>
    </row>
    <row r="204" spans="1:6">
      <c r="A204" s="39">
        <v>42438</v>
      </c>
      <c r="B204">
        <v>39.6</v>
      </c>
      <c r="C204">
        <v>39.74</v>
      </c>
      <c r="D204">
        <v>39.46</v>
      </c>
      <c r="E204">
        <v>39.49</v>
      </c>
      <c r="F204">
        <v>1013014</v>
      </c>
    </row>
    <row r="205" spans="1:6">
      <c r="A205" s="39">
        <v>42439</v>
      </c>
      <c r="B205">
        <v>39.729999999999997</v>
      </c>
      <c r="C205">
        <v>39.96</v>
      </c>
      <c r="D205">
        <v>39.31</v>
      </c>
      <c r="E205">
        <v>39.56</v>
      </c>
      <c r="F205">
        <v>245179</v>
      </c>
    </row>
    <row r="206" spans="1:6">
      <c r="A206" s="39">
        <v>42440</v>
      </c>
      <c r="B206">
        <v>40.26</v>
      </c>
      <c r="C206">
        <v>40.54</v>
      </c>
      <c r="D206">
        <v>40.19</v>
      </c>
      <c r="E206">
        <v>40.53</v>
      </c>
      <c r="F206">
        <v>795008</v>
      </c>
    </row>
    <row r="207" spans="1:6">
      <c r="A207" s="39">
        <v>42443</v>
      </c>
      <c r="B207">
        <v>40.39</v>
      </c>
      <c r="C207">
        <v>40.53</v>
      </c>
      <c r="D207">
        <v>40.28</v>
      </c>
      <c r="E207">
        <v>40.450000000000003</v>
      </c>
      <c r="F207">
        <v>302397</v>
      </c>
    </row>
    <row r="208" spans="1:6">
      <c r="A208" s="39">
        <v>42444</v>
      </c>
      <c r="B208">
        <v>40.14</v>
      </c>
      <c r="C208">
        <v>40.340000000000003</v>
      </c>
      <c r="D208">
        <v>40.08</v>
      </c>
      <c r="E208">
        <v>40.33</v>
      </c>
      <c r="F208">
        <v>735489</v>
      </c>
    </row>
    <row r="209" spans="1:6">
      <c r="A209" s="39">
        <v>42445</v>
      </c>
      <c r="B209">
        <v>40.119999999999997</v>
      </c>
      <c r="C209">
        <v>40.909999999999997</v>
      </c>
      <c r="D209">
        <v>40.1</v>
      </c>
      <c r="E209">
        <v>40.840000000000003</v>
      </c>
      <c r="F209">
        <v>480354</v>
      </c>
    </row>
    <row r="210" spans="1:6">
      <c r="A210" s="39">
        <v>42446</v>
      </c>
      <c r="B210">
        <v>41.19</v>
      </c>
      <c r="C210">
        <v>41.69</v>
      </c>
      <c r="D210">
        <v>41.1</v>
      </c>
      <c r="E210">
        <v>41.55</v>
      </c>
      <c r="F210">
        <v>791722</v>
      </c>
    </row>
    <row r="211" spans="1:6">
      <c r="A211" s="39">
        <v>42447</v>
      </c>
      <c r="B211">
        <v>41.41</v>
      </c>
      <c r="C211">
        <v>41.49</v>
      </c>
      <c r="D211">
        <v>41.28</v>
      </c>
      <c r="E211">
        <v>41.32</v>
      </c>
      <c r="F211">
        <v>491292</v>
      </c>
    </row>
    <row r="212" spans="1:6">
      <c r="A212" s="39">
        <v>42450</v>
      </c>
      <c r="B212">
        <v>41.27</v>
      </c>
      <c r="C212">
        <v>41.4</v>
      </c>
      <c r="D212">
        <v>41.02</v>
      </c>
      <c r="E212">
        <v>41.27</v>
      </c>
      <c r="F212">
        <v>360665</v>
      </c>
    </row>
    <row r="213" spans="1:6">
      <c r="A213" s="39">
        <v>42451</v>
      </c>
      <c r="B213">
        <v>41.06</v>
      </c>
      <c r="C213">
        <v>41.25</v>
      </c>
      <c r="D213">
        <v>41</v>
      </c>
      <c r="E213">
        <v>41.24</v>
      </c>
      <c r="F213">
        <v>738262</v>
      </c>
    </row>
    <row r="214" spans="1:6">
      <c r="A214" s="39">
        <v>42452</v>
      </c>
      <c r="B214">
        <v>40.94</v>
      </c>
      <c r="C214">
        <v>40.98</v>
      </c>
      <c r="D214">
        <v>40.74</v>
      </c>
      <c r="E214">
        <v>40.799999999999997</v>
      </c>
      <c r="F214">
        <v>489882</v>
      </c>
    </row>
    <row r="215" spans="1:6">
      <c r="A215" s="39">
        <v>42453</v>
      </c>
      <c r="B215">
        <v>40.47</v>
      </c>
      <c r="C215">
        <v>40.549999999999997</v>
      </c>
      <c r="D215">
        <v>40.29</v>
      </c>
      <c r="E215">
        <v>40.53</v>
      </c>
      <c r="F215">
        <v>322542</v>
      </c>
    </row>
    <row r="216" spans="1:6">
      <c r="A216" s="39">
        <v>42457</v>
      </c>
      <c r="B216">
        <v>40.61</v>
      </c>
      <c r="C216">
        <v>40.72</v>
      </c>
      <c r="D216">
        <v>40.53</v>
      </c>
      <c r="E216">
        <v>40.659999999999997</v>
      </c>
      <c r="F216">
        <v>366733</v>
      </c>
    </row>
    <row r="217" spans="1:6">
      <c r="A217" s="39">
        <v>42458</v>
      </c>
      <c r="B217">
        <v>40.64</v>
      </c>
      <c r="C217">
        <v>41.36</v>
      </c>
      <c r="D217">
        <v>40.56</v>
      </c>
      <c r="E217">
        <v>41.27</v>
      </c>
      <c r="F217">
        <v>581098</v>
      </c>
    </row>
    <row r="218" spans="1:6">
      <c r="A218" s="39">
        <v>42459</v>
      </c>
      <c r="B218">
        <v>41.6</v>
      </c>
      <c r="C218">
        <v>41.82</v>
      </c>
      <c r="D218">
        <v>41.48</v>
      </c>
      <c r="E218">
        <v>41.61</v>
      </c>
      <c r="F218">
        <v>361830</v>
      </c>
    </row>
    <row r="219" spans="1:6">
      <c r="A219" s="39">
        <v>42460</v>
      </c>
      <c r="B219">
        <v>41.5</v>
      </c>
      <c r="C219">
        <v>41.63</v>
      </c>
      <c r="D219">
        <v>41.41</v>
      </c>
      <c r="E219">
        <v>41.46</v>
      </c>
      <c r="F219">
        <v>422099</v>
      </c>
    </row>
    <row r="220" spans="1:6">
      <c r="A220" s="39">
        <v>42461</v>
      </c>
      <c r="B220">
        <v>40.71</v>
      </c>
      <c r="C220">
        <v>41.12</v>
      </c>
      <c r="D220">
        <v>40.619999999999997</v>
      </c>
      <c r="E220">
        <v>41.09</v>
      </c>
      <c r="F220">
        <v>633714</v>
      </c>
    </row>
    <row r="221" spans="1:6">
      <c r="A221" s="39">
        <v>42464</v>
      </c>
      <c r="B221">
        <v>41.32</v>
      </c>
      <c r="C221">
        <v>41.32</v>
      </c>
      <c r="D221">
        <v>40.950000000000003</v>
      </c>
      <c r="E221">
        <v>40.97</v>
      </c>
      <c r="F221">
        <v>678041</v>
      </c>
    </row>
    <row r="222" spans="1:6">
      <c r="A222" s="39">
        <v>42465</v>
      </c>
      <c r="B222">
        <v>40.69</v>
      </c>
      <c r="C222">
        <v>40.78</v>
      </c>
      <c r="D222">
        <v>40.57</v>
      </c>
      <c r="E222">
        <v>40.72</v>
      </c>
      <c r="F222">
        <v>543448</v>
      </c>
    </row>
    <row r="223" spans="1:6">
      <c r="A223" s="39">
        <v>42466</v>
      </c>
      <c r="B223">
        <v>40.79</v>
      </c>
      <c r="C223">
        <v>41.12</v>
      </c>
      <c r="D223">
        <v>40.76</v>
      </c>
      <c r="E223">
        <v>41.12</v>
      </c>
      <c r="F223">
        <v>1873630</v>
      </c>
    </row>
    <row r="224" spans="1:6">
      <c r="A224" s="39">
        <v>42467</v>
      </c>
      <c r="B224">
        <v>40.89</v>
      </c>
      <c r="C224">
        <v>40.950000000000003</v>
      </c>
      <c r="D224">
        <v>40.590000000000003</v>
      </c>
      <c r="E224">
        <v>40.770000000000003</v>
      </c>
      <c r="F224">
        <v>1119550</v>
      </c>
    </row>
    <row r="225" spans="1:6">
      <c r="A225" s="39">
        <v>42468</v>
      </c>
      <c r="B225">
        <v>41.43</v>
      </c>
      <c r="C225">
        <v>41.49</v>
      </c>
      <c r="D225">
        <v>41.22</v>
      </c>
      <c r="E225">
        <v>41.3</v>
      </c>
      <c r="F225">
        <v>339224</v>
      </c>
    </row>
    <row r="226" spans="1:6">
      <c r="A226" s="39">
        <v>42471</v>
      </c>
      <c r="B226">
        <v>41.62</v>
      </c>
      <c r="C226">
        <v>41.81</v>
      </c>
      <c r="D226">
        <v>41.47</v>
      </c>
      <c r="E226">
        <v>41.47</v>
      </c>
      <c r="F226">
        <v>510119</v>
      </c>
    </row>
    <row r="227" spans="1:6">
      <c r="A227" s="39">
        <v>42472</v>
      </c>
      <c r="B227">
        <v>41.64</v>
      </c>
      <c r="C227">
        <v>41.9</v>
      </c>
      <c r="D227">
        <v>41.43</v>
      </c>
      <c r="E227">
        <v>41.8</v>
      </c>
      <c r="F227">
        <v>573969</v>
      </c>
    </row>
    <row r="228" spans="1:6">
      <c r="A228" s="39">
        <v>42473</v>
      </c>
      <c r="B228">
        <v>42.03</v>
      </c>
      <c r="C228">
        <v>42.25</v>
      </c>
      <c r="D228">
        <v>41.96</v>
      </c>
      <c r="E228">
        <v>42.17</v>
      </c>
      <c r="F228">
        <v>474536</v>
      </c>
    </row>
    <row r="229" spans="1:6">
      <c r="A229" s="39">
        <v>42474</v>
      </c>
      <c r="B229">
        <v>42.11</v>
      </c>
      <c r="C229">
        <v>42.11</v>
      </c>
      <c r="D229">
        <v>41.93</v>
      </c>
      <c r="E229">
        <v>41.94</v>
      </c>
      <c r="F229">
        <v>343011</v>
      </c>
    </row>
    <row r="230" spans="1:6">
      <c r="A230" s="39">
        <v>42475</v>
      </c>
      <c r="B230">
        <v>41.9</v>
      </c>
      <c r="C230">
        <v>41.93</v>
      </c>
      <c r="D230">
        <v>41.82</v>
      </c>
      <c r="E230">
        <v>41.84</v>
      </c>
      <c r="F230">
        <v>235253</v>
      </c>
    </row>
    <row r="231" spans="1:6">
      <c r="A231" s="39">
        <v>42478</v>
      </c>
      <c r="B231">
        <v>41.88</v>
      </c>
      <c r="C231">
        <v>42.19</v>
      </c>
      <c r="D231">
        <v>41.8</v>
      </c>
      <c r="E231">
        <v>42.13</v>
      </c>
      <c r="F231">
        <v>753347</v>
      </c>
    </row>
    <row r="232" spans="1:6">
      <c r="A232" s="39">
        <v>42479</v>
      </c>
      <c r="B232">
        <v>42.46</v>
      </c>
      <c r="C232">
        <v>42.52</v>
      </c>
      <c r="D232">
        <v>42.3</v>
      </c>
      <c r="E232">
        <v>42.38</v>
      </c>
      <c r="F232">
        <v>616202</v>
      </c>
    </row>
    <row r="233" spans="1:6">
      <c r="A233" s="39">
        <v>42480</v>
      </c>
      <c r="B233">
        <v>42.44</v>
      </c>
      <c r="C233">
        <v>42.6</v>
      </c>
      <c r="D233">
        <v>42.35</v>
      </c>
      <c r="E233">
        <v>42.49</v>
      </c>
      <c r="F233">
        <v>1598258</v>
      </c>
    </row>
    <row r="234" spans="1:6">
      <c r="A234" s="39">
        <v>42481</v>
      </c>
      <c r="B234">
        <v>42.2</v>
      </c>
      <c r="C234">
        <v>42.22</v>
      </c>
      <c r="D234">
        <v>41.9</v>
      </c>
      <c r="E234">
        <v>42.01</v>
      </c>
      <c r="F234">
        <v>790163</v>
      </c>
    </row>
    <row r="235" spans="1:6">
      <c r="A235" s="39">
        <v>42482</v>
      </c>
      <c r="B235">
        <v>42.05</v>
      </c>
      <c r="C235">
        <v>42.14</v>
      </c>
      <c r="D235">
        <v>41.84</v>
      </c>
      <c r="E235">
        <v>41.98</v>
      </c>
      <c r="F235">
        <v>514437</v>
      </c>
    </row>
    <row r="236" spans="1:6">
      <c r="A236" s="39">
        <v>42485</v>
      </c>
      <c r="B236">
        <v>42.33</v>
      </c>
      <c r="C236">
        <v>42.39</v>
      </c>
      <c r="D236">
        <v>42.2</v>
      </c>
      <c r="E236">
        <v>42.36</v>
      </c>
      <c r="F236">
        <v>393275</v>
      </c>
    </row>
    <row r="237" spans="1:6">
      <c r="A237" s="39">
        <v>42486</v>
      </c>
      <c r="B237">
        <v>42.69</v>
      </c>
      <c r="C237">
        <v>42.85</v>
      </c>
      <c r="D237">
        <v>42.67</v>
      </c>
      <c r="E237">
        <v>42.69</v>
      </c>
      <c r="F237">
        <v>418979</v>
      </c>
    </row>
    <row r="238" spans="1:6">
      <c r="A238" s="39">
        <v>42487</v>
      </c>
      <c r="B238">
        <v>42.49</v>
      </c>
      <c r="C238">
        <v>42.68</v>
      </c>
      <c r="D238">
        <v>42.4</v>
      </c>
      <c r="E238">
        <v>42.62</v>
      </c>
      <c r="F238">
        <v>294211</v>
      </c>
    </row>
    <row r="239" spans="1:6">
      <c r="A239" s="39">
        <v>42488</v>
      </c>
      <c r="B239">
        <v>42.36</v>
      </c>
      <c r="C239">
        <v>42.64</v>
      </c>
      <c r="D239">
        <v>42.23</v>
      </c>
      <c r="E239">
        <v>42.35</v>
      </c>
      <c r="F239">
        <v>662147</v>
      </c>
    </row>
    <row r="240" spans="1:6">
      <c r="A240" s="39">
        <v>42489</v>
      </c>
      <c r="B240">
        <v>42.4</v>
      </c>
      <c r="C240">
        <v>42.45</v>
      </c>
      <c r="D240">
        <v>42.14</v>
      </c>
      <c r="E240">
        <v>42.36</v>
      </c>
      <c r="F240">
        <v>1336268</v>
      </c>
    </row>
    <row r="241" spans="1:6">
      <c r="A241" s="39">
        <v>42492</v>
      </c>
      <c r="B241">
        <v>42.63</v>
      </c>
      <c r="C241">
        <v>42.83</v>
      </c>
      <c r="D241">
        <v>42.54</v>
      </c>
      <c r="E241">
        <v>42.73</v>
      </c>
      <c r="F241">
        <v>1208073</v>
      </c>
    </row>
    <row r="242" spans="1:6">
      <c r="A242" s="39">
        <v>42493</v>
      </c>
      <c r="B242">
        <v>42.48</v>
      </c>
      <c r="C242">
        <v>42.58</v>
      </c>
      <c r="D242">
        <v>42.2</v>
      </c>
      <c r="E242">
        <v>42.26</v>
      </c>
      <c r="F242">
        <v>716644</v>
      </c>
    </row>
    <row r="243" spans="1:6">
      <c r="A243" s="39">
        <v>42494</v>
      </c>
      <c r="B243">
        <v>41.96</v>
      </c>
      <c r="C243">
        <v>42.08</v>
      </c>
      <c r="D243">
        <v>41.9</v>
      </c>
      <c r="E243">
        <v>42.02</v>
      </c>
      <c r="F243">
        <v>748442</v>
      </c>
    </row>
    <row r="244" spans="1:6">
      <c r="A244" s="39">
        <v>42495</v>
      </c>
      <c r="B244">
        <v>42.15</v>
      </c>
      <c r="C244">
        <v>42.15</v>
      </c>
      <c r="D244">
        <v>41.9</v>
      </c>
      <c r="E244">
        <v>42.01</v>
      </c>
      <c r="F244">
        <v>518283</v>
      </c>
    </row>
    <row r="245" spans="1:6">
      <c r="A245" s="39">
        <v>42496</v>
      </c>
      <c r="B245">
        <v>41.76</v>
      </c>
      <c r="C245">
        <v>42.08</v>
      </c>
      <c r="D245">
        <v>41.76</v>
      </c>
      <c r="E245">
        <v>42.08</v>
      </c>
      <c r="F245">
        <v>734367</v>
      </c>
    </row>
    <row r="246" spans="1:6">
      <c r="A246" s="39">
        <v>42499</v>
      </c>
      <c r="B246">
        <v>42.23</v>
      </c>
      <c r="C246">
        <v>42.34</v>
      </c>
      <c r="D246">
        <v>42.05</v>
      </c>
      <c r="E246">
        <v>42.11</v>
      </c>
      <c r="F246">
        <v>712581</v>
      </c>
    </row>
    <row r="247" spans="1:6">
      <c r="A247" s="39">
        <v>42500</v>
      </c>
      <c r="B247">
        <v>42.36</v>
      </c>
      <c r="C247">
        <v>42.64</v>
      </c>
      <c r="D247">
        <v>42.36</v>
      </c>
      <c r="E247">
        <v>42.62</v>
      </c>
      <c r="F247">
        <v>441261</v>
      </c>
    </row>
    <row r="248" spans="1:6">
      <c r="A248" s="39">
        <v>42501</v>
      </c>
      <c r="B248">
        <v>42.21</v>
      </c>
      <c r="C248">
        <v>42.32</v>
      </c>
      <c r="D248">
        <v>42.1</v>
      </c>
      <c r="E248">
        <v>42.13</v>
      </c>
      <c r="F248">
        <v>308625</v>
      </c>
    </row>
    <row r="249" spans="1:6">
      <c r="A249" s="39">
        <v>42502</v>
      </c>
      <c r="B249">
        <v>42.15</v>
      </c>
      <c r="C249">
        <v>42.15</v>
      </c>
      <c r="D249">
        <v>41.72</v>
      </c>
      <c r="E249">
        <v>41.87</v>
      </c>
      <c r="F249">
        <v>374329</v>
      </c>
    </row>
    <row r="250" spans="1:6">
      <c r="A250" s="39">
        <v>42503</v>
      </c>
      <c r="B250">
        <v>41.59</v>
      </c>
      <c r="C250">
        <v>41.68</v>
      </c>
      <c r="D250">
        <v>41.36</v>
      </c>
      <c r="E250">
        <v>41.45</v>
      </c>
      <c r="F250">
        <v>1052332</v>
      </c>
    </row>
    <row r="251" spans="1:6">
      <c r="A251" s="39">
        <v>42506</v>
      </c>
      <c r="B251">
        <v>41.63</v>
      </c>
      <c r="C251">
        <v>42</v>
      </c>
      <c r="D251">
        <v>41.46</v>
      </c>
      <c r="E251">
        <v>41.96</v>
      </c>
      <c r="F251">
        <v>482654</v>
      </c>
    </row>
    <row r="252" spans="1:6">
      <c r="A252" s="39">
        <v>42507</v>
      </c>
      <c r="B252">
        <v>42.23</v>
      </c>
      <c r="C252">
        <v>42.23</v>
      </c>
      <c r="D252">
        <v>41.79</v>
      </c>
      <c r="E252">
        <v>41.89</v>
      </c>
      <c r="F252">
        <v>356070</v>
      </c>
    </row>
    <row r="253" spans="1:6">
      <c r="A253" s="39">
        <v>42508</v>
      </c>
      <c r="B253">
        <v>41.83</v>
      </c>
      <c r="C253">
        <v>42.1</v>
      </c>
      <c r="D253">
        <v>41.56</v>
      </c>
      <c r="E253">
        <v>41.72</v>
      </c>
      <c r="F253">
        <v>407187</v>
      </c>
    </row>
    <row r="254" spans="1:6">
      <c r="A254" s="39">
        <v>42509</v>
      </c>
      <c r="B254">
        <v>41.27</v>
      </c>
      <c r="C254">
        <v>41.33</v>
      </c>
      <c r="D254">
        <v>41.08</v>
      </c>
      <c r="E254">
        <v>41.28</v>
      </c>
      <c r="F254">
        <v>242886</v>
      </c>
    </row>
    <row r="255" spans="1:6">
      <c r="A255" s="39">
        <v>42510</v>
      </c>
      <c r="B255">
        <v>41.56</v>
      </c>
      <c r="C255">
        <v>41.62</v>
      </c>
      <c r="D255">
        <v>41.45</v>
      </c>
      <c r="E255">
        <v>41.46</v>
      </c>
      <c r="F255">
        <v>614109</v>
      </c>
    </row>
    <row r="256" spans="1:6">
      <c r="A256" s="39">
        <v>42513</v>
      </c>
      <c r="B256">
        <v>41.35</v>
      </c>
      <c r="C256">
        <v>41.57</v>
      </c>
      <c r="D256">
        <v>41.35</v>
      </c>
      <c r="E256">
        <v>41.45</v>
      </c>
      <c r="F256">
        <v>394187</v>
      </c>
    </row>
    <row r="257" spans="1:6">
      <c r="A257" s="39">
        <v>42514</v>
      </c>
      <c r="B257">
        <v>41.75</v>
      </c>
      <c r="C257">
        <v>42.04</v>
      </c>
      <c r="D257">
        <v>41.67</v>
      </c>
      <c r="E257">
        <v>41.97</v>
      </c>
      <c r="F257">
        <v>390159</v>
      </c>
    </row>
    <row r="258" spans="1:6">
      <c r="A258" s="39">
        <v>42515</v>
      </c>
      <c r="B258">
        <v>41.85</v>
      </c>
      <c r="C258">
        <v>42.26</v>
      </c>
      <c r="D258">
        <v>41.85</v>
      </c>
      <c r="E258">
        <v>42.1</v>
      </c>
      <c r="F258">
        <v>396542</v>
      </c>
    </row>
    <row r="259" spans="1:6">
      <c r="A259" s="39">
        <v>42516</v>
      </c>
      <c r="B259">
        <v>42.17</v>
      </c>
      <c r="C259">
        <v>42.2</v>
      </c>
      <c r="D259">
        <v>42.02</v>
      </c>
      <c r="E259">
        <v>42.1</v>
      </c>
      <c r="F259">
        <v>408018</v>
      </c>
    </row>
    <row r="260" spans="1:6">
      <c r="A260" s="39">
        <v>42517</v>
      </c>
      <c r="B260">
        <v>41.99</v>
      </c>
      <c r="C260">
        <v>42.15</v>
      </c>
      <c r="D260">
        <v>41.99</v>
      </c>
      <c r="E260">
        <v>42.05</v>
      </c>
      <c r="F260">
        <v>233408</v>
      </c>
    </row>
    <row r="261" spans="1:6">
      <c r="A261" s="39">
        <v>42521</v>
      </c>
      <c r="B261">
        <v>42.13</v>
      </c>
      <c r="C261">
        <v>42.13</v>
      </c>
      <c r="D261">
        <v>41.64</v>
      </c>
      <c r="E261">
        <v>41.72</v>
      </c>
      <c r="F261">
        <v>719309</v>
      </c>
    </row>
    <row r="262" spans="1:6">
      <c r="A262" s="39">
        <v>42522</v>
      </c>
      <c r="B262">
        <v>41.63</v>
      </c>
      <c r="C262">
        <v>41.8</v>
      </c>
      <c r="D262">
        <v>41.55</v>
      </c>
      <c r="E262">
        <v>41.78</v>
      </c>
      <c r="F262">
        <v>1505610</v>
      </c>
    </row>
    <row r="263" spans="1:6">
      <c r="A263" s="39">
        <v>42523</v>
      </c>
      <c r="B263">
        <v>41.49</v>
      </c>
      <c r="C263">
        <v>41.75</v>
      </c>
      <c r="D263">
        <v>41.49</v>
      </c>
      <c r="E263">
        <v>41.74</v>
      </c>
      <c r="F263">
        <v>528710</v>
      </c>
    </row>
    <row r="264" spans="1:6">
      <c r="A264" s="39">
        <v>42524</v>
      </c>
      <c r="B264">
        <v>42.07</v>
      </c>
      <c r="C264">
        <v>42.48</v>
      </c>
      <c r="D264">
        <v>42.07</v>
      </c>
      <c r="E264">
        <v>42.42</v>
      </c>
      <c r="F264">
        <v>477288</v>
      </c>
    </row>
    <row r="265" spans="1:6">
      <c r="A265" s="39">
        <v>42527</v>
      </c>
      <c r="B265">
        <v>42.56</v>
      </c>
      <c r="C265">
        <v>42.78</v>
      </c>
      <c r="D265">
        <v>42.56</v>
      </c>
      <c r="E265">
        <v>42.7</v>
      </c>
      <c r="F265">
        <v>337960</v>
      </c>
    </row>
    <row r="266" spans="1:6">
      <c r="A266" s="39">
        <v>42528</v>
      </c>
      <c r="B266">
        <v>42.79</v>
      </c>
      <c r="C266">
        <v>42.99</v>
      </c>
      <c r="D266">
        <v>42.79</v>
      </c>
      <c r="E266">
        <v>42.91</v>
      </c>
      <c r="F266">
        <v>223804</v>
      </c>
    </row>
    <row r="267" spans="1:6">
      <c r="A267" s="39">
        <v>42529</v>
      </c>
      <c r="B267">
        <v>43.12</v>
      </c>
      <c r="C267">
        <v>43.14</v>
      </c>
      <c r="D267">
        <v>43.01</v>
      </c>
      <c r="E267">
        <v>43.11</v>
      </c>
      <c r="F267">
        <v>722581</v>
      </c>
    </row>
    <row r="268" spans="1:6">
      <c r="A268" s="39">
        <v>42530</v>
      </c>
      <c r="B268">
        <v>42.91</v>
      </c>
      <c r="C268">
        <v>42.98</v>
      </c>
      <c r="D268">
        <v>42.8</v>
      </c>
      <c r="E268">
        <v>42.96</v>
      </c>
      <c r="F268">
        <v>828599</v>
      </c>
    </row>
    <row r="269" spans="1:6">
      <c r="A269" s="39">
        <v>42531</v>
      </c>
      <c r="B269">
        <v>42.51</v>
      </c>
      <c r="C269">
        <v>42.54</v>
      </c>
      <c r="D269">
        <v>42.03</v>
      </c>
      <c r="E269">
        <v>42.15</v>
      </c>
      <c r="F269">
        <v>375061</v>
      </c>
    </row>
    <row r="270" spans="1:6">
      <c r="A270" s="39">
        <v>42534</v>
      </c>
      <c r="B270">
        <v>41.83</v>
      </c>
      <c r="C270">
        <v>42.07</v>
      </c>
      <c r="D270">
        <v>41.67</v>
      </c>
      <c r="E270">
        <v>41.74</v>
      </c>
      <c r="F270">
        <v>556884</v>
      </c>
    </row>
    <row r="271" spans="1:6">
      <c r="A271" s="39">
        <v>42535</v>
      </c>
      <c r="B271">
        <v>41.41</v>
      </c>
      <c r="C271">
        <v>41.41</v>
      </c>
      <c r="D271">
        <v>41.04</v>
      </c>
      <c r="E271">
        <v>41.2</v>
      </c>
      <c r="F271">
        <v>367889</v>
      </c>
    </row>
    <row r="272" spans="1:6">
      <c r="A272" s="39">
        <v>42536</v>
      </c>
      <c r="B272">
        <v>41.46</v>
      </c>
      <c r="C272">
        <v>41.61</v>
      </c>
      <c r="D272">
        <v>41.31</v>
      </c>
      <c r="E272">
        <v>41.34</v>
      </c>
      <c r="F272">
        <v>957594</v>
      </c>
    </row>
    <row r="273" spans="1:6">
      <c r="A273" s="39">
        <v>42537</v>
      </c>
      <c r="B273">
        <v>40.909999999999997</v>
      </c>
      <c r="C273">
        <v>41.32</v>
      </c>
      <c r="D273">
        <v>40.6</v>
      </c>
      <c r="E273">
        <v>41.31</v>
      </c>
      <c r="F273">
        <v>626576</v>
      </c>
    </row>
    <row r="274" spans="1:6">
      <c r="A274" s="39">
        <v>42538</v>
      </c>
      <c r="B274">
        <v>40.96</v>
      </c>
      <c r="C274">
        <v>41.21</v>
      </c>
      <c r="D274">
        <v>40.840000000000003</v>
      </c>
      <c r="E274">
        <v>41.12</v>
      </c>
      <c r="F274">
        <v>383169</v>
      </c>
    </row>
    <row r="275" spans="1:6">
      <c r="A275" s="39">
        <v>42541</v>
      </c>
      <c r="B275">
        <v>42.25</v>
      </c>
      <c r="C275">
        <v>42.32</v>
      </c>
      <c r="D275">
        <v>42.11</v>
      </c>
      <c r="E275">
        <v>42.14</v>
      </c>
      <c r="F275">
        <v>563072</v>
      </c>
    </row>
    <row r="276" spans="1:6">
      <c r="A276" s="39">
        <v>42542</v>
      </c>
      <c r="B276">
        <v>42.45</v>
      </c>
      <c r="C276">
        <v>42.7</v>
      </c>
      <c r="D276">
        <v>42.34</v>
      </c>
      <c r="E276">
        <v>42.47</v>
      </c>
      <c r="F276">
        <v>577844</v>
      </c>
    </row>
    <row r="277" spans="1:6">
      <c r="A277" s="39">
        <v>42543</v>
      </c>
      <c r="B277">
        <v>42.37</v>
      </c>
      <c r="C277">
        <v>42.59</v>
      </c>
      <c r="D277">
        <v>42.31</v>
      </c>
      <c r="E277">
        <v>42.34</v>
      </c>
      <c r="F277">
        <v>1156576</v>
      </c>
    </row>
    <row r="278" spans="1:6">
      <c r="A278" s="39">
        <v>42544</v>
      </c>
      <c r="B278">
        <v>42.89</v>
      </c>
      <c r="C278">
        <v>43.11</v>
      </c>
      <c r="D278">
        <v>42.68</v>
      </c>
      <c r="E278">
        <v>43.08</v>
      </c>
      <c r="F278">
        <v>475309</v>
      </c>
    </row>
    <row r="279" spans="1:6">
      <c r="A279" s="39">
        <v>42545</v>
      </c>
      <c r="B279">
        <v>39.86</v>
      </c>
      <c r="C279">
        <v>40.58</v>
      </c>
      <c r="D279">
        <v>39.79</v>
      </c>
      <c r="E279">
        <v>39.92</v>
      </c>
      <c r="F279">
        <v>1359175</v>
      </c>
    </row>
    <row r="280" spans="1:6">
      <c r="A280" s="39">
        <v>42548</v>
      </c>
      <c r="B280">
        <v>39.25</v>
      </c>
      <c r="C280">
        <v>39.4</v>
      </c>
      <c r="D280">
        <v>38.67</v>
      </c>
      <c r="E280">
        <v>39</v>
      </c>
      <c r="F280">
        <v>1327528</v>
      </c>
    </row>
    <row r="281" spans="1:6">
      <c r="A281" s="39">
        <v>42549</v>
      </c>
      <c r="B281">
        <v>40.19</v>
      </c>
      <c r="C281">
        <v>40.409999999999997</v>
      </c>
      <c r="D281">
        <v>40.03</v>
      </c>
      <c r="E281">
        <v>40.4</v>
      </c>
      <c r="F281">
        <v>971899</v>
      </c>
    </row>
    <row r="282" spans="1:6">
      <c r="A282" s="39">
        <v>42550</v>
      </c>
      <c r="B282">
        <v>40.93</v>
      </c>
      <c r="C282">
        <v>41.15</v>
      </c>
      <c r="D282">
        <v>40.92</v>
      </c>
      <c r="E282">
        <v>41.11</v>
      </c>
      <c r="F282">
        <v>506241</v>
      </c>
    </row>
    <row r="283" spans="1:6">
      <c r="A283" s="39">
        <v>42551</v>
      </c>
      <c r="B283">
        <v>41.13</v>
      </c>
      <c r="C283">
        <v>41.46</v>
      </c>
      <c r="D283">
        <v>41.06</v>
      </c>
      <c r="E283">
        <v>41.45</v>
      </c>
      <c r="F283">
        <v>695796</v>
      </c>
    </row>
    <row r="284" spans="1:6">
      <c r="A284" s="39">
        <v>42552</v>
      </c>
      <c r="B284">
        <v>41.39</v>
      </c>
      <c r="C284">
        <v>41.56</v>
      </c>
      <c r="D284">
        <v>41.22</v>
      </c>
      <c r="E284">
        <v>41.47</v>
      </c>
      <c r="F284">
        <v>522038</v>
      </c>
    </row>
    <row r="285" spans="1:6">
      <c r="A285" s="39">
        <v>42556</v>
      </c>
      <c r="B285">
        <v>40.729999999999997</v>
      </c>
      <c r="C285">
        <v>40.92</v>
      </c>
      <c r="D285">
        <v>40.49</v>
      </c>
      <c r="E285">
        <v>40.57</v>
      </c>
      <c r="F285">
        <v>897792</v>
      </c>
    </row>
    <row r="286" spans="1:6">
      <c r="A286" s="39">
        <v>42557</v>
      </c>
      <c r="B286">
        <v>40.22</v>
      </c>
      <c r="C286">
        <v>40.520000000000003</v>
      </c>
      <c r="D286">
        <v>40.03</v>
      </c>
      <c r="E286">
        <v>40.51</v>
      </c>
      <c r="F286">
        <v>983822</v>
      </c>
    </row>
    <row r="287" spans="1:6">
      <c r="A287" s="39">
        <v>42558</v>
      </c>
      <c r="B287">
        <v>40.58</v>
      </c>
      <c r="C287">
        <v>40.74</v>
      </c>
      <c r="D287">
        <v>40.36</v>
      </c>
      <c r="E287">
        <v>40.4</v>
      </c>
      <c r="F287">
        <v>1191328</v>
      </c>
    </row>
    <row r="288" spans="1:6">
      <c r="A288" s="39">
        <v>42559</v>
      </c>
      <c r="B288">
        <v>40.81</v>
      </c>
      <c r="C288">
        <v>41.12</v>
      </c>
      <c r="D288">
        <v>40.79</v>
      </c>
      <c r="E288">
        <v>41.08</v>
      </c>
      <c r="F288">
        <v>592110</v>
      </c>
    </row>
    <row r="289" spans="1:6">
      <c r="A289" s="39">
        <v>42562</v>
      </c>
      <c r="B289">
        <v>41.53</v>
      </c>
      <c r="C289">
        <v>41.74</v>
      </c>
      <c r="D289">
        <v>41.53</v>
      </c>
      <c r="E289">
        <v>41.62</v>
      </c>
      <c r="F289">
        <v>485429</v>
      </c>
    </row>
    <row r="290" spans="1:6">
      <c r="A290" s="39">
        <v>42563</v>
      </c>
      <c r="B290">
        <v>42.01</v>
      </c>
      <c r="C290">
        <v>42.2</v>
      </c>
      <c r="D290">
        <v>41.94</v>
      </c>
      <c r="E290">
        <v>42.01</v>
      </c>
      <c r="F290">
        <v>544854</v>
      </c>
    </row>
    <row r="291" spans="1:6">
      <c r="A291" s="39">
        <v>42564</v>
      </c>
      <c r="B291">
        <v>42</v>
      </c>
      <c r="C291">
        <v>42.08</v>
      </c>
      <c r="D291">
        <v>41.87</v>
      </c>
      <c r="E291">
        <v>41.92</v>
      </c>
      <c r="F291">
        <v>533066</v>
      </c>
    </row>
    <row r="292" spans="1:6">
      <c r="A292" s="39">
        <v>42565</v>
      </c>
      <c r="B292">
        <v>42.06</v>
      </c>
      <c r="C292">
        <v>42.26</v>
      </c>
      <c r="D292">
        <v>42.06</v>
      </c>
      <c r="E292">
        <v>42.18</v>
      </c>
      <c r="F292">
        <v>338752</v>
      </c>
    </row>
    <row r="293" spans="1:6">
      <c r="A293" s="39">
        <v>42566</v>
      </c>
      <c r="B293">
        <v>41.78</v>
      </c>
      <c r="C293">
        <v>41.78</v>
      </c>
      <c r="D293">
        <v>41.6</v>
      </c>
      <c r="E293">
        <v>41.71</v>
      </c>
      <c r="F293">
        <v>514256</v>
      </c>
    </row>
    <row r="294" spans="1:6">
      <c r="A294" s="39">
        <v>42569</v>
      </c>
      <c r="B294">
        <v>41.79</v>
      </c>
      <c r="C294">
        <v>41.9</v>
      </c>
      <c r="D294">
        <v>41.7</v>
      </c>
      <c r="E294">
        <v>41.84</v>
      </c>
      <c r="F294">
        <v>339891</v>
      </c>
    </row>
    <row r="295" spans="1:6">
      <c r="A295" s="39">
        <v>42570</v>
      </c>
      <c r="B295">
        <v>41.68</v>
      </c>
      <c r="C295">
        <v>41.73</v>
      </c>
      <c r="D295">
        <v>41.62</v>
      </c>
      <c r="E295">
        <v>41.72</v>
      </c>
      <c r="F295">
        <v>239172</v>
      </c>
    </row>
    <row r="296" spans="1:6">
      <c r="A296" s="39">
        <v>42571</v>
      </c>
      <c r="B296">
        <v>42.14</v>
      </c>
      <c r="C296">
        <v>42.24</v>
      </c>
      <c r="D296">
        <v>42.07</v>
      </c>
      <c r="E296">
        <v>42.16</v>
      </c>
      <c r="F296">
        <v>267895</v>
      </c>
    </row>
    <row r="297" spans="1:6">
      <c r="A297" s="39">
        <v>42572</v>
      </c>
      <c r="B297">
        <v>42.07</v>
      </c>
      <c r="C297">
        <v>42.19</v>
      </c>
      <c r="D297">
        <v>41.96</v>
      </c>
      <c r="E297">
        <v>42.08</v>
      </c>
      <c r="F297">
        <v>1063848</v>
      </c>
    </row>
    <row r="298" spans="1:6">
      <c r="A298" s="39">
        <v>42573</v>
      </c>
      <c r="B298">
        <v>42.07</v>
      </c>
      <c r="C298">
        <v>42.13</v>
      </c>
      <c r="D298">
        <v>41.99</v>
      </c>
      <c r="E298">
        <v>42.05</v>
      </c>
      <c r="F298">
        <v>325435</v>
      </c>
    </row>
    <row r="299" spans="1:6">
      <c r="A299" s="39">
        <v>42576</v>
      </c>
      <c r="B299">
        <v>42.16</v>
      </c>
      <c r="C299">
        <v>42.2</v>
      </c>
      <c r="D299">
        <v>42.06</v>
      </c>
      <c r="E299">
        <v>42.2</v>
      </c>
      <c r="F299">
        <v>268681</v>
      </c>
    </row>
    <row r="300" spans="1:6">
      <c r="A300" s="39">
        <v>42577</v>
      </c>
      <c r="B300">
        <v>42.52</v>
      </c>
      <c r="C300">
        <v>42.59</v>
      </c>
      <c r="D300">
        <v>42.33</v>
      </c>
      <c r="E300">
        <v>42.43</v>
      </c>
      <c r="F300">
        <v>339088</v>
      </c>
    </row>
    <row r="301" spans="1:6">
      <c r="A301" s="39">
        <v>42578</v>
      </c>
      <c r="B301">
        <v>42.37</v>
      </c>
      <c r="C301">
        <v>42.49</v>
      </c>
      <c r="D301">
        <v>42.06</v>
      </c>
      <c r="E301">
        <v>42.42</v>
      </c>
      <c r="F301">
        <v>441030</v>
      </c>
    </row>
    <row r="302" spans="1:6">
      <c r="A302" s="39">
        <v>42579</v>
      </c>
      <c r="B302">
        <v>42.6</v>
      </c>
      <c r="C302">
        <v>42.67</v>
      </c>
      <c r="D302">
        <v>42.5</v>
      </c>
      <c r="E302">
        <v>42.63</v>
      </c>
      <c r="F302">
        <v>496513</v>
      </c>
    </row>
    <row r="303" spans="1:6">
      <c r="A303" s="39">
        <v>42580</v>
      </c>
      <c r="B303">
        <v>42.73</v>
      </c>
      <c r="C303">
        <v>42.97</v>
      </c>
      <c r="D303">
        <v>42.64</v>
      </c>
      <c r="E303">
        <v>42.92</v>
      </c>
      <c r="F303">
        <v>518852</v>
      </c>
    </row>
    <row r="304" spans="1:6">
      <c r="A304" s="39">
        <v>42583</v>
      </c>
      <c r="B304">
        <v>42.86</v>
      </c>
      <c r="C304">
        <v>42.86</v>
      </c>
      <c r="D304">
        <v>42.63</v>
      </c>
      <c r="E304">
        <v>42.67</v>
      </c>
      <c r="F304">
        <v>426380</v>
      </c>
    </row>
    <row r="305" spans="1:6">
      <c r="A305" s="39">
        <v>42584</v>
      </c>
      <c r="B305">
        <v>42.7</v>
      </c>
      <c r="C305">
        <v>42.73</v>
      </c>
      <c r="D305">
        <v>42.47</v>
      </c>
      <c r="E305">
        <v>42.63</v>
      </c>
      <c r="F305">
        <v>477058</v>
      </c>
    </row>
    <row r="306" spans="1:6">
      <c r="A306" s="39">
        <v>42585</v>
      </c>
      <c r="B306">
        <v>42.15</v>
      </c>
      <c r="C306">
        <v>42.28</v>
      </c>
      <c r="D306">
        <v>42.08</v>
      </c>
      <c r="E306">
        <v>42.28</v>
      </c>
      <c r="F306">
        <v>562172</v>
      </c>
    </row>
    <row r="307" spans="1:6">
      <c r="A307" s="39">
        <v>42586</v>
      </c>
      <c r="B307">
        <v>42.43</v>
      </c>
      <c r="C307">
        <v>42.64</v>
      </c>
      <c r="D307">
        <v>42.43</v>
      </c>
      <c r="E307">
        <v>42.58</v>
      </c>
      <c r="F307">
        <v>482679</v>
      </c>
    </row>
    <row r="308" spans="1:6">
      <c r="A308" s="39">
        <v>42587</v>
      </c>
      <c r="B308">
        <v>42.65</v>
      </c>
      <c r="C308">
        <v>42.71</v>
      </c>
      <c r="D308">
        <v>42.56</v>
      </c>
      <c r="E308">
        <v>42.68</v>
      </c>
      <c r="F308">
        <v>391466</v>
      </c>
    </row>
    <row r="309" spans="1:6">
      <c r="A309" s="39">
        <v>42590</v>
      </c>
      <c r="B309">
        <v>42.71</v>
      </c>
      <c r="C309">
        <v>42.78</v>
      </c>
      <c r="D309">
        <v>42.61</v>
      </c>
      <c r="E309">
        <v>42.78</v>
      </c>
      <c r="F309">
        <v>1109681</v>
      </c>
    </row>
    <row r="310" spans="1:6">
      <c r="A310" s="39">
        <v>42591</v>
      </c>
      <c r="B310">
        <v>42.55</v>
      </c>
      <c r="C310">
        <v>42.82</v>
      </c>
      <c r="D310">
        <v>42.55</v>
      </c>
      <c r="E310">
        <v>42.68</v>
      </c>
      <c r="F310">
        <v>537380</v>
      </c>
    </row>
    <row r="311" spans="1:6">
      <c r="A311" s="39">
        <v>42592</v>
      </c>
      <c r="B311">
        <v>42.97</v>
      </c>
      <c r="C311">
        <v>43.06</v>
      </c>
      <c r="D311">
        <v>42.86</v>
      </c>
      <c r="E311">
        <v>42.86</v>
      </c>
      <c r="F311">
        <v>522354</v>
      </c>
    </row>
    <row r="312" spans="1:6">
      <c r="A312" s="39">
        <v>42593</v>
      </c>
      <c r="B312">
        <v>42.86</v>
      </c>
      <c r="C312">
        <v>42.94</v>
      </c>
      <c r="D312">
        <v>42.83</v>
      </c>
      <c r="E312">
        <v>42.87</v>
      </c>
      <c r="F312">
        <v>290517</v>
      </c>
    </row>
    <row r="313" spans="1:6">
      <c r="A313" s="39">
        <v>42594</v>
      </c>
      <c r="B313">
        <v>42.89</v>
      </c>
      <c r="C313">
        <v>42.92</v>
      </c>
      <c r="D313">
        <v>42.71</v>
      </c>
      <c r="E313">
        <v>42.79</v>
      </c>
      <c r="F313">
        <v>349322</v>
      </c>
    </row>
    <row r="314" spans="1:6">
      <c r="A314" s="39">
        <v>42597</v>
      </c>
      <c r="B314">
        <v>42.95</v>
      </c>
      <c r="C314">
        <v>43.09</v>
      </c>
      <c r="D314">
        <v>42.95</v>
      </c>
      <c r="E314">
        <v>42.96</v>
      </c>
      <c r="F314">
        <v>383555</v>
      </c>
    </row>
    <row r="315" spans="1:6">
      <c r="A315" s="39">
        <v>42598</v>
      </c>
      <c r="B315">
        <v>42.92</v>
      </c>
      <c r="C315">
        <v>42.93</v>
      </c>
      <c r="D315">
        <v>42.78</v>
      </c>
      <c r="E315">
        <v>42.85</v>
      </c>
      <c r="F315">
        <v>210477</v>
      </c>
    </row>
    <row r="316" spans="1:6">
      <c r="A316" s="39">
        <v>42599</v>
      </c>
      <c r="B316">
        <v>42.69</v>
      </c>
      <c r="C316">
        <v>42.93</v>
      </c>
      <c r="D316">
        <v>42.56</v>
      </c>
      <c r="E316">
        <v>42.84</v>
      </c>
      <c r="F316">
        <v>216867</v>
      </c>
    </row>
    <row r="317" spans="1:6">
      <c r="A317" s="39">
        <v>42600</v>
      </c>
      <c r="B317">
        <v>42.84</v>
      </c>
      <c r="C317">
        <v>43.01</v>
      </c>
      <c r="D317">
        <v>42.81</v>
      </c>
      <c r="E317">
        <v>43</v>
      </c>
      <c r="F317">
        <v>486239</v>
      </c>
    </row>
    <row r="318" spans="1:6">
      <c r="A318" s="39">
        <v>42601</v>
      </c>
      <c r="B318">
        <v>42.55</v>
      </c>
      <c r="C318">
        <v>42.7</v>
      </c>
      <c r="D318">
        <v>42.47</v>
      </c>
      <c r="E318">
        <v>42.7</v>
      </c>
      <c r="F318">
        <v>254413</v>
      </c>
    </row>
    <row r="319" spans="1:6">
      <c r="A319" s="39">
        <v>42604</v>
      </c>
      <c r="B319">
        <v>42.49</v>
      </c>
      <c r="C319">
        <v>42.67</v>
      </c>
      <c r="D319">
        <v>42.41</v>
      </c>
      <c r="E319">
        <v>42.61</v>
      </c>
      <c r="F319">
        <v>1292349</v>
      </c>
    </row>
    <row r="320" spans="1:6">
      <c r="A320" s="39">
        <v>42605</v>
      </c>
      <c r="B320">
        <v>43.08</v>
      </c>
      <c r="C320">
        <v>43.15</v>
      </c>
      <c r="D320">
        <v>42.89</v>
      </c>
      <c r="E320">
        <v>42.89</v>
      </c>
      <c r="F320">
        <v>2311015</v>
      </c>
    </row>
    <row r="321" spans="1:6">
      <c r="A321" s="39">
        <v>42606</v>
      </c>
      <c r="B321">
        <v>42.88</v>
      </c>
      <c r="C321">
        <v>42.88</v>
      </c>
      <c r="D321">
        <v>42.71</v>
      </c>
      <c r="E321">
        <v>42.73</v>
      </c>
      <c r="F321">
        <v>1576237</v>
      </c>
    </row>
    <row r="322" spans="1:6">
      <c r="A322" s="39">
        <v>42607</v>
      </c>
      <c r="B322">
        <v>42.71</v>
      </c>
      <c r="C322">
        <v>42.81</v>
      </c>
      <c r="D322">
        <v>42.71</v>
      </c>
      <c r="E322">
        <v>42.75</v>
      </c>
      <c r="F322">
        <v>553069</v>
      </c>
    </row>
    <row r="323" spans="1:6">
      <c r="A323" s="39">
        <v>42608</v>
      </c>
      <c r="B323">
        <v>42.77</v>
      </c>
      <c r="C323">
        <v>43.03</v>
      </c>
      <c r="D323">
        <v>42.14</v>
      </c>
      <c r="E323">
        <v>42.27</v>
      </c>
      <c r="F323">
        <v>743069</v>
      </c>
    </row>
    <row r="324" spans="1:6">
      <c r="A324" s="39">
        <v>42611</v>
      </c>
      <c r="B324">
        <v>42.15</v>
      </c>
      <c r="C324">
        <v>42.32</v>
      </c>
      <c r="D324">
        <v>42.13</v>
      </c>
      <c r="E324">
        <v>42.3</v>
      </c>
      <c r="F324">
        <v>299181</v>
      </c>
    </row>
    <row r="325" spans="1:6">
      <c r="A325" s="39">
        <v>42612</v>
      </c>
      <c r="B325">
        <v>42.16</v>
      </c>
      <c r="C325">
        <v>42.28</v>
      </c>
      <c r="D325">
        <v>42.04</v>
      </c>
      <c r="E325">
        <v>42.08</v>
      </c>
      <c r="F325">
        <v>370865</v>
      </c>
    </row>
    <row r="326" spans="1:6">
      <c r="A326" s="39">
        <v>42613</v>
      </c>
      <c r="B326">
        <v>42.01</v>
      </c>
      <c r="C326">
        <v>42.09</v>
      </c>
      <c r="D326">
        <v>41.9</v>
      </c>
      <c r="E326">
        <v>42.01</v>
      </c>
      <c r="F326">
        <v>532136</v>
      </c>
    </row>
    <row r="327" spans="1:6">
      <c r="A327" s="39">
        <v>42614</v>
      </c>
      <c r="B327">
        <v>42.15</v>
      </c>
      <c r="C327">
        <v>42.4</v>
      </c>
      <c r="D327">
        <v>42.15</v>
      </c>
      <c r="E327">
        <v>42.4</v>
      </c>
      <c r="F327">
        <v>322092</v>
      </c>
    </row>
    <row r="328" spans="1:6">
      <c r="A328" s="39">
        <v>42615</v>
      </c>
      <c r="B328">
        <v>42.57</v>
      </c>
      <c r="C328">
        <v>42.58</v>
      </c>
      <c r="D328">
        <v>42.37</v>
      </c>
      <c r="E328">
        <v>42.45</v>
      </c>
      <c r="F328">
        <v>298975</v>
      </c>
    </row>
    <row r="329" spans="1:6">
      <c r="A329" s="39">
        <v>42619</v>
      </c>
      <c r="B329">
        <v>42.67</v>
      </c>
      <c r="C329">
        <v>43.1</v>
      </c>
      <c r="D329">
        <v>42.67</v>
      </c>
      <c r="E329">
        <v>43.08</v>
      </c>
      <c r="F329">
        <v>596444</v>
      </c>
    </row>
    <row r="330" spans="1:6">
      <c r="A330" s="39">
        <v>42620</v>
      </c>
      <c r="B330">
        <v>43.15</v>
      </c>
      <c r="C330">
        <v>43.15</v>
      </c>
      <c r="D330">
        <v>42.78</v>
      </c>
      <c r="E330">
        <v>42.83</v>
      </c>
      <c r="F330">
        <v>464541</v>
      </c>
    </row>
    <row r="331" spans="1:6">
      <c r="A331" s="39">
        <v>42621</v>
      </c>
      <c r="B331">
        <v>42.89</v>
      </c>
      <c r="C331">
        <v>42.97</v>
      </c>
      <c r="D331">
        <v>42.72</v>
      </c>
      <c r="E331">
        <v>42.72</v>
      </c>
      <c r="F331">
        <v>1412854</v>
      </c>
    </row>
    <row r="332" spans="1:6">
      <c r="A332" s="39">
        <v>42622</v>
      </c>
      <c r="B332">
        <v>42.13</v>
      </c>
      <c r="C332">
        <v>42.21</v>
      </c>
      <c r="D332">
        <v>41.63</v>
      </c>
      <c r="E332">
        <v>41.63</v>
      </c>
      <c r="F332">
        <v>568090</v>
      </c>
    </row>
    <row r="333" spans="1:6">
      <c r="A333" s="39">
        <v>42625</v>
      </c>
      <c r="B333">
        <v>41.27</v>
      </c>
      <c r="C333">
        <v>41.88</v>
      </c>
      <c r="D333">
        <v>41.25</v>
      </c>
      <c r="E333">
        <v>41.83</v>
      </c>
      <c r="F333">
        <v>560382</v>
      </c>
    </row>
    <row r="334" spans="1:6">
      <c r="A334" s="39">
        <v>42626</v>
      </c>
      <c r="B334">
        <v>41.31</v>
      </c>
      <c r="C334">
        <v>41.36</v>
      </c>
      <c r="D334">
        <v>40.83</v>
      </c>
      <c r="E334">
        <v>40.96</v>
      </c>
      <c r="F334">
        <v>629116</v>
      </c>
    </row>
    <row r="335" spans="1:6">
      <c r="A335" s="39">
        <v>42627</v>
      </c>
      <c r="B335">
        <v>40.93</v>
      </c>
      <c r="C335">
        <v>41.11</v>
      </c>
      <c r="D335">
        <v>40.85</v>
      </c>
      <c r="E335">
        <v>40.89</v>
      </c>
      <c r="F335">
        <v>411882</v>
      </c>
    </row>
    <row r="336" spans="1:6">
      <c r="A336" s="39">
        <v>42628</v>
      </c>
      <c r="B336">
        <v>40.85</v>
      </c>
      <c r="C336">
        <v>41.22</v>
      </c>
      <c r="D336">
        <v>40.78</v>
      </c>
      <c r="E336">
        <v>41.14</v>
      </c>
      <c r="F336">
        <v>367576</v>
      </c>
    </row>
    <row r="337" spans="1:6">
      <c r="A337" s="39">
        <v>42629</v>
      </c>
      <c r="B337">
        <v>40.29</v>
      </c>
      <c r="C337">
        <v>40.43</v>
      </c>
      <c r="D337">
        <v>40.25</v>
      </c>
      <c r="E337">
        <v>40.33</v>
      </c>
      <c r="F337">
        <v>469333</v>
      </c>
    </row>
    <row r="338" spans="1:6">
      <c r="A338" s="39">
        <v>42632</v>
      </c>
      <c r="B338">
        <v>40.67</v>
      </c>
      <c r="C338">
        <v>40.82</v>
      </c>
      <c r="D338">
        <v>40.6</v>
      </c>
      <c r="E338">
        <v>40.65</v>
      </c>
      <c r="F338">
        <v>333299</v>
      </c>
    </row>
    <row r="339" spans="1:6">
      <c r="A339" s="39">
        <v>42633</v>
      </c>
      <c r="B339">
        <v>40.89</v>
      </c>
      <c r="C339">
        <v>40.96</v>
      </c>
      <c r="D339">
        <v>40.78</v>
      </c>
      <c r="E339">
        <v>40.83</v>
      </c>
      <c r="F339">
        <v>340971</v>
      </c>
    </row>
    <row r="340" spans="1:6">
      <c r="A340" s="39">
        <v>42634</v>
      </c>
      <c r="B340">
        <v>40.93</v>
      </c>
      <c r="C340">
        <v>41.26</v>
      </c>
      <c r="D340">
        <v>40.76</v>
      </c>
      <c r="E340">
        <v>41.18</v>
      </c>
      <c r="F340">
        <v>1171942</v>
      </c>
    </row>
    <row r="341" spans="1:6">
      <c r="A341" s="39">
        <v>42635</v>
      </c>
      <c r="B341">
        <v>41.73</v>
      </c>
      <c r="C341">
        <v>41.8</v>
      </c>
      <c r="D341">
        <v>41.58</v>
      </c>
      <c r="E341">
        <v>41.65</v>
      </c>
      <c r="F341">
        <v>571790</v>
      </c>
    </row>
    <row r="342" spans="1:6">
      <c r="A342" s="39">
        <v>42636</v>
      </c>
      <c r="B342">
        <v>41.5</v>
      </c>
      <c r="C342">
        <v>41.58</v>
      </c>
      <c r="D342">
        <v>41.44</v>
      </c>
      <c r="E342">
        <v>41.48</v>
      </c>
      <c r="F342">
        <v>324336</v>
      </c>
    </row>
    <row r="343" spans="1:6">
      <c r="A343" s="39">
        <v>42639</v>
      </c>
      <c r="B343">
        <v>41.49</v>
      </c>
      <c r="C343">
        <v>41.55</v>
      </c>
      <c r="D343">
        <v>41.42</v>
      </c>
      <c r="E343">
        <v>41.48</v>
      </c>
      <c r="F343">
        <v>594662</v>
      </c>
    </row>
    <row r="344" spans="1:6">
      <c r="A344" s="39">
        <v>42640</v>
      </c>
      <c r="B344">
        <v>41.51</v>
      </c>
      <c r="C344">
        <v>41.83</v>
      </c>
      <c r="D344">
        <v>41.51</v>
      </c>
      <c r="E344">
        <v>41.8</v>
      </c>
      <c r="F344">
        <v>372554</v>
      </c>
    </row>
    <row r="345" spans="1:6">
      <c r="A345" s="39">
        <v>42641</v>
      </c>
      <c r="B345">
        <v>41.77</v>
      </c>
      <c r="C345">
        <v>41.95</v>
      </c>
      <c r="D345">
        <v>41.53</v>
      </c>
      <c r="E345">
        <v>41.94</v>
      </c>
      <c r="F345">
        <v>366201</v>
      </c>
    </row>
    <row r="346" spans="1:6">
      <c r="A346" s="39">
        <v>42642</v>
      </c>
      <c r="B346">
        <v>41.62</v>
      </c>
      <c r="C346">
        <v>41.65</v>
      </c>
      <c r="D346">
        <v>41.13</v>
      </c>
      <c r="E346">
        <v>41.25</v>
      </c>
      <c r="F346">
        <v>496445</v>
      </c>
    </row>
    <row r="347" spans="1:6">
      <c r="A347" s="39">
        <v>42643</v>
      </c>
      <c r="B347">
        <v>41.49</v>
      </c>
      <c r="C347">
        <v>41.79</v>
      </c>
      <c r="D347">
        <v>41.49</v>
      </c>
      <c r="E347">
        <v>41.71</v>
      </c>
      <c r="F347">
        <v>473712</v>
      </c>
    </row>
    <row r="348" spans="1:6">
      <c r="A348" s="39">
        <v>42646</v>
      </c>
      <c r="B348">
        <v>41.38</v>
      </c>
      <c r="C348">
        <v>41.56</v>
      </c>
      <c r="D348">
        <v>41.38</v>
      </c>
      <c r="E348">
        <v>41.52</v>
      </c>
      <c r="F348">
        <v>2034721</v>
      </c>
    </row>
    <row r="349" spans="1:6">
      <c r="A349" s="39">
        <v>42647</v>
      </c>
      <c r="B349">
        <v>41.27</v>
      </c>
      <c r="C349">
        <v>41.32</v>
      </c>
      <c r="D349">
        <v>40.85</v>
      </c>
      <c r="E349">
        <v>40.94</v>
      </c>
      <c r="F349">
        <v>1123081</v>
      </c>
    </row>
    <row r="350" spans="1:6">
      <c r="A350" s="39">
        <v>42648</v>
      </c>
      <c r="B350">
        <v>40.5</v>
      </c>
      <c r="C350">
        <v>40.53</v>
      </c>
      <c r="D350">
        <v>40.36</v>
      </c>
      <c r="E350">
        <v>40.39</v>
      </c>
      <c r="F350">
        <v>2016348</v>
      </c>
    </row>
    <row r="351" spans="1:6">
      <c r="A351" s="39">
        <v>42649</v>
      </c>
      <c r="B351">
        <v>39.89</v>
      </c>
      <c r="C351">
        <v>40.020000000000003</v>
      </c>
      <c r="D351">
        <v>39.85</v>
      </c>
      <c r="E351">
        <v>39.909999999999997</v>
      </c>
      <c r="F351">
        <v>834627</v>
      </c>
    </row>
    <row r="352" spans="1:6">
      <c r="A352" s="39">
        <v>42650</v>
      </c>
      <c r="B352">
        <v>39.71</v>
      </c>
      <c r="C352">
        <v>39.729999999999997</v>
      </c>
      <c r="D352">
        <v>39.32</v>
      </c>
      <c r="E352">
        <v>39.56</v>
      </c>
      <c r="F352">
        <v>1052796</v>
      </c>
    </row>
    <row r="353" spans="1:6">
      <c r="A353" s="39">
        <v>42653</v>
      </c>
      <c r="B353">
        <v>39.51</v>
      </c>
      <c r="C353">
        <v>39.700000000000003</v>
      </c>
      <c r="D353">
        <v>39.51</v>
      </c>
      <c r="E353">
        <v>39.56</v>
      </c>
      <c r="F353">
        <v>293968</v>
      </c>
    </row>
    <row r="354" spans="1:6">
      <c r="A354" s="39">
        <v>42654</v>
      </c>
      <c r="B354">
        <v>39.21</v>
      </c>
      <c r="C354">
        <v>39.21</v>
      </c>
      <c r="D354">
        <v>38.799999999999997</v>
      </c>
      <c r="E354">
        <v>38.880000000000003</v>
      </c>
      <c r="F354">
        <v>926499</v>
      </c>
    </row>
    <row r="355" spans="1:6">
      <c r="A355" s="39">
        <v>42655</v>
      </c>
      <c r="B355">
        <v>38.78</v>
      </c>
      <c r="C355">
        <v>38.92</v>
      </c>
      <c r="D355">
        <v>38.729999999999997</v>
      </c>
      <c r="E355">
        <v>38.82</v>
      </c>
      <c r="F355">
        <v>462590</v>
      </c>
    </row>
    <row r="356" spans="1:6">
      <c r="A356" s="39">
        <v>42656</v>
      </c>
      <c r="B356">
        <v>38.97</v>
      </c>
      <c r="C356">
        <v>39.299999999999997</v>
      </c>
      <c r="D356">
        <v>38.880000000000003</v>
      </c>
      <c r="E356">
        <v>39.24</v>
      </c>
      <c r="F356">
        <v>602464</v>
      </c>
    </row>
    <row r="357" spans="1:6">
      <c r="A357" s="39">
        <v>42657</v>
      </c>
      <c r="B357">
        <v>39.33</v>
      </c>
      <c r="C357">
        <v>39.369999999999997</v>
      </c>
      <c r="D357">
        <v>39.119999999999997</v>
      </c>
      <c r="E357">
        <v>39.130000000000003</v>
      </c>
      <c r="F357">
        <v>382487</v>
      </c>
    </row>
    <row r="358" spans="1:6">
      <c r="A358" s="39">
        <v>42660</v>
      </c>
      <c r="B358">
        <v>38.909999999999997</v>
      </c>
      <c r="C358">
        <v>39.01</v>
      </c>
      <c r="D358">
        <v>38.869999999999997</v>
      </c>
      <c r="E358">
        <v>38.92</v>
      </c>
      <c r="F358">
        <v>275936</v>
      </c>
    </row>
    <row r="359" spans="1:6">
      <c r="A359" s="39">
        <v>42661</v>
      </c>
      <c r="B359">
        <v>39.380000000000003</v>
      </c>
      <c r="C359">
        <v>39.5</v>
      </c>
      <c r="D359">
        <v>39.380000000000003</v>
      </c>
      <c r="E359">
        <v>39.409999999999997</v>
      </c>
      <c r="F359">
        <v>346782</v>
      </c>
    </row>
    <row r="360" spans="1:6">
      <c r="A360" s="39">
        <v>42662</v>
      </c>
      <c r="B360">
        <v>39.49</v>
      </c>
      <c r="C360">
        <v>39.71</v>
      </c>
      <c r="D360">
        <v>39.49</v>
      </c>
      <c r="E360">
        <v>39.630000000000003</v>
      </c>
      <c r="F360">
        <v>488859</v>
      </c>
    </row>
    <row r="361" spans="1:6">
      <c r="A361" s="39">
        <v>42663</v>
      </c>
      <c r="B361">
        <v>39.700000000000003</v>
      </c>
      <c r="C361">
        <v>39.83</v>
      </c>
      <c r="D361">
        <v>39.64</v>
      </c>
      <c r="E361">
        <v>39.729999999999997</v>
      </c>
      <c r="F361">
        <v>487131</v>
      </c>
    </row>
    <row r="362" spans="1:6">
      <c r="A362" s="39">
        <v>42664</v>
      </c>
      <c r="B362">
        <v>39.4</v>
      </c>
      <c r="C362">
        <v>39.64</v>
      </c>
      <c r="D362">
        <v>39.4</v>
      </c>
      <c r="E362">
        <v>39.64</v>
      </c>
      <c r="F362">
        <v>313203</v>
      </c>
    </row>
    <row r="363" spans="1:6">
      <c r="A363" s="39">
        <v>42667</v>
      </c>
      <c r="B363">
        <v>39.71</v>
      </c>
      <c r="C363">
        <v>39.81</v>
      </c>
      <c r="D363">
        <v>39.65</v>
      </c>
      <c r="E363">
        <v>39.729999999999997</v>
      </c>
      <c r="F363">
        <v>360231</v>
      </c>
    </row>
    <row r="364" spans="1:6">
      <c r="A364" s="39">
        <v>42668</v>
      </c>
      <c r="B364">
        <v>39.65</v>
      </c>
      <c r="C364">
        <v>39.799999999999997</v>
      </c>
      <c r="D364">
        <v>39.56</v>
      </c>
      <c r="E364">
        <v>39.78</v>
      </c>
      <c r="F364">
        <v>513973</v>
      </c>
    </row>
    <row r="365" spans="1:6">
      <c r="A365" s="39">
        <v>42669</v>
      </c>
      <c r="B365">
        <v>39.42</v>
      </c>
      <c r="C365">
        <v>39.5</v>
      </c>
      <c r="D365">
        <v>39.33</v>
      </c>
      <c r="E365">
        <v>39.369999999999997</v>
      </c>
      <c r="F365">
        <v>717879</v>
      </c>
    </row>
    <row r="366" spans="1:6">
      <c r="A366" s="39">
        <v>42670</v>
      </c>
      <c r="B366">
        <v>39.130000000000003</v>
      </c>
      <c r="C366">
        <v>39.130000000000003</v>
      </c>
      <c r="D366">
        <v>38.93</v>
      </c>
      <c r="E366">
        <v>38.93</v>
      </c>
      <c r="F366">
        <v>542926</v>
      </c>
    </row>
    <row r="367" spans="1:6">
      <c r="A367" s="39">
        <v>42671</v>
      </c>
      <c r="B367">
        <v>38.729999999999997</v>
      </c>
      <c r="C367">
        <v>38.79</v>
      </c>
      <c r="D367">
        <v>38.619999999999997</v>
      </c>
      <c r="E367">
        <v>38.69</v>
      </c>
      <c r="F367">
        <v>565740</v>
      </c>
    </row>
    <row r="368" spans="1:6">
      <c r="A368" s="39">
        <v>42674</v>
      </c>
      <c r="B368">
        <v>38.840000000000003</v>
      </c>
      <c r="C368">
        <v>39.049999999999997</v>
      </c>
      <c r="D368">
        <v>38.840000000000003</v>
      </c>
      <c r="E368">
        <v>38.979999999999997</v>
      </c>
      <c r="F368">
        <v>639103</v>
      </c>
    </row>
    <row r="369" spans="1:6">
      <c r="A369" s="39">
        <v>42675</v>
      </c>
      <c r="B369">
        <v>38.880000000000003</v>
      </c>
      <c r="C369">
        <v>38.99</v>
      </c>
      <c r="D369">
        <v>38.68</v>
      </c>
      <c r="E369">
        <v>38.83</v>
      </c>
      <c r="F369">
        <v>1013159</v>
      </c>
    </row>
    <row r="370" spans="1:6">
      <c r="A370" s="39">
        <v>42676</v>
      </c>
      <c r="B370">
        <v>38.950000000000003</v>
      </c>
      <c r="C370">
        <v>39.1</v>
      </c>
      <c r="D370">
        <v>38.840000000000003</v>
      </c>
      <c r="E370">
        <v>38.86</v>
      </c>
      <c r="F370">
        <v>858875</v>
      </c>
    </row>
    <row r="371" spans="1:6">
      <c r="A371" s="39">
        <v>42677</v>
      </c>
      <c r="B371">
        <v>39.01</v>
      </c>
      <c r="C371">
        <v>39.18</v>
      </c>
      <c r="D371">
        <v>38.9</v>
      </c>
      <c r="E371">
        <v>38.96</v>
      </c>
      <c r="F371">
        <v>1751958</v>
      </c>
    </row>
    <row r="372" spans="1:6">
      <c r="A372" s="39">
        <v>42678</v>
      </c>
      <c r="B372">
        <v>38.76</v>
      </c>
      <c r="C372">
        <v>38.82</v>
      </c>
      <c r="D372">
        <v>38.659999999999997</v>
      </c>
      <c r="E372">
        <v>38.659999999999997</v>
      </c>
      <c r="F372">
        <v>615633</v>
      </c>
    </row>
    <row r="373" spans="1:6">
      <c r="A373" s="39">
        <v>42681</v>
      </c>
      <c r="B373">
        <v>38.909999999999997</v>
      </c>
      <c r="C373">
        <v>39.04</v>
      </c>
      <c r="D373">
        <v>38.85</v>
      </c>
      <c r="E373">
        <v>39.020000000000003</v>
      </c>
      <c r="F373">
        <v>498406</v>
      </c>
    </row>
    <row r="374" spans="1:6">
      <c r="A374" s="39">
        <v>42682</v>
      </c>
      <c r="B374">
        <v>38.93</v>
      </c>
      <c r="C374">
        <v>39.24</v>
      </c>
      <c r="D374">
        <v>38.92</v>
      </c>
      <c r="E374">
        <v>39.119999999999997</v>
      </c>
      <c r="F374">
        <v>934348</v>
      </c>
    </row>
    <row r="375" spans="1:6">
      <c r="A375" s="39">
        <v>42683</v>
      </c>
      <c r="B375">
        <v>38.659999999999997</v>
      </c>
      <c r="C375">
        <v>39.21</v>
      </c>
      <c r="D375">
        <v>38.659999999999997</v>
      </c>
      <c r="E375">
        <v>38.950000000000003</v>
      </c>
      <c r="F375">
        <v>645084</v>
      </c>
    </row>
    <row r="376" spans="1:6">
      <c r="A376" s="39">
        <v>42684</v>
      </c>
      <c r="B376">
        <v>38.090000000000003</v>
      </c>
      <c r="C376">
        <v>38.21</v>
      </c>
      <c r="D376">
        <v>37.770000000000003</v>
      </c>
      <c r="E376">
        <v>37.9</v>
      </c>
      <c r="F376">
        <v>1443100</v>
      </c>
    </row>
    <row r="377" spans="1:6">
      <c r="A377" s="39">
        <v>42685</v>
      </c>
      <c r="B377">
        <v>37.770000000000003</v>
      </c>
      <c r="C377">
        <v>37.81</v>
      </c>
      <c r="D377">
        <v>37.46</v>
      </c>
      <c r="E377">
        <v>37.61</v>
      </c>
      <c r="F377">
        <v>410975</v>
      </c>
    </row>
    <row r="378" spans="1:6">
      <c r="A378" s="39">
        <v>42688</v>
      </c>
      <c r="B378">
        <v>37.159999999999997</v>
      </c>
      <c r="C378">
        <v>37.17</v>
      </c>
      <c r="D378">
        <v>36.950000000000003</v>
      </c>
      <c r="E378">
        <v>37.14</v>
      </c>
      <c r="F378">
        <v>1033087</v>
      </c>
    </row>
    <row r="379" spans="1:6">
      <c r="A379" s="39">
        <v>42689</v>
      </c>
      <c r="B379">
        <v>37.18</v>
      </c>
      <c r="C379">
        <v>37.42</v>
      </c>
      <c r="D379">
        <v>37.18</v>
      </c>
      <c r="E379">
        <v>37.4</v>
      </c>
      <c r="F379">
        <v>479286</v>
      </c>
    </row>
    <row r="380" spans="1:6">
      <c r="A380" s="39">
        <v>42690</v>
      </c>
      <c r="B380">
        <v>36.92</v>
      </c>
      <c r="C380">
        <v>36.97</v>
      </c>
      <c r="D380">
        <v>36.81</v>
      </c>
      <c r="E380">
        <v>36.909999999999997</v>
      </c>
      <c r="F380">
        <v>420121</v>
      </c>
    </row>
    <row r="381" spans="1:6">
      <c r="A381" s="39">
        <v>42691</v>
      </c>
      <c r="B381">
        <v>37.35</v>
      </c>
      <c r="C381">
        <v>37.520000000000003</v>
      </c>
      <c r="D381">
        <v>37.340000000000003</v>
      </c>
      <c r="E381">
        <v>37.46</v>
      </c>
      <c r="F381">
        <v>933683</v>
      </c>
    </row>
    <row r="382" spans="1:6">
      <c r="A382" s="39">
        <v>42692</v>
      </c>
      <c r="B382">
        <v>37.24</v>
      </c>
      <c r="C382">
        <v>37.340000000000003</v>
      </c>
      <c r="D382">
        <v>37.11</v>
      </c>
      <c r="E382">
        <v>37.14</v>
      </c>
      <c r="F382">
        <v>678973</v>
      </c>
    </row>
    <row r="383" spans="1:6">
      <c r="A383" s="39">
        <v>42695</v>
      </c>
      <c r="B383">
        <v>37.130000000000003</v>
      </c>
      <c r="C383">
        <v>37.26</v>
      </c>
      <c r="D383">
        <v>37.130000000000003</v>
      </c>
      <c r="E383">
        <v>37.22</v>
      </c>
      <c r="F383">
        <v>1501455</v>
      </c>
    </row>
    <row r="384" spans="1:6">
      <c r="A384" s="39">
        <v>42696</v>
      </c>
      <c r="B384">
        <v>37.270000000000003</v>
      </c>
      <c r="C384">
        <v>37.43</v>
      </c>
      <c r="D384">
        <v>37.270000000000003</v>
      </c>
      <c r="E384">
        <v>37.42</v>
      </c>
      <c r="F384">
        <v>598239</v>
      </c>
    </row>
    <row r="385" spans="1:6">
      <c r="A385" s="39">
        <v>42697</v>
      </c>
      <c r="B385">
        <v>37.19</v>
      </c>
      <c r="C385">
        <v>37.369999999999997</v>
      </c>
      <c r="D385">
        <v>37.19</v>
      </c>
      <c r="E385">
        <v>37.340000000000003</v>
      </c>
      <c r="F385">
        <v>724250</v>
      </c>
    </row>
    <row r="386" spans="1:6">
      <c r="A386" s="39">
        <v>42699</v>
      </c>
      <c r="B386">
        <v>37.33</v>
      </c>
      <c r="C386">
        <v>37.450000000000003</v>
      </c>
      <c r="D386">
        <v>37.33</v>
      </c>
      <c r="E386">
        <v>37.39</v>
      </c>
      <c r="F386">
        <v>251131</v>
      </c>
    </row>
    <row r="387" spans="1:6">
      <c r="A387" s="39">
        <v>42702</v>
      </c>
      <c r="B387">
        <v>37.58</v>
      </c>
      <c r="C387">
        <v>37.729999999999997</v>
      </c>
      <c r="D387">
        <v>37.53</v>
      </c>
      <c r="E387">
        <v>37.67</v>
      </c>
      <c r="F387">
        <v>493428</v>
      </c>
    </row>
    <row r="388" spans="1:6">
      <c r="A388" s="39">
        <v>42703</v>
      </c>
      <c r="B388">
        <v>37.58</v>
      </c>
      <c r="C388">
        <v>37.89</v>
      </c>
      <c r="D388">
        <v>37.58</v>
      </c>
      <c r="E388">
        <v>37.82</v>
      </c>
      <c r="F388">
        <v>601834</v>
      </c>
    </row>
    <row r="389" spans="1:6">
      <c r="A389" s="39">
        <v>42704</v>
      </c>
      <c r="B389">
        <v>37.86</v>
      </c>
      <c r="C389">
        <v>37.93</v>
      </c>
      <c r="D389">
        <v>37.71</v>
      </c>
      <c r="E389">
        <v>37.83</v>
      </c>
      <c r="F389">
        <v>1269509</v>
      </c>
    </row>
    <row r="390" spans="1:6">
      <c r="A390" s="39">
        <v>42705</v>
      </c>
      <c r="B390">
        <v>37.44</v>
      </c>
      <c r="C390">
        <v>37.54</v>
      </c>
      <c r="D390">
        <v>37.25</v>
      </c>
      <c r="E390">
        <v>37.340000000000003</v>
      </c>
      <c r="F390">
        <v>610239</v>
      </c>
    </row>
    <row r="391" spans="1:6">
      <c r="A391" s="39">
        <v>42706</v>
      </c>
      <c r="B391">
        <v>37.479999999999997</v>
      </c>
      <c r="C391">
        <v>37.72</v>
      </c>
      <c r="D391">
        <v>37.479999999999997</v>
      </c>
      <c r="E391">
        <v>37.61</v>
      </c>
      <c r="F391">
        <v>752065</v>
      </c>
    </row>
    <row r="392" spans="1:6">
      <c r="A392" s="39">
        <v>42709</v>
      </c>
      <c r="B392">
        <v>37.65</v>
      </c>
      <c r="C392">
        <v>37.82</v>
      </c>
      <c r="D392">
        <v>37.619999999999997</v>
      </c>
      <c r="E392">
        <v>37.78</v>
      </c>
      <c r="F392">
        <v>1508576</v>
      </c>
    </row>
    <row r="393" spans="1:6">
      <c r="A393" s="39">
        <v>42710</v>
      </c>
      <c r="B393">
        <v>37.97</v>
      </c>
      <c r="C393">
        <v>38.04</v>
      </c>
      <c r="D393">
        <v>37.92</v>
      </c>
      <c r="E393">
        <v>38.01</v>
      </c>
      <c r="F393">
        <v>792484</v>
      </c>
    </row>
    <row r="394" spans="1:6">
      <c r="A394" s="39">
        <v>42711</v>
      </c>
      <c r="B394">
        <v>38.21</v>
      </c>
      <c r="C394">
        <v>38.6</v>
      </c>
      <c r="D394">
        <v>38.200000000000003</v>
      </c>
      <c r="E394">
        <v>38.549999999999997</v>
      </c>
      <c r="F394">
        <v>1195759</v>
      </c>
    </row>
    <row r="395" spans="1:6">
      <c r="A395" s="39">
        <v>42712</v>
      </c>
      <c r="B395">
        <v>38.44</v>
      </c>
      <c r="C395">
        <v>38.58</v>
      </c>
      <c r="D395">
        <v>38.39</v>
      </c>
      <c r="E395">
        <v>38.520000000000003</v>
      </c>
      <c r="F395">
        <v>1458272</v>
      </c>
    </row>
    <row r="396" spans="1:6">
      <c r="A396" s="39">
        <v>42713</v>
      </c>
      <c r="B396">
        <v>38.53</v>
      </c>
      <c r="C396">
        <v>38.58</v>
      </c>
      <c r="D396">
        <v>38.44</v>
      </c>
      <c r="E396">
        <v>38.549999999999997</v>
      </c>
      <c r="F396">
        <v>677453</v>
      </c>
    </row>
    <row r="397" spans="1:6">
      <c r="A397" s="39">
        <v>42716</v>
      </c>
      <c r="B397">
        <v>38.24</v>
      </c>
      <c r="C397">
        <v>38.369999999999997</v>
      </c>
      <c r="D397">
        <v>38.229999999999997</v>
      </c>
      <c r="E397">
        <v>38.340000000000003</v>
      </c>
      <c r="F397">
        <v>635995</v>
      </c>
    </row>
    <row r="398" spans="1:6">
      <c r="A398" s="39">
        <v>42717</v>
      </c>
      <c r="B398">
        <v>38.549999999999997</v>
      </c>
      <c r="C398">
        <v>38.74</v>
      </c>
      <c r="D398">
        <v>38.549999999999997</v>
      </c>
      <c r="E398">
        <v>38.65</v>
      </c>
      <c r="F398">
        <v>1040809</v>
      </c>
    </row>
    <row r="399" spans="1:6">
      <c r="A399" s="39">
        <v>42718</v>
      </c>
      <c r="B399">
        <v>38.46</v>
      </c>
      <c r="C399">
        <v>38.6</v>
      </c>
      <c r="D399">
        <v>37.950000000000003</v>
      </c>
      <c r="E399">
        <v>38.01</v>
      </c>
      <c r="F399">
        <v>1134105</v>
      </c>
    </row>
    <row r="400" spans="1:6">
      <c r="A400" s="39">
        <v>42719</v>
      </c>
      <c r="B400">
        <v>37.43</v>
      </c>
      <c r="C400">
        <v>37.520000000000003</v>
      </c>
      <c r="D400">
        <v>37.35</v>
      </c>
      <c r="E400">
        <v>37.46</v>
      </c>
      <c r="F400">
        <v>1015177</v>
      </c>
    </row>
    <row r="401" spans="1:6">
      <c r="A401" s="39">
        <v>42720</v>
      </c>
      <c r="B401">
        <v>35.159999999999997</v>
      </c>
      <c r="C401">
        <v>35.33</v>
      </c>
      <c r="D401">
        <v>35.119999999999997</v>
      </c>
      <c r="E401">
        <v>35.200000000000003</v>
      </c>
      <c r="F401">
        <v>1185191</v>
      </c>
    </row>
    <row r="402" spans="1:6">
      <c r="A402" s="39">
        <v>42723</v>
      </c>
      <c r="B402">
        <v>35.26</v>
      </c>
      <c r="C402">
        <v>35.4</v>
      </c>
      <c r="D402">
        <v>35.200000000000003</v>
      </c>
      <c r="E402">
        <v>35.200000000000003</v>
      </c>
      <c r="F402">
        <v>900571</v>
      </c>
    </row>
    <row r="403" spans="1:6">
      <c r="A403" s="39">
        <v>42724</v>
      </c>
      <c r="B403">
        <v>35.43</v>
      </c>
      <c r="C403">
        <v>35.46</v>
      </c>
      <c r="D403">
        <v>35.369999999999997</v>
      </c>
      <c r="E403">
        <v>35.43</v>
      </c>
      <c r="F403">
        <v>1740910</v>
      </c>
    </row>
    <row r="404" spans="1:6">
      <c r="A404" s="39">
        <v>42725</v>
      </c>
      <c r="B404">
        <v>35.42</v>
      </c>
      <c r="C404">
        <v>35.53</v>
      </c>
      <c r="D404">
        <v>35.409999999999997</v>
      </c>
      <c r="E404">
        <v>35.44</v>
      </c>
      <c r="F404">
        <v>2550690</v>
      </c>
    </row>
    <row r="405" spans="1:6">
      <c r="A405" s="39">
        <v>42726</v>
      </c>
      <c r="B405">
        <v>35.35</v>
      </c>
      <c r="C405">
        <v>35.409999999999997</v>
      </c>
      <c r="D405">
        <v>35.28</v>
      </c>
      <c r="E405">
        <v>35.299999999999997</v>
      </c>
      <c r="F405">
        <v>1490452</v>
      </c>
    </row>
    <row r="406" spans="1:6">
      <c r="A406" s="39">
        <v>42727</v>
      </c>
      <c r="B406">
        <v>35.43</v>
      </c>
      <c r="C406">
        <v>35.520000000000003</v>
      </c>
      <c r="D406">
        <v>35.43</v>
      </c>
      <c r="E406">
        <v>35.47</v>
      </c>
      <c r="F406">
        <v>1339501</v>
      </c>
    </row>
    <row r="407" spans="1:6">
      <c r="A407" s="39">
        <v>42731</v>
      </c>
      <c r="B407">
        <v>35.6</v>
      </c>
      <c r="C407">
        <v>35.69</v>
      </c>
      <c r="D407">
        <v>35.6</v>
      </c>
      <c r="E407">
        <v>35.659999999999997</v>
      </c>
      <c r="F407">
        <v>2154211</v>
      </c>
    </row>
    <row r="408" spans="1:6">
      <c r="A408" s="39">
        <v>42732</v>
      </c>
      <c r="B408">
        <v>35.479999999999997</v>
      </c>
      <c r="C408">
        <v>35.53</v>
      </c>
      <c r="D408">
        <v>35.36</v>
      </c>
      <c r="E408">
        <v>35.409999999999997</v>
      </c>
      <c r="F408">
        <v>1747685</v>
      </c>
    </row>
    <row r="409" spans="1:6">
      <c r="A409" s="39">
        <v>42733</v>
      </c>
      <c r="B409">
        <v>35.729999999999997</v>
      </c>
      <c r="C409">
        <v>35.81</v>
      </c>
      <c r="D409">
        <v>35.56</v>
      </c>
      <c r="E409">
        <v>35.78</v>
      </c>
      <c r="F409">
        <v>2100387</v>
      </c>
    </row>
    <row r="410" spans="1:6">
      <c r="A410" s="39">
        <v>42734</v>
      </c>
      <c r="B410">
        <v>36.090000000000003</v>
      </c>
      <c r="C410">
        <v>36.159999999999997</v>
      </c>
      <c r="D410">
        <v>35.97</v>
      </c>
      <c r="E410">
        <v>36.08</v>
      </c>
      <c r="F410">
        <v>2084747</v>
      </c>
    </row>
    <row r="411" spans="1:6">
      <c r="A411" s="39">
        <v>42738</v>
      </c>
      <c r="B411">
        <v>36.020000000000003</v>
      </c>
      <c r="C411">
        <v>36.119999999999997</v>
      </c>
      <c r="D411">
        <v>35.840000000000003</v>
      </c>
      <c r="E411">
        <v>36.11</v>
      </c>
      <c r="F411">
        <v>1654521</v>
      </c>
    </row>
    <row r="412" spans="1:6">
      <c r="A412" s="39">
        <v>42739</v>
      </c>
      <c r="B412">
        <v>36.28</v>
      </c>
      <c r="C412">
        <v>36.49</v>
      </c>
      <c r="D412">
        <v>36.28</v>
      </c>
      <c r="E412">
        <v>36.49</v>
      </c>
      <c r="F412">
        <v>784784</v>
      </c>
    </row>
    <row r="413" spans="1:6">
      <c r="A413" s="39">
        <v>42740</v>
      </c>
      <c r="B413">
        <v>36.630000000000003</v>
      </c>
      <c r="C413">
        <v>37.049999999999997</v>
      </c>
      <c r="D413">
        <v>36.630000000000003</v>
      </c>
      <c r="E413">
        <v>37.04</v>
      </c>
      <c r="F413">
        <v>2208855</v>
      </c>
    </row>
    <row r="414" spans="1:6">
      <c r="A414" s="39">
        <v>42741</v>
      </c>
      <c r="B414">
        <v>37.08</v>
      </c>
      <c r="C414">
        <v>37.15</v>
      </c>
      <c r="D414">
        <v>37</v>
      </c>
      <c r="E414">
        <v>37.03</v>
      </c>
      <c r="F414">
        <v>747785</v>
      </c>
    </row>
    <row r="415" spans="1:6">
      <c r="A415" s="39">
        <v>42744</v>
      </c>
      <c r="B415">
        <v>36.89</v>
      </c>
      <c r="C415">
        <v>37</v>
      </c>
      <c r="D415">
        <v>36.89</v>
      </c>
      <c r="E415">
        <v>36.96</v>
      </c>
      <c r="F415">
        <v>877132</v>
      </c>
    </row>
    <row r="416" spans="1:6">
      <c r="A416" s="39">
        <v>42745</v>
      </c>
      <c r="B416">
        <v>36.94</v>
      </c>
      <c r="C416">
        <v>37.04</v>
      </c>
      <c r="D416">
        <v>36.9</v>
      </c>
      <c r="E416">
        <v>36.94</v>
      </c>
      <c r="F416">
        <v>582049</v>
      </c>
    </row>
    <row r="417" spans="1:6">
      <c r="A417" s="39">
        <v>42746</v>
      </c>
      <c r="B417">
        <v>36.64</v>
      </c>
      <c r="C417">
        <v>36.93</v>
      </c>
      <c r="D417">
        <v>36.54</v>
      </c>
      <c r="E417">
        <v>36.85</v>
      </c>
      <c r="F417">
        <v>1967206</v>
      </c>
    </row>
    <row r="418" spans="1:6">
      <c r="A418" s="39">
        <v>42747</v>
      </c>
      <c r="B418">
        <v>36.74</v>
      </c>
      <c r="C418">
        <v>36.770000000000003</v>
      </c>
      <c r="D418">
        <v>36.65</v>
      </c>
      <c r="E418">
        <v>36.700000000000003</v>
      </c>
      <c r="F418">
        <v>2956061</v>
      </c>
    </row>
    <row r="419" spans="1:6">
      <c r="A419" s="39">
        <v>42748</v>
      </c>
      <c r="B419">
        <v>36.58</v>
      </c>
      <c r="C419">
        <v>36.68</v>
      </c>
      <c r="D419">
        <v>36.51</v>
      </c>
      <c r="E419">
        <v>36.659999999999997</v>
      </c>
      <c r="F419">
        <v>781710</v>
      </c>
    </row>
    <row r="420" spans="1:6">
      <c r="A420" s="39">
        <v>42752</v>
      </c>
      <c r="B420">
        <v>36.65</v>
      </c>
      <c r="C420">
        <v>36.71</v>
      </c>
      <c r="D420">
        <v>36.57</v>
      </c>
      <c r="E420">
        <v>36.67</v>
      </c>
      <c r="F420">
        <v>630840</v>
      </c>
    </row>
    <row r="421" spans="1:6">
      <c r="A421" s="39">
        <v>42753</v>
      </c>
      <c r="B421">
        <v>36.69</v>
      </c>
      <c r="C421">
        <v>36.79</v>
      </c>
      <c r="D421">
        <v>36.6</v>
      </c>
      <c r="E421">
        <v>36.69</v>
      </c>
      <c r="F421">
        <v>4369704</v>
      </c>
    </row>
    <row r="422" spans="1:6">
      <c r="A422" s="39">
        <v>42754</v>
      </c>
      <c r="B422">
        <v>36.39</v>
      </c>
      <c r="C422">
        <v>36.39</v>
      </c>
      <c r="D422">
        <v>36.229999999999997</v>
      </c>
      <c r="E422">
        <v>36.33</v>
      </c>
      <c r="F422">
        <v>3563842</v>
      </c>
    </row>
    <row r="423" spans="1:6">
      <c r="A423" s="39">
        <v>42755</v>
      </c>
      <c r="B423">
        <v>36.43</v>
      </c>
      <c r="C423">
        <v>36.47</v>
      </c>
      <c r="D423">
        <v>36.32</v>
      </c>
      <c r="E423">
        <v>36.47</v>
      </c>
      <c r="F423">
        <v>4002907</v>
      </c>
    </row>
    <row r="424" spans="1:6">
      <c r="A424" s="39">
        <v>42758</v>
      </c>
      <c r="B424">
        <v>36.61</v>
      </c>
      <c r="C424">
        <v>36.81</v>
      </c>
      <c r="D424">
        <v>36.590000000000003</v>
      </c>
      <c r="E424">
        <v>36.76</v>
      </c>
      <c r="F424">
        <v>786031</v>
      </c>
    </row>
    <row r="425" spans="1:6">
      <c r="A425" s="39">
        <v>42759</v>
      </c>
      <c r="B425">
        <v>36.729999999999997</v>
      </c>
      <c r="C425">
        <v>36.82</v>
      </c>
      <c r="D425">
        <v>36.700000000000003</v>
      </c>
      <c r="E425">
        <v>36.799999999999997</v>
      </c>
      <c r="F425">
        <v>706424</v>
      </c>
    </row>
    <row r="426" spans="1:6">
      <c r="A426" s="39">
        <v>42760</v>
      </c>
      <c r="B426">
        <v>36.619999999999997</v>
      </c>
      <c r="C426">
        <v>36.83</v>
      </c>
      <c r="D426">
        <v>36.619999999999997</v>
      </c>
      <c r="E426">
        <v>36.82</v>
      </c>
      <c r="F426">
        <v>1001980</v>
      </c>
    </row>
    <row r="427" spans="1:6">
      <c r="A427" s="39">
        <v>42761</v>
      </c>
      <c r="B427">
        <v>36.74</v>
      </c>
      <c r="C427">
        <v>36.770000000000003</v>
      </c>
      <c r="D427">
        <v>36.65</v>
      </c>
      <c r="E427">
        <v>36.65</v>
      </c>
      <c r="F427">
        <v>780067</v>
      </c>
    </row>
    <row r="428" spans="1:6">
      <c r="A428" s="39">
        <v>42762</v>
      </c>
      <c r="B428">
        <v>36.68</v>
      </c>
      <c r="C428">
        <v>36.69</v>
      </c>
      <c r="D428">
        <v>36.58</v>
      </c>
      <c r="E428">
        <v>36.6</v>
      </c>
      <c r="F428">
        <v>618818</v>
      </c>
    </row>
    <row r="429" spans="1:6">
      <c r="A429" s="39">
        <v>42765</v>
      </c>
      <c r="B429">
        <v>36.409999999999997</v>
      </c>
      <c r="C429">
        <v>36.58</v>
      </c>
      <c r="D429">
        <v>36.369999999999997</v>
      </c>
      <c r="E429">
        <v>36.56</v>
      </c>
      <c r="F429">
        <v>703754</v>
      </c>
    </row>
    <row r="430" spans="1:6">
      <c r="A430" s="39">
        <v>42766</v>
      </c>
      <c r="B430">
        <v>36.72</v>
      </c>
      <c r="C430">
        <v>36.92</v>
      </c>
      <c r="D430">
        <v>36.72</v>
      </c>
      <c r="E430">
        <v>36.909999999999997</v>
      </c>
      <c r="F430">
        <v>1185144</v>
      </c>
    </row>
    <row r="431" spans="1:6">
      <c r="A431" s="39">
        <v>42767</v>
      </c>
      <c r="B431">
        <v>37.020000000000003</v>
      </c>
      <c r="C431">
        <v>37.06</v>
      </c>
      <c r="D431">
        <v>36.880000000000003</v>
      </c>
      <c r="E431">
        <v>36.979999999999997</v>
      </c>
      <c r="F431">
        <v>1441996</v>
      </c>
    </row>
    <row r="432" spans="1:6">
      <c r="A432" s="39">
        <v>42768</v>
      </c>
      <c r="B432">
        <v>36.93</v>
      </c>
      <c r="C432">
        <v>36.979999999999997</v>
      </c>
      <c r="D432">
        <v>36.83</v>
      </c>
      <c r="E432">
        <v>36.89</v>
      </c>
      <c r="F432">
        <v>843240</v>
      </c>
    </row>
    <row r="433" spans="1:6">
      <c r="A433" s="39">
        <v>42769</v>
      </c>
      <c r="B433">
        <v>37.01</v>
      </c>
      <c r="C433">
        <v>37.159999999999997</v>
      </c>
      <c r="D433">
        <v>36.99</v>
      </c>
      <c r="E433">
        <v>37.090000000000003</v>
      </c>
      <c r="F433">
        <v>650302</v>
      </c>
    </row>
    <row r="434" spans="1:6">
      <c r="A434" s="39">
        <v>42772</v>
      </c>
      <c r="B434">
        <v>36.93</v>
      </c>
      <c r="C434">
        <v>37.020000000000003</v>
      </c>
      <c r="D434">
        <v>36.869999999999997</v>
      </c>
      <c r="E434">
        <v>37.020000000000003</v>
      </c>
      <c r="F434">
        <v>534219</v>
      </c>
    </row>
    <row r="435" spans="1:6">
      <c r="A435" s="39">
        <v>42773</v>
      </c>
      <c r="B435">
        <v>37.049999999999997</v>
      </c>
      <c r="C435">
        <v>37.17</v>
      </c>
      <c r="D435">
        <v>37.020000000000003</v>
      </c>
      <c r="E435">
        <v>37.1</v>
      </c>
      <c r="F435">
        <v>531321</v>
      </c>
    </row>
    <row r="436" spans="1:6">
      <c r="A436" s="39">
        <v>42774</v>
      </c>
      <c r="B436">
        <v>37.35</v>
      </c>
      <c r="C436">
        <v>37.380000000000003</v>
      </c>
      <c r="D436">
        <v>37.29</v>
      </c>
      <c r="E436">
        <v>37.299999999999997</v>
      </c>
      <c r="F436">
        <v>894733</v>
      </c>
    </row>
    <row r="437" spans="1:6">
      <c r="A437" s="39">
        <v>42775</v>
      </c>
      <c r="B437">
        <v>37.58</v>
      </c>
      <c r="C437">
        <v>37.58</v>
      </c>
      <c r="D437">
        <v>37.42</v>
      </c>
      <c r="E437">
        <v>37.46</v>
      </c>
      <c r="F437">
        <v>917795</v>
      </c>
    </row>
    <row r="438" spans="1:6">
      <c r="A438" s="39">
        <v>42776</v>
      </c>
      <c r="B438">
        <v>37.32</v>
      </c>
      <c r="C438">
        <v>37.54</v>
      </c>
      <c r="D438">
        <v>37.299999999999997</v>
      </c>
      <c r="E438">
        <v>37.5</v>
      </c>
      <c r="F438">
        <v>369410</v>
      </c>
    </row>
    <row r="439" spans="1:6">
      <c r="A439" s="39">
        <v>42779</v>
      </c>
      <c r="B439">
        <v>37.4</v>
      </c>
      <c r="C439">
        <v>37.43</v>
      </c>
      <c r="D439">
        <v>37.31</v>
      </c>
      <c r="E439">
        <v>37.39</v>
      </c>
      <c r="F439">
        <v>443683</v>
      </c>
    </row>
    <row r="440" spans="1:6">
      <c r="A440" s="39">
        <v>42780</v>
      </c>
      <c r="B440">
        <v>37.409999999999997</v>
      </c>
      <c r="C440">
        <v>37.42</v>
      </c>
      <c r="D440">
        <v>37.17</v>
      </c>
      <c r="E440">
        <v>37.4</v>
      </c>
      <c r="F440">
        <v>626971</v>
      </c>
    </row>
    <row r="441" spans="1:6">
      <c r="A441" s="39">
        <v>42781</v>
      </c>
      <c r="B441">
        <v>37.200000000000003</v>
      </c>
      <c r="C441">
        <v>37.47</v>
      </c>
      <c r="D441">
        <v>37.200000000000003</v>
      </c>
      <c r="E441">
        <v>37.47</v>
      </c>
      <c r="F441">
        <v>3006634</v>
      </c>
    </row>
    <row r="442" spans="1:6">
      <c r="A442" s="39">
        <v>42782</v>
      </c>
      <c r="B442">
        <v>37.369999999999997</v>
      </c>
      <c r="C442">
        <v>37.53</v>
      </c>
      <c r="D442">
        <v>37.340000000000003</v>
      </c>
      <c r="E442">
        <v>37.5</v>
      </c>
      <c r="F442">
        <v>1052245</v>
      </c>
    </row>
    <row r="443" spans="1:6">
      <c r="A443" s="39">
        <v>42783</v>
      </c>
      <c r="B443">
        <v>37.43</v>
      </c>
      <c r="C443">
        <v>37.47</v>
      </c>
      <c r="D443">
        <v>37.36</v>
      </c>
      <c r="E443">
        <v>37.46</v>
      </c>
      <c r="F443">
        <v>638666</v>
      </c>
    </row>
    <row r="444" spans="1:6">
      <c r="A444" s="39">
        <v>42787</v>
      </c>
      <c r="B444">
        <v>37.299999999999997</v>
      </c>
      <c r="C444">
        <v>37.39</v>
      </c>
      <c r="D444">
        <v>37.28</v>
      </c>
      <c r="E444">
        <v>37.369999999999997</v>
      </c>
      <c r="F444">
        <v>2890682</v>
      </c>
    </row>
    <row r="445" spans="1:6">
      <c r="A445" s="39">
        <v>42788</v>
      </c>
      <c r="B445">
        <v>37.24</v>
      </c>
      <c r="C445">
        <v>37.47</v>
      </c>
      <c r="D445">
        <v>37.24</v>
      </c>
      <c r="E445">
        <v>37.46</v>
      </c>
      <c r="F445">
        <v>1380473</v>
      </c>
    </row>
    <row r="446" spans="1:6">
      <c r="A446" s="39">
        <v>42789</v>
      </c>
      <c r="B446">
        <v>37.6</v>
      </c>
      <c r="C446">
        <v>37.700000000000003</v>
      </c>
      <c r="D446">
        <v>37.56</v>
      </c>
      <c r="E446">
        <v>37.630000000000003</v>
      </c>
      <c r="F446">
        <v>469581</v>
      </c>
    </row>
    <row r="447" spans="1:6">
      <c r="A447" s="39">
        <v>42790</v>
      </c>
      <c r="B447">
        <v>37.409999999999997</v>
      </c>
      <c r="C447">
        <v>37.58</v>
      </c>
      <c r="D447">
        <v>37.4</v>
      </c>
      <c r="E447">
        <v>37.549999999999997</v>
      </c>
      <c r="F447">
        <v>329976</v>
      </c>
    </row>
    <row r="448" spans="1:6">
      <c r="A448" s="39">
        <v>42793</v>
      </c>
      <c r="B448">
        <v>37.4</v>
      </c>
      <c r="C448">
        <v>37.46</v>
      </c>
      <c r="D448">
        <v>37.299999999999997</v>
      </c>
      <c r="E448">
        <v>37.4</v>
      </c>
      <c r="F448">
        <v>632196</v>
      </c>
    </row>
    <row r="449" spans="1:6">
      <c r="A449" s="39">
        <v>42794</v>
      </c>
      <c r="B449">
        <v>37.35</v>
      </c>
      <c r="C449">
        <v>37.49</v>
      </c>
      <c r="D449">
        <v>37.340000000000003</v>
      </c>
      <c r="E449">
        <v>37.4</v>
      </c>
      <c r="F449">
        <v>585050</v>
      </c>
    </row>
    <row r="450" spans="1:6">
      <c r="A450" s="39">
        <v>42795</v>
      </c>
      <c r="B450">
        <v>37.32</v>
      </c>
      <c r="C450">
        <v>37.51</v>
      </c>
      <c r="D450">
        <v>37.299999999999997</v>
      </c>
      <c r="E450">
        <v>37.43</v>
      </c>
      <c r="F450">
        <v>502952</v>
      </c>
    </row>
    <row r="451" spans="1:6">
      <c r="A451" s="39">
        <v>42796</v>
      </c>
      <c r="B451">
        <v>37.020000000000003</v>
      </c>
      <c r="C451">
        <v>37.07</v>
      </c>
      <c r="D451">
        <v>36.93</v>
      </c>
      <c r="E451">
        <v>36.96</v>
      </c>
      <c r="F451">
        <v>414787</v>
      </c>
    </row>
    <row r="452" spans="1:6">
      <c r="A452" s="39">
        <v>42797</v>
      </c>
      <c r="B452">
        <v>36.96</v>
      </c>
      <c r="C452">
        <v>37.15</v>
      </c>
      <c r="D452">
        <v>36.93</v>
      </c>
      <c r="E452">
        <v>37.11</v>
      </c>
      <c r="F452">
        <v>997619</v>
      </c>
    </row>
    <row r="453" spans="1:6">
      <c r="A453" s="39">
        <v>42800</v>
      </c>
      <c r="B453">
        <v>37.1</v>
      </c>
      <c r="C453">
        <v>37.1</v>
      </c>
      <c r="D453">
        <v>36.97</v>
      </c>
      <c r="E453">
        <v>37.049999999999997</v>
      </c>
      <c r="F453">
        <v>321689</v>
      </c>
    </row>
    <row r="454" spans="1:6">
      <c r="A454" s="39">
        <v>42801</v>
      </c>
      <c r="B454">
        <v>36.880000000000003</v>
      </c>
      <c r="C454">
        <v>36.93</v>
      </c>
      <c r="D454">
        <v>36.840000000000003</v>
      </c>
      <c r="E454">
        <v>36.869999999999997</v>
      </c>
      <c r="F454">
        <v>689886</v>
      </c>
    </row>
    <row r="455" spans="1:6">
      <c r="A455" s="39">
        <v>42802</v>
      </c>
      <c r="B455">
        <v>36.75</v>
      </c>
      <c r="C455">
        <v>36.75</v>
      </c>
      <c r="D455">
        <v>36.54</v>
      </c>
      <c r="E455">
        <v>36.549999999999997</v>
      </c>
      <c r="F455">
        <v>1292860</v>
      </c>
    </row>
    <row r="456" spans="1:6">
      <c r="A456" s="39">
        <v>42803</v>
      </c>
      <c r="B456">
        <v>36.57</v>
      </c>
      <c r="C456">
        <v>36.65</v>
      </c>
      <c r="D456">
        <v>36.520000000000003</v>
      </c>
      <c r="E456">
        <v>36.57</v>
      </c>
      <c r="F456">
        <v>585418</v>
      </c>
    </row>
    <row r="457" spans="1:6">
      <c r="A457" s="39">
        <v>42804</v>
      </c>
      <c r="B457">
        <v>36.53</v>
      </c>
      <c r="C457">
        <v>36.6</v>
      </c>
      <c r="D457">
        <v>36.46</v>
      </c>
      <c r="E457">
        <v>36.58</v>
      </c>
      <c r="F457">
        <v>504888</v>
      </c>
    </row>
    <row r="458" spans="1:6">
      <c r="A458" s="39">
        <v>42807</v>
      </c>
      <c r="B458">
        <v>36.6</v>
      </c>
      <c r="C458">
        <v>36.700000000000003</v>
      </c>
      <c r="D458">
        <v>36.6</v>
      </c>
      <c r="E458">
        <v>36.65</v>
      </c>
      <c r="F458">
        <v>1138902</v>
      </c>
    </row>
    <row r="459" spans="1:6">
      <c r="A459" s="39">
        <v>42808</v>
      </c>
      <c r="B459">
        <v>36.340000000000003</v>
      </c>
      <c r="C459">
        <v>36.39</v>
      </c>
      <c r="D459">
        <v>36.28</v>
      </c>
      <c r="E459">
        <v>36.35</v>
      </c>
      <c r="F459">
        <v>391456</v>
      </c>
    </row>
    <row r="460" spans="1:6">
      <c r="A460" s="39">
        <v>42809</v>
      </c>
      <c r="B460">
        <v>36.450000000000003</v>
      </c>
      <c r="C460">
        <v>36.96</v>
      </c>
      <c r="D460">
        <v>36.39</v>
      </c>
      <c r="E460">
        <v>36.93</v>
      </c>
      <c r="F460">
        <v>625970</v>
      </c>
    </row>
    <row r="461" spans="1:6">
      <c r="A461" s="39">
        <v>42810</v>
      </c>
      <c r="B461">
        <v>37.31</v>
      </c>
      <c r="C461">
        <v>37.39</v>
      </c>
      <c r="D461">
        <v>37.270000000000003</v>
      </c>
      <c r="E461">
        <v>37.369999999999997</v>
      </c>
      <c r="F461">
        <v>408836</v>
      </c>
    </row>
    <row r="462" spans="1:6">
      <c r="A462" s="39">
        <v>42811</v>
      </c>
      <c r="B462">
        <v>37.229999999999997</v>
      </c>
      <c r="C462">
        <v>37.39</v>
      </c>
      <c r="D462">
        <v>37.22</v>
      </c>
      <c r="E462">
        <v>37.270000000000003</v>
      </c>
      <c r="F462">
        <v>317050</v>
      </c>
    </row>
    <row r="463" spans="1:6">
      <c r="A463" s="39">
        <v>42814</v>
      </c>
      <c r="B463">
        <v>37.299999999999997</v>
      </c>
      <c r="C463">
        <v>37.39</v>
      </c>
      <c r="D463">
        <v>37.24</v>
      </c>
      <c r="E463">
        <v>37.29</v>
      </c>
      <c r="F463">
        <v>504280</v>
      </c>
    </row>
    <row r="464" spans="1:6">
      <c r="A464" s="39">
        <v>42815</v>
      </c>
      <c r="B464">
        <v>37.29</v>
      </c>
      <c r="C464">
        <v>37.35</v>
      </c>
      <c r="D464">
        <v>37.01</v>
      </c>
      <c r="E464">
        <v>37.020000000000003</v>
      </c>
      <c r="F464">
        <v>721100</v>
      </c>
    </row>
    <row r="465" spans="1:6">
      <c r="A465" s="39">
        <v>42816</v>
      </c>
      <c r="B465">
        <v>37.090000000000003</v>
      </c>
      <c r="C465">
        <v>37.22</v>
      </c>
      <c r="D465">
        <v>37.08</v>
      </c>
      <c r="E465">
        <v>37.119999999999997</v>
      </c>
      <c r="F465">
        <v>732824</v>
      </c>
    </row>
    <row r="466" spans="1:6">
      <c r="A466" s="39">
        <v>42817</v>
      </c>
      <c r="B466">
        <v>37.17</v>
      </c>
      <c r="C466">
        <v>37.35</v>
      </c>
      <c r="D466">
        <v>37.14</v>
      </c>
      <c r="E466">
        <v>37.270000000000003</v>
      </c>
      <c r="F466">
        <v>435030</v>
      </c>
    </row>
    <row r="467" spans="1:6">
      <c r="A467" s="39">
        <v>42818</v>
      </c>
      <c r="B467">
        <v>37.29</v>
      </c>
      <c r="C467">
        <v>37.43</v>
      </c>
      <c r="D467">
        <v>37.28</v>
      </c>
      <c r="E467">
        <v>37.380000000000003</v>
      </c>
      <c r="F467">
        <v>451514</v>
      </c>
    </row>
    <row r="468" spans="1:6">
      <c r="A468" s="39">
        <v>42821</v>
      </c>
      <c r="B468">
        <v>37.409999999999997</v>
      </c>
      <c r="C468">
        <v>37.46</v>
      </c>
      <c r="D468">
        <v>37.36</v>
      </c>
      <c r="E468">
        <v>37.36</v>
      </c>
      <c r="F468">
        <v>855535</v>
      </c>
    </row>
    <row r="469" spans="1:6">
      <c r="A469" s="39">
        <v>42822</v>
      </c>
      <c r="B469">
        <v>37.35</v>
      </c>
      <c r="C469">
        <v>37.4</v>
      </c>
      <c r="D469">
        <v>37.299999999999997</v>
      </c>
      <c r="E469">
        <v>37.33</v>
      </c>
      <c r="F469">
        <v>591110</v>
      </c>
    </row>
    <row r="470" spans="1:6">
      <c r="A470" s="39">
        <v>42823</v>
      </c>
      <c r="B470">
        <v>37.32</v>
      </c>
      <c r="C470">
        <v>37.44</v>
      </c>
      <c r="D470">
        <v>37.299999999999997</v>
      </c>
      <c r="E470">
        <v>37.43</v>
      </c>
      <c r="F470">
        <v>334474</v>
      </c>
    </row>
    <row r="471" spans="1:6">
      <c r="A471" s="39">
        <v>42824</v>
      </c>
      <c r="B471">
        <v>37.33</v>
      </c>
      <c r="C471">
        <v>37.36</v>
      </c>
      <c r="D471">
        <v>37.229999999999997</v>
      </c>
      <c r="E471">
        <v>37.229999999999997</v>
      </c>
      <c r="F471">
        <v>383958</v>
      </c>
    </row>
    <row r="472" spans="1:6">
      <c r="A472" s="39">
        <v>42825</v>
      </c>
      <c r="B472">
        <v>37.200000000000003</v>
      </c>
      <c r="C472">
        <v>37.43</v>
      </c>
      <c r="D472">
        <v>37.200000000000003</v>
      </c>
      <c r="E472">
        <v>37.4</v>
      </c>
      <c r="F472">
        <v>301611</v>
      </c>
    </row>
    <row r="473" spans="1:6">
      <c r="A473" s="39">
        <v>42828</v>
      </c>
      <c r="B473">
        <v>37.200000000000003</v>
      </c>
      <c r="C473">
        <v>37.380000000000003</v>
      </c>
      <c r="D473">
        <v>37.119999999999997</v>
      </c>
      <c r="E473">
        <v>37.36</v>
      </c>
      <c r="F473">
        <v>534346</v>
      </c>
    </row>
    <row r="474" spans="1:6">
      <c r="A474" s="39">
        <v>42829</v>
      </c>
      <c r="B474">
        <v>37.380000000000003</v>
      </c>
      <c r="C474">
        <v>37.44</v>
      </c>
      <c r="D474">
        <v>37.299999999999997</v>
      </c>
      <c r="E474">
        <v>37.44</v>
      </c>
      <c r="F474">
        <v>468811</v>
      </c>
    </row>
    <row r="475" spans="1:6">
      <c r="A475" s="39">
        <v>42830</v>
      </c>
      <c r="B475">
        <v>37.450000000000003</v>
      </c>
      <c r="C475">
        <v>37.549999999999997</v>
      </c>
      <c r="D475">
        <v>37.380000000000003</v>
      </c>
      <c r="E475">
        <v>37.380000000000003</v>
      </c>
      <c r="F475">
        <v>1684768</v>
      </c>
    </row>
    <row r="476" spans="1:6">
      <c r="A476" s="39">
        <v>42831</v>
      </c>
      <c r="B476">
        <v>37.619999999999997</v>
      </c>
      <c r="C476">
        <v>37.74</v>
      </c>
      <c r="D476">
        <v>37.619999999999997</v>
      </c>
      <c r="E476">
        <v>37.72</v>
      </c>
      <c r="F476">
        <v>1695329</v>
      </c>
    </row>
    <row r="477" spans="1:6">
      <c r="A477" s="39">
        <v>42832</v>
      </c>
      <c r="B477">
        <v>37.729999999999997</v>
      </c>
      <c r="C477">
        <v>37.81</v>
      </c>
      <c r="D477">
        <v>37.69</v>
      </c>
      <c r="E477">
        <v>37.72</v>
      </c>
      <c r="F477">
        <v>356823</v>
      </c>
    </row>
    <row r="478" spans="1:6">
      <c r="A478" s="39">
        <v>42835</v>
      </c>
      <c r="B478">
        <v>37.58</v>
      </c>
      <c r="C478">
        <v>37.58</v>
      </c>
      <c r="D478">
        <v>37.49</v>
      </c>
      <c r="E478">
        <v>37.57</v>
      </c>
      <c r="F478">
        <v>296971</v>
      </c>
    </row>
    <row r="479" spans="1:6">
      <c r="A479" s="39">
        <v>42836</v>
      </c>
      <c r="B479">
        <v>37.729999999999997</v>
      </c>
      <c r="C479">
        <v>37.909999999999997</v>
      </c>
      <c r="D479">
        <v>37.67</v>
      </c>
      <c r="E479">
        <v>37.909999999999997</v>
      </c>
      <c r="F479">
        <v>408522</v>
      </c>
    </row>
    <row r="480" spans="1:6">
      <c r="A480" s="39">
        <v>42837</v>
      </c>
      <c r="B480">
        <v>38.020000000000003</v>
      </c>
      <c r="C480">
        <v>38.130000000000003</v>
      </c>
      <c r="D480">
        <v>37.92</v>
      </c>
      <c r="E480">
        <v>38.130000000000003</v>
      </c>
      <c r="F480">
        <v>763212</v>
      </c>
    </row>
    <row r="481" spans="1:6">
      <c r="A481" s="39">
        <v>42838</v>
      </c>
      <c r="B481">
        <v>38.11</v>
      </c>
      <c r="C481">
        <v>38.18</v>
      </c>
      <c r="D481">
        <v>38.049999999999997</v>
      </c>
      <c r="E481">
        <v>38.049999999999997</v>
      </c>
      <c r="F481">
        <v>614656</v>
      </c>
    </row>
    <row r="482" spans="1:6">
      <c r="A482" s="39">
        <v>42842</v>
      </c>
      <c r="B482">
        <v>38.42</v>
      </c>
      <c r="C482">
        <v>38.53</v>
      </c>
      <c r="D482">
        <v>38.42</v>
      </c>
      <c r="E482">
        <v>38.479999999999997</v>
      </c>
      <c r="F482">
        <v>260035</v>
      </c>
    </row>
    <row r="483" spans="1:6">
      <c r="A483" s="39">
        <v>42843</v>
      </c>
      <c r="B483">
        <v>38.299999999999997</v>
      </c>
      <c r="C483">
        <v>38.51</v>
      </c>
      <c r="D483">
        <v>38.270000000000003</v>
      </c>
      <c r="E483">
        <v>38.5</v>
      </c>
      <c r="F483">
        <v>417184</v>
      </c>
    </row>
    <row r="484" spans="1:6">
      <c r="A484" s="39">
        <v>42844</v>
      </c>
      <c r="B484">
        <v>38.33</v>
      </c>
      <c r="C484">
        <v>38.340000000000003</v>
      </c>
      <c r="D484">
        <v>38.119999999999997</v>
      </c>
      <c r="E484">
        <v>38.18</v>
      </c>
      <c r="F484">
        <v>334895</v>
      </c>
    </row>
    <row r="485" spans="1:6">
      <c r="A485" s="39">
        <v>42845</v>
      </c>
      <c r="B485">
        <v>38.33</v>
      </c>
      <c r="C485">
        <v>38.380000000000003</v>
      </c>
      <c r="D485">
        <v>38.28</v>
      </c>
      <c r="E485">
        <v>38.33</v>
      </c>
      <c r="F485">
        <v>1691607</v>
      </c>
    </row>
    <row r="486" spans="1:6">
      <c r="A486" s="39">
        <v>42846</v>
      </c>
      <c r="B486">
        <v>38.159999999999997</v>
      </c>
      <c r="C486">
        <v>38.18</v>
      </c>
      <c r="D486">
        <v>38.08</v>
      </c>
      <c r="E486">
        <v>38.14</v>
      </c>
      <c r="F486">
        <v>453807</v>
      </c>
    </row>
    <row r="487" spans="1:6">
      <c r="A487" s="39">
        <v>42849</v>
      </c>
      <c r="B487">
        <v>38.340000000000003</v>
      </c>
      <c r="C487">
        <v>38.42</v>
      </c>
      <c r="D487">
        <v>38.26</v>
      </c>
      <c r="E487">
        <v>38.33</v>
      </c>
      <c r="F487">
        <v>517339</v>
      </c>
    </row>
    <row r="488" spans="1:6">
      <c r="A488" s="39">
        <v>42850</v>
      </c>
      <c r="B488">
        <v>38.47</v>
      </c>
      <c r="C488">
        <v>38.56</v>
      </c>
      <c r="D488">
        <v>38.46</v>
      </c>
      <c r="E488">
        <v>38.49</v>
      </c>
      <c r="F488">
        <v>277523</v>
      </c>
    </row>
    <row r="489" spans="1:6">
      <c r="A489" s="39">
        <v>42851</v>
      </c>
      <c r="B489">
        <v>38.33</v>
      </c>
      <c r="C489">
        <v>38.44</v>
      </c>
      <c r="D489">
        <v>38.299999999999997</v>
      </c>
      <c r="E489">
        <v>38.35</v>
      </c>
      <c r="F489">
        <v>302610</v>
      </c>
    </row>
    <row r="490" spans="1:6">
      <c r="A490" s="39">
        <v>42852</v>
      </c>
      <c r="B490">
        <v>38.32</v>
      </c>
      <c r="C490">
        <v>38.4</v>
      </c>
      <c r="D490">
        <v>38.25</v>
      </c>
      <c r="E490">
        <v>38.4</v>
      </c>
      <c r="F490">
        <v>293996</v>
      </c>
    </row>
    <row r="491" spans="1:6">
      <c r="A491" s="39">
        <v>42853</v>
      </c>
      <c r="B491">
        <v>38.15</v>
      </c>
      <c r="C491">
        <v>38.19</v>
      </c>
      <c r="D491">
        <v>38.1</v>
      </c>
      <c r="E491">
        <v>38.18</v>
      </c>
      <c r="F491">
        <v>627183</v>
      </c>
    </row>
    <row r="492" spans="1:6">
      <c r="A492" s="39">
        <v>42856</v>
      </c>
      <c r="B492">
        <v>38.299999999999997</v>
      </c>
      <c r="C492">
        <v>38.32</v>
      </c>
      <c r="D492">
        <v>38.18</v>
      </c>
      <c r="E492">
        <v>38.18</v>
      </c>
      <c r="F492">
        <v>1129086</v>
      </c>
    </row>
    <row r="493" spans="1:6">
      <c r="A493" s="39">
        <v>42857</v>
      </c>
      <c r="B493">
        <v>38.5</v>
      </c>
      <c r="C493">
        <v>38.61</v>
      </c>
      <c r="D493">
        <v>38.49</v>
      </c>
      <c r="E493">
        <v>38.61</v>
      </c>
      <c r="F493">
        <v>545552</v>
      </c>
    </row>
    <row r="494" spans="1:6">
      <c r="A494" s="39">
        <v>42858</v>
      </c>
      <c r="B494">
        <v>38.46</v>
      </c>
      <c r="C494">
        <v>38.49</v>
      </c>
      <c r="D494">
        <v>38.39</v>
      </c>
      <c r="E494">
        <v>38.43</v>
      </c>
      <c r="F494">
        <v>437142</v>
      </c>
    </row>
    <row r="495" spans="1:6">
      <c r="A495" s="39">
        <v>42859</v>
      </c>
      <c r="B495">
        <v>38.28</v>
      </c>
      <c r="C495">
        <v>38.36</v>
      </c>
      <c r="D495">
        <v>38.26</v>
      </c>
      <c r="E495">
        <v>38.35</v>
      </c>
      <c r="F495">
        <v>424654</v>
      </c>
    </row>
    <row r="496" spans="1:6">
      <c r="A496" s="39">
        <v>42860</v>
      </c>
      <c r="B496">
        <v>38.33</v>
      </c>
      <c r="C496">
        <v>38.619999999999997</v>
      </c>
      <c r="D496">
        <v>38.299999999999997</v>
      </c>
      <c r="E496">
        <v>38.57</v>
      </c>
      <c r="F496">
        <v>317210</v>
      </c>
    </row>
    <row r="497" spans="1:6">
      <c r="A497" s="39">
        <v>42863</v>
      </c>
      <c r="B497">
        <v>38.659999999999997</v>
      </c>
      <c r="C497">
        <v>38.659999999999997</v>
      </c>
      <c r="D497">
        <v>38.479999999999997</v>
      </c>
      <c r="E497">
        <v>38.57</v>
      </c>
      <c r="F497">
        <v>979392</v>
      </c>
    </row>
    <row r="498" spans="1:6">
      <c r="A498" s="39">
        <v>42864</v>
      </c>
      <c r="B498">
        <v>38.5</v>
      </c>
      <c r="C498">
        <v>38.57</v>
      </c>
      <c r="D498">
        <v>38.47</v>
      </c>
      <c r="E498">
        <v>38.53</v>
      </c>
      <c r="F498">
        <v>365438</v>
      </c>
    </row>
    <row r="499" spans="1:6">
      <c r="A499" s="39">
        <v>42865</v>
      </c>
      <c r="B499">
        <v>38.520000000000003</v>
      </c>
      <c r="C499">
        <v>38.6</v>
      </c>
      <c r="D499">
        <v>38.5</v>
      </c>
      <c r="E499">
        <v>38.57</v>
      </c>
      <c r="F499">
        <v>553671</v>
      </c>
    </row>
    <row r="500" spans="1:6">
      <c r="A500" s="39">
        <v>42866</v>
      </c>
      <c r="B500">
        <v>38.450000000000003</v>
      </c>
      <c r="C500">
        <v>38.590000000000003</v>
      </c>
      <c r="D500">
        <v>38.42</v>
      </c>
      <c r="E500">
        <v>38.590000000000003</v>
      </c>
      <c r="F500">
        <v>549813</v>
      </c>
    </row>
    <row r="501" spans="1:6">
      <c r="A501" s="39">
        <v>42867</v>
      </c>
      <c r="B501">
        <v>38.54</v>
      </c>
      <c r="C501">
        <v>38.659999999999997</v>
      </c>
      <c r="D501">
        <v>38.520000000000003</v>
      </c>
      <c r="E501">
        <v>38.659999999999997</v>
      </c>
      <c r="F501">
        <v>661064</v>
      </c>
    </row>
    <row r="502" spans="1:6">
      <c r="A502" s="39">
        <v>42870</v>
      </c>
      <c r="B502">
        <v>38.82</v>
      </c>
      <c r="C502">
        <v>38.880000000000003</v>
      </c>
      <c r="D502">
        <v>38.78</v>
      </c>
      <c r="E502">
        <v>38.86</v>
      </c>
      <c r="F502">
        <v>203418</v>
      </c>
    </row>
    <row r="503" spans="1:6">
      <c r="A503" s="39">
        <v>42871</v>
      </c>
      <c r="B503">
        <v>38.79</v>
      </c>
      <c r="C503">
        <v>38.9</v>
      </c>
      <c r="D503">
        <v>38.78</v>
      </c>
      <c r="E503">
        <v>38.869999999999997</v>
      </c>
      <c r="F503">
        <v>481453</v>
      </c>
    </row>
    <row r="504" spans="1:6">
      <c r="A504" s="39">
        <v>42872</v>
      </c>
      <c r="B504">
        <v>38.82</v>
      </c>
      <c r="C504">
        <v>38.880000000000003</v>
      </c>
      <c r="D504">
        <v>38.729999999999997</v>
      </c>
      <c r="E504">
        <v>38.729999999999997</v>
      </c>
      <c r="F504">
        <v>757931</v>
      </c>
    </row>
    <row r="505" spans="1:6">
      <c r="A505" s="39">
        <v>42873</v>
      </c>
      <c r="B505">
        <v>38.54</v>
      </c>
      <c r="C505">
        <v>38.67</v>
      </c>
      <c r="D505">
        <v>38.54</v>
      </c>
      <c r="E505">
        <v>38.6</v>
      </c>
      <c r="F505">
        <v>730265</v>
      </c>
    </row>
    <row r="506" spans="1:6">
      <c r="A506" s="39">
        <v>42874</v>
      </c>
      <c r="B506">
        <v>38.75</v>
      </c>
      <c r="C506">
        <v>38.83</v>
      </c>
      <c r="D506">
        <v>38.71</v>
      </c>
      <c r="E506">
        <v>38.83</v>
      </c>
      <c r="F506">
        <v>236674</v>
      </c>
    </row>
  </sheetData>
  <sortState ref="A3:F506">
    <sortCondition ref="A3:A506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06"/>
  <sheetViews>
    <sheetView workbookViewId="0"/>
  </sheetViews>
  <sheetFormatPr defaultRowHeight="15"/>
  <cols>
    <col min="1" max="7" width="10.7109375" customWidth="1"/>
  </cols>
  <sheetData>
    <row r="1" spans="1:6">
      <c r="A1" t="s">
        <v>54</v>
      </c>
    </row>
    <row r="2" spans="1:6">
      <c r="A2" t="s">
        <v>26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</row>
    <row r="3" spans="1:6">
      <c r="A3" s="39">
        <v>42145</v>
      </c>
      <c r="B3">
        <v>18.100000000000001</v>
      </c>
      <c r="C3">
        <v>18.25</v>
      </c>
      <c r="D3">
        <v>18.100000000000001</v>
      </c>
      <c r="E3">
        <v>18.190000000000001</v>
      </c>
      <c r="F3">
        <v>974766</v>
      </c>
    </row>
    <row r="4" spans="1:6">
      <c r="A4" s="39">
        <v>42146</v>
      </c>
      <c r="B4">
        <v>18.04</v>
      </c>
      <c r="C4">
        <v>18.07</v>
      </c>
      <c r="D4">
        <v>17.96</v>
      </c>
      <c r="E4">
        <v>17.989999999999998</v>
      </c>
      <c r="F4">
        <v>1452212</v>
      </c>
    </row>
    <row r="5" spans="1:6">
      <c r="A5" s="39">
        <v>42150</v>
      </c>
      <c r="B5">
        <v>17.78</v>
      </c>
      <c r="C5">
        <v>17.809999999999999</v>
      </c>
      <c r="D5">
        <v>17.579999999999998</v>
      </c>
      <c r="E5">
        <v>17.64</v>
      </c>
      <c r="F5">
        <v>1366939</v>
      </c>
    </row>
    <row r="6" spans="1:6">
      <c r="A6" s="39">
        <v>42151</v>
      </c>
      <c r="B6">
        <v>17.489999999999998</v>
      </c>
      <c r="C6">
        <v>17.559999999999999</v>
      </c>
      <c r="D6">
        <v>17.37</v>
      </c>
      <c r="E6">
        <v>17.399999999999999</v>
      </c>
      <c r="F6">
        <v>1392367</v>
      </c>
    </row>
    <row r="7" spans="1:6">
      <c r="A7" s="39">
        <v>42152</v>
      </c>
      <c r="B7">
        <v>17.38</v>
      </c>
      <c r="C7">
        <v>17.5</v>
      </c>
      <c r="D7">
        <v>17.3</v>
      </c>
      <c r="E7">
        <v>17.489999999999998</v>
      </c>
      <c r="F7">
        <v>3380418</v>
      </c>
    </row>
    <row r="8" spans="1:6">
      <c r="A8" s="39">
        <v>42153</v>
      </c>
      <c r="B8">
        <v>17.48</v>
      </c>
      <c r="C8">
        <v>17.75</v>
      </c>
      <c r="D8">
        <v>17.46</v>
      </c>
      <c r="E8">
        <v>17.71</v>
      </c>
      <c r="F8">
        <v>1347675</v>
      </c>
    </row>
    <row r="9" spans="1:6">
      <c r="A9" s="39">
        <v>42156</v>
      </c>
      <c r="B9">
        <v>17.68</v>
      </c>
      <c r="C9">
        <v>17.760000000000002</v>
      </c>
      <c r="D9">
        <v>17.600000000000001</v>
      </c>
      <c r="E9">
        <v>17.670000000000002</v>
      </c>
      <c r="F9">
        <v>2012975</v>
      </c>
    </row>
    <row r="10" spans="1:6">
      <c r="A10" s="39">
        <v>42157</v>
      </c>
      <c r="B10">
        <v>17.78</v>
      </c>
      <c r="C10">
        <v>17.899999999999999</v>
      </c>
      <c r="D10">
        <v>17.72</v>
      </c>
      <c r="E10">
        <v>17.88</v>
      </c>
      <c r="F10">
        <v>1085513</v>
      </c>
    </row>
    <row r="11" spans="1:6">
      <c r="A11" s="39">
        <v>42158</v>
      </c>
      <c r="B11">
        <v>17.8</v>
      </c>
      <c r="C11">
        <v>17.86</v>
      </c>
      <c r="D11">
        <v>17.62</v>
      </c>
      <c r="E11">
        <v>17.649999999999999</v>
      </c>
      <c r="F11">
        <v>1091185</v>
      </c>
    </row>
    <row r="12" spans="1:6">
      <c r="A12" s="39">
        <v>42159</v>
      </c>
      <c r="B12">
        <v>17.55</v>
      </c>
      <c r="C12">
        <v>17.559999999999999</v>
      </c>
      <c r="D12">
        <v>17.420000000000002</v>
      </c>
      <c r="E12">
        <v>17.489999999999998</v>
      </c>
      <c r="F12">
        <v>1296652</v>
      </c>
    </row>
    <row r="13" spans="1:6">
      <c r="A13" s="39">
        <v>42160</v>
      </c>
      <c r="B13">
        <v>17.32</v>
      </c>
      <c r="C13">
        <v>17.579999999999998</v>
      </c>
      <c r="D13">
        <v>17.28</v>
      </c>
      <c r="E13">
        <v>17.57</v>
      </c>
      <c r="F13">
        <v>1161407</v>
      </c>
    </row>
    <row r="14" spans="1:6">
      <c r="A14" s="39">
        <v>42163</v>
      </c>
      <c r="B14">
        <v>17.55</v>
      </c>
      <c r="C14">
        <v>17.61</v>
      </c>
      <c r="D14">
        <v>17.52</v>
      </c>
      <c r="E14">
        <v>17.579999999999998</v>
      </c>
      <c r="F14">
        <v>1448986</v>
      </c>
    </row>
    <row r="15" spans="1:6">
      <c r="A15" s="39">
        <v>42164</v>
      </c>
      <c r="B15">
        <v>17.84</v>
      </c>
      <c r="C15">
        <v>17.920000000000002</v>
      </c>
      <c r="D15">
        <v>17.809999999999999</v>
      </c>
      <c r="E15">
        <v>17.86</v>
      </c>
      <c r="F15">
        <v>1221809</v>
      </c>
    </row>
    <row r="16" spans="1:6">
      <c r="A16" s="39">
        <v>42165</v>
      </c>
      <c r="B16">
        <v>18.05</v>
      </c>
      <c r="C16">
        <v>18.079999999999998</v>
      </c>
      <c r="D16">
        <v>17.899999999999999</v>
      </c>
      <c r="E16">
        <v>17.93</v>
      </c>
      <c r="F16">
        <v>1223425</v>
      </c>
    </row>
    <row r="17" spans="1:6">
      <c r="A17" s="39">
        <v>42166</v>
      </c>
      <c r="B17">
        <v>17.88</v>
      </c>
      <c r="C17">
        <v>17.88</v>
      </c>
      <c r="D17">
        <v>17.73</v>
      </c>
      <c r="E17">
        <v>17.77</v>
      </c>
      <c r="F17">
        <v>719085</v>
      </c>
    </row>
    <row r="18" spans="1:6">
      <c r="A18" s="39">
        <v>42167</v>
      </c>
      <c r="B18">
        <v>17.7</v>
      </c>
      <c r="C18">
        <v>17.739999999999998</v>
      </c>
      <c r="D18">
        <v>17.579999999999998</v>
      </c>
      <c r="E18">
        <v>17.59</v>
      </c>
      <c r="F18">
        <v>3527765</v>
      </c>
    </row>
    <row r="19" spans="1:6">
      <c r="A19" s="39">
        <v>42170</v>
      </c>
      <c r="B19">
        <v>17.47</v>
      </c>
      <c r="C19">
        <v>17.559999999999999</v>
      </c>
      <c r="D19">
        <v>17.46</v>
      </c>
      <c r="E19">
        <v>17.510000000000002</v>
      </c>
      <c r="F19">
        <v>1343849</v>
      </c>
    </row>
    <row r="20" spans="1:6">
      <c r="A20" s="39">
        <v>42171</v>
      </c>
      <c r="B20">
        <v>17.510000000000002</v>
      </c>
      <c r="C20">
        <v>17.59</v>
      </c>
      <c r="D20">
        <v>17.46</v>
      </c>
      <c r="E20">
        <v>17.559999999999999</v>
      </c>
      <c r="F20">
        <v>577092</v>
      </c>
    </row>
    <row r="21" spans="1:6">
      <c r="A21" s="39">
        <v>42172</v>
      </c>
      <c r="B21">
        <v>17.75</v>
      </c>
      <c r="C21">
        <v>17.8</v>
      </c>
      <c r="D21">
        <v>17.45</v>
      </c>
      <c r="E21">
        <v>17.61</v>
      </c>
      <c r="F21">
        <v>693925</v>
      </c>
    </row>
    <row r="22" spans="1:6">
      <c r="A22" s="39">
        <v>42173</v>
      </c>
      <c r="B22">
        <v>17.66</v>
      </c>
      <c r="C22">
        <v>17.690000000000001</v>
      </c>
      <c r="D22">
        <v>17.59</v>
      </c>
      <c r="E22">
        <v>17.61</v>
      </c>
      <c r="F22">
        <v>1668471</v>
      </c>
    </row>
    <row r="23" spans="1:6">
      <c r="A23" s="39">
        <v>42174</v>
      </c>
      <c r="B23">
        <v>17.420000000000002</v>
      </c>
      <c r="C23">
        <v>17.489999999999998</v>
      </c>
      <c r="D23">
        <v>17.36</v>
      </c>
      <c r="E23">
        <v>17.45</v>
      </c>
      <c r="F23">
        <v>1648645</v>
      </c>
    </row>
    <row r="24" spans="1:6">
      <c r="A24" s="39">
        <v>42177</v>
      </c>
      <c r="B24">
        <v>17.39</v>
      </c>
      <c r="C24">
        <v>17.55</v>
      </c>
      <c r="D24">
        <v>17.34</v>
      </c>
      <c r="E24">
        <v>17.510000000000002</v>
      </c>
      <c r="F24">
        <v>1015161</v>
      </c>
    </row>
    <row r="25" spans="1:6">
      <c r="A25" s="39">
        <v>42178</v>
      </c>
      <c r="B25">
        <v>17.48</v>
      </c>
      <c r="C25">
        <v>17.73</v>
      </c>
      <c r="D25">
        <v>17.47</v>
      </c>
      <c r="E25">
        <v>17.72</v>
      </c>
      <c r="F25">
        <v>630542</v>
      </c>
    </row>
    <row r="26" spans="1:6">
      <c r="A26" s="39">
        <v>42179</v>
      </c>
      <c r="B26">
        <v>17.66</v>
      </c>
      <c r="C26">
        <v>17.760000000000002</v>
      </c>
      <c r="D26">
        <v>17.559999999999999</v>
      </c>
      <c r="E26">
        <v>17.600000000000001</v>
      </c>
      <c r="F26">
        <v>2268051</v>
      </c>
    </row>
    <row r="27" spans="1:6">
      <c r="A27" s="39">
        <v>42180</v>
      </c>
      <c r="B27">
        <v>17.559999999999999</v>
      </c>
      <c r="C27">
        <v>17.649999999999999</v>
      </c>
      <c r="D27">
        <v>17.52</v>
      </c>
      <c r="E27">
        <v>17.62</v>
      </c>
      <c r="F27">
        <v>887301</v>
      </c>
    </row>
    <row r="28" spans="1:6">
      <c r="A28" s="39">
        <v>42181</v>
      </c>
      <c r="B28">
        <v>17.690000000000001</v>
      </c>
      <c r="C28">
        <v>17.760000000000002</v>
      </c>
      <c r="D28">
        <v>17.59</v>
      </c>
      <c r="E28">
        <v>17.7</v>
      </c>
      <c r="F28">
        <v>550667</v>
      </c>
    </row>
    <row r="29" spans="1:6">
      <c r="A29" s="39">
        <v>42184</v>
      </c>
      <c r="B29">
        <v>17.64</v>
      </c>
      <c r="C29">
        <v>17.72</v>
      </c>
      <c r="D29">
        <v>17.600000000000001</v>
      </c>
      <c r="E29">
        <v>17.62</v>
      </c>
      <c r="F29">
        <v>2299117</v>
      </c>
    </row>
    <row r="30" spans="1:6">
      <c r="A30" s="39">
        <v>42185</v>
      </c>
      <c r="B30">
        <v>17.670000000000002</v>
      </c>
      <c r="C30">
        <v>18.05</v>
      </c>
      <c r="D30">
        <v>17.649999999999999</v>
      </c>
      <c r="E30">
        <v>18</v>
      </c>
      <c r="F30">
        <v>1582618</v>
      </c>
    </row>
    <row r="31" spans="1:6">
      <c r="A31" s="39">
        <v>42186</v>
      </c>
      <c r="B31">
        <v>17.86</v>
      </c>
      <c r="C31">
        <v>17.89</v>
      </c>
      <c r="D31">
        <v>17.71</v>
      </c>
      <c r="E31">
        <v>17.78</v>
      </c>
      <c r="F31">
        <v>3885364</v>
      </c>
    </row>
    <row r="32" spans="1:6">
      <c r="A32" s="39">
        <v>42187</v>
      </c>
      <c r="B32">
        <v>17.8</v>
      </c>
      <c r="C32">
        <v>17.940000000000001</v>
      </c>
      <c r="D32">
        <v>17.739999999999998</v>
      </c>
      <c r="E32">
        <v>17.75</v>
      </c>
      <c r="F32">
        <v>1855030</v>
      </c>
    </row>
    <row r="33" spans="1:6">
      <c r="A33" s="39">
        <v>42191</v>
      </c>
      <c r="B33">
        <v>17.32</v>
      </c>
      <c r="C33">
        <v>17.37</v>
      </c>
      <c r="D33">
        <v>17.14</v>
      </c>
      <c r="E33">
        <v>17.170000000000002</v>
      </c>
      <c r="F33">
        <v>2304875</v>
      </c>
    </row>
    <row r="34" spans="1:6">
      <c r="A34" s="39">
        <v>42192</v>
      </c>
      <c r="B34">
        <v>17.059999999999999</v>
      </c>
      <c r="C34">
        <v>17.100000000000001</v>
      </c>
      <c r="D34">
        <v>16.72</v>
      </c>
      <c r="E34">
        <v>17.07</v>
      </c>
      <c r="F34">
        <v>4409526</v>
      </c>
    </row>
    <row r="35" spans="1:6">
      <c r="A35" s="39">
        <v>42193</v>
      </c>
      <c r="B35">
        <v>17.03</v>
      </c>
      <c r="C35">
        <v>17.12</v>
      </c>
      <c r="D35">
        <v>16.899999999999999</v>
      </c>
      <c r="E35">
        <v>16.989999999999998</v>
      </c>
      <c r="F35">
        <v>4364007</v>
      </c>
    </row>
    <row r="36" spans="1:6">
      <c r="A36" s="39">
        <v>42194</v>
      </c>
      <c r="B36">
        <v>17.2</v>
      </c>
      <c r="C36">
        <v>17.29</v>
      </c>
      <c r="D36">
        <v>17.11</v>
      </c>
      <c r="E36">
        <v>17.190000000000001</v>
      </c>
      <c r="F36">
        <v>2278443</v>
      </c>
    </row>
    <row r="37" spans="1:6">
      <c r="A37" s="39">
        <v>42195</v>
      </c>
      <c r="B37">
        <v>17.23</v>
      </c>
      <c r="C37">
        <v>17.36</v>
      </c>
      <c r="D37">
        <v>17.16</v>
      </c>
      <c r="E37">
        <v>17.27</v>
      </c>
      <c r="F37">
        <v>1117924</v>
      </c>
    </row>
    <row r="38" spans="1:6">
      <c r="A38" s="39">
        <v>42198</v>
      </c>
      <c r="B38">
        <v>17.239999999999998</v>
      </c>
      <c r="C38">
        <v>17.37</v>
      </c>
      <c r="D38">
        <v>17.11</v>
      </c>
      <c r="E38">
        <v>17.28</v>
      </c>
      <c r="F38">
        <v>2425456</v>
      </c>
    </row>
    <row r="39" spans="1:6">
      <c r="A39" s="39">
        <v>42199</v>
      </c>
      <c r="B39">
        <v>17.170000000000002</v>
      </c>
      <c r="C39">
        <v>17.29</v>
      </c>
      <c r="D39">
        <v>17.14</v>
      </c>
      <c r="E39">
        <v>17.22</v>
      </c>
      <c r="F39">
        <v>867168</v>
      </c>
    </row>
    <row r="40" spans="1:6">
      <c r="A40" s="39">
        <v>42200</v>
      </c>
      <c r="B40">
        <v>17.11</v>
      </c>
      <c r="C40">
        <v>17.149999999999999</v>
      </c>
      <c r="D40">
        <v>17</v>
      </c>
      <c r="E40">
        <v>17.02</v>
      </c>
      <c r="F40">
        <v>914516</v>
      </c>
    </row>
    <row r="41" spans="1:6">
      <c r="A41" s="39">
        <v>42201</v>
      </c>
      <c r="B41">
        <v>17.07</v>
      </c>
      <c r="C41">
        <v>17.2</v>
      </c>
      <c r="D41">
        <v>16.93</v>
      </c>
      <c r="E41">
        <v>16.940000000000001</v>
      </c>
      <c r="F41">
        <v>822375</v>
      </c>
    </row>
    <row r="42" spans="1:6">
      <c r="A42" s="39">
        <v>42202</v>
      </c>
      <c r="B42">
        <v>16.91</v>
      </c>
      <c r="C42">
        <v>16.91</v>
      </c>
      <c r="D42">
        <v>16.75</v>
      </c>
      <c r="E42">
        <v>16.850000000000001</v>
      </c>
      <c r="F42">
        <v>938200</v>
      </c>
    </row>
    <row r="43" spans="1:6">
      <c r="A43" s="39">
        <v>42205</v>
      </c>
      <c r="B43">
        <v>16.670000000000002</v>
      </c>
      <c r="C43">
        <v>16.73</v>
      </c>
      <c r="D43">
        <v>16.579999999999998</v>
      </c>
      <c r="E43">
        <v>16.579999999999998</v>
      </c>
      <c r="F43">
        <v>2006164</v>
      </c>
    </row>
    <row r="44" spans="1:6">
      <c r="A44" s="39">
        <v>42206</v>
      </c>
      <c r="B44">
        <v>16.63</v>
      </c>
      <c r="C44">
        <v>16.75</v>
      </c>
      <c r="D44">
        <v>16.600000000000001</v>
      </c>
      <c r="E44">
        <v>16.649999999999999</v>
      </c>
      <c r="F44">
        <v>1044558</v>
      </c>
    </row>
    <row r="45" spans="1:6">
      <c r="A45" s="39">
        <v>42207</v>
      </c>
      <c r="B45">
        <v>16.510000000000002</v>
      </c>
      <c r="C45">
        <v>16.579999999999998</v>
      </c>
      <c r="D45">
        <v>16.41</v>
      </c>
      <c r="E45">
        <v>16.41</v>
      </c>
      <c r="F45">
        <v>2034141</v>
      </c>
    </row>
    <row r="46" spans="1:6">
      <c r="A46" s="39">
        <v>42208</v>
      </c>
      <c r="B46">
        <v>16.47</v>
      </c>
      <c r="C46">
        <v>16.5</v>
      </c>
      <c r="D46">
        <v>16.27</v>
      </c>
      <c r="E46">
        <v>16.27</v>
      </c>
      <c r="F46">
        <v>6627699</v>
      </c>
    </row>
    <row r="47" spans="1:6">
      <c r="A47" s="39">
        <v>42209</v>
      </c>
      <c r="B47">
        <v>16.2</v>
      </c>
      <c r="C47">
        <v>16.23</v>
      </c>
      <c r="D47">
        <v>16.059999999999999</v>
      </c>
      <c r="E47">
        <v>16.14</v>
      </c>
      <c r="F47">
        <v>1264790</v>
      </c>
    </row>
    <row r="48" spans="1:6">
      <c r="A48" s="39">
        <v>42212</v>
      </c>
      <c r="B48">
        <v>15.95</v>
      </c>
      <c r="C48">
        <v>16.010000000000002</v>
      </c>
      <c r="D48">
        <v>15.82</v>
      </c>
      <c r="E48">
        <v>15.83</v>
      </c>
      <c r="F48">
        <v>2407206</v>
      </c>
    </row>
    <row r="49" spans="1:6">
      <c r="A49" s="39">
        <v>42213</v>
      </c>
      <c r="B49">
        <v>15.92</v>
      </c>
      <c r="C49">
        <v>16.059999999999999</v>
      </c>
      <c r="D49">
        <v>15.88</v>
      </c>
      <c r="E49">
        <v>15.96</v>
      </c>
      <c r="F49">
        <v>2157397</v>
      </c>
    </row>
    <row r="50" spans="1:6">
      <c r="A50" s="39">
        <v>42214</v>
      </c>
      <c r="B50">
        <v>15.93</v>
      </c>
      <c r="C50">
        <v>16.100000000000001</v>
      </c>
      <c r="D50">
        <v>15.92</v>
      </c>
      <c r="E50">
        <v>16.010000000000002</v>
      </c>
      <c r="F50">
        <v>1239665</v>
      </c>
    </row>
    <row r="51" spans="1:6">
      <c r="A51" s="39">
        <v>42215</v>
      </c>
      <c r="B51">
        <v>16</v>
      </c>
      <c r="C51">
        <v>16.07</v>
      </c>
      <c r="D51">
        <v>15.92</v>
      </c>
      <c r="E51">
        <v>15.95</v>
      </c>
      <c r="F51">
        <v>997517</v>
      </c>
    </row>
    <row r="52" spans="1:6">
      <c r="A52" s="39">
        <v>42216</v>
      </c>
      <c r="B52">
        <v>16.02</v>
      </c>
      <c r="C52">
        <v>16.02</v>
      </c>
      <c r="D52">
        <v>15.72</v>
      </c>
      <c r="E52">
        <v>15.73</v>
      </c>
      <c r="F52">
        <v>1807464</v>
      </c>
    </row>
    <row r="53" spans="1:6">
      <c r="A53" s="39">
        <v>42219</v>
      </c>
      <c r="B53">
        <v>15.55</v>
      </c>
      <c r="C53">
        <v>15.65</v>
      </c>
      <c r="D53">
        <v>15.44</v>
      </c>
      <c r="E53">
        <v>15.47</v>
      </c>
      <c r="F53">
        <v>2939046</v>
      </c>
    </row>
    <row r="54" spans="1:6">
      <c r="A54" s="39">
        <v>42220</v>
      </c>
      <c r="B54">
        <v>15.57</v>
      </c>
      <c r="C54">
        <v>15.62</v>
      </c>
      <c r="D54">
        <v>15.5</v>
      </c>
      <c r="E54">
        <v>15.56</v>
      </c>
      <c r="F54">
        <v>2741323</v>
      </c>
    </row>
    <row r="55" spans="1:6">
      <c r="A55" s="39">
        <v>42221</v>
      </c>
      <c r="B55">
        <v>15.6</v>
      </c>
      <c r="C55">
        <v>15.67</v>
      </c>
      <c r="D55">
        <v>15.43</v>
      </c>
      <c r="E55">
        <v>15.5</v>
      </c>
      <c r="F55">
        <v>1415233</v>
      </c>
    </row>
    <row r="56" spans="1:6">
      <c r="A56" s="39">
        <v>42222</v>
      </c>
      <c r="B56">
        <v>15.43</v>
      </c>
      <c r="C56">
        <v>15.49</v>
      </c>
      <c r="D56">
        <v>15.39</v>
      </c>
      <c r="E56">
        <v>15.49</v>
      </c>
      <c r="F56">
        <v>1767144</v>
      </c>
    </row>
    <row r="57" spans="1:6">
      <c r="A57" s="39">
        <v>42223</v>
      </c>
      <c r="B57">
        <v>15.43</v>
      </c>
      <c r="C57">
        <v>15.5</v>
      </c>
      <c r="D57">
        <v>15.41</v>
      </c>
      <c r="E57">
        <v>15.43</v>
      </c>
      <c r="F57">
        <v>1940404</v>
      </c>
    </row>
    <row r="58" spans="1:6">
      <c r="A58" s="39">
        <v>42226</v>
      </c>
      <c r="B58">
        <v>15.5</v>
      </c>
      <c r="C58">
        <v>15.82</v>
      </c>
      <c r="D58">
        <v>15.48</v>
      </c>
      <c r="E58">
        <v>15.76</v>
      </c>
      <c r="F58">
        <v>2061632</v>
      </c>
    </row>
    <row r="59" spans="1:6">
      <c r="A59" s="39">
        <v>42227</v>
      </c>
      <c r="B59">
        <v>15.57</v>
      </c>
      <c r="C59">
        <v>15.58</v>
      </c>
      <c r="D59">
        <v>15.44</v>
      </c>
      <c r="E59">
        <v>15.55</v>
      </c>
      <c r="F59">
        <v>1092352</v>
      </c>
    </row>
    <row r="60" spans="1:6">
      <c r="A60" s="39">
        <v>42228</v>
      </c>
      <c r="B60">
        <v>15.62</v>
      </c>
      <c r="C60">
        <v>15.7</v>
      </c>
      <c r="D60">
        <v>15.39</v>
      </c>
      <c r="E60">
        <v>15.5</v>
      </c>
      <c r="F60">
        <v>1831901</v>
      </c>
    </row>
    <row r="61" spans="1:6">
      <c r="A61" s="39">
        <v>42229</v>
      </c>
      <c r="B61">
        <v>15.44</v>
      </c>
      <c r="C61">
        <v>15.45</v>
      </c>
      <c r="D61">
        <v>15.36</v>
      </c>
      <c r="E61">
        <v>15.43</v>
      </c>
      <c r="F61">
        <v>1304423</v>
      </c>
    </row>
    <row r="62" spans="1:6">
      <c r="A62" s="39">
        <v>42230</v>
      </c>
      <c r="B62">
        <v>15.39</v>
      </c>
      <c r="C62">
        <v>15.47</v>
      </c>
      <c r="D62">
        <v>15.33</v>
      </c>
      <c r="E62">
        <v>15.33</v>
      </c>
      <c r="F62">
        <v>876075</v>
      </c>
    </row>
    <row r="63" spans="1:6">
      <c r="A63" s="39">
        <v>42233</v>
      </c>
      <c r="B63">
        <v>15.37</v>
      </c>
      <c r="C63">
        <v>15.4</v>
      </c>
      <c r="D63">
        <v>15.27</v>
      </c>
      <c r="E63">
        <v>15.27</v>
      </c>
      <c r="F63">
        <v>1824407</v>
      </c>
    </row>
    <row r="64" spans="1:6">
      <c r="A64" s="39">
        <v>42234</v>
      </c>
      <c r="B64">
        <v>15.17</v>
      </c>
      <c r="C64">
        <v>15.24</v>
      </c>
      <c r="D64">
        <v>15.11</v>
      </c>
      <c r="E64">
        <v>15.19</v>
      </c>
      <c r="F64">
        <v>1641335</v>
      </c>
    </row>
    <row r="65" spans="1:6">
      <c r="A65" s="39">
        <v>42235</v>
      </c>
      <c r="B65">
        <v>15.21</v>
      </c>
      <c r="C65">
        <v>15.25</v>
      </c>
      <c r="D65">
        <v>14.97</v>
      </c>
      <c r="E65">
        <v>15.02</v>
      </c>
      <c r="F65">
        <v>1718482</v>
      </c>
    </row>
    <row r="66" spans="1:6">
      <c r="A66" s="39">
        <v>42236</v>
      </c>
      <c r="B66">
        <v>15.16</v>
      </c>
      <c r="C66">
        <v>15.18</v>
      </c>
      <c r="D66">
        <v>15.02</v>
      </c>
      <c r="E66">
        <v>15.06</v>
      </c>
      <c r="F66">
        <v>4386192</v>
      </c>
    </row>
    <row r="67" spans="1:6">
      <c r="A67" s="39">
        <v>42237</v>
      </c>
      <c r="B67">
        <v>14.96</v>
      </c>
      <c r="C67">
        <v>14.97</v>
      </c>
      <c r="D67">
        <v>14.77</v>
      </c>
      <c r="E67">
        <v>14.81</v>
      </c>
      <c r="F67">
        <v>2750650</v>
      </c>
    </row>
    <row r="68" spans="1:6">
      <c r="A68" s="39">
        <v>42240</v>
      </c>
      <c r="B68">
        <v>14.41</v>
      </c>
      <c r="C68">
        <v>14.48</v>
      </c>
      <c r="D68">
        <v>14.35</v>
      </c>
      <c r="E68">
        <v>14.44</v>
      </c>
      <c r="F68">
        <v>3776878</v>
      </c>
    </row>
    <row r="69" spans="1:6">
      <c r="A69" s="39">
        <v>42241</v>
      </c>
      <c r="B69">
        <v>14.68</v>
      </c>
      <c r="C69">
        <v>14.71</v>
      </c>
      <c r="D69">
        <v>14.47</v>
      </c>
      <c r="E69">
        <v>14.5</v>
      </c>
      <c r="F69">
        <v>3132687</v>
      </c>
    </row>
    <row r="70" spans="1:6">
      <c r="A70" s="39">
        <v>42242</v>
      </c>
      <c r="B70">
        <v>14.46</v>
      </c>
      <c r="C70">
        <v>14.49</v>
      </c>
      <c r="D70">
        <v>14.33</v>
      </c>
      <c r="E70">
        <v>14.41</v>
      </c>
      <c r="F70">
        <v>2180666</v>
      </c>
    </row>
    <row r="71" spans="1:6">
      <c r="A71" s="39">
        <v>42243</v>
      </c>
      <c r="B71">
        <v>14.6</v>
      </c>
      <c r="C71">
        <v>14.96</v>
      </c>
      <c r="D71">
        <v>14.55</v>
      </c>
      <c r="E71">
        <v>14.93</v>
      </c>
      <c r="F71">
        <v>2094792</v>
      </c>
    </row>
    <row r="72" spans="1:6">
      <c r="A72" s="39">
        <v>42244</v>
      </c>
      <c r="B72">
        <v>15</v>
      </c>
      <c r="C72">
        <v>15.43</v>
      </c>
      <c r="D72">
        <v>14.99</v>
      </c>
      <c r="E72">
        <v>15.32</v>
      </c>
      <c r="F72">
        <v>6212793</v>
      </c>
    </row>
    <row r="73" spans="1:6">
      <c r="A73" s="39">
        <v>42247</v>
      </c>
      <c r="B73">
        <v>15.15</v>
      </c>
      <c r="C73">
        <v>15.79</v>
      </c>
      <c r="D73">
        <v>15</v>
      </c>
      <c r="E73">
        <v>15.69</v>
      </c>
      <c r="F73">
        <v>2227624</v>
      </c>
    </row>
    <row r="74" spans="1:6">
      <c r="A74" s="39">
        <v>42248</v>
      </c>
      <c r="B74">
        <v>15.49</v>
      </c>
      <c r="C74">
        <v>15.52</v>
      </c>
      <c r="D74">
        <v>15.14</v>
      </c>
      <c r="E74">
        <v>15.17</v>
      </c>
      <c r="F74">
        <v>2493205</v>
      </c>
    </row>
    <row r="75" spans="1:6">
      <c r="A75" s="39">
        <v>42249</v>
      </c>
      <c r="B75">
        <v>15.36</v>
      </c>
      <c r="C75">
        <v>15.37</v>
      </c>
      <c r="D75">
        <v>14.98</v>
      </c>
      <c r="E75">
        <v>15.3</v>
      </c>
      <c r="F75">
        <v>3646344</v>
      </c>
    </row>
    <row r="76" spans="1:6">
      <c r="A76" s="39">
        <v>42250</v>
      </c>
      <c r="B76">
        <v>15.33</v>
      </c>
      <c r="C76">
        <v>15.58</v>
      </c>
      <c r="D76">
        <v>15.3</v>
      </c>
      <c r="E76">
        <v>15.4</v>
      </c>
      <c r="F76">
        <v>1685784</v>
      </c>
    </row>
    <row r="77" spans="1:6">
      <c r="A77" s="39">
        <v>42251</v>
      </c>
      <c r="B77">
        <v>15.31</v>
      </c>
      <c r="C77">
        <v>15.36</v>
      </c>
      <c r="D77">
        <v>15.19</v>
      </c>
      <c r="E77">
        <v>15.21</v>
      </c>
      <c r="F77">
        <v>837725</v>
      </c>
    </row>
    <row r="78" spans="1:6">
      <c r="A78" s="39">
        <v>42255</v>
      </c>
      <c r="B78">
        <v>15.25</v>
      </c>
      <c r="C78">
        <v>15.36</v>
      </c>
      <c r="D78">
        <v>15.11</v>
      </c>
      <c r="E78">
        <v>15.32</v>
      </c>
      <c r="F78">
        <v>1277873</v>
      </c>
    </row>
    <row r="79" spans="1:6">
      <c r="A79" s="39">
        <v>42256</v>
      </c>
      <c r="B79">
        <v>15.34</v>
      </c>
      <c r="C79">
        <v>15.36</v>
      </c>
      <c r="D79">
        <v>15.08</v>
      </c>
      <c r="E79">
        <v>15.12</v>
      </c>
      <c r="F79">
        <v>1916981</v>
      </c>
    </row>
    <row r="80" spans="1:6">
      <c r="A80" s="39">
        <v>42257</v>
      </c>
      <c r="B80">
        <v>15.13</v>
      </c>
      <c r="C80">
        <v>15.3</v>
      </c>
      <c r="D80">
        <v>15.1</v>
      </c>
      <c r="E80">
        <v>15.25</v>
      </c>
      <c r="F80">
        <v>2398227</v>
      </c>
    </row>
    <row r="81" spans="1:6">
      <c r="A81" s="39">
        <v>42258</v>
      </c>
      <c r="B81">
        <v>15.12</v>
      </c>
      <c r="C81">
        <v>15.3</v>
      </c>
      <c r="D81">
        <v>14.99</v>
      </c>
      <c r="E81">
        <v>15.23</v>
      </c>
      <c r="F81">
        <v>1160175</v>
      </c>
    </row>
    <row r="82" spans="1:6">
      <c r="A82" s="39">
        <v>42261</v>
      </c>
      <c r="B82">
        <v>15.12</v>
      </c>
      <c r="C82">
        <v>15.16</v>
      </c>
      <c r="D82">
        <v>15.03</v>
      </c>
      <c r="E82">
        <v>15.04</v>
      </c>
      <c r="F82">
        <v>803955</v>
      </c>
    </row>
    <row r="83" spans="1:6">
      <c r="A83" s="39">
        <v>42262</v>
      </c>
      <c r="B83">
        <v>15.05</v>
      </c>
      <c r="C83">
        <v>15.1</v>
      </c>
      <c r="D83">
        <v>15</v>
      </c>
      <c r="E83">
        <v>15.09</v>
      </c>
      <c r="F83">
        <v>649245</v>
      </c>
    </row>
    <row r="84" spans="1:6">
      <c r="A84" s="39">
        <v>42263</v>
      </c>
      <c r="B84">
        <v>15.2</v>
      </c>
      <c r="C84">
        <v>15.4</v>
      </c>
      <c r="D84">
        <v>15.19</v>
      </c>
      <c r="E84">
        <v>15.34</v>
      </c>
      <c r="F84">
        <v>1766408</v>
      </c>
    </row>
    <row r="85" spans="1:6">
      <c r="A85" s="39">
        <v>42264</v>
      </c>
      <c r="B85">
        <v>15.28</v>
      </c>
      <c r="C85">
        <v>15.32</v>
      </c>
      <c r="D85">
        <v>15.14</v>
      </c>
      <c r="E85">
        <v>15.24</v>
      </c>
      <c r="F85">
        <v>1326677</v>
      </c>
    </row>
    <row r="86" spans="1:6">
      <c r="A86" s="39">
        <v>42265</v>
      </c>
      <c r="B86">
        <v>15.12</v>
      </c>
      <c r="C86">
        <v>15.15</v>
      </c>
      <c r="D86">
        <v>14.93</v>
      </c>
      <c r="E86">
        <v>15.01</v>
      </c>
      <c r="F86">
        <v>1211718</v>
      </c>
    </row>
    <row r="87" spans="1:6">
      <c r="A87" s="39">
        <v>42268</v>
      </c>
      <c r="B87">
        <v>15.07</v>
      </c>
      <c r="C87">
        <v>15.19</v>
      </c>
      <c r="D87">
        <v>15.05</v>
      </c>
      <c r="E87">
        <v>15.18</v>
      </c>
      <c r="F87">
        <v>883555</v>
      </c>
    </row>
    <row r="88" spans="1:6">
      <c r="A88" s="39">
        <v>42269</v>
      </c>
      <c r="B88">
        <v>14.97</v>
      </c>
      <c r="C88">
        <v>15.11</v>
      </c>
      <c r="D88">
        <v>14.92</v>
      </c>
      <c r="E88">
        <v>15.09</v>
      </c>
      <c r="F88">
        <v>1021441</v>
      </c>
    </row>
    <row r="89" spans="1:6">
      <c r="A89" s="39">
        <v>42270</v>
      </c>
      <c r="B89">
        <v>15.19</v>
      </c>
      <c r="C89">
        <v>15.29</v>
      </c>
      <c r="D89">
        <v>14.96</v>
      </c>
      <c r="E89">
        <v>14.97</v>
      </c>
      <c r="F89">
        <v>1423666</v>
      </c>
    </row>
    <row r="90" spans="1:6">
      <c r="A90" s="39">
        <v>42271</v>
      </c>
      <c r="B90">
        <v>14.92</v>
      </c>
      <c r="C90">
        <v>15.09</v>
      </c>
      <c r="D90">
        <v>14.92</v>
      </c>
      <c r="E90">
        <v>15.06</v>
      </c>
      <c r="F90">
        <v>1711224</v>
      </c>
    </row>
    <row r="91" spans="1:6">
      <c r="A91" s="39">
        <v>42272</v>
      </c>
      <c r="B91">
        <v>15.11</v>
      </c>
      <c r="C91">
        <v>15.2</v>
      </c>
      <c r="D91">
        <v>15.05</v>
      </c>
      <c r="E91">
        <v>15.15</v>
      </c>
      <c r="F91">
        <v>1286655</v>
      </c>
    </row>
    <row r="92" spans="1:6">
      <c r="A92" s="39">
        <v>42275</v>
      </c>
      <c r="B92">
        <v>15</v>
      </c>
      <c r="C92">
        <v>15.05</v>
      </c>
      <c r="D92">
        <v>14.9</v>
      </c>
      <c r="E92">
        <v>14.94</v>
      </c>
      <c r="F92">
        <v>1424195</v>
      </c>
    </row>
    <row r="93" spans="1:6">
      <c r="A93" s="39">
        <v>42276</v>
      </c>
      <c r="B93">
        <v>14.97</v>
      </c>
      <c r="C93">
        <v>15.09</v>
      </c>
      <c r="D93">
        <v>14.95</v>
      </c>
      <c r="E93">
        <v>15.04</v>
      </c>
      <c r="F93">
        <v>1407473</v>
      </c>
    </row>
    <row r="94" spans="1:6">
      <c r="A94" s="39">
        <v>42277</v>
      </c>
      <c r="B94">
        <v>15.07</v>
      </c>
      <c r="C94">
        <v>15.19</v>
      </c>
      <c r="D94">
        <v>15.05</v>
      </c>
      <c r="E94">
        <v>15.15</v>
      </c>
      <c r="F94">
        <v>1466331</v>
      </c>
    </row>
    <row r="95" spans="1:6">
      <c r="A95" s="39">
        <v>42278</v>
      </c>
      <c r="B95">
        <v>15.32</v>
      </c>
      <c r="C95">
        <v>15.37</v>
      </c>
      <c r="D95">
        <v>15.02</v>
      </c>
      <c r="E95">
        <v>15.05</v>
      </c>
      <c r="F95">
        <v>2237871</v>
      </c>
    </row>
    <row r="96" spans="1:6">
      <c r="A96" s="39">
        <v>42279</v>
      </c>
      <c r="B96">
        <v>14.92</v>
      </c>
      <c r="C96">
        <v>15.17</v>
      </c>
      <c r="D96">
        <v>14.91</v>
      </c>
      <c r="E96">
        <v>15.15</v>
      </c>
      <c r="F96">
        <v>4613605</v>
      </c>
    </row>
    <row r="97" spans="1:6">
      <c r="A97" s="39">
        <v>42282</v>
      </c>
      <c r="B97">
        <v>15.31</v>
      </c>
      <c r="C97">
        <v>15.36</v>
      </c>
      <c r="D97">
        <v>15.28</v>
      </c>
      <c r="E97">
        <v>15.35</v>
      </c>
      <c r="F97">
        <v>1696136</v>
      </c>
    </row>
    <row r="98" spans="1:6">
      <c r="A98" s="39">
        <v>42283</v>
      </c>
      <c r="B98">
        <v>15.43</v>
      </c>
      <c r="C98">
        <v>15.68</v>
      </c>
      <c r="D98">
        <v>15.43</v>
      </c>
      <c r="E98">
        <v>15.65</v>
      </c>
      <c r="F98">
        <v>1805724</v>
      </c>
    </row>
    <row r="99" spans="1:6">
      <c r="A99" s="39">
        <v>42284</v>
      </c>
      <c r="B99">
        <v>15.79</v>
      </c>
      <c r="C99">
        <v>15.82</v>
      </c>
      <c r="D99">
        <v>15.55</v>
      </c>
      <c r="E99">
        <v>15.62</v>
      </c>
      <c r="F99">
        <v>1087664</v>
      </c>
    </row>
    <row r="100" spans="1:6">
      <c r="A100" s="39">
        <v>42285</v>
      </c>
      <c r="B100">
        <v>15.57</v>
      </c>
      <c r="C100">
        <v>15.73</v>
      </c>
      <c r="D100">
        <v>15.54</v>
      </c>
      <c r="E100">
        <v>15.69</v>
      </c>
      <c r="F100">
        <v>1294136</v>
      </c>
    </row>
    <row r="101" spans="1:6">
      <c r="A101" s="39">
        <v>42286</v>
      </c>
      <c r="B101">
        <v>15.8</v>
      </c>
      <c r="C101">
        <v>15.86</v>
      </c>
      <c r="D101">
        <v>15.69</v>
      </c>
      <c r="E101">
        <v>15.76</v>
      </c>
      <c r="F101">
        <v>2042909</v>
      </c>
    </row>
    <row r="102" spans="1:6">
      <c r="A102" s="39">
        <v>42289</v>
      </c>
      <c r="B102">
        <v>15.79</v>
      </c>
      <c r="C102">
        <v>15.8</v>
      </c>
      <c r="D102">
        <v>15.46</v>
      </c>
      <c r="E102">
        <v>15.51</v>
      </c>
      <c r="F102">
        <v>1072758</v>
      </c>
    </row>
    <row r="103" spans="1:6">
      <c r="A103" s="39">
        <v>42290</v>
      </c>
      <c r="B103">
        <v>15.39</v>
      </c>
      <c r="C103">
        <v>15.55</v>
      </c>
      <c r="D103">
        <v>15.37</v>
      </c>
      <c r="E103">
        <v>15.41</v>
      </c>
      <c r="F103">
        <v>1571304</v>
      </c>
    </row>
    <row r="104" spans="1:6">
      <c r="A104" s="39">
        <v>42291</v>
      </c>
      <c r="B104">
        <v>15.44</v>
      </c>
      <c r="C104">
        <v>15.48</v>
      </c>
      <c r="D104">
        <v>15.34</v>
      </c>
      <c r="E104">
        <v>15.45</v>
      </c>
      <c r="F104">
        <v>1495321</v>
      </c>
    </row>
    <row r="105" spans="1:6">
      <c r="A105" s="39">
        <v>42292</v>
      </c>
      <c r="B105">
        <v>15.36</v>
      </c>
      <c r="C105">
        <v>15.44</v>
      </c>
      <c r="D105">
        <v>15.25</v>
      </c>
      <c r="E105">
        <v>15.41</v>
      </c>
      <c r="F105">
        <v>1624348</v>
      </c>
    </row>
    <row r="106" spans="1:6">
      <c r="A106" s="39">
        <v>42293</v>
      </c>
      <c r="B106">
        <v>15.45</v>
      </c>
      <c r="C106">
        <v>15.47</v>
      </c>
      <c r="D106">
        <v>15.28</v>
      </c>
      <c r="E106">
        <v>15.42</v>
      </c>
      <c r="F106">
        <v>1383386</v>
      </c>
    </row>
    <row r="107" spans="1:6">
      <c r="A107" s="39">
        <v>42296</v>
      </c>
      <c r="B107">
        <v>15.23</v>
      </c>
      <c r="C107">
        <v>15.25</v>
      </c>
      <c r="D107">
        <v>15.11</v>
      </c>
      <c r="E107">
        <v>15.14</v>
      </c>
      <c r="F107">
        <v>1160400</v>
      </c>
    </row>
    <row r="108" spans="1:6">
      <c r="A108" s="39">
        <v>42297</v>
      </c>
      <c r="B108">
        <v>15.1</v>
      </c>
      <c r="C108">
        <v>15.21</v>
      </c>
      <c r="D108">
        <v>15.08</v>
      </c>
      <c r="E108">
        <v>15.17</v>
      </c>
      <c r="F108">
        <v>1591223</v>
      </c>
    </row>
    <row r="109" spans="1:6">
      <c r="A109" s="39">
        <v>42298</v>
      </c>
      <c r="B109">
        <v>15.06</v>
      </c>
      <c r="C109">
        <v>15.11</v>
      </c>
      <c r="D109">
        <v>14.96</v>
      </c>
      <c r="E109">
        <v>15.04</v>
      </c>
      <c r="F109">
        <v>2500879</v>
      </c>
    </row>
    <row r="110" spans="1:6">
      <c r="A110" s="39">
        <v>42299</v>
      </c>
      <c r="B110">
        <v>15.15</v>
      </c>
      <c r="C110">
        <v>15.21</v>
      </c>
      <c r="D110">
        <v>15.04</v>
      </c>
      <c r="E110">
        <v>15.09</v>
      </c>
      <c r="F110">
        <v>1326864</v>
      </c>
    </row>
    <row r="111" spans="1:6">
      <c r="A111" s="39">
        <v>42300</v>
      </c>
      <c r="B111">
        <v>15.02</v>
      </c>
      <c r="C111">
        <v>15.06</v>
      </c>
      <c r="D111">
        <v>14.95</v>
      </c>
      <c r="E111">
        <v>15</v>
      </c>
      <c r="F111">
        <v>1362976</v>
      </c>
    </row>
    <row r="112" spans="1:6">
      <c r="A112" s="39">
        <v>42303</v>
      </c>
      <c r="B112">
        <v>14.99</v>
      </c>
      <c r="C112">
        <v>15.04</v>
      </c>
      <c r="D112">
        <v>14.95</v>
      </c>
      <c r="E112">
        <v>14.96</v>
      </c>
      <c r="F112">
        <v>1226475</v>
      </c>
    </row>
    <row r="113" spans="1:6">
      <c r="A113" s="39">
        <v>42304</v>
      </c>
      <c r="B113">
        <v>14.89</v>
      </c>
      <c r="C113">
        <v>14.95</v>
      </c>
      <c r="D113">
        <v>14.86</v>
      </c>
      <c r="E113">
        <v>14.89</v>
      </c>
      <c r="F113">
        <v>1547054</v>
      </c>
    </row>
    <row r="114" spans="1:6">
      <c r="A114" s="39">
        <v>42305</v>
      </c>
      <c r="B114">
        <v>14.93</v>
      </c>
      <c r="C114">
        <v>15.24</v>
      </c>
      <c r="D114">
        <v>14.93</v>
      </c>
      <c r="E114">
        <v>15.14</v>
      </c>
      <c r="F114">
        <v>1690708</v>
      </c>
    </row>
    <row r="115" spans="1:6">
      <c r="A115" s="39">
        <v>42306</v>
      </c>
      <c r="B115">
        <v>15.08</v>
      </c>
      <c r="C115">
        <v>15.18</v>
      </c>
      <c r="D115">
        <v>15.04</v>
      </c>
      <c r="E115">
        <v>15.05</v>
      </c>
      <c r="F115">
        <v>1501309</v>
      </c>
    </row>
    <row r="116" spans="1:6">
      <c r="A116" s="39">
        <v>42307</v>
      </c>
      <c r="B116">
        <v>15.08</v>
      </c>
      <c r="C116">
        <v>15.26</v>
      </c>
      <c r="D116">
        <v>15.05</v>
      </c>
      <c r="E116">
        <v>15.2</v>
      </c>
      <c r="F116">
        <v>1446457</v>
      </c>
    </row>
    <row r="117" spans="1:6">
      <c r="A117" s="39">
        <v>42310</v>
      </c>
      <c r="B117">
        <v>15.1</v>
      </c>
      <c r="C117">
        <v>15.18</v>
      </c>
      <c r="D117">
        <v>15.07</v>
      </c>
      <c r="E117">
        <v>15.12</v>
      </c>
      <c r="F117">
        <v>2485489</v>
      </c>
    </row>
    <row r="118" spans="1:6">
      <c r="A118" s="39">
        <v>42311</v>
      </c>
      <c r="B118">
        <v>15.22</v>
      </c>
      <c r="C118">
        <v>15.44</v>
      </c>
      <c r="D118">
        <v>15.2</v>
      </c>
      <c r="E118">
        <v>15.39</v>
      </c>
      <c r="F118">
        <v>1988739</v>
      </c>
    </row>
    <row r="119" spans="1:6">
      <c r="A119" s="39">
        <v>42312</v>
      </c>
      <c r="B119">
        <v>15.38</v>
      </c>
      <c r="C119">
        <v>15.44</v>
      </c>
      <c r="D119">
        <v>15.11</v>
      </c>
      <c r="E119">
        <v>15.13</v>
      </c>
      <c r="F119">
        <v>1556920</v>
      </c>
    </row>
    <row r="120" spans="1:6">
      <c r="A120" s="39">
        <v>42313</v>
      </c>
      <c r="B120">
        <v>15.04</v>
      </c>
      <c r="C120">
        <v>15.1</v>
      </c>
      <c r="D120">
        <v>14.96</v>
      </c>
      <c r="E120">
        <v>15.01</v>
      </c>
      <c r="F120">
        <v>2661723</v>
      </c>
    </row>
    <row r="121" spans="1:6">
      <c r="A121" s="39">
        <v>42314</v>
      </c>
      <c r="B121">
        <v>14.91</v>
      </c>
      <c r="C121">
        <v>14.96</v>
      </c>
      <c r="D121">
        <v>14.84</v>
      </c>
      <c r="E121">
        <v>14.92</v>
      </c>
      <c r="F121">
        <v>786289</v>
      </c>
    </row>
    <row r="122" spans="1:6">
      <c r="A122" s="39">
        <v>42317</v>
      </c>
      <c r="B122">
        <v>14.9</v>
      </c>
      <c r="C122">
        <v>14.92</v>
      </c>
      <c r="D122">
        <v>14.75</v>
      </c>
      <c r="E122">
        <v>14.79</v>
      </c>
      <c r="F122">
        <v>2315496</v>
      </c>
    </row>
    <row r="123" spans="1:6">
      <c r="A123" s="39">
        <v>42318</v>
      </c>
      <c r="B123">
        <v>14.76</v>
      </c>
      <c r="C123">
        <v>14.84</v>
      </c>
      <c r="D123">
        <v>14.7</v>
      </c>
      <c r="E123">
        <v>14.76</v>
      </c>
      <c r="F123">
        <v>1055475</v>
      </c>
    </row>
    <row r="124" spans="1:6">
      <c r="A124" s="39">
        <v>42319</v>
      </c>
      <c r="B124">
        <v>14.82</v>
      </c>
      <c r="C124">
        <v>14.83</v>
      </c>
      <c r="D124">
        <v>14.57</v>
      </c>
      <c r="E124">
        <v>14.61</v>
      </c>
      <c r="F124">
        <v>1133860</v>
      </c>
    </row>
    <row r="125" spans="1:6">
      <c r="A125" s="39">
        <v>42320</v>
      </c>
      <c r="B125">
        <v>14.44</v>
      </c>
      <c r="C125">
        <v>14.55</v>
      </c>
      <c r="D125">
        <v>14.38</v>
      </c>
      <c r="E125">
        <v>14.4</v>
      </c>
      <c r="F125">
        <v>1817348</v>
      </c>
    </row>
    <row r="126" spans="1:6">
      <c r="A126" s="39">
        <v>42321</v>
      </c>
      <c r="B126">
        <v>14.39</v>
      </c>
      <c r="C126">
        <v>14.39</v>
      </c>
      <c r="D126">
        <v>14.25</v>
      </c>
      <c r="E126">
        <v>14.29</v>
      </c>
      <c r="F126">
        <v>1517353</v>
      </c>
    </row>
    <row r="127" spans="1:6">
      <c r="A127" s="39">
        <v>42324</v>
      </c>
      <c r="B127">
        <v>14.23</v>
      </c>
      <c r="C127">
        <v>14.37</v>
      </c>
      <c r="D127">
        <v>14.12</v>
      </c>
      <c r="E127">
        <v>14.36</v>
      </c>
      <c r="F127">
        <v>1107774</v>
      </c>
    </row>
    <row r="128" spans="1:6">
      <c r="A128" s="39">
        <v>42325</v>
      </c>
      <c r="B128">
        <v>14.25</v>
      </c>
      <c r="C128">
        <v>14.28</v>
      </c>
      <c r="D128">
        <v>14.14</v>
      </c>
      <c r="E128">
        <v>14.14</v>
      </c>
      <c r="F128">
        <v>1094820</v>
      </c>
    </row>
    <row r="129" spans="1:6">
      <c r="A129" s="39">
        <v>42326</v>
      </c>
      <c r="B129">
        <v>14.22</v>
      </c>
      <c r="C129">
        <v>14.24</v>
      </c>
      <c r="D129">
        <v>14.05</v>
      </c>
      <c r="E129">
        <v>14.2</v>
      </c>
      <c r="F129">
        <v>1851031</v>
      </c>
    </row>
    <row r="130" spans="1:6">
      <c r="A130" s="39">
        <v>42327</v>
      </c>
      <c r="B130">
        <v>14.19</v>
      </c>
      <c r="C130">
        <v>14.27</v>
      </c>
      <c r="D130">
        <v>14.18</v>
      </c>
      <c r="E130">
        <v>14.2</v>
      </c>
      <c r="F130">
        <v>2045773</v>
      </c>
    </row>
    <row r="131" spans="1:6">
      <c r="A131" s="39">
        <v>42328</v>
      </c>
      <c r="B131">
        <v>14.25</v>
      </c>
      <c r="C131">
        <v>14.36</v>
      </c>
      <c r="D131">
        <v>14.18</v>
      </c>
      <c r="E131">
        <v>14.18</v>
      </c>
      <c r="F131">
        <v>2169472</v>
      </c>
    </row>
    <row r="132" spans="1:6">
      <c r="A132" s="39">
        <v>42331</v>
      </c>
      <c r="B132">
        <v>14.16</v>
      </c>
      <c r="C132">
        <v>14.37</v>
      </c>
      <c r="D132">
        <v>14.16</v>
      </c>
      <c r="E132">
        <v>14.29</v>
      </c>
      <c r="F132">
        <v>3993559</v>
      </c>
    </row>
    <row r="133" spans="1:6">
      <c r="A133" s="39">
        <v>42332</v>
      </c>
      <c r="B133">
        <v>14.49</v>
      </c>
      <c r="C133">
        <v>14.59</v>
      </c>
      <c r="D133">
        <v>14.29</v>
      </c>
      <c r="E133">
        <v>14.52</v>
      </c>
      <c r="F133">
        <v>1308999</v>
      </c>
    </row>
    <row r="134" spans="1:6">
      <c r="A134" s="39">
        <v>42333</v>
      </c>
      <c r="B134">
        <v>14.4</v>
      </c>
      <c r="C134">
        <v>14.53</v>
      </c>
      <c r="D134">
        <v>14.32</v>
      </c>
      <c r="E134">
        <v>14.5</v>
      </c>
      <c r="F134">
        <v>1427294</v>
      </c>
    </row>
    <row r="135" spans="1:6">
      <c r="A135" s="39">
        <v>42335</v>
      </c>
      <c r="B135">
        <v>14.35</v>
      </c>
      <c r="C135">
        <v>14.4</v>
      </c>
      <c r="D135">
        <v>14.23</v>
      </c>
      <c r="E135">
        <v>14.28</v>
      </c>
      <c r="F135">
        <v>1606839</v>
      </c>
    </row>
    <row r="136" spans="1:6">
      <c r="A136" s="39">
        <v>42338</v>
      </c>
      <c r="B136">
        <v>14.32</v>
      </c>
      <c r="C136">
        <v>14.4</v>
      </c>
      <c r="D136">
        <v>14.18</v>
      </c>
      <c r="E136">
        <v>14.19</v>
      </c>
      <c r="F136">
        <v>2975400</v>
      </c>
    </row>
    <row r="137" spans="1:6">
      <c r="A137" s="39">
        <v>42339</v>
      </c>
      <c r="B137">
        <v>14.3</v>
      </c>
      <c r="C137">
        <v>14.41</v>
      </c>
      <c r="D137">
        <v>14.25</v>
      </c>
      <c r="E137">
        <v>14.35</v>
      </c>
      <c r="F137">
        <v>2226174</v>
      </c>
    </row>
    <row r="138" spans="1:6">
      <c r="A138" s="39">
        <v>42340</v>
      </c>
      <c r="B138">
        <v>14.17</v>
      </c>
      <c r="C138">
        <v>14.29</v>
      </c>
      <c r="D138">
        <v>14.02</v>
      </c>
      <c r="E138">
        <v>14.05</v>
      </c>
      <c r="F138">
        <v>2108818</v>
      </c>
    </row>
    <row r="139" spans="1:6">
      <c r="A139" s="39">
        <v>42341</v>
      </c>
      <c r="B139">
        <v>14.11</v>
      </c>
      <c r="C139">
        <v>14.35</v>
      </c>
      <c r="D139">
        <v>14.06</v>
      </c>
      <c r="E139">
        <v>14.21</v>
      </c>
      <c r="F139">
        <v>2703411</v>
      </c>
    </row>
    <row r="140" spans="1:6">
      <c r="A140" s="39">
        <v>42342</v>
      </c>
      <c r="B140">
        <v>14.15</v>
      </c>
      <c r="C140">
        <v>14.26</v>
      </c>
      <c r="D140">
        <v>14.11</v>
      </c>
      <c r="E140">
        <v>14.19</v>
      </c>
      <c r="F140">
        <v>2145027</v>
      </c>
    </row>
    <row r="141" spans="1:6">
      <c r="A141" s="39">
        <v>42345</v>
      </c>
      <c r="B141">
        <v>14</v>
      </c>
      <c r="C141">
        <v>14.04</v>
      </c>
      <c r="D141">
        <v>13.76</v>
      </c>
      <c r="E141">
        <v>13.78</v>
      </c>
      <c r="F141">
        <v>2197030</v>
      </c>
    </row>
    <row r="142" spans="1:6">
      <c r="A142" s="39">
        <v>42346</v>
      </c>
      <c r="B142">
        <v>13.67</v>
      </c>
      <c r="C142">
        <v>13.83</v>
      </c>
      <c r="D142">
        <v>13.65</v>
      </c>
      <c r="E142">
        <v>13.71</v>
      </c>
      <c r="F142">
        <v>3011136</v>
      </c>
    </row>
    <row r="143" spans="1:6">
      <c r="A143" s="39">
        <v>42347</v>
      </c>
      <c r="B143">
        <v>13.78</v>
      </c>
      <c r="C143">
        <v>13.92</v>
      </c>
      <c r="D143">
        <v>13.62</v>
      </c>
      <c r="E143">
        <v>13.72</v>
      </c>
      <c r="F143">
        <v>2688049</v>
      </c>
    </row>
    <row r="144" spans="1:6">
      <c r="A144" s="39">
        <v>42348</v>
      </c>
      <c r="B144">
        <v>13.68</v>
      </c>
      <c r="C144">
        <v>13.77</v>
      </c>
      <c r="D144">
        <v>13.66</v>
      </c>
      <c r="E144">
        <v>13.67</v>
      </c>
      <c r="F144">
        <v>2076633</v>
      </c>
    </row>
    <row r="145" spans="1:6">
      <c r="A145" s="39">
        <v>42349</v>
      </c>
      <c r="B145">
        <v>13.64</v>
      </c>
      <c r="C145">
        <v>13.71</v>
      </c>
      <c r="D145">
        <v>13.49</v>
      </c>
      <c r="E145">
        <v>13.53</v>
      </c>
      <c r="F145">
        <v>4237899</v>
      </c>
    </row>
    <row r="146" spans="1:6">
      <c r="A146" s="39">
        <v>42352</v>
      </c>
      <c r="B146">
        <v>13.4</v>
      </c>
      <c r="C146">
        <v>13.55</v>
      </c>
      <c r="D146">
        <v>13.36</v>
      </c>
      <c r="E146">
        <v>13.44</v>
      </c>
      <c r="F146">
        <v>2627300</v>
      </c>
    </row>
    <row r="147" spans="1:6">
      <c r="A147" s="39">
        <v>42353</v>
      </c>
      <c r="B147">
        <v>13.48</v>
      </c>
      <c r="C147">
        <v>13.6</v>
      </c>
      <c r="D147">
        <v>13.41</v>
      </c>
      <c r="E147">
        <v>13.41</v>
      </c>
      <c r="F147">
        <v>2862829</v>
      </c>
    </row>
    <row r="148" spans="1:6">
      <c r="A148" s="39">
        <v>42354</v>
      </c>
      <c r="B148">
        <v>13.36</v>
      </c>
      <c r="C148">
        <v>13.42</v>
      </c>
      <c r="D148">
        <v>13.28</v>
      </c>
      <c r="E148">
        <v>13.35</v>
      </c>
      <c r="F148">
        <v>3436926</v>
      </c>
    </row>
    <row r="149" spans="1:6">
      <c r="A149" s="39">
        <v>42355</v>
      </c>
      <c r="B149">
        <v>13.29</v>
      </c>
      <c r="C149">
        <v>13.3</v>
      </c>
      <c r="D149">
        <v>13.18</v>
      </c>
      <c r="E149">
        <v>13.21</v>
      </c>
      <c r="F149">
        <v>8948480</v>
      </c>
    </row>
    <row r="150" spans="1:6">
      <c r="A150" s="39">
        <v>42356</v>
      </c>
      <c r="B150">
        <v>13.26</v>
      </c>
      <c r="C150">
        <v>13.44</v>
      </c>
      <c r="D150">
        <v>13.26</v>
      </c>
      <c r="E150">
        <v>13.27</v>
      </c>
      <c r="F150">
        <v>2764153</v>
      </c>
    </row>
    <row r="151" spans="1:6">
      <c r="A151" s="39">
        <v>42359</v>
      </c>
      <c r="B151">
        <v>13.2</v>
      </c>
      <c r="C151">
        <v>13.3</v>
      </c>
      <c r="D151">
        <v>13.16</v>
      </c>
      <c r="E151">
        <v>13.21</v>
      </c>
      <c r="F151">
        <v>4462255</v>
      </c>
    </row>
    <row r="152" spans="1:6">
      <c r="A152" s="39">
        <v>42360</v>
      </c>
      <c r="B152">
        <v>13.22</v>
      </c>
      <c r="C152">
        <v>13.26</v>
      </c>
      <c r="D152">
        <v>13.13</v>
      </c>
      <c r="E152">
        <v>13.15</v>
      </c>
      <c r="F152">
        <v>3484305</v>
      </c>
    </row>
    <row r="153" spans="1:6">
      <c r="A153" s="39">
        <v>42361</v>
      </c>
      <c r="B153">
        <v>13.26</v>
      </c>
      <c r="C153">
        <v>13.42</v>
      </c>
      <c r="D153">
        <v>13.25</v>
      </c>
      <c r="E153">
        <v>13.39</v>
      </c>
      <c r="F153">
        <v>5518153</v>
      </c>
    </row>
    <row r="154" spans="1:6">
      <c r="A154" s="39">
        <v>42362</v>
      </c>
      <c r="B154">
        <v>13.45</v>
      </c>
      <c r="C154">
        <v>13.47</v>
      </c>
      <c r="D154">
        <v>13.39</v>
      </c>
      <c r="E154">
        <v>13.39</v>
      </c>
      <c r="F154">
        <v>1391689</v>
      </c>
    </row>
    <row r="155" spans="1:6">
      <c r="A155" s="39">
        <v>42366</v>
      </c>
      <c r="B155">
        <v>13.25</v>
      </c>
      <c r="C155">
        <v>13.3</v>
      </c>
      <c r="D155">
        <v>13.18</v>
      </c>
      <c r="E155">
        <v>13.2</v>
      </c>
      <c r="F155">
        <v>2958906</v>
      </c>
    </row>
    <row r="156" spans="1:6">
      <c r="A156" s="39">
        <v>42367</v>
      </c>
      <c r="B156">
        <v>13.38</v>
      </c>
      <c r="C156">
        <v>13.46</v>
      </c>
      <c r="D156">
        <v>13.37</v>
      </c>
      <c r="E156">
        <v>13.42</v>
      </c>
      <c r="F156">
        <v>5314700</v>
      </c>
    </row>
    <row r="157" spans="1:6">
      <c r="A157" s="39">
        <v>42368</v>
      </c>
      <c r="B157">
        <v>13.31</v>
      </c>
      <c r="C157">
        <v>13.34</v>
      </c>
      <c r="D157">
        <v>13.24</v>
      </c>
      <c r="E157">
        <v>13.29</v>
      </c>
      <c r="F157">
        <v>3190170</v>
      </c>
    </row>
    <row r="158" spans="1:6">
      <c r="A158" s="39">
        <v>42369</v>
      </c>
      <c r="B158">
        <v>13.22</v>
      </c>
      <c r="C158">
        <v>13.49</v>
      </c>
      <c r="D158">
        <v>13.22</v>
      </c>
      <c r="E158">
        <v>13.36</v>
      </c>
      <c r="F158">
        <v>2373178</v>
      </c>
    </row>
    <row r="159" spans="1:6">
      <c r="A159" s="39">
        <v>42373</v>
      </c>
      <c r="B159">
        <v>13.42</v>
      </c>
      <c r="C159">
        <v>13.51</v>
      </c>
      <c r="D159">
        <v>13.19</v>
      </c>
      <c r="E159">
        <v>13.26</v>
      </c>
      <c r="F159">
        <v>2307559</v>
      </c>
    </row>
    <row r="160" spans="1:6">
      <c r="A160" s="39">
        <v>42374</v>
      </c>
      <c r="B160">
        <v>13.22</v>
      </c>
      <c r="C160">
        <v>13.25</v>
      </c>
      <c r="D160">
        <v>13.13</v>
      </c>
      <c r="E160">
        <v>13.13</v>
      </c>
      <c r="F160">
        <v>1210003</v>
      </c>
    </row>
    <row r="161" spans="1:6">
      <c r="A161" s="39">
        <v>42375</v>
      </c>
      <c r="B161">
        <v>12.96</v>
      </c>
      <c r="C161">
        <v>13.06</v>
      </c>
      <c r="D161">
        <v>12.88</v>
      </c>
      <c r="E161">
        <v>12.92</v>
      </c>
      <c r="F161">
        <v>2668634</v>
      </c>
    </row>
    <row r="162" spans="1:6">
      <c r="A162" s="39">
        <v>42376</v>
      </c>
      <c r="B162">
        <v>12.79</v>
      </c>
      <c r="C162">
        <v>12.98</v>
      </c>
      <c r="D162">
        <v>12.76</v>
      </c>
      <c r="E162">
        <v>12.86</v>
      </c>
      <c r="F162">
        <v>10692460</v>
      </c>
    </row>
    <row r="163" spans="1:6">
      <c r="A163" s="39">
        <v>42377</v>
      </c>
      <c r="B163">
        <v>12.87</v>
      </c>
      <c r="C163">
        <v>12.88</v>
      </c>
      <c r="D163">
        <v>12.76</v>
      </c>
      <c r="E163">
        <v>12.8</v>
      </c>
      <c r="F163">
        <v>2809649</v>
      </c>
    </row>
    <row r="164" spans="1:6">
      <c r="A164" s="39">
        <v>42380</v>
      </c>
      <c r="B164">
        <v>12.73</v>
      </c>
      <c r="C164">
        <v>12.92</v>
      </c>
      <c r="D164">
        <v>12.44</v>
      </c>
      <c r="E164">
        <v>12.45</v>
      </c>
      <c r="F164">
        <v>2629099</v>
      </c>
    </row>
    <row r="165" spans="1:6">
      <c r="A165" s="39">
        <v>42381</v>
      </c>
      <c r="B165">
        <v>12.51</v>
      </c>
      <c r="C165">
        <v>12.54</v>
      </c>
      <c r="D165">
        <v>12.26</v>
      </c>
      <c r="E165">
        <v>12.37</v>
      </c>
      <c r="F165">
        <v>2398288</v>
      </c>
    </row>
    <row r="166" spans="1:6">
      <c r="A166" s="39">
        <v>42382</v>
      </c>
      <c r="B166">
        <v>12.41</v>
      </c>
      <c r="C166">
        <v>12.47</v>
      </c>
      <c r="D166">
        <v>12.24</v>
      </c>
      <c r="E166">
        <v>12.3</v>
      </c>
      <c r="F166">
        <v>2554217</v>
      </c>
    </row>
    <row r="167" spans="1:6">
      <c r="A167" s="39">
        <v>42383</v>
      </c>
      <c r="B167">
        <v>12.26</v>
      </c>
      <c r="C167">
        <v>12.36</v>
      </c>
      <c r="D167">
        <v>12.21</v>
      </c>
      <c r="E167">
        <v>12.33</v>
      </c>
      <c r="F167">
        <v>1813099</v>
      </c>
    </row>
    <row r="168" spans="1:6">
      <c r="A168" s="39">
        <v>42384</v>
      </c>
      <c r="B168">
        <v>12.13</v>
      </c>
      <c r="C168">
        <v>12.19</v>
      </c>
      <c r="D168">
        <v>12.03</v>
      </c>
      <c r="E168">
        <v>12.06</v>
      </c>
      <c r="F168">
        <v>1963468</v>
      </c>
    </row>
    <row r="169" spans="1:6">
      <c r="A169" s="39">
        <v>42388</v>
      </c>
      <c r="B169">
        <v>12.09</v>
      </c>
      <c r="C169">
        <v>12.12</v>
      </c>
      <c r="D169">
        <v>11.95</v>
      </c>
      <c r="E169">
        <v>11.97</v>
      </c>
      <c r="F169">
        <v>3776801</v>
      </c>
    </row>
    <row r="170" spans="1:6">
      <c r="A170" s="39">
        <v>42389</v>
      </c>
      <c r="B170">
        <v>11.85</v>
      </c>
      <c r="C170">
        <v>11.91</v>
      </c>
      <c r="D170">
        <v>11.7</v>
      </c>
      <c r="E170">
        <v>11.88</v>
      </c>
      <c r="F170">
        <v>2219021</v>
      </c>
    </row>
    <row r="171" spans="1:6">
      <c r="A171" s="39">
        <v>42390</v>
      </c>
      <c r="B171">
        <v>11.79</v>
      </c>
      <c r="C171">
        <v>12.11</v>
      </c>
      <c r="D171">
        <v>11.78</v>
      </c>
      <c r="E171">
        <v>12.04</v>
      </c>
      <c r="F171">
        <v>2564094</v>
      </c>
    </row>
    <row r="172" spans="1:6">
      <c r="A172" s="39">
        <v>42391</v>
      </c>
      <c r="B172">
        <v>12.31</v>
      </c>
      <c r="C172">
        <v>12.41</v>
      </c>
      <c r="D172">
        <v>12.25</v>
      </c>
      <c r="E172">
        <v>12.4</v>
      </c>
      <c r="F172">
        <v>1994486</v>
      </c>
    </row>
    <row r="173" spans="1:6">
      <c r="A173" s="39">
        <v>42394</v>
      </c>
      <c r="B173">
        <v>12.28</v>
      </c>
      <c r="C173">
        <v>12.37</v>
      </c>
      <c r="D173">
        <v>12.12</v>
      </c>
      <c r="E173">
        <v>12.13</v>
      </c>
      <c r="F173">
        <v>1983060</v>
      </c>
    </row>
    <row r="174" spans="1:6">
      <c r="A174" s="39">
        <v>42395</v>
      </c>
      <c r="B174">
        <v>12.25</v>
      </c>
      <c r="C174">
        <v>12.53</v>
      </c>
      <c r="D174">
        <v>12.24</v>
      </c>
      <c r="E174">
        <v>12.37</v>
      </c>
      <c r="F174">
        <v>2014593</v>
      </c>
    </row>
    <row r="175" spans="1:6">
      <c r="A175" s="39">
        <v>42396</v>
      </c>
      <c r="B175">
        <v>12.37</v>
      </c>
      <c r="C175">
        <v>12.61</v>
      </c>
      <c r="D175">
        <v>12.29</v>
      </c>
      <c r="E175">
        <v>12.52</v>
      </c>
      <c r="F175">
        <v>1485174</v>
      </c>
    </row>
    <row r="176" spans="1:6">
      <c r="A176" s="39">
        <v>42397</v>
      </c>
      <c r="B176">
        <v>12.72</v>
      </c>
      <c r="C176">
        <v>12.77</v>
      </c>
      <c r="D176">
        <v>12.55</v>
      </c>
      <c r="E176">
        <v>12.66</v>
      </c>
      <c r="F176">
        <v>1943231</v>
      </c>
    </row>
    <row r="177" spans="1:6">
      <c r="A177" s="39">
        <v>42398</v>
      </c>
      <c r="B177">
        <v>12.71</v>
      </c>
      <c r="C177">
        <v>12.82</v>
      </c>
      <c r="D177">
        <v>12.61</v>
      </c>
      <c r="E177">
        <v>12.78</v>
      </c>
      <c r="F177">
        <v>2920583</v>
      </c>
    </row>
    <row r="178" spans="1:6">
      <c r="A178" s="39">
        <v>42401</v>
      </c>
      <c r="B178">
        <v>12.63</v>
      </c>
      <c r="C178">
        <v>12.66</v>
      </c>
      <c r="D178">
        <v>12.5</v>
      </c>
      <c r="E178">
        <v>12.54</v>
      </c>
      <c r="F178">
        <v>1724621</v>
      </c>
    </row>
    <row r="179" spans="1:6">
      <c r="A179" s="39">
        <v>42402</v>
      </c>
      <c r="B179">
        <v>12.3</v>
      </c>
      <c r="C179">
        <v>12.4</v>
      </c>
      <c r="D179">
        <v>12.23</v>
      </c>
      <c r="E179">
        <v>12.32</v>
      </c>
      <c r="F179">
        <v>5602483</v>
      </c>
    </row>
    <row r="180" spans="1:6">
      <c r="A180" s="39">
        <v>42403</v>
      </c>
      <c r="B180">
        <v>12.48</v>
      </c>
      <c r="C180">
        <v>12.64</v>
      </c>
      <c r="D180">
        <v>12.31</v>
      </c>
      <c r="E180">
        <v>12.63</v>
      </c>
      <c r="F180">
        <v>3106627</v>
      </c>
    </row>
    <row r="181" spans="1:6">
      <c r="A181" s="39">
        <v>42404</v>
      </c>
      <c r="B181">
        <v>12.73</v>
      </c>
      <c r="C181">
        <v>12.79</v>
      </c>
      <c r="D181">
        <v>12.56</v>
      </c>
      <c r="E181">
        <v>12.61</v>
      </c>
      <c r="F181">
        <v>2606409</v>
      </c>
    </row>
    <row r="182" spans="1:6">
      <c r="A182" s="39">
        <v>42405</v>
      </c>
      <c r="B182">
        <v>12.58</v>
      </c>
      <c r="C182">
        <v>12.63</v>
      </c>
      <c r="D182">
        <v>12.48</v>
      </c>
      <c r="E182">
        <v>12.53</v>
      </c>
      <c r="F182">
        <v>1709196</v>
      </c>
    </row>
    <row r="183" spans="1:6">
      <c r="A183" s="39">
        <v>42408</v>
      </c>
      <c r="B183">
        <v>12.59</v>
      </c>
      <c r="C183">
        <v>12.62</v>
      </c>
      <c r="D183">
        <v>12.46</v>
      </c>
      <c r="E183">
        <v>12.47</v>
      </c>
      <c r="F183">
        <v>1685762</v>
      </c>
    </row>
    <row r="184" spans="1:6">
      <c r="A184" s="39">
        <v>42409</v>
      </c>
      <c r="B184">
        <v>12.37</v>
      </c>
      <c r="C184">
        <v>12.42</v>
      </c>
      <c r="D184">
        <v>12.1</v>
      </c>
      <c r="E184">
        <v>12.15</v>
      </c>
      <c r="F184">
        <v>2762879</v>
      </c>
    </row>
    <row r="185" spans="1:6">
      <c r="A185" s="39">
        <v>42410</v>
      </c>
      <c r="B185">
        <v>12.14</v>
      </c>
      <c r="C185">
        <v>12.28</v>
      </c>
      <c r="D185">
        <v>12.1</v>
      </c>
      <c r="E185">
        <v>12.17</v>
      </c>
      <c r="F185">
        <v>3157085</v>
      </c>
    </row>
    <row r="186" spans="1:6">
      <c r="A186" s="39">
        <v>42411</v>
      </c>
      <c r="B186">
        <v>12.18</v>
      </c>
      <c r="C186">
        <v>12.34</v>
      </c>
      <c r="D186">
        <v>12.15</v>
      </c>
      <c r="E186">
        <v>12.32</v>
      </c>
      <c r="F186">
        <v>1966679</v>
      </c>
    </row>
    <row r="187" spans="1:6">
      <c r="A187" s="39">
        <v>42412</v>
      </c>
      <c r="B187">
        <v>12.38</v>
      </c>
      <c r="C187">
        <v>12.57</v>
      </c>
      <c r="D187">
        <v>12.34</v>
      </c>
      <c r="E187">
        <v>12.5</v>
      </c>
      <c r="F187">
        <v>3249397</v>
      </c>
    </row>
    <row r="188" spans="1:6">
      <c r="A188" s="39">
        <v>42416</v>
      </c>
      <c r="B188">
        <v>12.55</v>
      </c>
      <c r="C188">
        <v>12.55</v>
      </c>
      <c r="D188">
        <v>12.32</v>
      </c>
      <c r="E188">
        <v>12.36</v>
      </c>
      <c r="F188">
        <v>3558856</v>
      </c>
    </row>
    <row r="189" spans="1:6">
      <c r="A189" s="39">
        <v>42417</v>
      </c>
      <c r="B189">
        <v>12.41</v>
      </c>
      <c r="C189">
        <v>12.67</v>
      </c>
      <c r="D189">
        <v>12.39</v>
      </c>
      <c r="E189">
        <v>12.62</v>
      </c>
      <c r="F189">
        <v>1704303</v>
      </c>
    </row>
    <row r="190" spans="1:6">
      <c r="A190" s="39">
        <v>42418</v>
      </c>
      <c r="B190">
        <v>12.7</v>
      </c>
      <c r="C190">
        <v>12.71</v>
      </c>
      <c r="D190">
        <v>12.52</v>
      </c>
      <c r="E190">
        <v>12.55</v>
      </c>
      <c r="F190">
        <v>2005534</v>
      </c>
    </row>
    <row r="191" spans="1:6">
      <c r="A191" s="39">
        <v>42419</v>
      </c>
      <c r="B191">
        <v>12.47</v>
      </c>
      <c r="C191">
        <v>12.48</v>
      </c>
      <c r="D191">
        <v>12.38</v>
      </c>
      <c r="E191">
        <v>12.44</v>
      </c>
      <c r="F191">
        <v>835454</v>
      </c>
    </row>
    <row r="192" spans="1:6">
      <c r="A192" s="39">
        <v>42422</v>
      </c>
      <c r="B192">
        <v>12.57</v>
      </c>
      <c r="C192">
        <v>12.65</v>
      </c>
      <c r="D192">
        <v>12.57</v>
      </c>
      <c r="E192">
        <v>12.63</v>
      </c>
      <c r="F192">
        <v>719034</v>
      </c>
    </row>
    <row r="193" spans="1:6">
      <c r="A193" s="39">
        <v>42423</v>
      </c>
      <c r="B193">
        <v>12.58</v>
      </c>
      <c r="C193">
        <v>12.58</v>
      </c>
      <c r="D193">
        <v>12.4</v>
      </c>
      <c r="E193">
        <v>12.46</v>
      </c>
      <c r="F193">
        <v>1496750</v>
      </c>
    </row>
    <row r="194" spans="1:6">
      <c r="A194" s="39">
        <v>42424</v>
      </c>
      <c r="B194">
        <v>12.37</v>
      </c>
      <c r="C194">
        <v>12.66</v>
      </c>
      <c r="D194">
        <v>12.36</v>
      </c>
      <c r="E194">
        <v>12.62</v>
      </c>
      <c r="F194">
        <v>2438867</v>
      </c>
    </row>
    <row r="195" spans="1:6">
      <c r="A195" s="39">
        <v>42425</v>
      </c>
      <c r="B195">
        <v>12.57</v>
      </c>
      <c r="C195">
        <v>12.7</v>
      </c>
      <c r="D195">
        <v>12.44</v>
      </c>
      <c r="E195">
        <v>12.61</v>
      </c>
      <c r="F195">
        <v>3589434</v>
      </c>
    </row>
    <row r="196" spans="1:6">
      <c r="A196" s="39">
        <v>42426</v>
      </c>
      <c r="B196">
        <v>12.78</v>
      </c>
      <c r="C196">
        <v>12.81</v>
      </c>
      <c r="D196">
        <v>12.55</v>
      </c>
      <c r="E196">
        <v>12.59</v>
      </c>
      <c r="F196">
        <v>1686545</v>
      </c>
    </row>
    <row r="197" spans="1:6">
      <c r="A197" s="39">
        <v>42429</v>
      </c>
      <c r="B197">
        <v>12.66</v>
      </c>
      <c r="C197">
        <v>12.76</v>
      </c>
      <c r="D197">
        <v>12.62</v>
      </c>
      <c r="E197">
        <v>12.75</v>
      </c>
      <c r="F197">
        <v>1813965</v>
      </c>
    </row>
    <row r="198" spans="1:6">
      <c r="A198" s="39">
        <v>42430</v>
      </c>
      <c r="B198">
        <v>12.74</v>
      </c>
      <c r="C198">
        <v>12.8</v>
      </c>
      <c r="D198">
        <v>12.64</v>
      </c>
      <c r="E198">
        <v>12.76</v>
      </c>
      <c r="F198">
        <v>2144553</v>
      </c>
    </row>
    <row r="199" spans="1:6">
      <c r="A199" s="39">
        <v>42431</v>
      </c>
      <c r="B199">
        <v>12.73</v>
      </c>
      <c r="C199">
        <v>12.87</v>
      </c>
      <c r="D199">
        <v>12.7</v>
      </c>
      <c r="E199">
        <v>12.83</v>
      </c>
      <c r="F199">
        <v>4519730</v>
      </c>
    </row>
    <row r="200" spans="1:6">
      <c r="A200" s="39">
        <v>42432</v>
      </c>
      <c r="B200">
        <v>12.79</v>
      </c>
      <c r="C200">
        <v>12.92</v>
      </c>
      <c r="D200">
        <v>12.76</v>
      </c>
      <c r="E200">
        <v>12.9</v>
      </c>
      <c r="F200">
        <v>1597034</v>
      </c>
    </row>
    <row r="201" spans="1:6">
      <c r="A201" s="39">
        <v>42433</v>
      </c>
      <c r="B201">
        <v>12.96</v>
      </c>
      <c r="C201">
        <v>13.16</v>
      </c>
      <c r="D201">
        <v>12.94</v>
      </c>
      <c r="E201">
        <v>13.15</v>
      </c>
      <c r="F201">
        <v>2063861</v>
      </c>
    </row>
    <row r="202" spans="1:6">
      <c r="A202" s="39">
        <v>42436</v>
      </c>
      <c r="B202">
        <v>13.2</v>
      </c>
      <c r="C202">
        <v>13.43</v>
      </c>
      <c r="D202">
        <v>13.17</v>
      </c>
      <c r="E202">
        <v>13.39</v>
      </c>
      <c r="F202">
        <v>2785526</v>
      </c>
    </row>
    <row r="203" spans="1:6">
      <c r="A203" s="39">
        <v>42437</v>
      </c>
      <c r="B203">
        <v>13.39</v>
      </c>
      <c r="C203">
        <v>13.39</v>
      </c>
      <c r="D203">
        <v>13.21</v>
      </c>
      <c r="E203">
        <v>13.21</v>
      </c>
      <c r="F203">
        <v>2116396</v>
      </c>
    </row>
    <row r="204" spans="1:6">
      <c r="A204" s="39">
        <v>42438</v>
      </c>
      <c r="B204">
        <v>13.3</v>
      </c>
      <c r="C204">
        <v>13.43</v>
      </c>
      <c r="D204">
        <v>13.27</v>
      </c>
      <c r="E204">
        <v>13.41</v>
      </c>
      <c r="F204">
        <v>2552678</v>
      </c>
    </row>
    <row r="205" spans="1:6">
      <c r="A205" s="39">
        <v>42439</v>
      </c>
      <c r="B205">
        <v>13.33</v>
      </c>
      <c r="C205">
        <v>13.43</v>
      </c>
      <c r="D205">
        <v>13.28</v>
      </c>
      <c r="E205">
        <v>13.39</v>
      </c>
      <c r="F205">
        <v>2836660</v>
      </c>
    </row>
    <row r="206" spans="1:6">
      <c r="A206" s="39">
        <v>42440</v>
      </c>
      <c r="B206">
        <v>13.5</v>
      </c>
      <c r="C206">
        <v>13.53</v>
      </c>
      <c r="D206">
        <v>13.4</v>
      </c>
      <c r="E206">
        <v>13.44</v>
      </c>
      <c r="F206">
        <v>1010876</v>
      </c>
    </row>
    <row r="207" spans="1:6">
      <c r="A207" s="39">
        <v>42443</v>
      </c>
      <c r="B207">
        <v>13.34</v>
      </c>
      <c r="C207">
        <v>13.35</v>
      </c>
      <c r="D207">
        <v>13.23</v>
      </c>
      <c r="E207">
        <v>13.32</v>
      </c>
      <c r="F207">
        <v>1062867</v>
      </c>
    </row>
    <row r="208" spans="1:6">
      <c r="A208" s="39">
        <v>42444</v>
      </c>
      <c r="B208">
        <v>13.25</v>
      </c>
      <c r="C208">
        <v>13.25</v>
      </c>
      <c r="D208">
        <v>13.13</v>
      </c>
      <c r="E208">
        <v>13.21</v>
      </c>
      <c r="F208">
        <v>1619163</v>
      </c>
    </row>
    <row r="209" spans="1:6">
      <c r="A209" s="39">
        <v>42445</v>
      </c>
      <c r="B209">
        <v>13.24</v>
      </c>
      <c r="C209">
        <v>13.45</v>
      </c>
      <c r="D209">
        <v>13.24</v>
      </c>
      <c r="E209">
        <v>13.44</v>
      </c>
      <c r="F209">
        <v>2430959</v>
      </c>
    </row>
    <row r="210" spans="1:6">
      <c r="A210" s="39">
        <v>42446</v>
      </c>
      <c r="B210">
        <v>13.52</v>
      </c>
      <c r="C210">
        <v>13.62</v>
      </c>
      <c r="D210">
        <v>13.48</v>
      </c>
      <c r="E210">
        <v>13.59</v>
      </c>
      <c r="F210">
        <v>1000439</v>
      </c>
    </row>
    <row r="211" spans="1:6">
      <c r="A211" s="39">
        <v>42447</v>
      </c>
      <c r="B211">
        <v>13.63</v>
      </c>
      <c r="C211">
        <v>13.68</v>
      </c>
      <c r="D211">
        <v>13.52</v>
      </c>
      <c r="E211">
        <v>13.58</v>
      </c>
      <c r="F211">
        <v>1791070</v>
      </c>
    </row>
    <row r="212" spans="1:6">
      <c r="A212" s="39">
        <v>42450</v>
      </c>
      <c r="B212">
        <v>13.57</v>
      </c>
      <c r="C212">
        <v>13.64</v>
      </c>
      <c r="D212">
        <v>13.51</v>
      </c>
      <c r="E212">
        <v>13.62</v>
      </c>
      <c r="F212">
        <v>9810500</v>
      </c>
    </row>
    <row r="213" spans="1:6">
      <c r="A213" s="39">
        <v>42451</v>
      </c>
      <c r="B213">
        <v>13.61</v>
      </c>
      <c r="C213">
        <v>13.73</v>
      </c>
      <c r="D213">
        <v>13.59</v>
      </c>
      <c r="E213">
        <v>13.72</v>
      </c>
      <c r="F213">
        <v>1498785</v>
      </c>
    </row>
    <row r="214" spans="1:6">
      <c r="A214" s="39">
        <v>42452</v>
      </c>
      <c r="B214">
        <v>13.53</v>
      </c>
      <c r="C214">
        <v>13.56</v>
      </c>
      <c r="D214">
        <v>13.41</v>
      </c>
      <c r="E214">
        <v>13.43</v>
      </c>
      <c r="F214">
        <v>3167112</v>
      </c>
    </row>
    <row r="215" spans="1:6">
      <c r="A215" s="39">
        <v>42453</v>
      </c>
      <c r="B215">
        <v>13.24</v>
      </c>
      <c r="C215">
        <v>13.41</v>
      </c>
      <c r="D215">
        <v>13.23</v>
      </c>
      <c r="E215">
        <v>13.35</v>
      </c>
      <c r="F215">
        <v>1838669</v>
      </c>
    </row>
    <row r="216" spans="1:6">
      <c r="A216" s="39">
        <v>42457</v>
      </c>
      <c r="B216">
        <v>13.35</v>
      </c>
      <c r="C216">
        <v>13.4</v>
      </c>
      <c r="D216">
        <v>13.3</v>
      </c>
      <c r="E216">
        <v>13.39</v>
      </c>
      <c r="F216">
        <v>1000269</v>
      </c>
    </row>
    <row r="217" spans="1:6">
      <c r="A217" s="39">
        <v>42458</v>
      </c>
      <c r="B217">
        <v>13.26</v>
      </c>
      <c r="C217">
        <v>13.37</v>
      </c>
      <c r="D217">
        <v>13.21</v>
      </c>
      <c r="E217">
        <v>13.36</v>
      </c>
      <c r="F217">
        <v>2303626</v>
      </c>
    </row>
    <row r="218" spans="1:6">
      <c r="A218" s="39">
        <v>42459</v>
      </c>
      <c r="B218">
        <v>13.45</v>
      </c>
      <c r="C218">
        <v>13.51</v>
      </c>
      <c r="D218">
        <v>13.3</v>
      </c>
      <c r="E218">
        <v>13.31</v>
      </c>
      <c r="F218">
        <v>1336089</v>
      </c>
    </row>
    <row r="219" spans="1:6">
      <c r="A219" s="39">
        <v>42460</v>
      </c>
      <c r="B219">
        <v>13.3</v>
      </c>
      <c r="C219">
        <v>13.41</v>
      </c>
      <c r="D219">
        <v>13.27</v>
      </c>
      <c r="E219">
        <v>13.29</v>
      </c>
      <c r="F219">
        <v>3581737</v>
      </c>
    </row>
    <row r="220" spans="1:6">
      <c r="A220" s="39">
        <v>42461</v>
      </c>
      <c r="B220">
        <v>13.07</v>
      </c>
      <c r="C220">
        <v>13.13</v>
      </c>
      <c r="D220">
        <v>13.02</v>
      </c>
      <c r="E220">
        <v>13.06</v>
      </c>
      <c r="F220">
        <v>1170772</v>
      </c>
    </row>
    <row r="221" spans="1:6">
      <c r="A221" s="39">
        <v>42464</v>
      </c>
      <c r="B221">
        <v>13</v>
      </c>
      <c r="C221">
        <v>13.08</v>
      </c>
      <c r="D221">
        <v>12.86</v>
      </c>
      <c r="E221">
        <v>12.88</v>
      </c>
      <c r="F221">
        <v>4621633</v>
      </c>
    </row>
    <row r="222" spans="1:6">
      <c r="A222" s="39">
        <v>42465</v>
      </c>
      <c r="B222">
        <v>12.86</v>
      </c>
      <c r="C222">
        <v>12.87</v>
      </c>
      <c r="D222">
        <v>12.78</v>
      </c>
      <c r="E222">
        <v>12.85</v>
      </c>
      <c r="F222">
        <v>1832986</v>
      </c>
    </row>
    <row r="223" spans="1:6">
      <c r="A223" s="39">
        <v>42466</v>
      </c>
      <c r="B223">
        <v>12.86</v>
      </c>
      <c r="C223">
        <v>13.04</v>
      </c>
      <c r="D223">
        <v>12.82</v>
      </c>
      <c r="E223">
        <v>12.99</v>
      </c>
      <c r="F223">
        <v>4849547</v>
      </c>
    </row>
    <row r="224" spans="1:6">
      <c r="A224" s="39">
        <v>42467</v>
      </c>
      <c r="B224">
        <v>12.96</v>
      </c>
      <c r="C224">
        <v>12.99</v>
      </c>
      <c r="D224">
        <v>12.86</v>
      </c>
      <c r="E224">
        <v>12.95</v>
      </c>
      <c r="F224">
        <v>1046189</v>
      </c>
    </row>
    <row r="225" spans="1:6">
      <c r="A225" s="39">
        <v>42468</v>
      </c>
      <c r="B225">
        <v>13.18</v>
      </c>
      <c r="C225">
        <v>13.3</v>
      </c>
      <c r="D225">
        <v>13.14</v>
      </c>
      <c r="E225">
        <v>13.26</v>
      </c>
      <c r="F225">
        <v>1298817</v>
      </c>
    </row>
    <row r="226" spans="1:6">
      <c r="A226" s="39">
        <v>42471</v>
      </c>
      <c r="B226">
        <v>13.29</v>
      </c>
      <c r="C226">
        <v>13.39</v>
      </c>
      <c r="D226">
        <v>13.29</v>
      </c>
      <c r="E226">
        <v>13.36</v>
      </c>
      <c r="F226">
        <v>1763810</v>
      </c>
    </row>
    <row r="227" spans="1:6">
      <c r="A227" s="39">
        <v>42472</v>
      </c>
      <c r="B227">
        <v>13.49</v>
      </c>
      <c r="C227">
        <v>13.7</v>
      </c>
      <c r="D227">
        <v>13.46</v>
      </c>
      <c r="E227">
        <v>13.65</v>
      </c>
      <c r="F227">
        <v>2560067</v>
      </c>
    </row>
    <row r="228" spans="1:6">
      <c r="A228" s="39">
        <v>42473</v>
      </c>
      <c r="B228">
        <v>13.68</v>
      </c>
      <c r="C228">
        <v>13.77</v>
      </c>
      <c r="D228">
        <v>13.64</v>
      </c>
      <c r="E228">
        <v>13.72</v>
      </c>
      <c r="F228">
        <v>1907918</v>
      </c>
    </row>
    <row r="229" spans="1:6">
      <c r="A229" s="39">
        <v>42474</v>
      </c>
      <c r="B229">
        <v>13.71</v>
      </c>
      <c r="C229">
        <v>13.72</v>
      </c>
      <c r="D229">
        <v>13.59</v>
      </c>
      <c r="E229">
        <v>13.61</v>
      </c>
      <c r="F229">
        <v>1084591</v>
      </c>
    </row>
    <row r="230" spans="1:6">
      <c r="A230" s="39">
        <v>42475</v>
      </c>
      <c r="B230">
        <v>13.49</v>
      </c>
      <c r="C230">
        <v>13.61</v>
      </c>
      <c r="D230">
        <v>13.41</v>
      </c>
      <c r="E230">
        <v>13.56</v>
      </c>
      <c r="F230">
        <v>879415</v>
      </c>
    </row>
    <row r="231" spans="1:6">
      <c r="A231" s="39">
        <v>42478</v>
      </c>
      <c r="B231">
        <v>13.41</v>
      </c>
      <c r="C231">
        <v>13.68</v>
      </c>
      <c r="D231">
        <v>13.38</v>
      </c>
      <c r="E231">
        <v>13.62</v>
      </c>
      <c r="F231">
        <v>1204652</v>
      </c>
    </row>
    <row r="232" spans="1:6">
      <c r="A232" s="39">
        <v>42479</v>
      </c>
      <c r="B232">
        <v>13.76</v>
      </c>
      <c r="C232">
        <v>13.94</v>
      </c>
      <c r="D232">
        <v>13.74</v>
      </c>
      <c r="E232">
        <v>13.91</v>
      </c>
      <c r="F232">
        <v>2226268</v>
      </c>
    </row>
    <row r="233" spans="1:6">
      <c r="A233" s="39">
        <v>42480</v>
      </c>
      <c r="B233">
        <v>13.85</v>
      </c>
      <c r="C233">
        <v>14.24</v>
      </c>
      <c r="D233">
        <v>13.82</v>
      </c>
      <c r="E233">
        <v>14.18</v>
      </c>
      <c r="F233">
        <v>2408153</v>
      </c>
    </row>
    <row r="234" spans="1:6">
      <c r="A234" s="39">
        <v>42481</v>
      </c>
      <c r="B234">
        <v>14.26</v>
      </c>
      <c r="C234">
        <v>14.26</v>
      </c>
      <c r="D234">
        <v>14.04</v>
      </c>
      <c r="E234">
        <v>14.12</v>
      </c>
      <c r="F234">
        <v>2701963</v>
      </c>
    </row>
    <row r="235" spans="1:6">
      <c r="A235" s="39">
        <v>42482</v>
      </c>
      <c r="B235">
        <v>14.15</v>
      </c>
      <c r="C235">
        <v>14.27</v>
      </c>
      <c r="D235">
        <v>14.02</v>
      </c>
      <c r="E235">
        <v>14.06</v>
      </c>
      <c r="F235">
        <v>2134911</v>
      </c>
    </row>
    <row r="236" spans="1:6">
      <c r="A236" s="39">
        <v>42485</v>
      </c>
      <c r="B236">
        <v>14.08</v>
      </c>
      <c r="C236">
        <v>14.15</v>
      </c>
      <c r="D236">
        <v>14.01</v>
      </c>
      <c r="E236">
        <v>14.05</v>
      </c>
      <c r="F236">
        <v>1574188</v>
      </c>
    </row>
    <row r="237" spans="1:6">
      <c r="A237" s="39">
        <v>42486</v>
      </c>
      <c r="B237">
        <v>14.11</v>
      </c>
      <c r="C237">
        <v>14.25</v>
      </c>
      <c r="D237">
        <v>14.07</v>
      </c>
      <c r="E237">
        <v>14.23</v>
      </c>
      <c r="F237">
        <v>1528322</v>
      </c>
    </row>
    <row r="238" spans="1:6">
      <c r="A238" s="39">
        <v>42487</v>
      </c>
      <c r="B238">
        <v>14.32</v>
      </c>
      <c r="C238">
        <v>14.39</v>
      </c>
      <c r="D238">
        <v>14.13</v>
      </c>
      <c r="E238">
        <v>14.36</v>
      </c>
      <c r="F238">
        <v>1682622</v>
      </c>
    </row>
    <row r="239" spans="1:6">
      <c r="A239" s="39">
        <v>42488</v>
      </c>
      <c r="B239">
        <v>14.37</v>
      </c>
      <c r="C239">
        <v>14.51</v>
      </c>
      <c r="D239">
        <v>14.34</v>
      </c>
      <c r="E239">
        <v>14.44</v>
      </c>
      <c r="F239">
        <v>1944179</v>
      </c>
    </row>
    <row r="240" spans="1:6">
      <c r="A240" s="39">
        <v>42489</v>
      </c>
      <c r="B240">
        <v>14.6</v>
      </c>
      <c r="C240">
        <v>14.63</v>
      </c>
      <c r="D240">
        <v>14.48</v>
      </c>
      <c r="E240">
        <v>14.58</v>
      </c>
      <c r="F240">
        <v>8719280</v>
      </c>
    </row>
    <row r="241" spans="1:6">
      <c r="A241" s="39">
        <v>42492</v>
      </c>
      <c r="B241">
        <v>14.52</v>
      </c>
      <c r="C241">
        <v>14.52</v>
      </c>
      <c r="D241">
        <v>14.35</v>
      </c>
      <c r="E241">
        <v>14.38</v>
      </c>
      <c r="F241">
        <v>6749044</v>
      </c>
    </row>
    <row r="242" spans="1:6">
      <c r="A242" s="39">
        <v>42493</v>
      </c>
      <c r="B242">
        <v>14.29</v>
      </c>
      <c r="C242">
        <v>14.3</v>
      </c>
      <c r="D242">
        <v>14.09</v>
      </c>
      <c r="E242">
        <v>14.16</v>
      </c>
      <c r="F242">
        <v>2723550</v>
      </c>
    </row>
    <row r="243" spans="1:6">
      <c r="A243" s="39">
        <v>42494</v>
      </c>
      <c r="B243">
        <v>14.24</v>
      </c>
      <c r="C243">
        <v>14.32</v>
      </c>
      <c r="D243">
        <v>14.06</v>
      </c>
      <c r="E243">
        <v>14.17</v>
      </c>
      <c r="F243">
        <v>2020996</v>
      </c>
    </row>
    <row r="244" spans="1:6">
      <c r="A244" s="39">
        <v>42495</v>
      </c>
      <c r="B244">
        <v>14.34</v>
      </c>
      <c r="C244">
        <v>14.34</v>
      </c>
      <c r="D244">
        <v>13.96</v>
      </c>
      <c r="E244">
        <v>14.03</v>
      </c>
      <c r="F244">
        <v>1184157</v>
      </c>
    </row>
    <row r="245" spans="1:6">
      <c r="A245" s="39">
        <v>42496</v>
      </c>
      <c r="B245">
        <v>14</v>
      </c>
      <c r="C245">
        <v>14.24</v>
      </c>
      <c r="D245">
        <v>13.97</v>
      </c>
      <c r="E245">
        <v>14.12</v>
      </c>
      <c r="F245">
        <v>6854168</v>
      </c>
    </row>
    <row r="246" spans="1:6">
      <c r="A246" s="39">
        <v>42499</v>
      </c>
      <c r="B246">
        <v>13.96</v>
      </c>
      <c r="C246">
        <v>13.99</v>
      </c>
      <c r="D246">
        <v>13.8</v>
      </c>
      <c r="E246">
        <v>13.81</v>
      </c>
      <c r="F246">
        <v>2163340</v>
      </c>
    </row>
    <row r="247" spans="1:6">
      <c r="A247" s="39">
        <v>42500</v>
      </c>
      <c r="B247">
        <v>13.92</v>
      </c>
      <c r="C247">
        <v>14.18</v>
      </c>
      <c r="D247">
        <v>13.92</v>
      </c>
      <c r="E247">
        <v>14.15</v>
      </c>
      <c r="F247">
        <v>1420899</v>
      </c>
    </row>
    <row r="248" spans="1:6">
      <c r="A248" s="39">
        <v>42501</v>
      </c>
      <c r="B248">
        <v>14.21</v>
      </c>
      <c r="C248">
        <v>14.5</v>
      </c>
      <c r="D248">
        <v>14.16</v>
      </c>
      <c r="E248">
        <v>14.48</v>
      </c>
      <c r="F248">
        <v>1851090</v>
      </c>
    </row>
    <row r="249" spans="1:6">
      <c r="A249" s="39">
        <v>42502</v>
      </c>
      <c r="B249">
        <v>14.53</v>
      </c>
      <c r="C249">
        <v>14.53</v>
      </c>
      <c r="D249">
        <v>14.32</v>
      </c>
      <c r="E249">
        <v>14.5</v>
      </c>
      <c r="F249">
        <v>1270674</v>
      </c>
    </row>
    <row r="250" spans="1:6">
      <c r="A250" s="39">
        <v>42503</v>
      </c>
      <c r="B250">
        <v>14.41</v>
      </c>
      <c r="C250">
        <v>14.51</v>
      </c>
      <c r="D250">
        <v>14.38</v>
      </c>
      <c r="E250">
        <v>14.48</v>
      </c>
      <c r="F250">
        <v>1550842</v>
      </c>
    </row>
    <row r="251" spans="1:6">
      <c r="A251" s="39">
        <v>42506</v>
      </c>
      <c r="B251">
        <v>14.62</v>
      </c>
      <c r="C251">
        <v>14.69</v>
      </c>
      <c r="D251">
        <v>14.58</v>
      </c>
      <c r="E251">
        <v>14.64</v>
      </c>
      <c r="F251">
        <v>3273513</v>
      </c>
    </row>
    <row r="252" spans="1:6">
      <c r="A252" s="39">
        <v>42507</v>
      </c>
      <c r="B252">
        <v>14.63</v>
      </c>
      <c r="C252">
        <v>14.77</v>
      </c>
      <c r="D252">
        <v>14.62</v>
      </c>
      <c r="E252">
        <v>14.75</v>
      </c>
      <c r="F252">
        <v>1425240</v>
      </c>
    </row>
    <row r="253" spans="1:6">
      <c r="A253" s="39">
        <v>42508</v>
      </c>
      <c r="B253">
        <v>14.65</v>
      </c>
      <c r="C253">
        <v>14.82</v>
      </c>
      <c r="D253">
        <v>14.62</v>
      </c>
      <c r="E253">
        <v>14.64</v>
      </c>
      <c r="F253">
        <v>1987253</v>
      </c>
    </row>
    <row r="254" spans="1:6">
      <c r="A254" s="39">
        <v>42509</v>
      </c>
      <c r="B254">
        <v>14.49</v>
      </c>
      <c r="C254">
        <v>14.62</v>
      </c>
      <c r="D254">
        <v>14.4</v>
      </c>
      <c r="E254">
        <v>14.6</v>
      </c>
      <c r="F254">
        <v>5004334</v>
      </c>
    </row>
    <row r="255" spans="1:6">
      <c r="A255" s="39">
        <v>42510</v>
      </c>
      <c r="B255">
        <v>14.68</v>
      </c>
      <c r="C255">
        <v>14.74</v>
      </c>
      <c r="D255">
        <v>14.57</v>
      </c>
      <c r="E255">
        <v>14.66</v>
      </c>
      <c r="F255">
        <v>3424840</v>
      </c>
    </row>
    <row r="256" spans="1:6">
      <c r="A256" s="39">
        <v>42513</v>
      </c>
      <c r="B256">
        <v>14.49</v>
      </c>
      <c r="C256">
        <v>14.61</v>
      </c>
      <c r="D256">
        <v>14.48</v>
      </c>
      <c r="E256">
        <v>14.58</v>
      </c>
      <c r="F256">
        <v>1290225</v>
      </c>
    </row>
    <row r="257" spans="1:6">
      <c r="A257" s="39">
        <v>42514</v>
      </c>
      <c r="B257">
        <v>14.53</v>
      </c>
      <c r="C257">
        <v>14.69</v>
      </c>
      <c r="D257">
        <v>14.53</v>
      </c>
      <c r="E257">
        <v>14.58</v>
      </c>
      <c r="F257">
        <v>964187</v>
      </c>
    </row>
    <row r="258" spans="1:6">
      <c r="A258" s="39">
        <v>42515</v>
      </c>
      <c r="B258">
        <v>14.62</v>
      </c>
      <c r="C258">
        <v>14.76</v>
      </c>
      <c r="D258">
        <v>14.6</v>
      </c>
      <c r="E258">
        <v>14.75</v>
      </c>
      <c r="F258">
        <v>1638538</v>
      </c>
    </row>
    <row r="259" spans="1:6">
      <c r="A259" s="39">
        <v>42516</v>
      </c>
      <c r="B259">
        <v>14.83</v>
      </c>
      <c r="C259">
        <v>14.85</v>
      </c>
      <c r="D259">
        <v>14.67</v>
      </c>
      <c r="E259">
        <v>14.74</v>
      </c>
      <c r="F259">
        <v>1422519</v>
      </c>
    </row>
    <row r="260" spans="1:6">
      <c r="A260" s="39">
        <v>42517</v>
      </c>
      <c r="B260">
        <v>14.71</v>
      </c>
      <c r="C260">
        <v>14.83</v>
      </c>
      <c r="D260">
        <v>14.67</v>
      </c>
      <c r="E260">
        <v>14.8</v>
      </c>
      <c r="F260">
        <v>1472520</v>
      </c>
    </row>
    <row r="261" spans="1:6">
      <c r="A261" s="39">
        <v>42521</v>
      </c>
      <c r="B261">
        <v>14.81</v>
      </c>
      <c r="C261">
        <v>14.89</v>
      </c>
      <c r="D261">
        <v>14.7</v>
      </c>
      <c r="E261">
        <v>14.71</v>
      </c>
      <c r="F261">
        <v>10014960</v>
      </c>
    </row>
    <row r="262" spans="1:6">
      <c r="A262" s="39">
        <v>42522</v>
      </c>
      <c r="B262">
        <v>14.6</v>
      </c>
      <c r="C262">
        <v>14.86</v>
      </c>
      <c r="D262">
        <v>14.58</v>
      </c>
      <c r="E262">
        <v>14.86</v>
      </c>
      <c r="F262">
        <v>3179177</v>
      </c>
    </row>
    <row r="263" spans="1:6">
      <c r="A263" s="39">
        <v>42523</v>
      </c>
      <c r="B263">
        <v>14.79</v>
      </c>
      <c r="C263">
        <v>14.99</v>
      </c>
      <c r="D263">
        <v>14.76</v>
      </c>
      <c r="E263">
        <v>14.89</v>
      </c>
      <c r="F263">
        <v>6854413</v>
      </c>
    </row>
    <row r="264" spans="1:6">
      <c r="A264" s="39">
        <v>42524</v>
      </c>
      <c r="B264">
        <v>15.01</v>
      </c>
      <c r="C264">
        <v>15.02</v>
      </c>
      <c r="D264">
        <v>14.91</v>
      </c>
      <c r="E264">
        <v>14.99</v>
      </c>
      <c r="F264">
        <v>2211324</v>
      </c>
    </row>
    <row r="265" spans="1:6">
      <c r="A265" s="39">
        <v>42527</v>
      </c>
      <c r="B265">
        <v>15.14</v>
      </c>
      <c r="C265">
        <v>15.2</v>
      </c>
      <c r="D265">
        <v>15.09</v>
      </c>
      <c r="E265">
        <v>15.17</v>
      </c>
      <c r="F265">
        <v>2936937</v>
      </c>
    </row>
    <row r="266" spans="1:6">
      <c r="A266" s="39">
        <v>42528</v>
      </c>
      <c r="B266">
        <v>15.19</v>
      </c>
      <c r="C266">
        <v>15.32</v>
      </c>
      <c r="D266">
        <v>15.18</v>
      </c>
      <c r="E266">
        <v>15.32</v>
      </c>
      <c r="F266">
        <v>1394192</v>
      </c>
    </row>
    <row r="267" spans="1:6">
      <c r="A267" s="39">
        <v>42529</v>
      </c>
      <c r="B267">
        <v>15.5</v>
      </c>
      <c r="C267">
        <v>15.59</v>
      </c>
      <c r="D267">
        <v>15.47</v>
      </c>
      <c r="E267">
        <v>15.58</v>
      </c>
      <c r="F267">
        <v>2748203</v>
      </c>
    </row>
    <row r="268" spans="1:6">
      <c r="A268" s="39">
        <v>42530</v>
      </c>
      <c r="B268">
        <v>15.44</v>
      </c>
      <c r="C268">
        <v>15.57</v>
      </c>
      <c r="D268">
        <v>15.42</v>
      </c>
      <c r="E268">
        <v>15.55</v>
      </c>
      <c r="F268">
        <v>3062151</v>
      </c>
    </row>
    <row r="269" spans="1:6">
      <c r="A269" s="39">
        <v>42531</v>
      </c>
      <c r="B269">
        <v>15.43</v>
      </c>
      <c r="C269">
        <v>15.48</v>
      </c>
      <c r="D269">
        <v>15.34</v>
      </c>
      <c r="E269">
        <v>15.36</v>
      </c>
      <c r="F269">
        <v>2965654</v>
      </c>
    </row>
    <row r="270" spans="1:6">
      <c r="A270" s="39">
        <v>42534</v>
      </c>
      <c r="B270">
        <v>15.35</v>
      </c>
      <c r="C270">
        <v>15.46</v>
      </c>
      <c r="D270">
        <v>15.32</v>
      </c>
      <c r="E270">
        <v>15.36</v>
      </c>
      <c r="F270">
        <v>1594553</v>
      </c>
    </row>
    <row r="271" spans="1:6">
      <c r="A271" s="39">
        <v>42535</v>
      </c>
      <c r="B271">
        <v>15.25</v>
      </c>
      <c r="C271">
        <v>15.31</v>
      </c>
      <c r="D271">
        <v>15.18</v>
      </c>
      <c r="E271">
        <v>15.26</v>
      </c>
      <c r="F271">
        <v>1276513</v>
      </c>
    </row>
    <row r="272" spans="1:6">
      <c r="A272" s="39">
        <v>42536</v>
      </c>
      <c r="B272">
        <v>15.24</v>
      </c>
      <c r="C272">
        <v>15.32</v>
      </c>
      <c r="D272">
        <v>15.14</v>
      </c>
      <c r="E272">
        <v>15.18</v>
      </c>
      <c r="F272">
        <v>1829775</v>
      </c>
    </row>
    <row r="273" spans="1:6">
      <c r="A273" s="39">
        <v>42537</v>
      </c>
      <c r="B273">
        <v>15.15</v>
      </c>
      <c r="C273">
        <v>15.15</v>
      </c>
      <c r="D273">
        <v>14.89</v>
      </c>
      <c r="E273">
        <v>14.92</v>
      </c>
      <c r="F273">
        <v>1836490</v>
      </c>
    </row>
    <row r="274" spans="1:6">
      <c r="A274" s="39">
        <v>42538</v>
      </c>
      <c r="B274">
        <v>15.14</v>
      </c>
      <c r="C274">
        <v>15.29</v>
      </c>
      <c r="D274">
        <v>15.11</v>
      </c>
      <c r="E274">
        <v>15.27</v>
      </c>
      <c r="F274">
        <v>2476254</v>
      </c>
    </row>
    <row r="275" spans="1:6">
      <c r="A275" s="39">
        <v>42541</v>
      </c>
      <c r="B275">
        <v>15.32</v>
      </c>
      <c r="C275">
        <v>15.46</v>
      </c>
      <c r="D275">
        <v>15.29</v>
      </c>
      <c r="E275">
        <v>15.41</v>
      </c>
      <c r="F275">
        <v>1654100</v>
      </c>
    </row>
    <row r="276" spans="1:6">
      <c r="A276" s="39">
        <v>42542</v>
      </c>
      <c r="B276">
        <v>15.28</v>
      </c>
      <c r="C276">
        <v>15.33</v>
      </c>
      <c r="D276">
        <v>15.2</v>
      </c>
      <c r="E276">
        <v>15.29</v>
      </c>
      <c r="F276">
        <v>1550514</v>
      </c>
    </row>
    <row r="277" spans="1:6">
      <c r="A277" s="39">
        <v>42543</v>
      </c>
      <c r="B277">
        <v>15.36</v>
      </c>
      <c r="C277">
        <v>15.4</v>
      </c>
      <c r="D277">
        <v>15.14</v>
      </c>
      <c r="E277">
        <v>15.2</v>
      </c>
      <c r="F277">
        <v>2251125</v>
      </c>
    </row>
    <row r="278" spans="1:6">
      <c r="A278" s="39">
        <v>42544</v>
      </c>
      <c r="B278">
        <v>15.25</v>
      </c>
      <c r="C278">
        <v>15.33</v>
      </c>
      <c r="D278">
        <v>15.17</v>
      </c>
      <c r="E278">
        <v>15.32</v>
      </c>
      <c r="F278">
        <v>1561522</v>
      </c>
    </row>
    <row r="279" spans="1:6">
      <c r="A279" s="39">
        <v>42545</v>
      </c>
      <c r="B279">
        <v>14.93</v>
      </c>
      <c r="C279">
        <v>15.06</v>
      </c>
      <c r="D279">
        <v>14.93</v>
      </c>
      <c r="E279">
        <v>15.01</v>
      </c>
      <c r="F279">
        <v>1582991</v>
      </c>
    </row>
    <row r="280" spans="1:6">
      <c r="A280" s="39">
        <v>42548</v>
      </c>
      <c r="B280">
        <v>15</v>
      </c>
      <c r="C280">
        <v>15</v>
      </c>
      <c r="D280">
        <v>14.85</v>
      </c>
      <c r="E280">
        <v>14.98</v>
      </c>
      <c r="F280">
        <v>2276948</v>
      </c>
    </row>
    <row r="281" spans="1:6">
      <c r="A281" s="39">
        <v>42549</v>
      </c>
      <c r="B281">
        <v>15.19</v>
      </c>
      <c r="C281">
        <v>15.22</v>
      </c>
      <c r="D281">
        <v>15.07</v>
      </c>
      <c r="E281">
        <v>15.22</v>
      </c>
      <c r="F281">
        <v>1645774</v>
      </c>
    </row>
    <row r="282" spans="1:6">
      <c r="A282" s="39">
        <v>42550</v>
      </c>
      <c r="B282">
        <v>15.32</v>
      </c>
      <c r="C282">
        <v>15.52</v>
      </c>
      <c r="D282">
        <v>15.28</v>
      </c>
      <c r="E282">
        <v>15.44</v>
      </c>
      <c r="F282">
        <v>1671011</v>
      </c>
    </row>
    <row r="283" spans="1:6">
      <c r="A283" s="39">
        <v>42551</v>
      </c>
      <c r="B283">
        <v>15.36</v>
      </c>
      <c r="C283">
        <v>15.44</v>
      </c>
      <c r="D283">
        <v>15.26</v>
      </c>
      <c r="E283">
        <v>15.35</v>
      </c>
      <c r="F283">
        <v>2216115</v>
      </c>
    </row>
    <row r="284" spans="1:6">
      <c r="A284" s="39">
        <v>42552</v>
      </c>
      <c r="B284">
        <v>15.36</v>
      </c>
      <c r="C284">
        <v>15.55</v>
      </c>
      <c r="D284">
        <v>15.33</v>
      </c>
      <c r="E284">
        <v>15.54</v>
      </c>
      <c r="F284">
        <v>3913561</v>
      </c>
    </row>
    <row r="285" spans="1:6">
      <c r="A285" s="39">
        <v>42556</v>
      </c>
      <c r="B285">
        <v>15.55</v>
      </c>
      <c r="C285">
        <v>15.55</v>
      </c>
      <c r="D285">
        <v>15</v>
      </c>
      <c r="E285">
        <v>15.1</v>
      </c>
      <c r="F285">
        <v>4526763</v>
      </c>
    </row>
    <row r="286" spans="1:6">
      <c r="A286" s="39">
        <v>42557</v>
      </c>
      <c r="B286">
        <v>14.94</v>
      </c>
      <c r="C286">
        <v>15.17</v>
      </c>
      <c r="D286">
        <v>14.9</v>
      </c>
      <c r="E286">
        <v>15.16</v>
      </c>
      <c r="F286">
        <v>2535348</v>
      </c>
    </row>
    <row r="287" spans="1:6">
      <c r="A287" s="39">
        <v>42558</v>
      </c>
      <c r="B287">
        <v>15.25</v>
      </c>
      <c r="C287">
        <v>15.27</v>
      </c>
      <c r="D287">
        <v>14.69</v>
      </c>
      <c r="E287">
        <v>14.73</v>
      </c>
      <c r="F287">
        <v>3347877</v>
      </c>
    </row>
    <row r="288" spans="1:6">
      <c r="A288" s="39">
        <v>42559</v>
      </c>
      <c r="B288">
        <v>14.82</v>
      </c>
      <c r="C288">
        <v>14.9</v>
      </c>
      <c r="D288">
        <v>14.76</v>
      </c>
      <c r="E288">
        <v>14.88</v>
      </c>
      <c r="F288">
        <v>1516755</v>
      </c>
    </row>
    <row r="289" spans="1:6">
      <c r="A289" s="39">
        <v>42562</v>
      </c>
      <c r="B289">
        <v>14.99</v>
      </c>
      <c r="C289">
        <v>15</v>
      </c>
      <c r="D289">
        <v>14.82</v>
      </c>
      <c r="E289">
        <v>14.82</v>
      </c>
      <c r="F289">
        <v>1756835</v>
      </c>
    </row>
    <row r="290" spans="1:6">
      <c r="A290" s="39">
        <v>42563</v>
      </c>
      <c r="B290">
        <v>15.04</v>
      </c>
      <c r="C290">
        <v>15.14</v>
      </c>
      <c r="D290">
        <v>14.94</v>
      </c>
      <c r="E290">
        <v>15.1</v>
      </c>
      <c r="F290">
        <v>1414892</v>
      </c>
    </row>
    <row r="291" spans="1:6">
      <c r="A291" s="39">
        <v>42564</v>
      </c>
      <c r="B291">
        <v>15.13</v>
      </c>
      <c r="C291">
        <v>15.2</v>
      </c>
      <c r="D291">
        <v>14.85</v>
      </c>
      <c r="E291">
        <v>14.91</v>
      </c>
      <c r="F291">
        <v>2742579</v>
      </c>
    </row>
    <row r="292" spans="1:6">
      <c r="A292" s="39">
        <v>42565</v>
      </c>
      <c r="B292">
        <v>15.03</v>
      </c>
      <c r="C292">
        <v>15.06</v>
      </c>
      <c r="D292">
        <v>14.94</v>
      </c>
      <c r="E292">
        <v>14.97</v>
      </c>
      <c r="F292">
        <v>1644964</v>
      </c>
    </row>
    <row r="293" spans="1:6">
      <c r="A293" s="39">
        <v>42566</v>
      </c>
      <c r="B293">
        <v>14.97</v>
      </c>
      <c r="C293">
        <v>15.03</v>
      </c>
      <c r="D293">
        <v>14.91</v>
      </c>
      <c r="E293">
        <v>14.93</v>
      </c>
      <c r="F293">
        <v>1406839</v>
      </c>
    </row>
    <row r="294" spans="1:6">
      <c r="A294" s="39">
        <v>42569</v>
      </c>
      <c r="B294">
        <v>14.8</v>
      </c>
      <c r="C294">
        <v>14.89</v>
      </c>
      <c r="D294">
        <v>14.75</v>
      </c>
      <c r="E294">
        <v>14.86</v>
      </c>
      <c r="F294">
        <v>1465052</v>
      </c>
    </row>
    <row r="295" spans="1:6">
      <c r="A295" s="39">
        <v>42570</v>
      </c>
      <c r="B295">
        <v>14.84</v>
      </c>
      <c r="C295">
        <v>14.86</v>
      </c>
      <c r="D295">
        <v>14.75</v>
      </c>
      <c r="E295">
        <v>14.77</v>
      </c>
      <c r="F295">
        <v>854286</v>
      </c>
    </row>
    <row r="296" spans="1:6">
      <c r="A296" s="39">
        <v>42571</v>
      </c>
      <c r="B296">
        <v>14.61</v>
      </c>
      <c r="C296">
        <v>14.77</v>
      </c>
      <c r="D296">
        <v>14.58</v>
      </c>
      <c r="E296">
        <v>14.67</v>
      </c>
      <c r="F296">
        <v>1813094</v>
      </c>
    </row>
    <row r="297" spans="1:6">
      <c r="A297" s="39">
        <v>42572</v>
      </c>
      <c r="B297">
        <v>14.72</v>
      </c>
      <c r="C297">
        <v>14.73</v>
      </c>
      <c r="D297">
        <v>14.59</v>
      </c>
      <c r="E297">
        <v>14.59</v>
      </c>
      <c r="F297">
        <v>1309034</v>
      </c>
    </row>
    <row r="298" spans="1:6">
      <c r="A298" s="39">
        <v>42573</v>
      </c>
      <c r="B298">
        <v>14.55</v>
      </c>
      <c r="C298">
        <v>14.58</v>
      </c>
      <c r="D298">
        <v>14.45</v>
      </c>
      <c r="E298">
        <v>14.56</v>
      </c>
      <c r="F298">
        <v>1728287</v>
      </c>
    </row>
    <row r="299" spans="1:6">
      <c r="A299" s="39">
        <v>42576</v>
      </c>
      <c r="B299">
        <v>14.46</v>
      </c>
      <c r="C299">
        <v>14.47</v>
      </c>
      <c r="D299">
        <v>14.38</v>
      </c>
      <c r="E299">
        <v>14.4</v>
      </c>
      <c r="F299">
        <v>1248359</v>
      </c>
    </row>
    <row r="300" spans="1:6">
      <c r="A300" s="39">
        <v>42577</v>
      </c>
      <c r="B300">
        <v>14.37</v>
      </c>
      <c r="C300">
        <v>14.41</v>
      </c>
      <c r="D300">
        <v>14.32</v>
      </c>
      <c r="E300">
        <v>14.34</v>
      </c>
      <c r="F300">
        <v>1451602</v>
      </c>
    </row>
    <row r="301" spans="1:6">
      <c r="A301" s="39">
        <v>42578</v>
      </c>
      <c r="B301">
        <v>14.36</v>
      </c>
      <c r="C301">
        <v>14.42</v>
      </c>
      <c r="D301">
        <v>14.15</v>
      </c>
      <c r="E301">
        <v>14.2</v>
      </c>
      <c r="F301">
        <v>2628932</v>
      </c>
    </row>
    <row r="302" spans="1:6">
      <c r="A302" s="39">
        <v>42579</v>
      </c>
      <c r="B302">
        <v>14.22</v>
      </c>
      <c r="C302">
        <v>14.25</v>
      </c>
      <c r="D302">
        <v>14.13</v>
      </c>
      <c r="E302">
        <v>14.16</v>
      </c>
      <c r="F302">
        <v>1234980</v>
      </c>
    </row>
    <row r="303" spans="1:6">
      <c r="A303" s="39">
        <v>42580</v>
      </c>
      <c r="B303">
        <v>14.14</v>
      </c>
      <c r="C303">
        <v>14.31</v>
      </c>
      <c r="D303">
        <v>14.1</v>
      </c>
      <c r="E303">
        <v>14.28</v>
      </c>
      <c r="F303">
        <v>3017350</v>
      </c>
    </row>
    <row r="304" spans="1:6">
      <c r="A304" s="39">
        <v>42583</v>
      </c>
      <c r="B304">
        <v>14.16</v>
      </c>
      <c r="C304">
        <v>14.19</v>
      </c>
      <c r="D304">
        <v>14</v>
      </c>
      <c r="E304">
        <v>14.03</v>
      </c>
      <c r="F304">
        <v>4540620</v>
      </c>
    </row>
    <row r="305" spans="1:6">
      <c r="A305" s="39">
        <v>42584</v>
      </c>
      <c r="B305">
        <v>14.18</v>
      </c>
      <c r="C305">
        <v>14.23</v>
      </c>
      <c r="D305">
        <v>13.96</v>
      </c>
      <c r="E305">
        <v>14.01</v>
      </c>
      <c r="F305">
        <v>3700342</v>
      </c>
    </row>
    <row r="306" spans="1:6">
      <c r="A306" s="39">
        <v>42585</v>
      </c>
      <c r="B306">
        <v>14.04</v>
      </c>
      <c r="C306">
        <v>14.24</v>
      </c>
      <c r="D306">
        <v>13.98</v>
      </c>
      <c r="E306">
        <v>14.24</v>
      </c>
      <c r="F306">
        <v>2559565</v>
      </c>
    </row>
    <row r="307" spans="1:6">
      <c r="A307" s="39">
        <v>42586</v>
      </c>
      <c r="B307">
        <v>14.14</v>
      </c>
      <c r="C307">
        <v>14.36</v>
      </c>
      <c r="D307">
        <v>14.09</v>
      </c>
      <c r="E307">
        <v>14.3</v>
      </c>
      <c r="F307">
        <v>1414638</v>
      </c>
    </row>
    <row r="308" spans="1:6">
      <c r="A308" s="39">
        <v>42587</v>
      </c>
      <c r="B308">
        <v>14.3</v>
      </c>
      <c r="C308">
        <v>14.36</v>
      </c>
      <c r="D308">
        <v>14.23</v>
      </c>
      <c r="E308">
        <v>14.36</v>
      </c>
      <c r="F308">
        <v>2201449</v>
      </c>
    </row>
    <row r="309" spans="1:6">
      <c r="A309" s="39">
        <v>42590</v>
      </c>
      <c r="B309">
        <v>14.45</v>
      </c>
      <c r="C309">
        <v>14.52</v>
      </c>
      <c r="D309">
        <v>14.43</v>
      </c>
      <c r="E309">
        <v>14.44</v>
      </c>
      <c r="F309">
        <v>2999929</v>
      </c>
    </row>
    <row r="310" spans="1:6">
      <c r="A310" s="39">
        <v>42591</v>
      </c>
      <c r="B310">
        <v>14.49</v>
      </c>
      <c r="C310">
        <v>14.54</v>
      </c>
      <c r="D310">
        <v>14.38</v>
      </c>
      <c r="E310">
        <v>14.4</v>
      </c>
      <c r="F310">
        <v>1660337</v>
      </c>
    </row>
    <row r="311" spans="1:6">
      <c r="A311" s="39">
        <v>42592</v>
      </c>
      <c r="B311">
        <v>14.48</v>
      </c>
      <c r="C311">
        <v>14.55</v>
      </c>
      <c r="D311">
        <v>14.23</v>
      </c>
      <c r="E311">
        <v>14.23</v>
      </c>
      <c r="F311">
        <v>2213194</v>
      </c>
    </row>
    <row r="312" spans="1:6">
      <c r="A312" s="39">
        <v>42593</v>
      </c>
      <c r="B312">
        <v>14.32</v>
      </c>
      <c r="C312">
        <v>14.54</v>
      </c>
      <c r="D312">
        <v>14.29</v>
      </c>
      <c r="E312">
        <v>14.45</v>
      </c>
      <c r="F312">
        <v>1959253</v>
      </c>
    </row>
    <row r="313" spans="1:6">
      <c r="A313" s="39">
        <v>42594</v>
      </c>
      <c r="B313">
        <v>14.49</v>
      </c>
      <c r="C313">
        <v>14.59</v>
      </c>
      <c r="D313">
        <v>14.46</v>
      </c>
      <c r="E313">
        <v>14.56</v>
      </c>
      <c r="F313">
        <v>1653703</v>
      </c>
    </row>
    <row r="314" spans="1:6">
      <c r="A314" s="39">
        <v>42597</v>
      </c>
      <c r="B314">
        <v>14.65</v>
      </c>
      <c r="C314">
        <v>14.81</v>
      </c>
      <c r="D314">
        <v>14.64</v>
      </c>
      <c r="E314">
        <v>14.8</v>
      </c>
      <c r="F314">
        <v>1281782</v>
      </c>
    </row>
    <row r="315" spans="1:6">
      <c r="A315" s="39">
        <v>42598</v>
      </c>
      <c r="B315">
        <v>14.82</v>
      </c>
      <c r="C315">
        <v>14.94</v>
      </c>
      <c r="D315">
        <v>14.76</v>
      </c>
      <c r="E315">
        <v>14.92</v>
      </c>
      <c r="F315">
        <v>3543353</v>
      </c>
    </row>
    <row r="316" spans="1:6">
      <c r="A316" s="39">
        <v>42599</v>
      </c>
      <c r="B316">
        <v>14.91</v>
      </c>
      <c r="C316">
        <v>15</v>
      </c>
      <c r="D316">
        <v>14.82</v>
      </c>
      <c r="E316">
        <v>14.98</v>
      </c>
      <c r="F316">
        <v>2806820</v>
      </c>
    </row>
    <row r="317" spans="1:6">
      <c r="A317" s="39">
        <v>42600</v>
      </c>
      <c r="B317">
        <v>15.05</v>
      </c>
      <c r="C317">
        <v>15.2</v>
      </c>
      <c r="D317">
        <v>15.04</v>
      </c>
      <c r="E317">
        <v>15.17</v>
      </c>
      <c r="F317">
        <v>1961535</v>
      </c>
    </row>
    <row r="318" spans="1:6">
      <c r="A318" s="39">
        <v>42601</v>
      </c>
      <c r="B318">
        <v>15.11</v>
      </c>
      <c r="C318">
        <v>15.15</v>
      </c>
      <c r="D318">
        <v>15.04</v>
      </c>
      <c r="E318">
        <v>15.12</v>
      </c>
      <c r="F318">
        <v>1215368</v>
      </c>
    </row>
    <row r="319" spans="1:6">
      <c r="A319" s="39">
        <v>42604</v>
      </c>
      <c r="B319">
        <v>14.99</v>
      </c>
      <c r="C319">
        <v>15.04</v>
      </c>
      <c r="D319">
        <v>14.94</v>
      </c>
      <c r="E319">
        <v>14.98</v>
      </c>
      <c r="F319">
        <v>931685</v>
      </c>
    </row>
    <row r="320" spans="1:6">
      <c r="A320" s="39">
        <v>42605</v>
      </c>
      <c r="B320">
        <v>14.89</v>
      </c>
      <c r="C320">
        <v>15.09</v>
      </c>
      <c r="D320">
        <v>14.86</v>
      </c>
      <c r="E320">
        <v>15.04</v>
      </c>
      <c r="F320">
        <v>934033</v>
      </c>
    </row>
    <row r="321" spans="1:6">
      <c r="A321" s="39">
        <v>42606</v>
      </c>
      <c r="B321">
        <v>14.97</v>
      </c>
      <c r="C321">
        <v>15.01</v>
      </c>
      <c r="D321">
        <v>14.82</v>
      </c>
      <c r="E321">
        <v>14.86</v>
      </c>
      <c r="F321">
        <v>1471723</v>
      </c>
    </row>
    <row r="322" spans="1:6">
      <c r="A322" s="39">
        <v>42607</v>
      </c>
      <c r="B322">
        <v>14.88</v>
      </c>
      <c r="C322">
        <v>14.92</v>
      </c>
      <c r="D322">
        <v>14.84</v>
      </c>
      <c r="E322">
        <v>14.92</v>
      </c>
      <c r="F322">
        <v>694634</v>
      </c>
    </row>
    <row r="323" spans="1:6">
      <c r="A323" s="39">
        <v>42608</v>
      </c>
      <c r="B323">
        <v>14.91</v>
      </c>
      <c r="C323">
        <v>15.09</v>
      </c>
      <c r="D323">
        <v>14.82</v>
      </c>
      <c r="E323">
        <v>14.87</v>
      </c>
      <c r="F323">
        <v>808527</v>
      </c>
    </row>
    <row r="324" spans="1:6">
      <c r="A324" s="39">
        <v>42611</v>
      </c>
      <c r="B324">
        <v>14.82</v>
      </c>
      <c r="C324">
        <v>14.84</v>
      </c>
      <c r="D324">
        <v>14.78</v>
      </c>
      <c r="E324">
        <v>14.81</v>
      </c>
      <c r="F324">
        <v>841680</v>
      </c>
    </row>
    <row r="325" spans="1:6">
      <c r="A325" s="39">
        <v>42612</v>
      </c>
      <c r="B325">
        <v>14.79</v>
      </c>
      <c r="C325">
        <v>14.82</v>
      </c>
      <c r="D325">
        <v>14.64</v>
      </c>
      <c r="E325">
        <v>14.67</v>
      </c>
      <c r="F325">
        <v>1382281</v>
      </c>
    </row>
    <row r="326" spans="1:6">
      <c r="A326" s="39">
        <v>42613</v>
      </c>
      <c r="B326">
        <v>14.55</v>
      </c>
      <c r="C326">
        <v>14.6</v>
      </c>
      <c r="D326">
        <v>14.35</v>
      </c>
      <c r="E326">
        <v>14.39</v>
      </c>
      <c r="F326">
        <v>13259509</v>
      </c>
    </row>
    <row r="327" spans="1:6">
      <c r="A327" s="39">
        <v>42614</v>
      </c>
      <c r="B327">
        <v>14.3</v>
      </c>
      <c r="C327">
        <v>14.33</v>
      </c>
      <c r="D327">
        <v>14.18</v>
      </c>
      <c r="E327">
        <v>14.23</v>
      </c>
      <c r="F327">
        <v>2226954</v>
      </c>
    </row>
    <row r="328" spans="1:6">
      <c r="A328" s="39">
        <v>42615</v>
      </c>
      <c r="B328">
        <v>14.38</v>
      </c>
      <c r="C328">
        <v>14.44</v>
      </c>
      <c r="D328">
        <v>14.35</v>
      </c>
      <c r="E328">
        <v>14.39</v>
      </c>
      <c r="F328">
        <v>3184424</v>
      </c>
    </row>
    <row r="329" spans="1:6">
      <c r="A329" s="39">
        <v>42619</v>
      </c>
      <c r="B329">
        <v>14.37</v>
      </c>
      <c r="C329">
        <v>14.51</v>
      </c>
      <c r="D329">
        <v>14.32</v>
      </c>
      <c r="E329">
        <v>14.49</v>
      </c>
      <c r="F329">
        <v>1680225</v>
      </c>
    </row>
    <row r="330" spans="1:6">
      <c r="A330" s="39">
        <v>42620</v>
      </c>
      <c r="B330">
        <v>14.59</v>
      </c>
      <c r="C330">
        <v>14.63</v>
      </c>
      <c r="D330">
        <v>14.5</v>
      </c>
      <c r="E330">
        <v>14.62</v>
      </c>
      <c r="F330">
        <v>1148473</v>
      </c>
    </row>
    <row r="331" spans="1:6">
      <c r="A331" s="39">
        <v>42621</v>
      </c>
      <c r="B331">
        <v>14.71</v>
      </c>
      <c r="C331">
        <v>14.92</v>
      </c>
      <c r="D331">
        <v>14.64</v>
      </c>
      <c r="E331">
        <v>14.88</v>
      </c>
      <c r="F331">
        <v>2248198</v>
      </c>
    </row>
    <row r="332" spans="1:6">
      <c r="A332" s="39">
        <v>42622</v>
      </c>
      <c r="B332">
        <v>14.76</v>
      </c>
      <c r="C332">
        <v>14.78</v>
      </c>
      <c r="D332">
        <v>14.62</v>
      </c>
      <c r="E332">
        <v>14.65</v>
      </c>
      <c r="F332">
        <v>2073164</v>
      </c>
    </row>
    <row r="333" spans="1:6">
      <c r="A333" s="39">
        <v>42625</v>
      </c>
      <c r="B333">
        <v>14.52</v>
      </c>
      <c r="C333">
        <v>14.72</v>
      </c>
      <c r="D333">
        <v>14.49</v>
      </c>
      <c r="E333">
        <v>14.65</v>
      </c>
      <c r="F333">
        <v>2022187</v>
      </c>
    </row>
    <row r="334" spans="1:6">
      <c r="A334" s="39">
        <v>42626</v>
      </c>
      <c r="B334">
        <v>14.57</v>
      </c>
      <c r="C334">
        <v>14.63</v>
      </c>
      <c r="D334">
        <v>14.44</v>
      </c>
      <c r="E334">
        <v>14.46</v>
      </c>
      <c r="F334">
        <v>1215538</v>
      </c>
    </row>
    <row r="335" spans="1:6">
      <c r="A335" s="39">
        <v>42627</v>
      </c>
      <c r="B335">
        <v>14.39</v>
      </c>
      <c r="C335">
        <v>14.51</v>
      </c>
      <c r="D335">
        <v>14.34</v>
      </c>
      <c r="E335">
        <v>14.35</v>
      </c>
      <c r="F335">
        <v>1505157</v>
      </c>
    </row>
    <row r="336" spans="1:6">
      <c r="A336" s="39">
        <v>42628</v>
      </c>
      <c r="B336">
        <v>14.39</v>
      </c>
      <c r="C336">
        <v>14.49</v>
      </c>
      <c r="D336">
        <v>14.33</v>
      </c>
      <c r="E336">
        <v>14.42</v>
      </c>
      <c r="F336">
        <v>1056152</v>
      </c>
    </row>
    <row r="337" spans="1:6">
      <c r="A337" s="39">
        <v>42629</v>
      </c>
      <c r="B337">
        <v>14.33</v>
      </c>
      <c r="C337">
        <v>14.46</v>
      </c>
      <c r="D337">
        <v>14.33</v>
      </c>
      <c r="E337">
        <v>14.44</v>
      </c>
      <c r="F337">
        <v>977827</v>
      </c>
    </row>
    <row r="338" spans="1:6">
      <c r="A338" s="39">
        <v>42632</v>
      </c>
      <c r="B338">
        <v>14.48</v>
      </c>
      <c r="C338">
        <v>14.58</v>
      </c>
      <c r="D338">
        <v>14.43</v>
      </c>
      <c r="E338">
        <v>14.43</v>
      </c>
      <c r="F338">
        <v>2235422</v>
      </c>
    </row>
    <row r="339" spans="1:6">
      <c r="A339" s="39">
        <v>42633</v>
      </c>
      <c r="B339">
        <v>14.37</v>
      </c>
      <c r="C339">
        <v>14.55</v>
      </c>
      <c r="D339">
        <v>14.36</v>
      </c>
      <c r="E339">
        <v>14.48</v>
      </c>
      <c r="F339">
        <v>1666737</v>
      </c>
    </row>
    <row r="340" spans="1:6">
      <c r="A340" s="39">
        <v>42634</v>
      </c>
      <c r="B340">
        <v>14.6</v>
      </c>
      <c r="C340">
        <v>14.67</v>
      </c>
      <c r="D340">
        <v>14.55</v>
      </c>
      <c r="E340">
        <v>14.66</v>
      </c>
      <c r="F340">
        <v>1457681</v>
      </c>
    </row>
    <row r="341" spans="1:6">
      <c r="A341" s="39">
        <v>42635</v>
      </c>
      <c r="B341">
        <v>14.8</v>
      </c>
      <c r="C341">
        <v>14.83</v>
      </c>
      <c r="D341">
        <v>14.71</v>
      </c>
      <c r="E341">
        <v>14.74</v>
      </c>
      <c r="F341">
        <v>950566</v>
      </c>
    </row>
    <row r="342" spans="1:6">
      <c r="A342" s="39">
        <v>42636</v>
      </c>
      <c r="B342">
        <v>14.74</v>
      </c>
      <c r="C342">
        <v>14.79</v>
      </c>
      <c r="D342">
        <v>14.52</v>
      </c>
      <c r="E342">
        <v>14.57</v>
      </c>
      <c r="F342">
        <v>1551808</v>
      </c>
    </row>
    <row r="343" spans="1:6">
      <c r="A343" s="39">
        <v>42639</v>
      </c>
      <c r="B343">
        <v>14.65</v>
      </c>
      <c r="C343">
        <v>14.79</v>
      </c>
      <c r="D343">
        <v>14.63</v>
      </c>
      <c r="E343">
        <v>14.67</v>
      </c>
      <c r="F343">
        <v>1043909</v>
      </c>
    </row>
    <row r="344" spans="1:6">
      <c r="A344" s="39">
        <v>42640</v>
      </c>
      <c r="B344">
        <v>14.52</v>
      </c>
      <c r="C344">
        <v>14.6</v>
      </c>
      <c r="D344">
        <v>14.47</v>
      </c>
      <c r="E344">
        <v>14.53</v>
      </c>
      <c r="F344">
        <v>1133976</v>
      </c>
    </row>
    <row r="345" spans="1:6">
      <c r="A345" s="39">
        <v>42641</v>
      </c>
      <c r="B345">
        <v>14.6</v>
      </c>
      <c r="C345">
        <v>14.94</v>
      </c>
      <c r="D345">
        <v>14.52</v>
      </c>
      <c r="E345">
        <v>14.87</v>
      </c>
      <c r="F345">
        <v>2413802</v>
      </c>
    </row>
    <row r="346" spans="1:6">
      <c r="A346" s="39">
        <v>42642</v>
      </c>
      <c r="B346">
        <v>14.9</v>
      </c>
      <c r="C346">
        <v>15.04</v>
      </c>
      <c r="D346">
        <v>14.87</v>
      </c>
      <c r="E346">
        <v>14.96</v>
      </c>
      <c r="F346">
        <v>1276937</v>
      </c>
    </row>
    <row r="347" spans="1:6">
      <c r="A347" s="39">
        <v>42643</v>
      </c>
      <c r="B347">
        <v>15.01</v>
      </c>
      <c r="C347">
        <v>15.04</v>
      </c>
      <c r="D347">
        <v>14.95</v>
      </c>
      <c r="E347">
        <v>15.01</v>
      </c>
      <c r="F347">
        <v>1924025</v>
      </c>
    </row>
    <row r="348" spans="1:6">
      <c r="A348" s="39">
        <v>42646</v>
      </c>
      <c r="B348">
        <v>15.03</v>
      </c>
      <c r="C348">
        <v>15.16</v>
      </c>
      <c r="D348">
        <v>14.94</v>
      </c>
      <c r="E348">
        <v>15.14</v>
      </c>
      <c r="F348">
        <v>4734534</v>
      </c>
    </row>
    <row r="349" spans="1:6">
      <c r="A349" s="39">
        <v>42647</v>
      </c>
      <c r="B349">
        <v>15.17</v>
      </c>
      <c r="C349">
        <v>15.18</v>
      </c>
      <c r="D349">
        <v>15.08</v>
      </c>
      <c r="E349">
        <v>15.1</v>
      </c>
      <c r="F349">
        <v>1430624</v>
      </c>
    </row>
    <row r="350" spans="1:6">
      <c r="A350" s="39">
        <v>42648</v>
      </c>
      <c r="B350">
        <v>15.22</v>
      </c>
      <c r="C350">
        <v>15.24</v>
      </c>
      <c r="D350">
        <v>15.12</v>
      </c>
      <c r="E350">
        <v>15.19</v>
      </c>
      <c r="F350">
        <v>4075497</v>
      </c>
    </row>
    <row r="351" spans="1:6">
      <c r="A351" s="39">
        <v>42649</v>
      </c>
      <c r="B351">
        <v>15.2</v>
      </c>
      <c r="C351">
        <v>15.23</v>
      </c>
      <c r="D351">
        <v>15.14</v>
      </c>
      <c r="E351">
        <v>15.22</v>
      </c>
      <c r="F351">
        <v>1460074</v>
      </c>
    </row>
    <row r="352" spans="1:6">
      <c r="A352" s="39">
        <v>42650</v>
      </c>
      <c r="B352">
        <v>15.26</v>
      </c>
      <c r="C352">
        <v>15.29</v>
      </c>
      <c r="D352">
        <v>15.12</v>
      </c>
      <c r="E352">
        <v>15.18</v>
      </c>
      <c r="F352">
        <v>1358428</v>
      </c>
    </row>
    <row r="353" spans="1:6">
      <c r="A353" s="39">
        <v>42653</v>
      </c>
      <c r="B353">
        <v>15.3</v>
      </c>
      <c r="C353">
        <v>15.41</v>
      </c>
      <c r="D353">
        <v>15.27</v>
      </c>
      <c r="E353">
        <v>15.35</v>
      </c>
      <c r="F353">
        <v>1547945</v>
      </c>
    </row>
    <row r="354" spans="1:6">
      <c r="A354" s="39">
        <v>42654</v>
      </c>
      <c r="B354">
        <v>15.32</v>
      </c>
      <c r="C354">
        <v>15.34</v>
      </c>
      <c r="D354">
        <v>15.2</v>
      </c>
      <c r="E354">
        <v>15.26</v>
      </c>
      <c r="F354">
        <v>2989772</v>
      </c>
    </row>
    <row r="355" spans="1:6">
      <c r="A355" s="39">
        <v>42655</v>
      </c>
      <c r="B355">
        <v>15.18</v>
      </c>
      <c r="C355">
        <v>15.22</v>
      </c>
      <c r="D355">
        <v>15.14</v>
      </c>
      <c r="E355">
        <v>15.15</v>
      </c>
      <c r="F355">
        <v>3655832</v>
      </c>
    </row>
    <row r="356" spans="1:6">
      <c r="A356" s="39">
        <v>42656</v>
      </c>
      <c r="B356">
        <v>15.13</v>
      </c>
      <c r="C356">
        <v>15.28</v>
      </c>
      <c r="D356">
        <v>15.07</v>
      </c>
      <c r="E356">
        <v>15.25</v>
      </c>
      <c r="F356">
        <v>1197727</v>
      </c>
    </row>
    <row r="357" spans="1:6">
      <c r="A357" s="39">
        <v>42657</v>
      </c>
      <c r="B357">
        <v>15.25</v>
      </c>
      <c r="C357">
        <v>15.28</v>
      </c>
      <c r="D357">
        <v>15.21</v>
      </c>
      <c r="E357">
        <v>15.26</v>
      </c>
      <c r="F357">
        <v>1170069</v>
      </c>
    </row>
    <row r="358" spans="1:6">
      <c r="A358" s="39">
        <v>42660</v>
      </c>
      <c r="B358">
        <v>15.25</v>
      </c>
      <c r="C358">
        <v>15.28</v>
      </c>
      <c r="D358">
        <v>15.16</v>
      </c>
      <c r="E358">
        <v>15.28</v>
      </c>
      <c r="F358">
        <v>2010522</v>
      </c>
    </row>
    <row r="359" spans="1:6">
      <c r="A359" s="39">
        <v>42661</v>
      </c>
      <c r="B359">
        <v>15.35</v>
      </c>
      <c r="C359">
        <v>15.36</v>
      </c>
      <c r="D359">
        <v>15.25</v>
      </c>
      <c r="E359">
        <v>15.31</v>
      </c>
      <c r="F359">
        <v>786539</v>
      </c>
    </row>
    <row r="360" spans="1:6">
      <c r="A360" s="39">
        <v>42662</v>
      </c>
      <c r="B360">
        <v>15.33</v>
      </c>
      <c r="C360">
        <v>15.45</v>
      </c>
      <c r="D360">
        <v>15.33</v>
      </c>
      <c r="E360">
        <v>15.41</v>
      </c>
      <c r="F360">
        <v>2279542</v>
      </c>
    </row>
    <row r="361" spans="1:6">
      <c r="A361" s="39">
        <v>42663</v>
      </c>
      <c r="B361">
        <v>15.26</v>
      </c>
      <c r="C361">
        <v>15.31</v>
      </c>
      <c r="D361">
        <v>15.19</v>
      </c>
      <c r="E361">
        <v>15.27</v>
      </c>
      <c r="F361">
        <v>1212886</v>
      </c>
    </row>
    <row r="362" spans="1:6">
      <c r="A362" s="39">
        <v>42664</v>
      </c>
      <c r="B362">
        <v>15.25</v>
      </c>
      <c r="C362">
        <v>15.33</v>
      </c>
      <c r="D362">
        <v>15.21</v>
      </c>
      <c r="E362">
        <v>15.33</v>
      </c>
      <c r="F362">
        <v>1034084</v>
      </c>
    </row>
    <row r="363" spans="1:6">
      <c r="A363" s="39">
        <v>42667</v>
      </c>
      <c r="B363">
        <v>15.33</v>
      </c>
      <c r="C363">
        <v>15.35</v>
      </c>
      <c r="D363">
        <v>15.19</v>
      </c>
      <c r="E363">
        <v>15.34</v>
      </c>
      <c r="F363">
        <v>1957219</v>
      </c>
    </row>
    <row r="364" spans="1:6">
      <c r="A364" s="39">
        <v>42668</v>
      </c>
      <c r="B364">
        <v>15.33</v>
      </c>
      <c r="C364">
        <v>15.37</v>
      </c>
      <c r="D364">
        <v>15.26</v>
      </c>
      <c r="E364">
        <v>15.27</v>
      </c>
      <c r="F364">
        <v>1372440</v>
      </c>
    </row>
    <row r="365" spans="1:6">
      <c r="A365" s="39">
        <v>42669</v>
      </c>
      <c r="B365">
        <v>15.16</v>
      </c>
      <c r="C365">
        <v>15.27</v>
      </c>
      <c r="D365">
        <v>15.13</v>
      </c>
      <c r="E365">
        <v>15.17</v>
      </c>
      <c r="F365">
        <v>1892225</v>
      </c>
    </row>
    <row r="366" spans="1:6">
      <c r="A366" s="39">
        <v>42670</v>
      </c>
      <c r="B366">
        <v>15.25</v>
      </c>
      <c r="C366">
        <v>15.3</v>
      </c>
      <c r="D366">
        <v>15.18</v>
      </c>
      <c r="E366">
        <v>15.26</v>
      </c>
      <c r="F366">
        <v>1052448</v>
      </c>
    </row>
    <row r="367" spans="1:6">
      <c r="A367" s="39">
        <v>42671</v>
      </c>
      <c r="B367">
        <v>15.2</v>
      </c>
      <c r="C367">
        <v>15.28</v>
      </c>
      <c r="D367">
        <v>15.12</v>
      </c>
      <c r="E367">
        <v>15.16</v>
      </c>
      <c r="F367">
        <v>1447797</v>
      </c>
    </row>
    <row r="368" spans="1:6">
      <c r="A368" s="39">
        <v>42674</v>
      </c>
      <c r="B368">
        <v>15.1</v>
      </c>
      <c r="C368">
        <v>15.12</v>
      </c>
      <c r="D368">
        <v>14.94</v>
      </c>
      <c r="E368">
        <v>14.96</v>
      </c>
      <c r="F368">
        <v>3300305</v>
      </c>
    </row>
    <row r="369" spans="1:6">
      <c r="A369" s="39">
        <v>42675</v>
      </c>
      <c r="B369">
        <v>15.17</v>
      </c>
      <c r="C369">
        <v>15.18</v>
      </c>
      <c r="D369">
        <v>14.96</v>
      </c>
      <c r="E369">
        <v>15.03</v>
      </c>
      <c r="F369">
        <v>4391042</v>
      </c>
    </row>
    <row r="370" spans="1:6">
      <c r="A370" s="39">
        <v>42676</v>
      </c>
      <c r="B370">
        <v>14.91</v>
      </c>
      <c r="C370">
        <v>14.94</v>
      </c>
      <c r="D370">
        <v>14.3</v>
      </c>
      <c r="E370">
        <v>14.85</v>
      </c>
      <c r="F370">
        <v>3264598</v>
      </c>
    </row>
    <row r="371" spans="1:6">
      <c r="A371" s="39">
        <v>42677</v>
      </c>
      <c r="B371">
        <v>14.85</v>
      </c>
      <c r="C371">
        <v>14.9</v>
      </c>
      <c r="D371">
        <v>14.76</v>
      </c>
      <c r="E371">
        <v>14.8</v>
      </c>
      <c r="F371">
        <v>1884970</v>
      </c>
    </row>
    <row r="372" spans="1:6">
      <c r="A372" s="39">
        <v>42678</v>
      </c>
      <c r="B372">
        <v>14.67</v>
      </c>
      <c r="C372">
        <v>14.77</v>
      </c>
      <c r="D372">
        <v>14.62</v>
      </c>
      <c r="E372">
        <v>14.7</v>
      </c>
      <c r="F372">
        <v>1725065</v>
      </c>
    </row>
    <row r="373" spans="1:6">
      <c r="A373" s="39">
        <v>42681</v>
      </c>
      <c r="B373">
        <v>14.75</v>
      </c>
      <c r="C373">
        <v>14.77</v>
      </c>
      <c r="D373">
        <v>14.64</v>
      </c>
      <c r="E373">
        <v>14.76</v>
      </c>
      <c r="F373">
        <v>8293239</v>
      </c>
    </row>
    <row r="374" spans="1:6">
      <c r="A374" s="39">
        <v>42682</v>
      </c>
      <c r="B374">
        <v>14.65</v>
      </c>
      <c r="C374">
        <v>14.82</v>
      </c>
      <c r="D374">
        <v>14.65</v>
      </c>
      <c r="E374">
        <v>14.74</v>
      </c>
      <c r="F374">
        <v>1254181</v>
      </c>
    </row>
    <row r="375" spans="1:6">
      <c r="A375" s="39">
        <v>42683</v>
      </c>
      <c r="B375">
        <v>14.79</v>
      </c>
      <c r="C375">
        <v>14.88</v>
      </c>
      <c r="D375">
        <v>14.68</v>
      </c>
      <c r="E375">
        <v>14.81</v>
      </c>
      <c r="F375">
        <v>3111208</v>
      </c>
    </row>
    <row r="376" spans="1:6">
      <c r="A376" s="39">
        <v>42684</v>
      </c>
      <c r="B376">
        <v>14.74</v>
      </c>
      <c r="C376">
        <v>14.78</v>
      </c>
      <c r="D376">
        <v>14.68</v>
      </c>
      <c r="E376">
        <v>14.69</v>
      </c>
      <c r="F376">
        <v>1535089</v>
      </c>
    </row>
    <row r="377" spans="1:6">
      <c r="A377" s="39">
        <v>42685</v>
      </c>
      <c r="B377">
        <v>14.58</v>
      </c>
      <c r="C377">
        <v>14.63</v>
      </c>
      <c r="D377">
        <v>14.4</v>
      </c>
      <c r="E377">
        <v>14.41</v>
      </c>
      <c r="F377">
        <v>1701755</v>
      </c>
    </row>
    <row r="378" spans="1:6">
      <c r="A378" s="39">
        <v>42688</v>
      </c>
      <c r="B378">
        <v>14.4</v>
      </c>
      <c r="C378">
        <v>14.42</v>
      </c>
      <c r="D378">
        <v>14.27</v>
      </c>
      <c r="E378">
        <v>14.38</v>
      </c>
      <c r="F378">
        <v>3068360</v>
      </c>
    </row>
    <row r="379" spans="1:6">
      <c r="A379" s="39">
        <v>42689</v>
      </c>
      <c r="B379">
        <v>14.49</v>
      </c>
      <c r="C379">
        <v>14.72</v>
      </c>
      <c r="D379">
        <v>14.49</v>
      </c>
      <c r="E379">
        <v>14.7</v>
      </c>
      <c r="F379">
        <v>4373257</v>
      </c>
    </row>
    <row r="380" spans="1:6">
      <c r="A380" s="39">
        <v>42690</v>
      </c>
      <c r="B380">
        <v>14.63</v>
      </c>
      <c r="C380">
        <v>14.67</v>
      </c>
      <c r="D380">
        <v>14.51</v>
      </c>
      <c r="E380">
        <v>14.52</v>
      </c>
      <c r="F380">
        <v>2186012</v>
      </c>
    </row>
    <row r="381" spans="1:6">
      <c r="A381" s="39">
        <v>42691</v>
      </c>
      <c r="B381">
        <v>14.66</v>
      </c>
      <c r="C381">
        <v>14.7</v>
      </c>
      <c r="D381">
        <v>14.53</v>
      </c>
      <c r="E381">
        <v>14.55</v>
      </c>
      <c r="F381">
        <v>1104125</v>
      </c>
    </row>
    <row r="382" spans="1:6">
      <c r="A382" s="39">
        <v>42692</v>
      </c>
      <c r="B382">
        <v>14.63</v>
      </c>
      <c r="C382">
        <v>14.67</v>
      </c>
      <c r="D382">
        <v>14.52</v>
      </c>
      <c r="E382">
        <v>14.67</v>
      </c>
      <c r="F382">
        <v>1603766</v>
      </c>
    </row>
    <row r="383" spans="1:6">
      <c r="A383" s="39">
        <v>42695</v>
      </c>
      <c r="B383">
        <v>14.89</v>
      </c>
      <c r="C383">
        <v>15.08</v>
      </c>
      <c r="D383">
        <v>14.89</v>
      </c>
      <c r="E383">
        <v>15.08</v>
      </c>
      <c r="F383">
        <v>10376262</v>
      </c>
    </row>
    <row r="384" spans="1:6">
      <c r="A384" s="39">
        <v>42696</v>
      </c>
      <c r="B384">
        <v>15.1</v>
      </c>
      <c r="C384">
        <v>15.16</v>
      </c>
      <c r="D384">
        <v>14.97</v>
      </c>
      <c r="E384">
        <v>15.06</v>
      </c>
      <c r="F384">
        <v>2566423</v>
      </c>
    </row>
    <row r="385" spans="1:6">
      <c r="A385" s="39">
        <v>42697</v>
      </c>
      <c r="B385">
        <v>15</v>
      </c>
      <c r="C385">
        <v>15.15</v>
      </c>
      <c r="D385">
        <v>14.98</v>
      </c>
      <c r="E385">
        <v>15.12</v>
      </c>
      <c r="F385">
        <v>1863659</v>
      </c>
    </row>
    <row r="386" spans="1:6">
      <c r="A386" s="39">
        <v>42699</v>
      </c>
      <c r="B386">
        <v>15.07</v>
      </c>
      <c r="C386">
        <v>15.08</v>
      </c>
      <c r="D386">
        <v>14.94</v>
      </c>
      <c r="E386">
        <v>15.01</v>
      </c>
      <c r="F386">
        <v>2590914</v>
      </c>
    </row>
    <row r="387" spans="1:6">
      <c r="A387" s="39">
        <v>42702</v>
      </c>
      <c r="B387">
        <v>15.09</v>
      </c>
      <c r="C387">
        <v>15.21</v>
      </c>
      <c r="D387">
        <v>15.06</v>
      </c>
      <c r="E387">
        <v>15.06</v>
      </c>
      <c r="F387">
        <v>2835597</v>
      </c>
    </row>
    <row r="388" spans="1:6">
      <c r="A388" s="39">
        <v>42703</v>
      </c>
      <c r="B388">
        <v>14.84</v>
      </c>
      <c r="C388">
        <v>14.86</v>
      </c>
      <c r="D388">
        <v>14.71</v>
      </c>
      <c r="E388">
        <v>14.76</v>
      </c>
      <c r="F388">
        <v>6781684</v>
      </c>
    </row>
    <row r="389" spans="1:6">
      <c r="A389" s="39">
        <v>42704</v>
      </c>
      <c r="B389">
        <v>15.03</v>
      </c>
      <c r="C389">
        <v>15.35</v>
      </c>
      <c r="D389">
        <v>15.03</v>
      </c>
      <c r="E389">
        <v>15.21</v>
      </c>
      <c r="F389">
        <v>5383671</v>
      </c>
    </row>
    <row r="390" spans="1:6">
      <c r="A390" s="39">
        <v>42705</v>
      </c>
      <c r="B390">
        <v>15.46</v>
      </c>
      <c r="C390">
        <v>15.6</v>
      </c>
      <c r="D390">
        <v>15.42</v>
      </c>
      <c r="E390">
        <v>15.49</v>
      </c>
      <c r="F390">
        <v>3661810</v>
      </c>
    </row>
    <row r="391" spans="1:6">
      <c r="A391" s="39">
        <v>42706</v>
      </c>
      <c r="B391">
        <v>15.52</v>
      </c>
      <c r="C391">
        <v>15.63</v>
      </c>
      <c r="D391">
        <v>15.52</v>
      </c>
      <c r="E391">
        <v>15.6</v>
      </c>
      <c r="F391">
        <v>2360493</v>
      </c>
    </row>
    <row r="392" spans="1:6">
      <c r="A392" s="39">
        <v>42709</v>
      </c>
      <c r="B392">
        <v>15.73</v>
      </c>
      <c r="C392">
        <v>15.78</v>
      </c>
      <c r="D392">
        <v>15.67</v>
      </c>
      <c r="E392">
        <v>15.68</v>
      </c>
      <c r="F392">
        <v>3254713</v>
      </c>
    </row>
    <row r="393" spans="1:6">
      <c r="A393" s="39">
        <v>42710</v>
      </c>
      <c r="B393">
        <v>15.63</v>
      </c>
      <c r="C393">
        <v>15.7</v>
      </c>
      <c r="D393">
        <v>15.59</v>
      </c>
      <c r="E393">
        <v>15.61</v>
      </c>
      <c r="F393">
        <v>1398107</v>
      </c>
    </row>
    <row r="394" spans="1:6">
      <c r="A394" s="39">
        <v>42711</v>
      </c>
      <c r="B394">
        <v>15.6</v>
      </c>
      <c r="C394">
        <v>15.64</v>
      </c>
      <c r="D394">
        <v>15.49</v>
      </c>
      <c r="E394">
        <v>15.49</v>
      </c>
      <c r="F394">
        <v>1842289</v>
      </c>
    </row>
    <row r="395" spans="1:6">
      <c r="A395" s="39">
        <v>42712</v>
      </c>
      <c r="B395">
        <v>15.5</v>
      </c>
      <c r="C395">
        <v>15.55</v>
      </c>
      <c r="D395">
        <v>15.4</v>
      </c>
      <c r="E395">
        <v>15.52</v>
      </c>
      <c r="F395">
        <v>1692990</v>
      </c>
    </row>
    <row r="396" spans="1:6">
      <c r="A396" s="39">
        <v>42713</v>
      </c>
      <c r="B396">
        <v>15.6</v>
      </c>
      <c r="C396">
        <v>15.61</v>
      </c>
      <c r="D396">
        <v>15.53</v>
      </c>
      <c r="E396">
        <v>15.6</v>
      </c>
      <c r="F396">
        <v>2500597</v>
      </c>
    </row>
    <row r="397" spans="1:6">
      <c r="A397" s="39">
        <v>42716</v>
      </c>
      <c r="B397">
        <v>15.82</v>
      </c>
      <c r="C397">
        <v>15.88</v>
      </c>
      <c r="D397">
        <v>15.68</v>
      </c>
      <c r="E397">
        <v>15.7</v>
      </c>
      <c r="F397">
        <v>2873355</v>
      </c>
    </row>
    <row r="398" spans="1:6">
      <c r="A398" s="39">
        <v>42717</v>
      </c>
      <c r="B398">
        <v>15.8</v>
      </c>
      <c r="C398">
        <v>15.81</v>
      </c>
      <c r="D398">
        <v>15.66</v>
      </c>
      <c r="E398">
        <v>15.74</v>
      </c>
      <c r="F398">
        <v>1381310</v>
      </c>
    </row>
    <row r="399" spans="1:6">
      <c r="A399" s="39">
        <v>42718</v>
      </c>
      <c r="B399">
        <v>15.7</v>
      </c>
      <c r="C399">
        <v>15.81</v>
      </c>
      <c r="D399">
        <v>15.57</v>
      </c>
      <c r="E399">
        <v>15.59</v>
      </c>
      <c r="F399">
        <v>3129194</v>
      </c>
    </row>
    <row r="400" spans="1:6">
      <c r="A400" s="39">
        <v>42719</v>
      </c>
      <c r="B400">
        <v>15.46</v>
      </c>
      <c r="C400">
        <v>15.62</v>
      </c>
      <c r="D400">
        <v>15.43</v>
      </c>
      <c r="E400">
        <v>15.57</v>
      </c>
      <c r="F400">
        <v>1580547</v>
      </c>
    </row>
    <row r="401" spans="1:6">
      <c r="A401" s="39">
        <v>42720</v>
      </c>
      <c r="B401">
        <v>15.61</v>
      </c>
      <c r="C401">
        <v>15.66</v>
      </c>
      <c r="D401">
        <v>15.55</v>
      </c>
      <c r="E401">
        <v>15.64</v>
      </c>
      <c r="F401">
        <v>1148903</v>
      </c>
    </row>
    <row r="402" spans="1:6">
      <c r="A402" s="39">
        <v>42723</v>
      </c>
      <c r="B402">
        <v>15.62</v>
      </c>
      <c r="C402">
        <v>15.73</v>
      </c>
      <c r="D402">
        <v>15.52</v>
      </c>
      <c r="E402">
        <v>15.55</v>
      </c>
      <c r="F402">
        <v>1565667</v>
      </c>
    </row>
    <row r="403" spans="1:6">
      <c r="A403" s="39">
        <v>42724</v>
      </c>
      <c r="B403">
        <v>15.62</v>
      </c>
      <c r="C403">
        <v>15.63</v>
      </c>
      <c r="D403">
        <v>15.54</v>
      </c>
      <c r="E403">
        <v>15.62</v>
      </c>
      <c r="F403">
        <v>2103516</v>
      </c>
    </row>
    <row r="404" spans="1:6">
      <c r="A404" s="39">
        <v>42725</v>
      </c>
      <c r="B404">
        <v>15.63</v>
      </c>
      <c r="C404">
        <v>15.64</v>
      </c>
      <c r="D404">
        <v>15.5</v>
      </c>
      <c r="E404">
        <v>15.53</v>
      </c>
      <c r="F404">
        <v>4886523</v>
      </c>
    </row>
    <row r="405" spans="1:6">
      <c r="A405" s="39">
        <v>42726</v>
      </c>
      <c r="B405">
        <v>15.52</v>
      </c>
      <c r="C405">
        <v>15.61</v>
      </c>
      <c r="D405">
        <v>15.51</v>
      </c>
      <c r="E405">
        <v>15.51</v>
      </c>
      <c r="F405">
        <v>3033765</v>
      </c>
    </row>
    <row r="406" spans="1:6">
      <c r="A406" s="39">
        <v>42727</v>
      </c>
      <c r="B406">
        <v>15.5</v>
      </c>
      <c r="C406">
        <v>15.58</v>
      </c>
      <c r="D406">
        <v>15.5</v>
      </c>
      <c r="E406">
        <v>15.54</v>
      </c>
      <c r="F406">
        <v>1265417</v>
      </c>
    </row>
    <row r="407" spans="1:6">
      <c r="A407" s="39">
        <v>42731</v>
      </c>
      <c r="B407">
        <v>15.66</v>
      </c>
      <c r="C407">
        <v>15.82</v>
      </c>
      <c r="D407">
        <v>15.66</v>
      </c>
      <c r="E407">
        <v>15.78</v>
      </c>
      <c r="F407">
        <v>1303612</v>
      </c>
    </row>
    <row r="408" spans="1:6">
      <c r="A408" s="39">
        <v>42732</v>
      </c>
      <c r="B408">
        <v>15.78</v>
      </c>
      <c r="C408">
        <v>15.85</v>
      </c>
      <c r="D408">
        <v>15.77</v>
      </c>
      <c r="E408">
        <v>15.79</v>
      </c>
      <c r="F408">
        <v>1603200</v>
      </c>
    </row>
    <row r="409" spans="1:6">
      <c r="A409" s="39">
        <v>42733</v>
      </c>
      <c r="B409">
        <v>15.81</v>
      </c>
      <c r="C409">
        <v>15.89</v>
      </c>
      <c r="D409">
        <v>15.78</v>
      </c>
      <c r="E409">
        <v>15.81</v>
      </c>
      <c r="F409">
        <v>1197987</v>
      </c>
    </row>
    <row r="410" spans="1:6">
      <c r="A410" s="39">
        <v>42734</v>
      </c>
      <c r="B410">
        <v>15.82</v>
      </c>
      <c r="C410">
        <v>15.85</v>
      </c>
      <c r="D410">
        <v>15.79</v>
      </c>
      <c r="E410">
        <v>15.84</v>
      </c>
      <c r="F410">
        <v>1623382</v>
      </c>
    </row>
    <row r="411" spans="1:6">
      <c r="A411" s="39">
        <v>42738</v>
      </c>
      <c r="B411">
        <v>15.97</v>
      </c>
      <c r="C411">
        <v>15.98</v>
      </c>
      <c r="D411">
        <v>15.58</v>
      </c>
      <c r="E411">
        <v>15.65</v>
      </c>
      <c r="F411">
        <v>5935170</v>
      </c>
    </row>
    <row r="412" spans="1:6">
      <c r="A412" s="39">
        <v>42739</v>
      </c>
      <c r="B412">
        <v>15.66</v>
      </c>
      <c r="C412">
        <v>15.8</v>
      </c>
      <c r="D412">
        <v>15.61</v>
      </c>
      <c r="E412">
        <v>15.77</v>
      </c>
      <c r="F412">
        <v>3281478</v>
      </c>
    </row>
    <row r="413" spans="1:6">
      <c r="A413" s="39">
        <v>42740</v>
      </c>
      <c r="B413">
        <v>15.84</v>
      </c>
      <c r="C413">
        <v>15.92</v>
      </c>
      <c r="D413">
        <v>15.7</v>
      </c>
      <c r="E413">
        <v>15.85</v>
      </c>
      <c r="F413">
        <v>28475953</v>
      </c>
    </row>
    <row r="414" spans="1:6">
      <c r="A414" s="39">
        <v>42741</v>
      </c>
      <c r="B414">
        <v>15.85</v>
      </c>
      <c r="C414">
        <v>15.89</v>
      </c>
      <c r="D414">
        <v>15.75</v>
      </c>
      <c r="E414">
        <v>15.83</v>
      </c>
      <c r="F414">
        <v>2782087</v>
      </c>
    </row>
    <row r="415" spans="1:6">
      <c r="A415" s="39">
        <v>42744</v>
      </c>
      <c r="B415">
        <v>15.71</v>
      </c>
      <c r="C415">
        <v>15.71</v>
      </c>
      <c r="D415">
        <v>15.56</v>
      </c>
      <c r="E415">
        <v>15.59</v>
      </c>
      <c r="F415">
        <v>3365965</v>
      </c>
    </row>
    <row r="416" spans="1:6">
      <c r="A416" s="39">
        <v>42745</v>
      </c>
      <c r="B416">
        <v>15.66</v>
      </c>
      <c r="C416">
        <v>15.7</v>
      </c>
      <c r="D416">
        <v>15.51</v>
      </c>
      <c r="E416">
        <v>15.52</v>
      </c>
      <c r="F416">
        <v>1915147</v>
      </c>
    </row>
    <row r="417" spans="1:6">
      <c r="A417" s="39">
        <v>42746</v>
      </c>
      <c r="B417">
        <v>15.63</v>
      </c>
      <c r="C417">
        <v>15.77</v>
      </c>
      <c r="D417">
        <v>15.49</v>
      </c>
      <c r="E417">
        <v>15.69</v>
      </c>
      <c r="F417">
        <v>2711922</v>
      </c>
    </row>
    <row r="418" spans="1:6">
      <c r="A418" s="39">
        <v>42747</v>
      </c>
      <c r="B418">
        <v>15.83</v>
      </c>
      <c r="C418">
        <v>15.99</v>
      </c>
      <c r="D418">
        <v>15.83</v>
      </c>
      <c r="E418">
        <v>15.92</v>
      </c>
      <c r="F418">
        <v>1752715</v>
      </c>
    </row>
    <row r="419" spans="1:6">
      <c r="A419" s="39">
        <v>42748</v>
      </c>
      <c r="B419">
        <v>15.85</v>
      </c>
      <c r="C419">
        <v>15.91</v>
      </c>
      <c r="D419">
        <v>15.82</v>
      </c>
      <c r="E419">
        <v>15.89</v>
      </c>
      <c r="F419">
        <v>1240969</v>
      </c>
    </row>
    <row r="420" spans="1:6">
      <c r="A420" s="39">
        <v>42752</v>
      </c>
      <c r="B420">
        <v>16.059999999999999</v>
      </c>
      <c r="C420">
        <v>16.079999999999998</v>
      </c>
      <c r="D420">
        <v>15.88</v>
      </c>
      <c r="E420">
        <v>15.88</v>
      </c>
      <c r="F420">
        <v>2168075</v>
      </c>
    </row>
    <row r="421" spans="1:6">
      <c r="A421" s="39">
        <v>42753</v>
      </c>
      <c r="B421">
        <v>15.8</v>
      </c>
      <c r="C421">
        <v>15.88</v>
      </c>
      <c r="D421">
        <v>15.67</v>
      </c>
      <c r="E421">
        <v>15.74</v>
      </c>
      <c r="F421">
        <v>1570600</v>
      </c>
    </row>
    <row r="422" spans="1:6">
      <c r="A422" s="39">
        <v>42754</v>
      </c>
      <c r="B422">
        <v>15.77</v>
      </c>
      <c r="C422">
        <v>15.8</v>
      </c>
      <c r="D422">
        <v>15.69</v>
      </c>
      <c r="E422">
        <v>15.69</v>
      </c>
      <c r="F422">
        <v>2495886</v>
      </c>
    </row>
    <row r="423" spans="1:6">
      <c r="A423" s="39">
        <v>42755</v>
      </c>
      <c r="B423">
        <v>15.89</v>
      </c>
      <c r="C423">
        <v>15.94</v>
      </c>
      <c r="D423">
        <v>15.71</v>
      </c>
      <c r="E423">
        <v>15.87</v>
      </c>
      <c r="F423">
        <v>1780932</v>
      </c>
    </row>
    <row r="424" spans="1:6">
      <c r="A424" s="39">
        <v>42758</v>
      </c>
      <c r="B424">
        <v>15.77</v>
      </c>
      <c r="C424">
        <v>15.91</v>
      </c>
      <c r="D424">
        <v>15.76</v>
      </c>
      <c r="E424">
        <v>15.87</v>
      </c>
      <c r="F424">
        <v>1390745</v>
      </c>
    </row>
    <row r="425" spans="1:6">
      <c r="A425" s="39">
        <v>42759</v>
      </c>
      <c r="B425">
        <v>15.95</v>
      </c>
      <c r="C425">
        <v>15.98</v>
      </c>
      <c r="D425">
        <v>15.89</v>
      </c>
      <c r="E425">
        <v>15.91</v>
      </c>
      <c r="F425">
        <v>2219182</v>
      </c>
    </row>
    <row r="426" spans="1:6">
      <c r="A426" s="39">
        <v>42760</v>
      </c>
      <c r="B426">
        <v>15.8</v>
      </c>
      <c r="C426">
        <v>15.88</v>
      </c>
      <c r="D426">
        <v>15.76</v>
      </c>
      <c r="E426">
        <v>15.81</v>
      </c>
      <c r="F426">
        <v>1724204</v>
      </c>
    </row>
    <row r="427" spans="1:6">
      <c r="A427" s="39">
        <v>42761</v>
      </c>
      <c r="B427">
        <v>15.89</v>
      </c>
      <c r="C427">
        <v>15.96</v>
      </c>
      <c r="D427">
        <v>15.87</v>
      </c>
      <c r="E427">
        <v>15.88</v>
      </c>
      <c r="F427">
        <v>2201365</v>
      </c>
    </row>
    <row r="428" spans="1:6">
      <c r="A428" s="39">
        <v>42762</v>
      </c>
      <c r="B428">
        <v>15.9</v>
      </c>
      <c r="C428">
        <v>15.9</v>
      </c>
      <c r="D428">
        <v>15.69</v>
      </c>
      <c r="E428">
        <v>15.75</v>
      </c>
      <c r="F428">
        <v>1835637</v>
      </c>
    </row>
    <row r="429" spans="1:6">
      <c r="A429" s="39">
        <v>42765</v>
      </c>
      <c r="B429">
        <v>15.68</v>
      </c>
      <c r="C429">
        <v>15.69</v>
      </c>
      <c r="D429">
        <v>15.62</v>
      </c>
      <c r="E429">
        <v>15.66</v>
      </c>
      <c r="F429">
        <v>4275017</v>
      </c>
    </row>
    <row r="430" spans="1:6">
      <c r="A430" s="39">
        <v>42766</v>
      </c>
      <c r="B430">
        <v>15.78</v>
      </c>
      <c r="C430">
        <v>15.84</v>
      </c>
      <c r="D430">
        <v>15.7</v>
      </c>
      <c r="E430">
        <v>15.75</v>
      </c>
      <c r="F430">
        <v>14620186</v>
      </c>
    </row>
    <row r="431" spans="1:6">
      <c r="A431" s="39">
        <v>42767</v>
      </c>
      <c r="B431">
        <v>15.8</v>
      </c>
      <c r="C431">
        <v>15.95</v>
      </c>
      <c r="D431">
        <v>15.76</v>
      </c>
      <c r="E431">
        <v>15.92</v>
      </c>
      <c r="F431">
        <v>4732012</v>
      </c>
    </row>
    <row r="432" spans="1:6">
      <c r="A432" s="39">
        <v>42768</v>
      </c>
      <c r="B432">
        <v>15.97</v>
      </c>
      <c r="C432">
        <v>15.98</v>
      </c>
      <c r="D432">
        <v>15.87</v>
      </c>
      <c r="E432">
        <v>15.92</v>
      </c>
      <c r="F432">
        <v>3617149</v>
      </c>
    </row>
    <row r="433" spans="1:6">
      <c r="A433" s="39">
        <v>42769</v>
      </c>
      <c r="B433">
        <v>15.85</v>
      </c>
      <c r="C433">
        <v>15.95</v>
      </c>
      <c r="D433">
        <v>15.82</v>
      </c>
      <c r="E433">
        <v>15.91</v>
      </c>
      <c r="F433">
        <v>2433534</v>
      </c>
    </row>
    <row r="434" spans="1:6">
      <c r="A434" s="39">
        <v>42772</v>
      </c>
      <c r="B434">
        <v>15.91</v>
      </c>
      <c r="C434">
        <v>15.94</v>
      </c>
      <c r="D434">
        <v>15.78</v>
      </c>
      <c r="E434">
        <v>15.81</v>
      </c>
      <c r="F434">
        <v>2332827</v>
      </c>
    </row>
    <row r="435" spans="1:6">
      <c r="A435" s="39">
        <v>42773</v>
      </c>
      <c r="B435">
        <v>15.69</v>
      </c>
      <c r="C435">
        <v>15.75</v>
      </c>
      <c r="D435">
        <v>15.67</v>
      </c>
      <c r="E435">
        <v>15.74</v>
      </c>
      <c r="F435">
        <v>2026529</v>
      </c>
    </row>
    <row r="436" spans="1:6">
      <c r="A436" s="39">
        <v>42774</v>
      </c>
      <c r="B436">
        <v>15.75</v>
      </c>
      <c r="C436">
        <v>15.84</v>
      </c>
      <c r="D436">
        <v>15.68</v>
      </c>
      <c r="E436">
        <v>15.8</v>
      </c>
      <c r="F436">
        <v>2314612</v>
      </c>
    </row>
    <row r="437" spans="1:6">
      <c r="A437" s="39">
        <v>42775</v>
      </c>
      <c r="B437">
        <v>15.91</v>
      </c>
      <c r="C437">
        <v>15.91</v>
      </c>
      <c r="D437">
        <v>15.82</v>
      </c>
      <c r="E437">
        <v>15.88</v>
      </c>
      <c r="F437">
        <v>1669716</v>
      </c>
    </row>
    <row r="438" spans="1:6">
      <c r="A438" s="39">
        <v>42776</v>
      </c>
      <c r="B438">
        <v>16.010000000000002</v>
      </c>
      <c r="C438">
        <v>16.07</v>
      </c>
      <c r="D438">
        <v>15.98</v>
      </c>
      <c r="E438">
        <v>16.05</v>
      </c>
      <c r="F438">
        <v>2768614</v>
      </c>
    </row>
    <row r="439" spans="1:6">
      <c r="A439" s="39">
        <v>42779</v>
      </c>
      <c r="B439">
        <v>15.9</v>
      </c>
      <c r="C439">
        <v>15.91</v>
      </c>
      <c r="D439">
        <v>15.84</v>
      </c>
      <c r="E439">
        <v>15.87</v>
      </c>
      <c r="F439">
        <v>1122521</v>
      </c>
    </row>
    <row r="440" spans="1:6">
      <c r="A440" s="39">
        <v>42780</v>
      </c>
      <c r="B440">
        <v>15.97</v>
      </c>
      <c r="C440">
        <v>15.99</v>
      </c>
      <c r="D440">
        <v>15.84</v>
      </c>
      <c r="E440">
        <v>15.89</v>
      </c>
      <c r="F440">
        <v>1679740</v>
      </c>
    </row>
    <row r="441" spans="1:6">
      <c r="A441" s="39">
        <v>42781</v>
      </c>
      <c r="B441">
        <v>15.87</v>
      </c>
      <c r="C441">
        <v>15.96</v>
      </c>
      <c r="D441">
        <v>15.84</v>
      </c>
      <c r="E441">
        <v>15.91</v>
      </c>
      <c r="F441">
        <v>1350379</v>
      </c>
    </row>
    <row r="442" spans="1:6">
      <c r="A442" s="39">
        <v>42782</v>
      </c>
      <c r="B442">
        <v>15.91</v>
      </c>
      <c r="C442">
        <v>15.94</v>
      </c>
      <c r="D442">
        <v>15.79</v>
      </c>
      <c r="E442">
        <v>15.81</v>
      </c>
      <c r="F442">
        <v>1300268</v>
      </c>
    </row>
    <row r="443" spans="1:6">
      <c r="A443" s="39">
        <v>42783</v>
      </c>
      <c r="B443">
        <v>15.71</v>
      </c>
      <c r="C443">
        <v>15.78</v>
      </c>
      <c r="D443">
        <v>15.69</v>
      </c>
      <c r="E443">
        <v>15.78</v>
      </c>
      <c r="F443">
        <v>2265544</v>
      </c>
    </row>
    <row r="444" spans="1:6">
      <c r="A444" s="39">
        <v>42787</v>
      </c>
      <c r="B444">
        <v>15.85</v>
      </c>
      <c r="C444">
        <v>15.88</v>
      </c>
      <c r="D444">
        <v>15.73</v>
      </c>
      <c r="E444">
        <v>15.76</v>
      </c>
      <c r="F444">
        <v>1838728</v>
      </c>
    </row>
    <row r="445" spans="1:6">
      <c r="A445" s="39">
        <v>42788</v>
      </c>
      <c r="B445">
        <v>15.69</v>
      </c>
      <c r="C445">
        <v>15.7</v>
      </c>
      <c r="D445">
        <v>15.65</v>
      </c>
      <c r="E445">
        <v>15.68</v>
      </c>
      <c r="F445">
        <v>2480686</v>
      </c>
    </row>
    <row r="446" spans="1:6">
      <c r="A446" s="39">
        <v>42789</v>
      </c>
      <c r="B446">
        <v>15.83</v>
      </c>
      <c r="C446">
        <v>15.84</v>
      </c>
      <c r="D446">
        <v>15.69</v>
      </c>
      <c r="E446">
        <v>15.73</v>
      </c>
      <c r="F446">
        <v>2209653</v>
      </c>
    </row>
    <row r="447" spans="1:6">
      <c r="A447" s="39">
        <v>42790</v>
      </c>
      <c r="B447">
        <v>15.74</v>
      </c>
      <c r="C447">
        <v>15.74</v>
      </c>
      <c r="D447">
        <v>15.66</v>
      </c>
      <c r="E447">
        <v>15.7</v>
      </c>
      <c r="F447">
        <v>1371642</v>
      </c>
    </row>
    <row r="448" spans="1:6">
      <c r="A448" s="39">
        <v>42793</v>
      </c>
      <c r="B448">
        <v>15.72</v>
      </c>
      <c r="C448">
        <v>15.74</v>
      </c>
      <c r="D448">
        <v>15.65</v>
      </c>
      <c r="E448">
        <v>15.66</v>
      </c>
      <c r="F448">
        <v>1914255</v>
      </c>
    </row>
    <row r="449" spans="1:6">
      <c r="A449" s="39">
        <v>42794</v>
      </c>
      <c r="B449">
        <v>15.63</v>
      </c>
      <c r="C449">
        <v>15.73</v>
      </c>
      <c r="D449">
        <v>15.6</v>
      </c>
      <c r="E449">
        <v>15.72</v>
      </c>
      <c r="F449">
        <v>2321025</v>
      </c>
    </row>
    <row r="450" spans="1:6">
      <c r="A450" s="39">
        <v>42795</v>
      </c>
      <c r="B450">
        <v>15.81</v>
      </c>
      <c r="C450">
        <v>15.85</v>
      </c>
      <c r="D450">
        <v>15.75</v>
      </c>
      <c r="E450">
        <v>15.79</v>
      </c>
      <c r="F450">
        <v>2324044</v>
      </c>
    </row>
    <row r="451" spans="1:6">
      <c r="A451" s="39">
        <v>42796</v>
      </c>
      <c r="B451">
        <v>15.62</v>
      </c>
      <c r="C451">
        <v>15.65</v>
      </c>
      <c r="D451">
        <v>15.53</v>
      </c>
      <c r="E451">
        <v>15.54</v>
      </c>
      <c r="F451">
        <v>1381236</v>
      </c>
    </row>
    <row r="452" spans="1:6">
      <c r="A452" s="39">
        <v>42797</v>
      </c>
      <c r="B452">
        <v>15.56</v>
      </c>
      <c r="C452">
        <v>15.63</v>
      </c>
      <c r="D452">
        <v>15.53</v>
      </c>
      <c r="E452">
        <v>15.62</v>
      </c>
      <c r="F452">
        <v>1805581</v>
      </c>
    </row>
    <row r="453" spans="1:6">
      <c r="A453" s="39">
        <v>42800</v>
      </c>
      <c r="B453">
        <v>15.69</v>
      </c>
      <c r="C453">
        <v>15.7</v>
      </c>
      <c r="D453">
        <v>15.6</v>
      </c>
      <c r="E453">
        <v>15.6</v>
      </c>
      <c r="F453">
        <v>1297766</v>
      </c>
    </row>
    <row r="454" spans="1:6">
      <c r="A454" s="39">
        <v>42801</v>
      </c>
      <c r="B454">
        <v>15.64</v>
      </c>
      <c r="C454">
        <v>15.64</v>
      </c>
      <c r="D454">
        <v>15.52</v>
      </c>
      <c r="E454">
        <v>15.53</v>
      </c>
      <c r="F454">
        <v>1468045</v>
      </c>
    </row>
    <row r="455" spans="1:6">
      <c r="A455" s="39">
        <v>42802</v>
      </c>
      <c r="B455">
        <v>15.48</v>
      </c>
      <c r="C455">
        <v>15.54</v>
      </c>
      <c r="D455">
        <v>15.15</v>
      </c>
      <c r="E455">
        <v>15.18</v>
      </c>
      <c r="F455">
        <v>4012228</v>
      </c>
    </row>
    <row r="456" spans="1:6">
      <c r="A456" s="39">
        <v>42803</v>
      </c>
      <c r="B456">
        <v>15.13</v>
      </c>
      <c r="C456">
        <v>15.15</v>
      </c>
      <c r="D456">
        <v>14.93</v>
      </c>
      <c r="E456">
        <v>15.05</v>
      </c>
      <c r="F456">
        <v>4657754</v>
      </c>
    </row>
    <row r="457" spans="1:6">
      <c r="A457" s="39">
        <v>42804</v>
      </c>
      <c r="B457">
        <v>15.05</v>
      </c>
      <c r="C457">
        <v>15.08</v>
      </c>
      <c r="D457">
        <v>14.87</v>
      </c>
      <c r="E457">
        <v>14.91</v>
      </c>
      <c r="F457">
        <v>4163741</v>
      </c>
    </row>
    <row r="458" spans="1:6">
      <c r="A458" s="39">
        <v>42807</v>
      </c>
      <c r="B458">
        <v>14.92</v>
      </c>
      <c r="C458">
        <v>14.96</v>
      </c>
      <c r="D458">
        <v>14.86</v>
      </c>
      <c r="E458">
        <v>14.89</v>
      </c>
      <c r="F458">
        <v>2701206</v>
      </c>
    </row>
    <row r="459" spans="1:6">
      <c r="A459" s="39">
        <v>42808</v>
      </c>
      <c r="B459">
        <v>14.78</v>
      </c>
      <c r="C459">
        <v>14.85</v>
      </c>
      <c r="D459">
        <v>14.7</v>
      </c>
      <c r="E459">
        <v>14.83</v>
      </c>
      <c r="F459">
        <v>2946350</v>
      </c>
    </row>
    <row r="460" spans="1:6">
      <c r="A460" s="39">
        <v>42809</v>
      </c>
      <c r="B460">
        <v>14.92</v>
      </c>
      <c r="C460">
        <v>14.99</v>
      </c>
      <c r="D460">
        <v>14.87</v>
      </c>
      <c r="E460">
        <v>14.96</v>
      </c>
      <c r="F460">
        <v>3442653</v>
      </c>
    </row>
    <row r="461" spans="1:6">
      <c r="A461" s="39">
        <v>42810</v>
      </c>
      <c r="B461">
        <v>15.02</v>
      </c>
      <c r="C461">
        <v>15.02</v>
      </c>
      <c r="D461">
        <v>14.93</v>
      </c>
      <c r="E461">
        <v>14.94</v>
      </c>
      <c r="F461">
        <v>2088325</v>
      </c>
    </row>
    <row r="462" spans="1:6">
      <c r="A462" s="39">
        <v>42811</v>
      </c>
      <c r="B462">
        <v>15</v>
      </c>
      <c r="C462">
        <v>15.02</v>
      </c>
      <c r="D462">
        <v>14.94</v>
      </c>
      <c r="E462">
        <v>14.99</v>
      </c>
      <c r="F462">
        <v>1161788</v>
      </c>
    </row>
    <row r="463" spans="1:6">
      <c r="A463" s="39">
        <v>42814</v>
      </c>
      <c r="B463">
        <v>14.96</v>
      </c>
      <c r="C463">
        <v>15.04</v>
      </c>
      <c r="D463">
        <v>14.94</v>
      </c>
      <c r="E463">
        <v>14.98</v>
      </c>
      <c r="F463">
        <v>2166405</v>
      </c>
    </row>
    <row r="464" spans="1:6">
      <c r="A464" s="39">
        <v>42815</v>
      </c>
      <c r="B464">
        <v>15.02</v>
      </c>
      <c r="C464">
        <v>15.06</v>
      </c>
      <c r="D464">
        <v>14.89</v>
      </c>
      <c r="E464">
        <v>14.9</v>
      </c>
      <c r="F464">
        <v>1882036</v>
      </c>
    </row>
    <row r="465" spans="1:6">
      <c r="A465" s="39">
        <v>42816</v>
      </c>
      <c r="B465">
        <v>14.86</v>
      </c>
      <c r="C465">
        <v>14.94</v>
      </c>
      <c r="D465">
        <v>14.77</v>
      </c>
      <c r="E465">
        <v>14.89</v>
      </c>
      <c r="F465">
        <v>1921486</v>
      </c>
    </row>
    <row r="466" spans="1:6">
      <c r="A466" s="39">
        <v>42817</v>
      </c>
      <c r="B466">
        <v>14.87</v>
      </c>
      <c r="C466">
        <v>14.89</v>
      </c>
      <c r="D466">
        <v>14.82</v>
      </c>
      <c r="E466">
        <v>14.86</v>
      </c>
      <c r="F466">
        <v>1511520</v>
      </c>
    </row>
    <row r="467" spans="1:6">
      <c r="A467" s="39">
        <v>42818</v>
      </c>
      <c r="B467">
        <v>14.9</v>
      </c>
      <c r="C467">
        <v>14.92</v>
      </c>
      <c r="D467">
        <v>14.86</v>
      </c>
      <c r="E467">
        <v>14.91</v>
      </c>
      <c r="F467">
        <v>1372420</v>
      </c>
    </row>
    <row r="468" spans="1:6">
      <c r="A468" s="39">
        <v>42821</v>
      </c>
      <c r="B468">
        <v>14.81</v>
      </c>
      <c r="C468">
        <v>14.9</v>
      </c>
      <c r="D468">
        <v>14.77</v>
      </c>
      <c r="E468">
        <v>14.89</v>
      </c>
      <c r="F468">
        <v>2123961</v>
      </c>
    </row>
    <row r="469" spans="1:6">
      <c r="A469" s="39">
        <v>42822</v>
      </c>
      <c r="B469">
        <v>14.96</v>
      </c>
      <c r="C469">
        <v>15.06</v>
      </c>
      <c r="D469">
        <v>14.95</v>
      </c>
      <c r="E469">
        <v>14.98</v>
      </c>
      <c r="F469">
        <v>1713273</v>
      </c>
    </row>
    <row r="470" spans="1:6">
      <c r="A470" s="39">
        <v>42823</v>
      </c>
      <c r="B470">
        <v>15.04</v>
      </c>
      <c r="C470">
        <v>15.14</v>
      </c>
      <c r="D470">
        <v>15.02</v>
      </c>
      <c r="E470">
        <v>15.12</v>
      </c>
      <c r="F470">
        <v>2552967</v>
      </c>
    </row>
    <row r="471" spans="1:6">
      <c r="A471" s="39">
        <v>42824</v>
      </c>
      <c r="B471">
        <v>15.16</v>
      </c>
      <c r="C471">
        <v>15.22</v>
      </c>
      <c r="D471">
        <v>15.12</v>
      </c>
      <c r="E471">
        <v>15.18</v>
      </c>
      <c r="F471">
        <v>1325058</v>
      </c>
    </row>
    <row r="472" spans="1:6">
      <c r="A472" s="39">
        <v>42825</v>
      </c>
      <c r="B472">
        <v>15.15</v>
      </c>
      <c r="C472">
        <v>15.25</v>
      </c>
      <c r="D472">
        <v>15.14</v>
      </c>
      <c r="E472">
        <v>15.21</v>
      </c>
      <c r="F472">
        <v>3000072</v>
      </c>
    </row>
    <row r="473" spans="1:6">
      <c r="A473" s="39">
        <v>42828</v>
      </c>
      <c r="B473">
        <v>15.25</v>
      </c>
      <c r="C473">
        <v>15.27</v>
      </c>
      <c r="D473">
        <v>15.14</v>
      </c>
      <c r="E473">
        <v>15.15</v>
      </c>
      <c r="F473">
        <v>4604322</v>
      </c>
    </row>
    <row r="474" spans="1:6">
      <c r="A474" s="39">
        <v>42829</v>
      </c>
      <c r="B474">
        <v>15.23</v>
      </c>
      <c r="C474">
        <v>15.32</v>
      </c>
      <c r="D474">
        <v>15.15</v>
      </c>
      <c r="E474">
        <v>15.3</v>
      </c>
      <c r="F474">
        <v>4604387</v>
      </c>
    </row>
    <row r="475" spans="1:6">
      <c r="A475" s="39">
        <v>42830</v>
      </c>
      <c r="B475">
        <v>15.47</v>
      </c>
      <c r="C475">
        <v>15.47</v>
      </c>
      <c r="D475">
        <v>15.31</v>
      </c>
      <c r="E475">
        <v>15.33</v>
      </c>
      <c r="F475">
        <v>4604593</v>
      </c>
    </row>
    <row r="476" spans="1:6">
      <c r="A476" s="39">
        <v>42831</v>
      </c>
      <c r="B476">
        <v>15.4</v>
      </c>
      <c r="C476">
        <v>15.44</v>
      </c>
      <c r="D476">
        <v>15.37</v>
      </c>
      <c r="E476">
        <v>15.37</v>
      </c>
      <c r="F476">
        <v>2856183</v>
      </c>
    </row>
    <row r="477" spans="1:6">
      <c r="A477" s="39">
        <v>42832</v>
      </c>
      <c r="B477">
        <v>15.42</v>
      </c>
      <c r="C477">
        <v>15.47</v>
      </c>
      <c r="D477">
        <v>15.39</v>
      </c>
      <c r="E477">
        <v>15.41</v>
      </c>
      <c r="F477">
        <v>6227130</v>
      </c>
    </row>
    <row r="478" spans="1:6">
      <c r="A478" s="39">
        <v>42835</v>
      </c>
      <c r="B478">
        <v>15.48</v>
      </c>
      <c r="C478">
        <v>15.53</v>
      </c>
      <c r="D478">
        <v>15.45</v>
      </c>
      <c r="E478">
        <v>15.53</v>
      </c>
      <c r="F478">
        <v>945755</v>
      </c>
    </row>
    <row r="479" spans="1:6">
      <c r="A479" s="39">
        <v>42836</v>
      </c>
      <c r="B479">
        <v>15.52</v>
      </c>
      <c r="C479">
        <v>15.59</v>
      </c>
      <c r="D479">
        <v>15.44</v>
      </c>
      <c r="E479">
        <v>15.56</v>
      </c>
      <c r="F479">
        <v>1391664</v>
      </c>
    </row>
    <row r="480" spans="1:6">
      <c r="A480" s="39">
        <v>42837</v>
      </c>
      <c r="B480">
        <v>15.56</v>
      </c>
      <c r="C480">
        <v>15.64</v>
      </c>
      <c r="D480">
        <v>15.52</v>
      </c>
      <c r="E480">
        <v>15.56</v>
      </c>
      <c r="F480">
        <v>1429337</v>
      </c>
    </row>
    <row r="481" spans="1:6">
      <c r="A481" s="39">
        <v>42838</v>
      </c>
      <c r="B481">
        <v>15.63</v>
      </c>
      <c r="C481">
        <v>15.65</v>
      </c>
      <c r="D481">
        <v>15.56</v>
      </c>
      <c r="E481">
        <v>15.61</v>
      </c>
      <c r="F481">
        <v>2122972</v>
      </c>
    </row>
    <row r="482" spans="1:6">
      <c r="A482" s="39">
        <v>42842</v>
      </c>
      <c r="B482">
        <v>15.61</v>
      </c>
      <c r="C482">
        <v>15.63</v>
      </c>
      <c r="D482">
        <v>15.52</v>
      </c>
      <c r="E482">
        <v>15.52</v>
      </c>
      <c r="F482">
        <v>1866010</v>
      </c>
    </row>
    <row r="483" spans="1:6">
      <c r="A483" s="39">
        <v>42843</v>
      </c>
      <c r="B483">
        <v>15.44</v>
      </c>
      <c r="C483">
        <v>15.49</v>
      </c>
      <c r="D483">
        <v>15.35</v>
      </c>
      <c r="E483">
        <v>15.46</v>
      </c>
      <c r="F483">
        <v>1462969</v>
      </c>
    </row>
    <row r="484" spans="1:6">
      <c r="A484" s="39">
        <v>42844</v>
      </c>
      <c r="B484">
        <v>15.47</v>
      </c>
      <c r="C484">
        <v>15.48</v>
      </c>
      <c r="D484">
        <v>15.13</v>
      </c>
      <c r="E484">
        <v>15.19</v>
      </c>
      <c r="F484">
        <v>2094492</v>
      </c>
    </row>
    <row r="485" spans="1:6">
      <c r="A485" s="39">
        <v>42845</v>
      </c>
      <c r="B485">
        <v>15.22</v>
      </c>
      <c r="C485">
        <v>15.24</v>
      </c>
      <c r="D485">
        <v>15.11</v>
      </c>
      <c r="E485">
        <v>15.13</v>
      </c>
      <c r="F485">
        <v>1847358</v>
      </c>
    </row>
    <row r="486" spans="1:6">
      <c r="A486" s="39">
        <v>42846</v>
      </c>
      <c r="B486">
        <v>15.15</v>
      </c>
      <c r="C486">
        <v>15.15</v>
      </c>
      <c r="D486">
        <v>14.95</v>
      </c>
      <c r="E486">
        <v>14.98</v>
      </c>
      <c r="F486">
        <v>1585084</v>
      </c>
    </row>
    <row r="487" spans="1:6">
      <c r="A487" s="39">
        <v>42849</v>
      </c>
      <c r="B487">
        <v>14.97</v>
      </c>
      <c r="C487">
        <v>14.97</v>
      </c>
      <c r="D487">
        <v>14.89</v>
      </c>
      <c r="E487">
        <v>14.93</v>
      </c>
      <c r="F487">
        <v>1767648</v>
      </c>
    </row>
    <row r="488" spans="1:6">
      <c r="A488" s="39">
        <v>42850</v>
      </c>
      <c r="B488">
        <v>14.89</v>
      </c>
      <c r="C488">
        <v>15.01</v>
      </c>
      <c r="D488">
        <v>14.86</v>
      </c>
      <c r="E488">
        <v>15</v>
      </c>
      <c r="F488">
        <v>1586409</v>
      </c>
    </row>
    <row r="489" spans="1:6">
      <c r="A489" s="39">
        <v>42851</v>
      </c>
      <c r="B489">
        <v>14.94</v>
      </c>
      <c r="C489">
        <v>15.05</v>
      </c>
      <c r="D489">
        <v>14.9</v>
      </c>
      <c r="E489">
        <v>14.92</v>
      </c>
      <c r="F489">
        <v>5213778</v>
      </c>
    </row>
    <row r="490" spans="1:6">
      <c r="A490" s="39">
        <v>42852</v>
      </c>
      <c r="B490">
        <v>14.8</v>
      </c>
      <c r="C490">
        <v>14.84</v>
      </c>
      <c r="D490">
        <v>14.71</v>
      </c>
      <c r="E490">
        <v>14.84</v>
      </c>
      <c r="F490">
        <v>919028</v>
      </c>
    </row>
    <row r="491" spans="1:6">
      <c r="A491" s="39">
        <v>42853</v>
      </c>
      <c r="B491">
        <v>14.87</v>
      </c>
      <c r="C491">
        <v>14.9</v>
      </c>
      <c r="D491">
        <v>14.78</v>
      </c>
      <c r="E491">
        <v>14.8</v>
      </c>
      <c r="F491">
        <v>2065889</v>
      </c>
    </row>
    <row r="492" spans="1:6">
      <c r="A492" s="39">
        <v>42856</v>
      </c>
      <c r="B492">
        <v>14.81</v>
      </c>
      <c r="C492">
        <v>14.89</v>
      </c>
      <c r="D492">
        <v>14.8</v>
      </c>
      <c r="E492">
        <v>14.83</v>
      </c>
      <c r="F492">
        <v>3598660</v>
      </c>
    </row>
    <row r="493" spans="1:6">
      <c r="A493" s="39">
        <v>42857</v>
      </c>
      <c r="B493">
        <v>14.82</v>
      </c>
      <c r="C493">
        <v>14.84</v>
      </c>
      <c r="D493">
        <v>14.63</v>
      </c>
      <c r="E493">
        <v>14.67</v>
      </c>
      <c r="F493">
        <v>3161977</v>
      </c>
    </row>
    <row r="494" spans="1:6">
      <c r="A494" s="39">
        <v>42858</v>
      </c>
      <c r="B494">
        <v>14.7</v>
      </c>
      <c r="C494">
        <v>14.7</v>
      </c>
      <c r="D494">
        <v>14.57</v>
      </c>
      <c r="E494">
        <v>14.61</v>
      </c>
      <c r="F494">
        <v>2146443</v>
      </c>
    </row>
    <row r="495" spans="1:6">
      <c r="A495" s="39">
        <v>42859</v>
      </c>
      <c r="B495">
        <v>14.46</v>
      </c>
      <c r="C495">
        <v>14.47</v>
      </c>
      <c r="D495">
        <v>14.24</v>
      </c>
      <c r="E495">
        <v>14.26</v>
      </c>
      <c r="F495">
        <v>3352873</v>
      </c>
    </row>
    <row r="496" spans="1:6">
      <c r="A496" s="39">
        <v>42860</v>
      </c>
      <c r="B496">
        <v>14.32</v>
      </c>
      <c r="C496">
        <v>14.49</v>
      </c>
      <c r="D496">
        <v>14.31</v>
      </c>
      <c r="E496">
        <v>14.46</v>
      </c>
      <c r="F496">
        <v>2436220</v>
      </c>
    </row>
    <row r="497" spans="1:6">
      <c r="A497" s="39">
        <v>42863</v>
      </c>
      <c r="B497">
        <v>14.39</v>
      </c>
      <c r="C497">
        <v>14.46</v>
      </c>
      <c r="D497">
        <v>14.32</v>
      </c>
      <c r="E497">
        <v>14.4</v>
      </c>
      <c r="F497">
        <v>1583092</v>
      </c>
    </row>
    <row r="498" spans="1:6">
      <c r="A498" s="39">
        <v>42864</v>
      </c>
      <c r="B498">
        <v>14.43</v>
      </c>
      <c r="C498">
        <v>14.44</v>
      </c>
      <c r="D498">
        <v>14.31</v>
      </c>
      <c r="E498">
        <v>14.33</v>
      </c>
      <c r="F498">
        <v>1472964</v>
      </c>
    </row>
    <row r="499" spans="1:6">
      <c r="A499" s="39">
        <v>42865</v>
      </c>
      <c r="B499">
        <v>14.43</v>
      </c>
      <c r="C499">
        <v>14.6</v>
      </c>
      <c r="D499">
        <v>14.42</v>
      </c>
      <c r="E499">
        <v>14.56</v>
      </c>
      <c r="F499">
        <v>2232071</v>
      </c>
    </row>
    <row r="500" spans="1:6">
      <c r="A500" s="39">
        <v>42866</v>
      </c>
      <c r="B500">
        <v>14.63</v>
      </c>
      <c r="C500">
        <v>14.67</v>
      </c>
      <c r="D500">
        <v>14.59</v>
      </c>
      <c r="E500">
        <v>14.62</v>
      </c>
      <c r="F500">
        <v>1312198</v>
      </c>
    </row>
    <row r="501" spans="1:6">
      <c r="A501" s="39">
        <v>42867</v>
      </c>
      <c r="B501">
        <v>14.66</v>
      </c>
      <c r="C501">
        <v>14.66</v>
      </c>
      <c r="D501">
        <v>14.58</v>
      </c>
      <c r="E501">
        <v>14.62</v>
      </c>
      <c r="F501">
        <v>788714</v>
      </c>
    </row>
    <row r="502" spans="1:6">
      <c r="A502" s="39">
        <v>42870</v>
      </c>
      <c r="B502">
        <v>14.83</v>
      </c>
      <c r="C502">
        <v>14.83</v>
      </c>
      <c r="D502">
        <v>14.69</v>
      </c>
      <c r="E502">
        <v>14.7</v>
      </c>
      <c r="F502">
        <v>893761</v>
      </c>
    </row>
    <row r="503" spans="1:6">
      <c r="A503" s="39">
        <v>42871</v>
      </c>
      <c r="B503">
        <v>14.77</v>
      </c>
      <c r="C503">
        <v>14.79</v>
      </c>
      <c r="D503">
        <v>14.72</v>
      </c>
      <c r="E503">
        <v>14.72</v>
      </c>
      <c r="F503">
        <v>755684</v>
      </c>
    </row>
    <row r="504" spans="1:6">
      <c r="A504" s="39">
        <v>42872</v>
      </c>
      <c r="B504">
        <v>14.81</v>
      </c>
      <c r="C504">
        <v>14.88</v>
      </c>
      <c r="D504">
        <v>14.75</v>
      </c>
      <c r="E504">
        <v>14.82</v>
      </c>
      <c r="F504">
        <v>3215022</v>
      </c>
    </row>
    <row r="505" spans="1:6">
      <c r="A505" s="39">
        <v>42873</v>
      </c>
      <c r="B505">
        <v>14.72</v>
      </c>
      <c r="C505">
        <v>14.85</v>
      </c>
      <c r="D505">
        <v>14.68</v>
      </c>
      <c r="E505">
        <v>14.78</v>
      </c>
      <c r="F505">
        <v>841738</v>
      </c>
    </row>
    <row r="506" spans="1:6">
      <c r="A506" s="39">
        <v>42874</v>
      </c>
      <c r="B506">
        <v>14.96</v>
      </c>
      <c r="C506">
        <v>15.07</v>
      </c>
      <c r="D506">
        <v>14.95</v>
      </c>
      <c r="E506">
        <v>15.07</v>
      </c>
      <c r="F506">
        <v>736627</v>
      </c>
    </row>
  </sheetData>
  <sortState ref="A3:F506">
    <sortCondition ref="A3:A506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06"/>
  <sheetViews>
    <sheetView workbookViewId="0"/>
  </sheetViews>
  <sheetFormatPr defaultRowHeight="15"/>
  <cols>
    <col min="1" max="7" width="10.7109375" customWidth="1"/>
  </cols>
  <sheetData>
    <row r="1" spans="1:6">
      <c r="A1" t="s">
        <v>56</v>
      </c>
    </row>
    <row r="2" spans="1:6">
      <c r="A2" t="s">
        <v>26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</row>
    <row r="3" spans="1:6">
      <c r="A3" s="39">
        <v>42145</v>
      </c>
      <c r="B3">
        <v>21.5</v>
      </c>
      <c r="C3">
        <v>21.72</v>
      </c>
      <c r="D3">
        <v>21.48</v>
      </c>
      <c r="E3">
        <v>21.67</v>
      </c>
      <c r="F3">
        <v>139389</v>
      </c>
    </row>
    <row r="4" spans="1:6">
      <c r="A4" s="39">
        <v>42146</v>
      </c>
      <c r="B4">
        <v>21.38</v>
      </c>
      <c r="C4">
        <v>21.5</v>
      </c>
      <c r="D4">
        <v>21.33</v>
      </c>
      <c r="E4">
        <v>21.38</v>
      </c>
      <c r="F4">
        <v>87220</v>
      </c>
    </row>
    <row r="5" spans="1:6">
      <c r="A5" s="39">
        <v>42150</v>
      </c>
      <c r="B5">
        <v>21.13</v>
      </c>
      <c r="C5">
        <v>21.15</v>
      </c>
      <c r="D5">
        <v>20.84</v>
      </c>
      <c r="E5">
        <v>20.93</v>
      </c>
      <c r="F5">
        <v>125524</v>
      </c>
    </row>
    <row r="6" spans="1:6">
      <c r="A6" s="39">
        <v>42151</v>
      </c>
      <c r="B6">
        <v>20.72</v>
      </c>
      <c r="C6">
        <v>20.87</v>
      </c>
      <c r="D6">
        <v>20.6</v>
      </c>
      <c r="E6">
        <v>20.64</v>
      </c>
      <c r="F6">
        <v>239279</v>
      </c>
    </row>
    <row r="7" spans="1:6">
      <c r="A7" s="39">
        <v>42152</v>
      </c>
      <c r="B7">
        <v>20.58</v>
      </c>
      <c r="C7">
        <v>20.78</v>
      </c>
      <c r="D7">
        <v>20.47</v>
      </c>
      <c r="E7">
        <v>20.77</v>
      </c>
      <c r="F7">
        <v>362497</v>
      </c>
    </row>
    <row r="8" spans="1:6">
      <c r="A8" s="39">
        <v>42153</v>
      </c>
      <c r="B8">
        <v>20.79</v>
      </c>
      <c r="C8">
        <v>21.24</v>
      </c>
      <c r="D8">
        <v>20.79</v>
      </c>
      <c r="E8">
        <v>21.16</v>
      </c>
      <c r="F8">
        <v>1569316</v>
      </c>
    </row>
    <row r="9" spans="1:6">
      <c r="A9" s="39">
        <v>42156</v>
      </c>
      <c r="B9">
        <v>21.19</v>
      </c>
      <c r="C9">
        <v>21.25</v>
      </c>
      <c r="D9">
        <v>21.01</v>
      </c>
      <c r="E9">
        <v>21.18</v>
      </c>
      <c r="F9">
        <v>102947</v>
      </c>
    </row>
    <row r="10" spans="1:6">
      <c r="A10" s="39">
        <v>42157</v>
      </c>
      <c r="B10">
        <v>21.26</v>
      </c>
      <c r="C10">
        <v>21.44</v>
      </c>
      <c r="D10">
        <v>21.2</v>
      </c>
      <c r="E10">
        <v>21.44</v>
      </c>
      <c r="F10">
        <v>81462</v>
      </c>
    </row>
    <row r="11" spans="1:6">
      <c r="A11" s="39">
        <v>42158</v>
      </c>
      <c r="B11">
        <v>21.3</v>
      </c>
      <c r="C11">
        <v>21.35</v>
      </c>
      <c r="D11">
        <v>20.97</v>
      </c>
      <c r="E11">
        <v>21.03</v>
      </c>
      <c r="F11">
        <v>128502</v>
      </c>
    </row>
    <row r="12" spans="1:6">
      <c r="A12" s="39">
        <v>42159</v>
      </c>
      <c r="B12">
        <v>20.88</v>
      </c>
      <c r="C12">
        <v>20.95</v>
      </c>
      <c r="D12">
        <v>20.66</v>
      </c>
      <c r="E12">
        <v>20.75</v>
      </c>
      <c r="F12">
        <v>113486</v>
      </c>
    </row>
    <row r="13" spans="1:6">
      <c r="A13" s="39">
        <v>42160</v>
      </c>
      <c r="B13">
        <v>20.5</v>
      </c>
      <c r="C13">
        <v>20.91</v>
      </c>
      <c r="D13">
        <v>20.43</v>
      </c>
      <c r="E13">
        <v>20.88</v>
      </c>
      <c r="F13">
        <v>128753</v>
      </c>
    </row>
    <row r="14" spans="1:6">
      <c r="A14" s="39">
        <v>42163</v>
      </c>
      <c r="B14">
        <v>20.83</v>
      </c>
      <c r="C14">
        <v>20.88</v>
      </c>
      <c r="D14">
        <v>20.73</v>
      </c>
      <c r="E14">
        <v>20.82</v>
      </c>
      <c r="F14">
        <v>98300</v>
      </c>
    </row>
    <row r="15" spans="1:6">
      <c r="A15" s="39">
        <v>42164</v>
      </c>
      <c r="B15">
        <v>21.17</v>
      </c>
      <c r="C15">
        <v>21.32</v>
      </c>
      <c r="D15">
        <v>21.17</v>
      </c>
      <c r="E15">
        <v>21.25</v>
      </c>
      <c r="F15">
        <v>69519</v>
      </c>
    </row>
    <row r="16" spans="1:6">
      <c r="A16" s="39">
        <v>42165</v>
      </c>
      <c r="B16">
        <v>21.51</v>
      </c>
      <c r="C16">
        <v>21.59</v>
      </c>
      <c r="D16">
        <v>21.35</v>
      </c>
      <c r="E16">
        <v>21.49</v>
      </c>
      <c r="F16">
        <v>252705</v>
      </c>
    </row>
    <row r="17" spans="1:6">
      <c r="A17" s="39">
        <v>42166</v>
      </c>
      <c r="B17">
        <v>21.41</v>
      </c>
      <c r="C17">
        <v>21.41</v>
      </c>
      <c r="D17">
        <v>21.22</v>
      </c>
      <c r="E17">
        <v>21.28</v>
      </c>
      <c r="F17">
        <v>90039</v>
      </c>
    </row>
    <row r="18" spans="1:6">
      <c r="A18" s="39">
        <v>42167</v>
      </c>
      <c r="B18">
        <v>21.14</v>
      </c>
      <c r="C18">
        <v>21.21</v>
      </c>
      <c r="D18">
        <v>21</v>
      </c>
      <c r="E18">
        <v>21.04</v>
      </c>
      <c r="F18">
        <v>84100</v>
      </c>
    </row>
    <row r="19" spans="1:6">
      <c r="A19" s="39">
        <v>42170</v>
      </c>
      <c r="B19">
        <v>20.85</v>
      </c>
      <c r="C19">
        <v>20.93</v>
      </c>
      <c r="D19">
        <v>20.8</v>
      </c>
      <c r="E19">
        <v>20.87</v>
      </c>
      <c r="F19">
        <v>893045</v>
      </c>
    </row>
    <row r="20" spans="1:6">
      <c r="A20" s="39">
        <v>42171</v>
      </c>
      <c r="B20">
        <v>20.89</v>
      </c>
      <c r="C20">
        <v>20.95</v>
      </c>
      <c r="D20">
        <v>20.82</v>
      </c>
      <c r="E20">
        <v>20.95</v>
      </c>
      <c r="F20">
        <v>56929</v>
      </c>
    </row>
    <row r="21" spans="1:6">
      <c r="A21" s="39">
        <v>42172</v>
      </c>
      <c r="B21">
        <v>21.16</v>
      </c>
      <c r="C21">
        <v>21.25</v>
      </c>
      <c r="D21">
        <v>20.72</v>
      </c>
      <c r="E21">
        <v>20.96</v>
      </c>
      <c r="F21">
        <v>108182</v>
      </c>
    </row>
    <row r="22" spans="1:6">
      <c r="A22" s="39">
        <v>42173</v>
      </c>
      <c r="B22">
        <v>21</v>
      </c>
      <c r="C22">
        <v>21.06</v>
      </c>
      <c r="D22">
        <v>20.9</v>
      </c>
      <c r="E22">
        <v>20.98</v>
      </c>
      <c r="F22">
        <v>86195</v>
      </c>
    </row>
    <row r="23" spans="1:6">
      <c r="A23" s="39">
        <v>42174</v>
      </c>
      <c r="B23">
        <v>20.75</v>
      </c>
      <c r="C23">
        <v>20.77</v>
      </c>
      <c r="D23">
        <v>20.6</v>
      </c>
      <c r="E23">
        <v>20.72</v>
      </c>
      <c r="F23">
        <v>78327</v>
      </c>
    </row>
    <row r="24" spans="1:6">
      <c r="A24" s="39">
        <v>42177</v>
      </c>
      <c r="B24">
        <v>20.61</v>
      </c>
      <c r="C24">
        <v>20.81</v>
      </c>
      <c r="D24">
        <v>20.52</v>
      </c>
      <c r="E24">
        <v>20.79</v>
      </c>
      <c r="F24">
        <v>278513</v>
      </c>
    </row>
    <row r="25" spans="1:6">
      <c r="A25" s="39">
        <v>42178</v>
      </c>
      <c r="B25">
        <v>20.75</v>
      </c>
      <c r="C25">
        <v>21.11</v>
      </c>
      <c r="D25">
        <v>20.75</v>
      </c>
      <c r="E25">
        <v>21.1</v>
      </c>
      <c r="F25">
        <v>138297</v>
      </c>
    </row>
    <row r="26" spans="1:6">
      <c r="A26" s="39">
        <v>42179</v>
      </c>
      <c r="B26">
        <v>21.02</v>
      </c>
      <c r="C26">
        <v>21.17</v>
      </c>
      <c r="D26">
        <v>20.82</v>
      </c>
      <c r="E26">
        <v>20.87</v>
      </c>
      <c r="F26">
        <v>303025</v>
      </c>
    </row>
    <row r="27" spans="1:6">
      <c r="A27" s="39">
        <v>42180</v>
      </c>
      <c r="B27">
        <v>20.82</v>
      </c>
      <c r="C27">
        <v>20.87</v>
      </c>
      <c r="D27">
        <v>20.74</v>
      </c>
      <c r="E27">
        <v>20.82</v>
      </c>
      <c r="F27">
        <v>160831</v>
      </c>
    </row>
    <row r="28" spans="1:6">
      <c r="A28" s="39">
        <v>42181</v>
      </c>
      <c r="B28">
        <v>20.81</v>
      </c>
      <c r="C28">
        <v>20.99</v>
      </c>
      <c r="D28">
        <v>20.77</v>
      </c>
      <c r="E28">
        <v>20.91</v>
      </c>
      <c r="F28">
        <v>99788</v>
      </c>
    </row>
    <row r="29" spans="1:6">
      <c r="A29" s="39">
        <v>42184</v>
      </c>
      <c r="B29">
        <v>20.71</v>
      </c>
      <c r="C29">
        <v>20.83</v>
      </c>
      <c r="D29">
        <v>20.68</v>
      </c>
      <c r="E29">
        <v>20.71</v>
      </c>
      <c r="F29">
        <v>114661</v>
      </c>
    </row>
    <row r="30" spans="1:6">
      <c r="A30" s="39">
        <v>42185</v>
      </c>
      <c r="B30">
        <v>20.82</v>
      </c>
      <c r="C30">
        <v>21.21</v>
      </c>
      <c r="D30">
        <v>20.81</v>
      </c>
      <c r="E30">
        <v>21.11</v>
      </c>
      <c r="F30">
        <v>204436</v>
      </c>
    </row>
    <row r="31" spans="1:6">
      <c r="A31" s="39">
        <v>42186</v>
      </c>
      <c r="B31">
        <v>20.9</v>
      </c>
      <c r="C31">
        <v>20.96</v>
      </c>
      <c r="D31">
        <v>20.7</v>
      </c>
      <c r="E31">
        <v>20.77</v>
      </c>
      <c r="F31">
        <v>602094</v>
      </c>
    </row>
    <row r="32" spans="1:6">
      <c r="A32" s="39">
        <v>42187</v>
      </c>
      <c r="B32">
        <v>20.86</v>
      </c>
      <c r="C32">
        <v>21</v>
      </c>
      <c r="D32">
        <v>20.72</v>
      </c>
      <c r="E32">
        <v>20.75</v>
      </c>
      <c r="F32">
        <v>116325</v>
      </c>
    </row>
    <row r="33" spans="1:6">
      <c r="A33" s="39">
        <v>42191</v>
      </c>
      <c r="B33">
        <v>20.16</v>
      </c>
      <c r="C33">
        <v>20.16</v>
      </c>
      <c r="D33">
        <v>19.73</v>
      </c>
      <c r="E33">
        <v>19.84</v>
      </c>
      <c r="F33">
        <v>194072</v>
      </c>
    </row>
    <row r="34" spans="1:6">
      <c r="A34" s="39">
        <v>42192</v>
      </c>
      <c r="B34">
        <v>19.809999999999999</v>
      </c>
      <c r="C34">
        <v>19.87</v>
      </c>
      <c r="D34">
        <v>19.29</v>
      </c>
      <c r="E34">
        <v>19.8</v>
      </c>
      <c r="F34">
        <v>197977</v>
      </c>
    </row>
    <row r="35" spans="1:6">
      <c r="A35" s="39">
        <v>42193</v>
      </c>
      <c r="B35">
        <v>19.809999999999999</v>
      </c>
      <c r="C35">
        <v>19.850000000000001</v>
      </c>
      <c r="D35">
        <v>19.52</v>
      </c>
      <c r="E35">
        <v>19.690000000000001</v>
      </c>
      <c r="F35">
        <v>115624</v>
      </c>
    </row>
    <row r="36" spans="1:6">
      <c r="A36" s="39">
        <v>42194</v>
      </c>
      <c r="B36">
        <v>20</v>
      </c>
      <c r="C36">
        <v>20.09</v>
      </c>
      <c r="D36">
        <v>19.88</v>
      </c>
      <c r="E36">
        <v>19.98</v>
      </c>
      <c r="F36">
        <v>1629526</v>
      </c>
    </row>
    <row r="37" spans="1:6">
      <c r="A37" s="39">
        <v>42195</v>
      </c>
      <c r="B37">
        <v>19.97</v>
      </c>
      <c r="C37">
        <v>20.059999999999999</v>
      </c>
      <c r="D37">
        <v>19.84</v>
      </c>
      <c r="E37">
        <v>19.989999999999998</v>
      </c>
      <c r="F37">
        <v>116231</v>
      </c>
    </row>
    <row r="38" spans="1:6">
      <c r="A38" s="39">
        <v>42198</v>
      </c>
      <c r="B38">
        <v>19.77</v>
      </c>
      <c r="C38">
        <v>20.04</v>
      </c>
      <c r="D38">
        <v>19.7</v>
      </c>
      <c r="E38">
        <v>19.88</v>
      </c>
      <c r="F38">
        <v>122673</v>
      </c>
    </row>
    <row r="39" spans="1:6">
      <c r="A39" s="39">
        <v>42199</v>
      </c>
      <c r="B39">
        <v>19.75</v>
      </c>
      <c r="C39">
        <v>19.98</v>
      </c>
      <c r="D39">
        <v>19.7</v>
      </c>
      <c r="E39">
        <v>19.920000000000002</v>
      </c>
      <c r="F39">
        <v>201638</v>
      </c>
    </row>
    <row r="40" spans="1:6">
      <c r="A40" s="39">
        <v>42200</v>
      </c>
      <c r="B40">
        <v>19.739999999999998</v>
      </c>
      <c r="C40">
        <v>19.82</v>
      </c>
      <c r="D40">
        <v>19.52</v>
      </c>
      <c r="E40">
        <v>19.579999999999998</v>
      </c>
      <c r="F40">
        <v>111113</v>
      </c>
    </row>
    <row r="41" spans="1:6">
      <c r="A41" s="39">
        <v>42201</v>
      </c>
      <c r="B41">
        <v>19.690000000000001</v>
      </c>
      <c r="C41">
        <v>19.690000000000001</v>
      </c>
      <c r="D41">
        <v>19.47</v>
      </c>
      <c r="E41">
        <v>19.510000000000002</v>
      </c>
      <c r="F41">
        <v>120202</v>
      </c>
    </row>
    <row r="42" spans="1:6">
      <c r="A42" s="39">
        <v>42202</v>
      </c>
      <c r="B42">
        <v>19.510000000000002</v>
      </c>
      <c r="C42">
        <v>19.510000000000002</v>
      </c>
      <c r="D42">
        <v>19.32</v>
      </c>
      <c r="E42">
        <v>19.46</v>
      </c>
      <c r="F42">
        <v>95011</v>
      </c>
    </row>
    <row r="43" spans="1:6">
      <c r="A43" s="39">
        <v>42205</v>
      </c>
      <c r="B43">
        <v>19.3</v>
      </c>
      <c r="C43">
        <v>19.329999999999998</v>
      </c>
      <c r="D43">
        <v>19.170000000000002</v>
      </c>
      <c r="E43">
        <v>19.190000000000001</v>
      </c>
      <c r="F43">
        <v>98000</v>
      </c>
    </row>
    <row r="44" spans="1:6">
      <c r="A44" s="39">
        <v>42206</v>
      </c>
      <c r="B44">
        <v>19.22</v>
      </c>
      <c r="C44">
        <v>19.36</v>
      </c>
      <c r="D44">
        <v>19.16</v>
      </c>
      <c r="E44">
        <v>19.28</v>
      </c>
      <c r="F44">
        <v>109195</v>
      </c>
    </row>
    <row r="45" spans="1:6">
      <c r="A45" s="39">
        <v>42207</v>
      </c>
      <c r="B45">
        <v>19.100000000000001</v>
      </c>
      <c r="C45">
        <v>19.21</v>
      </c>
      <c r="D45">
        <v>18.93</v>
      </c>
      <c r="E45">
        <v>18.95</v>
      </c>
      <c r="F45">
        <v>91116</v>
      </c>
    </row>
    <row r="46" spans="1:6">
      <c r="A46" s="39">
        <v>42208</v>
      </c>
      <c r="B46">
        <v>19</v>
      </c>
      <c r="C46">
        <v>19.059999999999999</v>
      </c>
      <c r="D46">
        <v>18.72</v>
      </c>
      <c r="E46">
        <v>18.79</v>
      </c>
      <c r="F46">
        <v>74048</v>
      </c>
    </row>
    <row r="47" spans="1:6">
      <c r="A47" s="39">
        <v>42209</v>
      </c>
      <c r="B47">
        <v>18.71</v>
      </c>
      <c r="C47">
        <v>18.71</v>
      </c>
      <c r="D47">
        <v>18.52</v>
      </c>
      <c r="E47">
        <v>18.600000000000001</v>
      </c>
      <c r="F47">
        <v>80912</v>
      </c>
    </row>
    <row r="48" spans="1:6">
      <c r="A48" s="39">
        <v>42212</v>
      </c>
      <c r="B48">
        <v>18.37</v>
      </c>
      <c r="C48">
        <v>18.399999999999999</v>
      </c>
      <c r="D48">
        <v>18.170000000000002</v>
      </c>
      <c r="E48">
        <v>18.2</v>
      </c>
      <c r="F48">
        <v>105803</v>
      </c>
    </row>
    <row r="49" spans="1:6">
      <c r="A49" s="39">
        <v>42213</v>
      </c>
      <c r="B49">
        <v>18.34</v>
      </c>
      <c r="C49">
        <v>18.53</v>
      </c>
      <c r="D49">
        <v>18.21</v>
      </c>
      <c r="E49">
        <v>18.38</v>
      </c>
      <c r="F49">
        <v>549592</v>
      </c>
    </row>
    <row r="50" spans="1:6">
      <c r="A50" s="39">
        <v>42214</v>
      </c>
      <c r="B50">
        <v>18.37</v>
      </c>
      <c r="C50">
        <v>18.62</v>
      </c>
      <c r="D50">
        <v>18.329999999999998</v>
      </c>
      <c r="E50">
        <v>18.489999999999998</v>
      </c>
      <c r="F50">
        <v>104761</v>
      </c>
    </row>
    <row r="51" spans="1:6">
      <c r="A51" s="39">
        <v>42215</v>
      </c>
      <c r="B51">
        <v>18.52</v>
      </c>
      <c r="C51">
        <v>18.57</v>
      </c>
      <c r="D51">
        <v>18.39</v>
      </c>
      <c r="E51">
        <v>18.43</v>
      </c>
      <c r="F51">
        <v>94687</v>
      </c>
    </row>
    <row r="52" spans="1:6">
      <c r="A52" s="39">
        <v>42216</v>
      </c>
      <c r="B52">
        <v>18.46</v>
      </c>
      <c r="C52">
        <v>18.46</v>
      </c>
      <c r="D52">
        <v>18.079999999999998</v>
      </c>
      <c r="E52">
        <v>18.12</v>
      </c>
      <c r="F52">
        <v>536996</v>
      </c>
    </row>
    <row r="53" spans="1:6">
      <c r="A53" s="39">
        <v>42219</v>
      </c>
      <c r="B53">
        <v>17.84</v>
      </c>
      <c r="C53">
        <v>17.940000000000001</v>
      </c>
      <c r="D53">
        <v>17.690000000000001</v>
      </c>
      <c r="E53">
        <v>17.72</v>
      </c>
      <c r="F53">
        <v>221984</v>
      </c>
    </row>
    <row r="54" spans="1:6">
      <c r="A54" s="39">
        <v>42220</v>
      </c>
      <c r="B54">
        <v>17.850000000000001</v>
      </c>
      <c r="C54">
        <v>17.940000000000001</v>
      </c>
      <c r="D54">
        <v>17.77</v>
      </c>
      <c r="E54">
        <v>17.86</v>
      </c>
      <c r="F54">
        <v>151828</v>
      </c>
    </row>
    <row r="55" spans="1:6">
      <c r="A55" s="39">
        <v>42221</v>
      </c>
      <c r="B55">
        <v>17.920000000000002</v>
      </c>
      <c r="C55">
        <v>18.02</v>
      </c>
      <c r="D55">
        <v>17.64</v>
      </c>
      <c r="E55">
        <v>17.760000000000002</v>
      </c>
      <c r="F55">
        <v>112106</v>
      </c>
    </row>
    <row r="56" spans="1:6">
      <c r="A56" s="39">
        <v>42222</v>
      </c>
      <c r="B56">
        <v>17.66</v>
      </c>
      <c r="C56">
        <v>17.7</v>
      </c>
      <c r="D56">
        <v>17.559999999999999</v>
      </c>
      <c r="E56">
        <v>17.690000000000001</v>
      </c>
      <c r="F56">
        <v>121424</v>
      </c>
    </row>
    <row r="57" spans="1:6">
      <c r="A57" s="39">
        <v>42223</v>
      </c>
      <c r="B57">
        <v>17.579999999999998</v>
      </c>
      <c r="C57">
        <v>17.64</v>
      </c>
      <c r="D57">
        <v>17.5</v>
      </c>
      <c r="E57">
        <v>17.55</v>
      </c>
      <c r="F57">
        <v>60192</v>
      </c>
    </row>
    <row r="58" spans="1:6">
      <c r="A58" s="39">
        <v>42226</v>
      </c>
      <c r="B58">
        <v>17.600000000000001</v>
      </c>
      <c r="C58">
        <v>18.010000000000002</v>
      </c>
      <c r="D58">
        <v>17.600000000000001</v>
      </c>
      <c r="E58">
        <v>17.95</v>
      </c>
      <c r="F58">
        <v>158549</v>
      </c>
    </row>
    <row r="59" spans="1:6">
      <c r="A59" s="39">
        <v>42227</v>
      </c>
      <c r="B59">
        <v>17.66</v>
      </c>
      <c r="C59">
        <v>17.690000000000001</v>
      </c>
      <c r="D59">
        <v>17.52</v>
      </c>
      <c r="E59">
        <v>17.68</v>
      </c>
      <c r="F59">
        <v>859400</v>
      </c>
    </row>
    <row r="60" spans="1:6">
      <c r="A60" s="39">
        <v>42228</v>
      </c>
      <c r="B60">
        <v>17.760000000000002</v>
      </c>
      <c r="C60">
        <v>17.809999999999999</v>
      </c>
      <c r="D60">
        <v>17.54</v>
      </c>
      <c r="E60">
        <v>17.670000000000002</v>
      </c>
      <c r="F60">
        <v>135691</v>
      </c>
    </row>
    <row r="61" spans="1:6">
      <c r="A61" s="39">
        <v>42229</v>
      </c>
      <c r="B61">
        <v>17.59</v>
      </c>
      <c r="C61">
        <v>17.61</v>
      </c>
      <c r="D61">
        <v>17.45</v>
      </c>
      <c r="E61">
        <v>17.52</v>
      </c>
      <c r="F61">
        <v>303139</v>
      </c>
    </row>
    <row r="62" spans="1:6">
      <c r="A62" s="39">
        <v>42230</v>
      </c>
      <c r="B62">
        <v>17.510000000000002</v>
      </c>
      <c r="C62">
        <v>17.579999999999998</v>
      </c>
      <c r="D62">
        <v>17.399999999999999</v>
      </c>
      <c r="E62">
        <v>17.41</v>
      </c>
      <c r="F62">
        <v>110177</v>
      </c>
    </row>
    <row r="63" spans="1:6">
      <c r="A63" s="39">
        <v>42233</v>
      </c>
      <c r="B63">
        <v>17.43</v>
      </c>
      <c r="C63">
        <v>17.47</v>
      </c>
      <c r="D63">
        <v>17.309999999999999</v>
      </c>
      <c r="E63">
        <v>17.350000000000001</v>
      </c>
      <c r="F63">
        <v>265889</v>
      </c>
    </row>
    <row r="64" spans="1:6">
      <c r="A64" s="39">
        <v>42234</v>
      </c>
      <c r="B64">
        <v>17.239999999999998</v>
      </c>
      <c r="C64">
        <v>17.38</v>
      </c>
      <c r="D64">
        <v>17.21</v>
      </c>
      <c r="E64">
        <v>17.309999999999999</v>
      </c>
      <c r="F64">
        <v>189766</v>
      </c>
    </row>
    <row r="65" spans="1:6">
      <c r="A65" s="39">
        <v>42235</v>
      </c>
      <c r="B65">
        <v>17.3</v>
      </c>
      <c r="C65">
        <v>17.309999999999999</v>
      </c>
      <c r="D65">
        <v>16.91</v>
      </c>
      <c r="E65">
        <v>16.95</v>
      </c>
      <c r="F65">
        <v>544232</v>
      </c>
    </row>
    <row r="66" spans="1:6">
      <c r="A66" s="39">
        <v>42236</v>
      </c>
      <c r="B66">
        <v>17.05</v>
      </c>
      <c r="C66">
        <v>17.12</v>
      </c>
      <c r="D66">
        <v>16.89</v>
      </c>
      <c r="E66">
        <v>16.91</v>
      </c>
      <c r="F66">
        <v>226776</v>
      </c>
    </row>
    <row r="67" spans="1:6">
      <c r="A67" s="39">
        <v>42237</v>
      </c>
      <c r="B67">
        <v>16.850000000000001</v>
      </c>
      <c r="C67">
        <v>16.850000000000001</v>
      </c>
      <c r="D67">
        <v>16.559999999999999</v>
      </c>
      <c r="E67">
        <v>16.649999999999999</v>
      </c>
      <c r="F67">
        <v>229649</v>
      </c>
    </row>
    <row r="68" spans="1:6">
      <c r="A68" s="39">
        <v>42240</v>
      </c>
      <c r="B68">
        <v>15.97</v>
      </c>
      <c r="C68">
        <v>16.38</v>
      </c>
      <c r="D68">
        <v>15.9</v>
      </c>
      <c r="E68">
        <v>16.11</v>
      </c>
      <c r="F68">
        <v>730287</v>
      </c>
    </row>
    <row r="69" spans="1:6">
      <c r="A69" s="39">
        <v>42241</v>
      </c>
      <c r="B69">
        <v>16.54</v>
      </c>
      <c r="C69">
        <v>16.54</v>
      </c>
      <c r="D69">
        <v>16.149999999999999</v>
      </c>
      <c r="E69">
        <v>16.16</v>
      </c>
      <c r="F69">
        <v>747399</v>
      </c>
    </row>
    <row r="70" spans="1:6">
      <c r="A70" s="39">
        <v>42242</v>
      </c>
      <c r="B70">
        <v>16.22</v>
      </c>
      <c r="C70">
        <v>16.23</v>
      </c>
      <c r="D70">
        <v>16.04</v>
      </c>
      <c r="E70">
        <v>16.149999999999999</v>
      </c>
      <c r="F70">
        <v>176155</v>
      </c>
    </row>
    <row r="71" spans="1:6">
      <c r="A71" s="39">
        <v>42243</v>
      </c>
      <c r="B71">
        <v>16.39</v>
      </c>
      <c r="C71">
        <v>16.93</v>
      </c>
      <c r="D71">
        <v>16.37</v>
      </c>
      <c r="E71">
        <v>16.91</v>
      </c>
      <c r="F71">
        <v>199529</v>
      </c>
    </row>
    <row r="72" spans="1:6">
      <c r="A72" s="39">
        <v>42244</v>
      </c>
      <c r="B72">
        <v>16.96</v>
      </c>
      <c r="C72">
        <v>17.64</v>
      </c>
      <c r="D72">
        <v>16.920000000000002</v>
      </c>
      <c r="E72">
        <v>17.52</v>
      </c>
      <c r="F72">
        <v>198494</v>
      </c>
    </row>
    <row r="73" spans="1:6">
      <c r="A73" s="39">
        <v>42247</v>
      </c>
      <c r="B73">
        <v>17.350000000000001</v>
      </c>
      <c r="C73">
        <v>18.34</v>
      </c>
      <c r="D73">
        <v>17.100000000000001</v>
      </c>
      <c r="E73">
        <v>18.170000000000002</v>
      </c>
      <c r="F73">
        <v>1147617</v>
      </c>
    </row>
    <row r="74" spans="1:6">
      <c r="A74" s="39">
        <v>42248</v>
      </c>
      <c r="B74">
        <v>17.87</v>
      </c>
      <c r="C74">
        <v>17.899999999999999</v>
      </c>
      <c r="D74">
        <v>17.29</v>
      </c>
      <c r="E74">
        <v>17.32</v>
      </c>
      <c r="F74">
        <v>339631</v>
      </c>
    </row>
    <row r="75" spans="1:6">
      <c r="A75" s="39">
        <v>42249</v>
      </c>
      <c r="B75">
        <v>17.579999999999998</v>
      </c>
      <c r="C75">
        <v>17.670000000000002</v>
      </c>
      <c r="D75">
        <v>17.04</v>
      </c>
      <c r="E75">
        <v>17.57</v>
      </c>
      <c r="F75">
        <v>631672</v>
      </c>
    </row>
    <row r="76" spans="1:6">
      <c r="A76" s="39">
        <v>42250</v>
      </c>
      <c r="B76">
        <v>17.649999999999999</v>
      </c>
      <c r="C76">
        <v>18.010000000000002</v>
      </c>
      <c r="D76">
        <v>17.54</v>
      </c>
      <c r="E76">
        <v>17.7</v>
      </c>
      <c r="F76">
        <v>273115</v>
      </c>
    </row>
    <row r="77" spans="1:6">
      <c r="A77" s="39">
        <v>42251</v>
      </c>
      <c r="B77">
        <v>17.579999999999998</v>
      </c>
      <c r="C77">
        <v>17.64</v>
      </c>
      <c r="D77">
        <v>17.420000000000002</v>
      </c>
      <c r="E77">
        <v>17.46</v>
      </c>
      <c r="F77">
        <v>134585</v>
      </c>
    </row>
    <row r="78" spans="1:6">
      <c r="A78" s="39">
        <v>42255</v>
      </c>
      <c r="B78">
        <v>17.43</v>
      </c>
      <c r="C78">
        <v>17.579999999999998</v>
      </c>
      <c r="D78">
        <v>17.22</v>
      </c>
      <c r="E78">
        <v>17.52</v>
      </c>
      <c r="F78">
        <v>159179</v>
      </c>
    </row>
    <row r="79" spans="1:6">
      <c r="A79" s="39">
        <v>42256</v>
      </c>
      <c r="B79">
        <v>17.559999999999999</v>
      </c>
      <c r="C79">
        <v>17.600000000000001</v>
      </c>
      <c r="D79">
        <v>17.170000000000002</v>
      </c>
      <c r="E79">
        <v>17.190000000000001</v>
      </c>
      <c r="F79">
        <v>148664</v>
      </c>
    </row>
    <row r="80" spans="1:6">
      <c r="A80" s="39">
        <v>42257</v>
      </c>
      <c r="B80">
        <v>17.23</v>
      </c>
      <c r="C80">
        <v>17.47</v>
      </c>
      <c r="D80">
        <v>17.16</v>
      </c>
      <c r="E80">
        <v>17.420000000000002</v>
      </c>
      <c r="F80">
        <v>122334</v>
      </c>
    </row>
    <row r="81" spans="1:6">
      <c r="A81" s="39">
        <v>42258</v>
      </c>
      <c r="B81">
        <v>17.260000000000002</v>
      </c>
      <c r="C81">
        <v>17.39</v>
      </c>
      <c r="D81">
        <v>17.079999999999998</v>
      </c>
      <c r="E81">
        <v>17.32</v>
      </c>
      <c r="F81">
        <v>113071</v>
      </c>
    </row>
    <row r="82" spans="1:6">
      <c r="A82" s="39">
        <v>42261</v>
      </c>
      <c r="B82">
        <v>17.16</v>
      </c>
      <c r="C82">
        <v>17.21</v>
      </c>
      <c r="D82">
        <v>17.02</v>
      </c>
      <c r="E82">
        <v>17.09</v>
      </c>
      <c r="F82">
        <v>173152</v>
      </c>
    </row>
    <row r="83" spans="1:6">
      <c r="A83" s="39">
        <v>42262</v>
      </c>
      <c r="B83">
        <v>17.12</v>
      </c>
      <c r="C83">
        <v>17.16</v>
      </c>
      <c r="D83">
        <v>17.02</v>
      </c>
      <c r="E83">
        <v>17.149999999999999</v>
      </c>
      <c r="F83">
        <v>120953</v>
      </c>
    </row>
    <row r="84" spans="1:6">
      <c r="A84" s="39">
        <v>42263</v>
      </c>
      <c r="B84">
        <v>17.3</v>
      </c>
      <c r="C84">
        <v>17.55</v>
      </c>
      <c r="D84">
        <v>17.29</v>
      </c>
      <c r="E84">
        <v>17.5</v>
      </c>
      <c r="F84">
        <v>160764</v>
      </c>
    </row>
    <row r="85" spans="1:6">
      <c r="A85" s="39">
        <v>42264</v>
      </c>
      <c r="B85">
        <v>17.47</v>
      </c>
      <c r="C85">
        <v>17.510000000000002</v>
      </c>
      <c r="D85">
        <v>17.260000000000002</v>
      </c>
      <c r="E85">
        <v>17.39</v>
      </c>
      <c r="F85">
        <v>182794</v>
      </c>
    </row>
    <row r="86" spans="1:6">
      <c r="A86" s="39">
        <v>42265</v>
      </c>
      <c r="B86">
        <v>17.22</v>
      </c>
      <c r="C86">
        <v>17.23</v>
      </c>
      <c r="D86">
        <v>16.89</v>
      </c>
      <c r="E86">
        <v>17</v>
      </c>
      <c r="F86">
        <v>152175</v>
      </c>
    </row>
    <row r="87" spans="1:6">
      <c r="A87" s="39">
        <v>42268</v>
      </c>
      <c r="B87">
        <v>17.13</v>
      </c>
      <c r="C87">
        <v>17.309999999999999</v>
      </c>
      <c r="D87">
        <v>17.13</v>
      </c>
      <c r="E87">
        <v>17.27</v>
      </c>
      <c r="F87">
        <v>98125</v>
      </c>
    </row>
    <row r="88" spans="1:6">
      <c r="A88" s="39">
        <v>42269</v>
      </c>
      <c r="B88">
        <v>17.079999999999998</v>
      </c>
      <c r="C88">
        <v>17.23</v>
      </c>
      <c r="D88">
        <v>16.98</v>
      </c>
      <c r="E88">
        <v>17.18</v>
      </c>
      <c r="F88">
        <v>142090</v>
      </c>
    </row>
    <row r="89" spans="1:6">
      <c r="A89" s="39">
        <v>42270</v>
      </c>
      <c r="B89">
        <v>17.29</v>
      </c>
      <c r="C89">
        <v>17.440000000000001</v>
      </c>
      <c r="D89">
        <v>16.920000000000002</v>
      </c>
      <c r="E89">
        <v>16.97</v>
      </c>
      <c r="F89">
        <v>76255</v>
      </c>
    </row>
    <row r="90" spans="1:6">
      <c r="A90" s="39">
        <v>42271</v>
      </c>
      <c r="B90">
        <v>16.850000000000001</v>
      </c>
      <c r="C90">
        <v>17.079999999999998</v>
      </c>
      <c r="D90">
        <v>16.82</v>
      </c>
      <c r="E90">
        <v>17.07</v>
      </c>
      <c r="F90">
        <v>132833</v>
      </c>
    </row>
    <row r="91" spans="1:6">
      <c r="A91" s="39">
        <v>42272</v>
      </c>
      <c r="B91">
        <v>17.190000000000001</v>
      </c>
      <c r="C91">
        <v>17.260000000000002</v>
      </c>
      <c r="D91">
        <v>17.07</v>
      </c>
      <c r="E91">
        <v>17.18</v>
      </c>
      <c r="F91">
        <v>105691</v>
      </c>
    </row>
    <row r="92" spans="1:6">
      <c r="A92" s="39">
        <v>42275</v>
      </c>
      <c r="B92">
        <v>16.989999999999998</v>
      </c>
      <c r="C92">
        <v>17.059999999999999</v>
      </c>
      <c r="D92">
        <v>16.87</v>
      </c>
      <c r="E92">
        <v>16.899999999999999</v>
      </c>
      <c r="F92">
        <v>85109</v>
      </c>
    </row>
    <row r="93" spans="1:6">
      <c r="A93" s="39">
        <v>42276</v>
      </c>
      <c r="B93">
        <v>16.940000000000001</v>
      </c>
      <c r="C93">
        <v>17.100000000000001</v>
      </c>
      <c r="D93">
        <v>16.93</v>
      </c>
      <c r="E93">
        <v>17.03</v>
      </c>
      <c r="F93">
        <v>148343</v>
      </c>
    </row>
    <row r="94" spans="1:6">
      <c r="A94" s="39">
        <v>42277</v>
      </c>
      <c r="B94">
        <v>17.03</v>
      </c>
      <c r="C94">
        <v>17.22</v>
      </c>
      <c r="D94">
        <v>16.91</v>
      </c>
      <c r="E94">
        <v>17.079999999999998</v>
      </c>
      <c r="F94">
        <v>434984</v>
      </c>
    </row>
    <row r="95" spans="1:6">
      <c r="A95" s="39">
        <v>42278</v>
      </c>
      <c r="B95">
        <v>17.32</v>
      </c>
      <c r="C95">
        <v>17.39</v>
      </c>
      <c r="D95">
        <v>16.89</v>
      </c>
      <c r="E95">
        <v>16.97</v>
      </c>
      <c r="F95">
        <v>347730</v>
      </c>
    </row>
    <row r="96" spans="1:6">
      <c r="A96" s="39">
        <v>42279</v>
      </c>
      <c r="B96">
        <v>16.75</v>
      </c>
      <c r="C96">
        <v>17.09</v>
      </c>
      <c r="D96">
        <v>16.75</v>
      </c>
      <c r="E96">
        <v>17.05</v>
      </c>
      <c r="F96">
        <v>156298</v>
      </c>
    </row>
    <row r="97" spans="1:6">
      <c r="A97" s="39">
        <v>42282</v>
      </c>
      <c r="B97">
        <v>17.25</v>
      </c>
      <c r="C97">
        <v>17.34</v>
      </c>
      <c r="D97">
        <v>17.22</v>
      </c>
      <c r="E97">
        <v>17.28</v>
      </c>
      <c r="F97">
        <v>174413</v>
      </c>
    </row>
    <row r="98" spans="1:6">
      <c r="A98" s="39">
        <v>42283</v>
      </c>
      <c r="B98">
        <v>17.37</v>
      </c>
      <c r="C98">
        <v>17.79</v>
      </c>
      <c r="D98">
        <v>17.37</v>
      </c>
      <c r="E98">
        <v>17.79</v>
      </c>
      <c r="F98">
        <v>545746</v>
      </c>
    </row>
    <row r="99" spans="1:6">
      <c r="A99" s="39">
        <v>42284</v>
      </c>
      <c r="B99">
        <v>17.98</v>
      </c>
      <c r="C99">
        <v>18.010000000000002</v>
      </c>
      <c r="D99">
        <v>17.62</v>
      </c>
      <c r="E99">
        <v>17.690000000000001</v>
      </c>
      <c r="F99">
        <v>178301</v>
      </c>
    </row>
    <row r="100" spans="1:6">
      <c r="A100" s="39">
        <v>42285</v>
      </c>
      <c r="B100">
        <v>17.72</v>
      </c>
      <c r="C100">
        <v>17.989999999999998</v>
      </c>
      <c r="D100">
        <v>17.649999999999999</v>
      </c>
      <c r="E100">
        <v>17.920000000000002</v>
      </c>
      <c r="F100">
        <v>218849</v>
      </c>
    </row>
    <row r="101" spans="1:6">
      <c r="A101" s="39">
        <v>42286</v>
      </c>
      <c r="B101">
        <v>17.96</v>
      </c>
      <c r="C101">
        <v>18.02</v>
      </c>
      <c r="D101">
        <v>17.850000000000001</v>
      </c>
      <c r="E101">
        <v>17.91</v>
      </c>
      <c r="F101">
        <v>91872</v>
      </c>
    </row>
    <row r="102" spans="1:6">
      <c r="A102" s="39">
        <v>42289</v>
      </c>
      <c r="B102">
        <v>17.91</v>
      </c>
      <c r="C102">
        <v>17.91</v>
      </c>
      <c r="D102">
        <v>17.399999999999999</v>
      </c>
      <c r="E102">
        <v>17.46</v>
      </c>
      <c r="F102">
        <v>210948</v>
      </c>
    </row>
    <row r="103" spans="1:6">
      <c r="A103" s="39">
        <v>42290</v>
      </c>
      <c r="B103">
        <v>17.41</v>
      </c>
      <c r="C103">
        <v>17.579999999999998</v>
      </c>
      <c r="D103">
        <v>17.260000000000002</v>
      </c>
      <c r="E103">
        <v>17.3</v>
      </c>
      <c r="F103">
        <v>87920</v>
      </c>
    </row>
    <row r="104" spans="1:6">
      <c r="A104" s="39">
        <v>42291</v>
      </c>
      <c r="B104">
        <v>17.32</v>
      </c>
      <c r="C104">
        <v>17.34</v>
      </c>
      <c r="D104">
        <v>17.21</v>
      </c>
      <c r="E104">
        <v>17.32</v>
      </c>
      <c r="F104">
        <v>76441</v>
      </c>
    </row>
    <row r="105" spans="1:6">
      <c r="A105" s="39">
        <v>42292</v>
      </c>
      <c r="B105">
        <v>17.22</v>
      </c>
      <c r="C105">
        <v>17.350000000000001</v>
      </c>
      <c r="D105">
        <v>17.07</v>
      </c>
      <c r="E105">
        <v>17.329999999999998</v>
      </c>
      <c r="F105">
        <v>147454</v>
      </c>
    </row>
    <row r="106" spans="1:6">
      <c r="A106" s="39">
        <v>42293</v>
      </c>
      <c r="B106">
        <v>17.37</v>
      </c>
      <c r="C106">
        <v>17.38</v>
      </c>
      <c r="D106">
        <v>17.13</v>
      </c>
      <c r="E106">
        <v>17.34</v>
      </c>
      <c r="F106">
        <v>89604</v>
      </c>
    </row>
    <row r="107" spans="1:6">
      <c r="A107" s="39">
        <v>42296</v>
      </c>
      <c r="B107">
        <v>17.09</v>
      </c>
      <c r="C107">
        <v>17.16</v>
      </c>
      <c r="D107">
        <v>17</v>
      </c>
      <c r="E107">
        <v>17.03</v>
      </c>
      <c r="F107">
        <v>79008</v>
      </c>
    </row>
    <row r="108" spans="1:6">
      <c r="A108" s="39">
        <v>42297</v>
      </c>
      <c r="B108">
        <v>17</v>
      </c>
      <c r="C108">
        <v>17.11</v>
      </c>
      <c r="D108">
        <v>16.95</v>
      </c>
      <c r="E108">
        <v>17.05</v>
      </c>
      <c r="F108">
        <v>92140</v>
      </c>
    </row>
    <row r="109" spans="1:6">
      <c r="A109" s="39">
        <v>42298</v>
      </c>
      <c r="B109">
        <v>16.89</v>
      </c>
      <c r="C109">
        <v>16.97</v>
      </c>
      <c r="D109">
        <v>16.79</v>
      </c>
      <c r="E109">
        <v>16.899999999999999</v>
      </c>
      <c r="F109">
        <v>472145</v>
      </c>
    </row>
    <row r="110" spans="1:6">
      <c r="A110" s="39">
        <v>42299</v>
      </c>
      <c r="B110">
        <v>16.989999999999998</v>
      </c>
      <c r="C110">
        <v>17.09</v>
      </c>
      <c r="D110">
        <v>16.86</v>
      </c>
      <c r="E110">
        <v>16.96</v>
      </c>
      <c r="F110">
        <v>120798</v>
      </c>
    </row>
    <row r="111" spans="1:6">
      <c r="A111" s="39">
        <v>42300</v>
      </c>
      <c r="B111">
        <v>16.82</v>
      </c>
      <c r="C111">
        <v>16.829999999999998</v>
      </c>
      <c r="D111">
        <v>16.72</v>
      </c>
      <c r="E111">
        <v>16.8</v>
      </c>
      <c r="F111">
        <v>120248</v>
      </c>
    </row>
    <row r="112" spans="1:6">
      <c r="A112" s="39">
        <v>42303</v>
      </c>
      <c r="B112">
        <v>16.73</v>
      </c>
      <c r="C112">
        <v>16.75</v>
      </c>
      <c r="D112">
        <v>16.64</v>
      </c>
      <c r="E112">
        <v>16.649999999999999</v>
      </c>
      <c r="F112">
        <v>147753</v>
      </c>
    </row>
    <row r="113" spans="1:6">
      <c r="A113" s="39">
        <v>42304</v>
      </c>
      <c r="B113">
        <v>16.57</v>
      </c>
      <c r="C113">
        <v>16.57</v>
      </c>
      <c r="D113">
        <v>16.440000000000001</v>
      </c>
      <c r="E113">
        <v>16.52</v>
      </c>
      <c r="F113">
        <v>154074</v>
      </c>
    </row>
    <row r="114" spans="1:6">
      <c r="A114" s="39">
        <v>42305</v>
      </c>
      <c r="B114">
        <v>16.600000000000001</v>
      </c>
      <c r="C114">
        <v>17.010000000000002</v>
      </c>
      <c r="D114">
        <v>16.579999999999998</v>
      </c>
      <c r="E114">
        <v>16.989999999999998</v>
      </c>
      <c r="F114">
        <v>84417</v>
      </c>
    </row>
    <row r="115" spans="1:6">
      <c r="A115" s="39">
        <v>42306</v>
      </c>
      <c r="B115">
        <v>16.96</v>
      </c>
      <c r="C115">
        <v>17.059999999999999</v>
      </c>
      <c r="D115">
        <v>16.87</v>
      </c>
      <c r="E115">
        <v>16.899999999999999</v>
      </c>
      <c r="F115">
        <v>97727</v>
      </c>
    </row>
    <row r="116" spans="1:6">
      <c r="A116" s="39">
        <v>42307</v>
      </c>
      <c r="B116">
        <v>16.940000000000001</v>
      </c>
      <c r="C116">
        <v>17.170000000000002</v>
      </c>
      <c r="D116">
        <v>16.88</v>
      </c>
      <c r="E116">
        <v>17.07</v>
      </c>
      <c r="F116">
        <v>736415</v>
      </c>
    </row>
    <row r="117" spans="1:6">
      <c r="A117" s="39">
        <v>42310</v>
      </c>
      <c r="B117">
        <v>16.93</v>
      </c>
      <c r="C117">
        <v>17.059999999999999</v>
      </c>
      <c r="D117">
        <v>16.89</v>
      </c>
      <c r="E117">
        <v>16.95</v>
      </c>
      <c r="F117">
        <v>255234</v>
      </c>
    </row>
    <row r="118" spans="1:6">
      <c r="A118" s="39">
        <v>42311</v>
      </c>
      <c r="B118">
        <v>17.09</v>
      </c>
      <c r="C118">
        <v>17.38</v>
      </c>
      <c r="D118">
        <v>17.079999999999998</v>
      </c>
      <c r="E118">
        <v>17.32</v>
      </c>
      <c r="F118">
        <v>217470</v>
      </c>
    </row>
    <row r="119" spans="1:6">
      <c r="A119" s="39">
        <v>42312</v>
      </c>
      <c r="B119">
        <v>17.3</v>
      </c>
      <c r="C119">
        <v>17.3</v>
      </c>
      <c r="D119">
        <v>16.899999999999999</v>
      </c>
      <c r="E119">
        <v>16.96</v>
      </c>
      <c r="F119">
        <v>157428</v>
      </c>
    </row>
    <row r="120" spans="1:6">
      <c r="A120" s="39">
        <v>42313</v>
      </c>
      <c r="B120">
        <v>16.829999999999998</v>
      </c>
      <c r="C120">
        <v>16.93</v>
      </c>
      <c r="D120">
        <v>16.68</v>
      </c>
      <c r="E120">
        <v>16.73</v>
      </c>
      <c r="F120">
        <v>317075</v>
      </c>
    </row>
    <row r="121" spans="1:6">
      <c r="A121" s="39">
        <v>42314</v>
      </c>
      <c r="B121">
        <v>16.600000000000001</v>
      </c>
      <c r="C121">
        <v>16.64</v>
      </c>
      <c r="D121">
        <v>16.510000000000002</v>
      </c>
      <c r="E121">
        <v>16.61</v>
      </c>
      <c r="F121">
        <v>96471</v>
      </c>
    </row>
    <row r="122" spans="1:6">
      <c r="A122" s="39">
        <v>42317</v>
      </c>
      <c r="B122">
        <v>16.579999999999998</v>
      </c>
      <c r="C122">
        <v>16.579999999999998</v>
      </c>
      <c r="D122">
        <v>16.350000000000001</v>
      </c>
      <c r="E122">
        <v>16.420000000000002</v>
      </c>
      <c r="F122">
        <v>593749</v>
      </c>
    </row>
    <row r="123" spans="1:6">
      <c r="A123" s="39">
        <v>42318</v>
      </c>
      <c r="B123">
        <v>16.37</v>
      </c>
      <c r="C123">
        <v>16.52</v>
      </c>
      <c r="D123">
        <v>16.32</v>
      </c>
      <c r="E123">
        <v>16.36</v>
      </c>
      <c r="F123">
        <v>251258</v>
      </c>
    </row>
    <row r="124" spans="1:6">
      <c r="A124" s="39">
        <v>42319</v>
      </c>
      <c r="B124">
        <v>16.440000000000001</v>
      </c>
      <c r="C124">
        <v>16.440000000000001</v>
      </c>
      <c r="D124">
        <v>16.12</v>
      </c>
      <c r="E124">
        <v>16.190000000000001</v>
      </c>
      <c r="F124">
        <v>101312</v>
      </c>
    </row>
    <row r="125" spans="1:6">
      <c r="A125" s="39">
        <v>42320</v>
      </c>
      <c r="B125">
        <v>15.97</v>
      </c>
      <c r="C125">
        <v>16.14</v>
      </c>
      <c r="D125">
        <v>15.88</v>
      </c>
      <c r="E125">
        <v>15.91</v>
      </c>
      <c r="F125">
        <v>374695</v>
      </c>
    </row>
    <row r="126" spans="1:6">
      <c r="A126" s="39">
        <v>42321</v>
      </c>
      <c r="B126">
        <v>15.86</v>
      </c>
      <c r="C126">
        <v>15.86</v>
      </c>
      <c r="D126">
        <v>15.64</v>
      </c>
      <c r="E126">
        <v>15.71</v>
      </c>
      <c r="F126">
        <v>172067</v>
      </c>
    </row>
    <row r="127" spans="1:6">
      <c r="A127" s="39">
        <v>42324</v>
      </c>
      <c r="B127">
        <v>15.64</v>
      </c>
      <c r="C127">
        <v>15.8</v>
      </c>
      <c r="D127">
        <v>15.47</v>
      </c>
      <c r="E127">
        <v>15.8</v>
      </c>
      <c r="F127">
        <v>239784</v>
      </c>
    </row>
    <row r="128" spans="1:6">
      <c r="A128" s="39">
        <v>42325</v>
      </c>
      <c r="B128">
        <v>15.64</v>
      </c>
      <c r="C128">
        <v>15.67</v>
      </c>
      <c r="D128">
        <v>15.52</v>
      </c>
      <c r="E128">
        <v>15.55</v>
      </c>
      <c r="F128">
        <v>189498</v>
      </c>
    </row>
    <row r="129" spans="1:6">
      <c r="A129" s="39">
        <v>42326</v>
      </c>
      <c r="B129">
        <v>15.68</v>
      </c>
      <c r="C129">
        <v>15.68</v>
      </c>
      <c r="D129">
        <v>15.44</v>
      </c>
      <c r="E129">
        <v>15.6</v>
      </c>
      <c r="F129">
        <v>187327</v>
      </c>
    </row>
    <row r="130" spans="1:6">
      <c r="A130" s="39">
        <v>42327</v>
      </c>
      <c r="B130">
        <v>15.58</v>
      </c>
      <c r="C130">
        <v>15.64</v>
      </c>
      <c r="D130">
        <v>15.57</v>
      </c>
      <c r="E130">
        <v>15.61</v>
      </c>
      <c r="F130">
        <v>146458</v>
      </c>
    </row>
    <row r="131" spans="1:6">
      <c r="A131" s="39">
        <v>42328</v>
      </c>
      <c r="B131">
        <v>15.62</v>
      </c>
      <c r="C131">
        <v>15.79</v>
      </c>
      <c r="D131">
        <v>15.55</v>
      </c>
      <c r="E131">
        <v>15.58</v>
      </c>
      <c r="F131">
        <v>132148</v>
      </c>
    </row>
    <row r="132" spans="1:6">
      <c r="A132" s="39">
        <v>42331</v>
      </c>
      <c r="B132">
        <v>15.54</v>
      </c>
      <c r="C132">
        <v>15.78</v>
      </c>
      <c r="D132">
        <v>15.51</v>
      </c>
      <c r="E132">
        <v>15.67</v>
      </c>
      <c r="F132">
        <v>173511</v>
      </c>
    </row>
    <row r="133" spans="1:6">
      <c r="A133" s="39">
        <v>42332</v>
      </c>
      <c r="B133">
        <v>15.86</v>
      </c>
      <c r="C133">
        <v>16</v>
      </c>
      <c r="D133">
        <v>15.78</v>
      </c>
      <c r="E133">
        <v>15.89</v>
      </c>
      <c r="F133">
        <v>313534</v>
      </c>
    </row>
    <row r="134" spans="1:6">
      <c r="A134" s="39">
        <v>42333</v>
      </c>
      <c r="B134">
        <v>15.81</v>
      </c>
      <c r="C134">
        <v>15.91</v>
      </c>
      <c r="D134">
        <v>15.65</v>
      </c>
      <c r="E134">
        <v>15.89</v>
      </c>
      <c r="F134">
        <v>205415</v>
      </c>
    </row>
    <row r="135" spans="1:6">
      <c r="A135" s="39">
        <v>42335</v>
      </c>
      <c r="B135">
        <v>15.63</v>
      </c>
      <c r="C135">
        <v>15.76</v>
      </c>
      <c r="D135">
        <v>15.6</v>
      </c>
      <c r="E135">
        <v>15.63</v>
      </c>
      <c r="F135">
        <v>80418</v>
      </c>
    </row>
    <row r="136" spans="1:6">
      <c r="A136" s="39">
        <v>42338</v>
      </c>
      <c r="B136">
        <v>15.71</v>
      </c>
      <c r="C136">
        <v>15.77</v>
      </c>
      <c r="D136">
        <v>15.5</v>
      </c>
      <c r="E136">
        <v>15.51</v>
      </c>
      <c r="F136">
        <v>1151133</v>
      </c>
    </row>
    <row r="137" spans="1:6">
      <c r="A137" s="39">
        <v>42339</v>
      </c>
      <c r="B137">
        <v>15.57</v>
      </c>
      <c r="C137">
        <v>15.68</v>
      </c>
      <c r="D137">
        <v>15.5</v>
      </c>
      <c r="E137">
        <v>15.58</v>
      </c>
      <c r="F137">
        <v>341781</v>
      </c>
    </row>
    <row r="138" spans="1:6">
      <c r="A138" s="39">
        <v>42340</v>
      </c>
      <c r="B138">
        <v>15.45</v>
      </c>
      <c r="C138">
        <v>15.54</v>
      </c>
      <c r="D138">
        <v>15.17</v>
      </c>
      <c r="E138">
        <v>15.21</v>
      </c>
      <c r="F138">
        <v>262465</v>
      </c>
    </row>
    <row r="139" spans="1:6">
      <c r="A139" s="39">
        <v>42341</v>
      </c>
      <c r="B139">
        <v>15.27</v>
      </c>
      <c r="C139">
        <v>15.59</v>
      </c>
      <c r="D139">
        <v>15.2</v>
      </c>
      <c r="E139">
        <v>15.43</v>
      </c>
      <c r="F139">
        <v>219389</v>
      </c>
    </row>
    <row r="140" spans="1:6">
      <c r="A140" s="39">
        <v>42342</v>
      </c>
      <c r="B140">
        <v>15.3</v>
      </c>
      <c r="C140">
        <v>15.43</v>
      </c>
      <c r="D140">
        <v>15.26</v>
      </c>
      <c r="E140">
        <v>15.35</v>
      </c>
      <c r="F140">
        <v>576334</v>
      </c>
    </row>
    <row r="141" spans="1:6">
      <c r="A141" s="39">
        <v>42345</v>
      </c>
      <c r="B141">
        <v>15.07</v>
      </c>
      <c r="C141">
        <v>15.1</v>
      </c>
      <c r="D141">
        <v>14.7</v>
      </c>
      <c r="E141">
        <v>14.77</v>
      </c>
      <c r="F141">
        <v>476927</v>
      </c>
    </row>
    <row r="142" spans="1:6">
      <c r="A142" s="39">
        <v>42346</v>
      </c>
      <c r="B142">
        <v>14.64</v>
      </c>
      <c r="C142">
        <v>14.87</v>
      </c>
      <c r="D142">
        <v>14.57</v>
      </c>
      <c r="E142">
        <v>14.64</v>
      </c>
      <c r="F142">
        <v>308766</v>
      </c>
    </row>
    <row r="143" spans="1:6">
      <c r="A143" s="39">
        <v>42347</v>
      </c>
      <c r="B143">
        <v>14.72</v>
      </c>
      <c r="C143">
        <v>14.94</v>
      </c>
      <c r="D143">
        <v>14.49</v>
      </c>
      <c r="E143">
        <v>14.62</v>
      </c>
      <c r="F143">
        <v>370079</v>
      </c>
    </row>
    <row r="144" spans="1:6">
      <c r="A144" s="39">
        <v>42348</v>
      </c>
      <c r="B144">
        <v>14.57</v>
      </c>
      <c r="C144">
        <v>14.7</v>
      </c>
      <c r="D144">
        <v>14.53</v>
      </c>
      <c r="E144">
        <v>14.53</v>
      </c>
      <c r="F144">
        <v>331691</v>
      </c>
    </row>
    <row r="145" spans="1:6">
      <c r="A145" s="39">
        <v>42349</v>
      </c>
      <c r="B145">
        <v>14.52</v>
      </c>
      <c r="C145">
        <v>14.53</v>
      </c>
      <c r="D145">
        <v>14.28</v>
      </c>
      <c r="E145">
        <v>14.31</v>
      </c>
      <c r="F145">
        <v>218921</v>
      </c>
    </row>
    <row r="146" spans="1:6">
      <c r="A146" s="39">
        <v>42352</v>
      </c>
      <c r="B146">
        <v>14.1</v>
      </c>
      <c r="C146">
        <v>14.33</v>
      </c>
      <c r="D146">
        <v>14.06</v>
      </c>
      <c r="E146">
        <v>14.16</v>
      </c>
      <c r="F146">
        <v>770314</v>
      </c>
    </row>
    <row r="147" spans="1:6">
      <c r="A147" s="39">
        <v>42353</v>
      </c>
      <c r="B147">
        <v>14.24</v>
      </c>
      <c r="C147">
        <v>14.49</v>
      </c>
      <c r="D147">
        <v>14.2</v>
      </c>
      <c r="E147">
        <v>14.25</v>
      </c>
      <c r="F147">
        <v>1049391</v>
      </c>
    </row>
    <row r="148" spans="1:6">
      <c r="A148" s="39">
        <v>42354</v>
      </c>
      <c r="B148">
        <v>14.19</v>
      </c>
      <c r="C148">
        <v>14.21</v>
      </c>
      <c r="D148">
        <v>14</v>
      </c>
      <c r="E148">
        <v>14.07</v>
      </c>
      <c r="F148">
        <v>1486517</v>
      </c>
    </row>
    <row r="149" spans="1:6">
      <c r="A149" s="39">
        <v>42355</v>
      </c>
      <c r="B149">
        <v>14.1</v>
      </c>
      <c r="C149">
        <v>14.5</v>
      </c>
      <c r="D149">
        <v>13.86</v>
      </c>
      <c r="E149">
        <v>13.92</v>
      </c>
      <c r="F149">
        <v>411444</v>
      </c>
    </row>
    <row r="150" spans="1:6">
      <c r="A150" s="39">
        <v>42356</v>
      </c>
      <c r="B150">
        <v>14</v>
      </c>
      <c r="C150">
        <v>14.19</v>
      </c>
      <c r="D150">
        <v>13.95</v>
      </c>
      <c r="E150">
        <v>13.98</v>
      </c>
      <c r="F150">
        <v>978119</v>
      </c>
    </row>
    <row r="151" spans="1:6">
      <c r="A151" s="39">
        <v>42359</v>
      </c>
      <c r="B151">
        <v>13.88</v>
      </c>
      <c r="C151">
        <v>14.02</v>
      </c>
      <c r="D151">
        <v>13.84</v>
      </c>
      <c r="E151">
        <v>13.93</v>
      </c>
      <c r="F151">
        <v>347317</v>
      </c>
    </row>
    <row r="152" spans="1:6">
      <c r="A152" s="39">
        <v>42360</v>
      </c>
      <c r="B152">
        <v>13.9</v>
      </c>
      <c r="C152">
        <v>14</v>
      </c>
      <c r="D152">
        <v>13.87</v>
      </c>
      <c r="E152">
        <v>13.9</v>
      </c>
      <c r="F152">
        <v>499315</v>
      </c>
    </row>
    <row r="153" spans="1:6">
      <c r="A153" s="39">
        <v>42361</v>
      </c>
      <c r="B153">
        <v>14.09</v>
      </c>
      <c r="C153">
        <v>14.3</v>
      </c>
      <c r="D153">
        <v>14.04</v>
      </c>
      <c r="E153">
        <v>14.26</v>
      </c>
      <c r="F153">
        <v>657139</v>
      </c>
    </row>
    <row r="154" spans="1:6">
      <c r="A154" s="39">
        <v>42362</v>
      </c>
      <c r="B154">
        <v>14.28</v>
      </c>
      <c r="C154">
        <v>14.33</v>
      </c>
      <c r="D154">
        <v>14.24</v>
      </c>
      <c r="E154">
        <v>14.29</v>
      </c>
      <c r="F154">
        <v>106780</v>
      </c>
    </row>
    <row r="155" spans="1:6">
      <c r="A155" s="39">
        <v>42366</v>
      </c>
      <c r="B155">
        <v>14.12</v>
      </c>
      <c r="C155">
        <v>14.16</v>
      </c>
      <c r="D155">
        <v>14.04</v>
      </c>
      <c r="E155">
        <v>14.07</v>
      </c>
      <c r="F155">
        <v>855553</v>
      </c>
    </row>
    <row r="156" spans="1:6">
      <c r="A156" s="39">
        <v>42367</v>
      </c>
      <c r="B156">
        <v>14.29</v>
      </c>
      <c r="C156">
        <v>14.38</v>
      </c>
      <c r="D156">
        <v>14.25</v>
      </c>
      <c r="E156">
        <v>14.34</v>
      </c>
      <c r="F156">
        <v>1328623</v>
      </c>
    </row>
    <row r="157" spans="1:6">
      <c r="A157" s="39">
        <v>42368</v>
      </c>
      <c r="B157">
        <v>14.19</v>
      </c>
      <c r="C157">
        <v>14.19</v>
      </c>
      <c r="D157">
        <v>14.04</v>
      </c>
      <c r="E157">
        <v>14.11</v>
      </c>
      <c r="F157">
        <v>1629656</v>
      </c>
    </row>
    <row r="158" spans="1:6">
      <c r="A158" s="39">
        <v>42369</v>
      </c>
      <c r="B158">
        <v>14.04</v>
      </c>
      <c r="C158">
        <v>14.38</v>
      </c>
      <c r="D158">
        <v>14.04</v>
      </c>
      <c r="E158">
        <v>14.23</v>
      </c>
      <c r="F158">
        <v>3796511</v>
      </c>
    </row>
    <row r="159" spans="1:6">
      <c r="A159" s="39">
        <v>42373</v>
      </c>
      <c r="B159">
        <v>14.37</v>
      </c>
      <c r="C159">
        <v>14.48</v>
      </c>
      <c r="D159">
        <v>14.04</v>
      </c>
      <c r="E159">
        <v>14.12</v>
      </c>
      <c r="F159">
        <v>359527</v>
      </c>
    </row>
    <row r="160" spans="1:6">
      <c r="A160" s="39">
        <v>42374</v>
      </c>
      <c r="B160">
        <v>14.07</v>
      </c>
      <c r="C160">
        <v>14.1</v>
      </c>
      <c r="D160">
        <v>13.96</v>
      </c>
      <c r="E160">
        <v>13.98</v>
      </c>
      <c r="F160">
        <v>137735</v>
      </c>
    </row>
    <row r="161" spans="1:6">
      <c r="A161" s="39">
        <v>42375</v>
      </c>
      <c r="B161">
        <v>13.69</v>
      </c>
      <c r="C161">
        <v>13.78</v>
      </c>
      <c r="D161">
        <v>13.55</v>
      </c>
      <c r="E161">
        <v>13.57</v>
      </c>
      <c r="F161">
        <v>234984</v>
      </c>
    </row>
    <row r="162" spans="1:6">
      <c r="A162" s="39">
        <v>42376</v>
      </c>
      <c r="B162">
        <v>13.42</v>
      </c>
      <c r="C162">
        <v>13.68</v>
      </c>
      <c r="D162">
        <v>13.37</v>
      </c>
      <c r="E162">
        <v>13.44</v>
      </c>
      <c r="F162">
        <v>236783</v>
      </c>
    </row>
    <row r="163" spans="1:6">
      <c r="A163" s="39">
        <v>42377</v>
      </c>
      <c r="B163">
        <v>13.51</v>
      </c>
      <c r="C163">
        <v>13.51</v>
      </c>
      <c r="D163">
        <v>13.36</v>
      </c>
      <c r="E163">
        <v>13.42</v>
      </c>
      <c r="F163">
        <v>552352</v>
      </c>
    </row>
    <row r="164" spans="1:6">
      <c r="A164" s="39">
        <v>42380</v>
      </c>
      <c r="B164">
        <v>13.33</v>
      </c>
      <c r="C164">
        <v>13.34</v>
      </c>
      <c r="D164">
        <v>12.95</v>
      </c>
      <c r="E164">
        <v>12.96</v>
      </c>
      <c r="F164">
        <v>265497</v>
      </c>
    </row>
    <row r="165" spans="1:6">
      <c r="A165" s="39">
        <v>42381</v>
      </c>
      <c r="B165">
        <v>13.08</v>
      </c>
      <c r="C165">
        <v>13.14</v>
      </c>
      <c r="D165">
        <v>12.76</v>
      </c>
      <c r="E165">
        <v>12.93</v>
      </c>
      <c r="F165">
        <v>143828</v>
      </c>
    </row>
    <row r="166" spans="1:6">
      <c r="A166" s="39">
        <v>42382</v>
      </c>
      <c r="B166">
        <v>12.97</v>
      </c>
      <c r="C166">
        <v>13.08</v>
      </c>
      <c r="D166">
        <v>12.76</v>
      </c>
      <c r="E166">
        <v>12.83</v>
      </c>
      <c r="F166">
        <v>862272</v>
      </c>
    </row>
    <row r="167" spans="1:6">
      <c r="A167" s="39">
        <v>42383</v>
      </c>
      <c r="B167">
        <v>12.81</v>
      </c>
      <c r="C167">
        <v>12.94</v>
      </c>
      <c r="D167">
        <v>12.73</v>
      </c>
      <c r="E167">
        <v>12.89</v>
      </c>
      <c r="F167">
        <v>175073</v>
      </c>
    </row>
    <row r="168" spans="1:6">
      <c r="A168" s="39">
        <v>42384</v>
      </c>
      <c r="B168">
        <v>12.59</v>
      </c>
      <c r="C168">
        <v>12.67</v>
      </c>
      <c r="D168">
        <v>12.45</v>
      </c>
      <c r="E168">
        <v>12.55</v>
      </c>
      <c r="F168">
        <v>127831</v>
      </c>
    </row>
    <row r="169" spans="1:6">
      <c r="A169" s="39">
        <v>42388</v>
      </c>
      <c r="B169">
        <v>12.56</v>
      </c>
      <c r="C169">
        <v>12.63</v>
      </c>
      <c r="D169">
        <v>12.41</v>
      </c>
      <c r="E169">
        <v>12.42</v>
      </c>
      <c r="F169">
        <v>312014</v>
      </c>
    </row>
    <row r="170" spans="1:6">
      <c r="A170" s="39">
        <v>42389</v>
      </c>
      <c r="B170">
        <v>12.27</v>
      </c>
      <c r="C170">
        <v>12.32</v>
      </c>
      <c r="D170">
        <v>12.03</v>
      </c>
      <c r="E170">
        <v>12.28</v>
      </c>
      <c r="F170">
        <v>408312</v>
      </c>
    </row>
    <row r="171" spans="1:6">
      <c r="A171" s="39">
        <v>42390</v>
      </c>
      <c r="B171">
        <v>12.28</v>
      </c>
      <c r="C171">
        <v>12.59</v>
      </c>
      <c r="D171">
        <v>12.17</v>
      </c>
      <c r="E171">
        <v>12.53</v>
      </c>
      <c r="F171">
        <v>784169</v>
      </c>
    </row>
    <row r="172" spans="1:6">
      <c r="A172" s="39">
        <v>42391</v>
      </c>
      <c r="B172">
        <v>12.92</v>
      </c>
      <c r="C172">
        <v>13.02</v>
      </c>
      <c r="D172">
        <v>12.81</v>
      </c>
      <c r="E172">
        <v>13.02</v>
      </c>
      <c r="F172">
        <v>1624391</v>
      </c>
    </row>
    <row r="173" spans="1:6">
      <c r="A173" s="39">
        <v>42394</v>
      </c>
      <c r="B173">
        <v>12.83</v>
      </c>
      <c r="C173">
        <v>12.94</v>
      </c>
      <c r="D173">
        <v>12.57</v>
      </c>
      <c r="E173">
        <v>12.59</v>
      </c>
      <c r="F173">
        <v>175154</v>
      </c>
    </row>
    <row r="174" spans="1:6">
      <c r="A174" s="39">
        <v>42395</v>
      </c>
      <c r="B174">
        <v>12.77</v>
      </c>
      <c r="C174">
        <v>13.08</v>
      </c>
      <c r="D174">
        <v>12.76</v>
      </c>
      <c r="E174">
        <v>12.87</v>
      </c>
      <c r="F174">
        <v>500222</v>
      </c>
    </row>
    <row r="175" spans="1:6">
      <c r="A175" s="39">
        <v>42396</v>
      </c>
      <c r="B175">
        <v>12.87</v>
      </c>
      <c r="C175">
        <v>13.19</v>
      </c>
      <c r="D175">
        <v>12.81</v>
      </c>
      <c r="E175">
        <v>13.07</v>
      </c>
      <c r="F175">
        <v>410215</v>
      </c>
    </row>
    <row r="176" spans="1:6">
      <c r="A176" s="39">
        <v>42397</v>
      </c>
      <c r="B176">
        <v>13.45</v>
      </c>
      <c r="C176">
        <v>13.45</v>
      </c>
      <c r="D176">
        <v>13.2</v>
      </c>
      <c r="E176">
        <v>13.38</v>
      </c>
      <c r="F176">
        <v>268445</v>
      </c>
    </row>
    <row r="177" spans="1:6">
      <c r="A177" s="39">
        <v>42398</v>
      </c>
      <c r="B177">
        <v>13.43</v>
      </c>
      <c r="C177">
        <v>13.51</v>
      </c>
      <c r="D177">
        <v>13.24</v>
      </c>
      <c r="E177">
        <v>13.48</v>
      </c>
      <c r="F177">
        <v>1919613</v>
      </c>
    </row>
    <row r="178" spans="1:6">
      <c r="A178" s="39">
        <v>42401</v>
      </c>
      <c r="B178">
        <v>13.26</v>
      </c>
      <c r="C178">
        <v>13.26</v>
      </c>
      <c r="D178">
        <v>13.02</v>
      </c>
      <c r="E178">
        <v>13.08</v>
      </c>
      <c r="F178">
        <v>636692</v>
      </c>
    </row>
    <row r="179" spans="1:6">
      <c r="A179" s="39">
        <v>42402</v>
      </c>
      <c r="B179">
        <v>12.77</v>
      </c>
      <c r="C179">
        <v>12.88</v>
      </c>
      <c r="D179">
        <v>12.7</v>
      </c>
      <c r="E179">
        <v>12.78</v>
      </c>
      <c r="F179">
        <v>434824</v>
      </c>
    </row>
    <row r="180" spans="1:6">
      <c r="A180" s="39">
        <v>42403</v>
      </c>
      <c r="B180">
        <v>13.01</v>
      </c>
      <c r="C180">
        <v>13.27</v>
      </c>
      <c r="D180">
        <v>12.79</v>
      </c>
      <c r="E180">
        <v>13.26</v>
      </c>
      <c r="F180">
        <v>407195</v>
      </c>
    </row>
    <row r="181" spans="1:6">
      <c r="A181" s="39">
        <v>42404</v>
      </c>
      <c r="B181">
        <v>13.42</v>
      </c>
      <c r="C181">
        <v>13.48</v>
      </c>
      <c r="D181">
        <v>13.1</v>
      </c>
      <c r="E181">
        <v>13.14</v>
      </c>
      <c r="F181">
        <v>279874</v>
      </c>
    </row>
    <row r="182" spans="1:6">
      <c r="A182" s="39">
        <v>42405</v>
      </c>
      <c r="B182">
        <v>13.06</v>
      </c>
      <c r="C182">
        <v>13.16</v>
      </c>
      <c r="D182">
        <v>12.9</v>
      </c>
      <c r="E182">
        <v>12.99</v>
      </c>
      <c r="F182">
        <v>695087</v>
      </c>
    </row>
    <row r="183" spans="1:6">
      <c r="A183" s="39">
        <v>42408</v>
      </c>
      <c r="B183">
        <v>12.95</v>
      </c>
      <c r="C183">
        <v>12.95</v>
      </c>
      <c r="D183">
        <v>12.74</v>
      </c>
      <c r="E183">
        <v>12.8</v>
      </c>
      <c r="F183">
        <v>157353</v>
      </c>
    </row>
    <row r="184" spans="1:6">
      <c r="A184" s="39">
        <v>42409</v>
      </c>
      <c r="B184">
        <v>12.65</v>
      </c>
      <c r="C184">
        <v>12.74</v>
      </c>
      <c r="D184">
        <v>12.31</v>
      </c>
      <c r="E184">
        <v>12.43</v>
      </c>
      <c r="F184">
        <v>164120</v>
      </c>
    </row>
    <row r="185" spans="1:6">
      <c r="A185" s="39">
        <v>42410</v>
      </c>
      <c r="B185">
        <v>12.31</v>
      </c>
      <c r="C185">
        <v>12.55</v>
      </c>
      <c r="D185">
        <v>12.3</v>
      </c>
      <c r="E185">
        <v>12.33</v>
      </c>
      <c r="F185">
        <v>339447</v>
      </c>
    </row>
    <row r="186" spans="1:6">
      <c r="A186" s="39">
        <v>42411</v>
      </c>
      <c r="B186">
        <v>12.29</v>
      </c>
      <c r="C186">
        <v>12.44</v>
      </c>
      <c r="D186">
        <v>12.2</v>
      </c>
      <c r="E186">
        <v>12.43</v>
      </c>
      <c r="F186">
        <v>290383</v>
      </c>
    </row>
    <row r="187" spans="1:6">
      <c r="A187" s="39">
        <v>42412</v>
      </c>
      <c r="B187">
        <v>12.57</v>
      </c>
      <c r="C187">
        <v>12.78</v>
      </c>
      <c r="D187">
        <v>12.46</v>
      </c>
      <c r="E187">
        <v>12.72</v>
      </c>
      <c r="F187">
        <v>220579</v>
      </c>
    </row>
    <row r="188" spans="1:6">
      <c r="A188" s="39">
        <v>42416</v>
      </c>
      <c r="B188">
        <v>12.82</v>
      </c>
      <c r="C188">
        <v>12.85</v>
      </c>
      <c r="D188">
        <v>12.58</v>
      </c>
      <c r="E188">
        <v>12.63</v>
      </c>
      <c r="F188">
        <v>254258</v>
      </c>
    </row>
    <row r="189" spans="1:6">
      <c r="A189" s="39">
        <v>42417</v>
      </c>
      <c r="B189">
        <v>12.73</v>
      </c>
      <c r="C189">
        <v>13.11</v>
      </c>
      <c r="D189">
        <v>12.72</v>
      </c>
      <c r="E189">
        <v>12.99</v>
      </c>
      <c r="F189">
        <v>135977</v>
      </c>
    </row>
    <row r="190" spans="1:6">
      <c r="A190" s="39">
        <v>42418</v>
      </c>
      <c r="B190">
        <v>13.19</v>
      </c>
      <c r="C190">
        <v>13.19</v>
      </c>
      <c r="D190">
        <v>12.92</v>
      </c>
      <c r="E190">
        <v>12.93</v>
      </c>
      <c r="F190">
        <v>113845</v>
      </c>
    </row>
    <row r="191" spans="1:6">
      <c r="A191" s="39">
        <v>42419</v>
      </c>
      <c r="B191">
        <v>12.84</v>
      </c>
      <c r="C191">
        <v>12.86</v>
      </c>
      <c r="D191">
        <v>12.68</v>
      </c>
      <c r="E191">
        <v>12.81</v>
      </c>
      <c r="F191">
        <v>101169</v>
      </c>
    </row>
    <row r="192" spans="1:6">
      <c r="A192" s="39">
        <v>42422</v>
      </c>
      <c r="B192">
        <v>13.05</v>
      </c>
      <c r="C192">
        <v>13.12</v>
      </c>
      <c r="D192">
        <v>13</v>
      </c>
      <c r="E192">
        <v>13.06</v>
      </c>
      <c r="F192">
        <v>201931</v>
      </c>
    </row>
    <row r="193" spans="1:6">
      <c r="A193" s="39">
        <v>42423</v>
      </c>
      <c r="B193">
        <v>12.98</v>
      </c>
      <c r="C193">
        <v>12.98</v>
      </c>
      <c r="D193">
        <v>12.74</v>
      </c>
      <c r="E193">
        <v>12.8</v>
      </c>
      <c r="F193">
        <v>57242</v>
      </c>
    </row>
    <row r="194" spans="1:6">
      <c r="A194" s="39">
        <v>42424</v>
      </c>
      <c r="B194">
        <v>12.63</v>
      </c>
      <c r="C194">
        <v>13</v>
      </c>
      <c r="D194">
        <v>12.6</v>
      </c>
      <c r="E194">
        <v>12.98</v>
      </c>
      <c r="F194">
        <v>93543</v>
      </c>
    </row>
    <row r="195" spans="1:6">
      <c r="A195" s="39">
        <v>42425</v>
      </c>
      <c r="B195">
        <v>12.91</v>
      </c>
      <c r="C195">
        <v>13.12</v>
      </c>
      <c r="D195">
        <v>12.72</v>
      </c>
      <c r="E195">
        <v>13.05</v>
      </c>
      <c r="F195">
        <v>138919</v>
      </c>
    </row>
    <row r="196" spans="1:6">
      <c r="A196" s="39">
        <v>42426</v>
      </c>
      <c r="B196">
        <v>13.29</v>
      </c>
      <c r="C196">
        <v>13.35</v>
      </c>
      <c r="D196">
        <v>12.97</v>
      </c>
      <c r="E196">
        <v>13.03</v>
      </c>
      <c r="F196">
        <v>100484</v>
      </c>
    </row>
    <row r="197" spans="1:6">
      <c r="A197" s="39">
        <v>42429</v>
      </c>
      <c r="B197">
        <v>13.11</v>
      </c>
      <c r="C197">
        <v>13.22</v>
      </c>
      <c r="D197">
        <v>13.07</v>
      </c>
      <c r="E197">
        <v>13.2</v>
      </c>
      <c r="F197">
        <v>1508370</v>
      </c>
    </row>
    <row r="198" spans="1:6">
      <c r="A198" s="39">
        <v>42430</v>
      </c>
      <c r="B198">
        <v>13.15</v>
      </c>
      <c r="C198">
        <v>13.29</v>
      </c>
      <c r="D198">
        <v>13.07</v>
      </c>
      <c r="E198">
        <v>13.24</v>
      </c>
      <c r="F198">
        <v>381810</v>
      </c>
    </row>
    <row r="199" spans="1:6">
      <c r="A199" s="39">
        <v>42431</v>
      </c>
      <c r="B199">
        <v>13.19</v>
      </c>
      <c r="C199">
        <v>13.37</v>
      </c>
      <c r="D199">
        <v>13.12</v>
      </c>
      <c r="E199">
        <v>13.34</v>
      </c>
      <c r="F199">
        <v>213396</v>
      </c>
    </row>
    <row r="200" spans="1:6">
      <c r="A200" s="39">
        <v>42432</v>
      </c>
      <c r="B200">
        <v>13.23</v>
      </c>
      <c r="C200">
        <v>13.38</v>
      </c>
      <c r="D200">
        <v>13.21</v>
      </c>
      <c r="E200">
        <v>13.35</v>
      </c>
      <c r="F200">
        <v>191589</v>
      </c>
    </row>
    <row r="201" spans="1:6">
      <c r="A201" s="39">
        <v>42433</v>
      </c>
      <c r="B201">
        <v>13.44</v>
      </c>
      <c r="C201">
        <v>13.7</v>
      </c>
      <c r="D201">
        <v>13.37</v>
      </c>
      <c r="E201">
        <v>13.7</v>
      </c>
      <c r="F201">
        <v>195576</v>
      </c>
    </row>
    <row r="202" spans="1:6">
      <c r="A202" s="39">
        <v>42436</v>
      </c>
      <c r="B202">
        <v>13.76</v>
      </c>
      <c r="C202">
        <v>14.08</v>
      </c>
      <c r="D202">
        <v>13.73</v>
      </c>
      <c r="E202">
        <v>14.05</v>
      </c>
      <c r="F202">
        <v>318629</v>
      </c>
    </row>
    <row r="203" spans="1:6">
      <c r="A203" s="39">
        <v>42437</v>
      </c>
      <c r="B203">
        <v>14.05</v>
      </c>
      <c r="C203">
        <v>14.05</v>
      </c>
      <c r="D203">
        <v>13.76</v>
      </c>
      <c r="E203">
        <v>13.78</v>
      </c>
      <c r="F203">
        <v>364059</v>
      </c>
    </row>
    <row r="204" spans="1:6">
      <c r="A204" s="39">
        <v>42438</v>
      </c>
      <c r="B204">
        <v>13.94</v>
      </c>
      <c r="C204">
        <v>14.18</v>
      </c>
      <c r="D204">
        <v>13.91</v>
      </c>
      <c r="E204">
        <v>14.15</v>
      </c>
      <c r="F204">
        <v>7435916</v>
      </c>
    </row>
    <row r="205" spans="1:6">
      <c r="A205" s="39">
        <v>42439</v>
      </c>
      <c r="B205">
        <v>14</v>
      </c>
      <c r="C205">
        <v>14.12</v>
      </c>
      <c r="D205">
        <v>13.91</v>
      </c>
      <c r="E205">
        <v>14.04</v>
      </c>
      <c r="F205">
        <v>497414</v>
      </c>
    </row>
    <row r="206" spans="1:6">
      <c r="A206" s="39">
        <v>42440</v>
      </c>
      <c r="B206">
        <v>14.17</v>
      </c>
      <c r="C206">
        <v>14.26</v>
      </c>
      <c r="D206">
        <v>14.11</v>
      </c>
      <c r="E206">
        <v>14.16</v>
      </c>
      <c r="F206">
        <v>140064</v>
      </c>
    </row>
    <row r="207" spans="1:6">
      <c r="A207" s="39">
        <v>42443</v>
      </c>
      <c r="B207">
        <v>13.97</v>
      </c>
      <c r="C207">
        <v>14.02</v>
      </c>
      <c r="D207">
        <v>13.85</v>
      </c>
      <c r="E207">
        <v>14</v>
      </c>
      <c r="F207">
        <v>151067</v>
      </c>
    </row>
    <row r="208" spans="1:6">
      <c r="A208" s="39">
        <v>42444</v>
      </c>
      <c r="B208">
        <v>13.89</v>
      </c>
      <c r="C208">
        <v>13.89</v>
      </c>
      <c r="D208">
        <v>13.79</v>
      </c>
      <c r="E208">
        <v>13.87</v>
      </c>
      <c r="F208">
        <v>324796</v>
      </c>
    </row>
    <row r="209" spans="1:6">
      <c r="A209" s="39">
        <v>42445</v>
      </c>
      <c r="B209">
        <v>13.98</v>
      </c>
      <c r="C209">
        <v>14.19</v>
      </c>
      <c r="D209">
        <v>13.94</v>
      </c>
      <c r="E209">
        <v>14.19</v>
      </c>
      <c r="F209">
        <v>191884</v>
      </c>
    </row>
    <row r="210" spans="1:6">
      <c r="A210" s="39">
        <v>42446</v>
      </c>
      <c r="B210">
        <v>14.35</v>
      </c>
      <c r="C210">
        <v>14.42</v>
      </c>
      <c r="D210">
        <v>14.19</v>
      </c>
      <c r="E210">
        <v>14.38</v>
      </c>
      <c r="F210">
        <v>5305289</v>
      </c>
    </row>
    <row r="211" spans="1:6">
      <c r="A211" s="39">
        <v>42447</v>
      </c>
      <c r="B211">
        <v>14.47</v>
      </c>
      <c r="C211">
        <v>14.54</v>
      </c>
      <c r="D211">
        <v>14.28</v>
      </c>
      <c r="E211">
        <v>14.31</v>
      </c>
      <c r="F211">
        <v>678340</v>
      </c>
    </row>
    <row r="212" spans="1:6">
      <c r="A212" s="39">
        <v>42450</v>
      </c>
      <c r="B212">
        <v>14.32</v>
      </c>
      <c r="C212">
        <v>14.4</v>
      </c>
      <c r="D212">
        <v>14.22</v>
      </c>
      <c r="E212">
        <v>14.37</v>
      </c>
      <c r="F212">
        <v>829438</v>
      </c>
    </row>
    <row r="213" spans="1:6">
      <c r="A213" s="39">
        <v>42451</v>
      </c>
      <c r="B213">
        <v>14.28</v>
      </c>
      <c r="C213">
        <v>14.41</v>
      </c>
      <c r="D213">
        <v>14.28</v>
      </c>
      <c r="E213">
        <v>14.4</v>
      </c>
      <c r="F213">
        <v>106579</v>
      </c>
    </row>
    <row r="214" spans="1:6">
      <c r="A214" s="39">
        <v>42452</v>
      </c>
      <c r="B214">
        <v>14.19</v>
      </c>
      <c r="C214">
        <v>14.26</v>
      </c>
      <c r="D214">
        <v>14.01</v>
      </c>
      <c r="E214">
        <v>14.04</v>
      </c>
      <c r="F214">
        <v>135962</v>
      </c>
    </row>
    <row r="215" spans="1:6">
      <c r="A215" s="39">
        <v>42453</v>
      </c>
      <c r="B215">
        <v>13.8</v>
      </c>
      <c r="C215">
        <v>14</v>
      </c>
      <c r="D215">
        <v>13.77</v>
      </c>
      <c r="E215">
        <v>13.99</v>
      </c>
      <c r="F215">
        <v>446276</v>
      </c>
    </row>
    <row r="216" spans="1:6">
      <c r="A216" s="39">
        <v>42457</v>
      </c>
      <c r="B216">
        <v>13.96</v>
      </c>
      <c r="C216">
        <v>13.98</v>
      </c>
      <c r="D216">
        <v>13.88</v>
      </c>
      <c r="E216">
        <v>13.98</v>
      </c>
      <c r="F216">
        <v>685636</v>
      </c>
    </row>
    <row r="217" spans="1:6">
      <c r="A217" s="39">
        <v>42458</v>
      </c>
      <c r="B217">
        <v>13.78</v>
      </c>
      <c r="C217">
        <v>13.88</v>
      </c>
      <c r="D217">
        <v>13.72</v>
      </c>
      <c r="E217">
        <v>13.88</v>
      </c>
      <c r="F217">
        <v>135408</v>
      </c>
    </row>
    <row r="218" spans="1:6">
      <c r="A218" s="39">
        <v>42459</v>
      </c>
      <c r="B218">
        <v>14.01</v>
      </c>
      <c r="C218">
        <v>14.06</v>
      </c>
      <c r="D218">
        <v>13.76</v>
      </c>
      <c r="E218">
        <v>13.77</v>
      </c>
      <c r="F218">
        <v>181690</v>
      </c>
    </row>
    <row r="219" spans="1:6">
      <c r="A219" s="39">
        <v>42460</v>
      </c>
      <c r="B219">
        <v>13.77</v>
      </c>
      <c r="C219">
        <v>13.9</v>
      </c>
      <c r="D219">
        <v>13.71</v>
      </c>
      <c r="E219">
        <v>13.79</v>
      </c>
      <c r="F219">
        <v>664469</v>
      </c>
    </row>
    <row r="220" spans="1:6">
      <c r="A220" s="39">
        <v>42461</v>
      </c>
      <c r="B220">
        <v>13.53</v>
      </c>
      <c r="C220">
        <v>13.55</v>
      </c>
      <c r="D220">
        <v>13.47</v>
      </c>
      <c r="E220">
        <v>13.51</v>
      </c>
      <c r="F220">
        <v>117346</v>
      </c>
    </row>
    <row r="221" spans="1:6">
      <c r="A221" s="39">
        <v>42464</v>
      </c>
      <c r="B221">
        <v>13.46</v>
      </c>
      <c r="C221">
        <v>13.56</v>
      </c>
      <c r="D221">
        <v>13.25</v>
      </c>
      <c r="E221">
        <v>13.29</v>
      </c>
      <c r="F221">
        <v>324372</v>
      </c>
    </row>
    <row r="222" spans="1:6">
      <c r="A222" s="39">
        <v>42465</v>
      </c>
      <c r="B222">
        <v>13.26</v>
      </c>
      <c r="C222">
        <v>13.3</v>
      </c>
      <c r="D222">
        <v>13.19</v>
      </c>
      <c r="E222">
        <v>13.28</v>
      </c>
      <c r="F222">
        <v>416763</v>
      </c>
    </row>
    <row r="223" spans="1:6">
      <c r="A223" s="39">
        <v>42466</v>
      </c>
      <c r="B223">
        <v>13.35</v>
      </c>
      <c r="C223">
        <v>13.59</v>
      </c>
      <c r="D223">
        <v>13.33</v>
      </c>
      <c r="E223">
        <v>13.55</v>
      </c>
      <c r="F223">
        <v>165112</v>
      </c>
    </row>
    <row r="224" spans="1:6">
      <c r="A224" s="39">
        <v>42467</v>
      </c>
      <c r="B224">
        <v>13.48</v>
      </c>
      <c r="C224">
        <v>13.52</v>
      </c>
      <c r="D224">
        <v>13.36</v>
      </c>
      <c r="E224">
        <v>13.51</v>
      </c>
      <c r="F224">
        <v>76492</v>
      </c>
    </row>
    <row r="225" spans="1:6">
      <c r="A225" s="39">
        <v>42468</v>
      </c>
      <c r="B225">
        <v>13.82</v>
      </c>
      <c r="C225">
        <v>13.96</v>
      </c>
      <c r="D225">
        <v>13.81</v>
      </c>
      <c r="E225">
        <v>13.95</v>
      </c>
      <c r="F225">
        <v>246873</v>
      </c>
    </row>
    <row r="226" spans="1:6">
      <c r="A226" s="39">
        <v>42471</v>
      </c>
      <c r="B226">
        <v>14.02</v>
      </c>
      <c r="C226">
        <v>14.11</v>
      </c>
      <c r="D226">
        <v>13.98</v>
      </c>
      <c r="E226">
        <v>14.06</v>
      </c>
      <c r="F226">
        <v>513588</v>
      </c>
    </row>
    <row r="227" spans="1:6">
      <c r="A227" s="39">
        <v>42472</v>
      </c>
      <c r="B227">
        <v>14.19</v>
      </c>
      <c r="C227">
        <v>14.47</v>
      </c>
      <c r="D227">
        <v>14.16</v>
      </c>
      <c r="E227">
        <v>14.43</v>
      </c>
      <c r="F227">
        <v>234918</v>
      </c>
    </row>
    <row r="228" spans="1:6">
      <c r="A228" s="39">
        <v>42473</v>
      </c>
      <c r="B228">
        <v>14.4</v>
      </c>
      <c r="C228">
        <v>14.55</v>
      </c>
      <c r="D228">
        <v>14.36</v>
      </c>
      <c r="E228">
        <v>14.39</v>
      </c>
      <c r="F228">
        <v>103749</v>
      </c>
    </row>
    <row r="229" spans="1:6">
      <c r="A229" s="39">
        <v>42474</v>
      </c>
      <c r="B229">
        <v>14.42</v>
      </c>
      <c r="C229">
        <v>14.46</v>
      </c>
      <c r="D229">
        <v>14.25</v>
      </c>
      <c r="E229">
        <v>14.33</v>
      </c>
      <c r="F229">
        <v>572129</v>
      </c>
    </row>
    <row r="230" spans="1:6">
      <c r="A230" s="39">
        <v>42475</v>
      </c>
      <c r="B230">
        <v>14.2</v>
      </c>
      <c r="C230">
        <v>14.27</v>
      </c>
      <c r="D230">
        <v>14.05</v>
      </c>
      <c r="E230">
        <v>14.21</v>
      </c>
      <c r="F230">
        <v>2603911</v>
      </c>
    </row>
    <row r="231" spans="1:6">
      <c r="A231" s="39">
        <v>42478</v>
      </c>
      <c r="B231">
        <v>13.92</v>
      </c>
      <c r="C231">
        <v>14.25</v>
      </c>
      <c r="D231">
        <v>13.9</v>
      </c>
      <c r="E231">
        <v>14.2</v>
      </c>
      <c r="F231">
        <v>123075</v>
      </c>
    </row>
    <row r="232" spans="1:6">
      <c r="A232" s="39">
        <v>42479</v>
      </c>
      <c r="B232">
        <v>14.32</v>
      </c>
      <c r="C232">
        <v>14.52</v>
      </c>
      <c r="D232">
        <v>14.32</v>
      </c>
      <c r="E232">
        <v>14.51</v>
      </c>
      <c r="F232">
        <v>101665</v>
      </c>
    </row>
    <row r="233" spans="1:6">
      <c r="A233" s="39">
        <v>42480</v>
      </c>
      <c r="B233">
        <v>14.39</v>
      </c>
      <c r="C233">
        <v>14.9</v>
      </c>
      <c r="D233">
        <v>14.33</v>
      </c>
      <c r="E233">
        <v>14.83</v>
      </c>
      <c r="F233">
        <v>188085</v>
      </c>
    </row>
    <row r="234" spans="1:6">
      <c r="A234" s="39">
        <v>42481</v>
      </c>
      <c r="B234">
        <v>14.9</v>
      </c>
      <c r="C234">
        <v>14.9</v>
      </c>
      <c r="D234">
        <v>14.66</v>
      </c>
      <c r="E234">
        <v>14.76</v>
      </c>
      <c r="F234">
        <v>168142</v>
      </c>
    </row>
    <row r="235" spans="1:6">
      <c r="A235" s="39">
        <v>42482</v>
      </c>
      <c r="B235">
        <v>14.8</v>
      </c>
      <c r="C235">
        <v>14.9</v>
      </c>
      <c r="D235">
        <v>14.64</v>
      </c>
      <c r="E235">
        <v>14.68</v>
      </c>
      <c r="F235">
        <v>113114</v>
      </c>
    </row>
    <row r="236" spans="1:6">
      <c r="A236" s="39">
        <v>42485</v>
      </c>
      <c r="B236">
        <v>14.74</v>
      </c>
      <c r="C236">
        <v>14.74</v>
      </c>
      <c r="D236">
        <v>14.55</v>
      </c>
      <c r="E236">
        <v>14.6</v>
      </c>
      <c r="F236">
        <v>87015</v>
      </c>
    </row>
    <row r="237" spans="1:6">
      <c r="A237" s="39">
        <v>42486</v>
      </c>
      <c r="B237">
        <v>14.71</v>
      </c>
      <c r="C237">
        <v>14.84</v>
      </c>
      <c r="D237">
        <v>14.66</v>
      </c>
      <c r="E237">
        <v>14.84</v>
      </c>
      <c r="F237">
        <v>784522</v>
      </c>
    </row>
    <row r="238" spans="1:6">
      <c r="A238" s="39">
        <v>42487</v>
      </c>
      <c r="B238">
        <v>14.99</v>
      </c>
      <c r="C238">
        <v>15.06</v>
      </c>
      <c r="D238">
        <v>14.75</v>
      </c>
      <c r="E238">
        <v>15.05</v>
      </c>
      <c r="F238">
        <v>186177</v>
      </c>
    </row>
    <row r="239" spans="1:6">
      <c r="A239" s="39">
        <v>42488</v>
      </c>
      <c r="B239">
        <v>15.06</v>
      </c>
      <c r="C239">
        <v>15.19</v>
      </c>
      <c r="D239">
        <v>15.02</v>
      </c>
      <c r="E239">
        <v>15.1</v>
      </c>
      <c r="F239">
        <v>114452</v>
      </c>
    </row>
    <row r="240" spans="1:6">
      <c r="A240" s="39">
        <v>42489</v>
      </c>
      <c r="B240">
        <v>15.25</v>
      </c>
      <c r="C240">
        <v>15.32</v>
      </c>
      <c r="D240">
        <v>15.07</v>
      </c>
      <c r="E240">
        <v>15.22</v>
      </c>
      <c r="F240">
        <v>3355540</v>
      </c>
    </row>
    <row r="241" spans="1:6">
      <c r="A241" s="39">
        <v>42492</v>
      </c>
      <c r="B241">
        <v>15.17</v>
      </c>
      <c r="C241">
        <v>15.17</v>
      </c>
      <c r="D241">
        <v>14.93</v>
      </c>
      <c r="E241">
        <v>14.97</v>
      </c>
      <c r="F241">
        <v>265738</v>
      </c>
    </row>
    <row r="242" spans="1:6">
      <c r="A242" s="39">
        <v>42493</v>
      </c>
      <c r="B242">
        <v>14.88</v>
      </c>
      <c r="C242">
        <v>14.88</v>
      </c>
      <c r="D242">
        <v>14.64</v>
      </c>
      <c r="E242">
        <v>14.7</v>
      </c>
      <c r="F242">
        <v>881940</v>
      </c>
    </row>
    <row r="243" spans="1:6">
      <c r="A243" s="39">
        <v>42494</v>
      </c>
      <c r="B243">
        <v>14.83</v>
      </c>
      <c r="C243">
        <v>14.88</v>
      </c>
      <c r="D243">
        <v>14.57</v>
      </c>
      <c r="E243">
        <v>14.7</v>
      </c>
      <c r="F243">
        <v>150347</v>
      </c>
    </row>
    <row r="244" spans="1:6">
      <c r="A244" s="39">
        <v>42495</v>
      </c>
      <c r="B244">
        <v>14.99</v>
      </c>
      <c r="C244">
        <v>15</v>
      </c>
      <c r="D244">
        <v>14.61</v>
      </c>
      <c r="E244">
        <v>14.67</v>
      </c>
      <c r="F244">
        <v>70349</v>
      </c>
    </row>
    <row r="245" spans="1:6">
      <c r="A245" s="39">
        <v>42496</v>
      </c>
      <c r="B245">
        <v>14.6</v>
      </c>
      <c r="C245">
        <v>14.89</v>
      </c>
      <c r="D245">
        <v>14.6</v>
      </c>
      <c r="E245">
        <v>14.77</v>
      </c>
      <c r="F245">
        <v>110192</v>
      </c>
    </row>
    <row r="246" spans="1:6">
      <c r="A246" s="39">
        <v>42499</v>
      </c>
      <c r="B246">
        <v>14.63</v>
      </c>
      <c r="C246">
        <v>14.63</v>
      </c>
      <c r="D246">
        <v>14.39</v>
      </c>
      <c r="E246">
        <v>14.42</v>
      </c>
      <c r="F246">
        <v>160647</v>
      </c>
    </row>
    <row r="247" spans="1:6">
      <c r="A247" s="39">
        <v>42500</v>
      </c>
      <c r="B247">
        <v>14.5</v>
      </c>
      <c r="C247">
        <v>14.81</v>
      </c>
      <c r="D247">
        <v>14.5</v>
      </c>
      <c r="E247">
        <v>14.8</v>
      </c>
      <c r="F247">
        <v>113757</v>
      </c>
    </row>
    <row r="248" spans="1:6">
      <c r="A248" s="39">
        <v>42501</v>
      </c>
      <c r="B248">
        <v>14.77</v>
      </c>
      <c r="C248">
        <v>15.14</v>
      </c>
      <c r="D248">
        <v>14.73</v>
      </c>
      <c r="E248">
        <v>15.13</v>
      </c>
      <c r="F248">
        <v>170690</v>
      </c>
    </row>
    <row r="249" spans="1:6">
      <c r="A249" s="39">
        <v>42502</v>
      </c>
      <c r="B249">
        <v>15.2</v>
      </c>
      <c r="C249">
        <v>15.22</v>
      </c>
      <c r="D249">
        <v>15</v>
      </c>
      <c r="E249">
        <v>15.18</v>
      </c>
      <c r="F249">
        <v>293240</v>
      </c>
    </row>
    <row r="250" spans="1:6">
      <c r="A250" s="39">
        <v>42503</v>
      </c>
      <c r="B250">
        <v>15.09</v>
      </c>
      <c r="C250">
        <v>15.17</v>
      </c>
      <c r="D250">
        <v>15.03</v>
      </c>
      <c r="E250">
        <v>15.15</v>
      </c>
      <c r="F250">
        <v>62064</v>
      </c>
    </row>
    <row r="251" spans="1:6">
      <c r="A251" s="39">
        <v>42506</v>
      </c>
      <c r="B251">
        <v>15.37</v>
      </c>
      <c r="C251">
        <v>15.44</v>
      </c>
      <c r="D251">
        <v>15.34</v>
      </c>
      <c r="E251">
        <v>15.43</v>
      </c>
      <c r="F251">
        <v>782886</v>
      </c>
    </row>
    <row r="252" spans="1:6">
      <c r="A252" s="39">
        <v>42507</v>
      </c>
      <c r="B252">
        <v>15.4</v>
      </c>
      <c r="C252">
        <v>15.58</v>
      </c>
      <c r="D252">
        <v>15.39</v>
      </c>
      <c r="E252">
        <v>15.58</v>
      </c>
      <c r="F252">
        <v>454976</v>
      </c>
    </row>
    <row r="253" spans="1:6">
      <c r="A253" s="39">
        <v>42508</v>
      </c>
      <c r="B253">
        <v>15.46</v>
      </c>
      <c r="C253">
        <v>15.62</v>
      </c>
      <c r="D253">
        <v>15.37</v>
      </c>
      <c r="E253">
        <v>15.39</v>
      </c>
      <c r="F253">
        <v>408243</v>
      </c>
    </row>
    <row r="254" spans="1:6">
      <c r="A254" s="39">
        <v>42509</v>
      </c>
      <c r="B254">
        <v>15.24</v>
      </c>
      <c r="C254">
        <v>15.38</v>
      </c>
      <c r="D254">
        <v>15.12</v>
      </c>
      <c r="E254">
        <v>15.37</v>
      </c>
      <c r="F254">
        <v>155305</v>
      </c>
    </row>
    <row r="255" spans="1:6">
      <c r="A255" s="39">
        <v>42510</v>
      </c>
      <c r="B255">
        <v>15.4</v>
      </c>
      <c r="C255">
        <v>15.49</v>
      </c>
      <c r="D255">
        <v>15.3</v>
      </c>
      <c r="E255">
        <v>15.39</v>
      </c>
      <c r="F255">
        <v>61403</v>
      </c>
    </row>
    <row r="256" spans="1:6">
      <c r="A256" s="39">
        <v>42513</v>
      </c>
      <c r="B256">
        <v>15.17</v>
      </c>
      <c r="C256">
        <v>15.31</v>
      </c>
      <c r="D256">
        <v>15.13</v>
      </c>
      <c r="E256">
        <v>15.25</v>
      </c>
      <c r="F256">
        <v>323038</v>
      </c>
    </row>
    <row r="257" spans="1:6">
      <c r="A257" s="39">
        <v>42514</v>
      </c>
      <c r="B257">
        <v>15.26</v>
      </c>
      <c r="C257">
        <v>15.42</v>
      </c>
      <c r="D257">
        <v>15.25</v>
      </c>
      <c r="E257">
        <v>15.32</v>
      </c>
      <c r="F257">
        <v>176191</v>
      </c>
    </row>
    <row r="258" spans="1:6">
      <c r="A258" s="39">
        <v>42515</v>
      </c>
      <c r="B258">
        <v>15.4</v>
      </c>
      <c r="C258">
        <v>15.54</v>
      </c>
      <c r="D258">
        <v>15.34</v>
      </c>
      <c r="E258">
        <v>15.51</v>
      </c>
      <c r="F258">
        <v>364413</v>
      </c>
    </row>
    <row r="259" spans="1:6">
      <c r="A259" s="39">
        <v>42516</v>
      </c>
      <c r="B259">
        <v>15.59</v>
      </c>
      <c r="C259">
        <v>15.61</v>
      </c>
      <c r="D259">
        <v>15.44</v>
      </c>
      <c r="E259">
        <v>15.52</v>
      </c>
      <c r="F259">
        <v>200421</v>
      </c>
    </row>
    <row r="260" spans="1:6">
      <c r="A260" s="39">
        <v>42517</v>
      </c>
      <c r="B260">
        <v>15.46</v>
      </c>
      <c r="C260">
        <v>15.58</v>
      </c>
      <c r="D260">
        <v>15.39</v>
      </c>
      <c r="E260">
        <v>15.58</v>
      </c>
      <c r="F260">
        <v>238198</v>
      </c>
    </row>
    <row r="261" spans="1:6">
      <c r="A261" s="39">
        <v>42521</v>
      </c>
      <c r="B261">
        <v>15.6</v>
      </c>
      <c r="C261">
        <v>15.67</v>
      </c>
      <c r="D261">
        <v>15.4</v>
      </c>
      <c r="E261">
        <v>15.42</v>
      </c>
      <c r="F261">
        <v>1705738</v>
      </c>
    </row>
    <row r="262" spans="1:6">
      <c r="A262" s="39">
        <v>42522</v>
      </c>
      <c r="B262">
        <v>15.28</v>
      </c>
      <c r="C262">
        <v>15.58</v>
      </c>
      <c r="D262">
        <v>15.25</v>
      </c>
      <c r="E262">
        <v>15.57</v>
      </c>
      <c r="F262">
        <v>628154</v>
      </c>
    </row>
    <row r="263" spans="1:6">
      <c r="A263" s="39">
        <v>42523</v>
      </c>
      <c r="B263">
        <v>15.47</v>
      </c>
      <c r="C263">
        <v>15.7</v>
      </c>
      <c r="D263">
        <v>15.41</v>
      </c>
      <c r="E263">
        <v>15.62</v>
      </c>
      <c r="F263">
        <v>235302</v>
      </c>
    </row>
    <row r="264" spans="1:6">
      <c r="A264" s="39">
        <v>42524</v>
      </c>
      <c r="B264">
        <v>15.69</v>
      </c>
      <c r="C264">
        <v>15.74</v>
      </c>
      <c r="D264">
        <v>15.55</v>
      </c>
      <c r="E264">
        <v>15.67</v>
      </c>
      <c r="F264">
        <v>344733</v>
      </c>
    </row>
    <row r="265" spans="1:6">
      <c r="A265" s="39">
        <v>42527</v>
      </c>
      <c r="B265">
        <v>15.84</v>
      </c>
      <c r="C265">
        <v>15.9</v>
      </c>
      <c r="D265">
        <v>15.72</v>
      </c>
      <c r="E265">
        <v>15.84</v>
      </c>
      <c r="F265">
        <v>315921</v>
      </c>
    </row>
    <row r="266" spans="1:6">
      <c r="A266" s="39">
        <v>42528</v>
      </c>
      <c r="B266">
        <v>15.85</v>
      </c>
      <c r="C266">
        <v>15.98</v>
      </c>
      <c r="D266">
        <v>15.85</v>
      </c>
      <c r="E266">
        <v>15.97</v>
      </c>
      <c r="F266">
        <v>101141</v>
      </c>
    </row>
    <row r="267" spans="1:6">
      <c r="A267" s="39">
        <v>42529</v>
      </c>
      <c r="B267">
        <v>16.11</v>
      </c>
      <c r="C267">
        <v>16.260000000000002</v>
      </c>
      <c r="D267">
        <v>16.11</v>
      </c>
      <c r="E267">
        <v>16.25</v>
      </c>
      <c r="F267">
        <v>499150</v>
      </c>
    </row>
    <row r="268" spans="1:6">
      <c r="A268" s="39">
        <v>42530</v>
      </c>
      <c r="B268">
        <v>16.05</v>
      </c>
      <c r="C268">
        <v>16.18</v>
      </c>
      <c r="D268">
        <v>16.05</v>
      </c>
      <c r="E268">
        <v>16.149999999999999</v>
      </c>
      <c r="F268">
        <v>242330</v>
      </c>
    </row>
    <row r="269" spans="1:6">
      <c r="A269" s="39">
        <v>42531</v>
      </c>
      <c r="B269">
        <v>15.98</v>
      </c>
      <c r="C269">
        <v>16.02</v>
      </c>
      <c r="D269">
        <v>15.81</v>
      </c>
      <c r="E269">
        <v>15.84</v>
      </c>
      <c r="F269">
        <v>177563</v>
      </c>
    </row>
    <row r="270" spans="1:6">
      <c r="A270" s="39">
        <v>42534</v>
      </c>
      <c r="B270">
        <v>15.77</v>
      </c>
      <c r="C270">
        <v>15.9</v>
      </c>
      <c r="D270">
        <v>15.74</v>
      </c>
      <c r="E270">
        <v>15.77</v>
      </c>
      <c r="F270">
        <v>93309</v>
      </c>
    </row>
    <row r="271" spans="1:6">
      <c r="A271" s="39">
        <v>42535</v>
      </c>
      <c r="B271">
        <v>15.67</v>
      </c>
      <c r="C271">
        <v>15.75</v>
      </c>
      <c r="D271">
        <v>15.6</v>
      </c>
      <c r="E271">
        <v>15.7</v>
      </c>
      <c r="F271">
        <v>103623</v>
      </c>
    </row>
    <row r="272" spans="1:6">
      <c r="A272" s="39">
        <v>42536</v>
      </c>
      <c r="B272">
        <v>15.63</v>
      </c>
      <c r="C272">
        <v>15.75</v>
      </c>
      <c r="D272">
        <v>15.46</v>
      </c>
      <c r="E272">
        <v>15.52</v>
      </c>
      <c r="F272">
        <v>534696</v>
      </c>
    </row>
    <row r="273" spans="1:6">
      <c r="A273" s="39">
        <v>42537</v>
      </c>
      <c r="B273">
        <v>15.48</v>
      </c>
      <c r="C273">
        <v>15.48</v>
      </c>
      <c r="D273">
        <v>15.18</v>
      </c>
      <c r="E273">
        <v>15.2</v>
      </c>
      <c r="F273">
        <v>149484</v>
      </c>
    </row>
    <row r="274" spans="1:6">
      <c r="A274" s="39">
        <v>42538</v>
      </c>
      <c r="B274">
        <v>15.49</v>
      </c>
      <c r="C274">
        <v>15.67</v>
      </c>
      <c r="D274">
        <v>15.46</v>
      </c>
      <c r="E274">
        <v>15.66</v>
      </c>
      <c r="F274">
        <v>215113</v>
      </c>
    </row>
    <row r="275" spans="1:6">
      <c r="A275" s="39">
        <v>42541</v>
      </c>
      <c r="B275">
        <v>15.77</v>
      </c>
      <c r="C275">
        <v>15.87</v>
      </c>
      <c r="D275">
        <v>15.71</v>
      </c>
      <c r="E275">
        <v>15.82</v>
      </c>
      <c r="F275">
        <v>314142</v>
      </c>
    </row>
    <row r="276" spans="1:6">
      <c r="A276" s="39">
        <v>42542</v>
      </c>
      <c r="B276">
        <v>15.7</v>
      </c>
      <c r="C276">
        <v>15.78</v>
      </c>
      <c r="D276">
        <v>15.58</v>
      </c>
      <c r="E276">
        <v>15.75</v>
      </c>
      <c r="F276">
        <v>77847</v>
      </c>
    </row>
    <row r="277" spans="1:6">
      <c r="A277" s="39">
        <v>42543</v>
      </c>
      <c r="B277">
        <v>15.81</v>
      </c>
      <c r="C277">
        <v>15.86</v>
      </c>
      <c r="D277">
        <v>15.51</v>
      </c>
      <c r="E277">
        <v>15.61</v>
      </c>
      <c r="F277">
        <v>229601</v>
      </c>
    </row>
    <row r="278" spans="1:6">
      <c r="A278" s="39">
        <v>42544</v>
      </c>
      <c r="B278">
        <v>15.74</v>
      </c>
      <c r="C278">
        <v>15.79</v>
      </c>
      <c r="D278">
        <v>15.63</v>
      </c>
      <c r="E278">
        <v>15.79</v>
      </c>
      <c r="F278">
        <v>94905</v>
      </c>
    </row>
    <row r="279" spans="1:6">
      <c r="A279" s="39">
        <v>42545</v>
      </c>
      <c r="B279">
        <v>15.19</v>
      </c>
      <c r="C279">
        <v>15.38</v>
      </c>
      <c r="D279">
        <v>15.19</v>
      </c>
      <c r="E279">
        <v>15.3</v>
      </c>
      <c r="F279">
        <v>577664</v>
      </c>
    </row>
    <row r="280" spans="1:6">
      <c r="A280" s="39">
        <v>42548</v>
      </c>
      <c r="B280">
        <v>15.18</v>
      </c>
      <c r="C280">
        <v>15.2</v>
      </c>
      <c r="D280">
        <v>15.02</v>
      </c>
      <c r="E280">
        <v>15.19</v>
      </c>
      <c r="F280">
        <v>439472</v>
      </c>
    </row>
    <row r="281" spans="1:6">
      <c r="A281" s="39">
        <v>42549</v>
      </c>
      <c r="B281">
        <v>15.43</v>
      </c>
      <c r="C281">
        <v>15.46</v>
      </c>
      <c r="D281">
        <v>15.28</v>
      </c>
      <c r="E281">
        <v>15.46</v>
      </c>
      <c r="F281">
        <v>516537</v>
      </c>
    </row>
    <row r="282" spans="1:6">
      <c r="A282" s="39">
        <v>42550</v>
      </c>
      <c r="B282">
        <v>15.51</v>
      </c>
      <c r="C282">
        <v>15.81</v>
      </c>
      <c r="D282">
        <v>15.51</v>
      </c>
      <c r="E282">
        <v>15.69</v>
      </c>
      <c r="F282">
        <v>1429775</v>
      </c>
    </row>
    <row r="283" spans="1:6">
      <c r="A283" s="39">
        <v>42551</v>
      </c>
      <c r="B283">
        <v>15.61</v>
      </c>
      <c r="C283">
        <v>15.69</v>
      </c>
      <c r="D283">
        <v>15.48</v>
      </c>
      <c r="E283">
        <v>15.52</v>
      </c>
      <c r="F283">
        <v>870486</v>
      </c>
    </row>
    <row r="284" spans="1:6">
      <c r="A284" s="39">
        <v>42552</v>
      </c>
      <c r="B284">
        <v>15.49</v>
      </c>
      <c r="C284">
        <v>15.72</v>
      </c>
      <c r="D284">
        <v>15.48</v>
      </c>
      <c r="E284">
        <v>15.71</v>
      </c>
      <c r="F284">
        <v>6641189</v>
      </c>
    </row>
    <row r="285" spans="1:6">
      <c r="A285" s="39">
        <v>42556</v>
      </c>
      <c r="B285">
        <v>15.66</v>
      </c>
      <c r="C285">
        <v>15.66</v>
      </c>
      <c r="D285">
        <v>15.07</v>
      </c>
      <c r="E285">
        <v>15.16</v>
      </c>
      <c r="F285">
        <v>410601</v>
      </c>
    </row>
    <row r="286" spans="1:6">
      <c r="A286" s="39">
        <v>42557</v>
      </c>
      <c r="B286">
        <v>15.01</v>
      </c>
      <c r="C286">
        <v>15.25</v>
      </c>
      <c r="D286">
        <v>14.91</v>
      </c>
      <c r="E286">
        <v>15.23</v>
      </c>
      <c r="F286">
        <v>342045</v>
      </c>
    </row>
    <row r="287" spans="1:6">
      <c r="A287" s="39">
        <v>42558</v>
      </c>
      <c r="B287">
        <v>15.37</v>
      </c>
      <c r="C287">
        <v>15.38</v>
      </c>
      <c r="D287">
        <v>14.7</v>
      </c>
      <c r="E287">
        <v>14.72</v>
      </c>
      <c r="F287">
        <v>402892</v>
      </c>
    </row>
    <row r="288" spans="1:6">
      <c r="A288" s="39">
        <v>42559</v>
      </c>
      <c r="B288">
        <v>14.87</v>
      </c>
      <c r="C288">
        <v>14.95</v>
      </c>
      <c r="D288">
        <v>14.72</v>
      </c>
      <c r="E288">
        <v>14.85</v>
      </c>
      <c r="F288">
        <v>543405</v>
      </c>
    </row>
    <row r="289" spans="1:6">
      <c r="A289" s="39">
        <v>42562</v>
      </c>
      <c r="B289">
        <v>14.92</v>
      </c>
      <c r="C289">
        <v>14.96</v>
      </c>
      <c r="D289">
        <v>14.68</v>
      </c>
      <c r="E289">
        <v>14.7</v>
      </c>
      <c r="F289">
        <v>116449</v>
      </c>
    </row>
    <row r="290" spans="1:6">
      <c r="A290" s="39">
        <v>42563</v>
      </c>
      <c r="B290">
        <v>15.02</v>
      </c>
      <c r="C290">
        <v>15.15</v>
      </c>
      <c r="D290">
        <v>14.87</v>
      </c>
      <c r="E290">
        <v>15.11</v>
      </c>
      <c r="F290">
        <v>249910</v>
      </c>
    </row>
    <row r="291" spans="1:6">
      <c r="A291" s="39">
        <v>42564</v>
      </c>
      <c r="B291">
        <v>15.09</v>
      </c>
      <c r="C291">
        <v>15.13</v>
      </c>
      <c r="D291">
        <v>14.79</v>
      </c>
      <c r="E291">
        <v>14.85</v>
      </c>
      <c r="F291">
        <v>63954</v>
      </c>
    </row>
    <row r="292" spans="1:6">
      <c r="A292" s="39">
        <v>42565</v>
      </c>
      <c r="B292">
        <v>14.97</v>
      </c>
      <c r="C292">
        <v>15.02</v>
      </c>
      <c r="D292">
        <v>14.91</v>
      </c>
      <c r="E292">
        <v>14.92</v>
      </c>
      <c r="F292">
        <v>57427</v>
      </c>
    </row>
    <row r="293" spans="1:6">
      <c r="A293" s="39">
        <v>42566</v>
      </c>
      <c r="B293">
        <v>15</v>
      </c>
      <c r="C293">
        <v>15.07</v>
      </c>
      <c r="D293">
        <v>14.9</v>
      </c>
      <c r="E293">
        <v>14.94</v>
      </c>
      <c r="F293">
        <v>98382</v>
      </c>
    </row>
    <row r="294" spans="1:6">
      <c r="A294" s="39">
        <v>42569</v>
      </c>
      <c r="B294">
        <v>14.74</v>
      </c>
      <c r="C294">
        <v>14.86</v>
      </c>
      <c r="D294">
        <v>14.4</v>
      </c>
      <c r="E294">
        <v>14.83</v>
      </c>
      <c r="F294">
        <v>365236</v>
      </c>
    </row>
    <row r="295" spans="1:6">
      <c r="A295" s="39">
        <v>42570</v>
      </c>
      <c r="B295">
        <v>14.8</v>
      </c>
      <c r="C295">
        <v>14.8</v>
      </c>
      <c r="D295">
        <v>14.67</v>
      </c>
      <c r="E295">
        <v>14.67</v>
      </c>
      <c r="F295">
        <v>204143</v>
      </c>
    </row>
    <row r="296" spans="1:6">
      <c r="A296" s="39">
        <v>42571</v>
      </c>
      <c r="B296">
        <v>14.56</v>
      </c>
      <c r="C296">
        <v>14.73</v>
      </c>
      <c r="D296">
        <v>14.52</v>
      </c>
      <c r="E296">
        <v>14.61</v>
      </c>
      <c r="F296">
        <v>151042</v>
      </c>
    </row>
    <row r="297" spans="1:6">
      <c r="A297" s="39">
        <v>42572</v>
      </c>
      <c r="B297">
        <v>14.55</v>
      </c>
      <c r="C297">
        <v>14.68</v>
      </c>
      <c r="D297">
        <v>14.46</v>
      </c>
      <c r="E297">
        <v>14.48</v>
      </c>
      <c r="F297">
        <v>68152</v>
      </c>
    </row>
    <row r="298" spans="1:6">
      <c r="A298" s="39">
        <v>42573</v>
      </c>
      <c r="B298">
        <v>14.41</v>
      </c>
      <c r="C298">
        <v>14.44</v>
      </c>
      <c r="D298">
        <v>14.31</v>
      </c>
      <c r="E298">
        <v>14.43</v>
      </c>
      <c r="F298">
        <v>353696</v>
      </c>
    </row>
    <row r="299" spans="1:6">
      <c r="A299" s="39">
        <v>42576</v>
      </c>
      <c r="B299">
        <v>14.28</v>
      </c>
      <c r="C299">
        <v>14.31</v>
      </c>
      <c r="D299">
        <v>14.21</v>
      </c>
      <c r="E299">
        <v>14.25</v>
      </c>
      <c r="F299">
        <v>98937</v>
      </c>
    </row>
    <row r="300" spans="1:6">
      <c r="A300" s="39">
        <v>42577</v>
      </c>
      <c r="B300">
        <v>14.21</v>
      </c>
      <c r="C300">
        <v>14.25</v>
      </c>
      <c r="D300">
        <v>14.14</v>
      </c>
      <c r="E300">
        <v>14.21</v>
      </c>
      <c r="F300">
        <v>151189</v>
      </c>
    </row>
    <row r="301" spans="1:6">
      <c r="A301" s="39">
        <v>42578</v>
      </c>
      <c r="B301">
        <v>14.24</v>
      </c>
      <c r="C301">
        <v>14.27</v>
      </c>
      <c r="D301">
        <v>13.97</v>
      </c>
      <c r="E301">
        <v>14.01</v>
      </c>
      <c r="F301">
        <v>780619</v>
      </c>
    </row>
    <row r="302" spans="1:6">
      <c r="A302" s="39">
        <v>42579</v>
      </c>
      <c r="B302">
        <v>14.02</v>
      </c>
      <c r="C302">
        <v>14.04</v>
      </c>
      <c r="D302">
        <v>13.86</v>
      </c>
      <c r="E302">
        <v>13.89</v>
      </c>
      <c r="F302">
        <v>368868</v>
      </c>
    </row>
    <row r="303" spans="1:6">
      <c r="A303" s="39">
        <v>42580</v>
      </c>
      <c r="B303">
        <v>13.85</v>
      </c>
      <c r="C303">
        <v>13.99</v>
      </c>
      <c r="D303">
        <v>13.77</v>
      </c>
      <c r="E303">
        <v>13.96</v>
      </c>
      <c r="F303">
        <v>3972440</v>
      </c>
    </row>
    <row r="304" spans="1:6">
      <c r="A304" s="39">
        <v>42583</v>
      </c>
      <c r="B304">
        <v>13.83</v>
      </c>
      <c r="C304">
        <v>13.93</v>
      </c>
      <c r="D304">
        <v>13.64</v>
      </c>
      <c r="E304">
        <v>13.67</v>
      </c>
      <c r="F304">
        <v>6065910</v>
      </c>
    </row>
    <row r="305" spans="1:6">
      <c r="A305" s="39">
        <v>42584</v>
      </c>
      <c r="B305">
        <v>13.86</v>
      </c>
      <c r="C305">
        <v>13.92</v>
      </c>
      <c r="D305">
        <v>13.56</v>
      </c>
      <c r="E305">
        <v>13.65</v>
      </c>
      <c r="F305">
        <v>1017669</v>
      </c>
    </row>
    <row r="306" spans="1:6">
      <c r="A306" s="39">
        <v>42585</v>
      </c>
      <c r="B306">
        <v>13.68</v>
      </c>
      <c r="C306">
        <v>13.96</v>
      </c>
      <c r="D306">
        <v>13.65</v>
      </c>
      <c r="E306">
        <v>13.96</v>
      </c>
      <c r="F306">
        <v>167887</v>
      </c>
    </row>
    <row r="307" spans="1:6">
      <c r="A307" s="39">
        <v>42586</v>
      </c>
      <c r="B307">
        <v>13.86</v>
      </c>
      <c r="C307">
        <v>14.11</v>
      </c>
      <c r="D307">
        <v>13.79</v>
      </c>
      <c r="E307">
        <v>14.03</v>
      </c>
      <c r="F307">
        <v>375034</v>
      </c>
    </row>
    <row r="308" spans="1:6">
      <c r="A308" s="39">
        <v>42587</v>
      </c>
      <c r="B308">
        <v>14.07</v>
      </c>
      <c r="C308">
        <v>14.13</v>
      </c>
      <c r="D308">
        <v>13.97</v>
      </c>
      <c r="E308">
        <v>14.12</v>
      </c>
      <c r="F308">
        <v>297111</v>
      </c>
    </row>
    <row r="309" spans="1:6">
      <c r="A309" s="39">
        <v>42590</v>
      </c>
      <c r="B309">
        <v>14.26</v>
      </c>
      <c r="C309">
        <v>14.34</v>
      </c>
      <c r="D309">
        <v>14.21</v>
      </c>
      <c r="E309">
        <v>14.26</v>
      </c>
      <c r="F309">
        <v>227016</v>
      </c>
    </row>
    <row r="310" spans="1:6">
      <c r="A310" s="39">
        <v>42591</v>
      </c>
      <c r="B310">
        <v>14.31</v>
      </c>
      <c r="C310">
        <v>14.33</v>
      </c>
      <c r="D310">
        <v>14.15</v>
      </c>
      <c r="E310">
        <v>14.16</v>
      </c>
      <c r="F310">
        <v>605733</v>
      </c>
    </row>
    <row r="311" spans="1:6">
      <c r="A311" s="39">
        <v>42592</v>
      </c>
      <c r="B311">
        <v>14.25</v>
      </c>
      <c r="C311">
        <v>14.34</v>
      </c>
      <c r="D311">
        <v>13.96</v>
      </c>
      <c r="E311">
        <v>13.96</v>
      </c>
      <c r="F311">
        <v>90339</v>
      </c>
    </row>
    <row r="312" spans="1:6">
      <c r="A312" s="39">
        <v>42593</v>
      </c>
      <c r="B312">
        <v>14.06</v>
      </c>
      <c r="C312">
        <v>14.37</v>
      </c>
      <c r="D312">
        <v>14.04</v>
      </c>
      <c r="E312">
        <v>14.3</v>
      </c>
      <c r="F312">
        <v>614115</v>
      </c>
    </row>
    <row r="313" spans="1:6">
      <c r="A313" s="39">
        <v>42594</v>
      </c>
      <c r="B313">
        <v>14.35</v>
      </c>
      <c r="C313">
        <v>14.5</v>
      </c>
      <c r="D313">
        <v>14.32</v>
      </c>
      <c r="E313">
        <v>14.5</v>
      </c>
      <c r="F313">
        <v>139672</v>
      </c>
    </row>
    <row r="314" spans="1:6">
      <c r="A314" s="39">
        <v>42597</v>
      </c>
      <c r="B314">
        <v>14.6</v>
      </c>
      <c r="C314">
        <v>14.75</v>
      </c>
      <c r="D314">
        <v>14.59</v>
      </c>
      <c r="E314">
        <v>14.75</v>
      </c>
      <c r="F314">
        <v>340287</v>
      </c>
    </row>
    <row r="315" spans="1:6">
      <c r="A315" s="39">
        <v>42598</v>
      </c>
      <c r="B315">
        <v>14.79</v>
      </c>
      <c r="C315">
        <v>14.88</v>
      </c>
      <c r="D315">
        <v>14.68</v>
      </c>
      <c r="E315">
        <v>14.87</v>
      </c>
      <c r="F315">
        <v>156385</v>
      </c>
    </row>
    <row r="316" spans="1:6">
      <c r="A316" s="39">
        <v>42599</v>
      </c>
      <c r="B316">
        <v>14.86</v>
      </c>
      <c r="C316">
        <v>14.98</v>
      </c>
      <c r="D316">
        <v>14.75</v>
      </c>
      <c r="E316">
        <v>14.97</v>
      </c>
      <c r="F316">
        <v>263328</v>
      </c>
    </row>
    <row r="317" spans="1:6">
      <c r="A317" s="39">
        <v>42600</v>
      </c>
      <c r="B317">
        <v>15.05</v>
      </c>
      <c r="C317">
        <v>15.21</v>
      </c>
      <c r="D317">
        <v>15.04</v>
      </c>
      <c r="E317">
        <v>15.16</v>
      </c>
      <c r="F317">
        <v>116380</v>
      </c>
    </row>
    <row r="318" spans="1:6">
      <c r="A318" s="39">
        <v>42601</v>
      </c>
      <c r="B318">
        <v>15.12</v>
      </c>
      <c r="C318">
        <v>15.17</v>
      </c>
      <c r="D318">
        <v>15.06</v>
      </c>
      <c r="E318">
        <v>15.15</v>
      </c>
      <c r="F318">
        <v>65079</v>
      </c>
    </row>
    <row r="319" spans="1:6">
      <c r="A319" s="39">
        <v>42604</v>
      </c>
      <c r="B319">
        <v>15.05</v>
      </c>
      <c r="C319">
        <v>15.05</v>
      </c>
      <c r="D319">
        <v>14.89</v>
      </c>
      <c r="E319">
        <v>14.89</v>
      </c>
      <c r="F319">
        <v>195530</v>
      </c>
    </row>
    <row r="320" spans="1:6">
      <c r="A320" s="39">
        <v>42605</v>
      </c>
      <c r="B320">
        <v>14.78</v>
      </c>
      <c r="C320">
        <v>15.04</v>
      </c>
      <c r="D320">
        <v>14.75</v>
      </c>
      <c r="E320">
        <v>14.99</v>
      </c>
      <c r="F320">
        <v>145541</v>
      </c>
    </row>
    <row r="321" spans="1:6">
      <c r="A321" s="39">
        <v>42606</v>
      </c>
      <c r="B321">
        <v>14.91</v>
      </c>
      <c r="C321">
        <v>14.97</v>
      </c>
      <c r="D321">
        <v>14.73</v>
      </c>
      <c r="E321">
        <v>14.8</v>
      </c>
      <c r="F321">
        <v>152903</v>
      </c>
    </row>
    <row r="322" spans="1:6">
      <c r="A322" s="39">
        <v>42607</v>
      </c>
      <c r="B322">
        <v>14.79</v>
      </c>
      <c r="C322">
        <v>14.89</v>
      </c>
      <c r="D322">
        <v>14.75</v>
      </c>
      <c r="E322">
        <v>14.87</v>
      </c>
      <c r="F322">
        <v>73276</v>
      </c>
    </row>
    <row r="323" spans="1:6">
      <c r="A323" s="39">
        <v>42608</v>
      </c>
      <c r="B323">
        <v>14.86</v>
      </c>
      <c r="C323">
        <v>14.99</v>
      </c>
      <c r="D323">
        <v>14.77</v>
      </c>
      <c r="E323">
        <v>14.81</v>
      </c>
      <c r="F323">
        <v>79252</v>
      </c>
    </row>
    <row r="324" spans="1:6">
      <c r="A324" s="39">
        <v>42611</v>
      </c>
      <c r="B324">
        <v>14.71</v>
      </c>
      <c r="C324">
        <v>14.73</v>
      </c>
      <c r="D324">
        <v>14.65</v>
      </c>
      <c r="E324">
        <v>14.7</v>
      </c>
      <c r="F324">
        <v>86741</v>
      </c>
    </row>
    <row r="325" spans="1:6">
      <c r="A325" s="39">
        <v>42612</v>
      </c>
      <c r="B325">
        <v>14.74</v>
      </c>
      <c r="C325">
        <v>14.74</v>
      </c>
      <c r="D325">
        <v>14.5</v>
      </c>
      <c r="E325">
        <v>14.58</v>
      </c>
      <c r="F325">
        <v>46783</v>
      </c>
    </row>
    <row r="326" spans="1:6">
      <c r="A326" s="39">
        <v>42613</v>
      </c>
      <c r="B326">
        <v>14.42</v>
      </c>
      <c r="C326">
        <v>14.5</v>
      </c>
      <c r="D326">
        <v>14.18</v>
      </c>
      <c r="E326">
        <v>14.24</v>
      </c>
      <c r="F326">
        <v>257474</v>
      </c>
    </row>
    <row r="327" spans="1:6">
      <c r="A327" s="39">
        <v>42614</v>
      </c>
      <c r="B327">
        <v>14.1</v>
      </c>
      <c r="C327">
        <v>14.17</v>
      </c>
      <c r="D327">
        <v>13.95</v>
      </c>
      <c r="E327">
        <v>14.05</v>
      </c>
      <c r="F327">
        <v>275362</v>
      </c>
    </row>
    <row r="328" spans="1:6">
      <c r="A328" s="39">
        <v>42615</v>
      </c>
      <c r="B328">
        <v>14.15</v>
      </c>
      <c r="C328">
        <v>14.25</v>
      </c>
      <c r="D328">
        <v>14.15</v>
      </c>
      <c r="E328">
        <v>14.17</v>
      </c>
      <c r="F328">
        <v>87913</v>
      </c>
    </row>
    <row r="329" spans="1:6">
      <c r="A329" s="39">
        <v>42619</v>
      </c>
      <c r="B329">
        <v>14.11</v>
      </c>
      <c r="C329">
        <v>14.27</v>
      </c>
      <c r="D329">
        <v>14.11</v>
      </c>
      <c r="E329">
        <v>14.27</v>
      </c>
      <c r="F329">
        <v>112872</v>
      </c>
    </row>
    <row r="330" spans="1:6">
      <c r="A330" s="39">
        <v>42620</v>
      </c>
      <c r="B330">
        <v>14.3</v>
      </c>
      <c r="C330">
        <v>14.44</v>
      </c>
      <c r="D330">
        <v>14.24</v>
      </c>
      <c r="E330">
        <v>14.41</v>
      </c>
      <c r="F330">
        <v>469291</v>
      </c>
    </row>
    <row r="331" spans="1:6">
      <c r="A331" s="39">
        <v>42621</v>
      </c>
      <c r="B331">
        <v>14.55</v>
      </c>
      <c r="C331">
        <v>14.8</v>
      </c>
      <c r="D331">
        <v>14.44</v>
      </c>
      <c r="E331">
        <v>14.73</v>
      </c>
      <c r="F331">
        <v>98396</v>
      </c>
    </row>
    <row r="332" spans="1:6">
      <c r="A332" s="39">
        <v>42622</v>
      </c>
      <c r="B332">
        <v>14.6</v>
      </c>
      <c r="C332">
        <v>14.61</v>
      </c>
      <c r="D332">
        <v>14.44</v>
      </c>
      <c r="E332">
        <v>14.46</v>
      </c>
      <c r="F332">
        <v>71895</v>
      </c>
    </row>
    <row r="333" spans="1:6">
      <c r="A333" s="39">
        <v>42625</v>
      </c>
      <c r="B333">
        <v>14.31</v>
      </c>
      <c r="C333">
        <v>14.62</v>
      </c>
      <c r="D333">
        <v>14.31</v>
      </c>
      <c r="E333">
        <v>14.53</v>
      </c>
      <c r="F333">
        <v>58609</v>
      </c>
    </row>
    <row r="334" spans="1:6">
      <c r="A334" s="39">
        <v>42626</v>
      </c>
      <c r="B334">
        <v>14.41</v>
      </c>
      <c r="C334">
        <v>14.41</v>
      </c>
      <c r="D334">
        <v>14.26</v>
      </c>
      <c r="E334">
        <v>14.26</v>
      </c>
      <c r="F334">
        <v>47937</v>
      </c>
    </row>
    <row r="335" spans="1:6">
      <c r="A335" s="39">
        <v>42627</v>
      </c>
      <c r="B335">
        <v>14.21</v>
      </c>
      <c r="C335">
        <v>14.32</v>
      </c>
      <c r="D335">
        <v>14.07</v>
      </c>
      <c r="E335">
        <v>14.1</v>
      </c>
      <c r="F335">
        <v>245073</v>
      </c>
    </row>
    <row r="336" spans="1:6">
      <c r="A336" s="39">
        <v>42628</v>
      </c>
      <c r="B336">
        <v>14.16</v>
      </c>
      <c r="C336">
        <v>14.26</v>
      </c>
      <c r="D336">
        <v>14.09</v>
      </c>
      <c r="E336">
        <v>14.17</v>
      </c>
      <c r="F336">
        <v>59355</v>
      </c>
    </row>
    <row r="337" spans="1:6">
      <c r="A337" s="39">
        <v>42629</v>
      </c>
      <c r="B337">
        <v>14.03</v>
      </c>
      <c r="C337">
        <v>14.2</v>
      </c>
      <c r="D337">
        <v>14.03</v>
      </c>
      <c r="E337">
        <v>14.2</v>
      </c>
      <c r="F337">
        <v>81728</v>
      </c>
    </row>
    <row r="338" spans="1:6">
      <c r="A338" s="39">
        <v>42632</v>
      </c>
      <c r="B338">
        <v>14.22</v>
      </c>
      <c r="C338">
        <v>14.32</v>
      </c>
      <c r="D338">
        <v>14.15</v>
      </c>
      <c r="E338">
        <v>14.18</v>
      </c>
      <c r="F338">
        <v>68678</v>
      </c>
    </row>
    <row r="339" spans="1:6">
      <c r="A339" s="39">
        <v>42633</v>
      </c>
      <c r="B339">
        <v>14.1</v>
      </c>
      <c r="C339">
        <v>14.28</v>
      </c>
      <c r="D339">
        <v>14.08</v>
      </c>
      <c r="E339">
        <v>14.25</v>
      </c>
      <c r="F339">
        <v>131791</v>
      </c>
    </row>
    <row r="340" spans="1:6">
      <c r="A340" s="39">
        <v>42634</v>
      </c>
      <c r="B340">
        <v>14.35</v>
      </c>
      <c r="C340">
        <v>14.49</v>
      </c>
      <c r="D340">
        <v>14.35</v>
      </c>
      <c r="E340">
        <v>14.48</v>
      </c>
      <c r="F340">
        <v>116831</v>
      </c>
    </row>
    <row r="341" spans="1:6">
      <c r="A341" s="39">
        <v>42635</v>
      </c>
      <c r="B341">
        <v>14.62</v>
      </c>
      <c r="C341">
        <v>14.66</v>
      </c>
      <c r="D341">
        <v>14.55</v>
      </c>
      <c r="E341">
        <v>14.56</v>
      </c>
      <c r="F341">
        <v>178571</v>
      </c>
    </row>
    <row r="342" spans="1:6">
      <c r="A342" s="39">
        <v>42636</v>
      </c>
      <c r="B342">
        <v>14.58</v>
      </c>
      <c r="C342">
        <v>14.6</v>
      </c>
      <c r="D342">
        <v>14.24</v>
      </c>
      <c r="E342">
        <v>14.32</v>
      </c>
      <c r="F342">
        <v>73764</v>
      </c>
    </row>
    <row r="343" spans="1:6">
      <c r="A343" s="39">
        <v>42639</v>
      </c>
      <c r="B343">
        <v>14.42</v>
      </c>
      <c r="C343">
        <v>14.58</v>
      </c>
      <c r="D343">
        <v>14.42</v>
      </c>
      <c r="E343">
        <v>14.46</v>
      </c>
      <c r="F343">
        <v>58063</v>
      </c>
    </row>
    <row r="344" spans="1:6">
      <c r="A344" s="39">
        <v>42640</v>
      </c>
      <c r="B344">
        <v>14.28</v>
      </c>
      <c r="C344">
        <v>14.34</v>
      </c>
      <c r="D344">
        <v>14.19</v>
      </c>
      <c r="E344">
        <v>14.25</v>
      </c>
      <c r="F344">
        <v>110552</v>
      </c>
    </row>
    <row r="345" spans="1:6">
      <c r="A345" s="39">
        <v>42641</v>
      </c>
      <c r="B345">
        <v>14.37</v>
      </c>
      <c r="C345">
        <v>14.73</v>
      </c>
      <c r="D345">
        <v>14.21</v>
      </c>
      <c r="E345">
        <v>14.61</v>
      </c>
      <c r="F345">
        <v>233631</v>
      </c>
    </row>
    <row r="346" spans="1:6">
      <c r="A346" s="39">
        <v>42642</v>
      </c>
      <c r="B346">
        <v>14.72</v>
      </c>
      <c r="C346">
        <v>14.85</v>
      </c>
      <c r="D346">
        <v>14.64</v>
      </c>
      <c r="E346">
        <v>14.76</v>
      </c>
      <c r="F346">
        <v>175007</v>
      </c>
    </row>
    <row r="347" spans="1:6">
      <c r="A347" s="39">
        <v>42643</v>
      </c>
      <c r="B347">
        <v>14.81</v>
      </c>
      <c r="C347">
        <v>14.85</v>
      </c>
      <c r="D347">
        <v>14.76</v>
      </c>
      <c r="E347">
        <v>14.82</v>
      </c>
      <c r="F347">
        <v>803461</v>
      </c>
    </row>
    <row r="348" spans="1:6">
      <c r="A348" s="39">
        <v>42646</v>
      </c>
      <c r="B348">
        <v>14.83</v>
      </c>
      <c r="C348">
        <v>14.96</v>
      </c>
      <c r="D348">
        <v>14.72</v>
      </c>
      <c r="E348">
        <v>14.92</v>
      </c>
      <c r="F348">
        <v>241706</v>
      </c>
    </row>
    <row r="349" spans="1:6">
      <c r="A349" s="39">
        <v>42647</v>
      </c>
      <c r="B349">
        <v>15</v>
      </c>
      <c r="C349">
        <v>15</v>
      </c>
      <c r="D349">
        <v>14.9</v>
      </c>
      <c r="E349">
        <v>14.94</v>
      </c>
      <c r="F349">
        <v>135817</v>
      </c>
    </row>
    <row r="350" spans="1:6">
      <c r="A350" s="39">
        <v>42648</v>
      </c>
      <c r="B350">
        <v>15.13</v>
      </c>
      <c r="C350">
        <v>15.15</v>
      </c>
      <c r="D350">
        <v>15.02</v>
      </c>
      <c r="E350">
        <v>15.12</v>
      </c>
      <c r="F350">
        <v>472985</v>
      </c>
    </row>
    <row r="351" spans="1:6">
      <c r="A351" s="39">
        <v>42649</v>
      </c>
      <c r="B351">
        <v>15.16</v>
      </c>
      <c r="C351">
        <v>15.21</v>
      </c>
      <c r="D351">
        <v>15.09</v>
      </c>
      <c r="E351">
        <v>15.21</v>
      </c>
      <c r="F351">
        <v>78940</v>
      </c>
    </row>
    <row r="352" spans="1:6">
      <c r="A352" s="39">
        <v>42650</v>
      </c>
      <c r="B352">
        <v>15.2</v>
      </c>
      <c r="C352">
        <v>15.22</v>
      </c>
      <c r="D352">
        <v>15.02</v>
      </c>
      <c r="E352">
        <v>15.09</v>
      </c>
      <c r="F352">
        <v>144090</v>
      </c>
    </row>
    <row r="353" spans="1:6">
      <c r="A353" s="39">
        <v>42653</v>
      </c>
      <c r="B353">
        <v>15.18</v>
      </c>
      <c r="C353">
        <v>15.43</v>
      </c>
      <c r="D353">
        <v>15.18</v>
      </c>
      <c r="E353">
        <v>15.3</v>
      </c>
      <c r="F353">
        <v>104022</v>
      </c>
    </row>
    <row r="354" spans="1:6">
      <c r="A354" s="39">
        <v>42654</v>
      </c>
      <c r="B354">
        <v>15.31</v>
      </c>
      <c r="C354">
        <v>15.31</v>
      </c>
      <c r="D354">
        <v>15.16</v>
      </c>
      <c r="E354">
        <v>15.23</v>
      </c>
      <c r="F354">
        <v>154510</v>
      </c>
    </row>
    <row r="355" spans="1:6">
      <c r="A355" s="39">
        <v>42655</v>
      </c>
      <c r="B355">
        <v>15.09</v>
      </c>
      <c r="C355">
        <v>15.18</v>
      </c>
      <c r="D355">
        <v>15.07</v>
      </c>
      <c r="E355">
        <v>15.08</v>
      </c>
      <c r="F355">
        <v>82902</v>
      </c>
    </row>
    <row r="356" spans="1:6">
      <c r="A356" s="39">
        <v>42656</v>
      </c>
      <c r="B356">
        <v>15.04</v>
      </c>
      <c r="C356">
        <v>15.21</v>
      </c>
      <c r="D356">
        <v>15.02</v>
      </c>
      <c r="E356">
        <v>15.19</v>
      </c>
      <c r="F356">
        <v>240703</v>
      </c>
    </row>
    <row r="357" spans="1:6">
      <c r="A357" s="39">
        <v>42657</v>
      </c>
      <c r="B357">
        <v>15.2</v>
      </c>
      <c r="C357">
        <v>15.22</v>
      </c>
      <c r="D357">
        <v>15.11</v>
      </c>
      <c r="E357">
        <v>15.18</v>
      </c>
      <c r="F357">
        <v>162246</v>
      </c>
    </row>
    <row r="358" spans="1:6">
      <c r="A358" s="39">
        <v>42660</v>
      </c>
      <c r="B358">
        <v>15.16</v>
      </c>
      <c r="C358">
        <v>15.17</v>
      </c>
      <c r="D358">
        <v>15.04</v>
      </c>
      <c r="E358">
        <v>15.14</v>
      </c>
      <c r="F358">
        <v>161752</v>
      </c>
    </row>
    <row r="359" spans="1:6">
      <c r="A359" s="39">
        <v>42661</v>
      </c>
      <c r="B359">
        <v>15.21</v>
      </c>
      <c r="C359">
        <v>15.23</v>
      </c>
      <c r="D359">
        <v>15.11</v>
      </c>
      <c r="E359">
        <v>15.17</v>
      </c>
      <c r="F359">
        <v>122502</v>
      </c>
    </row>
    <row r="360" spans="1:6">
      <c r="A360" s="39">
        <v>42662</v>
      </c>
      <c r="B360">
        <v>15.19</v>
      </c>
      <c r="C360">
        <v>15.4</v>
      </c>
      <c r="D360">
        <v>15.19</v>
      </c>
      <c r="E360">
        <v>15.31</v>
      </c>
      <c r="F360">
        <v>168270</v>
      </c>
    </row>
    <row r="361" spans="1:6">
      <c r="A361" s="39">
        <v>42663</v>
      </c>
      <c r="B361">
        <v>15.14</v>
      </c>
      <c r="C361">
        <v>15.22</v>
      </c>
      <c r="D361">
        <v>15.08</v>
      </c>
      <c r="E361">
        <v>15.12</v>
      </c>
      <c r="F361">
        <v>346040</v>
      </c>
    </row>
    <row r="362" spans="1:6">
      <c r="A362" s="39">
        <v>42664</v>
      </c>
      <c r="B362">
        <v>15.14</v>
      </c>
      <c r="C362">
        <v>15.2</v>
      </c>
      <c r="D362">
        <v>15.1</v>
      </c>
      <c r="E362">
        <v>15.2</v>
      </c>
      <c r="F362">
        <v>458242</v>
      </c>
    </row>
    <row r="363" spans="1:6">
      <c r="A363" s="39">
        <v>42667</v>
      </c>
      <c r="B363">
        <v>15.03</v>
      </c>
      <c r="C363">
        <v>15.19</v>
      </c>
      <c r="D363">
        <v>15.01</v>
      </c>
      <c r="E363">
        <v>15.19</v>
      </c>
      <c r="F363">
        <v>107105</v>
      </c>
    </row>
    <row r="364" spans="1:6">
      <c r="A364" s="39">
        <v>42668</v>
      </c>
      <c r="B364">
        <v>15.12</v>
      </c>
      <c r="C364">
        <v>15.19</v>
      </c>
      <c r="D364">
        <v>15.03</v>
      </c>
      <c r="E364">
        <v>15.06</v>
      </c>
      <c r="F364">
        <v>121420</v>
      </c>
    </row>
    <row r="365" spans="1:6">
      <c r="A365" s="39">
        <v>42669</v>
      </c>
      <c r="B365">
        <v>14.92</v>
      </c>
      <c r="C365">
        <v>15.08</v>
      </c>
      <c r="D365">
        <v>14.89</v>
      </c>
      <c r="E365">
        <v>14.96</v>
      </c>
      <c r="F365">
        <v>351297</v>
      </c>
    </row>
    <row r="366" spans="1:6">
      <c r="A366" s="39">
        <v>42670</v>
      </c>
      <c r="B366">
        <v>15.03</v>
      </c>
      <c r="C366">
        <v>15.14</v>
      </c>
      <c r="D366">
        <v>14.98</v>
      </c>
      <c r="E366">
        <v>15.08</v>
      </c>
      <c r="F366">
        <v>84451</v>
      </c>
    </row>
    <row r="367" spans="1:6">
      <c r="A367" s="39">
        <v>42671</v>
      </c>
      <c r="B367">
        <v>15.01</v>
      </c>
      <c r="C367">
        <v>15.1</v>
      </c>
      <c r="D367">
        <v>14.91</v>
      </c>
      <c r="E367">
        <v>14.96</v>
      </c>
      <c r="F367">
        <v>76803</v>
      </c>
    </row>
    <row r="368" spans="1:6">
      <c r="A368" s="39">
        <v>42674</v>
      </c>
      <c r="B368">
        <v>14.81</v>
      </c>
      <c r="C368">
        <v>14.85</v>
      </c>
      <c r="D368">
        <v>14.56</v>
      </c>
      <c r="E368">
        <v>14.56</v>
      </c>
      <c r="F368">
        <v>404322</v>
      </c>
    </row>
    <row r="369" spans="1:6">
      <c r="A369" s="39">
        <v>42675</v>
      </c>
      <c r="B369">
        <v>14.68</v>
      </c>
      <c r="C369">
        <v>14.75</v>
      </c>
      <c r="D369">
        <v>14.49</v>
      </c>
      <c r="E369">
        <v>14.59</v>
      </c>
      <c r="F369">
        <v>532100</v>
      </c>
    </row>
    <row r="370" spans="1:6">
      <c r="A370" s="39">
        <v>42676</v>
      </c>
      <c r="B370">
        <v>14.4</v>
      </c>
      <c r="C370">
        <v>14.45</v>
      </c>
      <c r="D370">
        <v>14.24</v>
      </c>
      <c r="E370">
        <v>14.36</v>
      </c>
      <c r="F370">
        <v>358585</v>
      </c>
    </row>
    <row r="371" spans="1:6">
      <c r="A371" s="39">
        <v>42677</v>
      </c>
      <c r="B371">
        <v>14.35</v>
      </c>
      <c r="C371">
        <v>14.37</v>
      </c>
      <c r="D371">
        <v>14.17</v>
      </c>
      <c r="E371">
        <v>14.23</v>
      </c>
      <c r="F371">
        <v>159529</v>
      </c>
    </row>
    <row r="372" spans="1:6">
      <c r="A372" s="39">
        <v>42678</v>
      </c>
      <c r="B372">
        <v>14.1</v>
      </c>
      <c r="C372">
        <v>14.2</v>
      </c>
      <c r="D372">
        <v>14.02</v>
      </c>
      <c r="E372">
        <v>14.11</v>
      </c>
      <c r="F372">
        <v>140404</v>
      </c>
    </row>
    <row r="373" spans="1:6">
      <c r="A373" s="39">
        <v>42681</v>
      </c>
      <c r="B373">
        <v>14.2</v>
      </c>
      <c r="C373">
        <v>14.24</v>
      </c>
      <c r="D373">
        <v>14.05</v>
      </c>
      <c r="E373">
        <v>14.23</v>
      </c>
      <c r="F373">
        <v>241666</v>
      </c>
    </row>
    <row r="374" spans="1:6">
      <c r="A374" s="39">
        <v>42682</v>
      </c>
      <c r="B374">
        <v>14.15</v>
      </c>
      <c r="C374">
        <v>14.29</v>
      </c>
      <c r="D374">
        <v>14.09</v>
      </c>
      <c r="E374">
        <v>14.19</v>
      </c>
      <c r="F374">
        <v>249296</v>
      </c>
    </row>
    <row r="375" spans="1:6">
      <c r="A375" s="39">
        <v>42683</v>
      </c>
      <c r="B375">
        <v>14.21</v>
      </c>
      <c r="C375">
        <v>14.35</v>
      </c>
      <c r="D375">
        <v>14.12</v>
      </c>
      <c r="E375">
        <v>14.31</v>
      </c>
      <c r="F375">
        <v>164794</v>
      </c>
    </row>
    <row r="376" spans="1:6">
      <c r="A376" s="39">
        <v>42684</v>
      </c>
      <c r="B376">
        <v>14.18</v>
      </c>
      <c r="C376">
        <v>14.26</v>
      </c>
      <c r="D376">
        <v>14.12</v>
      </c>
      <c r="E376">
        <v>14.14</v>
      </c>
      <c r="F376">
        <v>166934</v>
      </c>
    </row>
    <row r="377" spans="1:6">
      <c r="A377" s="39">
        <v>42685</v>
      </c>
      <c r="B377">
        <v>14.07</v>
      </c>
      <c r="C377">
        <v>14.14</v>
      </c>
      <c r="D377">
        <v>13.87</v>
      </c>
      <c r="E377">
        <v>13.91</v>
      </c>
      <c r="F377">
        <v>128380</v>
      </c>
    </row>
    <row r="378" spans="1:6">
      <c r="A378" s="39">
        <v>42688</v>
      </c>
      <c r="B378">
        <v>13.87</v>
      </c>
      <c r="C378">
        <v>13.92</v>
      </c>
      <c r="D378">
        <v>13.7</v>
      </c>
      <c r="E378">
        <v>13.9</v>
      </c>
      <c r="F378">
        <v>461750</v>
      </c>
    </row>
    <row r="379" spans="1:6">
      <c r="A379" s="39">
        <v>42689</v>
      </c>
      <c r="B379">
        <v>14.05</v>
      </c>
      <c r="C379">
        <v>14.28</v>
      </c>
      <c r="D379">
        <v>14.05</v>
      </c>
      <c r="E379">
        <v>14.25</v>
      </c>
      <c r="F379">
        <v>109077</v>
      </c>
    </row>
    <row r="380" spans="1:6">
      <c r="A380" s="39">
        <v>42690</v>
      </c>
      <c r="B380">
        <v>14.22</v>
      </c>
      <c r="C380">
        <v>14.29</v>
      </c>
      <c r="D380">
        <v>14.08</v>
      </c>
      <c r="E380">
        <v>14.13</v>
      </c>
      <c r="F380">
        <v>142654</v>
      </c>
    </row>
    <row r="381" spans="1:6">
      <c r="A381" s="39">
        <v>42691</v>
      </c>
      <c r="B381">
        <v>14.32</v>
      </c>
      <c r="C381">
        <v>14.36</v>
      </c>
      <c r="D381">
        <v>14.1</v>
      </c>
      <c r="E381">
        <v>14.13</v>
      </c>
      <c r="F381">
        <v>132597</v>
      </c>
    </row>
    <row r="382" spans="1:6">
      <c r="A382" s="39">
        <v>42692</v>
      </c>
      <c r="B382">
        <v>14.14</v>
      </c>
      <c r="C382">
        <v>14.28</v>
      </c>
      <c r="D382">
        <v>14.09</v>
      </c>
      <c r="E382">
        <v>14.27</v>
      </c>
      <c r="F382">
        <v>111133</v>
      </c>
    </row>
    <row r="383" spans="1:6">
      <c r="A383" s="39">
        <v>42695</v>
      </c>
      <c r="B383">
        <v>14.52</v>
      </c>
      <c r="C383">
        <v>14.74</v>
      </c>
      <c r="D383">
        <v>14.52</v>
      </c>
      <c r="E383">
        <v>14.73</v>
      </c>
      <c r="F383">
        <v>152380</v>
      </c>
    </row>
    <row r="384" spans="1:6">
      <c r="A384" s="39">
        <v>42696</v>
      </c>
      <c r="B384">
        <v>14.73</v>
      </c>
      <c r="C384">
        <v>14.8</v>
      </c>
      <c r="D384">
        <v>14.56</v>
      </c>
      <c r="E384">
        <v>14.69</v>
      </c>
      <c r="F384">
        <v>114310</v>
      </c>
    </row>
    <row r="385" spans="1:6">
      <c r="A385" s="39">
        <v>42697</v>
      </c>
      <c r="B385">
        <v>14.6</v>
      </c>
      <c r="C385">
        <v>14.77</v>
      </c>
      <c r="D385">
        <v>14.6</v>
      </c>
      <c r="E385">
        <v>14.71</v>
      </c>
      <c r="F385">
        <v>216360</v>
      </c>
    </row>
    <row r="386" spans="1:6">
      <c r="A386" s="39">
        <v>42699</v>
      </c>
      <c r="B386">
        <v>14.59</v>
      </c>
      <c r="C386">
        <v>14.68</v>
      </c>
      <c r="D386">
        <v>14.47</v>
      </c>
      <c r="E386">
        <v>14.57</v>
      </c>
      <c r="F386">
        <v>555012</v>
      </c>
    </row>
    <row r="387" spans="1:6">
      <c r="A387" s="39">
        <v>42702</v>
      </c>
      <c r="B387">
        <v>14.65</v>
      </c>
      <c r="C387">
        <v>14.76</v>
      </c>
      <c r="D387">
        <v>14.6</v>
      </c>
      <c r="E387">
        <v>14.64</v>
      </c>
      <c r="F387">
        <v>172230</v>
      </c>
    </row>
    <row r="388" spans="1:6">
      <c r="A388" s="39">
        <v>42703</v>
      </c>
      <c r="B388">
        <v>14.31</v>
      </c>
      <c r="C388">
        <v>14.37</v>
      </c>
      <c r="D388">
        <v>14.22</v>
      </c>
      <c r="E388">
        <v>14.27</v>
      </c>
      <c r="F388">
        <v>180525</v>
      </c>
    </row>
    <row r="389" spans="1:6">
      <c r="A389" s="39">
        <v>42704</v>
      </c>
      <c r="B389">
        <v>14.85</v>
      </c>
      <c r="C389">
        <v>15.04</v>
      </c>
      <c r="D389">
        <v>14.74</v>
      </c>
      <c r="E389">
        <v>14.92</v>
      </c>
      <c r="F389">
        <v>708244</v>
      </c>
    </row>
    <row r="390" spans="1:6">
      <c r="A390" s="39">
        <v>42705</v>
      </c>
      <c r="B390">
        <v>15.18</v>
      </c>
      <c r="C390">
        <v>15.37</v>
      </c>
      <c r="D390">
        <v>15.17</v>
      </c>
      <c r="E390">
        <v>15.23</v>
      </c>
      <c r="F390">
        <v>346748</v>
      </c>
    </row>
    <row r="391" spans="1:6">
      <c r="A391" s="39">
        <v>42706</v>
      </c>
      <c r="B391">
        <v>15.29</v>
      </c>
      <c r="C391">
        <v>15.34</v>
      </c>
      <c r="D391">
        <v>15.23</v>
      </c>
      <c r="E391">
        <v>15.32</v>
      </c>
      <c r="F391">
        <v>190312</v>
      </c>
    </row>
    <row r="392" spans="1:6">
      <c r="A392" s="39">
        <v>42709</v>
      </c>
      <c r="B392">
        <v>15.48</v>
      </c>
      <c r="C392">
        <v>15.5</v>
      </c>
      <c r="D392">
        <v>15.35</v>
      </c>
      <c r="E392">
        <v>15.36</v>
      </c>
      <c r="F392">
        <v>363983</v>
      </c>
    </row>
    <row r="393" spans="1:6">
      <c r="A393" s="39">
        <v>42710</v>
      </c>
      <c r="B393">
        <v>15.25</v>
      </c>
      <c r="C393">
        <v>15.38</v>
      </c>
      <c r="D393">
        <v>15.25</v>
      </c>
      <c r="E393">
        <v>15.32</v>
      </c>
      <c r="F393">
        <v>136130</v>
      </c>
    </row>
    <row r="394" spans="1:6">
      <c r="A394" s="39">
        <v>42711</v>
      </c>
      <c r="B394">
        <v>15.21</v>
      </c>
      <c r="C394">
        <v>15.31</v>
      </c>
      <c r="D394">
        <v>15.17</v>
      </c>
      <c r="E394">
        <v>15.19</v>
      </c>
      <c r="F394">
        <v>228765</v>
      </c>
    </row>
    <row r="395" spans="1:6">
      <c r="A395" s="39">
        <v>42712</v>
      </c>
      <c r="B395">
        <v>15.39</v>
      </c>
      <c r="C395">
        <v>15.39</v>
      </c>
      <c r="D395">
        <v>15.13</v>
      </c>
      <c r="E395">
        <v>15.31</v>
      </c>
      <c r="F395">
        <v>489465</v>
      </c>
    </row>
    <row r="396" spans="1:6">
      <c r="A396" s="39">
        <v>42713</v>
      </c>
      <c r="B396">
        <v>15.39</v>
      </c>
      <c r="C396">
        <v>15.43</v>
      </c>
      <c r="D396">
        <v>15.34</v>
      </c>
      <c r="E396">
        <v>15.42</v>
      </c>
      <c r="F396">
        <v>219574</v>
      </c>
    </row>
    <row r="397" spans="1:6">
      <c r="A397" s="39">
        <v>42716</v>
      </c>
      <c r="B397">
        <v>15.72</v>
      </c>
      <c r="C397">
        <v>15.77</v>
      </c>
      <c r="D397">
        <v>15.52</v>
      </c>
      <c r="E397">
        <v>15.52</v>
      </c>
      <c r="F397">
        <v>381780</v>
      </c>
    </row>
    <row r="398" spans="1:6">
      <c r="A398" s="39">
        <v>42717</v>
      </c>
      <c r="B398">
        <v>15.65</v>
      </c>
      <c r="C398">
        <v>15.65</v>
      </c>
      <c r="D398">
        <v>15.51</v>
      </c>
      <c r="E398">
        <v>15.59</v>
      </c>
      <c r="F398">
        <v>209692</v>
      </c>
    </row>
    <row r="399" spans="1:6">
      <c r="A399" s="39">
        <v>42718</v>
      </c>
      <c r="B399">
        <v>15.49</v>
      </c>
      <c r="C399">
        <v>15.61</v>
      </c>
      <c r="D399">
        <v>15.32</v>
      </c>
      <c r="E399">
        <v>15.34</v>
      </c>
      <c r="F399">
        <v>308452</v>
      </c>
    </row>
    <row r="400" spans="1:6">
      <c r="A400" s="39">
        <v>42719</v>
      </c>
      <c r="B400">
        <v>15.23</v>
      </c>
      <c r="C400">
        <v>15.39</v>
      </c>
      <c r="D400">
        <v>15.2</v>
      </c>
      <c r="E400">
        <v>15.33</v>
      </c>
      <c r="F400">
        <v>202675</v>
      </c>
    </row>
    <row r="401" spans="1:6">
      <c r="A401" s="39">
        <v>42720</v>
      </c>
      <c r="B401">
        <v>15.34</v>
      </c>
      <c r="C401">
        <v>15.49</v>
      </c>
      <c r="D401">
        <v>15.32</v>
      </c>
      <c r="E401">
        <v>15.47</v>
      </c>
      <c r="F401">
        <v>271858</v>
      </c>
    </row>
    <row r="402" spans="1:6">
      <c r="A402" s="39">
        <v>42723</v>
      </c>
      <c r="B402">
        <v>15.5</v>
      </c>
      <c r="C402">
        <v>15.5</v>
      </c>
      <c r="D402">
        <v>15.34</v>
      </c>
      <c r="E402">
        <v>15.38</v>
      </c>
      <c r="F402">
        <v>267452</v>
      </c>
    </row>
    <row r="403" spans="1:6">
      <c r="A403" s="39">
        <v>42724</v>
      </c>
      <c r="B403">
        <v>15.47</v>
      </c>
      <c r="C403">
        <v>15.5</v>
      </c>
      <c r="D403">
        <v>15.37</v>
      </c>
      <c r="E403">
        <v>15.42</v>
      </c>
      <c r="F403">
        <v>164053</v>
      </c>
    </row>
    <row r="404" spans="1:6">
      <c r="A404" s="39">
        <v>42725</v>
      </c>
      <c r="B404">
        <v>15.43</v>
      </c>
      <c r="C404">
        <v>15.49</v>
      </c>
      <c r="D404">
        <v>15.29</v>
      </c>
      <c r="E404">
        <v>15.36</v>
      </c>
      <c r="F404">
        <v>201088</v>
      </c>
    </row>
    <row r="405" spans="1:6">
      <c r="A405" s="39">
        <v>42726</v>
      </c>
      <c r="B405">
        <v>15.35</v>
      </c>
      <c r="C405">
        <v>15.43</v>
      </c>
      <c r="D405">
        <v>15.33</v>
      </c>
      <c r="E405">
        <v>15.36</v>
      </c>
      <c r="F405">
        <v>128160</v>
      </c>
    </row>
    <row r="406" spans="1:6">
      <c r="A406" s="39">
        <v>42727</v>
      </c>
      <c r="B406">
        <v>15.36</v>
      </c>
      <c r="C406">
        <v>15.43</v>
      </c>
      <c r="D406">
        <v>15.32</v>
      </c>
      <c r="E406">
        <v>15.4</v>
      </c>
      <c r="F406">
        <v>101681</v>
      </c>
    </row>
    <row r="407" spans="1:6">
      <c r="A407" s="39">
        <v>42731</v>
      </c>
      <c r="B407">
        <v>15.49</v>
      </c>
      <c r="C407">
        <v>15.67</v>
      </c>
      <c r="D407">
        <v>15.49</v>
      </c>
      <c r="E407">
        <v>15.62</v>
      </c>
      <c r="F407">
        <v>186554</v>
      </c>
    </row>
    <row r="408" spans="1:6">
      <c r="A408" s="39">
        <v>42732</v>
      </c>
      <c r="B408">
        <v>15.69</v>
      </c>
      <c r="C408">
        <v>15.71</v>
      </c>
      <c r="D408">
        <v>15.63</v>
      </c>
      <c r="E408">
        <v>15.67</v>
      </c>
      <c r="F408">
        <v>165061</v>
      </c>
    </row>
    <row r="409" spans="1:6">
      <c r="A409" s="39">
        <v>42733</v>
      </c>
      <c r="B409">
        <v>15.69</v>
      </c>
      <c r="C409">
        <v>15.78</v>
      </c>
      <c r="D409">
        <v>15.65</v>
      </c>
      <c r="E409">
        <v>15.69</v>
      </c>
      <c r="F409">
        <v>1517914</v>
      </c>
    </row>
    <row r="410" spans="1:6">
      <c r="A410" s="39">
        <v>42734</v>
      </c>
      <c r="B410">
        <v>15.65</v>
      </c>
      <c r="C410">
        <v>15.71</v>
      </c>
      <c r="D410">
        <v>15.63</v>
      </c>
      <c r="E410">
        <v>15.67</v>
      </c>
      <c r="F410">
        <v>1002916</v>
      </c>
    </row>
    <row r="411" spans="1:6">
      <c r="A411" s="39">
        <v>42738</v>
      </c>
      <c r="B411">
        <v>15.85</v>
      </c>
      <c r="C411">
        <v>15.89</v>
      </c>
      <c r="D411">
        <v>15.36</v>
      </c>
      <c r="E411">
        <v>15.42</v>
      </c>
      <c r="F411">
        <v>2415245</v>
      </c>
    </row>
    <row r="412" spans="1:6">
      <c r="A412" s="39">
        <v>42739</v>
      </c>
      <c r="B412">
        <v>15.42</v>
      </c>
      <c r="C412">
        <v>15.59</v>
      </c>
      <c r="D412">
        <v>15.34</v>
      </c>
      <c r="E412">
        <v>15.54</v>
      </c>
      <c r="F412">
        <v>426526</v>
      </c>
    </row>
    <row r="413" spans="1:6">
      <c r="A413" s="39">
        <v>42740</v>
      </c>
      <c r="B413">
        <v>15.61</v>
      </c>
      <c r="C413">
        <v>15.73</v>
      </c>
      <c r="D413">
        <v>15.51</v>
      </c>
      <c r="E413">
        <v>15.64</v>
      </c>
      <c r="F413">
        <v>300036</v>
      </c>
    </row>
    <row r="414" spans="1:6">
      <c r="A414" s="39">
        <v>42741</v>
      </c>
      <c r="B414">
        <v>15.67</v>
      </c>
      <c r="C414">
        <v>15.71</v>
      </c>
      <c r="D414">
        <v>15.54</v>
      </c>
      <c r="E414">
        <v>15.58</v>
      </c>
      <c r="F414">
        <v>193413</v>
      </c>
    </row>
    <row r="415" spans="1:6">
      <c r="A415" s="39">
        <v>42744</v>
      </c>
      <c r="B415">
        <v>15.42</v>
      </c>
      <c r="C415">
        <v>15.45</v>
      </c>
      <c r="D415">
        <v>15.29</v>
      </c>
      <c r="E415">
        <v>15.31</v>
      </c>
      <c r="F415">
        <v>781688</v>
      </c>
    </row>
    <row r="416" spans="1:6">
      <c r="A416" s="39">
        <v>42745</v>
      </c>
      <c r="B416">
        <v>15.36</v>
      </c>
      <c r="C416">
        <v>15.47</v>
      </c>
      <c r="D416">
        <v>15.17</v>
      </c>
      <c r="E416">
        <v>15.2</v>
      </c>
      <c r="F416">
        <v>155178</v>
      </c>
    </row>
    <row r="417" spans="1:6">
      <c r="A417" s="39">
        <v>42746</v>
      </c>
      <c r="B417">
        <v>15.3</v>
      </c>
      <c r="C417">
        <v>15.5</v>
      </c>
      <c r="D417">
        <v>15.09</v>
      </c>
      <c r="E417">
        <v>15.4</v>
      </c>
      <c r="F417">
        <v>308269</v>
      </c>
    </row>
    <row r="418" spans="1:6">
      <c r="A418" s="39">
        <v>42747</v>
      </c>
      <c r="B418">
        <v>15.65</v>
      </c>
      <c r="C418">
        <v>15.66</v>
      </c>
      <c r="D418">
        <v>15.52</v>
      </c>
      <c r="E418">
        <v>15.64</v>
      </c>
      <c r="F418">
        <v>227914</v>
      </c>
    </row>
    <row r="419" spans="1:6">
      <c r="A419" s="39">
        <v>42748</v>
      </c>
      <c r="B419">
        <v>15.59</v>
      </c>
      <c r="C419">
        <v>15.63</v>
      </c>
      <c r="D419">
        <v>15.54</v>
      </c>
      <c r="E419">
        <v>15.61</v>
      </c>
      <c r="F419">
        <v>301527</v>
      </c>
    </row>
    <row r="420" spans="1:6">
      <c r="A420" s="39">
        <v>42752</v>
      </c>
      <c r="B420">
        <v>15.8</v>
      </c>
      <c r="C420">
        <v>15.8</v>
      </c>
      <c r="D420">
        <v>15.6</v>
      </c>
      <c r="E420">
        <v>15.62</v>
      </c>
      <c r="F420">
        <v>172080</v>
      </c>
    </row>
    <row r="421" spans="1:6">
      <c r="A421" s="39">
        <v>42753</v>
      </c>
      <c r="B421">
        <v>15.46</v>
      </c>
      <c r="C421">
        <v>15.56</v>
      </c>
      <c r="D421">
        <v>15.3</v>
      </c>
      <c r="E421">
        <v>15.41</v>
      </c>
      <c r="F421">
        <v>185088</v>
      </c>
    </row>
    <row r="422" spans="1:6">
      <c r="A422" s="39">
        <v>42754</v>
      </c>
      <c r="B422">
        <v>15.42</v>
      </c>
      <c r="C422">
        <v>15.46</v>
      </c>
      <c r="D422">
        <v>15.34</v>
      </c>
      <c r="E422">
        <v>15.38</v>
      </c>
      <c r="F422">
        <v>68454</v>
      </c>
    </row>
    <row r="423" spans="1:6">
      <c r="A423" s="39">
        <v>42755</v>
      </c>
      <c r="B423">
        <v>15.56</v>
      </c>
      <c r="C423">
        <v>15.63</v>
      </c>
      <c r="D423">
        <v>15.54</v>
      </c>
      <c r="E423">
        <v>15.56</v>
      </c>
      <c r="F423">
        <v>172197</v>
      </c>
    </row>
    <row r="424" spans="1:6">
      <c r="A424" s="39">
        <v>42758</v>
      </c>
      <c r="B424">
        <v>15.42</v>
      </c>
      <c r="C424">
        <v>15.58</v>
      </c>
      <c r="D424">
        <v>15.42</v>
      </c>
      <c r="E424">
        <v>15.56</v>
      </c>
      <c r="F424">
        <v>172135</v>
      </c>
    </row>
    <row r="425" spans="1:6">
      <c r="A425" s="39">
        <v>42759</v>
      </c>
      <c r="B425">
        <v>15.6</v>
      </c>
      <c r="C425">
        <v>15.65</v>
      </c>
      <c r="D425">
        <v>15.55</v>
      </c>
      <c r="E425">
        <v>15.57</v>
      </c>
      <c r="F425">
        <v>308152</v>
      </c>
    </row>
    <row r="426" spans="1:6">
      <c r="A426" s="39">
        <v>42760</v>
      </c>
      <c r="B426">
        <v>15.49</v>
      </c>
      <c r="C426">
        <v>15.61</v>
      </c>
      <c r="D426">
        <v>15.47</v>
      </c>
      <c r="E426">
        <v>15.53</v>
      </c>
      <c r="F426">
        <v>192837</v>
      </c>
    </row>
    <row r="427" spans="1:6">
      <c r="A427" s="39">
        <v>42761</v>
      </c>
      <c r="B427">
        <v>15.59</v>
      </c>
      <c r="C427">
        <v>15.69</v>
      </c>
      <c r="D427">
        <v>15.58</v>
      </c>
      <c r="E427">
        <v>15.61</v>
      </c>
      <c r="F427">
        <v>196126</v>
      </c>
    </row>
    <row r="428" spans="1:6">
      <c r="A428" s="39">
        <v>42762</v>
      </c>
      <c r="B428">
        <v>15.5</v>
      </c>
      <c r="C428">
        <v>15.5</v>
      </c>
      <c r="D428">
        <v>15.38</v>
      </c>
      <c r="E428">
        <v>15.48</v>
      </c>
      <c r="F428">
        <v>163822</v>
      </c>
    </row>
    <row r="429" spans="1:6">
      <c r="A429" s="39">
        <v>42765</v>
      </c>
      <c r="B429">
        <v>15.37</v>
      </c>
      <c r="C429">
        <v>15.37</v>
      </c>
      <c r="D429">
        <v>15.3</v>
      </c>
      <c r="E429">
        <v>15.34</v>
      </c>
      <c r="F429">
        <v>150232</v>
      </c>
    </row>
    <row r="430" spans="1:6">
      <c r="A430" s="39">
        <v>42766</v>
      </c>
      <c r="B430">
        <v>15.46</v>
      </c>
      <c r="C430">
        <v>15.54</v>
      </c>
      <c r="D430">
        <v>15.37</v>
      </c>
      <c r="E430">
        <v>15.43</v>
      </c>
      <c r="F430">
        <v>363451</v>
      </c>
    </row>
    <row r="431" spans="1:6">
      <c r="A431" s="39">
        <v>42767</v>
      </c>
      <c r="B431">
        <v>15.53</v>
      </c>
      <c r="C431">
        <v>15.67</v>
      </c>
      <c r="D431">
        <v>15.47</v>
      </c>
      <c r="E431">
        <v>15.62</v>
      </c>
      <c r="F431">
        <v>4234965</v>
      </c>
    </row>
    <row r="432" spans="1:6">
      <c r="A432" s="39">
        <v>42768</v>
      </c>
      <c r="B432">
        <v>15.66</v>
      </c>
      <c r="C432">
        <v>15.69</v>
      </c>
      <c r="D432">
        <v>15.56</v>
      </c>
      <c r="E432">
        <v>15.62</v>
      </c>
      <c r="F432">
        <v>775579</v>
      </c>
    </row>
    <row r="433" spans="1:6">
      <c r="A433" s="39">
        <v>42769</v>
      </c>
      <c r="B433">
        <v>15.54</v>
      </c>
      <c r="C433">
        <v>15.67</v>
      </c>
      <c r="D433">
        <v>15.53</v>
      </c>
      <c r="E433">
        <v>15.61</v>
      </c>
      <c r="F433">
        <v>334792</v>
      </c>
    </row>
    <row r="434" spans="1:6">
      <c r="A434" s="39">
        <v>42772</v>
      </c>
      <c r="B434">
        <v>15.62</v>
      </c>
      <c r="C434">
        <v>15.63</v>
      </c>
      <c r="D434">
        <v>15.44</v>
      </c>
      <c r="E434">
        <v>15.46</v>
      </c>
      <c r="F434">
        <v>200057</v>
      </c>
    </row>
    <row r="435" spans="1:6">
      <c r="A435" s="39">
        <v>42773</v>
      </c>
      <c r="B435">
        <v>15.35</v>
      </c>
      <c r="C435">
        <v>15.41</v>
      </c>
      <c r="D435">
        <v>15.28</v>
      </c>
      <c r="E435">
        <v>15.35</v>
      </c>
      <c r="F435">
        <v>906440</v>
      </c>
    </row>
    <row r="436" spans="1:6">
      <c r="A436" s="39">
        <v>42774</v>
      </c>
      <c r="B436">
        <v>15.33</v>
      </c>
      <c r="C436">
        <v>15.47</v>
      </c>
      <c r="D436">
        <v>15.29</v>
      </c>
      <c r="E436">
        <v>15.44</v>
      </c>
      <c r="F436">
        <v>234016</v>
      </c>
    </row>
    <row r="437" spans="1:6">
      <c r="A437" s="39">
        <v>42775</v>
      </c>
      <c r="B437">
        <v>15.53</v>
      </c>
      <c r="C437">
        <v>15.56</v>
      </c>
      <c r="D437">
        <v>15.45</v>
      </c>
      <c r="E437">
        <v>15.51</v>
      </c>
      <c r="F437">
        <v>156688</v>
      </c>
    </row>
    <row r="438" spans="1:6">
      <c r="A438" s="39">
        <v>42776</v>
      </c>
      <c r="B438">
        <v>15.67</v>
      </c>
      <c r="C438">
        <v>15.73</v>
      </c>
      <c r="D438">
        <v>15.66</v>
      </c>
      <c r="E438">
        <v>15.67</v>
      </c>
      <c r="F438">
        <v>133844</v>
      </c>
    </row>
    <row r="439" spans="1:6">
      <c r="A439" s="39">
        <v>42779</v>
      </c>
      <c r="B439">
        <v>15.53</v>
      </c>
      <c r="C439">
        <v>15.55</v>
      </c>
      <c r="D439">
        <v>15.47</v>
      </c>
      <c r="E439">
        <v>15.47</v>
      </c>
      <c r="F439">
        <v>214038</v>
      </c>
    </row>
    <row r="440" spans="1:6">
      <c r="A440" s="39">
        <v>42780</v>
      </c>
      <c r="B440">
        <v>15.59</v>
      </c>
      <c r="C440">
        <v>15.62</v>
      </c>
      <c r="D440">
        <v>15.49</v>
      </c>
      <c r="E440">
        <v>15.53</v>
      </c>
      <c r="F440">
        <v>274066</v>
      </c>
    </row>
    <row r="441" spans="1:6">
      <c r="A441" s="39">
        <v>42781</v>
      </c>
      <c r="B441">
        <v>15.51</v>
      </c>
      <c r="C441">
        <v>15.61</v>
      </c>
      <c r="D441">
        <v>15.51</v>
      </c>
      <c r="E441">
        <v>15.53</v>
      </c>
      <c r="F441">
        <v>179394</v>
      </c>
    </row>
    <row r="442" spans="1:6">
      <c r="A442" s="39">
        <v>42782</v>
      </c>
      <c r="B442">
        <v>15.56</v>
      </c>
      <c r="C442">
        <v>15.59</v>
      </c>
      <c r="D442">
        <v>15.43</v>
      </c>
      <c r="E442">
        <v>15.5</v>
      </c>
      <c r="F442">
        <v>133908</v>
      </c>
    </row>
    <row r="443" spans="1:6">
      <c r="A443" s="39">
        <v>42783</v>
      </c>
      <c r="B443">
        <v>15.39</v>
      </c>
      <c r="C443">
        <v>15.48</v>
      </c>
      <c r="D443">
        <v>15.39</v>
      </c>
      <c r="E443">
        <v>15.45</v>
      </c>
      <c r="F443">
        <v>278144</v>
      </c>
    </row>
    <row r="444" spans="1:6">
      <c r="A444" s="39">
        <v>42787</v>
      </c>
      <c r="B444">
        <v>15.67</v>
      </c>
      <c r="C444">
        <v>15.67</v>
      </c>
      <c r="D444">
        <v>15.5</v>
      </c>
      <c r="E444">
        <v>15.53</v>
      </c>
      <c r="F444">
        <v>223275</v>
      </c>
    </row>
    <row r="445" spans="1:6">
      <c r="A445" s="39">
        <v>42788</v>
      </c>
      <c r="B445">
        <v>15.4</v>
      </c>
      <c r="C445">
        <v>15.44</v>
      </c>
      <c r="D445">
        <v>15.38</v>
      </c>
      <c r="E445">
        <v>15.4</v>
      </c>
      <c r="F445">
        <v>191698</v>
      </c>
    </row>
    <row r="446" spans="1:6">
      <c r="A446" s="39">
        <v>42789</v>
      </c>
      <c r="B446">
        <v>15.59</v>
      </c>
      <c r="C446">
        <v>15.61</v>
      </c>
      <c r="D446">
        <v>15.45</v>
      </c>
      <c r="E446">
        <v>15.47</v>
      </c>
      <c r="F446">
        <v>89783</v>
      </c>
    </row>
    <row r="447" spans="1:6">
      <c r="A447" s="39">
        <v>42790</v>
      </c>
      <c r="B447">
        <v>15.4</v>
      </c>
      <c r="C447">
        <v>15.47</v>
      </c>
      <c r="D447">
        <v>15.39</v>
      </c>
      <c r="E447">
        <v>15.42</v>
      </c>
      <c r="F447">
        <v>153449</v>
      </c>
    </row>
    <row r="448" spans="1:6">
      <c r="A448" s="39">
        <v>42793</v>
      </c>
      <c r="B448">
        <v>15.54</v>
      </c>
      <c r="C448">
        <v>15.54</v>
      </c>
      <c r="D448">
        <v>15.38</v>
      </c>
      <c r="E448">
        <v>15.4</v>
      </c>
      <c r="F448">
        <v>133105</v>
      </c>
    </row>
    <row r="449" spans="1:6">
      <c r="A449" s="39">
        <v>42794</v>
      </c>
      <c r="B449">
        <v>15.32</v>
      </c>
      <c r="C449">
        <v>15.45</v>
      </c>
      <c r="D449">
        <v>15.32</v>
      </c>
      <c r="E449">
        <v>15.45</v>
      </c>
      <c r="F449">
        <v>426951</v>
      </c>
    </row>
    <row r="450" spans="1:6">
      <c r="A450" s="39">
        <v>42795</v>
      </c>
      <c r="B450">
        <v>15.51</v>
      </c>
      <c r="C450">
        <v>15.54</v>
      </c>
      <c r="D450">
        <v>15.43</v>
      </c>
      <c r="E450">
        <v>15.48</v>
      </c>
      <c r="F450">
        <v>445027</v>
      </c>
    </row>
    <row r="451" spans="1:6">
      <c r="A451" s="39">
        <v>42796</v>
      </c>
      <c r="B451">
        <v>15.28</v>
      </c>
      <c r="C451">
        <v>15.32</v>
      </c>
      <c r="D451">
        <v>15.18</v>
      </c>
      <c r="E451">
        <v>15.21</v>
      </c>
      <c r="F451">
        <v>187114</v>
      </c>
    </row>
    <row r="452" spans="1:6">
      <c r="A452" s="39">
        <v>42797</v>
      </c>
      <c r="B452">
        <v>15.21</v>
      </c>
      <c r="C452">
        <v>15.31</v>
      </c>
      <c r="D452">
        <v>15.21</v>
      </c>
      <c r="E452">
        <v>15.29</v>
      </c>
      <c r="F452">
        <v>105342</v>
      </c>
    </row>
    <row r="453" spans="1:6">
      <c r="A453" s="39">
        <v>42800</v>
      </c>
      <c r="B453">
        <v>15.35</v>
      </c>
      <c r="C453">
        <v>15.38</v>
      </c>
      <c r="D453">
        <v>15.27</v>
      </c>
      <c r="E453">
        <v>15.31</v>
      </c>
      <c r="F453">
        <v>116380</v>
      </c>
    </row>
    <row r="454" spans="1:6">
      <c r="A454" s="39">
        <v>42801</v>
      </c>
      <c r="B454">
        <v>15.37</v>
      </c>
      <c r="C454">
        <v>15.38</v>
      </c>
      <c r="D454">
        <v>15.22</v>
      </c>
      <c r="E454">
        <v>15.23</v>
      </c>
      <c r="F454">
        <v>113599</v>
      </c>
    </row>
    <row r="455" spans="1:6">
      <c r="A455" s="39">
        <v>42802</v>
      </c>
      <c r="B455">
        <v>15.12</v>
      </c>
      <c r="C455">
        <v>15.22</v>
      </c>
      <c r="D455">
        <v>14.77</v>
      </c>
      <c r="E455">
        <v>14.81</v>
      </c>
      <c r="F455">
        <v>219692</v>
      </c>
    </row>
    <row r="456" spans="1:6">
      <c r="A456" s="39">
        <v>42803</v>
      </c>
      <c r="B456">
        <v>14.74</v>
      </c>
      <c r="C456">
        <v>14.76</v>
      </c>
      <c r="D456">
        <v>14.52</v>
      </c>
      <c r="E456">
        <v>14.68</v>
      </c>
      <c r="F456">
        <v>300049</v>
      </c>
    </row>
    <row r="457" spans="1:6">
      <c r="A457" s="39">
        <v>42804</v>
      </c>
      <c r="B457">
        <v>14.66</v>
      </c>
      <c r="C457">
        <v>14.66</v>
      </c>
      <c r="D457">
        <v>14.47</v>
      </c>
      <c r="E457">
        <v>14.51</v>
      </c>
      <c r="F457">
        <v>209661</v>
      </c>
    </row>
    <row r="458" spans="1:6">
      <c r="A458" s="39">
        <v>42807</v>
      </c>
      <c r="B458">
        <v>14.51</v>
      </c>
      <c r="C458">
        <v>14.54</v>
      </c>
      <c r="D458">
        <v>14.45</v>
      </c>
      <c r="E458">
        <v>14.48</v>
      </c>
      <c r="F458">
        <v>411081</v>
      </c>
    </row>
    <row r="459" spans="1:6">
      <c r="A459" s="39">
        <v>42808</v>
      </c>
      <c r="B459">
        <v>14.36</v>
      </c>
      <c r="C459">
        <v>14.42</v>
      </c>
      <c r="D459">
        <v>14.29</v>
      </c>
      <c r="E459">
        <v>14.42</v>
      </c>
      <c r="F459">
        <v>537930</v>
      </c>
    </row>
    <row r="460" spans="1:6">
      <c r="A460" s="39">
        <v>42809</v>
      </c>
      <c r="B460">
        <v>14.5</v>
      </c>
      <c r="C460">
        <v>14.59</v>
      </c>
      <c r="D460">
        <v>14.46</v>
      </c>
      <c r="E460">
        <v>14.59</v>
      </c>
      <c r="F460">
        <v>324261</v>
      </c>
    </row>
    <row r="461" spans="1:6">
      <c r="A461" s="39">
        <v>42810</v>
      </c>
      <c r="B461">
        <v>14.62</v>
      </c>
      <c r="C461">
        <v>14.63</v>
      </c>
      <c r="D461">
        <v>14.54</v>
      </c>
      <c r="E461">
        <v>14.6</v>
      </c>
      <c r="F461">
        <v>434558</v>
      </c>
    </row>
    <row r="462" spans="1:6">
      <c r="A462" s="39">
        <v>42811</v>
      </c>
      <c r="B462">
        <v>14.59</v>
      </c>
      <c r="C462">
        <v>14.65</v>
      </c>
      <c r="D462">
        <v>14.55</v>
      </c>
      <c r="E462">
        <v>14.59</v>
      </c>
      <c r="F462">
        <v>376946</v>
      </c>
    </row>
    <row r="463" spans="1:6">
      <c r="A463" s="39">
        <v>42814</v>
      </c>
      <c r="B463">
        <v>14.54</v>
      </c>
      <c r="C463">
        <v>14.63</v>
      </c>
      <c r="D463">
        <v>14.53</v>
      </c>
      <c r="E463">
        <v>14.56</v>
      </c>
      <c r="F463">
        <v>213293</v>
      </c>
    </row>
    <row r="464" spans="1:6">
      <c r="A464" s="39">
        <v>42815</v>
      </c>
      <c r="B464">
        <v>14.55</v>
      </c>
      <c r="C464">
        <v>14.6</v>
      </c>
      <c r="D464">
        <v>14.42</v>
      </c>
      <c r="E464">
        <v>14.45</v>
      </c>
      <c r="F464">
        <v>383950</v>
      </c>
    </row>
    <row r="465" spans="1:6">
      <c r="A465" s="39">
        <v>42816</v>
      </c>
      <c r="B465">
        <v>14.35</v>
      </c>
      <c r="C465">
        <v>14.46</v>
      </c>
      <c r="D465">
        <v>14.26</v>
      </c>
      <c r="E465">
        <v>14.45</v>
      </c>
      <c r="F465">
        <v>323838</v>
      </c>
    </row>
    <row r="466" spans="1:6">
      <c r="A466" s="39">
        <v>42817</v>
      </c>
      <c r="B466">
        <v>14.4</v>
      </c>
      <c r="C466">
        <v>14.41</v>
      </c>
      <c r="D466">
        <v>14.34</v>
      </c>
      <c r="E466">
        <v>14.39</v>
      </c>
      <c r="F466">
        <v>106151</v>
      </c>
    </row>
    <row r="467" spans="1:6">
      <c r="A467" s="39">
        <v>42818</v>
      </c>
      <c r="B467">
        <v>14.39</v>
      </c>
      <c r="C467">
        <v>14.44</v>
      </c>
      <c r="D467">
        <v>14.37</v>
      </c>
      <c r="E467">
        <v>14.43</v>
      </c>
      <c r="F467">
        <v>261302</v>
      </c>
    </row>
    <row r="468" spans="1:6">
      <c r="A468" s="39">
        <v>42821</v>
      </c>
      <c r="B468">
        <v>14.32</v>
      </c>
      <c r="C468">
        <v>14.39</v>
      </c>
      <c r="D468">
        <v>14.24</v>
      </c>
      <c r="E468">
        <v>14.39</v>
      </c>
      <c r="F468">
        <v>208876</v>
      </c>
    </row>
    <row r="469" spans="1:6">
      <c r="A469" s="39">
        <v>42822</v>
      </c>
      <c r="B469">
        <v>14.46</v>
      </c>
      <c r="C469">
        <v>14.55</v>
      </c>
      <c r="D469">
        <v>14.43</v>
      </c>
      <c r="E469">
        <v>14.49</v>
      </c>
      <c r="F469">
        <v>144629</v>
      </c>
    </row>
    <row r="470" spans="1:6">
      <c r="A470" s="39">
        <v>42823</v>
      </c>
      <c r="B470">
        <v>14.51</v>
      </c>
      <c r="C470">
        <v>14.66</v>
      </c>
      <c r="D470">
        <v>14.51</v>
      </c>
      <c r="E470">
        <v>14.65</v>
      </c>
      <c r="F470">
        <v>462892</v>
      </c>
    </row>
    <row r="471" spans="1:6">
      <c r="A471" s="39">
        <v>42824</v>
      </c>
      <c r="B471">
        <v>14.69</v>
      </c>
      <c r="C471">
        <v>14.78</v>
      </c>
      <c r="D471">
        <v>14.66</v>
      </c>
      <c r="E471">
        <v>14.73</v>
      </c>
      <c r="F471">
        <v>115106</v>
      </c>
    </row>
    <row r="472" spans="1:6">
      <c r="A472" s="39">
        <v>42825</v>
      </c>
      <c r="B472">
        <v>14.67</v>
      </c>
      <c r="C472">
        <v>14.82</v>
      </c>
      <c r="D472">
        <v>14.67</v>
      </c>
      <c r="E472">
        <v>14.82</v>
      </c>
      <c r="F472">
        <v>2539133</v>
      </c>
    </row>
    <row r="473" spans="1:6">
      <c r="A473" s="39">
        <v>42828</v>
      </c>
      <c r="B473">
        <v>14.79</v>
      </c>
      <c r="C473">
        <v>14.82</v>
      </c>
      <c r="D473">
        <v>14.66</v>
      </c>
      <c r="E473">
        <v>14.67</v>
      </c>
      <c r="F473">
        <v>4192150</v>
      </c>
    </row>
    <row r="474" spans="1:6">
      <c r="A474" s="39">
        <v>42829</v>
      </c>
      <c r="B474">
        <v>14.75</v>
      </c>
      <c r="C474">
        <v>14.85</v>
      </c>
      <c r="D474">
        <v>14.74</v>
      </c>
      <c r="E474">
        <v>14.84</v>
      </c>
      <c r="F474">
        <v>317934</v>
      </c>
    </row>
    <row r="475" spans="1:6">
      <c r="A475" s="39">
        <v>42830</v>
      </c>
      <c r="B475">
        <v>14.97</v>
      </c>
      <c r="C475">
        <v>14.99</v>
      </c>
      <c r="D475">
        <v>14.82</v>
      </c>
      <c r="E475">
        <v>14.83</v>
      </c>
      <c r="F475">
        <v>1736468</v>
      </c>
    </row>
    <row r="476" spans="1:6">
      <c r="A476" s="39">
        <v>42831</v>
      </c>
      <c r="B476">
        <v>14.94</v>
      </c>
      <c r="C476">
        <v>14.98</v>
      </c>
      <c r="D476">
        <v>14.91</v>
      </c>
      <c r="E476">
        <v>14.96</v>
      </c>
      <c r="F476">
        <v>121172</v>
      </c>
    </row>
    <row r="477" spans="1:6">
      <c r="A477" s="39">
        <v>42832</v>
      </c>
      <c r="B477">
        <v>14.99</v>
      </c>
      <c r="C477">
        <v>15.05</v>
      </c>
      <c r="D477">
        <v>14.94</v>
      </c>
      <c r="E477">
        <v>15.02</v>
      </c>
      <c r="F477">
        <v>193594</v>
      </c>
    </row>
    <row r="478" spans="1:6">
      <c r="A478" s="39">
        <v>42835</v>
      </c>
      <c r="B478">
        <v>15.11</v>
      </c>
      <c r="C478">
        <v>15.15</v>
      </c>
      <c r="D478">
        <v>15.07</v>
      </c>
      <c r="E478">
        <v>15.15</v>
      </c>
      <c r="F478">
        <v>173860</v>
      </c>
    </row>
    <row r="479" spans="1:6">
      <c r="A479" s="39">
        <v>42836</v>
      </c>
      <c r="B479">
        <v>15.1</v>
      </c>
      <c r="C479">
        <v>15.19</v>
      </c>
      <c r="D479">
        <v>15.06</v>
      </c>
      <c r="E479">
        <v>15.18</v>
      </c>
      <c r="F479">
        <v>263855</v>
      </c>
    </row>
    <row r="480" spans="1:6">
      <c r="A480" s="39">
        <v>42837</v>
      </c>
      <c r="B480">
        <v>15.25</v>
      </c>
      <c r="C480">
        <v>15.25</v>
      </c>
      <c r="D480">
        <v>15.09</v>
      </c>
      <c r="E480">
        <v>15.12</v>
      </c>
      <c r="F480">
        <v>75876</v>
      </c>
    </row>
    <row r="481" spans="1:6">
      <c r="A481" s="39">
        <v>42838</v>
      </c>
      <c r="B481">
        <v>15.17</v>
      </c>
      <c r="C481">
        <v>15.21</v>
      </c>
      <c r="D481">
        <v>15.13</v>
      </c>
      <c r="E481">
        <v>15.17</v>
      </c>
      <c r="F481">
        <v>125494</v>
      </c>
    </row>
    <row r="482" spans="1:6">
      <c r="A482" s="39">
        <v>42842</v>
      </c>
      <c r="B482">
        <v>15.16</v>
      </c>
      <c r="C482">
        <v>15.19</v>
      </c>
      <c r="D482">
        <v>15.08</v>
      </c>
      <c r="E482">
        <v>15.1</v>
      </c>
      <c r="F482">
        <v>172356</v>
      </c>
    </row>
    <row r="483" spans="1:6">
      <c r="A483" s="39">
        <v>42843</v>
      </c>
      <c r="B483">
        <v>15.01</v>
      </c>
      <c r="C483">
        <v>15.07</v>
      </c>
      <c r="D483">
        <v>14.92</v>
      </c>
      <c r="E483">
        <v>15.02</v>
      </c>
      <c r="F483">
        <v>145549</v>
      </c>
    </row>
    <row r="484" spans="1:6">
      <c r="A484" s="39">
        <v>42844</v>
      </c>
      <c r="B484">
        <v>15.01</v>
      </c>
      <c r="C484">
        <v>15.05</v>
      </c>
      <c r="D484">
        <v>14.63</v>
      </c>
      <c r="E484">
        <v>14.71</v>
      </c>
      <c r="F484">
        <v>241100</v>
      </c>
    </row>
    <row r="485" spans="1:6">
      <c r="A485" s="39">
        <v>42845</v>
      </c>
      <c r="B485">
        <v>14.75</v>
      </c>
      <c r="C485">
        <v>14.75</v>
      </c>
      <c r="D485">
        <v>14.61</v>
      </c>
      <c r="E485">
        <v>14.65</v>
      </c>
      <c r="F485">
        <v>194919</v>
      </c>
    </row>
    <row r="486" spans="1:6">
      <c r="A486" s="39">
        <v>42846</v>
      </c>
      <c r="B486">
        <v>14.64</v>
      </c>
      <c r="C486">
        <v>14.67</v>
      </c>
      <c r="D486">
        <v>14.42</v>
      </c>
      <c r="E486">
        <v>14.46</v>
      </c>
      <c r="F486">
        <v>346968</v>
      </c>
    </row>
    <row r="487" spans="1:6">
      <c r="A487" s="39">
        <v>42849</v>
      </c>
      <c r="B487">
        <v>14.45</v>
      </c>
      <c r="C487">
        <v>14.45</v>
      </c>
      <c r="D487">
        <v>14.36</v>
      </c>
      <c r="E487">
        <v>14.39</v>
      </c>
      <c r="F487">
        <v>141245</v>
      </c>
    </row>
    <row r="488" spans="1:6">
      <c r="A488" s="39">
        <v>42850</v>
      </c>
      <c r="B488">
        <v>14.4</v>
      </c>
      <c r="C488">
        <v>14.54</v>
      </c>
      <c r="D488">
        <v>14.34</v>
      </c>
      <c r="E488">
        <v>14.52</v>
      </c>
      <c r="F488">
        <v>328969</v>
      </c>
    </row>
    <row r="489" spans="1:6">
      <c r="A489" s="39">
        <v>42851</v>
      </c>
      <c r="B489">
        <v>14.38</v>
      </c>
      <c r="C489">
        <v>14.59</v>
      </c>
      <c r="D489">
        <v>14.38</v>
      </c>
      <c r="E489">
        <v>14.42</v>
      </c>
      <c r="F489">
        <v>1198413</v>
      </c>
    </row>
    <row r="490" spans="1:6">
      <c r="A490" s="39">
        <v>42852</v>
      </c>
      <c r="B490">
        <v>14.31</v>
      </c>
      <c r="C490">
        <v>14.42</v>
      </c>
      <c r="D490">
        <v>14.25</v>
      </c>
      <c r="E490">
        <v>14.42</v>
      </c>
      <c r="F490">
        <v>249550</v>
      </c>
    </row>
    <row r="491" spans="1:6">
      <c r="A491" s="39">
        <v>42853</v>
      </c>
      <c r="B491">
        <v>14.45</v>
      </c>
      <c r="C491">
        <v>14.49</v>
      </c>
      <c r="D491">
        <v>14.38</v>
      </c>
      <c r="E491">
        <v>14.43</v>
      </c>
      <c r="F491">
        <v>219381</v>
      </c>
    </row>
    <row r="492" spans="1:6">
      <c r="A492" s="39">
        <v>42856</v>
      </c>
      <c r="B492">
        <v>14.44</v>
      </c>
      <c r="C492">
        <v>14.48</v>
      </c>
      <c r="D492">
        <v>14.41</v>
      </c>
      <c r="E492">
        <v>14.46</v>
      </c>
      <c r="F492">
        <v>343581</v>
      </c>
    </row>
    <row r="493" spans="1:6">
      <c r="A493" s="39">
        <v>42857</v>
      </c>
      <c r="B493">
        <v>14.46</v>
      </c>
      <c r="C493">
        <v>14.46</v>
      </c>
      <c r="D493">
        <v>14.25</v>
      </c>
      <c r="E493">
        <v>14.3</v>
      </c>
      <c r="F493">
        <v>165291</v>
      </c>
    </row>
    <row r="494" spans="1:6">
      <c r="A494" s="39">
        <v>42858</v>
      </c>
      <c r="B494">
        <v>14.24</v>
      </c>
      <c r="C494">
        <v>14.36</v>
      </c>
      <c r="D494">
        <v>14.24</v>
      </c>
      <c r="E494">
        <v>14.3</v>
      </c>
      <c r="F494">
        <v>84991</v>
      </c>
    </row>
    <row r="495" spans="1:6">
      <c r="A495" s="39">
        <v>42859</v>
      </c>
      <c r="B495">
        <v>13.87</v>
      </c>
      <c r="C495">
        <v>14.16</v>
      </c>
      <c r="D495">
        <v>13.83</v>
      </c>
      <c r="E495">
        <v>13.9</v>
      </c>
      <c r="F495">
        <v>90057</v>
      </c>
    </row>
    <row r="496" spans="1:6">
      <c r="A496" s="39">
        <v>42860</v>
      </c>
      <c r="B496">
        <v>13.95</v>
      </c>
      <c r="C496">
        <v>14.1</v>
      </c>
      <c r="D496">
        <v>13.92</v>
      </c>
      <c r="E496">
        <v>14.04</v>
      </c>
      <c r="F496">
        <v>210232</v>
      </c>
    </row>
    <row r="497" spans="1:6">
      <c r="A497" s="39">
        <v>42863</v>
      </c>
      <c r="B497">
        <v>14.01</v>
      </c>
      <c r="C497">
        <v>14.06</v>
      </c>
      <c r="D497">
        <v>13.9</v>
      </c>
      <c r="E497">
        <v>14.03</v>
      </c>
      <c r="F497">
        <v>55334</v>
      </c>
    </row>
    <row r="498" spans="1:6">
      <c r="A498" s="39">
        <v>42864</v>
      </c>
      <c r="B498">
        <v>14.04</v>
      </c>
      <c r="C498">
        <v>14.04</v>
      </c>
      <c r="D498">
        <v>13.89</v>
      </c>
      <c r="E498">
        <v>13.91</v>
      </c>
      <c r="F498">
        <v>85858</v>
      </c>
    </row>
    <row r="499" spans="1:6">
      <c r="A499" s="39">
        <v>42865</v>
      </c>
      <c r="B499">
        <v>14.03</v>
      </c>
      <c r="C499">
        <v>14.21</v>
      </c>
      <c r="D499">
        <v>13.99</v>
      </c>
      <c r="E499">
        <v>14.18</v>
      </c>
      <c r="F499">
        <v>75247</v>
      </c>
    </row>
    <row r="500" spans="1:6">
      <c r="A500" s="39">
        <v>42866</v>
      </c>
      <c r="B500">
        <v>14.27</v>
      </c>
      <c r="C500">
        <v>14.29</v>
      </c>
      <c r="D500">
        <v>14.2</v>
      </c>
      <c r="E500">
        <v>14.25</v>
      </c>
      <c r="F500">
        <v>47958</v>
      </c>
    </row>
    <row r="501" spans="1:6">
      <c r="A501" s="39">
        <v>42867</v>
      </c>
      <c r="B501">
        <v>14.29</v>
      </c>
      <c r="C501">
        <v>14.33</v>
      </c>
      <c r="D501">
        <v>14.23</v>
      </c>
      <c r="E501">
        <v>14.32</v>
      </c>
      <c r="F501">
        <v>948136</v>
      </c>
    </row>
    <row r="502" spans="1:6">
      <c r="A502" s="39">
        <v>42870</v>
      </c>
      <c r="B502">
        <v>14.54</v>
      </c>
      <c r="C502">
        <v>14.54</v>
      </c>
      <c r="D502">
        <v>14.39</v>
      </c>
      <c r="E502">
        <v>14.43</v>
      </c>
      <c r="F502">
        <v>349289</v>
      </c>
    </row>
    <row r="503" spans="1:6">
      <c r="A503" s="39">
        <v>42871</v>
      </c>
      <c r="B503">
        <v>14.47</v>
      </c>
      <c r="C503">
        <v>14.49</v>
      </c>
      <c r="D503">
        <v>14.35</v>
      </c>
      <c r="E503">
        <v>14.38</v>
      </c>
      <c r="F503">
        <v>221456</v>
      </c>
    </row>
    <row r="504" spans="1:6">
      <c r="A504" s="39">
        <v>42872</v>
      </c>
      <c r="B504">
        <v>14.49</v>
      </c>
      <c r="C504">
        <v>14.52</v>
      </c>
      <c r="D504">
        <v>14.37</v>
      </c>
      <c r="E504">
        <v>14.45</v>
      </c>
      <c r="F504">
        <v>430352</v>
      </c>
    </row>
    <row r="505" spans="1:6">
      <c r="A505" s="39">
        <v>42873</v>
      </c>
      <c r="B505">
        <v>14.35</v>
      </c>
      <c r="C505">
        <v>14.49</v>
      </c>
      <c r="D505">
        <v>14.31</v>
      </c>
      <c r="E505">
        <v>14.45</v>
      </c>
      <c r="F505">
        <v>177079</v>
      </c>
    </row>
    <row r="506" spans="1:6">
      <c r="A506" s="39">
        <v>42874</v>
      </c>
      <c r="B506">
        <v>14.61</v>
      </c>
      <c r="C506">
        <v>14.74</v>
      </c>
      <c r="D506">
        <v>14.61</v>
      </c>
      <c r="E506">
        <v>14.73</v>
      </c>
      <c r="F506">
        <v>135458</v>
      </c>
    </row>
  </sheetData>
  <sortState ref="A3:F506">
    <sortCondition ref="A3:A506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06"/>
  <sheetViews>
    <sheetView workbookViewId="0"/>
  </sheetViews>
  <sheetFormatPr defaultRowHeight="15"/>
  <cols>
    <col min="1" max="7" width="10.7109375" customWidth="1"/>
  </cols>
  <sheetData>
    <row r="1" spans="1:6">
      <c r="A1" t="s">
        <v>58</v>
      </c>
    </row>
    <row r="2" spans="1:6">
      <c r="A2" t="s">
        <v>26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</row>
    <row r="3" spans="1:6">
      <c r="A3" s="39">
        <v>42145</v>
      </c>
      <c r="B3">
        <v>115.53</v>
      </c>
      <c r="C3">
        <v>116</v>
      </c>
      <c r="D3">
        <v>115.47</v>
      </c>
      <c r="E3">
        <v>115.69</v>
      </c>
      <c r="F3">
        <v>2514693</v>
      </c>
    </row>
    <row r="4" spans="1:6">
      <c r="A4" s="39">
        <v>42146</v>
      </c>
      <c r="B4">
        <v>115.51</v>
      </c>
      <c r="C4">
        <v>115.93</v>
      </c>
      <c r="D4">
        <v>115.32</v>
      </c>
      <c r="E4">
        <v>115.6</v>
      </c>
      <c r="F4">
        <v>1780191</v>
      </c>
    </row>
    <row r="5" spans="1:6">
      <c r="A5" s="39">
        <v>42150</v>
      </c>
      <c r="B5">
        <v>113.84</v>
      </c>
      <c r="C5">
        <v>114.23</v>
      </c>
      <c r="D5">
        <v>113.7</v>
      </c>
      <c r="E5">
        <v>113.91</v>
      </c>
      <c r="F5">
        <v>5769580</v>
      </c>
    </row>
    <row r="6" spans="1:6">
      <c r="A6" s="39">
        <v>42151</v>
      </c>
      <c r="B6">
        <v>113.78</v>
      </c>
      <c r="C6">
        <v>114.01</v>
      </c>
      <c r="D6">
        <v>113.63</v>
      </c>
      <c r="E6">
        <v>113.89</v>
      </c>
      <c r="F6">
        <v>2681069</v>
      </c>
    </row>
    <row r="7" spans="1:6">
      <c r="A7" s="39">
        <v>42152</v>
      </c>
      <c r="B7">
        <v>113.85</v>
      </c>
      <c r="C7">
        <v>114.16</v>
      </c>
      <c r="D7">
        <v>113.21</v>
      </c>
      <c r="E7">
        <v>114.02</v>
      </c>
      <c r="F7">
        <v>5266016</v>
      </c>
    </row>
    <row r="8" spans="1:6">
      <c r="A8" s="39">
        <v>42153</v>
      </c>
      <c r="B8">
        <v>114.14</v>
      </c>
      <c r="C8">
        <v>114.48</v>
      </c>
      <c r="D8">
        <v>114</v>
      </c>
      <c r="E8">
        <v>114.1</v>
      </c>
      <c r="F8">
        <v>3407489</v>
      </c>
    </row>
    <row r="9" spans="1:6">
      <c r="A9" s="39">
        <v>42156</v>
      </c>
      <c r="B9">
        <v>115.02</v>
      </c>
      <c r="C9">
        <v>115.5</v>
      </c>
      <c r="D9">
        <v>113.9</v>
      </c>
      <c r="E9">
        <v>114</v>
      </c>
      <c r="F9">
        <v>8254034</v>
      </c>
    </row>
    <row r="10" spans="1:6">
      <c r="A10" s="39">
        <v>42157</v>
      </c>
      <c r="B10">
        <v>114.36</v>
      </c>
      <c r="C10">
        <v>114.64</v>
      </c>
      <c r="D10">
        <v>114.17</v>
      </c>
      <c r="E10">
        <v>114.46</v>
      </c>
      <c r="F10">
        <v>3988639</v>
      </c>
    </row>
    <row r="11" spans="1:6">
      <c r="A11" s="39">
        <v>42158</v>
      </c>
      <c r="B11">
        <v>114.13</v>
      </c>
      <c r="C11">
        <v>114.37</v>
      </c>
      <c r="D11">
        <v>113.08</v>
      </c>
      <c r="E11">
        <v>113.64</v>
      </c>
      <c r="F11">
        <v>4886054</v>
      </c>
    </row>
    <row r="12" spans="1:6">
      <c r="A12" s="39">
        <v>42159</v>
      </c>
      <c r="B12">
        <v>112.98</v>
      </c>
      <c r="C12">
        <v>113.15</v>
      </c>
      <c r="D12">
        <v>112.48</v>
      </c>
      <c r="E12">
        <v>112.84</v>
      </c>
      <c r="F12">
        <v>5566618</v>
      </c>
    </row>
    <row r="13" spans="1:6">
      <c r="A13" s="39">
        <v>42160</v>
      </c>
      <c r="B13">
        <v>111.6</v>
      </c>
      <c r="C13">
        <v>112.39</v>
      </c>
      <c r="D13">
        <v>111.57</v>
      </c>
      <c r="E13">
        <v>112.24</v>
      </c>
      <c r="F13">
        <v>5561283</v>
      </c>
    </row>
    <row r="14" spans="1:6">
      <c r="A14" s="39">
        <v>42163</v>
      </c>
      <c r="B14">
        <v>112.39</v>
      </c>
      <c r="C14">
        <v>112.66</v>
      </c>
      <c r="D14">
        <v>112.13</v>
      </c>
      <c r="E14">
        <v>112.57</v>
      </c>
      <c r="F14">
        <v>3122078</v>
      </c>
    </row>
    <row r="15" spans="1:6">
      <c r="A15" s="39">
        <v>42164</v>
      </c>
      <c r="B15">
        <v>113.15</v>
      </c>
      <c r="C15">
        <v>113.23</v>
      </c>
      <c r="D15">
        <v>112.71</v>
      </c>
      <c r="E15">
        <v>112.82</v>
      </c>
      <c r="F15">
        <v>3529924</v>
      </c>
    </row>
    <row r="16" spans="1:6">
      <c r="A16" s="39">
        <v>42165</v>
      </c>
      <c r="B16">
        <v>114.14</v>
      </c>
      <c r="C16">
        <v>114.14</v>
      </c>
      <c r="D16">
        <v>113.69</v>
      </c>
      <c r="E16">
        <v>113.78</v>
      </c>
      <c r="F16">
        <v>5452863</v>
      </c>
    </row>
    <row r="17" spans="1:6">
      <c r="A17" s="39">
        <v>42166</v>
      </c>
      <c r="B17">
        <v>113.27</v>
      </c>
      <c r="C17">
        <v>113.41</v>
      </c>
      <c r="D17">
        <v>112.92</v>
      </c>
      <c r="E17">
        <v>113.26</v>
      </c>
      <c r="F17">
        <v>4434731</v>
      </c>
    </row>
    <row r="18" spans="1:6">
      <c r="A18" s="39">
        <v>42167</v>
      </c>
      <c r="B18">
        <v>113.06</v>
      </c>
      <c r="C18">
        <v>113.5</v>
      </c>
      <c r="D18">
        <v>112.96</v>
      </c>
      <c r="E18">
        <v>113.23</v>
      </c>
      <c r="F18">
        <v>2998483</v>
      </c>
    </row>
    <row r="19" spans="1:6">
      <c r="A19" s="39">
        <v>42170</v>
      </c>
      <c r="B19">
        <v>113.28</v>
      </c>
      <c r="C19">
        <v>114.15</v>
      </c>
      <c r="D19">
        <v>113.21</v>
      </c>
      <c r="E19">
        <v>113.73</v>
      </c>
      <c r="F19">
        <v>5055086</v>
      </c>
    </row>
    <row r="20" spans="1:6">
      <c r="A20" s="39">
        <v>42171</v>
      </c>
      <c r="B20">
        <v>113.08</v>
      </c>
      <c r="C20">
        <v>113.45</v>
      </c>
      <c r="D20">
        <v>112.79</v>
      </c>
      <c r="E20">
        <v>113.32</v>
      </c>
      <c r="F20">
        <v>4033268</v>
      </c>
    </row>
    <row r="21" spans="1:6">
      <c r="A21" s="39">
        <v>42172</v>
      </c>
      <c r="B21">
        <v>113.07</v>
      </c>
      <c r="C21">
        <v>114.04</v>
      </c>
      <c r="D21">
        <v>112.63</v>
      </c>
      <c r="E21">
        <v>113.85</v>
      </c>
      <c r="F21">
        <v>6455983</v>
      </c>
    </row>
    <row r="22" spans="1:6">
      <c r="A22" s="39">
        <v>42173</v>
      </c>
      <c r="B22">
        <v>115.19</v>
      </c>
      <c r="C22">
        <v>115.61</v>
      </c>
      <c r="D22">
        <v>114.89</v>
      </c>
      <c r="E22">
        <v>115.32</v>
      </c>
      <c r="F22">
        <v>8041255</v>
      </c>
    </row>
    <row r="23" spans="1:6">
      <c r="A23" s="39">
        <v>42174</v>
      </c>
      <c r="B23">
        <v>115.34</v>
      </c>
      <c r="C23">
        <v>115.46</v>
      </c>
      <c r="D23">
        <v>114.95</v>
      </c>
      <c r="E23">
        <v>115.12</v>
      </c>
      <c r="F23">
        <v>4611647</v>
      </c>
    </row>
    <row r="24" spans="1:6">
      <c r="A24" s="39">
        <v>42177</v>
      </c>
      <c r="B24">
        <v>113.79</v>
      </c>
      <c r="C24">
        <v>113.94</v>
      </c>
      <c r="D24">
        <v>113.34</v>
      </c>
      <c r="E24">
        <v>113.64</v>
      </c>
      <c r="F24">
        <v>5763662</v>
      </c>
    </row>
    <row r="25" spans="1:6">
      <c r="A25" s="39">
        <v>42178</v>
      </c>
      <c r="B25">
        <v>112.96</v>
      </c>
      <c r="C25">
        <v>113.17</v>
      </c>
      <c r="D25">
        <v>112.79</v>
      </c>
      <c r="E25">
        <v>112.89</v>
      </c>
      <c r="F25">
        <v>4522797</v>
      </c>
    </row>
    <row r="26" spans="1:6">
      <c r="A26" s="39">
        <v>42179</v>
      </c>
      <c r="B26">
        <v>112.48</v>
      </c>
      <c r="C26">
        <v>112.74</v>
      </c>
      <c r="D26">
        <v>112.31</v>
      </c>
      <c r="E26">
        <v>112.59</v>
      </c>
      <c r="F26">
        <v>2975539</v>
      </c>
    </row>
    <row r="27" spans="1:6">
      <c r="A27" s="39">
        <v>42180</v>
      </c>
      <c r="B27">
        <v>112.43</v>
      </c>
      <c r="C27">
        <v>112.71</v>
      </c>
      <c r="D27">
        <v>112.32</v>
      </c>
      <c r="E27">
        <v>112.44</v>
      </c>
      <c r="F27">
        <v>2904711</v>
      </c>
    </row>
    <row r="28" spans="1:6">
      <c r="A28" s="39">
        <v>42181</v>
      </c>
      <c r="B28">
        <v>112.2</v>
      </c>
      <c r="C28">
        <v>112.68</v>
      </c>
      <c r="D28">
        <v>112.13</v>
      </c>
      <c r="E28">
        <v>112.56</v>
      </c>
      <c r="F28">
        <v>4392589</v>
      </c>
    </row>
    <row r="29" spans="1:6">
      <c r="A29" s="39">
        <v>42184</v>
      </c>
      <c r="B29">
        <v>112.81</v>
      </c>
      <c r="C29">
        <v>113.23</v>
      </c>
      <c r="D29">
        <v>112.53</v>
      </c>
      <c r="E29">
        <v>113.07</v>
      </c>
      <c r="F29">
        <v>5820226</v>
      </c>
    </row>
    <row r="30" spans="1:6">
      <c r="A30" s="39">
        <v>42185</v>
      </c>
      <c r="B30">
        <v>112.24</v>
      </c>
      <c r="C30">
        <v>113.05</v>
      </c>
      <c r="D30">
        <v>111.84</v>
      </c>
      <c r="E30">
        <v>112.37</v>
      </c>
      <c r="F30">
        <v>7897042</v>
      </c>
    </row>
    <row r="31" spans="1:6">
      <c r="A31" s="39">
        <v>42186</v>
      </c>
      <c r="B31">
        <v>112.12</v>
      </c>
      <c r="C31">
        <v>112.51</v>
      </c>
      <c r="D31">
        <v>111.94</v>
      </c>
      <c r="E31">
        <v>111.98</v>
      </c>
      <c r="F31">
        <v>4409026</v>
      </c>
    </row>
    <row r="32" spans="1:6">
      <c r="A32" s="39">
        <v>42187</v>
      </c>
      <c r="B32">
        <v>111.66</v>
      </c>
      <c r="C32">
        <v>111.84</v>
      </c>
      <c r="D32">
        <v>111.41</v>
      </c>
      <c r="E32">
        <v>111.76</v>
      </c>
      <c r="F32">
        <v>3838553</v>
      </c>
    </row>
    <row r="33" spans="1:6">
      <c r="A33" s="39">
        <v>42191</v>
      </c>
      <c r="B33">
        <v>111.71</v>
      </c>
      <c r="C33">
        <v>112.58</v>
      </c>
      <c r="D33">
        <v>111.63</v>
      </c>
      <c r="E33">
        <v>112.06</v>
      </c>
      <c r="F33">
        <v>4259775</v>
      </c>
    </row>
    <row r="34" spans="1:6">
      <c r="A34" s="39">
        <v>42192</v>
      </c>
      <c r="B34">
        <v>111.08</v>
      </c>
      <c r="C34">
        <v>111.14</v>
      </c>
      <c r="D34">
        <v>110.05</v>
      </c>
      <c r="E34">
        <v>110.76</v>
      </c>
      <c r="F34">
        <v>9073403</v>
      </c>
    </row>
    <row r="35" spans="1:6">
      <c r="A35" s="39">
        <v>42193</v>
      </c>
      <c r="B35">
        <v>111.38</v>
      </c>
      <c r="C35">
        <v>111.65</v>
      </c>
      <c r="D35">
        <v>111.08</v>
      </c>
      <c r="E35">
        <v>111.09</v>
      </c>
      <c r="F35">
        <v>5694941</v>
      </c>
    </row>
    <row r="36" spans="1:6">
      <c r="A36" s="39">
        <v>42194</v>
      </c>
      <c r="B36">
        <v>111.8</v>
      </c>
      <c r="C36">
        <v>111.93</v>
      </c>
      <c r="D36">
        <v>111.15</v>
      </c>
      <c r="E36">
        <v>111.36</v>
      </c>
      <c r="F36">
        <v>3802857</v>
      </c>
    </row>
    <row r="37" spans="1:6">
      <c r="A37" s="39">
        <v>42195</v>
      </c>
      <c r="B37">
        <v>111.18</v>
      </c>
      <c r="C37">
        <v>111.71</v>
      </c>
      <c r="D37">
        <v>111.03</v>
      </c>
      <c r="E37">
        <v>111.49</v>
      </c>
      <c r="F37">
        <v>3594918</v>
      </c>
    </row>
    <row r="38" spans="1:6">
      <c r="A38" s="39">
        <v>42198</v>
      </c>
      <c r="B38">
        <v>110.43</v>
      </c>
      <c r="C38">
        <v>111.14</v>
      </c>
      <c r="D38">
        <v>110.36</v>
      </c>
      <c r="E38">
        <v>110.99</v>
      </c>
      <c r="F38">
        <v>4279310</v>
      </c>
    </row>
    <row r="39" spans="1:6">
      <c r="A39" s="39">
        <v>42199</v>
      </c>
      <c r="B39">
        <v>111</v>
      </c>
      <c r="C39">
        <v>111.08</v>
      </c>
      <c r="D39">
        <v>110.63</v>
      </c>
      <c r="E39">
        <v>110.74</v>
      </c>
      <c r="F39">
        <v>2600955</v>
      </c>
    </row>
    <row r="40" spans="1:6">
      <c r="A40" s="39">
        <v>42200</v>
      </c>
      <c r="B40">
        <v>110</v>
      </c>
      <c r="C40">
        <v>110.19</v>
      </c>
      <c r="D40">
        <v>109.58</v>
      </c>
      <c r="E40">
        <v>110.16</v>
      </c>
      <c r="F40">
        <v>9286201</v>
      </c>
    </row>
    <row r="41" spans="1:6">
      <c r="A41" s="39">
        <v>42201</v>
      </c>
      <c r="B41">
        <v>109.67</v>
      </c>
      <c r="C41">
        <v>110.01</v>
      </c>
      <c r="D41">
        <v>109.6</v>
      </c>
      <c r="E41">
        <v>109.76</v>
      </c>
      <c r="F41">
        <v>4629683</v>
      </c>
    </row>
    <row r="42" spans="1:6">
      <c r="A42" s="39">
        <v>42202</v>
      </c>
      <c r="B42">
        <v>109.11</v>
      </c>
      <c r="C42">
        <v>109.16</v>
      </c>
      <c r="D42">
        <v>108.4</v>
      </c>
      <c r="E42">
        <v>108.65</v>
      </c>
      <c r="F42">
        <v>14858273</v>
      </c>
    </row>
    <row r="43" spans="1:6">
      <c r="A43" s="39">
        <v>42205</v>
      </c>
      <c r="B43">
        <v>106.6</v>
      </c>
      <c r="C43">
        <v>106.65</v>
      </c>
      <c r="D43">
        <v>105.62</v>
      </c>
      <c r="E43">
        <v>105.7</v>
      </c>
      <c r="F43">
        <v>15751735</v>
      </c>
    </row>
    <row r="44" spans="1:6">
      <c r="A44" s="39">
        <v>42206</v>
      </c>
      <c r="B44">
        <v>105.81</v>
      </c>
      <c r="C44">
        <v>106.32</v>
      </c>
      <c r="D44">
        <v>105.25</v>
      </c>
      <c r="E44">
        <v>105.37</v>
      </c>
      <c r="F44">
        <v>10519791</v>
      </c>
    </row>
    <row r="45" spans="1:6">
      <c r="A45" s="39">
        <v>42207</v>
      </c>
      <c r="B45">
        <v>104.39</v>
      </c>
      <c r="C45">
        <v>105.09</v>
      </c>
      <c r="D45">
        <v>104.18</v>
      </c>
      <c r="E45">
        <v>104.8</v>
      </c>
      <c r="F45">
        <v>8349201</v>
      </c>
    </row>
    <row r="46" spans="1:6">
      <c r="A46" s="39">
        <v>42208</v>
      </c>
      <c r="B46">
        <v>104.98</v>
      </c>
      <c r="C46">
        <v>105.3</v>
      </c>
      <c r="D46">
        <v>104.2</v>
      </c>
      <c r="E46">
        <v>104.33</v>
      </c>
      <c r="F46">
        <v>5779289</v>
      </c>
    </row>
    <row r="47" spans="1:6">
      <c r="A47" s="39">
        <v>42209</v>
      </c>
      <c r="B47">
        <v>103.61</v>
      </c>
      <c r="C47">
        <v>105.59</v>
      </c>
      <c r="D47">
        <v>103.43</v>
      </c>
      <c r="E47">
        <v>105.35</v>
      </c>
      <c r="F47">
        <v>11572679</v>
      </c>
    </row>
    <row r="48" spans="1:6">
      <c r="A48" s="39">
        <v>42212</v>
      </c>
      <c r="B48">
        <v>104.94</v>
      </c>
      <c r="C48">
        <v>105.68</v>
      </c>
      <c r="D48">
        <v>104.66</v>
      </c>
      <c r="E48">
        <v>104.86</v>
      </c>
      <c r="F48">
        <v>10690142</v>
      </c>
    </row>
    <row r="49" spans="1:6">
      <c r="A49" s="39">
        <v>42213</v>
      </c>
      <c r="B49">
        <v>105.09</v>
      </c>
      <c r="C49">
        <v>105.33</v>
      </c>
      <c r="D49">
        <v>104.83</v>
      </c>
      <c r="E49">
        <v>105.02</v>
      </c>
      <c r="F49">
        <v>5549222</v>
      </c>
    </row>
    <row r="50" spans="1:6">
      <c r="A50" s="39">
        <v>42214</v>
      </c>
      <c r="B50">
        <v>104.93</v>
      </c>
      <c r="C50">
        <v>105.63</v>
      </c>
      <c r="D50">
        <v>104.49</v>
      </c>
      <c r="E50">
        <v>105.17</v>
      </c>
      <c r="F50">
        <v>5616909</v>
      </c>
    </row>
    <row r="51" spans="1:6">
      <c r="A51" s="39">
        <v>42215</v>
      </c>
      <c r="B51">
        <v>104.03</v>
      </c>
      <c r="C51">
        <v>104.97</v>
      </c>
      <c r="D51">
        <v>103.86</v>
      </c>
      <c r="E51">
        <v>104.27</v>
      </c>
      <c r="F51">
        <v>6651960</v>
      </c>
    </row>
    <row r="52" spans="1:6">
      <c r="A52" s="39">
        <v>42216</v>
      </c>
      <c r="B52">
        <v>105.41</v>
      </c>
      <c r="C52">
        <v>105.75</v>
      </c>
      <c r="D52">
        <v>104.69</v>
      </c>
      <c r="E52">
        <v>104.93</v>
      </c>
      <c r="F52">
        <v>6689175</v>
      </c>
    </row>
    <row r="53" spans="1:6">
      <c r="A53" s="39">
        <v>42219</v>
      </c>
      <c r="B53">
        <v>104.59</v>
      </c>
      <c r="C53">
        <v>104.82</v>
      </c>
      <c r="D53">
        <v>104.05</v>
      </c>
      <c r="E53">
        <v>104.1</v>
      </c>
      <c r="F53">
        <v>3528596</v>
      </c>
    </row>
    <row r="54" spans="1:6">
      <c r="A54" s="39">
        <v>42220</v>
      </c>
      <c r="B54">
        <v>104.56</v>
      </c>
      <c r="C54">
        <v>104.75</v>
      </c>
      <c r="D54">
        <v>103.95</v>
      </c>
      <c r="E54">
        <v>104.31</v>
      </c>
      <c r="F54">
        <v>3241016</v>
      </c>
    </row>
    <row r="55" spans="1:6">
      <c r="A55" s="39">
        <v>42221</v>
      </c>
      <c r="B55">
        <v>104.42</v>
      </c>
      <c r="C55">
        <v>104.5</v>
      </c>
      <c r="D55">
        <v>103.78</v>
      </c>
      <c r="E55">
        <v>103.93</v>
      </c>
      <c r="F55">
        <v>5041015</v>
      </c>
    </row>
    <row r="56" spans="1:6">
      <c r="A56" s="39">
        <v>42222</v>
      </c>
      <c r="B56">
        <v>104.15</v>
      </c>
      <c r="C56">
        <v>104.86</v>
      </c>
      <c r="D56">
        <v>104.14</v>
      </c>
      <c r="E56">
        <v>104.39</v>
      </c>
      <c r="F56">
        <v>3908124</v>
      </c>
    </row>
    <row r="57" spans="1:6">
      <c r="A57" s="39">
        <v>42223</v>
      </c>
      <c r="B57">
        <v>104.56</v>
      </c>
      <c r="C57">
        <v>105.38</v>
      </c>
      <c r="D57">
        <v>104.55</v>
      </c>
      <c r="E57">
        <v>104.65</v>
      </c>
      <c r="F57">
        <v>4400915</v>
      </c>
    </row>
    <row r="58" spans="1:6">
      <c r="A58" s="39">
        <v>42226</v>
      </c>
      <c r="B58">
        <v>105.03</v>
      </c>
      <c r="C58">
        <v>106.27</v>
      </c>
      <c r="D58">
        <v>104.92</v>
      </c>
      <c r="E58">
        <v>105.72</v>
      </c>
      <c r="F58">
        <v>5892602</v>
      </c>
    </row>
    <row r="59" spans="1:6">
      <c r="A59" s="39">
        <v>42227</v>
      </c>
      <c r="B59">
        <v>106.49</v>
      </c>
      <c r="C59">
        <v>106.63</v>
      </c>
      <c r="D59">
        <v>105.77</v>
      </c>
      <c r="E59">
        <v>106.26</v>
      </c>
      <c r="F59">
        <v>4060892</v>
      </c>
    </row>
    <row r="60" spans="1:6">
      <c r="A60" s="39">
        <v>42228</v>
      </c>
      <c r="B60">
        <v>106.99</v>
      </c>
      <c r="C60">
        <v>107.91</v>
      </c>
      <c r="D60">
        <v>106.93</v>
      </c>
      <c r="E60">
        <v>107.75</v>
      </c>
      <c r="F60">
        <v>10022547</v>
      </c>
    </row>
    <row r="61" spans="1:6">
      <c r="A61" s="39">
        <v>42229</v>
      </c>
      <c r="B61">
        <v>106.95</v>
      </c>
      <c r="C61">
        <v>107.18</v>
      </c>
      <c r="D61">
        <v>106.71</v>
      </c>
      <c r="E61">
        <v>106.86</v>
      </c>
      <c r="F61">
        <v>4761682</v>
      </c>
    </row>
    <row r="62" spans="1:6">
      <c r="A62" s="39">
        <v>42230</v>
      </c>
      <c r="B62">
        <v>107.07</v>
      </c>
      <c r="C62">
        <v>107.41</v>
      </c>
      <c r="D62">
        <v>106.54</v>
      </c>
      <c r="E62">
        <v>106.85</v>
      </c>
      <c r="F62">
        <v>3509238</v>
      </c>
    </row>
    <row r="63" spans="1:6">
      <c r="A63" s="39">
        <v>42233</v>
      </c>
      <c r="B63">
        <v>107.37</v>
      </c>
      <c r="C63">
        <v>107.51</v>
      </c>
      <c r="D63">
        <v>107</v>
      </c>
      <c r="E63">
        <v>107.13</v>
      </c>
      <c r="F63">
        <v>5769080</v>
      </c>
    </row>
    <row r="64" spans="1:6">
      <c r="A64" s="39">
        <v>42234</v>
      </c>
      <c r="B64">
        <v>106.67</v>
      </c>
      <c r="C64">
        <v>107.33</v>
      </c>
      <c r="D64">
        <v>106.31</v>
      </c>
      <c r="E64">
        <v>107.11</v>
      </c>
      <c r="F64">
        <v>4121839</v>
      </c>
    </row>
    <row r="65" spans="1:6">
      <c r="A65" s="39">
        <v>42235</v>
      </c>
      <c r="B65">
        <v>107.63</v>
      </c>
      <c r="C65">
        <v>108.67</v>
      </c>
      <c r="D65">
        <v>107.63</v>
      </c>
      <c r="E65">
        <v>108.55</v>
      </c>
      <c r="F65">
        <v>7035087</v>
      </c>
    </row>
    <row r="66" spans="1:6">
      <c r="A66" s="39">
        <v>42236</v>
      </c>
      <c r="B66">
        <v>109.81</v>
      </c>
      <c r="C66">
        <v>110.61</v>
      </c>
      <c r="D66">
        <v>109.7</v>
      </c>
      <c r="E66">
        <v>110.44</v>
      </c>
      <c r="F66">
        <v>12474567</v>
      </c>
    </row>
    <row r="67" spans="1:6">
      <c r="A67" s="39">
        <v>42237</v>
      </c>
      <c r="B67">
        <v>110.93</v>
      </c>
      <c r="C67">
        <v>111.33</v>
      </c>
      <c r="D67">
        <v>110.12</v>
      </c>
      <c r="E67">
        <v>111.13</v>
      </c>
      <c r="F67">
        <v>13853508</v>
      </c>
    </row>
    <row r="68" spans="1:6">
      <c r="A68" s="39">
        <v>42240</v>
      </c>
      <c r="B68">
        <v>111.54</v>
      </c>
      <c r="C68">
        <v>112.12</v>
      </c>
      <c r="D68">
        <v>109.77</v>
      </c>
      <c r="E68">
        <v>110.53</v>
      </c>
      <c r="F68">
        <v>18045519</v>
      </c>
    </row>
    <row r="69" spans="1:6">
      <c r="A69" s="39">
        <v>42241</v>
      </c>
      <c r="B69">
        <v>110.01</v>
      </c>
      <c r="C69">
        <v>110.05</v>
      </c>
      <c r="D69">
        <v>108.72</v>
      </c>
      <c r="E69">
        <v>109.16</v>
      </c>
      <c r="F69">
        <v>9158491</v>
      </c>
    </row>
    <row r="70" spans="1:6">
      <c r="A70" s="39">
        <v>42242</v>
      </c>
      <c r="B70">
        <v>107.72</v>
      </c>
      <c r="C70">
        <v>108.06</v>
      </c>
      <c r="D70">
        <v>107.08</v>
      </c>
      <c r="E70">
        <v>107.67</v>
      </c>
      <c r="F70">
        <v>10720637</v>
      </c>
    </row>
    <row r="71" spans="1:6">
      <c r="A71" s="39">
        <v>42243</v>
      </c>
      <c r="B71">
        <v>107.33</v>
      </c>
      <c r="C71">
        <v>108.04</v>
      </c>
      <c r="D71">
        <v>107.11</v>
      </c>
      <c r="E71">
        <v>107.73</v>
      </c>
      <c r="F71">
        <v>8065122</v>
      </c>
    </row>
    <row r="72" spans="1:6">
      <c r="A72" s="39">
        <v>42244</v>
      </c>
      <c r="B72">
        <v>108.17</v>
      </c>
      <c r="C72">
        <v>109.3</v>
      </c>
      <c r="D72">
        <v>108.12</v>
      </c>
      <c r="E72">
        <v>108.7</v>
      </c>
      <c r="F72">
        <v>7515493</v>
      </c>
    </row>
    <row r="73" spans="1:6">
      <c r="A73" s="39">
        <v>42247</v>
      </c>
      <c r="B73">
        <v>108.19</v>
      </c>
      <c r="C73">
        <v>108.92</v>
      </c>
      <c r="D73">
        <v>108.03</v>
      </c>
      <c r="E73">
        <v>108.82</v>
      </c>
      <c r="F73">
        <v>4258540</v>
      </c>
    </row>
    <row r="74" spans="1:6">
      <c r="A74" s="39">
        <v>42248</v>
      </c>
      <c r="B74">
        <v>109.63</v>
      </c>
      <c r="C74">
        <v>109.77</v>
      </c>
      <c r="D74">
        <v>108.94</v>
      </c>
      <c r="E74">
        <v>109.2</v>
      </c>
      <c r="F74">
        <v>7068364</v>
      </c>
    </row>
    <row r="75" spans="1:6">
      <c r="A75" s="39">
        <v>42249</v>
      </c>
      <c r="B75">
        <v>109.01</v>
      </c>
      <c r="C75">
        <v>109.34</v>
      </c>
      <c r="D75">
        <v>108.46</v>
      </c>
      <c r="E75">
        <v>108.62</v>
      </c>
      <c r="F75">
        <v>4097891</v>
      </c>
    </row>
    <row r="76" spans="1:6">
      <c r="A76" s="39">
        <v>42250</v>
      </c>
      <c r="B76">
        <v>107.77</v>
      </c>
      <c r="C76">
        <v>108.32</v>
      </c>
      <c r="D76">
        <v>107.56</v>
      </c>
      <c r="E76">
        <v>107.84</v>
      </c>
      <c r="F76">
        <v>3842965</v>
      </c>
    </row>
    <row r="77" spans="1:6">
      <c r="A77" s="39">
        <v>42251</v>
      </c>
      <c r="B77">
        <v>107.14</v>
      </c>
      <c r="C77">
        <v>107.56</v>
      </c>
      <c r="D77">
        <v>107.07</v>
      </c>
      <c r="E77">
        <v>107.49</v>
      </c>
      <c r="F77">
        <v>4020398</v>
      </c>
    </row>
    <row r="78" spans="1:6">
      <c r="A78" s="39">
        <v>42255</v>
      </c>
      <c r="B78">
        <v>107.6</v>
      </c>
      <c r="C78">
        <v>107.94</v>
      </c>
      <c r="D78">
        <v>107.31</v>
      </c>
      <c r="E78">
        <v>107.52</v>
      </c>
      <c r="F78">
        <v>5829059</v>
      </c>
    </row>
    <row r="79" spans="1:6">
      <c r="A79" s="39">
        <v>42256</v>
      </c>
      <c r="B79">
        <v>106.64</v>
      </c>
      <c r="C79">
        <v>106.71</v>
      </c>
      <c r="D79">
        <v>105.48</v>
      </c>
      <c r="E79">
        <v>106.13</v>
      </c>
      <c r="F79">
        <v>8835660</v>
      </c>
    </row>
    <row r="80" spans="1:6">
      <c r="A80" s="39">
        <v>42257</v>
      </c>
      <c r="B80">
        <v>106.61</v>
      </c>
      <c r="C80">
        <v>106.7</v>
      </c>
      <c r="D80">
        <v>106.18</v>
      </c>
      <c r="E80">
        <v>106.38</v>
      </c>
      <c r="F80">
        <v>5410432</v>
      </c>
    </row>
    <row r="81" spans="1:6">
      <c r="A81" s="39">
        <v>42258</v>
      </c>
      <c r="B81">
        <v>105.65</v>
      </c>
      <c r="C81">
        <v>106.2</v>
      </c>
      <c r="D81">
        <v>105.27</v>
      </c>
      <c r="E81">
        <v>106.16</v>
      </c>
      <c r="F81">
        <v>4023312</v>
      </c>
    </row>
    <row r="82" spans="1:6">
      <c r="A82" s="39">
        <v>42261</v>
      </c>
      <c r="B82">
        <v>105.86</v>
      </c>
      <c r="C82">
        <v>106.39</v>
      </c>
      <c r="D82">
        <v>105.78</v>
      </c>
      <c r="E82">
        <v>106.22</v>
      </c>
      <c r="F82">
        <v>2349608</v>
      </c>
    </row>
    <row r="83" spans="1:6">
      <c r="A83" s="39">
        <v>42262</v>
      </c>
      <c r="B83">
        <v>105.83</v>
      </c>
      <c r="C83">
        <v>106.06</v>
      </c>
      <c r="D83">
        <v>105.68</v>
      </c>
      <c r="E83">
        <v>105.9</v>
      </c>
      <c r="F83">
        <v>2897582</v>
      </c>
    </row>
    <row r="84" spans="1:6">
      <c r="A84" s="39">
        <v>42263</v>
      </c>
      <c r="B84">
        <v>106.6</v>
      </c>
      <c r="C84">
        <v>107.71</v>
      </c>
      <c r="D84">
        <v>106.56</v>
      </c>
      <c r="E84">
        <v>107.31</v>
      </c>
      <c r="F84">
        <v>5243361</v>
      </c>
    </row>
    <row r="85" spans="1:6">
      <c r="A85" s="39">
        <v>42264</v>
      </c>
      <c r="B85">
        <v>107.07</v>
      </c>
      <c r="C85">
        <v>108.58</v>
      </c>
      <c r="D85">
        <v>106.96</v>
      </c>
      <c r="E85">
        <v>108.41</v>
      </c>
      <c r="F85">
        <v>6817146</v>
      </c>
    </row>
    <row r="86" spans="1:6">
      <c r="A86" s="39">
        <v>42265</v>
      </c>
      <c r="B86">
        <v>109.1</v>
      </c>
      <c r="C86">
        <v>109.38</v>
      </c>
      <c r="D86">
        <v>108.82</v>
      </c>
      <c r="E86">
        <v>109.21</v>
      </c>
      <c r="F86">
        <v>6776306</v>
      </c>
    </row>
    <row r="87" spans="1:6">
      <c r="A87" s="39">
        <v>42268</v>
      </c>
      <c r="B87">
        <v>108.49</v>
      </c>
      <c r="C87">
        <v>108.66</v>
      </c>
      <c r="D87">
        <v>108.33</v>
      </c>
      <c r="E87">
        <v>108.53</v>
      </c>
      <c r="F87">
        <v>4073643</v>
      </c>
    </row>
    <row r="88" spans="1:6">
      <c r="A88" s="39">
        <v>42269</v>
      </c>
      <c r="B88">
        <v>107.58</v>
      </c>
      <c r="C88">
        <v>107.96</v>
      </c>
      <c r="D88">
        <v>107.44</v>
      </c>
      <c r="E88">
        <v>107.79</v>
      </c>
      <c r="F88">
        <v>5478097</v>
      </c>
    </row>
    <row r="89" spans="1:6">
      <c r="A89" s="39">
        <v>42270</v>
      </c>
      <c r="B89">
        <v>108.54</v>
      </c>
      <c r="C89">
        <v>108.64</v>
      </c>
      <c r="D89">
        <v>108.2</v>
      </c>
      <c r="E89">
        <v>108.22</v>
      </c>
      <c r="F89">
        <v>2730372</v>
      </c>
    </row>
    <row r="90" spans="1:6">
      <c r="A90" s="39">
        <v>42271</v>
      </c>
      <c r="B90">
        <v>109.67</v>
      </c>
      <c r="C90">
        <v>110.82</v>
      </c>
      <c r="D90">
        <v>109.63</v>
      </c>
      <c r="E90">
        <v>110.49</v>
      </c>
      <c r="F90">
        <v>9150787</v>
      </c>
    </row>
    <row r="91" spans="1:6">
      <c r="A91" s="39">
        <v>42272</v>
      </c>
      <c r="B91">
        <v>109.87</v>
      </c>
      <c r="C91">
        <v>110.03</v>
      </c>
      <c r="D91">
        <v>109.55</v>
      </c>
      <c r="E91">
        <v>109.81</v>
      </c>
      <c r="F91">
        <v>4987797</v>
      </c>
    </row>
    <row r="92" spans="1:6">
      <c r="A92" s="39">
        <v>42275</v>
      </c>
      <c r="B92">
        <v>108.37</v>
      </c>
      <c r="C92">
        <v>108.91</v>
      </c>
      <c r="D92">
        <v>108.27</v>
      </c>
      <c r="E92">
        <v>108.42</v>
      </c>
      <c r="F92">
        <v>3797090</v>
      </c>
    </row>
    <row r="93" spans="1:6">
      <c r="A93" s="39">
        <v>42276</v>
      </c>
      <c r="B93">
        <v>108.24</v>
      </c>
      <c r="C93">
        <v>108.69</v>
      </c>
      <c r="D93">
        <v>107.88</v>
      </c>
      <c r="E93">
        <v>107.98</v>
      </c>
      <c r="F93">
        <v>3989148</v>
      </c>
    </row>
    <row r="94" spans="1:6">
      <c r="A94" s="39">
        <v>42277</v>
      </c>
      <c r="B94">
        <v>106.78</v>
      </c>
      <c r="C94">
        <v>107.08</v>
      </c>
      <c r="D94">
        <v>106.47</v>
      </c>
      <c r="E94">
        <v>106.86</v>
      </c>
      <c r="F94">
        <v>7247913</v>
      </c>
    </row>
    <row r="95" spans="1:6">
      <c r="A95" s="39">
        <v>42278</v>
      </c>
      <c r="B95">
        <v>106.98</v>
      </c>
      <c r="C95">
        <v>107.21</v>
      </c>
      <c r="D95">
        <v>106.63</v>
      </c>
      <c r="E95">
        <v>106.73</v>
      </c>
      <c r="F95">
        <v>4232628</v>
      </c>
    </row>
    <row r="96" spans="1:6">
      <c r="A96" s="39">
        <v>42279</v>
      </c>
      <c r="B96">
        <v>108.54</v>
      </c>
      <c r="C96">
        <v>109.32</v>
      </c>
      <c r="D96">
        <v>108.54</v>
      </c>
      <c r="E96">
        <v>108.99</v>
      </c>
      <c r="F96">
        <v>7715321</v>
      </c>
    </row>
    <row r="97" spans="1:6">
      <c r="A97" s="39">
        <v>42282</v>
      </c>
      <c r="B97">
        <v>109.14</v>
      </c>
      <c r="C97">
        <v>109.38</v>
      </c>
      <c r="D97">
        <v>108.46</v>
      </c>
      <c r="E97">
        <v>108.77</v>
      </c>
      <c r="F97">
        <v>5489027</v>
      </c>
    </row>
    <row r="98" spans="1:6">
      <c r="A98" s="39">
        <v>42283</v>
      </c>
      <c r="B98">
        <v>109.8</v>
      </c>
      <c r="C98">
        <v>110.26</v>
      </c>
      <c r="D98">
        <v>109.63</v>
      </c>
      <c r="E98">
        <v>109.86</v>
      </c>
      <c r="F98">
        <v>7464661</v>
      </c>
    </row>
    <row r="99" spans="1:6">
      <c r="A99" s="39">
        <v>42284</v>
      </c>
      <c r="B99">
        <v>109.75</v>
      </c>
      <c r="C99">
        <v>110.14</v>
      </c>
      <c r="D99">
        <v>109.34</v>
      </c>
      <c r="E99">
        <v>109.7</v>
      </c>
      <c r="F99">
        <v>5355239</v>
      </c>
    </row>
    <row r="100" spans="1:6">
      <c r="A100" s="39">
        <v>42285</v>
      </c>
      <c r="B100">
        <v>109.16</v>
      </c>
      <c r="C100">
        <v>110.27</v>
      </c>
      <c r="D100">
        <v>109.06</v>
      </c>
      <c r="E100">
        <v>109.14</v>
      </c>
      <c r="F100">
        <v>4997821</v>
      </c>
    </row>
    <row r="101" spans="1:6">
      <c r="A101" s="39">
        <v>42286</v>
      </c>
      <c r="B101">
        <v>110.54</v>
      </c>
      <c r="C101">
        <v>111.05</v>
      </c>
      <c r="D101">
        <v>110.23</v>
      </c>
      <c r="E101">
        <v>110.87</v>
      </c>
      <c r="F101">
        <v>6886452</v>
      </c>
    </row>
    <row r="102" spans="1:6">
      <c r="A102" s="39">
        <v>42289</v>
      </c>
      <c r="B102">
        <v>111.67</v>
      </c>
      <c r="C102">
        <v>111.73</v>
      </c>
      <c r="D102">
        <v>111.01</v>
      </c>
      <c r="E102">
        <v>111.31</v>
      </c>
      <c r="F102">
        <v>5615037</v>
      </c>
    </row>
    <row r="103" spans="1:6">
      <c r="A103" s="39">
        <v>42290</v>
      </c>
      <c r="B103">
        <v>111.36</v>
      </c>
      <c r="C103">
        <v>111.87</v>
      </c>
      <c r="D103">
        <v>111.28</v>
      </c>
      <c r="E103">
        <v>111.86</v>
      </c>
      <c r="F103">
        <v>4776688</v>
      </c>
    </row>
    <row r="104" spans="1:6">
      <c r="A104" s="39">
        <v>42291</v>
      </c>
      <c r="B104">
        <v>112.63</v>
      </c>
      <c r="C104">
        <v>113.95</v>
      </c>
      <c r="D104">
        <v>112.3</v>
      </c>
      <c r="E104">
        <v>113.81</v>
      </c>
      <c r="F104">
        <v>9683388</v>
      </c>
    </row>
    <row r="105" spans="1:6">
      <c r="A105" s="39">
        <v>42292</v>
      </c>
      <c r="B105">
        <v>113.2</v>
      </c>
      <c r="C105">
        <v>113.99</v>
      </c>
      <c r="D105">
        <v>112.94</v>
      </c>
      <c r="E105">
        <v>113.31</v>
      </c>
      <c r="F105">
        <v>13734146</v>
      </c>
    </row>
    <row r="106" spans="1:6">
      <c r="A106" s="39">
        <v>42293</v>
      </c>
      <c r="B106">
        <v>113.24</v>
      </c>
      <c r="C106">
        <v>113.44</v>
      </c>
      <c r="D106">
        <v>112.43</v>
      </c>
      <c r="E106">
        <v>112.49</v>
      </c>
      <c r="F106">
        <v>6678560</v>
      </c>
    </row>
    <row r="107" spans="1:6">
      <c r="A107" s="39">
        <v>42296</v>
      </c>
      <c r="B107">
        <v>112.64</v>
      </c>
      <c r="C107">
        <v>112.69</v>
      </c>
      <c r="D107">
        <v>111.89</v>
      </c>
      <c r="E107">
        <v>112.02</v>
      </c>
      <c r="F107">
        <v>3936314</v>
      </c>
    </row>
    <row r="108" spans="1:6">
      <c r="A108" s="39">
        <v>42297</v>
      </c>
      <c r="B108">
        <v>112.38</v>
      </c>
      <c r="C108">
        <v>113.09</v>
      </c>
      <c r="D108">
        <v>112.38</v>
      </c>
      <c r="E108">
        <v>112.73</v>
      </c>
      <c r="F108">
        <v>4890565</v>
      </c>
    </row>
    <row r="109" spans="1:6">
      <c r="A109" s="39">
        <v>42298</v>
      </c>
      <c r="B109">
        <v>112.37</v>
      </c>
      <c r="C109">
        <v>112.37</v>
      </c>
      <c r="D109">
        <v>111.41</v>
      </c>
      <c r="E109">
        <v>111.73</v>
      </c>
      <c r="F109">
        <v>3890732</v>
      </c>
    </row>
    <row r="110" spans="1:6">
      <c r="A110" s="39">
        <v>42299</v>
      </c>
      <c r="B110">
        <v>111.52</v>
      </c>
      <c r="C110">
        <v>112.21</v>
      </c>
      <c r="D110">
        <v>111.43</v>
      </c>
      <c r="E110">
        <v>111.69</v>
      </c>
      <c r="F110">
        <v>3432065</v>
      </c>
    </row>
    <row r="111" spans="1:6">
      <c r="A111" s="39">
        <v>42300</v>
      </c>
      <c r="B111">
        <v>111.81</v>
      </c>
      <c r="C111">
        <v>111.84</v>
      </c>
      <c r="D111">
        <v>110.96</v>
      </c>
      <c r="E111">
        <v>111.5</v>
      </c>
      <c r="F111">
        <v>4743030</v>
      </c>
    </row>
    <row r="112" spans="1:6">
      <c r="A112" s="39">
        <v>42303</v>
      </c>
      <c r="B112">
        <v>111.73</v>
      </c>
      <c r="C112">
        <v>111.98</v>
      </c>
      <c r="D112">
        <v>111.33</v>
      </c>
      <c r="E112">
        <v>111.43</v>
      </c>
      <c r="F112">
        <v>2570712</v>
      </c>
    </row>
    <row r="113" spans="1:6">
      <c r="A113" s="39">
        <v>42304</v>
      </c>
      <c r="B113">
        <v>111.31</v>
      </c>
      <c r="C113">
        <v>111.81</v>
      </c>
      <c r="D113">
        <v>111.29</v>
      </c>
      <c r="E113">
        <v>111.68</v>
      </c>
      <c r="F113">
        <v>2644025</v>
      </c>
    </row>
    <row r="114" spans="1:6">
      <c r="A114" s="39">
        <v>42305</v>
      </c>
      <c r="B114">
        <v>112.68</v>
      </c>
      <c r="C114">
        <v>113.25</v>
      </c>
      <c r="D114">
        <v>110.31</v>
      </c>
      <c r="E114">
        <v>110.78</v>
      </c>
      <c r="F114">
        <v>8128546</v>
      </c>
    </row>
    <row r="115" spans="1:6">
      <c r="A115" s="39">
        <v>42306</v>
      </c>
      <c r="B115">
        <v>110.23</v>
      </c>
      <c r="C115">
        <v>110.6</v>
      </c>
      <c r="D115">
        <v>109.66</v>
      </c>
      <c r="E115">
        <v>109.72</v>
      </c>
      <c r="F115">
        <v>5148315</v>
      </c>
    </row>
    <row r="116" spans="1:6">
      <c r="A116" s="39">
        <v>42307</v>
      </c>
      <c r="B116">
        <v>109.5</v>
      </c>
      <c r="C116">
        <v>109.58</v>
      </c>
      <c r="D116">
        <v>109.06</v>
      </c>
      <c r="E116">
        <v>109.3</v>
      </c>
      <c r="F116">
        <v>5540578</v>
      </c>
    </row>
    <row r="117" spans="1:6">
      <c r="A117" s="39">
        <v>42310</v>
      </c>
      <c r="B117">
        <v>108.64</v>
      </c>
      <c r="C117">
        <v>108.84</v>
      </c>
      <c r="D117">
        <v>108.46</v>
      </c>
      <c r="E117">
        <v>108.59</v>
      </c>
      <c r="F117">
        <v>5833868</v>
      </c>
    </row>
    <row r="118" spans="1:6">
      <c r="A118" s="39">
        <v>42311</v>
      </c>
      <c r="B118">
        <v>107.79</v>
      </c>
      <c r="C118">
        <v>107.81</v>
      </c>
      <c r="D118">
        <v>106.68</v>
      </c>
      <c r="E118">
        <v>106.98</v>
      </c>
      <c r="F118">
        <v>7087371</v>
      </c>
    </row>
    <row r="119" spans="1:6">
      <c r="A119" s="39">
        <v>42312</v>
      </c>
      <c r="B119">
        <v>107.02</v>
      </c>
      <c r="C119">
        <v>107.09</v>
      </c>
      <c r="D119">
        <v>105.92</v>
      </c>
      <c r="E119">
        <v>105.97</v>
      </c>
      <c r="F119">
        <v>7396518</v>
      </c>
    </row>
    <row r="120" spans="1:6">
      <c r="A120" s="39">
        <v>42313</v>
      </c>
      <c r="B120">
        <v>106.01</v>
      </c>
      <c r="C120">
        <v>106.1</v>
      </c>
      <c r="D120">
        <v>105.58</v>
      </c>
      <c r="E120">
        <v>105.64</v>
      </c>
      <c r="F120">
        <v>5924922</v>
      </c>
    </row>
    <row r="121" spans="1:6">
      <c r="A121" s="39">
        <v>42314</v>
      </c>
      <c r="B121">
        <v>104.17</v>
      </c>
      <c r="C121">
        <v>104.42</v>
      </c>
      <c r="D121">
        <v>104.02</v>
      </c>
      <c r="E121">
        <v>104.1</v>
      </c>
      <c r="F121">
        <v>8822009</v>
      </c>
    </row>
    <row r="122" spans="1:6">
      <c r="A122" s="39">
        <v>42317</v>
      </c>
      <c r="B122">
        <v>104.29</v>
      </c>
      <c r="C122">
        <v>104.58</v>
      </c>
      <c r="D122">
        <v>104.19</v>
      </c>
      <c r="E122">
        <v>104.4</v>
      </c>
      <c r="F122">
        <v>3890462</v>
      </c>
    </row>
    <row r="123" spans="1:6">
      <c r="A123" s="39">
        <v>42318</v>
      </c>
      <c r="B123">
        <v>104.09</v>
      </c>
      <c r="C123">
        <v>104.65</v>
      </c>
      <c r="D123">
        <v>103.87</v>
      </c>
      <c r="E123">
        <v>104.18</v>
      </c>
      <c r="F123">
        <v>4427915</v>
      </c>
    </row>
    <row r="124" spans="1:6">
      <c r="A124" s="39">
        <v>42319</v>
      </c>
      <c r="B124">
        <v>104.09</v>
      </c>
      <c r="C124">
        <v>104.23</v>
      </c>
      <c r="D124">
        <v>103.78</v>
      </c>
      <c r="E124">
        <v>103.83</v>
      </c>
      <c r="F124">
        <v>3311432</v>
      </c>
    </row>
    <row r="125" spans="1:6">
      <c r="A125" s="39">
        <v>42320</v>
      </c>
      <c r="B125">
        <v>103.09</v>
      </c>
      <c r="C125">
        <v>104.32</v>
      </c>
      <c r="D125">
        <v>103.04</v>
      </c>
      <c r="E125">
        <v>103.85</v>
      </c>
      <c r="F125">
        <v>6297410</v>
      </c>
    </row>
    <row r="126" spans="1:6">
      <c r="A126" s="39">
        <v>42321</v>
      </c>
      <c r="B126">
        <v>103.54</v>
      </c>
      <c r="C126">
        <v>103.74</v>
      </c>
      <c r="D126">
        <v>103.45</v>
      </c>
      <c r="E126">
        <v>103.56</v>
      </c>
      <c r="F126">
        <v>3177545</v>
      </c>
    </row>
    <row r="127" spans="1:6">
      <c r="A127" s="39">
        <v>42324</v>
      </c>
      <c r="B127">
        <v>103.98</v>
      </c>
      <c r="C127">
        <v>104.03</v>
      </c>
      <c r="D127">
        <v>103.52</v>
      </c>
      <c r="E127">
        <v>103.71</v>
      </c>
      <c r="F127">
        <v>2949509</v>
      </c>
    </row>
    <row r="128" spans="1:6">
      <c r="A128" s="39">
        <v>42325</v>
      </c>
      <c r="B128">
        <v>103.38</v>
      </c>
      <c r="C128">
        <v>103.4</v>
      </c>
      <c r="D128">
        <v>101.98</v>
      </c>
      <c r="E128">
        <v>102.34</v>
      </c>
      <c r="F128">
        <v>8591823</v>
      </c>
    </row>
    <row r="129" spans="1:6">
      <c r="A129" s="39">
        <v>42326</v>
      </c>
      <c r="B129">
        <v>102.39</v>
      </c>
      <c r="C129">
        <v>102.95</v>
      </c>
      <c r="D129">
        <v>102.04</v>
      </c>
      <c r="E129">
        <v>102.43</v>
      </c>
      <c r="F129">
        <v>5038480</v>
      </c>
    </row>
    <row r="130" spans="1:6">
      <c r="A130" s="39">
        <v>42327</v>
      </c>
      <c r="B130">
        <v>103.07</v>
      </c>
      <c r="C130">
        <v>104.09</v>
      </c>
      <c r="D130">
        <v>103.07</v>
      </c>
      <c r="E130">
        <v>103.56</v>
      </c>
      <c r="F130">
        <v>4853529</v>
      </c>
    </row>
    <row r="131" spans="1:6">
      <c r="A131" s="39">
        <v>42328</v>
      </c>
      <c r="B131">
        <v>103.58</v>
      </c>
      <c r="C131">
        <v>103.66</v>
      </c>
      <c r="D131">
        <v>102.97</v>
      </c>
      <c r="E131">
        <v>103.09</v>
      </c>
      <c r="F131">
        <v>5780943</v>
      </c>
    </row>
    <row r="132" spans="1:6">
      <c r="A132" s="39">
        <v>42331</v>
      </c>
      <c r="B132">
        <v>102.48</v>
      </c>
      <c r="C132">
        <v>102.75</v>
      </c>
      <c r="D132">
        <v>102.16</v>
      </c>
      <c r="E132">
        <v>102.26</v>
      </c>
      <c r="F132">
        <v>4040696</v>
      </c>
    </row>
    <row r="133" spans="1:6">
      <c r="A133" s="39">
        <v>42332</v>
      </c>
      <c r="B133">
        <v>103.12</v>
      </c>
      <c r="C133">
        <v>103.25</v>
      </c>
      <c r="D133">
        <v>102.69</v>
      </c>
      <c r="E133">
        <v>102.94</v>
      </c>
      <c r="F133">
        <v>3479351</v>
      </c>
    </row>
    <row r="134" spans="1:6">
      <c r="A134" s="39">
        <v>42333</v>
      </c>
      <c r="B134">
        <v>102.47</v>
      </c>
      <c r="C134">
        <v>102.69</v>
      </c>
      <c r="D134">
        <v>102.21</v>
      </c>
      <c r="E134">
        <v>102.46</v>
      </c>
      <c r="F134">
        <v>2931291</v>
      </c>
    </row>
    <row r="135" spans="1:6">
      <c r="A135" s="39">
        <v>42335</v>
      </c>
      <c r="B135">
        <v>101.01</v>
      </c>
      <c r="C135">
        <v>101.62</v>
      </c>
      <c r="D135">
        <v>100.99</v>
      </c>
      <c r="E135">
        <v>101.25</v>
      </c>
      <c r="F135">
        <v>4992078</v>
      </c>
    </row>
    <row r="136" spans="1:6">
      <c r="A136" s="39">
        <v>42338</v>
      </c>
      <c r="B136">
        <v>101.53</v>
      </c>
      <c r="C136">
        <v>102.38</v>
      </c>
      <c r="D136">
        <v>101.52</v>
      </c>
      <c r="E136">
        <v>101.92</v>
      </c>
      <c r="F136">
        <v>6380688</v>
      </c>
    </row>
    <row r="137" spans="1:6">
      <c r="A137" s="39">
        <v>42339</v>
      </c>
      <c r="B137">
        <v>102.3</v>
      </c>
      <c r="C137">
        <v>102.43</v>
      </c>
      <c r="D137">
        <v>101.81</v>
      </c>
      <c r="E137">
        <v>102.28</v>
      </c>
      <c r="F137">
        <v>4644136</v>
      </c>
    </row>
    <row r="138" spans="1:6">
      <c r="A138" s="39">
        <v>42340</v>
      </c>
      <c r="B138">
        <v>101.35</v>
      </c>
      <c r="C138">
        <v>101.35</v>
      </c>
      <c r="D138">
        <v>100.53</v>
      </c>
      <c r="E138">
        <v>100.69</v>
      </c>
      <c r="F138">
        <v>10205253</v>
      </c>
    </row>
    <row r="139" spans="1:6">
      <c r="A139" s="39">
        <v>42341</v>
      </c>
      <c r="B139">
        <v>101.23</v>
      </c>
      <c r="C139">
        <v>101.97</v>
      </c>
      <c r="D139">
        <v>100.84</v>
      </c>
      <c r="E139">
        <v>101.76</v>
      </c>
      <c r="F139">
        <v>6499935</v>
      </c>
    </row>
    <row r="140" spans="1:6">
      <c r="A140" s="39">
        <v>42342</v>
      </c>
      <c r="B140">
        <v>102.74</v>
      </c>
      <c r="C140">
        <v>104.21</v>
      </c>
      <c r="D140">
        <v>102.65</v>
      </c>
      <c r="E140">
        <v>104.02</v>
      </c>
      <c r="F140">
        <v>10670249</v>
      </c>
    </row>
    <row r="141" spans="1:6">
      <c r="A141" s="39">
        <v>42345</v>
      </c>
      <c r="B141">
        <v>103.32</v>
      </c>
      <c r="C141">
        <v>103.37</v>
      </c>
      <c r="D141">
        <v>102.5</v>
      </c>
      <c r="E141">
        <v>102.67</v>
      </c>
      <c r="F141">
        <v>4393461</v>
      </c>
    </row>
    <row r="142" spans="1:6">
      <c r="A142" s="39">
        <v>42346</v>
      </c>
      <c r="B142">
        <v>103.13</v>
      </c>
      <c r="C142">
        <v>103.26</v>
      </c>
      <c r="D142">
        <v>102.53</v>
      </c>
      <c r="E142">
        <v>102.84</v>
      </c>
      <c r="F142">
        <v>3412291</v>
      </c>
    </row>
    <row r="143" spans="1:6">
      <c r="A143" s="39">
        <v>42347</v>
      </c>
      <c r="B143">
        <v>103.63</v>
      </c>
      <c r="C143">
        <v>103.66</v>
      </c>
      <c r="D143">
        <v>102.32</v>
      </c>
      <c r="E143">
        <v>102.64</v>
      </c>
      <c r="F143">
        <v>6026283</v>
      </c>
    </row>
    <row r="144" spans="1:6">
      <c r="A144" s="39">
        <v>42348</v>
      </c>
      <c r="B144">
        <v>102.51</v>
      </c>
      <c r="C144">
        <v>102.82</v>
      </c>
      <c r="D144">
        <v>102.34</v>
      </c>
      <c r="E144">
        <v>102.55</v>
      </c>
      <c r="F144">
        <v>3853545</v>
      </c>
    </row>
    <row r="145" spans="1:6">
      <c r="A145" s="39">
        <v>42349</v>
      </c>
      <c r="B145">
        <v>101.91</v>
      </c>
      <c r="C145">
        <v>103.32</v>
      </c>
      <c r="D145">
        <v>101.85</v>
      </c>
      <c r="E145">
        <v>103.11</v>
      </c>
      <c r="F145">
        <v>6798411</v>
      </c>
    </row>
    <row r="146" spans="1:6">
      <c r="A146" s="39">
        <v>42352</v>
      </c>
      <c r="B146">
        <v>102.58</v>
      </c>
      <c r="C146">
        <v>102.72</v>
      </c>
      <c r="D146">
        <v>101.74</v>
      </c>
      <c r="E146">
        <v>101.79</v>
      </c>
      <c r="F146">
        <v>5536914</v>
      </c>
    </row>
    <row r="147" spans="1:6">
      <c r="A147" s="39">
        <v>42353</v>
      </c>
      <c r="B147">
        <v>101.71</v>
      </c>
      <c r="C147">
        <v>102.06</v>
      </c>
      <c r="D147">
        <v>101.41</v>
      </c>
      <c r="E147">
        <v>101.52</v>
      </c>
      <c r="F147">
        <v>6831064</v>
      </c>
    </row>
    <row r="148" spans="1:6">
      <c r="A148" s="39">
        <v>42354</v>
      </c>
      <c r="B148">
        <v>102.59</v>
      </c>
      <c r="C148">
        <v>103.2</v>
      </c>
      <c r="D148">
        <v>101.66</v>
      </c>
      <c r="E148">
        <v>102.75</v>
      </c>
      <c r="F148">
        <v>8292194</v>
      </c>
    </row>
    <row r="149" spans="1:6">
      <c r="A149" s="39">
        <v>42355</v>
      </c>
      <c r="B149">
        <v>100.92</v>
      </c>
      <c r="C149">
        <v>100.99</v>
      </c>
      <c r="D149">
        <v>100.23</v>
      </c>
      <c r="E149">
        <v>100.5</v>
      </c>
      <c r="F149">
        <v>10156223</v>
      </c>
    </row>
    <row r="150" spans="1:6">
      <c r="A150" s="39">
        <v>42356</v>
      </c>
      <c r="B150">
        <v>101.35</v>
      </c>
      <c r="C150">
        <v>102.53</v>
      </c>
      <c r="D150">
        <v>101.3</v>
      </c>
      <c r="E150">
        <v>102.04</v>
      </c>
      <c r="F150">
        <v>8345864</v>
      </c>
    </row>
    <row r="151" spans="1:6">
      <c r="A151" s="39">
        <v>42359</v>
      </c>
      <c r="B151">
        <v>102.95</v>
      </c>
      <c r="C151">
        <v>103.52</v>
      </c>
      <c r="D151">
        <v>102.83</v>
      </c>
      <c r="E151">
        <v>103.15</v>
      </c>
      <c r="F151">
        <v>6378892</v>
      </c>
    </row>
    <row r="152" spans="1:6">
      <c r="A152" s="39">
        <v>42360</v>
      </c>
      <c r="B152">
        <v>103.09</v>
      </c>
      <c r="C152">
        <v>103.2</v>
      </c>
      <c r="D152">
        <v>102.56</v>
      </c>
      <c r="E152">
        <v>102.61</v>
      </c>
      <c r="F152">
        <v>4123512</v>
      </c>
    </row>
    <row r="153" spans="1:6">
      <c r="A153" s="39">
        <v>42361</v>
      </c>
      <c r="B153">
        <v>102.4</v>
      </c>
      <c r="C153">
        <v>102.59</v>
      </c>
      <c r="D153">
        <v>102.21</v>
      </c>
      <c r="E153">
        <v>102.31</v>
      </c>
      <c r="F153">
        <v>2821380</v>
      </c>
    </row>
    <row r="154" spans="1:6">
      <c r="A154" s="39">
        <v>42362</v>
      </c>
      <c r="B154">
        <v>102.82</v>
      </c>
      <c r="C154">
        <v>103.05</v>
      </c>
      <c r="D154">
        <v>102.77</v>
      </c>
      <c r="E154">
        <v>103.05</v>
      </c>
      <c r="F154">
        <v>1710153</v>
      </c>
    </row>
    <row r="155" spans="1:6">
      <c r="A155" s="39">
        <v>42366</v>
      </c>
      <c r="B155">
        <v>102.48</v>
      </c>
      <c r="C155">
        <v>102.6</v>
      </c>
      <c r="D155">
        <v>102.03</v>
      </c>
      <c r="E155">
        <v>102.27</v>
      </c>
      <c r="F155">
        <v>3356190</v>
      </c>
    </row>
    <row r="156" spans="1:6">
      <c r="A156" s="39">
        <v>42367</v>
      </c>
      <c r="B156">
        <v>102.52</v>
      </c>
      <c r="C156">
        <v>102.58</v>
      </c>
      <c r="D156">
        <v>102.11</v>
      </c>
      <c r="E156">
        <v>102.2</v>
      </c>
      <c r="F156">
        <v>2832238</v>
      </c>
    </row>
    <row r="157" spans="1:6">
      <c r="A157" s="39">
        <v>42368</v>
      </c>
      <c r="B157">
        <v>101.47</v>
      </c>
      <c r="C157">
        <v>101.6</v>
      </c>
      <c r="D157">
        <v>101.34</v>
      </c>
      <c r="E157">
        <v>101.42</v>
      </c>
      <c r="F157">
        <v>3744959</v>
      </c>
    </row>
    <row r="158" spans="1:6">
      <c r="A158" s="39">
        <v>42369</v>
      </c>
      <c r="B158">
        <v>101.48</v>
      </c>
      <c r="C158">
        <v>101.72</v>
      </c>
      <c r="D158">
        <v>101.31</v>
      </c>
      <c r="E158">
        <v>101.46</v>
      </c>
      <c r="F158">
        <v>3823564</v>
      </c>
    </row>
    <row r="159" spans="1:6">
      <c r="A159" s="39">
        <v>42373</v>
      </c>
      <c r="B159">
        <v>103.13</v>
      </c>
      <c r="C159">
        <v>103.67</v>
      </c>
      <c r="D159">
        <v>102.48</v>
      </c>
      <c r="E159">
        <v>102.89</v>
      </c>
      <c r="F159">
        <v>6319555</v>
      </c>
    </row>
    <row r="160" spans="1:6">
      <c r="A160" s="39">
        <v>42374</v>
      </c>
      <c r="B160">
        <v>103.13</v>
      </c>
      <c r="C160">
        <v>103.46</v>
      </c>
      <c r="D160">
        <v>102.93</v>
      </c>
      <c r="E160">
        <v>103.18</v>
      </c>
      <c r="F160">
        <v>3500272</v>
      </c>
    </row>
    <row r="161" spans="1:6">
      <c r="A161" s="39">
        <v>42375</v>
      </c>
      <c r="B161">
        <v>104.37</v>
      </c>
      <c r="C161">
        <v>104.8</v>
      </c>
      <c r="D161">
        <v>103.93</v>
      </c>
      <c r="E161">
        <v>104.67</v>
      </c>
      <c r="F161">
        <v>9316599</v>
      </c>
    </row>
    <row r="162" spans="1:6">
      <c r="A162" s="39">
        <v>42376</v>
      </c>
      <c r="B162">
        <v>105.83</v>
      </c>
      <c r="C162">
        <v>106.24</v>
      </c>
      <c r="D162">
        <v>105.19</v>
      </c>
      <c r="E162">
        <v>106.15</v>
      </c>
      <c r="F162">
        <v>11730376</v>
      </c>
    </row>
    <row r="163" spans="1:6">
      <c r="A163" s="39">
        <v>42377</v>
      </c>
      <c r="B163">
        <v>105.48</v>
      </c>
      <c r="C163">
        <v>105.8</v>
      </c>
      <c r="D163">
        <v>105.04</v>
      </c>
      <c r="E163">
        <v>105.68</v>
      </c>
      <c r="F163">
        <v>7678153</v>
      </c>
    </row>
    <row r="164" spans="1:6">
      <c r="A164" s="39">
        <v>42380</v>
      </c>
      <c r="B164">
        <v>105.47</v>
      </c>
      <c r="C164">
        <v>105.57</v>
      </c>
      <c r="D164">
        <v>104.71</v>
      </c>
      <c r="E164">
        <v>104.74</v>
      </c>
      <c r="F164">
        <v>6272359</v>
      </c>
    </row>
    <row r="165" spans="1:6">
      <c r="A165" s="39">
        <v>42381</v>
      </c>
      <c r="B165">
        <v>104.09</v>
      </c>
      <c r="C165">
        <v>104.59</v>
      </c>
      <c r="D165">
        <v>103.65</v>
      </c>
      <c r="E165">
        <v>104.21</v>
      </c>
      <c r="F165">
        <v>5540231</v>
      </c>
    </row>
    <row r="166" spans="1:6">
      <c r="A166" s="39">
        <v>42382</v>
      </c>
      <c r="B166">
        <v>103.89</v>
      </c>
      <c r="C166">
        <v>104.82</v>
      </c>
      <c r="D166">
        <v>103.78</v>
      </c>
      <c r="E166">
        <v>104.72</v>
      </c>
      <c r="F166">
        <v>6820813</v>
      </c>
    </row>
    <row r="167" spans="1:6">
      <c r="A167" s="39">
        <v>42383</v>
      </c>
      <c r="B167">
        <v>103.75</v>
      </c>
      <c r="C167">
        <v>104.18</v>
      </c>
      <c r="D167">
        <v>102.5</v>
      </c>
      <c r="E167">
        <v>103.02</v>
      </c>
      <c r="F167">
        <v>9988880</v>
      </c>
    </row>
    <row r="168" spans="1:6">
      <c r="A168" s="39">
        <v>42384</v>
      </c>
      <c r="B168">
        <v>104.92</v>
      </c>
      <c r="C168">
        <v>104.96</v>
      </c>
      <c r="D168">
        <v>103.96</v>
      </c>
      <c r="E168">
        <v>104.08</v>
      </c>
      <c r="F168">
        <v>10042922</v>
      </c>
    </row>
    <row r="169" spans="1:6">
      <c r="A169" s="39">
        <v>42388</v>
      </c>
      <c r="B169">
        <v>104.06</v>
      </c>
      <c r="C169">
        <v>104.45</v>
      </c>
      <c r="D169">
        <v>103.65</v>
      </c>
      <c r="E169">
        <v>103.98</v>
      </c>
      <c r="F169">
        <v>4587773</v>
      </c>
    </row>
    <row r="170" spans="1:6">
      <c r="A170" s="39">
        <v>42389</v>
      </c>
      <c r="B170">
        <v>105.17</v>
      </c>
      <c r="C170">
        <v>106.16</v>
      </c>
      <c r="D170">
        <v>104.94</v>
      </c>
      <c r="E170">
        <v>105.37</v>
      </c>
      <c r="F170">
        <v>10099914</v>
      </c>
    </row>
    <row r="171" spans="1:6">
      <c r="A171" s="39">
        <v>42390</v>
      </c>
      <c r="B171">
        <v>104.99</v>
      </c>
      <c r="C171">
        <v>105.49</v>
      </c>
      <c r="D171">
        <v>104.52</v>
      </c>
      <c r="E171">
        <v>105.49</v>
      </c>
      <c r="F171">
        <v>5424168</v>
      </c>
    </row>
    <row r="172" spans="1:6">
      <c r="A172" s="39">
        <v>42391</v>
      </c>
      <c r="B172">
        <v>104.93</v>
      </c>
      <c r="C172">
        <v>105.51</v>
      </c>
      <c r="D172">
        <v>104.76</v>
      </c>
      <c r="E172">
        <v>105</v>
      </c>
      <c r="F172">
        <v>4170785</v>
      </c>
    </row>
    <row r="173" spans="1:6">
      <c r="A173" s="39">
        <v>42394</v>
      </c>
      <c r="B173">
        <v>105.76</v>
      </c>
      <c r="C173">
        <v>106.09</v>
      </c>
      <c r="D173">
        <v>105.6</v>
      </c>
      <c r="E173">
        <v>106.08</v>
      </c>
      <c r="F173">
        <v>6809104</v>
      </c>
    </row>
    <row r="174" spans="1:6">
      <c r="A174" s="39">
        <v>42395</v>
      </c>
      <c r="B174">
        <v>106.32</v>
      </c>
      <c r="C174">
        <v>107.43</v>
      </c>
      <c r="D174">
        <v>106.26</v>
      </c>
      <c r="E174">
        <v>107.29</v>
      </c>
      <c r="F174">
        <v>8436866</v>
      </c>
    </row>
    <row r="175" spans="1:6">
      <c r="A175" s="39">
        <v>42396</v>
      </c>
      <c r="B175">
        <v>106.86</v>
      </c>
      <c r="C175">
        <v>107.93</v>
      </c>
      <c r="D175">
        <v>106.65</v>
      </c>
      <c r="E175">
        <v>107.69</v>
      </c>
      <c r="F175">
        <v>7571641</v>
      </c>
    </row>
    <row r="176" spans="1:6">
      <c r="A176" s="39">
        <v>42397</v>
      </c>
      <c r="B176">
        <v>106.55</v>
      </c>
      <c r="C176">
        <v>106.86</v>
      </c>
      <c r="D176">
        <v>106.48</v>
      </c>
      <c r="E176">
        <v>106.54</v>
      </c>
      <c r="F176">
        <v>5912367</v>
      </c>
    </row>
    <row r="177" spans="1:6">
      <c r="A177" s="39">
        <v>42398</v>
      </c>
      <c r="B177">
        <v>106.61</v>
      </c>
      <c r="C177">
        <v>107</v>
      </c>
      <c r="D177">
        <v>106.26</v>
      </c>
      <c r="E177">
        <v>106.95</v>
      </c>
      <c r="F177">
        <v>8084942</v>
      </c>
    </row>
    <row r="178" spans="1:6">
      <c r="A178" s="39">
        <v>42401</v>
      </c>
      <c r="B178">
        <v>107.54</v>
      </c>
      <c r="C178">
        <v>108.15</v>
      </c>
      <c r="D178">
        <v>107.53</v>
      </c>
      <c r="E178">
        <v>108.05</v>
      </c>
      <c r="F178">
        <v>10076082</v>
      </c>
    </row>
    <row r="179" spans="1:6">
      <c r="A179" s="39">
        <v>42402</v>
      </c>
      <c r="B179">
        <v>107.92</v>
      </c>
      <c r="C179">
        <v>108.18</v>
      </c>
      <c r="D179">
        <v>107.35</v>
      </c>
      <c r="E179">
        <v>108.09</v>
      </c>
      <c r="F179">
        <v>6651733</v>
      </c>
    </row>
    <row r="180" spans="1:6">
      <c r="A180" s="39">
        <v>42403</v>
      </c>
      <c r="B180">
        <v>107.91</v>
      </c>
      <c r="C180">
        <v>109.58</v>
      </c>
      <c r="D180">
        <v>107.9</v>
      </c>
      <c r="E180">
        <v>109.25</v>
      </c>
      <c r="F180">
        <v>15678540</v>
      </c>
    </row>
    <row r="181" spans="1:6">
      <c r="A181" s="39">
        <v>42404</v>
      </c>
      <c r="B181">
        <v>110.45</v>
      </c>
      <c r="C181">
        <v>110.7</v>
      </c>
      <c r="D181">
        <v>109.92</v>
      </c>
      <c r="E181">
        <v>110.57</v>
      </c>
      <c r="F181">
        <v>13204016</v>
      </c>
    </row>
    <row r="182" spans="1:6">
      <c r="A182" s="39">
        <v>42405</v>
      </c>
      <c r="B182">
        <v>109.79</v>
      </c>
      <c r="C182">
        <v>112.35</v>
      </c>
      <c r="D182">
        <v>109.58</v>
      </c>
      <c r="E182">
        <v>112.32</v>
      </c>
      <c r="F182">
        <v>14421700</v>
      </c>
    </row>
    <row r="183" spans="1:6">
      <c r="A183" s="39">
        <v>42408</v>
      </c>
      <c r="B183">
        <v>113.67</v>
      </c>
      <c r="C183">
        <v>114.87</v>
      </c>
      <c r="D183">
        <v>113.39</v>
      </c>
      <c r="E183">
        <v>113.83</v>
      </c>
      <c r="F183">
        <v>27072692</v>
      </c>
    </row>
    <row r="184" spans="1:6">
      <c r="A184" s="39">
        <v>42409</v>
      </c>
      <c r="B184">
        <v>114.43</v>
      </c>
      <c r="C184">
        <v>114.69</v>
      </c>
      <c r="D184">
        <v>113.55</v>
      </c>
      <c r="E184">
        <v>113.58</v>
      </c>
      <c r="F184">
        <v>18053031</v>
      </c>
    </row>
    <row r="185" spans="1:6">
      <c r="A185" s="39">
        <v>42410</v>
      </c>
      <c r="B185">
        <v>113.92</v>
      </c>
      <c r="C185">
        <v>114.52</v>
      </c>
      <c r="D185">
        <v>112.98</v>
      </c>
      <c r="E185">
        <v>114.46</v>
      </c>
      <c r="F185">
        <v>13239875</v>
      </c>
    </row>
    <row r="186" spans="1:6">
      <c r="A186" s="39">
        <v>42411</v>
      </c>
      <c r="B186">
        <v>118.59</v>
      </c>
      <c r="C186">
        <v>120.84</v>
      </c>
      <c r="D186">
        <v>117.77</v>
      </c>
      <c r="E186">
        <v>119.06</v>
      </c>
      <c r="F186">
        <v>48811875</v>
      </c>
    </row>
    <row r="187" spans="1:6">
      <c r="A187" s="39">
        <v>42412</v>
      </c>
      <c r="B187">
        <v>118.12</v>
      </c>
      <c r="C187">
        <v>118.74</v>
      </c>
      <c r="D187">
        <v>117.88</v>
      </c>
      <c r="E187">
        <v>118.36</v>
      </c>
      <c r="F187">
        <v>16962344</v>
      </c>
    </row>
    <row r="188" spans="1:6">
      <c r="A188" s="39">
        <v>42416</v>
      </c>
      <c r="B188">
        <v>116</v>
      </c>
      <c r="C188">
        <v>116.31</v>
      </c>
      <c r="D188">
        <v>114.74</v>
      </c>
      <c r="E188">
        <v>114.77</v>
      </c>
      <c r="F188">
        <v>14482200</v>
      </c>
    </row>
    <row r="189" spans="1:6">
      <c r="A189" s="39">
        <v>42417</v>
      </c>
      <c r="B189">
        <v>115.47</v>
      </c>
      <c r="C189">
        <v>116.07</v>
      </c>
      <c r="D189">
        <v>114.89</v>
      </c>
      <c r="E189">
        <v>115.48</v>
      </c>
      <c r="F189">
        <v>10578173</v>
      </c>
    </row>
    <row r="190" spans="1:6">
      <c r="A190" s="39">
        <v>42418</v>
      </c>
      <c r="B190">
        <v>115.3</v>
      </c>
      <c r="C190">
        <v>118.6</v>
      </c>
      <c r="D190">
        <v>115.29</v>
      </c>
      <c r="E190">
        <v>118.29</v>
      </c>
      <c r="F190">
        <v>13430086</v>
      </c>
    </row>
    <row r="191" spans="1:6">
      <c r="A191" s="39">
        <v>42419</v>
      </c>
      <c r="B191">
        <v>117.26</v>
      </c>
      <c r="C191">
        <v>117.96</v>
      </c>
      <c r="D191">
        <v>117.1</v>
      </c>
      <c r="E191">
        <v>117.58</v>
      </c>
      <c r="F191">
        <v>14888135</v>
      </c>
    </row>
    <row r="192" spans="1:6">
      <c r="A192" s="39">
        <v>42422</v>
      </c>
      <c r="B192">
        <v>115.44</v>
      </c>
      <c r="C192">
        <v>116.19</v>
      </c>
      <c r="D192">
        <v>115.41</v>
      </c>
      <c r="E192">
        <v>115.49</v>
      </c>
      <c r="F192">
        <v>9916675</v>
      </c>
    </row>
    <row r="193" spans="1:6">
      <c r="A193" s="39">
        <v>42423</v>
      </c>
      <c r="B193">
        <v>116.68</v>
      </c>
      <c r="C193">
        <v>117.42</v>
      </c>
      <c r="D193">
        <v>116.52</v>
      </c>
      <c r="E193">
        <v>117.22</v>
      </c>
      <c r="F193">
        <v>9012567</v>
      </c>
    </row>
    <row r="194" spans="1:6">
      <c r="A194" s="39">
        <v>42424</v>
      </c>
      <c r="B194">
        <v>119</v>
      </c>
      <c r="C194">
        <v>119.86</v>
      </c>
      <c r="D194">
        <v>117.35</v>
      </c>
      <c r="E194">
        <v>117.61</v>
      </c>
      <c r="F194">
        <v>17754973</v>
      </c>
    </row>
    <row r="195" spans="1:6">
      <c r="A195" s="39">
        <v>42425</v>
      </c>
      <c r="B195">
        <v>117.62</v>
      </c>
      <c r="C195">
        <v>118.91</v>
      </c>
      <c r="D195">
        <v>117.54</v>
      </c>
      <c r="E195">
        <v>117.92</v>
      </c>
      <c r="F195">
        <v>12463602</v>
      </c>
    </row>
    <row r="196" spans="1:6">
      <c r="A196" s="39">
        <v>42426</v>
      </c>
      <c r="B196">
        <v>117.43</v>
      </c>
      <c r="C196">
        <v>117.72</v>
      </c>
      <c r="D196">
        <v>115.86</v>
      </c>
      <c r="E196">
        <v>117.11</v>
      </c>
      <c r="F196">
        <v>12493830</v>
      </c>
    </row>
    <row r="197" spans="1:6">
      <c r="A197" s="39">
        <v>42429</v>
      </c>
      <c r="B197">
        <v>117.59</v>
      </c>
      <c r="C197">
        <v>118.7</v>
      </c>
      <c r="D197">
        <v>117.53</v>
      </c>
      <c r="E197">
        <v>118.64</v>
      </c>
      <c r="F197">
        <v>11480531</v>
      </c>
    </row>
    <row r="198" spans="1:6">
      <c r="A198" s="39">
        <v>42430</v>
      </c>
      <c r="B198">
        <v>118.74</v>
      </c>
      <c r="C198">
        <v>119.11</v>
      </c>
      <c r="D198">
        <v>117.34</v>
      </c>
      <c r="E198">
        <v>117.77</v>
      </c>
      <c r="F198">
        <v>14129531</v>
      </c>
    </row>
    <row r="199" spans="1:6">
      <c r="A199" s="39">
        <v>42431</v>
      </c>
      <c r="B199">
        <v>118.34</v>
      </c>
      <c r="C199">
        <v>118.97</v>
      </c>
      <c r="D199">
        <v>118.07</v>
      </c>
      <c r="E199">
        <v>118.68</v>
      </c>
      <c r="F199">
        <v>8632239</v>
      </c>
    </row>
    <row r="200" spans="1:6">
      <c r="A200" s="39">
        <v>42432</v>
      </c>
      <c r="B200">
        <v>118.86</v>
      </c>
      <c r="C200">
        <v>121.3</v>
      </c>
      <c r="D200">
        <v>118.81</v>
      </c>
      <c r="E200">
        <v>120.73</v>
      </c>
      <c r="F200">
        <v>18670831</v>
      </c>
    </row>
    <row r="201" spans="1:6">
      <c r="A201" s="39">
        <v>42433</v>
      </c>
      <c r="B201">
        <v>121.13</v>
      </c>
      <c r="C201">
        <v>122.37</v>
      </c>
      <c r="D201">
        <v>120.22</v>
      </c>
      <c r="E201">
        <v>120.54</v>
      </c>
      <c r="F201">
        <v>16253961</v>
      </c>
    </row>
    <row r="202" spans="1:6">
      <c r="A202" s="39">
        <v>42436</v>
      </c>
      <c r="B202">
        <v>121.18</v>
      </c>
      <c r="C202">
        <v>121.58</v>
      </c>
      <c r="D202">
        <v>120.41</v>
      </c>
      <c r="E202">
        <v>121.14</v>
      </c>
      <c r="F202">
        <v>9346336</v>
      </c>
    </row>
    <row r="203" spans="1:6">
      <c r="A203" s="39">
        <v>42437</v>
      </c>
      <c r="B203">
        <v>121.79</v>
      </c>
      <c r="C203">
        <v>121.88</v>
      </c>
      <c r="D203">
        <v>120.47</v>
      </c>
      <c r="E203">
        <v>120.58</v>
      </c>
      <c r="F203">
        <v>11519401</v>
      </c>
    </row>
    <row r="204" spans="1:6">
      <c r="A204" s="39">
        <v>42438</v>
      </c>
      <c r="B204">
        <v>119.2</v>
      </c>
      <c r="C204">
        <v>120.39</v>
      </c>
      <c r="D204">
        <v>118.84</v>
      </c>
      <c r="E204">
        <v>119.58</v>
      </c>
      <c r="F204">
        <v>8535774</v>
      </c>
    </row>
    <row r="205" spans="1:6">
      <c r="A205" s="39">
        <v>42439</v>
      </c>
      <c r="B205">
        <v>120.5</v>
      </c>
      <c r="C205">
        <v>121.76</v>
      </c>
      <c r="D205">
        <v>120.42</v>
      </c>
      <c r="E205">
        <v>121.5</v>
      </c>
      <c r="F205">
        <v>18092635</v>
      </c>
    </row>
    <row r="206" spans="1:6">
      <c r="A206" s="39">
        <v>42440</v>
      </c>
      <c r="B206">
        <v>121.19</v>
      </c>
      <c r="C206">
        <v>121.38</v>
      </c>
      <c r="D206">
        <v>119.36</v>
      </c>
      <c r="E206">
        <v>119.41</v>
      </c>
      <c r="F206">
        <v>10285807</v>
      </c>
    </row>
    <row r="207" spans="1:6">
      <c r="A207" s="39">
        <v>42443</v>
      </c>
      <c r="B207">
        <v>120.27</v>
      </c>
      <c r="C207">
        <v>120.31</v>
      </c>
      <c r="D207">
        <v>117.5</v>
      </c>
      <c r="E207">
        <v>117.87</v>
      </c>
      <c r="F207">
        <v>14181810</v>
      </c>
    </row>
    <row r="208" spans="1:6">
      <c r="A208" s="39">
        <v>42444</v>
      </c>
      <c r="B208">
        <v>117.78</v>
      </c>
      <c r="C208">
        <v>118.04</v>
      </c>
      <c r="D208">
        <v>117.36</v>
      </c>
      <c r="E208">
        <v>117.96</v>
      </c>
      <c r="F208">
        <v>9941816</v>
      </c>
    </row>
    <row r="209" spans="1:6">
      <c r="A209" s="39">
        <v>42445</v>
      </c>
      <c r="B209">
        <v>117.42</v>
      </c>
      <c r="C209">
        <v>120.76</v>
      </c>
      <c r="D209">
        <v>117.34</v>
      </c>
      <c r="E209">
        <v>120.59</v>
      </c>
      <c r="F209">
        <v>17304837</v>
      </c>
    </row>
    <row r="210" spans="1:6">
      <c r="A210" s="39">
        <v>42446</v>
      </c>
      <c r="B210">
        <v>121.16</v>
      </c>
      <c r="C210">
        <v>121.18</v>
      </c>
      <c r="D210">
        <v>120.03</v>
      </c>
      <c r="E210">
        <v>120.13</v>
      </c>
      <c r="F210">
        <v>9716706</v>
      </c>
    </row>
    <row r="211" spans="1:6">
      <c r="A211" s="39">
        <v>42447</v>
      </c>
      <c r="B211">
        <v>119.59</v>
      </c>
      <c r="C211">
        <v>120.34</v>
      </c>
      <c r="D211">
        <v>119.51</v>
      </c>
      <c r="E211">
        <v>119.8</v>
      </c>
      <c r="F211">
        <v>9451872</v>
      </c>
    </row>
    <row r="212" spans="1:6">
      <c r="A212" s="39">
        <v>42450</v>
      </c>
      <c r="B212">
        <v>119</v>
      </c>
      <c r="C212">
        <v>119.33</v>
      </c>
      <c r="D212">
        <v>118.73</v>
      </c>
      <c r="E212">
        <v>118.96</v>
      </c>
      <c r="F212">
        <v>7238678</v>
      </c>
    </row>
    <row r="213" spans="1:6">
      <c r="A213" s="39">
        <v>42451</v>
      </c>
      <c r="B213">
        <v>119.73</v>
      </c>
      <c r="C213">
        <v>120.16</v>
      </c>
      <c r="D213">
        <v>118.96</v>
      </c>
      <c r="E213">
        <v>119.31</v>
      </c>
      <c r="F213">
        <v>6448321</v>
      </c>
    </row>
    <row r="214" spans="1:6">
      <c r="A214" s="39">
        <v>42452</v>
      </c>
      <c r="B214">
        <v>116.74</v>
      </c>
      <c r="C214">
        <v>117.12</v>
      </c>
      <c r="D214">
        <v>116.16</v>
      </c>
      <c r="E214">
        <v>116.61</v>
      </c>
      <c r="F214">
        <v>15971287</v>
      </c>
    </row>
    <row r="215" spans="1:6">
      <c r="A215" s="39">
        <v>42453</v>
      </c>
      <c r="B215">
        <v>116.77</v>
      </c>
      <c r="C215">
        <v>116.94</v>
      </c>
      <c r="D215">
        <v>116.3</v>
      </c>
      <c r="E215">
        <v>116.33</v>
      </c>
      <c r="F215">
        <v>6237227</v>
      </c>
    </row>
    <row r="216" spans="1:6">
      <c r="A216" s="39">
        <v>42457</v>
      </c>
      <c r="B216">
        <v>116.73</v>
      </c>
      <c r="C216">
        <v>116.91</v>
      </c>
      <c r="D216">
        <v>116.27</v>
      </c>
      <c r="E216">
        <v>116.6</v>
      </c>
      <c r="F216">
        <v>3736430</v>
      </c>
    </row>
    <row r="217" spans="1:6">
      <c r="A217" s="39">
        <v>42458</v>
      </c>
      <c r="B217">
        <v>117.36</v>
      </c>
      <c r="C217">
        <v>118.81</v>
      </c>
      <c r="D217">
        <v>116.8</v>
      </c>
      <c r="E217">
        <v>118.76</v>
      </c>
      <c r="F217">
        <v>14206307</v>
      </c>
    </row>
    <row r="218" spans="1:6">
      <c r="A218" s="39">
        <v>42459</v>
      </c>
      <c r="B218">
        <v>117.88</v>
      </c>
      <c r="C218">
        <v>118.2</v>
      </c>
      <c r="D218">
        <v>116.91</v>
      </c>
      <c r="E218">
        <v>117.1</v>
      </c>
      <c r="F218">
        <v>10644748</v>
      </c>
    </row>
    <row r="219" spans="1:6">
      <c r="A219" s="39">
        <v>42460</v>
      </c>
      <c r="B219">
        <v>118.16</v>
      </c>
      <c r="C219">
        <v>118.39</v>
      </c>
      <c r="D219">
        <v>117.6</v>
      </c>
      <c r="E219">
        <v>117.64</v>
      </c>
      <c r="F219">
        <v>9304476</v>
      </c>
    </row>
    <row r="220" spans="1:6">
      <c r="A220" s="39">
        <v>42461</v>
      </c>
      <c r="B220">
        <v>116.08</v>
      </c>
      <c r="C220">
        <v>116.98</v>
      </c>
      <c r="D220">
        <v>115.55</v>
      </c>
      <c r="E220">
        <v>116.93</v>
      </c>
      <c r="F220">
        <v>10393016</v>
      </c>
    </row>
    <row r="221" spans="1:6">
      <c r="A221" s="39">
        <v>42464</v>
      </c>
      <c r="B221">
        <v>116.67</v>
      </c>
      <c r="C221">
        <v>116.73</v>
      </c>
      <c r="D221">
        <v>116.07</v>
      </c>
      <c r="E221">
        <v>116.15</v>
      </c>
      <c r="F221">
        <v>7272321</v>
      </c>
    </row>
    <row r="222" spans="1:6">
      <c r="A222" s="39">
        <v>42465</v>
      </c>
      <c r="B222">
        <v>117.76</v>
      </c>
      <c r="C222">
        <v>117.93</v>
      </c>
      <c r="D222">
        <v>117.15</v>
      </c>
      <c r="E222">
        <v>117.66</v>
      </c>
      <c r="F222">
        <v>8855628</v>
      </c>
    </row>
    <row r="223" spans="1:6">
      <c r="A223" s="39">
        <v>42466</v>
      </c>
      <c r="B223">
        <v>116.7</v>
      </c>
      <c r="C223">
        <v>117.38</v>
      </c>
      <c r="D223">
        <v>116.26</v>
      </c>
      <c r="E223">
        <v>116.94</v>
      </c>
      <c r="F223">
        <v>7430116</v>
      </c>
    </row>
    <row r="224" spans="1:6">
      <c r="A224" s="39">
        <v>42467</v>
      </c>
      <c r="B224">
        <v>118.65</v>
      </c>
      <c r="C224">
        <v>118.85</v>
      </c>
      <c r="D224">
        <v>115</v>
      </c>
      <c r="E224">
        <v>118.61</v>
      </c>
      <c r="F224">
        <v>11807487</v>
      </c>
    </row>
    <row r="225" spans="1:6">
      <c r="A225" s="39">
        <v>42468</v>
      </c>
      <c r="B225">
        <v>118.07</v>
      </c>
      <c r="C225">
        <v>118.77</v>
      </c>
      <c r="D225">
        <v>117.98</v>
      </c>
      <c r="E225">
        <v>118.43</v>
      </c>
      <c r="F225">
        <v>9037877</v>
      </c>
    </row>
    <row r="226" spans="1:6">
      <c r="A226" s="39">
        <v>42471</v>
      </c>
      <c r="B226">
        <v>119.47</v>
      </c>
      <c r="C226">
        <v>120.3</v>
      </c>
      <c r="D226">
        <v>119.42</v>
      </c>
      <c r="E226">
        <v>120.03</v>
      </c>
      <c r="F226">
        <v>9828584</v>
      </c>
    </row>
    <row r="227" spans="1:6">
      <c r="A227" s="39">
        <v>42472</v>
      </c>
      <c r="B227">
        <v>120.23</v>
      </c>
      <c r="C227">
        <v>120.34</v>
      </c>
      <c r="D227">
        <v>119.55</v>
      </c>
      <c r="E227">
        <v>120.05</v>
      </c>
      <c r="F227">
        <v>9618828</v>
      </c>
    </row>
    <row r="228" spans="1:6">
      <c r="A228" s="39">
        <v>42473</v>
      </c>
      <c r="B228">
        <v>119.37</v>
      </c>
      <c r="C228">
        <v>119.43</v>
      </c>
      <c r="D228">
        <v>118.56</v>
      </c>
      <c r="E228">
        <v>118.77</v>
      </c>
      <c r="F228">
        <v>8288382</v>
      </c>
    </row>
    <row r="229" spans="1:6">
      <c r="A229" s="39">
        <v>42474</v>
      </c>
      <c r="B229">
        <v>118.09</v>
      </c>
      <c r="C229">
        <v>118.19</v>
      </c>
      <c r="D229">
        <v>116.95</v>
      </c>
      <c r="E229">
        <v>117.11</v>
      </c>
      <c r="F229">
        <v>13151278</v>
      </c>
    </row>
    <row r="230" spans="1:6">
      <c r="A230" s="39">
        <v>42475</v>
      </c>
      <c r="B230">
        <v>117.33</v>
      </c>
      <c r="C230">
        <v>118.12</v>
      </c>
      <c r="D230">
        <v>117.19</v>
      </c>
      <c r="E230">
        <v>117.92</v>
      </c>
      <c r="F230">
        <v>7751089</v>
      </c>
    </row>
    <row r="231" spans="1:6">
      <c r="A231" s="39">
        <v>42478</v>
      </c>
      <c r="B231">
        <v>118.53</v>
      </c>
      <c r="C231">
        <v>118.56</v>
      </c>
      <c r="D231">
        <v>117.63</v>
      </c>
      <c r="E231">
        <v>117.74</v>
      </c>
      <c r="F231">
        <v>5798758</v>
      </c>
    </row>
    <row r="232" spans="1:6">
      <c r="A232" s="39">
        <v>42479</v>
      </c>
      <c r="B232">
        <v>119.87</v>
      </c>
      <c r="C232">
        <v>120.09</v>
      </c>
      <c r="D232">
        <v>119.37</v>
      </c>
      <c r="E232">
        <v>119.58</v>
      </c>
      <c r="F232">
        <v>20470789</v>
      </c>
    </row>
    <row r="233" spans="1:6">
      <c r="A233" s="39">
        <v>42480</v>
      </c>
      <c r="B233">
        <v>119.67</v>
      </c>
      <c r="C233">
        <v>120.08</v>
      </c>
      <c r="D233">
        <v>118.72</v>
      </c>
      <c r="E233">
        <v>118.97</v>
      </c>
      <c r="F233">
        <v>10089103</v>
      </c>
    </row>
    <row r="234" spans="1:6">
      <c r="A234" s="39">
        <v>42481</v>
      </c>
      <c r="B234">
        <v>120.42</v>
      </c>
      <c r="C234">
        <v>120.55</v>
      </c>
      <c r="D234">
        <v>119.13</v>
      </c>
      <c r="E234">
        <v>119.43</v>
      </c>
      <c r="F234">
        <v>14591985</v>
      </c>
    </row>
    <row r="235" spans="1:6">
      <c r="A235" s="39">
        <v>42482</v>
      </c>
      <c r="B235">
        <v>118.71</v>
      </c>
      <c r="C235">
        <v>119.02</v>
      </c>
      <c r="D235">
        <v>117.28</v>
      </c>
      <c r="E235">
        <v>117.89</v>
      </c>
      <c r="F235">
        <v>9984027</v>
      </c>
    </row>
    <row r="236" spans="1:6">
      <c r="A236" s="39">
        <v>42485</v>
      </c>
      <c r="B236">
        <v>118.14</v>
      </c>
      <c r="C236">
        <v>118.71</v>
      </c>
      <c r="D236">
        <v>118.11</v>
      </c>
      <c r="E236">
        <v>118.23</v>
      </c>
      <c r="F236">
        <v>4362444</v>
      </c>
    </row>
    <row r="237" spans="1:6">
      <c r="A237" s="39">
        <v>42486</v>
      </c>
      <c r="B237">
        <v>118.79</v>
      </c>
      <c r="C237">
        <v>118.89</v>
      </c>
      <c r="D237">
        <v>118.45</v>
      </c>
      <c r="E237">
        <v>118.7</v>
      </c>
      <c r="F237">
        <v>9881728</v>
      </c>
    </row>
    <row r="238" spans="1:6">
      <c r="A238" s="39">
        <v>42487</v>
      </c>
      <c r="B238">
        <v>118.97</v>
      </c>
      <c r="C238">
        <v>119.7</v>
      </c>
      <c r="D238">
        <v>118.43</v>
      </c>
      <c r="E238">
        <v>119.04</v>
      </c>
      <c r="F238">
        <v>7965623</v>
      </c>
    </row>
    <row r="239" spans="1:6">
      <c r="A239" s="39">
        <v>42488</v>
      </c>
      <c r="B239">
        <v>119.92</v>
      </c>
      <c r="C239">
        <v>121.42</v>
      </c>
      <c r="D239">
        <v>119.73</v>
      </c>
      <c r="E239">
        <v>121.29</v>
      </c>
      <c r="F239">
        <v>15044339</v>
      </c>
    </row>
    <row r="240" spans="1:6">
      <c r="A240" s="39">
        <v>42489</v>
      </c>
      <c r="B240">
        <v>122.43</v>
      </c>
      <c r="C240">
        <v>123.93</v>
      </c>
      <c r="D240">
        <v>122.34</v>
      </c>
      <c r="E240">
        <v>123.65</v>
      </c>
      <c r="F240">
        <v>18687599</v>
      </c>
    </row>
    <row r="241" spans="1:6">
      <c r="A241" s="39">
        <v>42492</v>
      </c>
      <c r="B241">
        <v>123.78</v>
      </c>
      <c r="C241">
        <v>123.96</v>
      </c>
      <c r="D241">
        <v>123.04</v>
      </c>
      <c r="E241">
        <v>123.24</v>
      </c>
      <c r="F241">
        <v>12121320</v>
      </c>
    </row>
    <row r="242" spans="1:6">
      <c r="A242" s="39">
        <v>42493</v>
      </c>
      <c r="B242">
        <v>123.73</v>
      </c>
      <c r="C242">
        <v>123.82</v>
      </c>
      <c r="D242">
        <v>122.51</v>
      </c>
      <c r="E242">
        <v>122.96</v>
      </c>
      <c r="F242">
        <v>9051137</v>
      </c>
    </row>
    <row r="243" spans="1:6">
      <c r="A243" s="39">
        <v>42494</v>
      </c>
      <c r="B243">
        <v>122.85</v>
      </c>
      <c r="C243">
        <v>123.23</v>
      </c>
      <c r="D243">
        <v>121.51</v>
      </c>
      <c r="E243">
        <v>122.21</v>
      </c>
      <c r="F243">
        <v>9348660</v>
      </c>
    </row>
    <row r="244" spans="1:6">
      <c r="A244" s="39">
        <v>42495</v>
      </c>
      <c r="B244">
        <v>122.63</v>
      </c>
      <c r="C244">
        <v>122.73</v>
      </c>
      <c r="D244">
        <v>121.25</v>
      </c>
      <c r="E244">
        <v>122.07</v>
      </c>
      <c r="F244">
        <v>8826999</v>
      </c>
    </row>
    <row r="245" spans="1:6">
      <c r="A245" s="39">
        <v>42496</v>
      </c>
      <c r="B245">
        <v>122.83</v>
      </c>
      <c r="C245">
        <v>123.8</v>
      </c>
      <c r="D245">
        <v>122.59</v>
      </c>
      <c r="E245">
        <v>123.18</v>
      </c>
      <c r="F245">
        <v>11305739</v>
      </c>
    </row>
    <row r="246" spans="1:6">
      <c r="A246" s="39">
        <v>42499</v>
      </c>
      <c r="B246">
        <v>121.2</v>
      </c>
      <c r="C246">
        <v>121.28</v>
      </c>
      <c r="D246">
        <v>120.59</v>
      </c>
      <c r="E246">
        <v>120.65</v>
      </c>
      <c r="F246">
        <v>9197684</v>
      </c>
    </row>
    <row r="247" spans="1:6">
      <c r="A247" s="39">
        <v>42500</v>
      </c>
      <c r="B247">
        <v>120.74</v>
      </c>
      <c r="C247">
        <v>121.38</v>
      </c>
      <c r="D247">
        <v>120.08</v>
      </c>
      <c r="E247">
        <v>120.98</v>
      </c>
      <c r="F247">
        <v>9128616</v>
      </c>
    </row>
    <row r="248" spans="1:6">
      <c r="A248" s="39">
        <v>42501</v>
      </c>
      <c r="B248">
        <v>121.85</v>
      </c>
      <c r="C248">
        <v>122.16</v>
      </c>
      <c r="D248">
        <v>121.38</v>
      </c>
      <c r="E248">
        <v>122.12</v>
      </c>
      <c r="F248">
        <v>7571323</v>
      </c>
    </row>
    <row r="249" spans="1:6">
      <c r="A249" s="39">
        <v>42502</v>
      </c>
      <c r="B249">
        <v>122.02</v>
      </c>
      <c r="C249">
        <v>122.39</v>
      </c>
      <c r="D249">
        <v>121</v>
      </c>
      <c r="E249">
        <v>121.16</v>
      </c>
      <c r="F249">
        <v>7435863</v>
      </c>
    </row>
    <row r="250" spans="1:6">
      <c r="A250" s="39">
        <v>42503</v>
      </c>
      <c r="B250">
        <v>121.09</v>
      </c>
      <c r="C250">
        <v>121.86</v>
      </c>
      <c r="D250">
        <v>120.66</v>
      </c>
      <c r="E250">
        <v>121.71</v>
      </c>
      <c r="F250">
        <v>7664769</v>
      </c>
    </row>
    <row r="251" spans="1:6">
      <c r="A251" s="39">
        <v>42506</v>
      </c>
      <c r="B251">
        <v>122.93</v>
      </c>
      <c r="C251">
        <v>122.97</v>
      </c>
      <c r="D251">
        <v>121.38</v>
      </c>
      <c r="E251">
        <v>121.8</v>
      </c>
      <c r="F251">
        <v>7069755</v>
      </c>
    </row>
    <row r="252" spans="1:6">
      <c r="A252" s="39">
        <v>42507</v>
      </c>
      <c r="B252">
        <v>121.58</v>
      </c>
      <c r="C252">
        <v>122.52</v>
      </c>
      <c r="D252">
        <v>121.48</v>
      </c>
      <c r="E252">
        <v>122.22</v>
      </c>
      <c r="F252">
        <v>8578494</v>
      </c>
    </row>
    <row r="253" spans="1:6">
      <c r="A253" s="39">
        <v>42508</v>
      </c>
      <c r="B253">
        <v>121.22</v>
      </c>
      <c r="C253">
        <v>121.92</v>
      </c>
      <c r="D253">
        <v>119.88</v>
      </c>
      <c r="E253">
        <v>120.1</v>
      </c>
      <c r="F253">
        <v>13368732</v>
      </c>
    </row>
    <row r="254" spans="1:6">
      <c r="A254" s="39">
        <v>42509</v>
      </c>
      <c r="B254">
        <v>119</v>
      </c>
      <c r="C254">
        <v>119.98</v>
      </c>
      <c r="D254">
        <v>118.92</v>
      </c>
      <c r="E254">
        <v>119.87</v>
      </c>
      <c r="F254">
        <v>13604777</v>
      </c>
    </row>
    <row r="255" spans="1:6">
      <c r="A255" s="39">
        <v>42510</v>
      </c>
      <c r="B255">
        <v>120.19</v>
      </c>
      <c r="C255">
        <v>120.32</v>
      </c>
      <c r="D255">
        <v>119.31</v>
      </c>
      <c r="E255">
        <v>119.71</v>
      </c>
      <c r="F255">
        <v>10371500</v>
      </c>
    </row>
    <row r="256" spans="1:6">
      <c r="A256" s="39">
        <v>42513</v>
      </c>
      <c r="B256">
        <v>118.86</v>
      </c>
      <c r="C256">
        <v>119.6</v>
      </c>
      <c r="D256">
        <v>118.75</v>
      </c>
      <c r="E256">
        <v>119.37</v>
      </c>
      <c r="F256">
        <v>8601563</v>
      </c>
    </row>
    <row r="257" spans="1:6">
      <c r="A257" s="39">
        <v>42514</v>
      </c>
      <c r="B257">
        <v>118.17</v>
      </c>
      <c r="C257">
        <v>118.23</v>
      </c>
      <c r="D257">
        <v>117.25</v>
      </c>
      <c r="E257">
        <v>117.3</v>
      </c>
      <c r="F257">
        <v>12697313</v>
      </c>
    </row>
    <row r="258" spans="1:6">
      <c r="A258" s="39">
        <v>42515</v>
      </c>
      <c r="B258">
        <v>116.59</v>
      </c>
      <c r="C258">
        <v>117.06</v>
      </c>
      <c r="D258">
        <v>116.32</v>
      </c>
      <c r="E258">
        <v>116.98</v>
      </c>
      <c r="F258">
        <v>10487597</v>
      </c>
    </row>
    <row r="259" spans="1:6">
      <c r="A259" s="39">
        <v>42516</v>
      </c>
      <c r="B259">
        <v>117.57</v>
      </c>
      <c r="C259">
        <v>117.63</v>
      </c>
      <c r="D259">
        <v>116.39</v>
      </c>
      <c r="E259">
        <v>116.58</v>
      </c>
      <c r="F259">
        <v>5886269</v>
      </c>
    </row>
    <row r="260" spans="1:6">
      <c r="A260" s="39">
        <v>42517</v>
      </c>
      <c r="B260">
        <v>116.27</v>
      </c>
      <c r="C260">
        <v>116.36</v>
      </c>
      <c r="D260">
        <v>115.29</v>
      </c>
      <c r="E260">
        <v>115.62</v>
      </c>
      <c r="F260">
        <v>8677991</v>
      </c>
    </row>
    <row r="261" spans="1:6">
      <c r="A261" s="39">
        <v>42521</v>
      </c>
      <c r="B261">
        <v>115.76</v>
      </c>
      <c r="C261">
        <v>116.4</v>
      </c>
      <c r="D261">
        <v>115.5</v>
      </c>
      <c r="E261">
        <v>116.06</v>
      </c>
      <c r="F261">
        <v>8187605</v>
      </c>
    </row>
    <row r="262" spans="1:6">
      <c r="A262" s="39">
        <v>42522</v>
      </c>
      <c r="B262">
        <v>115.97</v>
      </c>
      <c r="C262">
        <v>116.14</v>
      </c>
      <c r="D262">
        <v>115.2</v>
      </c>
      <c r="E262">
        <v>115.94</v>
      </c>
      <c r="F262">
        <v>8399598</v>
      </c>
    </row>
    <row r="263" spans="1:6">
      <c r="A263" s="39">
        <v>42523</v>
      </c>
      <c r="B263">
        <v>115.78</v>
      </c>
      <c r="C263">
        <v>115.97</v>
      </c>
      <c r="D263">
        <v>115.58</v>
      </c>
      <c r="E263">
        <v>115.67</v>
      </c>
      <c r="F263">
        <v>4591562</v>
      </c>
    </row>
    <row r="264" spans="1:6">
      <c r="A264" s="39">
        <v>42524</v>
      </c>
      <c r="B264">
        <v>118.25</v>
      </c>
      <c r="C264">
        <v>118.89</v>
      </c>
      <c r="D264">
        <v>118.23</v>
      </c>
      <c r="E264">
        <v>118.88</v>
      </c>
      <c r="F264">
        <v>14605056</v>
      </c>
    </row>
    <row r="265" spans="1:6">
      <c r="A265" s="39">
        <v>42527</v>
      </c>
      <c r="B265">
        <v>118.89</v>
      </c>
      <c r="C265">
        <v>119.17</v>
      </c>
      <c r="D265">
        <v>118.46</v>
      </c>
      <c r="E265">
        <v>118.92</v>
      </c>
      <c r="F265">
        <v>9887863</v>
      </c>
    </row>
    <row r="266" spans="1:6">
      <c r="A266" s="39">
        <v>42528</v>
      </c>
      <c r="B266">
        <v>118.5</v>
      </c>
      <c r="C266">
        <v>119.02</v>
      </c>
      <c r="D266">
        <v>118.41</v>
      </c>
      <c r="E266">
        <v>118.82</v>
      </c>
      <c r="F266">
        <v>4602865</v>
      </c>
    </row>
    <row r="267" spans="1:6">
      <c r="A267" s="39">
        <v>42529</v>
      </c>
      <c r="B267">
        <v>120.3</v>
      </c>
      <c r="C267">
        <v>120.78</v>
      </c>
      <c r="D267">
        <v>120.23</v>
      </c>
      <c r="E267">
        <v>120.58</v>
      </c>
      <c r="F267">
        <v>11661736</v>
      </c>
    </row>
    <row r="268" spans="1:6">
      <c r="A268" s="39">
        <v>42530</v>
      </c>
      <c r="B268">
        <v>120.61</v>
      </c>
      <c r="C268">
        <v>121.48</v>
      </c>
      <c r="D268">
        <v>120.55</v>
      </c>
      <c r="E268">
        <v>121.25</v>
      </c>
      <c r="F268">
        <v>12173954</v>
      </c>
    </row>
    <row r="269" spans="1:6">
      <c r="A269" s="39">
        <v>42531</v>
      </c>
      <c r="B269">
        <v>121.55</v>
      </c>
      <c r="C269">
        <v>122.1</v>
      </c>
      <c r="D269">
        <v>121.18</v>
      </c>
      <c r="E269">
        <v>121.74</v>
      </c>
      <c r="F269">
        <v>13939966</v>
      </c>
    </row>
    <row r="270" spans="1:6">
      <c r="A270" s="39">
        <v>42534</v>
      </c>
      <c r="B270">
        <v>122.8</v>
      </c>
      <c r="C270">
        <v>122.83</v>
      </c>
      <c r="D270">
        <v>122.03</v>
      </c>
      <c r="E270">
        <v>122.64</v>
      </c>
      <c r="F270">
        <v>12594223</v>
      </c>
    </row>
    <row r="271" spans="1:6">
      <c r="A271" s="39">
        <v>42535</v>
      </c>
      <c r="B271">
        <v>123</v>
      </c>
      <c r="C271">
        <v>123.06</v>
      </c>
      <c r="D271">
        <v>122.3</v>
      </c>
      <c r="E271">
        <v>122.77</v>
      </c>
      <c r="F271">
        <v>11651694</v>
      </c>
    </row>
    <row r="272" spans="1:6">
      <c r="A272" s="39">
        <v>42536</v>
      </c>
      <c r="B272">
        <v>122.52</v>
      </c>
      <c r="C272">
        <v>123.87</v>
      </c>
      <c r="D272">
        <v>122.38</v>
      </c>
      <c r="E272">
        <v>123.68</v>
      </c>
      <c r="F272">
        <v>15053005</v>
      </c>
    </row>
    <row r="273" spans="1:6">
      <c r="A273" s="39">
        <v>42537</v>
      </c>
      <c r="B273">
        <v>125.17</v>
      </c>
      <c r="C273">
        <v>125.67</v>
      </c>
      <c r="D273">
        <v>122.23</v>
      </c>
      <c r="E273">
        <v>122.38</v>
      </c>
      <c r="F273">
        <v>26635004</v>
      </c>
    </row>
    <row r="274" spans="1:6">
      <c r="A274" s="39">
        <v>42538</v>
      </c>
      <c r="B274">
        <v>123.26</v>
      </c>
      <c r="C274">
        <v>124.1</v>
      </c>
      <c r="D274">
        <v>122.69</v>
      </c>
      <c r="E274">
        <v>123.95</v>
      </c>
      <c r="F274">
        <v>15573825</v>
      </c>
    </row>
    <row r="275" spans="1:6">
      <c r="A275" s="39">
        <v>42541</v>
      </c>
      <c r="B275">
        <v>122.26</v>
      </c>
      <c r="C275">
        <v>123.33</v>
      </c>
      <c r="D275">
        <v>122.13</v>
      </c>
      <c r="E275">
        <v>123.21</v>
      </c>
      <c r="F275">
        <v>11866200</v>
      </c>
    </row>
    <row r="276" spans="1:6">
      <c r="A276" s="39">
        <v>42542</v>
      </c>
      <c r="B276">
        <v>121.65</v>
      </c>
      <c r="C276">
        <v>121.86</v>
      </c>
      <c r="D276">
        <v>120.77</v>
      </c>
      <c r="E276">
        <v>120.84</v>
      </c>
      <c r="F276">
        <v>14585633</v>
      </c>
    </row>
    <row r="277" spans="1:6">
      <c r="A277" s="39">
        <v>42543</v>
      </c>
      <c r="B277">
        <v>120.83</v>
      </c>
      <c r="C277">
        <v>121.25</v>
      </c>
      <c r="D277">
        <v>120.68</v>
      </c>
      <c r="E277">
        <v>120.9</v>
      </c>
      <c r="F277">
        <v>7861000</v>
      </c>
    </row>
    <row r="278" spans="1:6">
      <c r="A278" s="39">
        <v>42544</v>
      </c>
      <c r="B278">
        <v>120.49</v>
      </c>
      <c r="C278">
        <v>121.03</v>
      </c>
      <c r="D278">
        <v>120.06</v>
      </c>
      <c r="E278">
        <v>120.11</v>
      </c>
      <c r="F278">
        <v>10704904</v>
      </c>
    </row>
    <row r="279" spans="1:6">
      <c r="A279" s="39">
        <v>42545</v>
      </c>
      <c r="B279">
        <v>126.62</v>
      </c>
      <c r="C279">
        <v>126.82</v>
      </c>
      <c r="D279">
        <v>125</v>
      </c>
      <c r="E279">
        <v>126.01</v>
      </c>
      <c r="F279">
        <v>35782892</v>
      </c>
    </row>
    <row r="280" spans="1:6">
      <c r="A280" s="39">
        <v>42548</v>
      </c>
      <c r="B280">
        <v>126.44</v>
      </c>
      <c r="C280">
        <v>127.05</v>
      </c>
      <c r="D280">
        <v>125.83</v>
      </c>
      <c r="E280">
        <v>126.68</v>
      </c>
      <c r="F280">
        <v>21400484</v>
      </c>
    </row>
    <row r="281" spans="1:6">
      <c r="A281" s="39">
        <v>42549</v>
      </c>
      <c r="B281">
        <v>125.56</v>
      </c>
      <c r="C281">
        <v>126.02</v>
      </c>
      <c r="D281">
        <v>125.06</v>
      </c>
      <c r="E281">
        <v>125.32</v>
      </c>
      <c r="F281">
        <v>16001451</v>
      </c>
    </row>
    <row r="282" spans="1:6">
      <c r="A282" s="39">
        <v>42550</v>
      </c>
      <c r="B282">
        <v>125.91</v>
      </c>
      <c r="C282">
        <v>126.81</v>
      </c>
      <c r="D282">
        <v>125.7</v>
      </c>
      <c r="E282">
        <v>125.84</v>
      </c>
      <c r="F282">
        <v>12218444</v>
      </c>
    </row>
    <row r="283" spans="1:6">
      <c r="A283" s="39">
        <v>42551</v>
      </c>
      <c r="B283">
        <v>125.95</v>
      </c>
      <c r="C283">
        <v>126.52</v>
      </c>
      <c r="D283">
        <v>125.5</v>
      </c>
      <c r="E283">
        <v>126.47</v>
      </c>
      <c r="F283">
        <v>15981577</v>
      </c>
    </row>
    <row r="284" spans="1:6">
      <c r="A284" s="39">
        <v>42552</v>
      </c>
      <c r="B284">
        <v>127.66</v>
      </c>
      <c r="C284">
        <v>128.41999999999999</v>
      </c>
      <c r="D284">
        <v>127.44</v>
      </c>
      <c r="E284">
        <v>128.41</v>
      </c>
      <c r="F284">
        <v>14940706</v>
      </c>
    </row>
    <row r="285" spans="1:6">
      <c r="A285" s="39">
        <v>42556</v>
      </c>
      <c r="B285">
        <v>128.80000000000001</v>
      </c>
      <c r="C285">
        <v>129.59</v>
      </c>
      <c r="D285">
        <v>128.16999999999999</v>
      </c>
      <c r="E285">
        <v>129.47</v>
      </c>
      <c r="F285">
        <v>19026247</v>
      </c>
    </row>
    <row r="286" spans="1:6">
      <c r="A286" s="39">
        <v>42557</v>
      </c>
      <c r="B286">
        <v>130.5</v>
      </c>
      <c r="C286">
        <v>131.15</v>
      </c>
      <c r="D286">
        <v>129.82</v>
      </c>
      <c r="E286">
        <v>130.22999999999999</v>
      </c>
      <c r="F286">
        <v>17376671</v>
      </c>
    </row>
    <row r="287" spans="1:6">
      <c r="A287" s="39">
        <v>42558</v>
      </c>
      <c r="B287">
        <v>129.82</v>
      </c>
      <c r="C287">
        <v>130.12</v>
      </c>
      <c r="D287">
        <v>128.97999999999999</v>
      </c>
      <c r="E287">
        <v>129.74</v>
      </c>
      <c r="F287">
        <v>16508526</v>
      </c>
    </row>
    <row r="288" spans="1:6">
      <c r="A288" s="39">
        <v>42559</v>
      </c>
      <c r="B288">
        <v>129.85</v>
      </c>
      <c r="C288">
        <v>130.52000000000001</v>
      </c>
      <c r="D288">
        <v>128.97</v>
      </c>
      <c r="E288">
        <v>130.52000000000001</v>
      </c>
      <c r="F288">
        <v>17634218</v>
      </c>
    </row>
    <row r="289" spans="1:6">
      <c r="A289" s="39">
        <v>42562</v>
      </c>
      <c r="B289">
        <v>129.49</v>
      </c>
      <c r="C289">
        <v>129.9</v>
      </c>
      <c r="D289">
        <v>129.16</v>
      </c>
      <c r="E289">
        <v>129.29</v>
      </c>
      <c r="F289">
        <v>10855630</v>
      </c>
    </row>
    <row r="290" spans="1:6">
      <c r="A290" s="39">
        <v>42563</v>
      </c>
      <c r="B290">
        <v>128.52000000000001</v>
      </c>
      <c r="C290">
        <v>128.54</v>
      </c>
      <c r="D290">
        <v>126.99</v>
      </c>
      <c r="E290">
        <v>127.15</v>
      </c>
      <c r="F290">
        <v>26459620</v>
      </c>
    </row>
    <row r="291" spans="1:6">
      <c r="A291" s="39">
        <v>42564</v>
      </c>
      <c r="B291">
        <v>128</v>
      </c>
      <c r="C291">
        <v>128.43</v>
      </c>
      <c r="D291">
        <v>127.61</v>
      </c>
      <c r="E291">
        <v>128.32</v>
      </c>
      <c r="F291">
        <v>7377686</v>
      </c>
    </row>
    <row r="292" spans="1:6">
      <c r="A292" s="39">
        <v>42565</v>
      </c>
      <c r="B292">
        <v>126.31</v>
      </c>
      <c r="C292">
        <v>127.37</v>
      </c>
      <c r="D292">
        <v>126.03</v>
      </c>
      <c r="E292">
        <v>127.33</v>
      </c>
      <c r="F292">
        <v>12132423</v>
      </c>
    </row>
    <row r="293" spans="1:6">
      <c r="A293" s="39">
        <v>42566</v>
      </c>
      <c r="B293">
        <v>126.38</v>
      </c>
      <c r="C293">
        <v>127.19</v>
      </c>
      <c r="D293">
        <v>126.33</v>
      </c>
      <c r="E293">
        <v>126.84</v>
      </c>
      <c r="F293">
        <v>13892073</v>
      </c>
    </row>
    <row r="294" spans="1:6">
      <c r="A294" s="39">
        <v>42569</v>
      </c>
      <c r="B294">
        <v>127.02</v>
      </c>
      <c r="C294">
        <v>127.5</v>
      </c>
      <c r="D294">
        <v>126.63</v>
      </c>
      <c r="E294">
        <v>127.04</v>
      </c>
      <c r="F294">
        <v>8489677</v>
      </c>
    </row>
    <row r="295" spans="1:6">
      <c r="A295" s="39">
        <v>42570</v>
      </c>
      <c r="B295">
        <v>126.95</v>
      </c>
      <c r="C295">
        <v>127.35</v>
      </c>
      <c r="D295">
        <v>126.82</v>
      </c>
      <c r="E295">
        <v>127.21</v>
      </c>
      <c r="F295">
        <v>5170665</v>
      </c>
    </row>
    <row r="296" spans="1:6">
      <c r="A296" s="39">
        <v>42571</v>
      </c>
      <c r="B296">
        <v>125.5</v>
      </c>
      <c r="C296">
        <v>126.12</v>
      </c>
      <c r="D296">
        <v>125.31</v>
      </c>
      <c r="E296">
        <v>125.39</v>
      </c>
      <c r="F296">
        <v>11777708</v>
      </c>
    </row>
    <row r="297" spans="1:6">
      <c r="A297" s="39">
        <v>42572</v>
      </c>
      <c r="B297">
        <v>125.66</v>
      </c>
      <c r="C297">
        <v>127.37</v>
      </c>
      <c r="D297">
        <v>125.6</v>
      </c>
      <c r="E297">
        <v>127.3</v>
      </c>
      <c r="F297">
        <v>9399212</v>
      </c>
    </row>
    <row r="298" spans="1:6">
      <c r="A298" s="39">
        <v>42573</v>
      </c>
      <c r="B298">
        <v>126.43</v>
      </c>
      <c r="C298">
        <v>126.52</v>
      </c>
      <c r="D298">
        <v>126.01</v>
      </c>
      <c r="E298">
        <v>126.35</v>
      </c>
      <c r="F298">
        <v>7716032</v>
      </c>
    </row>
    <row r="299" spans="1:6">
      <c r="A299" s="39">
        <v>42576</v>
      </c>
      <c r="B299">
        <v>125.53</v>
      </c>
      <c r="C299">
        <v>126.21</v>
      </c>
      <c r="D299">
        <v>125.11</v>
      </c>
      <c r="E299">
        <v>125.47</v>
      </c>
      <c r="F299">
        <v>13139408</v>
      </c>
    </row>
    <row r="300" spans="1:6">
      <c r="A300" s="39">
        <v>42577</v>
      </c>
      <c r="B300">
        <v>126.09</v>
      </c>
      <c r="C300">
        <v>126.14</v>
      </c>
      <c r="D300">
        <v>125.74</v>
      </c>
      <c r="E300">
        <v>126</v>
      </c>
      <c r="F300">
        <v>7613155</v>
      </c>
    </row>
    <row r="301" spans="1:6">
      <c r="A301" s="39">
        <v>42578</v>
      </c>
      <c r="B301">
        <v>126.79</v>
      </c>
      <c r="C301">
        <v>128.12</v>
      </c>
      <c r="D301">
        <v>126.04</v>
      </c>
      <c r="E301">
        <v>128.03</v>
      </c>
      <c r="F301">
        <v>17066363</v>
      </c>
    </row>
    <row r="302" spans="1:6">
      <c r="A302" s="39">
        <v>42579</v>
      </c>
      <c r="B302">
        <v>128.09</v>
      </c>
      <c r="C302">
        <v>128.19999999999999</v>
      </c>
      <c r="D302">
        <v>127.2</v>
      </c>
      <c r="E302">
        <v>127.66</v>
      </c>
      <c r="F302">
        <v>9261756</v>
      </c>
    </row>
    <row r="303" spans="1:6">
      <c r="A303" s="39">
        <v>42580</v>
      </c>
      <c r="B303">
        <v>128.41999999999999</v>
      </c>
      <c r="C303">
        <v>129.41</v>
      </c>
      <c r="D303">
        <v>127.88</v>
      </c>
      <c r="E303">
        <v>128.97999999999999</v>
      </c>
      <c r="F303">
        <v>13708194</v>
      </c>
    </row>
    <row r="304" spans="1:6">
      <c r="A304" s="39">
        <v>42583</v>
      </c>
      <c r="B304">
        <v>128.57</v>
      </c>
      <c r="C304">
        <v>129.34</v>
      </c>
      <c r="D304">
        <v>128.56</v>
      </c>
      <c r="E304">
        <v>129.22</v>
      </c>
      <c r="F304">
        <v>7109898</v>
      </c>
    </row>
    <row r="305" spans="1:6">
      <c r="A305" s="39">
        <v>42584</v>
      </c>
      <c r="B305">
        <v>130.04</v>
      </c>
      <c r="C305">
        <v>130.55000000000001</v>
      </c>
      <c r="D305">
        <v>129.94</v>
      </c>
      <c r="E305">
        <v>130.27000000000001</v>
      </c>
      <c r="F305">
        <v>7652767</v>
      </c>
    </row>
    <row r="306" spans="1:6">
      <c r="A306" s="39">
        <v>42585</v>
      </c>
      <c r="B306">
        <v>129.94999999999999</v>
      </c>
      <c r="C306">
        <v>129.96</v>
      </c>
      <c r="D306">
        <v>129.27000000000001</v>
      </c>
      <c r="E306">
        <v>129.65</v>
      </c>
      <c r="F306">
        <v>5010703</v>
      </c>
    </row>
    <row r="307" spans="1:6">
      <c r="A307" s="39">
        <v>42586</v>
      </c>
      <c r="B307">
        <v>130.01</v>
      </c>
      <c r="C307">
        <v>130.28</v>
      </c>
      <c r="D307">
        <v>129.82</v>
      </c>
      <c r="E307">
        <v>129.87</v>
      </c>
      <c r="F307">
        <v>4908131</v>
      </c>
    </row>
    <row r="308" spans="1:6">
      <c r="A308" s="39">
        <v>42587</v>
      </c>
      <c r="B308">
        <v>128.46</v>
      </c>
      <c r="C308">
        <v>128.55000000000001</v>
      </c>
      <c r="D308">
        <v>127.39</v>
      </c>
      <c r="E308">
        <v>127.55</v>
      </c>
      <c r="F308">
        <v>16205122</v>
      </c>
    </row>
    <row r="309" spans="1:6">
      <c r="A309" s="39">
        <v>42590</v>
      </c>
      <c r="B309">
        <v>127.29</v>
      </c>
      <c r="C309">
        <v>127.7</v>
      </c>
      <c r="D309">
        <v>127.27</v>
      </c>
      <c r="E309">
        <v>127.44</v>
      </c>
      <c r="F309">
        <v>6773804</v>
      </c>
    </row>
    <row r="310" spans="1:6">
      <c r="A310" s="39">
        <v>42591</v>
      </c>
      <c r="B310">
        <v>127.94</v>
      </c>
      <c r="C310">
        <v>128.13999999999999</v>
      </c>
      <c r="D310">
        <v>127.75</v>
      </c>
      <c r="E310">
        <v>127.96</v>
      </c>
      <c r="F310">
        <v>7500421</v>
      </c>
    </row>
    <row r="311" spans="1:6">
      <c r="A311" s="39">
        <v>42592</v>
      </c>
      <c r="B311">
        <v>129.12</v>
      </c>
      <c r="C311">
        <v>129.19999999999999</v>
      </c>
      <c r="D311">
        <v>128.15</v>
      </c>
      <c r="E311">
        <v>128.56</v>
      </c>
      <c r="F311">
        <v>6196202</v>
      </c>
    </row>
    <row r="312" spans="1:6">
      <c r="A312" s="39">
        <v>42593</v>
      </c>
      <c r="B312">
        <v>128.61000000000001</v>
      </c>
      <c r="C312">
        <v>129.19</v>
      </c>
      <c r="D312">
        <v>127.48</v>
      </c>
      <c r="E312">
        <v>127.67</v>
      </c>
      <c r="F312">
        <v>9763821</v>
      </c>
    </row>
    <row r="313" spans="1:6">
      <c r="A313" s="39">
        <v>42594</v>
      </c>
      <c r="B313">
        <v>129.12</v>
      </c>
      <c r="C313">
        <v>129.26</v>
      </c>
      <c r="D313">
        <v>127.2</v>
      </c>
      <c r="E313">
        <v>127.4</v>
      </c>
      <c r="F313">
        <v>15395846</v>
      </c>
    </row>
    <row r="314" spans="1:6">
      <c r="A314" s="39">
        <v>42597</v>
      </c>
      <c r="B314">
        <v>127.62</v>
      </c>
      <c r="C314">
        <v>128.25</v>
      </c>
      <c r="D314">
        <v>127.6</v>
      </c>
      <c r="E314">
        <v>127.84</v>
      </c>
      <c r="F314">
        <v>4530841</v>
      </c>
    </row>
    <row r="315" spans="1:6">
      <c r="A315" s="39">
        <v>42598</v>
      </c>
      <c r="B315">
        <v>128.12</v>
      </c>
      <c r="C315">
        <v>129.04</v>
      </c>
      <c r="D315">
        <v>128</v>
      </c>
      <c r="E315">
        <v>128.47</v>
      </c>
      <c r="F315">
        <v>8678143</v>
      </c>
    </row>
    <row r="316" spans="1:6">
      <c r="A316" s="39">
        <v>42599</v>
      </c>
      <c r="B316">
        <v>128.16999999999999</v>
      </c>
      <c r="C316">
        <v>128.99</v>
      </c>
      <c r="D316">
        <v>127.46</v>
      </c>
      <c r="E316">
        <v>128.5</v>
      </c>
      <c r="F316">
        <v>12034752</v>
      </c>
    </row>
    <row r="317" spans="1:6">
      <c r="A317" s="39">
        <v>42600</v>
      </c>
      <c r="B317">
        <v>128.88999999999999</v>
      </c>
      <c r="C317">
        <v>129.16999999999999</v>
      </c>
      <c r="D317">
        <v>128.58000000000001</v>
      </c>
      <c r="E317">
        <v>129.11000000000001</v>
      </c>
      <c r="F317">
        <v>9500636</v>
      </c>
    </row>
    <row r="318" spans="1:6">
      <c r="A318" s="39">
        <v>42601</v>
      </c>
      <c r="B318">
        <v>128.08000000000001</v>
      </c>
      <c r="C318">
        <v>128.66999999999999</v>
      </c>
      <c r="D318">
        <v>127.86</v>
      </c>
      <c r="E318">
        <v>127.97</v>
      </c>
      <c r="F318">
        <v>10660119</v>
      </c>
    </row>
    <row r="319" spans="1:6">
      <c r="A319" s="39">
        <v>42604</v>
      </c>
      <c r="B319">
        <v>127.63</v>
      </c>
      <c r="C319">
        <v>127.92</v>
      </c>
      <c r="D319">
        <v>127.45</v>
      </c>
      <c r="E319">
        <v>127.78</v>
      </c>
      <c r="F319">
        <v>8627222</v>
      </c>
    </row>
    <row r="320" spans="1:6">
      <c r="A320" s="39">
        <v>42605</v>
      </c>
      <c r="B320">
        <v>128.13999999999999</v>
      </c>
      <c r="C320">
        <v>128.22</v>
      </c>
      <c r="D320">
        <v>127.61</v>
      </c>
      <c r="E320">
        <v>127.76</v>
      </c>
      <c r="F320">
        <v>9038482</v>
      </c>
    </row>
    <row r="321" spans="1:6">
      <c r="A321" s="39">
        <v>42606</v>
      </c>
      <c r="B321">
        <v>126.92</v>
      </c>
      <c r="C321">
        <v>126.97</v>
      </c>
      <c r="D321">
        <v>126.3</v>
      </c>
      <c r="E321">
        <v>126.34</v>
      </c>
      <c r="F321">
        <v>13539655</v>
      </c>
    </row>
    <row r="322" spans="1:6">
      <c r="A322" s="39">
        <v>42607</v>
      </c>
      <c r="B322">
        <v>125.98</v>
      </c>
      <c r="C322">
        <v>126.31</v>
      </c>
      <c r="D322">
        <v>125.96</v>
      </c>
      <c r="E322">
        <v>126.23</v>
      </c>
      <c r="F322">
        <v>5926294</v>
      </c>
    </row>
    <row r="323" spans="1:6">
      <c r="A323" s="39">
        <v>42608</v>
      </c>
      <c r="B323">
        <v>126.88</v>
      </c>
      <c r="C323">
        <v>128.11000000000001</v>
      </c>
      <c r="D323">
        <v>125.82</v>
      </c>
      <c r="E323">
        <v>126.05</v>
      </c>
      <c r="F323">
        <v>17967738</v>
      </c>
    </row>
    <row r="324" spans="1:6">
      <c r="A324" s="39">
        <v>42611</v>
      </c>
      <c r="B324">
        <v>126</v>
      </c>
      <c r="C324">
        <v>126.48</v>
      </c>
      <c r="D324">
        <v>125.93</v>
      </c>
      <c r="E324">
        <v>126.3</v>
      </c>
      <c r="F324">
        <v>5562409</v>
      </c>
    </row>
    <row r="325" spans="1:6">
      <c r="A325" s="39">
        <v>42612</v>
      </c>
      <c r="B325">
        <v>125.73</v>
      </c>
      <c r="C325">
        <v>125.95</v>
      </c>
      <c r="D325">
        <v>124.88</v>
      </c>
      <c r="E325">
        <v>125.03</v>
      </c>
      <c r="F325">
        <v>9877044</v>
      </c>
    </row>
    <row r="326" spans="1:6">
      <c r="A326" s="39">
        <v>42613</v>
      </c>
      <c r="B326">
        <v>124.73</v>
      </c>
      <c r="C326">
        <v>125.11</v>
      </c>
      <c r="D326">
        <v>124.64</v>
      </c>
      <c r="E326">
        <v>124.78</v>
      </c>
      <c r="F326">
        <v>13324105</v>
      </c>
    </row>
    <row r="327" spans="1:6">
      <c r="A327" s="39">
        <v>42614</v>
      </c>
      <c r="B327">
        <v>124.67</v>
      </c>
      <c r="C327">
        <v>125.51</v>
      </c>
      <c r="D327">
        <v>124.55</v>
      </c>
      <c r="E327">
        <v>125.29</v>
      </c>
      <c r="F327">
        <v>12877745</v>
      </c>
    </row>
    <row r="328" spans="1:6">
      <c r="A328" s="39">
        <v>42615</v>
      </c>
      <c r="B328">
        <v>126.29</v>
      </c>
      <c r="C328">
        <v>126.57</v>
      </c>
      <c r="D328">
        <v>125.58</v>
      </c>
      <c r="E328">
        <v>126.57</v>
      </c>
      <c r="F328">
        <v>11278200</v>
      </c>
    </row>
    <row r="329" spans="1:6">
      <c r="A329" s="39">
        <v>42619</v>
      </c>
      <c r="B329">
        <v>127.4</v>
      </c>
      <c r="C329">
        <v>129.08000000000001</v>
      </c>
      <c r="D329">
        <v>127.27</v>
      </c>
      <c r="E329">
        <v>128.71</v>
      </c>
      <c r="F329">
        <v>15115279</v>
      </c>
    </row>
    <row r="330" spans="1:6">
      <c r="A330" s="39">
        <v>42620</v>
      </c>
      <c r="B330">
        <v>128.79</v>
      </c>
      <c r="C330">
        <v>128.86000000000001</v>
      </c>
      <c r="D330">
        <v>128.12</v>
      </c>
      <c r="E330">
        <v>128.27000000000001</v>
      </c>
      <c r="F330">
        <v>8859847</v>
      </c>
    </row>
    <row r="331" spans="1:6">
      <c r="A331" s="39">
        <v>42621</v>
      </c>
      <c r="B331">
        <v>128.16</v>
      </c>
      <c r="C331">
        <v>128.52000000000001</v>
      </c>
      <c r="D331">
        <v>127.4</v>
      </c>
      <c r="E331">
        <v>127.59</v>
      </c>
      <c r="F331">
        <v>10561791</v>
      </c>
    </row>
    <row r="332" spans="1:6">
      <c r="A332" s="39">
        <v>42622</v>
      </c>
      <c r="B332">
        <v>127.24</v>
      </c>
      <c r="C332">
        <v>127.51</v>
      </c>
      <c r="D332">
        <v>126.7</v>
      </c>
      <c r="E332">
        <v>126.75</v>
      </c>
      <c r="F332">
        <v>12485597</v>
      </c>
    </row>
    <row r="333" spans="1:6">
      <c r="A333" s="39">
        <v>42625</v>
      </c>
      <c r="B333">
        <v>126.31</v>
      </c>
      <c r="C333">
        <v>126.92</v>
      </c>
      <c r="D333">
        <v>125.97</v>
      </c>
      <c r="E333">
        <v>126.59</v>
      </c>
      <c r="F333">
        <v>11140336</v>
      </c>
    </row>
    <row r="334" spans="1:6">
      <c r="A334" s="39">
        <v>42626</v>
      </c>
      <c r="B334">
        <v>126.47</v>
      </c>
      <c r="C334">
        <v>126.6</v>
      </c>
      <c r="D334">
        <v>125.53</v>
      </c>
      <c r="E334">
        <v>125.75</v>
      </c>
      <c r="F334">
        <v>8866372</v>
      </c>
    </row>
    <row r="335" spans="1:6">
      <c r="A335" s="39">
        <v>42627</v>
      </c>
      <c r="B335">
        <v>126.1</v>
      </c>
      <c r="C335">
        <v>126.54</v>
      </c>
      <c r="D335">
        <v>126.03</v>
      </c>
      <c r="E335">
        <v>126.18</v>
      </c>
      <c r="F335">
        <v>5820694</v>
      </c>
    </row>
    <row r="336" spans="1:6">
      <c r="A336" s="39">
        <v>42628</v>
      </c>
      <c r="B336">
        <v>125.73</v>
      </c>
      <c r="C336">
        <v>126.1</v>
      </c>
      <c r="D336">
        <v>124.91</v>
      </c>
      <c r="E336">
        <v>125.37</v>
      </c>
      <c r="F336">
        <v>12978856</v>
      </c>
    </row>
    <row r="337" spans="1:6">
      <c r="A337" s="39">
        <v>42629</v>
      </c>
      <c r="B337">
        <v>124.81</v>
      </c>
      <c r="C337">
        <v>125.24</v>
      </c>
      <c r="D337">
        <v>124.67</v>
      </c>
      <c r="E337">
        <v>125.06</v>
      </c>
      <c r="F337">
        <v>18995065</v>
      </c>
    </row>
    <row r="338" spans="1:6">
      <c r="A338" s="39">
        <v>42632</v>
      </c>
      <c r="B338">
        <v>125.61</v>
      </c>
      <c r="C338">
        <v>125.62</v>
      </c>
      <c r="D338">
        <v>125.25</v>
      </c>
      <c r="E338">
        <v>125.32</v>
      </c>
      <c r="F338">
        <v>4959637</v>
      </c>
    </row>
    <row r="339" spans="1:6">
      <c r="A339" s="39">
        <v>42633</v>
      </c>
      <c r="B339">
        <v>125.31</v>
      </c>
      <c r="C339">
        <v>125.59</v>
      </c>
      <c r="D339">
        <v>125.17</v>
      </c>
      <c r="E339">
        <v>125.44</v>
      </c>
      <c r="F339">
        <v>5672021</v>
      </c>
    </row>
    <row r="340" spans="1:6">
      <c r="A340" s="39">
        <v>42634</v>
      </c>
      <c r="B340">
        <v>126.33</v>
      </c>
      <c r="C340">
        <v>127.42</v>
      </c>
      <c r="D340">
        <v>125.96</v>
      </c>
      <c r="E340">
        <v>127.27</v>
      </c>
      <c r="F340">
        <v>13646448</v>
      </c>
    </row>
    <row r="341" spans="1:6">
      <c r="A341" s="39">
        <v>42635</v>
      </c>
      <c r="B341">
        <v>127.57</v>
      </c>
      <c r="C341">
        <v>128.19999999999999</v>
      </c>
      <c r="D341">
        <v>127.5</v>
      </c>
      <c r="E341">
        <v>127.57</v>
      </c>
      <c r="F341">
        <v>15188007</v>
      </c>
    </row>
    <row r="342" spans="1:6">
      <c r="A342" s="39">
        <v>42636</v>
      </c>
      <c r="B342">
        <v>127.6</v>
      </c>
      <c r="C342">
        <v>127.86</v>
      </c>
      <c r="D342">
        <v>127.43</v>
      </c>
      <c r="E342">
        <v>127.65</v>
      </c>
      <c r="F342">
        <v>7702291</v>
      </c>
    </row>
    <row r="343" spans="1:6">
      <c r="A343" s="39">
        <v>42639</v>
      </c>
      <c r="B343">
        <v>127.96</v>
      </c>
      <c r="C343">
        <v>128.04</v>
      </c>
      <c r="D343">
        <v>127.42</v>
      </c>
      <c r="E343">
        <v>127.55</v>
      </c>
      <c r="F343">
        <v>5842740</v>
      </c>
    </row>
    <row r="344" spans="1:6">
      <c r="A344" s="39">
        <v>42640</v>
      </c>
      <c r="B344">
        <v>126.86</v>
      </c>
      <c r="C344">
        <v>126.9</v>
      </c>
      <c r="D344">
        <v>126.34</v>
      </c>
      <c r="E344">
        <v>126.62</v>
      </c>
      <c r="F344">
        <v>6220662</v>
      </c>
    </row>
    <row r="345" spans="1:6">
      <c r="A345" s="39">
        <v>42641</v>
      </c>
      <c r="B345">
        <v>126.25</v>
      </c>
      <c r="C345">
        <v>126.4</v>
      </c>
      <c r="D345">
        <v>125.73</v>
      </c>
      <c r="E345">
        <v>126.22</v>
      </c>
      <c r="F345">
        <v>6757652</v>
      </c>
    </row>
    <row r="346" spans="1:6">
      <c r="A346" s="39">
        <v>42642</v>
      </c>
      <c r="B346">
        <v>125.84</v>
      </c>
      <c r="C346">
        <v>126.34</v>
      </c>
      <c r="D346">
        <v>125.54</v>
      </c>
      <c r="E346">
        <v>126.07</v>
      </c>
      <c r="F346">
        <v>7448407</v>
      </c>
    </row>
    <row r="347" spans="1:6">
      <c r="A347" s="39">
        <v>42643</v>
      </c>
      <c r="B347">
        <v>126.52</v>
      </c>
      <c r="C347">
        <v>126.55</v>
      </c>
      <c r="D347">
        <v>125.24</v>
      </c>
      <c r="E347">
        <v>125.64</v>
      </c>
      <c r="F347">
        <v>11204261</v>
      </c>
    </row>
    <row r="348" spans="1:6">
      <c r="A348" s="39">
        <v>42646</v>
      </c>
      <c r="B348">
        <v>125.32</v>
      </c>
      <c r="C348">
        <v>125.46</v>
      </c>
      <c r="D348">
        <v>124.9</v>
      </c>
      <c r="E348">
        <v>125.32</v>
      </c>
      <c r="F348">
        <v>9044105</v>
      </c>
    </row>
    <row r="349" spans="1:6">
      <c r="A349" s="39">
        <v>42647</v>
      </c>
      <c r="B349">
        <v>123.16</v>
      </c>
      <c r="C349">
        <v>123.18</v>
      </c>
      <c r="D349">
        <v>120.86</v>
      </c>
      <c r="E349">
        <v>120.97</v>
      </c>
      <c r="F349">
        <v>24372722</v>
      </c>
    </row>
    <row r="350" spans="1:6">
      <c r="A350" s="39">
        <v>42648</v>
      </c>
      <c r="B350">
        <v>121.33</v>
      </c>
      <c r="C350">
        <v>121.59</v>
      </c>
      <c r="D350">
        <v>120.4</v>
      </c>
      <c r="E350">
        <v>120.78</v>
      </c>
      <c r="F350">
        <v>14718120</v>
      </c>
    </row>
    <row r="351" spans="1:6">
      <c r="A351" s="39">
        <v>42649</v>
      </c>
      <c r="B351">
        <v>119.69</v>
      </c>
      <c r="C351">
        <v>119.98</v>
      </c>
      <c r="D351">
        <v>119.24</v>
      </c>
      <c r="E351">
        <v>119.66</v>
      </c>
      <c r="F351">
        <v>17917672</v>
      </c>
    </row>
    <row r="352" spans="1:6">
      <c r="A352" s="39">
        <v>42650</v>
      </c>
      <c r="B352">
        <v>120.49</v>
      </c>
      <c r="C352">
        <v>120.58</v>
      </c>
      <c r="D352">
        <v>118.42</v>
      </c>
      <c r="E352">
        <v>119.74</v>
      </c>
      <c r="F352">
        <v>17907270</v>
      </c>
    </row>
    <row r="353" spans="1:6">
      <c r="A353" s="39">
        <v>42653</v>
      </c>
      <c r="B353">
        <v>120.16</v>
      </c>
      <c r="C353">
        <v>120.42</v>
      </c>
      <c r="D353">
        <v>119.92</v>
      </c>
      <c r="E353">
        <v>120.16</v>
      </c>
      <c r="F353">
        <v>4514368</v>
      </c>
    </row>
    <row r="354" spans="1:6">
      <c r="A354" s="39">
        <v>42654</v>
      </c>
      <c r="B354">
        <v>119.92</v>
      </c>
      <c r="C354">
        <v>120.16</v>
      </c>
      <c r="D354">
        <v>119.53</v>
      </c>
      <c r="E354">
        <v>119.55</v>
      </c>
      <c r="F354">
        <v>6065330</v>
      </c>
    </row>
    <row r="355" spans="1:6">
      <c r="A355" s="39">
        <v>42655</v>
      </c>
      <c r="B355">
        <v>119.72</v>
      </c>
      <c r="C355">
        <v>120.07</v>
      </c>
      <c r="D355">
        <v>119.29</v>
      </c>
      <c r="E355">
        <v>119.74</v>
      </c>
      <c r="F355">
        <v>4848622</v>
      </c>
    </row>
    <row r="356" spans="1:6">
      <c r="A356" s="39">
        <v>42656</v>
      </c>
      <c r="B356">
        <v>120</v>
      </c>
      <c r="C356">
        <v>120.42</v>
      </c>
      <c r="D356">
        <v>119.8</v>
      </c>
      <c r="E356">
        <v>120.03</v>
      </c>
      <c r="F356">
        <v>7184647</v>
      </c>
    </row>
    <row r="357" spans="1:6">
      <c r="A357" s="39">
        <v>42657</v>
      </c>
      <c r="B357">
        <v>119.37</v>
      </c>
      <c r="C357">
        <v>120.16</v>
      </c>
      <c r="D357">
        <v>119.29</v>
      </c>
      <c r="E357">
        <v>119.36</v>
      </c>
      <c r="F357">
        <v>6577309</v>
      </c>
    </row>
    <row r="358" spans="1:6">
      <c r="A358" s="39">
        <v>42660</v>
      </c>
      <c r="B358">
        <v>119.7</v>
      </c>
      <c r="C358">
        <v>119.92</v>
      </c>
      <c r="D358">
        <v>119.58</v>
      </c>
      <c r="E358">
        <v>119.68</v>
      </c>
      <c r="F358">
        <v>4777878</v>
      </c>
    </row>
    <row r="359" spans="1:6">
      <c r="A359" s="39">
        <v>42661</v>
      </c>
      <c r="B359">
        <v>120.08</v>
      </c>
      <c r="C359">
        <v>120.64</v>
      </c>
      <c r="D359">
        <v>119.82</v>
      </c>
      <c r="E359">
        <v>120.42</v>
      </c>
      <c r="F359">
        <v>4919730</v>
      </c>
    </row>
    <row r="360" spans="1:6">
      <c r="A360" s="39">
        <v>42662</v>
      </c>
      <c r="B360">
        <v>121.13</v>
      </c>
      <c r="C360">
        <v>121.46</v>
      </c>
      <c r="D360">
        <v>120.89</v>
      </c>
      <c r="E360">
        <v>121.11</v>
      </c>
      <c r="F360">
        <v>6019772</v>
      </c>
    </row>
    <row r="361" spans="1:6">
      <c r="A361" s="39">
        <v>42663</v>
      </c>
      <c r="B361">
        <v>121.39</v>
      </c>
      <c r="C361">
        <v>121.59</v>
      </c>
      <c r="D361">
        <v>120.63</v>
      </c>
      <c r="E361">
        <v>120.74</v>
      </c>
      <c r="F361">
        <v>6496724</v>
      </c>
    </row>
    <row r="362" spans="1:6">
      <c r="A362" s="39">
        <v>42664</v>
      </c>
      <c r="B362">
        <v>120.9</v>
      </c>
      <c r="C362">
        <v>120.92</v>
      </c>
      <c r="D362">
        <v>120.55</v>
      </c>
      <c r="E362">
        <v>120.83</v>
      </c>
      <c r="F362">
        <v>6707783</v>
      </c>
    </row>
    <row r="363" spans="1:6">
      <c r="A363" s="39">
        <v>42667</v>
      </c>
      <c r="B363">
        <v>121.28</v>
      </c>
      <c r="C363">
        <v>121.3</v>
      </c>
      <c r="D363">
        <v>120.16</v>
      </c>
      <c r="E363">
        <v>120.56</v>
      </c>
      <c r="F363">
        <v>5481119</v>
      </c>
    </row>
    <row r="364" spans="1:6">
      <c r="A364" s="39">
        <v>42668</v>
      </c>
      <c r="B364">
        <v>120.89</v>
      </c>
      <c r="C364">
        <v>121.76</v>
      </c>
      <c r="D364">
        <v>120.86</v>
      </c>
      <c r="E364">
        <v>121.47</v>
      </c>
      <c r="F364">
        <v>6141110</v>
      </c>
    </row>
    <row r="365" spans="1:6">
      <c r="A365" s="39">
        <v>42669</v>
      </c>
      <c r="B365">
        <v>121.37</v>
      </c>
      <c r="C365">
        <v>121.53</v>
      </c>
      <c r="D365">
        <v>120.61</v>
      </c>
      <c r="E365">
        <v>120.79</v>
      </c>
      <c r="F365">
        <v>3905914</v>
      </c>
    </row>
    <row r="366" spans="1:6">
      <c r="A366" s="39">
        <v>42670</v>
      </c>
      <c r="B366">
        <v>121.11</v>
      </c>
      <c r="C366">
        <v>121.18</v>
      </c>
      <c r="D366">
        <v>120.75</v>
      </c>
      <c r="E366">
        <v>121.01</v>
      </c>
      <c r="F366">
        <v>4335994</v>
      </c>
    </row>
    <row r="367" spans="1:6">
      <c r="A367" s="39">
        <v>42671</v>
      </c>
      <c r="B367">
        <v>121.2</v>
      </c>
      <c r="C367">
        <v>122.48</v>
      </c>
      <c r="D367">
        <v>120.81</v>
      </c>
      <c r="E367">
        <v>121.58</v>
      </c>
      <c r="F367">
        <v>11639887</v>
      </c>
    </row>
    <row r="368" spans="1:6">
      <c r="A368" s="39">
        <v>42674</v>
      </c>
      <c r="B368">
        <v>121.51</v>
      </c>
      <c r="C368">
        <v>122</v>
      </c>
      <c r="D368">
        <v>121.23</v>
      </c>
      <c r="E368">
        <v>121.94</v>
      </c>
      <c r="F368">
        <v>7722055</v>
      </c>
    </row>
    <row r="369" spans="1:6">
      <c r="A369" s="39">
        <v>42675</v>
      </c>
      <c r="B369">
        <v>122.8</v>
      </c>
      <c r="C369">
        <v>123.21</v>
      </c>
      <c r="D369">
        <v>122.57</v>
      </c>
      <c r="E369">
        <v>122.73</v>
      </c>
      <c r="F369">
        <v>13384307</v>
      </c>
    </row>
    <row r="370" spans="1:6">
      <c r="A370" s="39">
        <v>42676</v>
      </c>
      <c r="B370">
        <v>123.76</v>
      </c>
      <c r="C370">
        <v>124.76</v>
      </c>
      <c r="D370">
        <v>123.56</v>
      </c>
      <c r="E370">
        <v>123.64</v>
      </c>
      <c r="F370">
        <v>15692420</v>
      </c>
    </row>
    <row r="371" spans="1:6">
      <c r="A371" s="39">
        <v>42677</v>
      </c>
      <c r="B371">
        <v>123.36</v>
      </c>
      <c r="C371">
        <v>124.33</v>
      </c>
      <c r="D371">
        <v>123.35</v>
      </c>
      <c r="E371">
        <v>124.3</v>
      </c>
      <c r="F371">
        <v>10093107</v>
      </c>
    </row>
    <row r="372" spans="1:6">
      <c r="A372" s="39">
        <v>42678</v>
      </c>
      <c r="B372">
        <v>124.4</v>
      </c>
      <c r="C372">
        <v>124.54</v>
      </c>
      <c r="D372">
        <v>124.04</v>
      </c>
      <c r="E372">
        <v>124.39</v>
      </c>
      <c r="F372">
        <v>8594613</v>
      </c>
    </row>
    <row r="373" spans="1:6">
      <c r="A373" s="39">
        <v>42681</v>
      </c>
      <c r="B373">
        <v>122.66</v>
      </c>
      <c r="C373">
        <v>122.71</v>
      </c>
      <c r="D373">
        <v>121.88</v>
      </c>
      <c r="E373">
        <v>122.15</v>
      </c>
      <c r="F373">
        <v>10014986</v>
      </c>
    </row>
    <row r="374" spans="1:6">
      <c r="A374" s="39">
        <v>42682</v>
      </c>
      <c r="B374">
        <v>122.12</v>
      </c>
      <c r="C374">
        <v>123.09</v>
      </c>
      <c r="D374">
        <v>121.36</v>
      </c>
      <c r="E374">
        <v>121.64</v>
      </c>
      <c r="F374">
        <v>9480647</v>
      </c>
    </row>
    <row r="375" spans="1:6">
      <c r="A375" s="39">
        <v>42683</v>
      </c>
      <c r="B375">
        <v>124.3</v>
      </c>
      <c r="C375">
        <v>124.35</v>
      </c>
      <c r="D375">
        <v>121.1</v>
      </c>
      <c r="E375">
        <v>121.56</v>
      </c>
      <c r="F375">
        <v>18236450</v>
      </c>
    </row>
    <row r="376" spans="1:6">
      <c r="A376" s="39">
        <v>42684</v>
      </c>
      <c r="B376">
        <v>121.52</v>
      </c>
      <c r="C376">
        <v>121.54</v>
      </c>
      <c r="D376">
        <v>119.38</v>
      </c>
      <c r="E376">
        <v>119.75</v>
      </c>
      <c r="F376">
        <v>22267962</v>
      </c>
    </row>
    <row r="377" spans="1:6">
      <c r="A377" s="39">
        <v>42685</v>
      </c>
      <c r="B377">
        <v>119.65</v>
      </c>
      <c r="C377">
        <v>119.69</v>
      </c>
      <c r="D377">
        <v>116.23</v>
      </c>
      <c r="E377">
        <v>117.1</v>
      </c>
      <c r="F377">
        <v>20381828</v>
      </c>
    </row>
    <row r="378" spans="1:6">
      <c r="A378" s="39">
        <v>42688</v>
      </c>
      <c r="B378">
        <v>116.12</v>
      </c>
      <c r="C378">
        <v>117.14</v>
      </c>
      <c r="D378">
        <v>115.49</v>
      </c>
      <c r="E378">
        <v>116.11</v>
      </c>
      <c r="F378">
        <v>20729377</v>
      </c>
    </row>
    <row r="379" spans="1:6">
      <c r="A379" s="39">
        <v>42689</v>
      </c>
      <c r="B379">
        <v>116.46</v>
      </c>
      <c r="C379">
        <v>117.24</v>
      </c>
      <c r="D379">
        <v>116.29</v>
      </c>
      <c r="E379">
        <v>117.12</v>
      </c>
      <c r="F379">
        <v>9348572</v>
      </c>
    </row>
    <row r="380" spans="1:6">
      <c r="A380" s="39">
        <v>42690</v>
      </c>
      <c r="B380">
        <v>117.27</v>
      </c>
      <c r="C380">
        <v>117.27</v>
      </c>
      <c r="D380">
        <v>116.58</v>
      </c>
      <c r="E380">
        <v>116.77</v>
      </c>
      <c r="F380">
        <v>5486129</v>
      </c>
    </row>
    <row r="381" spans="1:6">
      <c r="A381" s="39">
        <v>42691</v>
      </c>
      <c r="B381">
        <v>116.91</v>
      </c>
      <c r="C381">
        <v>117.22</v>
      </c>
      <c r="D381">
        <v>115.44</v>
      </c>
      <c r="E381">
        <v>116.17</v>
      </c>
      <c r="F381">
        <v>10324091</v>
      </c>
    </row>
    <row r="382" spans="1:6">
      <c r="A382" s="39">
        <v>42692</v>
      </c>
      <c r="B382">
        <v>115.52</v>
      </c>
      <c r="C382">
        <v>115.77</v>
      </c>
      <c r="D382">
        <v>114.96</v>
      </c>
      <c r="E382">
        <v>115.15</v>
      </c>
      <c r="F382">
        <v>10444285</v>
      </c>
    </row>
    <row r="383" spans="1:6">
      <c r="A383" s="39">
        <v>42695</v>
      </c>
      <c r="B383">
        <v>115.72</v>
      </c>
      <c r="C383">
        <v>115.94</v>
      </c>
      <c r="D383">
        <v>115.29</v>
      </c>
      <c r="E383">
        <v>115.58</v>
      </c>
      <c r="F383">
        <v>6654155</v>
      </c>
    </row>
    <row r="384" spans="1:6">
      <c r="A384" s="39">
        <v>42696</v>
      </c>
      <c r="B384">
        <v>115.72</v>
      </c>
      <c r="C384">
        <v>115.79</v>
      </c>
      <c r="D384">
        <v>114.98</v>
      </c>
      <c r="E384">
        <v>115.54</v>
      </c>
      <c r="F384">
        <v>6391928</v>
      </c>
    </row>
    <row r="385" spans="1:6">
      <c r="A385" s="39">
        <v>42697</v>
      </c>
      <c r="B385">
        <v>113.87</v>
      </c>
      <c r="C385">
        <v>113.88</v>
      </c>
      <c r="D385">
        <v>112.65</v>
      </c>
      <c r="E385">
        <v>113.25</v>
      </c>
      <c r="F385">
        <v>20982117</v>
      </c>
    </row>
    <row r="386" spans="1:6">
      <c r="A386" s="39">
        <v>42699</v>
      </c>
      <c r="B386">
        <v>113.42</v>
      </c>
      <c r="C386">
        <v>113.51</v>
      </c>
      <c r="D386">
        <v>112.35</v>
      </c>
      <c r="E386">
        <v>112.61</v>
      </c>
      <c r="F386">
        <v>5345889</v>
      </c>
    </row>
    <row r="387" spans="1:6">
      <c r="A387" s="39">
        <v>42702</v>
      </c>
      <c r="B387">
        <v>113.23</v>
      </c>
      <c r="C387">
        <v>113.84</v>
      </c>
      <c r="D387">
        <v>112.77</v>
      </c>
      <c r="E387">
        <v>113.8</v>
      </c>
      <c r="F387">
        <v>5655402</v>
      </c>
    </row>
    <row r="388" spans="1:6">
      <c r="A388" s="39">
        <v>42703</v>
      </c>
      <c r="B388">
        <v>112.76</v>
      </c>
      <c r="C388">
        <v>113.48</v>
      </c>
      <c r="D388">
        <v>112.69</v>
      </c>
      <c r="E388">
        <v>113.27</v>
      </c>
      <c r="F388">
        <v>7438616</v>
      </c>
    </row>
    <row r="389" spans="1:6">
      <c r="A389" s="39">
        <v>42704</v>
      </c>
      <c r="B389">
        <v>112.69</v>
      </c>
      <c r="C389">
        <v>112.79</v>
      </c>
      <c r="D389">
        <v>111.5</v>
      </c>
      <c r="E389">
        <v>111.75</v>
      </c>
      <c r="F389">
        <v>10925538</v>
      </c>
    </row>
    <row r="390" spans="1:6">
      <c r="A390" s="39">
        <v>42705</v>
      </c>
      <c r="B390">
        <v>111.11</v>
      </c>
      <c r="C390">
        <v>111.99</v>
      </c>
      <c r="D390">
        <v>110.63</v>
      </c>
      <c r="E390">
        <v>111.54</v>
      </c>
      <c r="F390">
        <v>10236970</v>
      </c>
    </row>
    <row r="391" spans="1:6">
      <c r="A391" s="39">
        <v>42706</v>
      </c>
      <c r="B391">
        <v>111.89</v>
      </c>
      <c r="C391">
        <v>112.32</v>
      </c>
      <c r="D391">
        <v>111.78</v>
      </c>
      <c r="E391">
        <v>112.14</v>
      </c>
      <c r="F391">
        <v>7416468</v>
      </c>
    </row>
    <row r="392" spans="1:6">
      <c r="A392" s="39">
        <v>42709</v>
      </c>
      <c r="B392">
        <v>111.15</v>
      </c>
      <c r="C392">
        <v>112.11</v>
      </c>
      <c r="D392">
        <v>110.31</v>
      </c>
      <c r="E392">
        <v>111.54</v>
      </c>
      <c r="F392">
        <v>10187891</v>
      </c>
    </row>
    <row r="393" spans="1:6">
      <c r="A393" s="39">
        <v>42710</v>
      </c>
      <c r="B393">
        <v>111.69</v>
      </c>
      <c r="C393">
        <v>112.03</v>
      </c>
      <c r="D393">
        <v>111.19</v>
      </c>
      <c r="E393">
        <v>111.43</v>
      </c>
      <c r="F393">
        <v>5533689</v>
      </c>
    </row>
    <row r="394" spans="1:6">
      <c r="A394" s="39">
        <v>42711</v>
      </c>
      <c r="B394">
        <v>112.13</v>
      </c>
      <c r="C394">
        <v>112.5</v>
      </c>
      <c r="D394">
        <v>111.77</v>
      </c>
      <c r="E394">
        <v>111.83</v>
      </c>
      <c r="F394">
        <v>4901840</v>
      </c>
    </row>
    <row r="395" spans="1:6">
      <c r="A395" s="39">
        <v>42712</v>
      </c>
      <c r="B395">
        <v>111.72</v>
      </c>
      <c r="C395">
        <v>111.87</v>
      </c>
      <c r="D395">
        <v>111.46</v>
      </c>
      <c r="E395">
        <v>111.57</v>
      </c>
      <c r="F395">
        <v>5977792</v>
      </c>
    </row>
    <row r="396" spans="1:6">
      <c r="A396" s="39">
        <v>42713</v>
      </c>
      <c r="B396">
        <v>111.18</v>
      </c>
      <c r="C396">
        <v>111.25</v>
      </c>
      <c r="D396">
        <v>110.19</v>
      </c>
      <c r="E396">
        <v>110.4</v>
      </c>
      <c r="F396">
        <v>10507697</v>
      </c>
    </row>
    <row r="397" spans="1:6">
      <c r="A397" s="39">
        <v>42716</v>
      </c>
      <c r="B397">
        <v>110.59</v>
      </c>
      <c r="C397">
        <v>111.11</v>
      </c>
      <c r="D397">
        <v>110.27</v>
      </c>
      <c r="E397">
        <v>110.82</v>
      </c>
      <c r="F397">
        <v>6156717</v>
      </c>
    </row>
    <row r="398" spans="1:6">
      <c r="A398" s="39">
        <v>42717</v>
      </c>
      <c r="B398">
        <v>110.57</v>
      </c>
      <c r="C398">
        <v>110.79</v>
      </c>
      <c r="D398">
        <v>110.06</v>
      </c>
      <c r="E398">
        <v>110.45</v>
      </c>
      <c r="F398">
        <v>7961600</v>
      </c>
    </row>
    <row r="399" spans="1:6">
      <c r="A399" s="39">
        <v>42718</v>
      </c>
      <c r="B399">
        <v>110.95</v>
      </c>
      <c r="C399">
        <v>110.98</v>
      </c>
      <c r="D399">
        <v>108.52</v>
      </c>
      <c r="E399">
        <v>108.83</v>
      </c>
      <c r="F399">
        <v>12933647</v>
      </c>
    </row>
    <row r="400" spans="1:6">
      <c r="A400" s="39">
        <v>42719</v>
      </c>
      <c r="B400">
        <v>107.85</v>
      </c>
      <c r="C400">
        <v>107.99</v>
      </c>
      <c r="D400">
        <v>107</v>
      </c>
      <c r="E400">
        <v>107.34</v>
      </c>
      <c r="F400">
        <v>14427539</v>
      </c>
    </row>
    <row r="401" spans="1:6">
      <c r="A401" s="39">
        <v>42720</v>
      </c>
      <c r="B401">
        <v>107.95</v>
      </c>
      <c r="C401">
        <v>108.78</v>
      </c>
      <c r="D401">
        <v>107.48</v>
      </c>
      <c r="E401">
        <v>108.05</v>
      </c>
      <c r="F401">
        <v>10602807</v>
      </c>
    </row>
    <row r="402" spans="1:6">
      <c r="A402" s="39">
        <v>42723</v>
      </c>
      <c r="B402">
        <v>108.6</v>
      </c>
      <c r="C402">
        <v>108.88</v>
      </c>
      <c r="D402">
        <v>108.34</v>
      </c>
      <c r="E402">
        <v>108.59</v>
      </c>
      <c r="F402">
        <v>5339066</v>
      </c>
    </row>
    <row r="403" spans="1:6">
      <c r="A403" s="39">
        <v>42724</v>
      </c>
      <c r="B403">
        <v>107.47</v>
      </c>
      <c r="C403">
        <v>108</v>
      </c>
      <c r="D403">
        <v>107.29</v>
      </c>
      <c r="E403">
        <v>107.79</v>
      </c>
      <c r="F403">
        <v>7321100</v>
      </c>
    </row>
    <row r="404" spans="1:6">
      <c r="A404" s="39">
        <v>42725</v>
      </c>
      <c r="B404">
        <v>108.25</v>
      </c>
      <c r="C404">
        <v>108.31</v>
      </c>
      <c r="D404">
        <v>107.68</v>
      </c>
      <c r="E404">
        <v>107.85</v>
      </c>
      <c r="F404">
        <v>5188680</v>
      </c>
    </row>
    <row r="405" spans="1:6">
      <c r="A405" s="39">
        <v>42726</v>
      </c>
      <c r="B405">
        <v>107.68</v>
      </c>
      <c r="C405">
        <v>108.1</v>
      </c>
      <c r="D405">
        <v>107.49</v>
      </c>
      <c r="E405">
        <v>107.59</v>
      </c>
      <c r="F405">
        <v>4942759</v>
      </c>
    </row>
    <row r="406" spans="1:6">
      <c r="A406" s="39">
        <v>42727</v>
      </c>
      <c r="B406">
        <v>107.84</v>
      </c>
      <c r="C406">
        <v>108.25</v>
      </c>
      <c r="D406">
        <v>107.8</v>
      </c>
      <c r="E406">
        <v>107.93</v>
      </c>
      <c r="F406">
        <v>5012242</v>
      </c>
    </row>
    <row r="407" spans="1:6">
      <c r="A407" s="39">
        <v>42731</v>
      </c>
      <c r="B407">
        <v>108.61</v>
      </c>
      <c r="C407">
        <v>108.67</v>
      </c>
      <c r="D407">
        <v>108.24</v>
      </c>
      <c r="E407">
        <v>108.56</v>
      </c>
      <c r="F407">
        <v>3685504</v>
      </c>
    </row>
    <row r="408" spans="1:6">
      <c r="A408" s="39">
        <v>42732</v>
      </c>
      <c r="B408">
        <v>108.4</v>
      </c>
      <c r="C408">
        <v>108.91</v>
      </c>
      <c r="D408">
        <v>108.29</v>
      </c>
      <c r="E408">
        <v>108.86</v>
      </c>
      <c r="F408">
        <v>5091228</v>
      </c>
    </row>
    <row r="409" spans="1:6">
      <c r="A409" s="39">
        <v>42733</v>
      </c>
      <c r="B409">
        <v>109.23</v>
      </c>
      <c r="C409">
        <v>110.53</v>
      </c>
      <c r="D409">
        <v>109.16</v>
      </c>
      <c r="E409">
        <v>110.29</v>
      </c>
      <c r="F409">
        <v>7563896</v>
      </c>
    </row>
    <row r="410" spans="1:6">
      <c r="A410" s="39">
        <v>42734</v>
      </c>
      <c r="B410">
        <v>110.38</v>
      </c>
      <c r="C410">
        <v>110.62</v>
      </c>
      <c r="D410">
        <v>109.53</v>
      </c>
      <c r="E410">
        <v>109.61</v>
      </c>
      <c r="F410">
        <v>8873725</v>
      </c>
    </row>
    <row r="411" spans="1:6">
      <c r="A411" s="39">
        <v>42738</v>
      </c>
      <c r="B411">
        <v>109.62</v>
      </c>
      <c r="C411">
        <v>111</v>
      </c>
      <c r="D411">
        <v>109.37</v>
      </c>
      <c r="E411">
        <v>110.47</v>
      </c>
      <c r="F411">
        <v>7527353</v>
      </c>
    </row>
    <row r="412" spans="1:6">
      <c r="A412" s="39">
        <v>42739</v>
      </c>
      <c r="B412">
        <v>111.06</v>
      </c>
      <c r="C412">
        <v>111.22</v>
      </c>
      <c r="D412">
        <v>110.61</v>
      </c>
      <c r="E412">
        <v>110.86</v>
      </c>
      <c r="F412">
        <v>4904119</v>
      </c>
    </row>
    <row r="413" spans="1:6">
      <c r="A413" s="39">
        <v>42740</v>
      </c>
      <c r="B413">
        <v>112.16</v>
      </c>
      <c r="C413">
        <v>112.94</v>
      </c>
      <c r="D413">
        <v>112.07</v>
      </c>
      <c r="E413">
        <v>112.58</v>
      </c>
      <c r="F413">
        <v>9606761</v>
      </c>
    </row>
    <row r="414" spans="1:6">
      <c r="A414" s="39">
        <v>42741</v>
      </c>
      <c r="B414">
        <v>111.81</v>
      </c>
      <c r="C414">
        <v>112.38</v>
      </c>
      <c r="D414">
        <v>111.57</v>
      </c>
      <c r="E414">
        <v>111.75</v>
      </c>
      <c r="F414">
        <v>7686070</v>
      </c>
    </row>
    <row r="415" spans="1:6">
      <c r="A415" s="39">
        <v>42744</v>
      </c>
      <c r="B415">
        <v>112.39</v>
      </c>
      <c r="C415">
        <v>113.04</v>
      </c>
      <c r="D415">
        <v>112.18</v>
      </c>
      <c r="E415">
        <v>112.67</v>
      </c>
      <c r="F415">
        <v>5674636</v>
      </c>
    </row>
    <row r="416" spans="1:6">
      <c r="A416" s="39">
        <v>42745</v>
      </c>
      <c r="B416">
        <v>112.94</v>
      </c>
      <c r="C416">
        <v>113.45</v>
      </c>
      <c r="D416">
        <v>112.64</v>
      </c>
      <c r="E416">
        <v>113.15</v>
      </c>
      <c r="F416">
        <v>6093404</v>
      </c>
    </row>
    <row r="417" spans="1:6">
      <c r="A417" s="39">
        <v>42746</v>
      </c>
      <c r="B417">
        <v>112.87</v>
      </c>
      <c r="C417">
        <v>114.19</v>
      </c>
      <c r="D417">
        <v>112.17</v>
      </c>
      <c r="E417">
        <v>113.5</v>
      </c>
      <c r="F417">
        <v>9918689</v>
      </c>
    </row>
    <row r="418" spans="1:6">
      <c r="A418" s="39">
        <v>42747</v>
      </c>
      <c r="B418">
        <v>114.52</v>
      </c>
      <c r="C418">
        <v>114.93</v>
      </c>
      <c r="D418">
        <v>113.8</v>
      </c>
      <c r="E418">
        <v>113.91</v>
      </c>
      <c r="F418">
        <v>8457319</v>
      </c>
    </row>
    <row r="419" spans="1:6">
      <c r="A419" s="39">
        <v>42748</v>
      </c>
      <c r="B419">
        <v>113.65</v>
      </c>
      <c r="C419">
        <v>114.31</v>
      </c>
      <c r="D419">
        <v>113.19</v>
      </c>
      <c r="E419">
        <v>114.21</v>
      </c>
      <c r="F419">
        <v>7261454</v>
      </c>
    </row>
    <row r="420" spans="1:6">
      <c r="A420" s="39">
        <v>42752</v>
      </c>
      <c r="B420">
        <v>115.89</v>
      </c>
      <c r="C420">
        <v>115.96</v>
      </c>
      <c r="D420">
        <v>115.5</v>
      </c>
      <c r="E420">
        <v>115.85</v>
      </c>
      <c r="F420">
        <v>9142370</v>
      </c>
    </row>
    <row r="421" spans="1:6">
      <c r="A421" s="39">
        <v>42753</v>
      </c>
      <c r="B421">
        <v>115.74</v>
      </c>
      <c r="C421">
        <v>115.92</v>
      </c>
      <c r="D421">
        <v>114.56</v>
      </c>
      <c r="E421">
        <v>114.87</v>
      </c>
      <c r="F421">
        <v>6498109</v>
      </c>
    </row>
    <row r="422" spans="1:6">
      <c r="A422" s="39">
        <v>42754</v>
      </c>
      <c r="B422">
        <v>114.32</v>
      </c>
      <c r="C422">
        <v>114.96</v>
      </c>
      <c r="D422">
        <v>113.94</v>
      </c>
      <c r="E422">
        <v>114.77</v>
      </c>
      <c r="F422">
        <v>6437008</v>
      </c>
    </row>
    <row r="423" spans="1:6">
      <c r="A423" s="39">
        <v>42755</v>
      </c>
      <c r="B423">
        <v>114.65</v>
      </c>
      <c r="C423">
        <v>115.76</v>
      </c>
      <c r="D423">
        <v>114.32</v>
      </c>
      <c r="E423">
        <v>115.05</v>
      </c>
      <c r="F423">
        <v>12261510</v>
      </c>
    </row>
    <row r="424" spans="1:6">
      <c r="A424" s="39">
        <v>42758</v>
      </c>
      <c r="B424">
        <v>115.51</v>
      </c>
      <c r="C424">
        <v>116.17</v>
      </c>
      <c r="D424">
        <v>115.2</v>
      </c>
      <c r="E424">
        <v>115.79</v>
      </c>
      <c r="F424">
        <v>6373102</v>
      </c>
    </row>
    <row r="425" spans="1:6">
      <c r="A425" s="39">
        <v>42759</v>
      </c>
      <c r="B425">
        <v>115.69</v>
      </c>
      <c r="C425">
        <v>116.02</v>
      </c>
      <c r="D425">
        <v>114.94</v>
      </c>
      <c r="E425">
        <v>115.27</v>
      </c>
      <c r="F425">
        <v>5798840</v>
      </c>
    </row>
    <row r="426" spans="1:6">
      <c r="A426" s="39">
        <v>42760</v>
      </c>
      <c r="B426">
        <v>114.14</v>
      </c>
      <c r="C426">
        <v>114.44</v>
      </c>
      <c r="D426">
        <v>113.68</v>
      </c>
      <c r="E426">
        <v>114.32</v>
      </c>
      <c r="F426">
        <v>6697523</v>
      </c>
    </row>
    <row r="427" spans="1:6">
      <c r="A427" s="39">
        <v>42761</v>
      </c>
      <c r="B427">
        <v>113.24</v>
      </c>
      <c r="C427">
        <v>113.5</v>
      </c>
      <c r="D427">
        <v>112.83</v>
      </c>
      <c r="E427">
        <v>113.26</v>
      </c>
      <c r="F427">
        <v>5390463</v>
      </c>
    </row>
    <row r="428" spans="1:6">
      <c r="A428" s="39">
        <v>42762</v>
      </c>
      <c r="B428">
        <v>112.93</v>
      </c>
      <c r="C428">
        <v>113.54</v>
      </c>
      <c r="D428">
        <v>112.81</v>
      </c>
      <c r="E428">
        <v>113.49</v>
      </c>
      <c r="F428">
        <v>6706570</v>
      </c>
    </row>
    <row r="429" spans="1:6">
      <c r="A429" s="39">
        <v>42765</v>
      </c>
      <c r="B429">
        <v>113.61</v>
      </c>
      <c r="C429">
        <v>114.3</v>
      </c>
      <c r="D429">
        <v>113.54</v>
      </c>
      <c r="E429">
        <v>113.97</v>
      </c>
      <c r="F429">
        <v>7687782</v>
      </c>
    </row>
    <row r="430" spans="1:6">
      <c r="A430" s="39">
        <v>42766</v>
      </c>
      <c r="B430">
        <v>115.27</v>
      </c>
      <c r="C430">
        <v>115.82</v>
      </c>
      <c r="D430">
        <v>115.18</v>
      </c>
      <c r="E430">
        <v>115.55</v>
      </c>
      <c r="F430">
        <v>10421882</v>
      </c>
    </row>
    <row r="431" spans="1:6">
      <c r="A431" s="39">
        <v>42767</v>
      </c>
      <c r="B431">
        <v>114.66</v>
      </c>
      <c r="C431">
        <v>115.45</v>
      </c>
      <c r="D431">
        <v>114.14</v>
      </c>
      <c r="E431">
        <v>115.2</v>
      </c>
      <c r="F431">
        <v>6932889</v>
      </c>
    </row>
    <row r="432" spans="1:6">
      <c r="A432" s="39">
        <v>42768</v>
      </c>
      <c r="B432">
        <v>116.26</v>
      </c>
      <c r="C432">
        <v>116.57</v>
      </c>
      <c r="D432">
        <v>115.62</v>
      </c>
      <c r="E432">
        <v>115.84</v>
      </c>
      <c r="F432">
        <v>7189461</v>
      </c>
    </row>
    <row r="433" spans="1:6">
      <c r="A433" s="39">
        <v>42769</v>
      </c>
      <c r="B433">
        <v>115.73</v>
      </c>
      <c r="C433">
        <v>116.36</v>
      </c>
      <c r="D433">
        <v>115.71</v>
      </c>
      <c r="E433">
        <v>116.13</v>
      </c>
      <c r="F433">
        <v>9455464</v>
      </c>
    </row>
    <row r="434" spans="1:6">
      <c r="A434" s="39">
        <v>42772</v>
      </c>
      <c r="B434">
        <v>117.07</v>
      </c>
      <c r="C434">
        <v>117.74</v>
      </c>
      <c r="D434">
        <v>116.74</v>
      </c>
      <c r="E434">
        <v>117.7</v>
      </c>
      <c r="F434">
        <v>8547843</v>
      </c>
    </row>
    <row r="435" spans="1:6">
      <c r="A435" s="39">
        <v>42773</v>
      </c>
      <c r="B435">
        <v>117.31</v>
      </c>
      <c r="C435">
        <v>117.74</v>
      </c>
      <c r="D435">
        <v>117.2</v>
      </c>
      <c r="E435">
        <v>117.46</v>
      </c>
      <c r="F435">
        <v>8621039</v>
      </c>
    </row>
    <row r="436" spans="1:6">
      <c r="A436" s="39">
        <v>42774</v>
      </c>
      <c r="B436">
        <v>118.09</v>
      </c>
      <c r="C436">
        <v>118.59</v>
      </c>
      <c r="D436">
        <v>117.81</v>
      </c>
      <c r="E436">
        <v>118.19</v>
      </c>
      <c r="F436">
        <v>9633443</v>
      </c>
    </row>
    <row r="437" spans="1:6">
      <c r="A437" s="39">
        <v>42775</v>
      </c>
      <c r="B437">
        <v>118.32</v>
      </c>
      <c r="C437">
        <v>118.58</v>
      </c>
      <c r="D437">
        <v>117.2</v>
      </c>
      <c r="E437">
        <v>117.29</v>
      </c>
      <c r="F437">
        <v>8177210</v>
      </c>
    </row>
    <row r="438" spans="1:6">
      <c r="A438" s="39">
        <v>42776</v>
      </c>
      <c r="B438">
        <v>116.68</v>
      </c>
      <c r="C438">
        <v>117.86</v>
      </c>
      <c r="D438">
        <v>116.67</v>
      </c>
      <c r="E438">
        <v>117.6</v>
      </c>
      <c r="F438">
        <v>9072146</v>
      </c>
    </row>
    <row r="439" spans="1:6">
      <c r="A439" s="39">
        <v>42779</v>
      </c>
      <c r="B439">
        <v>116.73</v>
      </c>
      <c r="C439">
        <v>116.95</v>
      </c>
      <c r="D439">
        <v>116.15</v>
      </c>
      <c r="E439">
        <v>116.8</v>
      </c>
      <c r="F439">
        <v>7354924</v>
      </c>
    </row>
    <row r="440" spans="1:6">
      <c r="A440" s="39">
        <v>42780</v>
      </c>
      <c r="B440">
        <v>117.51</v>
      </c>
      <c r="C440">
        <v>117.56</v>
      </c>
      <c r="D440">
        <v>116.38</v>
      </c>
      <c r="E440">
        <v>116.93</v>
      </c>
      <c r="F440">
        <v>6927842</v>
      </c>
    </row>
    <row r="441" spans="1:6">
      <c r="A441" s="39">
        <v>42781</v>
      </c>
      <c r="B441">
        <v>116.33</v>
      </c>
      <c r="C441">
        <v>117.48</v>
      </c>
      <c r="D441">
        <v>116.25</v>
      </c>
      <c r="E441">
        <v>117.45</v>
      </c>
      <c r="F441">
        <v>7088419</v>
      </c>
    </row>
    <row r="442" spans="1:6">
      <c r="A442" s="39">
        <v>42782</v>
      </c>
      <c r="B442">
        <v>117.93</v>
      </c>
      <c r="C442">
        <v>118.35</v>
      </c>
      <c r="D442">
        <v>117.83</v>
      </c>
      <c r="E442">
        <v>118.08</v>
      </c>
      <c r="F442">
        <v>6378650</v>
      </c>
    </row>
    <row r="443" spans="1:6">
      <c r="A443" s="39">
        <v>42783</v>
      </c>
      <c r="B443">
        <v>118.19</v>
      </c>
      <c r="C443">
        <v>118.4</v>
      </c>
      <c r="D443">
        <v>117.62</v>
      </c>
      <c r="E443">
        <v>117.68</v>
      </c>
      <c r="F443">
        <v>7338065</v>
      </c>
    </row>
    <row r="444" spans="1:6">
      <c r="A444" s="39">
        <v>42787</v>
      </c>
      <c r="B444">
        <v>117.04</v>
      </c>
      <c r="C444">
        <v>118</v>
      </c>
      <c r="D444">
        <v>116.77</v>
      </c>
      <c r="E444">
        <v>117.75</v>
      </c>
      <c r="F444">
        <v>6166875</v>
      </c>
    </row>
    <row r="445" spans="1:6">
      <c r="A445" s="39">
        <v>42788</v>
      </c>
      <c r="B445">
        <v>117.86</v>
      </c>
      <c r="C445">
        <v>118.02</v>
      </c>
      <c r="D445">
        <v>117.24</v>
      </c>
      <c r="E445">
        <v>117.91</v>
      </c>
      <c r="F445">
        <v>6057179</v>
      </c>
    </row>
    <row r="446" spans="1:6">
      <c r="A446" s="39">
        <v>42789</v>
      </c>
      <c r="B446">
        <v>118.76</v>
      </c>
      <c r="C446">
        <v>119.16</v>
      </c>
      <c r="D446">
        <v>118.68</v>
      </c>
      <c r="E446">
        <v>118.94</v>
      </c>
      <c r="F446">
        <v>7523304</v>
      </c>
    </row>
    <row r="447" spans="1:6">
      <c r="A447" s="39">
        <v>42790</v>
      </c>
      <c r="B447">
        <v>119.74</v>
      </c>
      <c r="C447">
        <v>119.88</v>
      </c>
      <c r="D447">
        <v>119.25</v>
      </c>
      <c r="E447">
        <v>119.7</v>
      </c>
      <c r="F447">
        <v>9808957</v>
      </c>
    </row>
    <row r="448" spans="1:6">
      <c r="A448" s="39">
        <v>42793</v>
      </c>
      <c r="B448">
        <v>119.73</v>
      </c>
      <c r="C448">
        <v>120.4</v>
      </c>
      <c r="D448">
        <v>119.12</v>
      </c>
      <c r="E448">
        <v>119.12</v>
      </c>
      <c r="F448">
        <v>9263499</v>
      </c>
    </row>
    <row r="449" spans="1:6">
      <c r="A449" s="39">
        <v>42794</v>
      </c>
      <c r="B449">
        <v>119.7</v>
      </c>
      <c r="C449">
        <v>119.84</v>
      </c>
      <c r="D449">
        <v>118.82</v>
      </c>
      <c r="E449">
        <v>119.23</v>
      </c>
      <c r="F449">
        <v>8727832</v>
      </c>
    </row>
    <row r="450" spans="1:6">
      <c r="A450" s="39">
        <v>42795</v>
      </c>
      <c r="B450">
        <v>117.98</v>
      </c>
      <c r="C450">
        <v>119.12</v>
      </c>
      <c r="D450">
        <v>117.95</v>
      </c>
      <c r="E450">
        <v>119.06</v>
      </c>
      <c r="F450">
        <v>8679637</v>
      </c>
    </row>
    <row r="451" spans="1:6">
      <c r="A451" s="39">
        <v>42796</v>
      </c>
      <c r="B451">
        <v>117.76</v>
      </c>
      <c r="C451">
        <v>118.34</v>
      </c>
      <c r="D451">
        <v>117.22</v>
      </c>
      <c r="E451">
        <v>117.58</v>
      </c>
      <c r="F451">
        <v>10986262</v>
      </c>
    </row>
    <row r="452" spans="1:6">
      <c r="A452" s="39">
        <v>42797</v>
      </c>
      <c r="B452">
        <v>116.95</v>
      </c>
      <c r="C452">
        <v>117.73</v>
      </c>
      <c r="D452">
        <v>116.44</v>
      </c>
      <c r="E452">
        <v>117.51</v>
      </c>
      <c r="F452">
        <v>10665818</v>
      </c>
    </row>
    <row r="453" spans="1:6">
      <c r="A453" s="39">
        <v>42800</v>
      </c>
      <c r="B453">
        <v>117.35</v>
      </c>
      <c r="C453">
        <v>117.35</v>
      </c>
      <c r="D453">
        <v>116.63</v>
      </c>
      <c r="E453">
        <v>116.72</v>
      </c>
      <c r="F453">
        <v>4883547</v>
      </c>
    </row>
    <row r="454" spans="1:6">
      <c r="A454" s="39">
        <v>42801</v>
      </c>
      <c r="B454">
        <v>116.13</v>
      </c>
      <c r="C454">
        <v>116.25</v>
      </c>
      <c r="D454">
        <v>115.62</v>
      </c>
      <c r="E454">
        <v>115.78</v>
      </c>
      <c r="F454">
        <v>6846277</v>
      </c>
    </row>
    <row r="455" spans="1:6">
      <c r="A455" s="39">
        <v>42802</v>
      </c>
      <c r="B455">
        <v>114.99</v>
      </c>
      <c r="C455">
        <v>115.36</v>
      </c>
      <c r="D455">
        <v>114.94</v>
      </c>
      <c r="E455">
        <v>115.06</v>
      </c>
      <c r="F455">
        <v>7620924</v>
      </c>
    </row>
    <row r="456" spans="1:6">
      <c r="A456" s="39">
        <v>42803</v>
      </c>
      <c r="B456">
        <v>114.78</v>
      </c>
      <c r="C456">
        <v>115.02</v>
      </c>
      <c r="D456">
        <v>114.4</v>
      </c>
      <c r="E456">
        <v>114.47</v>
      </c>
      <c r="F456">
        <v>6410916</v>
      </c>
    </row>
    <row r="457" spans="1:6">
      <c r="A457" s="39">
        <v>42804</v>
      </c>
      <c r="B457">
        <v>114.45</v>
      </c>
      <c r="C457">
        <v>114.73</v>
      </c>
      <c r="D457">
        <v>114.13</v>
      </c>
      <c r="E457">
        <v>114.72</v>
      </c>
      <c r="F457">
        <v>7929500</v>
      </c>
    </row>
    <row r="458" spans="1:6">
      <c r="A458" s="39">
        <v>42807</v>
      </c>
      <c r="B458">
        <v>114.63</v>
      </c>
      <c r="C458">
        <v>114.91</v>
      </c>
      <c r="D458">
        <v>114.5</v>
      </c>
      <c r="E458">
        <v>114.74</v>
      </c>
      <c r="F458">
        <v>5807391</v>
      </c>
    </row>
    <row r="459" spans="1:6">
      <c r="A459" s="39">
        <v>42808</v>
      </c>
      <c r="B459">
        <v>114.54</v>
      </c>
      <c r="C459">
        <v>115.01</v>
      </c>
      <c r="D459">
        <v>114.02</v>
      </c>
      <c r="E459">
        <v>114.12</v>
      </c>
      <c r="F459">
        <v>5301810</v>
      </c>
    </row>
    <row r="460" spans="1:6">
      <c r="A460" s="39">
        <v>42809</v>
      </c>
      <c r="B460">
        <v>114.29</v>
      </c>
      <c r="C460">
        <v>116.25</v>
      </c>
      <c r="D460">
        <v>114.02</v>
      </c>
      <c r="E460">
        <v>116.25</v>
      </c>
      <c r="F460">
        <v>13524082</v>
      </c>
    </row>
    <row r="461" spans="1:6">
      <c r="A461" s="39">
        <v>42810</v>
      </c>
      <c r="B461">
        <v>117.27</v>
      </c>
      <c r="C461">
        <v>117.29</v>
      </c>
      <c r="D461">
        <v>116.69</v>
      </c>
      <c r="E461">
        <v>116.73</v>
      </c>
      <c r="F461">
        <v>9322018</v>
      </c>
    </row>
    <row r="462" spans="1:6">
      <c r="A462" s="39">
        <v>42811</v>
      </c>
      <c r="B462">
        <v>117.04</v>
      </c>
      <c r="C462">
        <v>117.27</v>
      </c>
      <c r="D462">
        <v>116.91</v>
      </c>
      <c r="E462">
        <v>116.99</v>
      </c>
      <c r="F462">
        <v>4683039</v>
      </c>
    </row>
    <row r="463" spans="1:6">
      <c r="A463" s="39">
        <v>42814</v>
      </c>
      <c r="B463">
        <v>117.31</v>
      </c>
      <c r="C463">
        <v>117.6</v>
      </c>
      <c r="D463">
        <v>117.2</v>
      </c>
      <c r="E463">
        <v>117.56</v>
      </c>
      <c r="F463">
        <v>4000202</v>
      </c>
    </row>
    <row r="464" spans="1:6">
      <c r="A464" s="39">
        <v>42815</v>
      </c>
      <c r="B464">
        <v>117.77</v>
      </c>
      <c r="C464">
        <v>118.8</v>
      </c>
      <c r="D464">
        <v>117.76</v>
      </c>
      <c r="E464">
        <v>118.54</v>
      </c>
      <c r="F464">
        <v>9567932</v>
      </c>
    </row>
    <row r="465" spans="1:6">
      <c r="A465" s="39">
        <v>42816</v>
      </c>
      <c r="B465">
        <v>118.87</v>
      </c>
      <c r="C465">
        <v>119.15</v>
      </c>
      <c r="D465">
        <v>118.68</v>
      </c>
      <c r="E465">
        <v>118.83</v>
      </c>
      <c r="F465">
        <v>7287350</v>
      </c>
    </row>
    <row r="466" spans="1:6">
      <c r="A466" s="39">
        <v>42817</v>
      </c>
      <c r="B466">
        <v>119.15</v>
      </c>
      <c r="C466">
        <v>119.25</v>
      </c>
      <c r="D466">
        <v>118.32</v>
      </c>
      <c r="E466">
        <v>118.67</v>
      </c>
      <c r="F466">
        <v>6201129</v>
      </c>
    </row>
    <row r="467" spans="1:6">
      <c r="A467" s="39">
        <v>42818</v>
      </c>
      <c r="B467">
        <v>118.5</v>
      </c>
      <c r="C467">
        <v>119.21</v>
      </c>
      <c r="D467">
        <v>118.39</v>
      </c>
      <c r="E467">
        <v>118.86</v>
      </c>
      <c r="F467">
        <v>6879634</v>
      </c>
    </row>
    <row r="468" spans="1:6">
      <c r="A468" s="39">
        <v>42821</v>
      </c>
      <c r="B468">
        <v>119.93</v>
      </c>
      <c r="C468">
        <v>120.08</v>
      </c>
      <c r="D468">
        <v>119.27</v>
      </c>
      <c r="E468">
        <v>119.53</v>
      </c>
      <c r="F468">
        <v>8519573</v>
      </c>
    </row>
    <row r="469" spans="1:6">
      <c r="A469" s="39">
        <v>42822</v>
      </c>
      <c r="B469">
        <v>119.74</v>
      </c>
      <c r="C469">
        <v>119.83</v>
      </c>
      <c r="D469">
        <v>118.78</v>
      </c>
      <c r="E469">
        <v>119.04</v>
      </c>
      <c r="F469">
        <v>7112787</v>
      </c>
    </row>
    <row r="470" spans="1:6">
      <c r="A470" s="39">
        <v>42823</v>
      </c>
      <c r="B470">
        <v>119.22</v>
      </c>
      <c r="C470">
        <v>119.45</v>
      </c>
      <c r="D470">
        <v>119.05</v>
      </c>
      <c r="E470">
        <v>119.33</v>
      </c>
      <c r="F470">
        <v>4911042</v>
      </c>
    </row>
    <row r="471" spans="1:6">
      <c r="A471" s="39">
        <v>42824</v>
      </c>
      <c r="B471">
        <v>118.77</v>
      </c>
      <c r="C471">
        <v>119.12</v>
      </c>
      <c r="D471">
        <v>118.32</v>
      </c>
      <c r="E471">
        <v>118.47</v>
      </c>
      <c r="F471">
        <v>6894572</v>
      </c>
    </row>
    <row r="472" spans="1:6">
      <c r="A472" s="39">
        <v>42825</v>
      </c>
      <c r="B472">
        <v>118.61</v>
      </c>
      <c r="C472">
        <v>119.08</v>
      </c>
      <c r="D472">
        <v>118.46</v>
      </c>
      <c r="E472">
        <v>118.72</v>
      </c>
      <c r="F472">
        <v>8520847</v>
      </c>
    </row>
    <row r="473" spans="1:6">
      <c r="A473" s="39">
        <v>42828</v>
      </c>
      <c r="B473">
        <v>118.69</v>
      </c>
      <c r="C473">
        <v>119.37</v>
      </c>
      <c r="D473">
        <v>118.67</v>
      </c>
      <c r="E473">
        <v>119.35</v>
      </c>
      <c r="F473">
        <v>6105704</v>
      </c>
    </row>
    <row r="474" spans="1:6">
      <c r="A474" s="39">
        <v>42829</v>
      </c>
      <c r="B474">
        <v>119.59</v>
      </c>
      <c r="C474">
        <v>119.77</v>
      </c>
      <c r="D474">
        <v>119.38</v>
      </c>
      <c r="E474">
        <v>119.62</v>
      </c>
      <c r="F474">
        <v>4687301</v>
      </c>
    </row>
    <row r="475" spans="1:6">
      <c r="A475" s="39">
        <v>42830</v>
      </c>
      <c r="B475">
        <v>118.62</v>
      </c>
      <c r="C475">
        <v>119.63</v>
      </c>
      <c r="D475">
        <v>118.4</v>
      </c>
      <c r="E475">
        <v>119.62</v>
      </c>
      <c r="F475">
        <v>8105952</v>
      </c>
    </row>
    <row r="476" spans="1:6">
      <c r="A476" s="39">
        <v>42831</v>
      </c>
      <c r="B476">
        <v>119.22</v>
      </c>
      <c r="C476">
        <v>119.42</v>
      </c>
      <c r="D476">
        <v>118.98</v>
      </c>
      <c r="E476">
        <v>119.18</v>
      </c>
      <c r="F476">
        <v>4633470</v>
      </c>
    </row>
    <row r="477" spans="1:6">
      <c r="A477" s="39">
        <v>42832</v>
      </c>
      <c r="B477">
        <v>120.3</v>
      </c>
      <c r="C477">
        <v>120.67</v>
      </c>
      <c r="D477">
        <v>119.14</v>
      </c>
      <c r="E477">
        <v>119.46</v>
      </c>
      <c r="F477">
        <v>12351114</v>
      </c>
    </row>
    <row r="478" spans="1:6">
      <c r="A478" s="39">
        <v>42835</v>
      </c>
      <c r="B478">
        <v>119.04</v>
      </c>
      <c r="C478">
        <v>119.69</v>
      </c>
      <c r="D478">
        <v>118.85</v>
      </c>
      <c r="E478">
        <v>119.46</v>
      </c>
      <c r="F478">
        <v>4623673</v>
      </c>
    </row>
    <row r="479" spans="1:6">
      <c r="A479" s="39">
        <v>42836</v>
      </c>
      <c r="B479">
        <v>120.33</v>
      </c>
      <c r="C479">
        <v>121.4</v>
      </c>
      <c r="D479">
        <v>120.29</v>
      </c>
      <c r="E479">
        <v>121.19</v>
      </c>
      <c r="F479">
        <v>12455294</v>
      </c>
    </row>
    <row r="480" spans="1:6">
      <c r="A480" s="39">
        <v>42837</v>
      </c>
      <c r="B480">
        <v>121.38</v>
      </c>
      <c r="C480">
        <v>122.22</v>
      </c>
      <c r="D480">
        <v>121.14</v>
      </c>
      <c r="E480">
        <v>122.02</v>
      </c>
      <c r="F480">
        <v>9502540</v>
      </c>
    </row>
    <row r="481" spans="1:6">
      <c r="A481" s="39">
        <v>42838</v>
      </c>
      <c r="B481">
        <v>122.54</v>
      </c>
      <c r="C481">
        <v>122.65</v>
      </c>
      <c r="D481">
        <v>122.03</v>
      </c>
      <c r="E481">
        <v>122.6</v>
      </c>
      <c r="F481">
        <v>9892641</v>
      </c>
    </row>
    <row r="482" spans="1:6">
      <c r="A482" s="39">
        <v>42842</v>
      </c>
      <c r="B482">
        <v>122.55</v>
      </c>
      <c r="C482">
        <v>123.07</v>
      </c>
      <c r="D482">
        <v>121.99</v>
      </c>
      <c r="E482">
        <v>122.24</v>
      </c>
      <c r="F482">
        <v>8469580</v>
      </c>
    </row>
    <row r="483" spans="1:6">
      <c r="A483" s="39">
        <v>42843</v>
      </c>
      <c r="B483">
        <v>122.43</v>
      </c>
      <c r="C483">
        <v>123.03</v>
      </c>
      <c r="D483">
        <v>121.73</v>
      </c>
      <c r="E483">
        <v>122.82</v>
      </c>
      <c r="F483">
        <v>10903701</v>
      </c>
    </row>
    <row r="484" spans="1:6">
      <c r="A484" s="39">
        <v>42844</v>
      </c>
      <c r="B484">
        <v>122.25</v>
      </c>
      <c r="C484">
        <v>122.26</v>
      </c>
      <c r="D484">
        <v>121.28</v>
      </c>
      <c r="E484">
        <v>121.73</v>
      </c>
      <c r="F484">
        <v>8472702</v>
      </c>
    </row>
    <row r="485" spans="1:6">
      <c r="A485" s="39">
        <v>42845</v>
      </c>
      <c r="B485">
        <v>121.82</v>
      </c>
      <c r="C485">
        <v>122.17</v>
      </c>
      <c r="D485">
        <v>121.5</v>
      </c>
      <c r="E485">
        <v>121.96</v>
      </c>
      <c r="F485">
        <v>11787330</v>
      </c>
    </row>
    <row r="486" spans="1:6">
      <c r="A486" s="39">
        <v>42846</v>
      </c>
      <c r="B486">
        <v>122.14</v>
      </c>
      <c r="C486">
        <v>122.61</v>
      </c>
      <c r="D486">
        <v>121.73</v>
      </c>
      <c r="E486">
        <v>122.31</v>
      </c>
      <c r="F486">
        <v>15608031</v>
      </c>
    </row>
    <row r="487" spans="1:6">
      <c r="A487" s="39">
        <v>42849</v>
      </c>
      <c r="B487">
        <v>120.77</v>
      </c>
      <c r="C487">
        <v>121.51</v>
      </c>
      <c r="D487">
        <v>120.66</v>
      </c>
      <c r="E487">
        <v>121.48</v>
      </c>
      <c r="F487">
        <v>11053559</v>
      </c>
    </row>
    <row r="488" spans="1:6">
      <c r="A488" s="39">
        <v>42850</v>
      </c>
      <c r="B488">
        <v>120.53</v>
      </c>
      <c r="C488">
        <v>120.87</v>
      </c>
      <c r="D488">
        <v>120.05</v>
      </c>
      <c r="E488">
        <v>120.25</v>
      </c>
      <c r="F488">
        <v>10344784</v>
      </c>
    </row>
    <row r="489" spans="1:6">
      <c r="A489" s="39">
        <v>42851</v>
      </c>
      <c r="B489">
        <v>120.21</v>
      </c>
      <c r="C489">
        <v>120.96</v>
      </c>
      <c r="D489">
        <v>119.87</v>
      </c>
      <c r="E489">
        <v>120.84</v>
      </c>
      <c r="F489">
        <v>9758844</v>
      </c>
    </row>
    <row r="490" spans="1:6">
      <c r="A490" s="39">
        <v>42852</v>
      </c>
      <c r="B490">
        <v>120.42</v>
      </c>
      <c r="C490">
        <v>120.6</v>
      </c>
      <c r="D490">
        <v>119.97</v>
      </c>
      <c r="E490">
        <v>120.39</v>
      </c>
      <c r="F490">
        <v>8266954</v>
      </c>
    </row>
    <row r="491" spans="1:6">
      <c r="A491" s="39">
        <v>42853</v>
      </c>
      <c r="B491">
        <v>120.34</v>
      </c>
      <c r="C491">
        <v>120.77</v>
      </c>
      <c r="D491">
        <v>120.27</v>
      </c>
      <c r="E491">
        <v>120.77</v>
      </c>
      <c r="F491">
        <v>9134246</v>
      </c>
    </row>
    <row r="492" spans="1:6">
      <c r="A492" s="39">
        <v>42856</v>
      </c>
      <c r="B492">
        <v>120.21</v>
      </c>
      <c r="C492">
        <v>120.75</v>
      </c>
      <c r="D492">
        <v>119.35</v>
      </c>
      <c r="E492">
        <v>119.67</v>
      </c>
      <c r="F492">
        <v>9331809</v>
      </c>
    </row>
    <row r="493" spans="1:6">
      <c r="A493" s="39">
        <v>42857</v>
      </c>
      <c r="B493">
        <v>119.3</v>
      </c>
      <c r="C493">
        <v>119.65</v>
      </c>
      <c r="D493">
        <v>119.24</v>
      </c>
      <c r="E493">
        <v>119.65</v>
      </c>
      <c r="F493">
        <v>4900784</v>
      </c>
    </row>
    <row r="494" spans="1:6">
      <c r="A494" s="39">
        <v>42858</v>
      </c>
      <c r="B494">
        <v>119.18</v>
      </c>
      <c r="C494">
        <v>119.34</v>
      </c>
      <c r="D494">
        <v>117.92</v>
      </c>
      <c r="E494">
        <v>117.98</v>
      </c>
      <c r="F494">
        <v>10811052</v>
      </c>
    </row>
    <row r="495" spans="1:6">
      <c r="A495" s="39">
        <v>42859</v>
      </c>
      <c r="B495">
        <v>116.81</v>
      </c>
      <c r="C495">
        <v>117.28</v>
      </c>
      <c r="D495">
        <v>116.63</v>
      </c>
      <c r="E495">
        <v>116.79</v>
      </c>
      <c r="F495">
        <v>12406931</v>
      </c>
    </row>
    <row r="496" spans="1:6">
      <c r="A496" s="39">
        <v>42860</v>
      </c>
      <c r="B496">
        <v>116.86</v>
      </c>
      <c r="C496">
        <v>117.07</v>
      </c>
      <c r="D496">
        <v>116.68</v>
      </c>
      <c r="E496">
        <v>117.01</v>
      </c>
      <c r="F496">
        <v>7127199</v>
      </c>
    </row>
    <row r="497" spans="1:6">
      <c r="A497" s="39">
        <v>42863</v>
      </c>
      <c r="B497">
        <v>117.03</v>
      </c>
      <c r="C497">
        <v>117.14</v>
      </c>
      <c r="D497">
        <v>116.68</v>
      </c>
      <c r="E497">
        <v>116.75</v>
      </c>
      <c r="F497">
        <v>5438375</v>
      </c>
    </row>
    <row r="498" spans="1:6">
      <c r="A498" s="39">
        <v>42864</v>
      </c>
      <c r="B498">
        <v>116.18</v>
      </c>
      <c r="C498">
        <v>116.24</v>
      </c>
      <c r="D498">
        <v>115.56</v>
      </c>
      <c r="E498">
        <v>116.05</v>
      </c>
      <c r="F498">
        <v>6801280</v>
      </c>
    </row>
    <row r="499" spans="1:6">
      <c r="A499" s="39">
        <v>42865</v>
      </c>
      <c r="B499">
        <v>116.42</v>
      </c>
      <c r="C499">
        <v>116.5</v>
      </c>
      <c r="D499">
        <v>115.86</v>
      </c>
      <c r="E499">
        <v>116.04</v>
      </c>
      <c r="F499">
        <v>4290459</v>
      </c>
    </row>
    <row r="500" spans="1:6">
      <c r="A500" s="39">
        <v>42866</v>
      </c>
      <c r="B500">
        <v>116.21</v>
      </c>
      <c r="C500">
        <v>116.84</v>
      </c>
      <c r="D500">
        <v>116.18</v>
      </c>
      <c r="E500">
        <v>116.5</v>
      </c>
      <c r="F500">
        <v>6274368</v>
      </c>
    </row>
    <row r="501" spans="1:6">
      <c r="A501" s="39">
        <v>42867</v>
      </c>
      <c r="B501">
        <v>117.07</v>
      </c>
      <c r="C501">
        <v>117.16</v>
      </c>
      <c r="D501">
        <v>116.73</v>
      </c>
      <c r="E501">
        <v>116.83</v>
      </c>
      <c r="F501">
        <v>5434477</v>
      </c>
    </row>
    <row r="502" spans="1:6">
      <c r="A502" s="39">
        <v>42870</v>
      </c>
      <c r="B502">
        <v>117.52</v>
      </c>
      <c r="C502">
        <v>117.54</v>
      </c>
      <c r="D502">
        <v>116.99</v>
      </c>
      <c r="E502">
        <v>117.14</v>
      </c>
      <c r="F502">
        <v>5019589</v>
      </c>
    </row>
    <row r="503" spans="1:6">
      <c r="A503" s="39">
        <v>42871</v>
      </c>
      <c r="B503">
        <v>117.45</v>
      </c>
      <c r="C503">
        <v>117.91</v>
      </c>
      <c r="D503">
        <v>117.4</v>
      </c>
      <c r="E503">
        <v>117.65</v>
      </c>
      <c r="F503">
        <v>4942822</v>
      </c>
    </row>
    <row r="504" spans="1:6">
      <c r="A504" s="39">
        <v>42872</v>
      </c>
      <c r="B504">
        <v>119.36</v>
      </c>
      <c r="C504">
        <v>120.02</v>
      </c>
      <c r="D504">
        <v>119.27</v>
      </c>
      <c r="E504">
        <v>119.79</v>
      </c>
      <c r="F504">
        <v>13936876</v>
      </c>
    </row>
    <row r="505" spans="1:6">
      <c r="A505" s="39">
        <v>42873</v>
      </c>
      <c r="B505">
        <v>119.77</v>
      </c>
      <c r="C505">
        <v>119.84</v>
      </c>
      <c r="D505">
        <v>118.56</v>
      </c>
      <c r="E505">
        <v>118.81</v>
      </c>
      <c r="F505">
        <v>10341141</v>
      </c>
    </row>
    <row r="506" spans="1:6">
      <c r="A506" s="39">
        <v>42874</v>
      </c>
      <c r="B506">
        <v>119.39</v>
      </c>
      <c r="C506">
        <v>119.54</v>
      </c>
      <c r="D506">
        <v>118.88</v>
      </c>
      <c r="E506">
        <v>119.4</v>
      </c>
      <c r="F506">
        <v>6787254</v>
      </c>
    </row>
  </sheetData>
  <sortState ref="A3:F506">
    <sortCondition ref="A3:A506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06"/>
  <sheetViews>
    <sheetView workbookViewId="0"/>
  </sheetViews>
  <sheetFormatPr defaultRowHeight="15"/>
  <cols>
    <col min="1" max="7" width="10.7109375" customWidth="1"/>
  </cols>
  <sheetData>
    <row r="1" spans="1:6">
      <c r="A1" t="s">
        <v>65</v>
      </c>
    </row>
    <row r="2" spans="1:6">
      <c r="A2" t="s">
        <v>26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</row>
    <row r="3" spans="1:6">
      <c r="A3" s="39">
        <v>42145</v>
      </c>
      <c r="B3">
        <v>42.6</v>
      </c>
      <c r="C3">
        <v>43.07</v>
      </c>
      <c r="D3">
        <v>42.51</v>
      </c>
      <c r="E3">
        <v>42.9</v>
      </c>
      <c r="F3">
        <v>4232320</v>
      </c>
    </row>
    <row r="4" spans="1:6">
      <c r="A4" s="39">
        <v>42146</v>
      </c>
      <c r="B4">
        <v>42.68</v>
      </c>
      <c r="C4">
        <v>42.74</v>
      </c>
      <c r="D4">
        <v>42.45</v>
      </c>
      <c r="E4">
        <v>42.5</v>
      </c>
      <c r="F4">
        <v>2587553</v>
      </c>
    </row>
    <row r="5" spans="1:6">
      <c r="A5" s="39">
        <v>42150</v>
      </c>
      <c r="B5">
        <v>41.94</v>
      </c>
      <c r="C5">
        <v>41.96</v>
      </c>
      <c r="D5">
        <v>41.45</v>
      </c>
      <c r="E5">
        <v>41.63</v>
      </c>
      <c r="F5">
        <v>4375600</v>
      </c>
    </row>
    <row r="6" spans="1:6">
      <c r="A6" s="39">
        <v>42151</v>
      </c>
      <c r="B6">
        <v>41.63</v>
      </c>
      <c r="C6">
        <v>42.04</v>
      </c>
      <c r="D6">
        <v>41.58</v>
      </c>
      <c r="E6">
        <v>41.79</v>
      </c>
      <c r="F6">
        <v>3181742</v>
      </c>
    </row>
    <row r="7" spans="1:6">
      <c r="A7" s="39">
        <v>42152</v>
      </c>
      <c r="B7">
        <v>41.61</v>
      </c>
      <c r="C7">
        <v>41.61</v>
      </c>
      <c r="D7">
        <v>41.26</v>
      </c>
      <c r="E7">
        <v>41.55</v>
      </c>
      <c r="F7">
        <v>3145442</v>
      </c>
    </row>
    <row r="8" spans="1:6">
      <c r="A8" s="39">
        <v>42153</v>
      </c>
      <c r="B8">
        <v>41.41</v>
      </c>
      <c r="C8">
        <v>41.72</v>
      </c>
      <c r="D8">
        <v>41.2</v>
      </c>
      <c r="E8">
        <v>41.46</v>
      </c>
      <c r="F8">
        <v>3146746</v>
      </c>
    </row>
    <row r="9" spans="1:6">
      <c r="A9" s="39">
        <v>42156</v>
      </c>
      <c r="B9">
        <v>41.18</v>
      </c>
      <c r="C9">
        <v>41.25</v>
      </c>
      <c r="D9">
        <v>40.659999999999997</v>
      </c>
      <c r="E9">
        <v>40.950000000000003</v>
      </c>
      <c r="F9">
        <v>4096541</v>
      </c>
    </row>
    <row r="10" spans="1:6">
      <c r="A10" s="39">
        <v>42157</v>
      </c>
      <c r="B10">
        <v>41.25</v>
      </c>
      <c r="C10">
        <v>41.71</v>
      </c>
      <c r="D10">
        <v>41.24</v>
      </c>
      <c r="E10">
        <v>41.5</v>
      </c>
      <c r="F10">
        <v>3748713</v>
      </c>
    </row>
    <row r="11" spans="1:6">
      <c r="A11" s="39">
        <v>42158</v>
      </c>
      <c r="B11">
        <v>41.51</v>
      </c>
      <c r="C11">
        <v>41.62</v>
      </c>
      <c r="D11">
        <v>41.21</v>
      </c>
      <c r="E11">
        <v>41.23</v>
      </c>
      <c r="F11">
        <v>2805848</v>
      </c>
    </row>
    <row r="12" spans="1:6">
      <c r="A12" s="39">
        <v>42159</v>
      </c>
      <c r="B12">
        <v>40.68</v>
      </c>
      <c r="C12">
        <v>40.98</v>
      </c>
      <c r="D12">
        <v>40.5</v>
      </c>
      <c r="E12">
        <v>40.619999999999997</v>
      </c>
      <c r="F12">
        <v>5213008</v>
      </c>
    </row>
    <row r="13" spans="1:6">
      <c r="A13" s="39">
        <v>42160</v>
      </c>
      <c r="B13">
        <v>40.130000000000003</v>
      </c>
      <c r="C13">
        <v>40.840000000000003</v>
      </c>
      <c r="D13">
        <v>40.049999999999997</v>
      </c>
      <c r="E13">
        <v>40.56</v>
      </c>
      <c r="F13">
        <v>5582338</v>
      </c>
    </row>
    <row r="14" spans="1:6">
      <c r="A14" s="39">
        <v>42163</v>
      </c>
      <c r="B14">
        <v>40.47</v>
      </c>
      <c r="C14">
        <v>40.74</v>
      </c>
      <c r="D14">
        <v>40.42</v>
      </c>
      <c r="E14">
        <v>40.53</v>
      </c>
      <c r="F14">
        <v>2816827</v>
      </c>
    </row>
    <row r="15" spans="1:6">
      <c r="A15" s="39">
        <v>42164</v>
      </c>
      <c r="B15">
        <v>40.5</v>
      </c>
      <c r="C15">
        <v>40.74</v>
      </c>
      <c r="D15">
        <v>40.28</v>
      </c>
      <c r="E15">
        <v>40.549999999999997</v>
      </c>
      <c r="F15">
        <v>3371399</v>
      </c>
    </row>
    <row r="16" spans="1:6">
      <c r="A16" s="39">
        <v>42165</v>
      </c>
      <c r="B16">
        <v>41.27</v>
      </c>
      <c r="C16">
        <v>41.43</v>
      </c>
      <c r="D16">
        <v>41.16</v>
      </c>
      <c r="E16">
        <v>41.28</v>
      </c>
      <c r="F16">
        <v>4953554</v>
      </c>
    </row>
    <row r="17" spans="1:6">
      <c r="A17" s="39">
        <v>42166</v>
      </c>
      <c r="B17">
        <v>41.36</v>
      </c>
      <c r="C17">
        <v>41.65</v>
      </c>
      <c r="D17">
        <v>41.28</v>
      </c>
      <c r="E17">
        <v>41.42</v>
      </c>
      <c r="F17">
        <v>4075572</v>
      </c>
    </row>
    <row r="18" spans="1:6">
      <c r="A18" s="39">
        <v>42167</v>
      </c>
      <c r="B18">
        <v>41.08</v>
      </c>
      <c r="C18">
        <v>41.09</v>
      </c>
      <c r="D18">
        <v>40.700000000000003</v>
      </c>
      <c r="E18">
        <v>40.799999999999997</v>
      </c>
      <c r="F18">
        <v>3083972</v>
      </c>
    </row>
    <row r="19" spans="1:6">
      <c r="A19" s="39">
        <v>42170</v>
      </c>
      <c r="B19">
        <v>40.35</v>
      </c>
      <c r="C19">
        <v>40.99</v>
      </c>
      <c r="D19">
        <v>40.340000000000003</v>
      </c>
      <c r="E19">
        <v>40.92</v>
      </c>
      <c r="F19">
        <v>4164483</v>
      </c>
    </row>
    <row r="20" spans="1:6">
      <c r="A20" s="39">
        <v>42171</v>
      </c>
      <c r="B20">
        <v>40.409999999999997</v>
      </c>
      <c r="C20">
        <v>40.94</v>
      </c>
      <c r="D20">
        <v>40.369999999999997</v>
      </c>
      <c r="E20">
        <v>40.909999999999997</v>
      </c>
      <c r="F20">
        <v>6836691</v>
      </c>
    </row>
    <row r="21" spans="1:6">
      <c r="A21" s="39">
        <v>42172</v>
      </c>
      <c r="B21">
        <v>41.2</v>
      </c>
      <c r="C21">
        <v>41.42</v>
      </c>
      <c r="D21">
        <v>40.799999999999997</v>
      </c>
      <c r="E21">
        <v>41.21</v>
      </c>
      <c r="F21">
        <v>3251495</v>
      </c>
    </row>
    <row r="22" spans="1:6">
      <c r="A22" s="39">
        <v>42173</v>
      </c>
      <c r="B22">
        <v>41.3</v>
      </c>
      <c r="C22">
        <v>41.59</v>
      </c>
      <c r="D22">
        <v>41.17</v>
      </c>
      <c r="E22">
        <v>41.26</v>
      </c>
      <c r="F22">
        <v>3585889</v>
      </c>
    </row>
    <row r="23" spans="1:6">
      <c r="A23" s="39">
        <v>42174</v>
      </c>
      <c r="B23">
        <v>41.21</v>
      </c>
      <c r="C23">
        <v>41.37</v>
      </c>
      <c r="D23">
        <v>41.02</v>
      </c>
      <c r="E23">
        <v>41.15</v>
      </c>
      <c r="F23">
        <v>3034385</v>
      </c>
    </row>
    <row r="24" spans="1:6">
      <c r="A24" s="39">
        <v>42177</v>
      </c>
      <c r="B24">
        <v>41.49</v>
      </c>
      <c r="C24">
        <v>41.76</v>
      </c>
      <c r="D24">
        <v>41.34</v>
      </c>
      <c r="E24">
        <v>41.52</v>
      </c>
      <c r="F24">
        <v>3409420</v>
      </c>
    </row>
    <row r="25" spans="1:6">
      <c r="A25" s="39">
        <v>42178</v>
      </c>
      <c r="B25">
        <v>41.33</v>
      </c>
      <c r="C25">
        <v>41.62</v>
      </c>
      <c r="D25">
        <v>41.33</v>
      </c>
      <c r="E25">
        <v>41.54</v>
      </c>
      <c r="F25">
        <v>2628146</v>
      </c>
    </row>
    <row r="26" spans="1:6">
      <c r="A26" s="39">
        <v>42179</v>
      </c>
      <c r="B26">
        <v>41.29</v>
      </c>
      <c r="C26">
        <v>42.04</v>
      </c>
      <c r="D26">
        <v>41.29</v>
      </c>
      <c r="E26">
        <v>41.83</v>
      </c>
      <c r="F26">
        <v>6363718</v>
      </c>
    </row>
    <row r="27" spans="1:6">
      <c r="A27" s="39">
        <v>42180</v>
      </c>
      <c r="B27">
        <v>41.91</v>
      </c>
      <c r="C27">
        <v>42.2</v>
      </c>
      <c r="D27">
        <v>41.63</v>
      </c>
      <c r="E27">
        <v>41.89</v>
      </c>
      <c r="F27">
        <v>6707319</v>
      </c>
    </row>
    <row r="28" spans="1:6">
      <c r="A28" s="39">
        <v>42181</v>
      </c>
      <c r="B28">
        <v>41.6</v>
      </c>
      <c r="C28">
        <v>41.79</v>
      </c>
      <c r="D28">
        <v>41.22</v>
      </c>
      <c r="E28">
        <v>41.35</v>
      </c>
      <c r="F28">
        <v>4235832</v>
      </c>
    </row>
    <row r="29" spans="1:6">
      <c r="A29" s="39">
        <v>42184</v>
      </c>
      <c r="B29">
        <v>40.76</v>
      </c>
      <c r="C29">
        <v>41</v>
      </c>
      <c r="D29">
        <v>40.229999999999997</v>
      </c>
      <c r="E29">
        <v>40.31</v>
      </c>
      <c r="F29">
        <v>5998815</v>
      </c>
    </row>
    <row r="30" spans="1:6">
      <c r="A30" s="39">
        <v>42185</v>
      </c>
      <c r="B30">
        <v>40.049999999999997</v>
      </c>
      <c r="C30">
        <v>40.15</v>
      </c>
      <c r="D30">
        <v>39.700000000000003</v>
      </c>
      <c r="E30">
        <v>39.96</v>
      </c>
      <c r="F30">
        <v>7170831</v>
      </c>
    </row>
    <row r="31" spans="1:6">
      <c r="A31" s="39">
        <v>42186</v>
      </c>
      <c r="B31">
        <v>39.65</v>
      </c>
      <c r="C31">
        <v>39.659999999999997</v>
      </c>
      <c r="D31">
        <v>39.130000000000003</v>
      </c>
      <c r="E31">
        <v>39.270000000000003</v>
      </c>
      <c r="F31">
        <v>6507654</v>
      </c>
    </row>
    <row r="32" spans="1:6">
      <c r="A32" s="39">
        <v>42187</v>
      </c>
      <c r="B32">
        <v>40.729999999999997</v>
      </c>
      <c r="C32">
        <v>41.52</v>
      </c>
      <c r="D32">
        <v>40.72</v>
      </c>
      <c r="E32">
        <v>41.29</v>
      </c>
      <c r="F32">
        <v>11773467</v>
      </c>
    </row>
    <row r="33" spans="1:6">
      <c r="A33" s="39">
        <v>42191</v>
      </c>
      <c r="B33">
        <v>40.479999999999997</v>
      </c>
      <c r="C33">
        <v>40.630000000000003</v>
      </c>
      <c r="D33">
        <v>39.85</v>
      </c>
      <c r="E33">
        <v>39.909999999999997</v>
      </c>
      <c r="F33">
        <v>8462666</v>
      </c>
    </row>
    <row r="34" spans="1:6">
      <c r="A34" s="39">
        <v>42192</v>
      </c>
      <c r="B34">
        <v>39.299999999999997</v>
      </c>
      <c r="C34">
        <v>39.869999999999997</v>
      </c>
      <c r="D34">
        <v>38.74</v>
      </c>
      <c r="E34">
        <v>39.71</v>
      </c>
      <c r="F34">
        <v>10564509</v>
      </c>
    </row>
    <row r="35" spans="1:6">
      <c r="A35" s="39">
        <v>42193</v>
      </c>
      <c r="B35">
        <v>39.28</v>
      </c>
      <c r="C35">
        <v>39.42</v>
      </c>
      <c r="D35">
        <v>38.950000000000003</v>
      </c>
      <c r="E35">
        <v>39.15</v>
      </c>
      <c r="F35">
        <v>5931031</v>
      </c>
    </row>
    <row r="36" spans="1:6">
      <c r="A36" s="39">
        <v>42194</v>
      </c>
      <c r="B36">
        <v>39.61</v>
      </c>
      <c r="C36">
        <v>39.71</v>
      </c>
      <c r="D36">
        <v>39.119999999999997</v>
      </c>
      <c r="E36">
        <v>39.130000000000003</v>
      </c>
      <c r="F36">
        <v>5455452</v>
      </c>
    </row>
    <row r="37" spans="1:6">
      <c r="A37" s="39">
        <v>42195</v>
      </c>
      <c r="B37">
        <v>40.090000000000003</v>
      </c>
      <c r="C37">
        <v>40.200000000000003</v>
      </c>
      <c r="D37">
        <v>39.479999999999997</v>
      </c>
      <c r="E37">
        <v>39.9</v>
      </c>
      <c r="F37">
        <v>5797250</v>
      </c>
    </row>
    <row r="38" spans="1:6">
      <c r="A38" s="39">
        <v>42198</v>
      </c>
      <c r="B38">
        <v>40.049999999999997</v>
      </c>
      <c r="C38">
        <v>40.11</v>
      </c>
      <c r="D38">
        <v>39.880000000000003</v>
      </c>
      <c r="E38">
        <v>39.96</v>
      </c>
      <c r="F38">
        <v>3435067</v>
      </c>
    </row>
    <row r="39" spans="1:6">
      <c r="A39" s="39">
        <v>42199</v>
      </c>
      <c r="B39">
        <v>39.97</v>
      </c>
      <c r="C39">
        <v>40.36</v>
      </c>
      <c r="D39">
        <v>39.909999999999997</v>
      </c>
      <c r="E39">
        <v>40.33</v>
      </c>
      <c r="F39">
        <v>3447243</v>
      </c>
    </row>
    <row r="40" spans="1:6">
      <c r="A40" s="39">
        <v>42200</v>
      </c>
      <c r="B40">
        <v>40.15</v>
      </c>
      <c r="C40">
        <v>40.21</v>
      </c>
      <c r="D40">
        <v>39.76</v>
      </c>
      <c r="E40">
        <v>40.04</v>
      </c>
      <c r="F40">
        <v>4006236</v>
      </c>
    </row>
    <row r="41" spans="1:6">
      <c r="A41" s="39">
        <v>42201</v>
      </c>
      <c r="B41">
        <v>39.79</v>
      </c>
      <c r="C41">
        <v>39.82</v>
      </c>
      <c r="D41">
        <v>39.47</v>
      </c>
      <c r="E41">
        <v>39.54</v>
      </c>
      <c r="F41">
        <v>4587131</v>
      </c>
    </row>
    <row r="42" spans="1:6">
      <c r="A42" s="39">
        <v>42202</v>
      </c>
      <c r="B42">
        <v>39.43</v>
      </c>
      <c r="C42">
        <v>39.44</v>
      </c>
      <c r="D42">
        <v>39</v>
      </c>
      <c r="E42">
        <v>39.119999999999997</v>
      </c>
      <c r="F42">
        <v>4253722</v>
      </c>
    </row>
    <row r="43" spans="1:6">
      <c r="A43" s="39">
        <v>42205</v>
      </c>
      <c r="B43">
        <v>39.04</v>
      </c>
      <c r="C43">
        <v>39.07</v>
      </c>
      <c r="D43">
        <v>38.75</v>
      </c>
      <c r="E43">
        <v>38.75</v>
      </c>
      <c r="F43">
        <v>4132392</v>
      </c>
    </row>
    <row r="44" spans="1:6">
      <c r="A44" s="39">
        <v>42206</v>
      </c>
      <c r="B44">
        <v>38.69</v>
      </c>
      <c r="C44">
        <v>38.96</v>
      </c>
      <c r="D44">
        <v>38.67</v>
      </c>
      <c r="E44">
        <v>38.729999999999997</v>
      </c>
      <c r="F44">
        <v>5668561</v>
      </c>
    </row>
    <row r="45" spans="1:6">
      <c r="A45" s="39">
        <v>42207</v>
      </c>
      <c r="B45">
        <v>38.4</v>
      </c>
      <c r="C45">
        <v>38.42</v>
      </c>
      <c r="D45">
        <v>37.81</v>
      </c>
      <c r="E45">
        <v>37.909999999999997</v>
      </c>
      <c r="F45">
        <v>6777905</v>
      </c>
    </row>
    <row r="46" spans="1:6">
      <c r="A46" s="39">
        <v>42208</v>
      </c>
      <c r="B46">
        <v>37.619999999999997</v>
      </c>
      <c r="C46">
        <v>37.71</v>
      </c>
      <c r="D46">
        <v>37.07</v>
      </c>
      <c r="E46">
        <v>37.299999999999997</v>
      </c>
      <c r="F46">
        <v>8620486</v>
      </c>
    </row>
    <row r="47" spans="1:6">
      <c r="A47" s="39">
        <v>42209</v>
      </c>
      <c r="B47">
        <v>37.07</v>
      </c>
      <c r="C47">
        <v>37.14</v>
      </c>
      <c r="D47">
        <v>36.409999999999997</v>
      </c>
      <c r="E47">
        <v>36.57</v>
      </c>
      <c r="F47">
        <v>7304694</v>
      </c>
    </row>
    <row r="48" spans="1:6">
      <c r="A48" s="39">
        <v>42212</v>
      </c>
      <c r="B48">
        <v>36.15</v>
      </c>
      <c r="C48">
        <v>36.369999999999997</v>
      </c>
      <c r="D48">
        <v>35.869999999999997</v>
      </c>
      <c r="E48">
        <v>36.049999999999997</v>
      </c>
      <c r="F48">
        <v>9074451</v>
      </c>
    </row>
    <row r="49" spans="1:6">
      <c r="A49" s="39">
        <v>42213</v>
      </c>
      <c r="B49">
        <v>36.89</v>
      </c>
      <c r="C49">
        <v>37.33</v>
      </c>
      <c r="D49">
        <v>36.590000000000003</v>
      </c>
      <c r="E49">
        <v>37.29</v>
      </c>
      <c r="F49">
        <v>8220830</v>
      </c>
    </row>
    <row r="50" spans="1:6">
      <c r="A50" s="39">
        <v>42214</v>
      </c>
      <c r="B50">
        <v>37.06</v>
      </c>
      <c r="C50">
        <v>37.520000000000003</v>
      </c>
      <c r="D50">
        <v>36.869999999999997</v>
      </c>
      <c r="E50">
        <v>37.39</v>
      </c>
      <c r="F50">
        <v>6782793</v>
      </c>
    </row>
    <row r="51" spans="1:6">
      <c r="A51" s="39">
        <v>42215</v>
      </c>
      <c r="B51">
        <v>37.869999999999997</v>
      </c>
      <c r="C51">
        <v>38.06</v>
      </c>
      <c r="D51">
        <v>37.450000000000003</v>
      </c>
      <c r="E51">
        <v>37.68</v>
      </c>
      <c r="F51">
        <v>4731320</v>
      </c>
    </row>
    <row r="52" spans="1:6">
      <c r="A52" s="39">
        <v>42216</v>
      </c>
      <c r="B52">
        <v>37.33</v>
      </c>
      <c r="C52">
        <v>37.36</v>
      </c>
      <c r="D52">
        <v>36.9</v>
      </c>
      <c r="E52">
        <v>36.97</v>
      </c>
      <c r="F52">
        <v>5669920</v>
      </c>
    </row>
    <row r="53" spans="1:6">
      <c r="A53" s="39">
        <v>42219</v>
      </c>
      <c r="B53">
        <v>36.630000000000003</v>
      </c>
      <c r="C53">
        <v>36.840000000000003</v>
      </c>
      <c r="D53">
        <v>36.33</v>
      </c>
      <c r="E53">
        <v>36.479999999999997</v>
      </c>
      <c r="F53">
        <v>5564692</v>
      </c>
    </row>
    <row r="54" spans="1:6">
      <c r="A54" s="39">
        <v>42220</v>
      </c>
      <c r="B54">
        <v>36.729999999999997</v>
      </c>
      <c r="C54">
        <v>36.85</v>
      </c>
      <c r="D54">
        <v>36.42</v>
      </c>
      <c r="E54">
        <v>36.54</v>
      </c>
      <c r="F54">
        <v>6401392</v>
      </c>
    </row>
    <row r="55" spans="1:6">
      <c r="A55" s="39">
        <v>42221</v>
      </c>
      <c r="B55">
        <v>36.549999999999997</v>
      </c>
      <c r="C55">
        <v>36.67</v>
      </c>
      <c r="D55">
        <v>35.86</v>
      </c>
      <c r="E55">
        <v>35.869999999999997</v>
      </c>
      <c r="F55">
        <v>6796331</v>
      </c>
    </row>
    <row r="56" spans="1:6">
      <c r="A56" s="39">
        <v>42222</v>
      </c>
      <c r="B56">
        <v>35.64</v>
      </c>
      <c r="C56">
        <v>35.909999999999997</v>
      </c>
      <c r="D56">
        <v>35.44</v>
      </c>
      <c r="E56">
        <v>35.880000000000003</v>
      </c>
      <c r="F56">
        <v>8096094</v>
      </c>
    </row>
    <row r="57" spans="1:6">
      <c r="A57" s="39">
        <v>42223</v>
      </c>
      <c r="B57">
        <v>35.9</v>
      </c>
      <c r="C57">
        <v>36.29</v>
      </c>
      <c r="D57">
        <v>35.65</v>
      </c>
      <c r="E57">
        <v>35.68</v>
      </c>
      <c r="F57">
        <v>4821859</v>
      </c>
    </row>
    <row r="58" spans="1:6">
      <c r="A58" s="39">
        <v>42226</v>
      </c>
      <c r="B58">
        <v>35.659999999999997</v>
      </c>
      <c r="C58">
        <v>36.299999999999997</v>
      </c>
      <c r="D58">
        <v>35.520000000000003</v>
      </c>
      <c r="E58">
        <v>36.28</v>
      </c>
      <c r="F58">
        <v>6429577</v>
      </c>
    </row>
    <row r="59" spans="1:6">
      <c r="A59" s="39">
        <v>42227</v>
      </c>
      <c r="B59">
        <v>35.840000000000003</v>
      </c>
      <c r="C59">
        <v>36.06</v>
      </c>
      <c r="D59">
        <v>35.6</v>
      </c>
      <c r="E59">
        <v>36.049999999999997</v>
      </c>
      <c r="F59">
        <v>6132707</v>
      </c>
    </row>
    <row r="60" spans="1:6">
      <c r="A60" s="39">
        <v>42228</v>
      </c>
      <c r="B60">
        <v>35.96</v>
      </c>
      <c r="C60">
        <v>36.5</v>
      </c>
      <c r="D60">
        <v>35.75</v>
      </c>
      <c r="E60">
        <v>36.44</v>
      </c>
      <c r="F60">
        <v>6363412</v>
      </c>
    </row>
    <row r="61" spans="1:6">
      <c r="A61" s="39">
        <v>42229</v>
      </c>
      <c r="B61">
        <v>36.04</v>
      </c>
      <c r="C61">
        <v>36.07</v>
      </c>
      <c r="D61">
        <v>35.799999999999997</v>
      </c>
      <c r="E61">
        <v>35.92</v>
      </c>
      <c r="F61">
        <v>5358721</v>
      </c>
    </row>
    <row r="62" spans="1:6">
      <c r="A62" s="39">
        <v>42230</v>
      </c>
      <c r="B62">
        <v>35.54</v>
      </c>
      <c r="C62">
        <v>35.86</v>
      </c>
      <c r="D62">
        <v>35.520000000000003</v>
      </c>
      <c r="E62">
        <v>35.770000000000003</v>
      </c>
      <c r="F62">
        <v>4661678</v>
      </c>
    </row>
    <row r="63" spans="1:6">
      <c r="A63" s="39">
        <v>42233</v>
      </c>
      <c r="B63">
        <v>35.479999999999997</v>
      </c>
      <c r="C63">
        <v>35.56</v>
      </c>
      <c r="D63">
        <v>35.15</v>
      </c>
      <c r="E63">
        <v>35.53</v>
      </c>
      <c r="F63">
        <v>5560066</v>
      </c>
    </row>
    <row r="64" spans="1:6">
      <c r="A64" s="39">
        <v>42234</v>
      </c>
      <c r="B64">
        <v>35.29</v>
      </c>
      <c r="C64">
        <v>35.32</v>
      </c>
      <c r="D64">
        <v>35.14</v>
      </c>
      <c r="E64">
        <v>35.25</v>
      </c>
      <c r="F64">
        <v>4461509</v>
      </c>
    </row>
    <row r="65" spans="1:6">
      <c r="A65" s="39">
        <v>42235</v>
      </c>
      <c r="B65">
        <v>35.06</v>
      </c>
      <c r="C65">
        <v>35.159999999999997</v>
      </c>
      <c r="D65">
        <v>34.450000000000003</v>
      </c>
      <c r="E65">
        <v>34.659999999999997</v>
      </c>
      <c r="F65">
        <v>6604359</v>
      </c>
    </row>
    <row r="66" spans="1:6">
      <c r="A66" s="39">
        <v>42236</v>
      </c>
      <c r="B66">
        <v>35.01</v>
      </c>
      <c r="C66">
        <v>35.299999999999997</v>
      </c>
      <c r="D66">
        <v>34.380000000000003</v>
      </c>
      <c r="E66">
        <v>34.380000000000003</v>
      </c>
      <c r="F66">
        <v>6505869</v>
      </c>
    </row>
    <row r="67" spans="1:6">
      <c r="A67" s="39">
        <v>42237</v>
      </c>
      <c r="B67">
        <v>34.26</v>
      </c>
      <c r="C67">
        <v>34.42</v>
      </c>
      <c r="D67">
        <v>33.159999999999997</v>
      </c>
      <c r="E67">
        <v>33.17</v>
      </c>
      <c r="F67">
        <v>8650375</v>
      </c>
    </row>
    <row r="68" spans="1:6">
      <c r="A68" s="39">
        <v>42240</v>
      </c>
      <c r="B68">
        <v>31.5</v>
      </c>
      <c r="C68">
        <v>32.01</v>
      </c>
      <c r="D68">
        <v>30.89</v>
      </c>
      <c r="E68">
        <v>31.19</v>
      </c>
      <c r="F68">
        <v>18484414</v>
      </c>
    </row>
    <row r="69" spans="1:6">
      <c r="A69" s="39">
        <v>42241</v>
      </c>
      <c r="B69">
        <v>31.96</v>
      </c>
      <c r="C69">
        <v>32.03</v>
      </c>
      <c r="D69">
        <v>30.69</v>
      </c>
      <c r="E69">
        <v>30.71</v>
      </c>
      <c r="F69">
        <v>12899270</v>
      </c>
    </row>
    <row r="70" spans="1:6">
      <c r="A70" s="39">
        <v>42242</v>
      </c>
      <c r="B70">
        <v>31.64</v>
      </c>
      <c r="C70">
        <v>31.65</v>
      </c>
      <c r="D70">
        <v>30.53</v>
      </c>
      <c r="E70">
        <v>31.1</v>
      </c>
      <c r="F70">
        <v>11923789</v>
      </c>
    </row>
    <row r="71" spans="1:6">
      <c r="A71" s="39">
        <v>42243</v>
      </c>
      <c r="B71">
        <v>31.93</v>
      </c>
      <c r="C71">
        <v>33.03</v>
      </c>
      <c r="D71">
        <v>31.88</v>
      </c>
      <c r="E71">
        <v>33.03</v>
      </c>
      <c r="F71">
        <v>12934561</v>
      </c>
    </row>
    <row r="72" spans="1:6">
      <c r="A72" s="39">
        <v>42244</v>
      </c>
      <c r="B72">
        <v>32.6</v>
      </c>
      <c r="C72">
        <v>33.57</v>
      </c>
      <c r="D72">
        <v>32.6</v>
      </c>
      <c r="E72">
        <v>33.26</v>
      </c>
      <c r="F72">
        <v>9076214</v>
      </c>
    </row>
    <row r="73" spans="1:6">
      <c r="A73" s="39">
        <v>42247</v>
      </c>
      <c r="B73">
        <v>32.979999999999997</v>
      </c>
      <c r="C73">
        <v>33.630000000000003</v>
      </c>
      <c r="D73">
        <v>32.49</v>
      </c>
      <c r="E73">
        <v>33.54</v>
      </c>
      <c r="F73">
        <v>7100141</v>
      </c>
    </row>
    <row r="74" spans="1:6">
      <c r="A74" s="39">
        <v>42248</v>
      </c>
      <c r="B74">
        <v>32.369999999999997</v>
      </c>
      <c r="C74">
        <v>32.630000000000003</v>
      </c>
      <c r="D74">
        <v>31.93</v>
      </c>
      <c r="E74">
        <v>32.14</v>
      </c>
      <c r="F74">
        <v>10775474</v>
      </c>
    </row>
    <row r="75" spans="1:6">
      <c r="A75" s="39">
        <v>42249</v>
      </c>
      <c r="B75">
        <v>32.47</v>
      </c>
      <c r="C75">
        <v>32.479999999999997</v>
      </c>
      <c r="D75">
        <v>31.56</v>
      </c>
      <c r="E75">
        <v>32.200000000000003</v>
      </c>
      <c r="F75">
        <v>10635810</v>
      </c>
    </row>
    <row r="76" spans="1:6">
      <c r="A76" s="39">
        <v>42250</v>
      </c>
      <c r="B76">
        <v>32.19</v>
      </c>
      <c r="C76">
        <v>32.89</v>
      </c>
      <c r="D76">
        <v>32.08</v>
      </c>
      <c r="E76">
        <v>32.409999999999997</v>
      </c>
      <c r="F76">
        <v>7434320</v>
      </c>
    </row>
    <row r="77" spans="1:6">
      <c r="A77" s="39">
        <v>42251</v>
      </c>
      <c r="B77">
        <v>31.2</v>
      </c>
      <c r="C77">
        <v>31.36</v>
      </c>
      <c r="D77">
        <v>30.54</v>
      </c>
      <c r="E77">
        <v>30.7</v>
      </c>
      <c r="F77">
        <v>16910629</v>
      </c>
    </row>
    <row r="78" spans="1:6">
      <c r="A78" s="39">
        <v>42255</v>
      </c>
      <c r="B78">
        <v>31.61</v>
      </c>
      <c r="C78">
        <v>31.63</v>
      </c>
      <c r="D78">
        <v>31.22</v>
      </c>
      <c r="E78">
        <v>31.41</v>
      </c>
      <c r="F78">
        <v>22886679</v>
      </c>
    </row>
    <row r="79" spans="1:6">
      <c r="A79" s="39">
        <v>42256</v>
      </c>
      <c r="B79">
        <v>31.88</v>
      </c>
      <c r="C79">
        <v>32.049999999999997</v>
      </c>
      <c r="D79">
        <v>30.88</v>
      </c>
      <c r="E79">
        <v>30.9</v>
      </c>
      <c r="F79">
        <v>12863667</v>
      </c>
    </row>
    <row r="80" spans="1:6">
      <c r="A80" s="39">
        <v>42257</v>
      </c>
      <c r="B80">
        <v>31.1</v>
      </c>
      <c r="C80">
        <v>31.43</v>
      </c>
      <c r="D80">
        <v>30.79</v>
      </c>
      <c r="E80">
        <v>31.21</v>
      </c>
      <c r="F80">
        <v>10553638</v>
      </c>
    </row>
    <row r="81" spans="1:6">
      <c r="A81" s="39">
        <v>42258</v>
      </c>
      <c r="B81">
        <v>31.05</v>
      </c>
      <c r="C81">
        <v>31.09</v>
      </c>
      <c r="D81">
        <v>30.78</v>
      </c>
      <c r="E81">
        <v>31.01</v>
      </c>
      <c r="F81">
        <v>6216981</v>
      </c>
    </row>
    <row r="82" spans="1:6">
      <c r="A82" s="39">
        <v>42261</v>
      </c>
      <c r="B82">
        <v>30.74</v>
      </c>
      <c r="C82">
        <v>30.81</v>
      </c>
      <c r="D82">
        <v>30.44</v>
      </c>
      <c r="E82">
        <v>30.68</v>
      </c>
      <c r="F82">
        <v>5629714</v>
      </c>
    </row>
    <row r="83" spans="1:6">
      <c r="A83" s="39">
        <v>42262</v>
      </c>
      <c r="B83">
        <v>30.93</v>
      </c>
      <c r="C83">
        <v>31.3</v>
      </c>
      <c r="D83">
        <v>30.9</v>
      </c>
      <c r="E83">
        <v>31.11</v>
      </c>
      <c r="F83">
        <v>5602127</v>
      </c>
    </row>
    <row r="84" spans="1:6">
      <c r="A84" s="39">
        <v>42263</v>
      </c>
      <c r="B84">
        <v>31.65</v>
      </c>
      <c r="C84">
        <v>32.25</v>
      </c>
      <c r="D84">
        <v>31.65</v>
      </c>
      <c r="E84">
        <v>32.130000000000003</v>
      </c>
      <c r="F84">
        <v>7825003</v>
      </c>
    </row>
    <row r="85" spans="1:6">
      <c r="A85" s="39">
        <v>42264</v>
      </c>
      <c r="B85">
        <v>32</v>
      </c>
      <c r="C85">
        <v>32.619999999999997</v>
      </c>
      <c r="D85">
        <v>31.94</v>
      </c>
      <c r="E85">
        <v>32.11</v>
      </c>
      <c r="F85">
        <v>8014692</v>
      </c>
    </row>
    <row r="86" spans="1:6">
      <c r="A86" s="39">
        <v>42265</v>
      </c>
      <c r="B86">
        <v>31.51</v>
      </c>
      <c r="C86">
        <v>31.68</v>
      </c>
      <c r="D86">
        <v>30.97</v>
      </c>
      <c r="E86">
        <v>31.09</v>
      </c>
      <c r="F86">
        <v>7815237</v>
      </c>
    </row>
    <row r="87" spans="1:6">
      <c r="A87" s="39">
        <v>42268</v>
      </c>
      <c r="B87">
        <v>31.04</v>
      </c>
      <c r="C87">
        <v>31.17</v>
      </c>
      <c r="D87">
        <v>30.9</v>
      </c>
      <c r="E87">
        <v>31.06</v>
      </c>
      <c r="F87">
        <v>5506222</v>
      </c>
    </row>
    <row r="88" spans="1:6">
      <c r="A88" s="39">
        <v>42269</v>
      </c>
      <c r="B88">
        <v>30.11</v>
      </c>
      <c r="C88">
        <v>30.46</v>
      </c>
      <c r="D88">
        <v>30.02</v>
      </c>
      <c r="E88">
        <v>30.39</v>
      </c>
      <c r="F88">
        <v>10302079</v>
      </c>
    </row>
    <row r="89" spans="1:6">
      <c r="A89" s="39">
        <v>42270</v>
      </c>
      <c r="B89">
        <v>30.63</v>
      </c>
      <c r="C89">
        <v>30.66</v>
      </c>
      <c r="D89">
        <v>29.88</v>
      </c>
      <c r="E89">
        <v>29.92</v>
      </c>
      <c r="F89">
        <v>7474766</v>
      </c>
    </row>
    <row r="90" spans="1:6">
      <c r="A90" s="39">
        <v>42271</v>
      </c>
      <c r="B90">
        <v>29.69</v>
      </c>
      <c r="C90">
        <v>30.32</v>
      </c>
      <c r="D90">
        <v>29.5</v>
      </c>
      <c r="E90">
        <v>30.16</v>
      </c>
      <c r="F90">
        <v>9738926</v>
      </c>
    </row>
    <row r="91" spans="1:6">
      <c r="A91" s="39">
        <v>42272</v>
      </c>
      <c r="B91">
        <v>30.5</v>
      </c>
      <c r="C91">
        <v>30.65</v>
      </c>
      <c r="D91">
        <v>30.25</v>
      </c>
      <c r="E91">
        <v>30.43</v>
      </c>
      <c r="F91">
        <v>6894716</v>
      </c>
    </row>
    <row r="92" spans="1:6">
      <c r="A92" s="39">
        <v>42275</v>
      </c>
      <c r="B92">
        <v>29.88</v>
      </c>
      <c r="C92">
        <v>29.88</v>
      </c>
      <c r="D92">
        <v>29.35</v>
      </c>
      <c r="E92">
        <v>29.38</v>
      </c>
      <c r="F92">
        <v>7858299</v>
      </c>
    </row>
    <row r="93" spans="1:6">
      <c r="A93" s="39">
        <v>42276</v>
      </c>
      <c r="B93">
        <v>29.87</v>
      </c>
      <c r="C93">
        <v>29.95</v>
      </c>
      <c r="D93">
        <v>29.46</v>
      </c>
      <c r="E93">
        <v>29.63</v>
      </c>
      <c r="F93">
        <v>8062927</v>
      </c>
    </row>
    <row r="94" spans="1:6">
      <c r="A94" s="39">
        <v>42277</v>
      </c>
      <c r="B94">
        <v>30.18</v>
      </c>
      <c r="C94">
        <v>30.57</v>
      </c>
      <c r="D94">
        <v>30.08</v>
      </c>
      <c r="E94">
        <v>30.56</v>
      </c>
      <c r="F94">
        <v>6143723</v>
      </c>
    </row>
    <row r="95" spans="1:6">
      <c r="A95" s="39">
        <v>42278</v>
      </c>
      <c r="B95">
        <v>31.66</v>
      </c>
      <c r="C95">
        <v>31.88</v>
      </c>
      <c r="D95">
        <v>30.78</v>
      </c>
      <c r="E95">
        <v>30.96</v>
      </c>
      <c r="F95">
        <v>9626593</v>
      </c>
    </row>
    <row r="96" spans="1:6">
      <c r="A96" s="39">
        <v>42279</v>
      </c>
      <c r="B96">
        <v>31.48</v>
      </c>
      <c r="C96">
        <v>32.53</v>
      </c>
      <c r="D96">
        <v>31.42</v>
      </c>
      <c r="E96">
        <v>32.520000000000003</v>
      </c>
      <c r="F96">
        <v>12203623</v>
      </c>
    </row>
    <row r="97" spans="1:6">
      <c r="A97" s="39">
        <v>42282</v>
      </c>
      <c r="B97">
        <v>33.19</v>
      </c>
      <c r="C97">
        <v>33.6</v>
      </c>
      <c r="D97">
        <v>33.18</v>
      </c>
      <c r="E97">
        <v>33.49</v>
      </c>
      <c r="F97">
        <v>10612098</v>
      </c>
    </row>
    <row r="98" spans="1:6">
      <c r="A98" s="39">
        <v>42283</v>
      </c>
      <c r="B98">
        <v>33.79</v>
      </c>
      <c r="C98">
        <v>34.619999999999997</v>
      </c>
      <c r="D98">
        <v>33.76</v>
      </c>
      <c r="E98">
        <v>34.31</v>
      </c>
      <c r="F98">
        <v>12414768</v>
      </c>
    </row>
    <row r="99" spans="1:6">
      <c r="A99" s="39">
        <v>42284</v>
      </c>
      <c r="B99">
        <v>35.72</v>
      </c>
      <c r="C99">
        <v>36.1</v>
      </c>
      <c r="D99">
        <v>35.33</v>
      </c>
      <c r="E99">
        <v>35.71</v>
      </c>
      <c r="F99">
        <v>24909722</v>
      </c>
    </row>
    <row r="100" spans="1:6">
      <c r="A100" s="39">
        <v>42285</v>
      </c>
      <c r="B100">
        <v>35.31</v>
      </c>
      <c r="C100">
        <v>36.06</v>
      </c>
      <c r="D100">
        <v>35.28</v>
      </c>
      <c r="E100">
        <v>35.96</v>
      </c>
      <c r="F100">
        <v>8488884</v>
      </c>
    </row>
    <row r="101" spans="1:6">
      <c r="A101" s="39">
        <v>42286</v>
      </c>
      <c r="B101">
        <v>36.28</v>
      </c>
      <c r="C101">
        <v>36.31</v>
      </c>
      <c r="D101">
        <v>35.78</v>
      </c>
      <c r="E101">
        <v>35.96</v>
      </c>
      <c r="F101">
        <v>8812234</v>
      </c>
    </row>
    <row r="102" spans="1:6">
      <c r="A102" s="39">
        <v>42289</v>
      </c>
      <c r="B102">
        <v>35.74</v>
      </c>
      <c r="C102">
        <v>35.76</v>
      </c>
      <c r="D102">
        <v>35.229999999999997</v>
      </c>
      <c r="E102">
        <v>35.369999999999997</v>
      </c>
      <c r="F102">
        <v>6988637</v>
      </c>
    </row>
    <row r="103" spans="1:6">
      <c r="A103" s="39">
        <v>42290</v>
      </c>
      <c r="B103">
        <v>34.4</v>
      </c>
      <c r="C103">
        <v>35.159999999999997</v>
      </c>
      <c r="D103">
        <v>34.31</v>
      </c>
      <c r="E103">
        <v>34.729999999999997</v>
      </c>
      <c r="F103">
        <v>7085535</v>
      </c>
    </row>
    <row r="104" spans="1:6">
      <c r="A104" s="39">
        <v>42291</v>
      </c>
      <c r="B104">
        <v>35.06</v>
      </c>
      <c r="C104">
        <v>35.43</v>
      </c>
      <c r="D104">
        <v>34.9</v>
      </c>
      <c r="E104">
        <v>35.32</v>
      </c>
      <c r="F104">
        <v>7460002</v>
      </c>
    </row>
    <row r="105" spans="1:6">
      <c r="A105" s="39">
        <v>42292</v>
      </c>
      <c r="B105">
        <v>35.36</v>
      </c>
      <c r="C105">
        <v>35.68</v>
      </c>
      <c r="D105">
        <v>35.03</v>
      </c>
      <c r="E105">
        <v>35.68</v>
      </c>
      <c r="F105">
        <v>6105961</v>
      </c>
    </row>
    <row r="106" spans="1:6">
      <c r="A106" s="39">
        <v>42293</v>
      </c>
      <c r="B106">
        <v>35.9</v>
      </c>
      <c r="C106">
        <v>35.909999999999997</v>
      </c>
      <c r="D106">
        <v>35.36</v>
      </c>
      <c r="E106">
        <v>35.86</v>
      </c>
      <c r="F106">
        <v>5623725</v>
      </c>
    </row>
    <row r="107" spans="1:6">
      <c r="A107" s="39">
        <v>42296</v>
      </c>
      <c r="B107">
        <v>35.340000000000003</v>
      </c>
      <c r="C107">
        <v>35.39</v>
      </c>
      <c r="D107">
        <v>34.71</v>
      </c>
      <c r="E107">
        <v>34.94</v>
      </c>
      <c r="F107">
        <v>4918164</v>
      </c>
    </row>
    <row r="108" spans="1:6">
      <c r="A108" s="39">
        <v>42297</v>
      </c>
      <c r="B108">
        <v>34.49</v>
      </c>
      <c r="C108">
        <v>35.08</v>
      </c>
      <c r="D108">
        <v>34.46</v>
      </c>
      <c r="E108">
        <v>34.97</v>
      </c>
      <c r="F108">
        <v>5405602</v>
      </c>
    </row>
    <row r="109" spans="1:6">
      <c r="A109" s="39">
        <v>42298</v>
      </c>
      <c r="B109">
        <v>35.31</v>
      </c>
      <c r="C109">
        <v>35.47</v>
      </c>
      <c r="D109">
        <v>35.049999999999997</v>
      </c>
      <c r="E109">
        <v>35.14</v>
      </c>
      <c r="F109">
        <v>6497615</v>
      </c>
    </row>
    <row r="110" spans="1:6">
      <c r="A110" s="39">
        <v>42299</v>
      </c>
      <c r="B110">
        <v>35.630000000000003</v>
      </c>
      <c r="C110">
        <v>35.99</v>
      </c>
      <c r="D110">
        <v>35.56</v>
      </c>
      <c r="E110">
        <v>35.92</v>
      </c>
      <c r="F110">
        <v>8120264</v>
      </c>
    </row>
    <row r="111" spans="1:6">
      <c r="A111" s="39">
        <v>42300</v>
      </c>
      <c r="B111">
        <v>35.840000000000003</v>
      </c>
      <c r="C111">
        <v>36</v>
      </c>
      <c r="D111">
        <v>35.520000000000003</v>
      </c>
      <c r="E111">
        <v>35.72</v>
      </c>
      <c r="F111">
        <v>4749154</v>
      </c>
    </row>
    <row r="112" spans="1:6">
      <c r="A112" s="39">
        <v>42303</v>
      </c>
      <c r="B112">
        <v>35.6</v>
      </c>
      <c r="C112">
        <v>35.64</v>
      </c>
      <c r="D112">
        <v>35.049999999999997</v>
      </c>
      <c r="E112">
        <v>35.049999999999997</v>
      </c>
      <c r="F112">
        <v>5105227</v>
      </c>
    </row>
    <row r="113" spans="1:6">
      <c r="A113" s="39">
        <v>42304</v>
      </c>
      <c r="B113">
        <v>34.82</v>
      </c>
      <c r="C113">
        <v>35.19</v>
      </c>
      <c r="D113">
        <v>34.6</v>
      </c>
      <c r="E113">
        <v>34.82</v>
      </c>
      <c r="F113">
        <v>10123884</v>
      </c>
    </row>
    <row r="114" spans="1:6">
      <c r="A114" s="39">
        <v>42305</v>
      </c>
      <c r="B114">
        <v>35.090000000000003</v>
      </c>
      <c r="C114">
        <v>36.090000000000003</v>
      </c>
      <c r="D114">
        <v>35.07</v>
      </c>
      <c r="E114">
        <v>35.74</v>
      </c>
      <c r="F114">
        <v>9626609</v>
      </c>
    </row>
    <row r="115" spans="1:6">
      <c r="A115" s="39">
        <v>42306</v>
      </c>
      <c r="B115">
        <v>35.380000000000003</v>
      </c>
      <c r="C115">
        <v>36.01</v>
      </c>
      <c r="D115">
        <v>35.340000000000003</v>
      </c>
      <c r="E115">
        <v>35.71</v>
      </c>
      <c r="F115">
        <v>6965609</v>
      </c>
    </row>
    <row r="116" spans="1:6">
      <c r="A116" s="39">
        <v>42307</v>
      </c>
      <c r="B116">
        <v>35.619999999999997</v>
      </c>
      <c r="C116">
        <v>36</v>
      </c>
      <c r="D116">
        <v>35.33</v>
      </c>
      <c r="E116">
        <v>35.700000000000003</v>
      </c>
      <c r="F116">
        <v>5441985</v>
      </c>
    </row>
    <row r="117" spans="1:6">
      <c r="A117" s="39">
        <v>42310</v>
      </c>
      <c r="B117">
        <v>35.64</v>
      </c>
      <c r="C117">
        <v>36.340000000000003</v>
      </c>
      <c r="D117">
        <v>35.54</v>
      </c>
      <c r="E117">
        <v>36.28</v>
      </c>
      <c r="F117">
        <v>7170543</v>
      </c>
    </row>
    <row r="118" spans="1:6">
      <c r="A118" s="39">
        <v>42311</v>
      </c>
      <c r="B118">
        <v>36.36</v>
      </c>
      <c r="C118">
        <v>37.53</v>
      </c>
      <c r="D118">
        <v>36.32</v>
      </c>
      <c r="E118">
        <v>37.229999999999997</v>
      </c>
      <c r="F118">
        <v>9908738</v>
      </c>
    </row>
    <row r="119" spans="1:6">
      <c r="A119" s="39">
        <v>42312</v>
      </c>
      <c r="B119">
        <v>36.99</v>
      </c>
      <c r="C119">
        <v>37.04</v>
      </c>
      <c r="D119">
        <v>36.1</v>
      </c>
      <c r="E119">
        <v>36.36</v>
      </c>
      <c r="F119">
        <v>8853030</v>
      </c>
    </row>
    <row r="120" spans="1:6">
      <c r="A120" s="39">
        <v>42313</v>
      </c>
      <c r="B120">
        <v>35.9</v>
      </c>
      <c r="C120">
        <v>36.19</v>
      </c>
      <c r="D120">
        <v>35.520000000000003</v>
      </c>
      <c r="E120">
        <v>35.549999999999997</v>
      </c>
      <c r="F120">
        <v>6412345</v>
      </c>
    </row>
    <row r="121" spans="1:6">
      <c r="A121" s="39">
        <v>42314</v>
      </c>
      <c r="B121">
        <v>35.020000000000003</v>
      </c>
      <c r="C121">
        <v>35.369999999999997</v>
      </c>
      <c r="D121">
        <v>34.78</v>
      </c>
      <c r="E121">
        <v>35.130000000000003</v>
      </c>
      <c r="F121">
        <v>5820408</v>
      </c>
    </row>
    <row r="122" spans="1:6">
      <c r="A122" s="39">
        <v>42317</v>
      </c>
      <c r="B122">
        <v>35.14</v>
      </c>
      <c r="C122">
        <v>35.39</v>
      </c>
      <c r="D122">
        <v>34.69</v>
      </c>
      <c r="E122">
        <v>34.880000000000003</v>
      </c>
      <c r="F122">
        <v>5713600</v>
      </c>
    </row>
    <row r="123" spans="1:6">
      <c r="A123" s="39">
        <v>42318</v>
      </c>
      <c r="B123">
        <v>34.619999999999997</v>
      </c>
      <c r="C123">
        <v>35.01</v>
      </c>
      <c r="D123">
        <v>34.53</v>
      </c>
      <c r="E123">
        <v>34.770000000000003</v>
      </c>
      <c r="F123">
        <v>4700908</v>
      </c>
    </row>
    <row r="124" spans="1:6">
      <c r="A124" s="39">
        <v>42319</v>
      </c>
      <c r="B124">
        <v>34.770000000000003</v>
      </c>
      <c r="C124">
        <v>34.85</v>
      </c>
      <c r="D124">
        <v>34.35</v>
      </c>
      <c r="E124">
        <v>34.39</v>
      </c>
      <c r="F124">
        <v>4630226</v>
      </c>
    </row>
    <row r="125" spans="1:6">
      <c r="A125" s="39">
        <v>42320</v>
      </c>
      <c r="B125">
        <v>33.86</v>
      </c>
      <c r="C125">
        <v>34.049999999999997</v>
      </c>
      <c r="D125">
        <v>33.35</v>
      </c>
      <c r="E125">
        <v>33.5</v>
      </c>
      <c r="F125">
        <v>6098476</v>
      </c>
    </row>
    <row r="126" spans="1:6">
      <c r="A126" s="39">
        <v>42321</v>
      </c>
      <c r="B126">
        <v>33.24</v>
      </c>
      <c r="C126">
        <v>33.6</v>
      </c>
      <c r="D126">
        <v>32.89</v>
      </c>
      <c r="E126">
        <v>33.380000000000003</v>
      </c>
      <c r="F126">
        <v>4777621</v>
      </c>
    </row>
    <row r="127" spans="1:6">
      <c r="A127" s="39">
        <v>42324</v>
      </c>
      <c r="B127">
        <v>33.39</v>
      </c>
      <c r="C127">
        <v>34.5</v>
      </c>
      <c r="D127">
        <v>33.39</v>
      </c>
      <c r="E127">
        <v>34.479999999999997</v>
      </c>
      <c r="F127">
        <v>5826315</v>
      </c>
    </row>
    <row r="128" spans="1:6">
      <c r="A128" s="39">
        <v>42325</v>
      </c>
      <c r="B128">
        <v>34.54</v>
      </c>
      <c r="C128">
        <v>34.619999999999997</v>
      </c>
      <c r="D128">
        <v>34.08</v>
      </c>
      <c r="E128">
        <v>34.18</v>
      </c>
      <c r="F128">
        <v>4823806</v>
      </c>
    </row>
    <row r="129" spans="1:6">
      <c r="A129" s="39">
        <v>42326</v>
      </c>
      <c r="B129">
        <v>34.799999999999997</v>
      </c>
      <c r="C129">
        <v>35.130000000000003</v>
      </c>
      <c r="D129">
        <v>34.57</v>
      </c>
      <c r="E129">
        <v>35.1</v>
      </c>
      <c r="F129">
        <v>7394607</v>
      </c>
    </row>
    <row r="130" spans="1:6">
      <c r="A130" s="39">
        <v>42327</v>
      </c>
      <c r="B130">
        <v>35.119999999999997</v>
      </c>
      <c r="C130">
        <v>35.380000000000003</v>
      </c>
      <c r="D130">
        <v>34.99</v>
      </c>
      <c r="E130">
        <v>35.25</v>
      </c>
      <c r="F130">
        <v>5796344</v>
      </c>
    </row>
    <row r="131" spans="1:6">
      <c r="A131" s="39">
        <v>42328</v>
      </c>
      <c r="B131">
        <v>35.01</v>
      </c>
      <c r="C131">
        <v>35.17</v>
      </c>
      <c r="D131">
        <v>34.42</v>
      </c>
      <c r="E131">
        <v>34.43</v>
      </c>
      <c r="F131">
        <v>5266412</v>
      </c>
    </row>
    <row r="132" spans="1:6">
      <c r="A132" s="39">
        <v>42331</v>
      </c>
      <c r="B132">
        <v>34.380000000000003</v>
      </c>
      <c r="C132">
        <v>34.65</v>
      </c>
      <c r="D132">
        <v>34.28</v>
      </c>
      <c r="E132">
        <v>34.42</v>
      </c>
      <c r="F132">
        <v>5145604</v>
      </c>
    </row>
    <row r="133" spans="1:6">
      <c r="A133" s="39">
        <v>42332</v>
      </c>
      <c r="B133">
        <v>34.47</v>
      </c>
      <c r="C133">
        <v>35.08</v>
      </c>
      <c r="D133">
        <v>34.47</v>
      </c>
      <c r="E133">
        <v>34.99</v>
      </c>
      <c r="F133">
        <v>6465585</v>
      </c>
    </row>
    <row r="134" spans="1:6">
      <c r="A134" s="39">
        <v>42333</v>
      </c>
      <c r="B134">
        <v>34.840000000000003</v>
      </c>
      <c r="C134">
        <v>35.119999999999997</v>
      </c>
      <c r="D134">
        <v>34.56</v>
      </c>
      <c r="E134">
        <v>34.99</v>
      </c>
      <c r="F134">
        <v>5220101</v>
      </c>
    </row>
    <row r="135" spans="1:6">
      <c r="A135" s="39">
        <v>42335</v>
      </c>
      <c r="B135">
        <v>34.82</v>
      </c>
      <c r="C135">
        <v>34.94</v>
      </c>
      <c r="D135">
        <v>34.74</v>
      </c>
      <c r="E135">
        <v>34.83</v>
      </c>
      <c r="F135">
        <v>2849642</v>
      </c>
    </row>
    <row r="136" spans="1:6">
      <c r="A136" s="39">
        <v>42338</v>
      </c>
      <c r="B136">
        <v>34.92</v>
      </c>
      <c r="C136">
        <v>35.03</v>
      </c>
      <c r="D136">
        <v>34.56</v>
      </c>
      <c r="E136">
        <v>34.6</v>
      </c>
      <c r="F136">
        <v>5587703</v>
      </c>
    </row>
    <row r="137" spans="1:6">
      <c r="A137" s="39">
        <v>42339</v>
      </c>
      <c r="B137">
        <v>34.770000000000003</v>
      </c>
      <c r="C137">
        <v>34.950000000000003</v>
      </c>
      <c r="D137">
        <v>34.57</v>
      </c>
      <c r="E137">
        <v>34.770000000000003</v>
      </c>
      <c r="F137">
        <v>5622539</v>
      </c>
    </row>
    <row r="138" spans="1:6">
      <c r="A138" s="39">
        <v>42340</v>
      </c>
      <c r="B138">
        <v>34.28</v>
      </c>
      <c r="C138">
        <v>34.659999999999997</v>
      </c>
      <c r="D138">
        <v>33.69</v>
      </c>
      <c r="E138">
        <v>33.82</v>
      </c>
      <c r="F138">
        <v>7610752</v>
      </c>
    </row>
    <row r="139" spans="1:6">
      <c r="A139" s="39">
        <v>42341</v>
      </c>
      <c r="B139">
        <v>34.020000000000003</v>
      </c>
      <c r="C139">
        <v>34.04</v>
      </c>
      <c r="D139">
        <v>33.159999999999997</v>
      </c>
      <c r="E139">
        <v>33.26</v>
      </c>
      <c r="F139">
        <v>6417580</v>
      </c>
    </row>
    <row r="140" spans="1:6">
      <c r="A140" s="39">
        <v>42342</v>
      </c>
      <c r="B140">
        <v>32.93</v>
      </c>
      <c r="C140">
        <v>32.93</v>
      </c>
      <c r="D140">
        <v>32.270000000000003</v>
      </c>
      <c r="E140">
        <v>32.67</v>
      </c>
      <c r="F140">
        <v>9127678</v>
      </c>
    </row>
    <row r="141" spans="1:6">
      <c r="A141" s="39">
        <v>42345</v>
      </c>
      <c r="B141">
        <v>31.75</v>
      </c>
      <c r="C141">
        <v>31.83</v>
      </c>
      <c r="D141">
        <v>31.09</v>
      </c>
      <c r="E141">
        <v>31.26</v>
      </c>
      <c r="F141">
        <v>12000774</v>
      </c>
    </row>
    <row r="142" spans="1:6">
      <c r="A142" s="39">
        <v>42346</v>
      </c>
      <c r="B142">
        <v>30.94</v>
      </c>
      <c r="C142">
        <v>31.7</v>
      </c>
      <c r="D142">
        <v>30.65</v>
      </c>
      <c r="E142">
        <v>31.27</v>
      </c>
      <c r="F142">
        <v>8913155</v>
      </c>
    </row>
    <row r="143" spans="1:6">
      <c r="A143" s="39">
        <v>42347</v>
      </c>
      <c r="B143">
        <v>31.77</v>
      </c>
      <c r="C143">
        <v>32.409999999999997</v>
      </c>
      <c r="D143">
        <v>31.54</v>
      </c>
      <c r="E143">
        <v>31.81</v>
      </c>
      <c r="F143">
        <v>10269035</v>
      </c>
    </row>
    <row r="144" spans="1:6">
      <c r="A144" s="39">
        <v>42348</v>
      </c>
      <c r="B144">
        <v>31.71</v>
      </c>
      <c r="C144">
        <v>32.18</v>
      </c>
      <c r="D144">
        <v>31.67</v>
      </c>
      <c r="E144">
        <v>31.8</v>
      </c>
      <c r="F144">
        <v>7893956</v>
      </c>
    </row>
    <row r="145" spans="1:6">
      <c r="A145" s="39">
        <v>42349</v>
      </c>
      <c r="B145">
        <v>31.15</v>
      </c>
      <c r="C145">
        <v>31.25</v>
      </c>
      <c r="D145">
        <v>30.75</v>
      </c>
      <c r="E145">
        <v>30.79</v>
      </c>
      <c r="F145">
        <v>8344281</v>
      </c>
    </row>
    <row r="146" spans="1:6">
      <c r="A146" s="39">
        <v>42352</v>
      </c>
      <c r="B146">
        <v>30.44</v>
      </c>
      <c r="C146">
        <v>30.63</v>
      </c>
      <c r="D146">
        <v>29.9</v>
      </c>
      <c r="E146">
        <v>30.22</v>
      </c>
      <c r="F146">
        <v>16879282</v>
      </c>
    </row>
    <row r="147" spans="1:6">
      <c r="A147" s="39">
        <v>42353</v>
      </c>
      <c r="B147">
        <v>30.58</v>
      </c>
      <c r="C147">
        <v>30.87</v>
      </c>
      <c r="D147">
        <v>30.5</v>
      </c>
      <c r="E147">
        <v>30.75</v>
      </c>
      <c r="F147">
        <v>13458022</v>
      </c>
    </row>
    <row r="148" spans="1:6">
      <c r="A148" s="39">
        <v>42354</v>
      </c>
      <c r="B148">
        <v>31.04</v>
      </c>
      <c r="C148">
        <v>31.2</v>
      </c>
      <c r="D148">
        <v>30.56</v>
      </c>
      <c r="E148">
        <v>30.87</v>
      </c>
      <c r="F148">
        <v>9659653</v>
      </c>
    </row>
    <row r="149" spans="1:6">
      <c r="A149" s="39">
        <v>42355</v>
      </c>
      <c r="B149">
        <v>30.76</v>
      </c>
      <c r="C149">
        <v>30.83</v>
      </c>
      <c r="D149">
        <v>30.34</v>
      </c>
      <c r="E149">
        <v>30.35</v>
      </c>
      <c r="F149">
        <v>7213920</v>
      </c>
    </row>
    <row r="150" spans="1:6">
      <c r="A150" s="39">
        <v>42356</v>
      </c>
      <c r="B150">
        <v>30.44</v>
      </c>
      <c r="C150">
        <v>30.63</v>
      </c>
      <c r="D150">
        <v>30.15</v>
      </c>
      <c r="E150">
        <v>30.15</v>
      </c>
      <c r="F150">
        <v>7332119</v>
      </c>
    </row>
    <row r="151" spans="1:6">
      <c r="A151" s="39">
        <v>42359</v>
      </c>
      <c r="B151">
        <v>30.51</v>
      </c>
      <c r="C151">
        <v>30.68</v>
      </c>
      <c r="D151">
        <v>29.92</v>
      </c>
      <c r="E151">
        <v>30.13</v>
      </c>
      <c r="F151">
        <v>8577026</v>
      </c>
    </row>
    <row r="152" spans="1:6">
      <c r="A152" s="39">
        <v>42360</v>
      </c>
      <c r="B152">
        <v>30.34</v>
      </c>
      <c r="C152">
        <v>30.86</v>
      </c>
      <c r="D152">
        <v>30.24</v>
      </c>
      <c r="E152">
        <v>30.79</v>
      </c>
      <c r="F152">
        <v>7189199</v>
      </c>
    </row>
    <row r="153" spans="1:6">
      <c r="A153" s="39">
        <v>42361</v>
      </c>
      <c r="B153">
        <v>32</v>
      </c>
      <c r="C153">
        <v>32.35</v>
      </c>
      <c r="D153">
        <v>31.86</v>
      </c>
      <c r="E153">
        <v>32.35</v>
      </c>
      <c r="F153">
        <v>10147440</v>
      </c>
    </row>
    <row r="154" spans="1:6">
      <c r="A154" s="39">
        <v>42362</v>
      </c>
      <c r="B154">
        <v>32.51</v>
      </c>
      <c r="C154">
        <v>32.590000000000003</v>
      </c>
      <c r="D154">
        <v>32.08</v>
      </c>
      <c r="E154">
        <v>32.119999999999997</v>
      </c>
      <c r="F154">
        <v>3380957</v>
      </c>
    </row>
    <row r="155" spans="1:6">
      <c r="A155" s="39">
        <v>42366</v>
      </c>
      <c r="B155">
        <v>31.67</v>
      </c>
      <c r="C155">
        <v>31.82</v>
      </c>
      <c r="D155">
        <v>31.5</v>
      </c>
      <c r="E155">
        <v>31.71</v>
      </c>
      <c r="F155">
        <v>6177755</v>
      </c>
    </row>
    <row r="156" spans="1:6">
      <c r="A156" s="39">
        <v>42367</v>
      </c>
      <c r="B156">
        <v>31.97</v>
      </c>
      <c r="C156">
        <v>32.200000000000003</v>
      </c>
      <c r="D156">
        <v>31.76</v>
      </c>
      <c r="E156">
        <v>31.87</v>
      </c>
      <c r="F156">
        <v>7064804</v>
      </c>
    </row>
    <row r="157" spans="1:6">
      <c r="A157" s="39">
        <v>42368</v>
      </c>
      <c r="B157">
        <v>31.55</v>
      </c>
      <c r="C157">
        <v>31.79</v>
      </c>
      <c r="D157">
        <v>31.26</v>
      </c>
      <c r="E157">
        <v>31.31</v>
      </c>
      <c r="F157">
        <v>5536028</v>
      </c>
    </row>
    <row r="158" spans="1:6">
      <c r="A158" s="39">
        <v>42369</v>
      </c>
      <c r="B158">
        <v>31.25</v>
      </c>
      <c r="C158">
        <v>31.46</v>
      </c>
      <c r="D158">
        <v>31.05</v>
      </c>
      <c r="E158">
        <v>31.26</v>
      </c>
      <c r="F158">
        <v>5812752</v>
      </c>
    </row>
    <row r="159" spans="1:6">
      <c r="A159" s="39">
        <v>42373</v>
      </c>
      <c r="B159">
        <v>30.8</v>
      </c>
      <c r="C159">
        <v>31.17</v>
      </c>
      <c r="D159">
        <v>30.51</v>
      </c>
      <c r="E159">
        <v>31.06</v>
      </c>
      <c r="F159">
        <v>7576705</v>
      </c>
    </row>
    <row r="160" spans="1:6">
      <c r="A160" s="39">
        <v>42374</v>
      </c>
      <c r="B160">
        <v>30.92</v>
      </c>
      <c r="C160">
        <v>30.99</v>
      </c>
      <c r="D160">
        <v>30.38</v>
      </c>
      <c r="E160">
        <v>30.93</v>
      </c>
      <c r="F160">
        <v>7234417</v>
      </c>
    </row>
    <row r="161" spans="1:6">
      <c r="A161" s="39">
        <v>42375</v>
      </c>
      <c r="B161">
        <v>29.93</v>
      </c>
      <c r="C161">
        <v>30.41</v>
      </c>
      <c r="D161">
        <v>29.93</v>
      </c>
      <c r="E161">
        <v>30.3</v>
      </c>
      <c r="F161">
        <v>10055076</v>
      </c>
    </row>
    <row r="162" spans="1:6">
      <c r="A162" s="39">
        <v>42376</v>
      </c>
      <c r="B162">
        <v>29.07</v>
      </c>
      <c r="C162">
        <v>29.82</v>
      </c>
      <c r="D162">
        <v>29</v>
      </c>
      <c r="E162">
        <v>29.43</v>
      </c>
      <c r="F162">
        <v>15155999</v>
      </c>
    </row>
    <row r="163" spans="1:6">
      <c r="A163" s="39">
        <v>42377</v>
      </c>
      <c r="B163">
        <v>29.41</v>
      </c>
      <c r="C163">
        <v>29.45</v>
      </c>
      <c r="D163">
        <v>28.84</v>
      </c>
      <c r="E163">
        <v>28.91</v>
      </c>
      <c r="F163">
        <v>13901317</v>
      </c>
    </row>
    <row r="164" spans="1:6">
      <c r="A164" s="39">
        <v>42380</v>
      </c>
      <c r="B164">
        <v>29.56</v>
      </c>
      <c r="C164">
        <v>29.57</v>
      </c>
      <c r="D164">
        <v>28.52</v>
      </c>
      <c r="E164">
        <v>28.84</v>
      </c>
      <c r="F164">
        <v>7460090</v>
      </c>
    </row>
    <row r="165" spans="1:6">
      <c r="A165" s="39">
        <v>42381</v>
      </c>
      <c r="B165">
        <v>29.13</v>
      </c>
      <c r="C165">
        <v>29.19</v>
      </c>
      <c r="D165">
        <v>28</v>
      </c>
      <c r="E165">
        <v>28.65</v>
      </c>
      <c r="F165">
        <v>10629654</v>
      </c>
    </row>
    <row r="166" spans="1:6">
      <c r="A166" s="39">
        <v>42382</v>
      </c>
      <c r="B166">
        <v>29.28</v>
      </c>
      <c r="C166">
        <v>29.84</v>
      </c>
      <c r="D166">
        <v>28.56</v>
      </c>
      <c r="E166">
        <v>28.77</v>
      </c>
      <c r="F166">
        <v>16896326</v>
      </c>
    </row>
    <row r="167" spans="1:6">
      <c r="A167" s="39">
        <v>42383</v>
      </c>
      <c r="B167">
        <v>29.83</v>
      </c>
      <c r="C167">
        <v>30.99</v>
      </c>
      <c r="D167">
        <v>29.44</v>
      </c>
      <c r="E167">
        <v>30.83</v>
      </c>
      <c r="F167">
        <v>14718396</v>
      </c>
    </row>
    <row r="168" spans="1:6">
      <c r="A168" s="39">
        <v>42384</v>
      </c>
      <c r="B168">
        <v>29.29</v>
      </c>
      <c r="C168">
        <v>29.73</v>
      </c>
      <c r="D168">
        <v>28.84</v>
      </c>
      <c r="E168">
        <v>29.16</v>
      </c>
      <c r="F168">
        <v>11703035</v>
      </c>
    </row>
    <row r="169" spans="1:6">
      <c r="A169" s="39">
        <v>42388</v>
      </c>
      <c r="B169">
        <v>29.59</v>
      </c>
      <c r="C169">
        <v>29.7</v>
      </c>
      <c r="D169">
        <v>28.52</v>
      </c>
      <c r="E169">
        <v>28.92</v>
      </c>
      <c r="F169">
        <v>9345520</v>
      </c>
    </row>
    <row r="170" spans="1:6">
      <c r="A170" s="39">
        <v>42389</v>
      </c>
      <c r="B170">
        <v>28.53</v>
      </c>
      <c r="C170">
        <v>28.82</v>
      </c>
      <c r="D170">
        <v>27.56</v>
      </c>
      <c r="E170">
        <v>28.46</v>
      </c>
      <c r="F170">
        <v>15073877</v>
      </c>
    </row>
    <row r="171" spans="1:6">
      <c r="A171" s="39">
        <v>42390</v>
      </c>
      <c r="B171">
        <v>28.51</v>
      </c>
      <c r="C171">
        <v>29.62</v>
      </c>
      <c r="D171">
        <v>28.32</v>
      </c>
      <c r="E171">
        <v>29.46</v>
      </c>
      <c r="F171">
        <v>9914321</v>
      </c>
    </row>
    <row r="172" spans="1:6">
      <c r="A172" s="39">
        <v>42391</v>
      </c>
      <c r="B172">
        <v>30.61</v>
      </c>
      <c r="C172">
        <v>30.88</v>
      </c>
      <c r="D172">
        <v>30.06</v>
      </c>
      <c r="E172">
        <v>30.35</v>
      </c>
      <c r="F172">
        <v>14913604</v>
      </c>
    </row>
    <row r="173" spans="1:6">
      <c r="A173" s="39">
        <v>42394</v>
      </c>
      <c r="B173">
        <v>29.77</v>
      </c>
      <c r="C173">
        <v>30.17</v>
      </c>
      <c r="D173">
        <v>29.45</v>
      </c>
      <c r="E173">
        <v>29.47</v>
      </c>
      <c r="F173">
        <v>8017143</v>
      </c>
    </row>
    <row r="174" spans="1:6">
      <c r="A174" s="39">
        <v>42395</v>
      </c>
      <c r="B174">
        <v>30.32</v>
      </c>
      <c r="C174">
        <v>30.9</v>
      </c>
      <c r="D174">
        <v>30.12</v>
      </c>
      <c r="E174">
        <v>30.74</v>
      </c>
      <c r="F174">
        <v>9613749</v>
      </c>
    </row>
    <row r="175" spans="1:6">
      <c r="A175" s="39">
        <v>42396</v>
      </c>
      <c r="B175">
        <v>30.33</v>
      </c>
      <c r="C175">
        <v>31.29</v>
      </c>
      <c r="D175">
        <v>30.16</v>
      </c>
      <c r="E175">
        <v>30.68</v>
      </c>
      <c r="F175">
        <v>9698666</v>
      </c>
    </row>
    <row r="176" spans="1:6">
      <c r="A176" s="39">
        <v>42397</v>
      </c>
      <c r="B176">
        <v>32.07</v>
      </c>
      <c r="C176">
        <v>32.11</v>
      </c>
      <c r="D176">
        <v>31.29</v>
      </c>
      <c r="E176">
        <v>31.89</v>
      </c>
      <c r="F176">
        <v>11278723</v>
      </c>
    </row>
    <row r="177" spans="1:6">
      <c r="A177" s="39">
        <v>42398</v>
      </c>
      <c r="B177">
        <v>31.77</v>
      </c>
      <c r="C177">
        <v>32.380000000000003</v>
      </c>
      <c r="D177">
        <v>31.54</v>
      </c>
      <c r="E177">
        <v>32.369999999999997</v>
      </c>
      <c r="F177">
        <v>8811020</v>
      </c>
    </row>
    <row r="178" spans="1:6">
      <c r="A178" s="39">
        <v>42401</v>
      </c>
      <c r="B178">
        <v>31.18</v>
      </c>
      <c r="C178">
        <v>31.88</v>
      </c>
      <c r="D178">
        <v>30.9</v>
      </c>
      <c r="E178">
        <v>31.7</v>
      </c>
      <c r="F178">
        <v>9461606</v>
      </c>
    </row>
    <row r="179" spans="1:6">
      <c r="A179" s="39">
        <v>42402</v>
      </c>
      <c r="B179">
        <v>29.03</v>
      </c>
      <c r="C179">
        <v>29.36</v>
      </c>
      <c r="D179">
        <v>28.62</v>
      </c>
      <c r="E179">
        <v>29.02</v>
      </c>
      <c r="F179">
        <v>21306143</v>
      </c>
    </row>
    <row r="180" spans="1:6">
      <c r="A180" s="39">
        <v>42403</v>
      </c>
      <c r="B180">
        <v>29.28</v>
      </c>
      <c r="C180">
        <v>29.81</v>
      </c>
      <c r="D180">
        <v>28.44</v>
      </c>
      <c r="E180">
        <v>29.66</v>
      </c>
      <c r="F180">
        <v>14295525</v>
      </c>
    </row>
    <row r="181" spans="1:6">
      <c r="A181" s="39">
        <v>42404</v>
      </c>
      <c r="B181">
        <v>30.26</v>
      </c>
      <c r="C181">
        <v>31.04</v>
      </c>
      <c r="D181">
        <v>30.18</v>
      </c>
      <c r="E181">
        <v>30.61</v>
      </c>
      <c r="F181">
        <v>11269070</v>
      </c>
    </row>
    <row r="182" spans="1:6">
      <c r="A182" s="39">
        <v>42405</v>
      </c>
      <c r="B182">
        <v>30.49</v>
      </c>
      <c r="C182">
        <v>30.81</v>
      </c>
      <c r="D182">
        <v>30.24</v>
      </c>
      <c r="E182">
        <v>30.46</v>
      </c>
      <c r="F182">
        <v>6774949</v>
      </c>
    </row>
    <row r="183" spans="1:6">
      <c r="A183" s="39">
        <v>42408</v>
      </c>
      <c r="B183">
        <v>29.64</v>
      </c>
      <c r="C183">
        <v>30.06</v>
      </c>
      <c r="D183">
        <v>29.31</v>
      </c>
      <c r="E183">
        <v>29.92</v>
      </c>
      <c r="F183">
        <v>8813130</v>
      </c>
    </row>
    <row r="184" spans="1:6">
      <c r="A184" s="39">
        <v>42409</v>
      </c>
      <c r="B184">
        <v>29.28</v>
      </c>
      <c r="C184">
        <v>29.5</v>
      </c>
      <c r="D184">
        <v>28.75</v>
      </c>
      <c r="E184">
        <v>28.95</v>
      </c>
      <c r="F184">
        <v>9457946</v>
      </c>
    </row>
    <row r="185" spans="1:6">
      <c r="A185" s="39">
        <v>42410</v>
      </c>
      <c r="B185">
        <v>28.04</v>
      </c>
      <c r="C185">
        <v>28.61</v>
      </c>
      <c r="D185">
        <v>27.85</v>
      </c>
      <c r="E185">
        <v>28.04</v>
      </c>
      <c r="F185">
        <v>9802039</v>
      </c>
    </row>
    <row r="186" spans="1:6">
      <c r="A186" s="39">
        <v>42411</v>
      </c>
      <c r="B186">
        <v>27.31</v>
      </c>
      <c r="C186">
        <v>27.85</v>
      </c>
      <c r="D186">
        <v>27.01</v>
      </c>
      <c r="E186">
        <v>27.64</v>
      </c>
      <c r="F186">
        <v>15031882</v>
      </c>
    </row>
    <row r="187" spans="1:6">
      <c r="A187" s="39">
        <v>42412</v>
      </c>
      <c r="B187">
        <v>28.29</v>
      </c>
      <c r="C187">
        <v>29.06</v>
      </c>
      <c r="D187">
        <v>28.08</v>
      </c>
      <c r="E187">
        <v>29.02</v>
      </c>
      <c r="F187">
        <v>10833281</v>
      </c>
    </row>
    <row r="188" spans="1:6">
      <c r="A188" s="39">
        <v>42416</v>
      </c>
      <c r="B188">
        <v>29.36</v>
      </c>
      <c r="C188">
        <v>29.39</v>
      </c>
      <c r="D188">
        <v>28.84</v>
      </c>
      <c r="E188">
        <v>29.06</v>
      </c>
      <c r="F188">
        <v>8903055</v>
      </c>
    </row>
    <row r="189" spans="1:6">
      <c r="A189" s="39">
        <v>42417</v>
      </c>
      <c r="B189">
        <v>29.23</v>
      </c>
      <c r="C189">
        <v>30.23</v>
      </c>
      <c r="D189">
        <v>29.23</v>
      </c>
      <c r="E189">
        <v>29.95</v>
      </c>
      <c r="F189">
        <v>10349226</v>
      </c>
    </row>
    <row r="190" spans="1:6">
      <c r="A190" s="39">
        <v>42418</v>
      </c>
      <c r="B190">
        <v>30.18</v>
      </c>
      <c r="C190">
        <v>30.21</v>
      </c>
      <c r="D190">
        <v>29.61</v>
      </c>
      <c r="E190">
        <v>29.78</v>
      </c>
      <c r="F190">
        <v>9265584</v>
      </c>
    </row>
    <row r="191" spans="1:6">
      <c r="A191" s="39">
        <v>42419</v>
      </c>
      <c r="B191">
        <v>29.55</v>
      </c>
      <c r="C191">
        <v>29.75</v>
      </c>
      <c r="D191">
        <v>29.31</v>
      </c>
      <c r="E191">
        <v>29.75</v>
      </c>
      <c r="F191">
        <v>5210504</v>
      </c>
    </row>
    <row r="192" spans="1:6">
      <c r="A192" s="39">
        <v>42422</v>
      </c>
      <c r="B192">
        <v>30.14</v>
      </c>
      <c r="C192">
        <v>30.49</v>
      </c>
      <c r="D192">
        <v>30.1</v>
      </c>
      <c r="E192">
        <v>30.3</v>
      </c>
      <c r="F192">
        <v>6075885</v>
      </c>
    </row>
    <row r="193" spans="1:6">
      <c r="A193" s="39">
        <v>42423</v>
      </c>
      <c r="B193">
        <v>29.62</v>
      </c>
      <c r="C193">
        <v>29.88</v>
      </c>
      <c r="D193">
        <v>28.95</v>
      </c>
      <c r="E193">
        <v>29</v>
      </c>
      <c r="F193">
        <v>7455029</v>
      </c>
    </row>
    <row r="194" spans="1:6">
      <c r="A194" s="39">
        <v>42424</v>
      </c>
      <c r="B194">
        <v>28.2</v>
      </c>
      <c r="C194">
        <v>28.56</v>
      </c>
      <c r="D194">
        <v>28.01</v>
      </c>
      <c r="E194">
        <v>28.54</v>
      </c>
      <c r="F194">
        <v>11234702</v>
      </c>
    </row>
    <row r="195" spans="1:6">
      <c r="A195" s="39">
        <v>42425</v>
      </c>
      <c r="B195">
        <v>28.83</v>
      </c>
      <c r="C195">
        <v>28.91</v>
      </c>
      <c r="D195">
        <v>28.12</v>
      </c>
      <c r="E195">
        <v>28.66</v>
      </c>
      <c r="F195">
        <v>11297401</v>
      </c>
    </row>
    <row r="196" spans="1:6">
      <c r="A196" s="39">
        <v>42426</v>
      </c>
      <c r="B196">
        <v>29.14</v>
      </c>
      <c r="C196">
        <v>29.3</v>
      </c>
      <c r="D196">
        <v>28.91</v>
      </c>
      <c r="E196">
        <v>29</v>
      </c>
      <c r="F196">
        <v>6163215</v>
      </c>
    </row>
    <row r="197" spans="1:6">
      <c r="A197" s="39">
        <v>42429</v>
      </c>
      <c r="B197">
        <v>29.24</v>
      </c>
      <c r="C197">
        <v>29.44</v>
      </c>
      <c r="D197">
        <v>29</v>
      </c>
      <c r="E197">
        <v>29.09</v>
      </c>
      <c r="F197">
        <v>5406001</v>
      </c>
    </row>
    <row r="198" spans="1:6">
      <c r="A198" s="39">
        <v>42430</v>
      </c>
      <c r="B198">
        <v>29.45</v>
      </c>
      <c r="C198">
        <v>29.64</v>
      </c>
      <c r="D198">
        <v>29.1</v>
      </c>
      <c r="E198">
        <v>29.63</v>
      </c>
      <c r="F198">
        <v>5613264</v>
      </c>
    </row>
    <row r="199" spans="1:6">
      <c r="A199" s="39">
        <v>42431</v>
      </c>
      <c r="B199">
        <v>29.43</v>
      </c>
      <c r="C199">
        <v>30.21</v>
      </c>
      <c r="D199">
        <v>29.34</v>
      </c>
      <c r="E199">
        <v>30.21</v>
      </c>
      <c r="F199">
        <v>7740140</v>
      </c>
    </row>
    <row r="200" spans="1:6">
      <c r="A200" s="39">
        <v>42432</v>
      </c>
      <c r="B200">
        <v>30.46</v>
      </c>
      <c r="C200">
        <v>30.98</v>
      </c>
      <c r="D200">
        <v>30.2</v>
      </c>
      <c r="E200">
        <v>30.87</v>
      </c>
      <c r="F200">
        <v>8901518</v>
      </c>
    </row>
    <row r="201" spans="1:6">
      <c r="A201" s="39">
        <v>42433</v>
      </c>
      <c r="B201">
        <v>30.95</v>
      </c>
      <c r="C201">
        <v>31.45</v>
      </c>
      <c r="D201">
        <v>30.83</v>
      </c>
      <c r="E201">
        <v>31.15</v>
      </c>
      <c r="F201">
        <v>8858068</v>
      </c>
    </row>
    <row r="202" spans="1:6">
      <c r="A202" s="39">
        <v>42436</v>
      </c>
      <c r="B202">
        <v>30.55</v>
      </c>
      <c r="C202">
        <v>31.7</v>
      </c>
      <c r="D202">
        <v>30.54</v>
      </c>
      <c r="E202">
        <v>31.5</v>
      </c>
      <c r="F202">
        <v>9145217</v>
      </c>
    </row>
    <row r="203" spans="1:6">
      <c r="A203" s="39">
        <v>42437</v>
      </c>
      <c r="B203">
        <v>30.84</v>
      </c>
      <c r="C203">
        <v>30.92</v>
      </c>
      <c r="D203">
        <v>30</v>
      </c>
      <c r="E203">
        <v>30.07</v>
      </c>
      <c r="F203">
        <v>9469896</v>
      </c>
    </row>
    <row r="204" spans="1:6">
      <c r="A204" s="39">
        <v>42438</v>
      </c>
      <c r="B204">
        <v>30.18</v>
      </c>
      <c r="C204">
        <v>30.62</v>
      </c>
      <c r="D204">
        <v>29.94</v>
      </c>
      <c r="E204">
        <v>30.3</v>
      </c>
      <c r="F204">
        <v>7031183</v>
      </c>
    </row>
    <row r="205" spans="1:6">
      <c r="A205" s="39">
        <v>42439</v>
      </c>
      <c r="B205">
        <v>29.97</v>
      </c>
      <c r="C205">
        <v>30.03</v>
      </c>
      <c r="D205">
        <v>29.54</v>
      </c>
      <c r="E205">
        <v>29.83</v>
      </c>
      <c r="F205">
        <v>7940995</v>
      </c>
    </row>
    <row r="206" spans="1:6">
      <c r="A206" s="39">
        <v>42440</v>
      </c>
      <c r="B206">
        <v>30.06</v>
      </c>
      <c r="C206">
        <v>30.59</v>
      </c>
      <c r="D206">
        <v>30.05</v>
      </c>
      <c r="E206">
        <v>30.55</v>
      </c>
      <c r="F206">
        <v>10347567</v>
      </c>
    </row>
    <row r="207" spans="1:6">
      <c r="A207" s="39">
        <v>42443</v>
      </c>
      <c r="B207">
        <v>29.74</v>
      </c>
      <c r="C207">
        <v>30.09</v>
      </c>
      <c r="D207">
        <v>29.63</v>
      </c>
      <c r="E207">
        <v>29.95</v>
      </c>
      <c r="F207">
        <v>7378434</v>
      </c>
    </row>
    <row r="208" spans="1:6">
      <c r="A208" s="39">
        <v>42444</v>
      </c>
      <c r="B208">
        <v>29.38</v>
      </c>
      <c r="C208">
        <v>29.65</v>
      </c>
      <c r="D208">
        <v>29.25</v>
      </c>
      <c r="E208">
        <v>29.64</v>
      </c>
      <c r="F208">
        <v>9112599</v>
      </c>
    </row>
    <row r="209" spans="1:6">
      <c r="A209" s="39">
        <v>42445</v>
      </c>
      <c r="B209">
        <v>29.83</v>
      </c>
      <c r="C209">
        <v>30.52</v>
      </c>
      <c r="D209">
        <v>29.77</v>
      </c>
      <c r="E209">
        <v>30.51</v>
      </c>
      <c r="F209">
        <v>9334746</v>
      </c>
    </row>
    <row r="210" spans="1:6">
      <c r="A210" s="39">
        <v>42446</v>
      </c>
      <c r="B210">
        <v>30.92</v>
      </c>
      <c r="C210">
        <v>31.6</v>
      </c>
      <c r="D210">
        <v>30.7</v>
      </c>
      <c r="E210">
        <v>31.54</v>
      </c>
      <c r="F210">
        <v>9386293</v>
      </c>
    </row>
    <row r="211" spans="1:6">
      <c r="A211" s="39">
        <v>42447</v>
      </c>
      <c r="B211">
        <v>31.65</v>
      </c>
      <c r="C211">
        <v>31.74</v>
      </c>
      <c r="D211">
        <v>31.11</v>
      </c>
      <c r="E211">
        <v>31.33</v>
      </c>
      <c r="F211">
        <v>8536850</v>
      </c>
    </row>
    <row r="212" spans="1:6">
      <c r="A212" s="39">
        <v>42450</v>
      </c>
      <c r="B212">
        <v>31.04</v>
      </c>
      <c r="C212">
        <v>31.39</v>
      </c>
      <c r="D212">
        <v>30.73</v>
      </c>
      <c r="E212">
        <v>31.12</v>
      </c>
      <c r="F212">
        <v>7652415</v>
      </c>
    </row>
    <row r="213" spans="1:6">
      <c r="A213" s="39">
        <v>42451</v>
      </c>
      <c r="B213">
        <v>30.76</v>
      </c>
      <c r="C213">
        <v>31.17</v>
      </c>
      <c r="D213">
        <v>30.73</v>
      </c>
      <c r="E213">
        <v>30.94</v>
      </c>
      <c r="F213">
        <v>5158397</v>
      </c>
    </row>
    <row r="214" spans="1:6">
      <c r="A214" s="39">
        <v>42452</v>
      </c>
      <c r="B214">
        <v>30.77</v>
      </c>
      <c r="C214">
        <v>30.84</v>
      </c>
      <c r="D214">
        <v>30.17</v>
      </c>
      <c r="E214">
        <v>30.2</v>
      </c>
      <c r="F214">
        <v>5838686</v>
      </c>
    </row>
    <row r="215" spans="1:6">
      <c r="A215" s="39">
        <v>42453</v>
      </c>
      <c r="B215">
        <v>29.78</v>
      </c>
      <c r="C215">
        <v>30.47</v>
      </c>
      <c r="D215">
        <v>29.69</v>
      </c>
      <c r="E215">
        <v>30.42</v>
      </c>
      <c r="F215">
        <v>5326584</v>
      </c>
    </row>
    <row r="216" spans="1:6">
      <c r="A216" s="39">
        <v>42457</v>
      </c>
      <c r="B216">
        <v>30.57</v>
      </c>
      <c r="C216">
        <v>30.61</v>
      </c>
      <c r="D216">
        <v>30.19</v>
      </c>
      <c r="E216">
        <v>30.42</v>
      </c>
      <c r="F216">
        <v>3601654</v>
      </c>
    </row>
    <row r="217" spans="1:6">
      <c r="A217" s="39">
        <v>42458</v>
      </c>
      <c r="B217">
        <v>29.9</v>
      </c>
      <c r="C217">
        <v>30.36</v>
      </c>
      <c r="D217">
        <v>29.69</v>
      </c>
      <c r="E217">
        <v>30.35</v>
      </c>
      <c r="F217">
        <v>7028302</v>
      </c>
    </row>
    <row r="218" spans="1:6">
      <c r="A218" s="39">
        <v>42459</v>
      </c>
      <c r="B218">
        <v>31.21</v>
      </c>
      <c r="C218">
        <v>31.39</v>
      </c>
      <c r="D218">
        <v>30.72</v>
      </c>
      <c r="E218">
        <v>30.93</v>
      </c>
      <c r="F218">
        <v>7305312</v>
      </c>
    </row>
    <row r="219" spans="1:6">
      <c r="A219" s="39">
        <v>42460</v>
      </c>
      <c r="B219">
        <v>30.53</v>
      </c>
      <c r="C219">
        <v>30.77</v>
      </c>
      <c r="D219">
        <v>30.16</v>
      </c>
      <c r="E219">
        <v>30.18</v>
      </c>
      <c r="F219">
        <v>7225574</v>
      </c>
    </row>
    <row r="220" spans="1:6">
      <c r="A220" s="39">
        <v>42461</v>
      </c>
      <c r="B220">
        <v>29.29</v>
      </c>
      <c r="C220">
        <v>29.64</v>
      </c>
      <c r="D220">
        <v>29.23</v>
      </c>
      <c r="E220">
        <v>29.57</v>
      </c>
      <c r="F220">
        <v>8886212</v>
      </c>
    </row>
    <row r="221" spans="1:6">
      <c r="A221" s="39">
        <v>42464</v>
      </c>
      <c r="B221">
        <v>29.75</v>
      </c>
      <c r="C221">
        <v>29.95</v>
      </c>
      <c r="D221">
        <v>29.56</v>
      </c>
      <c r="E221">
        <v>29.58</v>
      </c>
      <c r="F221">
        <v>4932053</v>
      </c>
    </row>
    <row r="222" spans="1:6">
      <c r="A222" s="39">
        <v>42465</v>
      </c>
      <c r="B222">
        <v>28.99</v>
      </c>
      <c r="C222">
        <v>29.22</v>
      </c>
      <c r="D222">
        <v>28.86</v>
      </c>
      <c r="E222">
        <v>28.93</v>
      </c>
      <c r="F222">
        <v>7779455</v>
      </c>
    </row>
    <row r="223" spans="1:6">
      <c r="A223" s="39">
        <v>42466</v>
      </c>
      <c r="B223">
        <v>28.86</v>
      </c>
      <c r="C223">
        <v>29.32</v>
      </c>
      <c r="D223">
        <v>28.67</v>
      </c>
      <c r="E223">
        <v>29.3</v>
      </c>
      <c r="F223">
        <v>9248496</v>
      </c>
    </row>
    <row r="224" spans="1:6">
      <c r="A224" s="39">
        <v>42467</v>
      </c>
      <c r="B224">
        <v>28.93</v>
      </c>
      <c r="C224">
        <v>29.21</v>
      </c>
      <c r="D224">
        <v>28.9</v>
      </c>
      <c r="E224">
        <v>29.13</v>
      </c>
      <c r="F224">
        <v>6874549</v>
      </c>
    </row>
    <row r="225" spans="1:6">
      <c r="A225" s="39">
        <v>42468</v>
      </c>
      <c r="B225">
        <v>29.82</v>
      </c>
      <c r="C225">
        <v>30.23</v>
      </c>
      <c r="D225">
        <v>29.73</v>
      </c>
      <c r="E225">
        <v>30.15</v>
      </c>
      <c r="F225">
        <v>9855755</v>
      </c>
    </row>
    <row r="226" spans="1:6">
      <c r="A226" s="39">
        <v>42471</v>
      </c>
      <c r="B226">
        <v>30.43</v>
      </c>
      <c r="C226">
        <v>30.61</v>
      </c>
      <c r="D226">
        <v>30.3</v>
      </c>
      <c r="E226">
        <v>30.31</v>
      </c>
      <c r="F226">
        <v>7378323</v>
      </c>
    </row>
    <row r="227" spans="1:6">
      <c r="A227" s="39">
        <v>42472</v>
      </c>
      <c r="B227">
        <v>30.43</v>
      </c>
      <c r="C227">
        <v>31.31</v>
      </c>
      <c r="D227">
        <v>30.33</v>
      </c>
      <c r="E227">
        <v>31.2</v>
      </c>
      <c r="F227">
        <v>10810235</v>
      </c>
    </row>
    <row r="228" spans="1:6">
      <c r="A228" s="39">
        <v>42473</v>
      </c>
      <c r="B228">
        <v>31.7</v>
      </c>
      <c r="C228">
        <v>31.7</v>
      </c>
      <c r="D228">
        <v>31.21</v>
      </c>
      <c r="E228">
        <v>31.38</v>
      </c>
      <c r="F228">
        <v>8929724</v>
      </c>
    </row>
    <row r="229" spans="1:6">
      <c r="A229" s="39">
        <v>42474</v>
      </c>
      <c r="B229">
        <v>30.79</v>
      </c>
      <c r="C229">
        <v>30.98</v>
      </c>
      <c r="D229">
        <v>30.68</v>
      </c>
      <c r="E229">
        <v>30.92</v>
      </c>
      <c r="F229">
        <v>12677142</v>
      </c>
    </row>
    <row r="230" spans="1:6">
      <c r="A230" s="39">
        <v>42475</v>
      </c>
      <c r="B230">
        <v>30.49</v>
      </c>
      <c r="C230">
        <v>30.7</v>
      </c>
      <c r="D230">
        <v>30.23</v>
      </c>
      <c r="E230">
        <v>30.65</v>
      </c>
      <c r="F230">
        <v>14892785</v>
      </c>
    </row>
    <row r="231" spans="1:6">
      <c r="A231" s="39">
        <v>42478</v>
      </c>
      <c r="B231">
        <v>30.03</v>
      </c>
      <c r="C231">
        <v>31.12</v>
      </c>
      <c r="D231">
        <v>29.98</v>
      </c>
      <c r="E231">
        <v>31.06</v>
      </c>
      <c r="F231">
        <v>11772189</v>
      </c>
    </row>
    <row r="232" spans="1:6">
      <c r="A232" s="39">
        <v>42479</v>
      </c>
      <c r="B232">
        <v>31.19</v>
      </c>
      <c r="C232">
        <v>31.83</v>
      </c>
      <c r="D232">
        <v>31.1</v>
      </c>
      <c r="E232">
        <v>31.76</v>
      </c>
      <c r="F232">
        <v>13438574</v>
      </c>
    </row>
    <row r="233" spans="1:6">
      <c r="A233" s="39">
        <v>42480</v>
      </c>
      <c r="B233">
        <v>31.25</v>
      </c>
      <c r="C233">
        <v>32.200000000000003</v>
      </c>
      <c r="D233">
        <v>31.2</v>
      </c>
      <c r="E233">
        <v>31.86</v>
      </c>
      <c r="F233">
        <v>11856181</v>
      </c>
    </row>
    <row r="234" spans="1:6">
      <c r="A234" s="39">
        <v>42481</v>
      </c>
      <c r="B234">
        <v>32.03</v>
      </c>
      <c r="C234">
        <v>32.119999999999997</v>
      </c>
      <c r="D234">
        <v>31.67</v>
      </c>
      <c r="E234">
        <v>31.74</v>
      </c>
      <c r="F234">
        <v>7492456</v>
      </c>
    </row>
    <row r="235" spans="1:6">
      <c r="A235" s="39">
        <v>42482</v>
      </c>
      <c r="B235">
        <v>31.63</v>
      </c>
      <c r="C235">
        <v>32.229999999999997</v>
      </c>
      <c r="D235">
        <v>31.63</v>
      </c>
      <c r="E235">
        <v>32.15</v>
      </c>
      <c r="F235">
        <v>7099637</v>
      </c>
    </row>
    <row r="236" spans="1:6">
      <c r="A236" s="39">
        <v>42485</v>
      </c>
      <c r="B236">
        <v>31.94</v>
      </c>
      <c r="C236">
        <v>32.020000000000003</v>
      </c>
      <c r="D236">
        <v>31.44</v>
      </c>
      <c r="E236">
        <v>31.79</v>
      </c>
      <c r="F236">
        <v>8228047</v>
      </c>
    </row>
    <row r="237" spans="1:6">
      <c r="A237" s="39">
        <v>42486</v>
      </c>
      <c r="B237">
        <v>33.299999999999997</v>
      </c>
      <c r="C237">
        <v>33.520000000000003</v>
      </c>
      <c r="D237">
        <v>33.08</v>
      </c>
      <c r="E237">
        <v>33.49</v>
      </c>
      <c r="F237">
        <v>15908530</v>
      </c>
    </row>
    <row r="238" spans="1:6">
      <c r="A238" s="39">
        <v>42487</v>
      </c>
      <c r="B238">
        <v>33.56</v>
      </c>
      <c r="C238">
        <v>34</v>
      </c>
      <c r="D238">
        <v>33.42</v>
      </c>
      <c r="E238">
        <v>33.840000000000003</v>
      </c>
      <c r="F238">
        <v>11215506</v>
      </c>
    </row>
    <row r="239" spans="1:6">
      <c r="A239" s="39">
        <v>42488</v>
      </c>
      <c r="B239">
        <v>33.340000000000003</v>
      </c>
      <c r="C239">
        <v>34</v>
      </c>
      <c r="D239">
        <v>33.33</v>
      </c>
      <c r="E239">
        <v>33.49</v>
      </c>
      <c r="F239">
        <v>7985141</v>
      </c>
    </row>
    <row r="240" spans="1:6">
      <c r="A240" s="39">
        <v>42489</v>
      </c>
      <c r="B240">
        <v>33.520000000000003</v>
      </c>
      <c r="C240">
        <v>33.76</v>
      </c>
      <c r="D240">
        <v>33.130000000000003</v>
      </c>
      <c r="E240">
        <v>33.58</v>
      </c>
      <c r="F240">
        <v>9075469</v>
      </c>
    </row>
    <row r="241" spans="1:6">
      <c r="A241" s="39">
        <v>42492</v>
      </c>
      <c r="B241">
        <v>33.619999999999997</v>
      </c>
      <c r="C241">
        <v>33.75</v>
      </c>
      <c r="D241">
        <v>33.299999999999997</v>
      </c>
      <c r="E241">
        <v>33.619999999999997</v>
      </c>
      <c r="F241">
        <v>6533588</v>
      </c>
    </row>
    <row r="242" spans="1:6">
      <c r="A242" s="39">
        <v>42493</v>
      </c>
      <c r="B242">
        <v>32.99</v>
      </c>
      <c r="C242">
        <v>33</v>
      </c>
      <c r="D242">
        <v>32.47</v>
      </c>
      <c r="E242">
        <v>32.56</v>
      </c>
      <c r="F242">
        <v>10075417</v>
      </c>
    </row>
    <row r="243" spans="1:6">
      <c r="A243" s="39">
        <v>42494</v>
      </c>
      <c r="B243">
        <v>31.72</v>
      </c>
      <c r="C243">
        <v>31.96</v>
      </c>
      <c r="D243">
        <v>31.26</v>
      </c>
      <c r="E243">
        <v>31.42</v>
      </c>
      <c r="F243">
        <v>9814506</v>
      </c>
    </row>
    <row r="244" spans="1:6">
      <c r="A244" s="39">
        <v>42495</v>
      </c>
      <c r="B244">
        <v>31.74</v>
      </c>
      <c r="C244">
        <v>32.04</v>
      </c>
      <c r="D244">
        <v>31.35</v>
      </c>
      <c r="E244">
        <v>31.58</v>
      </c>
      <c r="F244">
        <v>7738778</v>
      </c>
    </row>
    <row r="245" spans="1:6">
      <c r="A245" s="39">
        <v>42496</v>
      </c>
      <c r="B245">
        <v>31.18</v>
      </c>
      <c r="C245">
        <v>31.84</v>
      </c>
      <c r="D245">
        <v>31.18</v>
      </c>
      <c r="E245">
        <v>31.58</v>
      </c>
      <c r="F245">
        <v>6256048</v>
      </c>
    </row>
    <row r="246" spans="1:6">
      <c r="A246" s="39">
        <v>42499</v>
      </c>
      <c r="B246">
        <v>31.42</v>
      </c>
      <c r="C246">
        <v>31.42</v>
      </c>
      <c r="D246">
        <v>30.76</v>
      </c>
      <c r="E246">
        <v>31.08</v>
      </c>
      <c r="F246">
        <v>7236947</v>
      </c>
    </row>
    <row r="247" spans="1:6">
      <c r="A247" s="39">
        <v>42500</v>
      </c>
      <c r="B247">
        <v>31.18</v>
      </c>
      <c r="C247">
        <v>31.7</v>
      </c>
      <c r="D247">
        <v>31.17</v>
      </c>
      <c r="E247">
        <v>31.68</v>
      </c>
      <c r="F247">
        <v>7213874</v>
      </c>
    </row>
    <row r="248" spans="1:6">
      <c r="A248" s="39">
        <v>42501</v>
      </c>
      <c r="B248">
        <v>31.5</v>
      </c>
      <c r="C248">
        <v>31.98</v>
      </c>
      <c r="D248">
        <v>31.25</v>
      </c>
      <c r="E248">
        <v>31.67</v>
      </c>
      <c r="F248">
        <v>8148603</v>
      </c>
    </row>
    <row r="249" spans="1:6">
      <c r="A249" s="39">
        <v>42502</v>
      </c>
      <c r="B249">
        <v>32.46</v>
      </c>
      <c r="C249">
        <v>32.49</v>
      </c>
      <c r="D249">
        <v>31.67</v>
      </c>
      <c r="E249">
        <v>31.86</v>
      </c>
      <c r="F249">
        <v>9018324</v>
      </c>
    </row>
    <row r="250" spans="1:6">
      <c r="A250" s="39">
        <v>42503</v>
      </c>
      <c r="B250">
        <v>31.47</v>
      </c>
      <c r="C250">
        <v>31.76</v>
      </c>
      <c r="D250">
        <v>31.35</v>
      </c>
      <c r="E250">
        <v>31.47</v>
      </c>
      <c r="F250">
        <v>6686668</v>
      </c>
    </row>
    <row r="251" spans="1:6">
      <c r="A251" s="39">
        <v>42506</v>
      </c>
      <c r="B251">
        <v>31.97</v>
      </c>
      <c r="C251">
        <v>32.22</v>
      </c>
      <c r="D251">
        <v>31.97</v>
      </c>
      <c r="E251">
        <v>32.06</v>
      </c>
      <c r="F251">
        <v>5822873</v>
      </c>
    </row>
    <row r="252" spans="1:6">
      <c r="A252" s="39">
        <v>42507</v>
      </c>
      <c r="B252">
        <v>32.17</v>
      </c>
      <c r="C252">
        <v>32.43</v>
      </c>
      <c r="D252">
        <v>31.98</v>
      </c>
      <c r="E252">
        <v>32.22</v>
      </c>
      <c r="F252">
        <v>5761592</v>
      </c>
    </row>
    <row r="253" spans="1:6">
      <c r="A253" s="39">
        <v>42508</v>
      </c>
      <c r="B253">
        <v>32.4</v>
      </c>
      <c r="C253">
        <v>32.49</v>
      </c>
      <c r="D253">
        <v>31.92</v>
      </c>
      <c r="E253">
        <v>32.130000000000003</v>
      </c>
      <c r="F253">
        <v>7719905</v>
      </c>
    </row>
    <row r="254" spans="1:6">
      <c r="A254" s="39">
        <v>42509</v>
      </c>
      <c r="B254">
        <v>31.9</v>
      </c>
      <c r="C254">
        <v>32.04</v>
      </c>
      <c r="D254">
        <v>31.5</v>
      </c>
      <c r="E254">
        <v>31.98</v>
      </c>
      <c r="F254">
        <v>7534237</v>
      </c>
    </row>
    <row r="255" spans="1:6">
      <c r="A255" s="39">
        <v>42510</v>
      </c>
      <c r="B255">
        <v>31.98</v>
      </c>
      <c r="C255">
        <v>32.24</v>
      </c>
      <c r="D255">
        <v>31.73</v>
      </c>
      <c r="E255">
        <v>31.93</v>
      </c>
      <c r="F255">
        <v>6690129</v>
      </c>
    </row>
    <row r="256" spans="1:6">
      <c r="A256" s="39">
        <v>42513</v>
      </c>
      <c r="B256">
        <v>31.54</v>
      </c>
      <c r="C256">
        <v>31.79</v>
      </c>
      <c r="D256">
        <v>31.39</v>
      </c>
      <c r="E256">
        <v>31.46</v>
      </c>
      <c r="F256">
        <v>6472785</v>
      </c>
    </row>
    <row r="257" spans="1:6">
      <c r="A257" s="39">
        <v>42514</v>
      </c>
      <c r="B257">
        <v>31.85</v>
      </c>
      <c r="C257">
        <v>31.98</v>
      </c>
      <c r="D257">
        <v>31.64</v>
      </c>
      <c r="E257">
        <v>31.84</v>
      </c>
      <c r="F257">
        <v>7706969</v>
      </c>
    </row>
    <row r="258" spans="1:6">
      <c r="A258" s="39">
        <v>42515</v>
      </c>
      <c r="B258">
        <v>32.479999999999997</v>
      </c>
      <c r="C258">
        <v>32.97</v>
      </c>
      <c r="D258">
        <v>32.369999999999997</v>
      </c>
      <c r="E258">
        <v>32.86</v>
      </c>
      <c r="F258">
        <v>13561583</v>
      </c>
    </row>
    <row r="259" spans="1:6">
      <c r="A259" s="39">
        <v>42516</v>
      </c>
      <c r="B259">
        <v>32.770000000000003</v>
      </c>
      <c r="C259">
        <v>32.89</v>
      </c>
      <c r="D259">
        <v>32.42</v>
      </c>
      <c r="E259">
        <v>32.6</v>
      </c>
      <c r="F259">
        <v>8703672</v>
      </c>
    </row>
    <row r="260" spans="1:6">
      <c r="A260" s="39">
        <v>42517</v>
      </c>
      <c r="B260">
        <v>32.24</v>
      </c>
      <c r="C260">
        <v>32.369999999999997</v>
      </c>
      <c r="D260">
        <v>32.07</v>
      </c>
      <c r="E260">
        <v>32.36</v>
      </c>
      <c r="F260">
        <v>6373289</v>
      </c>
    </row>
    <row r="261" spans="1:6">
      <c r="A261" s="39">
        <v>42521</v>
      </c>
      <c r="B261">
        <v>31.98</v>
      </c>
      <c r="C261">
        <v>32.229999999999997</v>
      </c>
      <c r="D261">
        <v>31.3</v>
      </c>
      <c r="E261">
        <v>31.4</v>
      </c>
      <c r="F261">
        <v>14789996</v>
      </c>
    </row>
    <row r="262" spans="1:6">
      <c r="A262" s="39">
        <v>42522</v>
      </c>
      <c r="B262">
        <v>30.8</v>
      </c>
      <c r="C262">
        <v>31.38</v>
      </c>
      <c r="D262">
        <v>30.76</v>
      </c>
      <c r="E262">
        <v>31.34</v>
      </c>
      <c r="F262">
        <v>12611641</v>
      </c>
    </row>
    <row r="263" spans="1:6">
      <c r="A263" s="39">
        <v>42523</v>
      </c>
      <c r="B263">
        <v>31.09</v>
      </c>
      <c r="C263">
        <v>31.53</v>
      </c>
      <c r="D263">
        <v>30.99</v>
      </c>
      <c r="E263">
        <v>31.52</v>
      </c>
      <c r="F263">
        <v>12669400</v>
      </c>
    </row>
    <row r="264" spans="1:6">
      <c r="A264" s="39">
        <v>42524</v>
      </c>
      <c r="B264">
        <v>31.82</v>
      </c>
      <c r="C264">
        <v>32.020000000000003</v>
      </c>
      <c r="D264">
        <v>31.52</v>
      </c>
      <c r="E264">
        <v>31.88</v>
      </c>
      <c r="F264">
        <v>12365767</v>
      </c>
    </row>
    <row r="265" spans="1:6">
      <c r="A265" s="39">
        <v>42527</v>
      </c>
      <c r="B265">
        <v>32.28</v>
      </c>
      <c r="C265">
        <v>32.619999999999997</v>
      </c>
      <c r="D265">
        <v>32.21</v>
      </c>
      <c r="E265">
        <v>32.53</v>
      </c>
      <c r="F265">
        <v>9159933</v>
      </c>
    </row>
    <row r="266" spans="1:6">
      <c r="A266" s="39">
        <v>42528</v>
      </c>
      <c r="B266">
        <v>32.81</v>
      </c>
      <c r="C266">
        <v>33.25</v>
      </c>
      <c r="D266">
        <v>32.79</v>
      </c>
      <c r="E266">
        <v>33.07</v>
      </c>
      <c r="F266">
        <v>10862295</v>
      </c>
    </row>
    <row r="267" spans="1:6">
      <c r="A267" s="39">
        <v>42529</v>
      </c>
      <c r="B267">
        <v>33.53</v>
      </c>
      <c r="C267">
        <v>33.6</v>
      </c>
      <c r="D267">
        <v>33.25</v>
      </c>
      <c r="E267">
        <v>33.270000000000003</v>
      </c>
      <c r="F267">
        <v>9341518</v>
      </c>
    </row>
    <row r="268" spans="1:6">
      <c r="A268" s="39">
        <v>42530</v>
      </c>
      <c r="B268">
        <v>32.700000000000003</v>
      </c>
      <c r="C268">
        <v>33.07</v>
      </c>
      <c r="D268">
        <v>32.68</v>
      </c>
      <c r="E268">
        <v>33.04</v>
      </c>
      <c r="F268">
        <v>5892897</v>
      </c>
    </row>
    <row r="269" spans="1:6">
      <c r="A269" s="39">
        <v>42531</v>
      </c>
      <c r="B269">
        <v>32.369999999999997</v>
      </c>
      <c r="C269">
        <v>32.61</v>
      </c>
      <c r="D269">
        <v>32.119999999999997</v>
      </c>
      <c r="E269">
        <v>32.22</v>
      </c>
      <c r="F269">
        <v>9327202</v>
      </c>
    </row>
    <row r="270" spans="1:6">
      <c r="A270" s="39">
        <v>42534</v>
      </c>
      <c r="B270">
        <v>31.79</v>
      </c>
      <c r="C270">
        <v>32.32</v>
      </c>
      <c r="D270">
        <v>31.72</v>
      </c>
      <c r="E270">
        <v>31.86</v>
      </c>
      <c r="F270">
        <v>8540462</v>
      </c>
    </row>
    <row r="271" spans="1:6">
      <c r="A271" s="39">
        <v>42535</v>
      </c>
      <c r="B271">
        <v>31.46</v>
      </c>
      <c r="C271">
        <v>31.63</v>
      </c>
      <c r="D271">
        <v>30.66</v>
      </c>
      <c r="E271">
        <v>30.93</v>
      </c>
      <c r="F271">
        <v>15171832</v>
      </c>
    </row>
    <row r="272" spans="1:6">
      <c r="A272" s="39">
        <v>42536</v>
      </c>
      <c r="B272">
        <v>30.92</v>
      </c>
      <c r="C272">
        <v>31.39</v>
      </c>
      <c r="D272">
        <v>30.83</v>
      </c>
      <c r="E272">
        <v>31.15</v>
      </c>
      <c r="F272">
        <v>12399936</v>
      </c>
    </row>
    <row r="273" spans="1:6">
      <c r="A273" s="39">
        <v>42537</v>
      </c>
      <c r="B273">
        <v>31.19</v>
      </c>
      <c r="C273">
        <v>32.15</v>
      </c>
      <c r="D273">
        <v>30.81</v>
      </c>
      <c r="E273">
        <v>32.03</v>
      </c>
      <c r="F273">
        <v>13456445</v>
      </c>
    </row>
    <row r="274" spans="1:6">
      <c r="A274" s="39">
        <v>42538</v>
      </c>
      <c r="B274">
        <v>32.31</v>
      </c>
      <c r="C274">
        <v>32.79</v>
      </c>
      <c r="D274">
        <v>32.24</v>
      </c>
      <c r="E274">
        <v>32.75</v>
      </c>
      <c r="F274">
        <v>10576067</v>
      </c>
    </row>
    <row r="275" spans="1:6">
      <c r="A275" s="39">
        <v>42541</v>
      </c>
      <c r="B275">
        <v>33.82</v>
      </c>
      <c r="C275">
        <v>33.840000000000003</v>
      </c>
      <c r="D275">
        <v>33.39</v>
      </c>
      <c r="E275">
        <v>33.42</v>
      </c>
      <c r="F275">
        <v>11451704</v>
      </c>
    </row>
    <row r="276" spans="1:6">
      <c r="A276" s="39">
        <v>42542</v>
      </c>
      <c r="B276">
        <v>33.74</v>
      </c>
      <c r="C276">
        <v>34.29</v>
      </c>
      <c r="D276">
        <v>33.54</v>
      </c>
      <c r="E276">
        <v>34.15</v>
      </c>
      <c r="F276">
        <v>11063515</v>
      </c>
    </row>
    <row r="277" spans="1:6">
      <c r="A277" s="39">
        <v>42543</v>
      </c>
      <c r="B277">
        <v>34.520000000000003</v>
      </c>
      <c r="C277">
        <v>34.659999999999997</v>
      </c>
      <c r="D277">
        <v>33.89</v>
      </c>
      <c r="E277">
        <v>33.89</v>
      </c>
      <c r="F277">
        <v>13470984</v>
      </c>
    </row>
    <row r="278" spans="1:6">
      <c r="A278" s="39">
        <v>42544</v>
      </c>
      <c r="B278">
        <v>34.74</v>
      </c>
      <c r="C278">
        <v>34.75</v>
      </c>
      <c r="D278">
        <v>34.24</v>
      </c>
      <c r="E278">
        <v>34.630000000000003</v>
      </c>
      <c r="F278">
        <v>10651173</v>
      </c>
    </row>
    <row r="279" spans="1:6">
      <c r="A279" s="39">
        <v>42545</v>
      </c>
      <c r="B279">
        <v>32.03</v>
      </c>
      <c r="C279">
        <v>33.54</v>
      </c>
      <c r="D279">
        <v>32.020000000000003</v>
      </c>
      <c r="E279">
        <v>32.979999999999997</v>
      </c>
      <c r="F279">
        <v>34583772</v>
      </c>
    </row>
    <row r="280" spans="1:6">
      <c r="A280" s="39">
        <v>42548</v>
      </c>
      <c r="B280">
        <v>32.18</v>
      </c>
      <c r="C280">
        <v>32.35</v>
      </c>
      <c r="D280">
        <v>31.56</v>
      </c>
      <c r="E280">
        <v>31.99</v>
      </c>
      <c r="F280">
        <v>19465077</v>
      </c>
    </row>
    <row r="281" spans="1:6">
      <c r="A281" s="39">
        <v>42549</v>
      </c>
      <c r="B281">
        <v>33.01</v>
      </c>
      <c r="C281">
        <v>33.26</v>
      </c>
      <c r="D281">
        <v>32.75</v>
      </c>
      <c r="E281">
        <v>33.24</v>
      </c>
      <c r="F281">
        <v>9835894</v>
      </c>
    </row>
    <row r="282" spans="1:6">
      <c r="A282" s="39">
        <v>42550</v>
      </c>
      <c r="B282">
        <v>34.159999999999997</v>
      </c>
      <c r="C282">
        <v>35.08</v>
      </c>
      <c r="D282">
        <v>33.85</v>
      </c>
      <c r="E282">
        <v>34.79</v>
      </c>
      <c r="F282">
        <v>17381260</v>
      </c>
    </row>
    <row r="283" spans="1:6">
      <c r="A283" s="39">
        <v>42551</v>
      </c>
      <c r="B283">
        <v>34.85</v>
      </c>
      <c r="C283">
        <v>35.58</v>
      </c>
      <c r="D283">
        <v>34.799999999999997</v>
      </c>
      <c r="E283">
        <v>35.51</v>
      </c>
      <c r="F283">
        <v>14938392</v>
      </c>
    </row>
    <row r="284" spans="1:6">
      <c r="A284" s="39">
        <v>42552</v>
      </c>
      <c r="B284">
        <v>35.799999999999997</v>
      </c>
      <c r="C284">
        <v>36.090000000000003</v>
      </c>
      <c r="D284">
        <v>35.75</v>
      </c>
      <c r="E284">
        <v>36</v>
      </c>
      <c r="F284">
        <v>9620895</v>
      </c>
    </row>
    <row r="285" spans="1:6">
      <c r="A285" s="39">
        <v>42556</v>
      </c>
      <c r="B285">
        <v>35.89</v>
      </c>
      <c r="C285">
        <v>36.04</v>
      </c>
      <c r="D285">
        <v>35.700000000000003</v>
      </c>
      <c r="E285">
        <v>35.9</v>
      </c>
      <c r="F285">
        <v>10928347</v>
      </c>
    </row>
    <row r="286" spans="1:6">
      <c r="A286" s="39">
        <v>42557</v>
      </c>
      <c r="B286">
        <v>35.24</v>
      </c>
      <c r="C286">
        <v>35.58</v>
      </c>
      <c r="D286">
        <v>34.909999999999997</v>
      </c>
      <c r="E286">
        <v>35.57</v>
      </c>
      <c r="F286">
        <v>8823603</v>
      </c>
    </row>
    <row r="287" spans="1:6">
      <c r="A287" s="39">
        <v>42558</v>
      </c>
      <c r="B287">
        <v>36.020000000000003</v>
      </c>
      <c r="C287">
        <v>36.04</v>
      </c>
      <c r="D287">
        <v>35.159999999999997</v>
      </c>
      <c r="E287">
        <v>35.4</v>
      </c>
      <c r="F287">
        <v>8900911</v>
      </c>
    </row>
    <row r="288" spans="1:6">
      <c r="A288" s="39">
        <v>42559</v>
      </c>
      <c r="B288">
        <v>35.85</v>
      </c>
      <c r="C288">
        <v>36.04</v>
      </c>
      <c r="D288">
        <v>35.65</v>
      </c>
      <c r="E288">
        <v>35.92</v>
      </c>
      <c r="F288">
        <v>7241239</v>
      </c>
    </row>
    <row r="289" spans="1:6">
      <c r="A289" s="39">
        <v>42562</v>
      </c>
      <c r="B289">
        <v>36.06</v>
      </c>
      <c r="C289">
        <v>36.229999999999997</v>
      </c>
      <c r="D289">
        <v>35.979999999999997</v>
      </c>
      <c r="E289">
        <v>36.11</v>
      </c>
      <c r="F289">
        <v>6900338</v>
      </c>
    </row>
    <row r="290" spans="1:6">
      <c r="A290" s="39">
        <v>42563</v>
      </c>
      <c r="B290">
        <v>36.72</v>
      </c>
      <c r="C290">
        <v>37.200000000000003</v>
      </c>
      <c r="D290">
        <v>36.58</v>
      </c>
      <c r="E290">
        <v>36.909999999999997</v>
      </c>
      <c r="F290">
        <v>12162570</v>
      </c>
    </row>
    <row r="291" spans="1:6">
      <c r="A291" s="39">
        <v>42564</v>
      </c>
      <c r="B291">
        <v>37.1</v>
      </c>
      <c r="C291">
        <v>37.28</v>
      </c>
      <c r="D291">
        <v>36.270000000000003</v>
      </c>
      <c r="E291">
        <v>36.56</v>
      </c>
      <c r="F291">
        <v>8622540</v>
      </c>
    </row>
    <row r="292" spans="1:6">
      <c r="A292" s="39">
        <v>42565</v>
      </c>
      <c r="B292">
        <v>37.090000000000003</v>
      </c>
      <c r="C292">
        <v>37.1</v>
      </c>
      <c r="D292">
        <v>36.549999999999997</v>
      </c>
      <c r="E292">
        <v>36.56</v>
      </c>
      <c r="F292">
        <v>5499881</v>
      </c>
    </row>
    <row r="293" spans="1:6">
      <c r="A293" s="39">
        <v>42566</v>
      </c>
      <c r="B293">
        <v>36.6</v>
      </c>
      <c r="C293">
        <v>36.65</v>
      </c>
      <c r="D293">
        <v>36.42</v>
      </c>
      <c r="E293">
        <v>36.56</v>
      </c>
      <c r="F293">
        <v>6032430</v>
      </c>
    </row>
    <row r="294" spans="1:6">
      <c r="A294" s="39">
        <v>42569</v>
      </c>
      <c r="B294">
        <v>36.24</v>
      </c>
      <c r="C294">
        <v>36.33</v>
      </c>
      <c r="D294">
        <v>36.03</v>
      </c>
      <c r="E294">
        <v>36.17</v>
      </c>
      <c r="F294">
        <v>5608496</v>
      </c>
    </row>
    <row r="295" spans="1:6">
      <c r="A295" s="39">
        <v>42570</v>
      </c>
      <c r="B295">
        <v>36</v>
      </c>
      <c r="C295">
        <v>36.14</v>
      </c>
      <c r="D295">
        <v>35.83</v>
      </c>
      <c r="E295">
        <v>36.03</v>
      </c>
      <c r="F295">
        <v>5346676</v>
      </c>
    </row>
    <row r="296" spans="1:6">
      <c r="A296" s="39">
        <v>42571</v>
      </c>
      <c r="B296">
        <v>35.909999999999997</v>
      </c>
      <c r="C296">
        <v>36.07</v>
      </c>
      <c r="D296">
        <v>35.700000000000003</v>
      </c>
      <c r="E296">
        <v>35.96</v>
      </c>
      <c r="F296">
        <v>5153621</v>
      </c>
    </row>
    <row r="297" spans="1:6">
      <c r="A297" s="39">
        <v>42572</v>
      </c>
      <c r="B297">
        <v>35.83</v>
      </c>
      <c r="C297">
        <v>36.25</v>
      </c>
      <c r="D297">
        <v>35.770000000000003</v>
      </c>
      <c r="E297">
        <v>35.840000000000003</v>
      </c>
      <c r="F297">
        <v>4023135</v>
      </c>
    </row>
    <row r="298" spans="1:6">
      <c r="A298" s="39">
        <v>42573</v>
      </c>
      <c r="B298">
        <v>35.869999999999997</v>
      </c>
      <c r="C298">
        <v>35.92</v>
      </c>
      <c r="D298">
        <v>35.659999999999997</v>
      </c>
      <c r="E298">
        <v>35.869999999999997</v>
      </c>
      <c r="F298">
        <v>5635630</v>
      </c>
    </row>
    <row r="299" spans="1:6">
      <c r="A299" s="39">
        <v>42576</v>
      </c>
      <c r="B299">
        <v>35.46</v>
      </c>
      <c r="C299">
        <v>35.49</v>
      </c>
      <c r="D299">
        <v>34.729999999999997</v>
      </c>
      <c r="E299">
        <v>34.9</v>
      </c>
      <c r="F299">
        <v>10941289</v>
      </c>
    </row>
    <row r="300" spans="1:6">
      <c r="A300" s="39">
        <v>42577</v>
      </c>
      <c r="B300">
        <v>34.08</v>
      </c>
      <c r="C300">
        <v>34.67</v>
      </c>
      <c r="D300">
        <v>34.07</v>
      </c>
      <c r="E300">
        <v>34.590000000000003</v>
      </c>
      <c r="F300">
        <v>8645952</v>
      </c>
    </row>
    <row r="301" spans="1:6">
      <c r="A301" s="39">
        <v>42578</v>
      </c>
      <c r="B301">
        <v>34.97</v>
      </c>
      <c r="C301">
        <v>35.17</v>
      </c>
      <c r="D301">
        <v>34.42</v>
      </c>
      <c r="E301">
        <v>34.57</v>
      </c>
      <c r="F301">
        <v>8424142</v>
      </c>
    </row>
    <row r="302" spans="1:6">
      <c r="A302" s="39">
        <v>42579</v>
      </c>
      <c r="B302">
        <v>34.42</v>
      </c>
      <c r="C302">
        <v>34.47</v>
      </c>
      <c r="D302">
        <v>33.909999999999997</v>
      </c>
      <c r="E302">
        <v>33.99</v>
      </c>
      <c r="F302">
        <v>9295001</v>
      </c>
    </row>
    <row r="303" spans="1:6">
      <c r="A303" s="39">
        <v>42580</v>
      </c>
      <c r="B303">
        <v>34</v>
      </c>
      <c r="C303">
        <v>34.43</v>
      </c>
      <c r="D303">
        <v>33.869999999999997</v>
      </c>
      <c r="E303">
        <v>34.4</v>
      </c>
      <c r="F303">
        <v>6349495</v>
      </c>
    </row>
    <row r="304" spans="1:6">
      <c r="A304" s="39">
        <v>42583</v>
      </c>
      <c r="B304">
        <v>33.909999999999997</v>
      </c>
      <c r="C304">
        <v>33.94</v>
      </c>
      <c r="D304">
        <v>33.1</v>
      </c>
      <c r="E304">
        <v>33.18</v>
      </c>
      <c r="F304">
        <v>11808579</v>
      </c>
    </row>
    <row r="305" spans="1:6">
      <c r="A305" s="39">
        <v>42584</v>
      </c>
      <c r="B305">
        <v>33.65</v>
      </c>
      <c r="C305">
        <v>33.74</v>
      </c>
      <c r="D305">
        <v>33.14</v>
      </c>
      <c r="E305">
        <v>33.450000000000003</v>
      </c>
      <c r="F305">
        <v>9236016</v>
      </c>
    </row>
    <row r="306" spans="1:6">
      <c r="A306" s="39">
        <v>42585</v>
      </c>
      <c r="B306">
        <v>32.65</v>
      </c>
      <c r="C306">
        <v>33.03</v>
      </c>
      <c r="D306">
        <v>32.5</v>
      </c>
      <c r="E306">
        <v>33.01</v>
      </c>
      <c r="F306">
        <v>9514159</v>
      </c>
    </row>
    <row r="307" spans="1:6">
      <c r="A307" s="39">
        <v>42586</v>
      </c>
      <c r="B307">
        <v>33.06</v>
      </c>
      <c r="C307">
        <v>33.299999999999997</v>
      </c>
      <c r="D307">
        <v>32.93</v>
      </c>
      <c r="E307">
        <v>33</v>
      </c>
      <c r="F307">
        <v>6920523</v>
      </c>
    </row>
    <row r="308" spans="1:6">
      <c r="A308" s="39">
        <v>42587</v>
      </c>
      <c r="B308">
        <v>33.270000000000003</v>
      </c>
      <c r="C308">
        <v>33.31</v>
      </c>
      <c r="D308">
        <v>32.96</v>
      </c>
      <c r="E308">
        <v>33.15</v>
      </c>
      <c r="F308">
        <v>6104672</v>
      </c>
    </row>
    <row r="309" spans="1:6">
      <c r="A309" s="39">
        <v>42590</v>
      </c>
      <c r="B309">
        <v>33.08</v>
      </c>
      <c r="C309">
        <v>33.380000000000003</v>
      </c>
      <c r="D309">
        <v>33.08</v>
      </c>
      <c r="E309">
        <v>33.17</v>
      </c>
      <c r="F309">
        <v>6020377</v>
      </c>
    </row>
    <row r="310" spans="1:6">
      <c r="A310" s="39">
        <v>42591</v>
      </c>
      <c r="B310">
        <v>33.51</v>
      </c>
      <c r="C310">
        <v>33.64</v>
      </c>
      <c r="D310">
        <v>33.25</v>
      </c>
      <c r="E310">
        <v>33.380000000000003</v>
      </c>
      <c r="F310">
        <v>5363815</v>
      </c>
    </row>
    <row r="311" spans="1:6">
      <c r="A311" s="39">
        <v>42592</v>
      </c>
      <c r="B311">
        <v>33.44</v>
      </c>
      <c r="C311">
        <v>33.49</v>
      </c>
      <c r="D311">
        <v>32.97</v>
      </c>
      <c r="E311">
        <v>33.01</v>
      </c>
      <c r="F311">
        <v>5060472</v>
      </c>
    </row>
    <row r="312" spans="1:6">
      <c r="A312" s="39">
        <v>42593</v>
      </c>
      <c r="B312">
        <v>33.21</v>
      </c>
      <c r="C312">
        <v>33.85</v>
      </c>
      <c r="D312">
        <v>33.119999999999997</v>
      </c>
      <c r="E312">
        <v>33.64</v>
      </c>
      <c r="F312">
        <v>6439699</v>
      </c>
    </row>
    <row r="313" spans="1:6">
      <c r="A313" s="39">
        <v>42594</v>
      </c>
      <c r="B313">
        <v>33.79</v>
      </c>
      <c r="C313">
        <v>33.869999999999997</v>
      </c>
      <c r="D313">
        <v>33.6</v>
      </c>
      <c r="E313">
        <v>33.74</v>
      </c>
      <c r="F313">
        <v>4325017</v>
      </c>
    </row>
    <row r="314" spans="1:6">
      <c r="A314" s="39">
        <v>42597</v>
      </c>
      <c r="B314">
        <v>33.92</v>
      </c>
      <c r="C314">
        <v>34.06</v>
      </c>
      <c r="D314">
        <v>33.79</v>
      </c>
      <c r="E314">
        <v>33.869999999999997</v>
      </c>
      <c r="F314">
        <v>4214902</v>
      </c>
    </row>
    <row r="315" spans="1:6">
      <c r="A315" s="39">
        <v>42598</v>
      </c>
      <c r="B315">
        <v>34.08</v>
      </c>
      <c r="C315">
        <v>34.32</v>
      </c>
      <c r="D315">
        <v>33.97</v>
      </c>
      <c r="E315">
        <v>34.21</v>
      </c>
      <c r="F315">
        <v>6643698</v>
      </c>
    </row>
    <row r="316" spans="1:6">
      <c r="A316" s="39">
        <v>42599</v>
      </c>
      <c r="B316">
        <v>34.04</v>
      </c>
      <c r="C316">
        <v>34.24</v>
      </c>
      <c r="D316">
        <v>33.799999999999997</v>
      </c>
      <c r="E316">
        <v>34.200000000000003</v>
      </c>
      <c r="F316">
        <v>5000538</v>
      </c>
    </row>
    <row r="317" spans="1:6">
      <c r="A317" s="39">
        <v>42600</v>
      </c>
      <c r="B317">
        <v>34.29</v>
      </c>
      <c r="C317">
        <v>34.67</v>
      </c>
      <c r="D317">
        <v>34.22</v>
      </c>
      <c r="E317">
        <v>34.65</v>
      </c>
      <c r="F317">
        <v>4635078</v>
      </c>
    </row>
    <row r="318" spans="1:6">
      <c r="A318" s="39">
        <v>42601</v>
      </c>
      <c r="B318">
        <v>34.35</v>
      </c>
      <c r="C318">
        <v>34.39</v>
      </c>
      <c r="D318">
        <v>34.159999999999997</v>
      </c>
      <c r="E318">
        <v>34.33</v>
      </c>
      <c r="F318">
        <v>4037959</v>
      </c>
    </row>
    <row r="319" spans="1:6">
      <c r="A319" s="39">
        <v>42604</v>
      </c>
      <c r="B319">
        <v>33.83</v>
      </c>
      <c r="C319">
        <v>34.03</v>
      </c>
      <c r="D319">
        <v>33.700000000000003</v>
      </c>
      <c r="E319">
        <v>33.96</v>
      </c>
      <c r="F319">
        <v>4264236</v>
      </c>
    </row>
    <row r="320" spans="1:6">
      <c r="A320" s="39">
        <v>42605</v>
      </c>
      <c r="B320">
        <v>34.08</v>
      </c>
      <c r="C320">
        <v>34.31</v>
      </c>
      <c r="D320">
        <v>33.950000000000003</v>
      </c>
      <c r="E320">
        <v>34.130000000000003</v>
      </c>
      <c r="F320">
        <v>6767181</v>
      </c>
    </row>
    <row r="321" spans="1:6">
      <c r="A321" s="39">
        <v>42606</v>
      </c>
      <c r="B321">
        <v>34.270000000000003</v>
      </c>
      <c r="C321">
        <v>34.4</v>
      </c>
      <c r="D321">
        <v>34.119999999999997</v>
      </c>
      <c r="E321">
        <v>34.270000000000003</v>
      </c>
      <c r="F321">
        <v>6293927</v>
      </c>
    </row>
    <row r="322" spans="1:6">
      <c r="A322" s="39">
        <v>42607</v>
      </c>
      <c r="B322">
        <v>34.33</v>
      </c>
      <c r="C322">
        <v>34.53</v>
      </c>
      <c r="D322">
        <v>34.17</v>
      </c>
      <c r="E322">
        <v>34.22</v>
      </c>
      <c r="F322">
        <v>4672038</v>
      </c>
    </row>
    <row r="323" spans="1:6">
      <c r="A323" s="39">
        <v>42608</v>
      </c>
      <c r="B323">
        <v>34.380000000000003</v>
      </c>
      <c r="C323">
        <v>34.799999999999997</v>
      </c>
      <c r="D323">
        <v>34.01</v>
      </c>
      <c r="E323">
        <v>34.159999999999997</v>
      </c>
      <c r="F323">
        <v>6267561</v>
      </c>
    </row>
    <row r="324" spans="1:6">
      <c r="A324" s="39">
        <v>42611</v>
      </c>
      <c r="B324">
        <v>33.9</v>
      </c>
      <c r="C324">
        <v>34.32</v>
      </c>
      <c r="D324">
        <v>33.9</v>
      </c>
      <c r="E324">
        <v>34.24</v>
      </c>
      <c r="F324">
        <v>2849533</v>
      </c>
    </row>
    <row r="325" spans="1:6">
      <c r="A325" s="39">
        <v>42612</v>
      </c>
      <c r="B325">
        <v>34.229999999999997</v>
      </c>
      <c r="C325">
        <v>34.32</v>
      </c>
      <c r="D325">
        <v>34.049999999999997</v>
      </c>
      <c r="E325">
        <v>34.1</v>
      </c>
      <c r="F325">
        <v>4674975</v>
      </c>
    </row>
    <row r="326" spans="1:6">
      <c r="A326" s="39">
        <v>42613</v>
      </c>
      <c r="B326">
        <v>33.99</v>
      </c>
      <c r="C326">
        <v>34.090000000000003</v>
      </c>
      <c r="D326">
        <v>33.75</v>
      </c>
      <c r="E326">
        <v>33.86</v>
      </c>
      <c r="F326">
        <v>5018132</v>
      </c>
    </row>
    <row r="327" spans="1:6">
      <c r="A327" s="39">
        <v>42614</v>
      </c>
      <c r="B327">
        <v>33.81</v>
      </c>
      <c r="C327">
        <v>33.83</v>
      </c>
      <c r="D327">
        <v>33.43</v>
      </c>
      <c r="E327">
        <v>33.659999999999997</v>
      </c>
      <c r="F327">
        <v>3742424</v>
      </c>
    </row>
    <row r="328" spans="1:6">
      <c r="A328" s="39">
        <v>42615</v>
      </c>
      <c r="B328">
        <v>34.25</v>
      </c>
      <c r="C328">
        <v>34.75</v>
      </c>
      <c r="D328">
        <v>34.159999999999997</v>
      </c>
      <c r="E328">
        <v>34.5</v>
      </c>
      <c r="F328">
        <v>6917694</v>
      </c>
    </row>
    <row r="329" spans="1:6">
      <c r="A329" s="39">
        <v>42619</v>
      </c>
      <c r="B329">
        <v>34.549999999999997</v>
      </c>
      <c r="C329">
        <v>34.76</v>
      </c>
      <c r="D329">
        <v>34.380000000000003</v>
      </c>
      <c r="E329">
        <v>34.69</v>
      </c>
      <c r="F329">
        <v>4103561</v>
      </c>
    </row>
    <row r="330" spans="1:6">
      <c r="A330" s="39">
        <v>42620</v>
      </c>
      <c r="B330">
        <v>34.78</v>
      </c>
      <c r="C330">
        <v>34.909999999999997</v>
      </c>
      <c r="D330">
        <v>34.65</v>
      </c>
      <c r="E330">
        <v>34.76</v>
      </c>
      <c r="F330">
        <v>3917333</v>
      </c>
    </row>
    <row r="331" spans="1:6">
      <c r="A331" s="39">
        <v>42621</v>
      </c>
      <c r="B331">
        <v>34.89</v>
      </c>
      <c r="C331">
        <v>35.18</v>
      </c>
      <c r="D331">
        <v>34.659999999999997</v>
      </c>
      <c r="E331">
        <v>35.08</v>
      </c>
      <c r="F331">
        <v>5196079</v>
      </c>
    </row>
    <row r="332" spans="1:6">
      <c r="A332" s="39">
        <v>42622</v>
      </c>
      <c r="B332">
        <v>34.630000000000003</v>
      </c>
      <c r="C332">
        <v>34.700000000000003</v>
      </c>
      <c r="D332">
        <v>34.24</v>
      </c>
      <c r="E332">
        <v>34.35</v>
      </c>
      <c r="F332">
        <v>5457864</v>
      </c>
    </row>
    <row r="333" spans="1:6">
      <c r="A333" s="39">
        <v>42625</v>
      </c>
      <c r="B333">
        <v>34.11</v>
      </c>
      <c r="C333">
        <v>34.74</v>
      </c>
      <c r="D333">
        <v>34</v>
      </c>
      <c r="E333">
        <v>34.630000000000003</v>
      </c>
      <c r="F333">
        <v>6385635</v>
      </c>
    </row>
    <row r="334" spans="1:6">
      <c r="A334" s="39">
        <v>42626</v>
      </c>
      <c r="B334">
        <v>33.85</v>
      </c>
      <c r="C334">
        <v>33.97</v>
      </c>
      <c r="D334">
        <v>33.36</v>
      </c>
      <c r="E334">
        <v>33.5</v>
      </c>
      <c r="F334">
        <v>9231919</v>
      </c>
    </row>
    <row r="335" spans="1:6">
      <c r="A335" s="39">
        <v>42627</v>
      </c>
      <c r="B335">
        <v>33.39</v>
      </c>
      <c r="C335">
        <v>33.799999999999997</v>
      </c>
      <c r="D335">
        <v>33.22</v>
      </c>
      <c r="E335">
        <v>33.32</v>
      </c>
      <c r="F335">
        <v>6672947</v>
      </c>
    </row>
    <row r="336" spans="1:6">
      <c r="A336" s="39">
        <v>42628</v>
      </c>
      <c r="B336">
        <v>33.270000000000003</v>
      </c>
      <c r="C336">
        <v>33.840000000000003</v>
      </c>
      <c r="D336">
        <v>33.200000000000003</v>
      </c>
      <c r="E336">
        <v>33.61</v>
      </c>
      <c r="F336">
        <v>4707117</v>
      </c>
    </row>
    <row r="337" spans="1:6">
      <c r="A337" s="39">
        <v>42629</v>
      </c>
      <c r="B337">
        <v>33.08</v>
      </c>
      <c r="C337">
        <v>33.42</v>
      </c>
      <c r="D337">
        <v>33.06</v>
      </c>
      <c r="E337">
        <v>33.31</v>
      </c>
      <c r="F337">
        <v>5594561</v>
      </c>
    </row>
    <row r="338" spans="1:6">
      <c r="A338" s="39">
        <v>42632</v>
      </c>
      <c r="B338">
        <v>33.909999999999997</v>
      </c>
      <c r="C338">
        <v>33.92</v>
      </c>
      <c r="D338">
        <v>33.42</v>
      </c>
      <c r="E338">
        <v>33.44</v>
      </c>
      <c r="F338">
        <v>4741152</v>
      </c>
    </row>
    <row r="339" spans="1:6">
      <c r="A339" s="39">
        <v>42633</v>
      </c>
      <c r="B339">
        <v>33.409999999999997</v>
      </c>
      <c r="C339">
        <v>33.46</v>
      </c>
      <c r="D339">
        <v>33.06</v>
      </c>
      <c r="E339">
        <v>33.07</v>
      </c>
      <c r="F339">
        <v>4759870</v>
      </c>
    </row>
    <row r="340" spans="1:6">
      <c r="A340" s="39">
        <v>42634</v>
      </c>
      <c r="B340">
        <v>33.32</v>
      </c>
      <c r="C340">
        <v>33.69</v>
      </c>
      <c r="D340">
        <v>33.21</v>
      </c>
      <c r="E340">
        <v>33.61</v>
      </c>
      <c r="F340">
        <v>6634783</v>
      </c>
    </row>
    <row r="341" spans="1:6">
      <c r="A341" s="39">
        <v>42635</v>
      </c>
      <c r="B341">
        <v>34.57</v>
      </c>
      <c r="C341">
        <v>34.630000000000003</v>
      </c>
      <c r="D341">
        <v>34.19</v>
      </c>
      <c r="E341">
        <v>34.26</v>
      </c>
      <c r="F341">
        <v>8461869</v>
      </c>
    </row>
    <row r="342" spans="1:6">
      <c r="A342" s="39">
        <v>42636</v>
      </c>
      <c r="B342">
        <v>34.04</v>
      </c>
      <c r="C342">
        <v>34.36</v>
      </c>
      <c r="D342">
        <v>33.82</v>
      </c>
      <c r="E342">
        <v>33.96</v>
      </c>
      <c r="F342">
        <v>5138003</v>
      </c>
    </row>
    <row r="343" spans="1:6">
      <c r="A343" s="39">
        <v>42639</v>
      </c>
      <c r="B343">
        <v>33.71</v>
      </c>
      <c r="C343">
        <v>33.979999999999997</v>
      </c>
      <c r="D343">
        <v>33.619999999999997</v>
      </c>
      <c r="E343">
        <v>33.68</v>
      </c>
      <c r="F343">
        <v>4579521</v>
      </c>
    </row>
    <row r="344" spans="1:6">
      <c r="A344" s="39">
        <v>42640</v>
      </c>
      <c r="B344">
        <v>33.479999999999997</v>
      </c>
      <c r="C344">
        <v>33.82</v>
      </c>
      <c r="D344">
        <v>33.32</v>
      </c>
      <c r="E344">
        <v>33.61</v>
      </c>
      <c r="F344">
        <v>4171938</v>
      </c>
    </row>
    <row r="345" spans="1:6">
      <c r="A345" s="39">
        <v>42641</v>
      </c>
      <c r="B345">
        <v>34.119999999999997</v>
      </c>
      <c r="C345">
        <v>34.89</v>
      </c>
      <c r="D345">
        <v>33.700000000000003</v>
      </c>
      <c r="E345">
        <v>34.840000000000003</v>
      </c>
      <c r="F345">
        <v>9765948</v>
      </c>
    </row>
    <row r="346" spans="1:6">
      <c r="A346" s="39">
        <v>42642</v>
      </c>
      <c r="B346">
        <v>35.229999999999997</v>
      </c>
      <c r="C346">
        <v>35.299999999999997</v>
      </c>
      <c r="D346">
        <v>34.85</v>
      </c>
      <c r="E346">
        <v>35.06</v>
      </c>
      <c r="F346">
        <v>9021686</v>
      </c>
    </row>
    <row r="347" spans="1:6">
      <c r="A347" s="39">
        <v>42643</v>
      </c>
      <c r="B347">
        <v>35.24</v>
      </c>
      <c r="C347">
        <v>35.39</v>
      </c>
      <c r="D347">
        <v>35.03</v>
      </c>
      <c r="E347">
        <v>35.159999999999997</v>
      </c>
      <c r="F347">
        <v>6133653</v>
      </c>
    </row>
    <row r="348" spans="1:6">
      <c r="A348" s="39">
        <v>42646</v>
      </c>
      <c r="B348">
        <v>35.340000000000003</v>
      </c>
      <c r="C348">
        <v>35.549999999999997</v>
      </c>
      <c r="D348">
        <v>35.21</v>
      </c>
      <c r="E348">
        <v>35.47</v>
      </c>
      <c r="F348">
        <v>4873842</v>
      </c>
    </row>
    <row r="349" spans="1:6">
      <c r="A349" s="39">
        <v>42647</v>
      </c>
      <c r="B349">
        <v>36.020000000000003</v>
      </c>
      <c r="C349">
        <v>36.17</v>
      </c>
      <c r="D349">
        <v>35.57</v>
      </c>
      <c r="E349">
        <v>35.68</v>
      </c>
      <c r="F349">
        <v>8148075</v>
      </c>
    </row>
    <row r="350" spans="1:6">
      <c r="A350" s="39">
        <v>42648</v>
      </c>
      <c r="B350">
        <v>36.020000000000003</v>
      </c>
      <c r="C350">
        <v>36.22</v>
      </c>
      <c r="D350">
        <v>35.75</v>
      </c>
      <c r="E350">
        <v>36.03</v>
      </c>
      <c r="F350">
        <v>5394479</v>
      </c>
    </row>
    <row r="351" spans="1:6">
      <c r="A351" s="39">
        <v>42649</v>
      </c>
      <c r="B351">
        <v>36.15</v>
      </c>
      <c r="C351">
        <v>36.21</v>
      </c>
      <c r="D351">
        <v>35.83</v>
      </c>
      <c r="E351">
        <v>35.950000000000003</v>
      </c>
      <c r="F351">
        <v>4422073</v>
      </c>
    </row>
    <row r="352" spans="1:6">
      <c r="A352" s="39">
        <v>42650</v>
      </c>
      <c r="B352">
        <v>36.06</v>
      </c>
      <c r="C352">
        <v>36.39</v>
      </c>
      <c r="D352">
        <v>35.92</v>
      </c>
      <c r="E352">
        <v>36.17</v>
      </c>
      <c r="F352">
        <v>4678797</v>
      </c>
    </row>
    <row r="353" spans="1:6">
      <c r="A353" s="39">
        <v>42653</v>
      </c>
      <c r="B353">
        <v>36.43</v>
      </c>
      <c r="C353">
        <v>36.83</v>
      </c>
      <c r="D353">
        <v>36.42</v>
      </c>
      <c r="E353">
        <v>36.67</v>
      </c>
      <c r="F353">
        <v>4331936</v>
      </c>
    </row>
    <row r="354" spans="1:6">
      <c r="A354" s="39">
        <v>42654</v>
      </c>
      <c r="B354">
        <v>36.44</v>
      </c>
      <c r="C354">
        <v>36.479999999999997</v>
      </c>
      <c r="D354">
        <v>35.619999999999997</v>
      </c>
      <c r="E354">
        <v>35.78</v>
      </c>
      <c r="F354">
        <v>7250577</v>
      </c>
    </row>
    <row r="355" spans="1:6">
      <c r="A355" s="39">
        <v>42655</v>
      </c>
      <c r="B355">
        <v>35.99</v>
      </c>
      <c r="C355">
        <v>35.99</v>
      </c>
      <c r="D355">
        <v>35.6</v>
      </c>
      <c r="E355">
        <v>35.79</v>
      </c>
      <c r="F355">
        <v>4944480</v>
      </c>
    </row>
    <row r="356" spans="1:6">
      <c r="A356" s="39">
        <v>42656</v>
      </c>
      <c r="B356">
        <v>35.47</v>
      </c>
      <c r="C356">
        <v>35.89</v>
      </c>
      <c r="D356">
        <v>35.29</v>
      </c>
      <c r="E356">
        <v>35.68</v>
      </c>
      <c r="F356">
        <v>4434684</v>
      </c>
    </row>
    <row r="357" spans="1:6">
      <c r="A357" s="39">
        <v>42657</v>
      </c>
      <c r="B357">
        <v>36.01</v>
      </c>
      <c r="C357">
        <v>36.130000000000003</v>
      </c>
      <c r="D357">
        <v>35.78</v>
      </c>
      <c r="E357">
        <v>35.840000000000003</v>
      </c>
      <c r="F357">
        <v>3255572</v>
      </c>
    </row>
    <row r="358" spans="1:6">
      <c r="A358" s="39">
        <v>42660</v>
      </c>
      <c r="B358">
        <v>35.56</v>
      </c>
      <c r="C358">
        <v>35.68</v>
      </c>
      <c r="D358">
        <v>35.380000000000003</v>
      </c>
      <c r="E358">
        <v>35.5</v>
      </c>
      <c r="F358">
        <v>3488103</v>
      </c>
    </row>
    <row r="359" spans="1:6">
      <c r="A359" s="39">
        <v>42661</v>
      </c>
      <c r="B359">
        <v>36.159999999999997</v>
      </c>
      <c r="C359">
        <v>36.17</v>
      </c>
      <c r="D359">
        <v>35.880000000000003</v>
      </c>
      <c r="E359">
        <v>35.979999999999997</v>
      </c>
      <c r="F359">
        <v>3642441</v>
      </c>
    </row>
    <row r="360" spans="1:6">
      <c r="A360" s="39">
        <v>42662</v>
      </c>
      <c r="B360">
        <v>36.119999999999997</v>
      </c>
      <c r="C360">
        <v>36.39</v>
      </c>
      <c r="D360">
        <v>36.03</v>
      </c>
      <c r="E360">
        <v>36.049999999999997</v>
      </c>
      <c r="F360">
        <v>3886376</v>
      </c>
    </row>
    <row r="361" spans="1:6">
      <c r="A361" s="39">
        <v>42663</v>
      </c>
      <c r="B361">
        <v>35.94</v>
      </c>
      <c r="C361">
        <v>36.21</v>
      </c>
      <c r="D361">
        <v>35.79</v>
      </c>
      <c r="E361">
        <v>36.049999999999997</v>
      </c>
      <c r="F361">
        <v>4003119</v>
      </c>
    </row>
    <row r="362" spans="1:6">
      <c r="A362" s="39">
        <v>42664</v>
      </c>
      <c r="B362">
        <v>36.06</v>
      </c>
      <c r="C362">
        <v>36.270000000000003</v>
      </c>
      <c r="D362">
        <v>35.909999999999997</v>
      </c>
      <c r="E362">
        <v>36.25</v>
      </c>
      <c r="F362">
        <v>4214936</v>
      </c>
    </row>
    <row r="363" spans="1:6">
      <c r="A363" s="39">
        <v>42667</v>
      </c>
      <c r="B363">
        <v>36.18</v>
      </c>
      <c r="C363">
        <v>36.25</v>
      </c>
      <c r="D363">
        <v>35.58</v>
      </c>
      <c r="E363">
        <v>35.869999999999997</v>
      </c>
      <c r="F363">
        <v>4502665</v>
      </c>
    </row>
    <row r="364" spans="1:6">
      <c r="A364" s="39">
        <v>42668</v>
      </c>
      <c r="B364">
        <v>36.04</v>
      </c>
      <c r="C364">
        <v>36.25</v>
      </c>
      <c r="D364">
        <v>35.92</v>
      </c>
      <c r="E364">
        <v>36.04</v>
      </c>
      <c r="F364">
        <v>4475795</v>
      </c>
    </row>
    <row r="365" spans="1:6">
      <c r="A365" s="39">
        <v>42669</v>
      </c>
      <c r="B365">
        <v>35.57</v>
      </c>
      <c r="C365">
        <v>35.93</v>
      </c>
      <c r="D365">
        <v>35.47</v>
      </c>
      <c r="E365">
        <v>35.85</v>
      </c>
      <c r="F365">
        <v>4279981</v>
      </c>
    </row>
    <row r="366" spans="1:6">
      <c r="A366" s="39">
        <v>42670</v>
      </c>
      <c r="B366">
        <v>35.94</v>
      </c>
      <c r="C366">
        <v>36.25</v>
      </c>
      <c r="D366">
        <v>35.85</v>
      </c>
      <c r="E366">
        <v>36</v>
      </c>
      <c r="F366">
        <v>4174317</v>
      </c>
    </row>
    <row r="367" spans="1:6">
      <c r="A367" s="39">
        <v>42671</v>
      </c>
      <c r="B367">
        <v>35.619999999999997</v>
      </c>
      <c r="C367">
        <v>36</v>
      </c>
      <c r="D367">
        <v>35.54</v>
      </c>
      <c r="E367">
        <v>35.68</v>
      </c>
      <c r="F367">
        <v>5057015</v>
      </c>
    </row>
    <row r="368" spans="1:6">
      <c r="A368" s="39">
        <v>42674</v>
      </c>
      <c r="B368">
        <v>35.42</v>
      </c>
      <c r="C368">
        <v>35.67</v>
      </c>
      <c r="D368">
        <v>35.31</v>
      </c>
      <c r="E368">
        <v>35.549999999999997</v>
      </c>
      <c r="F368">
        <v>5420464</v>
      </c>
    </row>
    <row r="369" spans="1:6">
      <c r="A369" s="39">
        <v>42675</v>
      </c>
      <c r="B369">
        <v>35.020000000000003</v>
      </c>
      <c r="C369">
        <v>35.03</v>
      </c>
      <c r="D369">
        <v>33.83</v>
      </c>
      <c r="E369">
        <v>34.11</v>
      </c>
      <c r="F369">
        <v>11938819</v>
      </c>
    </row>
    <row r="370" spans="1:6">
      <c r="A370" s="39">
        <v>42676</v>
      </c>
      <c r="B370">
        <v>34.33</v>
      </c>
      <c r="C370">
        <v>34.5</v>
      </c>
      <c r="D370">
        <v>33.76</v>
      </c>
      <c r="E370">
        <v>34.01</v>
      </c>
      <c r="F370">
        <v>7777965</v>
      </c>
    </row>
    <row r="371" spans="1:6">
      <c r="A371" s="39">
        <v>42677</v>
      </c>
      <c r="B371">
        <v>34.020000000000003</v>
      </c>
      <c r="C371">
        <v>34.130000000000003</v>
      </c>
      <c r="D371">
        <v>33.700000000000003</v>
      </c>
      <c r="E371">
        <v>33.840000000000003</v>
      </c>
      <c r="F371">
        <v>4876163</v>
      </c>
    </row>
    <row r="372" spans="1:6">
      <c r="A372" s="39">
        <v>42678</v>
      </c>
      <c r="B372">
        <v>33.58</v>
      </c>
      <c r="C372">
        <v>33.840000000000003</v>
      </c>
      <c r="D372">
        <v>33.479999999999997</v>
      </c>
      <c r="E372">
        <v>33.54</v>
      </c>
      <c r="F372">
        <v>6029988</v>
      </c>
    </row>
    <row r="373" spans="1:6">
      <c r="A373" s="39">
        <v>42681</v>
      </c>
      <c r="B373">
        <v>33.83</v>
      </c>
      <c r="C373">
        <v>34.049999999999997</v>
      </c>
      <c r="D373">
        <v>33.700000000000003</v>
      </c>
      <c r="E373">
        <v>34.020000000000003</v>
      </c>
      <c r="F373">
        <v>5863753</v>
      </c>
    </row>
    <row r="374" spans="1:6">
      <c r="A374" s="39">
        <v>42682</v>
      </c>
      <c r="B374">
        <v>33.380000000000003</v>
      </c>
      <c r="C374">
        <v>33.68</v>
      </c>
      <c r="D374">
        <v>33.32</v>
      </c>
      <c r="E374">
        <v>33.479999999999997</v>
      </c>
      <c r="F374">
        <v>4865082</v>
      </c>
    </row>
    <row r="375" spans="1:6">
      <c r="A375" s="39">
        <v>42683</v>
      </c>
      <c r="B375">
        <v>33.19</v>
      </c>
      <c r="C375">
        <v>34.03</v>
      </c>
      <c r="D375">
        <v>33.19</v>
      </c>
      <c r="E375">
        <v>33.840000000000003</v>
      </c>
      <c r="F375">
        <v>5587985</v>
      </c>
    </row>
    <row r="376" spans="1:6">
      <c r="A376" s="39">
        <v>42684</v>
      </c>
      <c r="B376">
        <v>34.28</v>
      </c>
      <c r="C376">
        <v>34.31</v>
      </c>
      <c r="D376">
        <v>33.840000000000003</v>
      </c>
      <c r="E376">
        <v>33.94</v>
      </c>
      <c r="F376">
        <v>5210482</v>
      </c>
    </row>
    <row r="377" spans="1:6">
      <c r="A377" s="39">
        <v>42685</v>
      </c>
      <c r="B377">
        <v>33.51</v>
      </c>
      <c r="C377">
        <v>33.58</v>
      </c>
      <c r="D377">
        <v>32.93</v>
      </c>
      <c r="E377">
        <v>33.18</v>
      </c>
      <c r="F377">
        <v>6598083</v>
      </c>
    </row>
    <row r="378" spans="1:6">
      <c r="A378" s="39">
        <v>42688</v>
      </c>
      <c r="B378">
        <v>32.75</v>
      </c>
      <c r="C378">
        <v>33</v>
      </c>
      <c r="D378">
        <v>32.53</v>
      </c>
      <c r="E378">
        <v>32.979999999999997</v>
      </c>
      <c r="F378">
        <v>5449619</v>
      </c>
    </row>
    <row r="379" spans="1:6">
      <c r="A379" s="39">
        <v>42689</v>
      </c>
      <c r="B379">
        <v>33.22</v>
      </c>
      <c r="C379">
        <v>33.68</v>
      </c>
      <c r="D379">
        <v>33.22</v>
      </c>
      <c r="E379">
        <v>33.61</v>
      </c>
      <c r="F379">
        <v>5679259</v>
      </c>
    </row>
    <row r="380" spans="1:6">
      <c r="A380" s="39">
        <v>42690</v>
      </c>
      <c r="B380">
        <v>33.26</v>
      </c>
      <c r="C380">
        <v>33.520000000000003</v>
      </c>
      <c r="D380">
        <v>33.15</v>
      </c>
      <c r="E380">
        <v>33.299999999999997</v>
      </c>
      <c r="F380">
        <v>4985712</v>
      </c>
    </row>
    <row r="381" spans="1:6">
      <c r="A381" s="39">
        <v>42691</v>
      </c>
      <c r="B381">
        <v>33.58</v>
      </c>
      <c r="C381">
        <v>33.86</v>
      </c>
      <c r="D381">
        <v>33.450000000000003</v>
      </c>
      <c r="E381">
        <v>33.5</v>
      </c>
      <c r="F381">
        <v>5367346</v>
      </c>
    </row>
    <row r="382" spans="1:6">
      <c r="A382" s="39">
        <v>42692</v>
      </c>
      <c r="B382">
        <v>33.35</v>
      </c>
      <c r="C382">
        <v>33.799999999999997</v>
      </c>
      <c r="D382">
        <v>33.270000000000003</v>
      </c>
      <c r="E382">
        <v>33.64</v>
      </c>
      <c r="F382">
        <v>6682765</v>
      </c>
    </row>
    <row r="383" spans="1:6">
      <c r="A383" s="39">
        <v>42695</v>
      </c>
      <c r="B383">
        <v>34.31</v>
      </c>
      <c r="C383">
        <v>34.450000000000003</v>
      </c>
      <c r="D383">
        <v>34.24</v>
      </c>
      <c r="E383">
        <v>34.4</v>
      </c>
      <c r="F383">
        <v>5881734</v>
      </c>
    </row>
    <row r="384" spans="1:6">
      <c r="A384" s="39">
        <v>42696</v>
      </c>
      <c r="B384">
        <v>34.479999999999997</v>
      </c>
      <c r="C384">
        <v>34.65</v>
      </c>
      <c r="D384">
        <v>34.26</v>
      </c>
      <c r="E384">
        <v>34.54</v>
      </c>
      <c r="F384">
        <v>6735892</v>
      </c>
    </row>
    <row r="385" spans="1:6">
      <c r="A385" s="39">
        <v>42697</v>
      </c>
      <c r="B385">
        <v>34.130000000000003</v>
      </c>
      <c r="C385">
        <v>34.590000000000003</v>
      </c>
      <c r="D385">
        <v>34.119999999999997</v>
      </c>
      <c r="E385">
        <v>34.4</v>
      </c>
      <c r="F385">
        <v>4277205</v>
      </c>
    </row>
    <row r="386" spans="1:6">
      <c r="A386" s="39">
        <v>42699</v>
      </c>
      <c r="B386">
        <v>34.4</v>
      </c>
      <c r="C386">
        <v>34.46</v>
      </c>
      <c r="D386">
        <v>34.18</v>
      </c>
      <c r="E386">
        <v>34.270000000000003</v>
      </c>
      <c r="F386">
        <v>1899894</v>
      </c>
    </row>
    <row r="387" spans="1:6">
      <c r="A387" s="39">
        <v>42702</v>
      </c>
      <c r="B387">
        <v>34.090000000000003</v>
      </c>
      <c r="C387">
        <v>34.130000000000003</v>
      </c>
      <c r="D387">
        <v>33.72</v>
      </c>
      <c r="E387">
        <v>33.72</v>
      </c>
      <c r="F387">
        <v>5430987</v>
      </c>
    </row>
    <row r="388" spans="1:6">
      <c r="A388" s="39">
        <v>42703</v>
      </c>
      <c r="B388">
        <v>33.369999999999997</v>
      </c>
      <c r="C388">
        <v>33.630000000000003</v>
      </c>
      <c r="D388">
        <v>33.24</v>
      </c>
      <c r="E388">
        <v>33.520000000000003</v>
      </c>
      <c r="F388">
        <v>5901633</v>
      </c>
    </row>
    <row r="389" spans="1:6">
      <c r="A389" s="39">
        <v>42704</v>
      </c>
      <c r="B389">
        <v>34.54</v>
      </c>
      <c r="C389">
        <v>35.270000000000003</v>
      </c>
      <c r="D389">
        <v>34.54</v>
      </c>
      <c r="E389">
        <v>35.01</v>
      </c>
      <c r="F389">
        <v>11784765</v>
      </c>
    </row>
    <row r="390" spans="1:6">
      <c r="A390" s="39">
        <v>42705</v>
      </c>
      <c r="B390">
        <v>35.69</v>
      </c>
      <c r="C390">
        <v>35.950000000000003</v>
      </c>
      <c r="D390">
        <v>35.369999999999997</v>
      </c>
      <c r="E390">
        <v>35.39</v>
      </c>
      <c r="F390">
        <v>7802399</v>
      </c>
    </row>
    <row r="391" spans="1:6">
      <c r="A391" s="39">
        <v>42706</v>
      </c>
      <c r="B391">
        <v>35.450000000000003</v>
      </c>
      <c r="C391">
        <v>35.799999999999997</v>
      </c>
      <c r="D391">
        <v>35.29</v>
      </c>
      <c r="E391">
        <v>35.479999999999997</v>
      </c>
      <c r="F391">
        <v>5205923</v>
      </c>
    </row>
    <row r="392" spans="1:6">
      <c r="A392" s="39">
        <v>42709</v>
      </c>
      <c r="B392">
        <v>35.56</v>
      </c>
      <c r="C392">
        <v>35.78</v>
      </c>
      <c r="D392">
        <v>35.479999999999997</v>
      </c>
      <c r="E392">
        <v>35.479999999999997</v>
      </c>
      <c r="F392">
        <v>4710189</v>
      </c>
    </row>
    <row r="393" spans="1:6">
      <c r="A393" s="39">
        <v>42710</v>
      </c>
      <c r="B393">
        <v>35.68</v>
      </c>
      <c r="C393">
        <v>35.700000000000003</v>
      </c>
      <c r="D393">
        <v>35.340000000000003</v>
      </c>
      <c r="E393">
        <v>35.57</v>
      </c>
      <c r="F393">
        <v>5386986</v>
      </c>
    </row>
    <row r="394" spans="1:6">
      <c r="A394" s="39">
        <v>42711</v>
      </c>
      <c r="B394">
        <v>35.909999999999997</v>
      </c>
      <c r="C394">
        <v>35.979999999999997</v>
      </c>
      <c r="D394">
        <v>35.67</v>
      </c>
      <c r="E394">
        <v>35.89</v>
      </c>
      <c r="F394">
        <v>6006667</v>
      </c>
    </row>
    <row r="395" spans="1:6">
      <c r="A395" s="39">
        <v>42712</v>
      </c>
      <c r="B395">
        <v>36.049999999999997</v>
      </c>
      <c r="C395">
        <v>36.229999999999997</v>
      </c>
      <c r="D395">
        <v>35.86</v>
      </c>
      <c r="E395">
        <v>36.19</v>
      </c>
      <c r="F395">
        <v>5107459</v>
      </c>
    </row>
    <row r="396" spans="1:6">
      <c r="A396" s="39">
        <v>42713</v>
      </c>
      <c r="B396">
        <v>36.15</v>
      </c>
      <c r="C396">
        <v>36.21</v>
      </c>
      <c r="D396">
        <v>36</v>
      </c>
      <c r="E396">
        <v>36.01</v>
      </c>
      <c r="F396">
        <v>4633089</v>
      </c>
    </row>
    <row r="397" spans="1:6">
      <c r="A397" s="39">
        <v>42716</v>
      </c>
      <c r="B397">
        <v>36.61</v>
      </c>
      <c r="C397">
        <v>36.81</v>
      </c>
      <c r="D397">
        <v>36.43</v>
      </c>
      <c r="E397">
        <v>36.51</v>
      </c>
      <c r="F397">
        <v>8416551</v>
      </c>
    </row>
    <row r="398" spans="1:6">
      <c r="A398" s="39">
        <v>42717</v>
      </c>
      <c r="B398">
        <v>36.9</v>
      </c>
      <c r="C398">
        <v>36.94</v>
      </c>
      <c r="D398">
        <v>36.4</v>
      </c>
      <c r="E398">
        <v>36.79</v>
      </c>
      <c r="F398">
        <v>7504732</v>
      </c>
    </row>
    <row r="399" spans="1:6">
      <c r="A399" s="39">
        <v>42718</v>
      </c>
      <c r="B399">
        <v>36.74</v>
      </c>
      <c r="C399">
        <v>36.880000000000003</v>
      </c>
      <c r="D399">
        <v>36.01</v>
      </c>
      <c r="E399">
        <v>36.020000000000003</v>
      </c>
      <c r="F399">
        <v>5699787</v>
      </c>
    </row>
    <row r="400" spans="1:6">
      <c r="A400" s="39">
        <v>42719</v>
      </c>
      <c r="B400">
        <v>35.44</v>
      </c>
      <c r="C400">
        <v>35.94</v>
      </c>
      <c r="D400">
        <v>35.31</v>
      </c>
      <c r="E400">
        <v>35.85</v>
      </c>
      <c r="F400">
        <v>5093099</v>
      </c>
    </row>
    <row r="401" spans="1:6">
      <c r="A401" s="39">
        <v>42720</v>
      </c>
      <c r="B401">
        <v>36.21</v>
      </c>
      <c r="C401">
        <v>36.729999999999997</v>
      </c>
      <c r="D401">
        <v>36.14</v>
      </c>
      <c r="E401">
        <v>36.590000000000003</v>
      </c>
      <c r="F401">
        <v>5517052</v>
      </c>
    </row>
    <row r="402" spans="1:6">
      <c r="A402" s="39">
        <v>42723</v>
      </c>
      <c r="B402">
        <v>36.630000000000003</v>
      </c>
      <c r="C402">
        <v>36.78</v>
      </c>
      <c r="D402">
        <v>36.549999999999997</v>
      </c>
      <c r="E402">
        <v>36.56</v>
      </c>
      <c r="F402">
        <v>4582033</v>
      </c>
    </row>
    <row r="403" spans="1:6">
      <c r="A403" s="39">
        <v>42724</v>
      </c>
      <c r="B403">
        <v>36.65</v>
      </c>
      <c r="C403">
        <v>36.799999999999997</v>
      </c>
      <c r="D403">
        <v>36.479999999999997</v>
      </c>
      <c r="E403">
        <v>36.520000000000003</v>
      </c>
      <c r="F403">
        <v>4354722</v>
      </c>
    </row>
    <row r="404" spans="1:6">
      <c r="A404" s="39">
        <v>42725</v>
      </c>
      <c r="B404">
        <v>36.86</v>
      </c>
      <c r="C404">
        <v>36.92</v>
      </c>
      <c r="D404">
        <v>36.67</v>
      </c>
      <c r="E404">
        <v>36.78</v>
      </c>
      <c r="F404">
        <v>4440475</v>
      </c>
    </row>
    <row r="405" spans="1:6">
      <c r="A405" s="39">
        <v>42726</v>
      </c>
      <c r="B405">
        <v>36.979999999999997</v>
      </c>
      <c r="C405">
        <v>37.17</v>
      </c>
      <c r="D405">
        <v>36.880000000000003</v>
      </c>
      <c r="E405">
        <v>36.909999999999997</v>
      </c>
      <c r="F405">
        <v>7860528</v>
      </c>
    </row>
    <row r="406" spans="1:6">
      <c r="A406" s="39">
        <v>42727</v>
      </c>
      <c r="B406">
        <v>36.840000000000003</v>
      </c>
      <c r="C406">
        <v>37.049999999999997</v>
      </c>
      <c r="D406">
        <v>36.78</v>
      </c>
      <c r="E406">
        <v>37.020000000000003</v>
      </c>
      <c r="F406">
        <v>3652931</v>
      </c>
    </row>
    <row r="407" spans="1:6">
      <c r="A407" s="39">
        <v>42731</v>
      </c>
      <c r="B407">
        <v>37.1</v>
      </c>
      <c r="C407">
        <v>37.229999999999997</v>
      </c>
      <c r="D407">
        <v>37.090000000000003</v>
      </c>
      <c r="E407">
        <v>37.11</v>
      </c>
      <c r="F407">
        <v>3725613</v>
      </c>
    </row>
    <row r="408" spans="1:6">
      <c r="A408" s="39">
        <v>42732</v>
      </c>
      <c r="B408">
        <v>37.32</v>
      </c>
      <c r="C408">
        <v>37.47</v>
      </c>
      <c r="D408">
        <v>37.18</v>
      </c>
      <c r="E408">
        <v>37.25</v>
      </c>
      <c r="F408">
        <v>6133371</v>
      </c>
    </row>
    <row r="409" spans="1:6">
      <c r="A409" s="39">
        <v>42733</v>
      </c>
      <c r="B409">
        <v>37.49</v>
      </c>
      <c r="C409">
        <v>37.53</v>
      </c>
      <c r="D409">
        <v>37.340000000000003</v>
      </c>
      <c r="E409">
        <v>37.4</v>
      </c>
      <c r="F409">
        <v>5015263</v>
      </c>
    </row>
    <row r="410" spans="1:6">
      <c r="A410" s="39">
        <v>42734</v>
      </c>
      <c r="B410">
        <v>37.47</v>
      </c>
      <c r="C410">
        <v>37.68</v>
      </c>
      <c r="D410">
        <v>37.33</v>
      </c>
      <c r="E410">
        <v>37.380000000000003</v>
      </c>
      <c r="F410">
        <v>5043883</v>
      </c>
    </row>
    <row r="411" spans="1:6">
      <c r="A411" s="39">
        <v>42738</v>
      </c>
      <c r="B411">
        <v>38.1</v>
      </c>
      <c r="C411">
        <v>38.119999999999997</v>
      </c>
      <c r="D411">
        <v>37.79</v>
      </c>
      <c r="E411">
        <v>38</v>
      </c>
      <c r="F411">
        <v>8779164</v>
      </c>
    </row>
    <row r="412" spans="1:6">
      <c r="A412" s="39">
        <v>42739</v>
      </c>
      <c r="B412">
        <v>38.04</v>
      </c>
      <c r="C412">
        <v>38.340000000000003</v>
      </c>
      <c r="D412">
        <v>37.94</v>
      </c>
      <c r="E412">
        <v>38.29</v>
      </c>
      <c r="F412">
        <v>6883266</v>
      </c>
    </row>
    <row r="413" spans="1:6">
      <c r="A413" s="39">
        <v>42740</v>
      </c>
      <c r="B413">
        <v>38.14</v>
      </c>
      <c r="C413">
        <v>38.68</v>
      </c>
      <c r="D413">
        <v>38.14</v>
      </c>
      <c r="E413">
        <v>38.57</v>
      </c>
      <c r="F413">
        <v>6505685</v>
      </c>
    </row>
    <row r="414" spans="1:6">
      <c r="A414" s="39">
        <v>42741</v>
      </c>
      <c r="B414">
        <v>38.159999999999997</v>
      </c>
      <c r="C414">
        <v>38.19</v>
      </c>
      <c r="D414">
        <v>37.85</v>
      </c>
      <c r="E414">
        <v>37.909999999999997</v>
      </c>
      <c r="F414">
        <v>5800932</v>
      </c>
    </row>
    <row r="415" spans="1:6">
      <c r="A415" s="39">
        <v>42744</v>
      </c>
      <c r="B415">
        <v>37.58</v>
      </c>
      <c r="C415">
        <v>37.65</v>
      </c>
      <c r="D415">
        <v>37.31</v>
      </c>
      <c r="E415">
        <v>37.31</v>
      </c>
      <c r="F415">
        <v>5533626</v>
      </c>
    </row>
    <row r="416" spans="1:6">
      <c r="A416" s="39">
        <v>42745</v>
      </c>
      <c r="B416">
        <v>37.25</v>
      </c>
      <c r="C416">
        <v>37.450000000000003</v>
      </c>
      <c r="D416">
        <v>37.11</v>
      </c>
      <c r="E416">
        <v>37.11</v>
      </c>
      <c r="F416">
        <v>3922015</v>
      </c>
    </row>
    <row r="417" spans="1:6">
      <c r="A417" s="39">
        <v>42746</v>
      </c>
      <c r="B417">
        <v>37.200000000000003</v>
      </c>
      <c r="C417">
        <v>37.659999999999997</v>
      </c>
      <c r="D417">
        <v>37.06</v>
      </c>
      <c r="E417">
        <v>37.549999999999997</v>
      </c>
      <c r="F417">
        <v>4422586</v>
      </c>
    </row>
    <row r="418" spans="1:6">
      <c r="A418" s="39">
        <v>42747</v>
      </c>
      <c r="B418">
        <v>37.99</v>
      </c>
      <c r="C418">
        <v>38</v>
      </c>
      <c r="D418">
        <v>37.659999999999997</v>
      </c>
      <c r="E418">
        <v>37.76</v>
      </c>
      <c r="F418">
        <v>4698473</v>
      </c>
    </row>
    <row r="419" spans="1:6">
      <c r="A419" s="39">
        <v>42748</v>
      </c>
      <c r="B419">
        <v>37.82</v>
      </c>
      <c r="C419">
        <v>37.86</v>
      </c>
      <c r="D419">
        <v>37.56</v>
      </c>
      <c r="E419">
        <v>37.659999999999997</v>
      </c>
      <c r="F419">
        <v>3815512</v>
      </c>
    </row>
    <row r="420" spans="1:6">
      <c r="A420" s="39">
        <v>42752</v>
      </c>
      <c r="B420">
        <v>37.58</v>
      </c>
      <c r="C420">
        <v>37.630000000000003</v>
      </c>
      <c r="D420">
        <v>37.24</v>
      </c>
      <c r="E420">
        <v>37.44</v>
      </c>
      <c r="F420">
        <v>6172848</v>
      </c>
    </row>
    <row r="421" spans="1:6">
      <c r="A421" s="39">
        <v>42753</v>
      </c>
      <c r="B421">
        <v>37.18</v>
      </c>
      <c r="C421">
        <v>37.39</v>
      </c>
      <c r="D421">
        <v>37.01</v>
      </c>
      <c r="E421">
        <v>37.1</v>
      </c>
      <c r="F421">
        <v>5894192</v>
      </c>
    </row>
    <row r="422" spans="1:6">
      <c r="A422" s="39">
        <v>42754</v>
      </c>
      <c r="B422">
        <v>37.01</v>
      </c>
      <c r="C422">
        <v>37.130000000000003</v>
      </c>
      <c r="D422">
        <v>36.75</v>
      </c>
      <c r="E422">
        <v>36.9</v>
      </c>
      <c r="F422">
        <v>5074223</v>
      </c>
    </row>
    <row r="423" spans="1:6">
      <c r="A423" s="39">
        <v>42755</v>
      </c>
      <c r="B423">
        <v>37.11</v>
      </c>
      <c r="C423">
        <v>37.119999999999997</v>
      </c>
      <c r="D423">
        <v>36.76</v>
      </c>
      <c r="E423">
        <v>36.840000000000003</v>
      </c>
      <c r="F423">
        <v>5696303</v>
      </c>
    </row>
    <row r="424" spans="1:6">
      <c r="A424" s="39">
        <v>42758</v>
      </c>
      <c r="B424">
        <v>36.6</v>
      </c>
      <c r="C424">
        <v>36.75</v>
      </c>
      <c r="D424">
        <v>36.32</v>
      </c>
      <c r="E424">
        <v>36.619999999999997</v>
      </c>
      <c r="F424">
        <v>5470380</v>
      </c>
    </row>
    <row r="425" spans="1:6">
      <c r="A425" s="39">
        <v>42759</v>
      </c>
      <c r="B425">
        <v>36.54</v>
      </c>
      <c r="C425">
        <v>36.99</v>
      </c>
      <c r="D425">
        <v>36.54</v>
      </c>
      <c r="E425">
        <v>36.909999999999997</v>
      </c>
      <c r="F425">
        <v>6519273</v>
      </c>
    </row>
    <row r="426" spans="1:6">
      <c r="A426" s="39">
        <v>42760</v>
      </c>
      <c r="B426">
        <v>37.1</v>
      </c>
      <c r="C426">
        <v>37.130000000000003</v>
      </c>
      <c r="D426">
        <v>36.89</v>
      </c>
      <c r="E426">
        <v>37.03</v>
      </c>
      <c r="F426">
        <v>3977420</v>
      </c>
    </row>
    <row r="427" spans="1:6">
      <c r="A427" s="39">
        <v>42761</v>
      </c>
      <c r="B427">
        <v>36.96</v>
      </c>
      <c r="C427">
        <v>37.049999999999997</v>
      </c>
      <c r="D427">
        <v>36.590000000000003</v>
      </c>
      <c r="E427">
        <v>36.74</v>
      </c>
      <c r="F427">
        <v>4450055</v>
      </c>
    </row>
    <row r="428" spans="1:6">
      <c r="A428" s="39">
        <v>42762</v>
      </c>
      <c r="B428">
        <v>36.53</v>
      </c>
      <c r="C428">
        <v>36.65</v>
      </c>
      <c r="D428">
        <v>36.450000000000003</v>
      </c>
      <c r="E428">
        <v>36.58</v>
      </c>
      <c r="F428">
        <v>4242025</v>
      </c>
    </row>
    <row r="429" spans="1:6">
      <c r="A429" s="39">
        <v>42765</v>
      </c>
      <c r="B429">
        <v>36.090000000000003</v>
      </c>
      <c r="C429">
        <v>36.130000000000003</v>
      </c>
      <c r="D429">
        <v>35.729999999999997</v>
      </c>
      <c r="E429">
        <v>35.96</v>
      </c>
      <c r="F429">
        <v>7529379</v>
      </c>
    </row>
    <row r="430" spans="1:6">
      <c r="A430" s="39">
        <v>42766</v>
      </c>
      <c r="B430">
        <v>36.06</v>
      </c>
      <c r="C430">
        <v>36.15</v>
      </c>
      <c r="D430">
        <v>35.72</v>
      </c>
      <c r="E430">
        <v>35.979999999999997</v>
      </c>
      <c r="F430">
        <v>5467434</v>
      </c>
    </row>
    <row r="431" spans="1:6">
      <c r="A431" s="39">
        <v>42767</v>
      </c>
      <c r="B431">
        <v>36.18</v>
      </c>
      <c r="C431">
        <v>36.200000000000003</v>
      </c>
      <c r="D431">
        <v>35.81</v>
      </c>
      <c r="E431">
        <v>35.99</v>
      </c>
      <c r="F431">
        <v>7160611</v>
      </c>
    </row>
    <row r="432" spans="1:6">
      <c r="A432" s="39">
        <v>42768</v>
      </c>
      <c r="B432">
        <v>35.869999999999997</v>
      </c>
      <c r="C432">
        <v>35.979999999999997</v>
      </c>
      <c r="D432">
        <v>35.54</v>
      </c>
      <c r="E432">
        <v>35.79</v>
      </c>
      <c r="F432">
        <v>7642634</v>
      </c>
    </row>
    <row r="433" spans="1:6">
      <c r="A433" s="39">
        <v>42769</v>
      </c>
      <c r="B433">
        <v>35.92</v>
      </c>
      <c r="C433">
        <v>36.17</v>
      </c>
      <c r="D433">
        <v>35.799999999999997</v>
      </c>
      <c r="E433">
        <v>35.92</v>
      </c>
      <c r="F433">
        <v>5070434</v>
      </c>
    </row>
    <row r="434" spans="1:6">
      <c r="A434" s="39">
        <v>42772</v>
      </c>
      <c r="B434">
        <v>35.81</v>
      </c>
      <c r="C434">
        <v>35.92</v>
      </c>
      <c r="D434">
        <v>35.659999999999997</v>
      </c>
      <c r="E434">
        <v>35.82</v>
      </c>
      <c r="F434">
        <v>5848046</v>
      </c>
    </row>
    <row r="435" spans="1:6">
      <c r="A435" s="39">
        <v>42773</v>
      </c>
      <c r="B435">
        <v>34.770000000000003</v>
      </c>
      <c r="C435">
        <v>34.89</v>
      </c>
      <c r="D435">
        <v>34.15</v>
      </c>
      <c r="E435">
        <v>34.380000000000003</v>
      </c>
      <c r="F435">
        <v>17843224</v>
      </c>
    </row>
    <row r="436" spans="1:6">
      <c r="A436" s="39">
        <v>42774</v>
      </c>
      <c r="B436">
        <v>34.17</v>
      </c>
      <c r="C436">
        <v>34.46</v>
      </c>
      <c r="D436">
        <v>34</v>
      </c>
      <c r="E436">
        <v>34.43</v>
      </c>
      <c r="F436">
        <v>8322899</v>
      </c>
    </row>
    <row r="437" spans="1:6">
      <c r="A437" s="39">
        <v>42775</v>
      </c>
      <c r="B437">
        <v>34.86</v>
      </c>
      <c r="C437">
        <v>34.909999999999997</v>
      </c>
      <c r="D437">
        <v>34.409999999999997</v>
      </c>
      <c r="E437">
        <v>34.44</v>
      </c>
      <c r="F437">
        <v>8939965</v>
      </c>
    </row>
    <row r="438" spans="1:6">
      <c r="A438" s="39">
        <v>42776</v>
      </c>
      <c r="B438">
        <v>34.65</v>
      </c>
      <c r="C438">
        <v>34.71</v>
      </c>
      <c r="D438">
        <v>34.44</v>
      </c>
      <c r="E438">
        <v>34.53</v>
      </c>
      <c r="F438">
        <v>6389815</v>
      </c>
    </row>
    <row r="439" spans="1:6">
      <c r="A439" s="39">
        <v>42779</v>
      </c>
      <c r="B439">
        <v>34.57</v>
      </c>
      <c r="C439">
        <v>34.72</v>
      </c>
      <c r="D439">
        <v>34.520000000000003</v>
      </c>
      <c r="E439">
        <v>34.659999999999997</v>
      </c>
      <c r="F439">
        <v>6899224</v>
      </c>
    </row>
    <row r="440" spans="1:6">
      <c r="A440" s="39">
        <v>42780</v>
      </c>
      <c r="B440">
        <v>34.590000000000003</v>
      </c>
      <c r="C440">
        <v>34.61</v>
      </c>
      <c r="D440">
        <v>34.369999999999997</v>
      </c>
      <c r="E440">
        <v>34.58</v>
      </c>
      <c r="F440">
        <v>8026463</v>
      </c>
    </row>
    <row r="441" spans="1:6">
      <c r="A441" s="39">
        <v>42781</v>
      </c>
      <c r="B441">
        <v>33.799999999999997</v>
      </c>
      <c r="C441">
        <v>33.9</v>
      </c>
      <c r="D441">
        <v>33.71</v>
      </c>
      <c r="E441">
        <v>33.799999999999997</v>
      </c>
      <c r="F441">
        <v>7675121</v>
      </c>
    </row>
    <row r="442" spans="1:6">
      <c r="A442" s="39">
        <v>42782</v>
      </c>
      <c r="B442">
        <v>33.89</v>
      </c>
      <c r="C442">
        <v>34.1</v>
      </c>
      <c r="D442">
        <v>33.64</v>
      </c>
      <c r="E442">
        <v>33.68</v>
      </c>
      <c r="F442">
        <v>7511192</v>
      </c>
    </row>
    <row r="443" spans="1:6">
      <c r="A443" s="39">
        <v>42783</v>
      </c>
      <c r="B443">
        <v>33.53</v>
      </c>
      <c r="C443">
        <v>33.56</v>
      </c>
      <c r="D443">
        <v>33.33</v>
      </c>
      <c r="E443">
        <v>33.42</v>
      </c>
      <c r="F443">
        <v>6428329</v>
      </c>
    </row>
    <row r="444" spans="1:6">
      <c r="A444" s="39">
        <v>42787</v>
      </c>
      <c r="B444">
        <v>34.04</v>
      </c>
      <c r="C444">
        <v>34.11</v>
      </c>
      <c r="D444">
        <v>33.74</v>
      </c>
      <c r="E444">
        <v>33.83</v>
      </c>
      <c r="F444">
        <v>8189056</v>
      </c>
    </row>
    <row r="445" spans="1:6">
      <c r="A445" s="39">
        <v>42788</v>
      </c>
      <c r="B445">
        <v>33.53</v>
      </c>
      <c r="C445">
        <v>33.700000000000003</v>
      </c>
      <c r="D445">
        <v>33.380000000000003</v>
      </c>
      <c r="E445">
        <v>33.409999999999997</v>
      </c>
      <c r="F445">
        <v>6011139</v>
      </c>
    </row>
    <row r="446" spans="1:6">
      <c r="A446" s="39">
        <v>42789</v>
      </c>
      <c r="B446">
        <v>33.93</v>
      </c>
      <c r="C446">
        <v>34.090000000000003</v>
      </c>
      <c r="D446">
        <v>33.78</v>
      </c>
      <c r="E446">
        <v>33.86</v>
      </c>
      <c r="F446">
        <v>6922516</v>
      </c>
    </row>
    <row r="447" spans="1:6">
      <c r="A447" s="39">
        <v>42790</v>
      </c>
      <c r="B447">
        <v>33.58</v>
      </c>
      <c r="C447">
        <v>33.65</v>
      </c>
      <c r="D447">
        <v>33.42</v>
      </c>
      <c r="E447">
        <v>33.5</v>
      </c>
      <c r="F447">
        <v>6159755</v>
      </c>
    </row>
    <row r="448" spans="1:6">
      <c r="A448" s="39">
        <v>42793</v>
      </c>
      <c r="B448">
        <v>33.69</v>
      </c>
      <c r="C448">
        <v>34.04</v>
      </c>
      <c r="D448">
        <v>33.619999999999997</v>
      </c>
      <c r="E448">
        <v>33.979999999999997</v>
      </c>
      <c r="F448">
        <v>8594123</v>
      </c>
    </row>
    <row r="449" spans="1:6">
      <c r="A449" s="39">
        <v>42794</v>
      </c>
      <c r="B449">
        <v>33.909999999999997</v>
      </c>
      <c r="C449">
        <v>34.04</v>
      </c>
      <c r="D449">
        <v>33.840000000000003</v>
      </c>
      <c r="E449">
        <v>33.92</v>
      </c>
      <c r="F449">
        <v>7412665</v>
      </c>
    </row>
    <row r="450" spans="1:6">
      <c r="A450" s="39">
        <v>42795</v>
      </c>
      <c r="B450">
        <v>34.35</v>
      </c>
      <c r="C450">
        <v>34.46</v>
      </c>
      <c r="D450">
        <v>34.200000000000003</v>
      </c>
      <c r="E450">
        <v>34.229999999999997</v>
      </c>
      <c r="F450">
        <v>7408313</v>
      </c>
    </row>
    <row r="451" spans="1:6">
      <c r="A451" s="39">
        <v>42796</v>
      </c>
      <c r="B451">
        <v>34.19</v>
      </c>
      <c r="C451">
        <v>34.369999999999997</v>
      </c>
      <c r="D451">
        <v>34.090000000000003</v>
      </c>
      <c r="E451">
        <v>34.119999999999997</v>
      </c>
      <c r="F451">
        <v>5373370</v>
      </c>
    </row>
    <row r="452" spans="1:6">
      <c r="A452" s="39">
        <v>42797</v>
      </c>
      <c r="B452">
        <v>34.130000000000003</v>
      </c>
      <c r="C452">
        <v>34.24</v>
      </c>
      <c r="D452">
        <v>34.04</v>
      </c>
      <c r="E452">
        <v>34.090000000000003</v>
      </c>
      <c r="F452">
        <v>5293890</v>
      </c>
    </row>
    <row r="453" spans="1:6">
      <c r="A453" s="39">
        <v>42800</v>
      </c>
      <c r="B453">
        <v>33.93</v>
      </c>
      <c r="C453">
        <v>34.06</v>
      </c>
      <c r="D453">
        <v>33.85</v>
      </c>
      <c r="E453">
        <v>33.97</v>
      </c>
      <c r="F453">
        <v>4984533</v>
      </c>
    </row>
    <row r="454" spans="1:6">
      <c r="A454" s="39">
        <v>42801</v>
      </c>
      <c r="B454">
        <v>34.049999999999997</v>
      </c>
      <c r="C454">
        <v>34.049999999999997</v>
      </c>
      <c r="D454">
        <v>33.840000000000003</v>
      </c>
      <c r="E454">
        <v>33.869999999999997</v>
      </c>
      <c r="F454">
        <v>4198765</v>
      </c>
    </row>
    <row r="455" spans="1:6">
      <c r="A455" s="39">
        <v>42802</v>
      </c>
      <c r="B455">
        <v>33.75</v>
      </c>
      <c r="C455">
        <v>33.85</v>
      </c>
      <c r="D455">
        <v>33.26</v>
      </c>
      <c r="E455">
        <v>33.31</v>
      </c>
      <c r="F455">
        <v>6736987</v>
      </c>
    </row>
    <row r="456" spans="1:6">
      <c r="A456" s="39">
        <v>42803</v>
      </c>
      <c r="B456">
        <v>33.22</v>
      </c>
      <c r="C456">
        <v>33.5</v>
      </c>
      <c r="D456">
        <v>33.1</v>
      </c>
      <c r="E456">
        <v>33.5</v>
      </c>
      <c r="F456">
        <v>7067995</v>
      </c>
    </row>
    <row r="457" spans="1:6">
      <c r="A457" s="39">
        <v>42804</v>
      </c>
      <c r="B457">
        <v>34.44</v>
      </c>
      <c r="C457">
        <v>34.549999999999997</v>
      </c>
      <c r="D457">
        <v>34.18</v>
      </c>
      <c r="E457">
        <v>34.33</v>
      </c>
      <c r="F457">
        <v>20585934</v>
      </c>
    </row>
    <row r="458" spans="1:6">
      <c r="A458" s="39">
        <v>42807</v>
      </c>
      <c r="B458">
        <v>34.11</v>
      </c>
      <c r="C458">
        <v>34.29</v>
      </c>
      <c r="D458">
        <v>33.950000000000003</v>
      </c>
      <c r="E458">
        <v>34.07</v>
      </c>
      <c r="F458">
        <v>7785945</v>
      </c>
    </row>
    <row r="459" spans="1:6">
      <c r="A459" s="39">
        <v>42808</v>
      </c>
      <c r="B459">
        <v>33.74</v>
      </c>
      <c r="C459">
        <v>33.74</v>
      </c>
      <c r="D459">
        <v>33.28</v>
      </c>
      <c r="E459">
        <v>33.43</v>
      </c>
      <c r="F459">
        <v>8722622</v>
      </c>
    </row>
    <row r="460" spans="1:6">
      <c r="A460" s="39">
        <v>42809</v>
      </c>
      <c r="B460">
        <v>33.590000000000003</v>
      </c>
      <c r="C460">
        <v>33.86</v>
      </c>
      <c r="D460">
        <v>33.47</v>
      </c>
      <c r="E460">
        <v>33.78</v>
      </c>
      <c r="F460">
        <v>8938962</v>
      </c>
    </row>
    <row r="461" spans="1:6">
      <c r="A461" s="39">
        <v>42810</v>
      </c>
      <c r="B461">
        <v>34.08</v>
      </c>
      <c r="C461">
        <v>34.14</v>
      </c>
      <c r="D461">
        <v>33.85</v>
      </c>
      <c r="E461">
        <v>34.020000000000003</v>
      </c>
      <c r="F461">
        <v>7129466</v>
      </c>
    </row>
    <row r="462" spans="1:6">
      <c r="A462" s="39">
        <v>42811</v>
      </c>
      <c r="B462">
        <v>34.32</v>
      </c>
      <c r="C462">
        <v>34.39</v>
      </c>
      <c r="D462">
        <v>34.17</v>
      </c>
      <c r="E462">
        <v>34.28</v>
      </c>
      <c r="F462">
        <v>4572084</v>
      </c>
    </row>
    <row r="463" spans="1:6">
      <c r="A463" s="39">
        <v>42814</v>
      </c>
      <c r="B463">
        <v>34.130000000000003</v>
      </c>
      <c r="C463">
        <v>34.24</v>
      </c>
      <c r="D463">
        <v>34.06</v>
      </c>
      <c r="E463">
        <v>34.19</v>
      </c>
      <c r="F463">
        <v>4048851</v>
      </c>
    </row>
    <row r="464" spans="1:6">
      <c r="A464" s="39">
        <v>42815</v>
      </c>
      <c r="B464">
        <v>34.51</v>
      </c>
      <c r="C464">
        <v>34.53</v>
      </c>
      <c r="D464">
        <v>34.090000000000003</v>
      </c>
      <c r="E464">
        <v>34.24</v>
      </c>
      <c r="F464">
        <v>5606138</v>
      </c>
    </row>
    <row r="465" spans="1:6">
      <c r="A465" s="39">
        <v>42816</v>
      </c>
      <c r="B465">
        <v>33.99</v>
      </c>
      <c r="C465">
        <v>34.090000000000003</v>
      </c>
      <c r="D465">
        <v>33.799999999999997</v>
      </c>
      <c r="E465">
        <v>33.99</v>
      </c>
      <c r="F465">
        <v>4983389</v>
      </c>
    </row>
    <row r="466" spans="1:6">
      <c r="A466" s="39">
        <v>42817</v>
      </c>
      <c r="B466">
        <v>33.9</v>
      </c>
      <c r="C466">
        <v>34.270000000000003</v>
      </c>
      <c r="D466">
        <v>33.86</v>
      </c>
      <c r="E466">
        <v>34.06</v>
      </c>
      <c r="F466">
        <v>5184255</v>
      </c>
    </row>
    <row r="467" spans="1:6">
      <c r="A467" s="39">
        <v>42818</v>
      </c>
      <c r="B467">
        <v>33.880000000000003</v>
      </c>
      <c r="C467">
        <v>33.909999999999997</v>
      </c>
      <c r="D467">
        <v>33.74</v>
      </c>
      <c r="E467">
        <v>33.78</v>
      </c>
      <c r="F467">
        <v>4488634</v>
      </c>
    </row>
    <row r="468" spans="1:6">
      <c r="A468" s="39">
        <v>42821</v>
      </c>
      <c r="B468">
        <v>33.619999999999997</v>
      </c>
      <c r="C468">
        <v>33.85</v>
      </c>
      <c r="D468">
        <v>33.57</v>
      </c>
      <c r="E468">
        <v>33.75</v>
      </c>
      <c r="F468">
        <v>3404986</v>
      </c>
    </row>
    <row r="469" spans="1:6">
      <c r="A469" s="39">
        <v>42822</v>
      </c>
      <c r="B469">
        <v>33.78</v>
      </c>
      <c r="C469">
        <v>34.06</v>
      </c>
      <c r="D469">
        <v>33.71</v>
      </c>
      <c r="E469">
        <v>33.92</v>
      </c>
      <c r="F469">
        <v>5863586</v>
      </c>
    </row>
    <row r="470" spans="1:6">
      <c r="A470" s="39">
        <v>42823</v>
      </c>
      <c r="B470">
        <v>33.880000000000003</v>
      </c>
      <c r="C470">
        <v>34.5</v>
      </c>
      <c r="D470">
        <v>33.86</v>
      </c>
      <c r="E470">
        <v>34.43</v>
      </c>
      <c r="F470">
        <v>5369612</v>
      </c>
    </row>
    <row r="471" spans="1:6">
      <c r="A471" s="39">
        <v>42824</v>
      </c>
      <c r="B471">
        <v>34.56</v>
      </c>
      <c r="C471">
        <v>34.61</v>
      </c>
      <c r="D471">
        <v>34.340000000000003</v>
      </c>
      <c r="E471">
        <v>34.520000000000003</v>
      </c>
      <c r="F471">
        <v>5921137</v>
      </c>
    </row>
    <row r="472" spans="1:6">
      <c r="A472" s="39">
        <v>42825</v>
      </c>
      <c r="B472">
        <v>34.46</v>
      </c>
      <c r="C472">
        <v>34.53</v>
      </c>
      <c r="D472">
        <v>34.33</v>
      </c>
      <c r="E472">
        <v>34.520000000000003</v>
      </c>
      <c r="F472">
        <v>4835262</v>
      </c>
    </row>
    <row r="473" spans="1:6">
      <c r="A473" s="39">
        <v>42828</v>
      </c>
      <c r="B473">
        <v>34.590000000000003</v>
      </c>
      <c r="C473">
        <v>34.630000000000003</v>
      </c>
      <c r="D473">
        <v>34.020000000000003</v>
      </c>
      <c r="E473">
        <v>34.4</v>
      </c>
      <c r="F473">
        <v>5370420</v>
      </c>
    </row>
    <row r="474" spans="1:6">
      <c r="A474" s="39">
        <v>42829</v>
      </c>
      <c r="B474">
        <v>34.520000000000003</v>
      </c>
      <c r="C474">
        <v>34.799999999999997</v>
      </c>
      <c r="D474">
        <v>34.32</v>
      </c>
      <c r="E474">
        <v>34.79</v>
      </c>
      <c r="F474">
        <v>5367846</v>
      </c>
    </row>
    <row r="475" spans="1:6">
      <c r="A475" s="39">
        <v>42830</v>
      </c>
      <c r="B475">
        <v>35.049999999999997</v>
      </c>
      <c r="C475">
        <v>35.270000000000003</v>
      </c>
      <c r="D475">
        <v>34.57</v>
      </c>
      <c r="E475">
        <v>34.590000000000003</v>
      </c>
      <c r="F475">
        <v>7381383</v>
      </c>
    </row>
    <row r="476" spans="1:6">
      <c r="A476" s="39">
        <v>42831</v>
      </c>
      <c r="B476">
        <v>34.58</v>
      </c>
      <c r="C476">
        <v>34.93</v>
      </c>
      <c r="D476">
        <v>34.53</v>
      </c>
      <c r="E476">
        <v>34.729999999999997</v>
      </c>
      <c r="F476">
        <v>5873693</v>
      </c>
    </row>
    <row r="477" spans="1:6">
      <c r="A477" s="39">
        <v>42832</v>
      </c>
      <c r="B477">
        <v>34.83</v>
      </c>
      <c r="C477">
        <v>34.99</v>
      </c>
      <c r="D477">
        <v>34.76</v>
      </c>
      <c r="E477">
        <v>34.85</v>
      </c>
      <c r="F477">
        <v>4186844</v>
      </c>
    </row>
    <row r="478" spans="1:6">
      <c r="A478" s="39">
        <v>42835</v>
      </c>
      <c r="B478">
        <v>34.81</v>
      </c>
      <c r="C478">
        <v>35.1</v>
      </c>
      <c r="D478">
        <v>34.799999999999997</v>
      </c>
      <c r="E478">
        <v>35.090000000000003</v>
      </c>
      <c r="F478">
        <v>5072492</v>
      </c>
    </row>
    <row r="479" spans="1:6">
      <c r="A479" s="39">
        <v>42836</v>
      </c>
      <c r="B479">
        <v>35.24</v>
      </c>
      <c r="C479">
        <v>35.4</v>
      </c>
      <c r="D479">
        <v>34.92</v>
      </c>
      <c r="E479">
        <v>35.369999999999997</v>
      </c>
      <c r="F479">
        <v>7661436</v>
      </c>
    </row>
    <row r="480" spans="1:6">
      <c r="A480" s="39">
        <v>42837</v>
      </c>
      <c r="B480">
        <v>35.4</v>
      </c>
      <c r="C480">
        <v>35.69</v>
      </c>
      <c r="D480">
        <v>35.299999999999997</v>
      </c>
      <c r="E480">
        <v>35.450000000000003</v>
      </c>
      <c r="F480">
        <v>6585917</v>
      </c>
    </row>
    <row r="481" spans="1:6">
      <c r="A481" s="39">
        <v>42838</v>
      </c>
      <c r="B481">
        <v>35.28</v>
      </c>
      <c r="C481">
        <v>35.44</v>
      </c>
      <c r="D481">
        <v>34.93</v>
      </c>
      <c r="E481">
        <v>34.99</v>
      </c>
      <c r="F481">
        <v>8907208</v>
      </c>
    </row>
    <row r="482" spans="1:6">
      <c r="A482" s="39">
        <v>42842</v>
      </c>
      <c r="B482">
        <v>34.94</v>
      </c>
      <c r="C482">
        <v>35.06</v>
      </c>
      <c r="D482">
        <v>34.71</v>
      </c>
      <c r="E482">
        <v>35.03</v>
      </c>
      <c r="F482">
        <v>5283144</v>
      </c>
    </row>
    <row r="483" spans="1:6">
      <c r="A483" s="39">
        <v>42843</v>
      </c>
      <c r="B483">
        <v>34.74</v>
      </c>
      <c r="C483">
        <v>34.94</v>
      </c>
      <c r="D483">
        <v>34.450000000000003</v>
      </c>
      <c r="E483">
        <v>34.67</v>
      </c>
      <c r="F483">
        <v>6567270</v>
      </c>
    </row>
    <row r="484" spans="1:6">
      <c r="A484" s="39">
        <v>42844</v>
      </c>
      <c r="B484">
        <v>34.61</v>
      </c>
      <c r="C484">
        <v>34.67</v>
      </c>
      <c r="D484">
        <v>34.049999999999997</v>
      </c>
      <c r="E484">
        <v>34.14</v>
      </c>
      <c r="F484">
        <v>7082771</v>
      </c>
    </row>
    <row r="485" spans="1:6">
      <c r="A485" s="39">
        <v>42845</v>
      </c>
      <c r="B485">
        <v>34.229999999999997</v>
      </c>
      <c r="C485">
        <v>34.4</v>
      </c>
      <c r="D485">
        <v>34.14</v>
      </c>
      <c r="E485">
        <v>34.15</v>
      </c>
      <c r="F485">
        <v>5689632</v>
      </c>
    </row>
    <row r="486" spans="1:6">
      <c r="A486" s="39">
        <v>42846</v>
      </c>
      <c r="B486">
        <v>34.03</v>
      </c>
      <c r="C486">
        <v>34.11</v>
      </c>
      <c r="D486">
        <v>33.83</v>
      </c>
      <c r="E486">
        <v>34</v>
      </c>
      <c r="F486">
        <v>5437766</v>
      </c>
    </row>
    <row r="487" spans="1:6">
      <c r="A487" s="39">
        <v>42849</v>
      </c>
      <c r="B487">
        <v>34.39</v>
      </c>
      <c r="C487">
        <v>34.56</v>
      </c>
      <c r="D487">
        <v>34.32</v>
      </c>
      <c r="E487">
        <v>34.450000000000003</v>
      </c>
      <c r="F487">
        <v>4980421</v>
      </c>
    </row>
    <row r="488" spans="1:6">
      <c r="A488" s="39">
        <v>42850</v>
      </c>
      <c r="B488">
        <v>34.549999999999997</v>
      </c>
      <c r="C488">
        <v>34.69</v>
      </c>
      <c r="D488">
        <v>34.49</v>
      </c>
      <c r="E488">
        <v>34.659999999999997</v>
      </c>
      <c r="F488">
        <v>4428868</v>
      </c>
    </row>
    <row r="489" spans="1:6">
      <c r="A489" s="39">
        <v>42851</v>
      </c>
      <c r="B489">
        <v>34.57</v>
      </c>
      <c r="C489">
        <v>35.01</v>
      </c>
      <c r="D489">
        <v>34.520000000000003</v>
      </c>
      <c r="E489">
        <v>34.659999999999997</v>
      </c>
      <c r="F489">
        <v>6208108</v>
      </c>
    </row>
    <row r="490" spans="1:6">
      <c r="A490" s="39">
        <v>42852</v>
      </c>
      <c r="B490">
        <v>34.520000000000003</v>
      </c>
      <c r="C490">
        <v>34.53</v>
      </c>
      <c r="D490">
        <v>34.1</v>
      </c>
      <c r="E490">
        <v>34.4</v>
      </c>
      <c r="F490">
        <v>5884790</v>
      </c>
    </row>
    <row r="491" spans="1:6">
      <c r="A491" s="39">
        <v>42853</v>
      </c>
      <c r="B491">
        <v>34.340000000000003</v>
      </c>
      <c r="C491">
        <v>34.5</v>
      </c>
      <c r="D491">
        <v>34.26</v>
      </c>
      <c r="E491">
        <v>34.32</v>
      </c>
      <c r="F491">
        <v>4257851</v>
      </c>
    </row>
    <row r="492" spans="1:6">
      <c r="A492" s="39">
        <v>42856</v>
      </c>
      <c r="B492">
        <v>34.33</v>
      </c>
      <c r="C492">
        <v>34.590000000000003</v>
      </c>
      <c r="D492">
        <v>34.26</v>
      </c>
      <c r="E492">
        <v>34.32</v>
      </c>
      <c r="F492">
        <v>5488794</v>
      </c>
    </row>
    <row r="493" spans="1:6">
      <c r="A493" s="39">
        <v>42857</v>
      </c>
      <c r="B493">
        <v>34.82</v>
      </c>
      <c r="C493">
        <v>35.18</v>
      </c>
      <c r="D493">
        <v>34.67</v>
      </c>
      <c r="E493">
        <v>34.75</v>
      </c>
      <c r="F493">
        <v>8663514</v>
      </c>
    </row>
    <row r="494" spans="1:6">
      <c r="A494" s="39">
        <v>42858</v>
      </c>
      <c r="B494">
        <v>34.6</v>
      </c>
      <c r="C494">
        <v>34.79</v>
      </c>
      <c r="D494">
        <v>34.44</v>
      </c>
      <c r="E494">
        <v>34.69</v>
      </c>
      <c r="F494">
        <v>5648174</v>
      </c>
    </row>
    <row r="495" spans="1:6">
      <c r="A495" s="39">
        <v>42859</v>
      </c>
      <c r="B495">
        <v>34.43</v>
      </c>
      <c r="C495">
        <v>34.479999999999997</v>
      </c>
      <c r="D495">
        <v>34.21</v>
      </c>
      <c r="E495">
        <v>34.32</v>
      </c>
      <c r="F495">
        <v>5219771</v>
      </c>
    </row>
    <row r="496" spans="1:6">
      <c r="A496" s="39">
        <v>42860</v>
      </c>
      <c r="B496">
        <v>34.67</v>
      </c>
      <c r="C496">
        <v>35.32</v>
      </c>
      <c r="D496">
        <v>34.619999999999997</v>
      </c>
      <c r="E496">
        <v>35.299999999999997</v>
      </c>
      <c r="F496">
        <v>6863475</v>
      </c>
    </row>
    <row r="497" spans="1:6">
      <c r="A497" s="39">
        <v>42863</v>
      </c>
      <c r="B497">
        <v>35.32</v>
      </c>
      <c r="C497">
        <v>35.479999999999997</v>
      </c>
      <c r="D497">
        <v>35.17</v>
      </c>
      <c r="E497">
        <v>35.43</v>
      </c>
      <c r="F497">
        <v>5413162</v>
      </c>
    </row>
    <row r="498" spans="1:6">
      <c r="A498" s="39">
        <v>42864</v>
      </c>
      <c r="B498">
        <v>35.44</v>
      </c>
      <c r="C498">
        <v>35.5</v>
      </c>
      <c r="D498">
        <v>35.26</v>
      </c>
      <c r="E498">
        <v>35.35</v>
      </c>
      <c r="F498">
        <v>6777182</v>
      </c>
    </row>
    <row r="499" spans="1:6">
      <c r="A499" s="39">
        <v>42865</v>
      </c>
      <c r="B499">
        <v>35.24</v>
      </c>
      <c r="C499">
        <v>35.32</v>
      </c>
      <c r="D499">
        <v>35</v>
      </c>
      <c r="E499">
        <v>35.01</v>
      </c>
      <c r="F499">
        <v>5699130</v>
      </c>
    </row>
    <row r="500" spans="1:6">
      <c r="A500" s="39">
        <v>42866</v>
      </c>
      <c r="B500">
        <v>35.11</v>
      </c>
      <c r="C500">
        <v>35.29</v>
      </c>
      <c r="D500">
        <v>35.020000000000003</v>
      </c>
      <c r="E500">
        <v>35.21</v>
      </c>
      <c r="F500">
        <v>6670568</v>
      </c>
    </row>
    <row r="501" spans="1:6">
      <c r="A501" s="39">
        <v>42867</v>
      </c>
      <c r="B501">
        <v>35.22</v>
      </c>
      <c r="C501">
        <v>35.5</v>
      </c>
      <c r="D501">
        <v>35.22</v>
      </c>
      <c r="E501">
        <v>35.39</v>
      </c>
      <c r="F501">
        <v>4780470</v>
      </c>
    </row>
    <row r="502" spans="1:6">
      <c r="A502" s="39">
        <v>42870</v>
      </c>
      <c r="B502">
        <v>36.1</v>
      </c>
      <c r="C502">
        <v>36.1</v>
      </c>
      <c r="D502">
        <v>35.65</v>
      </c>
      <c r="E502">
        <v>35.71</v>
      </c>
      <c r="F502">
        <v>8786220</v>
      </c>
    </row>
    <row r="503" spans="1:6">
      <c r="A503" s="39">
        <v>42871</v>
      </c>
      <c r="B503">
        <v>36.24</v>
      </c>
      <c r="C503">
        <v>36.479999999999997</v>
      </c>
      <c r="D503">
        <v>36.18</v>
      </c>
      <c r="E503">
        <v>36.24</v>
      </c>
      <c r="F503">
        <v>9797626</v>
      </c>
    </row>
    <row r="504" spans="1:6">
      <c r="A504" s="39">
        <v>42872</v>
      </c>
      <c r="B504">
        <v>36.479999999999997</v>
      </c>
      <c r="C504">
        <v>36.6</v>
      </c>
      <c r="D504">
        <v>36.17</v>
      </c>
      <c r="E504">
        <v>36.17</v>
      </c>
      <c r="F504">
        <v>9600977</v>
      </c>
    </row>
    <row r="505" spans="1:6">
      <c r="A505" s="39">
        <v>42873</v>
      </c>
      <c r="B505">
        <v>36.299999999999997</v>
      </c>
      <c r="C505">
        <v>36.700000000000003</v>
      </c>
      <c r="D505">
        <v>36.1</v>
      </c>
      <c r="E505">
        <v>36.51</v>
      </c>
      <c r="F505">
        <v>10847060</v>
      </c>
    </row>
    <row r="506" spans="1:6">
      <c r="A506" s="39">
        <v>42874</v>
      </c>
      <c r="B506">
        <v>36.96</v>
      </c>
      <c r="C506">
        <v>37.1</v>
      </c>
      <c r="D506">
        <v>36.83</v>
      </c>
      <c r="E506">
        <v>36.94</v>
      </c>
      <c r="F506">
        <v>6528239</v>
      </c>
    </row>
  </sheetData>
  <sortState ref="A3:F506">
    <sortCondition ref="A3:A506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06"/>
  <sheetViews>
    <sheetView workbookViewId="0"/>
  </sheetViews>
  <sheetFormatPr defaultRowHeight="15"/>
  <cols>
    <col min="1" max="7" width="10.7109375" customWidth="1"/>
  </cols>
  <sheetData>
    <row r="1" spans="1:6">
      <c r="A1" t="s">
        <v>69</v>
      </c>
    </row>
    <row r="2" spans="1:6">
      <c r="A2" t="s">
        <v>26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</row>
    <row r="3" spans="1:6">
      <c r="A3" s="39">
        <v>42145</v>
      </c>
      <c r="B3">
        <v>43.06</v>
      </c>
      <c r="C3">
        <v>43.86</v>
      </c>
      <c r="D3">
        <v>43.05</v>
      </c>
      <c r="E3">
        <v>43.68</v>
      </c>
      <c r="F3">
        <v>30404288</v>
      </c>
    </row>
    <row r="4" spans="1:6">
      <c r="A4" s="39">
        <v>42146</v>
      </c>
      <c r="B4">
        <v>43.58</v>
      </c>
      <c r="C4">
        <v>44</v>
      </c>
      <c r="D4">
        <v>43.47</v>
      </c>
      <c r="E4">
        <v>43.48</v>
      </c>
      <c r="F4">
        <v>10279385</v>
      </c>
    </row>
    <row r="5" spans="1:6">
      <c r="A5" s="39">
        <v>42150</v>
      </c>
      <c r="B5">
        <v>43.41</v>
      </c>
      <c r="C5">
        <v>43.5</v>
      </c>
      <c r="D5">
        <v>42.58</v>
      </c>
      <c r="E5">
        <v>42.85</v>
      </c>
      <c r="F5">
        <v>12796030</v>
      </c>
    </row>
    <row r="6" spans="1:6">
      <c r="A6" s="39">
        <v>42151</v>
      </c>
      <c r="B6">
        <v>42.6</v>
      </c>
      <c r="C6">
        <v>43.44</v>
      </c>
      <c r="D6">
        <v>42.28</v>
      </c>
      <c r="E6">
        <v>43.38</v>
      </c>
      <c r="F6">
        <v>13686517</v>
      </c>
    </row>
    <row r="7" spans="1:6">
      <c r="A7" s="39">
        <v>42152</v>
      </c>
      <c r="B7">
        <v>43.06</v>
      </c>
      <c r="C7">
        <v>43.42</v>
      </c>
      <c r="D7">
        <v>42.93</v>
      </c>
      <c r="E7">
        <v>43.07</v>
      </c>
      <c r="F7">
        <v>9414041</v>
      </c>
    </row>
    <row r="8" spans="1:6">
      <c r="A8" s="39">
        <v>42153</v>
      </c>
      <c r="B8">
        <v>43.45</v>
      </c>
      <c r="C8">
        <v>43.59</v>
      </c>
      <c r="D8">
        <v>42.81</v>
      </c>
      <c r="E8">
        <v>42.94</v>
      </c>
      <c r="F8">
        <v>10927975</v>
      </c>
    </row>
    <row r="9" spans="1:6">
      <c r="A9" s="39">
        <v>42156</v>
      </c>
      <c r="B9">
        <v>43.05</v>
      </c>
      <c r="C9">
        <v>43.63</v>
      </c>
      <c r="D9">
        <v>42.91</v>
      </c>
      <c r="E9">
        <v>43.35</v>
      </c>
      <c r="F9">
        <v>11152854</v>
      </c>
    </row>
    <row r="10" spans="1:6">
      <c r="A10" s="39">
        <v>42157</v>
      </c>
      <c r="B10">
        <v>43.18</v>
      </c>
      <c r="C10">
        <v>43.62</v>
      </c>
      <c r="D10">
        <v>42.92</v>
      </c>
      <c r="E10">
        <v>43.15</v>
      </c>
      <c r="F10">
        <v>8866474</v>
      </c>
    </row>
    <row r="11" spans="1:6">
      <c r="A11" s="39">
        <v>42158</v>
      </c>
      <c r="B11">
        <v>43.3</v>
      </c>
      <c r="C11">
        <v>43.78</v>
      </c>
      <c r="D11">
        <v>42.98</v>
      </c>
      <c r="E11">
        <v>43.21</v>
      </c>
      <c r="F11">
        <v>11893374</v>
      </c>
    </row>
    <row r="12" spans="1:6">
      <c r="A12" s="39">
        <v>42159</v>
      </c>
      <c r="B12">
        <v>43.09</v>
      </c>
      <c r="C12">
        <v>43.44</v>
      </c>
      <c r="D12">
        <v>42.76</v>
      </c>
      <c r="E12">
        <v>42.88</v>
      </c>
      <c r="F12">
        <v>10033370</v>
      </c>
    </row>
    <row r="13" spans="1:6">
      <c r="A13" s="39">
        <v>42160</v>
      </c>
      <c r="B13">
        <v>42.83</v>
      </c>
      <c r="C13">
        <v>43.26</v>
      </c>
      <c r="D13">
        <v>42.7</v>
      </c>
      <c r="E13">
        <v>42.81</v>
      </c>
      <c r="F13">
        <v>9831129</v>
      </c>
    </row>
    <row r="14" spans="1:6">
      <c r="A14" s="39">
        <v>42163</v>
      </c>
      <c r="B14">
        <v>42.72</v>
      </c>
      <c r="C14">
        <v>42.89</v>
      </c>
      <c r="D14">
        <v>42</v>
      </c>
      <c r="E14">
        <v>42.01</v>
      </c>
      <c r="F14">
        <v>7625508</v>
      </c>
    </row>
    <row r="15" spans="1:6">
      <c r="A15" s="39">
        <v>42164</v>
      </c>
      <c r="B15">
        <v>41.92</v>
      </c>
      <c r="C15">
        <v>41.95</v>
      </c>
      <c r="D15">
        <v>41.02</v>
      </c>
      <c r="E15">
        <v>41.63</v>
      </c>
      <c r="F15">
        <v>11995156</v>
      </c>
    </row>
    <row r="16" spans="1:6">
      <c r="A16" s="39">
        <v>42165</v>
      </c>
      <c r="B16">
        <v>41.7</v>
      </c>
      <c r="C16">
        <v>42.31</v>
      </c>
      <c r="D16">
        <v>41.69</v>
      </c>
      <c r="E16">
        <v>42.06</v>
      </c>
      <c r="F16">
        <v>7943818</v>
      </c>
    </row>
    <row r="17" spans="1:6">
      <c r="A17" s="39">
        <v>42166</v>
      </c>
      <c r="B17">
        <v>42.09</v>
      </c>
      <c r="C17">
        <v>42.21</v>
      </c>
      <c r="D17">
        <v>40.549999999999997</v>
      </c>
      <c r="E17">
        <v>40.94</v>
      </c>
      <c r="F17">
        <v>23694968</v>
      </c>
    </row>
    <row r="18" spans="1:6">
      <c r="A18" s="39">
        <v>42167</v>
      </c>
      <c r="B18">
        <v>40.770000000000003</v>
      </c>
      <c r="C18">
        <v>41.11</v>
      </c>
      <c r="D18">
        <v>40.46</v>
      </c>
      <c r="E18">
        <v>40.520000000000003</v>
      </c>
      <c r="F18">
        <v>9232651</v>
      </c>
    </row>
    <row r="19" spans="1:6">
      <c r="A19" s="39">
        <v>42170</v>
      </c>
      <c r="B19">
        <v>40.24</v>
      </c>
      <c r="C19">
        <v>40.67</v>
      </c>
      <c r="D19">
        <v>40.21</v>
      </c>
      <c r="E19">
        <v>40.47</v>
      </c>
      <c r="F19">
        <v>10876265</v>
      </c>
    </row>
    <row r="20" spans="1:6">
      <c r="A20" s="39">
        <v>42171</v>
      </c>
      <c r="B20">
        <v>40.35</v>
      </c>
      <c r="C20">
        <v>41.4</v>
      </c>
      <c r="D20">
        <v>40.020000000000003</v>
      </c>
      <c r="E20">
        <v>40.64</v>
      </c>
      <c r="F20">
        <v>20454539</v>
      </c>
    </row>
    <row r="21" spans="1:6">
      <c r="A21" s="39">
        <v>42172</v>
      </c>
      <c r="B21">
        <v>40.799999999999997</v>
      </c>
      <c r="C21">
        <v>41.52</v>
      </c>
      <c r="D21">
        <v>40.78</v>
      </c>
      <c r="E21">
        <v>40.96</v>
      </c>
      <c r="F21">
        <v>11943076</v>
      </c>
    </row>
    <row r="22" spans="1:6">
      <c r="A22" s="39">
        <v>42173</v>
      </c>
      <c r="B22">
        <v>41.04</v>
      </c>
      <c r="C22">
        <v>41.27</v>
      </c>
      <c r="D22">
        <v>40.79</v>
      </c>
      <c r="E22">
        <v>40.909999999999997</v>
      </c>
      <c r="F22">
        <v>10017568</v>
      </c>
    </row>
    <row r="23" spans="1:6">
      <c r="A23" s="39">
        <v>42174</v>
      </c>
      <c r="B23">
        <v>40.9</v>
      </c>
      <c r="C23">
        <v>40.93</v>
      </c>
      <c r="D23">
        <v>40.369999999999997</v>
      </c>
      <c r="E23">
        <v>40.51</v>
      </c>
      <c r="F23">
        <v>11661459</v>
      </c>
    </row>
    <row r="24" spans="1:6">
      <c r="A24" s="39">
        <v>42177</v>
      </c>
      <c r="B24">
        <v>40.659999999999997</v>
      </c>
      <c r="C24">
        <v>40.89</v>
      </c>
      <c r="D24">
        <v>40.54</v>
      </c>
      <c r="E24">
        <v>40.729999999999997</v>
      </c>
      <c r="F24">
        <v>6141546</v>
      </c>
    </row>
    <row r="25" spans="1:6">
      <c r="A25" s="39">
        <v>42178</v>
      </c>
      <c r="B25">
        <v>40.74</v>
      </c>
      <c r="C25">
        <v>40.799999999999997</v>
      </c>
      <c r="D25">
        <v>40.51</v>
      </c>
      <c r="E25">
        <v>40.65</v>
      </c>
      <c r="F25">
        <v>6860632</v>
      </c>
    </row>
    <row r="26" spans="1:6">
      <c r="A26" s="39">
        <v>42179</v>
      </c>
      <c r="B26">
        <v>40.68</v>
      </c>
      <c r="C26">
        <v>41.23</v>
      </c>
      <c r="D26">
        <v>40.58</v>
      </c>
      <c r="E26">
        <v>40.94</v>
      </c>
      <c r="F26">
        <v>11462231</v>
      </c>
    </row>
    <row r="27" spans="1:6">
      <c r="A27" s="39">
        <v>42180</v>
      </c>
      <c r="B27">
        <v>41.1</v>
      </c>
      <c r="C27">
        <v>41.38</v>
      </c>
      <c r="D27">
        <v>40.9</v>
      </c>
      <c r="E27">
        <v>41.06</v>
      </c>
      <c r="F27">
        <v>10776219</v>
      </c>
    </row>
    <row r="28" spans="1:6">
      <c r="A28" s="39">
        <v>42181</v>
      </c>
      <c r="B28">
        <v>40.83</v>
      </c>
      <c r="C28">
        <v>41.06</v>
      </c>
      <c r="D28">
        <v>39.93</v>
      </c>
      <c r="E28">
        <v>40.06</v>
      </c>
      <c r="F28">
        <v>16430945</v>
      </c>
    </row>
    <row r="29" spans="1:6">
      <c r="A29" s="39">
        <v>42184</v>
      </c>
      <c r="B29">
        <v>39.49</v>
      </c>
      <c r="C29">
        <v>39.78</v>
      </c>
      <c r="D29">
        <v>38.85</v>
      </c>
      <c r="E29">
        <v>38.909999999999997</v>
      </c>
      <c r="F29">
        <v>12481317</v>
      </c>
    </row>
    <row r="30" spans="1:6">
      <c r="A30" s="39">
        <v>42185</v>
      </c>
      <c r="B30">
        <v>39.39</v>
      </c>
      <c r="C30">
        <v>39.65</v>
      </c>
      <c r="D30">
        <v>39.19</v>
      </c>
      <c r="E30">
        <v>39.29</v>
      </c>
      <c r="F30">
        <v>11258342</v>
      </c>
    </row>
    <row r="31" spans="1:6">
      <c r="A31" s="39">
        <v>42186</v>
      </c>
      <c r="B31">
        <v>39.46</v>
      </c>
      <c r="C31">
        <v>39.78</v>
      </c>
      <c r="D31">
        <v>39.15</v>
      </c>
      <c r="E31">
        <v>39.33</v>
      </c>
      <c r="F31">
        <v>6398439</v>
      </c>
    </row>
    <row r="32" spans="1:6">
      <c r="A32" s="39">
        <v>42187</v>
      </c>
      <c r="B32">
        <v>39.26</v>
      </c>
      <c r="C32">
        <v>39.64</v>
      </c>
      <c r="D32">
        <v>39.19</v>
      </c>
      <c r="E32">
        <v>39.380000000000003</v>
      </c>
      <c r="F32">
        <v>7712994</v>
      </c>
    </row>
    <row r="33" spans="1:6">
      <c r="A33" s="39">
        <v>42191</v>
      </c>
      <c r="B33">
        <v>38.76</v>
      </c>
      <c r="C33">
        <v>39.119999999999997</v>
      </c>
      <c r="D33">
        <v>38.46</v>
      </c>
      <c r="E33">
        <v>38.61</v>
      </c>
      <c r="F33">
        <v>11803417</v>
      </c>
    </row>
    <row r="34" spans="1:6">
      <c r="A34" s="39">
        <v>42192</v>
      </c>
      <c r="B34">
        <v>38.24</v>
      </c>
      <c r="C34">
        <v>38.380000000000003</v>
      </c>
      <c r="D34">
        <v>36.58</v>
      </c>
      <c r="E34">
        <v>38.229999999999997</v>
      </c>
      <c r="F34">
        <v>19432474</v>
      </c>
    </row>
    <row r="35" spans="1:6">
      <c r="A35" s="39">
        <v>42193</v>
      </c>
      <c r="B35">
        <v>37.200000000000003</v>
      </c>
      <c r="C35">
        <v>37.49</v>
      </c>
      <c r="D35">
        <v>36.94</v>
      </c>
      <c r="E35">
        <v>37.229999999999997</v>
      </c>
      <c r="F35">
        <v>20529176</v>
      </c>
    </row>
    <row r="36" spans="1:6">
      <c r="A36" s="39">
        <v>42194</v>
      </c>
      <c r="B36">
        <v>38.229999999999997</v>
      </c>
      <c r="C36">
        <v>38.68</v>
      </c>
      <c r="D36">
        <v>37.520000000000003</v>
      </c>
      <c r="E36">
        <v>37.61</v>
      </c>
      <c r="F36">
        <v>16909387</v>
      </c>
    </row>
    <row r="37" spans="1:6">
      <c r="A37" s="39">
        <v>42195</v>
      </c>
      <c r="B37">
        <v>38.35</v>
      </c>
      <c r="C37">
        <v>38.42</v>
      </c>
      <c r="D37">
        <v>37.61</v>
      </c>
      <c r="E37">
        <v>37.92</v>
      </c>
      <c r="F37">
        <v>10057576</v>
      </c>
    </row>
    <row r="38" spans="1:6">
      <c r="A38" s="39">
        <v>42198</v>
      </c>
      <c r="B38">
        <v>38.25</v>
      </c>
      <c r="C38">
        <v>38.799999999999997</v>
      </c>
      <c r="D38">
        <v>38.1</v>
      </c>
      <c r="E38">
        <v>38.76</v>
      </c>
      <c r="F38">
        <v>8713178</v>
      </c>
    </row>
    <row r="39" spans="1:6">
      <c r="A39" s="39">
        <v>42199</v>
      </c>
      <c r="B39">
        <v>38.65</v>
      </c>
      <c r="C39">
        <v>39.03</v>
      </c>
      <c r="D39">
        <v>38.44</v>
      </c>
      <c r="E39">
        <v>38.630000000000003</v>
      </c>
      <c r="F39">
        <v>9506509</v>
      </c>
    </row>
    <row r="40" spans="1:6">
      <c r="A40" s="39">
        <v>42200</v>
      </c>
      <c r="B40">
        <v>38.51</v>
      </c>
      <c r="C40">
        <v>38.799999999999997</v>
      </c>
      <c r="D40">
        <v>38.15</v>
      </c>
      <c r="E40">
        <v>38.380000000000003</v>
      </c>
      <c r="F40">
        <v>9147265</v>
      </c>
    </row>
    <row r="41" spans="1:6">
      <c r="A41" s="39">
        <v>42201</v>
      </c>
      <c r="B41">
        <v>38.700000000000003</v>
      </c>
      <c r="C41">
        <v>38.96</v>
      </c>
      <c r="D41">
        <v>38.6</v>
      </c>
      <c r="E41">
        <v>38.909999999999997</v>
      </c>
      <c r="F41">
        <v>8462417</v>
      </c>
    </row>
    <row r="42" spans="1:6">
      <c r="A42" s="39">
        <v>42202</v>
      </c>
      <c r="B42">
        <v>39.19</v>
      </c>
      <c r="C42">
        <v>39.79</v>
      </c>
      <c r="D42">
        <v>38.93</v>
      </c>
      <c r="E42">
        <v>39.68</v>
      </c>
      <c r="F42">
        <v>14864268</v>
      </c>
    </row>
    <row r="43" spans="1:6">
      <c r="A43" s="39">
        <v>42205</v>
      </c>
      <c r="B43">
        <v>39.979999999999997</v>
      </c>
      <c r="C43">
        <v>39.979999999999997</v>
      </c>
      <c r="D43">
        <v>39.26</v>
      </c>
      <c r="E43">
        <v>39.54</v>
      </c>
      <c r="F43">
        <v>14752071</v>
      </c>
    </row>
    <row r="44" spans="1:6">
      <c r="A44" s="39">
        <v>42206</v>
      </c>
      <c r="B44">
        <v>39.61</v>
      </c>
      <c r="C44">
        <v>39.85</v>
      </c>
      <c r="D44">
        <v>39.36</v>
      </c>
      <c r="E44">
        <v>39.729999999999997</v>
      </c>
      <c r="F44">
        <v>14861571</v>
      </c>
    </row>
    <row r="45" spans="1:6">
      <c r="A45" s="39">
        <v>42207</v>
      </c>
      <c r="B45">
        <v>38.57</v>
      </c>
      <c r="C45">
        <v>39.630000000000003</v>
      </c>
      <c r="D45">
        <v>38.26</v>
      </c>
      <c r="E45">
        <v>39.24</v>
      </c>
      <c r="F45">
        <v>17714798</v>
      </c>
    </row>
    <row r="46" spans="1:6">
      <c r="A46" s="39">
        <v>42208</v>
      </c>
      <c r="B46">
        <v>39.299999999999997</v>
      </c>
      <c r="C46">
        <v>39.78</v>
      </c>
      <c r="D46">
        <v>39.06</v>
      </c>
      <c r="E46">
        <v>39.21</v>
      </c>
      <c r="F46">
        <v>9267432</v>
      </c>
    </row>
    <row r="47" spans="1:6">
      <c r="A47" s="39">
        <v>42209</v>
      </c>
      <c r="B47">
        <v>39.58</v>
      </c>
      <c r="C47">
        <v>39.58</v>
      </c>
      <c r="D47">
        <v>38.67</v>
      </c>
      <c r="E47">
        <v>38.85</v>
      </c>
      <c r="F47">
        <v>8590731</v>
      </c>
    </row>
    <row r="48" spans="1:6">
      <c r="A48" s="39">
        <v>42212</v>
      </c>
      <c r="B48">
        <v>38.31</v>
      </c>
      <c r="C48">
        <v>38.31</v>
      </c>
      <c r="D48">
        <v>37.65</v>
      </c>
      <c r="E48">
        <v>37.840000000000003</v>
      </c>
      <c r="F48">
        <v>12942727</v>
      </c>
    </row>
    <row r="49" spans="1:6">
      <c r="A49" s="39">
        <v>42213</v>
      </c>
      <c r="B49">
        <v>37.64</v>
      </c>
      <c r="C49">
        <v>37.92</v>
      </c>
      <c r="D49">
        <v>37.270000000000003</v>
      </c>
      <c r="E49">
        <v>37.72</v>
      </c>
      <c r="F49">
        <v>10333096</v>
      </c>
    </row>
    <row r="50" spans="1:6">
      <c r="A50" s="39">
        <v>42214</v>
      </c>
      <c r="B50">
        <v>37.92</v>
      </c>
      <c r="C50">
        <v>37.92</v>
      </c>
      <c r="D50">
        <v>37.380000000000003</v>
      </c>
      <c r="E50">
        <v>37.67</v>
      </c>
      <c r="F50">
        <v>10290604</v>
      </c>
    </row>
    <row r="51" spans="1:6">
      <c r="A51" s="39">
        <v>42215</v>
      </c>
      <c r="B51">
        <v>37.5</v>
      </c>
      <c r="C51">
        <v>37.69</v>
      </c>
      <c r="D51">
        <v>37.299999999999997</v>
      </c>
      <c r="E51">
        <v>37.42</v>
      </c>
      <c r="F51">
        <v>9542683</v>
      </c>
    </row>
    <row r="52" spans="1:6">
      <c r="A52" s="39">
        <v>42216</v>
      </c>
      <c r="B52">
        <v>37.56</v>
      </c>
      <c r="C52">
        <v>37.57</v>
      </c>
      <c r="D52">
        <v>36.619999999999997</v>
      </c>
      <c r="E52">
        <v>36.67</v>
      </c>
      <c r="F52">
        <v>15446116</v>
      </c>
    </row>
    <row r="53" spans="1:6">
      <c r="A53" s="39">
        <v>42219</v>
      </c>
      <c r="B53">
        <v>36.67</v>
      </c>
      <c r="C53">
        <v>36.979999999999997</v>
      </c>
      <c r="D53">
        <v>36.369999999999997</v>
      </c>
      <c r="E53">
        <v>36.69</v>
      </c>
      <c r="F53">
        <v>9887296</v>
      </c>
    </row>
    <row r="54" spans="1:6">
      <c r="A54" s="39">
        <v>42220</v>
      </c>
      <c r="B54">
        <v>36.61</v>
      </c>
      <c r="C54">
        <v>37.21</v>
      </c>
      <c r="D54">
        <v>36.6</v>
      </c>
      <c r="E54">
        <v>37.119999999999997</v>
      </c>
      <c r="F54">
        <v>9051917</v>
      </c>
    </row>
    <row r="55" spans="1:6">
      <c r="A55" s="39">
        <v>42221</v>
      </c>
      <c r="B55">
        <v>37.32</v>
      </c>
      <c r="C55">
        <v>37.71</v>
      </c>
      <c r="D55">
        <v>37.229999999999997</v>
      </c>
      <c r="E55">
        <v>37.25</v>
      </c>
      <c r="F55">
        <v>6844018</v>
      </c>
    </row>
    <row r="56" spans="1:6">
      <c r="A56" s="39">
        <v>42222</v>
      </c>
      <c r="B56">
        <v>37.340000000000003</v>
      </c>
      <c r="C56">
        <v>37.520000000000003</v>
      </c>
      <c r="D56">
        <v>36.299999999999997</v>
      </c>
      <c r="E56">
        <v>36.46</v>
      </c>
      <c r="F56">
        <v>12299702</v>
      </c>
    </row>
    <row r="57" spans="1:6">
      <c r="A57" s="39">
        <v>42223</v>
      </c>
      <c r="B57">
        <v>36.520000000000003</v>
      </c>
      <c r="C57">
        <v>36.76</v>
      </c>
      <c r="D57">
        <v>36.15</v>
      </c>
      <c r="E57">
        <v>36.67</v>
      </c>
      <c r="F57">
        <v>11845497</v>
      </c>
    </row>
    <row r="58" spans="1:6">
      <c r="A58" s="39">
        <v>42226</v>
      </c>
      <c r="B58">
        <v>36.869999999999997</v>
      </c>
      <c r="C58">
        <v>37.69</v>
      </c>
      <c r="D58">
        <v>36.869999999999997</v>
      </c>
      <c r="E58">
        <v>37.15</v>
      </c>
      <c r="F58">
        <v>11351419</v>
      </c>
    </row>
    <row r="59" spans="1:6">
      <c r="A59" s="39">
        <v>42227</v>
      </c>
      <c r="B59">
        <v>36.74</v>
      </c>
      <c r="C59">
        <v>36.770000000000003</v>
      </c>
      <c r="D59">
        <v>35.729999999999997</v>
      </c>
      <c r="E59">
        <v>36.03</v>
      </c>
      <c r="F59">
        <v>13833238</v>
      </c>
    </row>
    <row r="60" spans="1:6">
      <c r="A60" s="39">
        <v>42228</v>
      </c>
      <c r="B60">
        <v>34.29</v>
      </c>
      <c r="C60">
        <v>34.770000000000003</v>
      </c>
      <c r="D60">
        <v>33.85</v>
      </c>
      <c r="E60">
        <v>34.49</v>
      </c>
      <c r="F60">
        <v>31443155</v>
      </c>
    </row>
    <row r="61" spans="1:6">
      <c r="A61" s="39">
        <v>42229</v>
      </c>
      <c r="B61">
        <v>35.08</v>
      </c>
      <c r="C61">
        <v>36.61</v>
      </c>
      <c r="D61">
        <v>34.82</v>
      </c>
      <c r="E61">
        <v>35.93</v>
      </c>
      <c r="F61">
        <v>28987668</v>
      </c>
    </row>
    <row r="62" spans="1:6">
      <c r="A62" s="39">
        <v>42230</v>
      </c>
      <c r="B62">
        <v>35.82</v>
      </c>
      <c r="C62">
        <v>36.340000000000003</v>
      </c>
      <c r="D62">
        <v>35.72</v>
      </c>
      <c r="E62">
        <v>36.24</v>
      </c>
      <c r="F62">
        <v>12241062</v>
      </c>
    </row>
    <row r="63" spans="1:6">
      <c r="A63" s="39">
        <v>42233</v>
      </c>
      <c r="B63">
        <v>36.24</v>
      </c>
      <c r="C63">
        <v>36.24</v>
      </c>
      <c r="D63">
        <v>35.76</v>
      </c>
      <c r="E63">
        <v>36.1</v>
      </c>
      <c r="F63">
        <v>7933557</v>
      </c>
    </row>
    <row r="64" spans="1:6">
      <c r="A64" s="39">
        <v>42234</v>
      </c>
      <c r="B64">
        <v>35.78</v>
      </c>
      <c r="C64">
        <v>36.19</v>
      </c>
      <c r="D64">
        <v>35.6</v>
      </c>
      <c r="E64">
        <v>35.69</v>
      </c>
      <c r="F64">
        <v>11445283</v>
      </c>
    </row>
    <row r="65" spans="1:6">
      <c r="A65" s="39">
        <v>42235</v>
      </c>
      <c r="B65">
        <v>35.67</v>
      </c>
      <c r="C65">
        <v>35.67</v>
      </c>
      <c r="D65">
        <v>35.020000000000003</v>
      </c>
      <c r="E65">
        <v>35.19</v>
      </c>
      <c r="F65">
        <v>8976684</v>
      </c>
    </row>
    <row r="66" spans="1:6">
      <c r="A66" s="39">
        <v>42236</v>
      </c>
      <c r="B66">
        <v>34.770000000000003</v>
      </c>
      <c r="C66">
        <v>34.950000000000003</v>
      </c>
      <c r="D66">
        <v>33.869999999999997</v>
      </c>
      <c r="E66">
        <v>34.1</v>
      </c>
      <c r="F66">
        <v>15525775</v>
      </c>
    </row>
    <row r="67" spans="1:6">
      <c r="A67" s="39">
        <v>42237</v>
      </c>
      <c r="B67">
        <v>33.58</v>
      </c>
      <c r="C67">
        <v>34.020000000000003</v>
      </c>
      <c r="D67">
        <v>32.909999999999997</v>
      </c>
      <c r="E67">
        <v>32.93</v>
      </c>
      <c r="F67">
        <v>18271697</v>
      </c>
    </row>
    <row r="68" spans="1:6">
      <c r="A68" s="39">
        <v>42240</v>
      </c>
      <c r="B68">
        <v>29.02</v>
      </c>
      <c r="C68">
        <v>32.28</v>
      </c>
      <c r="D68">
        <v>29</v>
      </c>
      <c r="E68">
        <v>31.31</v>
      </c>
      <c r="F68">
        <v>22876922</v>
      </c>
    </row>
    <row r="69" spans="1:6">
      <c r="A69" s="39">
        <v>42241</v>
      </c>
      <c r="B69">
        <v>32.979999999999997</v>
      </c>
      <c r="C69">
        <v>33.03</v>
      </c>
      <c r="D69">
        <v>31.54</v>
      </c>
      <c r="E69">
        <v>31.74</v>
      </c>
      <c r="F69">
        <v>15626118</v>
      </c>
    </row>
    <row r="70" spans="1:6">
      <c r="A70" s="39">
        <v>42242</v>
      </c>
      <c r="B70">
        <v>32.46</v>
      </c>
      <c r="C70">
        <v>32.619999999999997</v>
      </c>
      <c r="D70">
        <v>31.11</v>
      </c>
      <c r="E70">
        <v>32.520000000000003</v>
      </c>
      <c r="F70">
        <v>25375593</v>
      </c>
    </row>
    <row r="71" spans="1:6">
      <c r="A71" s="39">
        <v>42243</v>
      </c>
      <c r="B71">
        <v>33.36</v>
      </c>
      <c r="C71">
        <v>33.770000000000003</v>
      </c>
      <c r="D71">
        <v>32.950000000000003</v>
      </c>
      <c r="E71">
        <v>33.69</v>
      </c>
      <c r="F71">
        <v>18949155</v>
      </c>
    </row>
    <row r="72" spans="1:6">
      <c r="A72" s="39">
        <v>42244</v>
      </c>
      <c r="B72">
        <v>33.32</v>
      </c>
      <c r="C72">
        <v>33.57</v>
      </c>
      <c r="D72">
        <v>32.93</v>
      </c>
      <c r="E72">
        <v>33.14</v>
      </c>
      <c r="F72">
        <v>9359480</v>
      </c>
    </row>
    <row r="73" spans="1:6">
      <c r="A73" s="39">
        <v>42247</v>
      </c>
      <c r="B73">
        <v>32.909999999999997</v>
      </c>
      <c r="C73">
        <v>32.99</v>
      </c>
      <c r="D73">
        <v>32.229999999999997</v>
      </c>
      <c r="E73">
        <v>32.24</v>
      </c>
      <c r="F73">
        <v>13575090</v>
      </c>
    </row>
    <row r="74" spans="1:6">
      <c r="A74" s="39">
        <v>42248</v>
      </c>
      <c r="B74">
        <v>31.49</v>
      </c>
      <c r="C74">
        <v>32.1</v>
      </c>
      <c r="D74">
        <v>31.23</v>
      </c>
      <c r="E74">
        <v>31.6</v>
      </c>
      <c r="F74">
        <v>19828291</v>
      </c>
    </row>
    <row r="75" spans="1:6">
      <c r="A75" s="39">
        <v>42249</v>
      </c>
      <c r="B75">
        <v>32.01</v>
      </c>
      <c r="C75">
        <v>32.03</v>
      </c>
      <c r="D75">
        <v>31.38</v>
      </c>
      <c r="E75">
        <v>31.77</v>
      </c>
      <c r="F75">
        <v>15551472</v>
      </c>
    </row>
    <row r="76" spans="1:6">
      <c r="A76" s="39">
        <v>42250</v>
      </c>
      <c r="B76">
        <v>31.86</v>
      </c>
      <c r="C76">
        <v>32.74</v>
      </c>
      <c r="D76">
        <v>31.8</v>
      </c>
      <c r="E76">
        <v>32.54</v>
      </c>
      <c r="F76">
        <v>13710679</v>
      </c>
    </row>
    <row r="77" spans="1:6">
      <c r="A77" s="39">
        <v>42251</v>
      </c>
      <c r="B77">
        <v>32</v>
      </c>
      <c r="C77">
        <v>32.29</v>
      </c>
      <c r="D77">
        <v>31.44</v>
      </c>
      <c r="E77">
        <v>31.58</v>
      </c>
      <c r="F77">
        <v>13801026</v>
      </c>
    </row>
    <row r="78" spans="1:6">
      <c r="A78" s="39">
        <v>42255</v>
      </c>
      <c r="B78">
        <v>32.200000000000003</v>
      </c>
      <c r="C78">
        <v>32.83</v>
      </c>
      <c r="D78">
        <v>30.86</v>
      </c>
      <c r="E78">
        <v>30.9</v>
      </c>
      <c r="F78">
        <v>25238458</v>
      </c>
    </row>
    <row r="79" spans="1:6">
      <c r="A79" s="39">
        <v>42256</v>
      </c>
      <c r="B79">
        <v>30.4</v>
      </c>
      <c r="C79">
        <v>31.8</v>
      </c>
      <c r="D79">
        <v>30.35</v>
      </c>
      <c r="E79">
        <v>31.52</v>
      </c>
      <c r="F79">
        <v>46956972</v>
      </c>
    </row>
    <row r="80" spans="1:6">
      <c r="A80" s="39">
        <v>42257</v>
      </c>
      <c r="B80">
        <v>31.35</v>
      </c>
      <c r="C80">
        <v>31.59</v>
      </c>
      <c r="D80">
        <v>31.03</v>
      </c>
      <c r="E80">
        <v>31.15</v>
      </c>
      <c r="F80">
        <v>14287579</v>
      </c>
    </row>
    <row r="81" spans="1:6">
      <c r="A81" s="39">
        <v>42258</v>
      </c>
      <c r="B81">
        <v>31.09</v>
      </c>
      <c r="C81">
        <v>31.43</v>
      </c>
      <c r="D81">
        <v>30.63</v>
      </c>
      <c r="E81">
        <v>31.43</v>
      </c>
      <c r="F81">
        <v>14312099</v>
      </c>
    </row>
    <row r="82" spans="1:6">
      <c r="A82" s="39">
        <v>42261</v>
      </c>
      <c r="B82">
        <v>30.68</v>
      </c>
      <c r="C82">
        <v>30.92</v>
      </c>
      <c r="D82">
        <v>30</v>
      </c>
      <c r="E82">
        <v>30.32</v>
      </c>
      <c r="F82">
        <v>21951514</v>
      </c>
    </row>
    <row r="83" spans="1:6">
      <c r="A83" s="39">
        <v>42262</v>
      </c>
      <c r="B83">
        <v>29.72</v>
      </c>
      <c r="C83">
        <v>31.22</v>
      </c>
      <c r="D83">
        <v>29.41</v>
      </c>
      <c r="E83">
        <v>31.04</v>
      </c>
      <c r="F83">
        <v>25637648</v>
      </c>
    </row>
    <row r="84" spans="1:6">
      <c r="A84" s="39">
        <v>42263</v>
      </c>
      <c r="B84">
        <v>31.14</v>
      </c>
      <c r="C84">
        <v>31.77</v>
      </c>
      <c r="D84">
        <v>30.99</v>
      </c>
      <c r="E84">
        <v>31.4</v>
      </c>
      <c r="F84">
        <v>22171672</v>
      </c>
    </row>
    <row r="85" spans="1:6">
      <c r="A85" s="39">
        <v>42264</v>
      </c>
      <c r="B85">
        <v>31.31</v>
      </c>
      <c r="C85">
        <v>31.33</v>
      </c>
      <c r="D85">
        <v>30.81</v>
      </c>
      <c r="E85">
        <v>30.93</v>
      </c>
      <c r="F85">
        <v>16546884</v>
      </c>
    </row>
    <row r="86" spans="1:6">
      <c r="A86" s="39">
        <v>42265</v>
      </c>
      <c r="B86">
        <v>30.51</v>
      </c>
      <c r="C86">
        <v>30.8</v>
      </c>
      <c r="D86">
        <v>30.41</v>
      </c>
      <c r="E86">
        <v>30.74</v>
      </c>
      <c r="F86">
        <v>20144730</v>
      </c>
    </row>
    <row r="87" spans="1:6">
      <c r="A87" s="39">
        <v>42268</v>
      </c>
      <c r="B87">
        <v>31.2</v>
      </c>
      <c r="C87">
        <v>31.74</v>
      </c>
      <c r="D87">
        <v>30.88</v>
      </c>
      <c r="E87">
        <v>31.17</v>
      </c>
      <c r="F87">
        <v>18413401</v>
      </c>
    </row>
    <row r="88" spans="1:6">
      <c r="A88" s="39">
        <v>42269</v>
      </c>
      <c r="B88">
        <v>30.78</v>
      </c>
      <c r="C88">
        <v>30.92</v>
      </c>
      <c r="D88">
        <v>30.17</v>
      </c>
      <c r="E88">
        <v>30.4</v>
      </c>
      <c r="F88">
        <v>15257012</v>
      </c>
    </row>
    <row r="89" spans="1:6">
      <c r="A89" s="39">
        <v>42270</v>
      </c>
      <c r="B89">
        <v>30.56</v>
      </c>
      <c r="C89">
        <v>30.57</v>
      </c>
      <c r="D89">
        <v>29.63</v>
      </c>
      <c r="E89">
        <v>29.74</v>
      </c>
      <c r="F89">
        <v>12674674</v>
      </c>
    </row>
    <row r="90" spans="1:6">
      <c r="A90" s="39">
        <v>42271</v>
      </c>
      <c r="B90">
        <v>29.47</v>
      </c>
      <c r="C90">
        <v>29.57</v>
      </c>
      <c r="D90">
        <v>28.85</v>
      </c>
      <c r="E90">
        <v>29.34</v>
      </c>
      <c r="F90">
        <v>18723153</v>
      </c>
    </row>
    <row r="91" spans="1:6">
      <c r="A91" s="39">
        <v>42272</v>
      </c>
      <c r="B91">
        <v>29.66</v>
      </c>
      <c r="C91">
        <v>29.71</v>
      </c>
      <c r="D91">
        <v>28.9</v>
      </c>
      <c r="E91">
        <v>29.13</v>
      </c>
      <c r="F91">
        <v>11525302</v>
      </c>
    </row>
    <row r="92" spans="1:6">
      <c r="A92" s="39">
        <v>42275</v>
      </c>
      <c r="B92">
        <v>29.03</v>
      </c>
      <c r="C92">
        <v>29.22</v>
      </c>
      <c r="D92">
        <v>27.2</v>
      </c>
      <c r="E92">
        <v>27.6</v>
      </c>
      <c r="F92">
        <v>49088735</v>
      </c>
    </row>
    <row r="93" spans="1:6">
      <c r="A93" s="39">
        <v>42276</v>
      </c>
      <c r="B93">
        <v>28.58</v>
      </c>
      <c r="C93">
        <v>29.23</v>
      </c>
      <c r="D93">
        <v>27.85</v>
      </c>
      <c r="E93">
        <v>28.26</v>
      </c>
      <c r="F93">
        <v>41761626</v>
      </c>
    </row>
    <row r="94" spans="1:6">
      <c r="A94" s="39">
        <v>42277</v>
      </c>
      <c r="B94">
        <v>28.65</v>
      </c>
      <c r="C94">
        <v>29.11</v>
      </c>
      <c r="D94">
        <v>28.49</v>
      </c>
      <c r="E94">
        <v>28.91</v>
      </c>
      <c r="F94">
        <v>17861774</v>
      </c>
    </row>
    <row r="95" spans="1:6">
      <c r="A95" s="39">
        <v>42278</v>
      </c>
      <c r="B95">
        <v>28.95</v>
      </c>
      <c r="C95">
        <v>29</v>
      </c>
      <c r="D95">
        <v>28.44</v>
      </c>
      <c r="E95">
        <v>28.91</v>
      </c>
      <c r="F95">
        <v>14459139</v>
      </c>
    </row>
    <row r="96" spans="1:6">
      <c r="A96" s="39">
        <v>42279</v>
      </c>
      <c r="B96">
        <v>28.62</v>
      </c>
      <c r="C96">
        <v>30.71</v>
      </c>
      <c r="D96">
        <v>28.43</v>
      </c>
      <c r="E96">
        <v>30.71</v>
      </c>
      <c r="F96">
        <v>29098539</v>
      </c>
    </row>
    <row r="97" spans="1:6">
      <c r="A97" s="39">
        <v>42282</v>
      </c>
      <c r="B97">
        <v>30.8</v>
      </c>
      <c r="C97">
        <v>31.2</v>
      </c>
      <c r="D97">
        <v>30.35</v>
      </c>
      <c r="E97">
        <v>30.85</v>
      </c>
      <c r="F97">
        <v>12655008</v>
      </c>
    </row>
    <row r="98" spans="1:6">
      <c r="A98" s="39">
        <v>42283</v>
      </c>
      <c r="B98">
        <v>30.79</v>
      </c>
      <c r="C98">
        <v>31.18</v>
      </c>
      <c r="D98">
        <v>30.66</v>
      </c>
      <c r="E98">
        <v>30.96</v>
      </c>
      <c r="F98">
        <v>10572781</v>
      </c>
    </row>
    <row r="99" spans="1:6">
      <c r="A99" s="39">
        <v>42284</v>
      </c>
      <c r="B99">
        <v>31.31</v>
      </c>
      <c r="C99">
        <v>31.99</v>
      </c>
      <c r="D99">
        <v>31.21</v>
      </c>
      <c r="E99">
        <v>31.87</v>
      </c>
      <c r="F99">
        <v>11990979</v>
      </c>
    </row>
    <row r="100" spans="1:6">
      <c r="A100" s="39">
        <v>42285</v>
      </c>
      <c r="B100">
        <v>31.79</v>
      </c>
      <c r="C100">
        <v>32.5</v>
      </c>
      <c r="D100">
        <v>31.73</v>
      </c>
      <c r="E100">
        <v>32.369999999999997</v>
      </c>
      <c r="F100">
        <v>14239441</v>
      </c>
    </row>
    <row r="101" spans="1:6">
      <c r="A101" s="39">
        <v>42286</v>
      </c>
      <c r="B101">
        <v>32.35</v>
      </c>
      <c r="C101">
        <v>32.69</v>
      </c>
      <c r="D101">
        <v>31.99</v>
      </c>
      <c r="E101">
        <v>32.520000000000003</v>
      </c>
      <c r="F101">
        <v>11822124</v>
      </c>
    </row>
    <row r="102" spans="1:6">
      <c r="A102" s="39">
        <v>42289</v>
      </c>
      <c r="B102">
        <v>32.71</v>
      </c>
      <c r="C102">
        <v>33.020000000000003</v>
      </c>
      <c r="D102">
        <v>32.549999999999997</v>
      </c>
      <c r="E102">
        <v>32.86</v>
      </c>
      <c r="F102">
        <v>12565796</v>
      </c>
    </row>
    <row r="103" spans="1:6">
      <c r="A103" s="39">
        <v>42290</v>
      </c>
      <c r="B103">
        <v>32.56</v>
      </c>
      <c r="C103">
        <v>32.82</v>
      </c>
      <c r="D103">
        <v>32.32</v>
      </c>
      <c r="E103">
        <v>32.340000000000003</v>
      </c>
      <c r="F103">
        <v>12610538</v>
      </c>
    </row>
    <row r="104" spans="1:6">
      <c r="A104" s="39">
        <v>42291</v>
      </c>
      <c r="B104">
        <v>32.28</v>
      </c>
      <c r="C104">
        <v>32.49</v>
      </c>
      <c r="D104">
        <v>31.77</v>
      </c>
      <c r="E104">
        <v>32.090000000000003</v>
      </c>
      <c r="F104">
        <v>11277424</v>
      </c>
    </row>
    <row r="105" spans="1:6">
      <c r="A105" s="39">
        <v>42292</v>
      </c>
      <c r="B105">
        <v>32.42</v>
      </c>
      <c r="C105">
        <v>33.49</v>
      </c>
      <c r="D105">
        <v>32.4</v>
      </c>
      <c r="E105">
        <v>33.479999999999997</v>
      </c>
      <c r="F105">
        <v>19370910</v>
      </c>
    </row>
    <row r="106" spans="1:6">
      <c r="A106" s="39">
        <v>42293</v>
      </c>
      <c r="B106">
        <v>33.64</v>
      </c>
      <c r="C106">
        <v>33.86</v>
      </c>
      <c r="D106">
        <v>33.159999999999997</v>
      </c>
      <c r="E106">
        <v>33.369999999999997</v>
      </c>
      <c r="F106">
        <v>12209312</v>
      </c>
    </row>
    <row r="107" spans="1:6">
      <c r="A107" s="39">
        <v>42296</v>
      </c>
      <c r="B107">
        <v>33.26</v>
      </c>
      <c r="C107">
        <v>33.630000000000003</v>
      </c>
      <c r="D107">
        <v>33.18</v>
      </c>
      <c r="E107">
        <v>33.5</v>
      </c>
      <c r="F107">
        <v>10836776</v>
      </c>
    </row>
    <row r="108" spans="1:6">
      <c r="A108" s="39">
        <v>42297</v>
      </c>
      <c r="B108">
        <v>33.49</v>
      </c>
      <c r="C108">
        <v>33.590000000000003</v>
      </c>
      <c r="D108">
        <v>32.770000000000003</v>
      </c>
      <c r="E108">
        <v>32.83</v>
      </c>
      <c r="F108">
        <v>18644884</v>
      </c>
    </row>
    <row r="109" spans="1:6">
      <c r="A109" s="39">
        <v>42298</v>
      </c>
      <c r="B109">
        <v>32.06</v>
      </c>
      <c r="C109">
        <v>32.43</v>
      </c>
      <c r="D109">
        <v>31.01</v>
      </c>
      <c r="E109">
        <v>31.12</v>
      </c>
      <c r="F109">
        <v>30390422</v>
      </c>
    </row>
    <row r="110" spans="1:6">
      <c r="A110" s="39">
        <v>42299</v>
      </c>
      <c r="B110">
        <v>31.26</v>
      </c>
      <c r="C110">
        <v>31.9</v>
      </c>
      <c r="D110">
        <v>31.21</v>
      </c>
      <c r="E110">
        <v>31.67</v>
      </c>
      <c r="F110">
        <v>18180546</v>
      </c>
    </row>
    <row r="111" spans="1:6">
      <c r="A111" s="39">
        <v>42300</v>
      </c>
      <c r="B111">
        <v>32.65</v>
      </c>
      <c r="C111">
        <v>33.36</v>
      </c>
      <c r="D111">
        <v>32.24</v>
      </c>
      <c r="E111">
        <v>33.17</v>
      </c>
      <c r="F111">
        <v>24286346</v>
      </c>
    </row>
    <row r="112" spans="1:6">
      <c r="A112" s="39">
        <v>42303</v>
      </c>
      <c r="B112">
        <v>33.130000000000003</v>
      </c>
      <c r="C112">
        <v>33.49</v>
      </c>
      <c r="D112">
        <v>33</v>
      </c>
      <c r="E112">
        <v>33.4</v>
      </c>
      <c r="F112">
        <v>15752355</v>
      </c>
    </row>
    <row r="113" spans="1:6">
      <c r="A113" s="39">
        <v>42304</v>
      </c>
      <c r="B113">
        <v>34.97</v>
      </c>
      <c r="C113">
        <v>35.47</v>
      </c>
      <c r="D113">
        <v>33.880000000000003</v>
      </c>
      <c r="E113">
        <v>34.299999999999997</v>
      </c>
      <c r="F113">
        <v>26362111</v>
      </c>
    </row>
    <row r="114" spans="1:6">
      <c r="A114" s="39">
        <v>42305</v>
      </c>
      <c r="B114">
        <v>34.299999999999997</v>
      </c>
      <c r="C114">
        <v>35.270000000000003</v>
      </c>
      <c r="D114">
        <v>34.299999999999997</v>
      </c>
      <c r="E114">
        <v>35.18</v>
      </c>
      <c r="F114">
        <v>15050345</v>
      </c>
    </row>
    <row r="115" spans="1:6">
      <c r="A115" s="39">
        <v>42306</v>
      </c>
      <c r="B115">
        <v>34.869999999999997</v>
      </c>
      <c r="C115">
        <v>35.15</v>
      </c>
      <c r="D115">
        <v>34.700000000000003</v>
      </c>
      <c r="E115">
        <v>35.049999999999997</v>
      </c>
      <c r="F115">
        <v>10788277</v>
      </c>
    </row>
    <row r="116" spans="1:6">
      <c r="A116" s="39">
        <v>42307</v>
      </c>
      <c r="B116">
        <v>35.14</v>
      </c>
      <c r="C116">
        <v>35.700000000000003</v>
      </c>
      <c r="D116">
        <v>35.049999999999997</v>
      </c>
      <c r="E116">
        <v>35.619999999999997</v>
      </c>
      <c r="F116">
        <v>17377221</v>
      </c>
    </row>
    <row r="117" spans="1:6">
      <c r="A117" s="39">
        <v>42310</v>
      </c>
      <c r="B117">
        <v>35.46</v>
      </c>
      <c r="C117">
        <v>35.479999999999997</v>
      </c>
      <c r="D117">
        <v>35.07</v>
      </c>
      <c r="E117">
        <v>35.270000000000003</v>
      </c>
      <c r="F117">
        <v>15160315</v>
      </c>
    </row>
    <row r="118" spans="1:6">
      <c r="A118" s="39">
        <v>42311</v>
      </c>
      <c r="B118">
        <v>35.15</v>
      </c>
      <c r="C118">
        <v>35.340000000000003</v>
      </c>
      <c r="D118">
        <v>34.65</v>
      </c>
      <c r="E118">
        <v>34.72</v>
      </c>
      <c r="F118">
        <v>12388495</v>
      </c>
    </row>
    <row r="119" spans="1:6">
      <c r="A119" s="39">
        <v>42312</v>
      </c>
      <c r="B119">
        <v>34.89</v>
      </c>
      <c r="C119">
        <v>35.24</v>
      </c>
      <c r="D119">
        <v>34.75</v>
      </c>
      <c r="E119">
        <v>35.07</v>
      </c>
      <c r="F119">
        <v>17495852</v>
      </c>
    </row>
    <row r="120" spans="1:6">
      <c r="A120" s="39">
        <v>42313</v>
      </c>
      <c r="B120">
        <v>35.020000000000003</v>
      </c>
      <c r="C120">
        <v>35.299999999999997</v>
      </c>
      <c r="D120">
        <v>34.159999999999997</v>
      </c>
      <c r="E120">
        <v>35.119999999999997</v>
      </c>
      <c r="F120">
        <v>15677479</v>
      </c>
    </row>
    <row r="121" spans="1:6">
      <c r="A121" s="39">
        <v>42314</v>
      </c>
      <c r="B121">
        <v>34.94</v>
      </c>
      <c r="C121">
        <v>35.200000000000003</v>
      </c>
      <c r="D121">
        <v>33.46</v>
      </c>
      <c r="E121">
        <v>34.200000000000003</v>
      </c>
      <c r="F121">
        <v>16593732</v>
      </c>
    </row>
    <row r="122" spans="1:6">
      <c r="A122" s="39">
        <v>42317</v>
      </c>
      <c r="B122">
        <v>34.07</v>
      </c>
      <c r="C122">
        <v>34.08</v>
      </c>
      <c r="D122">
        <v>33.08</v>
      </c>
      <c r="E122">
        <v>33.68</v>
      </c>
      <c r="F122">
        <v>13630285</v>
      </c>
    </row>
    <row r="123" spans="1:6">
      <c r="A123" s="39">
        <v>42318</v>
      </c>
      <c r="B123">
        <v>33.450000000000003</v>
      </c>
      <c r="C123">
        <v>34.130000000000003</v>
      </c>
      <c r="D123">
        <v>33.26</v>
      </c>
      <c r="E123">
        <v>33.99</v>
      </c>
      <c r="F123">
        <v>11506089</v>
      </c>
    </row>
    <row r="124" spans="1:6">
      <c r="A124" s="39">
        <v>42319</v>
      </c>
      <c r="B124">
        <v>34.21</v>
      </c>
      <c r="C124">
        <v>34.229999999999997</v>
      </c>
      <c r="D124">
        <v>33.020000000000003</v>
      </c>
      <c r="E124">
        <v>33.380000000000003</v>
      </c>
      <c r="F124">
        <v>11804051</v>
      </c>
    </row>
    <row r="125" spans="1:6">
      <c r="A125" s="39">
        <v>42320</v>
      </c>
      <c r="B125">
        <v>33.200000000000003</v>
      </c>
      <c r="C125">
        <v>33.840000000000003</v>
      </c>
      <c r="D125">
        <v>33.130000000000003</v>
      </c>
      <c r="E125">
        <v>33.229999999999997</v>
      </c>
      <c r="F125">
        <v>14246234</v>
      </c>
    </row>
    <row r="126" spans="1:6">
      <c r="A126" s="39">
        <v>42321</v>
      </c>
      <c r="B126">
        <v>32.78</v>
      </c>
      <c r="C126">
        <v>33.04</v>
      </c>
      <c r="D126">
        <v>32.17</v>
      </c>
      <c r="E126">
        <v>32.19</v>
      </c>
      <c r="F126">
        <v>10874421</v>
      </c>
    </row>
    <row r="127" spans="1:6">
      <c r="A127" s="39">
        <v>42324</v>
      </c>
      <c r="B127">
        <v>32.229999999999997</v>
      </c>
      <c r="C127">
        <v>32.99</v>
      </c>
      <c r="D127">
        <v>32.119999999999997</v>
      </c>
      <c r="E127">
        <v>32.94</v>
      </c>
      <c r="F127">
        <v>10977682</v>
      </c>
    </row>
    <row r="128" spans="1:6">
      <c r="A128" s="39">
        <v>42325</v>
      </c>
      <c r="B128">
        <v>33.01</v>
      </c>
      <c r="C128">
        <v>33.119999999999997</v>
      </c>
      <c r="D128">
        <v>32.619999999999997</v>
      </c>
      <c r="E128">
        <v>32.86</v>
      </c>
      <c r="F128">
        <v>10231651</v>
      </c>
    </row>
    <row r="129" spans="1:6">
      <c r="A129" s="39">
        <v>42326</v>
      </c>
      <c r="B129">
        <v>32.89</v>
      </c>
      <c r="C129">
        <v>33.020000000000003</v>
      </c>
      <c r="D129">
        <v>32.32</v>
      </c>
      <c r="E129">
        <v>32.979999999999997</v>
      </c>
      <c r="F129">
        <v>10759423</v>
      </c>
    </row>
    <row r="130" spans="1:6">
      <c r="A130" s="39">
        <v>42327</v>
      </c>
      <c r="B130">
        <v>33.21</v>
      </c>
      <c r="C130">
        <v>33.5</v>
      </c>
      <c r="D130">
        <v>32.58</v>
      </c>
      <c r="E130">
        <v>32.619999999999997</v>
      </c>
      <c r="F130">
        <v>13978215</v>
      </c>
    </row>
    <row r="131" spans="1:6">
      <c r="A131" s="39">
        <v>42328</v>
      </c>
      <c r="B131">
        <v>32.86</v>
      </c>
      <c r="C131">
        <v>33.299999999999997</v>
      </c>
      <c r="D131">
        <v>32.69</v>
      </c>
      <c r="E131">
        <v>33.11</v>
      </c>
      <c r="F131">
        <v>12482636</v>
      </c>
    </row>
    <row r="132" spans="1:6">
      <c r="A132" s="39">
        <v>42331</v>
      </c>
      <c r="B132">
        <v>33</v>
      </c>
      <c r="C132">
        <v>33.869999999999997</v>
      </c>
      <c r="D132">
        <v>32.869999999999997</v>
      </c>
      <c r="E132">
        <v>33.36</v>
      </c>
      <c r="F132">
        <v>11899686</v>
      </c>
    </row>
    <row r="133" spans="1:6">
      <c r="A133" s="39">
        <v>42332</v>
      </c>
      <c r="B133">
        <v>33.090000000000003</v>
      </c>
      <c r="C133">
        <v>33.19</v>
      </c>
      <c r="D133">
        <v>32.61</v>
      </c>
      <c r="E133">
        <v>32.96</v>
      </c>
      <c r="F133">
        <v>13156391</v>
      </c>
    </row>
    <row r="134" spans="1:6">
      <c r="A134" s="39">
        <v>42333</v>
      </c>
      <c r="B134">
        <v>32.770000000000003</v>
      </c>
      <c r="C134">
        <v>33.520000000000003</v>
      </c>
      <c r="D134">
        <v>32.75</v>
      </c>
      <c r="E134">
        <v>33.159999999999997</v>
      </c>
      <c r="F134">
        <v>13257985</v>
      </c>
    </row>
    <row r="135" spans="1:6">
      <c r="A135" s="39">
        <v>42335</v>
      </c>
      <c r="B135">
        <v>32.79</v>
      </c>
      <c r="C135">
        <v>33.08</v>
      </c>
      <c r="D135">
        <v>32.44</v>
      </c>
      <c r="E135">
        <v>32.94</v>
      </c>
      <c r="F135">
        <v>5315555</v>
      </c>
    </row>
    <row r="136" spans="1:6">
      <c r="A136" s="39">
        <v>42338</v>
      </c>
      <c r="B136">
        <v>33.03</v>
      </c>
      <c r="C136">
        <v>33.83</v>
      </c>
      <c r="D136">
        <v>32.85</v>
      </c>
      <c r="E136">
        <v>33.81</v>
      </c>
      <c r="F136">
        <v>17363644</v>
      </c>
    </row>
    <row r="137" spans="1:6">
      <c r="A137" s="39">
        <v>42339</v>
      </c>
      <c r="B137">
        <v>33.869999999999997</v>
      </c>
      <c r="C137">
        <v>33.89</v>
      </c>
      <c r="D137">
        <v>33.47</v>
      </c>
      <c r="E137">
        <v>33.71</v>
      </c>
      <c r="F137">
        <v>10862528</v>
      </c>
    </row>
    <row r="138" spans="1:6">
      <c r="A138" s="39">
        <v>42340</v>
      </c>
      <c r="B138">
        <v>35</v>
      </c>
      <c r="C138">
        <v>36.39</v>
      </c>
      <c r="D138">
        <v>34.770000000000003</v>
      </c>
      <c r="E138">
        <v>35.65</v>
      </c>
      <c r="F138">
        <v>56614011</v>
      </c>
    </row>
    <row r="139" spans="1:6">
      <c r="A139" s="39">
        <v>42341</v>
      </c>
      <c r="B139">
        <v>35.590000000000003</v>
      </c>
      <c r="C139">
        <v>35.72</v>
      </c>
      <c r="D139">
        <v>34.1</v>
      </c>
      <c r="E139">
        <v>34.340000000000003</v>
      </c>
      <c r="F139">
        <v>17080482</v>
      </c>
    </row>
    <row r="140" spans="1:6">
      <c r="A140" s="39">
        <v>42342</v>
      </c>
      <c r="B140">
        <v>34.340000000000003</v>
      </c>
      <c r="C140">
        <v>35.200000000000003</v>
      </c>
      <c r="D140">
        <v>34.18</v>
      </c>
      <c r="E140">
        <v>34.909999999999997</v>
      </c>
      <c r="F140">
        <v>16109553</v>
      </c>
    </row>
    <row r="141" spans="1:6">
      <c r="A141" s="39">
        <v>42345</v>
      </c>
      <c r="B141">
        <v>34.76</v>
      </c>
      <c r="C141">
        <v>34.92</v>
      </c>
      <c r="D141">
        <v>34.47</v>
      </c>
      <c r="E141">
        <v>34.68</v>
      </c>
      <c r="F141">
        <v>12047935</v>
      </c>
    </row>
    <row r="142" spans="1:6">
      <c r="A142" s="39">
        <v>42346</v>
      </c>
      <c r="B142">
        <v>34.24</v>
      </c>
      <c r="C142">
        <v>34.979999999999997</v>
      </c>
      <c r="D142">
        <v>34.03</v>
      </c>
      <c r="E142">
        <v>34.85</v>
      </c>
      <c r="F142">
        <v>19852579</v>
      </c>
    </row>
    <row r="143" spans="1:6">
      <c r="A143" s="39">
        <v>42347</v>
      </c>
      <c r="B143">
        <v>35.799999999999997</v>
      </c>
      <c r="C143">
        <v>35.840000000000003</v>
      </c>
      <c r="D143">
        <v>33.15</v>
      </c>
      <c r="E143">
        <v>34.4</v>
      </c>
      <c r="F143">
        <v>45101897</v>
      </c>
    </row>
    <row r="144" spans="1:6">
      <c r="A144" s="39">
        <v>42348</v>
      </c>
      <c r="B144">
        <v>34.49</v>
      </c>
      <c r="C144">
        <v>34.729999999999997</v>
      </c>
      <c r="D144">
        <v>33.909999999999997</v>
      </c>
      <c r="E144">
        <v>34.630000000000003</v>
      </c>
      <c r="F144">
        <v>16174180</v>
      </c>
    </row>
    <row r="145" spans="1:6">
      <c r="A145" s="39">
        <v>42349</v>
      </c>
      <c r="B145">
        <v>34.01</v>
      </c>
      <c r="C145">
        <v>34.15</v>
      </c>
      <c r="D145">
        <v>32.82</v>
      </c>
      <c r="E145">
        <v>32.909999999999997</v>
      </c>
      <c r="F145">
        <v>14936195</v>
      </c>
    </row>
    <row r="146" spans="1:6">
      <c r="A146" s="39">
        <v>42352</v>
      </c>
      <c r="B146">
        <v>32.94</v>
      </c>
      <c r="C146">
        <v>33.270000000000003</v>
      </c>
      <c r="D146">
        <v>32.21</v>
      </c>
      <c r="E146">
        <v>32.590000000000003</v>
      </c>
      <c r="F146">
        <v>15949567</v>
      </c>
    </row>
    <row r="147" spans="1:6">
      <c r="A147" s="39">
        <v>42353</v>
      </c>
      <c r="B147">
        <v>32.53</v>
      </c>
      <c r="C147">
        <v>33.39</v>
      </c>
      <c r="D147">
        <v>32.5</v>
      </c>
      <c r="E147">
        <v>33.03</v>
      </c>
      <c r="F147">
        <v>16187259</v>
      </c>
    </row>
    <row r="148" spans="1:6">
      <c r="A148" s="39">
        <v>42354</v>
      </c>
      <c r="B148">
        <v>33.15</v>
      </c>
      <c r="C148">
        <v>33.880000000000003</v>
      </c>
      <c r="D148">
        <v>32.909999999999997</v>
      </c>
      <c r="E148">
        <v>33.78</v>
      </c>
      <c r="F148">
        <v>12689442</v>
      </c>
    </row>
    <row r="149" spans="1:6">
      <c r="A149" s="39">
        <v>42355</v>
      </c>
      <c r="B149">
        <v>33.81</v>
      </c>
      <c r="C149">
        <v>34.08</v>
      </c>
      <c r="D149">
        <v>33.11</v>
      </c>
      <c r="E149">
        <v>33.229999999999997</v>
      </c>
      <c r="F149">
        <v>13243513</v>
      </c>
    </row>
    <row r="150" spans="1:6">
      <c r="A150" s="39">
        <v>42356</v>
      </c>
      <c r="B150">
        <v>33.1</v>
      </c>
      <c r="C150">
        <v>33.630000000000003</v>
      </c>
      <c r="D150">
        <v>32.869999999999997</v>
      </c>
      <c r="E150">
        <v>32.950000000000003</v>
      </c>
      <c r="F150">
        <v>16921825</v>
      </c>
    </row>
    <row r="151" spans="1:6">
      <c r="A151" s="39">
        <v>42359</v>
      </c>
      <c r="B151">
        <v>33.119999999999997</v>
      </c>
      <c r="C151">
        <v>33.299999999999997</v>
      </c>
      <c r="D151">
        <v>32.69</v>
      </c>
      <c r="E151">
        <v>32.96</v>
      </c>
      <c r="F151">
        <v>9106706</v>
      </c>
    </row>
    <row r="152" spans="1:6">
      <c r="A152" s="39">
        <v>42360</v>
      </c>
      <c r="B152">
        <v>32.99</v>
      </c>
      <c r="C152">
        <v>34.21</v>
      </c>
      <c r="D152">
        <v>32.97</v>
      </c>
      <c r="E152">
        <v>34.19</v>
      </c>
      <c r="F152">
        <v>15531275</v>
      </c>
    </row>
    <row r="153" spans="1:6">
      <c r="A153" s="39">
        <v>42361</v>
      </c>
      <c r="B153">
        <v>34.24</v>
      </c>
      <c r="C153">
        <v>34.58</v>
      </c>
      <c r="D153">
        <v>33.99</v>
      </c>
      <c r="E153">
        <v>34.450000000000003</v>
      </c>
      <c r="F153">
        <v>13469154</v>
      </c>
    </row>
    <row r="154" spans="1:6">
      <c r="A154" s="39">
        <v>42362</v>
      </c>
      <c r="B154">
        <v>34.19</v>
      </c>
      <c r="C154">
        <v>34.74</v>
      </c>
      <c r="D154">
        <v>34.1</v>
      </c>
      <c r="E154">
        <v>34.11</v>
      </c>
      <c r="F154">
        <v>3470658</v>
      </c>
    </row>
    <row r="155" spans="1:6">
      <c r="A155" s="39">
        <v>42366</v>
      </c>
      <c r="B155">
        <v>33.9</v>
      </c>
      <c r="C155">
        <v>33.909999999999997</v>
      </c>
      <c r="D155">
        <v>33.35</v>
      </c>
      <c r="E155">
        <v>33.6</v>
      </c>
      <c r="F155">
        <v>11020755</v>
      </c>
    </row>
    <row r="156" spans="1:6">
      <c r="A156" s="39">
        <v>42367</v>
      </c>
      <c r="B156">
        <v>33.630000000000003</v>
      </c>
      <c r="C156">
        <v>34.17</v>
      </c>
      <c r="D156">
        <v>33.6</v>
      </c>
      <c r="E156">
        <v>34.04</v>
      </c>
      <c r="F156">
        <v>12621892</v>
      </c>
    </row>
    <row r="157" spans="1:6">
      <c r="A157" s="39">
        <v>42368</v>
      </c>
      <c r="B157">
        <v>33.85</v>
      </c>
      <c r="C157">
        <v>34.04</v>
      </c>
      <c r="D157">
        <v>33.35</v>
      </c>
      <c r="E157">
        <v>33.369999999999997</v>
      </c>
      <c r="F157">
        <v>5933634</v>
      </c>
    </row>
    <row r="158" spans="1:6">
      <c r="A158" s="39">
        <v>42369</v>
      </c>
      <c r="B158">
        <v>33.22</v>
      </c>
      <c r="C158">
        <v>33.68</v>
      </c>
      <c r="D158">
        <v>33.18</v>
      </c>
      <c r="E158">
        <v>33.26</v>
      </c>
      <c r="F158">
        <v>7423271</v>
      </c>
    </row>
    <row r="159" spans="1:6">
      <c r="A159" s="39">
        <v>42373</v>
      </c>
      <c r="B159">
        <v>32.119999999999997</v>
      </c>
      <c r="C159">
        <v>32.35</v>
      </c>
      <c r="D159">
        <v>31.14</v>
      </c>
      <c r="E159">
        <v>31.4</v>
      </c>
      <c r="F159">
        <v>25176155</v>
      </c>
    </row>
    <row r="160" spans="1:6">
      <c r="A160" s="39">
        <v>42374</v>
      </c>
      <c r="B160">
        <v>31.55</v>
      </c>
      <c r="C160">
        <v>32.32</v>
      </c>
      <c r="D160">
        <v>31.53</v>
      </c>
      <c r="E160">
        <v>32.200000000000003</v>
      </c>
      <c r="F160">
        <v>14301076</v>
      </c>
    </row>
    <row r="161" spans="1:6">
      <c r="A161" s="39">
        <v>42375</v>
      </c>
      <c r="B161">
        <v>31.67</v>
      </c>
      <c r="C161">
        <v>32.46</v>
      </c>
      <c r="D161">
        <v>31.6</v>
      </c>
      <c r="E161">
        <v>32.159999999999997</v>
      </c>
      <c r="F161">
        <v>16047757</v>
      </c>
    </row>
    <row r="162" spans="1:6">
      <c r="A162" s="39">
        <v>42376</v>
      </c>
      <c r="B162">
        <v>30.97</v>
      </c>
      <c r="C162">
        <v>31.19</v>
      </c>
      <c r="D162">
        <v>30.02</v>
      </c>
      <c r="E162">
        <v>30.16</v>
      </c>
      <c r="F162">
        <v>21209071</v>
      </c>
    </row>
    <row r="163" spans="1:6">
      <c r="A163" s="39">
        <v>42377</v>
      </c>
      <c r="B163">
        <v>30.51</v>
      </c>
      <c r="C163">
        <v>31.54</v>
      </c>
      <c r="D163">
        <v>30</v>
      </c>
      <c r="E163">
        <v>30.63</v>
      </c>
      <c r="F163">
        <v>26322780</v>
      </c>
    </row>
    <row r="164" spans="1:6">
      <c r="A164" s="39">
        <v>42380</v>
      </c>
      <c r="B164">
        <v>30.65</v>
      </c>
      <c r="C164">
        <v>30.75</v>
      </c>
      <c r="D164">
        <v>29.74</v>
      </c>
      <c r="E164">
        <v>30.17</v>
      </c>
      <c r="F164">
        <v>17140122</v>
      </c>
    </row>
    <row r="165" spans="1:6">
      <c r="A165" s="39">
        <v>42381</v>
      </c>
      <c r="B165">
        <v>30.58</v>
      </c>
      <c r="C165">
        <v>30.97</v>
      </c>
      <c r="D165">
        <v>30.21</v>
      </c>
      <c r="E165">
        <v>30.69</v>
      </c>
      <c r="F165">
        <v>13198495</v>
      </c>
    </row>
    <row r="166" spans="1:6">
      <c r="A166" s="39">
        <v>42382</v>
      </c>
      <c r="B166">
        <v>30.89</v>
      </c>
      <c r="C166">
        <v>31.17</v>
      </c>
      <c r="D166">
        <v>29.32</v>
      </c>
      <c r="E166">
        <v>29.44</v>
      </c>
      <c r="F166">
        <v>16593732</v>
      </c>
    </row>
    <row r="167" spans="1:6">
      <c r="A167" s="39">
        <v>42383</v>
      </c>
      <c r="B167">
        <v>29.69</v>
      </c>
      <c r="C167">
        <v>30.57</v>
      </c>
      <c r="D167">
        <v>28.71</v>
      </c>
      <c r="E167">
        <v>30.32</v>
      </c>
      <c r="F167">
        <v>14995662</v>
      </c>
    </row>
    <row r="168" spans="1:6">
      <c r="A168" s="39">
        <v>42384</v>
      </c>
      <c r="B168">
        <v>29.28</v>
      </c>
      <c r="C168">
        <v>29.77</v>
      </c>
      <c r="D168">
        <v>28.58</v>
      </c>
      <c r="E168">
        <v>29.14</v>
      </c>
      <c r="F168">
        <v>17352014</v>
      </c>
    </row>
    <row r="169" spans="1:6">
      <c r="A169" s="39">
        <v>42388</v>
      </c>
      <c r="B169">
        <v>29.84</v>
      </c>
      <c r="C169">
        <v>30</v>
      </c>
      <c r="D169">
        <v>29.31</v>
      </c>
      <c r="E169">
        <v>29.74</v>
      </c>
      <c r="F169">
        <v>20036365</v>
      </c>
    </row>
    <row r="170" spans="1:6">
      <c r="A170" s="39">
        <v>42389</v>
      </c>
      <c r="B170">
        <v>28.98</v>
      </c>
      <c r="C170">
        <v>29.11</v>
      </c>
      <c r="D170">
        <v>27.44</v>
      </c>
      <c r="E170">
        <v>28.78</v>
      </c>
      <c r="F170">
        <v>20455096</v>
      </c>
    </row>
    <row r="171" spans="1:6">
      <c r="A171" s="39">
        <v>42390</v>
      </c>
      <c r="B171">
        <v>28.75</v>
      </c>
      <c r="C171">
        <v>29.8</v>
      </c>
      <c r="D171">
        <v>28.19</v>
      </c>
      <c r="E171">
        <v>29.31</v>
      </c>
      <c r="F171">
        <v>16073930</v>
      </c>
    </row>
    <row r="172" spans="1:6">
      <c r="A172" s="39">
        <v>42391</v>
      </c>
      <c r="B172">
        <v>29.97</v>
      </c>
      <c r="C172">
        <v>30.52</v>
      </c>
      <c r="D172">
        <v>29.31</v>
      </c>
      <c r="E172">
        <v>29.75</v>
      </c>
      <c r="F172">
        <v>16272093</v>
      </c>
    </row>
    <row r="173" spans="1:6">
      <c r="A173" s="39">
        <v>42394</v>
      </c>
      <c r="B173">
        <v>29.96</v>
      </c>
      <c r="C173">
        <v>30.39</v>
      </c>
      <c r="D173">
        <v>29.66</v>
      </c>
      <c r="E173">
        <v>29.78</v>
      </c>
      <c r="F173">
        <v>23095495</v>
      </c>
    </row>
    <row r="174" spans="1:6">
      <c r="A174" s="39">
        <v>42395</v>
      </c>
      <c r="B174">
        <v>29.76</v>
      </c>
      <c r="C174">
        <v>30.19</v>
      </c>
      <c r="D174">
        <v>29.62</v>
      </c>
      <c r="E174">
        <v>29.98</v>
      </c>
      <c r="F174">
        <v>11422624</v>
      </c>
    </row>
    <row r="175" spans="1:6">
      <c r="A175" s="39">
        <v>42396</v>
      </c>
      <c r="B175">
        <v>29.9</v>
      </c>
      <c r="C175">
        <v>30.53</v>
      </c>
      <c r="D175">
        <v>29.44</v>
      </c>
      <c r="E175">
        <v>29.69</v>
      </c>
      <c r="F175">
        <v>13269873</v>
      </c>
    </row>
    <row r="176" spans="1:6">
      <c r="A176" s="39">
        <v>42397</v>
      </c>
      <c r="B176">
        <v>30.59</v>
      </c>
      <c r="C176">
        <v>30.63</v>
      </c>
      <c r="D176">
        <v>28.6</v>
      </c>
      <c r="E176">
        <v>28.75</v>
      </c>
      <c r="F176">
        <v>15420511</v>
      </c>
    </row>
    <row r="177" spans="1:6">
      <c r="A177" s="39">
        <v>42398</v>
      </c>
      <c r="B177">
        <v>29.1</v>
      </c>
      <c r="C177">
        <v>29.51</v>
      </c>
      <c r="D177">
        <v>28.51</v>
      </c>
      <c r="E177">
        <v>29.51</v>
      </c>
      <c r="F177">
        <v>18718334</v>
      </c>
    </row>
    <row r="178" spans="1:6">
      <c r="A178" s="39">
        <v>42401</v>
      </c>
      <c r="B178">
        <v>29.27</v>
      </c>
      <c r="C178">
        <v>29.78</v>
      </c>
      <c r="D178">
        <v>28.79</v>
      </c>
      <c r="E178">
        <v>29.57</v>
      </c>
      <c r="F178">
        <v>12865755</v>
      </c>
    </row>
    <row r="179" spans="1:6">
      <c r="A179" s="39">
        <v>42402</v>
      </c>
      <c r="B179">
        <v>29.32</v>
      </c>
      <c r="C179">
        <v>30.23</v>
      </c>
      <c r="D179">
        <v>28.13</v>
      </c>
      <c r="E179">
        <v>29.06</v>
      </c>
      <c r="F179">
        <v>34088167</v>
      </c>
    </row>
    <row r="180" spans="1:6">
      <c r="A180" s="39">
        <v>42403</v>
      </c>
      <c r="B180">
        <v>28.45</v>
      </c>
      <c r="C180">
        <v>28.61</v>
      </c>
      <c r="D180">
        <v>26.57</v>
      </c>
      <c r="E180">
        <v>27.68</v>
      </c>
      <c r="F180">
        <v>55527649</v>
      </c>
    </row>
    <row r="181" spans="1:6">
      <c r="A181" s="39">
        <v>42404</v>
      </c>
      <c r="B181">
        <v>27.91</v>
      </c>
      <c r="C181">
        <v>29.23</v>
      </c>
      <c r="D181">
        <v>27.71</v>
      </c>
      <c r="E181">
        <v>29.15</v>
      </c>
      <c r="F181">
        <v>28516992</v>
      </c>
    </row>
    <row r="182" spans="1:6">
      <c r="A182" s="39">
        <v>42405</v>
      </c>
      <c r="B182">
        <v>29.06</v>
      </c>
      <c r="C182">
        <v>29.14</v>
      </c>
      <c r="D182">
        <v>27.72</v>
      </c>
      <c r="E182">
        <v>27.97</v>
      </c>
      <c r="F182">
        <v>16077452</v>
      </c>
    </row>
    <row r="183" spans="1:6">
      <c r="A183" s="39">
        <v>42408</v>
      </c>
      <c r="B183">
        <v>27.61</v>
      </c>
      <c r="C183">
        <v>27.97</v>
      </c>
      <c r="D183">
        <v>26.48</v>
      </c>
      <c r="E183">
        <v>27.05</v>
      </c>
      <c r="F183">
        <v>24473574</v>
      </c>
    </row>
    <row r="184" spans="1:6">
      <c r="A184" s="39">
        <v>42409</v>
      </c>
      <c r="B184">
        <v>26.64</v>
      </c>
      <c r="C184">
        <v>27.69</v>
      </c>
      <c r="D184">
        <v>26.51</v>
      </c>
      <c r="E184">
        <v>26.82</v>
      </c>
      <c r="F184">
        <v>13919057</v>
      </c>
    </row>
    <row r="185" spans="1:6">
      <c r="A185" s="39">
        <v>42410</v>
      </c>
      <c r="B185">
        <v>27.11</v>
      </c>
      <c r="C185">
        <v>27.81</v>
      </c>
      <c r="D185">
        <v>26.84</v>
      </c>
      <c r="E185">
        <v>27.1</v>
      </c>
      <c r="F185">
        <v>8933601</v>
      </c>
    </row>
    <row r="186" spans="1:6">
      <c r="A186" s="39">
        <v>42411</v>
      </c>
      <c r="B186">
        <v>26.46</v>
      </c>
      <c r="C186">
        <v>26.97</v>
      </c>
      <c r="D186">
        <v>26.15</v>
      </c>
      <c r="E186">
        <v>26.76</v>
      </c>
      <c r="F186">
        <v>11154923</v>
      </c>
    </row>
    <row r="187" spans="1:6">
      <c r="A187" s="39">
        <v>42412</v>
      </c>
      <c r="B187">
        <v>27.12</v>
      </c>
      <c r="C187">
        <v>27.32</v>
      </c>
      <c r="D187">
        <v>26.72</v>
      </c>
      <c r="E187">
        <v>27.04</v>
      </c>
      <c r="F187">
        <v>12986151</v>
      </c>
    </row>
    <row r="188" spans="1:6">
      <c r="A188" s="39">
        <v>42416</v>
      </c>
      <c r="B188">
        <v>27.98</v>
      </c>
      <c r="C188">
        <v>29.44</v>
      </c>
      <c r="D188">
        <v>27.94</v>
      </c>
      <c r="E188">
        <v>29.28</v>
      </c>
      <c r="F188">
        <v>20127286</v>
      </c>
    </row>
    <row r="189" spans="1:6">
      <c r="A189" s="39">
        <v>42417</v>
      </c>
      <c r="B189">
        <v>29.47</v>
      </c>
      <c r="C189">
        <v>29.66</v>
      </c>
      <c r="D189">
        <v>29.06</v>
      </c>
      <c r="E189">
        <v>29.37</v>
      </c>
      <c r="F189">
        <v>12891554</v>
      </c>
    </row>
    <row r="190" spans="1:6">
      <c r="A190" s="39">
        <v>42418</v>
      </c>
      <c r="B190">
        <v>29.56</v>
      </c>
      <c r="C190">
        <v>30.14</v>
      </c>
      <c r="D190">
        <v>29.39</v>
      </c>
      <c r="E190">
        <v>29.42</v>
      </c>
      <c r="F190">
        <v>15259369</v>
      </c>
    </row>
    <row r="191" spans="1:6">
      <c r="A191" s="39">
        <v>42419</v>
      </c>
      <c r="B191">
        <v>30.19</v>
      </c>
      <c r="C191">
        <v>30.23</v>
      </c>
      <c r="D191">
        <v>29.7</v>
      </c>
      <c r="E191">
        <v>30.04</v>
      </c>
      <c r="F191">
        <v>20706072</v>
      </c>
    </row>
    <row r="192" spans="1:6">
      <c r="A192" s="39">
        <v>42422</v>
      </c>
      <c r="B192">
        <v>30.65</v>
      </c>
      <c r="C192">
        <v>31.21</v>
      </c>
      <c r="D192">
        <v>30.39</v>
      </c>
      <c r="E192">
        <v>31.17</v>
      </c>
      <c r="F192">
        <v>21455295</v>
      </c>
    </row>
    <row r="193" spans="1:6">
      <c r="A193" s="39">
        <v>42423</v>
      </c>
      <c r="B193">
        <v>31.2</v>
      </c>
      <c r="C193">
        <v>31.38</v>
      </c>
      <c r="D193">
        <v>30.5</v>
      </c>
      <c r="E193">
        <v>30.67</v>
      </c>
      <c r="F193">
        <v>16847456</v>
      </c>
    </row>
    <row r="194" spans="1:6">
      <c r="A194" s="39">
        <v>42424</v>
      </c>
      <c r="B194">
        <v>30.41</v>
      </c>
      <c r="C194">
        <v>31.12</v>
      </c>
      <c r="D194">
        <v>29.8</v>
      </c>
      <c r="E194">
        <v>30.95</v>
      </c>
      <c r="F194">
        <v>12612029</v>
      </c>
    </row>
    <row r="195" spans="1:6">
      <c r="A195" s="39">
        <v>42425</v>
      </c>
      <c r="B195">
        <v>30.74</v>
      </c>
      <c r="C195">
        <v>31.36</v>
      </c>
      <c r="D195">
        <v>30.24</v>
      </c>
      <c r="E195">
        <v>31.36</v>
      </c>
      <c r="F195">
        <v>19842342</v>
      </c>
    </row>
    <row r="196" spans="1:6">
      <c r="A196" s="39">
        <v>42426</v>
      </c>
      <c r="B196">
        <v>31.68</v>
      </c>
      <c r="C196">
        <v>31.9</v>
      </c>
      <c r="D196">
        <v>31.22</v>
      </c>
      <c r="E196">
        <v>31.37</v>
      </c>
      <c r="F196">
        <v>16680156</v>
      </c>
    </row>
    <row r="197" spans="1:6">
      <c r="A197" s="39">
        <v>42429</v>
      </c>
      <c r="B197">
        <v>31.31</v>
      </c>
      <c r="C197">
        <v>32.46</v>
      </c>
      <c r="D197">
        <v>31.31</v>
      </c>
      <c r="E197">
        <v>31.79</v>
      </c>
      <c r="F197">
        <v>19208698</v>
      </c>
    </row>
    <row r="198" spans="1:6">
      <c r="A198" s="39">
        <v>42430</v>
      </c>
      <c r="B198">
        <v>32.04</v>
      </c>
      <c r="C198">
        <v>32.85</v>
      </c>
      <c r="D198">
        <v>32.04</v>
      </c>
      <c r="E198">
        <v>32.799999999999997</v>
      </c>
      <c r="F198">
        <v>14833638</v>
      </c>
    </row>
    <row r="199" spans="1:6">
      <c r="A199" s="39">
        <v>42431</v>
      </c>
      <c r="B199">
        <v>32.81</v>
      </c>
      <c r="C199">
        <v>33.24</v>
      </c>
      <c r="D199">
        <v>32.770000000000003</v>
      </c>
      <c r="E199">
        <v>32.909999999999997</v>
      </c>
      <c r="F199">
        <v>10458566</v>
      </c>
    </row>
    <row r="200" spans="1:6">
      <c r="A200" s="39">
        <v>42432</v>
      </c>
      <c r="B200">
        <v>32.71</v>
      </c>
      <c r="C200">
        <v>33.21</v>
      </c>
      <c r="D200">
        <v>32.42</v>
      </c>
      <c r="E200">
        <v>32.880000000000003</v>
      </c>
      <c r="F200">
        <v>11355589</v>
      </c>
    </row>
    <row r="201" spans="1:6">
      <c r="A201" s="39">
        <v>42433</v>
      </c>
      <c r="B201">
        <v>32.909999999999997</v>
      </c>
      <c r="C201">
        <v>33.93</v>
      </c>
      <c r="D201">
        <v>32.76</v>
      </c>
      <c r="E201">
        <v>33.86</v>
      </c>
      <c r="F201">
        <v>22915205</v>
      </c>
    </row>
    <row r="202" spans="1:6">
      <c r="A202" s="39">
        <v>42436</v>
      </c>
      <c r="B202">
        <v>33.68</v>
      </c>
      <c r="C202">
        <v>34.380000000000003</v>
      </c>
      <c r="D202">
        <v>33.590000000000003</v>
      </c>
      <c r="E202">
        <v>33.96</v>
      </c>
      <c r="F202">
        <v>22923982</v>
      </c>
    </row>
    <row r="203" spans="1:6">
      <c r="A203" s="39">
        <v>42437</v>
      </c>
      <c r="B203">
        <v>33.659999999999997</v>
      </c>
      <c r="C203">
        <v>33.82</v>
      </c>
      <c r="D203">
        <v>32.840000000000003</v>
      </c>
      <c r="E203">
        <v>32.93</v>
      </c>
      <c r="F203">
        <v>21007332</v>
      </c>
    </row>
    <row r="204" spans="1:6">
      <c r="A204" s="39">
        <v>42438</v>
      </c>
      <c r="B204">
        <v>33.090000000000003</v>
      </c>
      <c r="C204">
        <v>33.520000000000003</v>
      </c>
      <c r="D204">
        <v>32.78</v>
      </c>
      <c r="E204">
        <v>33.51</v>
      </c>
      <c r="F204">
        <v>12647144</v>
      </c>
    </row>
    <row r="205" spans="1:6">
      <c r="A205" s="39">
        <v>42439</v>
      </c>
      <c r="B205">
        <v>33.590000000000003</v>
      </c>
      <c r="C205">
        <v>33.6</v>
      </c>
      <c r="D205">
        <v>32.090000000000003</v>
      </c>
      <c r="E205">
        <v>32.82</v>
      </c>
      <c r="F205">
        <v>19451953</v>
      </c>
    </row>
    <row r="206" spans="1:6">
      <c r="A206" s="39">
        <v>42440</v>
      </c>
      <c r="B206">
        <v>33.29</v>
      </c>
      <c r="C206">
        <v>33.86</v>
      </c>
      <c r="D206">
        <v>32.840000000000003</v>
      </c>
      <c r="E206">
        <v>33.81</v>
      </c>
      <c r="F206">
        <v>11682714</v>
      </c>
    </row>
    <row r="207" spans="1:6">
      <c r="A207" s="39">
        <v>42443</v>
      </c>
      <c r="B207">
        <v>33.75</v>
      </c>
      <c r="C207">
        <v>34.08</v>
      </c>
      <c r="D207">
        <v>33.51</v>
      </c>
      <c r="E207">
        <v>33.58</v>
      </c>
      <c r="F207">
        <v>7960303</v>
      </c>
    </row>
    <row r="208" spans="1:6">
      <c r="A208" s="39">
        <v>42444</v>
      </c>
      <c r="B208">
        <v>33.32</v>
      </c>
      <c r="C208">
        <v>33.46</v>
      </c>
      <c r="D208">
        <v>33.11</v>
      </c>
      <c r="E208">
        <v>33.26</v>
      </c>
      <c r="F208">
        <v>10672318</v>
      </c>
    </row>
    <row r="209" spans="1:6">
      <c r="A209" s="39">
        <v>42445</v>
      </c>
      <c r="B209">
        <v>33.03</v>
      </c>
      <c r="C209">
        <v>34.08</v>
      </c>
      <c r="D209">
        <v>33</v>
      </c>
      <c r="E209">
        <v>34.01</v>
      </c>
      <c r="F209">
        <v>10975697</v>
      </c>
    </row>
    <row r="210" spans="1:6">
      <c r="A210" s="39">
        <v>42446</v>
      </c>
      <c r="B210">
        <v>33.880000000000003</v>
      </c>
      <c r="C210">
        <v>34.549999999999997</v>
      </c>
      <c r="D210">
        <v>33.869999999999997</v>
      </c>
      <c r="E210">
        <v>34.28</v>
      </c>
      <c r="F210">
        <v>9334078</v>
      </c>
    </row>
    <row r="211" spans="1:6">
      <c r="A211" s="39">
        <v>42447</v>
      </c>
      <c r="B211">
        <v>34.54</v>
      </c>
      <c r="C211">
        <v>35.21</v>
      </c>
      <c r="D211">
        <v>34.380000000000003</v>
      </c>
      <c r="E211">
        <v>35.17</v>
      </c>
      <c r="F211">
        <v>20488334</v>
      </c>
    </row>
    <row r="212" spans="1:6">
      <c r="A212" s="39">
        <v>42450</v>
      </c>
      <c r="B212">
        <v>35</v>
      </c>
      <c r="C212">
        <v>36.1</v>
      </c>
      <c r="D212">
        <v>35</v>
      </c>
      <c r="E212">
        <v>35.47</v>
      </c>
      <c r="F212">
        <v>13279376</v>
      </c>
    </row>
    <row r="213" spans="1:6">
      <c r="A213" s="39">
        <v>42451</v>
      </c>
      <c r="B213">
        <v>34.68</v>
      </c>
      <c r="C213">
        <v>35.61</v>
      </c>
      <c r="D213">
        <v>34.68</v>
      </c>
      <c r="E213">
        <v>35.409999999999997</v>
      </c>
      <c r="F213">
        <v>11272275</v>
      </c>
    </row>
    <row r="214" spans="1:6">
      <c r="A214" s="39">
        <v>42452</v>
      </c>
      <c r="B214">
        <v>35.43</v>
      </c>
      <c r="C214">
        <v>35.700000000000003</v>
      </c>
      <c r="D214">
        <v>34.71</v>
      </c>
      <c r="E214">
        <v>34.799999999999997</v>
      </c>
      <c r="F214">
        <v>12192595</v>
      </c>
    </row>
    <row r="215" spans="1:6">
      <c r="A215" s="39">
        <v>42453</v>
      </c>
      <c r="B215">
        <v>34.450000000000003</v>
      </c>
      <c r="C215">
        <v>34.86</v>
      </c>
      <c r="D215">
        <v>33.93</v>
      </c>
      <c r="E215">
        <v>34.86</v>
      </c>
      <c r="F215">
        <v>14101549</v>
      </c>
    </row>
    <row r="216" spans="1:6">
      <c r="A216" s="39">
        <v>42457</v>
      </c>
      <c r="B216">
        <v>35.39</v>
      </c>
      <c r="C216">
        <v>35.450000000000003</v>
      </c>
      <c r="D216">
        <v>34.619999999999997</v>
      </c>
      <c r="E216">
        <v>35.229999999999997</v>
      </c>
      <c r="F216">
        <v>12976815</v>
      </c>
    </row>
    <row r="217" spans="1:6">
      <c r="A217" s="39">
        <v>42458</v>
      </c>
      <c r="B217">
        <v>35.049999999999997</v>
      </c>
      <c r="C217">
        <v>36.43</v>
      </c>
      <c r="D217">
        <v>35.01</v>
      </c>
      <c r="E217">
        <v>36.32</v>
      </c>
      <c r="F217">
        <v>23166544</v>
      </c>
    </row>
    <row r="218" spans="1:6">
      <c r="A218" s="39">
        <v>42459</v>
      </c>
      <c r="B218">
        <v>36.61</v>
      </c>
      <c r="C218">
        <v>37.28</v>
      </c>
      <c r="D218">
        <v>36.44</v>
      </c>
      <c r="E218">
        <v>36.56</v>
      </c>
      <c r="F218">
        <v>19836459</v>
      </c>
    </row>
    <row r="219" spans="1:6">
      <c r="A219" s="39">
        <v>42460</v>
      </c>
      <c r="B219">
        <v>36.51</v>
      </c>
      <c r="C219">
        <v>37.020000000000003</v>
      </c>
      <c r="D219">
        <v>36.5</v>
      </c>
      <c r="E219">
        <v>36.81</v>
      </c>
      <c r="F219">
        <v>18666216</v>
      </c>
    </row>
    <row r="220" spans="1:6">
      <c r="A220" s="39">
        <v>42461</v>
      </c>
      <c r="B220">
        <v>36.54</v>
      </c>
      <c r="C220">
        <v>36.880000000000003</v>
      </c>
      <c r="D220">
        <v>36.31</v>
      </c>
      <c r="E220">
        <v>36.479999999999997</v>
      </c>
      <c r="F220">
        <v>13650354</v>
      </c>
    </row>
    <row r="221" spans="1:6">
      <c r="A221" s="39">
        <v>42464</v>
      </c>
      <c r="B221">
        <v>36.549999999999997</v>
      </c>
      <c r="C221">
        <v>37.5</v>
      </c>
      <c r="D221">
        <v>36.54</v>
      </c>
      <c r="E221">
        <v>37.020000000000003</v>
      </c>
      <c r="F221">
        <v>20203233</v>
      </c>
    </row>
    <row r="222" spans="1:6">
      <c r="A222" s="39">
        <v>42465</v>
      </c>
      <c r="B222">
        <v>36.700000000000003</v>
      </c>
      <c r="C222">
        <v>36.92</v>
      </c>
      <c r="D222">
        <v>36.22</v>
      </c>
      <c r="E222">
        <v>36.409999999999997</v>
      </c>
      <c r="F222">
        <v>12439202</v>
      </c>
    </row>
    <row r="223" spans="1:6">
      <c r="A223" s="39">
        <v>42466</v>
      </c>
      <c r="B223">
        <v>36.4</v>
      </c>
      <c r="C223">
        <v>37</v>
      </c>
      <c r="D223">
        <v>36.31</v>
      </c>
      <c r="E223">
        <v>36.659999999999997</v>
      </c>
      <c r="F223">
        <v>19418583</v>
      </c>
    </row>
    <row r="224" spans="1:6">
      <c r="A224" s="39">
        <v>42467</v>
      </c>
      <c r="B224">
        <v>35.86</v>
      </c>
      <c r="C224">
        <v>37.25</v>
      </c>
      <c r="D224">
        <v>35.72</v>
      </c>
      <c r="E224">
        <v>36.17</v>
      </c>
      <c r="F224">
        <v>38653774</v>
      </c>
    </row>
    <row r="225" spans="1:6">
      <c r="A225" s="39">
        <v>42468</v>
      </c>
      <c r="B225">
        <v>36.85</v>
      </c>
      <c r="C225">
        <v>36.92</v>
      </c>
      <c r="D225">
        <v>35.619999999999997</v>
      </c>
      <c r="E225">
        <v>36.07</v>
      </c>
      <c r="F225">
        <v>20251112</v>
      </c>
    </row>
    <row r="226" spans="1:6">
      <c r="A226" s="39">
        <v>42471</v>
      </c>
      <c r="B226">
        <v>36.380000000000003</v>
      </c>
      <c r="C226">
        <v>36.840000000000003</v>
      </c>
      <c r="D226">
        <v>36.32</v>
      </c>
      <c r="E226">
        <v>36.479999999999997</v>
      </c>
      <c r="F226">
        <v>13709569</v>
      </c>
    </row>
    <row r="227" spans="1:6">
      <c r="A227" s="39">
        <v>42472</v>
      </c>
      <c r="B227">
        <v>36.65</v>
      </c>
      <c r="C227">
        <v>36.83</v>
      </c>
      <c r="D227">
        <v>36.28</v>
      </c>
      <c r="E227">
        <v>36.659999999999997</v>
      </c>
      <c r="F227">
        <v>10439369</v>
      </c>
    </row>
    <row r="228" spans="1:6">
      <c r="A228" s="39">
        <v>42473</v>
      </c>
      <c r="B228">
        <v>36.94</v>
      </c>
      <c r="C228">
        <v>37.35</v>
      </c>
      <c r="D228">
        <v>36.9</v>
      </c>
      <c r="E228">
        <v>37.31</v>
      </c>
      <c r="F228">
        <v>17158703</v>
      </c>
    </row>
    <row r="229" spans="1:6">
      <c r="A229" s="39">
        <v>42474</v>
      </c>
      <c r="B229">
        <v>37.47</v>
      </c>
      <c r="C229">
        <v>37.5</v>
      </c>
      <c r="D229">
        <v>36.85</v>
      </c>
      <c r="E229">
        <v>37.17</v>
      </c>
      <c r="F229">
        <v>16608991</v>
      </c>
    </row>
    <row r="230" spans="1:6">
      <c r="A230" s="39">
        <v>42475</v>
      </c>
      <c r="B230">
        <v>37.130000000000003</v>
      </c>
      <c r="C230">
        <v>37.15</v>
      </c>
      <c r="D230">
        <v>36.42</v>
      </c>
      <c r="E230">
        <v>36.51</v>
      </c>
      <c r="F230">
        <v>19016188</v>
      </c>
    </row>
    <row r="231" spans="1:6">
      <c r="A231" s="39">
        <v>42478</v>
      </c>
      <c r="B231">
        <v>36.24</v>
      </c>
      <c r="C231">
        <v>37</v>
      </c>
      <c r="D231">
        <v>35.880000000000003</v>
      </c>
      <c r="E231">
        <v>36.520000000000003</v>
      </c>
      <c r="F231">
        <v>17723026</v>
      </c>
    </row>
    <row r="232" spans="1:6">
      <c r="A232" s="39">
        <v>42479</v>
      </c>
      <c r="B232">
        <v>36.46</v>
      </c>
      <c r="C232">
        <v>36.729999999999997</v>
      </c>
      <c r="D232">
        <v>36.11</v>
      </c>
      <c r="E232">
        <v>36.33</v>
      </c>
      <c r="F232">
        <v>20014080</v>
      </c>
    </row>
    <row r="233" spans="1:6">
      <c r="A233" s="39">
        <v>42480</v>
      </c>
      <c r="B233">
        <v>37.1</v>
      </c>
      <c r="C233">
        <v>38.18</v>
      </c>
      <c r="D233">
        <v>37</v>
      </c>
      <c r="E233">
        <v>37.840000000000003</v>
      </c>
      <c r="F233">
        <v>30758921</v>
      </c>
    </row>
    <row r="234" spans="1:6">
      <c r="A234" s="39">
        <v>42481</v>
      </c>
      <c r="B234">
        <v>37.92</v>
      </c>
      <c r="C234">
        <v>38.119999999999997</v>
      </c>
      <c r="D234">
        <v>37.35</v>
      </c>
      <c r="E234">
        <v>37.67</v>
      </c>
      <c r="F234">
        <v>11633739</v>
      </c>
    </row>
    <row r="235" spans="1:6">
      <c r="A235" s="39">
        <v>42482</v>
      </c>
      <c r="B235">
        <v>37.5</v>
      </c>
      <c r="C235">
        <v>38.090000000000003</v>
      </c>
      <c r="D235">
        <v>37.159999999999997</v>
      </c>
      <c r="E235">
        <v>37.479999999999997</v>
      </c>
      <c r="F235">
        <v>9071816</v>
      </c>
    </row>
    <row r="236" spans="1:6">
      <c r="A236" s="39">
        <v>42485</v>
      </c>
      <c r="B236">
        <v>37.47</v>
      </c>
      <c r="C236">
        <v>37.54</v>
      </c>
      <c r="D236">
        <v>37.18</v>
      </c>
      <c r="E236">
        <v>37.229999999999997</v>
      </c>
      <c r="F236">
        <v>9823457</v>
      </c>
    </row>
    <row r="237" spans="1:6">
      <c r="A237" s="39">
        <v>42486</v>
      </c>
      <c r="B237">
        <v>37.32</v>
      </c>
      <c r="C237">
        <v>37.54</v>
      </c>
      <c r="D237">
        <v>36.909999999999997</v>
      </c>
      <c r="E237">
        <v>37.11</v>
      </c>
      <c r="F237">
        <v>10059564</v>
      </c>
    </row>
    <row r="238" spans="1:6">
      <c r="A238" s="39">
        <v>42487</v>
      </c>
      <c r="B238">
        <v>37.520000000000003</v>
      </c>
      <c r="C238">
        <v>37.590000000000003</v>
      </c>
      <c r="D238">
        <v>36.630000000000003</v>
      </c>
      <c r="E238">
        <v>36.950000000000003</v>
      </c>
      <c r="F238">
        <v>16391163</v>
      </c>
    </row>
    <row r="239" spans="1:6">
      <c r="A239" s="39">
        <v>42488</v>
      </c>
      <c r="B239">
        <v>36.840000000000003</v>
      </c>
      <c r="C239">
        <v>37.44</v>
      </c>
      <c r="D239">
        <v>36.51</v>
      </c>
      <c r="E239">
        <v>36.590000000000003</v>
      </c>
      <c r="F239">
        <v>13148503</v>
      </c>
    </row>
    <row r="240" spans="1:6">
      <c r="A240" s="39">
        <v>42489</v>
      </c>
      <c r="B240">
        <v>36.51</v>
      </c>
      <c r="C240">
        <v>36.979999999999997</v>
      </c>
      <c r="D240">
        <v>36.15</v>
      </c>
      <c r="E240">
        <v>36.6</v>
      </c>
      <c r="F240">
        <v>11954114</v>
      </c>
    </row>
    <row r="241" spans="1:6">
      <c r="A241" s="39">
        <v>42492</v>
      </c>
      <c r="B241">
        <v>36.65</v>
      </c>
      <c r="C241">
        <v>36.74</v>
      </c>
      <c r="D241">
        <v>36.32</v>
      </c>
      <c r="E241">
        <v>36.53</v>
      </c>
      <c r="F241">
        <v>6581891</v>
      </c>
    </row>
    <row r="242" spans="1:6">
      <c r="A242" s="39">
        <v>42493</v>
      </c>
      <c r="B242">
        <v>36.25</v>
      </c>
      <c r="C242">
        <v>36.409999999999997</v>
      </c>
      <c r="D242">
        <v>35.909999999999997</v>
      </c>
      <c r="E242">
        <v>36.01</v>
      </c>
      <c r="F242">
        <v>8774971</v>
      </c>
    </row>
    <row r="243" spans="1:6">
      <c r="A243" s="39">
        <v>42494</v>
      </c>
      <c r="B243">
        <v>35.81</v>
      </c>
      <c r="C243">
        <v>36.090000000000003</v>
      </c>
      <c r="D243">
        <v>35.74</v>
      </c>
      <c r="E243">
        <v>36</v>
      </c>
      <c r="F243">
        <v>9649269</v>
      </c>
    </row>
    <row r="244" spans="1:6">
      <c r="A244" s="39">
        <v>42495</v>
      </c>
      <c r="B244">
        <v>37.06</v>
      </c>
      <c r="C244">
        <v>37.450000000000003</v>
      </c>
      <c r="D244">
        <v>36.86</v>
      </c>
      <c r="E244">
        <v>36.94</v>
      </c>
      <c r="F244">
        <v>13699177</v>
      </c>
    </row>
    <row r="245" spans="1:6">
      <c r="A245" s="39">
        <v>42496</v>
      </c>
      <c r="B245">
        <v>36.549999999999997</v>
      </c>
      <c r="C245">
        <v>37.31</v>
      </c>
      <c r="D245">
        <v>36.49</v>
      </c>
      <c r="E245">
        <v>37.229999999999997</v>
      </c>
      <c r="F245">
        <v>9208343</v>
      </c>
    </row>
    <row r="246" spans="1:6">
      <c r="A246" s="39">
        <v>42499</v>
      </c>
      <c r="B246">
        <v>36.97</v>
      </c>
      <c r="C246">
        <v>37.35</v>
      </c>
      <c r="D246">
        <v>36.92</v>
      </c>
      <c r="E246">
        <v>37.18</v>
      </c>
      <c r="F246">
        <v>6149115</v>
      </c>
    </row>
    <row r="247" spans="1:6">
      <c r="A247" s="39">
        <v>42500</v>
      </c>
      <c r="B247">
        <v>37.17</v>
      </c>
      <c r="C247">
        <v>37.58</v>
      </c>
      <c r="D247">
        <v>37.14</v>
      </c>
      <c r="E247">
        <v>37.44</v>
      </c>
      <c r="F247">
        <v>7171353</v>
      </c>
    </row>
    <row r="248" spans="1:6">
      <c r="A248" s="39">
        <v>42501</v>
      </c>
      <c r="B248">
        <v>37.28</v>
      </c>
      <c r="C248">
        <v>37.630000000000003</v>
      </c>
      <c r="D248">
        <v>37.200000000000003</v>
      </c>
      <c r="E248">
        <v>37.369999999999997</v>
      </c>
      <c r="F248">
        <v>9997359</v>
      </c>
    </row>
    <row r="249" spans="1:6">
      <c r="A249" s="39">
        <v>42502</v>
      </c>
      <c r="B249">
        <v>37.39</v>
      </c>
      <c r="C249">
        <v>37.51</v>
      </c>
      <c r="D249">
        <v>36.79</v>
      </c>
      <c r="E249">
        <v>37.03</v>
      </c>
      <c r="F249">
        <v>11169187</v>
      </c>
    </row>
    <row r="250" spans="1:6">
      <c r="A250" s="39">
        <v>42503</v>
      </c>
      <c r="B250">
        <v>36.909999999999997</v>
      </c>
      <c r="C250">
        <v>37.07</v>
      </c>
      <c r="D250">
        <v>36.380000000000003</v>
      </c>
      <c r="E250">
        <v>36.479999999999997</v>
      </c>
      <c r="F250">
        <v>10996727</v>
      </c>
    </row>
    <row r="251" spans="1:6">
      <c r="A251" s="39">
        <v>42506</v>
      </c>
      <c r="B251">
        <v>37.03</v>
      </c>
      <c r="C251">
        <v>37.79</v>
      </c>
      <c r="D251">
        <v>36.880000000000003</v>
      </c>
      <c r="E251">
        <v>37.479999999999997</v>
      </c>
      <c r="F251">
        <v>16976456</v>
      </c>
    </row>
    <row r="252" spans="1:6">
      <c r="A252" s="39">
        <v>42507</v>
      </c>
      <c r="B252">
        <v>37.44</v>
      </c>
      <c r="C252">
        <v>37.700000000000003</v>
      </c>
      <c r="D252">
        <v>37.25</v>
      </c>
      <c r="E252">
        <v>37.270000000000003</v>
      </c>
      <c r="F252">
        <v>11335505</v>
      </c>
    </row>
    <row r="253" spans="1:6">
      <c r="A253" s="39">
        <v>42508</v>
      </c>
      <c r="B253">
        <v>37.090000000000003</v>
      </c>
      <c r="C253">
        <v>37.5</v>
      </c>
      <c r="D253">
        <v>36.89</v>
      </c>
      <c r="E253">
        <v>37.24</v>
      </c>
      <c r="F253">
        <v>8465904</v>
      </c>
    </row>
    <row r="254" spans="1:6">
      <c r="A254" s="39">
        <v>42509</v>
      </c>
      <c r="B254">
        <v>36.94</v>
      </c>
      <c r="C254">
        <v>37.229999999999997</v>
      </c>
      <c r="D254">
        <v>36.67</v>
      </c>
      <c r="E254">
        <v>37.020000000000003</v>
      </c>
      <c r="F254">
        <v>7096480</v>
      </c>
    </row>
    <row r="255" spans="1:6">
      <c r="A255" s="39">
        <v>42510</v>
      </c>
      <c r="B255">
        <v>36.049999999999997</v>
      </c>
      <c r="C255">
        <v>36.72</v>
      </c>
      <c r="D255">
        <v>35.880000000000003</v>
      </c>
      <c r="E255">
        <v>36.5</v>
      </c>
      <c r="F255">
        <v>34311031</v>
      </c>
    </row>
    <row r="256" spans="1:6">
      <c r="A256" s="39">
        <v>42513</v>
      </c>
      <c r="B256">
        <v>36.46</v>
      </c>
      <c r="C256">
        <v>36.94</v>
      </c>
      <c r="D256">
        <v>36.43</v>
      </c>
      <c r="E256">
        <v>36.659999999999997</v>
      </c>
      <c r="F256">
        <v>7768631</v>
      </c>
    </row>
    <row r="257" spans="1:6">
      <c r="A257" s="39">
        <v>42514</v>
      </c>
      <c r="B257">
        <v>36.85</v>
      </c>
      <c r="C257">
        <v>37.630000000000003</v>
      </c>
      <c r="D257">
        <v>36.770000000000003</v>
      </c>
      <c r="E257">
        <v>37.53</v>
      </c>
      <c r="F257">
        <v>10601318</v>
      </c>
    </row>
    <row r="258" spans="1:6">
      <c r="A258" s="39">
        <v>42515</v>
      </c>
      <c r="B258">
        <v>36.630000000000003</v>
      </c>
      <c r="C258">
        <v>36.96</v>
      </c>
      <c r="D258">
        <v>35.47</v>
      </c>
      <c r="E258">
        <v>35.590000000000003</v>
      </c>
      <c r="F258">
        <v>33984864</v>
      </c>
    </row>
    <row r="259" spans="1:6">
      <c r="A259" s="39">
        <v>42516</v>
      </c>
      <c r="B259">
        <v>36.130000000000003</v>
      </c>
      <c r="C259">
        <v>36.85</v>
      </c>
      <c r="D259">
        <v>36.07</v>
      </c>
      <c r="E259">
        <v>36.76</v>
      </c>
      <c r="F259">
        <v>16277866</v>
      </c>
    </row>
    <row r="260" spans="1:6">
      <c r="A260" s="39">
        <v>42517</v>
      </c>
      <c r="B260">
        <v>36.880000000000003</v>
      </c>
      <c r="C260">
        <v>37.880000000000003</v>
      </c>
      <c r="D260">
        <v>36.840000000000003</v>
      </c>
      <c r="E260">
        <v>37.82</v>
      </c>
      <c r="F260">
        <v>14642533</v>
      </c>
    </row>
    <row r="261" spans="1:6">
      <c r="A261" s="39">
        <v>42521</v>
      </c>
      <c r="B261">
        <v>37.729999999999997</v>
      </c>
      <c r="C261">
        <v>38.08</v>
      </c>
      <c r="D261">
        <v>37.5</v>
      </c>
      <c r="E261">
        <v>37.94</v>
      </c>
      <c r="F261">
        <v>12873630</v>
      </c>
    </row>
    <row r="262" spans="1:6">
      <c r="A262" s="39">
        <v>42522</v>
      </c>
      <c r="B262">
        <v>37.25</v>
      </c>
      <c r="C262">
        <v>37.74</v>
      </c>
      <c r="D262">
        <v>36.56</v>
      </c>
      <c r="E262">
        <v>36.65</v>
      </c>
      <c r="F262">
        <v>22177647</v>
      </c>
    </row>
    <row r="263" spans="1:6">
      <c r="A263" s="39">
        <v>42523</v>
      </c>
      <c r="B263">
        <v>36.659999999999997</v>
      </c>
      <c r="C263">
        <v>37.22</v>
      </c>
      <c r="D263">
        <v>36.58</v>
      </c>
      <c r="E263">
        <v>37.15</v>
      </c>
      <c r="F263">
        <v>12179259</v>
      </c>
    </row>
    <row r="264" spans="1:6">
      <c r="A264" s="39">
        <v>42524</v>
      </c>
      <c r="B264">
        <v>37.11</v>
      </c>
      <c r="C264">
        <v>37.11</v>
      </c>
      <c r="D264">
        <v>36.5</v>
      </c>
      <c r="E264">
        <v>36.6</v>
      </c>
      <c r="F264">
        <v>12059105</v>
      </c>
    </row>
    <row r="265" spans="1:6">
      <c r="A265" s="39">
        <v>42527</v>
      </c>
      <c r="B265">
        <v>36.67</v>
      </c>
      <c r="C265">
        <v>37.200000000000003</v>
      </c>
      <c r="D265">
        <v>36.520000000000003</v>
      </c>
      <c r="E265">
        <v>37.07</v>
      </c>
      <c r="F265">
        <v>8426142</v>
      </c>
    </row>
    <row r="266" spans="1:6">
      <c r="A266" s="39">
        <v>42528</v>
      </c>
      <c r="B266">
        <v>36.9</v>
      </c>
      <c r="C266">
        <v>36.99</v>
      </c>
      <c r="D266">
        <v>36.619999999999997</v>
      </c>
      <c r="E266">
        <v>36.729999999999997</v>
      </c>
      <c r="F266">
        <v>14757059</v>
      </c>
    </row>
    <row r="267" spans="1:6">
      <c r="A267" s="39">
        <v>42529</v>
      </c>
      <c r="B267">
        <v>36.840000000000003</v>
      </c>
      <c r="C267">
        <v>37.299999999999997</v>
      </c>
      <c r="D267">
        <v>36.840000000000003</v>
      </c>
      <c r="E267">
        <v>36.97</v>
      </c>
      <c r="F267">
        <v>9181896</v>
      </c>
    </row>
    <row r="268" spans="1:6">
      <c r="A268" s="39">
        <v>42530</v>
      </c>
      <c r="B268">
        <v>36.82</v>
      </c>
      <c r="C268">
        <v>37.729999999999997</v>
      </c>
      <c r="D268">
        <v>36.71</v>
      </c>
      <c r="E268">
        <v>37.35</v>
      </c>
      <c r="F268">
        <v>14759107</v>
      </c>
    </row>
    <row r="269" spans="1:6">
      <c r="A269" s="39">
        <v>42531</v>
      </c>
      <c r="B269">
        <v>36.97</v>
      </c>
      <c r="C269">
        <v>37.14</v>
      </c>
      <c r="D269">
        <v>36.590000000000003</v>
      </c>
      <c r="E269">
        <v>36.83</v>
      </c>
      <c r="F269">
        <v>11216470</v>
      </c>
    </row>
    <row r="270" spans="1:6">
      <c r="A270" s="39">
        <v>42534</v>
      </c>
      <c r="B270">
        <v>36.700000000000003</v>
      </c>
      <c r="C270">
        <v>36.909999999999997</v>
      </c>
      <c r="D270">
        <v>36.42</v>
      </c>
      <c r="E270">
        <v>36.47</v>
      </c>
      <c r="F270">
        <v>6519751</v>
      </c>
    </row>
    <row r="271" spans="1:6">
      <c r="A271" s="39">
        <v>42535</v>
      </c>
      <c r="B271">
        <v>36.630000000000003</v>
      </c>
      <c r="C271">
        <v>37.44</v>
      </c>
      <c r="D271">
        <v>36.630000000000003</v>
      </c>
      <c r="E271">
        <v>37.4</v>
      </c>
      <c r="F271">
        <v>13023127</v>
      </c>
    </row>
    <row r="272" spans="1:6">
      <c r="A272" s="39">
        <v>42536</v>
      </c>
      <c r="B272">
        <v>37.43</v>
      </c>
      <c r="C272">
        <v>37.6</v>
      </c>
      <c r="D272">
        <v>37.1</v>
      </c>
      <c r="E272">
        <v>37.32</v>
      </c>
      <c r="F272">
        <v>10213170</v>
      </c>
    </row>
    <row r="273" spans="1:6">
      <c r="A273" s="39">
        <v>42537</v>
      </c>
      <c r="B273">
        <v>37.39</v>
      </c>
      <c r="C273">
        <v>37.450000000000003</v>
      </c>
      <c r="D273">
        <v>36.54</v>
      </c>
      <c r="E273">
        <v>37.39</v>
      </c>
      <c r="F273">
        <v>10634046</v>
      </c>
    </row>
    <row r="274" spans="1:6">
      <c r="A274" s="39">
        <v>42538</v>
      </c>
      <c r="B274">
        <v>37.43</v>
      </c>
      <c r="C274">
        <v>37.44</v>
      </c>
      <c r="D274">
        <v>36.81</v>
      </c>
      <c r="E274">
        <v>36.94</v>
      </c>
      <c r="F274">
        <v>12593900</v>
      </c>
    </row>
    <row r="275" spans="1:6">
      <c r="A275" s="39">
        <v>42541</v>
      </c>
      <c r="B275">
        <v>37.270000000000003</v>
      </c>
      <c r="C275">
        <v>37.68</v>
      </c>
      <c r="D275">
        <v>37.24</v>
      </c>
      <c r="E275">
        <v>37.29</v>
      </c>
      <c r="F275">
        <v>8957313</v>
      </c>
    </row>
    <row r="276" spans="1:6">
      <c r="A276" s="39">
        <v>42542</v>
      </c>
      <c r="B276">
        <v>37.369999999999997</v>
      </c>
      <c r="C276">
        <v>37.549999999999997</v>
      </c>
      <c r="D276">
        <v>37.200000000000003</v>
      </c>
      <c r="E276">
        <v>37.4</v>
      </c>
      <c r="F276">
        <v>5574603</v>
      </c>
    </row>
    <row r="277" spans="1:6">
      <c r="A277" s="39">
        <v>42543</v>
      </c>
      <c r="B277">
        <v>37.369999999999997</v>
      </c>
      <c r="C277">
        <v>37.520000000000003</v>
      </c>
      <c r="D277">
        <v>37.17</v>
      </c>
      <c r="E277">
        <v>37.36</v>
      </c>
      <c r="F277">
        <v>6279215</v>
      </c>
    </row>
    <row r="278" spans="1:6">
      <c r="A278" s="39">
        <v>42544</v>
      </c>
      <c r="B278">
        <v>37.64</v>
      </c>
      <c r="C278">
        <v>37.78</v>
      </c>
      <c r="D278">
        <v>37.409999999999997</v>
      </c>
      <c r="E278">
        <v>37.78</v>
      </c>
      <c r="F278">
        <v>7710892</v>
      </c>
    </row>
    <row r="279" spans="1:6">
      <c r="A279" s="39">
        <v>42545</v>
      </c>
      <c r="B279">
        <v>36.4</v>
      </c>
      <c r="C279">
        <v>36.950000000000003</v>
      </c>
      <c r="D279">
        <v>36.08</v>
      </c>
      <c r="E279">
        <v>36.24</v>
      </c>
      <c r="F279">
        <v>19657828</v>
      </c>
    </row>
    <row r="280" spans="1:6">
      <c r="A280" s="39">
        <v>42548</v>
      </c>
      <c r="B280">
        <v>35.869999999999997</v>
      </c>
      <c r="C280">
        <v>36.01</v>
      </c>
      <c r="D280">
        <v>35.049999999999997</v>
      </c>
      <c r="E280">
        <v>35.22</v>
      </c>
      <c r="F280">
        <v>14157606</v>
      </c>
    </row>
    <row r="281" spans="1:6">
      <c r="A281" s="39">
        <v>42549</v>
      </c>
      <c r="B281">
        <v>35.58</v>
      </c>
      <c r="C281">
        <v>36.14</v>
      </c>
      <c r="D281">
        <v>35.5</v>
      </c>
      <c r="E281">
        <v>36.04</v>
      </c>
      <c r="F281">
        <v>10990713</v>
      </c>
    </row>
    <row r="282" spans="1:6">
      <c r="A282" s="39">
        <v>42550</v>
      </c>
      <c r="B282">
        <v>36.25</v>
      </c>
      <c r="C282">
        <v>37.08</v>
      </c>
      <c r="D282">
        <v>36.25</v>
      </c>
      <c r="E282">
        <v>36.86</v>
      </c>
      <c r="F282">
        <v>10808162</v>
      </c>
    </row>
    <row r="283" spans="1:6">
      <c r="A283" s="39">
        <v>42551</v>
      </c>
      <c r="B283">
        <v>36.89</v>
      </c>
      <c r="C283">
        <v>37.58</v>
      </c>
      <c r="D283">
        <v>36.89</v>
      </c>
      <c r="E283">
        <v>37.56</v>
      </c>
      <c r="F283">
        <v>15209878</v>
      </c>
    </row>
    <row r="284" spans="1:6">
      <c r="A284" s="39">
        <v>42552</v>
      </c>
      <c r="B284">
        <v>37.56</v>
      </c>
      <c r="C284">
        <v>38.08</v>
      </c>
      <c r="D284">
        <v>37.43</v>
      </c>
      <c r="E284">
        <v>37.99</v>
      </c>
      <c r="F284">
        <v>10602792</v>
      </c>
    </row>
    <row r="285" spans="1:6">
      <c r="A285" s="39">
        <v>42556</v>
      </c>
      <c r="B285">
        <v>37.68</v>
      </c>
      <c r="C285">
        <v>37.770000000000003</v>
      </c>
      <c r="D285">
        <v>37.17</v>
      </c>
      <c r="E285">
        <v>37.5</v>
      </c>
      <c r="F285">
        <v>8746735</v>
      </c>
    </row>
    <row r="286" spans="1:6">
      <c r="A286" s="39">
        <v>42557</v>
      </c>
      <c r="B286">
        <v>37.43</v>
      </c>
      <c r="C286">
        <v>37.56</v>
      </c>
      <c r="D286">
        <v>37.130000000000003</v>
      </c>
      <c r="E286">
        <v>37.51</v>
      </c>
      <c r="F286">
        <v>8328101</v>
      </c>
    </row>
    <row r="287" spans="1:6">
      <c r="A287" s="39">
        <v>42558</v>
      </c>
      <c r="B287">
        <v>37.57</v>
      </c>
      <c r="C287">
        <v>37.76</v>
      </c>
      <c r="D287">
        <v>37.29</v>
      </c>
      <c r="E287">
        <v>37.520000000000003</v>
      </c>
      <c r="F287">
        <v>9031440</v>
      </c>
    </row>
    <row r="288" spans="1:6">
      <c r="A288" s="39">
        <v>42559</v>
      </c>
      <c r="B288">
        <v>37.53</v>
      </c>
      <c r="C288">
        <v>37.840000000000003</v>
      </c>
      <c r="D288">
        <v>37.06</v>
      </c>
      <c r="E288">
        <v>37.74</v>
      </c>
      <c r="F288">
        <v>8786614</v>
      </c>
    </row>
    <row r="289" spans="1:6">
      <c r="A289" s="39">
        <v>42562</v>
      </c>
      <c r="B289">
        <v>37.44</v>
      </c>
      <c r="C289">
        <v>38.15</v>
      </c>
      <c r="D289">
        <v>37.369999999999997</v>
      </c>
      <c r="E289">
        <v>37.96</v>
      </c>
      <c r="F289">
        <v>20342573</v>
      </c>
    </row>
    <row r="290" spans="1:6">
      <c r="A290" s="39">
        <v>42563</v>
      </c>
      <c r="B290">
        <v>38</v>
      </c>
      <c r="C290">
        <v>38.33</v>
      </c>
      <c r="D290">
        <v>37.869999999999997</v>
      </c>
      <c r="E290">
        <v>37.89</v>
      </c>
      <c r="F290">
        <v>15224047</v>
      </c>
    </row>
    <row r="291" spans="1:6">
      <c r="A291" s="39">
        <v>42564</v>
      </c>
      <c r="B291">
        <v>37.99</v>
      </c>
      <c r="C291">
        <v>38.01</v>
      </c>
      <c r="D291">
        <v>37.46</v>
      </c>
      <c r="E291">
        <v>37.64</v>
      </c>
      <c r="F291">
        <v>9566060</v>
      </c>
    </row>
    <row r="292" spans="1:6">
      <c r="A292" s="39">
        <v>42565</v>
      </c>
      <c r="B292">
        <v>37.85</v>
      </c>
      <c r="C292">
        <v>38.35</v>
      </c>
      <c r="D292">
        <v>37.85</v>
      </c>
      <c r="E292">
        <v>37.96</v>
      </c>
      <c r="F292">
        <v>10713015</v>
      </c>
    </row>
    <row r="293" spans="1:6">
      <c r="A293" s="39">
        <v>42566</v>
      </c>
      <c r="B293">
        <v>38.159999999999997</v>
      </c>
      <c r="C293">
        <v>38.18</v>
      </c>
      <c r="D293">
        <v>37.68</v>
      </c>
      <c r="E293">
        <v>37.72</v>
      </c>
      <c r="F293">
        <v>13513375</v>
      </c>
    </row>
    <row r="294" spans="1:6">
      <c r="A294" s="39">
        <v>42569</v>
      </c>
      <c r="B294">
        <v>37.68</v>
      </c>
      <c r="C294">
        <v>37.97</v>
      </c>
      <c r="D294">
        <v>37.5</v>
      </c>
      <c r="E294">
        <v>37.950000000000003</v>
      </c>
      <c r="F294">
        <v>16046777</v>
      </c>
    </row>
    <row r="295" spans="1:6">
      <c r="A295" s="39">
        <v>42570</v>
      </c>
      <c r="B295">
        <v>37.770000000000003</v>
      </c>
      <c r="C295">
        <v>38.49</v>
      </c>
      <c r="D295">
        <v>37.65</v>
      </c>
      <c r="E295">
        <v>38.17</v>
      </c>
      <c r="F295">
        <v>10393957</v>
      </c>
    </row>
    <row r="296" spans="1:6">
      <c r="A296" s="39">
        <v>42571</v>
      </c>
      <c r="B296">
        <v>38.36</v>
      </c>
      <c r="C296">
        <v>38.93</v>
      </c>
      <c r="D296">
        <v>38.26</v>
      </c>
      <c r="E296">
        <v>38.9</v>
      </c>
      <c r="F296">
        <v>8177973</v>
      </c>
    </row>
    <row r="297" spans="1:6">
      <c r="A297" s="39">
        <v>42572</v>
      </c>
      <c r="B297">
        <v>39.01</v>
      </c>
      <c r="C297">
        <v>39.25</v>
      </c>
      <c r="D297">
        <v>38.72</v>
      </c>
      <c r="E297">
        <v>38.85</v>
      </c>
      <c r="F297">
        <v>7671760</v>
      </c>
    </row>
    <row r="298" spans="1:6">
      <c r="A298" s="39">
        <v>42573</v>
      </c>
      <c r="B298">
        <v>38.9</v>
      </c>
      <c r="C298">
        <v>39.42</v>
      </c>
      <c r="D298">
        <v>38.78</v>
      </c>
      <c r="E298">
        <v>39.380000000000003</v>
      </c>
      <c r="F298">
        <v>11325660</v>
      </c>
    </row>
    <row r="299" spans="1:6">
      <c r="A299" s="39">
        <v>42576</v>
      </c>
      <c r="B299">
        <v>39.200000000000003</v>
      </c>
      <c r="C299">
        <v>39.21</v>
      </c>
      <c r="D299">
        <v>38.22</v>
      </c>
      <c r="E299">
        <v>38.32</v>
      </c>
      <c r="F299">
        <v>41814378</v>
      </c>
    </row>
    <row r="300" spans="1:6">
      <c r="A300" s="39">
        <v>42577</v>
      </c>
      <c r="B300">
        <v>38.07</v>
      </c>
      <c r="C300">
        <v>38.83</v>
      </c>
      <c r="D300">
        <v>37.9</v>
      </c>
      <c r="E300">
        <v>38.76</v>
      </c>
      <c r="F300">
        <v>15978647</v>
      </c>
    </row>
    <row r="301" spans="1:6">
      <c r="A301" s="39">
        <v>42578</v>
      </c>
      <c r="B301">
        <v>38.659999999999997</v>
      </c>
      <c r="C301">
        <v>38.770000000000003</v>
      </c>
      <c r="D301">
        <v>38.43</v>
      </c>
      <c r="E301">
        <v>38.659999999999997</v>
      </c>
      <c r="F301">
        <v>12148433</v>
      </c>
    </row>
    <row r="302" spans="1:6">
      <c r="A302" s="39">
        <v>42579</v>
      </c>
      <c r="B302">
        <v>38.58</v>
      </c>
      <c r="C302">
        <v>38.64</v>
      </c>
      <c r="D302">
        <v>38.229999999999997</v>
      </c>
      <c r="E302">
        <v>38.520000000000003</v>
      </c>
      <c r="F302">
        <v>7424404</v>
      </c>
    </row>
    <row r="303" spans="1:6">
      <c r="A303" s="39">
        <v>42580</v>
      </c>
      <c r="B303">
        <v>38.47</v>
      </c>
      <c r="C303">
        <v>38.520000000000003</v>
      </c>
      <c r="D303">
        <v>38.08</v>
      </c>
      <c r="E303">
        <v>38.19</v>
      </c>
      <c r="F303">
        <v>13199145</v>
      </c>
    </row>
    <row r="304" spans="1:6">
      <c r="A304" s="39">
        <v>42583</v>
      </c>
      <c r="B304">
        <v>38.18</v>
      </c>
      <c r="C304">
        <v>38.89</v>
      </c>
      <c r="D304">
        <v>38.1</v>
      </c>
      <c r="E304">
        <v>38.799999999999997</v>
      </c>
      <c r="F304">
        <v>9605006</v>
      </c>
    </row>
    <row r="305" spans="1:6">
      <c r="A305" s="39">
        <v>42584</v>
      </c>
      <c r="B305">
        <v>38.6</v>
      </c>
      <c r="C305">
        <v>38.67</v>
      </c>
      <c r="D305">
        <v>38.26</v>
      </c>
      <c r="E305">
        <v>38.57</v>
      </c>
      <c r="F305">
        <v>7504721</v>
      </c>
    </row>
    <row r="306" spans="1:6">
      <c r="A306" s="39">
        <v>42585</v>
      </c>
      <c r="B306">
        <v>38.43</v>
      </c>
      <c r="C306">
        <v>38.549999999999997</v>
      </c>
      <c r="D306">
        <v>38.28</v>
      </c>
      <c r="E306">
        <v>38.39</v>
      </c>
      <c r="F306">
        <v>5890051</v>
      </c>
    </row>
    <row r="307" spans="1:6">
      <c r="A307" s="39">
        <v>42586</v>
      </c>
      <c r="B307">
        <v>38.47</v>
      </c>
      <c r="C307">
        <v>39.03</v>
      </c>
      <c r="D307">
        <v>38.43</v>
      </c>
      <c r="E307">
        <v>38.92</v>
      </c>
      <c r="F307">
        <v>11000843</v>
      </c>
    </row>
    <row r="308" spans="1:6">
      <c r="A308" s="39">
        <v>42587</v>
      </c>
      <c r="B308">
        <v>39</v>
      </c>
      <c r="C308">
        <v>39.15</v>
      </c>
      <c r="D308">
        <v>38.9</v>
      </c>
      <c r="E308">
        <v>38.99</v>
      </c>
      <c r="F308">
        <v>9127094</v>
      </c>
    </row>
    <row r="309" spans="1:6">
      <c r="A309" s="39">
        <v>42590</v>
      </c>
      <c r="B309">
        <v>39</v>
      </c>
      <c r="C309">
        <v>39.270000000000003</v>
      </c>
      <c r="D309">
        <v>38.86</v>
      </c>
      <c r="E309">
        <v>39.24</v>
      </c>
      <c r="F309">
        <v>10131279</v>
      </c>
    </row>
    <row r="310" spans="1:6">
      <c r="A310" s="39">
        <v>42591</v>
      </c>
      <c r="B310">
        <v>39.24</v>
      </c>
      <c r="C310">
        <v>39.31</v>
      </c>
      <c r="D310">
        <v>39.1</v>
      </c>
      <c r="E310">
        <v>39.24</v>
      </c>
      <c r="F310">
        <v>5971530</v>
      </c>
    </row>
    <row r="311" spans="1:6">
      <c r="A311" s="39">
        <v>42592</v>
      </c>
      <c r="B311">
        <v>39.340000000000003</v>
      </c>
      <c r="C311">
        <v>39.979999999999997</v>
      </c>
      <c r="D311">
        <v>39.299999999999997</v>
      </c>
      <c r="E311">
        <v>39.93</v>
      </c>
      <c r="F311">
        <v>12981568</v>
      </c>
    </row>
    <row r="312" spans="1:6">
      <c r="A312" s="39">
        <v>42593</v>
      </c>
      <c r="B312">
        <v>41.12</v>
      </c>
      <c r="C312">
        <v>41.73</v>
      </c>
      <c r="D312">
        <v>40.93</v>
      </c>
      <c r="E312">
        <v>41.27</v>
      </c>
      <c r="F312">
        <v>23938864</v>
      </c>
    </row>
    <row r="313" spans="1:6">
      <c r="A313" s="39">
        <v>42594</v>
      </c>
      <c r="B313">
        <v>41.28</v>
      </c>
      <c r="C313">
        <v>42.98</v>
      </c>
      <c r="D313">
        <v>41.28</v>
      </c>
      <c r="E313">
        <v>42.94</v>
      </c>
      <c r="F313">
        <v>25182851</v>
      </c>
    </row>
    <row r="314" spans="1:6">
      <c r="A314" s="39">
        <v>42597</v>
      </c>
      <c r="B314">
        <v>43.18</v>
      </c>
      <c r="C314">
        <v>43.29</v>
      </c>
      <c r="D314">
        <v>42.43</v>
      </c>
      <c r="E314">
        <v>42.67</v>
      </c>
      <c r="F314">
        <v>14441784</v>
      </c>
    </row>
    <row r="315" spans="1:6">
      <c r="A315" s="39">
        <v>42598</v>
      </c>
      <c r="B315">
        <v>42.3</v>
      </c>
      <c r="C315">
        <v>42.79</v>
      </c>
      <c r="D315">
        <v>41.95</v>
      </c>
      <c r="E315">
        <v>42.49</v>
      </c>
      <c r="F315">
        <v>13793794</v>
      </c>
    </row>
    <row r="316" spans="1:6">
      <c r="A316" s="39">
        <v>42599</v>
      </c>
      <c r="B316">
        <v>42.39</v>
      </c>
      <c r="C316">
        <v>42.75</v>
      </c>
      <c r="D316">
        <v>42.39</v>
      </c>
      <c r="E316">
        <v>42.7</v>
      </c>
      <c r="F316">
        <v>8571927</v>
      </c>
    </row>
    <row r="317" spans="1:6">
      <c r="A317" s="39">
        <v>42600</v>
      </c>
      <c r="B317">
        <v>42.69</v>
      </c>
      <c r="C317">
        <v>42.97</v>
      </c>
      <c r="D317">
        <v>42.58</v>
      </c>
      <c r="E317">
        <v>42.9</v>
      </c>
      <c r="F317">
        <v>11294419</v>
      </c>
    </row>
    <row r="318" spans="1:6">
      <c r="A318" s="39">
        <v>42601</v>
      </c>
      <c r="B318">
        <v>42.8</v>
      </c>
      <c r="C318">
        <v>43.12</v>
      </c>
      <c r="D318">
        <v>42.64</v>
      </c>
      <c r="E318">
        <v>43.02</v>
      </c>
      <c r="F318">
        <v>9460753</v>
      </c>
    </row>
    <row r="319" spans="1:6">
      <c r="A319" s="39">
        <v>42604</v>
      </c>
      <c r="B319">
        <v>42.84</v>
      </c>
      <c r="C319">
        <v>42.87</v>
      </c>
      <c r="D319">
        <v>42.33</v>
      </c>
      <c r="E319">
        <v>42.52</v>
      </c>
      <c r="F319">
        <v>6229402</v>
      </c>
    </row>
    <row r="320" spans="1:6">
      <c r="A320" s="39">
        <v>42605</v>
      </c>
      <c r="B320">
        <v>42.61</v>
      </c>
      <c r="C320">
        <v>42.91</v>
      </c>
      <c r="D320">
        <v>42.45</v>
      </c>
      <c r="E320">
        <v>42.6</v>
      </c>
      <c r="F320">
        <v>8963786</v>
      </c>
    </row>
    <row r="321" spans="1:6">
      <c r="A321" s="39">
        <v>42606</v>
      </c>
      <c r="B321">
        <v>42.5</v>
      </c>
      <c r="C321">
        <v>42.77</v>
      </c>
      <c r="D321">
        <v>41.79</v>
      </c>
      <c r="E321">
        <v>41.91</v>
      </c>
      <c r="F321">
        <v>6930295</v>
      </c>
    </row>
    <row r="322" spans="1:6">
      <c r="A322" s="39">
        <v>42607</v>
      </c>
      <c r="B322">
        <v>41.83</v>
      </c>
      <c r="C322">
        <v>42.24</v>
      </c>
      <c r="D322">
        <v>41.73</v>
      </c>
      <c r="E322">
        <v>42.03</v>
      </c>
      <c r="F322">
        <v>5360912</v>
      </c>
    </row>
    <row r="323" spans="1:6">
      <c r="A323" s="39">
        <v>42608</v>
      </c>
      <c r="B323">
        <v>42.15</v>
      </c>
      <c r="C323">
        <v>42.61</v>
      </c>
      <c r="D323">
        <v>41.94</v>
      </c>
      <c r="E323">
        <v>42.27</v>
      </c>
      <c r="F323">
        <v>6327991</v>
      </c>
    </row>
    <row r="324" spans="1:6">
      <c r="A324" s="39">
        <v>42611</v>
      </c>
      <c r="B324">
        <v>42.2</v>
      </c>
      <c r="C324">
        <v>42.46</v>
      </c>
      <c r="D324">
        <v>42.08</v>
      </c>
      <c r="E324">
        <v>42.26</v>
      </c>
      <c r="F324">
        <v>4555600</v>
      </c>
    </row>
    <row r="325" spans="1:6">
      <c r="A325" s="39">
        <v>42612</v>
      </c>
      <c r="B325">
        <v>42.28</v>
      </c>
      <c r="C325">
        <v>42.74</v>
      </c>
      <c r="D325">
        <v>42.28</v>
      </c>
      <c r="E325">
        <v>42.58</v>
      </c>
      <c r="F325">
        <v>5804080</v>
      </c>
    </row>
    <row r="326" spans="1:6">
      <c r="A326" s="39">
        <v>42613</v>
      </c>
      <c r="B326">
        <v>42.46</v>
      </c>
      <c r="C326">
        <v>42.8</v>
      </c>
      <c r="D326">
        <v>42.46</v>
      </c>
      <c r="E326">
        <v>42.75</v>
      </c>
      <c r="F326">
        <v>7715941</v>
      </c>
    </row>
    <row r="327" spans="1:6">
      <c r="A327" s="39">
        <v>42614</v>
      </c>
      <c r="B327">
        <v>42.78</v>
      </c>
      <c r="C327">
        <v>43.1</v>
      </c>
      <c r="D327">
        <v>42.72</v>
      </c>
      <c r="E327">
        <v>42.93</v>
      </c>
      <c r="F327">
        <v>5575305</v>
      </c>
    </row>
    <row r="328" spans="1:6">
      <c r="A328" s="39">
        <v>42615</v>
      </c>
      <c r="B328">
        <v>43.27</v>
      </c>
      <c r="C328">
        <v>43.6</v>
      </c>
      <c r="D328">
        <v>43.08</v>
      </c>
      <c r="E328">
        <v>43.28</v>
      </c>
      <c r="F328">
        <v>7334914</v>
      </c>
    </row>
    <row r="329" spans="1:6">
      <c r="A329" s="39">
        <v>42619</v>
      </c>
      <c r="B329">
        <v>43.5</v>
      </c>
      <c r="C329">
        <v>44.85</v>
      </c>
      <c r="D329">
        <v>43.5</v>
      </c>
      <c r="E329">
        <v>44.71</v>
      </c>
      <c r="F329">
        <v>18125776</v>
      </c>
    </row>
    <row r="330" spans="1:6">
      <c r="A330" s="39">
        <v>42620</v>
      </c>
      <c r="B330">
        <v>44.55</v>
      </c>
      <c r="C330">
        <v>44.92</v>
      </c>
      <c r="D330">
        <v>44.19</v>
      </c>
      <c r="E330">
        <v>44.35</v>
      </c>
      <c r="F330">
        <v>9109446</v>
      </c>
    </row>
    <row r="331" spans="1:6">
      <c r="A331" s="39">
        <v>42621</v>
      </c>
      <c r="B331">
        <v>44.07</v>
      </c>
      <c r="C331">
        <v>44.72</v>
      </c>
      <c r="D331">
        <v>44.03</v>
      </c>
      <c r="E331">
        <v>44.36</v>
      </c>
      <c r="F331">
        <v>7882609</v>
      </c>
    </row>
    <row r="332" spans="1:6">
      <c r="A332" s="39">
        <v>42622</v>
      </c>
      <c r="B332">
        <v>43.92</v>
      </c>
      <c r="C332">
        <v>44.15</v>
      </c>
      <c r="D332">
        <v>42.82</v>
      </c>
      <c r="E332">
        <v>42.92</v>
      </c>
      <c r="F332">
        <v>12060737</v>
      </c>
    </row>
    <row r="333" spans="1:6">
      <c r="A333" s="39">
        <v>42625</v>
      </c>
      <c r="B333">
        <v>42.28</v>
      </c>
      <c r="C333">
        <v>43.65</v>
      </c>
      <c r="D333">
        <v>42.18</v>
      </c>
      <c r="E333">
        <v>43.46</v>
      </c>
      <c r="F333">
        <v>10808806</v>
      </c>
    </row>
    <row r="334" spans="1:6">
      <c r="A334" s="39">
        <v>42626</v>
      </c>
      <c r="B334">
        <v>43.19</v>
      </c>
      <c r="C334">
        <v>43.52</v>
      </c>
      <c r="D334">
        <v>42.69</v>
      </c>
      <c r="E334">
        <v>43.04</v>
      </c>
      <c r="F334">
        <v>10132044</v>
      </c>
    </row>
    <row r="335" spans="1:6">
      <c r="A335" s="39">
        <v>42627</v>
      </c>
      <c r="B335">
        <v>42.91</v>
      </c>
      <c r="C335">
        <v>43.62</v>
      </c>
      <c r="D335">
        <v>42.86</v>
      </c>
      <c r="E335">
        <v>43.46</v>
      </c>
      <c r="F335">
        <v>11625287</v>
      </c>
    </row>
    <row r="336" spans="1:6">
      <c r="A336" s="39">
        <v>42628</v>
      </c>
      <c r="B336">
        <v>43.41</v>
      </c>
      <c r="C336">
        <v>44.05</v>
      </c>
      <c r="D336">
        <v>43.22</v>
      </c>
      <c r="E336">
        <v>43.99</v>
      </c>
      <c r="F336">
        <v>12535634</v>
      </c>
    </row>
    <row r="337" spans="1:6">
      <c r="A337" s="39">
        <v>42629</v>
      </c>
      <c r="B337">
        <v>43.94</v>
      </c>
      <c r="C337">
        <v>44.02</v>
      </c>
      <c r="D337">
        <v>43.47</v>
      </c>
      <c r="E337">
        <v>43.67</v>
      </c>
      <c r="F337">
        <v>19093930</v>
      </c>
    </row>
    <row r="338" spans="1:6">
      <c r="A338" s="39">
        <v>42632</v>
      </c>
      <c r="B338">
        <v>43.92</v>
      </c>
      <c r="C338">
        <v>43.95</v>
      </c>
      <c r="D338">
        <v>43</v>
      </c>
      <c r="E338">
        <v>43.19</v>
      </c>
      <c r="F338">
        <v>7887375</v>
      </c>
    </row>
    <row r="339" spans="1:6">
      <c r="A339" s="39">
        <v>42633</v>
      </c>
      <c r="B339">
        <v>43.24</v>
      </c>
      <c r="C339">
        <v>43.38</v>
      </c>
      <c r="D339">
        <v>42.66</v>
      </c>
      <c r="E339">
        <v>42.79</v>
      </c>
      <c r="F339">
        <v>9788923</v>
      </c>
    </row>
    <row r="340" spans="1:6">
      <c r="A340" s="39">
        <v>42634</v>
      </c>
      <c r="B340">
        <v>42.89</v>
      </c>
      <c r="C340">
        <v>44.22</v>
      </c>
      <c r="D340">
        <v>42.89</v>
      </c>
      <c r="E340">
        <v>44.14</v>
      </c>
      <c r="F340">
        <v>12313680</v>
      </c>
    </row>
    <row r="341" spans="1:6">
      <c r="A341" s="39">
        <v>42635</v>
      </c>
      <c r="B341">
        <v>43.94</v>
      </c>
      <c r="C341">
        <v>44.87</v>
      </c>
      <c r="D341">
        <v>43.74</v>
      </c>
      <c r="E341">
        <v>44.15</v>
      </c>
      <c r="F341">
        <v>33355616</v>
      </c>
    </row>
    <row r="342" spans="1:6">
      <c r="A342" s="39">
        <v>42636</v>
      </c>
      <c r="B342">
        <v>43.5</v>
      </c>
      <c r="C342">
        <v>43.76</v>
      </c>
      <c r="D342">
        <v>42.54</v>
      </c>
      <c r="E342">
        <v>42.8</v>
      </c>
      <c r="F342">
        <v>31888521</v>
      </c>
    </row>
    <row r="343" spans="1:6">
      <c r="A343" s="39">
        <v>42639</v>
      </c>
      <c r="B343">
        <v>42.38</v>
      </c>
      <c r="C343">
        <v>42.74</v>
      </c>
      <c r="D343">
        <v>41.85</v>
      </c>
      <c r="E343">
        <v>42.29</v>
      </c>
      <c r="F343">
        <v>12745119</v>
      </c>
    </row>
    <row r="344" spans="1:6">
      <c r="A344" s="39">
        <v>42640</v>
      </c>
      <c r="B344">
        <v>42.43</v>
      </c>
      <c r="C344">
        <v>43.41</v>
      </c>
      <c r="D344">
        <v>42.32</v>
      </c>
      <c r="E344">
        <v>43.37</v>
      </c>
      <c r="F344">
        <v>8765715</v>
      </c>
    </row>
    <row r="345" spans="1:6">
      <c r="A345" s="39">
        <v>42641</v>
      </c>
      <c r="B345">
        <v>43.4</v>
      </c>
      <c r="C345">
        <v>43.72</v>
      </c>
      <c r="D345">
        <v>43.25</v>
      </c>
      <c r="E345">
        <v>43.69</v>
      </c>
      <c r="F345">
        <v>7418984</v>
      </c>
    </row>
    <row r="346" spans="1:6">
      <c r="A346" s="39">
        <v>42642</v>
      </c>
      <c r="B346">
        <v>43.17</v>
      </c>
      <c r="C346">
        <v>43.3</v>
      </c>
      <c r="D346">
        <v>42.43</v>
      </c>
      <c r="E346">
        <v>42.57</v>
      </c>
      <c r="F346">
        <v>13720746</v>
      </c>
    </row>
    <row r="347" spans="1:6">
      <c r="A347" s="39">
        <v>42643</v>
      </c>
      <c r="B347">
        <v>42.74</v>
      </c>
      <c r="C347">
        <v>43.25</v>
      </c>
      <c r="D347">
        <v>42.72</v>
      </c>
      <c r="E347">
        <v>43.1</v>
      </c>
      <c r="F347">
        <v>10374757</v>
      </c>
    </row>
    <row r="348" spans="1:6">
      <c r="A348" s="39">
        <v>42646</v>
      </c>
      <c r="B348">
        <v>42.95</v>
      </c>
      <c r="C348">
        <v>43.18</v>
      </c>
      <c r="D348">
        <v>42.82</v>
      </c>
      <c r="E348">
        <v>43.13</v>
      </c>
      <c r="F348">
        <v>7965922</v>
      </c>
    </row>
    <row r="349" spans="1:6">
      <c r="A349" s="39">
        <v>42647</v>
      </c>
      <c r="B349">
        <v>43.2</v>
      </c>
      <c r="C349">
        <v>43.5</v>
      </c>
      <c r="D349">
        <v>42.96</v>
      </c>
      <c r="E349">
        <v>43.18</v>
      </c>
      <c r="F349">
        <v>8998384</v>
      </c>
    </row>
    <row r="350" spans="1:6">
      <c r="A350" s="39">
        <v>42648</v>
      </c>
      <c r="B350">
        <v>43.23</v>
      </c>
      <c r="C350">
        <v>43.87</v>
      </c>
      <c r="D350">
        <v>43.22</v>
      </c>
      <c r="E350">
        <v>43.71</v>
      </c>
      <c r="F350">
        <v>6118487</v>
      </c>
    </row>
    <row r="351" spans="1:6">
      <c r="A351" s="39">
        <v>42649</v>
      </c>
      <c r="B351">
        <v>43.64</v>
      </c>
      <c r="C351">
        <v>43.82</v>
      </c>
      <c r="D351">
        <v>43.37</v>
      </c>
      <c r="E351">
        <v>43.68</v>
      </c>
      <c r="F351">
        <v>6293908</v>
      </c>
    </row>
    <row r="352" spans="1:6">
      <c r="A352" s="39">
        <v>42650</v>
      </c>
      <c r="B352">
        <v>43.26</v>
      </c>
      <c r="C352">
        <v>43.68</v>
      </c>
      <c r="D352">
        <v>43.12</v>
      </c>
      <c r="E352">
        <v>43.22</v>
      </c>
      <c r="F352">
        <v>8502112</v>
      </c>
    </row>
    <row r="353" spans="1:6">
      <c r="A353" s="39">
        <v>42653</v>
      </c>
      <c r="B353">
        <v>43.36</v>
      </c>
      <c r="C353">
        <v>44.07</v>
      </c>
      <c r="D353">
        <v>43.25</v>
      </c>
      <c r="E353">
        <v>43.92</v>
      </c>
      <c r="F353">
        <v>6573631</v>
      </c>
    </row>
    <row r="354" spans="1:6">
      <c r="A354" s="39">
        <v>42654</v>
      </c>
      <c r="B354">
        <v>43.87</v>
      </c>
      <c r="C354">
        <v>44.08</v>
      </c>
      <c r="D354">
        <v>42.49</v>
      </c>
      <c r="E354">
        <v>42.68</v>
      </c>
      <c r="F354">
        <v>9513283</v>
      </c>
    </row>
    <row r="355" spans="1:6">
      <c r="A355" s="39">
        <v>42655</v>
      </c>
      <c r="B355">
        <v>42.6</v>
      </c>
      <c r="C355">
        <v>42.78</v>
      </c>
      <c r="D355">
        <v>42.05</v>
      </c>
      <c r="E355">
        <v>42.36</v>
      </c>
      <c r="F355">
        <v>7290843</v>
      </c>
    </row>
    <row r="356" spans="1:6">
      <c r="A356" s="39">
        <v>42656</v>
      </c>
      <c r="B356">
        <v>42</v>
      </c>
      <c r="C356">
        <v>42.08</v>
      </c>
      <c r="D356">
        <v>41.17</v>
      </c>
      <c r="E356">
        <v>41.62</v>
      </c>
      <c r="F356">
        <v>15689711</v>
      </c>
    </row>
    <row r="357" spans="1:6">
      <c r="A357" s="39">
        <v>42657</v>
      </c>
      <c r="B357">
        <v>42.04</v>
      </c>
      <c r="C357">
        <v>42.25</v>
      </c>
      <c r="D357">
        <v>41.4</v>
      </c>
      <c r="E357">
        <v>41.44</v>
      </c>
      <c r="F357">
        <v>7781258</v>
      </c>
    </row>
    <row r="358" spans="1:6">
      <c r="A358" s="39">
        <v>42660</v>
      </c>
      <c r="B358">
        <v>41.35</v>
      </c>
      <c r="C358">
        <v>41.94</v>
      </c>
      <c r="D358">
        <v>41.24</v>
      </c>
      <c r="E358">
        <v>41.79</v>
      </c>
      <c r="F358">
        <v>8620369</v>
      </c>
    </row>
    <row r="359" spans="1:6">
      <c r="A359" s="39">
        <v>42661</v>
      </c>
      <c r="B359">
        <v>42.04</v>
      </c>
      <c r="C359">
        <v>42.6</v>
      </c>
      <c r="D359">
        <v>41.63</v>
      </c>
      <c r="E359">
        <v>41.68</v>
      </c>
      <c r="F359">
        <v>19360802</v>
      </c>
    </row>
    <row r="360" spans="1:6">
      <c r="A360" s="39">
        <v>42662</v>
      </c>
      <c r="B360">
        <v>42.3</v>
      </c>
      <c r="C360">
        <v>42.94</v>
      </c>
      <c r="D360">
        <v>42.26</v>
      </c>
      <c r="E360">
        <v>42.73</v>
      </c>
      <c r="F360">
        <v>14532469</v>
      </c>
    </row>
    <row r="361" spans="1:6">
      <c r="A361" s="39">
        <v>42663</v>
      </c>
      <c r="B361">
        <v>42.69</v>
      </c>
      <c r="C361">
        <v>42.69</v>
      </c>
      <c r="D361">
        <v>42.07</v>
      </c>
      <c r="E361">
        <v>42.38</v>
      </c>
      <c r="F361">
        <v>11671022</v>
      </c>
    </row>
    <row r="362" spans="1:6">
      <c r="A362" s="39">
        <v>42664</v>
      </c>
      <c r="B362">
        <v>42.1</v>
      </c>
      <c r="C362">
        <v>42.2</v>
      </c>
      <c r="D362">
        <v>41.73</v>
      </c>
      <c r="E362">
        <v>42.17</v>
      </c>
      <c r="F362">
        <v>7194168</v>
      </c>
    </row>
    <row r="363" spans="1:6">
      <c r="A363" s="39">
        <v>42667</v>
      </c>
      <c r="B363">
        <v>42.5</v>
      </c>
      <c r="C363">
        <v>42.68</v>
      </c>
      <c r="D363">
        <v>42.38</v>
      </c>
      <c r="E363">
        <v>42.59</v>
      </c>
      <c r="F363">
        <v>4346851</v>
      </c>
    </row>
    <row r="364" spans="1:6">
      <c r="A364" s="39">
        <v>42668</v>
      </c>
      <c r="B364">
        <v>42.72</v>
      </c>
      <c r="C364">
        <v>42.75</v>
      </c>
      <c r="D364">
        <v>42.43</v>
      </c>
      <c r="E364">
        <v>42.55</v>
      </c>
      <c r="F364">
        <v>5338875</v>
      </c>
    </row>
    <row r="365" spans="1:6">
      <c r="A365" s="39">
        <v>42669</v>
      </c>
      <c r="B365">
        <v>42.26</v>
      </c>
      <c r="C365">
        <v>42.44</v>
      </c>
      <c r="D365">
        <v>41.95</v>
      </c>
      <c r="E365">
        <v>42.08</v>
      </c>
      <c r="F365">
        <v>6123026</v>
      </c>
    </row>
    <row r="366" spans="1:6">
      <c r="A366" s="39">
        <v>42670</v>
      </c>
      <c r="B366">
        <v>42.31</v>
      </c>
      <c r="C366">
        <v>42.49</v>
      </c>
      <c r="D366">
        <v>41.81</v>
      </c>
      <c r="E366">
        <v>41.87</v>
      </c>
      <c r="F366">
        <v>7240848</v>
      </c>
    </row>
    <row r="367" spans="1:6">
      <c r="A367" s="39">
        <v>42671</v>
      </c>
      <c r="B367">
        <v>42.03</v>
      </c>
      <c r="C367">
        <v>42.22</v>
      </c>
      <c r="D367">
        <v>41.71</v>
      </c>
      <c r="E367">
        <v>41.78</v>
      </c>
      <c r="F367">
        <v>6197469</v>
      </c>
    </row>
    <row r="368" spans="1:6">
      <c r="A368" s="39">
        <v>42674</v>
      </c>
      <c r="B368">
        <v>42.03</v>
      </c>
      <c r="C368">
        <v>42.16</v>
      </c>
      <c r="D368">
        <v>41.55</v>
      </c>
      <c r="E368">
        <v>41.55</v>
      </c>
      <c r="F368">
        <v>3749658</v>
      </c>
    </row>
    <row r="369" spans="1:6">
      <c r="A369" s="39">
        <v>42675</v>
      </c>
      <c r="B369">
        <v>41.13</v>
      </c>
      <c r="C369">
        <v>41.34</v>
      </c>
      <c r="D369">
        <v>40.69</v>
      </c>
      <c r="E369">
        <v>41.33</v>
      </c>
      <c r="F369">
        <v>11751521</v>
      </c>
    </row>
    <row r="370" spans="1:6">
      <c r="A370" s="39">
        <v>42676</v>
      </c>
      <c r="B370">
        <v>41.8</v>
      </c>
      <c r="C370">
        <v>42.16</v>
      </c>
      <c r="D370">
        <v>40.36</v>
      </c>
      <c r="E370">
        <v>40.68</v>
      </c>
      <c r="F370">
        <v>13019956</v>
      </c>
    </row>
    <row r="371" spans="1:6">
      <c r="A371" s="39">
        <v>42677</v>
      </c>
      <c r="B371">
        <v>40.619999999999997</v>
      </c>
      <c r="C371">
        <v>40.75</v>
      </c>
      <c r="D371">
        <v>40.18</v>
      </c>
      <c r="E371">
        <v>40.229999999999997</v>
      </c>
      <c r="F371">
        <v>8112820</v>
      </c>
    </row>
    <row r="372" spans="1:6">
      <c r="A372" s="39">
        <v>42678</v>
      </c>
      <c r="B372">
        <v>39.96</v>
      </c>
      <c r="C372">
        <v>40.67</v>
      </c>
      <c r="D372">
        <v>39.799999999999997</v>
      </c>
      <c r="E372">
        <v>40.28</v>
      </c>
      <c r="F372">
        <v>4579437</v>
      </c>
    </row>
    <row r="373" spans="1:6">
      <c r="A373" s="39">
        <v>42681</v>
      </c>
      <c r="B373">
        <v>41.17</v>
      </c>
      <c r="C373">
        <v>41.23</v>
      </c>
      <c r="D373">
        <v>40.86</v>
      </c>
      <c r="E373">
        <v>41.05</v>
      </c>
      <c r="F373">
        <v>5430744</v>
      </c>
    </row>
    <row r="374" spans="1:6">
      <c r="A374" s="39">
        <v>42682</v>
      </c>
      <c r="B374">
        <v>40.97</v>
      </c>
      <c r="C374">
        <v>41.28</v>
      </c>
      <c r="D374">
        <v>40.68</v>
      </c>
      <c r="E374">
        <v>41.16</v>
      </c>
      <c r="F374">
        <v>4229743</v>
      </c>
    </row>
    <row r="375" spans="1:6">
      <c r="A375" s="39">
        <v>42683</v>
      </c>
      <c r="B375">
        <v>40.44</v>
      </c>
      <c r="C375">
        <v>41.39</v>
      </c>
      <c r="D375">
        <v>40.22</v>
      </c>
      <c r="E375">
        <v>41.21</v>
      </c>
      <c r="F375">
        <v>24000065</v>
      </c>
    </row>
    <row r="376" spans="1:6">
      <c r="A376" s="39">
        <v>42684</v>
      </c>
      <c r="B376">
        <v>41.55</v>
      </c>
      <c r="C376">
        <v>41.65</v>
      </c>
      <c r="D376">
        <v>39.54</v>
      </c>
      <c r="E376">
        <v>40.159999999999997</v>
      </c>
      <c r="F376">
        <v>16443786</v>
      </c>
    </row>
    <row r="377" spans="1:6">
      <c r="A377" s="39">
        <v>42685</v>
      </c>
      <c r="B377">
        <v>39.840000000000003</v>
      </c>
      <c r="C377">
        <v>40.520000000000003</v>
      </c>
      <c r="D377">
        <v>39.369999999999997</v>
      </c>
      <c r="E377">
        <v>40.42</v>
      </c>
      <c r="F377">
        <v>15178907</v>
      </c>
    </row>
    <row r="378" spans="1:6">
      <c r="A378" s="39">
        <v>42688</v>
      </c>
      <c r="B378">
        <v>40.36</v>
      </c>
      <c r="C378">
        <v>40.39</v>
      </c>
      <c r="D378">
        <v>38.869999999999997</v>
      </c>
      <c r="E378">
        <v>39.299999999999997</v>
      </c>
      <c r="F378">
        <v>12692293</v>
      </c>
    </row>
    <row r="379" spans="1:6">
      <c r="A379" s="39">
        <v>42689</v>
      </c>
      <c r="B379">
        <v>39.61</v>
      </c>
      <c r="C379">
        <v>40.450000000000003</v>
      </c>
      <c r="D379">
        <v>39.58</v>
      </c>
      <c r="E379">
        <v>40.21</v>
      </c>
      <c r="F379">
        <v>13364918</v>
      </c>
    </row>
    <row r="380" spans="1:6">
      <c r="A380" s="39">
        <v>42690</v>
      </c>
      <c r="B380">
        <v>40.1</v>
      </c>
      <c r="C380">
        <v>41.05</v>
      </c>
      <c r="D380">
        <v>40.1</v>
      </c>
      <c r="E380">
        <v>40.98</v>
      </c>
      <c r="F380">
        <v>15609553</v>
      </c>
    </row>
    <row r="381" spans="1:6">
      <c r="A381" s="39">
        <v>42691</v>
      </c>
      <c r="B381">
        <v>41.34</v>
      </c>
      <c r="C381">
        <v>41.65</v>
      </c>
      <c r="D381">
        <v>41.2</v>
      </c>
      <c r="E381">
        <v>41.45</v>
      </c>
      <c r="F381">
        <v>8692013</v>
      </c>
    </row>
    <row r="382" spans="1:6">
      <c r="A382" s="39">
        <v>42692</v>
      </c>
      <c r="B382">
        <v>41.48</v>
      </c>
      <c r="C382">
        <v>41.65</v>
      </c>
      <c r="D382">
        <v>40.9</v>
      </c>
      <c r="E382">
        <v>41.19</v>
      </c>
      <c r="F382">
        <v>8138928</v>
      </c>
    </row>
    <row r="383" spans="1:6">
      <c r="A383" s="39">
        <v>42695</v>
      </c>
      <c r="B383">
        <v>41.44</v>
      </c>
      <c r="C383">
        <v>41.48</v>
      </c>
      <c r="D383">
        <v>40.94</v>
      </c>
      <c r="E383">
        <v>41.11</v>
      </c>
      <c r="F383">
        <v>11355856</v>
      </c>
    </row>
    <row r="384" spans="1:6">
      <c r="A384" s="39">
        <v>42696</v>
      </c>
      <c r="B384">
        <v>41.2</v>
      </c>
      <c r="C384">
        <v>41.4</v>
      </c>
      <c r="D384">
        <v>40.83</v>
      </c>
      <c r="E384">
        <v>41.01</v>
      </c>
      <c r="F384">
        <v>8881541</v>
      </c>
    </row>
    <row r="385" spans="1:6">
      <c r="A385" s="39">
        <v>42697</v>
      </c>
      <c r="B385">
        <v>40.909999999999997</v>
      </c>
      <c r="C385">
        <v>40.98</v>
      </c>
      <c r="D385">
        <v>40.54</v>
      </c>
      <c r="E385">
        <v>40.96</v>
      </c>
      <c r="F385">
        <v>3719257</v>
      </c>
    </row>
    <row r="386" spans="1:6">
      <c r="A386" s="39">
        <v>42699</v>
      </c>
      <c r="B386">
        <v>41.08</v>
      </c>
      <c r="C386">
        <v>41.08</v>
      </c>
      <c r="D386">
        <v>40.71</v>
      </c>
      <c r="E386">
        <v>40.869999999999997</v>
      </c>
      <c r="F386">
        <v>2586908</v>
      </c>
    </row>
    <row r="387" spans="1:6">
      <c r="A387" s="39">
        <v>42702</v>
      </c>
      <c r="B387">
        <v>40.85</v>
      </c>
      <c r="C387">
        <v>41.7</v>
      </c>
      <c r="D387">
        <v>40.74</v>
      </c>
      <c r="E387">
        <v>41.45</v>
      </c>
      <c r="F387">
        <v>6836364</v>
      </c>
    </row>
    <row r="388" spans="1:6">
      <c r="A388" s="39">
        <v>42703</v>
      </c>
      <c r="B388">
        <v>41.43</v>
      </c>
      <c r="C388">
        <v>41.83</v>
      </c>
      <c r="D388">
        <v>41.12</v>
      </c>
      <c r="E388">
        <v>41.6</v>
      </c>
      <c r="F388">
        <v>13085981</v>
      </c>
    </row>
    <row r="389" spans="1:6">
      <c r="A389" s="39">
        <v>42704</v>
      </c>
      <c r="B389">
        <v>41.62</v>
      </c>
      <c r="C389">
        <v>41.67</v>
      </c>
      <c r="D389">
        <v>40.880000000000003</v>
      </c>
      <c r="E389">
        <v>41.02</v>
      </c>
      <c r="F389">
        <v>7644360</v>
      </c>
    </row>
    <row r="390" spans="1:6">
      <c r="A390" s="39">
        <v>42705</v>
      </c>
      <c r="B390">
        <v>41</v>
      </c>
      <c r="C390">
        <v>41.04</v>
      </c>
      <c r="D390">
        <v>39.53</v>
      </c>
      <c r="E390">
        <v>39.630000000000003</v>
      </c>
      <c r="F390">
        <v>12624139</v>
      </c>
    </row>
    <row r="391" spans="1:6">
      <c r="A391" s="39">
        <v>42706</v>
      </c>
      <c r="B391">
        <v>39.770000000000003</v>
      </c>
      <c r="C391">
        <v>40.32</v>
      </c>
      <c r="D391">
        <v>39.58</v>
      </c>
      <c r="E391">
        <v>40.07</v>
      </c>
      <c r="F391">
        <v>8588544</v>
      </c>
    </row>
    <row r="392" spans="1:6">
      <c r="A392" s="39">
        <v>42709</v>
      </c>
      <c r="B392">
        <v>40.020000000000003</v>
      </c>
      <c r="C392">
        <v>40.39</v>
      </c>
      <c r="D392">
        <v>39.85</v>
      </c>
      <c r="E392">
        <v>40.200000000000003</v>
      </c>
      <c r="F392">
        <v>4408407</v>
      </c>
    </row>
    <row r="393" spans="1:6">
      <c r="A393" s="39">
        <v>42710</v>
      </c>
      <c r="B393">
        <v>40.31</v>
      </c>
      <c r="C393">
        <v>40.42</v>
      </c>
      <c r="D393">
        <v>39.880000000000003</v>
      </c>
      <c r="E393">
        <v>39.97</v>
      </c>
      <c r="F393">
        <v>6987846</v>
      </c>
    </row>
    <row r="394" spans="1:6">
      <c r="A394" s="39">
        <v>42711</v>
      </c>
      <c r="B394">
        <v>39.979999999999997</v>
      </c>
      <c r="C394">
        <v>40.57</v>
      </c>
      <c r="D394">
        <v>39.75</v>
      </c>
      <c r="E394">
        <v>40.520000000000003</v>
      </c>
      <c r="F394">
        <v>7208492</v>
      </c>
    </row>
    <row r="395" spans="1:6">
      <c r="A395" s="39">
        <v>42712</v>
      </c>
      <c r="B395">
        <v>40.659999999999997</v>
      </c>
      <c r="C395">
        <v>41.6</v>
      </c>
      <c r="D395">
        <v>40.42</v>
      </c>
      <c r="E395">
        <v>41.41</v>
      </c>
      <c r="F395">
        <v>9171707</v>
      </c>
    </row>
    <row r="396" spans="1:6">
      <c r="A396" s="39">
        <v>42713</v>
      </c>
      <c r="B396">
        <v>41.52</v>
      </c>
      <c r="C396">
        <v>41.8</v>
      </c>
      <c r="D396">
        <v>41.44</v>
      </c>
      <c r="E396">
        <v>41.76</v>
      </c>
      <c r="F396">
        <v>6836112</v>
      </c>
    </row>
    <row r="397" spans="1:6">
      <c r="A397" s="39">
        <v>42716</v>
      </c>
      <c r="B397">
        <v>41.45</v>
      </c>
      <c r="C397">
        <v>41.53</v>
      </c>
      <c r="D397">
        <v>41.12</v>
      </c>
      <c r="E397">
        <v>41.3</v>
      </c>
      <c r="F397">
        <v>4451709</v>
      </c>
    </row>
    <row r="398" spans="1:6">
      <c r="A398" s="39">
        <v>42717</v>
      </c>
      <c r="B398">
        <v>41.35</v>
      </c>
      <c r="C398">
        <v>41.79</v>
      </c>
      <c r="D398">
        <v>41.14</v>
      </c>
      <c r="E398">
        <v>41.47</v>
      </c>
      <c r="F398">
        <v>6564552</v>
      </c>
    </row>
    <row r="399" spans="1:6">
      <c r="A399" s="39">
        <v>42718</v>
      </c>
      <c r="B399">
        <v>41.44</v>
      </c>
      <c r="C399">
        <v>41.53</v>
      </c>
      <c r="D399">
        <v>40.83</v>
      </c>
      <c r="E399">
        <v>40.909999999999997</v>
      </c>
      <c r="F399">
        <v>19555694</v>
      </c>
    </row>
    <row r="400" spans="1:6">
      <c r="A400" s="39">
        <v>42719</v>
      </c>
      <c r="B400">
        <v>40</v>
      </c>
      <c r="C400">
        <v>40</v>
      </c>
      <c r="D400">
        <v>38.25</v>
      </c>
      <c r="E400">
        <v>38.409999999999997</v>
      </c>
      <c r="F400">
        <v>43669990</v>
      </c>
    </row>
    <row r="401" spans="1:6">
      <c r="A401" s="39">
        <v>42720</v>
      </c>
      <c r="B401">
        <v>38.619999999999997</v>
      </c>
      <c r="C401">
        <v>39.22</v>
      </c>
      <c r="D401">
        <v>38.42</v>
      </c>
      <c r="E401">
        <v>38.61</v>
      </c>
      <c r="F401">
        <v>21694081</v>
      </c>
    </row>
    <row r="402" spans="1:6">
      <c r="A402" s="39">
        <v>42723</v>
      </c>
      <c r="B402">
        <v>38.659999999999997</v>
      </c>
      <c r="C402">
        <v>38.79</v>
      </c>
      <c r="D402">
        <v>38.270000000000003</v>
      </c>
      <c r="E402">
        <v>38.42</v>
      </c>
      <c r="F402">
        <v>13615511</v>
      </c>
    </row>
    <row r="403" spans="1:6">
      <c r="A403" s="39">
        <v>42724</v>
      </c>
      <c r="B403">
        <v>38.4</v>
      </c>
      <c r="C403">
        <v>39.18</v>
      </c>
      <c r="D403">
        <v>38.24</v>
      </c>
      <c r="E403">
        <v>39.159999999999997</v>
      </c>
      <c r="F403">
        <v>25008427</v>
      </c>
    </row>
    <row r="404" spans="1:6">
      <c r="A404" s="39">
        <v>42725</v>
      </c>
      <c r="B404">
        <v>39.08</v>
      </c>
      <c r="C404">
        <v>39.32</v>
      </c>
      <c r="D404">
        <v>38.97</v>
      </c>
      <c r="E404">
        <v>39.15</v>
      </c>
      <c r="F404">
        <v>8296515</v>
      </c>
    </row>
    <row r="405" spans="1:6">
      <c r="A405" s="39">
        <v>42726</v>
      </c>
      <c r="B405">
        <v>38.69</v>
      </c>
      <c r="C405">
        <v>38.79</v>
      </c>
      <c r="D405">
        <v>38.26</v>
      </c>
      <c r="E405">
        <v>38.5</v>
      </c>
      <c r="F405">
        <v>11685650</v>
      </c>
    </row>
    <row r="406" spans="1:6">
      <c r="A406" s="39">
        <v>42727</v>
      </c>
      <c r="B406">
        <v>38.46</v>
      </c>
      <c r="C406">
        <v>38.81</v>
      </c>
      <c r="D406">
        <v>38.369999999999997</v>
      </c>
      <c r="E406">
        <v>38.659999999999997</v>
      </c>
      <c r="F406">
        <v>3841245</v>
      </c>
    </row>
    <row r="407" spans="1:6">
      <c r="A407" s="39">
        <v>42731</v>
      </c>
      <c r="B407">
        <v>38.590000000000003</v>
      </c>
      <c r="C407">
        <v>39.06</v>
      </c>
      <c r="D407">
        <v>38.5</v>
      </c>
      <c r="E407">
        <v>38.92</v>
      </c>
      <c r="F407">
        <v>4240285</v>
      </c>
    </row>
    <row r="408" spans="1:6">
      <c r="A408" s="39">
        <v>42732</v>
      </c>
      <c r="B408">
        <v>39.119999999999997</v>
      </c>
      <c r="C408">
        <v>39.22</v>
      </c>
      <c r="D408">
        <v>38.71</v>
      </c>
      <c r="E408">
        <v>38.729999999999997</v>
      </c>
      <c r="F408">
        <v>4428368</v>
      </c>
    </row>
    <row r="409" spans="1:6">
      <c r="A409" s="39">
        <v>42733</v>
      </c>
      <c r="B409">
        <v>38.76</v>
      </c>
      <c r="C409">
        <v>38.93</v>
      </c>
      <c r="D409">
        <v>38.479999999999997</v>
      </c>
      <c r="E409">
        <v>38.64</v>
      </c>
      <c r="F409">
        <v>4170497</v>
      </c>
    </row>
    <row r="410" spans="1:6">
      <c r="A410" s="39">
        <v>42734</v>
      </c>
      <c r="B410">
        <v>38.72</v>
      </c>
      <c r="C410">
        <v>39</v>
      </c>
      <c r="D410">
        <v>38.43</v>
      </c>
      <c r="E410">
        <v>38.67</v>
      </c>
      <c r="F410">
        <v>6432792</v>
      </c>
    </row>
    <row r="411" spans="1:6">
      <c r="A411" s="39">
        <v>42738</v>
      </c>
      <c r="B411">
        <v>39.11</v>
      </c>
      <c r="C411">
        <v>39.18</v>
      </c>
      <c r="D411">
        <v>38.64</v>
      </c>
      <c r="E411">
        <v>38.9</v>
      </c>
      <c r="F411">
        <v>6084699</v>
      </c>
    </row>
    <row r="412" spans="1:6">
      <c r="A412" s="39">
        <v>42739</v>
      </c>
      <c r="B412">
        <v>39</v>
      </c>
      <c r="C412">
        <v>40.25</v>
      </c>
      <c r="D412">
        <v>38.92</v>
      </c>
      <c r="E412">
        <v>40.06</v>
      </c>
      <c r="F412">
        <v>11759453</v>
      </c>
    </row>
    <row r="413" spans="1:6">
      <c r="A413" s="39">
        <v>42740</v>
      </c>
      <c r="B413">
        <v>40.31</v>
      </c>
      <c r="C413">
        <v>41.37</v>
      </c>
      <c r="D413">
        <v>40.24</v>
      </c>
      <c r="E413">
        <v>41.34</v>
      </c>
      <c r="F413">
        <v>13122100</v>
      </c>
    </row>
    <row r="414" spans="1:6">
      <c r="A414" s="39">
        <v>42741</v>
      </c>
      <c r="B414">
        <v>41.25</v>
      </c>
      <c r="C414">
        <v>41.34</v>
      </c>
      <c r="D414">
        <v>40.85</v>
      </c>
      <c r="E414">
        <v>41.23</v>
      </c>
      <c r="F414">
        <v>6087644</v>
      </c>
    </row>
    <row r="415" spans="1:6">
      <c r="A415" s="39">
        <v>42744</v>
      </c>
      <c r="B415">
        <v>41.17</v>
      </c>
      <c r="C415">
        <v>41.66</v>
      </c>
      <c r="D415">
        <v>41.12</v>
      </c>
      <c r="E415">
        <v>41.34</v>
      </c>
      <c r="F415">
        <v>7797445</v>
      </c>
    </row>
    <row r="416" spans="1:6">
      <c r="A416" s="39">
        <v>42745</v>
      </c>
      <c r="B416">
        <v>41.89</v>
      </c>
      <c r="C416">
        <v>42.37</v>
      </c>
      <c r="D416">
        <v>41.54</v>
      </c>
      <c r="E416">
        <v>42.3</v>
      </c>
      <c r="F416">
        <v>8111079</v>
      </c>
    </row>
    <row r="417" spans="1:6">
      <c r="A417" s="39">
        <v>42746</v>
      </c>
      <c r="B417">
        <v>42.27</v>
      </c>
      <c r="C417">
        <v>42.59</v>
      </c>
      <c r="D417">
        <v>42.07</v>
      </c>
      <c r="E417">
        <v>42.59</v>
      </c>
      <c r="F417">
        <v>6946237</v>
      </c>
    </row>
    <row r="418" spans="1:6">
      <c r="A418" s="39">
        <v>42747</v>
      </c>
      <c r="B418">
        <v>42.34</v>
      </c>
      <c r="C418">
        <v>42.46</v>
      </c>
      <c r="D418">
        <v>41.7</v>
      </c>
      <c r="E418">
        <v>42.11</v>
      </c>
      <c r="F418">
        <v>6024900</v>
      </c>
    </row>
    <row r="419" spans="1:6">
      <c r="A419" s="39">
        <v>42748</v>
      </c>
      <c r="B419">
        <v>42.11</v>
      </c>
      <c r="C419">
        <v>42.46</v>
      </c>
      <c r="D419">
        <v>42.02</v>
      </c>
      <c r="E419">
        <v>42.27</v>
      </c>
      <c r="F419">
        <v>4513026</v>
      </c>
    </row>
    <row r="420" spans="1:6">
      <c r="A420" s="39">
        <v>42752</v>
      </c>
      <c r="B420">
        <v>42.06</v>
      </c>
      <c r="C420">
        <v>42.18</v>
      </c>
      <c r="D420">
        <v>41.84</v>
      </c>
      <c r="E420">
        <v>41.99</v>
      </c>
      <c r="F420">
        <v>4779009</v>
      </c>
    </row>
    <row r="421" spans="1:6">
      <c r="A421" s="39">
        <v>42753</v>
      </c>
      <c r="B421">
        <v>42.15</v>
      </c>
      <c r="C421">
        <v>42.15</v>
      </c>
      <c r="D421">
        <v>41.8</v>
      </c>
      <c r="E421">
        <v>42.03</v>
      </c>
      <c r="F421">
        <v>3594963</v>
      </c>
    </row>
    <row r="422" spans="1:6">
      <c r="A422" s="39">
        <v>42754</v>
      </c>
      <c r="B422">
        <v>42.05</v>
      </c>
      <c r="C422">
        <v>42.19</v>
      </c>
      <c r="D422">
        <v>41.9</v>
      </c>
      <c r="E422">
        <v>42.09</v>
      </c>
      <c r="F422">
        <v>6005615</v>
      </c>
    </row>
    <row r="423" spans="1:6">
      <c r="A423" s="39">
        <v>42755</v>
      </c>
      <c r="B423">
        <v>42.33</v>
      </c>
      <c r="C423">
        <v>42.54</v>
      </c>
      <c r="D423">
        <v>41.86</v>
      </c>
      <c r="E423">
        <v>42.05</v>
      </c>
      <c r="F423">
        <v>5511713</v>
      </c>
    </row>
    <row r="424" spans="1:6">
      <c r="A424" s="39">
        <v>42758</v>
      </c>
      <c r="B424">
        <v>41.95</v>
      </c>
      <c r="C424">
        <v>42.45</v>
      </c>
      <c r="D424">
        <v>41.84</v>
      </c>
      <c r="E424">
        <v>42.4</v>
      </c>
      <c r="F424">
        <v>13662837</v>
      </c>
    </row>
    <row r="425" spans="1:6">
      <c r="A425" s="39">
        <v>42759</v>
      </c>
      <c r="B425">
        <v>43.65</v>
      </c>
      <c r="C425">
        <v>44.22</v>
      </c>
      <c r="D425">
        <v>43.43</v>
      </c>
      <c r="E425">
        <v>43.9</v>
      </c>
      <c r="F425">
        <v>24933488</v>
      </c>
    </row>
    <row r="426" spans="1:6">
      <c r="A426" s="39">
        <v>42760</v>
      </c>
      <c r="B426">
        <v>44.11</v>
      </c>
      <c r="C426">
        <v>45</v>
      </c>
      <c r="D426">
        <v>44.09</v>
      </c>
      <c r="E426">
        <v>44.94</v>
      </c>
      <c r="F426">
        <v>14388287</v>
      </c>
    </row>
    <row r="427" spans="1:6">
      <c r="A427" s="39">
        <v>42761</v>
      </c>
      <c r="B427">
        <v>44.83</v>
      </c>
      <c r="C427">
        <v>45.08</v>
      </c>
      <c r="D427">
        <v>44.4</v>
      </c>
      <c r="E427">
        <v>44.55</v>
      </c>
      <c r="F427">
        <v>9974613</v>
      </c>
    </row>
    <row r="428" spans="1:6">
      <c r="A428" s="39">
        <v>42762</v>
      </c>
      <c r="B428">
        <v>44.54</v>
      </c>
      <c r="C428">
        <v>44.71</v>
      </c>
      <c r="D428">
        <v>44.23</v>
      </c>
      <c r="E428">
        <v>44.42</v>
      </c>
      <c r="F428">
        <v>4943138</v>
      </c>
    </row>
    <row r="429" spans="1:6">
      <c r="A429" s="39">
        <v>42765</v>
      </c>
      <c r="B429">
        <v>44.22</v>
      </c>
      <c r="C429">
        <v>44.22</v>
      </c>
      <c r="D429">
        <v>43.7</v>
      </c>
      <c r="E429">
        <v>43.93</v>
      </c>
      <c r="F429">
        <v>6906121</v>
      </c>
    </row>
    <row r="430" spans="1:6">
      <c r="A430" s="39">
        <v>42766</v>
      </c>
      <c r="B430">
        <v>43.78</v>
      </c>
      <c r="C430">
        <v>44.15</v>
      </c>
      <c r="D430">
        <v>43.67</v>
      </c>
      <c r="E430">
        <v>44.07</v>
      </c>
      <c r="F430">
        <v>5153697</v>
      </c>
    </row>
    <row r="431" spans="1:6">
      <c r="A431" s="39">
        <v>42767</v>
      </c>
      <c r="B431">
        <v>44.25</v>
      </c>
      <c r="C431">
        <v>44.26</v>
      </c>
      <c r="D431">
        <v>43.71</v>
      </c>
      <c r="E431">
        <v>43.78</v>
      </c>
      <c r="F431">
        <v>5307216</v>
      </c>
    </row>
    <row r="432" spans="1:6">
      <c r="A432" s="39">
        <v>42768</v>
      </c>
      <c r="B432">
        <v>43.63</v>
      </c>
      <c r="C432">
        <v>44</v>
      </c>
      <c r="D432">
        <v>43.58</v>
      </c>
      <c r="E432">
        <v>43.69</v>
      </c>
      <c r="F432">
        <v>5065117</v>
      </c>
    </row>
    <row r="433" spans="1:6">
      <c r="A433" s="39">
        <v>42769</v>
      </c>
      <c r="B433">
        <v>43.9</v>
      </c>
      <c r="C433">
        <v>43.99</v>
      </c>
      <c r="D433">
        <v>43.66</v>
      </c>
      <c r="E433">
        <v>43.71</v>
      </c>
      <c r="F433">
        <v>6422438</v>
      </c>
    </row>
    <row r="434" spans="1:6">
      <c r="A434" s="39">
        <v>42772</v>
      </c>
      <c r="B434">
        <v>43.62</v>
      </c>
      <c r="C434">
        <v>44.53</v>
      </c>
      <c r="D434">
        <v>43.56</v>
      </c>
      <c r="E434">
        <v>44.42</v>
      </c>
      <c r="F434">
        <v>7308775</v>
      </c>
    </row>
    <row r="435" spans="1:6">
      <c r="A435" s="39">
        <v>42773</v>
      </c>
      <c r="B435">
        <v>44.43</v>
      </c>
      <c r="C435">
        <v>44.59</v>
      </c>
      <c r="D435">
        <v>44.19</v>
      </c>
      <c r="E435">
        <v>44.37</v>
      </c>
      <c r="F435">
        <v>4445846</v>
      </c>
    </row>
    <row r="436" spans="1:6">
      <c r="A436" s="39">
        <v>42774</v>
      </c>
      <c r="B436">
        <v>44.5</v>
      </c>
      <c r="C436">
        <v>45.19</v>
      </c>
      <c r="D436">
        <v>44.34</v>
      </c>
      <c r="E436">
        <v>45.07</v>
      </c>
      <c r="F436">
        <v>6531000</v>
      </c>
    </row>
    <row r="437" spans="1:6">
      <c r="A437" s="39">
        <v>42775</v>
      </c>
      <c r="B437">
        <v>44.95</v>
      </c>
      <c r="C437">
        <v>45.24</v>
      </c>
      <c r="D437">
        <v>44.82</v>
      </c>
      <c r="E437">
        <v>45.08</v>
      </c>
      <c r="F437">
        <v>3769280</v>
      </c>
    </row>
    <row r="438" spans="1:6">
      <c r="A438" s="39">
        <v>42776</v>
      </c>
      <c r="B438">
        <v>45.15</v>
      </c>
      <c r="C438">
        <v>45.23</v>
      </c>
      <c r="D438">
        <v>44.96</v>
      </c>
      <c r="E438">
        <v>45.03</v>
      </c>
      <c r="F438">
        <v>4158744</v>
      </c>
    </row>
    <row r="439" spans="1:6">
      <c r="A439" s="39">
        <v>42779</v>
      </c>
      <c r="B439">
        <v>45.08</v>
      </c>
      <c r="C439">
        <v>45.57</v>
      </c>
      <c r="D439">
        <v>44.94</v>
      </c>
      <c r="E439">
        <v>45.46</v>
      </c>
      <c r="F439">
        <v>7491311</v>
      </c>
    </row>
    <row r="440" spans="1:6">
      <c r="A440" s="39">
        <v>42780</v>
      </c>
      <c r="B440">
        <v>45.38</v>
      </c>
      <c r="C440">
        <v>45.58</v>
      </c>
      <c r="D440">
        <v>44.9</v>
      </c>
      <c r="E440">
        <v>45.02</v>
      </c>
      <c r="F440">
        <v>6676842</v>
      </c>
    </row>
    <row r="441" spans="1:6">
      <c r="A441" s="39">
        <v>42781</v>
      </c>
      <c r="B441">
        <v>45.03</v>
      </c>
      <c r="C441">
        <v>46.72</v>
      </c>
      <c r="D441">
        <v>44.64</v>
      </c>
      <c r="E441">
        <v>45.65</v>
      </c>
      <c r="F441">
        <v>22509206</v>
      </c>
    </row>
    <row r="442" spans="1:6">
      <c r="A442" s="39">
        <v>42782</v>
      </c>
      <c r="B442">
        <v>45.65</v>
      </c>
      <c r="C442">
        <v>45.69</v>
      </c>
      <c r="D442">
        <v>45.01</v>
      </c>
      <c r="E442">
        <v>45.16</v>
      </c>
      <c r="F442">
        <v>8972022</v>
      </c>
    </row>
    <row r="443" spans="1:6">
      <c r="A443" s="39">
        <v>42783</v>
      </c>
      <c r="B443">
        <v>44.95</v>
      </c>
      <c r="C443">
        <v>45.34</v>
      </c>
      <c r="D443">
        <v>44.79</v>
      </c>
      <c r="E443">
        <v>45.1</v>
      </c>
      <c r="F443">
        <v>9417191</v>
      </c>
    </row>
    <row r="444" spans="1:6">
      <c r="A444" s="39">
        <v>42787</v>
      </c>
      <c r="B444">
        <v>45.22</v>
      </c>
      <c r="C444">
        <v>45.61</v>
      </c>
      <c r="D444">
        <v>45.1</v>
      </c>
      <c r="E444">
        <v>45.5</v>
      </c>
      <c r="F444">
        <v>8115953</v>
      </c>
    </row>
    <row r="445" spans="1:6">
      <c r="A445" s="39">
        <v>42788</v>
      </c>
      <c r="B445">
        <v>45.47</v>
      </c>
      <c r="C445">
        <v>46.34</v>
      </c>
      <c r="D445">
        <v>45.45</v>
      </c>
      <c r="E445">
        <v>45.98</v>
      </c>
      <c r="F445">
        <v>7730221</v>
      </c>
    </row>
    <row r="446" spans="1:6">
      <c r="A446" s="39">
        <v>42789</v>
      </c>
      <c r="B446">
        <v>46.04</v>
      </c>
      <c r="C446">
        <v>46.14</v>
      </c>
      <c r="D446">
        <v>45.29</v>
      </c>
      <c r="E446">
        <v>45.41</v>
      </c>
      <c r="F446">
        <v>7812053</v>
      </c>
    </row>
    <row r="447" spans="1:6">
      <c r="A447" s="39">
        <v>42790</v>
      </c>
      <c r="B447">
        <v>45.14</v>
      </c>
      <c r="C447">
        <v>45.55</v>
      </c>
      <c r="D447">
        <v>44.95</v>
      </c>
      <c r="E447">
        <v>45.55</v>
      </c>
      <c r="F447">
        <v>3714785</v>
      </c>
    </row>
    <row r="448" spans="1:6">
      <c r="A448" s="39">
        <v>42793</v>
      </c>
      <c r="B448">
        <v>45.45</v>
      </c>
      <c r="C448">
        <v>45.74</v>
      </c>
      <c r="D448">
        <v>45.24</v>
      </c>
      <c r="E448">
        <v>45.71</v>
      </c>
      <c r="F448">
        <v>4006922</v>
      </c>
    </row>
    <row r="449" spans="1:6">
      <c r="A449" s="39">
        <v>42794</v>
      </c>
      <c r="B449">
        <v>45.57</v>
      </c>
      <c r="C449">
        <v>45.75</v>
      </c>
      <c r="D449">
        <v>45.25</v>
      </c>
      <c r="E449">
        <v>45.66</v>
      </c>
      <c r="F449">
        <v>7201973</v>
      </c>
    </row>
    <row r="450" spans="1:6">
      <c r="A450" s="39">
        <v>42795</v>
      </c>
      <c r="B450">
        <v>45.89</v>
      </c>
      <c r="C450">
        <v>46.41</v>
      </c>
      <c r="D450">
        <v>45.89</v>
      </c>
      <c r="E450">
        <v>46.24</v>
      </c>
      <c r="F450">
        <v>7258451</v>
      </c>
    </row>
    <row r="451" spans="1:6">
      <c r="A451" s="39">
        <v>42796</v>
      </c>
      <c r="B451">
        <v>46.02</v>
      </c>
      <c r="C451">
        <v>46.13</v>
      </c>
      <c r="D451">
        <v>45.62</v>
      </c>
      <c r="E451">
        <v>45.94</v>
      </c>
      <c r="F451">
        <v>7017056</v>
      </c>
    </row>
    <row r="452" spans="1:6">
      <c r="A452" s="39">
        <v>42797</v>
      </c>
      <c r="B452">
        <v>45.88</v>
      </c>
      <c r="C452">
        <v>46</v>
      </c>
      <c r="D452">
        <v>45.6</v>
      </c>
      <c r="E452">
        <v>45.91</v>
      </c>
      <c r="F452">
        <v>6758310</v>
      </c>
    </row>
    <row r="453" spans="1:6">
      <c r="A453" s="39">
        <v>42800</v>
      </c>
      <c r="B453">
        <v>45.61</v>
      </c>
      <c r="C453">
        <v>45.69</v>
      </c>
      <c r="D453">
        <v>45.39</v>
      </c>
      <c r="E453">
        <v>45.64</v>
      </c>
      <c r="F453">
        <v>6694863</v>
      </c>
    </row>
    <row r="454" spans="1:6">
      <c r="A454" s="39">
        <v>42801</v>
      </c>
      <c r="B454">
        <v>45.5</v>
      </c>
      <c r="C454">
        <v>45.92</v>
      </c>
      <c r="D454">
        <v>45.49</v>
      </c>
      <c r="E454">
        <v>45.73</v>
      </c>
      <c r="F454">
        <v>5116841</v>
      </c>
    </row>
    <row r="455" spans="1:6">
      <c r="A455" s="39">
        <v>42802</v>
      </c>
      <c r="B455">
        <v>45.85</v>
      </c>
      <c r="C455">
        <v>46.19</v>
      </c>
      <c r="D455">
        <v>45.73</v>
      </c>
      <c r="E455">
        <v>45.98</v>
      </c>
      <c r="F455">
        <v>3331722</v>
      </c>
    </row>
    <row r="456" spans="1:6">
      <c r="A456" s="39">
        <v>42803</v>
      </c>
      <c r="B456">
        <v>45.87</v>
      </c>
      <c r="C456">
        <v>46.12</v>
      </c>
      <c r="D456">
        <v>45.68</v>
      </c>
      <c r="E456">
        <v>45.94</v>
      </c>
      <c r="F456">
        <v>3767567</v>
      </c>
    </row>
    <row r="457" spans="1:6">
      <c r="A457" s="39">
        <v>42804</v>
      </c>
      <c r="B457">
        <v>46.2</v>
      </c>
      <c r="C457">
        <v>46.2</v>
      </c>
      <c r="D457">
        <v>45.75</v>
      </c>
      <c r="E457">
        <v>45.98</v>
      </c>
      <c r="F457">
        <v>3824529</v>
      </c>
    </row>
    <row r="458" spans="1:6">
      <c r="A458" s="39">
        <v>42807</v>
      </c>
      <c r="B458">
        <v>46.1</v>
      </c>
      <c r="C458">
        <v>47</v>
      </c>
      <c r="D458">
        <v>46.1</v>
      </c>
      <c r="E458">
        <v>46.57</v>
      </c>
      <c r="F458">
        <v>4702990</v>
      </c>
    </row>
    <row r="459" spans="1:6">
      <c r="A459" s="39">
        <v>42808</v>
      </c>
      <c r="B459">
        <v>46.41</v>
      </c>
      <c r="C459">
        <v>46.76</v>
      </c>
      <c r="D459">
        <v>46.19</v>
      </c>
      <c r="E459">
        <v>46.37</v>
      </c>
      <c r="F459">
        <v>3800294</v>
      </c>
    </row>
    <row r="460" spans="1:6">
      <c r="A460" s="39">
        <v>42809</v>
      </c>
      <c r="B460">
        <v>46.55</v>
      </c>
      <c r="C460">
        <v>46.55</v>
      </c>
      <c r="D460">
        <v>45.9</v>
      </c>
      <c r="E460">
        <v>46.29</v>
      </c>
      <c r="F460">
        <v>6279298</v>
      </c>
    </row>
    <row r="461" spans="1:6">
      <c r="A461" s="39">
        <v>42810</v>
      </c>
      <c r="B461">
        <v>46.6</v>
      </c>
      <c r="C461">
        <v>46.62</v>
      </c>
      <c r="D461">
        <v>46.3</v>
      </c>
      <c r="E461">
        <v>46.61</v>
      </c>
      <c r="F461">
        <v>3627081</v>
      </c>
    </row>
    <row r="462" spans="1:6">
      <c r="A462" s="39">
        <v>42811</v>
      </c>
      <c r="B462">
        <v>46.73</v>
      </c>
      <c r="C462">
        <v>46.9</v>
      </c>
      <c r="D462">
        <v>46.5</v>
      </c>
      <c r="E462">
        <v>46.59</v>
      </c>
      <c r="F462">
        <v>6192404</v>
      </c>
    </row>
    <row r="463" spans="1:6">
      <c r="A463" s="39">
        <v>42814</v>
      </c>
      <c r="B463">
        <v>46.62</v>
      </c>
      <c r="C463">
        <v>47.16</v>
      </c>
      <c r="D463">
        <v>46.52</v>
      </c>
      <c r="E463">
        <v>46.77</v>
      </c>
      <c r="F463">
        <v>5822991</v>
      </c>
    </row>
    <row r="464" spans="1:6">
      <c r="A464" s="39">
        <v>42815</v>
      </c>
      <c r="B464">
        <v>47</v>
      </c>
      <c r="C464">
        <v>47.19</v>
      </c>
      <c r="D464">
        <v>45.68</v>
      </c>
      <c r="E464">
        <v>45.77</v>
      </c>
      <c r="F464">
        <v>6469439</v>
      </c>
    </row>
    <row r="465" spans="1:6">
      <c r="A465" s="39">
        <v>42816</v>
      </c>
      <c r="B465">
        <v>45.61</v>
      </c>
      <c r="C465">
        <v>46.14</v>
      </c>
      <c r="D465">
        <v>45.6</v>
      </c>
      <c r="E465">
        <v>46.06</v>
      </c>
      <c r="F465">
        <v>6773395</v>
      </c>
    </row>
    <row r="466" spans="1:6">
      <c r="A466" s="39">
        <v>42817</v>
      </c>
      <c r="B466">
        <v>46.13</v>
      </c>
      <c r="C466">
        <v>46.78</v>
      </c>
      <c r="D466">
        <v>46.09</v>
      </c>
      <c r="E466">
        <v>46.6</v>
      </c>
      <c r="F466">
        <v>8297815</v>
      </c>
    </row>
    <row r="467" spans="1:6">
      <c r="A467" s="39">
        <v>42818</v>
      </c>
      <c r="B467">
        <v>46.65</v>
      </c>
      <c r="C467">
        <v>46.86</v>
      </c>
      <c r="D467">
        <v>46.14</v>
      </c>
      <c r="E467">
        <v>46.4</v>
      </c>
      <c r="F467">
        <v>5607667</v>
      </c>
    </row>
    <row r="468" spans="1:6">
      <c r="A468" s="39">
        <v>42821</v>
      </c>
      <c r="B468">
        <v>45.92</v>
      </c>
      <c r="C468">
        <v>46.48</v>
      </c>
      <c r="D468">
        <v>45.74</v>
      </c>
      <c r="E468">
        <v>46.4</v>
      </c>
      <c r="F468">
        <v>6016624</v>
      </c>
    </row>
    <row r="469" spans="1:6">
      <c r="A469" s="39">
        <v>42822</v>
      </c>
      <c r="B469">
        <v>46.33</v>
      </c>
      <c r="C469">
        <v>46.76</v>
      </c>
      <c r="D469">
        <v>46.24</v>
      </c>
      <c r="E469">
        <v>46.57</v>
      </c>
      <c r="F469">
        <v>4630801</v>
      </c>
    </row>
    <row r="470" spans="1:6">
      <c r="A470" s="39">
        <v>42823</v>
      </c>
      <c r="B470">
        <v>46.52</v>
      </c>
      <c r="C470">
        <v>46.84</v>
      </c>
      <c r="D470">
        <v>46.3</v>
      </c>
      <c r="E470">
        <v>46.78</v>
      </c>
      <c r="F470">
        <v>4403402</v>
      </c>
    </row>
    <row r="471" spans="1:6">
      <c r="A471" s="39">
        <v>42824</v>
      </c>
      <c r="B471">
        <v>46.8</v>
      </c>
      <c r="C471">
        <v>47.04</v>
      </c>
      <c r="D471">
        <v>46.6</v>
      </c>
      <c r="E471">
        <v>46.62</v>
      </c>
      <c r="F471">
        <v>3449091</v>
      </c>
    </row>
    <row r="472" spans="1:6">
      <c r="A472" s="39">
        <v>42825</v>
      </c>
      <c r="B472">
        <v>46.52</v>
      </c>
      <c r="C472">
        <v>46.7</v>
      </c>
      <c r="D472">
        <v>46.27</v>
      </c>
      <c r="E472">
        <v>46.41</v>
      </c>
      <c r="F472">
        <v>7814123</v>
      </c>
    </row>
    <row r="473" spans="1:6">
      <c r="A473" s="39">
        <v>42828</v>
      </c>
      <c r="B473">
        <v>46.5</v>
      </c>
      <c r="C473">
        <v>46.85</v>
      </c>
      <c r="D473">
        <v>46.16</v>
      </c>
      <c r="E473">
        <v>46.43</v>
      </c>
      <c r="F473">
        <v>7675378</v>
      </c>
    </row>
    <row r="474" spans="1:6">
      <c r="A474" s="39">
        <v>42829</v>
      </c>
      <c r="B474">
        <v>46.3</v>
      </c>
      <c r="C474">
        <v>46.47</v>
      </c>
      <c r="D474">
        <v>46.12</v>
      </c>
      <c r="E474">
        <v>46.23</v>
      </c>
      <c r="F474">
        <v>4758401</v>
      </c>
    </row>
    <row r="475" spans="1:6">
      <c r="A475" s="39">
        <v>42830</v>
      </c>
      <c r="B475">
        <v>46.41</v>
      </c>
      <c r="C475">
        <v>46.92</v>
      </c>
      <c r="D475">
        <v>46.24</v>
      </c>
      <c r="E475">
        <v>46.38</v>
      </c>
      <c r="F475">
        <v>4840299</v>
      </c>
    </row>
    <row r="476" spans="1:6">
      <c r="A476" s="39">
        <v>42831</v>
      </c>
      <c r="B476">
        <v>46.38</v>
      </c>
      <c r="C476">
        <v>46.43</v>
      </c>
      <c r="D476">
        <v>46.04</v>
      </c>
      <c r="E476">
        <v>46.28</v>
      </c>
      <c r="F476">
        <v>4124602</v>
      </c>
    </row>
    <row r="477" spans="1:6">
      <c r="A477" s="39">
        <v>42832</v>
      </c>
      <c r="B477">
        <v>46.23</v>
      </c>
      <c r="C477">
        <v>46.53</v>
      </c>
      <c r="D477">
        <v>45.96</v>
      </c>
      <c r="E477">
        <v>46.44</v>
      </c>
      <c r="F477">
        <v>4629814</v>
      </c>
    </row>
    <row r="478" spans="1:6">
      <c r="A478" s="39">
        <v>42835</v>
      </c>
      <c r="B478">
        <v>46.49</v>
      </c>
      <c r="C478">
        <v>47.42</v>
      </c>
      <c r="D478">
        <v>46.4</v>
      </c>
      <c r="E478">
        <v>47.21</v>
      </c>
      <c r="F478">
        <v>7818042</v>
      </c>
    </row>
    <row r="479" spans="1:6">
      <c r="A479" s="39">
        <v>42836</v>
      </c>
      <c r="B479">
        <v>47.03</v>
      </c>
      <c r="C479">
        <v>47.21</v>
      </c>
      <c r="D479">
        <v>46.42</v>
      </c>
      <c r="E479">
        <v>46.79</v>
      </c>
      <c r="F479">
        <v>5593867</v>
      </c>
    </row>
    <row r="480" spans="1:6">
      <c r="A480" s="39">
        <v>42837</v>
      </c>
      <c r="B480">
        <v>46.8</v>
      </c>
      <c r="C480">
        <v>47.16</v>
      </c>
      <c r="D480">
        <v>46.67</v>
      </c>
      <c r="E480">
        <v>46.83</v>
      </c>
      <c r="F480">
        <v>5127330</v>
      </c>
    </row>
    <row r="481" spans="1:6">
      <c r="A481" s="39">
        <v>42838</v>
      </c>
      <c r="B481">
        <v>46.85</v>
      </c>
      <c r="C481">
        <v>47.11</v>
      </c>
      <c r="D481">
        <v>46.61</v>
      </c>
      <c r="E481">
        <v>46.9</v>
      </c>
      <c r="F481">
        <v>3762132</v>
      </c>
    </row>
    <row r="482" spans="1:6">
      <c r="A482" s="39">
        <v>42842</v>
      </c>
      <c r="B482">
        <v>47.02</v>
      </c>
      <c r="C482">
        <v>47.42</v>
      </c>
      <c r="D482">
        <v>46.92</v>
      </c>
      <c r="E482">
        <v>47.39</v>
      </c>
      <c r="F482">
        <v>3857065</v>
      </c>
    </row>
    <row r="483" spans="1:6">
      <c r="A483" s="39">
        <v>42843</v>
      </c>
      <c r="B483">
        <v>47.25</v>
      </c>
      <c r="C483">
        <v>47.74</v>
      </c>
      <c r="D483">
        <v>47.14</v>
      </c>
      <c r="E483">
        <v>47.56</v>
      </c>
      <c r="F483">
        <v>9341939</v>
      </c>
    </row>
    <row r="484" spans="1:6">
      <c r="A484" s="39">
        <v>42844</v>
      </c>
      <c r="B484">
        <v>47.6</v>
      </c>
      <c r="C484">
        <v>47.88</v>
      </c>
      <c r="D484">
        <v>46.92</v>
      </c>
      <c r="E484">
        <v>47</v>
      </c>
      <c r="F484">
        <v>12179541</v>
      </c>
    </row>
    <row r="485" spans="1:6">
      <c r="A485" s="39">
        <v>42845</v>
      </c>
      <c r="B485">
        <v>47.25</v>
      </c>
      <c r="C485">
        <v>47.84</v>
      </c>
      <c r="D485">
        <v>47.07</v>
      </c>
      <c r="E485">
        <v>47.67</v>
      </c>
      <c r="F485">
        <v>10925101</v>
      </c>
    </row>
    <row r="486" spans="1:6">
      <c r="A486" s="39">
        <v>42846</v>
      </c>
      <c r="B486">
        <v>47.73</v>
      </c>
      <c r="C486">
        <v>47.77</v>
      </c>
      <c r="D486">
        <v>47.37</v>
      </c>
      <c r="E486">
        <v>47.52</v>
      </c>
      <c r="F486">
        <v>7054995</v>
      </c>
    </row>
    <row r="487" spans="1:6">
      <c r="A487" s="39">
        <v>42849</v>
      </c>
      <c r="B487">
        <v>47.89</v>
      </c>
      <c r="C487">
        <v>48.2</v>
      </c>
      <c r="D487">
        <v>47.75</v>
      </c>
      <c r="E487">
        <v>48.15</v>
      </c>
      <c r="F487">
        <v>9860363</v>
      </c>
    </row>
    <row r="488" spans="1:6">
      <c r="A488" s="39">
        <v>42850</v>
      </c>
      <c r="B488">
        <v>48.29</v>
      </c>
      <c r="C488">
        <v>48.46</v>
      </c>
      <c r="D488">
        <v>48.16</v>
      </c>
      <c r="E488">
        <v>48.4</v>
      </c>
      <c r="F488">
        <v>10288234</v>
      </c>
    </row>
    <row r="489" spans="1:6">
      <c r="A489" s="39">
        <v>42851</v>
      </c>
      <c r="B489">
        <v>48.4</v>
      </c>
      <c r="C489">
        <v>48.47</v>
      </c>
      <c r="D489">
        <v>48.17</v>
      </c>
      <c r="E489">
        <v>48.26</v>
      </c>
      <c r="F489">
        <v>4053137</v>
      </c>
    </row>
    <row r="490" spans="1:6">
      <c r="A490" s="39">
        <v>42852</v>
      </c>
      <c r="B490">
        <v>48.08</v>
      </c>
      <c r="C490">
        <v>48.47</v>
      </c>
      <c r="D490">
        <v>48.02</v>
      </c>
      <c r="E490">
        <v>48.36</v>
      </c>
      <c r="F490">
        <v>10635392</v>
      </c>
    </row>
    <row r="491" spans="1:6">
      <c r="A491" s="39">
        <v>42853</v>
      </c>
      <c r="B491">
        <v>48.45</v>
      </c>
      <c r="C491">
        <v>48.5</v>
      </c>
      <c r="D491">
        <v>48.16</v>
      </c>
      <c r="E491">
        <v>48.21</v>
      </c>
      <c r="F491">
        <v>4925538</v>
      </c>
    </row>
    <row r="492" spans="1:6">
      <c r="A492" s="39">
        <v>42856</v>
      </c>
      <c r="B492">
        <v>48.22</v>
      </c>
      <c r="C492">
        <v>48.78</v>
      </c>
      <c r="D492">
        <v>48.12</v>
      </c>
      <c r="E492">
        <v>48.61</v>
      </c>
      <c r="F492">
        <v>6386542</v>
      </c>
    </row>
    <row r="493" spans="1:6">
      <c r="A493" s="39">
        <v>42857</v>
      </c>
      <c r="B493">
        <v>48.72</v>
      </c>
      <c r="C493">
        <v>49.3</v>
      </c>
      <c r="D493">
        <v>48.72</v>
      </c>
      <c r="E493">
        <v>49.09</v>
      </c>
      <c r="F493">
        <v>6106265</v>
      </c>
    </row>
    <row r="494" spans="1:6">
      <c r="A494" s="39">
        <v>42858</v>
      </c>
      <c r="B494">
        <v>49.19</v>
      </c>
      <c r="C494">
        <v>49.19</v>
      </c>
      <c r="D494">
        <v>48.17</v>
      </c>
      <c r="E494">
        <v>48.54</v>
      </c>
      <c r="F494">
        <v>4702411</v>
      </c>
    </row>
    <row r="495" spans="1:6">
      <c r="A495" s="39">
        <v>42859</v>
      </c>
      <c r="B495">
        <v>48.63</v>
      </c>
      <c r="C495">
        <v>48.68</v>
      </c>
      <c r="D495">
        <v>48.16</v>
      </c>
      <c r="E495">
        <v>48.45</v>
      </c>
      <c r="F495">
        <v>6208893</v>
      </c>
    </row>
    <row r="496" spans="1:6">
      <c r="A496" s="39">
        <v>42860</v>
      </c>
      <c r="B496">
        <v>48.45</v>
      </c>
      <c r="C496">
        <v>48.66</v>
      </c>
      <c r="D496">
        <v>48.27</v>
      </c>
      <c r="E496">
        <v>48.49</v>
      </c>
      <c r="F496">
        <v>7835467</v>
      </c>
    </row>
    <row r="497" spans="1:6">
      <c r="A497" s="39">
        <v>42863</v>
      </c>
      <c r="B497">
        <v>48.71</v>
      </c>
      <c r="C497">
        <v>48.96</v>
      </c>
      <c r="D497">
        <v>48.51</v>
      </c>
      <c r="E497">
        <v>48.85</v>
      </c>
      <c r="F497">
        <v>10059557</v>
      </c>
    </row>
    <row r="498" spans="1:6">
      <c r="A498" s="39">
        <v>42864</v>
      </c>
      <c r="B498">
        <v>49.14</v>
      </c>
      <c r="C498">
        <v>49.67</v>
      </c>
      <c r="D498">
        <v>48.94</v>
      </c>
      <c r="E498">
        <v>49.49</v>
      </c>
      <c r="F498">
        <v>10279065</v>
      </c>
    </row>
    <row r="499" spans="1:6">
      <c r="A499" s="39">
        <v>42865</v>
      </c>
      <c r="B499">
        <v>49.4</v>
      </c>
      <c r="C499">
        <v>49.6</v>
      </c>
      <c r="D499">
        <v>49.14</v>
      </c>
      <c r="E499">
        <v>49.4</v>
      </c>
      <c r="F499">
        <v>8360446</v>
      </c>
    </row>
    <row r="500" spans="1:6">
      <c r="A500" s="39">
        <v>42866</v>
      </c>
      <c r="B500">
        <v>49.45</v>
      </c>
      <c r="C500">
        <v>49.71</v>
      </c>
      <c r="D500">
        <v>49.14</v>
      </c>
      <c r="E500">
        <v>49.69</v>
      </c>
      <c r="F500">
        <v>6142929</v>
      </c>
    </row>
    <row r="501" spans="1:6">
      <c r="A501" s="39">
        <v>42867</v>
      </c>
      <c r="B501">
        <v>49.75</v>
      </c>
      <c r="C501">
        <v>49.75</v>
      </c>
      <c r="D501">
        <v>49.44</v>
      </c>
      <c r="E501">
        <v>49.65</v>
      </c>
      <c r="F501">
        <v>6185780</v>
      </c>
    </row>
    <row r="502" spans="1:6">
      <c r="A502" s="39">
        <v>42870</v>
      </c>
      <c r="B502">
        <v>49.71</v>
      </c>
      <c r="C502">
        <v>49.94</v>
      </c>
      <c r="D502">
        <v>49.48</v>
      </c>
      <c r="E502">
        <v>49.86</v>
      </c>
      <c r="F502">
        <v>9129285</v>
      </c>
    </row>
    <row r="503" spans="1:6">
      <c r="A503" s="39">
        <v>42871</v>
      </c>
      <c r="B503">
        <v>50.05</v>
      </c>
      <c r="C503">
        <v>51.12</v>
      </c>
      <c r="D503">
        <v>50.03</v>
      </c>
      <c r="E503">
        <v>50.96</v>
      </c>
      <c r="F503">
        <v>19423578</v>
      </c>
    </row>
    <row r="504" spans="1:6">
      <c r="A504" s="39">
        <v>42872</v>
      </c>
      <c r="B504">
        <v>50.7</v>
      </c>
      <c r="C504">
        <v>50.7</v>
      </c>
      <c r="D504">
        <v>49.44</v>
      </c>
      <c r="E504">
        <v>49.65</v>
      </c>
      <c r="F504">
        <v>20954125</v>
      </c>
    </row>
    <row r="505" spans="1:6">
      <c r="A505" s="39">
        <v>42873</v>
      </c>
      <c r="B505">
        <v>48.68</v>
      </c>
      <c r="C505">
        <v>50.03</v>
      </c>
      <c r="D505">
        <v>47.74</v>
      </c>
      <c r="E505">
        <v>49.63</v>
      </c>
      <c r="F505">
        <v>13737509</v>
      </c>
    </row>
    <row r="506" spans="1:6">
      <c r="A506" s="39">
        <v>42874</v>
      </c>
      <c r="B506">
        <v>50.03</v>
      </c>
      <c r="C506">
        <v>51.23</v>
      </c>
      <c r="D506">
        <v>50.01</v>
      </c>
      <c r="E506">
        <v>50.18</v>
      </c>
      <c r="F506">
        <v>11181962</v>
      </c>
    </row>
  </sheetData>
  <sortState ref="A3:F506">
    <sortCondition ref="A3:A506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05"/>
  <sheetViews>
    <sheetView workbookViewId="0"/>
  </sheetViews>
  <sheetFormatPr defaultRowHeight="15"/>
  <cols>
    <col min="1" max="1" width="10.42578125" bestFit="1" customWidth="1"/>
  </cols>
  <sheetData>
    <row r="1" spans="1:15">
      <c r="A1" t="s">
        <v>26</v>
      </c>
      <c r="B1" t="s">
        <v>63</v>
      </c>
      <c r="C1" t="s">
        <v>39</v>
      </c>
      <c r="D1" t="s">
        <v>41</v>
      </c>
      <c r="E1" t="s">
        <v>43</v>
      </c>
      <c r="F1" t="s">
        <v>45</v>
      </c>
      <c r="G1" t="s">
        <v>47</v>
      </c>
      <c r="H1" t="s">
        <v>49</v>
      </c>
      <c r="I1" t="s">
        <v>51</v>
      </c>
      <c r="J1" t="s">
        <v>53</v>
      </c>
      <c r="K1" t="s">
        <v>55</v>
      </c>
      <c r="L1" t="s">
        <v>57</v>
      </c>
      <c r="M1" t="s">
        <v>59</v>
      </c>
      <c r="N1" t="s">
        <v>66</v>
      </c>
      <c r="O1" t="s">
        <v>70</v>
      </c>
    </row>
    <row r="2" spans="1:15">
      <c r="A2" s="39">
        <v>42145</v>
      </c>
      <c r="B2">
        <v>75.8</v>
      </c>
      <c r="C2">
        <f>VLOOKUP(A2,NYSEARCAVTI!A$2:G$506,2,0)</f>
        <v>110.18</v>
      </c>
      <c r="D2">
        <f>VLOOKUP(A2,NYSEARCAVEU!A$2:G$506,2,0)</f>
        <v>51.8</v>
      </c>
      <c r="E2">
        <f>VLOOKUP(A2,NYSEARCAVWO!A$2:G$506,2,0)</f>
        <v>43.69</v>
      </c>
      <c r="F2">
        <f>VLOOKUP(A2,NYSEARCABND!A$2:G$506,2,0)</f>
        <v>82</v>
      </c>
      <c r="G2">
        <f>VLOOKUP(A2,NYSEARCATIP!A$2:G$506,2,0)</f>
        <v>112.47</v>
      </c>
      <c r="H2">
        <f>VLOOKUP(A2,NYSEARCAMUB!A$2:G$506,2,0)</f>
        <v>108.36</v>
      </c>
      <c r="I2">
        <f>VLOOKUP(A2,NYSEARCAVNQ!A$2:G$506,2,0)</f>
        <v>80.61</v>
      </c>
      <c r="J2">
        <f>VLOOKUP(A2,NYSEARCARWX!A$2:G$506,2,0)</f>
        <v>44.87</v>
      </c>
      <c r="K2">
        <f>VLOOKUP(A2,NYSEARCADBC!A$2:G$506,2,0)</f>
        <v>18.100000000000001</v>
      </c>
      <c r="L2">
        <f>VLOOKUP(A2,NYSEARCAGSG!A$2:G$506,2,0)</f>
        <v>21.5</v>
      </c>
      <c r="M2">
        <f>VLOOKUP(A2,NYSEARCAGLD!A$2:G$506,2,0)</f>
        <v>115.53</v>
      </c>
      <c r="N2">
        <f>VLOOKUP(A2,NYSEBP!A$2:G$506,2,0)</f>
        <v>42.6</v>
      </c>
      <c r="O2">
        <f>VLOOKUP(A2,NASDAQYHOO!A$2:G$506,2,0)</f>
        <v>43.06</v>
      </c>
    </row>
    <row r="3" spans="1:15">
      <c r="A3" s="39">
        <v>42146</v>
      </c>
      <c r="B3">
        <v>76.2</v>
      </c>
      <c r="C3">
        <f>VLOOKUP(A3,NYSEARCAVTI!A$2:G$506,2,0)</f>
        <v>110.38</v>
      </c>
      <c r="D3">
        <f>VLOOKUP(A3,NYSEARCAVEU!A$2:G$506,2,0)</f>
        <v>51.8</v>
      </c>
      <c r="E3">
        <f>VLOOKUP(A3,NYSEARCAVWO!A$2:G$506,2,0)</f>
        <v>44.05</v>
      </c>
      <c r="F3">
        <f>VLOOKUP(A3,NYSEARCABND!A$2:G$506,2,0)</f>
        <v>82.06</v>
      </c>
      <c r="G3">
        <f>VLOOKUP(A3,NYSEARCATIP!A$2:G$506,2,0)</f>
        <v>112.97</v>
      </c>
      <c r="H3">
        <f>VLOOKUP(A3,NYSEARCAMUB!A$2:G$506,2,0)</f>
        <v>108.44</v>
      </c>
      <c r="I3">
        <f>VLOOKUP(A3,NYSEARCAVNQ!A$2:G$506,2,0)</f>
        <v>79.86</v>
      </c>
      <c r="J3">
        <f>VLOOKUP(A3,NYSEARCARWX!A$2:G$506,2,0)</f>
        <v>44.77</v>
      </c>
      <c r="K3">
        <f>VLOOKUP(A3,NYSEARCADBC!A$2:G$506,2,0)</f>
        <v>18.04</v>
      </c>
      <c r="L3">
        <f>VLOOKUP(A3,NYSEARCAGSG!A$2:G$506,2,0)</f>
        <v>21.38</v>
      </c>
      <c r="M3">
        <f>VLOOKUP(A3,NYSEARCAGLD!A$2:G$506,2,0)</f>
        <v>115.51</v>
      </c>
      <c r="N3">
        <f>VLOOKUP(A3,NYSEBP!A$2:G$506,2,0)</f>
        <v>42.68</v>
      </c>
      <c r="O3">
        <f>VLOOKUP(A3,NASDAQYHOO!A$2:G$506,2,0)</f>
        <v>43.58</v>
      </c>
    </row>
    <row r="4" spans="1:15">
      <c r="A4" s="39">
        <v>42150</v>
      </c>
      <c r="B4">
        <v>75.77</v>
      </c>
      <c r="C4">
        <f>VLOOKUP(A4,NYSEARCAVTI!A$2:G$506,2,0)</f>
        <v>110.02</v>
      </c>
      <c r="D4">
        <f>VLOOKUP(A4,NYSEARCAVEU!A$2:G$506,2,0)</f>
        <v>51.37</v>
      </c>
      <c r="E4">
        <f>VLOOKUP(A4,NYSEARCAVWO!A$2:G$506,2,0)</f>
        <v>43.77</v>
      </c>
      <c r="F4">
        <f>VLOOKUP(A4,NYSEARCABND!A$2:G$506,2,0)</f>
        <v>82.06</v>
      </c>
      <c r="G4">
        <f>VLOOKUP(A4,NYSEARCATIP!A$2:G$506,2,0)</f>
        <v>112.85</v>
      </c>
      <c r="H4">
        <f>VLOOKUP(A4,NYSEARCAMUB!A$2:G$506,2,0)</f>
        <v>108.45</v>
      </c>
      <c r="I4">
        <f>VLOOKUP(A4,NYSEARCAVNQ!A$2:G$506,2,0)</f>
        <v>80</v>
      </c>
      <c r="J4">
        <f>VLOOKUP(A4,NYSEARCARWX!A$2:G$506,2,0)</f>
        <v>44.46</v>
      </c>
      <c r="K4">
        <f>VLOOKUP(A4,NYSEARCADBC!A$2:G$506,2,0)</f>
        <v>17.78</v>
      </c>
      <c r="L4">
        <f>VLOOKUP(A4,NYSEARCAGSG!A$2:G$506,2,0)</f>
        <v>21.13</v>
      </c>
      <c r="M4">
        <f>VLOOKUP(A4,NYSEARCAGLD!A$2:G$506,2,0)</f>
        <v>113.84</v>
      </c>
      <c r="N4">
        <f>VLOOKUP(A4,NYSEBP!A$2:G$506,2,0)</f>
        <v>41.94</v>
      </c>
      <c r="O4">
        <f>VLOOKUP(A4,NASDAQYHOO!A$2:G$506,2,0)</f>
        <v>43.41</v>
      </c>
    </row>
    <row r="5" spans="1:15">
      <c r="A5" s="39">
        <v>42151</v>
      </c>
      <c r="B5">
        <v>75.069999999999993</v>
      </c>
      <c r="C5">
        <f>VLOOKUP(A5,NYSEARCAVTI!A$2:G$506,2,0)</f>
        <v>109.45</v>
      </c>
      <c r="D5">
        <f>VLOOKUP(A5,NYSEARCAVEU!A$2:G$506,2,0)</f>
        <v>50.86</v>
      </c>
      <c r="E5">
        <f>VLOOKUP(A5,NYSEARCAVWO!A$2:G$506,2,0)</f>
        <v>43.09</v>
      </c>
      <c r="F5">
        <f>VLOOKUP(A5,NYSEARCABND!A$2:G$506,2,0)</f>
        <v>82.28</v>
      </c>
      <c r="G5">
        <f>VLOOKUP(A5,NYSEARCATIP!A$2:G$506,2,0)</f>
        <v>112.83</v>
      </c>
      <c r="H5">
        <f>VLOOKUP(A5,NYSEARCAMUB!A$2:G$506,2,0)</f>
        <v>108.68</v>
      </c>
      <c r="I5">
        <f>VLOOKUP(A5,NYSEARCAVNQ!A$2:G$506,2,0)</f>
        <v>79.739999999999995</v>
      </c>
      <c r="J5">
        <f>VLOOKUP(A5,NYSEARCARWX!A$2:G$506,2,0)</f>
        <v>44.14</v>
      </c>
      <c r="K5">
        <f>VLOOKUP(A5,NYSEARCADBC!A$2:G$506,2,0)</f>
        <v>17.489999999999998</v>
      </c>
      <c r="L5">
        <f>VLOOKUP(A5,NYSEARCAGSG!A$2:G$506,2,0)</f>
        <v>20.72</v>
      </c>
      <c r="M5">
        <f>VLOOKUP(A5,NYSEARCAGLD!A$2:G$506,2,0)</f>
        <v>113.78</v>
      </c>
      <c r="N5">
        <f>VLOOKUP(A5,NYSEBP!A$2:G$506,2,0)</f>
        <v>41.63</v>
      </c>
      <c r="O5">
        <f>VLOOKUP(A5,NASDAQYHOO!A$2:G$506,2,0)</f>
        <v>42.6</v>
      </c>
    </row>
    <row r="6" spans="1:15">
      <c r="A6" s="39">
        <v>42152</v>
      </c>
      <c r="B6">
        <v>75.069999999999993</v>
      </c>
      <c r="C6">
        <f>VLOOKUP(A6,NYSEARCAVTI!A$2:G$506,2,0)</f>
        <v>109.97</v>
      </c>
      <c r="D6">
        <f>VLOOKUP(A6,NYSEARCAVEU!A$2:G$506,2,0)</f>
        <v>50.86</v>
      </c>
      <c r="E6">
        <f>VLOOKUP(A6,NYSEARCAVWO!A$2:G$506,2,0)</f>
        <v>42.76</v>
      </c>
      <c r="F6">
        <f>VLOOKUP(A6,NYSEARCABND!A$2:G$506,2,0)</f>
        <v>82.33</v>
      </c>
      <c r="G6">
        <f>VLOOKUP(A6,NYSEARCATIP!A$2:G$506,2,0)</f>
        <v>112.77</v>
      </c>
      <c r="H6">
        <f>VLOOKUP(A6,NYSEARCAMUB!A$2:G$506,2,0)</f>
        <v>108.66</v>
      </c>
      <c r="I6">
        <f>VLOOKUP(A6,NYSEARCAVNQ!A$2:G$506,2,0)</f>
        <v>80.17</v>
      </c>
      <c r="J6">
        <f>VLOOKUP(A6,NYSEARCARWX!A$2:G$506,2,0)</f>
        <v>43.8</v>
      </c>
      <c r="K6">
        <f>VLOOKUP(A6,NYSEARCADBC!A$2:G$506,2,0)</f>
        <v>17.38</v>
      </c>
      <c r="L6">
        <f>VLOOKUP(A6,NYSEARCAGSG!A$2:G$506,2,0)</f>
        <v>20.58</v>
      </c>
      <c r="M6">
        <f>VLOOKUP(A6,NYSEARCAGLD!A$2:G$506,2,0)</f>
        <v>113.85</v>
      </c>
      <c r="N6">
        <f>VLOOKUP(A6,NYSEBP!A$2:G$506,2,0)</f>
        <v>41.61</v>
      </c>
      <c r="O6">
        <f>VLOOKUP(A6,NASDAQYHOO!A$2:G$506,2,0)</f>
        <v>43.06</v>
      </c>
    </row>
    <row r="7" spans="1:15">
      <c r="A7" s="39">
        <v>42153</v>
      </c>
      <c r="B7">
        <v>74.819999999999993</v>
      </c>
      <c r="C7">
        <f>VLOOKUP(A7,NYSEARCAVTI!A$2:G$506,2,0)</f>
        <v>109.99</v>
      </c>
      <c r="D7">
        <f>VLOOKUP(A7,NYSEARCAVEU!A$2:G$506,2,0)</f>
        <v>50.83</v>
      </c>
      <c r="E7">
        <f>VLOOKUP(A7,NYSEARCAVWO!A$2:G$506,2,0)</f>
        <v>42.72</v>
      </c>
      <c r="F7">
        <f>VLOOKUP(A7,NYSEARCABND!A$2:G$506,2,0)</f>
        <v>82.42</v>
      </c>
      <c r="G7">
        <f>VLOOKUP(A7,NYSEARCATIP!A$2:G$506,2,0)</f>
        <v>113.09</v>
      </c>
      <c r="H7">
        <f>VLOOKUP(A7,NYSEARCAMUB!A$2:G$506,2,0)</f>
        <v>108.76</v>
      </c>
      <c r="I7">
        <f>VLOOKUP(A7,NYSEARCAVNQ!A$2:G$506,2,0)</f>
        <v>79.930000000000007</v>
      </c>
      <c r="J7">
        <f>VLOOKUP(A7,NYSEARCARWX!A$2:G$506,2,0)</f>
        <v>43.69</v>
      </c>
      <c r="K7">
        <f>VLOOKUP(A7,NYSEARCADBC!A$2:G$506,2,0)</f>
        <v>17.48</v>
      </c>
      <c r="L7">
        <f>VLOOKUP(A7,NYSEARCAGSG!A$2:G$506,2,0)</f>
        <v>20.79</v>
      </c>
      <c r="M7">
        <f>VLOOKUP(A7,NYSEARCAGLD!A$2:G$506,2,0)</f>
        <v>114.14</v>
      </c>
      <c r="N7">
        <f>VLOOKUP(A7,NYSEBP!A$2:G$506,2,0)</f>
        <v>41.41</v>
      </c>
      <c r="O7">
        <f>VLOOKUP(A7,NASDAQYHOO!A$2:G$506,2,0)</f>
        <v>43.45</v>
      </c>
    </row>
    <row r="8" spans="1:15">
      <c r="A8" s="39">
        <v>42156</v>
      </c>
      <c r="B8">
        <v>74.69</v>
      </c>
      <c r="C8">
        <f>VLOOKUP(A8,NYSEARCAVTI!A$2:G$506,2,0)</f>
        <v>109.8</v>
      </c>
      <c r="D8">
        <f>VLOOKUP(A8,NYSEARCAVEU!A$2:G$506,2,0)</f>
        <v>50.66</v>
      </c>
      <c r="E8">
        <f>VLOOKUP(A8,NYSEARCAVWO!A$2:G$506,2,0)</f>
        <v>42.5</v>
      </c>
      <c r="F8">
        <f>VLOOKUP(A8,NYSEARCABND!A$2:G$506,2,0)</f>
        <v>82.19</v>
      </c>
      <c r="G8">
        <f>VLOOKUP(A8,NYSEARCATIP!A$2:G$506,2,0)</f>
        <v>113.06</v>
      </c>
      <c r="H8">
        <f>VLOOKUP(A8,NYSEARCAMUB!A$2:G$506,2,0)</f>
        <v>108.67</v>
      </c>
      <c r="I8">
        <f>VLOOKUP(A8,NYSEARCAVNQ!A$2:G$506,2,0)</f>
        <v>79.39</v>
      </c>
      <c r="J8">
        <f>VLOOKUP(A8,NYSEARCARWX!A$2:G$506,2,0)</f>
        <v>43.68</v>
      </c>
      <c r="K8">
        <f>VLOOKUP(A8,NYSEARCADBC!A$2:G$506,2,0)</f>
        <v>17.68</v>
      </c>
      <c r="L8">
        <f>VLOOKUP(A8,NYSEARCAGSG!A$2:G$506,2,0)</f>
        <v>21.19</v>
      </c>
      <c r="M8">
        <f>VLOOKUP(A8,NYSEARCAGLD!A$2:G$506,2,0)</f>
        <v>115.02</v>
      </c>
      <c r="N8">
        <f>VLOOKUP(A8,NYSEBP!A$2:G$506,2,0)</f>
        <v>41.18</v>
      </c>
      <c r="O8">
        <f>VLOOKUP(A8,NASDAQYHOO!A$2:G$506,2,0)</f>
        <v>43.05</v>
      </c>
    </row>
    <row r="9" spans="1:15">
      <c r="A9" s="39">
        <v>42157</v>
      </c>
      <c r="B9">
        <v>74.540000000000006</v>
      </c>
      <c r="C9">
        <f>VLOOKUP(A9,NYSEARCAVTI!A$2:G$506,2,0)</f>
        <v>109.25</v>
      </c>
      <c r="D9">
        <f>VLOOKUP(A9,NYSEARCAVEU!A$2:G$506,2,0)</f>
        <v>50.53</v>
      </c>
      <c r="E9">
        <f>VLOOKUP(A9,NYSEARCAVWO!A$2:G$506,2,0)</f>
        <v>42.27</v>
      </c>
      <c r="F9">
        <f>VLOOKUP(A9,NYSEARCABND!A$2:G$506,2,0)</f>
        <v>81.8</v>
      </c>
      <c r="G9">
        <f>VLOOKUP(A9,NYSEARCATIP!A$2:G$506,2,0)</f>
        <v>112.24</v>
      </c>
      <c r="H9">
        <f>VLOOKUP(A9,NYSEARCAMUB!A$2:G$506,2,0)</f>
        <v>108.37</v>
      </c>
      <c r="I9">
        <f>VLOOKUP(A9,NYSEARCAVNQ!A$2:G$506,2,0)</f>
        <v>79.760000000000005</v>
      </c>
      <c r="J9">
        <f>VLOOKUP(A9,NYSEARCARWX!A$2:G$506,2,0)</f>
        <v>43.42</v>
      </c>
      <c r="K9">
        <f>VLOOKUP(A9,NYSEARCADBC!A$2:G$506,2,0)</f>
        <v>17.78</v>
      </c>
      <c r="L9">
        <f>VLOOKUP(A9,NYSEARCAGSG!A$2:G$506,2,0)</f>
        <v>21.26</v>
      </c>
      <c r="M9">
        <f>VLOOKUP(A9,NYSEARCAGLD!A$2:G$506,2,0)</f>
        <v>114.36</v>
      </c>
      <c r="N9">
        <f>VLOOKUP(A9,NYSEBP!A$2:G$506,2,0)</f>
        <v>41.25</v>
      </c>
      <c r="O9">
        <f>VLOOKUP(A9,NASDAQYHOO!A$2:G$506,2,0)</f>
        <v>43.18</v>
      </c>
    </row>
    <row r="10" spans="1:15">
      <c r="A10" s="39">
        <v>42158</v>
      </c>
      <c r="B10">
        <v>74.7</v>
      </c>
      <c r="C10">
        <f>VLOOKUP(A10,NYSEARCAVTI!A$2:G$506,2,0)</f>
        <v>109.78</v>
      </c>
      <c r="D10">
        <f>VLOOKUP(A10,NYSEARCAVEU!A$2:G$506,2,0)</f>
        <v>50.74</v>
      </c>
      <c r="E10">
        <f>VLOOKUP(A10,NYSEARCAVWO!A$2:G$506,2,0)</f>
        <v>42.28</v>
      </c>
      <c r="F10">
        <f>VLOOKUP(A10,NYSEARCABND!A$2:G$506,2,0)</f>
        <v>81.52</v>
      </c>
      <c r="G10">
        <f>VLOOKUP(A10,NYSEARCATIP!A$2:G$506,2,0)</f>
        <v>111.61</v>
      </c>
      <c r="H10">
        <f>VLOOKUP(A10,NYSEARCAMUB!A$2:G$506,2,0)</f>
        <v>108.03</v>
      </c>
      <c r="I10">
        <f>VLOOKUP(A10,NYSEARCAVNQ!A$2:G$506,2,0)</f>
        <v>79.150000000000006</v>
      </c>
      <c r="J10">
        <f>VLOOKUP(A10,NYSEARCARWX!A$2:G$506,2,0)</f>
        <v>43.46</v>
      </c>
      <c r="K10">
        <f>VLOOKUP(A10,NYSEARCADBC!A$2:G$506,2,0)</f>
        <v>17.8</v>
      </c>
      <c r="L10">
        <f>VLOOKUP(A10,NYSEARCAGSG!A$2:G$506,2,0)</f>
        <v>21.3</v>
      </c>
      <c r="M10">
        <f>VLOOKUP(A10,NYSEARCAGLD!A$2:G$506,2,0)</f>
        <v>114.13</v>
      </c>
      <c r="N10">
        <f>VLOOKUP(A10,NYSEBP!A$2:G$506,2,0)</f>
        <v>41.51</v>
      </c>
      <c r="O10">
        <f>VLOOKUP(A10,NASDAQYHOO!A$2:G$506,2,0)</f>
        <v>43.3</v>
      </c>
    </row>
    <row r="11" spans="1:15">
      <c r="A11" s="39">
        <v>42159</v>
      </c>
      <c r="B11">
        <v>74.459999999999994</v>
      </c>
      <c r="C11">
        <f>VLOOKUP(A11,NYSEARCAVTI!A$2:G$506,2,0)</f>
        <v>109.5</v>
      </c>
      <c r="D11">
        <f>VLOOKUP(A11,NYSEARCAVEU!A$2:G$506,2,0)</f>
        <v>50.49</v>
      </c>
      <c r="E11">
        <f>VLOOKUP(A11,NYSEARCAVWO!A$2:G$506,2,0)</f>
        <v>41.93</v>
      </c>
      <c r="F11">
        <f>VLOOKUP(A11,NYSEARCABND!A$2:G$506,2,0)</f>
        <v>81.42</v>
      </c>
      <c r="G11">
        <f>VLOOKUP(A11,NYSEARCATIP!A$2:G$506,2,0)</f>
        <v>111.54</v>
      </c>
      <c r="H11">
        <f>VLOOKUP(A11,NYSEARCAMUB!A$2:G$506,2,0)</f>
        <v>108.03</v>
      </c>
      <c r="I11">
        <f>VLOOKUP(A11,NYSEARCAVNQ!A$2:G$506,2,0)</f>
        <v>78.150000000000006</v>
      </c>
      <c r="J11">
        <f>VLOOKUP(A11,NYSEARCARWX!A$2:G$506,2,0)</f>
        <v>42.99</v>
      </c>
      <c r="K11">
        <f>VLOOKUP(A11,NYSEARCADBC!A$2:G$506,2,0)</f>
        <v>17.55</v>
      </c>
      <c r="L11">
        <f>VLOOKUP(A11,NYSEARCAGSG!A$2:G$506,2,0)</f>
        <v>20.88</v>
      </c>
      <c r="M11">
        <f>VLOOKUP(A11,NYSEARCAGLD!A$2:G$506,2,0)</f>
        <v>112.98</v>
      </c>
      <c r="N11">
        <f>VLOOKUP(A11,NYSEBP!A$2:G$506,2,0)</f>
        <v>40.68</v>
      </c>
      <c r="O11">
        <f>VLOOKUP(A11,NASDAQYHOO!A$2:G$506,2,0)</f>
        <v>43.09</v>
      </c>
    </row>
    <row r="12" spans="1:15">
      <c r="A12" s="39">
        <v>42160</v>
      </c>
      <c r="B12">
        <v>74.17</v>
      </c>
      <c r="C12">
        <f>VLOOKUP(A12,NYSEARCAVTI!A$2:G$506,2,0)</f>
        <v>108.91</v>
      </c>
      <c r="D12">
        <f>VLOOKUP(A12,NYSEARCAVEU!A$2:G$506,2,0)</f>
        <v>49.68</v>
      </c>
      <c r="E12">
        <f>VLOOKUP(A12,NYSEARCAVWO!A$2:G$506,2,0)</f>
        <v>41.36</v>
      </c>
      <c r="F12">
        <f>VLOOKUP(A12,NYSEARCABND!A$2:G$506,2,0)</f>
        <v>81.27</v>
      </c>
      <c r="G12">
        <f>VLOOKUP(A12,NYSEARCATIP!A$2:G$506,2,0)</f>
        <v>111.18</v>
      </c>
      <c r="H12">
        <f>VLOOKUP(A12,NYSEARCAMUB!A$2:G$506,2,0)</f>
        <v>107.82</v>
      </c>
      <c r="I12">
        <f>VLOOKUP(A12,NYSEARCAVNQ!A$2:G$506,2,0)</f>
        <v>77.05</v>
      </c>
      <c r="J12">
        <f>VLOOKUP(A12,NYSEARCARWX!A$2:G$506,2,0)</f>
        <v>42.28</v>
      </c>
      <c r="K12">
        <f>VLOOKUP(A12,NYSEARCADBC!A$2:G$506,2,0)</f>
        <v>17.32</v>
      </c>
      <c r="L12">
        <f>VLOOKUP(A12,NYSEARCAGSG!A$2:G$506,2,0)</f>
        <v>20.5</v>
      </c>
      <c r="M12">
        <f>VLOOKUP(A12,NYSEARCAGLD!A$2:G$506,2,0)</f>
        <v>111.6</v>
      </c>
      <c r="N12">
        <f>VLOOKUP(A12,NYSEBP!A$2:G$506,2,0)</f>
        <v>40.130000000000003</v>
      </c>
      <c r="O12">
        <f>VLOOKUP(A12,NASDAQYHOO!A$2:G$506,2,0)</f>
        <v>42.83</v>
      </c>
    </row>
    <row r="13" spans="1:15">
      <c r="A13" s="39">
        <v>42163</v>
      </c>
      <c r="B13">
        <v>73.430000000000007</v>
      </c>
      <c r="C13">
        <f>VLOOKUP(A13,NYSEARCAVTI!A$2:G$506,2,0)</f>
        <v>108.88</v>
      </c>
      <c r="D13">
        <f>VLOOKUP(A13,NYSEARCAVEU!A$2:G$506,2,0)</f>
        <v>49.7</v>
      </c>
      <c r="E13">
        <f>VLOOKUP(A13,NYSEARCAVWO!A$2:G$506,2,0)</f>
        <v>41.45</v>
      </c>
      <c r="F13">
        <f>VLOOKUP(A13,NYSEARCABND!A$2:G$506,2,0)</f>
        <v>81.27</v>
      </c>
      <c r="G13">
        <f>VLOOKUP(A13,NYSEARCATIP!A$2:G$506,2,0)</f>
        <v>111.61</v>
      </c>
      <c r="H13">
        <f>VLOOKUP(A13,NYSEARCAMUB!A$2:G$506,2,0)</f>
        <v>107.88</v>
      </c>
      <c r="I13">
        <f>VLOOKUP(A13,NYSEARCAVNQ!A$2:G$506,2,0)</f>
        <v>77.2</v>
      </c>
      <c r="J13">
        <f>VLOOKUP(A13,NYSEARCARWX!A$2:G$506,2,0)</f>
        <v>42.24</v>
      </c>
      <c r="K13">
        <f>VLOOKUP(A13,NYSEARCADBC!A$2:G$506,2,0)</f>
        <v>17.55</v>
      </c>
      <c r="L13">
        <f>VLOOKUP(A13,NYSEARCAGSG!A$2:G$506,2,0)</f>
        <v>20.83</v>
      </c>
      <c r="M13">
        <f>VLOOKUP(A13,NYSEARCAGLD!A$2:G$506,2,0)</f>
        <v>112.39</v>
      </c>
      <c r="N13">
        <f>VLOOKUP(A13,NYSEBP!A$2:G$506,2,0)</f>
        <v>40.47</v>
      </c>
      <c r="O13">
        <f>VLOOKUP(A13,NASDAQYHOO!A$2:G$506,2,0)</f>
        <v>42.72</v>
      </c>
    </row>
    <row r="14" spans="1:15">
      <c r="A14" s="39">
        <v>42164</v>
      </c>
      <c r="B14">
        <v>72.7</v>
      </c>
      <c r="C14">
        <f>VLOOKUP(A14,NYSEARCAVTI!A$2:G$506,2,0)</f>
        <v>108.25</v>
      </c>
      <c r="D14">
        <f>VLOOKUP(A14,NYSEARCAVEU!A$2:G$506,2,0)</f>
        <v>49.47</v>
      </c>
      <c r="E14">
        <f>VLOOKUP(A14,NYSEARCAVWO!A$2:G$506,2,0)</f>
        <v>41.2</v>
      </c>
      <c r="F14">
        <f>VLOOKUP(A14,NYSEARCABND!A$2:G$506,2,0)</f>
        <v>81.2</v>
      </c>
      <c r="G14">
        <f>VLOOKUP(A14,NYSEARCATIP!A$2:G$506,2,0)</f>
        <v>111.38</v>
      </c>
      <c r="H14">
        <f>VLOOKUP(A14,NYSEARCAMUB!A$2:G$506,2,0)</f>
        <v>107.87</v>
      </c>
      <c r="I14">
        <f>VLOOKUP(A14,NYSEARCAVNQ!A$2:G$506,2,0)</f>
        <v>76.819999999999993</v>
      </c>
      <c r="J14">
        <f>VLOOKUP(A14,NYSEARCARWX!A$2:G$506,2,0)</f>
        <v>42.23</v>
      </c>
      <c r="K14">
        <f>VLOOKUP(A14,NYSEARCADBC!A$2:G$506,2,0)</f>
        <v>17.84</v>
      </c>
      <c r="L14">
        <f>VLOOKUP(A14,NYSEARCAGSG!A$2:G$506,2,0)</f>
        <v>21.17</v>
      </c>
      <c r="M14">
        <f>VLOOKUP(A14,NYSEARCAGLD!A$2:G$506,2,0)</f>
        <v>113.15</v>
      </c>
      <c r="N14">
        <f>VLOOKUP(A14,NYSEBP!A$2:G$506,2,0)</f>
        <v>40.5</v>
      </c>
      <c r="O14">
        <f>VLOOKUP(A14,NASDAQYHOO!A$2:G$506,2,0)</f>
        <v>41.92</v>
      </c>
    </row>
    <row r="15" spans="1:15">
      <c r="A15" s="39">
        <v>42165</v>
      </c>
      <c r="B15">
        <v>72.709999999999994</v>
      </c>
      <c r="C15">
        <f>VLOOKUP(A15,NYSEARCAVTI!A$2:G$506,2,0)</f>
        <v>108.7</v>
      </c>
      <c r="D15">
        <f>VLOOKUP(A15,NYSEARCAVEU!A$2:G$506,2,0)</f>
        <v>50.11</v>
      </c>
      <c r="E15">
        <f>VLOOKUP(A15,NYSEARCAVWO!A$2:G$506,2,0)</f>
        <v>41.57</v>
      </c>
      <c r="F15">
        <f>VLOOKUP(A15,NYSEARCABND!A$2:G$506,2,0)</f>
        <v>80.92</v>
      </c>
      <c r="G15">
        <f>VLOOKUP(A15,NYSEARCATIP!A$2:G$506,2,0)</f>
        <v>111.18</v>
      </c>
      <c r="H15">
        <f>VLOOKUP(A15,NYSEARCAMUB!A$2:G$506,2,0)</f>
        <v>107.65</v>
      </c>
      <c r="I15">
        <f>VLOOKUP(A15,NYSEARCAVNQ!A$2:G$506,2,0)</f>
        <v>76.47</v>
      </c>
      <c r="J15">
        <f>VLOOKUP(A15,NYSEARCARWX!A$2:G$506,2,0)</f>
        <v>42.86</v>
      </c>
      <c r="K15">
        <f>VLOOKUP(A15,NYSEARCADBC!A$2:G$506,2,0)</f>
        <v>18.05</v>
      </c>
      <c r="L15">
        <f>VLOOKUP(A15,NYSEARCAGSG!A$2:G$506,2,0)</f>
        <v>21.51</v>
      </c>
      <c r="M15">
        <f>VLOOKUP(A15,NYSEARCAGLD!A$2:G$506,2,0)</f>
        <v>114.14</v>
      </c>
      <c r="N15">
        <f>VLOOKUP(A15,NYSEBP!A$2:G$506,2,0)</f>
        <v>41.27</v>
      </c>
      <c r="O15">
        <f>VLOOKUP(A15,NASDAQYHOO!A$2:G$506,2,0)</f>
        <v>41.7</v>
      </c>
    </row>
    <row r="16" spans="1:15">
      <c r="A16" s="39">
        <v>42166</v>
      </c>
      <c r="B16">
        <v>73.23</v>
      </c>
      <c r="C16">
        <f>VLOOKUP(A16,NYSEARCAVTI!A$2:G$506,2,0)</f>
        <v>109.71</v>
      </c>
      <c r="D16">
        <f>VLOOKUP(A16,NYSEARCAVEU!A$2:G$506,2,0)</f>
        <v>50.45</v>
      </c>
      <c r="E16">
        <f>VLOOKUP(A16,NYSEARCAVWO!A$2:G$506,2,0)</f>
        <v>41.63</v>
      </c>
      <c r="F16">
        <f>VLOOKUP(A16,NYSEARCABND!A$2:G$506,2,0)</f>
        <v>81</v>
      </c>
      <c r="G16">
        <f>VLOOKUP(A16,NYSEARCATIP!A$2:G$506,2,0)</f>
        <v>111.14</v>
      </c>
      <c r="H16">
        <f>VLOOKUP(A16,NYSEARCAMUB!A$2:G$506,2,0)</f>
        <v>107.85</v>
      </c>
      <c r="I16">
        <f>VLOOKUP(A16,NYSEARCAVNQ!A$2:G$506,2,0)</f>
        <v>77.62</v>
      </c>
      <c r="J16">
        <f>VLOOKUP(A16,NYSEARCARWX!A$2:G$506,2,0)</f>
        <v>43.15</v>
      </c>
      <c r="K16">
        <f>VLOOKUP(A16,NYSEARCADBC!A$2:G$506,2,0)</f>
        <v>17.88</v>
      </c>
      <c r="L16">
        <f>VLOOKUP(A16,NYSEARCAGSG!A$2:G$506,2,0)</f>
        <v>21.41</v>
      </c>
      <c r="M16">
        <f>VLOOKUP(A16,NYSEARCAGLD!A$2:G$506,2,0)</f>
        <v>113.27</v>
      </c>
      <c r="N16">
        <f>VLOOKUP(A16,NYSEBP!A$2:G$506,2,0)</f>
        <v>41.36</v>
      </c>
      <c r="O16">
        <f>VLOOKUP(A16,NASDAQYHOO!A$2:G$506,2,0)</f>
        <v>42.09</v>
      </c>
    </row>
    <row r="17" spans="1:15">
      <c r="A17" s="39">
        <v>42167</v>
      </c>
      <c r="B17">
        <v>72.739999999999995</v>
      </c>
      <c r="C17">
        <f>VLOOKUP(A17,NYSEARCAVTI!A$2:G$506,2,0)</f>
        <v>109.28</v>
      </c>
      <c r="D17">
        <f>VLOOKUP(A17,NYSEARCAVEU!A$2:G$506,2,0)</f>
        <v>50.01</v>
      </c>
      <c r="E17">
        <f>VLOOKUP(A17,NYSEARCAVWO!A$2:G$506,2,0)</f>
        <v>41.55</v>
      </c>
      <c r="F17">
        <f>VLOOKUP(A17,NYSEARCABND!A$2:G$506,2,0)</f>
        <v>81.17</v>
      </c>
      <c r="G17">
        <f>VLOOKUP(A17,NYSEARCATIP!A$2:G$506,2,0)</f>
        <v>111.29</v>
      </c>
      <c r="H17">
        <f>VLOOKUP(A17,NYSEARCAMUB!A$2:G$506,2,0)</f>
        <v>107.88</v>
      </c>
      <c r="I17">
        <f>VLOOKUP(A17,NYSEARCAVNQ!A$2:G$506,2,0)</f>
        <v>77.239999999999995</v>
      </c>
      <c r="J17">
        <f>VLOOKUP(A17,NYSEARCARWX!A$2:G$506,2,0)</f>
        <v>42.87</v>
      </c>
      <c r="K17">
        <f>VLOOKUP(A17,NYSEARCADBC!A$2:G$506,2,0)</f>
        <v>17.7</v>
      </c>
      <c r="L17">
        <f>VLOOKUP(A17,NYSEARCAGSG!A$2:G$506,2,0)</f>
        <v>21.14</v>
      </c>
      <c r="M17">
        <f>VLOOKUP(A17,NYSEARCAGLD!A$2:G$506,2,0)</f>
        <v>113.06</v>
      </c>
      <c r="N17">
        <f>VLOOKUP(A17,NYSEBP!A$2:G$506,2,0)</f>
        <v>41.08</v>
      </c>
      <c r="O17">
        <f>VLOOKUP(A17,NASDAQYHOO!A$2:G$506,2,0)</f>
        <v>40.770000000000003</v>
      </c>
    </row>
    <row r="18" spans="1:15">
      <c r="A18" s="39">
        <v>42170</v>
      </c>
      <c r="B18">
        <v>72.2</v>
      </c>
      <c r="C18">
        <f>VLOOKUP(A18,NYSEARCAVTI!A$2:G$506,2,0)</f>
        <v>108.28</v>
      </c>
      <c r="D18">
        <f>VLOOKUP(A18,NYSEARCAVEU!A$2:G$506,2,0)</f>
        <v>49.53</v>
      </c>
      <c r="E18">
        <f>VLOOKUP(A18,NYSEARCAVWO!A$2:G$506,2,0)</f>
        <v>41.1</v>
      </c>
      <c r="F18">
        <f>VLOOKUP(A18,NYSEARCABND!A$2:G$506,2,0)</f>
        <v>81.38</v>
      </c>
      <c r="G18">
        <f>VLOOKUP(A18,NYSEARCATIP!A$2:G$506,2,0)</f>
        <v>111.78</v>
      </c>
      <c r="H18">
        <f>VLOOKUP(A18,NYSEARCAMUB!A$2:G$506,2,0)</f>
        <v>108.15</v>
      </c>
      <c r="I18">
        <f>VLOOKUP(A18,NYSEARCAVNQ!A$2:G$506,2,0)</f>
        <v>77.38</v>
      </c>
      <c r="J18">
        <f>VLOOKUP(A18,NYSEARCARWX!A$2:G$506,2,0)</f>
        <v>42.75</v>
      </c>
      <c r="K18">
        <f>VLOOKUP(A18,NYSEARCADBC!A$2:G$506,2,0)</f>
        <v>17.47</v>
      </c>
      <c r="L18">
        <f>VLOOKUP(A18,NYSEARCAGSG!A$2:G$506,2,0)</f>
        <v>20.85</v>
      </c>
      <c r="M18">
        <f>VLOOKUP(A18,NYSEARCAGLD!A$2:G$506,2,0)</f>
        <v>113.28</v>
      </c>
      <c r="N18">
        <f>VLOOKUP(A18,NYSEBP!A$2:G$506,2,0)</f>
        <v>40.35</v>
      </c>
      <c r="O18">
        <f>VLOOKUP(A18,NASDAQYHOO!A$2:G$506,2,0)</f>
        <v>40.24</v>
      </c>
    </row>
    <row r="19" spans="1:15">
      <c r="A19" s="39">
        <v>42171</v>
      </c>
      <c r="B19">
        <v>72.22</v>
      </c>
      <c r="C19">
        <f>VLOOKUP(A19,NYSEARCAVTI!A$2:G$506,2,0)</f>
        <v>108.45</v>
      </c>
      <c r="D19">
        <f>VLOOKUP(A19,NYSEARCAVEU!A$2:G$506,2,0)</f>
        <v>49.52</v>
      </c>
      <c r="E19">
        <f>VLOOKUP(A19,NYSEARCAVWO!A$2:G$506,2,0)</f>
        <v>41.07</v>
      </c>
      <c r="F19">
        <f>VLOOKUP(A19,NYSEARCABND!A$2:G$506,2,0)</f>
        <v>81.34</v>
      </c>
      <c r="G19">
        <f>VLOOKUP(A19,NYSEARCATIP!A$2:G$506,2,0)</f>
        <v>112.01</v>
      </c>
      <c r="H19">
        <f>VLOOKUP(A19,NYSEARCAMUB!A$2:G$506,2,0)</f>
        <v>108.21</v>
      </c>
      <c r="I19">
        <f>VLOOKUP(A19,NYSEARCAVNQ!A$2:G$506,2,0)</f>
        <v>77.099999999999994</v>
      </c>
      <c r="J19">
        <f>VLOOKUP(A19,NYSEARCARWX!A$2:G$506,2,0)</f>
        <v>42.9</v>
      </c>
      <c r="K19">
        <f>VLOOKUP(A19,NYSEARCADBC!A$2:G$506,2,0)</f>
        <v>17.510000000000002</v>
      </c>
      <c r="L19">
        <f>VLOOKUP(A19,NYSEARCAGSG!A$2:G$506,2,0)</f>
        <v>20.89</v>
      </c>
      <c r="M19">
        <f>VLOOKUP(A19,NYSEARCAGLD!A$2:G$506,2,0)</f>
        <v>113.08</v>
      </c>
      <c r="N19">
        <f>VLOOKUP(A19,NYSEBP!A$2:G$506,2,0)</f>
        <v>40.409999999999997</v>
      </c>
      <c r="O19">
        <f>VLOOKUP(A19,NASDAQYHOO!A$2:G$506,2,0)</f>
        <v>40.35</v>
      </c>
    </row>
    <row r="20" spans="1:15">
      <c r="A20" s="39">
        <v>42172</v>
      </c>
      <c r="B20">
        <v>72.63</v>
      </c>
      <c r="C20">
        <f>VLOOKUP(A20,NYSEARCAVTI!A$2:G$506,2,0)</f>
        <v>109.33</v>
      </c>
      <c r="D20">
        <f>VLOOKUP(A20,NYSEARCAVEU!A$2:G$506,2,0)</f>
        <v>49.56</v>
      </c>
      <c r="E20">
        <f>VLOOKUP(A20,NYSEARCAVWO!A$2:G$506,2,0)</f>
        <v>41.19</v>
      </c>
      <c r="F20">
        <f>VLOOKUP(A20,NYSEARCABND!A$2:G$506,2,0)</f>
        <v>81.38</v>
      </c>
      <c r="G20">
        <f>VLOOKUP(A20,NYSEARCATIP!A$2:G$506,2,0)</f>
        <v>112.28</v>
      </c>
      <c r="H20">
        <f>VLOOKUP(A20,NYSEARCAMUB!A$2:G$506,2,0)</f>
        <v>108.32</v>
      </c>
      <c r="I20">
        <f>VLOOKUP(A20,NYSEARCAVNQ!A$2:G$506,2,0)</f>
        <v>77.709999999999994</v>
      </c>
      <c r="J20">
        <f>VLOOKUP(A20,NYSEARCARWX!A$2:G$506,2,0)</f>
        <v>42.72</v>
      </c>
      <c r="K20">
        <f>VLOOKUP(A20,NYSEARCADBC!A$2:G$506,2,0)</f>
        <v>17.75</v>
      </c>
      <c r="L20">
        <f>VLOOKUP(A20,NYSEARCAGSG!A$2:G$506,2,0)</f>
        <v>21.16</v>
      </c>
      <c r="M20">
        <f>VLOOKUP(A20,NYSEARCAGLD!A$2:G$506,2,0)</f>
        <v>113.07</v>
      </c>
      <c r="N20">
        <f>VLOOKUP(A20,NYSEBP!A$2:G$506,2,0)</f>
        <v>41.2</v>
      </c>
      <c r="O20">
        <f>VLOOKUP(A20,NASDAQYHOO!A$2:G$506,2,0)</f>
        <v>40.799999999999997</v>
      </c>
    </row>
    <row r="21" spans="1:15">
      <c r="A21" s="39">
        <v>42173</v>
      </c>
      <c r="B21">
        <v>72.739999999999995</v>
      </c>
      <c r="C21">
        <f>VLOOKUP(A21,NYSEARCAVTI!A$2:G$506,2,0)</f>
        <v>109.58</v>
      </c>
      <c r="D21">
        <f>VLOOKUP(A21,NYSEARCAVEU!A$2:G$506,2,0)</f>
        <v>49.82</v>
      </c>
      <c r="E21">
        <f>VLOOKUP(A21,NYSEARCAVWO!A$2:G$506,2,0)</f>
        <v>41.71</v>
      </c>
      <c r="F21">
        <f>VLOOKUP(A21,NYSEARCABND!A$2:G$506,2,0)</f>
        <v>81.37</v>
      </c>
      <c r="G21">
        <f>VLOOKUP(A21,NYSEARCATIP!A$2:G$506,2,0)</f>
        <v>112.12</v>
      </c>
      <c r="H21">
        <f>VLOOKUP(A21,NYSEARCAMUB!A$2:G$506,2,0)</f>
        <v>108.23</v>
      </c>
      <c r="I21">
        <f>VLOOKUP(A21,NYSEARCAVNQ!A$2:G$506,2,0)</f>
        <v>78.36</v>
      </c>
      <c r="J21">
        <f>VLOOKUP(A21,NYSEARCARWX!A$2:G$506,2,0)</f>
        <v>42.87</v>
      </c>
      <c r="K21">
        <f>VLOOKUP(A21,NYSEARCADBC!A$2:G$506,2,0)</f>
        <v>17.66</v>
      </c>
      <c r="L21">
        <f>VLOOKUP(A21,NYSEARCAGSG!A$2:G$506,2,0)</f>
        <v>21</v>
      </c>
      <c r="M21">
        <f>VLOOKUP(A21,NYSEARCAGLD!A$2:G$506,2,0)</f>
        <v>115.19</v>
      </c>
      <c r="N21">
        <f>VLOOKUP(A21,NYSEBP!A$2:G$506,2,0)</f>
        <v>41.3</v>
      </c>
      <c r="O21">
        <f>VLOOKUP(A21,NASDAQYHOO!A$2:G$506,2,0)</f>
        <v>41.04</v>
      </c>
    </row>
    <row r="22" spans="1:15">
      <c r="A22" s="39">
        <v>42174</v>
      </c>
      <c r="B22">
        <v>72.8</v>
      </c>
      <c r="C22">
        <f>VLOOKUP(A22,NYSEARCAVTI!A$2:G$506,2,0)</f>
        <v>110.39</v>
      </c>
      <c r="D22">
        <f>VLOOKUP(A22,NYSEARCAVEU!A$2:G$506,2,0)</f>
        <v>50</v>
      </c>
      <c r="E22">
        <f>VLOOKUP(A22,NYSEARCAVWO!A$2:G$506,2,0)</f>
        <v>41.63</v>
      </c>
      <c r="F22">
        <f>VLOOKUP(A22,NYSEARCABND!A$2:G$506,2,0)</f>
        <v>81.55</v>
      </c>
      <c r="G22">
        <f>VLOOKUP(A22,NYSEARCATIP!A$2:G$506,2,0)</f>
        <v>112.36</v>
      </c>
      <c r="H22">
        <f>VLOOKUP(A22,NYSEARCAMUB!A$2:G$506,2,0)</f>
        <v>108.3</v>
      </c>
      <c r="I22">
        <f>VLOOKUP(A22,NYSEARCAVNQ!A$2:G$506,2,0)</f>
        <v>79.44</v>
      </c>
      <c r="J22">
        <f>VLOOKUP(A22,NYSEARCARWX!A$2:G$506,2,0)</f>
        <v>42.52</v>
      </c>
      <c r="K22">
        <f>VLOOKUP(A22,NYSEARCADBC!A$2:G$506,2,0)</f>
        <v>17.420000000000002</v>
      </c>
      <c r="L22">
        <f>VLOOKUP(A22,NYSEARCAGSG!A$2:G$506,2,0)</f>
        <v>20.75</v>
      </c>
      <c r="M22">
        <f>VLOOKUP(A22,NYSEARCAGLD!A$2:G$506,2,0)</f>
        <v>115.34</v>
      </c>
      <c r="N22">
        <f>VLOOKUP(A22,NYSEBP!A$2:G$506,2,0)</f>
        <v>41.21</v>
      </c>
      <c r="O22">
        <f>VLOOKUP(A22,NASDAQYHOO!A$2:G$506,2,0)</f>
        <v>40.9</v>
      </c>
    </row>
    <row r="23" spans="1:15">
      <c r="A23" s="39">
        <v>42177</v>
      </c>
      <c r="B23">
        <v>72.98</v>
      </c>
      <c r="C23">
        <f>VLOOKUP(A23,NYSEARCAVTI!A$2:G$506,2,0)</f>
        <v>110.68</v>
      </c>
      <c r="D23">
        <f>VLOOKUP(A23,NYSEARCAVEU!A$2:G$506,2,0)</f>
        <v>50.64</v>
      </c>
      <c r="E23">
        <f>VLOOKUP(A23,NYSEARCAVWO!A$2:G$506,2,0)</f>
        <v>42.06</v>
      </c>
      <c r="F23">
        <f>VLOOKUP(A23,NYSEARCABND!A$2:G$506,2,0)</f>
        <v>81.42</v>
      </c>
      <c r="G23">
        <f>VLOOKUP(A23,NYSEARCATIP!A$2:G$506,2,0)</f>
        <v>112.29</v>
      </c>
      <c r="H23">
        <f>VLOOKUP(A23,NYSEARCAMUB!A$2:G$506,2,0)</f>
        <v>108.23</v>
      </c>
      <c r="I23">
        <f>VLOOKUP(A23,NYSEARCAVNQ!A$2:G$506,2,0)</f>
        <v>78.78</v>
      </c>
      <c r="J23">
        <f>VLOOKUP(A23,NYSEARCARWX!A$2:G$506,2,0)</f>
        <v>43.1</v>
      </c>
      <c r="K23">
        <f>VLOOKUP(A23,NYSEARCADBC!A$2:G$506,2,0)</f>
        <v>17.39</v>
      </c>
      <c r="L23">
        <f>VLOOKUP(A23,NYSEARCAGSG!A$2:G$506,2,0)</f>
        <v>20.61</v>
      </c>
      <c r="M23">
        <f>VLOOKUP(A23,NYSEARCAGLD!A$2:G$506,2,0)</f>
        <v>113.79</v>
      </c>
      <c r="N23">
        <f>VLOOKUP(A23,NYSEBP!A$2:G$506,2,0)</f>
        <v>41.49</v>
      </c>
      <c r="O23">
        <f>VLOOKUP(A23,NASDAQYHOO!A$2:G$506,2,0)</f>
        <v>40.659999999999997</v>
      </c>
    </row>
    <row r="24" spans="1:15">
      <c r="A24" s="39">
        <v>42178</v>
      </c>
      <c r="B24">
        <v>72.89</v>
      </c>
      <c r="C24">
        <f>VLOOKUP(A24,NYSEARCAVTI!A$2:G$506,2,0)</f>
        <v>110.73</v>
      </c>
      <c r="D24">
        <f>VLOOKUP(A24,NYSEARCAVEU!A$2:G$506,2,0)</f>
        <v>50.94</v>
      </c>
      <c r="E24">
        <f>VLOOKUP(A24,NYSEARCAVWO!A$2:G$506,2,0)</f>
        <v>42.24</v>
      </c>
      <c r="F24">
        <f>VLOOKUP(A24,NYSEARCABND!A$2:G$506,2,0)</f>
        <v>81.040000000000006</v>
      </c>
      <c r="G24">
        <f>VLOOKUP(A24,NYSEARCATIP!A$2:G$506,2,0)</f>
        <v>111.75</v>
      </c>
      <c r="H24">
        <f>VLOOKUP(A24,NYSEARCAMUB!A$2:G$506,2,0)</f>
        <v>108.09</v>
      </c>
      <c r="I24">
        <f>VLOOKUP(A24,NYSEARCAVNQ!A$2:G$506,2,0)</f>
        <v>77.650000000000006</v>
      </c>
      <c r="J24">
        <f>VLOOKUP(A24,NYSEARCARWX!A$2:G$506,2,0)</f>
        <v>42.99</v>
      </c>
      <c r="K24">
        <f>VLOOKUP(A24,NYSEARCADBC!A$2:G$506,2,0)</f>
        <v>17.48</v>
      </c>
      <c r="L24">
        <f>VLOOKUP(A24,NYSEARCAGSG!A$2:G$506,2,0)</f>
        <v>20.75</v>
      </c>
      <c r="M24">
        <f>VLOOKUP(A24,NYSEARCAGLD!A$2:G$506,2,0)</f>
        <v>112.96</v>
      </c>
      <c r="N24">
        <f>VLOOKUP(A24,NYSEBP!A$2:G$506,2,0)</f>
        <v>41.33</v>
      </c>
      <c r="O24">
        <f>VLOOKUP(A24,NASDAQYHOO!A$2:G$506,2,0)</f>
        <v>40.74</v>
      </c>
    </row>
    <row r="25" spans="1:15">
      <c r="A25" s="39">
        <v>42179</v>
      </c>
      <c r="B25">
        <v>72.56</v>
      </c>
      <c r="C25">
        <f>VLOOKUP(A25,NYSEARCAVTI!A$2:G$506,2,0)</f>
        <v>110.56</v>
      </c>
      <c r="D25">
        <f>VLOOKUP(A25,NYSEARCAVEU!A$2:G$506,2,0)</f>
        <v>50.76</v>
      </c>
      <c r="E25">
        <f>VLOOKUP(A25,NYSEARCAVWO!A$2:G$506,2,0)</f>
        <v>42.39</v>
      </c>
      <c r="F25">
        <f>VLOOKUP(A25,NYSEARCABND!A$2:G$506,2,0)</f>
        <v>81.150000000000006</v>
      </c>
      <c r="G25">
        <f>VLOOKUP(A25,NYSEARCATIP!A$2:G$506,2,0)</f>
        <v>111.96</v>
      </c>
      <c r="H25">
        <f>VLOOKUP(A25,NYSEARCAMUB!A$2:G$506,2,0)</f>
        <v>108.29</v>
      </c>
      <c r="I25">
        <f>VLOOKUP(A25,NYSEARCAVNQ!A$2:G$506,2,0)</f>
        <v>77.349999999999994</v>
      </c>
      <c r="J25">
        <f>VLOOKUP(A25,NYSEARCARWX!A$2:G$506,2,0)</f>
        <v>42.84</v>
      </c>
      <c r="K25">
        <f>VLOOKUP(A25,NYSEARCADBC!A$2:G$506,2,0)</f>
        <v>17.66</v>
      </c>
      <c r="L25">
        <f>VLOOKUP(A25,NYSEARCAGSG!A$2:G$506,2,0)</f>
        <v>21.02</v>
      </c>
      <c r="M25">
        <f>VLOOKUP(A25,NYSEARCAGLD!A$2:G$506,2,0)</f>
        <v>112.48</v>
      </c>
      <c r="N25">
        <f>VLOOKUP(A25,NYSEBP!A$2:G$506,2,0)</f>
        <v>41.29</v>
      </c>
      <c r="O25">
        <f>VLOOKUP(A25,NASDAQYHOO!A$2:G$506,2,0)</f>
        <v>40.68</v>
      </c>
    </row>
    <row r="26" spans="1:15">
      <c r="A26" s="39">
        <v>42180</v>
      </c>
      <c r="B26">
        <v>72.45</v>
      </c>
      <c r="C26">
        <f>VLOOKUP(A26,NYSEARCAVTI!A$2:G$506,2,0)</f>
        <v>110.2</v>
      </c>
      <c r="D26">
        <f>VLOOKUP(A26,NYSEARCAVEU!A$2:G$506,2,0)</f>
        <v>50.79</v>
      </c>
      <c r="E26">
        <f>VLOOKUP(A26,NYSEARCAVWO!A$2:G$506,2,0)</f>
        <v>42.3</v>
      </c>
      <c r="F26">
        <f>VLOOKUP(A26,NYSEARCABND!A$2:G$506,2,0)</f>
        <v>81.16</v>
      </c>
      <c r="G26">
        <f>VLOOKUP(A26,NYSEARCATIP!A$2:G$506,2,0)</f>
        <v>111.95</v>
      </c>
      <c r="H26">
        <f>VLOOKUP(A26,NYSEARCAMUB!A$2:G$506,2,0)</f>
        <v>108.34</v>
      </c>
      <c r="I26">
        <f>VLOOKUP(A26,NYSEARCAVNQ!A$2:G$506,2,0)</f>
        <v>77</v>
      </c>
      <c r="J26">
        <f>VLOOKUP(A26,NYSEARCARWX!A$2:G$506,2,0)</f>
        <v>42.81</v>
      </c>
      <c r="K26">
        <f>VLOOKUP(A26,NYSEARCADBC!A$2:G$506,2,0)</f>
        <v>17.559999999999999</v>
      </c>
      <c r="L26">
        <f>VLOOKUP(A26,NYSEARCAGSG!A$2:G$506,2,0)</f>
        <v>20.82</v>
      </c>
      <c r="M26">
        <f>VLOOKUP(A26,NYSEARCAGLD!A$2:G$506,2,0)</f>
        <v>112.43</v>
      </c>
      <c r="N26">
        <f>VLOOKUP(A26,NYSEBP!A$2:G$506,2,0)</f>
        <v>41.91</v>
      </c>
      <c r="O26">
        <f>VLOOKUP(A26,NASDAQYHOO!A$2:G$506,2,0)</f>
        <v>41.1</v>
      </c>
    </row>
    <row r="27" spans="1:15">
      <c r="A27" s="39">
        <v>42181</v>
      </c>
      <c r="B27">
        <v>71.959999999999994</v>
      </c>
      <c r="C27">
        <f>VLOOKUP(A27,NYSEARCAVTI!A$2:G$506,2,0)</f>
        <v>109.29</v>
      </c>
      <c r="D27">
        <f>VLOOKUP(A27,NYSEARCAVEU!A$2:G$506,2,0)</f>
        <v>49.99</v>
      </c>
      <c r="E27">
        <f>VLOOKUP(A27,NYSEARCAVWO!A$2:G$506,2,0)</f>
        <v>41.29</v>
      </c>
      <c r="F27">
        <f>VLOOKUP(A27,NYSEARCABND!A$2:G$506,2,0)</f>
        <v>80.94</v>
      </c>
      <c r="G27">
        <f>VLOOKUP(A27,NYSEARCATIP!A$2:G$506,2,0)</f>
        <v>111.56</v>
      </c>
      <c r="H27">
        <f>VLOOKUP(A27,NYSEARCAMUB!A$2:G$506,2,0)</f>
        <v>108.2</v>
      </c>
      <c r="I27">
        <f>VLOOKUP(A27,NYSEARCAVNQ!A$2:G$506,2,0)</f>
        <v>75.3</v>
      </c>
      <c r="J27">
        <f>VLOOKUP(A27,NYSEARCARWX!A$2:G$506,2,0)</f>
        <v>42.63</v>
      </c>
      <c r="K27">
        <f>VLOOKUP(A27,NYSEARCADBC!A$2:G$506,2,0)</f>
        <v>17.690000000000001</v>
      </c>
      <c r="L27">
        <f>VLOOKUP(A27,NYSEARCAGSG!A$2:G$506,2,0)</f>
        <v>20.81</v>
      </c>
      <c r="M27">
        <f>VLOOKUP(A27,NYSEARCAGLD!A$2:G$506,2,0)</f>
        <v>112.2</v>
      </c>
      <c r="N27">
        <f>VLOOKUP(A27,NYSEBP!A$2:G$506,2,0)</f>
        <v>41.6</v>
      </c>
      <c r="O27">
        <f>VLOOKUP(A27,NASDAQYHOO!A$2:G$506,2,0)</f>
        <v>40.83</v>
      </c>
    </row>
    <row r="28" spans="1:15">
      <c r="A28" s="39">
        <v>42184</v>
      </c>
      <c r="B28">
        <v>71.8</v>
      </c>
      <c r="C28">
        <f>VLOOKUP(A28,NYSEARCAVTI!A$2:G$506,2,0)</f>
        <v>108.03</v>
      </c>
      <c r="D28">
        <f>VLOOKUP(A28,NYSEARCAVEU!A$2:G$506,2,0)</f>
        <v>48.98</v>
      </c>
      <c r="E28">
        <f>VLOOKUP(A28,NYSEARCAVWO!A$2:G$506,2,0)</f>
        <v>40.61</v>
      </c>
      <c r="F28">
        <f>VLOOKUP(A28,NYSEARCABND!A$2:G$506,2,0)</f>
        <v>81.19</v>
      </c>
      <c r="G28">
        <f>VLOOKUP(A28,NYSEARCATIP!A$2:G$506,2,0)</f>
        <v>111.85</v>
      </c>
      <c r="H28">
        <f>VLOOKUP(A28,NYSEARCAMUB!A$2:G$506,2,0)</f>
        <v>108.32</v>
      </c>
      <c r="I28">
        <f>VLOOKUP(A28,NYSEARCAVNQ!A$2:G$506,2,0)</f>
        <v>75.62</v>
      </c>
      <c r="J28">
        <f>VLOOKUP(A28,NYSEARCARWX!A$2:G$506,2,0)</f>
        <v>42.1</v>
      </c>
      <c r="K28">
        <f>VLOOKUP(A28,NYSEARCADBC!A$2:G$506,2,0)</f>
        <v>17.64</v>
      </c>
      <c r="L28">
        <f>VLOOKUP(A28,NYSEARCAGSG!A$2:G$506,2,0)</f>
        <v>20.71</v>
      </c>
      <c r="M28">
        <f>VLOOKUP(A28,NYSEARCAGLD!A$2:G$506,2,0)</f>
        <v>112.81</v>
      </c>
      <c r="N28">
        <f>VLOOKUP(A28,NYSEBP!A$2:G$506,2,0)</f>
        <v>40.76</v>
      </c>
      <c r="O28">
        <f>VLOOKUP(A28,NASDAQYHOO!A$2:G$506,2,0)</f>
        <v>39.49</v>
      </c>
    </row>
    <row r="29" spans="1:15">
      <c r="A29" s="39">
        <v>42185</v>
      </c>
      <c r="B29">
        <v>71.81</v>
      </c>
      <c r="C29">
        <f>VLOOKUP(A29,NYSEARCAVTI!A$2:G$506,2,0)</f>
        <v>107.62</v>
      </c>
      <c r="D29">
        <f>VLOOKUP(A29,NYSEARCAVEU!A$2:G$506,2,0)</f>
        <v>49.01</v>
      </c>
      <c r="E29">
        <f>VLOOKUP(A29,NYSEARCAVWO!A$2:G$506,2,0)</f>
        <v>41.11</v>
      </c>
      <c r="F29">
        <f>VLOOKUP(A29,NYSEARCABND!A$2:G$506,2,0)</f>
        <v>81.260000000000005</v>
      </c>
      <c r="G29">
        <f>VLOOKUP(A29,NYSEARCATIP!A$2:G$506,2,0)</f>
        <v>112.08</v>
      </c>
      <c r="H29">
        <f>VLOOKUP(A29,NYSEARCAMUB!A$2:G$506,2,0)</f>
        <v>108.39</v>
      </c>
      <c r="I29">
        <f>VLOOKUP(A29,NYSEARCAVNQ!A$2:G$506,2,0)</f>
        <v>75.13</v>
      </c>
      <c r="J29">
        <f>VLOOKUP(A29,NYSEARCARWX!A$2:G$506,2,0)</f>
        <v>42.13</v>
      </c>
      <c r="K29">
        <f>VLOOKUP(A29,NYSEARCADBC!A$2:G$506,2,0)</f>
        <v>17.670000000000002</v>
      </c>
      <c r="L29">
        <f>VLOOKUP(A29,NYSEARCAGSG!A$2:G$506,2,0)</f>
        <v>20.82</v>
      </c>
      <c r="M29">
        <f>VLOOKUP(A29,NYSEARCAGLD!A$2:G$506,2,0)</f>
        <v>112.24</v>
      </c>
      <c r="N29">
        <f>VLOOKUP(A29,NYSEBP!A$2:G$506,2,0)</f>
        <v>40.049999999999997</v>
      </c>
      <c r="O29">
        <f>VLOOKUP(A29,NASDAQYHOO!A$2:G$506,2,0)</f>
        <v>39.39</v>
      </c>
    </row>
    <row r="30" spans="1:15">
      <c r="A30" s="39">
        <v>42186</v>
      </c>
      <c r="B30">
        <v>71.599999999999994</v>
      </c>
      <c r="C30">
        <f>VLOOKUP(A30,NYSEARCAVTI!A$2:G$506,2,0)</f>
        <v>108.02</v>
      </c>
      <c r="D30">
        <f>VLOOKUP(A30,NYSEARCAVEU!A$2:G$506,2,0)</f>
        <v>49</v>
      </c>
      <c r="E30">
        <f>VLOOKUP(A30,NYSEARCAVWO!A$2:G$506,2,0)</f>
        <v>41.07</v>
      </c>
      <c r="F30">
        <f>VLOOKUP(A30,NYSEARCABND!A$2:G$506,2,0)</f>
        <v>80.87</v>
      </c>
      <c r="G30">
        <f>VLOOKUP(A30,NYSEARCATIP!A$2:G$506,2,0)</f>
        <v>111.71</v>
      </c>
      <c r="H30">
        <f>VLOOKUP(A30,NYSEARCAMUB!A$2:G$506,2,0)</f>
        <v>107.85</v>
      </c>
      <c r="I30">
        <f>VLOOKUP(A30,NYSEARCAVNQ!A$2:G$506,2,0)</f>
        <v>74.38</v>
      </c>
      <c r="J30">
        <f>VLOOKUP(A30,NYSEARCARWX!A$2:G$506,2,0)</f>
        <v>42.13</v>
      </c>
      <c r="K30">
        <f>VLOOKUP(A30,NYSEARCADBC!A$2:G$506,2,0)</f>
        <v>17.86</v>
      </c>
      <c r="L30">
        <f>VLOOKUP(A30,NYSEARCAGSG!A$2:G$506,2,0)</f>
        <v>20.9</v>
      </c>
      <c r="M30">
        <f>VLOOKUP(A30,NYSEARCAGLD!A$2:G$506,2,0)</f>
        <v>112.12</v>
      </c>
      <c r="N30">
        <f>VLOOKUP(A30,NYSEBP!A$2:G$506,2,0)</f>
        <v>39.65</v>
      </c>
      <c r="O30">
        <f>VLOOKUP(A30,NASDAQYHOO!A$2:G$506,2,0)</f>
        <v>39.46</v>
      </c>
    </row>
    <row r="31" spans="1:15">
      <c r="A31" s="39">
        <v>42187</v>
      </c>
      <c r="B31">
        <v>72.02</v>
      </c>
      <c r="C31">
        <f>VLOOKUP(A31,NYSEARCAVTI!A$2:G$506,2,0)</f>
        <v>108.05</v>
      </c>
      <c r="D31">
        <f>VLOOKUP(A31,NYSEARCAVEU!A$2:G$506,2,0)</f>
        <v>48.94</v>
      </c>
      <c r="E31">
        <f>VLOOKUP(A31,NYSEARCAVWO!A$2:G$506,2,0)</f>
        <v>41.12</v>
      </c>
      <c r="F31">
        <f>VLOOKUP(A31,NYSEARCABND!A$2:G$506,2,0)</f>
        <v>81.06</v>
      </c>
      <c r="G31">
        <f>VLOOKUP(A31,NYSEARCATIP!A$2:G$506,2,0)</f>
        <v>112.02</v>
      </c>
      <c r="H31">
        <f>VLOOKUP(A31,NYSEARCAMUB!A$2:G$506,2,0)</f>
        <v>107.99</v>
      </c>
      <c r="I31">
        <f>VLOOKUP(A31,NYSEARCAVNQ!A$2:G$506,2,0)</f>
        <v>76.459999999999994</v>
      </c>
      <c r="J31">
        <f>VLOOKUP(A31,NYSEARCARWX!A$2:G$506,2,0)</f>
        <v>41.82</v>
      </c>
      <c r="K31">
        <f>VLOOKUP(A31,NYSEARCADBC!A$2:G$506,2,0)</f>
        <v>17.8</v>
      </c>
      <c r="L31">
        <f>VLOOKUP(A31,NYSEARCAGSG!A$2:G$506,2,0)</f>
        <v>20.86</v>
      </c>
      <c r="M31">
        <f>VLOOKUP(A31,NYSEARCAGLD!A$2:G$506,2,0)</f>
        <v>111.66</v>
      </c>
      <c r="N31">
        <f>VLOOKUP(A31,NYSEBP!A$2:G$506,2,0)</f>
        <v>40.729999999999997</v>
      </c>
      <c r="O31">
        <f>VLOOKUP(A31,NASDAQYHOO!A$2:G$506,2,0)</f>
        <v>39.26</v>
      </c>
    </row>
    <row r="32" spans="1:15">
      <c r="A32" s="39">
        <v>42191</v>
      </c>
      <c r="B32">
        <v>71.38</v>
      </c>
      <c r="C32">
        <f>VLOOKUP(A32,NYSEARCAVTI!A$2:G$506,2,0)</f>
        <v>106.99</v>
      </c>
      <c r="D32">
        <f>VLOOKUP(A32,NYSEARCAVEU!A$2:G$506,2,0)</f>
        <v>47.94</v>
      </c>
      <c r="E32">
        <f>VLOOKUP(A32,NYSEARCAVWO!A$2:G$506,2,0)</f>
        <v>40</v>
      </c>
      <c r="F32">
        <f>VLOOKUP(A32,NYSEARCABND!A$2:G$506,2,0)</f>
        <v>81.44</v>
      </c>
      <c r="G32">
        <f>VLOOKUP(A32,NYSEARCATIP!A$2:G$506,2,0)</f>
        <v>112.58</v>
      </c>
      <c r="H32">
        <f>VLOOKUP(A32,NYSEARCAMUB!A$2:G$506,2,0)</f>
        <v>108.35</v>
      </c>
      <c r="I32">
        <f>VLOOKUP(A32,NYSEARCAVNQ!A$2:G$506,2,0)</f>
        <v>75.73</v>
      </c>
      <c r="J32">
        <f>VLOOKUP(A32,NYSEARCARWX!A$2:G$506,2,0)</f>
        <v>41.37</v>
      </c>
      <c r="K32">
        <f>VLOOKUP(A32,NYSEARCADBC!A$2:G$506,2,0)</f>
        <v>17.32</v>
      </c>
      <c r="L32">
        <f>VLOOKUP(A32,NYSEARCAGSG!A$2:G$506,2,0)</f>
        <v>20.16</v>
      </c>
      <c r="M32">
        <f>VLOOKUP(A32,NYSEARCAGLD!A$2:G$506,2,0)</f>
        <v>111.71</v>
      </c>
      <c r="N32">
        <f>VLOOKUP(A32,NYSEBP!A$2:G$506,2,0)</f>
        <v>40.479999999999997</v>
      </c>
      <c r="O32">
        <f>VLOOKUP(A32,NASDAQYHOO!A$2:G$506,2,0)</f>
        <v>38.76</v>
      </c>
    </row>
    <row r="33" spans="1:15">
      <c r="A33" s="39">
        <v>42192</v>
      </c>
      <c r="B33">
        <v>72.66</v>
      </c>
      <c r="C33">
        <f>VLOOKUP(A33,NYSEARCAVTI!A$2:G$506,2,0)</f>
        <v>107.44</v>
      </c>
      <c r="D33">
        <f>VLOOKUP(A33,NYSEARCAVEU!A$2:G$506,2,0)</f>
        <v>47.45</v>
      </c>
      <c r="E33">
        <f>VLOOKUP(A33,NYSEARCAVWO!A$2:G$506,2,0)</f>
        <v>39.130000000000003</v>
      </c>
      <c r="F33">
        <f>VLOOKUP(A33,NYSEARCABND!A$2:G$506,2,0)</f>
        <v>81.69</v>
      </c>
      <c r="G33">
        <f>VLOOKUP(A33,NYSEARCATIP!A$2:G$506,2,0)</f>
        <v>113.03</v>
      </c>
      <c r="H33">
        <f>VLOOKUP(A33,NYSEARCAMUB!A$2:G$506,2,0)</f>
        <v>108.43</v>
      </c>
      <c r="I33">
        <f>VLOOKUP(A33,NYSEARCAVNQ!A$2:G$506,2,0)</f>
        <v>77</v>
      </c>
      <c r="J33">
        <f>VLOOKUP(A33,NYSEARCARWX!A$2:G$506,2,0)</f>
        <v>41.25</v>
      </c>
      <c r="K33">
        <f>VLOOKUP(A33,NYSEARCADBC!A$2:G$506,2,0)</f>
        <v>17.059999999999999</v>
      </c>
      <c r="L33">
        <f>VLOOKUP(A33,NYSEARCAGSG!A$2:G$506,2,0)</f>
        <v>19.809999999999999</v>
      </c>
      <c r="M33">
        <f>VLOOKUP(A33,NYSEARCAGLD!A$2:G$506,2,0)</f>
        <v>111.08</v>
      </c>
      <c r="N33">
        <f>VLOOKUP(A33,NYSEBP!A$2:G$506,2,0)</f>
        <v>39.299999999999997</v>
      </c>
      <c r="O33">
        <f>VLOOKUP(A33,NASDAQYHOO!A$2:G$506,2,0)</f>
        <v>38.24</v>
      </c>
    </row>
    <row r="34" spans="1:15">
      <c r="A34" s="39">
        <v>42193</v>
      </c>
      <c r="B34">
        <v>73.3</v>
      </c>
      <c r="C34">
        <f>VLOOKUP(A34,NYSEARCAVTI!A$2:G$506,2,0)</f>
        <v>107.1</v>
      </c>
      <c r="D34">
        <f>VLOOKUP(A34,NYSEARCAVEU!A$2:G$506,2,0)</f>
        <v>46.82</v>
      </c>
      <c r="E34">
        <f>VLOOKUP(A34,NYSEARCAVWO!A$2:G$506,2,0)</f>
        <v>38.18</v>
      </c>
      <c r="F34">
        <f>VLOOKUP(A34,NYSEARCABND!A$2:G$506,2,0)</f>
        <v>81.64</v>
      </c>
      <c r="G34">
        <f>VLOOKUP(A34,NYSEARCATIP!A$2:G$506,2,0)</f>
        <v>113.11</v>
      </c>
      <c r="H34">
        <f>VLOOKUP(A34,NYSEARCAMUB!A$2:G$506,2,0)</f>
        <v>108.69</v>
      </c>
      <c r="I34">
        <f>VLOOKUP(A34,NYSEARCAVNQ!A$2:G$506,2,0)</f>
        <v>77.37</v>
      </c>
      <c r="J34">
        <f>VLOOKUP(A34,NYSEARCARWX!A$2:G$506,2,0)</f>
        <v>41.01</v>
      </c>
      <c r="K34">
        <f>VLOOKUP(A34,NYSEARCADBC!A$2:G$506,2,0)</f>
        <v>17.03</v>
      </c>
      <c r="L34">
        <f>VLOOKUP(A34,NYSEARCAGSG!A$2:G$506,2,0)</f>
        <v>19.809999999999999</v>
      </c>
      <c r="M34">
        <f>VLOOKUP(A34,NYSEARCAGLD!A$2:G$506,2,0)</f>
        <v>111.38</v>
      </c>
      <c r="N34">
        <f>VLOOKUP(A34,NYSEBP!A$2:G$506,2,0)</f>
        <v>39.28</v>
      </c>
      <c r="O34">
        <f>VLOOKUP(A34,NASDAQYHOO!A$2:G$506,2,0)</f>
        <v>37.200000000000003</v>
      </c>
    </row>
    <row r="35" spans="1:15">
      <c r="A35" s="39">
        <v>42194</v>
      </c>
      <c r="B35">
        <v>73.67</v>
      </c>
      <c r="C35">
        <f>VLOOKUP(A35,NYSEARCAVTI!A$2:G$506,2,0)</f>
        <v>107.15</v>
      </c>
      <c r="D35">
        <f>VLOOKUP(A35,NYSEARCAVEU!A$2:G$506,2,0)</f>
        <v>47.45</v>
      </c>
      <c r="E35">
        <f>VLOOKUP(A35,NYSEARCAVWO!A$2:G$506,2,0)</f>
        <v>38.99</v>
      </c>
      <c r="F35">
        <f>VLOOKUP(A35,NYSEARCABND!A$2:G$506,2,0)</f>
        <v>81.56</v>
      </c>
      <c r="G35">
        <f>VLOOKUP(A35,NYSEARCATIP!A$2:G$506,2,0)</f>
        <v>112.69</v>
      </c>
      <c r="H35">
        <f>VLOOKUP(A35,NYSEARCAMUB!A$2:G$506,2,0)</f>
        <v>108.55</v>
      </c>
      <c r="I35">
        <f>VLOOKUP(A35,NYSEARCAVNQ!A$2:G$506,2,0)</f>
        <v>77.680000000000007</v>
      </c>
      <c r="J35">
        <f>VLOOKUP(A35,NYSEARCARWX!A$2:G$506,2,0)</f>
        <v>41.16</v>
      </c>
      <c r="K35">
        <f>VLOOKUP(A35,NYSEARCADBC!A$2:G$506,2,0)</f>
        <v>17.2</v>
      </c>
      <c r="L35">
        <f>VLOOKUP(A35,NYSEARCAGSG!A$2:G$506,2,0)</f>
        <v>20</v>
      </c>
      <c r="M35">
        <f>VLOOKUP(A35,NYSEARCAGLD!A$2:G$506,2,0)</f>
        <v>111.8</v>
      </c>
      <c r="N35">
        <f>VLOOKUP(A35,NYSEBP!A$2:G$506,2,0)</f>
        <v>39.61</v>
      </c>
      <c r="O35">
        <f>VLOOKUP(A35,NASDAQYHOO!A$2:G$506,2,0)</f>
        <v>38.229999999999997</v>
      </c>
    </row>
    <row r="36" spans="1:15">
      <c r="A36" s="39">
        <v>42195</v>
      </c>
      <c r="B36">
        <v>73.08</v>
      </c>
      <c r="C36">
        <f>VLOOKUP(A36,NYSEARCAVTI!A$2:G$506,2,0)</f>
        <v>107.58</v>
      </c>
      <c r="D36">
        <f>VLOOKUP(A36,NYSEARCAVEU!A$2:G$506,2,0)</f>
        <v>48.53</v>
      </c>
      <c r="E36">
        <f>VLOOKUP(A36,NYSEARCAVWO!A$2:G$506,2,0)</f>
        <v>39.630000000000003</v>
      </c>
      <c r="F36">
        <f>VLOOKUP(A36,NYSEARCABND!A$2:G$506,2,0)</f>
        <v>81.02</v>
      </c>
      <c r="G36">
        <f>VLOOKUP(A36,NYSEARCATIP!A$2:G$506,2,0)</f>
        <v>111.83</v>
      </c>
      <c r="H36">
        <f>VLOOKUP(A36,NYSEARCAMUB!A$2:G$506,2,0)</f>
        <v>108.37</v>
      </c>
      <c r="I36">
        <f>VLOOKUP(A36,NYSEARCAVNQ!A$2:G$506,2,0)</f>
        <v>77.44</v>
      </c>
      <c r="J36">
        <f>VLOOKUP(A36,NYSEARCARWX!A$2:G$506,2,0)</f>
        <v>41.48</v>
      </c>
      <c r="K36">
        <f>VLOOKUP(A36,NYSEARCADBC!A$2:G$506,2,0)</f>
        <v>17.23</v>
      </c>
      <c r="L36">
        <f>VLOOKUP(A36,NYSEARCAGSG!A$2:G$506,2,0)</f>
        <v>19.97</v>
      </c>
      <c r="M36">
        <f>VLOOKUP(A36,NYSEARCAGLD!A$2:G$506,2,0)</f>
        <v>111.18</v>
      </c>
      <c r="N36">
        <f>VLOOKUP(A36,NYSEBP!A$2:G$506,2,0)</f>
        <v>40.090000000000003</v>
      </c>
      <c r="O36">
        <f>VLOOKUP(A36,NASDAQYHOO!A$2:G$506,2,0)</f>
        <v>38.35</v>
      </c>
    </row>
    <row r="37" spans="1:15">
      <c r="A37" s="39">
        <v>42198</v>
      </c>
      <c r="B37">
        <v>73.510000000000005</v>
      </c>
      <c r="C37">
        <f>VLOOKUP(A37,NYSEARCAVTI!A$2:G$506,2,0)</f>
        <v>108.58</v>
      </c>
      <c r="D37">
        <f>VLOOKUP(A37,NYSEARCAVEU!A$2:G$506,2,0)</f>
        <v>48.79</v>
      </c>
      <c r="E37">
        <f>VLOOKUP(A37,NYSEARCAVWO!A$2:G$506,2,0)</f>
        <v>39.96</v>
      </c>
      <c r="F37">
        <f>VLOOKUP(A37,NYSEARCABND!A$2:G$506,2,0)</f>
        <v>80.86</v>
      </c>
      <c r="G37">
        <f>VLOOKUP(A37,NYSEARCATIP!A$2:G$506,2,0)</f>
        <v>111.51</v>
      </c>
      <c r="H37">
        <f>VLOOKUP(A37,NYSEARCAMUB!A$2:G$506,2,0)</f>
        <v>108.33</v>
      </c>
      <c r="I37">
        <f>VLOOKUP(A37,NYSEARCAVNQ!A$2:G$506,2,0)</f>
        <v>77.819999999999993</v>
      </c>
      <c r="J37">
        <f>VLOOKUP(A37,NYSEARCARWX!A$2:G$506,2,0)</f>
        <v>42.01</v>
      </c>
      <c r="K37">
        <f>VLOOKUP(A37,NYSEARCADBC!A$2:G$506,2,0)</f>
        <v>17.239999999999998</v>
      </c>
      <c r="L37">
        <f>VLOOKUP(A37,NYSEARCAGSG!A$2:G$506,2,0)</f>
        <v>19.77</v>
      </c>
      <c r="M37">
        <f>VLOOKUP(A37,NYSEARCAGLD!A$2:G$506,2,0)</f>
        <v>110.43</v>
      </c>
      <c r="N37">
        <f>VLOOKUP(A37,NYSEBP!A$2:G$506,2,0)</f>
        <v>40.049999999999997</v>
      </c>
      <c r="O37">
        <f>VLOOKUP(A37,NASDAQYHOO!A$2:G$506,2,0)</f>
        <v>38.25</v>
      </c>
    </row>
    <row r="38" spans="1:15">
      <c r="A38" s="39">
        <v>42199</v>
      </c>
      <c r="B38">
        <v>73.98</v>
      </c>
      <c r="C38">
        <f>VLOOKUP(A38,NYSEARCAVTI!A$2:G$506,2,0)</f>
        <v>108.8</v>
      </c>
      <c r="D38">
        <f>VLOOKUP(A38,NYSEARCAVEU!A$2:G$506,2,0)</f>
        <v>48.89</v>
      </c>
      <c r="E38">
        <f>VLOOKUP(A38,NYSEARCAVWO!A$2:G$506,2,0)</f>
        <v>39.9</v>
      </c>
      <c r="F38">
        <f>VLOOKUP(A38,NYSEARCABND!A$2:G$506,2,0)</f>
        <v>81</v>
      </c>
      <c r="G38">
        <f>VLOOKUP(A38,NYSEARCATIP!A$2:G$506,2,0)</f>
        <v>111.56</v>
      </c>
      <c r="H38">
        <f>VLOOKUP(A38,NYSEARCAMUB!A$2:G$506,2,0)</f>
        <v>108.41</v>
      </c>
      <c r="I38">
        <f>VLOOKUP(A38,NYSEARCAVNQ!A$2:G$506,2,0)</f>
        <v>78</v>
      </c>
      <c r="J38">
        <f>VLOOKUP(A38,NYSEARCARWX!A$2:G$506,2,0)</f>
        <v>42.23</v>
      </c>
      <c r="K38">
        <f>VLOOKUP(A38,NYSEARCADBC!A$2:G$506,2,0)</f>
        <v>17.170000000000002</v>
      </c>
      <c r="L38">
        <f>VLOOKUP(A38,NYSEARCAGSG!A$2:G$506,2,0)</f>
        <v>19.75</v>
      </c>
      <c r="M38">
        <f>VLOOKUP(A38,NYSEARCAGLD!A$2:G$506,2,0)</f>
        <v>111</v>
      </c>
      <c r="N38">
        <f>VLOOKUP(A38,NYSEBP!A$2:G$506,2,0)</f>
        <v>39.97</v>
      </c>
      <c r="O38">
        <f>VLOOKUP(A38,NASDAQYHOO!A$2:G$506,2,0)</f>
        <v>38.65</v>
      </c>
    </row>
    <row r="39" spans="1:15">
      <c r="A39" s="39">
        <v>42200</v>
      </c>
      <c r="B39">
        <v>73.59</v>
      </c>
      <c r="C39">
        <f>VLOOKUP(A39,NYSEARCAVTI!A$2:G$506,2,0)</f>
        <v>109.37</v>
      </c>
      <c r="D39">
        <f>VLOOKUP(A39,NYSEARCAVEU!A$2:G$506,2,0)</f>
        <v>48.96</v>
      </c>
      <c r="E39">
        <f>VLOOKUP(A39,NYSEARCAVWO!A$2:G$506,2,0)</f>
        <v>39.85</v>
      </c>
      <c r="F39">
        <f>VLOOKUP(A39,NYSEARCABND!A$2:G$506,2,0)</f>
        <v>81.010000000000005</v>
      </c>
      <c r="G39">
        <f>VLOOKUP(A39,NYSEARCATIP!A$2:G$506,2,0)</f>
        <v>111.6</v>
      </c>
      <c r="H39">
        <f>VLOOKUP(A39,NYSEARCAMUB!A$2:G$506,2,0)</f>
        <v>108.44</v>
      </c>
      <c r="I39">
        <f>VLOOKUP(A39,NYSEARCAVNQ!A$2:G$506,2,0)</f>
        <v>77.83</v>
      </c>
      <c r="J39">
        <f>VLOOKUP(A39,NYSEARCARWX!A$2:G$506,2,0)</f>
        <v>42.44</v>
      </c>
      <c r="K39">
        <f>VLOOKUP(A39,NYSEARCADBC!A$2:G$506,2,0)</f>
        <v>17.11</v>
      </c>
      <c r="L39">
        <f>VLOOKUP(A39,NYSEARCAGSG!A$2:G$506,2,0)</f>
        <v>19.739999999999998</v>
      </c>
      <c r="M39">
        <f>VLOOKUP(A39,NYSEARCAGLD!A$2:G$506,2,0)</f>
        <v>110</v>
      </c>
      <c r="N39">
        <f>VLOOKUP(A39,NYSEBP!A$2:G$506,2,0)</f>
        <v>40.15</v>
      </c>
      <c r="O39">
        <f>VLOOKUP(A39,NASDAQYHOO!A$2:G$506,2,0)</f>
        <v>38.51</v>
      </c>
    </row>
    <row r="40" spans="1:15">
      <c r="A40" s="39">
        <v>42201</v>
      </c>
      <c r="B40">
        <v>73.97</v>
      </c>
      <c r="C40">
        <f>VLOOKUP(A40,NYSEARCAVTI!A$2:G$506,2,0)</f>
        <v>109.85</v>
      </c>
      <c r="D40">
        <f>VLOOKUP(A40,NYSEARCAVEU!A$2:G$506,2,0)</f>
        <v>49.22</v>
      </c>
      <c r="E40">
        <f>VLOOKUP(A40,NYSEARCAVWO!A$2:G$506,2,0)</f>
        <v>40.01</v>
      </c>
      <c r="F40">
        <f>VLOOKUP(A40,NYSEARCABND!A$2:G$506,2,0)</f>
        <v>81.069999999999993</v>
      </c>
      <c r="G40">
        <f>VLOOKUP(A40,NYSEARCATIP!A$2:G$506,2,0)</f>
        <v>111.81</v>
      </c>
      <c r="H40">
        <f>VLOOKUP(A40,NYSEARCAMUB!A$2:G$506,2,0)</f>
        <v>108.35</v>
      </c>
      <c r="I40">
        <f>VLOOKUP(A40,NYSEARCAVNQ!A$2:G$506,2,0)</f>
        <v>78.290000000000006</v>
      </c>
      <c r="J40">
        <f>VLOOKUP(A40,NYSEARCARWX!A$2:G$506,2,0)</f>
        <v>42.78</v>
      </c>
      <c r="K40">
        <f>VLOOKUP(A40,NYSEARCADBC!A$2:G$506,2,0)</f>
        <v>17.07</v>
      </c>
      <c r="L40">
        <f>VLOOKUP(A40,NYSEARCAGSG!A$2:G$506,2,0)</f>
        <v>19.690000000000001</v>
      </c>
      <c r="M40">
        <f>VLOOKUP(A40,NYSEARCAGLD!A$2:G$506,2,0)</f>
        <v>109.67</v>
      </c>
      <c r="N40">
        <f>VLOOKUP(A40,NYSEBP!A$2:G$506,2,0)</f>
        <v>39.79</v>
      </c>
      <c r="O40">
        <f>VLOOKUP(A40,NASDAQYHOO!A$2:G$506,2,0)</f>
        <v>38.700000000000003</v>
      </c>
    </row>
    <row r="41" spans="1:15">
      <c r="A41" s="39">
        <v>42202</v>
      </c>
      <c r="B41">
        <v>73.739999999999995</v>
      </c>
      <c r="C41">
        <f>VLOOKUP(A41,NYSEARCAVTI!A$2:G$506,2,0)</f>
        <v>109.99</v>
      </c>
      <c r="D41">
        <f>VLOOKUP(A41,NYSEARCAVEU!A$2:G$506,2,0)</f>
        <v>49.22</v>
      </c>
      <c r="E41">
        <f>VLOOKUP(A41,NYSEARCAVWO!A$2:G$506,2,0)</f>
        <v>40.159999999999997</v>
      </c>
      <c r="F41">
        <f>VLOOKUP(A41,NYSEARCABND!A$2:G$506,2,0)</f>
        <v>81.25</v>
      </c>
      <c r="G41">
        <f>VLOOKUP(A41,NYSEARCATIP!A$2:G$506,2,0)</f>
        <v>111.89</v>
      </c>
      <c r="H41">
        <f>VLOOKUP(A41,NYSEARCAMUB!A$2:G$506,2,0)</f>
        <v>108.43</v>
      </c>
      <c r="I41">
        <f>VLOOKUP(A41,NYSEARCAVNQ!A$2:G$506,2,0)</f>
        <v>78.739999999999995</v>
      </c>
      <c r="J41">
        <f>VLOOKUP(A41,NYSEARCARWX!A$2:G$506,2,0)</f>
        <v>42.83</v>
      </c>
      <c r="K41">
        <f>VLOOKUP(A41,NYSEARCADBC!A$2:G$506,2,0)</f>
        <v>16.91</v>
      </c>
      <c r="L41">
        <f>VLOOKUP(A41,NYSEARCAGSG!A$2:G$506,2,0)</f>
        <v>19.510000000000002</v>
      </c>
      <c r="M41">
        <f>VLOOKUP(A41,NYSEARCAGLD!A$2:G$506,2,0)</f>
        <v>109.11</v>
      </c>
      <c r="N41">
        <f>VLOOKUP(A41,NYSEBP!A$2:G$506,2,0)</f>
        <v>39.43</v>
      </c>
      <c r="O41">
        <f>VLOOKUP(A41,NASDAQYHOO!A$2:G$506,2,0)</f>
        <v>39.19</v>
      </c>
    </row>
    <row r="42" spans="1:15">
      <c r="A42" s="39">
        <v>42205</v>
      </c>
      <c r="B42">
        <v>73.349999999999994</v>
      </c>
      <c r="C42">
        <f>VLOOKUP(A42,NYSEARCAVTI!A$2:G$506,2,0)</f>
        <v>110.05</v>
      </c>
      <c r="D42">
        <f>VLOOKUP(A42,NYSEARCAVEU!A$2:G$506,2,0)</f>
        <v>49.14</v>
      </c>
      <c r="E42">
        <f>VLOOKUP(A42,NYSEARCAVWO!A$2:G$506,2,0)</f>
        <v>39.79</v>
      </c>
      <c r="F42">
        <f>VLOOKUP(A42,NYSEARCABND!A$2:G$506,2,0)</f>
        <v>81.19</v>
      </c>
      <c r="G42">
        <f>VLOOKUP(A42,NYSEARCATIP!A$2:G$506,2,0)</f>
        <v>111.77</v>
      </c>
      <c r="H42">
        <f>VLOOKUP(A42,NYSEARCAMUB!A$2:G$506,2,0)</f>
        <v>108.67</v>
      </c>
      <c r="I42">
        <f>VLOOKUP(A42,NYSEARCAVNQ!A$2:G$506,2,0)</f>
        <v>78.319999999999993</v>
      </c>
      <c r="J42">
        <f>VLOOKUP(A42,NYSEARCARWX!A$2:G$506,2,0)</f>
        <v>42.83</v>
      </c>
      <c r="K42">
        <f>VLOOKUP(A42,NYSEARCADBC!A$2:G$506,2,0)</f>
        <v>16.670000000000002</v>
      </c>
      <c r="L42">
        <f>VLOOKUP(A42,NYSEARCAGSG!A$2:G$506,2,0)</f>
        <v>19.3</v>
      </c>
      <c r="M42">
        <f>VLOOKUP(A42,NYSEARCAGLD!A$2:G$506,2,0)</f>
        <v>106.6</v>
      </c>
      <c r="N42">
        <f>VLOOKUP(A42,NYSEBP!A$2:G$506,2,0)</f>
        <v>39.04</v>
      </c>
      <c r="O42">
        <f>VLOOKUP(A42,NASDAQYHOO!A$2:G$506,2,0)</f>
        <v>39.979999999999997</v>
      </c>
    </row>
    <row r="43" spans="1:15">
      <c r="A43" s="39">
        <v>42206</v>
      </c>
      <c r="B43">
        <v>73.099999999999994</v>
      </c>
      <c r="C43">
        <f>VLOOKUP(A43,NYSEARCAVTI!A$2:G$506,2,0)</f>
        <v>109.88</v>
      </c>
      <c r="D43">
        <f>VLOOKUP(A43,NYSEARCAVEU!A$2:G$506,2,0)</f>
        <v>49.13</v>
      </c>
      <c r="E43">
        <f>VLOOKUP(A43,NYSEARCAVWO!A$2:G$506,2,0)</f>
        <v>39.9</v>
      </c>
      <c r="F43">
        <f>VLOOKUP(A43,NYSEARCABND!A$2:G$506,2,0)</f>
        <v>81.12</v>
      </c>
      <c r="G43">
        <f>VLOOKUP(A43,NYSEARCATIP!A$2:G$506,2,0)</f>
        <v>111.65</v>
      </c>
      <c r="H43">
        <f>VLOOKUP(A43,NYSEARCAMUB!A$2:G$506,2,0)</f>
        <v>108.71</v>
      </c>
      <c r="I43">
        <f>VLOOKUP(A43,NYSEARCAVNQ!A$2:G$506,2,0)</f>
        <v>78.680000000000007</v>
      </c>
      <c r="J43">
        <f>VLOOKUP(A43,NYSEARCARWX!A$2:G$506,2,0)</f>
        <v>42.59</v>
      </c>
      <c r="K43">
        <f>VLOOKUP(A43,NYSEARCADBC!A$2:G$506,2,0)</f>
        <v>16.63</v>
      </c>
      <c r="L43">
        <f>VLOOKUP(A43,NYSEARCAGSG!A$2:G$506,2,0)</f>
        <v>19.22</v>
      </c>
      <c r="M43">
        <f>VLOOKUP(A43,NYSEARCAGLD!A$2:G$506,2,0)</f>
        <v>105.81</v>
      </c>
      <c r="N43">
        <f>VLOOKUP(A43,NYSEBP!A$2:G$506,2,0)</f>
        <v>38.69</v>
      </c>
      <c r="O43">
        <f>VLOOKUP(A43,NASDAQYHOO!A$2:G$506,2,0)</f>
        <v>39.61</v>
      </c>
    </row>
    <row r="44" spans="1:15">
      <c r="A44" s="39">
        <v>42207</v>
      </c>
      <c r="B44">
        <v>72.78</v>
      </c>
      <c r="C44">
        <f>VLOOKUP(A44,NYSEARCAVTI!A$2:G$506,2,0)</f>
        <v>109.1</v>
      </c>
      <c r="D44">
        <f>VLOOKUP(A44,NYSEARCAVEU!A$2:G$506,2,0)</f>
        <v>48.65</v>
      </c>
      <c r="E44">
        <f>VLOOKUP(A44,NYSEARCAVWO!A$2:G$506,2,0)</f>
        <v>39.46</v>
      </c>
      <c r="F44">
        <f>VLOOKUP(A44,NYSEARCABND!A$2:G$506,2,0)</f>
        <v>81.319999999999993</v>
      </c>
      <c r="G44">
        <f>VLOOKUP(A44,NYSEARCATIP!A$2:G$506,2,0)</f>
        <v>112.02</v>
      </c>
      <c r="H44">
        <f>VLOOKUP(A44,NYSEARCAMUB!A$2:G$506,2,0)</f>
        <v>108.78</v>
      </c>
      <c r="I44">
        <f>VLOOKUP(A44,NYSEARCAVNQ!A$2:G$506,2,0)</f>
        <v>78.45</v>
      </c>
      <c r="J44">
        <f>VLOOKUP(A44,NYSEARCARWX!A$2:G$506,2,0)</f>
        <v>42.46</v>
      </c>
      <c r="K44">
        <f>VLOOKUP(A44,NYSEARCADBC!A$2:G$506,2,0)</f>
        <v>16.510000000000002</v>
      </c>
      <c r="L44">
        <f>VLOOKUP(A44,NYSEARCAGSG!A$2:G$506,2,0)</f>
        <v>19.100000000000001</v>
      </c>
      <c r="M44">
        <f>VLOOKUP(A44,NYSEARCAGLD!A$2:G$506,2,0)</f>
        <v>104.39</v>
      </c>
      <c r="N44">
        <f>VLOOKUP(A44,NYSEBP!A$2:G$506,2,0)</f>
        <v>38.4</v>
      </c>
      <c r="O44">
        <f>VLOOKUP(A44,NASDAQYHOO!A$2:G$506,2,0)</f>
        <v>38.57</v>
      </c>
    </row>
    <row r="45" spans="1:15">
      <c r="A45" s="39">
        <v>42208</v>
      </c>
      <c r="B45">
        <v>73.069999999999993</v>
      </c>
      <c r="C45">
        <f>VLOOKUP(A45,NYSEARCAVTI!A$2:G$506,2,0)</f>
        <v>109.47</v>
      </c>
      <c r="D45">
        <f>VLOOKUP(A45,NYSEARCAVEU!A$2:G$506,2,0)</f>
        <v>48.71</v>
      </c>
      <c r="E45">
        <f>VLOOKUP(A45,NYSEARCAVWO!A$2:G$506,2,0)</f>
        <v>39.229999999999997</v>
      </c>
      <c r="F45">
        <f>VLOOKUP(A45,NYSEARCABND!A$2:G$506,2,0)</f>
        <v>81.349999999999994</v>
      </c>
      <c r="G45">
        <f>VLOOKUP(A45,NYSEARCATIP!A$2:G$506,2,0)</f>
        <v>111.96</v>
      </c>
      <c r="H45">
        <f>VLOOKUP(A45,NYSEARCAMUB!A$2:G$506,2,0)</f>
        <v>108.9</v>
      </c>
      <c r="I45">
        <f>VLOOKUP(A45,NYSEARCAVNQ!A$2:G$506,2,0)</f>
        <v>78.67</v>
      </c>
      <c r="J45">
        <f>VLOOKUP(A45,NYSEARCARWX!A$2:G$506,2,0)</f>
        <v>42.25</v>
      </c>
      <c r="K45">
        <f>VLOOKUP(A45,NYSEARCADBC!A$2:G$506,2,0)</f>
        <v>16.47</v>
      </c>
      <c r="L45">
        <f>VLOOKUP(A45,NYSEARCAGSG!A$2:G$506,2,0)</f>
        <v>19</v>
      </c>
      <c r="M45">
        <f>VLOOKUP(A45,NYSEARCAGLD!A$2:G$506,2,0)</f>
        <v>104.98</v>
      </c>
      <c r="N45">
        <f>VLOOKUP(A45,NYSEBP!A$2:G$506,2,0)</f>
        <v>37.619999999999997</v>
      </c>
      <c r="O45">
        <f>VLOOKUP(A45,NASDAQYHOO!A$2:G$506,2,0)</f>
        <v>39.299999999999997</v>
      </c>
    </row>
    <row r="46" spans="1:15">
      <c r="A46" s="39">
        <v>42209</v>
      </c>
      <c r="B46">
        <v>72.53</v>
      </c>
      <c r="C46">
        <f>VLOOKUP(A46,NYSEARCAVTI!A$2:G$506,2,0)</f>
        <v>108.75</v>
      </c>
      <c r="D46">
        <f>VLOOKUP(A46,NYSEARCAVEU!A$2:G$506,2,0)</f>
        <v>48.27</v>
      </c>
      <c r="E46">
        <f>VLOOKUP(A46,NYSEARCAVWO!A$2:G$506,2,0)</f>
        <v>38.67</v>
      </c>
      <c r="F46">
        <f>VLOOKUP(A46,NYSEARCABND!A$2:G$506,2,0)</f>
        <v>81.59</v>
      </c>
      <c r="G46">
        <f>VLOOKUP(A46,NYSEARCATIP!A$2:G$506,2,0)</f>
        <v>112.34</v>
      </c>
      <c r="H46">
        <f>VLOOKUP(A46,NYSEARCAMUB!A$2:G$506,2,0)</f>
        <v>108.95</v>
      </c>
      <c r="I46">
        <f>VLOOKUP(A46,NYSEARCAVNQ!A$2:G$506,2,0)</f>
        <v>77.77</v>
      </c>
      <c r="J46">
        <f>VLOOKUP(A46,NYSEARCARWX!A$2:G$506,2,0)</f>
        <v>42.12</v>
      </c>
      <c r="K46">
        <f>VLOOKUP(A46,NYSEARCADBC!A$2:G$506,2,0)</f>
        <v>16.2</v>
      </c>
      <c r="L46">
        <f>VLOOKUP(A46,NYSEARCAGSG!A$2:G$506,2,0)</f>
        <v>18.71</v>
      </c>
      <c r="M46">
        <f>VLOOKUP(A46,NYSEARCAGLD!A$2:G$506,2,0)</f>
        <v>103.61</v>
      </c>
      <c r="N46">
        <f>VLOOKUP(A46,NYSEBP!A$2:G$506,2,0)</f>
        <v>37.07</v>
      </c>
      <c r="O46">
        <f>VLOOKUP(A46,NASDAQYHOO!A$2:G$506,2,0)</f>
        <v>39.58</v>
      </c>
    </row>
    <row r="47" spans="1:15">
      <c r="A47" s="39">
        <v>42212</v>
      </c>
      <c r="B47">
        <v>71.38</v>
      </c>
      <c r="C47">
        <f>VLOOKUP(A47,NYSEARCAVTI!A$2:G$506,2,0)</f>
        <v>107.06</v>
      </c>
      <c r="D47">
        <f>VLOOKUP(A47,NYSEARCAVEU!A$2:G$506,2,0)</f>
        <v>47.6</v>
      </c>
      <c r="E47">
        <f>VLOOKUP(A47,NYSEARCAVWO!A$2:G$506,2,0)</f>
        <v>37.659999999999997</v>
      </c>
      <c r="F47">
        <f>VLOOKUP(A47,NYSEARCABND!A$2:G$506,2,0)</f>
        <v>81.69</v>
      </c>
      <c r="G47">
        <f>VLOOKUP(A47,NYSEARCATIP!A$2:G$506,2,0)</f>
        <v>112.37</v>
      </c>
      <c r="H47">
        <f>VLOOKUP(A47,NYSEARCAMUB!A$2:G$506,2,0)</f>
        <v>109.1</v>
      </c>
      <c r="I47">
        <f>VLOOKUP(A47,NYSEARCAVNQ!A$2:G$506,2,0)</f>
        <v>77.94</v>
      </c>
      <c r="J47">
        <f>VLOOKUP(A47,NYSEARCARWX!A$2:G$506,2,0)</f>
        <v>41.88</v>
      </c>
      <c r="K47">
        <f>VLOOKUP(A47,NYSEARCADBC!A$2:G$506,2,0)</f>
        <v>15.95</v>
      </c>
      <c r="L47">
        <f>VLOOKUP(A47,NYSEARCAGSG!A$2:G$506,2,0)</f>
        <v>18.37</v>
      </c>
      <c r="M47">
        <f>VLOOKUP(A47,NYSEARCAGLD!A$2:G$506,2,0)</f>
        <v>104.94</v>
      </c>
      <c r="N47">
        <f>VLOOKUP(A47,NYSEBP!A$2:G$506,2,0)</f>
        <v>36.15</v>
      </c>
      <c r="O47">
        <f>VLOOKUP(A47,NASDAQYHOO!A$2:G$506,2,0)</f>
        <v>38.31</v>
      </c>
    </row>
    <row r="48" spans="1:15">
      <c r="A48" s="39">
        <v>42213</v>
      </c>
      <c r="B48">
        <v>71.53</v>
      </c>
      <c r="C48">
        <f>VLOOKUP(A48,NYSEARCAVTI!A$2:G$506,2,0)</f>
        <v>107.16</v>
      </c>
      <c r="D48">
        <f>VLOOKUP(A48,NYSEARCAVEU!A$2:G$506,2,0)</f>
        <v>47.71</v>
      </c>
      <c r="E48">
        <f>VLOOKUP(A48,NYSEARCAVWO!A$2:G$506,2,0)</f>
        <v>37.74</v>
      </c>
      <c r="F48">
        <f>VLOOKUP(A48,NYSEARCABND!A$2:G$506,2,0)</f>
        <v>81.61</v>
      </c>
      <c r="G48">
        <f>VLOOKUP(A48,NYSEARCATIP!A$2:G$506,2,0)</f>
        <v>112.08</v>
      </c>
      <c r="H48">
        <f>VLOOKUP(A48,NYSEARCAMUB!A$2:G$506,2,0)</f>
        <v>109.13</v>
      </c>
      <c r="I48">
        <f>VLOOKUP(A48,NYSEARCAVNQ!A$2:G$506,2,0)</f>
        <v>78.22</v>
      </c>
      <c r="J48">
        <f>VLOOKUP(A48,NYSEARCARWX!A$2:G$506,2,0)</f>
        <v>42.02</v>
      </c>
      <c r="K48">
        <f>VLOOKUP(A48,NYSEARCADBC!A$2:G$506,2,0)</f>
        <v>15.92</v>
      </c>
      <c r="L48">
        <f>VLOOKUP(A48,NYSEARCAGSG!A$2:G$506,2,0)</f>
        <v>18.34</v>
      </c>
      <c r="M48">
        <f>VLOOKUP(A48,NYSEARCAGLD!A$2:G$506,2,0)</f>
        <v>105.09</v>
      </c>
      <c r="N48">
        <f>VLOOKUP(A48,NYSEBP!A$2:G$506,2,0)</f>
        <v>36.89</v>
      </c>
      <c r="O48">
        <f>VLOOKUP(A48,NASDAQYHOO!A$2:G$506,2,0)</f>
        <v>37.64</v>
      </c>
    </row>
    <row r="49" spans="1:15">
      <c r="A49" s="39">
        <v>42214</v>
      </c>
      <c r="B49">
        <v>72.25</v>
      </c>
      <c r="C49">
        <f>VLOOKUP(A49,NYSEARCAVTI!A$2:G$506,2,0)</f>
        <v>108.18</v>
      </c>
      <c r="D49">
        <f>VLOOKUP(A49,NYSEARCAVEU!A$2:G$506,2,0)</f>
        <v>47.99</v>
      </c>
      <c r="E49">
        <f>VLOOKUP(A49,NYSEARCAVWO!A$2:G$506,2,0)</f>
        <v>37.92</v>
      </c>
      <c r="F49">
        <f>VLOOKUP(A49,NYSEARCABND!A$2:G$506,2,0)</f>
        <v>81.569999999999993</v>
      </c>
      <c r="G49">
        <f>VLOOKUP(A49,NYSEARCATIP!A$2:G$506,2,0)</f>
        <v>112.02</v>
      </c>
      <c r="H49">
        <f>VLOOKUP(A49,NYSEARCAMUB!A$2:G$506,2,0)</f>
        <v>109.01</v>
      </c>
      <c r="I49">
        <f>VLOOKUP(A49,NYSEARCAVNQ!A$2:G$506,2,0)</f>
        <v>78.17</v>
      </c>
      <c r="J49">
        <f>VLOOKUP(A49,NYSEARCARWX!A$2:G$506,2,0)</f>
        <v>42.05</v>
      </c>
      <c r="K49">
        <f>VLOOKUP(A49,NYSEARCADBC!A$2:G$506,2,0)</f>
        <v>15.93</v>
      </c>
      <c r="L49">
        <f>VLOOKUP(A49,NYSEARCAGSG!A$2:G$506,2,0)</f>
        <v>18.37</v>
      </c>
      <c r="M49">
        <f>VLOOKUP(A49,NYSEARCAGLD!A$2:G$506,2,0)</f>
        <v>104.93</v>
      </c>
      <c r="N49">
        <f>VLOOKUP(A49,NYSEBP!A$2:G$506,2,0)</f>
        <v>37.06</v>
      </c>
      <c r="O49">
        <f>VLOOKUP(A49,NASDAQYHOO!A$2:G$506,2,0)</f>
        <v>37.92</v>
      </c>
    </row>
    <row r="50" spans="1:15">
      <c r="A50" s="39">
        <v>42215</v>
      </c>
      <c r="B50">
        <v>72.03</v>
      </c>
      <c r="C50">
        <f>VLOOKUP(A50,NYSEARCAVTI!A$2:G$506,2,0)</f>
        <v>108.57</v>
      </c>
      <c r="D50">
        <f>VLOOKUP(A50,NYSEARCAVEU!A$2:G$506,2,0)</f>
        <v>48.03</v>
      </c>
      <c r="E50">
        <f>VLOOKUP(A50,NYSEARCAVWO!A$2:G$506,2,0)</f>
        <v>37.97</v>
      </c>
      <c r="F50">
        <f>VLOOKUP(A50,NYSEARCABND!A$2:G$506,2,0)</f>
        <v>81.48</v>
      </c>
      <c r="G50">
        <f>VLOOKUP(A50,NYSEARCATIP!A$2:G$506,2,0)</f>
        <v>112.19</v>
      </c>
      <c r="H50">
        <f>VLOOKUP(A50,NYSEARCAMUB!A$2:G$506,2,0)</f>
        <v>108.93</v>
      </c>
      <c r="I50">
        <f>VLOOKUP(A50,NYSEARCAVNQ!A$2:G$506,2,0)</f>
        <v>78.650000000000006</v>
      </c>
      <c r="J50">
        <f>VLOOKUP(A50,NYSEARCARWX!A$2:G$506,2,0)</f>
        <v>42.09</v>
      </c>
      <c r="K50">
        <f>VLOOKUP(A50,NYSEARCADBC!A$2:G$506,2,0)</f>
        <v>16</v>
      </c>
      <c r="L50">
        <f>VLOOKUP(A50,NYSEARCAGSG!A$2:G$506,2,0)</f>
        <v>18.52</v>
      </c>
      <c r="M50">
        <f>VLOOKUP(A50,NYSEARCAGLD!A$2:G$506,2,0)</f>
        <v>104.03</v>
      </c>
      <c r="N50">
        <f>VLOOKUP(A50,NYSEBP!A$2:G$506,2,0)</f>
        <v>37.869999999999997</v>
      </c>
      <c r="O50">
        <f>VLOOKUP(A50,NASDAQYHOO!A$2:G$506,2,0)</f>
        <v>37.5</v>
      </c>
    </row>
    <row r="51" spans="1:15">
      <c r="A51" s="39">
        <v>42216</v>
      </c>
      <c r="B51">
        <v>72.44</v>
      </c>
      <c r="C51">
        <f>VLOOKUP(A51,NYSEARCAVTI!A$2:G$506,2,0)</f>
        <v>109.31</v>
      </c>
      <c r="D51">
        <f>VLOOKUP(A51,NYSEARCAVEU!A$2:G$506,2,0)</f>
        <v>48.51</v>
      </c>
      <c r="E51">
        <f>VLOOKUP(A51,NYSEARCAVWO!A$2:G$506,2,0)</f>
        <v>38.33</v>
      </c>
      <c r="F51">
        <f>VLOOKUP(A51,NYSEARCABND!A$2:G$506,2,0)</f>
        <v>81.78</v>
      </c>
      <c r="G51">
        <f>VLOOKUP(A51,NYSEARCATIP!A$2:G$506,2,0)</f>
        <v>112.55</v>
      </c>
      <c r="H51">
        <f>VLOOKUP(A51,NYSEARCAMUB!A$2:G$506,2,0)</f>
        <v>109.13</v>
      </c>
      <c r="I51">
        <f>VLOOKUP(A51,NYSEARCAVNQ!A$2:G$506,2,0)</f>
        <v>78.92</v>
      </c>
      <c r="J51">
        <f>VLOOKUP(A51,NYSEARCARWX!A$2:G$506,2,0)</f>
        <v>42.49</v>
      </c>
      <c r="K51">
        <f>VLOOKUP(A51,NYSEARCADBC!A$2:G$506,2,0)</f>
        <v>16.02</v>
      </c>
      <c r="L51">
        <f>VLOOKUP(A51,NYSEARCAGSG!A$2:G$506,2,0)</f>
        <v>18.46</v>
      </c>
      <c r="M51">
        <f>VLOOKUP(A51,NYSEARCAGLD!A$2:G$506,2,0)</f>
        <v>105.41</v>
      </c>
      <c r="N51">
        <f>VLOOKUP(A51,NYSEBP!A$2:G$506,2,0)</f>
        <v>37.33</v>
      </c>
      <c r="O51">
        <f>VLOOKUP(A51,NASDAQYHOO!A$2:G$506,2,0)</f>
        <v>37.56</v>
      </c>
    </row>
    <row r="52" spans="1:15">
      <c r="A52" s="39">
        <v>42219</v>
      </c>
      <c r="B52">
        <v>71.84</v>
      </c>
      <c r="C52">
        <f>VLOOKUP(A52,NYSEARCAVTI!A$2:G$506,2,0)</f>
        <v>108.99</v>
      </c>
      <c r="D52">
        <f>VLOOKUP(A52,NYSEARCAVEU!A$2:G$506,2,0)</f>
        <v>48.36</v>
      </c>
      <c r="E52">
        <f>VLOOKUP(A52,NYSEARCAVWO!A$2:G$506,2,0)</f>
        <v>37.909999999999997</v>
      </c>
      <c r="F52">
        <f>VLOOKUP(A52,NYSEARCABND!A$2:G$506,2,0)</f>
        <v>81.7</v>
      </c>
      <c r="G52">
        <f>VLOOKUP(A52,NYSEARCATIP!A$2:G$506,2,0)</f>
        <v>112.59</v>
      </c>
      <c r="H52">
        <f>VLOOKUP(A52,NYSEARCAMUB!A$2:G$506,2,0)</f>
        <v>108.88</v>
      </c>
      <c r="I52">
        <f>VLOOKUP(A52,NYSEARCAVNQ!A$2:G$506,2,0)</f>
        <v>79.27</v>
      </c>
      <c r="J52">
        <f>VLOOKUP(A52,NYSEARCARWX!A$2:G$506,2,0)</f>
        <v>42.24</v>
      </c>
      <c r="K52">
        <f>VLOOKUP(A52,NYSEARCADBC!A$2:G$506,2,0)</f>
        <v>15.55</v>
      </c>
      <c r="L52">
        <f>VLOOKUP(A52,NYSEARCAGSG!A$2:G$506,2,0)</f>
        <v>17.84</v>
      </c>
      <c r="M52">
        <f>VLOOKUP(A52,NYSEARCAGLD!A$2:G$506,2,0)</f>
        <v>104.59</v>
      </c>
      <c r="N52">
        <f>VLOOKUP(A52,NYSEBP!A$2:G$506,2,0)</f>
        <v>36.630000000000003</v>
      </c>
      <c r="O52">
        <f>VLOOKUP(A52,NASDAQYHOO!A$2:G$506,2,0)</f>
        <v>36.67</v>
      </c>
    </row>
    <row r="53" spans="1:15">
      <c r="A53" s="39">
        <v>42220</v>
      </c>
      <c r="B53">
        <v>72.42</v>
      </c>
      <c r="C53">
        <f>VLOOKUP(A53,NYSEARCAVTI!A$2:G$506,2,0)</f>
        <v>108.45</v>
      </c>
      <c r="D53">
        <f>VLOOKUP(A53,NYSEARCAVEU!A$2:G$506,2,0)</f>
        <v>48.29</v>
      </c>
      <c r="E53">
        <f>VLOOKUP(A53,NYSEARCAVWO!A$2:G$506,2,0)</f>
        <v>37.99</v>
      </c>
      <c r="F53">
        <f>VLOOKUP(A53,NYSEARCABND!A$2:G$506,2,0)</f>
        <v>81.760000000000005</v>
      </c>
      <c r="G53">
        <f>VLOOKUP(A53,NYSEARCATIP!A$2:G$506,2,0)</f>
        <v>112.42</v>
      </c>
      <c r="H53">
        <f>VLOOKUP(A53,NYSEARCAMUB!A$2:G$506,2,0)</f>
        <v>109.07</v>
      </c>
      <c r="I53">
        <f>VLOOKUP(A53,NYSEARCAVNQ!A$2:G$506,2,0)</f>
        <v>79.72</v>
      </c>
      <c r="J53">
        <f>VLOOKUP(A53,NYSEARCARWX!A$2:G$506,2,0)</f>
        <v>42.29</v>
      </c>
      <c r="K53">
        <f>VLOOKUP(A53,NYSEARCADBC!A$2:G$506,2,0)</f>
        <v>15.57</v>
      </c>
      <c r="L53">
        <f>VLOOKUP(A53,NYSEARCAGSG!A$2:G$506,2,0)</f>
        <v>17.850000000000001</v>
      </c>
      <c r="M53">
        <f>VLOOKUP(A53,NYSEARCAGLD!A$2:G$506,2,0)</f>
        <v>104.56</v>
      </c>
      <c r="N53">
        <f>VLOOKUP(A53,NYSEBP!A$2:G$506,2,0)</f>
        <v>36.729999999999997</v>
      </c>
      <c r="O53">
        <f>VLOOKUP(A53,NASDAQYHOO!A$2:G$506,2,0)</f>
        <v>36.61</v>
      </c>
    </row>
    <row r="54" spans="1:15">
      <c r="A54" s="39">
        <v>42221</v>
      </c>
      <c r="B54">
        <v>72.39</v>
      </c>
      <c r="C54">
        <f>VLOOKUP(A54,NYSEARCAVTI!A$2:G$506,2,0)</f>
        <v>108.84</v>
      </c>
      <c r="D54">
        <f>VLOOKUP(A54,NYSEARCAVEU!A$2:G$506,2,0)</f>
        <v>48.5</v>
      </c>
      <c r="E54">
        <f>VLOOKUP(A54,NYSEARCAVWO!A$2:G$506,2,0)</f>
        <v>38.14</v>
      </c>
      <c r="F54">
        <f>VLOOKUP(A54,NYSEARCABND!A$2:G$506,2,0)</f>
        <v>81.45</v>
      </c>
      <c r="G54">
        <f>VLOOKUP(A54,NYSEARCATIP!A$2:G$506,2,0)</f>
        <v>111.83</v>
      </c>
      <c r="H54">
        <f>VLOOKUP(A54,NYSEARCAMUB!A$2:G$506,2,0)</f>
        <v>108.87</v>
      </c>
      <c r="I54">
        <f>VLOOKUP(A54,NYSEARCAVNQ!A$2:G$506,2,0)</f>
        <v>79</v>
      </c>
      <c r="J54">
        <f>VLOOKUP(A54,NYSEARCARWX!A$2:G$506,2,0)</f>
        <v>42.57</v>
      </c>
      <c r="K54">
        <f>VLOOKUP(A54,NYSEARCADBC!A$2:G$506,2,0)</f>
        <v>15.6</v>
      </c>
      <c r="L54">
        <f>VLOOKUP(A54,NYSEARCAGSG!A$2:G$506,2,0)</f>
        <v>17.920000000000002</v>
      </c>
      <c r="M54">
        <f>VLOOKUP(A54,NYSEARCAGLD!A$2:G$506,2,0)</f>
        <v>104.42</v>
      </c>
      <c r="N54">
        <f>VLOOKUP(A54,NYSEBP!A$2:G$506,2,0)</f>
        <v>36.549999999999997</v>
      </c>
      <c r="O54">
        <f>VLOOKUP(A54,NASDAQYHOO!A$2:G$506,2,0)</f>
        <v>37.32</v>
      </c>
    </row>
    <row r="55" spans="1:15">
      <c r="A55" s="39">
        <v>42222</v>
      </c>
      <c r="B55">
        <v>73.349999999999994</v>
      </c>
      <c r="C55">
        <f>VLOOKUP(A55,NYSEARCAVTI!A$2:G$506,2,0)</f>
        <v>108.92</v>
      </c>
      <c r="D55">
        <f>VLOOKUP(A55,NYSEARCAVEU!A$2:G$506,2,0)</f>
        <v>48.3</v>
      </c>
      <c r="E55">
        <f>VLOOKUP(A55,NYSEARCAVWO!A$2:G$506,2,0)</f>
        <v>37.65</v>
      </c>
      <c r="F55">
        <f>VLOOKUP(A55,NYSEARCABND!A$2:G$506,2,0)</f>
        <v>81.44</v>
      </c>
      <c r="G55">
        <f>VLOOKUP(A55,NYSEARCATIP!A$2:G$506,2,0)</f>
        <v>111.6</v>
      </c>
      <c r="H55">
        <f>VLOOKUP(A55,NYSEARCAMUB!A$2:G$506,2,0)</f>
        <v>108.81</v>
      </c>
      <c r="I55">
        <f>VLOOKUP(A55,NYSEARCAVNQ!A$2:G$506,2,0)</f>
        <v>78.459999999999994</v>
      </c>
      <c r="J55">
        <f>VLOOKUP(A55,NYSEARCARWX!A$2:G$506,2,0)</f>
        <v>42.39</v>
      </c>
      <c r="K55">
        <f>VLOOKUP(A55,NYSEARCADBC!A$2:G$506,2,0)</f>
        <v>15.43</v>
      </c>
      <c r="L55">
        <f>VLOOKUP(A55,NYSEARCAGSG!A$2:G$506,2,0)</f>
        <v>17.66</v>
      </c>
      <c r="M55">
        <f>VLOOKUP(A55,NYSEARCAGLD!A$2:G$506,2,0)</f>
        <v>104.15</v>
      </c>
      <c r="N55">
        <f>VLOOKUP(A55,NYSEBP!A$2:G$506,2,0)</f>
        <v>35.64</v>
      </c>
      <c r="O55">
        <f>VLOOKUP(A55,NASDAQYHOO!A$2:G$506,2,0)</f>
        <v>37.340000000000003</v>
      </c>
    </row>
    <row r="56" spans="1:15">
      <c r="A56" s="39">
        <v>42223</v>
      </c>
      <c r="B56">
        <v>72.709999999999994</v>
      </c>
      <c r="C56">
        <f>VLOOKUP(A56,NYSEARCAVTI!A$2:G$506,2,0)</f>
        <v>107.62</v>
      </c>
      <c r="D56">
        <f>VLOOKUP(A56,NYSEARCAVEU!A$2:G$506,2,0)</f>
        <v>48</v>
      </c>
      <c r="E56">
        <f>VLOOKUP(A56,NYSEARCAVWO!A$2:G$506,2,0)</f>
        <v>37.57</v>
      </c>
      <c r="F56">
        <f>VLOOKUP(A56,NYSEARCABND!A$2:G$506,2,0)</f>
        <v>81.599999999999994</v>
      </c>
      <c r="G56">
        <f>VLOOKUP(A56,NYSEARCATIP!A$2:G$506,2,0)</f>
        <v>111.8</v>
      </c>
      <c r="H56">
        <f>VLOOKUP(A56,NYSEARCAMUB!A$2:G$506,2,0)</f>
        <v>108.86</v>
      </c>
      <c r="I56">
        <f>VLOOKUP(A56,NYSEARCAVNQ!A$2:G$506,2,0)</f>
        <v>78.37</v>
      </c>
      <c r="J56">
        <f>VLOOKUP(A56,NYSEARCARWX!A$2:G$506,2,0)</f>
        <v>42.26</v>
      </c>
      <c r="K56">
        <f>VLOOKUP(A56,NYSEARCADBC!A$2:G$506,2,0)</f>
        <v>15.43</v>
      </c>
      <c r="L56">
        <f>VLOOKUP(A56,NYSEARCAGSG!A$2:G$506,2,0)</f>
        <v>17.579999999999998</v>
      </c>
      <c r="M56">
        <f>VLOOKUP(A56,NYSEARCAGLD!A$2:G$506,2,0)</f>
        <v>104.56</v>
      </c>
      <c r="N56">
        <f>VLOOKUP(A56,NYSEBP!A$2:G$506,2,0)</f>
        <v>35.9</v>
      </c>
      <c r="O56">
        <f>VLOOKUP(A56,NASDAQYHOO!A$2:G$506,2,0)</f>
        <v>36.520000000000003</v>
      </c>
    </row>
    <row r="57" spans="1:15">
      <c r="A57" s="39">
        <v>42226</v>
      </c>
      <c r="B57">
        <v>71.5</v>
      </c>
      <c r="C57">
        <f>VLOOKUP(A57,NYSEARCAVTI!A$2:G$506,2,0)</f>
        <v>108.08</v>
      </c>
      <c r="D57">
        <f>VLOOKUP(A57,NYSEARCAVEU!A$2:G$506,2,0)</f>
        <v>48.23</v>
      </c>
      <c r="E57">
        <f>VLOOKUP(A57,NYSEARCAVWO!A$2:G$506,2,0)</f>
        <v>37.72</v>
      </c>
      <c r="F57">
        <f>VLOOKUP(A57,NYSEARCABND!A$2:G$506,2,0)</f>
        <v>81.58</v>
      </c>
      <c r="G57">
        <f>VLOOKUP(A57,NYSEARCATIP!A$2:G$506,2,0)</f>
        <v>111.91</v>
      </c>
      <c r="H57">
        <f>VLOOKUP(A57,NYSEARCAMUB!A$2:G$506,2,0)</f>
        <v>108.85</v>
      </c>
      <c r="I57">
        <f>VLOOKUP(A57,NYSEARCAVNQ!A$2:G$506,2,0)</f>
        <v>79.099999999999994</v>
      </c>
      <c r="J57">
        <f>VLOOKUP(A57,NYSEARCARWX!A$2:G$506,2,0)</f>
        <v>42.5</v>
      </c>
      <c r="K57">
        <f>VLOOKUP(A57,NYSEARCADBC!A$2:G$506,2,0)</f>
        <v>15.5</v>
      </c>
      <c r="L57">
        <f>VLOOKUP(A57,NYSEARCAGSG!A$2:G$506,2,0)</f>
        <v>17.600000000000001</v>
      </c>
      <c r="M57">
        <f>VLOOKUP(A57,NYSEARCAGLD!A$2:G$506,2,0)</f>
        <v>105.03</v>
      </c>
      <c r="N57">
        <f>VLOOKUP(A57,NYSEBP!A$2:G$506,2,0)</f>
        <v>35.659999999999997</v>
      </c>
      <c r="O57">
        <f>VLOOKUP(A57,NASDAQYHOO!A$2:G$506,2,0)</f>
        <v>36.869999999999997</v>
      </c>
    </row>
    <row r="58" spans="1:15">
      <c r="A58" s="39">
        <v>42227</v>
      </c>
      <c r="B58">
        <v>71.25</v>
      </c>
      <c r="C58">
        <f>VLOOKUP(A58,NYSEARCAVTI!A$2:G$506,2,0)</f>
        <v>108</v>
      </c>
      <c r="D58">
        <f>VLOOKUP(A58,NYSEARCAVEU!A$2:G$506,2,0)</f>
        <v>48.05</v>
      </c>
      <c r="E58">
        <f>VLOOKUP(A58,NYSEARCAVWO!A$2:G$506,2,0)</f>
        <v>37.42</v>
      </c>
      <c r="F58">
        <f>VLOOKUP(A58,NYSEARCABND!A$2:G$506,2,0)</f>
        <v>81.739999999999995</v>
      </c>
      <c r="G58">
        <f>VLOOKUP(A58,NYSEARCATIP!A$2:G$506,2,0)</f>
        <v>112.14</v>
      </c>
      <c r="H58">
        <f>VLOOKUP(A58,NYSEARCAMUB!A$2:G$506,2,0)</f>
        <v>108.87</v>
      </c>
      <c r="I58">
        <f>VLOOKUP(A58,NYSEARCAVNQ!A$2:G$506,2,0)</f>
        <v>78.34</v>
      </c>
      <c r="J58">
        <f>VLOOKUP(A58,NYSEARCARWX!A$2:G$506,2,0)</f>
        <v>42.18</v>
      </c>
      <c r="K58">
        <f>VLOOKUP(A58,NYSEARCADBC!A$2:G$506,2,0)</f>
        <v>15.57</v>
      </c>
      <c r="L58">
        <f>VLOOKUP(A58,NYSEARCAGSG!A$2:G$506,2,0)</f>
        <v>17.66</v>
      </c>
      <c r="M58">
        <f>VLOOKUP(A58,NYSEARCAGLD!A$2:G$506,2,0)</f>
        <v>106.49</v>
      </c>
      <c r="N58">
        <f>VLOOKUP(A58,NYSEBP!A$2:G$506,2,0)</f>
        <v>35.840000000000003</v>
      </c>
      <c r="O58">
        <f>VLOOKUP(A58,NASDAQYHOO!A$2:G$506,2,0)</f>
        <v>36.74</v>
      </c>
    </row>
    <row r="59" spans="1:15">
      <c r="A59" s="39">
        <v>42228</v>
      </c>
      <c r="B59">
        <v>71.53</v>
      </c>
      <c r="C59">
        <f>VLOOKUP(A59,NYSEARCAVTI!A$2:G$506,2,0)</f>
        <v>107.01</v>
      </c>
      <c r="D59">
        <f>VLOOKUP(A59,NYSEARCAVEU!A$2:G$506,2,0)</f>
        <v>47.34</v>
      </c>
      <c r="E59">
        <f>VLOOKUP(A59,NYSEARCAVWO!A$2:G$506,2,0)</f>
        <v>36.68</v>
      </c>
      <c r="F59">
        <f>VLOOKUP(A59,NYSEARCABND!A$2:G$506,2,0)</f>
        <v>81.92</v>
      </c>
      <c r="G59">
        <f>VLOOKUP(A59,NYSEARCATIP!A$2:G$506,2,0)</f>
        <v>112.5</v>
      </c>
      <c r="H59">
        <f>VLOOKUP(A59,NYSEARCAMUB!A$2:G$506,2,0)</f>
        <v>109.09</v>
      </c>
      <c r="I59">
        <f>VLOOKUP(A59,NYSEARCAVNQ!A$2:G$506,2,0)</f>
        <v>78.78</v>
      </c>
      <c r="J59">
        <f>VLOOKUP(A59,NYSEARCARWX!A$2:G$506,2,0)</f>
        <v>41.86</v>
      </c>
      <c r="K59">
        <f>VLOOKUP(A59,NYSEARCADBC!A$2:G$506,2,0)</f>
        <v>15.62</v>
      </c>
      <c r="L59">
        <f>VLOOKUP(A59,NYSEARCAGSG!A$2:G$506,2,0)</f>
        <v>17.760000000000002</v>
      </c>
      <c r="M59">
        <f>VLOOKUP(A59,NYSEARCAGLD!A$2:G$506,2,0)</f>
        <v>106.99</v>
      </c>
      <c r="N59">
        <f>VLOOKUP(A59,NYSEBP!A$2:G$506,2,0)</f>
        <v>35.96</v>
      </c>
      <c r="O59">
        <f>VLOOKUP(A59,NASDAQYHOO!A$2:G$506,2,0)</f>
        <v>34.29</v>
      </c>
    </row>
    <row r="60" spans="1:15">
      <c r="A60" s="39">
        <v>42229</v>
      </c>
      <c r="B60">
        <v>72.400000000000006</v>
      </c>
      <c r="C60">
        <f>VLOOKUP(A60,NYSEARCAVTI!A$2:G$506,2,0)</f>
        <v>107.91</v>
      </c>
      <c r="D60">
        <f>VLOOKUP(A60,NYSEARCAVEU!A$2:G$506,2,0)</f>
        <v>47.51</v>
      </c>
      <c r="E60">
        <f>VLOOKUP(A60,NYSEARCAVWO!A$2:G$506,2,0)</f>
        <v>36.81</v>
      </c>
      <c r="F60">
        <f>VLOOKUP(A60,NYSEARCABND!A$2:G$506,2,0)</f>
        <v>81.67</v>
      </c>
      <c r="G60">
        <f>VLOOKUP(A60,NYSEARCATIP!A$2:G$506,2,0)</f>
        <v>111.72</v>
      </c>
      <c r="H60">
        <f>VLOOKUP(A60,NYSEARCAMUB!A$2:G$506,2,0)</f>
        <v>108.89</v>
      </c>
      <c r="I60">
        <f>VLOOKUP(A60,NYSEARCAVNQ!A$2:G$506,2,0)</f>
        <v>79.13</v>
      </c>
      <c r="J60">
        <f>VLOOKUP(A60,NYSEARCARWX!A$2:G$506,2,0)</f>
        <v>41.95</v>
      </c>
      <c r="K60">
        <f>VLOOKUP(A60,NYSEARCADBC!A$2:G$506,2,0)</f>
        <v>15.44</v>
      </c>
      <c r="L60">
        <f>VLOOKUP(A60,NYSEARCAGSG!A$2:G$506,2,0)</f>
        <v>17.59</v>
      </c>
      <c r="M60">
        <f>VLOOKUP(A60,NYSEARCAGLD!A$2:G$506,2,0)</f>
        <v>106.95</v>
      </c>
      <c r="N60">
        <f>VLOOKUP(A60,NYSEBP!A$2:G$506,2,0)</f>
        <v>36.04</v>
      </c>
      <c r="O60">
        <f>VLOOKUP(A60,NASDAQYHOO!A$2:G$506,2,0)</f>
        <v>35.08</v>
      </c>
    </row>
    <row r="61" spans="1:15">
      <c r="A61" s="39">
        <v>42230</v>
      </c>
      <c r="B61">
        <v>72.3</v>
      </c>
      <c r="C61">
        <f>VLOOKUP(A61,NYSEARCAVTI!A$2:G$506,2,0)</f>
        <v>107.7</v>
      </c>
      <c r="D61">
        <f>VLOOKUP(A61,NYSEARCAVEU!A$2:G$506,2,0)</f>
        <v>47.44</v>
      </c>
      <c r="E61">
        <f>VLOOKUP(A61,NYSEARCAVWO!A$2:G$506,2,0)</f>
        <v>36.79</v>
      </c>
      <c r="F61">
        <f>VLOOKUP(A61,NYSEARCABND!A$2:G$506,2,0)</f>
        <v>81.55</v>
      </c>
      <c r="G61">
        <f>VLOOKUP(A61,NYSEARCATIP!A$2:G$506,2,0)</f>
        <v>111.66</v>
      </c>
      <c r="H61">
        <f>VLOOKUP(A61,NYSEARCAMUB!A$2:G$506,2,0)</f>
        <v>108.8</v>
      </c>
      <c r="I61">
        <f>VLOOKUP(A61,NYSEARCAVNQ!A$2:G$506,2,0)</f>
        <v>79.17</v>
      </c>
      <c r="J61">
        <f>VLOOKUP(A61,NYSEARCARWX!A$2:G$506,2,0)</f>
        <v>42.22</v>
      </c>
      <c r="K61">
        <f>VLOOKUP(A61,NYSEARCADBC!A$2:G$506,2,0)</f>
        <v>15.39</v>
      </c>
      <c r="L61">
        <f>VLOOKUP(A61,NYSEARCAGSG!A$2:G$506,2,0)</f>
        <v>17.510000000000002</v>
      </c>
      <c r="M61">
        <f>VLOOKUP(A61,NYSEARCAGLD!A$2:G$506,2,0)</f>
        <v>107.07</v>
      </c>
      <c r="N61">
        <f>VLOOKUP(A61,NYSEBP!A$2:G$506,2,0)</f>
        <v>35.54</v>
      </c>
      <c r="O61">
        <f>VLOOKUP(A61,NASDAQYHOO!A$2:G$506,2,0)</f>
        <v>35.82</v>
      </c>
    </row>
    <row r="62" spans="1:15">
      <c r="A62" s="39">
        <v>42233</v>
      </c>
      <c r="B62">
        <v>71.83</v>
      </c>
      <c r="C62">
        <f>VLOOKUP(A62,NYSEARCAVTI!A$2:G$506,2,0)</f>
        <v>107.89</v>
      </c>
      <c r="D62">
        <f>VLOOKUP(A62,NYSEARCAVEU!A$2:G$506,2,0)</f>
        <v>47.14</v>
      </c>
      <c r="E62">
        <f>VLOOKUP(A62,NYSEARCAVWO!A$2:G$506,2,0)</f>
        <v>36.340000000000003</v>
      </c>
      <c r="F62">
        <f>VLOOKUP(A62,NYSEARCABND!A$2:G$506,2,0)</f>
        <v>81.739999999999995</v>
      </c>
      <c r="G62">
        <f>VLOOKUP(A62,NYSEARCATIP!A$2:G$506,2,0)</f>
        <v>111.97</v>
      </c>
      <c r="H62">
        <f>VLOOKUP(A62,NYSEARCAMUB!A$2:G$506,2,0)</f>
        <v>109.02</v>
      </c>
      <c r="I62">
        <f>VLOOKUP(A62,NYSEARCAVNQ!A$2:G$506,2,0)</f>
        <v>79.91</v>
      </c>
      <c r="J62">
        <f>VLOOKUP(A62,NYSEARCARWX!A$2:G$506,2,0)</f>
        <v>42.05</v>
      </c>
      <c r="K62">
        <f>VLOOKUP(A62,NYSEARCADBC!A$2:G$506,2,0)</f>
        <v>15.37</v>
      </c>
      <c r="L62">
        <f>VLOOKUP(A62,NYSEARCAGSG!A$2:G$506,2,0)</f>
        <v>17.43</v>
      </c>
      <c r="M62">
        <f>VLOOKUP(A62,NYSEARCAGLD!A$2:G$506,2,0)</f>
        <v>107.37</v>
      </c>
      <c r="N62">
        <f>VLOOKUP(A62,NYSEBP!A$2:G$506,2,0)</f>
        <v>35.479999999999997</v>
      </c>
      <c r="O62">
        <f>VLOOKUP(A62,NASDAQYHOO!A$2:G$506,2,0)</f>
        <v>36.24</v>
      </c>
    </row>
    <row r="63" spans="1:15">
      <c r="A63" s="39">
        <v>42234</v>
      </c>
      <c r="B63">
        <v>70</v>
      </c>
      <c r="C63">
        <f>VLOOKUP(A63,NYSEARCAVTI!A$2:G$506,2,0)</f>
        <v>108.78</v>
      </c>
      <c r="D63">
        <f>VLOOKUP(A63,NYSEARCAVEU!A$2:G$506,2,0)</f>
        <v>47.17</v>
      </c>
      <c r="E63">
        <f>VLOOKUP(A63,NYSEARCAVWO!A$2:G$506,2,0)</f>
        <v>36.020000000000003</v>
      </c>
      <c r="F63">
        <f>VLOOKUP(A63,NYSEARCABND!A$2:G$506,2,0)</f>
        <v>81.599999999999994</v>
      </c>
      <c r="G63">
        <f>VLOOKUP(A63,NYSEARCATIP!A$2:G$506,2,0)</f>
        <v>111.47</v>
      </c>
      <c r="H63">
        <f>VLOOKUP(A63,NYSEARCAMUB!A$2:G$506,2,0)</f>
        <v>108.9</v>
      </c>
      <c r="I63">
        <f>VLOOKUP(A63,NYSEARCAVNQ!A$2:G$506,2,0)</f>
        <v>80.47</v>
      </c>
      <c r="J63">
        <f>VLOOKUP(A63,NYSEARCARWX!A$2:G$506,2,0)</f>
        <v>42.17</v>
      </c>
      <c r="K63">
        <f>VLOOKUP(A63,NYSEARCADBC!A$2:G$506,2,0)</f>
        <v>15.17</v>
      </c>
      <c r="L63">
        <f>VLOOKUP(A63,NYSEARCAGSG!A$2:G$506,2,0)</f>
        <v>17.239999999999998</v>
      </c>
      <c r="M63">
        <f>VLOOKUP(A63,NYSEARCAGLD!A$2:G$506,2,0)</f>
        <v>106.67</v>
      </c>
      <c r="N63">
        <f>VLOOKUP(A63,NYSEBP!A$2:G$506,2,0)</f>
        <v>35.29</v>
      </c>
      <c r="O63">
        <f>VLOOKUP(A63,NASDAQYHOO!A$2:G$506,2,0)</f>
        <v>35.78</v>
      </c>
    </row>
    <row r="64" spans="1:15">
      <c r="A64" s="39">
        <v>42235</v>
      </c>
      <c r="B64">
        <v>68.87</v>
      </c>
      <c r="C64">
        <f>VLOOKUP(A64,NYSEARCAVTI!A$2:G$506,2,0)</f>
        <v>108.05</v>
      </c>
      <c r="D64">
        <f>VLOOKUP(A64,NYSEARCAVEU!A$2:G$506,2,0)</f>
        <v>46.78</v>
      </c>
      <c r="E64">
        <f>VLOOKUP(A64,NYSEARCAVWO!A$2:G$506,2,0)</f>
        <v>35.770000000000003</v>
      </c>
      <c r="F64">
        <f>VLOOKUP(A64,NYSEARCABND!A$2:G$506,2,0)</f>
        <v>81.47</v>
      </c>
      <c r="G64">
        <f>VLOOKUP(A64,NYSEARCATIP!A$2:G$506,2,0)</f>
        <v>111.15</v>
      </c>
      <c r="H64">
        <f>VLOOKUP(A64,NYSEARCAMUB!A$2:G$506,2,0)</f>
        <v>108.76</v>
      </c>
      <c r="I64">
        <f>VLOOKUP(A64,NYSEARCAVNQ!A$2:G$506,2,0)</f>
        <v>80.510000000000005</v>
      </c>
      <c r="J64">
        <f>VLOOKUP(A64,NYSEARCARWX!A$2:G$506,2,0)</f>
        <v>41.98</v>
      </c>
      <c r="K64">
        <f>VLOOKUP(A64,NYSEARCADBC!A$2:G$506,2,0)</f>
        <v>15.21</v>
      </c>
      <c r="L64">
        <f>VLOOKUP(A64,NYSEARCAGSG!A$2:G$506,2,0)</f>
        <v>17.3</v>
      </c>
      <c r="M64">
        <f>VLOOKUP(A64,NYSEARCAGLD!A$2:G$506,2,0)</f>
        <v>107.63</v>
      </c>
      <c r="N64">
        <f>VLOOKUP(A64,NYSEBP!A$2:G$506,2,0)</f>
        <v>35.06</v>
      </c>
      <c r="O64">
        <f>VLOOKUP(A64,NASDAQYHOO!A$2:G$506,2,0)</f>
        <v>35.67</v>
      </c>
    </row>
    <row r="65" spans="1:15">
      <c r="A65" s="39">
        <v>42236</v>
      </c>
      <c r="B65">
        <v>68.08</v>
      </c>
      <c r="C65">
        <f>VLOOKUP(A65,NYSEARCAVTI!A$2:G$506,2,0)</f>
        <v>106.8</v>
      </c>
      <c r="D65">
        <f>VLOOKUP(A65,NYSEARCAVEU!A$2:G$506,2,0)</f>
        <v>46.19</v>
      </c>
      <c r="E65">
        <f>VLOOKUP(A65,NYSEARCAVWO!A$2:G$506,2,0)</f>
        <v>35.06</v>
      </c>
      <c r="F65">
        <f>VLOOKUP(A65,NYSEARCABND!A$2:G$506,2,0)</f>
        <v>81.87</v>
      </c>
      <c r="G65">
        <f>VLOOKUP(A65,NYSEARCATIP!A$2:G$506,2,0)</f>
        <v>111.76</v>
      </c>
      <c r="H65">
        <f>VLOOKUP(A65,NYSEARCAMUB!A$2:G$506,2,0)</f>
        <v>108.87</v>
      </c>
      <c r="I65">
        <f>VLOOKUP(A65,NYSEARCAVNQ!A$2:G$506,2,0)</f>
        <v>79.86</v>
      </c>
      <c r="J65">
        <f>VLOOKUP(A65,NYSEARCARWX!A$2:G$506,2,0)</f>
        <v>41.55</v>
      </c>
      <c r="K65">
        <f>VLOOKUP(A65,NYSEARCADBC!A$2:G$506,2,0)</f>
        <v>15.16</v>
      </c>
      <c r="L65">
        <f>VLOOKUP(A65,NYSEARCAGSG!A$2:G$506,2,0)</f>
        <v>17.05</v>
      </c>
      <c r="M65">
        <f>VLOOKUP(A65,NYSEARCAGLD!A$2:G$506,2,0)</f>
        <v>109.81</v>
      </c>
      <c r="N65">
        <f>VLOOKUP(A65,NYSEBP!A$2:G$506,2,0)</f>
        <v>35.01</v>
      </c>
      <c r="O65">
        <f>VLOOKUP(A65,NASDAQYHOO!A$2:G$506,2,0)</f>
        <v>34.770000000000003</v>
      </c>
    </row>
    <row r="66" spans="1:15">
      <c r="A66" s="39">
        <v>42237</v>
      </c>
      <c r="B66">
        <v>67.91</v>
      </c>
      <c r="C66">
        <f>VLOOKUP(A66,NYSEARCAVTI!A$2:G$506,2,0)</f>
        <v>104.32</v>
      </c>
      <c r="D66">
        <f>VLOOKUP(A66,NYSEARCAVEU!A$2:G$506,2,0)</f>
        <v>45.42</v>
      </c>
      <c r="E66">
        <f>VLOOKUP(A66,NYSEARCAVWO!A$2:G$506,2,0)</f>
        <v>34.549999999999997</v>
      </c>
      <c r="F66">
        <f>VLOOKUP(A66,NYSEARCABND!A$2:G$506,2,0)</f>
        <v>81.97</v>
      </c>
      <c r="G66">
        <f>VLOOKUP(A66,NYSEARCATIP!A$2:G$506,2,0)</f>
        <v>112.04</v>
      </c>
      <c r="H66">
        <f>VLOOKUP(A66,NYSEARCAMUB!A$2:G$506,2,0)</f>
        <v>109.1</v>
      </c>
      <c r="I66">
        <f>VLOOKUP(A66,NYSEARCAVNQ!A$2:G$506,2,0)</f>
        <v>79.260000000000005</v>
      </c>
      <c r="J66">
        <f>VLOOKUP(A66,NYSEARCARWX!A$2:G$506,2,0)</f>
        <v>41.13</v>
      </c>
      <c r="K66">
        <f>VLOOKUP(A66,NYSEARCADBC!A$2:G$506,2,0)</f>
        <v>14.96</v>
      </c>
      <c r="L66">
        <f>VLOOKUP(A66,NYSEARCAGSG!A$2:G$506,2,0)</f>
        <v>16.850000000000001</v>
      </c>
      <c r="M66">
        <f>VLOOKUP(A66,NYSEARCAGLD!A$2:G$506,2,0)</f>
        <v>110.93</v>
      </c>
      <c r="N66">
        <f>VLOOKUP(A66,NYSEBP!A$2:G$506,2,0)</f>
        <v>34.26</v>
      </c>
      <c r="O66">
        <f>VLOOKUP(A66,NASDAQYHOO!A$2:G$506,2,0)</f>
        <v>33.58</v>
      </c>
    </row>
    <row r="67" spans="1:15">
      <c r="A67" s="39">
        <v>42240</v>
      </c>
      <c r="B67">
        <v>63.74</v>
      </c>
      <c r="C67">
        <f>VLOOKUP(A67,NYSEARCAVTI!A$2:G$506,2,0)</f>
        <v>96.4</v>
      </c>
      <c r="D67">
        <f>VLOOKUP(A67,NYSEARCAVEU!A$2:G$506,2,0)</f>
        <v>42.31</v>
      </c>
      <c r="E67">
        <f>VLOOKUP(A67,NYSEARCAVWO!A$2:G$506,2,0)</f>
        <v>31.45</v>
      </c>
      <c r="F67">
        <f>VLOOKUP(A67,NYSEARCABND!A$2:G$506,2,0)</f>
        <v>82.3</v>
      </c>
      <c r="G67">
        <f>VLOOKUP(A67,NYSEARCATIP!A$2:G$506,2,0)</f>
        <v>112.58</v>
      </c>
      <c r="H67">
        <f>VLOOKUP(A67,NYSEARCAMUB!A$2:G$506,2,0)</f>
        <v>109.49</v>
      </c>
      <c r="I67">
        <f>VLOOKUP(A67,NYSEARCAVNQ!A$2:G$506,2,0)</f>
        <v>75.52</v>
      </c>
      <c r="J67">
        <f>VLOOKUP(A67,NYSEARCARWX!A$2:G$506,2,0)</f>
        <v>38.22</v>
      </c>
      <c r="K67">
        <f>VLOOKUP(A67,NYSEARCADBC!A$2:G$506,2,0)</f>
        <v>14.41</v>
      </c>
      <c r="L67">
        <f>VLOOKUP(A67,NYSEARCAGSG!A$2:G$506,2,0)</f>
        <v>15.97</v>
      </c>
      <c r="M67">
        <f>VLOOKUP(A67,NYSEARCAGLD!A$2:G$506,2,0)</f>
        <v>111.54</v>
      </c>
      <c r="N67">
        <f>VLOOKUP(A67,NYSEBP!A$2:G$506,2,0)</f>
        <v>31.5</v>
      </c>
      <c r="O67">
        <f>VLOOKUP(A67,NASDAQYHOO!A$2:G$506,2,0)</f>
        <v>29.02</v>
      </c>
    </row>
    <row r="68" spans="1:15">
      <c r="A68" s="39">
        <v>42241</v>
      </c>
      <c r="B68">
        <v>65.45</v>
      </c>
      <c r="C68">
        <f>VLOOKUP(A68,NYSEARCAVTI!A$2:G$506,2,0)</f>
        <v>101.41</v>
      </c>
      <c r="D68">
        <f>VLOOKUP(A68,NYSEARCAVEU!A$2:G$506,2,0)</f>
        <v>44.8</v>
      </c>
      <c r="E68">
        <f>VLOOKUP(A68,NYSEARCAVWO!A$2:G$506,2,0)</f>
        <v>34.15</v>
      </c>
      <c r="F68">
        <f>VLOOKUP(A68,NYSEARCABND!A$2:G$506,2,0)</f>
        <v>81.92</v>
      </c>
      <c r="G68">
        <f>VLOOKUP(A68,NYSEARCATIP!A$2:G$506,2,0)</f>
        <v>111.61</v>
      </c>
      <c r="H68">
        <f>VLOOKUP(A68,NYSEARCAMUB!A$2:G$506,2,0)</f>
        <v>108.75</v>
      </c>
      <c r="I68">
        <f>VLOOKUP(A68,NYSEARCAVNQ!A$2:G$506,2,0)</f>
        <v>75.52</v>
      </c>
      <c r="J68">
        <f>VLOOKUP(A68,NYSEARCARWX!A$2:G$506,2,0)</f>
        <v>39.270000000000003</v>
      </c>
      <c r="K68">
        <f>VLOOKUP(A68,NYSEARCADBC!A$2:G$506,2,0)</f>
        <v>14.68</v>
      </c>
      <c r="L68">
        <f>VLOOKUP(A68,NYSEARCAGSG!A$2:G$506,2,0)</f>
        <v>16.54</v>
      </c>
      <c r="M68">
        <f>VLOOKUP(A68,NYSEARCAGLD!A$2:G$506,2,0)</f>
        <v>110.01</v>
      </c>
      <c r="N68">
        <f>VLOOKUP(A68,NYSEBP!A$2:G$506,2,0)</f>
        <v>31.96</v>
      </c>
      <c r="O68">
        <f>VLOOKUP(A68,NASDAQYHOO!A$2:G$506,2,0)</f>
        <v>32.979999999999997</v>
      </c>
    </row>
    <row r="69" spans="1:15">
      <c r="A69" s="39">
        <v>42242</v>
      </c>
      <c r="B69">
        <v>64.23</v>
      </c>
      <c r="C69">
        <f>VLOOKUP(A69,NYSEARCAVTI!A$2:G$506,2,0)</f>
        <v>99.99</v>
      </c>
      <c r="D69">
        <f>VLOOKUP(A69,NYSEARCAVEU!A$2:G$506,2,0)</f>
        <v>43.97</v>
      </c>
      <c r="E69">
        <f>VLOOKUP(A69,NYSEARCAVWO!A$2:G$506,2,0)</f>
        <v>33.4</v>
      </c>
      <c r="F69">
        <f>VLOOKUP(A69,NYSEARCABND!A$2:G$506,2,0)</f>
        <v>81.540000000000006</v>
      </c>
      <c r="G69">
        <f>VLOOKUP(A69,NYSEARCATIP!A$2:G$506,2,0)</f>
        <v>111.16</v>
      </c>
      <c r="H69">
        <f>VLOOKUP(A69,NYSEARCAMUB!A$2:G$506,2,0)</f>
        <v>108.49</v>
      </c>
      <c r="I69">
        <f>VLOOKUP(A69,NYSEARCAVNQ!A$2:G$506,2,0)</f>
        <v>73.19</v>
      </c>
      <c r="J69">
        <f>VLOOKUP(A69,NYSEARCARWX!A$2:G$506,2,0)</f>
        <v>39.46</v>
      </c>
      <c r="K69">
        <f>VLOOKUP(A69,NYSEARCADBC!A$2:G$506,2,0)</f>
        <v>14.46</v>
      </c>
      <c r="L69">
        <f>VLOOKUP(A69,NYSEARCAGSG!A$2:G$506,2,0)</f>
        <v>16.22</v>
      </c>
      <c r="M69">
        <f>VLOOKUP(A69,NYSEARCAGLD!A$2:G$506,2,0)</f>
        <v>107.72</v>
      </c>
      <c r="N69">
        <f>VLOOKUP(A69,NYSEBP!A$2:G$506,2,0)</f>
        <v>31.64</v>
      </c>
      <c r="O69">
        <f>VLOOKUP(A69,NASDAQYHOO!A$2:G$506,2,0)</f>
        <v>32.46</v>
      </c>
    </row>
    <row r="70" spans="1:15">
      <c r="A70" s="39">
        <v>42243</v>
      </c>
      <c r="B70">
        <v>65.319999999999993</v>
      </c>
      <c r="C70">
        <f>VLOOKUP(A70,NYSEARCAVTI!A$2:G$506,2,0)</f>
        <v>101.97</v>
      </c>
      <c r="D70">
        <f>VLOOKUP(A70,NYSEARCAVEU!A$2:G$506,2,0)</f>
        <v>44.48</v>
      </c>
      <c r="E70">
        <f>VLOOKUP(A70,NYSEARCAVWO!A$2:G$506,2,0)</f>
        <v>34.64</v>
      </c>
      <c r="F70">
        <f>VLOOKUP(A70,NYSEARCABND!A$2:G$506,2,0)</f>
        <v>81.37</v>
      </c>
      <c r="G70">
        <f>VLOOKUP(A70,NYSEARCATIP!A$2:G$506,2,0)</f>
        <v>111.13</v>
      </c>
      <c r="H70">
        <f>VLOOKUP(A70,NYSEARCAMUB!A$2:G$506,2,0)</f>
        <v>108.89</v>
      </c>
      <c r="I70">
        <f>VLOOKUP(A70,NYSEARCAVNQ!A$2:G$506,2,0)</f>
        <v>75.12</v>
      </c>
      <c r="J70">
        <f>VLOOKUP(A70,NYSEARCARWX!A$2:G$506,2,0)</f>
        <v>39.92</v>
      </c>
      <c r="K70">
        <f>VLOOKUP(A70,NYSEARCADBC!A$2:G$506,2,0)</f>
        <v>14.6</v>
      </c>
      <c r="L70">
        <f>VLOOKUP(A70,NYSEARCAGSG!A$2:G$506,2,0)</f>
        <v>16.39</v>
      </c>
      <c r="M70">
        <f>VLOOKUP(A70,NYSEARCAGLD!A$2:G$506,2,0)</f>
        <v>107.33</v>
      </c>
      <c r="N70">
        <f>VLOOKUP(A70,NYSEBP!A$2:G$506,2,0)</f>
        <v>31.93</v>
      </c>
      <c r="O70">
        <f>VLOOKUP(A70,NASDAQYHOO!A$2:G$506,2,0)</f>
        <v>33.36</v>
      </c>
    </row>
    <row r="71" spans="1:15">
      <c r="A71" s="39">
        <v>42244</v>
      </c>
      <c r="B71">
        <v>66.09</v>
      </c>
      <c r="C71">
        <f>VLOOKUP(A71,NYSEARCAVTI!A$2:G$506,2,0)</f>
        <v>102.59</v>
      </c>
      <c r="D71">
        <f>VLOOKUP(A71,NYSEARCAVEU!A$2:G$506,2,0)</f>
        <v>44.78</v>
      </c>
      <c r="E71">
        <f>VLOOKUP(A71,NYSEARCAVWO!A$2:G$506,2,0)</f>
        <v>34.67</v>
      </c>
      <c r="F71">
        <f>VLOOKUP(A71,NYSEARCABND!A$2:G$506,2,0)</f>
        <v>81.69</v>
      </c>
      <c r="G71">
        <f>VLOOKUP(A71,NYSEARCATIP!A$2:G$506,2,0)</f>
        <v>111.72</v>
      </c>
      <c r="H71">
        <f>VLOOKUP(A71,NYSEARCAMUB!A$2:G$506,2,0)</f>
        <v>108.89</v>
      </c>
      <c r="I71">
        <f>VLOOKUP(A71,NYSEARCAVNQ!A$2:G$506,2,0)</f>
        <v>75.819999999999993</v>
      </c>
      <c r="J71">
        <f>VLOOKUP(A71,NYSEARCARWX!A$2:G$506,2,0)</f>
        <v>39.86</v>
      </c>
      <c r="K71">
        <f>VLOOKUP(A71,NYSEARCADBC!A$2:G$506,2,0)</f>
        <v>15</v>
      </c>
      <c r="L71">
        <f>VLOOKUP(A71,NYSEARCAGSG!A$2:G$506,2,0)</f>
        <v>16.96</v>
      </c>
      <c r="M71">
        <f>VLOOKUP(A71,NYSEARCAGLD!A$2:G$506,2,0)</f>
        <v>108.17</v>
      </c>
      <c r="N71">
        <f>VLOOKUP(A71,NYSEBP!A$2:G$506,2,0)</f>
        <v>32.6</v>
      </c>
      <c r="O71">
        <f>VLOOKUP(A71,NASDAQYHOO!A$2:G$506,2,0)</f>
        <v>33.32</v>
      </c>
    </row>
    <row r="72" spans="1:15">
      <c r="A72" s="39">
        <v>42247</v>
      </c>
      <c r="B72">
        <v>64.819999999999993</v>
      </c>
      <c r="C72">
        <f>VLOOKUP(A72,NYSEARCAVTI!A$2:G$506,2,0)</f>
        <v>102.53</v>
      </c>
      <c r="D72">
        <f>VLOOKUP(A72,NYSEARCAVEU!A$2:G$506,2,0)</f>
        <v>44.72</v>
      </c>
      <c r="E72">
        <f>VLOOKUP(A72,NYSEARCAVWO!A$2:G$506,2,0)</f>
        <v>34.29</v>
      </c>
      <c r="F72">
        <f>VLOOKUP(A72,NYSEARCABND!A$2:G$506,2,0)</f>
        <v>81.680000000000007</v>
      </c>
      <c r="G72">
        <f>VLOOKUP(A72,NYSEARCATIP!A$2:G$506,2,0)</f>
        <v>111.86</v>
      </c>
      <c r="H72">
        <f>VLOOKUP(A72,NYSEARCAMUB!A$2:G$506,2,0)</f>
        <v>108.92</v>
      </c>
      <c r="I72">
        <f>VLOOKUP(A72,NYSEARCAVNQ!A$2:G$506,2,0)</f>
        <v>75.58</v>
      </c>
      <c r="J72">
        <f>VLOOKUP(A72,NYSEARCARWX!A$2:G$506,2,0)</f>
        <v>39.71</v>
      </c>
      <c r="K72">
        <f>VLOOKUP(A72,NYSEARCADBC!A$2:G$506,2,0)</f>
        <v>15.15</v>
      </c>
      <c r="L72">
        <f>VLOOKUP(A72,NYSEARCAGSG!A$2:G$506,2,0)</f>
        <v>17.350000000000001</v>
      </c>
      <c r="M72">
        <f>VLOOKUP(A72,NYSEARCAGLD!A$2:G$506,2,0)</f>
        <v>108.19</v>
      </c>
      <c r="N72">
        <f>VLOOKUP(A72,NYSEBP!A$2:G$506,2,0)</f>
        <v>32.979999999999997</v>
      </c>
      <c r="O72">
        <f>VLOOKUP(A72,NASDAQYHOO!A$2:G$506,2,0)</f>
        <v>32.909999999999997</v>
      </c>
    </row>
    <row r="73" spans="1:15">
      <c r="A73" s="39">
        <v>42248</v>
      </c>
      <c r="B73">
        <v>63.8</v>
      </c>
      <c r="C73">
        <f>VLOOKUP(A73,NYSEARCAVTI!A$2:G$506,2,0)</f>
        <v>99.95</v>
      </c>
      <c r="D73">
        <f>VLOOKUP(A73,NYSEARCAVEU!A$2:G$506,2,0)</f>
        <v>43.43</v>
      </c>
      <c r="E73">
        <f>VLOOKUP(A73,NYSEARCAVWO!A$2:G$506,2,0)</f>
        <v>33.590000000000003</v>
      </c>
      <c r="F73">
        <f>VLOOKUP(A73,NYSEARCABND!A$2:G$506,2,0)</f>
        <v>81.39</v>
      </c>
      <c r="G73">
        <f>VLOOKUP(A73,NYSEARCATIP!A$2:G$506,2,0)</f>
        <v>111.18</v>
      </c>
      <c r="H73">
        <f>VLOOKUP(A73,NYSEARCAMUB!A$2:G$506,2,0)</f>
        <v>108.89</v>
      </c>
      <c r="I73">
        <f>VLOOKUP(A73,NYSEARCAVNQ!A$2:G$506,2,0)</f>
        <v>73.290000000000006</v>
      </c>
      <c r="J73">
        <f>VLOOKUP(A73,NYSEARCARWX!A$2:G$506,2,0)</f>
        <v>38.67</v>
      </c>
      <c r="K73">
        <f>VLOOKUP(A73,NYSEARCADBC!A$2:G$506,2,0)</f>
        <v>15.49</v>
      </c>
      <c r="L73">
        <f>VLOOKUP(A73,NYSEARCAGSG!A$2:G$506,2,0)</f>
        <v>17.87</v>
      </c>
      <c r="M73">
        <f>VLOOKUP(A73,NYSEARCAGLD!A$2:G$506,2,0)</f>
        <v>109.63</v>
      </c>
      <c r="N73">
        <f>VLOOKUP(A73,NYSEBP!A$2:G$506,2,0)</f>
        <v>32.369999999999997</v>
      </c>
      <c r="O73">
        <f>VLOOKUP(A73,NASDAQYHOO!A$2:G$506,2,0)</f>
        <v>31.49</v>
      </c>
    </row>
    <row r="74" spans="1:15">
      <c r="A74" s="39">
        <v>42249</v>
      </c>
      <c r="B74">
        <v>64.59</v>
      </c>
      <c r="C74">
        <f>VLOOKUP(A74,NYSEARCAVTI!A$2:G$506,2,0)</f>
        <v>100.78</v>
      </c>
      <c r="D74">
        <f>VLOOKUP(A74,NYSEARCAVEU!A$2:G$506,2,0)</f>
        <v>43.93</v>
      </c>
      <c r="E74">
        <f>VLOOKUP(A74,NYSEARCAVWO!A$2:G$506,2,0)</f>
        <v>33.64</v>
      </c>
      <c r="F74">
        <f>VLOOKUP(A74,NYSEARCABND!A$2:G$506,2,0)</f>
        <v>81.39</v>
      </c>
      <c r="G74">
        <f>VLOOKUP(A74,NYSEARCATIP!A$2:G$506,2,0)</f>
        <v>110.97</v>
      </c>
      <c r="H74">
        <f>VLOOKUP(A74,NYSEARCAMUB!A$2:G$506,2,0)</f>
        <v>108.82</v>
      </c>
      <c r="I74">
        <f>VLOOKUP(A74,NYSEARCAVNQ!A$2:G$506,2,0)</f>
        <v>73.09</v>
      </c>
      <c r="J74">
        <f>VLOOKUP(A74,NYSEARCARWX!A$2:G$506,2,0)</f>
        <v>38.97</v>
      </c>
      <c r="K74">
        <f>VLOOKUP(A74,NYSEARCADBC!A$2:G$506,2,0)</f>
        <v>15.36</v>
      </c>
      <c r="L74">
        <f>VLOOKUP(A74,NYSEARCAGSG!A$2:G$506,2,0)</f>
        <v>17.579999999999998</v>
      </c>
      <c r="M74">
        <f>VLOOKUP(A74,NYSEARCAGLD!A$2:G$506,2,0)</f>
        <v>109.01</v>
      </c>
      <c r="N74">
        <f>VLOOKUP(A74,NYSEBP!A$2:G$506,2,0)</f>
        <v>32.47</v>
      </c>
      <c r="O74">
        <f>VLOOKUP(A74,NASDAQYHOO!A$2:G$506,2,0)</f>
        <v>32.01</v>
      </c>
    </row>
    <row r="75" spans="1:15">
      <c r="A75" s="39">
        <v>42250</v>
      </c>
      <c r="B75">
        <v>64.72</v>
      </c>
      <c r="C75">
        <f>VLOOKUP(A75,NYSEARCAVTI!A$2:G$506,2,0)</f>
        <v>101.58</v>
      </c>
      <c r="D75">
        <f>VLOOKUP(A75,NYSEARCAVEU!A$2:G$506,2,0)</f>
        <v>43.99</v>
      </c>
      <c r="E75">
        <f>VLOOKUP(A75,NYSEARCAVWO!A$2:G$506,2,0)</f>
        <v>33.729999999999997</v>
      </c>
      <c r="F75">
        <f>VLOOKUP(A75,NYSEARCABND!A$2:G$506,2,0)</f>
        <v>81.52</v>
      </c>
      <c r="G75">
        <f>VLOOKUP(A75,NYSEARCATIP!A$2:G$506,2,0)</f>
        <v>110.84</v>
      </c>
      <c r="H75">
        <f>VLOOKUP(A75,NYSEARCAMUB!A$2:G$506,2,0)</f>
        <v>109.05</v>
      </c>
      <c r="I75">
        <f>VLOOKUP(A75,NYSEARCAVNQ!A$2:G$506,2,0)</f>
        <v>73.62</v>
      </c>
      <c r="J75">
        <f>VLOOKUP(A75,NYSEARCARWX!A$2:G$506,2,0)</f>
        <v>38.97</v>
      </c>
      <c r="K75">
        <f>VLOOKUP(A75,NYSEARCADBC!A$2:G$506,2,0)</f>
        <v>15.33</v>
      </c>
      <c r="L75">
        <f>VLOOKUP(A75,NYSEARCAGSG!A$2:G$506,2,0)</f>
        <v>17.649999999999999</v>
      </c>
      <c r="M75">
        <f>VLOOKUP(A75,NYSEARCAGLD!A$2:G$506,2,0)</f>
        <v>107.77</v>
      </c>
      <c r="N75">
        <f>VLOOKUP(A75,NYSEBP!A$2:G$506,2,0)</f>
        <v>32.19</v>
      </c>
      <c r="O75">
        <f>VLOOKUP(A75,NASDAQYHOO!A$2:G$506,2,0)</f>
        <v>31.86</v>
      </c>
    </row>
    <row r="76" spans="1:15">
      <c r="A76" s="39">
        <v>42251</v>
      </c>
      <c r="B76">
        <v>64.069999999999993</v>
      </c>
      <c r="C76">
        <f>VLOOKUP(A76,NYSEARCAVTI!A$2:G$506,2,0)</f>
        <v>99.92</v>
      </c>
      <c r="D76">
        <f>VLOOKUP(A76,NYSEARCAVEU!A$2:G$506,2,0)</f>
        <v>43.06</v>
      </c>
      <c r="E76">
        <f>VLOOKUP(A76,NYSEARCAVWO!A$2:G$506,2,0)</f>
        <v>33.090000000000003</v>
      </c>
      <c r="F76">
        <f>VLOOKUP(A76,NYSEARCABND!A$2:G$506,2,0)</f>
        <v>81.61</v>
      </c>
      <c r="G76">
        <f>VLOOKUP(A76,NYSEARCATIP!A$2:G$506,2,0)</f>
        <v>110.85</v>
      </c>
      <c r="H76">
        <f>VLOOKUP(A76,NYSEARCAMUB!A$2:G$506,2,0)</f>
        <v>108.92</v>
      </c>
      <c r="I76">
        <f>VLOOKUP(A76,NYSEARCAVNQ!A$2:G$506,2,0)</f>
        <v>73.12</v>
      </c>
      <c r="J76">
        <f>VLOOKUP(A76,NYSEARCARWX!A$2:G$506,2,0)</f>
        <v>38.369999999999997</v>
      </c>
      <c r="K76">
        <f>VLOOKUP(A76,NYSEARCADBC!A$2:G$506,2,0)</f>
        <v>15.31</v>
      </c>
      <c r="L76">
        <f>VLOOKUP(A76,NYSEARCAGSG!A$2:G$506,2,0)</f>
        <v>17.579999999999998</v>
      </c>
      <c r="M76">
        <f>VLOOKUP(A76,NYSEARCAGLD!A$2:G$506,2,0)</f>
        <v>107.14</v>
      </c>
      <c r="N76">
        <f>VLOOKUP(A76,NYSEBP!A$2:G$506,2,0)</f>
        <v>31.2</v>
      </c>
      <c r="O76">
        <f>VLOOKUP(A76,NASDAQYHOO!A$2:G$506,2,0)</f>
        <v>32</v>
      </c>
    </row>
    <row r="77" spans="1:15">
      <c r="A77" s="39">
        <v>42255</v>
      </c>
      <c r="B77">
        <v>65.23</v>
      </c>
      <c r="C77">
        <f>VLOOKUP(A77,NYSEARCAVTI!A$2:G$506,2,0)</f>
        <v>101.59</v>
      </c>
      <c r="D77">
        <f>VLOOKUP(A77,NYSEARCAVEU!A$2:G$506,2,0)</f>
        <v>44</v>
      </c>
      <c r="E77">
        <f>VLOOKUP(A77,NYSEARCAVWO!A$2:G$506,2,0)</f>
        <v>33.729999999999997</v>
      </c>
      <c r="F77">
        <f>VLOOKUP(A77,NYSEARCABND!A$2:G$506,2,0)</f>
        <v>81.52</v>
      </c>
      <c r="G77">
        <f>VLOOKUP(A77,NYSEARCATIP!A$2:G$506,2,0)</f>
        <v>110.58</v>
      </c>
      <c r="H77">
        <f>VLOOKUP(A77,NYSEARCAMUB!A$2:G$506,2,0)</f>
        <v>108.76</v>
      </c>
      <c r="I77">
        <f>VLOOKUP(A77,NYSEARCAVNQ!A$2:G$506,2,0)</f>
        <v>72.84</v>
      </c>
      <c r="J77">
        <f>VLOOKUP(A77,NYSEARCARWX!A$2:G$506,2,0)</f>
        <v>38.979999999999997</v>
      </c>
      <c r="K77">
        <f>VLOOKUP(A77,NYSEARCADBC!A$2:G$506,2,0)</f>
        <v>15.25</v>
      </c>
      <c r="L77">
        <f>VLOOKUP(A77,NYSEARCAGSG!A$2:G$506,2,0)</f>
        <v>17.43</v>
      </c>
      <c r="M77">
        <f>VLOOKUP(A77,NYSEARCAGLD!A$2:G$506,2,0)</f>
        <v>107.6</v>
      </c>
      <c r="N77">
        <f>VLOOKUP(A77,NYSEBP!A$2:G$506,2,0)</f>
        <v>31.61</v>
      </c>
      <c r="O77">
        <f>VLOOKUP(A77,NASDAQYHOO!A$2:G$506,2,0)</f>
        <v>32.200000000000003</v>
      </c>
    </row>
    <row r="78" spans="1:15">
      <c r="A78" s="39">
        <v>42256</v>
      </c>
      <c r="B78">
        <v>66.86</v>
      </c>
      <c r="C78">
        <f>VLOOKUP(A78,NYSEARCAVTI!A$2:G$506,2,0)</f>
        <v>103.24</v>
      </c>
      <c r="D78">
        <f>VLOOKUP(A78,NYSEARCAVEU!A$2:G$506,2,0)</f>
        <v>44.76</v>
      </c>
      <c r="E78">
        <f>VLOOKUP(A78,NYSEARCAVWO!A$2:G$506,2,0)</f>
        <v>34.520000000000003</v>
      </c>
      <c r="F78">
        <f>VLOOKUP(A78,NYSEARCABND!A$2:G$506,2,0)</f>
        <v>81.22</v>
      </c>
      <c r="G78">
        <f>VLOOKUP(A78,NYSEARCATIP!A$2:G$506,2,0)</f>
        <v>110.22</v>
      </c>
      <c r="H78">
        <f>VLOOKUP(A78,NYSEARCAMUB!A$2:G$506,2,0)</f>
        <v>108.67</v>
      </c>
      <c r="I78">
        <f>VLOOKUP(A78,NYSEARCAVNQ!A$2:G$506,2,0)</f>
        <v>73.87</v>
      </c>
      <c r="J78">
        <f>VLOOKUP(A78,NYSEARCARWX!A$2:G$506,2,0)</f>
        <v>39.340000000000003</v>
      </c>
      <c r="K78">
        <f>VLOOKUP(A78,NYSEARCADBC!A$2:G$506,2,0)</f>
        <v>15.34</v>
      </c>
      <c r="L78">
        <f>VLOOKUP(A78,NYSEARCAGSG!A$2:G$506,2,0)</f>
        <v>17.559999999999999</v>
      </c>
      <c r="M78">
        <f>VLOOKUP(A78,NYSEARCAGLD!A$2:G$506,2,0)</f>
        <v>106.64</v>
      </c>
      <c r="N78">
        <f>VLOOKUP(A78,NYSEBP!A$2:G$506,2,0)</f>
        <v>31.88</v>
      </c>
      <c r="O78">
        <f>VLOOKUP(A78,NASDAQYHOO!A$2:G$506,2,0)</f>
        <v>30.4</v>
      </c>
    </row>
    <row r="79" spans="1:15">
      <c r="A79" s="39">
        <v>42257</v>
      </c>
      <c r="B79">
        <v>64.069999999999993</v>
      </c>
      <c r="C79">
        <f>VLOOKUP(A79,NYSEARCAVTI!A$2:G$506,2,0)</f>
        <v>100.88</v>
      </c>
      <c r="D79">
        <f>VLOOKUP(A79,NYSEARCAVEU!A$2:G$506,2,0)</f>
        <v>43.89</v>
      </c>
      <c r="E79">
        <f>VLOOKUP(A79,NYSEARCAVWO!A$2:G$506,2,0)</f>
        <v>33.64</v>
      </c>
      <c r="F79">
        <f>VLOOKUP(A79,NYSEARCABND!A$2:G$506,2,0)</f>
        <v>81.430000000000007</v>
      </c>
      <c r="G79">
        <f>VLOOKUP(A79,NYSEARCATIP!A$2:G$506,2,0)</f>
        <v>110.55</v>
      </c>
      <c r="H79">
        <f>VLOOKUP(A79,NYSEARCAMUB!A$2:G$506,2,0)</f>
        <v>108.67</v>
      </c>
      <c r="I79">
        <f>VLOOKUP(A79,NYSEARCAVNQ!A$2:G$506,2,0)</f>
        <v>72.33</v>
      </c>
      <c r="J79">
        <f>VLOOKUP(A79,NYSEARCARWX!A$2:G$506,2,0)</f>
        <v>38.65</v>
      </c>
      <c r="K79">
        <f>VLOOKUP(A79,NYSEARCADBC!A$2:G$506,2,0)</f>
        <v>15.13</v>
      </c>
      <c r="L79">
        <f>VLOOKUP(A79,NYSEARCAGSG!A$2:G$506,2,0)</f>
        <v>17.23</v>
      </c>
      <c r="M79">
        <f>VLOOKUP(A79,NYSEARCAGLD!A$2:G$506,2,0)</f>
        <v>106.61</v>
      </c>
      <c r="N79">
        <f>VLOOKUP(A79,NYSEBP!A$2:G$506,2,0)</f>
        <v>31.1</v>
      </c>
      <c r="O79">
        <f>VLOOKUP(A79,NASDAQYHOO!A$2:G$506,2,0)</f>
        <v>31.35</v>
      </c>
    </row>
    <row r="80" spans="1:15">
      <c r="A80" s="39">
        <v>42258</v>
      </c>
      <c r="B80">
        <v>64.180000000000007</v>
      </c>
      <c r="C80">
        <f>VLOOKUP(A80,NYSEARCAVTI!A$2:G$506,2,0)</f>
        <v>101.04</v>
      </c>
      <c r="D80">
        <f>VLOOKUP(A80,NYSEARCAVEU!A$2:G$506,2,0)</f>
        <v>43.92</v>
      </c>
      <c r="E80">
        <f>VLOOKUP(A80,NYSEARCAVWO!A$2:G$506,2,0)</f>
        <v>33.869999999999997</v>
      </c>
      <c r="F80">
        <f>VLOOKUP(A80,NYSEARCABND!A$2:G$506,2,0)</f>
        <v>81.489999999999995</v>
      </c>
      <c r="G80">
        <f>VLOOKUP(A80,NYSEARCATIP!A$2:G$506,2,0)</f>
        <v>110.94</v>
      </c>
      <c r="H80">
        <f>VLOOKUP(A80,NYSEARCAMUB!A$2:G$506,2,0)</f>
        <v>108.63</v>
      </c>
      <c r="I80">
        <f>VLOOKUP(A80,NYSEARCAVNQ!A$2:G$506,2,0)</f>
        <v>72.599999999999994</v>
      </c>
      <c r="J80">
        <f>VLOOKUP(A80,NYSEARCARWX!A$2:G$506,2,0)</f>
        <v>38.799999999999997</v>
      </c>
      <c r="K80">
        <f>VLOOKUP(A80,NYSEARCADBC!A$2:G$506,2,0)</f>
        <v>15.12</v>
      </c>
      <c r="L80">
        <f>VLOOKUP(A80,NYSEARCAGSG!A$2:G$506,2,0)</f>
        <v>17.260000000000002</v>
      </c>
      <c r="M80">
        <f>VLOOKUP(A80,NYSEARCAGLD!A$2:G$506,2,0)</f>
        <v>105.65</v>
      </c>
      <c r="N80">
        <f>VLOOKUP(A80,NYSEBP!A$2:G$506,2,0)</f>
        <v>31.05</v>
      </c>
      <c r="O80">
        <f>VLOOKUP(A80,NASDAQYHOO!A$2:G$506,2,0)</f>
        <v>31.09</v>
      </c>
    </row>
    <row r="81" spans="1:15">
      <c r="A81" s="39">
        <v>42261</v>
      </c>
      <c r="B81">
        <v>64.650000000000006</v>
      </c>
      <c r="C81">
        <f>VLOOKUP(A81,NYSEARCAVTI!A$2:G$506,2,0)</f>
        <v>101.91</v>
      </c>
      <c r="D81">
        <f>VLOOKUP(A81,NYSEARCAVEU!A$2:G$506,2,0)</f>
        <v>43.93</v>
      </c>
      <c r="E81">
        <f>VLOOKUP(A81,NYSEARCAVWO!A$2:G$506,2,0)</f>
        <v>33.99</v>
      </c>
      <c r="F81">
        <f>VLOOKUP(A81,NYSEARCABND!A$2:G$506,2,0)</f>
        <v>81.55</v>
      </c>
      <c r="G81">
        <f>VLOOKUP(A81,NYSEARCATIP!A$2:G$506,2,0)</f>
        <v>111.08</v>
      </c>
      <c r="H81">
        <f>VLOOKUP(A81,NYSEARCAMUB!A$2:G$506,2,0)</f>
        <v>108.64</v>
      </c>
      <c r="I81">
        <f>VLOOKUP(A81,NYSEARCAVNQ!A$2:G$506,2,0)</f>
        <v>74.11</v>
      </c>
      <c r="J81">
        <f>VLOOKUP(A81,NYSEARCARWX!A$2:G$506,2,0)</f>
        <v>38.950000000000003</v>
      </c>
      <c r="K81">
        <f>VLOOKUP(A81,NYSEARCADBC!A$2:G$506,2,0)</f>
        <v>15.12</v>
      </c>
      <c r="L81">
        <f>VLOOKUP(A81,NYSEARCAGSG!A$2:G$506,2,0)</f>
        <v>17.16</v>
      </c>
      <c r="M81">
        <f>VLOOKUP(A81,NYSEARCAGLD!A$2:G$506,2,0)</f>
        <v>105.86</v>
      </c>
      <c r="N81">
        <f>VLOOKUP(A81,NYSEBP!A$2:G$506,2,0)</f>
        <v>30.74</v>
      </c>
      <c r="O81">
        <f>VLOOKUP(A81,NASDAQYHOO!A$2:G$506,2,0)</f>
        <v>30.68</v>
      </c>
    </row>
    <row r="82" spans="1:15">
      <c r="A82" s="39">
        <v>42262</v>
      </c>
      <c r="B82">
        <v>64.48</v>
      </c>
      <c r="C82">
        <f>VLOOKUP(A82,NYSEARCAVTI!A$2:G$506,2,0)</f>
        <v>101.81</v>
      </c>
      <c r="D82">
        <f>VLOOKUP(A82,NYSEARCAVEU!A$2:G$506,2,0)</f>
        <v>43.91</v>
      </c>
      <c r="E82">
        <f>VLOOKUP(A82,NYSEARCAVWO!A$2:G$506,2,0)</f>
        <v>34.03</v>
      </c>
      <c r="F82">
        <f>VLOOKUP(A82,NYSEARCABND!A$2:G$506,2,0)</f>
        <v>81.39</v>
      </c>
      <c r="G82">
        <f>VLOOKUP(A82,NYSEARCATIP!A$2:G$506,2,0)</f>
        <v>110.6</v>
      </c>
      <c r="H82">
        <f>VLOOKUP(A82,NYSEARCAMUB!A$2:G$506,2,0)</f>
        <v>108.56</v>
      </c>
      <c r="I82">
        <f>VLOOKUP(A82,NYSEARCAVNQ!A$2:G$506,2,0)</f>
        <v>74.069999999999993</v>
      </c>
      <c r="J82">
        <f>VLOOKUP(A82,NYSEARCARWX!A$2:G$506,2,0)</f>
        <v>38.81</v>
      </c>
      <c r="K82">
        <f>VLOOKUP(A82,NYSEARCADBC!A$2:G$506,2,0)</f>
        <v>15.05</v>
      </c>
      <c r="L82">
        <f>VLOOKUP(A82,NYSEARCAGSG!A$2:G$506,2,0)</f>
        <v>17.12</v>
      </c>
      <c r="M82">
        <f>VLOOKUP(A82,NYSEARCAGLD!A$2:G$506,2,0)</f>
        <v>105.83</v>
      </c>
      <c r="N82">
        <f>VLOOKUP(A82,NYSEBP!A$2:G$506,2,0)</f>
        <v>30.93</v>
      </c>
      <c r="O82">
        <f>VLOOKUP(A82,NASDAQYHOO!A$2:G$506,2,0)</f>
        <v>29.72</v>
      </c>
    </row>
    <row r="83" spans="1:15">
      <c r="A83" s="39">
        <v>42263</v>
      </c>
      <c r="B83">
        <v>64.599999999999994</v>
      </c>
      <c r="C83">
        <f>VLOOKUP(A83,NYSEARCAVTI!A$2:G$506,2,0)</f>
        <v>102.87</v>
      </c>
      <c r="D83">
        <f>VLOOKUP(A83,NYSEARCAVEU!A$2:G$506,2,0)</f>
        <v>44.67</v>
      </c>
      <c r="E83">
        <f>VLOOKUP(A83,NYSEARCAVWO!A$2:G$506,2,0)</f>
        <v>34.85</v>
      </c>
      <c r="F83">
        <f>VLOOKUP(A83,NYSEARCABND!A$2:G$506,2,0)</f>
        <v>81.069999999999993</v>
      </c>
      <c r="G83">
        <f>VLOOKUP(A83,NYSEARCATIP!A$2:G$506,2,0)</f>
        <v>110.02</v>
      </c>
      <c r="H83">
        <f>VLOOKUP(A83,NYSEARCAMUB!A$2:G$506,2,0)</f>
        <v>108.29</v>
      </c>
      <c r="I83">
        <f>VLOOKUP(A83,NYSEARCAVNQ!A$2:G$506,2,0)</f>
        <v>74.72</v>
      </c>
      <c r="J83">
        <f>VLOOKUP(A83,NYSEARCARWX!A$2:G$506,2,0)</f>
        <v>39.090000000000003</v>
      </c>
      <c r="K83">
        <f>VLOOKUP(A83,NYSEARCADBC!A$2:G$506,2,0)</f>
        <v>15.2</v>
      </c>
      <c r="L83">
        <f>VLOOKUP(A83,NYSEARCAGSG!A$2:G$506,2,0)</f>
        <v>17.3</v>
      </c>
      <c r="M83">
        <f>VLOOKUP(A83,NYSEARCAGLD!A$2:G$506,2,0)</f>
        <v>106.6</v>
      </c>
      <c r="N83">
        <f>VLOOKUP(A83,NYSEBP!A$2:G$506,2,0)</f>
        <v>31.65</v>
      </c>
      <c r="O83">
        <f>VLOOKUP(A83,NASDAQYHOO!A$2:G$506,2,0)</f>
        <v>31.14</v>
      </c>
    </row>
    <row r="84" spans="1:15">
      <c r="A84" s="39">
        <v>42264</v>
      </c>
      <c r="B84">
        <v>64.7</v>
      </c>
      <c r="C84">
        <f>VLOOKUP(A84,NYSEARCAVTI!A$2:G$506,2,0)</f>
        <v>103.64</v>
      </c>
      <c r="D84">
        <f>VLOOKUP(A84,NYSEARCAVEU!A$2:G$506,2,0)</f>
        <v>44.74</v>
      </c>
      <c r="E84">
        <f>VLOOKUP(A84,NYSEARCAVWO!A$2:G$506,2,0)</f>
        <v>34.9</v>
      </c>
      <c r="F84">
        <f>VLOOKUP(A84,NYSEARCABND!A$2:G$506,2,0)</f>
        <v>81.040000000000006</v>
      </c>
      <c r="G84">
        <f>VLOOKUP(A84,NYSEARCATIP!A$2:G$506,2,0)</f>
        <v>109.98</v>
      </c>
      <c r="H84">
        <f>VLOOKUP(A84,NYSEARCAMUB!A$2:G$506,2,0)</f>
        <v>108.29</v>
      </c>
      <c r="I84">
        <f>VLOOKUP(A84,NYSEARCAVNQ!A$2:G$506,2,0)</f>
        <v>75.650000000000006</v>
      </c>
      <c r="J84">
        <f>VLOOKUP(A84,NYSEARCARWX!A$2:G$506,2,0)</f>
        <v>39.19</v>
      </c>
      <c r="K84">
        <f>VLOOKUP(A84,NYSEARCADBC!A$2:G$506,2,0)</f>
        <v>15.28</v>
      </c>
      <c r="L84">
        <f>VLOOKUP(A84,NYSEARCAGSG!A$2:G$506,2,0)</f>
        <v>17.47</v>
      </c>
      <c r="M84">
        <f>VLOOKUP(A84,NYSEARCAGLD!A$2:G$506,2,0)</f>
        <v>107.07</v>
      </c>
      <c r="N84">
        <f>VLOOKUP(A84,NYSEBP!A$2:G$506,2,0)</f>
        <v>32</v>
      </c>
      <c r="O84">
        <f>VLOOKUP(A84,NASDAQYHOO!A$2:G$506,2,0)</f>
        <v>31.31</v>
      </c>
    </row>
    <row r="85" spans="1:15">
      <c r="A85" s="39">
        <v>42265</v>
      </c>
      <c r="B85">
        <v>63.75</v>
      </c>
      <c r="C85">
        <f>VLOOKUP(A85,NYSEARCAVTI!A$2:G$506,2,0)</f>
        <v>102.05</v>
      </c>
      <c r="D85">
        <f>VLOOKUP(A85,NYSEARCAVEU!A$2:G$506,2,0)</f>
        <v>44.33</v>
      </c>
      <c r="E85">
        <f>VLOOKUP(A85,NYSEARCAVWO!A$2:G$506,2,0)</f>
        <v>34.82</v>
      </c>
      <c r="F85">
        <f>VLOOKUP(A85,NYSEARCABND!A$2:G$506,2,0)</f>
        <v>81.63</v>
      </c>
      <c r="G85">
        <f>VLOOKUP(A85,NYSEARCATIP!A$2:G$506,2,0)</f>
        <v>110.9</v>
      </c>
      <c r="H85">
        <f>VLOOKUP(A85,NYSEARCAMUB!A$2:G$506,2,0)</f>
        <v>108.72</v>
      </c>
      <c r="I85">
        <f>VLOOKUP(A85,NYSEARCAVNQ!A$2:G$506,2,0)</f>
        <v>75.89</v>
      </c>
      <c r="J85">
        <f>VLOOKUP(A85,NYSEARCARWX!A$2:G$506,2,0)</f>
        <v>38.979999999999997</v>
      </c>
      <c r="K85">
        <f>VLOOKUP(A85,NYSEARCADBC!A$2:G$506,2,0)</f>
        <v>15.12</v>
      </c>
      <c r="L85">
        <f>VLOOKUP(A85,NYSEARCAGSG!A$2:G$506,2,0)</f>
        <v>17.22</v>
      </c>
      <c r="M85">
        <f>VLOOKUP(A85,NYSEARCAGLD!A$2:G$506,2,0)</f>
        <v>109.1</v>
      </c>
      <c r="N85">
        <f>VLOOKUP(A85,NYSEBP!A$2:G$506,2,0)</f>
        <v>31.51</v>
      </c>
      <c r="O85">
        <f>VLOOKUP(A85,NASDAQYHOO!A$2:G$506,2,0)</f>
        <v>30.51</v>
      </c>
    </row>
    <row r="86" spans="1:15">
      <c r="A86" s="39">
        <v>42268</v>
      </c>
      <c r="B86">
        <v>63.75</v>
      </c>
      <c r="C86">
        <f>VLOOKUP(A86,NYSEARCAVTI!A$2:G$506,2,0)</f>
        <v>102.42</v>
      </c>
      <c r="D86">
        <f>VLOOKUP(A86,NYSEARCAVEU!A$2:G$506,2,0)</f>
        <v>44.25</v>
      </c>
      <c r="E86">
        <f>VLOOKUP(A86,NYSEARCAVWO!A$2:G$506,2,0)</f>
        <v>34.520000000000003</v>
      </c>
      <c r="F86">
        <f>VLOOKUP(A86,NYSEARCABND!A$2:G$506,2,0)</f>
        <v>81.62</v>
      </c>
      <c r="G86">
        <f>VLOOKUP(A86,NYSEARCATIP!A$2:G$506,2,0)</f>
        <v>110.95</v>
      </c>
      <c r="H86">
        <f>VLOOKUP(A86,NYSEARCAMUB!A$2:G$506,2,0)</f>
        <v>108.84</v>
      </c>
      <c r="I86">
        <f>VLOOKUP(A86,NYSEARCAVNQ!A$2:G$506,2,0)</f>
        <v>76.34</v>
      </c>
      <c r="J86">
        <f>VLOOKUP(A86,NYSEARCARWX!A$2:G$506,2,0)</f>
        <v>38.979999999999997</v>
      </c>
      <c r="K86">
        <f>VLOOKUP(A86,NYSEARCADBC!A$2:G$506,2,0)</f>
        <v>15.07</v>
      </c>
      <c r="L86">
        <f>VLOOKUP(A86,NYSEARCAGSG!A$2:G$506,2,0)</f>
        <v>17.13</v>
      </c>
      <c r="M86">
        <f>VLOOKUP(A86,NYSEARCAGLD!A$2:G$506,2,0)</f>
        <v>108.49</v>
      </c>
      <c r="N86">
        <f>VLOOKUP(A86,NYSEBP!A$2:G$506,2,0)</f>
        <v>31.04</v>
      </c>
      <c r="O86">
        <f>VLOOKUP(A86,NASDAQYHOO!A$2:G$506,2,0)</f>
        <v>31.2</v>
      </c>
    </row>
    <row r="87" spans="1:15">
      <c r="A87" s="39">
        <v>42269</v>
      </c>
      <c r="B87">
        <v>63.23</v>
      </c>
      <c r="C87">
        <f>VLOOKUP(A87,NYSEARCAVTI!A$2:G$506,2,0)</f>
        <v>101</v>
      </c>
      <c r="D87">
        <f>VLOOKUP(A87,NYSEARCAVEU!A$2:G$506,2,0)</f>
        <v>43.15</v>
      </c>
      <c r="E87">
        <f>VLOOKUP(A87,NYSEARCAVWO!A$2:G$506,2,0)</f>
        <v>33.729999999999997</v>
      </c>
      <c r="F87">
        <f>VLOOKUP(A87,NYSEARCABND!A$2:G$506,2,0)</f>
        <v>81.599999999999994</v>
      </c>
      <c r="G87">
        <f>VLOOKUP(A87,NYSEARCATIP!A$2:G$506,2,0)</f>
        <v>110.6</v>
      </c>
      <c r="H87">
        <f>VLOOKUP(A87,NYSEARCAMUB!A$2:G$506,2,0)</f>
        <v>108.92</v>
      </c>
      <c r="I87">
        <f>VLOOKUP(A87,NYSEARCAVNQ!A$2:G$506,2,0)</f>
        <v>76.41</v>
      </c>
      <c r="J87">
        <f>VLOOKUP(A87,NYSEARCARWX!A$2:G$506,2,0)</f>
        <v>38.380000000000003</v>
      </c>
      <c r="K87">
        <f>VLOOKUP(A87,NYSEARCADBC!A$2:G$506,2,0)</f>
        <v>14.97</v>
      </c>
      <c r="L87">
        <f>VLOOKUP(A87,NYSEARCAGSG!A$2:G$506,2,0)</f>
        <v>17.079999999999998</v>
      </c>
      <c r="M87">
        <f>VLOOKUP(A87,NYSEARCAGLD!A$2:G$506,2,0)</f>
        <v>107.58</v>
      </c>
      <c r="N87">
        <f>VLOOKUP(A87,NYSEBP!A$2:G$506,2,0)</f>
        <v>30.11</v>
      </c>
      <c r="O87">
        <f>VLOOKUP(A87,NASDAQYHOO!A$2:G$506,2,0)</f>
        <v>30.78</v>
      </c>
    </row>
    <row r="88" spans="1:15">
      <c r="A88" s="39">
        <v>42270</v>
      </c>
      <c r="B88">
        <v>63.72</v>
      </c>
      <c r="C88">
        <f>VLOOKUP(A88,NYSEARCAVTI!A$2:G$506,2,0)</f>
        <v>101.04</v>
      </c>
      <c r="D88">
        <f>VLOOKUP(A88,NYSEARCAVEU!A$2:G$506,2,0)</f>
        <v>43.1</v>
      </c>
      <c r="E88">
        <f>VLOOKUP(A88,NYSEARCAVWO!A$2:G$506,2,0)</f>
        <v>33.61</v>
      </c>
      <c r="F88">
        <f>VLOOKUP(A88,NYSEARCABND!A$2:G$506,2,0)</f>
        <v>81.66</v>
      </c>
      <c r="G88">
        <f>VLOOKUP(A88,NYSEARCATIP!A$2:G$506,2,0)</f>
        <v>110.72</v>
      </c>
      <c r="H88">
        <f>VLOOKUP(A88,NYSEARCAMUB!A$2:G$506,2,0)</f>
        <v>109.14</v>
      </c>
      <c r="I88">
        <f>VLOOKUP(A88,NYSEARCAVNQ!A$2:G$506,2,0)</f>
        <v>75.5</v>
      </c>
      <c r="J88">
        <f>VLOOKUP(A88,NYSEARCARWX!A$2:G$506,2,0)</f>
        <v>38.450000000000003</v>
      </c>
      <c r="K88">
        <f>VLOOKUP(A88,NYSEARCADBC!A$2:G$506,2,0)</f>
        <v>15.19</v>
      </c>
      <c r="L88">
        <f>VLOOKUP(A88,NYSEARCAGSG!A$2:G$506,2,0)</f>
        <v>17.29</v>
      </c>
      <c r="M88">
        <f>VLOOKUP(A88,NYSEARCAGLD!A$2:G$506,2,0)</f>
        <v>108.54</v>
      </c>
      <c r="N88">
        <f>VLOOKUP(A88,NYSEBP!A$2:G$506,2,0)</f>
        <v>30.63</v>
      </c>
      <c r="O88">
        <f>VLOOKUP(A88,NASDAQYHOO!A$2:G$506,2,0)</f>
        <v>30.56</v>
      </c>
    </row>
    <row r="89" spans="1:15">
      <c r="A89" s="39">
        <v>42271</v>
      </c>
      <c r="B89">
        <v>63.36</v>
      </c>
      <c r="C89">
        <f>VLOOKUP(A89,NYSEARCAVTI!A$2:G$506,2,0)</f>
        <v>100.02</v>
      </c>
      <c r="D89">
        <f>VLOOKUP(A89,NYSEARCAVEU!A$2:G$506,2,0)</f>
        <v>42.4</v>
      </c>
      <c r="E89">
        <f>VLOOKUP(A89,NYSEARCAVWO!A$2:G$506,2,0)</f>
        <v>32.75</v>
      </c>
      <c r="F89">
        <f>VLOOKUP(A89,NYSEARCABND!A$2:G$506,2,0)</f>
        <v>81.84</v>
      </c>
      <c r="G89">
        <f>VLOOKUP(A89,NYSEARCATIP!A$2:G$506,2,0)</f>
        <v>110.94</v>
      </c>
      <c r="H89">
        <f>VLOOKUP(A89,NYSEARCAMUB!A$2:G$506,2,0)</f>
        <v>109.2</v>
      </c>
      <c r="I89">
        <f>VLOOKUP(A89,NYSEARCAVNQ!A$2:G$506,2,0)</f>
        <v>75.59</v>
      </c>
      <c r="J89">
        <f>VLOOKUP(A89,NYSEARCARWX!A$2:G$506,2,0)</f>
        <v>38.340000000000003</v>
      </c>
      <c r="K89">
        <f>VLOOKUP(A89,NYSEARCADBC!A$2:G$506,2,0)</f>
        <v>14.92</v>
      </c>
      <c r="L89">
        <f>VLOOKUP(A89,NYSEARCAGSG!A$2:G$506,2,0)</f>
        <v>16.850000000000001</v>
      </c>
      <c r="M89">
        <f>VLOOKUP(A89,NYSEARCAGLD!A$2:G$506,2,0)</f>
        <v>109.67</v>
      </c>
      <c r="N89">
        <f>VLOOKUP(A89,NYSEBP!A$2:G$506,2,0)</f>
        <v>29.69</v>
      </c>
      <c r="O89">
        <f>VLOOKUP(A89,NASDAQYHOO!A$2:G$506,2,0)</f>
        <v>29.47</v>
      </c>
    </row>
    <row r="90" spans="1:15">
      <c r="A90" s="39">
        <v>42272</v>
      </c>
      <c r="B90">
        <v>64.069999999999993</v>
      </c>
      <c r="C90">
        <f>VLOOKUP(A90,NYSEARCAVTI!A$2:G$506,2,0)</f>
        <v>100.76</v>
      </c>
      <c r="D90">
        <f>VLOOKUP(A90,NYSEARCAVEU!A$2:G$506,2,0)</f>
        <v>43.01</v>
      </c>
      <c r="E90">
        <f>VLOOKUP(A90,NYSEARCAVWO!A$2:G$506,2,0)</f>
        <v>33.1</v>
      </c>
      <c r="F90">
        <f>VLOOKUP(A90,NYSEARCABND!A$2:G$506,2,0)</f>
        <v>81.599999999999994</v>
      </c>
      <c r="G90">
        <f>VLOOKUP(A90,NYSEARCATIP!A$2:G$506,2,0)</f>
        <v>110.46</v>
      </c>
      <c r="H90">
        <f>VLOOKUP(A90,NYSEARCAMUB!A$2:G$506,2,0)</f>
        <v>109.15</v>
      </c>
      <c r="I90">
        <f>VLOOKUP(A90,NYSEARCAVNQ!A$2:G$506,2,0)</f>
        <v>75.319999999999993</v>
      </c>
      <c r="J90">
        <f>VLOOKUP(A90,NYSEARCARWX!A$2:G$506,2,0)</f>
        <v>39.32</v>
      </c>
      <c r="K90">
        <f>VLOOKUP(A90,NYSEARCADBC!A$2:G$506,2,0)</f>
        <v>15.11</v>
      </c>
      <c r="L90">
        <f>VLOOKUP(A90,NYSEARCAGSG!A$2:G$506,2,0)</f>
        <v>17.190000000000001</v>
      </c>
      <c r="M90">
        <f>VLOOKUP(A90,NYSEARCAGLD!A$2:G$506,2,0)</f>
        <v>109.87</v>
      </c>
      <c r="N90">
        <f>VLOOKUP(A90,NYSEBP!A$2:G$506,2,0)</f>
        <v>30.5</v>
      </c>
      <c r="O90">
        <f>VLOOKUP(A90,NASDAQYHOO!A$2:G$506,2,0)</f>
        <v>29.66</v>
      </c>
    </row>
    <row r="91" spans="1:15">
      <c r="A91" s="39">
        <v>42275</v>
      </c>
      <c r="B91">
        <v>63.6</v>
      </c>
      <c r="C91">
        <f>VLOOKUP(A91,NYSEARCAVTI!A$2:G$506,2,0)</f>
        <v>99.06</v>
      </c>
      <c r="D91">
        <f>VLOOKUP(A91,NYSEARCAVEU!A$2:G$506,2,0)</f>
        <v>42.36</v>
      </c>
      <c r="E91">
        <f>VLOOKUP(A91,NYSEARCAVWO!A$2:G$506,2,0)</f>
        <v>32.33</v>
      </c>
      <c r="F91">
        <f>VLOOKUP(A91,NYSEARCABND!A$2:G$506,2,0)</f>
        <v>81.63</v>
      </c>
      <c r="G91">
        <f>VLOOKUP(A91,NYSEARCATIP!A$2:G$506,2,0)</f>
        <v>110.2</v>
      </c>
      <c r="H91">
        <f>VLOOKUP(A91,NYSEARCAMUB!A$2:G$506,2,0)</f>
        <v>109.27</v>
      </c>
      <c r="I91">
        <f>VLOOKUP(A91,NYSEARCAVNQ!A$2:G$506,2,0)</f>
        <v>75.12</v>
      </c>
      <c r="J91">
        <f>VLOOKUP(A91,NYSEARCARWX!A$2:G$506,2,0)</f>
        <v>38.950000000000003</v>
      </c>
      <c r="K91">
        <f>VLOOKUP(A91,NYSEARCADBC!A$2:G$506,2,0)</f>
        <v>15</v>
      </c>
      <c r="L91">
        <f>VLOOKUP(A91,NYSEARCAGSG!A$2:G$506,2,0)</f>
        <v>16.989999999999998</v>
      </c>
      <c r="M91">
        <f>VLOOKUP(A91,NYSEARCAGLD!A$2:G$506,2,0)</f>
        <v>108.37</v>
      </c>
      <c r="N91">
        <f>VLOOKUP(A91,NYSEBP!A$2:G$506,2,0)</f>
        <v>29.88</v>
      </c>
      <c r="O91">
        <f>VLOOKUP(A91,NASDAQYHOO!A$2:G$506,2,0)</f>
        <v>29.03</v>
      </c>
    </row>
    <row r="92" spans="1:15">
      <c r="A92" s="39">
        <v>42276</v>
      </c>
      <c r="B92">
        <v>63.75</v>
      </c>
      <c r="C92">
        <f>VLOOKUP(A92,NYSEARCAVTI!A$2:G$506,2,0)</f>
        <v>97.23</v>
      </c>
      <c r="D92">
        <f>VLOOKUP(A92,NYSEARCAVEU!A$2:G$506,2,0)</f>
        <v>41.67</v>
      </c>
      <c r="E92">
        <f>VLOOKUP(A92,NYSEARCAVWO!A$2:G$506,2,0)</f>
        <v>32.08</v>
      </c>
      <c r="F92">
        <f>VLOOKUP(A92,NYSEARCABND!A$2:G$506,2,0)</f>
        <v>81.72</v>
      </c>
      <c r="G92">
        <f>VLOOKUP(A92,NYSEARCATIP!A$2:G$506,2,0)</f>
        <v>110.42</v>
      </c>
      <c r="H92">
        <f>VLOOKUP(A92,NYSEARCAMUB!A$2:G$506,2,0)</f>
        <v>109.43</v>
      </c>
      <c r="I92">
        <f>VLOOKUP(A92,NYSEARCAVNQ!A$2:G$506,2,0)</f>
        <v>74.569999999999993</v>
      </c>
      <c r="J92">
        <f>VLOOKUP(A92,NYSEARCARWX!A$2:G$506,2,0)</f>
        <v>38.61</v>
      </c>
      <c r="K92">
        <f>VLOOKUP(A92,NYSEARCADBC!A$2:G$506,2,0)</f>
        <v>14.97</v>
      </c>
      <c r="L92">
        <f>VLOOKUP(A92,NYSEARCAGSG!A$2:G$506,2,0)</f>
        <v>16.940000000000001</v>
      </c>
      <c r="M92">
        <f>VLOOKUP(A92,NYSEARCAGLD!A$2:G$506,2,0)</f>
        <v>108.24</v>
      </c>
      <c r="N92">
        <f>VLOOKUP(A92,NYSEBP!A$2:G$506,2,0)</f>
        <v>29.87</v>
      </c>
      <c r="O92">
        <f>VLOOKUP(A92,NASDAQYHOO!A$2:G$506,2,0)</f>
        <v>28.58</v>
      </c>
    </row>
    <row r="93" spans="1:15">
      <c r="A93" s="39">
        <v>42277</v>
      </c>
      <c r="B93">
        <v>64.430000000000007</v>
      </c>
      <c r="C93">
        <f>VLOOKUP(A93,NYSEARCAVTI!A$2:G$506,2,0)</f>
        <v>98.11</v>
      </c>
      <c r="D93">
        <f>VLOOKUP(A93,NYSEARCAVEU!A$2:G$506,2,0)</f>
        <v>42.45</v>
      </c>
      <c r="E93">
        <f>VLOOKUP(A93,NYSEARCAVWO!A$2:G$506,2,0)</f>
        <v>33.01</v>
      </c>
      <c r="F93">
        <f>VLOOKUP(A93,NYSEARCABND!A$2:G$506,2,0)</f>
        <v>81.790000000000006</v>
      </c>
      <c r="G93">
        <f>VLOOKUP(A93,NYSEARCATIP!A$2:G$506,2,0)</f>
        <v>110.53</v>
      </c>
      <c r="H93">
        <f>VLOOKUP(A93,NYSEARCAMUB!A$2:G$506,2,0)</f>
        <v>109.57</v>
      </c>
      <c r="I93">
        <f>VLOOKUP(A93,NYSEARCAVNQ!A$2:G$506,2,0)</f>
        <v>75.45</v>
      </c>
      <c r="J93">
        <f>VLOOKUP(A93,NYSEARCARWX!A$2:G$506,2,0)</f>
        <v>39.19</v>
      </c>
      <c r="K93">
        <f>VLOOKUP(A93,NYSEARCADBC!A$2:G$506,2,0)</f>
        <v>15.07</v>
      </c>
      <c r="L93">
        <f>VLOOKUP(A93,NYSEARCAGSG!A$2:G$506,2,0)</f>
        <v>17.03</v>
      </c>
      <c r="M93">
        <f>VLOOKUP(A93,NYSEARCAGLD!A$2:G$506,2,0)</f>
        <v>106.78</v>
      </c>
      <c r="N93">
        <f>VLOOKUP(A93,NYSEBP!A$2:G$506,2,0)</f>
        <v>30.18</v>
      </c>
      <c r="O93">
        <f>VLOOKUP(A93,NASDAQYHOO!A$2:G$506,2,0)</f>
        <v>28.65</v>
      </c>
    </row>
    <row r="94" spans="1:15">
      <c r="A94" s="39">
        <v>42278</v>
      </c>
      <c r="B94">
        <v>64.760000000000005</v>
      </c>
      <c r="C94">
        <f>VLOOKUP(A94,NYSEARCAVTI!A$2:G$506,2,0)</f>
        <v>98.96</v>
      </c>
      <c r="D94">
        <f>VLOOKUP(A94,NYSEARCAVEU!A$2:G$506,2,0)</f>
        <v>42.97</v>
      </c>
      <c r="E94">
        <f>VLOOKUP(A94,NYSEARCAVWO!A$2:G$506,2,0)</f>
        <v>33.340000000000003</v>
      </c>
      <c r="F94">
        <f>VLOOKUP(A94,NYSEARCABND!A$2:G$506,2,0)</f>
        <v>81.89</v>
      </c>
      <c r="G94">
        <f>VLOOKUP(A94,NYSEARCATIP!A$2:G$506,2,0)</f>
        <v>111.1</v>
      </c>
      <c r="H94">
        <f>VLOOKUP(A94,NYSEARCAMUB!A$2:G$506,2,0)</f>
        <v>109.47</v>
      </c>
      <c r="I94">
        <f>VLOOKUP(A94,NYSEARCAVNQ!A$2:G$506,2,0)</f>
        <v>75.66</v>
      </c>
      <c r="J94">
        <f>VLOOKUP(A94,NYSEARCARWX!A$2:G$506,2,0)</f>
        <v>39.65</v>
      </c>
      <c r="K94">
        <f>VLOOKUP(A94,NYSEARCADBC!A$2:G$506,2,0)</f>
        <v>15.32</v>
      </c>
      <c r="L94">
        <f>VLOOKUP(A94,NYSEARCAGSG!A$2:G$506,2,0)</f>
        <v>17.32</v>
      </c>
      <c r="M94">
        <f>VLOOKUP(A94,NYSEARCAGLD!A$2:G$506,2,0)</f>
        <v>106.98</v>
      </c>
      <c r="N94">
        <f>VLOOKUP(A94,NYSEBP!A$2:G$506,2,0)</f>
        <v>31.66</v>
      </c>
      <c r="O94">
        <f>VLOOKUP(A94,NASDAQYHOO!A$2:G$506,2,0)</f>
        <v>28.95</v>
      </c>
    </row>
    <row r="95" spans="1:15">
      <c r="A95" s="39">
        <v>42279</v>
      </c>
      <c r="B95">
        <v>63.76</v>
      </c>
      <c r="C95">
        <f>VLOOKUP(A95,NYSEARCAVTI!A$2:G$506,2,0)</f>
        <v>97.96</v>
      </c>
      <c r="D95">
        <f>VLOOKUP(A95,NYSEARCAVEU!A$2:G$506,2,0)</f>
        <v>42.62</v>
      </c>
      <c r="E95">
        <f>VLOOKUP(A95,NYSEARCAVWO!A$2:G$506,2,0)</f>
        <v>33.049999999999997</v>
      </c>
      <c r="F95">
        <f>VLOOKUP(A95,NYSEARCABND!A$2:G$506,2,0)</f>
        <v>82.17</v>
      </c>
      <c r="G95">
        <f>VLOOKUP(A95,NYSEARCATIP!A$2:G$506,2,0)</f>
        <v>111.8</v>
      </c>
      <c r="H95">
        <f>VLOOKUP(A95,NYSEARCAMUB!A$2:G$506,2,0)</f>
        <v>109.61</v>
      </c>
      <c r="I95">
        <f>VLOOKUP(A95,NYSEARCAVNQ!A$2:G$506,2,0)</f>
        <v>76.11</v>
      </c>
      <c r="J95">
        <f>VLOOKUP(A95,NYSEARCARWX!A$2:G$506,2,0)</f>
        <v>39.17</v>
      </c>
      <c r="K95">
        <f>VLOOKUP(A95,NYSEARCADBC!A$2:G$506,2,0)</f>
        <v>14.92</v>
      </c>
      <c r="L95">
        <f>VLOOKUP(A95,NYSEARCAGSG!A$2:G$506,2,0)</f>
        <v>16.75</v>
      </c>
      <c r="M95">
        <f>VLOOKUP(A95,NYSEARCAGLD!A$2:G$506,2,0)</f>
        <v>108.54</v>
      </c>
      <c r="N95">
        <f>VLOOKUP(A95,NYSEBP!A$2:G$506,2,0)</f>
        <v>31.48</v>
      </c>
      <c r="O95">
        <f>VLOOKUP(A95,NASDAQYHOO!A$2:G$506,2,0)</f>
        <v>28.62</v>
      </c>
    </row>
    <row r="96" spans="1:15">
      <c r="A96" s="39">
        <v>42282</v>
      </c>
      <c r="B96">
        <v>65.209999999999994</v>
      </c>
      <c r="C96">
        <f>VLOOKUP(A96,NYSEARCAVTI!A$2:G$506,2,0)</f>
        <v>101.1</v>
      </c>
      <c r="D96">
        <f>VLOOKUP(A96,NYSEARCAVEU!A$2:G$506,2,0)</f>
        <v>44.08</v>
      </c>
      <c r="E96">
        <f>VLOOKUP(A96,NYSEARCAVWO!A$2:G$506,2,0)</f>
        <v>34.47</v>
      </c>
      <c r="F96">
        <f>VLOOKUP(A96,NYSEARCABND!A$2:G$506,2,0)</f>
        <v>82.02</v>
      </c>
      <c r="G96">
        <f>VLOOKUP(A96,NYSEARCATIP!A$2:G$506,2,0)</f>
        <v>111.67</v>
      </c>
      <c r="H96">
        <f>VLOOKUP(A96,NYSEARCAMUB!A$2:G$506,2,0)</f>
        <v>109.61</v>
      </c>
      <c r="I96">
        <f>VLOOKUP(A96,NYSEARCAVNQ!A$2:G$506,2,0)</f>
        <v>76.78</v>
      </c>
      <c r="J96">
        <f>VLOOKUP(A96,NYSEARCARWX!A$2:G$506,2,0)</f>
        <v>40.44</v>
      </c>
      <c r="K96">
        <f>VLOOKUP(A96,NYSEARCADBC!A$2:G$506,2,0)</f>
        <v>15.31</v>
      </c>
      <c r="L96">
        <f>VLOOKUP(A96,NYSEARCAGSG!A$2:G$506,2,0)</f>
        <v>17.25</v>
      </c>
      <c r="M96">
        <f>VLOOKUP(A96,NYSEARCAGLD!A$2:G$506,2,0)</f>
        <v>109.14</v>
      </c>
      <c r="N96">
        <f>VLOOKUP(A96,NYSEBP!A$2:G$506,2,0)</f>
        <v>33.19</v>
      </c>
      <c r="O96">
        <f>VLOOKUP(A96,NASDAQYHOO!A$2:G$506,2,0)</f>
        <v>30.8</v>
      </c>
    </row>
    <row r="97" spans="1:15">
      <c r="A97" s="39">
        <v>42283</v>
      </c>
      <c r="B97">
        <v>65.540000000000006</v>
      </c>
      <c r="C97">
        <f>VLOOKUP(A97,NYSEARCAVTI!A$2:G$506,2,0)</f>
        <v>102.21</v>
      </c>
      <c r="D97">
        <f>VLOOKUP(A97,NYSEARCAVEU!A$2:G$506,2,0)</f>
        <v>44.32</v>
      </c>
      <c r="E97">
        <f>VLOOKUP(A97,NYSEARCAVWO!A$2:G$506,2,0)</f>
        <v>34.68</v>
      </c>
      <c r="F97">
        <f>VLOOKUP(A97,NYSEARCABND!A$2:G$506,2,0)</f>
        <v>81.900000000000006</v>
      </c>
      <c r="G97">
        <f>VLOOKUP(A97,NYSEARCATIP!A$2:G$506,2,0)</f>
        <v>111.33</v>
      </c>
      <c r="H97">
        <f>VLOOKUP(A97,NYSEARCAMUB!A$2:G$506,2,0)</f>
        <v>109.55</v>
      </c>
      <c r="I97">
        <f>VLOOKUP(A97,NYSEARCAVNQ!A$2:G$506,2,0)</f>
        <v>77.790000000000006</v>
      </c>
      <c r="J97">
        <f>VLOOKUP(A97,NYSEARCARWX!A$2:G$506,2,0)</f>
        <v>40.56</v>
      </c>
      <c r="K97">
        <f>VLOOKUP(A97,NYSEARCADBC!A$2:G$506,2,0)</f>
        <v>15.43</v>
      </c>
      <c r="L97">
        <f>VLOOKUP(A97,NYSEARCAGSG!A$2:G$506,2,0)</f>
        <v>17.37</v>
      </c>
      <c r="M97">
        <f>VLOOKUP(A97,NYSEARCAGLD!A$2:G$506,2,0)</f>
        <v>109.8</v>
      </c>
      <c r="N97">
        <f>VLOOKUP(A97,NYSEBP!A$2:G$506,2,0)</f>
        <v>33.79</v>
      </c>
      <c r="O97">
        <f>VLOOKUP(A97,NASDAQYHOO!A$2:G$506,2,0)</f>
        <v>30.79</v>
      </c>
    </row>
    <row r="98" spans="1:15">
      <c r="A98" s="39">
        <v>42284</v>
      </c>
      <c r="B98">
        <v>65.84</v>
      </c>
      <c r="C98">
        <f>VLOOKUP(A98,NYSEARCAVTI!A$2:G$506,2,0)</f>
        <v>102.44</v>
      </c>
      <c r="D98">
        <f>VLOOKUP(A98,NYSEARCAVEU!A$2:G$506,2,0)</f>
        <v>45.05</v>
      </c>
      <c r="E98">
        <f>VLOOKUP(A98,NYSEARCAVWO!A$2:G$506,2,0)</f>
        <v>35.4</v>
      </c>
      <c r="F98">
        <f>VLOOKUP(A98,NYSEARCABND!A$2:G$506,2,0)</f>
        <v>81.87</v>
      </c>
      <c r="G98">
        <f>VLOOKUP(A98,NYSEARCATIP!A$2:G$506,2,0)</f>
        <v>111.49</v>
      </c>
      <c r="H98">
        <f>VLOOKUP(A98,NYSEARCAMUB!A$2:G$506,2,0)</f>
        <v>109.51</v>
      </c>
      <c r="I98">
        <f>VLOOKUP(A98,NYSEARCAVNQ!A$2:G$506,2,0)</f>
        <v>77.88</v>
      </c>
      <c r="J98">
        <f>VLOOKUP(A98,NYSEARCARWX!A$2:G$506,2,0)</f>
        <v>40.69</v>
      </c>
      <c r="K98">
        <f>VLOOKUP(A98,NYSEARCADBC!A$2:G$506,2,0)</f>
        <v>15.79</v>
      </c>
      <c r="L98">
        <f>VLOOKUP(A98,NYSEARCAGSG!A$2:G$506,2,0)</f>
        <v>17.98</v>
      </c>
      <c r="M98">
        <f>VLOOKUP(A98,NYSEARCAGLD!A$2:G$506,2,0)</f>
        <v>109.75</v>
      </c>
      <c r="N98">
        <f>VLOOKUP(A98,NYSEBP!A$2:G$506,2,0)</f>
        <v>35.72</v>
      </c>
      <c r="O98">
        <f>VLOOKUP(A98,NASDAQYHOO!A$2:G$506,2,0)</f>
        <v>31.31</v>
      </c>
    </row>
    <row r="99" spans="1:15">
      <c r="A99" s="39">
        <v>42285</v>
      </c>
      <c r="B99">
        <v>66.23</v>
      </c>
      <c r="C99">
        <f>VLOOKUP(A99,NYSEARCAVTI!A$2:G$506,2,0)</f>
        <v>102.53</v>
      </c>
      <c r="D99">
        <f>VLOOKUP(A99,NYSEARCAVEU!A$2:G$506,2,0)</f>
        <v>44.92</v>
      </c>
      <c r="E99">
        <f>VLOOKUP(A99,NYSEARCAVWO!A$2:G$506,2,0)</f>
        <v>35.35</v>
      </c>
      <c r="F99">
        <f>VLOOKUP(A99,NYSEARCABND!A$2:G$506,2,0)</f>
        <v>81.92</v>
      </c>
      <c r="G99">
        <f>VLOOKUP(A99,NYSEARCATIP!A$2:G$506,2,0)</f>
        <v>111.66</v>
      </c>
      <c r="H99">
        <f>VLOOKUP(A99,NYSEARCAMUB!A$2:G$506,2,0)</f>
        <v>109.5</v>
      </c>
      <c r="I99">
        <f>VLOOKUP(A99,NYSEARCAVNQ!A$2:G$506,2,0)</f>
        <v>78.39</v>
      </c>
      <c r="J99">
        <f>VLOOKUP(A99,NYSEARCARWX!A$2:G$506,2,0)</f>
        <v>40.479999999999997</v>
      </c>
      <c r="K99">
        <f>VLOOKUP(A99,NYSEARCADBC!A$2:G$506,2,0)</f>
        <v>15.57</v>
      </c>
      <c r="L99">
        <f>VLOOKUP(A99,NYSEARCAGSG!A$2:G$506,2,0)</f>
        <v>17.72</v>
      </c>
      <c r="M99">
        <f>VLOOKUP(A99,NYSEARCAGLD!A$2:G$506,2,0)</f>
        <v>109.16</v>
      </c>
      <c r="N99">
        <f>VLOOKUP(A99,NYSEBP!A$2:G$506,2,0)</f>
        <v>35.31</v>
      </c>
      <c r="O99">
        <f>VLOOKUP(A99,NASDAQYHOO!A$2:G$506,2,0)</f>
        <v>31.79</v>
      </c>
    </row>
    <row r="100" spans="1:15">
      <c r="A100" s="39">
        <v>42286</v>
      </c>
      <c r="B100">
        <v>66.94</v>
      </c>
      <c r="C100">
        <f>VLOOKUP(A100,NYSEARCAVTI!A$2:G$506,2,0)</f>
        <v>103.8</v>
      </c>
      <c r="D100">
        <f>VLOOKUP(A100,NYSEARCAVEU!A$2:G$506,2,0)</f>
        <v>45.65</v>
      </c>
      <c r="E100">
        <f>VLOOKUP(A100,NYSEARCAVWO!A$2:G$506,2,0)</f>
        <v>36.130000000000003</v>
      </c>
      <c r="F100">
        <f>VLOOKUP(A100,NYSEARCABND!A$2:G$506,2,0)</f>
        <v>81.680000000000007</v>
      </c>
      <c r="G100">
        <f>VLOOKUP(A100,NYSEARCATIP!A$2:G$506,2,0)</f>
        <v>111.41</v>
      </c>
      <c r="H100">
        <f>VLOOKUP(A100,NYSEARCAMUB!A$2:G$506,2,0)</f>
        <v>109.23</v>
      </c>
      <c r="I100">
        <f>VLOOKUP(A100,NYSEARCAVNQ!A$2:G$506,2,0)</f>
        <v>79.11</v>
      </c>
      <c r="J100">
        <f>VLOOKUP(A100,NYSEARCARWX!A$2:G$506,2,0)</f>
        <v>40.98</v>
      </c>
      <c r="K100">
        <f>VLOOKUP(A100,NYSEARCADBC!A$2:G$506,2,0)</f>
        <v>15.8</v>
      </c>
      <c r="L100">
        <f>VLOOKUP(A100,NYSEARCAGSG!A$2:G$506,2,0)</f>
        <v>17.96</v>
      </c>
      <c r="M100">
        <f>VLOOKUP(A100,NYSEARCAGLD!A$2:G$506,2,0)</f>
        <v>110.54</v>
      </c>
      <c r="N100">
        <f>VLOOKUP(A100,NYSEBP!A$2:G$506,2,0)</f>
        <v>36.28</v>
      </c>
      <c r="O100">
        <f>VLOOKUP(A100,NASDAQYHOO!A$2:G$506,2,0)</f>
        <v>32.35</v>
      </c>
    </row>
    <row r="101" spans="1:15">
      <c r="A101" s="39">
        <v>42289</v>
      </c>
      <c r="B101">
        <v>66.67</v>
      </c>
      <c r="C101">
        <f>VLOOKUP(A101,NYSEARCAVTI!A$2:G$506,2,0)</f>
        <v>103.85</v>
      </c>
      <c r="D101">
        <f>VLOOKUP(A101,NYSEARCAVEU!A$2:G$506,2,0)</f>
        <v>45.54</v>
      </c>
      <c r="E101">
        <f>VLOOKUP(A101,NYSEARCAVWO!A$2:G$506,2,0)</f>
        <v>36.159999999999997</v>
      </c>
      <c r="F101">
        <f>VLOOKUP(A101,NYSEARCABND!A$2:G$506,2,0)</f>
        <v>81.84</v>
      </c>
      <c r="G101">
        <f>VLOOKUP(A101,NYSEARCATIP!A$2:G$506,2,0)</f>
        <v>111.47</v>
      </c>
      <c r="H101">
        <f>VLOOKUP(A101,NYSEARCAMUB!A$2:G$506,2,0)</f>
        <v>109.49</v>
      </c>
      <c r="I101">
        <f>VLOOKUP(A101,NYSEARCAVNQ!A$2:G$506,2,0)</f>
        <v>79.16</v>
      </c>
      <c r="J101">
        <f>VLOOKUP(A101,NYSEARCARWX!A$2:G$506,2,0)</f>
        <v>40.799999999999997</v>
      </c>
      <c r="K101">
        <f>VLOOKUP(A101,NYSEARCADBC!A$2:G$506,2,0)</f>
        <v>15.79</v>
      </c>
      <c r="L101">
        <f>VLOOKUP(A101,NYSEARCAGSG!A$2:G$506,2,0)</f>
        <v>17.91</v>
      </c>
      <c r="M101">
        <f>VLOOKUP(A101,NYSEARCAGLD!A$2:G$506,2,0)</f>
        <v>111.67</v>
      </c>
      <c r="N101">
        <f>VLOOKUP(A101,NYSEBP!A$2:G$506,2,0)</f>
        <v>35.74</v>
      </c>
      <c r="O101">
        <f>VLOOKUP(A101,NASDAQYHOO!A$2:G$506,2,0)</f>
        <v>32.71</v>
      </c>
    </row>
    <row r="102" spans="1:15">
      <c r="A102" s="39">
        <v>42290</v>
      </c>
      <c r="B102">
        <v>66.62</v>
      </c>
      <c r="C102">
        <f>VLOOKUP(A102,NYSEARCAVTI!A$2:G$506,2,0)</f>
        <v>103.29</v>
      </c>
      <c r="D102">
        <f>VLOOKUP(A102,NYSEARCAVEU!A$2:G$506,2,0)</f>
        <v>44.97</v>
      </c>
      <c r="E102">
        <f>VLOOKUP(A102,NYSEARCAVWO!A$2:G$506,2,0)</f>
        <v>35.39</v>
      </c>
      <c r="F102">
        <f>VLOOKUP(A102,NYSEARCABND!A$2:G$506,2,0)</f>
        <v>81.94</v>
      </c>
      <c r="G102">
        <f>VLOOKUP(A102,NYSEARCATIP!A$2:G$506,2,0)</f>
        <v>111.39</v>
      </c>
      <c r="H102">
        <f>VLOOKUP(A102,NYSEARCAMUB!A$2:G$506,2,0)</f>
        <v>109.49</v>
      </c>
      <c r="I102">
        <f>VLOOKUP(A102,NYSEARCAVNQ!A$2:G$506,2,0)</f>
        <v>79.3</v>
      </c>
      <c r="J102">
        <f>VLOOKUP(A102,NYSEARCARWX!A$2:G$506,2,0)</f>
        <v>40.369999999999997</v>
      </c>
      <c r="K102">
        <f>VLOOKUP(A102,NYSEARCADBC!A$2:G$506,2,0)</f>
        <v>15.39</v>
      </c>
      <c r="L102">
        <f>VLOOKUP(A102,NYSEARCAGSG!A$2:G$506,2,0)</f>
        <v>17.41</v>
      </c>
      <c r="M102">
        <f>VLOOKUP(A102,NYSEARCAGLD!A$2:G$506,2,0)</f>
        <v>111.36</v>
      </c>
      <c r="N102">
        <f>VLOOKUP(A102,NYSEBP!A$2:G$506,2,0)</f>
        <v>34.4</v>
      </c>
      <c r="O102">
        <f>VLOOKUP(A102,NASDAQYHOO!A$2:G$506,2,0)</f>
        <v>32.56</v>
      </c>
    </row>
    <row r="103" spans="1:15">
      <c r="A103" s="39">
        <v>42291</v>
      </c>
      <c r="B103">
        <v>66.61</v>
      </c>
      <c r="C103">
        <f>VLOOKUP(A103,NYSEARCAVTI!A$2:G$506,2,0)</f>
        <v>103.05</v>
      </c>
      <c r="D103">
        <f>VLOOKUP(A103,NYSEARCAVEU!A$2:G$506,2,0)</f>
        <v>45.02</v>
      </c>
      <c r="E103">
        <f>VLOOKUP(A103,NYSEARCAVWO!A$2:G$506,2,0)</f>
        <v>35.43</v>
      </c>
      <c r="F103">
        <f>VLOOKUP(A103,NYSEARCABND!A$2:G$506,2,0)</f>
        <v>82.08</v>
      </c>
      <c r="G103">
        <f>VLOOKUP(A103,NYSEARCATIP!A$2:G$506,2,0)</f>
        <v>111.5</v>
      </c>
      <c r="H103">
        <f>VLOOKUP(A103,NYSEARCAMUB!A$2:G$506,2,0)</f>
        <v>109.54</v>
      </c>
      <c r="I103">
        <f>VLOOKUP(A103,NYSEARCAVNQ!A$2:G$506,2,0)</f>
        <v>79.09</v>
      </c>
      <c r="J103">
        <f>VLOOKUP(A103,NYSEARCARWX!A$2:G$506,2,0)</f>
        <v>40.6</v>
      </c>
      <c r="K103">
        <f>VLOOKUP(A103,NYSEARCADBC!A$2:G$506,2,0)</f>
        <v>15.44</v>
      </c>
      <c r="L103">
        <f>VLOOKUP(A103,NYSEARCAGSG!A$2:G$506,2,0)</f>
        <v>17.32</v>
      </c>
      <c r="M103">
        <f>VLOOKUP(A103,NYSEARCAGLD!A$2:G$506,2,0)</f>
        <v>112.63</v>
      </c>
      <c r="N103">
        <f>VLOOKUP(A103,NYSEBP!A$2:G$506,2,0)</f>
        <v>35.06</v>
      </c>
      <c r="O103">
        <f>VLOOKUP(A103,NASDAQYHOO!A$2:G$506,2,0)</f>
        <v>32.28</v>
      </c>
    </row>
    <row r="104" spans="1:15">
      <c r="A104" s="39">
        <v>42292</v>
      </c>
      <c r="B104">
        <v>59.7</v>
      </c>
      <c r="C104">
        <f>VLOOKUP(A104,NYSEARCAVTI!A$2:G$506,2,0)</f>
        <v>102.92</v>
      </c>
      <c r="D104">
        <f>VLOOKUP(A104,NYSEARCAVEU!A$2:G$506,2,0)</f>
        <v>45.42</v>
      </c>
      <c r="E104">
        <f>VLOOKUP(A104,NYSEARCAVWO!A$2:G$506,2,0)</f>
        <v>36.020000000000003</v>
      </c>
      <c r="F104">
        <f>VLOOKUP(A104,NYSEARCABND!A$2:G$506,2,0)</f>
        <v>82.15</v>
      </c>
      <c r="G104">
        <f>VLOOKUP(A104,NYSEARCATIP!A$2:G$506,2,0)</f>
        <v>111.82</v>
      </c>
      <c r="H104">
        <f>VLOOKUP(A104,NYSEARCAMUB!A$2:G$506,2,0)</f>
        <v>109.63</v>
      </c>
      <c r="I104">
        <f>VLOOKUP(A104,NYSEARCAVNQ!A$2:G$506,2,0)</f>
        <v>78.42</v>
      </c>
      <c r="J104">
        <f>VLOOKUP(A104,NYSEARCARWX!A$2:G$506,2,0)</f>
        <v>40.98</v>
      </c>
      <c r="K104">
        <f>VLOOKUP(A104,NYSEARCADBC!A$2:G$506,2,0)</f>
        <v>15.36</v>
      </c>
      <c r="L104">
        <f>VLOOKUP(A104,NYSEARCAGSG!A$2:G$506,2,0)</f>
        <v>17.22</v>
      </c>
      <c r="M104">
        <f>VLOOKUP(A104,NYSEARCAGLD!A$2:G$506,2,0)</f>
        <v>113.2</v>
      </c>
      <c r="N104">
        <f>VLOOKUP(A104,NYSEBP!A$2:G$506,2,0)</f>
        <v>35.36</v>
      </c>
      <c r="O104">
        <f>VLOOKUP(A104,NASDAQYHOO!A$2:G$506,2,0)</f>
        <v>32.42</v>
      </c>
    </row>
    <row r="105" spans="1:15">
      <c r="A105" s="39">
        <v>42293</v>
      </c>
      <c r="B105">
        <v>59.47</v>
      </c>
      <c r="C105">
        <f>VLOOKUP(A105,NYSEARCAVTI!A$2:G$506,2,0)</f>
        <v>104.37</v>
      </c>
      <c r="D105">
        <f>VLOOKUP(A105,NYSEARCAVEU!A$2:G$506,2,0)</f>
        <v>45.8</v>
      </c>
      <c r="E105">
        <f>VLOOKUP(A105,NYSEARCAVWO!A$2:G$506,2,0)</f>
        <v>36.19</v>
      </c>
      <c r="F105">
        <f>VLOOKUP(A105,NYSEARCABND!A$2:G$506,2,0)</f>
        <v>82.06</v>
      </c>
      <c r="G105">
        <f>VLOOKUP(A105,NYSEARCATIP!A$2:G$506,2,0)</f>
        <v>111.5</v>
      </c>
      <c r="H105">
        <f>VLOOKUP(A105,NYSEARCAMUB!A$2:G$506,2,0)</f>
        <v>109.61</v>
      </c>
      <c r="I105">
        <f>VLOOKUP(A105,NYSEARCAVNQ!A$2:G$506,2,0)</f>
        <v>79.459999999999994</v>
      </c>
      <c r="J105">
        <f>VLOOKUP(A105,NYSEARCARWX!A$2:G$506,2,0)</f>
        <v>41.31</v>
      </c>
      <c r="K105">
        <f>VLOOKUP(A105,NYSEARCADBC!A$2:G$506,2,0)</f>
        <v>15.45</v>
      </c>
      <c r="L105">
        <f>VLOOKUP(A105,NYSEARCAGSG!A$2:G$506,2,0)</f>
        <v>17.37</v>
      </c>
      <c r="M105">
        <f>VLOOKUP(A105,NYSEARCAGLD!A$2:G$506,2,0)</f>
        <v>113.24</v>
      </c>
      <c r="N105">
        <f>VLOOKUP(A105,NYSEBP!A$2:G$506,2,0)</f>
        <v>35.9</v>
      </c>
      <c r="O105">
        <f>VLOOKUP(A105,NASDAQYHOO!A$2:G$506,2,0)</f>
        <v>33.64</v>
      </c>
    </row>
    <row r="106" spans="1:15">
      <c r="A106" s="39">
        <v>42296</v>
      </c>
      <c r="B106">
        <v>58.79</v>
      </c>
      <c r="C106">
        <f>VLOOKUP(A106,NYSEARCAVTI!A$2:G$506,2,0)</f>
        <v>104.3</v>
      </c>
      <c r="D106">
        <f>VLOOKUP(A106,NYSEARCAVEU!A$2:G$506,2,0)</f>
        <v>45.6</v>
      </c>
      <c r="E106">
        <f>VLOOKUP(A106,NYSEARCAVWO!A$2:G$506,2,0)</f>
        <v>36.01</v>
      </c>
      <c r="F106">
        <f>VLOOKUP(A106,NYSEARCABND!A$2:G$506,2,0)</f>
        <v>82.08</v>
      </c>
      <c r="G106">
        <f>VLOOKUP(A106,NYSEARCATIP!A$2:G$506,2,0)</f>
        <v>111.12</v>
      </c>
      <c r="H106">
        <f>VLOOKUP(A106,NYSEARCAMUB!A$2:G$506,2,0)</f>
        <v>109.52</v>
      </c>
      <c r="I106">
        <f>VLOOKUP(A106,NYSEARCAVNQ!A$2:G$506,2,0)</f>
        <v>79.98</v>
      </c>
      <c r="J106">
        <f>VLOOKUP(A106,NYSEARCARWX!A$2:G$506,2,0)</f>
        <v>41.27</v>
      </c>
      <c r="K106">
        <f>VLOOKUP(A106,NYSEARCADBC!A$2:G$506,2,0)</f>
        <v>15.23</v>
      </c>
      <c r="L106">
        <f>VLOOKUP(A106,NYSEARCAGSG!A$2:G$506,2,0)</f>
        <v>17.09</v>
      </c>
      <c r="M106">
        <f>VLOOKUP(A106,NYSEARCAGLD!A$2:G$506,2,0)</f>
        <v>112.64</v>
      </c>
      <c r="N106">
        <f>VLOOKUP(A106,NYSEBP!A$2:G$506,2,0)</f>
        <v>35.340000000000003</v>
      </c>
      <c r="O106">
        <f>VLOOKUP(A106,NASDAQYHOO!A$2:G$506,2,0)</f>
        <v>33.26</v>
      </c>
    </row>
    <row r="107" spans="1:15">
      <c r="A107" s="39">
        <v>42297</v>
      </c>
      <c r="B107">
        <v>58.86</v>
      </c>
      <c r="C107">
        <f>VLOOKUP(A107,NYSEARCAVTI!A$2:G$506,2,0)</f>
        <v>104.39</v>
      </c>
      <c r="D107">
        <f>VLOOKUP(A107,NYSEARCAVEU!A$2:G$506,2,0)</f>
        <v>45.44</v>
      </c>
      <c r="E107">
        <f>VLOOKUP(A107,NYSEARCAVWO!A$2:G$506,2,0)</f>
        <v>35.909999999999997</v>
      </c>
      <c r="F107">
        <f>VLOOKUP(A107,NYSEARCABND!A$2:G$506,2,0)</f>
        <v>81.94</v>
      </c>
      <c r="G107">
        <f>VLOOKUP(A107,NYSEARCATIP!A$2:G$506,2,0)</f>
        <v>110.85</v>
      </c>
      <c r="H107">
        <f>VLOOKUP(A107,NYSEARCAMUB!A$2:G$506,2,0)</f>
        <v>109.57</v>
      </c>
      <c r="I107">
        <f>VLOOKUP(A107,NYSEARCAVNQ!A$2:G$506,2,0)</f>
        <v>80.98</v>
      </c>
      <c r="J107">
        <f>VLOOKUP(A107,NYSEARCARWX!A$2:G$506,2,0)</f>
        <v>41.32</v>
      </c>
      <c r="K107">
        <f>VLOOKUP(A107,NYSEARCADBC!A$2:G$506,2,0)</f>
        <v>15.1</v>
      </c>
      <c r="L107">
        <f>VLOOKUP(A107,NYSEARCAGSG!A$2:G$506,2,0)</f>
        <v>17</v>
      </c>
      <c r="M107">
        <f>VLOOKUP(A107,NYSEARCAGLD!A$2:G$506,2,0)</f>
        <v>112.38</v>
      </c>
      <c r="N107">
        <f>VLOOKUP(A107,NYSEBP!A$2:G$506,2,0)</f>
        <v>34.49</v>
      </c>
      <c r="O107">
        <f>VLOOKUP(A107,NASDAQYHOO!A$2:G$506,2,0)</f>
        <v>33.49</v>
      </c>
    </row>
    <row r="108" spans="1:15">
      <c r="A108" s="39">
        <v>42298</v>
      </c>
      <c r="B108">
        <v>58.8</v>
      </c>
      <c r="C108">
        <f>VLOOKUP(A108,NYSEARCAVTI!A$2:G$506,2,0)</f>
        <v>104.71</v>
      </c>
      <c r="D108">
        <f>VLOOKUP(A108,NYSEARCAVEU!A$2:G$506,2,0)</f>
        <v>45.68</v>
      </c>
      <c r="E108">
        <f>VLOOKUP(A108,NYSEARCAVWO!A$2:G$506,2,0)</f>
        <v>35.78</v>
      </c>
      <c r="F108">
        <f>VLOOKUP(A108,NYSEARCABND!A$2:G$506,2,0)</f>
        <v>82.09</v>
      </c>
      <c r="G108">
        <f>VLOOKUP(A108,NYSEARCATIP!A$2:G$506,2,0)</f>
        <v>111.12</v>
      </c>
      <c r="H108">
        <f>VLOOKUP(A108,NYSEARCAMUB!A$2:G$506,2,0)</f>
        <v>109.65</v>
      </c>
      <c r="I108">
        <f>VLOOKUP(A108,NYSEARCAVNQ!A$2:G$506,2,0)</f>
        <v>81.25</v>
      </c>
      <c r="J108">
        <f>VLOOKUP(A108,NYSEARCARWX!A$2:G$506,2,0)</f>
        <v>41.47</v>
      </c>
      <c r="K108">
        <f>VLOOKUP(A108,NYSEARCADBC!A$2:G$506,2,0)</f>
        <v>15.06</v>
      </c>
      <c r="L108">
        <f>VLOOKUP(A108,NYSEARCAGSG!A$2:G$506,2,0)</f>
        <v>16.89</v>
      </c>
      <c r="M108">
        <f>VLOOKUP(A108,NYSEARCAGLD!A$2:G$506,2,0)</f>
        <v>112.37</v>
      </c>
      <c r="N108">
        <f>VLOOKUP(A108,NYSEBP!A$2:G$506,2,0)</f>
        <v>35.31</v>
      </c>
      <c r="O108">
        <f>VLOOKUP(A108,NASDAQYHOO!A$2:G$506,2,0)</f>
        <v>32.06</v>
      </c>
    </row>
    <row r="109" spans="1:15">
      <c r="A109" s="39">
        <v>42299</v>
      </c>
      <c r="B109">
        <v>58.94</v>
      </c>
      <c r="C109">
        <f>VLOOKUP(A109,NYSEARCAVTI!A$2:G$506,2,0)</f>
        <v>104.28</v>
      </c>
      <c r="D109">
        <f>VLOOKUP(A109,NYSEARCAVEU!A$2:G$506,2,0)</f>
        <v>45.58</v>
      </c>
      <c r="E109">
        <f>VLOOKUP(A109,NYSEARCAVWO!A$2:G$506,2,0)</f>
        <v>35.83</v>
      </c>
      <c r="F109">
        <f>VLOOKUP(A109,NYSEARCABND!A$2:G$506,2,0)</f>
        <v>82.09</v>
      </c>
      <c r="G109">
        <f>VLOOKUP(A109,NYSEARCATIP!A$2:G$506,2,0)</f>
        <v>111.13</v>
      </c>
      <c r="H109">
        <f>VLOOKUP(A109,NYSEARCAMUB!A$2:G$506,2,0)</f>
        <v>109.7</v>
      </c>
      <c r="I109">
        <f>VLOOKUP(A109,NYSEARCAVNQ!A$2:G$506,2,0)</f>
        <v>80.959999999999994</v>
      </c>
      <c r="J109">
        <f>VLOOKUP(A109,NYSEARCARWX!A$2:G$506,2,0)</f>
        <v>41.52</v>
      </c>
      <c r="K109">
        <f>VLOOKUP(A109,NYSEARCADBC!A$2:G$506,2,0)</f>
        <v>15.15</v>
      </c>
      <c r="L109">
        <f>VLOOKUP(A109,NYSEARCAGSG!A$2:G$506,2,0)</f>
        <v>16.989999999999998</v>
      </c>
      <c r="M109">
        <f>VLOOKUP(A109,NYSEARCAGLD!A$2:G$506,2,0)</f>
        <v>111.52</v>
      </c>
      <c r="N109">
        <f>VLOOKUP(A109,NYSEBP!A$2:G$506,2,0)</f>
        <v>35.630000000000003</v>
      </c>
      <c r="O109">
        <f>VLOOKUP(A109,NASDAQYHOO!A$2:G$506,2,0)</f>
        <v>31.26</v>
      </c>
    </row>
    <row r="110" spans="1:15">
      <c r="A110" s="39">
        <v>42300</v>
      </c>
      <c r="B110">
        <v>59.19</v>
      </c>
      <c r="C110">
        <f>VLOOKUP(A110,NYSEARCAVTI!A$2:G$506,2,0)</f>
        <v>106.13</v>
      </c>
      <c r="D110">
        <f>VLOOKUP(A110,NYSEARCAVEU!A$2:G$506,2,0)</f>
        <v>46.3</v>
      </c>
      <c r="E110">
        <f>VLOOKUP(A110,NYSEARCAVWO!A$2:G$506,2,0)</f>
        <v>36.450000000000003</v>
      </c>
      <c r="F110">
        <f>VLOOKUP(A110,NYSEARCABND!A$2:G$506,2,0)</f>
        <v>82.08</v>
      </c>
      <c r="G110">
        <f>VLOOKUP(A110,NYSEARCATIP!A$2:G$506,2,0)</f>
        <v>111.26</v>
      </c>
      <c r="H110">
        <f>VLOOKUP(A110,NYSEARCAMUB!A$2:G$506,2,0)</f>
        <v>109.58</v>
      </c>
      <c r="I110">
        <f>VLOOKUP(A110,NYSEARCAVNQ!A$2:G$506,2,0)</f>
        <v>81.540000000000006</v>
      </c>
      <c r="J110">
        <f>VLOOKUP(A110,NYSEARCARWX!A$2:G$506,2,0)</f>
        <v>42.01</v>
      </c>
      <c r="K110">
        <f>VLOOKUP(A110,NYSEARCADBC!A$2:G$506,2,0)</f>
        <v>15.02</v>
      </c>
      <c r="L110">
        <f>VLOOKUP(A110,NYSEARCAGSG!A$2:G$506,2,0)</f>
        <v>16.82</v>
      </c>
      <c r="M110">
        <f>VLOOKUP(A110,NYSEARCAGLD!A$2:G$506,2,0)</f>
        <v>111.81</v>
      </c>
      <c r="N110">
        <f>VLOOKUP(A110,NYSEBP!A$2:G$506,2,0)</f>
        <v>35.840000000000003</v>
      </c>
      <c r="O110">
        <f>VLOOKUP(A110,NASDAQYHOO!A$2:G$506,2,0)</f>
        <v>32.65</v>
      </c>
    </row>
    <row r="111" spans="1:15">
      <c r="A111" s="39">
        <v>42303</v>
      </c>
      <c r="B111">
        <v>58.4</v>
      </c>
      <c r="C111">
        <f>VLOOKUP(A111,NYSEARCAVTI!A$2:G$506,2,0)</f>
        <v>106.26</v>
      </c>
      <c r="D111">
        <f>VLOOKUP(A111,NYSEARCAVEU!A$2:G$506,2,0)</f>
        <v>46.23</v>
      </c>
      <c r="E111">
        <f>VLOOKUP(A111,NYSEARCAVWO!A$2:G$506,2,0)</f>
        <v>36.18</v>
      </c>
      <c r="F111">
        <f>VLOOKUP(A111,NYSEARCABND!A$2:G$506,2,0)</f>
        <v>82.14</v>
      </c>
      <c r="G111">
        <f>VLOOKUP(A111,NYSEARCATIP!A$2:G$506,2,0)</f>
        <v>111.4</v>
      </c>
      <c r="H111">
        <f>VLOOKUP(A111,NYSEARCAMUB!A$2:G$506,2,0)</f>
        <v>109.67</v>
      </c>
      <c r="I111">
        <f>VLOOKUP(A111,NYSEARCAVNQ!A$2:G$506,2,0)</f>
        <v>80.75</v>
      </c>
      <c r="J111">
        <f>VLOOKUP(A111,NYSEARCARWX!A$2:G$506,2,0)</f>
        <v>41.99</v>
      </c>
      <c r="K111">
        <f>VLOOKUP(A111,NYSEARCADBC!A$2:G$506,2,0)</f>
        <v>14.99</v>
      </c>
      <c r="L111">
        <f>VLOOKUP(A111,NYSEARCAGSG!A$2:G$506,2,0)</f>
        <v>16.73</v>
      </c>
      <c r="M111">
        <f>VLOOKUP(A111,NYSEARCAGLD!A$2:G$506,2,0)</f>
        <v>111.73</v>
      </c>
      <c r="N111">
        <f>VLOOKUP(A111,NYSEBP!A$2:G$506,2,0)</f>
        <v>35.6</v>
      </c>
      <c r="O111">
        <f>VLOOKUP(A111,NASDAQYHOO!A$2:G$506,2,0)</f>
        <v>33.130000000000003</v>
      </c>
    </row>
    <row r="112" spans="1:15">
      <c r="A112" s="39">
        <v>42304</v>
      </c>
      <c r="B112">
        <v>58.01</v>
      </c>
      <c r="C112">
        <f>VLOOKUP(A112,NYSEARCAVTI!A$2:G$506,2,0)</f>
        <v>105.83</v>
      </c>
      <c r="D112">
        <f>VLOOKUP(A112,NYSEARCAVEU!A$2:G$506,2,0)</f>
        <v>45.77</v>
      </c>
      <c r="E112">
        <f>VLOOKUP(A112,NYSEARCAVWO!A$2:G$506,2,0)</f>
        <v>35.68</v>
      </c>
      <c r="F112">
        <f>VLOOKUP(A112,NYSEARCABND!A$2:G$506,2,0)</f>
        <v>82.26</v>
      </c>
      <c r="G112">
        <f>VLOOKUP(A112,NYSEARCATIP!A$2:G$506,2,0)</f>
        <v>111.5</v>
      </c>
      <c r="H112">
        <f>VLOOKUP(A112,NYSEARCAMUB!A$2:G$506,2,0)</f>
        <v>109.72</v>
      </c>
      <c r="I112">
        <f>VLOOKUP(A112,NYSEARCAVNQ!A$2:G$506,2,0)</f>
        <v>80.69</v>
      </c>
      <c r="J112">
        <f>VLOOKUP(A112,NYSEARCARWX!A$2:G$506,2,0)</f>
        <v>41.85</v>
      </c>
      <c r="K112">
        <f>VLOOKUP(A112,NYSEARCADBC!A$2:G$506,2,0)</f>
        <v>14.89</v>
      </c>
      <c r="L112">
        <f>VLOOKUP(A112,NYSEARCAGSG!A$2:G$506,2,0)</f>
        <v>16.57</v>
      </c>
      <c r="M112">
        <f>VLOOKUP(A112,NYSEARCAGLD!A$2:G$506,2,0)</f>
        <v>111.31</v>
      </c>
      <c r="N112">
        <f>VLOOKUP(A112,NYSEBP!A$2:G$506,2,0)</f>
        <v>34.82</v>
      </c>
      <c r="O112">
        <f>VLOOKUP(A112,NASDAQYHOO!A$2:G$506,2,0)</f>
        <v>34.97</v>
      </c>
    </row>
    <row r="113" spans="1:15">
      <c r="A113" s="39">
        <v>42305</v>
      </c>
      <c r="B113">
        <v>57.66</v>
      </c>
      <c r="C113">
        <f>VLOOKUP(A113,NYSEARCAVTI!A$2:G$506,2,0)</f>
        <v>105.94</v>
      </c>
      <c r="D113">
        <f>VLOOKUP(A113,NYSEARCAVEU!A$2:G$506,2,0)</f>
        <v>45.83</v>
      </c>
      <c r="E113">
        <f>VLOOKUP(A113,NYSEARCAVWO!A$2:G$506,2,0)</f>
        <v>35.68</v>
      </c>
      <c r="F113">
        <f>VLOOKUP(A113,NYSEARCABND!A$2:G$506,2,0)</f>
        <v>82.18</v>
      </c>
      <c r="G113">
        <f>VLOOKUP(A113,NYSEARCATIP!A$2:G$506,2,0)</f>
        <v>111.39</v>
      </c>
      <c r="H113">
        <f>VLOOKUP(A113,NYSEARCAMUB!A$2:G$506,2,0)</f>
        <v>109.77</v>
      </c>
      <c r="I113">
        <f>VLOOKUP(A113,NYSEARCAVNQ!A$2:G$506,2,0)</f>
        <v>80.67</v>
      </c>
      <c r="J113">
        <f>VLOOKUP(A113,NYSEARCARWX!A$2:G$506,2,0)</f>
        <v>41.9</v>
      </c>
      <c r="K113">
        <f>VLOOKUP(A113,NYSEARCADBC!A$2:G$506,2,0)</f>
        <v>14.93</v>
      </c>
      <c r="L113">
        <f>VLOOKUP(A113,NYSEARCAGSG!A$2:G$506,2,0)</f>
        <v>16.600000000000001</v>
      </c>
      <c r="M113">
        <f>VLOOKUP(A113,NYSEARCAGLD!A$2:G$506,2,0)</f>
        <v>112.68</v>
      </c>
      <c r="N113">
        <f>VLOOKUP(A113,NYSEBP!A$2:G$506,2,0)</f>
        <v>35.090000000000003</v>
      </c>
      <c r="O113">
        <f>VLOOKUP(A113,NASDAQYHOO!A$2:G$506,2,0)</f>
        <v>34.299999999999997</v>
      </c>
    </row>
    <row r="114" spans="1:15">
      <c r="A114" s="39">
        <v>42306</v>
      </c>
      <c r="B114">
        <v>57.72</v>
      </c>
      <c r="C114">
        <f>VLOOKUP(A114,NYSEARCAVTI!A$2:G$506,2,0)</f>
        <v>106.72</v>
      </c>
      <c r="D114">
        <f>VLOOKUP(A114,NYSEARCAVEU!A$2:G$506,2,0)</f>
        <v>45.42</v>
      </c>
      <c r="E114">
        <f>VLOOKUP(A114,NYSEARCAVWO!A$2:G$506,2,0)</f>
        <v>34.89</v>
      </c>
      <c r="F114">
        <f>VLOOKUP(A114,NYSEARCABND!A$2:G$506,2,0)</f>
        <v>81.8</v>
      </c>
      <c r="G114">
        <f>VLOOKUP(A114,NYSEARCATIP!A$2:G$506,2,0)</f>
        <v>110.69</v>
      </c>
      <c r="H114">
        <f>VLOOKUP(A114,NYSEARCAMUB!A$2:G$506,2,0)</f>
        <v>109.75</v>
      </c>
      <c r="I114">
        <f>VLOOKUP(A114,NYSEARCAVNQ!A$2:G$506,2,0)</f>
        <v>80.5</v>
      </c>
      <c r="J114">
        <f>VLOOKUP(A114,NYSEARCARWX!A$2:G$506,2,0)</f>
        <v>41.41</v>
      </c>
      <c r="K114">
        <f>VLOOKUP(A114,NYSEARCADBC!A$2:G$506,2,0)</f>
        <v>15.08</v>
      </c>
      <c r="L114">
        <f>VLOOKUP(A114,NYSEARCAGSG!A$2:G$506,2,0)</f>
        <v>16.96</v>
      </c>
      <c r="M114">
        <f>VLOOKUP(A114,NYSEARCAGLD!A$2:G$506,2,0)</f>
        <v>110.23</v>
      </c>
      <c r="N114">
        <f>VLOOKUP(A114,NYSEBP!A$2:G$506,2,0)</f>
        <v>35.380000000000003</v>
      </c>
      <c r="O114">
        <f>VLOOKUP(A114,NASDAQYHOO!A$2:G$506,2,0)</f>
        <v>34.869999999999997</v>
      </c>
    </row>
    <row r="115" spans="1:15">
      <c r="A115" s="39">
        <v>42307</v>
      </c>
      <c r="B115">
        <v>57.73</v>
      </c>
      <c r="C115">
        <f>VLOOKUP(A115,NYSEARCAVTI!A$2:G$506,2,0)</f>
        <v>107.14</v>
      </c>
      <c r="D115">
        <f>VLOOKUP(A115,NYSEARCAVEU!A$2:G$506,2,0)</f>
        <v>45.62</v>
      </c>
      <c r="E115">
        <f>VLOOKUP(A115,NYSEARCAVWO!A$2:G$506,2,0)</f>
        <v>35.07</v>
      </c>
      <c r="F115">
        <f>VLOOKUP(A115,NYSEARCABND!A$2:G$506,2,0)</f>
        <v>81.61</v>
      </c>
      <c r="G115">
        <f>VLOOKUP(A115,NYSEARCATIP!A$2:G$506,2,0)</f>
        <v>110.84</v>
      </c>
      <c r="H115">
        <f>VLOOKUP(A115,NYSEARCAMUB!A$2:G$506,2,0)</f>
        <v>109.57</v>
      </c>
      <c r="I115">
        <f>VLOOKUP(A115,NYSEARCAVNQ!A$2:G$506,2,0)</f>
        <v>80.64</v>
      </c>
      <c r="J115">
        <f>VLOOKUP(A115,NYSEARCARWX!A$2:G$506,2,0)</f>
        <v>41.54</v>
      </c>
      <c r="K115">
        <f>VLOOKUP(A115,NYSEARCADBC!A$2:G$506,2,0)</f>
        <v>15.08</v>
      </c>
      <c r="L115">
        <f>VLOOKUP(A115,NYSEARCAGSG!A$2:G$506,2,0)</f>
        <v>16.940000000000001</v>
      </c>
      <c r="M115">
        <f>VLOOKUP(A115,NYSEARCAGLD!A$2:G$506,2,0)</f>
        <v>109.5</v>
      </c>
      <c r="N115">
        <f>VLOOKUP(A115,NYSEBP!A$2:G$506,2,0)</f>
        <v>35.619999999999997</v>
      </c>
      <c r="O115">
        <f>VLOOKUP(A115,NASDAQYHOO!A$2:G$506,2,0)</f>
        <v>35.14</v>
      </c>
    </row>
    <row r="116" spans="1:15">
      <c r="A116" s="39">
        <v>42310</v>
      </c>
      <c r="B116">
        <v>57.29</v>
      </c>
      <c r="C116">
        <f>VLOOKUP(A116,NYSEARCAVTI!A$2:G$506,2,0)</f>
        <v>106.78</v>
      </c>
      <c r="D116">
        <f>VLOOKUP(A116,NYSEARCAVEU!A$2:G$506,2,0)</f>
        <v>45.68</v>
      </c>
      <c r="E116">
        <f>VLOOKUP(A116,NYSEARCAVWO!A$2:G$506,2,0)</f>
        <v>35.130000000000003</v>
      </c>
      <c r="F116">
        <f>VLOOKUP(A116,NYSEARCABND!A$2:G$506,2,0)</f>
        <v>81.44</v>
      </c>
      <c r="G116">
        <f>VLOOKUP(A116,NYSEARCATIP!A$2:G$506,2,0)</f>
        <v>110.71</v>
      </c>
      <c r="H116">
        <f>VLOOKUP(A116,NYSEARCAMUB!A$2:G$506,2,0)</f>
        <v>109.51</v>
      </c>
      <c r="I116">
        <f>VLOOKUP(A116,NYSEARCAVNQ!A$2:G$506,2,0)</f>
        <v>80.069999999999993</v>
      </c>
      <c r="J116">
        <f>VLOOKUP(A116,NYSEARCARWX!A$2:G$506,2,0)</f>
        <v>41.48</v>
      </c>
      <c r="K116">
        <f>VLOOKUP(A116,NYSEARCADBC!A$2:G$506,2,0)</f>
        <v>15.1</v>
      </c>
      <c r="L116">
        <f>VLOOKUP(A116,NYSEARCAGSG!A$2:G$506,2,0)</f>
        <v>16.93</v>
      </c>
      <c r="M116">
        <f>VLOOKUP(A116,NYSEARCAGLD!A$2:G$506,2,0)</f>
        <v>108.64</v>
      </c>
      <c r="N116">
        <f>VLOOKUP(A116,NYSEBP!A$2:G$506,2,0)</f>
        <v>35.64</v>
      </c>
      <c r="O116">
        <f>VLOOKUP(A116,NASDAQYHOO!A$2:G$506,2,0)</f>
        <v>35.46</v>
      </c>
    </row>
    <row r="117" spans="1:15">
      <c r="A117" s="39">
        <v>42311</v>
      </c>
      <c r="B117">
        <v>57.57</v>
      </c>
      <c r="C117">
        <f>VLOOKUP(A117,NYSEARCAVTI!A$2:G$506,2,0)</f>
        <v>107.71</v>
      </c>
      <c r="D117">
        <f>VLOOKUP(A117,NYSEARCAVEU!A$2:G$506,2,0)</f>
        <v>45.66</v>
      </c>
      <c r="E117">
        <f>VLOOKUP(A117,NYSEARCAVWO!A$2:G$506,2,0)</f>
        <v>35.409999999999997</v>
      </c>
      <c r="F117">
        <f>VLOOKUP(A117,NYSEARCABND!A$2:G$506,2,0)</f>
        <v>81.400000000000006</v>
      </c>
      <c r="G117">
        <f>VLOOKUP(A117,NYSEARCATIP!A$2:G$506,2,0)</f>
        <v>110.86</v>
      </c>
      <c r="H117">
        <f>VLOOKUP(A117,NYSEARCAMUB!A$2:G$506,2,0)</f>
        <v>109.36</v>
      </c>
      <c r="I117">
        <f>VLOOKUP(A117,NYSEARCAVNQ!A$2:G$506,2,0)</f>
        <v>81.41</v>
      </c>
      <c r="J117">
        <f>VLOOKUP(A117,NYSEARCARWX!A$2:G$506,2,0)</f>
        <v>41.29</v>
      </c>
      <c r="K117">
        <f>VLOOKUP(A117,NYSEARCADBC!A$2:G$506,2,0)</f>
        <v>15.22</v>
      </c>
      <c r="L117">
        <f>VLOOKUP(A117,NYSEARCAGSG!A$2:G$506,2,0)</f>
        <v>17.09</v>
      </c>
      <c r="M117">
        <f>VLOOKUP(A117,NYSEARCAGLD!A$2:G$506,2,0)</f>
        <v>107.79</v>
      </c>
      <c r="N117">
        <f>VLOOKUP(A117,NYSEBP!A$2:G$506,2,0)</f>
        <v>36.36</v>
      </c>
      <c r="O117">
        <f>VLOOKUP(A117,NASDAQYHOO!A$2:G$506,2,0)</f>
        <v>35.15</v>
      </c>
    </row>
    <row r="118" spans="1:15">
      <c r="A118" s="39">
        <v>42312</v>
      </c>
      <c r="B118">
        <v>58.58</v>
      </c>
      <c r="C118">
        <f>VLOOKUP(A118,NYSEARCAVTI!A$2:G$506,2,0)</f>
        <v>108.51</v>
      </c>
      <c r="D118">
        <f>VLOOKUP(A118,NYSEARCAVEU!A$2:G$506,2,0)</f>
        <v>46.13</v>
      </c>
      <c r="E118">
        <f>VLOOKUP(A118,NYSEARCAVWO!A$2:G$506,2,0)</f>
        <v>36.26</v>
      </c>
      <c r="F118">
        <f>VLOOKUP(A118,NYSEARCABND!A$2:G$506,2,0)</f>
        <v>81.39</v>
      </c>
      <c r="G118">
        <f>VLOOKUP(A118,NYSEARCATIP!A$2:G$506,2,0)</f>
        <v>110.76</v>
      </c>
      <c r="H118">
        <f>VLOOKUP(A118,NYSEARCAMUB!A$2:G$506,2,0)</f>
        <v>109.3</v>
      </c>
      <c r="I118">
        <f>VLOOKUP(A118,NYSEARCAVNQ!A$2:G$506,2,0)</f>
        <v>80.819999999999993</v>
      </c>
      <c r="J118">
        <f>VLOOKUP(A118,NYSEARCARWX!A$2:G$506,2,0)</f>
        <v>41.19</v>
      </c>
      <c r="K118">
        <f>VLOOKUP(A118,NYSEARCADBC!A$2:G$506,2,0)</f>
        <v>15.38</v>
      </c>
      <c r="L118">
        <f>VLOOKUP(A118,NYSEARCAGSG!A$2:G$506,2,0)</f>
        <v>17.3</v>
      </c>
      <c r="M118">
        <f>VLOOKUP(A118,NYSEARCAGLD!A$2:G$506,2,0)</f>
        <v>107.02</v>
      </c>
      <c r="N118">
        <f>VLOOKUP(A118,NYSEBP!A$2:G$506,2,0)</f>
        <v>36.99</v>
      </c>
      <c r="O118">
        <f>VLOOKUP(A118,NASDAQYHOO!A$2:G$506,2,0)</f>
        <v>34.89</v>
      </c>
    </row>
    <row r="119" spans="1:15">
      <c r="A119" s="39">
        <v>42313</v>
      </c>
      <c r="B119">
        <v>58.51</v>
      </c>
      <c r="C119">
        <f>VLOOKUP(A119,NYSEARCAVTI!A$2:G$506,2,0)</f>
        <v>108.04</v>
      </c>
      <c r="D119">
        <f>VLOOKUP(A119,NYSEARCAVEU!A$2:G$506,2,0)</f>
        <v>45.87</v>
      </c>
      <c r="E119">
        <f>VLOOKUP(A119,NYSEARCAVWO!A$2:G$506,2,0)</f>
        <v>35.71</v>
      </c>
      <c r="F119">
        <f>VLOOKUP(A119,NYSEARCABND!A$2:G$506,2,0)</f>
        <v>81.349999999999994</v>
      </c>
      <c r="G119">
        <f>VLOOKUP(A119,NYSEARCATIP!A$2:G$506,2,0)</f>
        <v>110.4</v>
      </c>
      <c r="H119">
        <f>VLOOKUP(A119,NYSEARCAMUB!A$2:G$506,2,0)</f>
        <v>109.31</v>
      </c>
      <c r="I119">
        <f>VLOOKUP(A119,NYSEARCAVNQ!A$2:G$506,2,0)</f>
        <v>80.44</v>
      </c>
      <c r="J119">
        <f>VLOOKUP(A119,NYSEARCARWX!A$2:G$506,2,0)</f>
        <v>40.950000000000003</v>
      </c>
      <c r="K119">
        <f>VLOOKUP(A119,NYSEARCADBC!A$2:G$506,2,0)</f>
        <v>15.04</v>
      </c>
      <c r="L119">
        <f>VLOOKUP(A119,NYSEARCAGSG!A$2:G$506,2,0)</f>
        <v>16.829999999999998</v>
      </c>
      <c r="M119">
        <f>VLOOKUP(A119,NYSEARCAGLD!A$2:G$506,2,0)</f>
        <v>106.01</v>
      </c>
      <c r="N119">
        <f>VLOOKUP(A119,NYSEBP!A$2:G$506,2,0)</f>
        <v>35.9</v>
      </c>
      <c r="O119">
        <f>VLOOKUP(A119,NASDAQYHOO!A$2:G$506,2,0)</f>
        <v>35.020000000000003</v>
      </c>
    </row>
    <row r="120" spans="1:15">
      <c r="A120" s="39">
        <v>42314</v>
      </c>
      <c r="B120">
        <v>58.92</v>
      </c>
      <c r="C120">
        <f>VLOOKUP(A120,NYSEARCAVTI!A$2:G$506,2,0)</f>
        <v>107.57</v>
      </c>
      <c r="D120">
        <f>VLOOKUP(A120,NYSEARCAVEU!A$2:G$506,2,0)</f>
        <v>45.32</v>
      </c>
      <c r="E120">
        <f>VLOOKUP(A120,NYSEARCAVWO!A$2:G$506,2,0)</f>
        <v>35.049999999999997</v>
      </c>
      <c r="F120">
        <f>VLOOKUP(A120,NYSEARCABND!A$2:G$506,2,0)</f>
        <v>80.98</v>
      </c>
      <c r="G120">
        <f>VLOOKUP(A120,NYSEARCATIP!A$2:G$506,2,0)</f>
        <v>109.94</v>
      </c>
      <c r="H120">
        <f>VLOOKUP(A120,NYSEARCAMUB!A$2:G$506,2,0)</f>
        <v>109.14</v>
      </c>
      <c r="I120">
        <f>VLOOKUP(A120,NYSEARCAVNQ!A$2:G$506,2,0)</f>
        <v>79.430000000000007</v>
      </c>
      <c r="J120">
        <f>VLOOKUP(A120,NYSEARCARWX!A$2:G$506,2,0)</f>
        <v>40.53</v>
      </c>
      <c r="K120">
        <f>VLOOKUP(A120,NYSEARCADBC!A$2:G$506,2,0)</f>
        <v>14.91</v>
      </c>
      <c r="L120">
        <f>VLOOKUP(A120,NYSEARCAGSG!A$2:G$506,2,0)</f>
        <v>16.600000000000001</v>
      </c>
      <c r="M120">
        <f>VLOOKUP(A120,NYSEARCAGLD!A$2:G$506,2,0)</f>
        <v>104.17</v>
      </c>
      <c r="N120">
        <f>VLOOKUP(A120,NYSEBP!A$2:G$506,2,0)</f>
        <v>35.020000000000003</v>
      </c>
      <c r="O120">
        <f>VLOOKUP(A120,NASDAQYHOO!A$2:G$506,2,0)</f>
        <v>34.94</v>
      </c>
    </row>
    <row r="121" spans="1:15">
      <c r="A121" s="39">
        <v>42317</v>
      </c>
      <c r="B121">
        <v>58.5</v>
      </c>
      <c r="C121">
        <f>VLOOKUP(A121,NYSEARCAVTI!A$2:G$506,2,0)</f>
        <v>107.9</v>
      </c>
      <c r="D121">
        <f>VLOOKUP(A121,NYSEARCAVEU!A$2:G$506,2,0)</f>
        <v>45.14</v>
      </c>
      <c r="E121">
        <f>VLOOKUP(A121,NYSEARCAVWO!A$2:G$506,2,0)</f>
        <v>34.92</v>
      </c>
      <c r="F121">
        <f>VLOOKUP(A121,NYSEARCABND!A$2:G$506,2,0)</f>
        <v>80.77</v>
      </c>
      <c r="G121">
        <f>VLOOKUP(A121,NYSEARCATIP!A$2:G$506,2,0)</f>
        <v>109.61</v>
      </c>
      <c r="H121">
        <f>VLOOKUP(A121,NYSEARCAMUB!A$2:G$506,2,0)</f>
        <v>108.98</v>
      </c>
      <c r="I121">
        <f>VLOOKUP(A121,NYSEARCAVNQ!A$2:G$506,2,0)</f>
        <v>77.72</v>
      </c>
      <c r="J121">
        <f>VLOOKUP(A121,NYSEARCARWX!A$2:G$506,2,0)</f>
        <v>39.81</v>
      </c>
      <c r="K121">
        <f>VLOOKUP(A121,NYSEARCADBC!A$2:G$506,2,0)</f>
        <v>14.9</v>
      </c>
      <c r="L121">
        <f>VLOOKUP(A121,NYSEARCAGSG!A$2:G$506,2,0)</f>
        <v>16.579999999999998</v>
      </c>
      <c r="M121">
        <f>VLOOKUP(A121,NYSEARCAGLD!A$2:G$506,2,0)</f>
        <v>104.29</v>
      </c>
      <c r="N121">
        <f>VLOOKUP(A121,NYSEBP!A$2:G$506,2,0)</f>
        <v>35.14</v>
      </c>
      <c r="O121">
        <f>VLOOKUP(A121,NASDAQYHOO!A$2:G$506,2,0)</f>
        <v>34.07</v>
      </c>
    </row>
    <row r="122" spans="1:15">
      <c r="A122" s="39">
        <v>42318</v>
      </c>
      <c r="B122">
        <v>58.31</v>
      </c>
      <c r="C122">
        <f>VLOOKUP(A122,NYSEARCAVTI!A$2:G$506,2,0)</f>
        <v>106.46</v>
      </c>
      <c r="D122">
        <f>VLOOKUP(A122,NYSEARCAVEU!A$2:G$506,2,0)</f>
        <v>44.64</v>
      </c>
      <c r="E122">
        <f>VLOOKUP(A122,NYSEARCAVWO!A$2:G$506,2,0)</f>
        <v>34.42</v>
      </c>
      <c r="F122">
        <f>VLOOKUP(A122,NYSEARCABND!A$2:G$506,2,0)</f>
        <v>80.930000000000007</v>
      </c>
      <c r="G122">
        <f>VLOOKUP(A122,NYSEARCATIP!A$2:G$506,2,0)</f>
        <v>109.8</v>
      </c>
      <c r="H122">
        <f>VLOOKUP(A122,NYSEARCAMUB!A$2:G$506,2,0)</f>
        <v>108.78</v>
      </c>
      <c r="I122">
        <f>VLOOKUP(A122,NYSEARCAVNQ!A$2:G$506,2,0)</f>
        <v>76.87</v>
      </c>
      <c r="J122">
        <f>VLOOKUP(A122,NYSEARCARWX!A$2:G$506,2,0)</f>
        <v>39.119999999999997</v>
      </c>
      <c r="K122">
        <f>VLOOKUP(A122,NYSEARCADBC!A$2:G$506,2,0)</f>
        <v>14.76</v>
      </c>
      <c r="L122">
        <f>VLOOKUP(A122,NYSEARCAGSG!A$2:G$506,2,0)</f>
        <v>16.37</v>
      </c>
      <c r="M122">
        <f>VLOOKUP(A122,NYSEARCAGLD!A$2:G$506,2,0)</f>
        <v>104.09</v>
      </c>
      <c r="N122">
        <f>VLOOKUP(A122,NYSEBP!A$2:G$506,2,0)</f>
        <v>34.619999999999997</v>
      </c>
      <c r="O122">
        <f>VLOOKUP(A122,NASDAQYHOO!A$2:G$506,2,0)</f>
        <v>33.450000000000003</v>
      </c>
    </row>
    <row r="123" spans="1:15">
      <c r="A123" s="39">
        <v>42319</v>
      </c>
      <c r="B123">
        <v>58.5</v>
      </c>
      <c r="C123">
        <f>VLOOKUP(A123,NYSEARCAVTI!A$2:G$506,2,0)</f>
        <v>107.27</v>
      </c>
      <c r="D123">
        <f>VLOOKUP(A123,NYSEARCAVEU!A$2:G$506,2,0)</f>
        <v>45.19</v>
      </c>
      <c r="E123">
        <f>VLOOKUP(A123,NYSEARCAVWO!A$2:G$506,2,0)</f>
        <v>34.729999999999997</v>
      </c>
      <c r="F123">
        <f>VLOOKUP(A123,NYSEARCABND!A$2:G$506,2,0)</f>
        <v>80.930000000000007</v>
      </c>
      <c r="G123">
        <f>VLOOKUP(A123,NYSEARCATIP!A$2:G$506,2,0)</f>
        <v>109.59</v>
      </c>
      <c r="H123">
        <f>VLOOKUP(A123,NYSEARCAMUB!A$2:G$506,2,0)</f>
        <v>108.9</v>
      </c>
      <c r="I123">
        <f>VLOOKUP(A123,NYSEARCAVNQ!A$2:G$506,2,0)</f>
        <v>77.760000000000005</v>
      </c>
      <c r="J123">
        <f>VLOOKUP(A123,NYSEARCARWX!A$2:G$506,2,0)</f>
        <v>39.86</v>
      </c>
      <c r="K123">
        <f>VLOOKUP(A123,NYSEARCADBC!A$2:G$506,2,0)</f>
        <v>14.82</v>
      </c>
      <c r="L123">
        <f>VLOOKUP(A123,NYSEARCAGSG!A$2:G$506,2,0)</f>
        <v>16.440000000000001</v>
      </c>
      <c r="M123">
        <f>VLOOKUP(A123,NYSEARCAGLD!A$2:G$506,2,0)</f>
        <v>104.09</v>
      </c>
      <c r="N123">
        <f>VLOOKUP(A123,NYSEBP!A$2:G$506,2,0)</f>
        <v>34.770000000000003</v>
      </c>
      <c r="O123">
        <f>VLOOKUP(A123,NASDAQYHOO!A$2:G$506,2,0)</f>
        <v>34.21</v>
      </c>
    </row>
    <row r="124" spans="1:15">
      <c r="A124" s="39">
        <v>42320</v>
      </c>
      <c r="B124">
        <v>57.64</v>
      </c>
      <c r="C124">
        <f>VLOOKUP(A124,NYSEARCAVTI!A$2:G$506,2,0)</f>
        <v>105.97</v>
      </c>
      <c r="D124">
        <f>VLOOKUP(A124,NYSEARCAVEU!A$2:G$506,2,0)</f>
        <v>44.66</v>
      </c>
      <c r="E124">
        <f>VLOOKUP(A124,NYSEARCAVWO!A$2:G$506,2,0)</f>
        <v>34.380000000000003</v>
      </c>
      <c r="F124">
        <f>VLOOKUP(A124,NYSEARCABND!A$2:G$506,2,0)</f>
        <v>81.040000000000006</v>
      </c>
      <c r="G124">
        <f>VLOOKUP(A124,NYSEARCATIP!A$2:G$506,2,0)</f>
        <v>109.56</v>
      </c>
      <c r="H124">
        <f>VLOOKUP(A124,NYSEARCAMUB!A$2:G$506,2,0)</f>
        <v>108.97</v>
      </c>
      <c r="I124">
        <f>VLOOKUP(A124,NYSEARCAVNQ!A$2:G$506,2,0)</f>
        <v>77.64</v>
      </c>
      <c r="J124">
        <f>VLOOKUP(A124,NYSEARCARWX!A$2:G$506,2,0)</f>
        <v>39.65</v>
      </c>
      <c r="K124">
        <f>VLOOKUP(A124,NYSEARCADBC!A$2:G$506,2,0)</f>
        <v>14.44</v>
      </c>
      <c r="L124">
        <f>VLOOKUP(A124,NYSEARCAGSG!A$2:G$506,2,0)</f>
        <v>15.97</v>
      </c>
      <c r="M124">
        <f>VLOOKUP(A124,NYSEARCAGLD!A$2:G$506,2,0)</f>
        <v>103.09</v>
      </c>
      <c r="N124">
        <f>VLOOKUP(A124,NYSEBP!A$2:G$506,2,0)</f>
        <v>33.86</v>
      </c>
      <c r="O124">
        <f>VLOOKUP(A124,NASDAQYHOO!A$2:G$506,2,0)</f>
        <v>33.200000000000003</v>
      </c>
    </row>
    <row r="125" spans="1:15">
      <c r="A125" s="39">
        <v>42321</v>
      </c>
      <c r="B125">
        <v>56.74</v>
      </c>
      <c r="C125">
        <f>VLOOKUP(A125,NYSEARCAVTI!A$2:G$506,2,0)</f>
        <v>104.76</v>
      </c>
      <c r="D125">
        <f>VLOOKUP(A125,NYSEARCAVEU!A$2:G$506,2,0)</f>
        <v>44.23</v>
      </c>
      <c r="E125">
        <f>VLOOKUP(A125,NYSEARCAVWO!A$2:G$506,2,0)</f>
        <v>34.01</v>
      </c>
      <c r="F125">
        <f>VLOOKUP(A125,NYSEARCABND!A$2:G$506,2,0)</f>
        <v>81.010000000000005</v>
      </c>
      <c r="G125">
        <f>VLOOKUP(A125,NYSEARCATIP!A$2:G$506,2,0)</f>
        <v>109.87</v>
      </c>
      <c r="H125">
        <f>VLOOKUP(A125,NYSEARCAMUB!A$2:G$506,2,0)</f>
        <v>108.98</v>
      </c>
      <c r="I125">
        <f>VLOOKUP(A125,NYSEARCAVNQ!A$2:G$506,2,0)</f>
        <v>77.36</v>
      </c>
      <c r="J125">
        <f>VLOOKUP(A125,NYSEARCARWX!A$2:G$506,2,0)</f>
        <v>39.42</v>
      </c>
      <c r="K125">
        <f>VLOOKUP(A125,NYSEARCADBC!A$2:G$506,2,0)</f>
        <v>14.39</v>
      </c>
      <c r="L125">
        <f>VLOOKUP(A125,NYSEARCAGSG!A$2:G$506,2,0)</f>
        <v>15.86</v>
      </c>
      <c r="M125">
        <f>VLOOKUP(A125,NYSEARCAGLD!A$2:G$506,2,0)</f>
        <v>103.54</v>
      </c>
      <c r="N125">
        <f>VLOOKUP(A125,NYSEBP!A$2:G$506,2,0)</f>
        <v>33.24</v>
      </c>
      <c r="O125">
        <f>VLOOKUP(A125,NASDAQYHOO!A$2:G$506,2,0)</f>
        <v>32.78</v>
      </c>
    </row>
    <row r="126" spans="1:15">
      <c r="A126" s="39">
        <v>42324</v>
      </c>
      <c r="B126">
        <v>56.39</v>
      </c>
      <c r="C126">
        <f>VLOOKUP(A126,NYSEARCAVTI!A$2:G$506,2,0)</f>
        <v>103.8</v>
      </c>
      <c r="D126">
        <f>VLOOKUP(A126,NYSEARCAVEU!A$2:G$506,2,0)</f>
        <v>44.05</v>
      </c>
      <c r="E126">
        <f>VLOOKUP(A126,NYSEARCAVWO!A$2:G$506,2,0)</f>
        <v>33.85</v>
      </c>
      <c r="F126">
        <f>VLOOKUP(A126,NYSEARCABND!A$2:G$506,2,0)</f>
        <v>81.12</v>
      </c>
      <c r="G126">
        <f>VLOOKUP(A126,NYSEARCATIP!A$2:G$506,2,0)</f>
        <v>110.02</v>
      </c>
      <c r="H126">
        <f>VLOOKUP(A126,NYSEARCAMUB!A$2:G$506,2,0)</f>
        <v>109.21</v>
      </c>
      <c r="I126">
        <f>VLOOKUP(A126,NYSEARCAVNQ!A$2:G$506,2,0)</f>
        <v>76.27</v>
      </c>
      <c r="J126">
        <f>VLOOKUP(A126,NYSEARCARWX!A$2:G$506,2,0)</f>
        <v>39.39</v>
      </c>
      <c r="K126">
        <f>VLOOKUP(A126,NYSEARCADBC!A$2:G$506,2,0)</f>
        <v>14.23</v>
      </c>
      <c r="L126">
        <f>VLOOKUP(A126,NYSEARCAGSG!A$2:G$506,2,0)</f>
        <v>15.64</v>
      </c>
      <c r="M126">
        <f>VLOOKUP(A126,NYSEARCAGLD!A$2:G$506,2,0)</f>
        <v>103.98</v>
      </c>
      <c r="N126">
        <f>VLOOKUP(A126,NYSEBP!A$2:G$506,2,0)</f>
        <v>33.39</v>
      </c>
      <c r="O126">
        <f>VLOOKUP(A126,NASDAQYHOO!A$2:G$506,2,0)</f>
        <v>32.229999999999997</v>
      </c>
    </row>
    <row r="127" spans="1:15">
      <c r="A127" s="39">
        <v>42325</v>
      </c>
      <c r="B127">
        <v>59.34</v>
      </c>
      <c r="C127">
        <f>VLOOKUP(A127,NYSEARCAVTI!A$2:G$506,2,0)</f>
        <v>105.51</v>
      </c>
      <c r="D127">
        <f>VLOOKUP(A127,NYSEARCAVEU!A$2:G$506,2,0)</f>
        <v>44.74</v>
      </c>
      <c r="E127">
        <f>VLOOKUP(A127,NYSEARCAVWO!A$2:G$506,2,0)</f>
        <v>34.46</v>
      </c>
      <c r="F127">
        <f>VLOOKUP(A127,NYSEARCABND!A$2:G$506,2,0)</f>
        <v>81.03</v>
      </c>
      <c r="G127">
        <f>VLOOKUP(A127,NYSEARCATIP!A$2:G$506,2,0)</f>
        <v>109.71</v>
      </c>
      <c r="H127">
        <f>VLOOKUP(A127,NYSEARCAMUB!A$2:G$506,2,0)</f>
        <v>109.06</v>
      </c>
      <c r="I127">
        <f>VLOOKUP(A127,NYSEARCAVNQ!A$2:G$506,2,0)</f>
        <v>77.11</v>
      </c>
      <c r="J127">
        <f>VLOOKUP(A127,NYSEARCARWX!A$2:G$506,2,0)</f>
        <v>40</v>
      </c>
      <c r="K127">
        <f>VLOOKUP(A127,NYSEARCADBC!A$2:G$506,2,0)</f>
        <v>14.25</v>
      </c>
      <c r="L127">
        <f>VLOOKUP(A127,NYSEARCAGSG!A$2:G$506,2,0)</f>
        <v>15.64</v>
      </c>
      <c r="M127">
        <f>VLOOKUP(A127,NYSEARCAGLD!A$2:G$506,2,0)</f>
        <v>103.38</v>
      </c>
      <c r="N127">
        <f>VLOOKUP(A127,NYSEBP!A$2:G$506,2,0)</f>
        <v>34.54</v>
      </c>
      <c r="O127">
        <f>VLOOKUP(A127,NASDAQYHOO!A$2:G$506,2,0)</f>
        <v>33.01</v>
      </c>
    </row>
    <row r="128" spans="1:15">
      <c r="A128" s="39">
        <v>42326</v>
      </c>
      <c r="B128">
        <v>60.04</v>
      </c>
      <c r="C128">
        <f>VLOOKUP(A128,NYSEARCAVTI!A$2:G$506,2,0)</f>
        <v>105.58</v>
      </c>
      <c r="D128">
        <f>VLOOKUP(A128,NYSEARCAVEU!A$2:G$506,2,0)</f>
        <v>44.81</v>
      </c>
      <c r="E128">
        <f>VLOOKUP(A128,NYSEARCAVWO!A$2:G$506,2,0)</f>
        <v>34.31</v>
      </c>
      <c r="F128">
        <f>VLOOKUP(A128,NYSEARCABND!A$2:G$506,2,0)</f>
        <v>81.13</v>
      </c>
      <c r="G128">
        <f>VLOOKUP(A128,NYSEARCATIP!A$2:G$506,2,0)</f>
        <v>109.86</v>
      </c>
      <c r="H128">
        <f>VLOOKUP(A128,NYSEARCAMUB!A$2:G$506,2,0)</f>
        <v>109.32</v>
      </c>
      <c r="I128">
        <f>VLOOKUP(A128,NYSEARCAVNQ!A$2:G$506,2,0)</f>
        <v>77.41</v>
      </c>
      <c r="J128">
        <f>VLOOKUP(A128,NYSEARCARWX!A$2:G$506,2,0)</f>
        <v>40.01</v>
      </c>
      <c r="K128">
        <f>VLOOKUP(A128,NYSEARCADBC!A$2:G$506,2,0)</f>
        <v>14.22</v>
      </c>
      <c r="L128">
        <f>VLOOKUP(A128,NYSEARCAGSG!A$2:G$506,2,0)</f>
        <v>15.68</v>
      </c>
      <c r="M128">
        <f>VLOOKUP(A128,NYSEARCAGLD!A$2:G$506,2,0)</f>
        <v>102.39</v>
      </c>
      <c r="N128">
        <f>VLOOKUP(A128,NYSEBP!A$2:G$506,2,0)</f>
        <v>34.799999999999997</v>
      </c>
      <c r="O128">
        <f>VLOOKUP(A128,NASDAQYHOO!A$2:G$506,2,0)</f>
        <v>32.89</v>
      </c>
    </row>
    <row r="129" spans="1:15">
      <c r="A129" s="39">
        <v>42327</v>
      </c>
      <c r="B129">
        <v>61.12</v>
      </c>
      <c r="C129">
        <f>VLOOKUP(A129,NYSEARCAVTI!A$2:G$506,2,0)</f>
        <v>106.91</v>
      </c>
      <c r="D129">
        <f>VLOOKUP(A129,NYSEARCAVEU!A$2:G$506,2,0)</f>
        <v>45.31</v>
      </c>
      <c r="E129">
        <f>VLOOKUP(A129,NYSEARCAVWO!A$2:G$506,2,0)</f>
        <v>34.799999999999997</v>
      </c>
      <c r="F129">
        <f>VLOOKUP(A129,NYSEARCABND!A$2:G$506,2,0)</f>
        <v>81.28</v>
      </c>
      <c r="G129">
        <f>VLOOKUP(A129,NYSEARCATIP!A$2:G$506,2,0)</f>
        <v>110.35</v>
      </c>
      <c r="H129">
        <f>VLOOKUP(A129,NYSEARCAMUB!A$2:G$506,2,0)</f>
        <v>109.45</v>
      </c>
      <c r="I129">
        <f>VLOOKUP(A129,NYSEARCAVNQ!A$2:G$506,2,0)</f>
        <v>78.099999999999994</v>
      </c>
      <c r="J129">
        <f>VLOOKUP(A129,NYSEARCARWX!A$2:G$506,2,0)</f>
        <v>40.520000000000003</v>
      </c>
      <c r="K129">
        <f>VLOOKUP(A129,NYSEARCADBC!A$2:G$506,2,0)</f>
        <v>14.19</v>
      </c>
      <c r="L129">
        <f>VLOOKUP(A129,NYSEARCAGSG!A$2:G$506,2,0)</f>
        <v>15.58</v>
      </c>
      <c r="M129">
        <f>VLOOKUP(A129,NYSEARCAGLD!A$2:G$506,2,0)</f>
        <v>103.07</v>
      </c>
      <c r="N129">
        <f>VLOOKUP(A129,NYSEBP!A$2:G$506,2,0)</f>
        <v>35.119999999999997</v>
      </c>
      <c r="O129">
        <f>VLOOKUP(A129,NASDAQYHOO!A$2:G$506,2,0)</f>
        <v>33.21</v>
      </c>
    </row>
    <row r="130" spans="1:15">
      <c r="A130" s="39">
        <v>42328</v>
      </c>
      <c r="B130">
        <v>60.98</v>
      </c>
      <c r="C130">
        <f>VLOOKUP(A130,NYSEARCAVTI!A$2:G$506,2,0)</f>
        <v>107.23</v>
      </c>
      <c r="D130">
        <f>VLOOKUP(A130,NYSEARCAVEU!A$2:G$506,2,0)</f>
        <v>45.55</v>
      </c>
      <c r="E130">
        <f>VLOOKUP(A130,NYSEARCAVWO!A$2:G$506,2,0)</f>
        <v>35.200000000000003</v>
      </c>
      <c r="F130">
        <f>VLOOKUP(A130,NYSEARCABND!A$2:G$506,2,0)</f>
        <v>81.319999999999993</v>
      </c>
      <c r="G130">
        <f>VLOOKUP(A130,NYSEARCATIP!A$2:G$506,2,0)</f>
        <v>110.51</v>
      </c>
      <c r="H130">
        <f>VLOOKUP(A130,NYSEARCAMUB!A$2:G$506,2,0)</f>
        <v>109.7</v>
      </c>
      <c r="I130">
        <f>VLOOKUP(A130,NYSEARCAVNQ!A$2:G$506,2,0)</f>
        <v>78.73</v>
      </c>
      <c r="J130">
        <f>VLOOKUP(A130,NYSEARCARWX!A$2:G$506,2,0)</f>
        <v>40.76</v>
      </c>
      <c r="K130">
        <f>VLOOKUP(A130,NYSEARCADBC!A$2:G$506,2,0)</f>
        <v>14.25</v>
      </c>
      <c r="L130">
        <f>VLOOKUP(A130,NYSEARCAGSG!A$2:G$506,2,0)</f>
        <v>15.62</v>
      </c>
      <c r="M130">
        <f>VLOOKUP(A130,NYSEARCAGLD!A$2:G$506,2,0)</f>
        <v>103.58</v>
      </c>
      <c r="N130">
        <f>VLOOKUP(A130,NYSEBP!A$2:G$506,2,0)</f>
        <v>35.01</v>
      </c>
      <c r="O130">
        <f>VLOOKUP(A130,NASDAQYHOO!A$2:G$506,2,0)</f>
        <v>32.86</v>
      </c>
    </row>
    <row r="131" spans="1:15">
      <c r="A131" s="39">
        <v>42331</v>
      </c>
      <c r="B131">
        <v>60.29</v>
      </c>
      <c r="C131">
        <f>VLOOKUP(A131,NYSEARCAVTI!A$2:G$506,2,0)</f>
        <v>107.23</v>
      </c>
      <c r="D131">
        <f>VLOOKUP(A131,NYSEARCAVEU!A$2:G$506,2,0)</f>
        <v>45.21</v>
      </c>
      <c r="E131">
        <f>VLOOKUP(A131,NYSEARCAVWO!A$2:G$506,2,0)</f>
        <v>35.08</v>
      </c>
      <c r="F131">
        <f>VLOOKUP(A131,NYSEARCABND!A$2:G$506,2,0)</f>
        <v>81.209999999999994</v>
      </c>
      <c r="G131">
        <f>VLOOKUP(A131,NYSEARCATIP!A$2:G$506,2,0)</f>
        <v>110.57</v>
      </c>
      <c r="H131">
        <f>VLOOKUP(A131,NYSEARCAMUB!A$2:G$506,2,0)</f>
        <v>109.78</v>
      </c>
      <c r="I131">
        <f>VLOOKUP(A131,NYSEARCAVNQ!A$2:G$506,2,0)</f>
        <v>79.260000000000005</v>
      </c>
      <c r="J131">
        <f>VLOOKUP(A131,NYSEARCARWX!A$2:G$506,2,0)</f>
        <v>40.549999999999997</v>
      </c>
      <c r="K131">
        <f>VLOOKUP(A131,NYSEARCADBC!A$2:G$506,2,0)</f>
        <v>14.16</v>
      </c>
      <c r="L131">
        <f>VLOOKUP(A131,NYSEARCAGSG!A$2:G$506,2,0)</f>
        <v>15.54</v>
      </c>
      <c r="M131">
        <f>VLOOKUP(A131,NYSEARCAGLD!A$2:G$506,2,0)</f>
        <v>102.48</v>
      </c>
      <c r="N131">
        <f>VLOOKUP(A131,NYSEBP!A$2:G$506,2,0)</f>
        <v>34.380000000000003</v>
      </c>
      <c r="O131">
        <f>VLOOKUP(A131,NASDAQYHOO!A$2:G$506,2,0)</f>
        <v>33</v>
      </c>
    </row>
    <row r="132" spans="1:15">
      <c r="A132" s="39">
        <v>42332</v>
      </c>
      <c r="B132">
        <v>59.95</v>
      </c>
      <c r="C132">
        <f>VLOOKUP(A132,NYSEARCAVTI!A$2:G$506,2,0)</f>
        <v>106.57</v>
      </c>
      <c r="D132">
        <f>VLOOKUP(A132,NYSEARCAVEU!A$2:G$506,2,0)</f>
        <v>44.78</v>
      </c>
      <c r="E132">
        <f>VLOOKUP(A132,NYSEARCAVWO!A$2:G$506,2,0)</f>
        <v>34.700000000000003</v>
      </c>
      <c r="F132">
        <f>VLOOKUP(A132,NYSEARCABND!A$2:G$506,2,0)</f>
        <v>81.290000000000006</v>
      </c>
      <c r="G132">
        <f>VLOOKUP(A132,NYSEARCATIP!A$2:G$506,2,0)</f>
        <v>110.82</v>
      </c>
      <c r="H132">
        <f>VLOOKUP(A132,NYSEARCAMUB!A$2:G$506,2,0)</f>
        <v>109.83</v>
      </c>
      <c r="I132">
        <f>VLOOKUP(A132,NYSEARCAVNQ!A$2:G$506,2,0)</f>
        <v>78.959999999999994</v>
      </c>
      <c r="J132">
        <f>VLOOKUP(A132,NYSEARCARWX!A$2:G$506,2,0)</f>
        <v>39.89</v>
      </c>
      <c r="K132">
        <f>VLOOKUP(A132,NYSEARCADBC!A$2:G$506,2,0)</f>
        <v>14.49</v>
      </c>
      <c r="L132">
        <f>VLOOKUP(A132,NYSEARCAGSG!A$2:G$506,2,0)</f>
        <v>15.86</v>
      </c>
      <c r="M132">
        <f>VLOOKUP(A132,NYSEARCAGLD!A$2:G$506,2,0)</f>
        <v>103.12</v>
      </c>
      <c r="N132">
        <f>VLOOKUP(A132,NYSEBP!A$2:G$506,2,0)</f>
        <v>34.47</v>
      </c>
      <c r="O132">
        <f>VLOOKUP(A132,NASDAQYHOO!A$2:G$506,2,0)</f>
        <v>33.090000000000003</v>
      </c>
    </row>
    <row r="133" spans="1:15">
      <c r="A133" s="39">
        <v>42333</v>
      </c>
      <c r="B133">
        <v>60</v>
      </c>
      <c r="C133">
        <f>VLOOKUP(A133,NYSEARCAVTI!A$2:G$506,2,0)</f>
        <v>107.51</v>
      </c>
      <c r="D133">
        <f>VLOOKUP(A133,NYSEARCAVEU!A$2:G$506,2,0)</f>
        <v>45.12</v>
      </c>
      <c r="E133">
        <f>VLOOKUP(A133,NYSEARCAVWO!A$2:G$506,2,0)</f>
        <v>34.81</v>
      </c>
      <c r="F133">
        <f>VLOOKUP(A133,NYSEARCABND!A$2:G$506,2,0)</f>
        <v>81.33</v>
      </c>
      <c r="G133">
        <f>VLOOKUP(A133,NYSEARCATIP!A$2:G$506,2,0)</f>
        <v>110.74</v>
      </c>
      <c r="H133">
        <f>VLOOKUP(A133,NYSEARCAMUB!A$2:G$506,2,0)</f>
        <v>109.89</v>
      </c>
      <c r="I133">
        <f>VLOOKUP(A133,NYSEARCAVNQ!A$2:G$506,2,0)</f>
        <v>79.010000000000005</v>
      </c>
      <c r="J133">
        <f>VLOOKUP(A133,NYSEARCARWX!A$2:G$506,2,0)</f>
        <v>40.31</v>
      </c>
      <c r="K133">
        <f>VLOOKUP(A133,NYSEARCADBC!A$2:G$506,2,0)</f>
        <v>14.4</v>
      </c>
      <c r="L133">
        <f>VLOOKUP(A133,NYSEARCAGSG!A$2:G$506,2,0)</f>
        <v>15.81</v>
      </c>
      <c r="M133">
        <f>VLOOKUP(A133,NYSEARCAGLD!A$2:G$506,2,0)</f>
        <v>102.47</v>
      </c>
      <c r="N133">
        <f>VLOOKUP(A133,NYSEBP!A$2:G$506,2,0)</f>
        <v>34.840000000000003</v>
      </c>
      <c r="O133">
        <f>VLOOKUP(A133,NASDAQYHOO!A$2:G$506,2,0)</f>
        <v>32.770000000000003</v>
      </c>
    </row>
    <row r="134" spans="1:15">
      <c r="A134" s="39">
        <v>42335</v>
      </c>
      <c r="B134">
        <v>60.44</v>
      </c>
      <c r="C134">
        <f>VLOOKUP(A134,NYSEARCAVTI!A$2:G$506,2,0)</f>
        <v>107.59</v>
      </c>
      <c r="D134">
        <f>VLOOKUP(A134,NYSEARCAVEU!A$2:G$506,2,0)</f>
        <v>45.04</v>
      </c>
      <c r="E134">
        <f>VLOOKUP(A134,NYSEARCAVWO!A$2:G$506,2,0)</f>
        <v>34.270000000000003</v>
      </c>
      <c r="F134">
        <f>VLOOKUP(A134,NYSEARCABND!A$2:G$506,2,0)</f>
        <v>81.37</v>
      </c>
      <c r="G134">
        <f>VLOOKUP(A134,NYSEARCATIP!A$2:G$506,2,0)</f>
        <v>110.87</v>
      </c>
      <c r="H134">
        <f>VLOOKUP(A134,NYSEARCAMUB!A$2:G$506,2,0)</f>
        <v>109.98</v>
      </c>
      <c r="I134">
        <f>VLOOKUP(A134,NYSEARCAVNQ!A$2:G$506,2,0)</f>
        <v>79.260000000000005</v>
      </c>
      <c r="J134">
        <f>VLOOKUP(A134,NYSEARCARWX!A$2:G$506,2,0)</f>
        <v>40.03</v>
      </c>
      <c r="K134">
        <f>VLOOKUP(A134,NYSEARCADBC!A$2:G$506,2,0)</f>
        <v>14.35</v>
      </c>
      <c r="L134">
        <f>VLOOKUP(A134,NYSEARCAGSG!A$2:G$506,2,0)</f>
        <v>15.63</v>
      </c>
      <c r="M134">
        <f>VLOOKUP(A134,NYSEARCAGLD!A$2:G$506,2,0)</f>
        <v>101.01</v>
      </c>
      <c r="N134">
        <f>VLOOKUP(A134,NYSEBP!A$2:G$506,2,0)</f>
        <v>34.82</v>
      </c>
      <c r="O134">
        <f>VLOOKUP(A134,NASDAQYHOO!A$2:G$506,2,0)</f>
        <v>32.79</v>
      </c>
    </row>
    <row r="135" spans="1:15">
      <c r="A135" s="39">
        <v>42338</v>
      </c>
      <c r="B135">
        <v>59.87</v>
      </c>
      <c r="C135">
        <f>VLOOKUP(A135,NYSEARCAVTI!A$2:G$506,2,0)</f>
        <v>107.78</v>
      </c>
      <c r="D135">
        <f>VLOOKUP(A135,NYSEARCAVEU!A$2:G$506,2,0)</f>
        <v>44.91</v>
      </c>
      <c r="E135">
        <f>VLOOKUP(A135,NYSEARCAVWO!A$2:G$506,2,0)</f>
        <v>33.92</v>
      </c>
      <c r="F135">
        <f>VLOOKUP(A135,NYSEARCABND!A$2:G$506,2,0)</f>
        <v>81.33</v>
      </c>
      <c r="G135">
        <f>VLOOKUP(A135,NYSEARCATIP!A$2:G$506,2,0)</f>
        <v>110.89</v>
      </c>
      <c r="H135">
        <f>VLOOKUP(A135,NYSEARCAMUB!A$2:G$506,2,0)</f>
        <v>109.95</v>
      </c>
      <c r="I135">
        <f>VLOOKUP(A135,NYSEARCAVNQ!A$2:G$506,2,0)</f>
        <v>80.27</v>
      </c>
      <c r="J135">
        <f>VLOOKUP(A135,NYSEARCARWX!A$2:G$506,2,0)</f>
        <v>40.01</v>
      </c>
      <c r="K135">
        <f>VLOOKUP(A135,NYSEARCADBC!A$2:G$506,2,0)</f>
        <v>14.32</v>
      </c>
      <c r="L135">
        <f>VLOOKUP(A135,NYSEARCAGSG!A$2:G$506,2,0)</f>
        <v>15.71</v>
      </c>
      <c r="M135">
        <f>VLOOKUP(A135,NYSEARCAGLD!A$2:G$506,2,0)</f>
        <v>101.53</v>
      </c>
      <c r="N135">
        <f>VLOOKUP(A135,NYSEBP!A$2:G$506,2,0)</f>
        <v>34.92</v>
      </c>
      <c r="O135">
        <f>VLOOKUP(A135,NASDAQYHOO!A$2:G$506,2,0)</f>
        <v>33.03</v>
      </c>
    </row>
    <row r="136" spans="1:15">
      <c r="A136" s="39">
        <v>42339</v>
      </c>
      <c r="B136">
        <v>59.13</v>
      </c>
      <c r="C136">
        <f>VLOOKUP(A136,NYSEARCAVTI!A$2:G$506,2,0)</f>
        <v>107.59</v>
      </c>
      <c r="D136">
        <f>VLOOKUP(A136,NYSEARCAVEU!A$2:G$506,2,0)</f>
        <v>45.19</v>
      </c>
      <c r="E136">
        <f>VLOOKUP(A136,NYSEARCAVWO!A$2:G$506,2,0)</f>
        <v>34.19</v>
      </c>
      <c r="F136">
        <f>VLOOKUP(A136,NYSEARCABND!A$2:G$506,2,0)</f>
        <v>81.17</v>
      </c>
      <c r="G136">
        <f>VLOOKUP(A136,NYSEARCATIP!A$2:G$506,2,0)</f>
        <v>110.82</v>
      </c>
      <c r="H136">
        <f>VLOOKUP(A136,NYSEARCAMUB!A$2:G$506,2,0)</f>
        <v>109.83</v>
      </c>
      <c r="I136">
        <f>VLOOKUP(A136,NYSEARCAVNQ!A$2:G$506,2,0)</f>
        <v>79.5</v>
      </c>
      <c r="J136">
        <f>VLOOKUP(A136,NYSEARCARWX!A$2:G$506,2,0)</f>
        <v>40.57</v>
      </c>
      <c r="K136">
        <f>VLOOKUP(A136,NYSEARCADBC!A$2:G$506,2,0)</f>
        <v>14.3</v>
      </c>
      <c r="L136">
        <f>VLOOKUP(A136,NYSEARCAGSG!A$2:G$506,2,0)</f>
        <v>15.57</v>
      </c>
      <c r="M136">
        <f>VLOOKUP(A136,NYSEARCAGLD!A$2:G$506,2,0)</f>
        <v>102.3</v>
      </c>
      <c r="N136">
        <f>VLOOKUP(A136,NYSEBP!A$2:G$506,2,0)</f>
        <v>34.770000000000003</v>
      </c>
      <c r="O136">
        <f>VLOOKUP(A136,NASDAQYHOO!A$2:G$506,2,0)</f>
        <v>33.869999999999997</v>
      </c>
    </row>
    <row r="137" spans="1:15">
      <c r="A137" s="39">
        <v>42340</v>
      </c>
      <c r="B137">
        <v>58.61</v>
      </c>
      <c r="C137">
        <f>VLOOKUP(A137,NYSEARCAVTI!A$2:G$506,2,0)</f>
        <v>108.1</v>
      </c>
      <c r="D137">
        <f>VLOOKUP(A137,NYSEARCAVEU!A$2:G$506,2,0)</f>
        <v>45.14</v>
      </c>
      <c r="E137">
        <f>VLOOKUP(A137,NYSEARCAVWO!A$2:G$506,2,0)</f>
        <v>34.14</v>
      </c>
      <c r="F137">
        <f>VLOOKUP(A137,NYSEARCABND!A$2:G$506,2,0)</f>
        <v>81.400000000000006</v>
      </c>
      <c r="G137">
        <f>VLOOKUP(A137,NYSEARCATIP!A$2:G$506,2,0)</f>
        <v>110.94</v>
      </c>
      <c r="H137">
        <f>VLOOKUP(A137,NYSEARCAMUB!A$2:G$506,2,0)</f>
        <v>110.01</v>
      </c>
      <c r="I137">
        <f>VLOOKUP(A137,NYSEARCAVNQ!A$2:G$506,2,0)</f>
        <v>80.260000000000005</v>
      </c>
      <c r="J137">
        <f>VLOOKUP(A137,NYSEARCARWX!A$2:G$506,2,0)</f>
        <v>40.54</v>
      </c>
      <c r="K137">
        <f>VLOOKUP(A137,NYSEARCADBC!A$2:G$506,2,0)</f>
        <v>14.17</v>
      </c>
      <c r="L137">
        <f>VLOOKUP(A137,NYSEARCAGSG!A$2:G$506,2,0)</f>
        <v>15.45</v>
      </c>
      <c r="M137">
        <f>VLOOKUP(A137,NYSEARCAGLD!A$2:G$506,2,0)</f>
        <v>101.35</v>
      </c>
      <c r="N137">
        <f>VLOOKUP(A137,NYSEBP!A$2:G$506,2,0)</f>
        <v>34.28</v>
      </c>
      <c r="O137">
        <f>VLOOKUP(A137,NASDAQYHOO!A$2:G$506,2,0)</f>
        <v>35</v>
      </c>
    </row>
    <row r="138" spans="1:15">
      <c r="A138" s="39">
        <v>42341</v>
      </c>
      <c r="B138">
        <v>58.69</v>
      </c>
      <c r="C138">
        <f>VLOOKUP(A138,NYSEARCAVTI!A$2:G$506,2,0)</f>
        <v>107.29</v>
      </c>
      <c r="D138">
        <f>VLOOKUP(A138,NYSEARCAVEU!A$2:G$506,2,0)</f>
        <v>45.09</v>
      </c>
      <c r="E138">
        <f>VLOOKUP(A138,NYSEARCAVWO!A$2:G$506,2,0)</f>
        <v>34.07</v>
      </c>
      <c r="F138">
        <f>VLOOKUP(A138,NYSEARCABND!A$2:G$506,2,0)</f>
        <v>81.150000000000006</v>
      </c>
      <c r="G138">
        <f>VLOOKUP(A138,NYSEARCATIP!A$2:G$506,2,0)</f>
        <v>110.65</v>
      </c>
      <c r="H138">
        <f>VLOOKUP(A138,NYSEARCAMUB!A$2:G$506,2,0)</f>
        <v>109.96</v>
      </c>
      <c r="I138">
        <f>VLOOKUP(A138,NYSEARCAVNQ!A$2:G$506,2,0)</f>
        <v>78.73</v>
      </c>
      <c r="J138">
        <f>VLOOKUP(A138,NYSEARCARWX!A$2:G$506,2,0)</f>
        <v>40.409999999999997</v>
      </c>
      <c r="K138">
        <f>VLOOKUP(A138,NYSEARCADBC!A$2:G$506,2,0)</f>
        <v>14.11</v>
      </c>
      <c r="L138">
        <f>VLOOKUP(A138,NYSEARCAGSG!A$2:G$506,2,0)</f>
        <v>15.27</v>
      </c>
      <c r="M138">
        <f>VLOOKUP(A138,NYSEARCAGLD!A$2:G$506,2,0)</f>
        <v>101.23</v>
      </c>
      <c r="N138">
        <f>VLOOKUP(A138,NYSEBP!A$2:G$506,2,0)</f>
        <v>34.020000000000003</v>
      </c>
      <c r="O138">
        <f>VLOOKUP(A138,NASDAQYHOO!A$2:G$506,2,0)</f>
        <v>35.590000000000003</v>
      </c>
    </row>
    <row r="139" spans="1:15">
      <c r="A139" s="39">
        <v>42342</v>
      </c>
      <c r="B139">
        <v>59.05</v>
      </c>
      <c r="C139">
        <f>VLOOKUP(A139,NYSEARCAVTI!A$2:G$506,2,0)</f>
        <v>105.81</v>
      </c>
      <c r="D139">
        <f>VLOOKUP(A139,NYSEARCAVEU!A$2:G$506,2,0)</f>
        <v>44.5</v>
      </c>
      <c r="E139">
        <f>VLOOKUP(A139,NYSEARCAVWO!A$2:G$506,2,0)</f>
        <v>33.57</v>
      </c>
      <c r="F139">
        <f>VLOOKUP(A139,NYSEARCABND!A$2:G$506,2,0)</f>
        <v>80.87</v>
      </c>
      <c r="G139">
        <f>VLOOKUP(A139,NYSEARCATIP!A$2:G$506,2,0)</f>
        <v>110.33</v>
      </c>
      <c r="H139">
        <f>VLOOKUP(A139,NYSEARCAMUB!A$2:G$506,2,0)</f>
        <v>109.72</v>
      </c>
      <c r="I139">
        <f>VLOOKUP(A139,NYSEARCAVNQ!A$2:G$506,2,0)</f>
        <v>77.680000000000007</v>
      </c>
      <c r="J139">
        <f>VLOOKUP(A139,NYSEARCARWX!A$2:G$506,2,0)</f>
        <v>39.85</v>
      </c>
      <c r="K139">
        <f>VLOOKUP(A139,NYSEARCADBC!A$2:G$506,2,0)</f>
        <v>14.15</v>
      </c>
      <c r="L139">
        <f>VLOOKUP(A139,NYSEARCAGSG!A$2:G$506,2,0)</f>
        <v>15.3</v>
      </c>
      <c r="M139">
        <f>VLOOKUP(A139,NYSEARCAGLD!A$2:G$506,2,0)</f>
        <v>102.74</v>
      </c>
      <c r="N139">
        <f>VLOOKUP(A139,NYSEBP!A$2:G$506,2,0)</f>
        <v>32.93</v>
      </c>
      <c r="O139">
        <f>VLOOKUP(A139,NASDAQYHOO!A$2:G$506,2,0)</f>
        <v>34.340000000000003</v>
      </c>
    </row>
    <row r="140" spans="1:15">
      <c r="A140" s="39">
        <v>42345</v>
      </c>
      <c r="B140">
        <v>59.57</v>
      </c>
      <c r="C140">
        <f>VLOOKUP(A140,NYSEARCAVTI!A$2:G$506,2,0)</f>
        <v>107.23</v>
      </c>
      <c r="D140">
        <f>VLOOKUP(A140,NYSEARCAVEU!A$2:G$506,2,0)</f>
        <v>44.69</v>
      </c>
      <c r="E140">
        <f>VLOOKUP(A140,NYSEARCAVWO!A$2:G$506,2,0)</f>
        <v>33.75</v>
      </c>
      <c r="F140">
        <f>VLOOKUP(A140,NYSEARCABND!A$2:G$506,2,0)</f>
        <v>81.06</v>
      </c>
      <c r="G140">
        <f>VLOOKUP(A140,NYSEARCATIP!A$2:G$506,2,0)</f>
        <v>110.23</v>
      </c>
      <c r="H140">
        <f>VLOOKUP(A140,NYSEARCAMUB!A$2:G$506,2,0)</f>
        <v>109.75</v>
      </c>
      <c r="I140">
        <f>VLOOKUP(A140,NYSEARCAVNQ!A$2:G$506,2,0)</f>
        <v>78.959999999999994</v>
      </c>
      <c r="J140">
        <f>VLOOKUP(A140,NYSEARCARWX!A$2:G$506,2,0)</f>
        <v>40.159999999999997</v>
      </c>
      <c r="K140">
        <f>VLOOKUP(A140,NYSEARCADBC!A$2:G$506,2,0)</f>
        <v>14</v>
      </c>
      <c r="L140">
        <f>VLOOKUP(A140,NYSEARCAGSG!A$2:G$506,2,0)</f>
        <v>15.07</v>
      </c>
      <c r="M140">
        <f>VLOOKUP(A140,NYSEARCAGLD!A$2:G$506,2,0)</f>
        <v>103.32</v>
      </c>
      <c r="N140">
        <f>VLOOKUP(A140,NYSEBP!A$2:G$506,2,0)</f>
        <v>31.75</v>
      </c>
      <c r="O140">
        <f>VLOOKUP(A140,NASDAQYHOO!A$2:G$506,2,0)</f>
        <v>34.76</v>
      </c>
    </row>
    <row r="141" spans="1:15">
      <c r="A141" s="39">
        <v>42346</v>
      </c>
      <c r="B141">
        <v>60.07</v>
      </c>
      <c r="C141">
        <f>VLOOKUP(A141,NYSEARCAVTI!A$2:G$506,2,0)</f>
        <v>105.94</v>
      </c>
      <c r="D141">
        <f>VLOOKUP(A141,NYSEARCAVEU!A$2:G$506,2,0)</f>
        <v>43.77</v>
      </c>
      <c r="E141">
        <f>VLOOKUP(A141,NYSEARCAVWO!A$2:G$506,2,0)</f>
        <v>32.770000000000003</v>
      </c>
      <c r="F141">
        <f>VLOOKUP(A141,NYSEARCABND!A$2:G$506,2,0)</f>
        <v>81.25</v>
      </c>
      <c r="G141">
        <f>VLOOKUP(A141,NYSEARCATIP!A$2:G$506,2,0)</f>
        <v>110.38</v>
      </c>
      <c r="H141">
        <f>VLOOKUP(A141,NYSEARCAMUB!A$2:G$506,2,0)</f>
        <v>110.04</v>
      </c>
      <c r="I141">
        <f>VLOOKUP(A141,NYSEARCAVNQ!A$2:G$506,2,0)</f>
        <v>78.44</v>
      </c>
      <c r="J141">
        <f>VLOOKUP(A141,NYSEARCARWX!A$2:G$506,2,0)</f>
        <v>39.590000000000003</v>
      </c>
      <c r="K141">
        <f>VLOOKUP(A141,NYSEARCADBC!A$2:G$506,2,0)</f>
        <v>13.67</v>
      </c>
      <c r="L141">
        <f>VLOOKUP(A141,NYSEARCAGSG!A$2:G$506,2,0)</f>
        <v>14.64</v>
      </c>
      <c r="M141">
        <f>VLOOKUP(A141,NYSEARCAGLD!A$2:G$506,2,0)</f>
        <v>103.13</v>
      </c>
      <c r="N141">
        <f>VLOOKUP(A141,NYSEBP!A$2:G$506,2,0)</f>
        <v>30.94</v>
      </c>
      <c r="O141">
        <f>VLOOKUP(A141,NASDAQYHOO!A$2:G$506,2,0)</f>
        <v>34.24</v>
      </c>
    </row>
    <row r="142" spans="1:15">
      <c r="A142" s="39">
        <v>42347</v>
      </c>
      <c r="B142">
        <v>59.26</v>
      </c>
      <c r="C142">
        <f>VLOOKUP(A142,NYSEARCAVTI!A$2:G$506,2,0)</f>
        <v>105.55</v>
      </c>
      <c r="D142">
        <f>VLOOKUP(A142,NYSEARCAVEU!A$2:G$506,2,0)</f>
        <v>43.83</v>
      </c>
      <c r="E142">
        <f>VLOOKUP(A142,NYSEARCAVWO!A$2:G$506,2,0)</f>
        <v>33.31</v>
      </c>
      <c r="F142">
        <f>VLOOKUP(A142,NYSEARCABND!A$2:G$506,2,0)</f>
        <v>81.11</v>
      </c>
      <c r="G142">
        <f>VLOOKUP(A142,NYSEARCATIP!A$2:G$506,2,0)</f>
        <v>110.26</v>
      </c>
      <c r="H142">
        <f>VLOOKUP(A142,NYSEARCAMUB!A$2:G$506,2,0)</f>
        <v>110.08</v>
      </c>
      <c r="I142">
        <f>VLOOKUP(A142,NYSEARCAVNQ!A$2:G$506,2,0)</f>
        <v>78.53</v>
      </c>
      <c r="J142">
        <f>VLOOKUP(A142,NYSEARCARWX!A$2:G$506,2,0)</f>
        <v>39.6</v>
      </c>
      <c r="K142">
        <f>VLOOKUP(A142,NYSEARCADBC!A$2:G$506,2,0)</f>
        <v>13.78</v>
      </c>
      <c r="L142">
        <f>VLOOKUP(A142,NYSEARCAGSG!A$2:G$506,2,0)</f>
        <v>14.72</v>
      </c>
      <c r="M142">
        <f>VLOOKUP(A142,NYSEARCAGLD!A$2:G$506,2,0)</f>
        <v>103.63</v>
      </c>
      <c r="N142">
        <f>VLOOKUP(A142,NYSEBP!A$2:G$506,2,0)</f>
        <v>31.77</v>
      </c>
      <c r="O142">
        <f>VLOOKUP(A142,NASDAQYHOO!A$2:G$506,2,0)</f>
        <v>35.799999999999997</v>
      </c>
    </row>
    <row r="143" spans="1:15">
      <c r="A143" s="39">
        <v>42348</v>
      </c>
      <c r="B143">
        <v>59.13</v>
      </c>
      <c r="C143">
        <f>VLOOKUP(A143,NYSEARCAVTI!A$2:G$506,2,0)</f>
        <v>105.18</v>
      </c>
      <c r="D143">
        <f>VLOOKUP(A143,NYSEARCAVEU!A$2:G$506,2,0)</f>
        <v>43.78</v>
      </c>
      <c r="E143">
        <f>VLOOKUP(A143,NYSEARCAVWO!A$2:G$506,2,0)</f>
        <v>32.68</v>
      </c>
      <c r="F143">
        <f>VLOOKUP(A143,NYSEARCABND!A$2:G$506,2,0)</f>
        <v>81.22</v>
      </c>
      <c r="G143">
        <f>VLOOKUP(A143,NYSEARCATIP!A$2:G$506,2,0)</f>
        <v>110.16</v>
      </c>
      <c r="H143">
        <f>VLOOKUP(A143,NYSEARCAMUB!A$2:G$506,2,0)</f>
        <v>110.17</v>
      </c>
      <c r="I143">
        <f>VLOOKUP(A143,NYSEARCAVNQ!A$2:G$506,2,0)</f>
        <v>78.489999999999995</v>
      </c>
      <c r="J143">
        <f>VLOOKUP(A143,NYSEARCARWX!A$2:G$506,2,0)</f>
        <v>39.479999999999997</v>
      </c>
      <c r="K143">
        <f>VLOOKUP(A143,NYSEARCADBC!A$2:G$506,2,0)</f>
        <v>13.68</v>
      </c>
      <c r="L143">
        <f>VLOOKUP(A143,NYSEARCAGSG!A$2:G$506,2,0)</f>
        <v>14.57</v>
      </c>
      <c r="M143">
        <f>VLOOKUP(A143,NYSEARCAGLD!A$2:G$506,2,0)</f>
        <v>102.51</v>
      </c>
      <c r="N143">
        <f>VLOOKUP(A143,NYSEBP!A$2:G$506,2,0)</f>
        <v>31.71</v>
      </c>
      <c r="O143">
        <f>VLOOKUP(A143,NASDAQYHOO!A$2:G$506,2,0)</f>
        <v>34.49</v>
      </c>
    </row>
    <row r="144" spans="1:15">
      <c r="A144" s="39">
        <v>42349</v>
      </c>
      <c r="B144">
        <v>59.05</v>
      </c>
      <c r="C144">
        <f>VLOOKUP(A144,NYSEARCAVTI!A$2:G$506,2,0)</f>
        <v>104.17</v>
      </c>
      <c r="D144">
        <f>VLOOKUP(A144,NYSEARCAVEU!A$2:G$506,2,0)</f>
        <v>43.02</v>
      </c>
      <c r="E144">
        <f>VLOOKUP(A144,NYSEARCAVWO!A$2:G$506,2,0)</f>
        <v>31.82</v>
      </c>
      <c r="F144">
        <f>VLOOKUP(A144,NYSEARCABND!A$2:G$506,2,0)</f>
        <v>81.37</v>
      </c>
      <c r="G144">
        <f>VLOOKUP(A144,NYSEARCATIP!A$2:G$506,2,0)</f>
        <v>110.3</v>
      </c>
      <c r="H144">
        <f>VLOOKUP(A144,NYSEARCAMUB!A$2:G$506,2,0)</f>
        <v>110.3</v>
      </c>
      <c r="I144">
        <f>VLOOKUP(A144,NYSEARCAVNQ!A$2:G$506,2,0)</f>
        <v>77.62</v>
      </c>
      <c r="J144">
        <f>VLOOKUP(A144,NYSEARCARWX!A$2:G$506,2,0)</f>
        <v>38.79</v>
      </c>
      <c r="K144">
        <f>VLOOKUP(A144,NYSEARCADBC!A$2:G$506,2,0)</f>
        <v>13.64</v>
      </c>
      <c r="L144">
        <f>VLOOKUP(A144,NYSEARCAGSG!A$2:G$506,2,0)</f>
        <v>14.52</v>
      </c>
      <c r="M144">
        <f>VLOOKUP(A144,NYSEARCAGLD!A$2:G$506,2,0)</f>
        <v>101.91</v>
      </c>
      <c r="N144">
        <f>VLOOKUP(A144,NYSEBP!A$2:G$506,2,0)</f>
        <v>31.15</v>
      </c>
      <c r="O144">
        <f>VLOOKUP(A144,NASDAQYHOO!A$2:G$506,2,0)</f>
        <v>34.01</v>
      </c>
    </row>
    <row r="145" spans="1:15">
      <c r="A145" s="39">
        <v>42352</v>
      </c>
      <c r="B145">
        <v>59.3</v>
      </c>
      <c r="C145">
        <f>VLOOKUP(A145,NYSEARCAVTI!A$2:G$506,2,0)</f>
        <v>103.36</v>
      </c>
      <c r="D145">
        <f>VLOOKUP(A145,NYSEARCAVEU!A$2:G$506,2,0)</f>
        <v>42.91</v>
      </c>
      <c r="E145">
        <f>VLOOKUP(A145,NYSEARCAVWO!A$2:G$506,2,0)</f>
        <v>31.92</v>
      </c>
      <c r="F145">
        <f>VLOOKUP(A145,NYSEARCABND!A$2:G$506,2,0)</f>
        <v>81.2</v>
      </c>
      <c r="G145">
        <f>VLOOKUP(A145,NYSEARCATIP!A$2:G$506,2,0)</f>
        <v>109.91</v>
      </c>
      <c r="H145">
        <f>VLOOKUP(A145,NYSEARCAMUB!A$2:G$506,2,0)</f>
        <v>110.34</v>
      </c>
      <c r="I145">
        <f>VLOOKUP(A145,NYSEARCAVNQ!A$2:G$506,2,0)</f>
        <v>77.77</v>
      </c>
      <c r="J145">
        <f>VLOOKUP(A145,NYSEARCARWX!A$2:G$506,2,0)</f>
        <v>38.96</v>
      </c>
      <c r="K145">
        <f>VLOOKUP(A145,NYSEARCADBC!A$2:G$506,2,0)</f>
        <v>13.4</v>
      </c>
      <c r="L145">
        <f>VLOOKUP(A145,NYSEARCAGSG!A$2:G$506,2,0)</f>
        <v>14.1</v>
      </c>
      <c r="M145">
        <f>VLOOKUP(A145,NYSEARCAGLD!A$2:G$506,2,0)</f>
        <v>102.58</v>
      </c>
      <c r="N145">
        <f>VLOOKUP(A145,NYSEBP!A$2:G$506,2,0)</f>
        <v>30.44</v>
      </c>
      <c r="O145">
        <f>VLOOKUP(A145,NASDAQYHOO!A$2:G$506,2,0)</f>
        <v>32.94</v>
      </c>
    </row>
    <row r="146" spans="1:15">
      <c r="A146" s="39">
        <v>42353</v>
      </c>
      <c r="B146">
        <v>60.64</v>
      </c>
      <c r="C146">
        <f>VLOOKUP(A146,NYSEARCAVTI!A$2:G$506,2,0)</f>
        <v>104.44</v>
      </c>
      <c r="D146">
        <f>VLOOKUP(A146,NYSEARCAVEU!A$2:G$506,2,0)</f>
        <v>43.19</v>
      </c>
      <c r="E146">
        <f>VLOOKUP(A146,NYSEARCAVWO!A$2:G$506,2,0)</f>
        <v>32.450000000000003</v>
      </c>
      <c r="F146">
        <f>VLOOKUP(A146,NYSEARCABND!A$2:G$506,2,0)</f>
        <v>80.88</v>
      </c>
      <c r="G146">
        <f>VLOOKUP(A146,NYSEARCATIP!A$2:G$506,2,0)</f>
        <v>109.5</v>
      </c>
      <c r="H146">
        <f>VLOOKUP(A146,NYSEARCAMUB!A$2:G$506,2,0)</f>
        <v>110.15</v>
      </c>
      <c r="I146">
        <f>VLOOKUP(A146,NYSEARCAVNQ!A$2:G$506,2,0)</f>
        <v>78.37</v>
      </c>
      <c r="J146">
        <f>VLOOKUP(A146,NYSEARCARWX!A$2:G$506,2,0)</f>
        <v>39</v>
      </c>
      <c r="K146">
        <f>VLOOKUP(A146,NYSEARCADBC!A$2:G$506,2,0)</f>
        <v>13.48</v>
      </c>
      <c r="L146">
        <f>VLOOKUP(A146,NYSEARCAGSG!A$2:G$506,2,0)</f>
        <v>14.24</v>
      </c>
      <c r="M146">
        <f>VLOOKUP(A146,NYSEARCAGLD!A$2:G$506,2,0)</f>
        <v>101.71</v>
      </c>
      <c r="N146">
        <f>VLOOKUP(A146,NYSEBP!A$2:G$506,2,0)</f>
        <v>30.58</v>
      </c>
      <c r="O146">
        <f>VLOOKUP(A146,NASDAQYHOO!A$2:G$506,2,0)</f>
        <v>32.53</v>
      </c>
    </row>
    <row r="147" spans="1:15">
      <c r="A147" s="39">
        <v>42354</v>
      </c>
      <c r="B147">
        <v>60.11</v>
      </c>
      <c r="C147">
        <f>VLOOKUP(A147,NYSEARCAVTI!A$2:G$506,2,0)</f>
        <v>105.46</v>
      </c>
      <c r="D147">
        <f>VLOOKUP(A147,NYSEARCAVEU!A$2:G$506,2,0)</f>
        <v>43.63</v>
      </c>
      <c r="E147">
        <f>VLOOKUP(A147,NYSEARCAVWO!A$2:G$506,2,0)</f>
        <v>32.75</v>
      </c>
      <c r="F147">
        <f>VLOOKUP(A147,NYSEARCABND!A$2:G$506,2,0)</f>
        <v>80.87</v>
      </c>
      <c r="G147">
        <f>VLOOKUP(A147,NYSEARCATIP!A$2:G$506,2,0)</f>
        <v>109.33</v>
      </c>
      <c r="H147">
        <f>VLOOKUP(A147,NYSEARCAMUB!A$2:G$506,2,0)</f>
        <v>109.95</v>
      </c>
      <c r="I147">
        <f>VLOOKUP(A147,NYSEARCAVNQ!A$2:G$506,2,0)</f>
        <v>79.2</v>
      </c>
      <c r="J147">
        <f>VLOOKUP(A147,NYSEARCARWX!A$2:G$506,2,0)</f>
        <v>39.44</v>
      </c>
      <c r="K147">
        <f>VLOOKUP(A147,NYSEARCADBC!A$2:G$506,2,0)</f>
        <v>13.36</v>
      </c>
      <c r="L147">
        <f>VLOOKUP(A147,NYSEARCAGSG!A$2:G$506,2,0)</f>
        <v>14.19</v>
      </c>
      <c r="M147">
        <f>VLOOKUP(A147,NYSEARCAGLD!A$2:G$506,2,0)</f>
        <v>102.59</v>
      </c>
      <c r="N147">
        <f>VLOOKUP(A147,NYSEBP!A$2:G$506,2,0)</f>
        <v>31.04</v>
      </c>
      <c r="O147">
        <f>VLOOKUP(A147,NASDAQYHOO!A$2:G$506,2,0)</f>
        <v>33.15</v>
      </c>
    </row>
    <row r="148" spans="1:15">
      <c r="A148" s="39">
        <v>42355</v>
      </c>
      <c r="B148">
        <v>60.33</v>
      </c>
      <c r="C148">
        <f>VLOOKUP(A148,NYSEARCAVTI!A$2:G$506,2,0)</f>
        <v>106.44</v>
      </c>
      <c r="D148">
        <f>VLOOKUP(A148,NYSEARCAVEU!A$2:G$506,2,0)</f>
        <v>43.99</v>
      </c>
      <c r="E148">
        <f>VLOOKUP(A148,NYSEARCAVWO!A$2:G$506,2,0)</f>
        <v>33.29</v>
      </c>
      <c r="F148">
        <f>VLOOKUP(A148,NYSEARCABND!A$2:G$506,2,0)</f>
        <v>80.92</v>
      </c>
      <c r="G148">
        <f>VLOOKUP(A148,NYSEARCATIP!A$2:G$506,2,0)</f>
        <v>109.12</v>
      </c>
      <c r="H148">
        <f>VLOOKUP(A148,NYSEARCAMUB!A$2:G$506,2,0)</f>
        <v>110.17</v>
      </c>
      <c r="I148">
        <f>VLOOKUP(A148,NYSEARCAVNQ!A$2:G$506,2,0)</f>
        <v>80.510000000000005</v>
      </c>
      <c r="J148">
        <f>VLOOKUP(A148,NYSEARCARWX!A$2:G$506,2,0)</f>
        <v>39.65</v>
      </c>
      <c r="K148">
        <f>VLOOKUP(A148,NYSEARCADBC!A$2:G$506,2,0)</f>
        <v>13.29</v>
      </c>
      <c r="L148">
        <f>VLOOKUP(A148,NYSEARCAGSG!A$2:G$506,2,0)</f>
        <v>14.1</v>
      </c>
      <c r="M148">
        <f>VLOOKUP(A148,NYSEARCAGLD!A$2:G$506,2,0)</f>
        <v>100.92</v>
      </c>
      <c r="N148">
        <f>VLOOKUP(A148,NYSEBP!A$2:G$506,2,0)</f>
        <v>30.76</v>
      </c>
      <c r="O148">
        <f>VLOOKUP(A148,NASDAQYHOO!A$2:G$506,2,0)</f>
        <v>33.81</v>
      </c>
    </row>
    <row r="149" spans="1:15">
      <c r="A149" s="39">
        <v>42356</v>
      </c>
      <c r="B149">
        <v>58.93</v>
      </c>
      <c r="C149">
        <f>VLOOKUP(A149,NYSEARCAVTI!A$2:G$506,2,0)</f>
        <v>104.17</v>
      </c>
      <c r="D149">
        <f>VLOOKUP(A149,NYSEARCAVEU!A$2:G$506,2,0)</f>
        <v>43.28</v>
      </c>
      <c r="E149">
        <f>VLOOKUP(A149,NYSEARCAVWO!A$2:G$506,2,0)</f>
        <v>32.79</v>
      </c>
      <c r="F149">
        <f>VLOOKUP(A149,NYSEARCABND!A$2:G$506,2,0)</f>
        <v>81.09</v>
      </c>
      <c r="G149">
        <f>VLOOKUP(A149,NYSEARCATIP!A$2:G$506,2,0)</f>
        <v>109.65</v>
      </c>
      <c r="H149">
        <f>VLOOKUP(A149,NYSEARCAMUB!A$2:G$506,2,0)</f>
        <v>110.43</v>
      </c>
      <c r="I149">
        <f>VLOOKUP(A149,NYSEARCAVNQ!A$2:G$506,2,0)</f>
        <v>79.92</v>
      </c>
      <c r="J149">
        <f>VLOOKUP(A149,NYSEARCARWX!A$2:G$506,2,0)</f>
        <v>39.08</v>
      </c>
      <c r="K149">
        <f>VLOOKUP(A149,NYSEARCADBC!A$2:G$506,2,0)</f>
        <v>13.26</v>
      </c>
      <c r="L149">
        <f>VLOOKUP(A149,NYSEARCAGSG!A$2:G$506,2,0)</f>
        <v>14</v>
      </c>
      <c r="M149">
        <f>VLOOKUP(A149,NYSEARCAGLD!A$2:G$506,2,0)</f>
        <v>101.35</v>
      </c>
      <c r="N149">
        <f>VLOOKUP(A149,NYSEBP!A$2:G$506,2,0)</f>
        <v>30.44</v>
      </c>
      <c r="O149">
        <f>VLOOKUP(A149,NASDAQYHOO!A$2:G$506,2,0)</f>
        <v>33.1</v>
      </c>
    </row>
    <row r="150" spans="1:15">
      <c r="A150" s="39">
        <v>42359</v>
      </c>
      <c r="B150">
        <v>58.82</v>
      </c>
      <c r="C150">
        <f>VLOOKUP(A150,NYSEARCAVTI!A$2:G$506,2,0)</f>
        <v>103.19</v>
      </c>
      <c r="D150">
        <f>VLOOKUP(A150,NYSEARCAVEU!A$2:G$506,2,0)</f>
        <v>43.23</v>
      </c>
      <c r="E150">
        <f>VLOOKUP(A150,NYSEARCAVWO!A$2:G$506,2,0)</f>
        <v>32.72</v>
      </c>
      <c r="F150">
        <f>VLOOKUP(A150,NYSEARCABND!A$2:G$506,2,0)</f>
        <v>81.19</v>
      </c>
      <c r="G150">
        <f>VLOOKUP(A150,NYSEARCATIP!A$2:G$506,2,0)</f>
        <v>109.74</v>
      </c>
      <c r="H150">
        <f>VLOOKUP(A150,NYSEARCAMUB!A$2:G$506,2,0)</f>
        <v>110.61</v>
      </c>
      <c r="I150">
        <f>VLOOKUP(A150,NYSEARCAVNQ!A$2:G$506,2,0)</f>
        <v>79.5</v>
      </c>
      <c r="J150">
        <f>VLOOKUP(A150,NYSEARCARWX!A$2:G$506,2,0)</f>
        <v>39.26</v>
      </c>
      <c r="K150">
        <f>VLOOKUP(A150,NYSEARCADBC!A$2:G$506,2,0)</f>
        <v>13.2</v>
      </c>
      <c r="L150">
        <f>VLOOKUP(A150,NYSEARCAGSG!A$2:G$506,2,0)</f>
        <v>13.88</v>
      </c>
      <c r="M150">
        <f>VLOOKUP(A150,NYSEARCAGLD!A$2:G$506,2,0)</f>
        <v>102.95</v>
      </c>
      <c r="N150">
        <f>VLOOKUP(A150,NYSEBP!A$2:G$506,2,0)</f>
        <v>30.51</v>
      </c>
      <c r="O150">
        <f>VLOOKUP(A150,NASDAQYHOO!A$2:G$506,2,0)</f>
        <v>33.119999999999997</v>
      </c>
    </row>
    <row r="151" spans="1:15">
      <c r="A151" s="39">
        <v>42360</v>
      </c>
      <c r="B151">
        <v>59.79</v>
      </c>
      <c r="C151">
        <f>VLOOKUP(A151,NYSEARCAVTI!A$2:G$506,2,0)</f>
        <v>103.65</v>
      </c>
      <c r="D151">
        <f>VLOOKUP(A151,NYSEARCAVEU!A$2:G$506,2,0)</f>
        <v>43.07</v>
      </c>
      <c r="E151">
        <f>VLOOKUP(A151,NYSEARCAVWO!A$2:G$506,2,0)</f>
        <v>32.69</v>
      </c>
      <c r="F151">
        <f>VLOOKUP(A151,NYSEARCABND!A$2:G$506,2,0)</f>
        <v>81.03</v>
      </c>
      <c r="G151">
        <f>VLOOKUP(A151,NYSEARCATIP!A$2:G$506,2,0)</f>
        <v>109.45</v>
      </c>
      <c r="H151">
        <f>VLOOKUP(A151,NYSEARCAMUB!A$2:G$506,2,0)</f>
        <v>110.55</v>
      </c>
      <c r="I151">
        <f>VLOOKUP(A151,NYSEARCAVNQ!A$2:G$506,2,0)</f>
        <v>79.569999999999993</v>
      </c>
      <c r="J151">
        <f>VLOOKUP(A151,NYSEARCARWX!A$2:G$506,2,0)</f>
        <v>39.14</v>
      </c>
      <c r="K151">
        <f>VLOOKUP(A151,NYSEARCADBC!A$2:G$506,2,0)</f>
        <v>13.22</v>
      </c>
      <c r="L151">
        <f>VLOOKUP(A151,NYSEARCAGSG!A$2:G$506,2,0)</f>
        <v>13.9</v>
      </c>
      <c r="M151">
        <f>VLOOKUP(A151,NYSEARCAGLD!A$2:G$506,2,0)</f>
        <v>103.09</v>
      </c>
      <c r="N151">
        <f>VLOOKUP(A151,NYSEBP!A$2:G$506,2,0)</f>
        <v>30.34</v>
      </c>
      <c r="O151">
        <f>VLOOKUP(A151,NASDAQYHOO!A$2:G$506,2,0)</f>
        <v>32.99</v>
      </c>
    </row>
    <row r="152" spans="1:15">
      <c r="A152" s="39">
        <v>42361</v>
      </c>
      <c r="B152">
        <v>61</v>
      </c>
      <c r="C152">
        <f>VLOOKUP(A152,NYSEARCAVTI!A$2:G$506,2,0)</f>
        <v>104.63</v>
      </c>
      <c r="D152">
        <f>VLOOKUP(A152,NYSEARCAVEU!A$2:G$506,2,0)</f>
        <v>43.67</v>
      </c>
      <c r="E152">
        <f>VLOOKUP(A152,NYSEARCAVWO!A$2:G$506,2,0)</f>
        <v>33.24</v>
      </c>
      <c r="F152">
        <f>VLOOKUP(A152,NYSEARCABND!A$2:G$506,2,0)</f>
        <v>80.62</v>
      </c>
      <c r="G152">
        <f>VLOOKUP(A152,NYSEARCATIP!A$2:G$506,2,0)</f>
        <v>109.23</v>
      </c>
      <c r="H152">
        <f>VLOOKUP(A152,NYSEARCAMUB!A$2:G$506,2,0)</f>
        <v>110.57</v>
      </c>
      <c r="I152">
        <f>VLOOKUP(A152,NYSEARCAVNQ!A$2:G$506,2,0)</f>
        <v>78.8</v>
      </c>
      <c r="J152">
        <f>VLOOKUP(A152,NYSEARCARWX!A$2:G$506,2,0)</f>
        <v>39.369999999999997</v>
      </c>
      <c r="K152">
        <f>VLOOKUP(A152,NYSEARCADBC!A$2:G$506,2,0)</f>
        <v>13.26</v>
      </c>
      <c r="L152">
        <f>VLOOKUP(A152,NYSEARCAGSG!A$2:G$506,2,0)</f>
        <v>14.09</v>
      </c>
      <c r="M152">
        <f>VLOOKUP(A152,NYSEARCAGLD!A$2:G$506,2,0)</f>
        <v>102.4</v>
      </c>
      <c r="N152">
        <f>VLOOKUP(A152,NYSEBP!A$2:G$506,2,0)</f>
        <v>32</v>
      </c>
      <c r="O152">
        <f>VLOOKUP(A152,NASDAQYHOO!A$2:G$506,2,0)</f>
        <v>34.24</v>
      </c>
    </row>
    <row r="153" spans="1:15">
      <c r="A153" s="39">
        <v>42362</v>
      </c>
      <c r="B153">
        <v>60.78</v>
      </c>
      <c r="C153">
        <f>VLOOKUP(A153,NYSEARCAVTI!A$2:G$506,2,0)</f>
        <v>105.22</v>
      </c>
      <c r="D153">
        <f>VLOOKUP(A153,NYSEARCAVEU!A$2:G$506,2,0)</f>
        <v>43.92</v>
      </c>
      <c r="E153">
        <f>VLOOKUP(A153,NYSEARCAVWO!A$2:G$506,2,0)</f>
        <v>33.31</v>
      </c>
      <c r="F153">
        <f>VLOOKUP(A153,NYSEARCABND!A$2:G$506,2,0)</f>
        <v>80.75</v>
      </c>
      <c r="G153">
        <f>VLOOKUP(A153,NYSEARCATIP!A$2:G$506,2,0)</f>
        <v>109.84</v>
      </c>
      <c r="H153">
        <f>VLOOKUP(A153,NYSEARCAMUB!A$2:G$506,2,0)</f>
        <v>110.44</v>
      </c>
      <c r="I153">
        <f>VLOOKUP(A153,NYSEARCAVNQ!A$2:G$506,2,0)</f>
        <v>79.27</v>
      </c>
      <c r="J153">
        <f>VLOOKUP(A153,NYSEARCARWX!A$2:G$506,2,0)</f>
        <v>39.46</v>
      </c>
      <c r="K153">
        <f>VLOOKUP(A153,NYSEARCADBC!A$2:G$506,2,0)</f>
        <v>13.45</v>
      </c>
      <c r="L153">
        <f>VLOOKUP(A153,NYSEARCAGSG!A$2:G$506,2,0)</f>
        <v>14.28</v>
      </c>
      <c r="M153">
        <f>VLOOKUP(A153,NYSEARCAGLD!A$2:G$506,2,0)</f>
        <v>102.82</v>
      </c>
      <c r="N153">
        <f>VLOOKUP(A153,NYSEBP!A$2:G$506,2,0)</f>
        <v>32.51</v>
      </c>
      <c r="O153">
        <f>VLOOKUP(A153,NASDAQYHOO!A$2:G$506,2,0)</f>
        <v>34.19</v>
      </c>
    </row>
    <row r="154" spans="1:15">
      <c r="A154" s="39">
        <v>42366</v>
      </c>
      <c r="B154">
        <v>60.58</v>
      </c>
      <c r="C154">
        <f>VLOOKUP(A154,NYSEARCAVTI!A$2:G$506,2,0)</f>
        <v>104.88</v>
      </c>
      <c r="D154">
        <f>VLOOKUP(A154,NYSEARCAVEU!A$2:G$506,2,0)</f>
        <v>43.82</v>
      </c>
      <c r="E154">
        <f>VLOOKUP(A154,NYSEARCAVWO!A$2:G$506,2,0)</f>
        <v>33.19</v>
      </c>
      <c r="F154">
        <f>VLOOKUP(A154,NYSEARCABND!A$2:G$506,2,0)</f>
        <v>80.709999999999994</v>
      </c>
      <c r="G154">
        <f>VLOOKUP(A154,NYSEARCATIP!A$2:G$506,2,0)</f>
        <v>109.74</v>
      </c>
      <c r="H154">
        <f>VLOOKUP(A154,NYSEARCAMUB!A$2:G$506,2,0)</f>
        <v>110.55</v>
      </c>
      <c r="I154">
        <f>VLOOKUP(A154,NYSEARCAVNQ!A$2:G$506,2,0)</f>
        <v>79.16</v>
      </c>
      <c r="J154">
        <f>VLOOKUP(A154,NYSEARCARWX!A$2:G$506,2,0)</f>
        <v>39.340000000000003</v>
      </c>
      <c r="K154">
        <f>VLOOKUP(A154,NYSEARCADBC!A$2:G$506,2,0)</f>
        <v>13.25</v>
      </c>
      <c r="L154">
        <f>VLOOKUP(A154,NYSEARCAGSG!A$2:G$506,2,0)</f>
        <v>14.12</v>
      </c>
      <c r="M154">
        <f>VLOOKUP(A154,NYSEARCAGLD!A$2:G$506,2,0)</f>
        <v>102.48</v>
      </c>
      <c r="N154">
        <f>VLOOKUP(A154,NYSEBP!A$2:G$506,2,0)</f>
        <v>31.67</v>
      </c>
      <c r="O154">
        <f>VLOOKUP(A154,NASDAQYHOO!A$2:G$506,2,0)</f>
        <v>33.9</v>
      </c>
    </row>
    <row r="155" spans="1:15">
      <c r="A155" s="39">
        <v>42367</v>
      </c>
      <c r="B155">
        <v>61</v>
      </c>
      <c r="C155">
        <f>VLOOKUP(A155,NYSEARCAVTI!A$2:G$506,2,0)</f>
        <v>105.69</v>
      </c>
      <c r="D155">
        <f>VLOOKUP(A155,NYSEARCAVEU!A$2:G$506,2,0)</f>
        <v>44.06</v>
      </c>
      <c r="E155">
        <f>VLOOKUP(A155,NYSEARCAVWO!A$2:G$506,2,0)</f>
        <v>33.25</v>
      </c>
      <c r="F155">
        <f>VLOOKUP(A155,NYSEARCABND!A$2:G$506,2,0)</f>
        <v>80.73</v>
      </c>
      <c r="G155">
        <f>VLOOKUP(A155,NYSEARCATIP!A$2:G$506,2,0)</f>
        <v>109.76</v>
      </c>
      <c r="H155">
        <f>VLOOKUP(A155,NYSEARCAMUB!A$2:G$506,2,0)</f>
        <v>110.54</v>
      </c>
      <c r="I155">
        <f>VLOOKUP(A155,NYSEARCAVNQ!A$2:G$506,2,0)</f>
        <v>80</v>
      </c>
      <c r="J155">
        <f>VLOOKUP(A155,NYSEARCARWX!A$2:G$506,2,0)</f>
        <v>39.840000000000003</v>
      </c>
      <c r="K155">
        <f>VLOOKUP(A155,NYSEARCADBC!A$2:G$506,2,0)</f>
        <v>13.38</v>
      </c>
      <c r="L155">
        <f>VLOOKUP(A155,NYSEARCAGSG!A$2:G$506,2,0)</f>
        <v>14.29</v>
      </c>
      <c r="M155">
        <f>VLOOKUP(A155,NYSEARCAGLD!A$2:G$506,2,0)</f>
        <v>102.52</v>
      </c>
      <c r="N155">
        <f>VLOOKUP(A155,NYSEBP!A$2:G$506,2,0)</f>
        <v>31.97</v>
      </c>
      <c r="O155">
        <f>VLOOKUP(A155,NASDAQYHOO!A$2:G$506,2,0)</f>
        <v>33.630000000000003</v>
      </c>
    </row>
    <row r="156" spans="1:15">
      <c r="A156" s="39">
        <v>42368</v>
      </c>
      <c r="B156">
        <v>61.66</v>
      </c>
      <c r="C156">
        <f>VLOOKUP(A156,NYSEARCAVTI!A$2:G$506,2,0)</f>
        <v>105.96</v>
      </c>
      <c r="D156">
        <f>VLOOKUP(A156,NYSEARCAVEU!A$2:G$506,2,0)</f>
        <v>43.99</v>
      </c>
      <c r="E156">
        <f>VLOOKUP(A156,NYSEARCAVWO!A$2:G$506,2,0)</f>
        <v>32.840000000000003</v>
      </c>
      <c r="F156">
        <f>VLOOKUP(A156,NYSEARCABND!A$2:G$506,2,0)</f>
        <v>80.53</v>
      </c>
      <c r="G156">
        <f>VLOOKUP(A156,NYSEARCATIP!A$2:G$506,2,0)</f>
        <v>109.24</v>
      </c>
      <c r="H156">
        <f>VLOOKUP(A156,NYSEARCAMUB!A$2:G$506,2,0)</f>
        <v>110.53</v>
      </c>
      <c r="I156">
        <f>VLOOKUP(A156,NYSEARCAVNQ!A$2:G$506,2,0)</f>
        <v>80.650000000000006</v>
      </c>
      <c r="J156">
        <f>VLOOKUP(A156,NYSEARCARWX!A$2:G$506,2,0)</f>
        <v>39.590000000000003</v>
      </c>
      <c r="K156">
        <f>VLOOKUP(A156,NYSEARCADBC!A$2:G$506,2,0)</f>
        <v>13.31</v>
      </c>
      <c r="L156">
        <f>VLOOKUP(A156,NYSEARCAGSG!A$2:G$506,2,0)</f>
        <v>14.19</v>
      </c>
      <c r="M156">
        <f>VLOOKUP(A156,NYSEARCAGLD!A$2:G$506,2,0)</f>
        <v>101.47</v>
      </c>
      <c r="N156">
        <f>VLOOKUP(A156,NYSEBP!A$2:G$506,2,0)</f>
        <v>31.55</v>
      </c>
      <c r="O156">
        <f>VLOOKUP(A156,NASDAQYHOO!A$2:G$506,2,0)</f>
        <v>33.85</v>
      </c>
    </row>
    <row r="157" spans="1:15">
      <c r="A157" s="39">
        <v>42369</v>
      </c>
      <c r="B157">
        <v>61.33</v>
      </c>
      <c r="C157">
        <f>VLOOKUP(A157,NYSEARCAVTI!A$2:G$506,2,0)</f>
        <v>104.93</v>
      </c>
      <c r="D157">
        <f>VLOOKUP(A157,NYSEARCAVEU!A$2:G$506,2,0)</f>
        <v>43.61</v>
      </c>
      <c r="E157">
        <f>VLOOKUP(A157,NYSEARCAVWO!A$2:G$506,2,0)</f>
        <v>32.71</v>
      </c>
      <c r="F157">
        <f>VLOOKUP(A157,NYSEARCABND!A$2:G$506,2,0)</f>
        <v>80.73</v>
      </c>
      <c r="G157">
        <f>VLOOKUP(A157,NYSEARCATIP!A$2:G$506,2,0)</f>
        <v>109.66</v>
      </c>
      <c r="H157">
        <f>VLOOKUP(A157,NYSEARCAMUB!A$2:G$506,2,0)</f>
        <v>110.62</v>
      </c>
      <c r="I157">
        <f>VLOOKUP(A157,NYSEARCAVNQ!A$2:G$506,2,0)</f>
        <v>80.39</v>
      </c>
      <c r="J157">
        <f>VLOOKUP(A157,NYSEARCARWX!A$2:G$506,2,0)</f>
        <v>39.22</v>
      </c>
      <c r="K157">
        <f>VLOOKUP(A157,NYSEARCADBC!A$2:G$506,2,0)</f>
        <v>13.22</v>
      </c>
      <c r="L157">
        <f>VLOOKUP(A157,NYSEARCAGSG!A$2:G$506,2,0)</f>
        <v>14.04</v>
      </c>
      <c r="M157">
        <f>VLOOKUP(A157,NYSEARCAGLD!A$2:G$506,2,0)</f>
        <v>101.48</v>
      </c>
      <c r="N157">
        <f>VLOOKUP(A157,NYSEBP!A$2:G$506,2,0)</f>
        <v>31.25</v>
      </c>
      <c r="O157">
        <f>VLOOKUP(A157,NASDAQYHOO!A$2:G$506,2,0)</f>
        <v>33.22</v>
      </c>
    </row>
    <row r="158" spans="1:15">
      <c r="A158" s="39">
        <v>42373</v>
      </c>
      <c r="B158">
        <v>60.5</v>
      </c>
      <c r="C158">
        <f>VLOOKUP(A158,NYSEARCAVTI!A$2:G$506,2,0)</f>
        <v>102.58</v>
      </c>
      <c r="D158">
        <f>VLOOKUP(A158,NYSEARCAVEU!A$2:G$506,2,0)</f>
        <v>42.63</v>
      </c>
      <c r="E158">
        <f>VLOOKUP(A158,NYSEARCAVWO!A$2:G$506,2,0)</f>
        <v>31.84</v>
      </c>
      <c r="F158">
        <f>VLOOKUP(A158,NYSEARCABND!A$2:G$506,2,0)</f>
        <v>80.790000000000006</v>
      </c>
      <c r="G158">
        <f>VLOOKUP(A158,NYSEARCATIP!A$2:G$506,2,0)</f>
        <v>110.22</v>
      </c>
      <c r="H158">
        <f>VLOOKUP(A158,NYSEARCAMUB!A$2:G$506,2,0)</f>
        <v>110.63</v>
      </c>
      <c r="I158">
        <f>VLOOKUP(A158,NYSEARCAVNQ!A$2:G$506,2,0)</f>
        <v>79.069999999999993</v>
      </c>
      <c r="J158">
        <f>VLOOKUP(A158,NYSEARCARWX!A$2:G$506,2,0)</f>
        <v>38.5</v>
      </c>
      <c r="K158">
        <f>VLOOKUP(A158,NYSEARCADBC!A$2:G$506,2,0)</f>
        <v>13.42</v>
      </c>
      <c r="L158">
        <f>VLOOKUP(A158,NYSEARCAGSG!A$2:G$506,2,0)</f>
        <v>14.37</v>
      </c>
      <c r="M158">
        <f>VLOOKUP(A158,NYSEARCAGLD!A$2:G$506,2,0)</f>
        <v>103.13</v>
      </c>
      <c r="N158">
        <f>VLOOKUP(A158,NYSEBP!A$2:G$506,2,0)</f>
        <v>30.8</v>
      </c>
      <c r="O158">
        <f>VLOOKUP(A158,NASDAQYHOO!A$2:G$506,2,0)</f>
        <v>32.119999999999997</v>
      </c>
    </row>
    <row r="159" spans="1:15">
      <c r="A159" s="39">
        <v>42374</v>
      </c>
      <c r="B159">
        <v>62.03</v>
      </c>
      <c r="C159">
        <f>VLOOKUP(A159,NYSEARCAVTI!A$2:G$506,2,0)</f>
        <v>102.9</v>
      </c>
      <c r="D159">
        <f>VLOOKUP(A159,NYSEARCAVEU!A$2:G$506,2,0)</f>
        <v>42.59</v>
      </c>
      <c r="E159">
        <f>VLOOKUP(A159,NYSEARCAVWO!A$2:G$506,2,0)</f>
        <v>31.9</v>
      </c>
      <c r="F159">
        <f>VLOOKUP(A159,NYSEARCABND!A$2:G$506,2,0)</f>
        <v>80.760000000000005</v>
      </c>
      <c r="G159">
        <f>VLOOKUP(A159,NYSEARCATIP!A$2:G$506,2,0)</f>
        <v>109.88</v>
      </c>
      <c r="H159">
        <f>VLOOKUP(A159,NYSEARCAMUB!A$2:G$506,2,0)</f>
        <v>110.51</v>
      </c>
      <c r="I159">
        <f>VLOOKUP(A159,NYSEARCAVNQ!A$2:G$506,2,0)</f>
        <v>78.8</v>
      </c>
      <c r="J159">
        <f>VLOOKUP(A159,NYSEARCARWX!A$2:G$506,2,0)</f>
        <v>38.74</v>
      </c>
      <c r="K159">
        <f>VLOOKUP(A159,NYSEARCADBC!A$2:G$506,2,0)</f>
        <v>13.22</v>
      </c>
      <c r="L159">
        <f>VLOOKUP(A159,NYSEARCAGSG!A$2:G$506,2,0)</f>
        <v>14.07</v>
      </c>
      <c r="M159">
        <f>VLOOKUP(A159,NYSEARCAGLD!A$2:G$506,2,0)</f>
        <v>103.13</v>
      </c>
      <c r="N159">
        <f>VLOOKUP(A159,NYSEBP!A$2:G$506,2,0)</f>
        <v>30.92</v>
      </c>
      <c r="O159">
        <f>VLOOKUP(A159,NASDAQYHOO!A$2:G$506,2,0)</f>
        <v>31.55</v>
      </c>
    </row>
    <row r="160" spans="1:15">
      <c r="A160" s="39">
        <v>42375</v>
      </c>
      <c r="B160">
        <v>62.48</v>
      </c>
      <c r="C160">
        <f>VLOOKUP(A160,NYSEARCAVTI!A$2:G$506,2,0)</f>
        <v>101.53</v>
      </c>
      <c r="D160">
        <f>VLOOKUP(A160,NYSEARCAVEU!A$2:G$506,2,0)</f>
        <v>41.76</v>
      </c>
      <c r="E160">
        <f>VLOOKUP(A160,NYSEARCAVWO!A$2:G$506,2,0)</f>
        <v>31.32</v>
      </c>
      <c r="F160">
        <f>VLOOKUP(A160,NYSEARCABND!A$2:G$506,2,0)</f>
        <v>81.03</v>
      </c>
      <c r="G160">
        <f>VLOOKUP(A160,NYSEARCATIP!A$2:G$506,2,0)</f>
        <v>110.12</v>
      </c>
      <c r="H160">
        <f>VLOOKUP(A160,NYSEARCAMUB!A$2:G$506,2,0)</f>
        <v>110.77</v>
      </c>
      <c r="I160">
        <f>VLOOKUP(A160,NYSEARCAVNQ!A$2:G$506,2,0)</f>
        <v>79.569999999999993</v>
      </c>
      <c r="J160">
        <f>VLOOKUP(A160,NYSEARCARWX!A$2:G$506,2,0)</f>
        <v>38.24</v>
      </c>
      <c r="K160">
        <f>VLOOKUP(A160,NYSEARCADBC!A$2:G$506,2,0)</f>
        <v>12.96</v>
      </c>
      <c r="L160">
        <f>VLOOKUP(A160,NYSEARCAGSG!A$2:G$506,2,0)</f>
        <v>13.69</v>
      </c>
      <c r="M160">
        <f>VLOOKUP(A160,NYSEARCAGLD!A$2:G$506,2,0)</f>
        <v>104.37</v>
      </c>
      <c r="N160">
        <f>VLOOKUP(A160,NYSEBP!A$2:G$506,2,0)</f>
        <v>29.93</v>
      </c>
      <c r="O160">
        <f>VLOOKUP(A160,NASDAQYHOO!A$2:G$506,2,0)</f>
        <v>31.67</v>
      </c>
    </row>
    <row r="161" spans="1:15">
      <c r="A161" s="39">
        <v>42376</v>
      </c>
      <c r="B161">
        <v>62.97</v>
      </c>
      <c r="C161">
        <f>VLOOKUP(A161,NYSEARCAVTI!A$2:G$506,2,0)</f>
        <v>99.9</v>
      </c>
      <c r="D161">
        <f>VLOOKUP(A161,NYSEARCAVEU!A$2:G$506,2,0)</f>
        <v>41.02</v>
      </c>
      <c r="E161">
        <f>VLOOKUP(A161,NYSEARCAVWO!A$2:G$506,2,0)</f>
        <v>30.48</v>
      </c>
      <c r="F161">
        <f>VLOOKUP(A161,NYSEARCABND!A$2:G$506,2,0)</f>
        <v>81.12</v>
      </c>
      <c r="G161">
        <f>VLOOKUP(A161,NYSEARCATIP!A$2:G$506,2,0)</f>
        <v>110.32</v>
      </c>
      <c r="H161">
        <f>VLOOKUP(A161,NYSEARCAMUB!A$2:G$506,2,0)</f>
        <v>111.2</v>
      </c>
      <c r="I161">
        <f>VLOOKUP(A161,NYSEARCAVNQ!A$2:G$506,2,0)</f>
        <v>79.099999999999994</v>
      </c>
      <c r="J161">
        <f>VLOOKUP(A161,NYSEARCARWX!A$2:G$506,2,0)</f>
        <v>37.75</v>
      </c>
      <c r="K161">
        <f>VLOOKUP(A161,NYSEARCADBC!A$2:G$506,2,0)</f>
        <v>12.79</v>
      </c>
      <c r="L161">
        <f>VLOOKUP(A161,NYSEARCAGSG!A$2:G$506,2,0)</f>
        <v>13.42</v>
      </c>
      <c r="M161">
        <f>VLOOKUP(A161,NYSEARCAGLD!A$2:G$506,2,0)</f>
        <v>105.83</v>
      </c>
      <c r="N161">
        <f>VLOOKUP(A161,NYSEBP!A$2:G$506,2,0)</f>
        <v>29.07</v>
      </c>
      <c r="O161">
        <f>VLOOKUP(A161,NASDAQYHOO!A$2:G$506,2,0)</f>
        <v>30.97</v>
      </c>
    </row>
    <row r="162" spans="1:15">
      <c r="A162" s="39">
        <v>42377</v>
      </c>
      <c r="B162">
        <v>65.08</v>
      </c>
      <c r="C162">
        <f>VLOOKUP(A162,NYSEARCAVTI!A$2:G$506,2,0)</f>
        <v>99.61</v>
      </c>
      <c r="D162">
        <f>VLOOKUP(A162,NYSEARCAVEU!A$2:G$506,2,0)</f>
        <v>41.17</v>
      </c>
      <c r="E162">
        <f>VLOOKUP(A162,NYSEARCAVWO!A$2:G$506,2,0)</f>
        <v>30.48</v>
      </c>
      <c r="F162">
        <f>VLOOKUP(A162,NYSEARCABND!A$2:G$506,2,0)</f>
        <v>81.14</v>
      </c>
      <c r="G162">
        <f>VLOOKUP(A162,NYSEARCATIP!A$2:G$506,2,0)</f>
        <v>110.13</v>
      </c>
      <c r="H162">
        <f>VLOOKUP(A162,NYSEARCAMUB!A$2:G$506,2,0)</f>
        <v>111.05</v>
      </c>
      <c r="I162">
        <f>VLOOKUP(A162,NYSEARCAVNQ!A$2:G$506,2,0)</f>
        <v>79.040000000000006</v>
      </c>
      <c r="J162">
        <f>VLOOKUP(A162,NYSEARCARWX!A$2:G$506,2,0)</f>
        <v>37.6</v>
      </c>
      <c r="K162">
        <f>VLOOKUP(A162,NYSEARCADBC!A$2:G$506,2,0)</f>
        <v>12.87</v>
      </c>
      <c r="L162">
        <f>VLOOKUP(A162,NYSEARCAGSG!A$2:G$506,2,0)</f>
        <v>13.51</v>
      </c>
      <c r="M162">
        <f>VLOOKUP(A162,NYSEARCAGLD!A$2:G$506,2,0)</f>
        <v>105.48</v>
      </c>
      <c r="N162">
        <f>VLOOKUP(A162,NYSEBP!A$2:G$506,2,0)</f>
        <v>29.41</v>
      </c>
      <c r="O162">
        <f>VLOOKUP(A162,NASDAQYHOO!A$2:G$506,2,0)</f>
        <v>30.51</v>
      </c>
    </row>
    <row r="163" spans="1:15">
      <c r="A163" s="39">
        <v>42380</v>
      </c>
      <c r="B163">
        <v>63.76</v>
      </c>
      <c r="C163">
        <f>VLOOKUP(A163,NYSEARCAVTI!A$2:G$506,2,0)</f>
        <v>98.55</v>
      </c>
      <c r="D163">
        <f>VLOOKUP(A163,NYSEARCAVEU!A$2:G$506,2,0)</f>
        <v>40.909999999999997</v>
      </c>
      <c r="E163">
        <f>VLOOKUP(A163,NYSEARCAVWO!A$2:G$506,2,0)</f>
        <v>30.16</v>
      </c>
      <c r="F163">
        <f>VLOOKUP(A163,NYSEARCABND!A$2:G$506,2,0)</f>
        <v>81.11</v>
      </c>
      <c r="G163">
        <f>VLOOKUP(A163,NYSEARCATIP!A$2:G$506,2,0)</f>
        <v>110.1</v>
      </c>
      <c r="H163">
        <f>VLOOKUP(A163,NYSEARCAMUB!A$2:G$506,2,0)</f>
        <v>111.18</v>
      </c>
      <c r="I163">
        <f>VLOOKUP(A163,NYSEARCAVNQ!A$2:G$506,2,0)</f>
        <v>77.53</v>
      </c>
      <c r="J163">
        <f>VLOOKUP(A163,NYSEARCARWX!A$2:G$506,2,0)</f>
        <v>37.369999999999997</v>
      </c>
      <c r="K163">
        <f>VLOOKUP(A163,NYSEARCADBC!A$2:G$506,2,0)</f>
        <v>12.73</v>
      </c>
      <c r="L163">
        <f>VLOOKUP(A163,NYSEARCAGSG!A$2:G$506,2,0)</f>
        <v>13.33</v>
      </c>
      <c r="M163">
        <f>VLOOKUP(A163,NYSEARCAGLD!A$2:G$506,2,0)</f>
        <v>105.47</v>
      </c>
      <c r="N163">
        <f>VLOOKUP(A163,NYSEBP!A$2:G$506,2,0)</f>
        <v>29.56</v>
      </c>
      <c r="O163">
        <f>VLOOKUP(A163,NASDAQYHOO!A$2:G$506,2,0)</f>
        <v>30.65</v>
      </c>
    </row>
    <row r="164" spans="1:15">
      <c r="A164" s="39">
        <v>42381</v>
      </c>
      <c r="B164">
        <v>64.38</v>
      </c>
      <c r="C164">
        <f>VLOOKUP(A164,NYSEARCAVTI!A$2:G$506,2,0)</f>
        <v>98.8</v>
      </c>
      <c r="D164">
        <f>VLOOKUP(A164,NYSEARCAVEU!A$2:G$506,2,0)</f>
        <v>40.869999999999997</v>
      </c>
      <c r="E164">
        <f>VLOOKUP(A164,NYSEARCAVWO!A$2:G$506,2,0)</f>
        <v>30.16</v>
      </c>
      <c r="F164">
        <f>VLOOKUP(A164,NYSEARCABND!A$2:G$506,2,0)</f>
        <v>81.08</v>
      </c>
      <c r="G164">
        <f>VLOOKUP(A164,NYSEARCATIP!A$2:G$506,2,0)</f>
        <v>109.91</v>
      </c>
      <c r="H164">
        <f>VLOOKUP(A164,NYSEARCAMUB!A$2:G$506,2,0)</f>
        <v>111.12</v>
      </c>
      <c r="I164">
        <f>VLOOKUP(A164,NYSEARCAVNQ!A$2:G$506,2,0)</f>
        <v>78.31</v>
      </c>
      <c r="J164">
        <f>VLOOKUP(A164,NYSEARCARWX!A$2:G$506,2,0)</f>
        <v>37.4</v>
      </c>
      <c r="K164">
        <f>VLOOKUP(A164,NYSEARCADBC!A$2:G$506,2,0)</f>
        <v>12.51</v>
      </c>
      <c r="L164">
        <f>VLOOKUP(A164,NYSEARCAGSG!A$2:G$506,2,0)</f>
        <v>13.08</v>
      </c>
      <c r="M164">
        <f>VLOOKUP(A164,NYSEARCAGLD!A$2:G$506,2,0)</f>
        <v>104.09</v>
      </c>
      <c r="N164">
        <f>VLOOKUP(A164,NYSEBP!A$2:G$506,2,0)</f>
        <v>29.13</v>
      </c>
      <c r="O164">
        <f>VLOOKUP(A164,NASDAQYHOO!A$2:G$506,2,0)</f>
        <v>30.58</v>
      </c>
    </row>
    <row r="165" spans="1:15">
      <c r="A165" s="39">
        <v>42382</v>
      </c>
      <c r="B165">
        <v>63.73</v>
      </c>
      <c r="C165">
        <f>VLOOKUP(A165,NYSEARCAVTI!A$2:G$506,2,0)</f>
        <v>99</v>
      </c>
      <c r="D165">
        <f>VLOOKUP(A165,NYSEARCAVEU!A$2:G$506,2,0)</f>
        <v>40.97</v>
      </c>
      <c r="E165">
        <f>VLOOKUP(A165,NYSEARCAVWO!A$2:G$506,2,0)</f>
        <v>30.23</v>
      </c>
      <c r="F165">
        <f>VLOOKUP(A165,NYSEARCABND!A$2:G$506,2,0)</f>
        <v>81.2</v>
      </c>
      <c r="G165">
        <f>VLOOKUP(A165,NYSEARCATIP!A$2:G$506,2,0)</f>
        <v>110.02</v>
      </c>
      <c r="H165">
        <f>VLOOKUP(A165,NYSEARCAMUB!A$2:G$506,2,0)</f>
        <v>111.08</v>
      </c>
      <c r="I165">
        <f>VLOOKUP(A165,NYSEARCAVNQ!A$2:G$506,2,0)</f>
        <v>77.63</v>
      </c>
      <c r="J165">
        <f>VLOOKUP(A165,NYSEARCARWX!A$2:G$506,2,0)</f>
        <v>37.54</v>
      </c>
      <c r="K165">
        <f>VLOOKUP(A165,NYSEARCADBC!A$2:G$506,2,0)</f>
        <v>12.41</v>
      </c>
      <c r="L165">
        <f>VLOOKUP(A165,NYSEARCAGSG!A$2:G$506,2,0)</f>
        <v>12.97</v>
      </c>
      <c r="M165">
        <f>VLOOKUP(A165,NYSEARCAGLD!A$2:G$506,2,0)</f>
        <v>103.89</v>
      </c>
      <c r="N165">
        <f>VLOOKUP(A165,NYSEBP!A$2:G$506,2,0)</f>
        <v>29.28</v>
      </c>
      <c r="O165">
        <f>VLOOKUP(A165,NASDAQYHOO!A$2:G$506,2,0)</f>
        <v>30.89</v>
      </c>
    </row>
    <row r="166" spans="1:15">
      <c r="A166" s="39">
        <v>42383</v>
      </c>
      <c r="B166">
        <v>62</v>
      </c>
      <c r="C166">
        <f>VLOOKUP(A166,NYSEARCAVTI!A$2:G$506,2,0)</f>
        <v>96.36</v>
      </c>
      <c r="D166">
        <f>VLOOKUP(A166,NYSEARCAVEU!A$2:G$506,2,0)</f>
        <v>40.21</v>
      </c>
      <c r="E166">
        <f>VLOOKUP(A166,NYSEARCAVWO!A$2:G$506,2,0)</f>
        <v>29.67</v>
      </c>
      <c r="F166">
        <f>VLOOKUP(A166,NYSEARCABND!A$2:G$506,2,0)</f>
        <v>81.34</v>
      </c>
      <c r="G166">
        <f>VLOOKUP(A166,NYSEARCATIP!A$2:G$506,2,0)</f>
        <v>110.27</v>
      </c>
      <c r="H166">
        <f>VLOOKUP(A166,NYSEARCAMUB!A$2:G$506,2,0)</f>
        <v>111.21</v>
      </c>
      <c r="I166">
        <f>VLOOKUP(A166,NYSEARCAVNQ!A$2:G$506,2,0)</f>
        <v>76.17</v>
      </c>
      <c r="J166">
        <f>VLOOKUP(A166,NYSEARCARWX!A$2:G$506,2,0)</f>
        <v>37.17</v>
      </c>
      <c r="K166">
        <f>VLOOKUP(A166,NYSEARCADBC!A$2:G$506,2,0)</f>
        <v>12.26</v>
      </c>
      <c r="L166">
        <f>VLOOKUP(A166,NYSEARCAGSG!A$2:G$506,2,0)</f>
        <v>12.81</v>
      </c>
      <c r="M166">
        <f>VLOOKUP(A166,NYSEARCAGLD!A$2:G$506,2,0)</f>
        <v>103.75</v>
      </c>
      <c r="N166">
        <f>VLOOKUP(A166,NYSEBP!A$2:G$506,2,0)</f>
        <v>29.83</v>
      </c>
      <c r="O166">
        <f>VLOOKUP(A166,NASDAQYHOO!A$2:G$506,2,0)</f>
        <v>29.69</v>
      </c>
    </row>
    <row r="167" spans="1:15">
      <c r="A167" s="39">
        <v>42384</v>
      </c>
      <c r="B167">
        <v>61.55</v>
      </c>
      <c r="C167">
        <f>VLOOKUP(A167,NYSEARCAVTI!A$2:G$506,2,0)</f>
        <v>95.05</v>
      </c>
      <c r="D167">
        <f>VLOOKUP(A167,NYSEARCAVEU!A$2:G$506,2,0)</f>
        <v>39.25</v>
      </c>
      <c r="E167">
        <f>VLOOKUP(A167,NYSEARCAVWO!A$2:G$506,2,0)</f>
        <v>28.85</v>
      </c>
      <c r="F167">
        <f>VLOOKUP(A167,NYSEARCABND!A$2:G$506,2,0)</f>
        <v>81.5</v>
      </c>
      <c r="G167">
        <f>VLOOKUP(A167,NYSEARCATIP!A$2:G$506,2,0)</f>
        <v>110.52</v>
      </c>
      <c r="H167">
        <f>VLOOKUP(A167,NYSEARCAMUB!A$2:G$506,2,0)</f>
        <v>111.14</v>
      </c>
      <c r="I167">
        <f>VLOOKUP(A167,NYSEARCAVNQ!A$2:G$506,2,0)</f>
        <v>75.14</v>
      </c>
      <c r="J167">
        <f>VLOOKUP(A167,NYSEARCARWX!A$2:G$506,2,0)</f>
        <v>36.22</v>
      </c>
      <c r="K167">
        <f>VLOOKUP(A167,NYSEARCADBC!A$2:G$506,2,0)</f>
        <v>12.13</v>
      </c>
      <c r="L167">
        <f>VLOOKUP(A167,NYSEARCAGSG!A$2:G$506,2,0)</f>
        <v>12.59</v>
      </c>
      <c r="M167">
        <f>VLOOKUP(A167,NYSEARCAGLD!A$2:G$506,2,0)</f>
        <v>104.92</v>
      </c>
      <c r="N167">
        <f>VLOOKUP(A167,NYSEBP!A$2:G$506,2,0)</f>
        <v>29.29</v>
      </c>
      <c r="O167">
        <f>VLOOKUP(A167,NASDAQYHOO!A$2:G$506,2,0)</f>
        <v>29.28</v>
      </c>
    </row>
    <row r="168" spans="1:15">
      <c r="A168" s="39">
        <v>42388</v>
      </c>
      <c r="B168">
        <v>62.25</v>
      </c>
      <c r="C168">
        <f>VLOOKUP(A168,NYSEARCAVTI!A$2:G$506,2,0)</f>
        <v>96.57</v>
      </c>
      <c r="D168">
        <f>VLOOKUP(A168,NYSEARCAVEU!A$2:G$506,2,0)</f>
        <v>39.79</v>
      </c>
      <c r="E168">
        <f>VLOOKUP(A168,NYSEARCAVWO!A$2:G$506,2,0)</f>
        <v>29.48</v>
      </c>
      <c r="F168">
        <f>VLOOKUP(A168,NYSEARCABND!A$2:G$506,2,0)</f>
        <v>81.400000000000006</v>
      </c>
      <c r="G168">
        <f>VLOOKUP(A168,NYSEARCATIP!A$2:G$506,2,0)</f>
        <v>110.19</v>
      </c>
      <c r="H168">
        <f>VLOOKUP(A168,NYSEARCAMUB!A$2:G$506,2,0)</f>
        <v>111.28</v>
      </c>
      <c r="I168">
        <f>VLOOKUP(A168,NYSEARCAVNQ!A$2:G$506,2,0)</f>
        <v>75.92</v>
      </c>
      <c r="J168">
        <f>VLOOKUP(A168,NYSEARCARWX!A$2:G$506,2,0)</f>
        <v>36.619999999999997</v>
      </c>
      <c r="K168">
        <f>VLOOKUP(A168,NYSEARCADBC!A$2:G$506,2,0)</f>
        <v>12.09</v>
      </c>
      <c r="L168">
        <f>VLOOKUP(A168,NYSEARCAGSG!A$2:G$506,2,0)</f>
        <v>12.56</v>
      </c>
      <c r="M168">
        <f>VLOOKUP(A168,NYSEARCAGLD!A$2:G$506,2,0)</f>
        <v>104.06</v>
      </c>
      <c r="N168">
        <f>VLOOKUP(A168,NYSEBP!A$2:G$506,2,0)</f>
        <v>29.59</v>
      </c>
      <c r="O168">
        <f>VLOOKUP(A168,NASDAQYHOO!A$2:G$506,2,0)</f>
        <v>29.84</v>
      </c>
    </row>
    <row r="169" spans="1:15">
      <c r="A169" s="39">
        <v>42389</v>
      </c>
      <c r="B169">
        <v>61.8</v>
      </c>
      <c r="C169">
        <f>VLOOKUP(A169,NYSEARCAVTI!A$2:G$506,2,0)</f>
        <v>94</v>
      </c>
      <c r="D169">
        <f>VLOOKUP(A169,NYSEARCAVEU!A$2:G$506,2,0)</f>
        <v>38.61</v>
      </c>
      <c r="E169">
        <f>VLOOKUP(A169,NYSEARCAVWO!A$2:G$506,2,0)</f>
        <v>28.51</v>
      </c>
      <c r="F169">
        <f>VLOOKUP(A169,NYSEARCABND!A$2:G$506,2,0)</f>
        <v>81.53</v>
      </c>
      <c r="G169">
        <f>VLOOKUP(A169,NYSEARCATIP!A$2:G$506,2,0)</f>
        <v>110.47</v>
      </c>
      <c r="H169">
        <f>VLOOKUP(A169,NYSEARCAMUB!A$2:G$506,2,0)</f>
        <v>111.61</v>
      </c>
      <c r="I169">
        <f>VLOOKUP(A169,NYSEARCAVNQ!A$2:G$506,2,0)</f>
        <v>75.099999999999994</v>
      </c>
      <c r="J169">
        <f>VLOOKUP(A169,NYSEARCARWX!A$2:G$506,2,0)</f>
        <v>35.799999999999997</v>
      </c>
      <c r="K169">
        <f>VLOOKUP(A169,NYSEARCADBC!A$2:G$506,2,0)</f>
        <v>11.85</v>
      </c>
      <c r="L169">
        <f>VLOOKUP(A169,NYSEARCAGSG!A$2:G$506,2,0)</f>
        <v>12.27</v>
      </c>
      <c r="M169">
        <f>VLOOKUP(A169,NYSEARCAGLD!A$2:G$506,2,0)</f>
        <v>105.17</v>
      </c>
      <c r="N169">
        <f>VLOOKUP(A169,NYSEBP!A$2:G$506,2,0)</f>
        <v>28.53</v>
      </c>
      <c r="O169">
        <f>VLOOKUP(A169,NASDAQYHOO!A$2:G$506,2,0)</f>
        <v>28.98</v>
      </c>
    </row>
    <row r="170" spans="1:15">
      <c r="A170" s="39">
        <v>42390</v>
      </c>
      <c r="B170">
        <v>60.98</v>
      </c>
      <c r="C170">
        <f>VLOOKUP(A170,NYSEARCAVTI!A$2:G$506,2,0)</f>
        <v>94.7</v>
      </c>
      <c r="D170">
        <f>VLOOKUP(A170,NYSEARCAVEU!A$2:G$506,2,0)</f>
        <v>38.4</v>
      </c>
      <c r="E170">
        <f>VLOOKUP(A170,NYSEARCAVWO!A$2:G$506,2,0)</f>
        <v>28.48</v>
      </c>
      <c r="F170">
        <f>VLOOKUP(A170,NYSEARCABND!A$2:G$506,2,0)</f>
        <v>81.53</v>
      </c>
      <c r="G170">
        <f>VLOOKUP(A170,NYSEARCATIP!A$2:G$506,2,0)</f>
        <v>110.32</v>
      </c>
      <c r="H170">
        <f>VLOOKUP(A170,NYSEARCAMUB!A$2:G$506,2,0)</f>
        <v>111.55</v>
      </c>
      <c r="I170">
        <f>VLOOKUP(A170,NYSEARCAVNQ!A$2:G$506,2,0)</f>
        <v>74.28</v>
      </c>
      <c r="J170">
        <f>VLOOKUP(A170,NYSEARCARWX!A$2:G$506,2,0)</f>
        <v>35.35</v>
      </c>
      <c r="K170">
        <f>VLOOKUP(A170,NYSEARCADBC!A$2:G$506,2,0)</f>
        <v>11.79</v>
      </c>
      <c r="L170">
        <f>VLOOKUP(A170,NYSEARCAGSG!A$2:G$506,2,0)</f>
        <v>12.28</v>
      </c>
      <c r="M170">
        <f>VLOOKUP(A170,NYSEARCAGLD!A$2:G$506,2,0)</f>
        <v>104.99</v>
      </c>
      <c r="N170">
        <f>VLOOKUP(A170,NYSEBP!A$2:G$506,2,0)</f>
        <v>28.51</v>
      </c>
      <c r="O170">
        <f>VLOOKUP(A170,NASDAQYHOO!A$2:G$506,2,0)</f>
        <v>28.75</v>
      </c>
    </row>
    <row r="171" spans="1:15">
      <c r="A171" s="39">
        <v>42391</v>
      </c>
      <c r="B171">
        <v>62.44</v>
      </c>
      <c r="C171">
        <f>VLOOKUP(A171,NYSEARCAVTI!A$2:G$506,2,0)</f>
        <v>96.33</v>
      </c>
      <c r="D171">
        <f>VLOOKUP(A171,NYSEARCAVEU!A$2:G$506,2,0)</f>
        <v>39.840000000000003</v>
      </c>
      <c r="E171">
        <f>VLOOKUP(A171,NYSEARCAVWO!A$2:G$506,2,0)</f>
        <v>29.44</v>
      </c>
      <c r="F171">
        <f>VLOOKUP(A171,NYSEARCABND!A$2:G$506,2,0)</f>
        <v>81.319999999999993</v>
      </c>
      <c r="G171">
        <f>VLOOKUP(A171,NYSEARCATIP!A$2:G$506,2,0)</f>
        <v>109.77</v>
      </c>
      <c r="H171">
        <f>VLOOKUP(A171,NYSEARCAMUB!A$2:G$506,2,0)</f>
        <v>111.32</v>
      </c>
      <c r="I171">
        <f>VLOOKUP(A171,NYSEARCAVNQ!A$2:G$506,2,0)</f>
        <v>75.06</v>
      </c>
      <c r="J171">
        <f>VLOOKUP(A171,NYSEARCARWX!A$2:G$506,2,0)</f>
        <v>36.28</v>
      </c>
      <c r="K171">
        <f>VLOOKUP(A171,NYSEARCADBC!A$2:G$506,2,0)</f>
        <v>12.31</v>
      </c>
      <c r="L171">
        <f>VLOOKUP(A171,NYSEARCAGSG!A$2:G$506,2,0)</f>
        <v>12.92</v>
      </c>
      <c r="M171">
        <f>VLOOKUP(A171,NYSEARCAGLD!A$2:G$506,2,0)</f>
        <v>104.93</v>
      </c>
      <c r="N171">
        <f>VLOOKUP(A171,NYSEBP!A$2:G$506,2,0)</f>
        <v>30.61</v>
      </c>
      <c r="O171">
        <f>VLOOKUP(A171,NASDAQYHOO!A$2:G$506,2,0)</f>
        <v>29.97</v>
      </c>
    </row>
    <row r="172" spans="1:15">
      <c r="A172" s="39">
        <v>42394</v>
      </c>
      <c r="B172">
        <v>62.78</v>
      </c>
      <c r="C172">
        <f>VLOOKUP(A172,NYSEARCAVTI!A$2:G$506,2,0)</f>
        <v>96.64</v>
      </c>
      <c r="D172">
        <f>VLOOKUP(A172,NYSEARCAVEU!A$2:G$506,2,0)</f>
        <v>39.71</v>
      </c>
      <c r="E172">
        <f>VLOOKUP(A172,NYSEARCAVWO!A$2:G$506,2,0)</f>
        <v>29.29</v>
      </c>
      <c r="F172">
        <f>VLOOKUP(A172,NYSEARCABND!A$2:G$506,2,0)</f>
        <v>81.400000000000006</v>
      </c>
      <c r="G172">
        <f>VLOOKUP(A172,NYSEARCATIP!A$2:G$506,2,0)</f>
        <v>110.09</v>
      </c>
      <c r="H172">
        <f>VLOOKUP(A172,NYSEARCAMUB!A$2:G$506,2,0)</f>
        <v>111.28</v>
      </c>
      <c r="I172">
        <f>VLOOKUP(A172,NYSEARCAVNQ!A$2:G$506,2,0)</f>
        <v>76.25</v>
      </c>
      <c r="J172">
        <f>VLOOKUP(A172,NYSEARCARWX!A$2:G$506,2,0)</f>
        <v>36.4</v>
      </c>
      <c r="K172">
        <f>VLOOKUP(A172,NYSEARCADBC!A$2:G$506,2,0)</f>
        <v>12.28</v>
      </c>
      <c r="L172">
        <f>VLOOKUP(A172,NYSEARCAGSG!A$2:G$506,2,0)</f>
        <v>12.83</v>
      </c>
      <c r="M172">
        <f>VLOOKUP(A172,NYSEARCAGLD!A$2:G$506,2,0)</f>
        <v>105.76</v>
      </c>
      <c r="N172">
        <f>VLOOKUP(A172,NYSEBP!A$2:G$506,2,0)</f>
        <v>29.77</v>
      </c>
      <c r="O172">
        <f>VLOOKUP(A172,NASDAQYHOO!A$2:G$506,2,0)</f>
        <v>29.96</v>
      </c>
    </row>
    <row r="173" spans="1:15">
      <c r="A173" s="39">
        <v>42395</v>
      </c>
      <c r="B173">
        <v>63.36</v>
      </c>
      <c r="C173">
        <f>VLOOKUP(A173,NYSEARCAVTI!A$2:G$506,2,0)</f>
        <v>95.6</v>
      </c>
      <c r="D173">
        <f>VLOOKUP(A173,NYSEARCAVEU!A$2:G$506,2,0)</f>
        <v>39.67</v>
      </c>
      <c r="E173">
        <f>VLOOKUP(A173,NYSEARCAVWO!A$2:G$506,2,0)</f>
        <v>29.22</v>
      </c>
      <c r="F173">
        <f>VLOOKUP(A173,NYSEARCABND!A$2:G$506,2,0)</f>
        <v>81.41</v>
      </c>
      <c r="G173">
        <f>VLOOKUP(A173,NYSEARCATIP!A$2:G$506,2,0)</f>
        <v>110.32</v>
      </c>
      <c r="H173">
        <f>VLOOKUP(A173,NYSEARCAMUB!A$2:G$506,2,0)</f>
        <v>111.3</v>
      </c>
      <c r="I173">
        <f>VLOOKUP(A173,NYSEARCAVNQ!A$2:G$506,2,0)</f>
        <v>76.28</v>
      </c>
      <c r="J173">
        <f>VLOOKUP(A173,NYSEARCARWX!A$2:G$506,2,0)</f>
        <v>36.479999999999997</v>
      </c>
      <c r="K173">
        <f>VLOOKUP(A173,NYSEARCADBC!A$2:G$506,2,0)</f>
        <v>12.25</v>
      </c>
      <c r="L173">
        <f>VLOOKUP(A173,NYSEARCAGSG!A$2:G$506,2,0)</f>
        <v>12.77</v>
      </c>
      <c r="M173">
        <f>VLOOKUP(A173,NYSEARCAGLD!A$2:G$506,2,0)</f>
        <v>106.32</v>
      </c>
      <c r="N173">
        <f>VLOOKUP(A173,NYSEBP!A$2:G$506,2,0)</f>
        <v>30.32</v>
      </c>
      <c r="O173">
        <f>VLOOKUP(A173,NASDAQYHOO!A$2:G$506,2,0)</f>
        <v>29.76</v>
      </c>
    </row>
    <row r="174" spans="1:15">
      <c r="A174" s="39">
        <v>42396</v>
      </c>
      <c r="B174">
        <v>64.099999999999994</v>
      </c>
      <c r="C174">
        <f>VLOOKUP(A174,NYSEARCAVTI!A$2:G$506,2,0)</f>
        <v>96.4</v>
      </c>
      <c r="D174">
        <f>VLOOKUP(A174,NYSEARCAVEU!A$2:G$506,2,0)</f>
        <v>40.03</v>
      </c>
      <c r="E174">
        <f>VLOOKUP(A174,NYSEARCAVWO!A$2:G$506,2,0)</f>
        <v>29.44</v>
      </c>
      <c r="F174">
        <f>VLOOKUP(A174,NYSEARCABND!A$2:G$506,2,0)</f>
        <v>81.349999999999994</v>
      </c>
      <c r="G174">
        <f>VLOOKUP(A174,NYSEARCATIP!A$2:G$506,2,0)</f>
        <v>110.28</v>
      </c>
      <c r="H174">
        <f>VLOOKUP(A174,NYSEARCAMUB!A$2:G$506,2,0)</f>
        <v>111.25</v>
      </c>
      <c r="I174">
        <f>VLOOKUP(A174,NYSEARCAVNQ!A$2:G$506,2,0)</f>
        <v>77.42</v>
      </c>
      <c r="J174">
        <f>VLOOKUP(A174,NYSEARCARWX!A$2:G$506,2,0)</f>
        <v>36.81</v>
      </c>
      <c r="K174">
        <f>VLOOKUP(A174,NYSEARCADBC!A$2:G$506,2,0)</f>
        <v>12.37</v>
      </c>
      <c r="L174">
        <f>VLOOKUP(A174,NYSEARCAGSG!A$2:G$506,2,0)</f>
        <v>12.87</v>
      </c>
      <c r="M174">
        <f>VLOOKUP(A174,NYSEARCAGLD!A$2:G$506,2,0)</f>
        <v>106.86</v>
      </c>
      <c r="N174">
        <f>VLOOKUP(A174,NYSEBP!A$2:G$506,2,0)</f>
        <v>30.33</v>
      </c>
      <c r="O174">
        <f>VLOOKUP(A174,NASDAQYHOO!A$2:G$506,2,0)</f>
        <v>29.9</v>
      </c>
    </row>
    <row r="175" spans="1:15">
      <c r="A175" s="39">
        <v>42397</v>
      </c>
      <c r="B175">
        <v>64.03</v>
      </c>
      <c r="C175">
        <f>VLOOKUP(A175,NYSEARCAVTI!A$2:G$506,2,0)</f>
        <v>96.56</v>
      </c>
      <c r="D175">
        <f>VLOOKUP(A175,NYSEARCAVEU!A$2:G$506,2,0)</f>
        <v>40.380000000000003</v>
      </c>
      <c r="E175">
        <f>VLOOKUP(A175,NYSEARCAVWO!A$2:G$506,2,0)</f>
        <v>29.8</v>
      </c>
      <c r="F175">
        <f>VLOOKUP(A175,NYSEARCABND!A$2:G$506,2,0)</f>
        <v>81.41</v>
      </c>
      <c r="G175">
        <f>VLOOKUP(A175,NYSEARCATIP!A$2:G$506,2,0)</f>
        <v>110.77</v>
      </c>
      <c r="H175">
        <f>VLOOKUP(A175,NYSEARCAMUB!A$2:G$506,2,0)</f>
        <v>111.39</v>
      </c>
      <c r="I175">
        <f>VLOOKUP(A175,NYSEARCAVNQ!A$2:G$506,2,0)</f>
        <v>76.459999999999994</v>
      </c>
      <c r="J175">
        <f>VLOOKUP(A175,NYSEARCARWX!A$2:G$506,2,0)</f>
        <v>36.93</v>
      </c>
      <c r="K175">
        <f>VLOOKUP(A175,NYSEARCADBC!A$2:G$506,2,0)</f>
        <v>12.72</v>
      </c>
      <c r="L175">
        <f>VLOOKUP(A175,NYSEARCAGSG!A$2:G$506,2,0)</f>
        <v>13.45</v>
      </c>
      <c r="M175">
        <f>VLOOKUP(A175,NYSEARCAGLD!A$2:G$506,2,0)</f>
        <v>106.55</v>
      </c>
      <c r="N175">
        <f>VLOOKUP(A175,NYSEBP!A$2:G$506,2,0)</f>
        <v>32.07</v>
      </c>
      <c r="O175">
        <f>VLOOKUP(A175,NASDAQYHOO!A$2:G$506,2,0)</f>
        <v>30.59</v>
      </c>
    </row>
    <row r="176" spans="1:15">
      <c r="A176" s="39">
        <v>42398</v>
      </c>
      <c r="B176">
        <v>64.75</v>
      </c>
      <c r="C176">
        <f>VLOOKUP(A176,NYSEARCAVTI!A$2:G$506,2,0)</f>
        <v>96.45</v>
      </c>
      <c r="D176">
        <f>VLOOKUP(A176,NYSEARCAVEU!A$2:G$506,2,0)</f>
        <v>40.4</v>
      </c>
      <c r="E176">
        <f>VLOOKUP(A176,NYSEARCAVWO!A$2:G$506,2,0)</f>
        <v>30.39</v>
      </c>
      <c r="F176">
        <f>VLOOKUP(A176,NYSEARCABND!A$2:G$506,2,0)</f>
        <v>81.760000000000005</v>
      </c>
      <c r="G176">
        <f>VLOOKUP(A176,NYSEARCATIP!A$2:G$506,2,0)</f>
        <v>111.41</v>
      </c>
      <c r="H176">
        <f>VLOOKUP(A176,NYSEARCAMUB!A$2:G$506,2,0)</f>
        <v>111.4</v>
      </c>
      <c r="I176">
        <f>VLOOKUP(A176,NYSEARCAVNQ!A$2:G$506,2,0)</f>
        <v>75.900000000000006</v>
      </c>
      <c r="J176">
        <f>VLOOKUP(A176,NYSEARCARWX!A$2:G$506,2,0)</f>
        <v>37.53</v>
      </c>
      <c r="K176">
        <f>VLOOKUP(A176,NYSEARCADBC!A$2:G$506,2,0)</f>
        <v>12.71</v>
      </c>
      <c r="L176">
        <f>VLOOKUP(A176,NYSEARCAGSG!A$2:G$506,2,0)</f>
        <v>13.43</v>
      </c>
      <c r="M176">
        <f>VLOOKUP(A176,NYSEARCAGLD!A$2:G$506,2,0)</f>
        <v>106.61</v>
      </c>
      <c r="N176">
        <f>VLOOKUP(A176,NYSEBP!A$2:G$506,2,0)</f>
        <v>31.77</v>
      </c>
      <c r="O176">
        <f>VLOOKUP(A176,NASDAQYHOO!A$2:G$506,2,0)</f>
        <v>29.1</v>
      </c>
    </row>
    <row r="177" spans="1:15">
      <c r="A177" s="39">
        <v>42401</v>
      </c>
      <c r="B177">
        <v>65.91</v>
      </c>
      <c r="C177">
        <f>VLOOKUP(A177,NYSEARCAVTI!A$2:G$506,2,0)</f>
        <v>97.75</v>
      </c>
      <c r="D177">
        <f>VLOOKUP(A177,NYSEARCAVEU!A$2:G$506,2,0)</f>
        <v>40.58</v>
      </c>
      <c r="E177">
        <f>VLOOKUP(A177,NYSEARCAVWO!A$2:G$506,2,0)</f>
        <v>30.31</v>
      </c>
      <c r="F177">
        <f>VLOOKUP(A177,NYSEARCABND!A$2:G$506,2,0)</f>
        <v>81.52</v>
      </c>
      <c r="G177">
        <f>VLOOKUP(A177,NYSEARCATIP!A$2:G$506,2,0)</f>
        <v>111.26</v>
      </c>
      <c r="H177">
        <f>VLOOKUP(A177,NYSEARCAMUB!A$2:G$506,2,0)</f>
        <v>111.34</v>
      </c>
      <c r="I177">
        <f>VLOOKUP(A177,NYSEARCAVNQ!A$2:G$506,2,0)</f>
        <v>76.52</v>
      </c>
      <c r="J177">
        <f>VLOOKUP(A177,NYSEARCARWX!A$2:G$506,2,0)</f>
        <v>37.950000000000003</v>
      </c>
      <c r="K177">
        <f>VLOOKUP(A177,NYSEARCADBC!A$2:G$506,2,0)</f>
        <v>12.63</v>
      </c>
      <c r="L177">
        <f>VLOOKUP(A177,NYSEARCAGSG!A$2:G$506,2,0)</f>
        <v>13.26</v>
      </c>
      <c r="M177">
        <f>VLOOKUP(A177,NYSEARCAGLD!A$2:G$506,2,0)</f>
        <v>107.54</v>
      </c>
      <c r="N177">
        <f>VLOOKUP(A177,NYSEBP!A$2:G$506,2,0)</f>
        <v>31.18</v>
      </c>
      <c r="O177">
        <f>VLOOKUP(A177,NASDAQYHOO!A$2:G$506,2,0)</f>
        <v>29.27</v>
      </c>
    </row>
    <row r="178" spans="1:15">
      <c r="A178" s="39">
        <v>42402</v>
      </c>
      <c r="B178">
        <v>67.3</v>
      </c>
      <c r="C178">
        <f>VLOOKUP(A178,NYSEARCAVTI!A$2:G$506,2,0)</f>
        <v>97.5</v>
      </c>
      <c r="D178">
        <f>VLOOKUP(A178,NYSEARCAVEU!A$2:G$506,2,0)</f>
        <v>40.25</v>
      </c>
      <c r="E178">
        <f>VLOOKUP(A178,NYSEARCAVWO!A$2:G$506,2,0)</f>
        <v>30.01</v>
      </c>
      <c r="F178">
        <f>VLOOKUP(A178,NYSEARCABND!A$2:G$506,2,0)</f>
        <v>81.67</v>
      </c>
      <c r="G178">
        <f>VLOOKUP(A178,NYSEARCATIP!A$2:G$506,2,0)</f>
        <v>111.48</v>
      </c>
      <c r="H178">
        <f>VLOOKUP(A178,NYSEARCAMUB!A$2:G$506,2,0)</f>
        <v>111.27</v>
      </c>
      <c r="I178">
        <f>VLOOKUP(A178,NYSEARCAVNQ!A$2:G$506,2,0)</f>
        <v>76.75</v>
      </c>
      <c r="J178">
        <f>VLOOKUP(A178,NYSEARCARWX!A$2:G$506,2,0)</f>
        <v>37.729999999999997</v>
      </c>
      <c r="K178">
        <f>VLOOKUP(A178,NYSEARCADBC!A$2:G$506,2,0)</f>
        <v>12.3</v>
      </c>
      <c r="L178">
        <f>VLOOKUP(A178,NYSEARCAGSG!A$2:G$506,2,0)</f>
        <v>12.77</v>
      </c>
      <c r="M178">
        <f>VLOOKUP(A178,NYSEARCAGLD!A$2:G$506,2,0)</f>
        <v>107.92</v>
      </c>
      <c r="N178">
        <f>VLOOKUP(A178,NYSEBP!A$2:G$506,2,0)</f>
        <v>29.03</v>
      </c>
      <c r="O178">
        <f>VLOOKUP(A178,NASDAQYHOO!A$2:G$506,2,0)</f>
        <v>29.32</v>
      </c>
    </row>
    <row r="179" spans="1:15">
      <c r="A179" s="39">
        <v>42403</v>
      </c>
      <c r="B179">
        <v>67.31</v>
      </c>
      <c r="C179">
        <f>VLOOKUP(A179,NYSEARCAVTI!A$2:G$506,2,0)</f>
        <v>97.09</v>
      </c>
      <c r="D179">
        <f>VLOOKUP(A179,NYSEARCAVEU!A$2:G$506,2,0)</f>
        <v>40.15</v>
      </c>
      <c r="E179">
        <f>VLOOKUP(A179,NYSEARCAVWO!A$2:G$506,2,0)</f>
        <v>29.95</v>
      </c>
      <c r="F179">
        <f>VLOOKUP(A179,NYSEARCABND!A$2:G$506,2,0)</f>
        <v>81.66</v>
      </c>
      <c r="G179">
        <f>VLOOKUP(A179,NYSEARCATIP!A$2:G$506,2,0)</f>
        <v>111.71</v>
      </c>
      <c r="H179">
        <f>VLOOKUP(A179,NYSEARCAMUB!A$2:G$506,2,0)</f>
        <v>111.46</v>
      </c>
      <c r="I179">
        <f>VLOOKUP(A179,NYSEARCAVNQ!A$2:G$506,2,0)</f>
        <v>76.81</v>
      </c>
      <c r="J179">
        <f>VLOOKUP(A179,NYSEARCARWX!A$2:G$506,2,0)</f>
        <v>37.96</v>
      </c>
      <c r="K179">
        <f>VLOOKUP(A179,NYSEARCADBC!A$2:G$506,2,0)</f>
        <v>12.48</v>
      </c>
      <c r="L179">
        <f>VLOOKUP(A179,NYSEARCAGSG!A$2:G$506,2,0)</f>
        <v>13.01</v>
      </c>
      <c r="M179">
        <f>VLOOKUP(A179,NYSEARCAGLD!A$2:G$506,2,0)</f>
        <v>107.91</v>
      </c>
      <c r="N179">
        <f>VLOOKUP(A179,NYSEBP!A$2:G$506,2,0)</f>
        <v>29.28</v>
      </c>
      <c r="O179">
        <f>VLOOKUP(A179,NASDAQYHOO!A$2:G$506,2,0)</f>
        <v>28.45</v>
      </c>
    </row>
    <row r="180" spans="1:15">
      <c r="A180" s="39">
        <v>42404</v>
      </c>
      <c r="B180">
        <v>65.760000000000005</v>
      </c>
      <c r="C180">
        <f>VLOOKUP(A180,NYSEARCAVTI!A$2:G$506,2,0)</f>
        <v>96.79</v>
      </c>
      <c r="D180">
        <f>VLOOKUP(A180,NYSEARCAVEU!A$2:G$506,2,0)</f>
        <v>40.25</v>
      </c>
      <c r="E180">
        <f>VLOOKUP(A180,NYSEARCAVWO!A$2:G$506,2,0)</f>
        <v>30.62</v>
      </c>
      <c r="F180">
        <f>VLOOKUP(A180,NYSEARCABND!A$2:G$506,2,0)</f>
        <v>81.739999999999995</v>
      </c>
      <c r="G180">
        <f>VLOOKUP(A180,NYSEARCATIP!A$2:G$506,2,0)</f>
        <v>111.76</v>
      </c>
      <c r="H180">
        <f>VLOOKUP(A180,NYSEARCAMUB!A$2:G$506,2,0)</f>
        <v>111.61</v>
      </c>
      <c r="I180">
        <f>VLOOKUP(A180,NYSEARCAVNQ!A$2:G$506,2,0)</f>
        <v>76.88</v>
      </c>
      <c r="J180">
        <f>VLOOKUP(A180,NYSEARCARWX!A$2:G$506,2,0)</f>
        <v>38.020000000000003</v>
      </c>
      <c r="K180">
        <f>VLOOKUP(A180,NYSEARCADBC!A$2:G$506,2,0)</f>
        <v>12.73</v>
      </c>
      <c r="L180">
        <f>VLOOKUP(A180,NYSEARCAGSG!A$2:G$506,2,0)</f>
        <v>13.42</v>
      </c>
      <c r="M180">
        <f>VLOOKUP(A180,NYSEARCAGLD!A$2:G$506,2,0)</f>
        <v>110.45</v>
      </c>
      <c r="N180">
        <f>VLOOKUP(A180,NYSEBP!A$2:G$506,2,0)</f>
        <v>30.26</v>
      </c>
      <c r="O180">
        <f>VLOOKUP(A180,NASDAQYHOO!A$2:G$506,2,0)</f>
        <v>27.91</v>
      </c>
    </row>
    <row r="181" spans="1:15">
      <c r="A181" s="39">
        <v>42405</v>
      </c>
      <c r="B181">
        <v>66.86</v>
      </c>
      <c r="C181">
        <f>VLOOKUP(A181,NYSEARCAVTI!A$2:G$506,2,0)</f>
        <v>96.94</v>
      </c>
      <c r="D181">
        <f>VLOOKUP(A181,NYSEARCAVEU!A$2:G$506,2,0)</f>
        <v>40.39</v>
      </c>
      <c r="E181">
        <f>VLOOKUP(A181,NYSEARCAVWO!A$2:G$506,2,0)</f>
        <v>30.55</v>
      </c>
      <c r="F181">
        <f>VLOOKUP(A181,NYSEARCABND!A$2:G$506,2,0)</f>
        <v>81.7</v>
      </c>
      <c r="G181">
        <f>VLOOKUP(A181,NYSEARCATIP!A$2:G$506,2,0)</f>
        <v>111.48</v>
      </c>
      <c r="H181">
        <f>VLOOKUP(A181,NYSEARCAMUB!A$2:G$506,2,0)</f>
        <v>111.58</v>
      </c>
      <c r="I181">
        <f>VLOOKUP(A181,NYSEARCAVNQ!A$2:G$506,2,0)</f>
        <v>76.81</v>
      </c>
      <c r="J181">
        <f>VLOOKUP(A181,NYSEARCARWX!A$2:G$506,2,0)</f>
        <v>37.950000000000003</v>
      </c>
      <c r="K181">
        <f>VLOOKUP(A181,NYSEARCADBC!A$2:G$506,2,0)</f>
        <v>12.58</v>
      </c>
      <c r="L181">
        <f>VLOOKUP(A181,NYSEARCAGSG!A$2:G$506,2,0)</f>
        <v>13.06</v>
      </c>
      <c r="M181">
        <f>VLOOKUP(A181,NYSEARCAGLD!A$2:G$506,2,0)</f>
        <v>109.79</v>
      </c>
      <c r="N181">
        <f>VLOOKUP(A181,NYSEBP!A$2:G$506,2,0)</f>
        <v>30.49</v>
      </c>
      <c r="O181">
        <f>VLOOKUP(A181,NASDAQYHOO!A$2:G$506,2,0)</f>
        <v>29.06</v>
      </c>
    </row>
    <row r="182" spans="1:15">
      <c r="A182" s="39">
        <v>42408</v>
      </c>
      <c r="B182">
        <v>66.5</v>
      </c>
      <c r="C182">
        <f>VLOOKUP(A182,NYSEARCAVTI!A$2:G$506,2,0)</f>
        <v>94.2</v>
      </c>
      <c r="D182">
        <f>VLOOKUP(A182,NYSEARCAVEU!A$2:G$506,2,0)</f>
        <v>39.36</v>
      </c>
      <c r="E182">
        <f>VLOOKUP(A182,NYSEARCAVWO!A$2:G$506,2,0)</f>
        <v>29.91</v>
      </c>
      <c r="F182">
        <f>VLOOKUP(A182,NYSEARCABND!A$2:G$506,2,0)</f>
        <v>81.92</v>
      </c>
      <c r="G182">
        <f>VLOOKUP(A182,NYSEARCATIP!A$2:G$506,2,0)</f>
        <v>111.47</v>
      </c>
      <c r="H182">
        <f>VLOOKUP(A182,NYSEARCAMUB!A$2:G$506,2,0)</f>
        <v>111.76</v>
      </c>
      <c r="I182">
        <f>VLOOKUP(A182,NYSEARCAVNQ!A$2:G$506,2,0)</f>
        <v>75.02</v>
      </c>
      <c r="J182">
        <f>VLOOKUP(A182,NYSEARCARWX!A$2:G$506,2,0)</f>
        <v>37.08</v>
      </c>
      <c r="K182">
        <f>VLOOKUP(A182,NYSEARCADBC!A$2:G$506,2,0)</f>
        <v>12.59</v>
      </c>
      <c r="L182">
        <f>VLOOKUP(A182,NYSEARCAGSG!A$2:G$506,2,0)</f>
        <v>12.95</v>
      </c>
      <c r="M182">
        <f>VLOOKUP(A182,NYSEARCAGLD!A$2:G$506,2,0)</f>
        <v>113.67</v>
      </c>
      <c r="N182">
        <f>VLOOKUP(A182,NYSEBP!A$2:G$506,2,0)</f>
        <v>29.64</v>
      </c>
      <c r="O182">
        <f>VLOOKUP(A182,NASDAQYHOO!A$2:G$506,2,0)</f>
        <v>27.61</v>
      </c>
    </row>
    <row r="183" spans="1:15">
      <c r="A183" s="39">
        <v>42409</v>
      </c>
      <c r="B183">
        <v>65.489999999999995</v>
      </c>
      <c r="C183">
        <f>VLOOKUP(A183,NYSEARCAVTI!A$2:G$506,2,0)</f>
        <v>92.84</v>
      </c>
      <c r="D183">
        <f>VLOOKUP(A183,NYSEARCAVEU!A$2:G$506,2,0)</f>
        <v>38.479999999999997</v>
      </c>
      <c r="E183">
        <f>VLOOKUP(A183,NYSEARCAVWO!A$2:G$506,2,0)</f>
        <v>29.33</v>
      </c>
      <c r="F183">
        <f>VLOOKUP(A183,NYSEARCABND!A$2:G$506,2,0)</f>
        <v>82.21</v>
      </c>
      <c r="G183">
        <f>VLOOKUP(A183,NYSEARCATIP!A$2:G$506,2,0)</f>
        <v>111.41</v>
      </c>
      <c r="H183">
        <f>VLOOKUP(A183,NYSEARCAMUB!A$2:G$506,2,0)</f>
        <v>112.06</v>
      </c>
      <c r="I183">
        <f>VLOOKUP(A183,NYSEARCAVNQ!A$2:G$506,2,0)</f>
        <v>72.61</v>
      </c>
      <c r="J183">
        <f>VLOOKUP(A183,NYSEARCARWX!A$2:G$506,2,0)</f>
        <v>36.36</v>
      </c>
      <c r="K183">
        <f>VLOOKUP(A183,NYSEARCADBC!A$2:G$506,2,0)</f>
        <v>12.37</v>
      </c>
      <c r="L183">
        <f>VLOOKUP(A183,NYSEARCAGSG!A$2:G$506,2,0)</f>
        <v>12.65</v>
      </c>
      <c r="M183">
        <f>VLOOKUP(A183,NYSEARCAGLD!A$2:G$506,2,0)</f>
        <v>114.43</v>
      </c>
      <c r="N183">
        <f>VLOOKUP(A183,NYSEBP!A$2:G$506,2,0)</f>
        <v>29.28</v>
      </c>
      <c r="O183">
        <f>VLOOKUP(A183,NASDAQYHOO!A$2:G$506,2,0)</f>
        <v>26.64</v>
      </c>
    </row>
    <row r="184" spans="1:15">
      <c r="A184" s="39">
        <v>42410</v>
      </c>
      <c r="B184">
        <v>66.19</v>
      </c>
      <c r="C184">
        <f>VLOOKUP(A184,NYSEARCAVTI!A$2:G$506,2,0)</f>
        <v>94.19</v>
      </c>
      <c r="D184">
        <f>VLOOKUP(A184,NYSEARCAVEU!A$2:G$506,2,0)</f>
        <v>38.96</v>
      </c>
      <c r="E184">
        <f>VLOOKUP(A184,NYSEARCAVWO!A$2:G$506,2,0)</f>
        <v>29.79</v>
      </c>
      <c r="F184">
        <f>VLOOKUP(A184,NYSEARCABND!A$2:G$506,2,0)</f>
        <v>82.1</v>
      </c>
      <c r="G184">
        <f>VLOOKUP(A184,NYSEARCATIP!A$2:G$506,2,0)</f>
        <v>111.37</v>
      </c>
      <c r="H184">
        <f>VLOOKUP(A184,NYSEARCAMUB!A$2:G$506,2,0)</f>
        <v>111.91</v>
      </c>
      <c r="I184">
        <f>VLOOKUP(A184,NYSEARCAVNQ!A$2:G$506,2,0)</f>
        <v>72.47</v>
      </c>
      <c r="J184">
        <f>VLOOKUP(A184,NYSEARCARWX!A$2:G$506,2,0)</f>
        <v>37</v>
      </c>
      <c r="K184">
        <f>VLOOKUP(A184,NYSEARCADBC!A$2:G$506,2,0)</f>
        <v>12.14</v>
      </c>
      <c r="L184">
        <f>VLOOKUP(A184,NYSEARCAGSG!A$2:G$506,2,0)</f>
        <v>12.31</v>
      </c>
      <c r="M184">
        <f>VLOOKUP(A184,NYSEARCAGLD!A$2:G$506,2,0)</f>
        <v>113.92</v>
      </c>
      <c r="N184">
        <f>VLOOKUP(A184,NYSEBP!A$2:G$506,2,0)</f>
        <v>28.04</v>
      </c>
      <c r="O184">
        <f>VLOOKUP(A184,NASDAQYHOO!A$2:G$506,2,0)</f>
        <v>27.11</v>
      </c>
    </row>
    <row r="185" spans="1:15">
      <c r="A185" s="39">
        <v>42411</v>
      </c>
      <c r="B185">
        <v>65.02</v>
      </c>
      <c r="C185">
        <f>VLOOKUP(A185,NYSEARCAVTI!A$2:G$506,2,0)</f>
        <v>92.39</v>
      </c>
      <c r="D185">
        <f>VLOOKUP(A185,NYSEARCAVEU!A$2:G$506,2,0)</f>
        <v>38.15</v>
      </c>
      <c r="E185">
        <f>VLOOKUP(A185,NYSEARCAVWO!A$2:G$506,2,0)</f>
        <v>29.05</v>
      </c>
      <c r="F185">
        <f>VLOOKUP(A185,NYSEARCABND!A$2:G$506,2,0)</f>
        <v>82.5</v>
      </c>
      <c r="G185">
        <f>VLOOKUP(A185,NYSEARCATIP!A$2:G$506,2,0)</f>
        <v>111.86</v>
      </c>
      <c r="H185">
        <f>VLOOKUP(A185,NYSEARCAMUB!A$2:G$506,2,0)</f>
        <v>112.22</v>
      </c>
      <c r="I185">
        <f>VLOOKUP(A185,NYSEARCAVNQ!A$2:G$506,2,0)</f>
        <v>71.48</v>
      </c>
      <c r="J185">
        <f>VLOOKUP(A185,NYSEARCARWX!A$2:G$506,2,0)</f>
        <v>36.46</v>
      </c>
      <c r="K185">
        <f>VLOOKUP(A185,NYSEARCADBC!A$2:G$506,2,0)</f>
        <v>12.18</v>
      </c>
      <c r="L185">
        <f>VLOOKUP(A185,NYSEARCAGSG!A$2:G$506,2,0)</f>
        <v>12.29</v>
      </c>
      <c r="M185">
        <f>VLOOKUP(A185,NYSEARCAGLD!A$2:G$506,2,0)</f>
        <v>118.59</v>
      </c>
      <c r="N185">
        <f>VLOOKUP(A185,NYSEBP!A$2:G$506,2,0)</f>
        <v>27.31</v>
      </c>
      <c r="O185">
        <f>VLOOKUP(A185,NASDAQYHOO!A$2:G$506,2,0)</f>
        <v>26.46</v>
      </c>
    </row>
    <row r="186" spans="1:15">
      <c r="A186" s="39">
        <v>42412</v>
      </c>
      <c r="B186">
        <v>65.52</v>
      </c>
      <c r="C186">
        <f>VLOOKUP(A186,NYSEARCAVTI!A$2:G$506,2,0)</f>
        <v>93.47</v>
      </c>
      <c r="D186">
        <f>VLOOKUP(A186,NYSEARCAVEU!A$2:G$506,2,0)</f>
        <v>38.26</v>
      </c>
      <c r="E186">
        <f>VLOOKUP(A186,NYSEARCAVWO!A$2:G$506,2,0)</f>
        <v>29.4</v>
      </c>
      <c r="F186">
        <f>VLOOKUP(A186,NYSEARCABND!A$2:G$506,2,0)</f>
        <v>82.16</v>
      </c>
      <c r="G186">
        <f>VLOOKUP(A186,NYSEARCATIP!A$2:G$506,2,0)</f>
        <v>111.84</v>
      </c>
      <c r="H186">
        <f>VLOOKUP(A186,NYSEARCAMUB!A$2:G$506,2,0)</f>
        <v>112.1</v>
      </c>
      <c r="I186">
        <f>VLOOKUP(A186,NYSEARCAVNQ!A$2:G$506,2,0)</f>
        <v>72.13</v>
      </c>
      <c r="J186">
        <f>VLOOKUP(A186,NYSEARCARWX!A$2:G$506,2,0)</f>
        <v>36.369999999999997</v>
      </c>
      <c r="K186">
        <f>VLOOKUP(A186,NYSEARCADBC!A$2:G$506,2,0)</f>
        <v>12.38</v>
      </c>
      <c r="L186">
        <f>VLOOKUP(A186,NYSEARCAGSG!A$2:G$506,2,0)</f>
        <v>12.57</v>
      </c>
      <c r="M186">
        <f>VLOOKUP(A186,NYSEARCAGLD!A$2:G$506,2,0)</f>
        <v>118.12</v>
      </c>
      <c r="N186">
        <f>VLOOKUP(A186,NYSEBP!A$2:G$506,2,0)</f>
        <v>28.29</v>
      </c>
      <c r="O186">
        <f>VLOOKUP(A186,NASDAQYHOO!A$2:G$506,2,0)</f>
        <v>27.12</v>
      </c>
    </row>
    <row r="187" spans="1:15">
      <c r="A187" s="39">
        <v>42416</v>
      </c>
      <c r="B187">
        <v>66.61</v>
      </c>
      <c r="C187">
        <f>VLOOKUP(A187,NYSEARCAVTI!A$2:G$506,2,0)</f>
        <v>95.62</v>
      </c>
      <c r="D187">
        <f>VLOOKUP(A187,NYSEARCAVEU!A$2:G$506,2,0)</f>
        <v>39.49</v>
      </c>
      <c r="E187">
        <f>VLOOKUP(A187,NYSEARCAVWO!A$2:G$506,2,0)</f>
        <v>30.21</v>
      </c>
      <c r="F187">
        <f>VLOOKUP(A187,NYSEARCABND!A$2:G$506,2,0)</f>
        <v>81.89</v>
      </c>
      <c r="G187">
        <f>VLOOKUP(A187,NYSEARCATIP!A$2:G$506,2,0)</f>
        <v>111.38</v>
      </c>
      <c r="H187">
        <f>VLOOKUP(A187,NYSEARCAMUB!A$2:G$506,2,0)</f>
        <v>112.09</v>
      </c>
      <c r="I187">
        <f>VLOOKUP(A187,NYSEARCAVNQ!A$2:G$506,2,0)</f>
        <v>72.849999999999994</v>
      </c>
      <c r="J187">
        <f>VLOOKUP(A187,NYSEARCARWX!A$2:G$506,2,0)</f>
        <v>37.75</v>
      </c>
      <c r="K187">
        <f>VLOOKUP(A187,NYSEARCADBC!A$2:G$506,2,0)</f>
        <v>12.55</v>
      </c>
      <c r="L187">
        <f>VLOOKUP(A187,NYSEARCAGSG!A$2:G$506,2,0)</f>
        <v>12.82</v>
      </c>
      <c r="M187">
        <f>VLOOKUP(A187,NYSEARCAGLD!A$2:G$506,2,0)</f>
        <v>116</v>
      </c>
      <c r="N187">
        <f>VLOOKUP(A187,NYSEBP!A$2:G$506,2,0)</f>
        <v>29.36</v>
      </c>
      <c r="O187">
        <f>VLOOKUP(A187,NASDAQYHOO!A$2:G$506,2,0)</f>
        <v>27.98</v>
      </c>
    </row>
    <row r="188" spans="1:15">
      <c r="A188" s="39">
        <v>42417</v>
      </c>
      <c r="B188">
        <v>66.099999999999994</v>
      </c>
      <c r="C188">
        <f>VLOOKUP(A188,NYSEARCAVTI!A$2:G$506,2,0)</f>
        <v>96.77</v>
      </c>
      <c r="D188">
        <f>VLOOKUP(A188,NYSEARCAVEU!A$2:G$506,2,0)</f>
        <v>39.9</v>
      </c>
      <c r="E188">
        <f>VLOOKUP(A188,NYSEARCAVWO!A$2:G$506,2,0)</f>
        <v>30.59</v>
      </c>
      <c r="F188">
        <f>VLOOKUP(A188,NYSEARCABND!A$2:G$506,2,0)</f>
        <v>81.81</v>
      </c>
      <c r="G188">
        <f>VLOOKUP(A188,NYSEARCATIP!A$2:G$506,2,0)</f>
        <v>111.25</v>
      </c>
      <c r="H188">
        <f>VLOOKUP(A188,NYSEARCAMUB!A$2:G$506,2,0)</f>
        <v>111.75</v>
      </c>
      <c r="I188">
        <f>VLOOKUP(A188,NYSEARCAVNQ!A$2:G$506,2,0)</f>
        <v>73.69</v>
      </c>
      <c r="J188">
        <f>VLOOKUP(A188,NYSEARCARWX!A$2:G$506,2,0)</f>
        <v>37.9</v>
      </c>
      <c r="K188">
        <f>VLOOKUP(A188,NYSEARCADBC!A$2:G$506,2,0)</f>
        <v>12.41</v>
      </c>
      <c r="L188">
        <f>VLOOKUP(A188,NYSEARCAGSG!A$2:G$506,2,0)</f>
        <v>12.73</v>
      </c>
      <c r="M188">
        <f>VLOOKUP(A188,NYSEARCAGLD!A$2:G$506,2,0)</f>
        <v>115.47</v>
      </c>
      <c r="N188">
        <f>VLOOKUP(A188,NYSEBP!A$2:G$506,2,0)</f>
        <v>29.23</v>
      </c>
      <c r="O188">
        <f>VLOOKUP(A188,NASDAQYHOO!A$2:G$506,2,0)</f>
        <v>29.47</v>
      </c>
    </row>
    <row r="189" spans="1:15">
      <c r="A189" s="39">
        <v>42418</v>
      </c>
      <c r="B189">
        <v>63.74</v>
      </c>
      <c r="C189">
        <f>VLOOKUP(A189,NYSEARCAVTI!A$2:G$506,2,0)</f>
        <v>97.9</v>
      </c>
      <c r="D189">
        <f>VLOOKUP(A189,NYSEARCAVEU!A$2:G$506,2,0)</f>
        <v>40.479999999999997</v>
      </c>
      <c r="E189">
        <f>VLOOKUP(A189,NYSEARCAVWO!A$2:G$506,2,0)</f>
        <v>31.06</v>
      </c>
      <c r="F189">
        <f>VLOOKUP(A189,NYSEARCABND!A$2:G$506,2,0)</f>
        <v>81.86</v>
      </c>
      <c r="G189">
        <f>VLOOKUP(A189,NYSEARCATIP!A$2:G$506,2,0)</f>
        <v>111</v>
      </c>
      <c r="H189">
        <f>VLOOKUP(A189,NYSEARCAMUB!A$2:G$506,2,0)</f>
        <v>111.62</v>
      </c>
      <c r="I189">
        <f>VLOOKUP(A189,NYSEARCAVNQ!A$2:G$506,2,0)</f>
        <v>74.41</v>
      </c>
      <c r="J189">
        <f>VLOOKUP(A189,NYSEARCARWX!A$2:G$506,2,0)</f>
        <v>38.229999999999997</v>
      </c>
      <c r="K189">
        <f>VLOOKUP(A189,NYSEARCADBC!A$2:G$506,2,0)</f>
        <v>12.7</v>
      </c>
      <c r="L189">
        <f>VLOOKUP(A189,NYSEARCAGSG!A$2:G$506,2,0)</f>
        <v>13.19</v>
      </c>
      <c r="M189">
        <f>VLOOKUP(A189,NYSEARCAGLD!A$2:G$506,2,0)</f>
        <v>115.3</v>
      </c>
      <c r="N189">
        <f>VLOOKUP(A189,NYSEBP!A$2:G$506,2,0)</f>
        <v>30.18</v>
      </c>
      <c r="O189">
        <f>VLOOKUP(A189,NASDAQYHOO!A$2:G$506,2,0)</f>
        <v>29.56</v>
      </c>
    </row>
    <row r="190" spans="1:15">
      <c r="A190" s="39">
        <v>42419</v>
      </c>
      <c r="B190">
        <v>63.89</v>
      </c>
      <c r="C190">
        <f>VLOOKUP(A190,NYSEARCAVTI!A$2:G$506,2,0)</f>
        <v>96.85</v>
      </c>
      <c r="D190">
        <f>VLOOKUP(A190,NYSEARCAVEU!A$2:G$506,2,0)</f>
        <v>39.869999999999997</v>
      </c>
      <c r="E190">
        <f>VLOOKUP(A190,NYSEARCAVWO!A$2:G$506,2,0)</f>
        <v>30.65</v>
      </c>
      <c r="F190">
        <f>VLOOKUP(A190,NYSEARCABND!A$2:G$506,2,0)</f>
        <v>82.06</v>
      </c>
      <c r="G190">
        <f>VLOOKUP(A190,NYSEARCATIP!A$2:G$506,2,0)</f>
        <v>111.33</v>
      </c>
      <c r="H190">
        <f>VLOOKUP(A190,NYSEARCAMUB!A$2:G$506,2,0)</f>
        <v>111.76</v>
      </c>
      <c r="I190">
        <f>VLOOKUP(A190,NYSEARCAVNQ!A$2:G$506,2,0)</f>
        <v>74.739999999999995</v>
      </c>
      <c r="J190">
        <f>VLOOKUP(A190,NYSEARCARWX!A$2:G$506,2,0)</f>
        <v>38.119999999999997</v>
      </c>
      <c r="K190">
        <f>VLOOKUP(A190,NYSEARCADBC!A$2:G$506,2,0)</f>
        <v>12.47</v>
      </c>
      <c r="L190">
        <f>VLOOKUP(A190,NYSEARCAGSG!A$2:G$506,2,0)</f>
        <v>12.84</v>
      </c>
      <c r="M190">
        <f>VLOOKUP(A190,NYSEARCAGLD!A$2:G$506,2,0)</f>
        <v>117.26</v>
      </c>
      <c r="N190">
        <f>VLOOKUP(A190,NYSEBP!A$2:G$506,2,0)</f>
        <v>29.55</v>
      </c>
      <c r="O190">
        <f>VLOOKUP(A190,NASDAQYHOO!A$2:G$506,2,0)</f>
        <v>30.19</v>
      </c>
    </row>
    <row r="191" spans="1:15">
      <c r="A191" s="39">
        <v>42422</v>
      </c>
      <c r="B191">
        <v>64.959999999999994</v>
      </c>
      <c r="C191">
        <f>VLOOKUP(A191,NYSEARCAVTI!A$2:G$506,2,0)</f>
        <v>98.24</v>
      </c>
      <c r="D191">
        <f>VLOOKUP(A191,NYSEARCAVEU!A$2:G$506,2,0)</f>
        <v>40.409999999999997</v>
      </c>
      <c r="E191">
        <f>VLOOKUP(A191,NYSEARCAVWO!A$2:G$506,2,0)</f>
        <v>31.2</v>
      </c>
      <c r="F191">
        <f>VLOOKUP(A191,NYSEARCABND!A$2:G$506,2,0)</f>
        <v>82.05</v>
      </c>
      <c r="G191">
        <f>VLOOKUP(A191,NYSEARCATIP!A$2:G$506,2,0)</f>
        <v>111.47</v>
      </c>
      <c r="H191">
        <f>VLOOKUP(A191,NYSEARCAMUB!A$2:G$506,2,0)</f>
        <v>111.67</v>
      </c>
      <c r="I191">
        <f>VLOOKUP(A191,NYSEARCAVNQ!A$2:G$506,2,0)</f>
        <v>76.03</v>
      </c>
      <c r="J191">
        <f>VLOOKUP(A191,NYSEARCARWX!A$2:G$506,2,0)</f>
        <v>38.57</v>
      </c>
      <c r="K191">
        <f>VLOOKUP(A191,NYSEARCADBC!A$2:G$506,2,0)</f>
        <v>12.57</v>
      </c>
      <c r="L191">
        <f>VLOOKUP(A191,NYSEARCAGSG!A$2:G$506,2,0)</f>
        <v>13.05</v>
      </c>
      <c r="M191">
        <f>VLOOKUP(A191,NYSEARCAGLD!A$2:G$506,2,0)</f>
        <v>115.44</v>
      </c>
      <c r="N191">
        <f>VLOOKUP(A191,NYSEBP!A$2:G$506,2,0)</f>
        <v>30.14</v>
      </c>
      <c r="O191">
        <f>VLOOKUP(A191,NASDAQYHOO!A$2:G$506,2,0)</f>
        <v>30.65</v>
      </c>
    </row>
    <row r="192" spans="1:15">
      <c r="A192" s="39">
        <v>42423</v>
      </c>
      <c r="B192">
        <v>65.84</v>
      </c>
      <c r="C192">
        <f>VLOOKUP(A192,NYSEARCAVTI!A$2:G$506,2,0)</f>
        <v>98.38</v>
      </c>
      <c r="D192">
        <f>VLOOKUP(A192,NYSEARCAVEU!A$2:G$506,2,0)</f>
        <v>40.270000000000003</v>
      </c>
      <c r="E192">
        <f>VLOOKUP(A192,NYSEARCAVWO!A$2:G$506,2,0)</f>
        <v>31.12</v>
      </c>
      <c r="F192">
        <f>VLOOKUP(A192,NYSEARCABND!A$2:G$506,2,0)</f>
        <v>81.94</v>
      </c>
      <c r="G192">
        <f>VLOOKUP(A192,NYSEARCATIP!A$2:G$506,2,0)</f>
        <v>111.27</v>
      </c>
      <c r="H192">
        <f>VLOOKUP(A192,NYSEARCAMUB!A$2:G$506,2,0)</f>
        <v>111.58</v>
      </c>
      <c r="I192">
        <f>VLOOKUP(A192,NYSEARCAVNQ!A$2:G$506,2,0)</f>
        <v>76.08</v>
      </c>
      <c r="J192">
        <f>VLOOKUP(A192,NYSEARCARWX!A$2:G$506,2,0)</f>
        <v>38.36</v>
      </c>
      <c r="K192">
        <f>VLOOKUP(A192,NYSEARCADBC!A$2:G$506,2,0)</f>
        <v>12.58</v>
      </c>
      <c r="L192">
        <f>VLOOKUP(A192,NYSEARCAGSG!A$2:G$506,2,0)</f>
        <v>12.98</v>
      </c>
      <c r="M192">
        <f>VLOOKUP(A192,NYSEARCAGLD!A$2:G$506,2,0)</f>
        <v>116.68</v>
      </c>
      <c r="N192">
        <f>VLOOKUP(A192,NYSEBP!A$2:G$506,2,0)</f>
        <v>29.62</v>
      </c>
      <c r="O192">
        <f>VLOOKUP(A192,NASDAQYHOO!A$2:G$506,2,0)</f>
        <v>31.2</v>
      </c>
    </row>
    <row r="193" spans="1:15">
      <c r="A193" s="39">
        <v>42424</v>
      </c>
      <c r="B193">
        <v>66.19</v>
      </c>
      <c r="C193">
        <f>VLOOKUP(A193,NYSEARCAVTI!A$2:G$506,2,0)</f>
        <v>96.58</v>
      </c>
      <c r="D193">
        <f>VLOOKUP(A193,NYSEARCAVEU!A$2:G$506,2,0)</f>
        <v>39.24</v>
      </c>
      <c r="E193">
        <f>VLOOKUP(A193,NYSEARCAVWO!A$2:G$506,2,0)</f>
        <v>30.3</v>
      </c>
      <c r="F193">
        <f>VLOOKUP(A193,NYSEARCABND!A$2:G$506,2,0)</f>
        <v>82.24</v>
      </c>
      <c r="G193">
        <f>VLOOKUP(A193,NYSEARCATIP!A$2:G$506,2,0)</f>
        <v>112.15</v>
      </c>
      <c r="H193">
        <f>VLOOKUP(A193,NYSEARCAMUB!A$2:G$506,2,0)</f>
        <v>111.65</v>
      </c>
      <c r="I193">
        <f>VLOOKUP(A193,NYSEARCAVNQ!A$2:G$506,2,0)</f>
        <v>75.62</v>
      </c>
      <c r="J193">
        <f>VLOOKUP(A193,NYSEARCARWX!A$2:G$506,2,0)</f>
        <v>37.86</v>
      </c>
      <c r="K193">
        <f>VLOOKUP(A193,NYSEARCADBC!A$2:G$506,2,0)</f>
        <v>12.37</v>
      </c>
      <c r="L193">
        <f>VLOOKUP(A193,NYSEARCAGSG!A$2:G$506,2,0)</f>
        <v>12.63</v>
      </c>
      <c r="M193">
        <f>VLOOKUP(A193,NYSEARCAGLD!A$2:G$506,2,0)</f>
        <v>119</v>
      </c>
      <c r="N193">
        <f>VLOOKUP(A193,NYSEBP!A$2:G$506,2,0)</f>
        <v>28.2</v>
      </c>
      <c r="O193">
        <f>VLOOKUP(A193,NASDAQYHOO!A$2:G$506,2,0)</f>
        <v>30.41</v>
      </c>
    </row>
    <row r="194" spans="1:15">
      <c r="A194" s="39">
        <v>42425</v>
      </c>
      <c r="B194">
        <v>67.45</v>
      </c>
      <c r="C194">
        <f>VLOOKUP(A194,NYSEARCAVTI!A$2:G$506,2,0)</f>
        <v>98.27</v>
      </c>
      <c r="D194">
        <f>VLOOKUP(A194,NYSEARCAVEU!A$2:G$506,2,0)</f>
        <v>39.99</v>
      </c>
      <c r="E194">
        <f>VLOOKUP(A194,NYSEARCAVWO!A$2:G$506,2,0)</f>
        <v>30.62</v>
      </c>
      <c r="F194">
        <f>VLOOKUP(A194,NYSEARCABND!A$2:G$506,2,0)</f>
        <v>82.24</v>
      </c>
      <c r="G194">
        <f>VLOOKUP(A194,NYSEARCATIP!A$2:G$506,2,0)</f>
        <v>112.27</v>
      </c>
      <c r="H194">
        <f>VLOOKUP(A194,NYSEARCAMUB!A$2:G$506,2,0)</f>
        <v>111.61</v>
      </c>
      <c r="I194">
        <f>VLOOKUP(A194,NYSEARCAVNQ!A$2:G$506,2,0)</f>
        <v>76.2</v>
      </c>
      <c r="J194">
        <f>VLOOKUP(A194,NYSEARCARWX!A$2:G$506,2,0)</f>
        <v>38.49</v>
      </c>
      <c r="K194">
        <f>VLOOKUP(A194,NYSEARCADBC!A$2:G$506,2,0)</f>
        <v>12.57</v>
      </c>
      <c r="L194">
        <f>VLOOKUP(A194,NYSEARCAGSG!A$2:G$506,2,0)</f>
        <v>12.91</v>
      </c>
      <c r="M194">
        <f>VLOOKUP(A194,NYSEARCAGLD!A$2:G$506,2,0)</f>
        <v>117.62</v>
      </c>
      <c r="N194">
        <f>VLOOKUP(A194,NYSEBP!A$2:G$506,2,0)</f>
        <v>28.83</v>
      </c>
      <c r="O194">
        <f>VLOOKUP(A194,NASDAQYHOO!A$2:G$506,2,0)</f>
        <v>30.74</v>
      </c>
    </row>
    <row r="195" spans="1:15">
      <c r="A195" s="39">
        <v>42426</v>
      </c>
      <c r="B195">
        <v>68.08</v>
      </c>
      <c r="C195">
        <f>VLOOKUP(A195,NYSEARCAVTI!A$2:G$506,2,0)</f>
        <v>99.67</v>
      </c>
      <c r="D195">
        <f>VLOOKUP(A195,NYSEARCAVEU!A$2:G$506,2,0)</f>
        <v>40.43</v>
      </c>
      <c r="E195">
        <f>VLOOKUP(A195,NYSEARCAVWO!A$2:G$506,2,0)</f>
        <v>31</v>
      </c>
      <c r="F195">
        <f>VLOOKUP(A195,NYSEARCABND!A$2:G$506,2,0)</f>
        <v>82.12</v>
      </c>
      <c r="G195">
        <f>VLOOKUP(A195,NYSEARCATIP!A$2:G$506,2,0)</f>
        <v>112.23</v>
      </c>
      <c r="H195">
        <f>VLOOKUP(A195,NYSEARCAMUB!A$2:G$506,2,0)</f>
        <v>111.5</v>
      </c>
      <c r="I195">
        <f>VLOOKUP(A195,NYSEARCAVNQ!A$2:G$506,2,0)</f>
        <v>77.33</v>
      </c>
      <c r="J195">
        <f>VLOOKUP(A195,NYSEARCARWX!A$2:G$506,2,0)</f>
        <v>38.78</v>
      </c>
      <c r="K195">
        <f>VLOOKUP(A195,NYSEARCADBC!A$2:G$506,2,0)</f>
        <v>12.78</v>
      </c>
      <c r="L195">
        <f>VLOOKUP(A195,NYSEARCAGSG!A$2:G$506,2,0)</f>
        <v>13.29</v>
      </c>
      <c r="M195">
        <f>VLOOKUP(A195,NYSEARCAGLD!A$2:G$506,2,0)</f>
        <v>117.43</v>
      </c>
      <c r="N195">
        <f>VLOOKUP(A195,NYSEBP!A$2:G$506,2,0)</f>
        <v>29.14</v>
      </c>
      <c r="O195">
        <f>VLOOKUP(A195,NASDAQYHOO!A$2:G$506,2,0)</f>
        <v>31.68</v>
      </c>
    </row>
    <row r="196" spans="1:15">
      <c r="A196" s="39">
        <v>42429</v>
      </c>
      <c r="B196">
        <v>66.63</v>
      </c>
      <c r="C196">
        <f>VLOOKUP(A196,NYSEARCAVTI!A$2:G$506,2,0)</f>
        <v>99.12</v>
      </c>
      <c r="D196">
        <f>VLOOKUP(A196,NYSEARCAVEU!A$2:G$506,2,0)</f>
        <v>40.06</v>
      </c>
      <c r="E196">
        <f>VLOOKUP(A196,NYSEARCAVWO!A$2:G$506,2,0)</f>
        <v>30.77</v>
      </c>
      <c r="F196">
        <f>VLOOKUP(A196,NYSEARCABND!A$2:G$506,2,0)</f>
        <v>82.13</v>
      </c>
      <c r="G196">
        <f>VLOOKUP(A196,NYSEARCATIP!A$2:G$506,2,0)</f>
        <v>112.49</v>
      </c>
      <c r="H196">
        <f>VLOOKUP(A196,NYSEARCAMUB!A$2:G$506,2,0)</f>
        <v>111.39</v>
      </c>
      <c r="I196">
        <f>VLOOKUP(A196,NYSEARCAVNQ!A$2:G$506,2,0)</f>
        <v>76.930000000000007</v>
      </c>
      <c r="J196">
        <f>VLOOKUP(A196,NYSEARCARWX!A$2:G$506,2,0)</f>
        <v>38.51</v>
      </c>
      <c r="K196">
        <f>VLOOKUP(A196,NYSEARCADBC!A$2:G$506,2,0)</f>
        <v>12.66</v>
      </c>
      <c r="L196">
        <f>VLOOKUP(A196,NYSEARCAGSG!A$2:G$506,2,0)</f>
        <v>13.11</v>
      </c>
      <c r="M196">
        <f>VLOOKUP(A196,NYSEARCAGLD!A$2:G$506,2,0)</f>
        <v>117.59</v>
      </c>
      <c r="N196">
        <f>VLOOKUP(A196,NYSEBP!A$2:G$506,2,0)</f>
        <v>29.24</v>
      </c>
      <c r="O196">
        <f>VLOOKUP(A196,NASDAQYHOO!A$2:G$506,2,0)</f>
        <v>31.31</v>
      </c>
    </row>
    <row r="197" spans="1:15">
      <c r="A197" s="39">
        <v>42430</v>
      </c>
      <c r="B197">
        <v>66.650000000000006</v>
      </c>
      <c r="C197">
        <f>VLOOKUP(A197,NYSEARCAVTI!A$2:G$506,2,0)</f>
        <v>99.13</v>
      </c>
      <c r="D197">
        <f>VLOOKUP(A197,NYSEARCAVEU!A$2:G$506,2,0)</f>
        <v>40.549999999999997</v>
      </c>
      <c r="E197">
        <f>VLOOKUP(A197,NYSEARCAVWO!A$2:G$506,2,0)</f>
        <v>31.36</v>
      </c>
      <c r="F197">
        <f>VLOOKUP(A197,NYSEARCABND!A$2:G$506,2,0)</f>
        <v>82.17</v>
      </c>
      <c r="G197">
        <f>VLOOKUP(A197,NYSEARCATIP!A$2:G$506,2,0)</f>
        <v>112.87</v>
      </c>
      <c r="H197">
        <f>VLOOKUP(A197,NYSEARCAMUB!A$2:G$506,2,0)</f>
        <v>111.16</v>
      </c>
      <c r="I197">
        <f>VLOOKUP(A197,NYSEARCAVNQ!A$2:G$506,2,0)</f>
        <v>76.78</v>
      </c>
      <c r="J197">
        <f>VLOOKUP(A197,NYSEARCARWX!A$2:G$506,2,0)</f>
        <v>38.909999999999997</v>
      </c>
      <c r="K197">
        <f>VLOOKUP(A197,NYSEARCADBC!A$2:G$506,2,0)</f>
        <v>12.74</v>
      </c>
      <c r="L197">
        <f>VLOOKUP(A197,NYSEARCAGSG!A$2:G$506,2,0)</f>
        <v>13.15</v>
      </c>
      <c r="M197">
        <f>VLOOKUP(A197,NYSEARCAGLD!A$2:G$506,2,0)</f>
        <v>118.74</v>
      </c>
      <c r="N197">
        <f>VLOOKUP(A197,NYSEBP!A$2:G$506,2,0)</f>
        <v>29.45</v>
      </c>
      <c r="O197">
        <f>VLOOKUP(A197,NASDAQYHOO!A$2:G$506,2,0)</f>
        <v>32.04</v>
      </c>
    </row>
    <row r="198" spans="1:15">
      <c r="A198" s="39">
        <v>42431</v>
      </c>
      <c r="B198">
        <v>66.209999999999994</v>
      </c>
      <c r="C198">
        <f>VLOOKUP(A198,NYSEARCAVTI!A$2:G$506,2,0)</f>
        <v>100.52</v>
      </c>
      <c r="D198">
        <f>VLOOKUP(A198,NYSEARCAVEU!A$2:G$506,2,0)</f>
        <v>41.05</v>
      </c>
      <c r="E198">
        <f>VLOOKUP(A198,NYSEARCAVWO!A$2:G$506,2,0)</f>
        <v>31.93</v>
      </c>
      <c r="F198">
        <f>VLOOKUP(A198,NYSEARCABND!A$2:G$506,2,0)</f>
        <v>81.75</v>
      </c>
      <c r="G198">
        <f>VLOOKUP(A198,NYSEARCATIP!A$2:G$506,2,0)</f>
        <v>112.22</v>
      </c>
      <c r="H198">
        <f>VLOOKUP(A198,NYSEARCAMUB!A$2:G$506,2,0)</f>
        <v>110.94</v>
      </c>
      <c r="I198">
        <f>VLOOKUP(A198,NYSEARCAVNQ!A$2:G$506,2,0)</f>
        <v>78.56</v>
      </c>
      <c r="J198">
        <f>VLOOKUP(A198,NYSEARCARWX!A$2:G$506,2,0)</f>
        <v>39.18</v>
      </c>
      <c r="K198">
        <f>VLOOKUP(A198,NYSEARCADBC!A$2:G$506,2,0)</f>
        <v>12.73</v>
      </c>
      <c r="L198">
        <f>VLOOKUP(A198,NYSEARCAGSG!A$2:G$506,2,0)</f>
        <v>13.19</v>
      </c>
      <c r="M198">
        <f>VLOOKUP(A198,NYSEARCAGLD!A$2:G$506,2,0)</f>
        <v>118.34</v>
      </c>
      <c r="N198">
        <f>VLOOKUP(A198,NYSEBP!A$2:G$506,2,0)</f>
        <v>29.43</v>
      </c>
      <c r="O198">
        <f>VLOOKUP(A198,NASDAQYHOO!A$2:G$506,2,0)</f>
        <v>32.81</v>
      </c>
    </row>
    <row r="199" spans="1:15">
      <c r="A199" s="39">
        <v>42432</v>
      </c>
      <c r="B199">
        <v>65.95</v>
      </c>
      <c r="C199">
        <f>VLOOKUP(A199,NYSEARCAVTI!A$2:G$506,2,0)</f>
        <v>101.13</v>
      </c>
      <c r="D199">
        <f>VLOOKUP(A199,NYSEARCAVEU!A$2:G$506,2,0)</f>
        <v>41.46</v>
      </c>
      <c r="E199">
        <f>VLOOKUP(A199,NYSEARCAVWO!A$2:G$506,2,0)</f>
        <v>32.36</v>
      </c>
      <c r="F199">
        <f>VLOOKUP(A199,NYSEARCABND!A$2:G$506,2,0)</f>
        <v>81.78</v>
      </c>
      <c r="G199">
        <f>VLOOKUP(A199,NYSEARCATIP!A$2:G$506,2,0)</f>
        <v>112.67</v>
      </c>
      <c r="H199">
        <f>VLOOKUP(A199,NYSEARCAMUB!A$2:G$506,2,0)</f>
        <v>110.9</v>
      </c>
      <c r="I199">
        <f>VLOOKUP(A199,NYSEARCAVNQ!A$2:G$506,2,0)</f>
        <v>79.47</v>
      </c>
      <c r="J199">
        <f>VLOOKUP(A199,NYSEARCARWX!A$2:G$506,2,0)</f>
        <v>39.53</v>
      </c>
      <c r="K199">
        <f>VLOOKUP(A199,NYSEARCADBC!A$2:G$506,2,0)</f>
        <v>12.79</v>
      </c>
      <c r="L199">
        <f>VLOOKUP(A199,NYSEARCAGSG!A$2:G$506,2,0)</f>
        <v>13.23</v>
      </c>
      <c r="M199">
        <f>VLOOKUP(A199,NYSEARCAGLD!A$2:G$506,2,0)</f>
        <v>118.86</v>
      </c>
      <c r="N199">
        <f>VLOOKUP(A199,NYSEBP!A$2:G$506,2,0)</f>
        <v>30.46</v>
      </c>
      <c r="O199">
        <f>VLOOKUP(A199,NASDAQYHOO!A$2:G$506,2,0)</f>
        <v>32.71</v>
      </c>
    </row>
    <row r="200" spans="1:15">
      <c r="A200" s="39">
        <v>42433</v>
      </c>
      <c r="B200">
        <v>66.14</v>
      </c>
      <c r="C200">
        <f>VLOOKUP(A200,NYSEARCAVTI!A$2:G$506,2,0)</f>
        <v>101.89</v>
      </c>
      <c r="D200">
        <f>VLOOKUP(A200,NYSEARCAVEU!A$2:G$506,2,0)</f>
        <v>42.1</v>
      </c>
      <c r="E200">
        <f>VLOOKUP(A200,NYSEARCAVWO!A$2:G$506,2,0)</f>
        <v>33.049999999999997</v>
      </c>
      <c r="F200">
        <f>VLOOKUP(A200,NYSEARCABND!A$2:G$506,2,0)</f>
        <v>81.849999999999994</v>
      </c>
      <c r="G200">
        <f>VLOOKUP(A200,NYSEARCATIP!A$2:G$506,2,0)</f>
        <v>112.86</v>
      </c>
      <c r="H200">
        <f>VLOOKUP(A200,NYSEARCAMUB!A$2:G$506,2,0)</f>
        <v>110.92</v>
      </c>
      <c r="I200">
        <f>VLOOKUP(A200,NYSEARCAVNQ!A$2:G$506,2,0)</f>
        <v>79.73</v>
      </c>
      <c r="J200">
        <f>VLOOKUP(A200,NYSEARCARWX!A$2:G$506,2,0)</f>
        <v>39.72</v>
      </c>
      <c r="K200">
        <f>VLOOKUP(A200,NYSEARCADBC!A$2:G$506,2,0)</f>
        <v>12.96</v>
      </c>
      <c r="L200">
        <f>VLOOKUP(A200,NYSEARCAGSG!A$2:G$506,2,0)</f>
        <v>13.44</v>
      </c>
      <c r="M200">
        <f>VLOOKUP(A200,NYSEARCAGLD!A$2:G$506,2,0)</f>
        <v>121.13</v>
      </c>
      <c r="N200">
        <f>VLOOKUP(A200,NYSEBP!A$2:G$506,2,0)</f>
        <v>30.95</v>
      </c>
      <c r="O200">
        <f>VLOOKUP(A200,NASDAQYHOO!A$2:G$506,2,0)</f>
        <v>32.909999999999997</v>
      </c>
    </row>
    <row r="201" spans="1:15">
      <c r="A201" s="39">
        <v>42436</v>
      </c>
      <c r="B201">
        <v>66.62</v>
      </c>
      <c r="C201">
        <f>VLOOKUP(A201,NYSEARCAVTI!A$2:G$506,2,0)</f>
        <v>101.65</v>
      </c>
      <c r="D201">
        <f>VLOOKUP(A201,NYSEARCAVEU!A$2:G$506,2,0)</f>
        <v>41.87</v>
      </c>
      <c r="E201">
        <f>VLOOKUP(A201,NYSEARCAVWO!A$2:G$506,2,0)</f>
        <v>33.15</v>
      </c>
      <c r="F201">
        <f>VLOOKUP(A201,NYSEARCABND!A$2:G$506,2,0)</f>
        <v>81.709999999999994</v>
      </c>
      <c r="G201">
        <f>VLOOKUP(A201,NYSEARCATIP!A$2:G$506,2,0)</f>
        <v>112.44</v>
      </c>
      <c r="H201">
        <f>VLOOKUP(A201,NYSEARCAMUB!A$2:G$506,2,0)</f>
        <v>110.68</v>
      </c>
      <c r="I201">
        <f>VLOOKUP(A201,NYSEARCAVNQ!A$2:G$506,2,0)</f>
        <v>79.459999999999994</v>
      </c>
      <c r="J201">
        <f>VLOOKUP(A201,NYSEARCARWX!A$2:G$506,2,0)</f>
        <v>39.369999999999997</v>
      </c>
      <c r="K201">
        <f>VLOOKUP(A201,NYSEARCADBC!A$2:G$506,2,0)</f>
        <v>13.2</v>
      </c>
      <c r="L201">
        <f>VLOOKUP(A201,NYSEARCAGSG!A$2:G$506,2,0)</f>
        <v>13.76</v>
      </c>
      <c r="M201">
        <f>VLOOKUP(A201,NYSEARCAGLD!A$2:G$506,2,0)</f>
        <v>121.18</v>
      </c>
      <c r="N201">
        <f>VLOOKUP(A201,NYSEBP!A$2:G$506,2,0)</f>
        <v>30.55</v>
      </c>
      <c r="O201">
        <f>VLOOKUP(A201,NASDAQYHOO!A$2:G$506,2,0)</f>
        <v>33.68</v>
      </c>
    </row>
    <row r="202" spans="1:15">
      <c r="A202" s="39">
        <v>42437</v>
      </c>
      <c r="B202">
        <v>67.73</v>
      </c>
      <c r="C202">
        <f>VLOOKUP(A202,NYSEARCAVTI!A$2:G$506,2,0)</f>
        <v>101.73</v>
      </c>
      <c r="D202">
        <f>VLOOKUP(A202,NYSEARCAVEU!A$2:G$506,2,0)</f>
        <v>42.01</v>
      </c>
      <c r="E202">
        <f>VLOOKUP(A202,NYSEARCAVWO!A$2:G$506,2,0)</f>
        <v>33.01</v>
      </c>
      <c r="F202">
        <f>VLOOKUP(A202,NYSEARCABND!A$2:G$506,2,0)</f>
        <v>82.07</v>
      </c>
      <c r="G202">
        <f>VLOOKUP(A202,NYSEARCATIP!A$2:G$506,2,0)</f>
        <v>112.47</v>
      </c>
      <c r="H202">
        <f>VLOOKUP(A202,NYSEARCAMUB!A$2:G$506,2,0)</f>
        <v>110.84</v>
      </c>
      <c r="I202">
        <f>VLOOKUP(A202,NYSEARCAVNQ!A$2:G$506,2,0)</f>
        <v>79.97</v>
      </c>
      <c r="J202">
        <f>VLOOKUP(A202,NYSEARCARWX!A$2:G$506,2,0)</f>
        <v>39.46</v>
      </c>
      <c r="K202">
        <f>VLOOKUP(A202,NYSEARCADBC!A$2:G$506,2,0)</f>
        <v>13.39</v>
      </c>
      <c r="L202">
        <f>VLOOKUP(A202,NYSEARCAGSG!A$2:G$506,2,0)</f>
        <v>14.05</v>
      </c>
      <c r="M202">
        <f>VLOOKUP(A202,NYSEARCAGLD!A$2:G$506,2,0)</f>
        <v>121.79</v>
      </c>
      <c r="N202">
        <f>VLOOKUP(A202,NYSEBP!A$2:G$506,2,0)</f>
        <v>30.84</v>
      </c>
      <c r="O202">
        <f>VLOOKUP(A202,NASDAQYHOO!A$2:G$506,2,0)</f>
        <v>33.659999999999997</v>
      </c>
    </row>
    <row r="203" spans="1:15">
      <c r="A203" s="39">
        <v>42438</v>
      </c>
      <c r="B203">
        <v>67.790000000000006</v>
      </c>
      <c r="C203">
        <f>VLOOKUP(A203,NYSEARCAVTI!A$2:G$506,2,0)</f>
        <v>101.5</v>
      </c>
      <c r="D203">
        <f>VLOOKUP(A203,NYSEARCAVEU!A$2:G$506,2,0)</f>
        <v>41.95</v>
      </c>
      <c r="E203">
        <f>VLOOKUP(A203,NYSEARCAVWO!A$2:G$506,2,0)</f>
        <v>32.97</v>
      </c>
      <c r="F203">
        <f>VLOOKUP(A203,NYSEARCABND!A$2:G$506,2,0)</f>
        <v>81.89</v>
      </c>
      <c r="G203">
        <f>VLOOKUP(A203,NYSEARCATIP!A$2:G$506,2,0)</f>
        <v>112.26</v>
      </c>
      <c r="H203">
        <f>VLOOKUP(A203,NYSEARCAMUB!A$2:G$506,2,0)</f>
        <v>110.8</v>
      </c>
      <c r="I203">
        <f>VLOOKUP(A203,NYSEARCAVNQ!A$2:G$506,2,0)</f>
        <v>79.510000000000005</v>
      </c>
      <c r="J203">
        <f>VLOOKUP(A203,NYSEARCARWX!A$2:G$506,2,0)</f>
        <v>39.6</v>
      </c>
      <c r="K203">
        <f>VLOOKUP(A203,NYSEARCADBC!A$2:G$506,2,0)</f>
        <v>13.3</v>
      </c>
      <c r="L203">
        <f>VLOOKUP(A203,NYSEARCAGSG!A$2:G$506,2,0)</f>
        <v>13.94</v>
      </c>
      <c r="M203">
        <f>VLOOKUP(A203,NYSEARCAGLD!A$2:G$506,2,0)</f>
        <v>119.2</v>
      </c>
      <c r="N203">
        <f>VLOOKUP(A203,NYSEBP!A$2:G$506,2,0)</f>
        <v>30.18</v>
      </c>
      <c r="O203">
        <f>VLOOKUP(A203,NASDAQYHOO!A$2:G$506,2,0)</f>
        <v>33.090000000000003</v>
      </c>
    </row>
    <row r="204" spans="1:15">
      <c r="A204" s="39">
        <v>42439</v>
      </c>
      <c r="B204">
        <v>67.55</v>
      </c>
      <c r="C204">
        <f>VLOOKUP(A204,NYSEARCAVTI!A$2:G$506,2,0)</f>
        <v>101.8</v>
      </c>
      <c r="D204">
        <f>VLOOKUP(A204,NYSEARCAVEU!A$2:G$506,2,0)</f>
        <v>42.28</v>
      </c>
      <c r="E204">
        <f>VLOOKUP(A204,NYSEARCAVWO!A$2:G$506,2,0)</f>
        <v>33.1</v>
      </c>
      <c r="F204">
        <f>VLOOKUP(A204,NYSEARCABND!A$2:G$506,2,0)</f>
        <v>81.96</v>
      </c>
      <c r="G204">
        <f>VLOOKUP(A204,NYSEARCATIP!A$2:G$506,2,0)</f>
        <v>112.55</v>
      </c>
      <c r="H204">
        <f>VLOOKUP(A204,NYSEARCAMUB!A$2:G$506,2,0)</f>
        <v>110.88</v>
      </c>
      <c r="I204">
        <f>VLOOKUP(A204,NYSEARCAVNQ!A$2:G$506,2,0)</f>
        <v>80.25</v>
      </c>
      <c r="J204">
        <f>VLOOKUP(A204,NYSEARCARWX!A$2:G$506,2,0)</f>
        <v>39.729999999999997</v>
      </c>
      <c r="K204">
        <f>VLOOKUP(A204,NYSEARCADBC!A$2:G$506,2,0)</f>
        <v>13.33</v>
      </c>
      <c r="L204">
        <f>VLOOKUP(A204,NYSEARCAGSG!A$2:G$506,2,0)</f>
        <v>14</v>
      </c>
      <c r="M204">
        <f>VLOOKUP(A204,NYSEARCAGLD!A$2:G$506,2,0)</f>
        <v>120.5</v>
      </c>
      <c r="N204">
        <f>VLOOKUP(A204,NYSEBP!A$2:G$506,2,0)</f>
        <v>29.97</v>
      </c>
      <c r="O204">
        <f>VLOOKUP(A204,NASDAQYHOO!A$2:G$506,2,0)</f>
        <v>33.590000000000003</v>
      </c>
    </row>
    <row r="205" spans="1:15">
      <c r="A205" s="39">
        <v>42440</v>
      </c>
      <c r="B205">
        <v>67.77</v>
      </c>
      <c r="C205">
        <f>VLOOKUP(A205,NYSEARCAVTI!A$2:G$506,2,0)</f>
        <v>102.37</v>
      </c>
      <c r="D205">
        <f>VLOOKUP(A205,NYSEARCAVEU!A$2:G$506,2,0)</f>
        <v>42.65</v>
      </c>
      <c r="E205">
        <f>VLOOKUP(A205,NYSEARCAVWO!A$2:G$506,2,0)</f>
        <v>33.369999999999997</v>
      </c>
      <c r="F205">
        <f>VLOOKUP(A205,NYSEARCABND!A$2:G$506,2,0)</f>
        <v>81.900000000000006</v>
      </c>
      <c r="G205">
        <f>VLOOKUP(A205,NYSEARCATIP!A$2:G$506,2,0)</f>
        <v>112.19</v>
      </c>
      <c r="H205">
        <f>VLOOKUP(A205,NYSEARCAMUB!A$2:G$506,2,0)</f>
        <v>110.93</v>
      </c>
      <c r="I205">
        <f>VLOOKUP(A205,NYSEARCAVNQ!A$2:G$506,2,0)</f>
        <v>80.209999999999994</v>
      </c>
      <c r="J205">
        <f>VLOOKUP(A205,NYSEARCARWX!A$2:G$506,2,0)</f>
        <v>40.26</v>
      </c>
      <c r="K205">
        <f>VLOOKUP(A205,NYSEARCADBC!A$2:G$506,2,0)</f>
        <v>13.5</v>
      </c>
      <c r="L205">
        <f>VLOOKUP(A205,NYSEARCAGSG!A$2:G$506,2,0)</f>
        <v>14.17</v>
      </c>
      <c r="M205">
        <f>VLOOKUP(A205,NYSEARCAGLD!A$2:G$506,2,0)</f>
        <v>121.19</v>
      </c>
      <c r="N205">
        <f>VLOOKUP(A205,NYSEBP!A$2:G$506,2,0)</f>
        <v>30.06</v>
      </c>
      <c r="O205">
        <f>VLOOKUP(A205,NASDAQYHOO!A$2:G$506,2,0)</f>
        <v>33.29</v>
      </c>
    </row>
    <row r="206" spans="1:15">
      <c r="A206" s="39">
        <v>42443</v>
      </c>
      <c r="B206">
        <v>67.150000000000006</v>
      </c>
      <c r="C206">
        <f>VLOOKUP(A206,NYSEARCAVTI!A$2:G$506,2,0)</f>
        <v>102.88</v>
      </c>
      <c r="D206">
        <f>VLOOKUP(A206,NYSEARCAVEU!A$2:G$506,2,0)</f>
        <v>42.91</v>
      </c>
      <c r="E206">
        <f>VLOOKUP(A206,NYSEARCAVWO!A$2:G$506,2,0)</f>
        <v>33.5</v>
      </c>
      <c r="F206">
        <f>VLOOKUP(A206,NYSEARCABND!A$2:G$506,2,0)</f>
        <v>81.83</v>
      </c>
      <c r="G206">
        <f>VLOOKUP(A206,NYSEARCATIP!A$2:G$506,2,0)</f>
        <v>112.03</v>
      </c>
      <c r="H206">
        <f>VLOOKUP(A206,NYSEARCAMUB!A$2:G$506,2,0)</f>
        <v>110.87</v>
      </c>
      <c r="I206">
        <f>VLOOKUP(A206,NYSEARCAVNQ!A$2:G$506,2,0)</f>
        <v>81.069999999999993</v>
      </c>
      <c r="J206">
        <f>VLOOKUP(A206,NYSEARCARWX!A$2:G$506,2,0)</f>
        <v>40.39</v>
      </c>
      <c r="K206">
        <f>VLOOKUP(A206,NYSEARCADBC!A$2:G$506,2,0)</f>
        <v>13.34</v>
      </c>
      <c r="L206">
        <f>VLOOKUP(A206,NYSEARCAGSG!A$2:G$506,2,0)</f>
        <v>13.97</v>
      </c>
      <c r="M206">
        <f>VLOOKUP(A206,NYSEARCAGLD!A$2:G$506,2,0)</f>
        <v>120.27</v>
      </c>
      <c r="N206">
        <f>VLOOKUP(A206,NYSEBP!A$2:G$506,2,0)</f>
        <v>29.74</v>
      </c>
      <c r="O206">
        <f>VLOOKUP(A206,NASDAQYHOO!A$2:G$506,2,0)</f>
        <v>33.75</v>
      </c>
    </row>
    <row r="207" spans="1:15">
      <c r="A207" s="39">
        <v>42444</v>
      </c>
      <c r="B207">
        <v>67</v>
      </c>
      <c r="C207">
        <f>VLOOKUP(A207,NYSEARCAVTI!A$2:G$506,2,0)</f>
        <v>102</v>
      </c>
      <c r="D207">
        <f>VLOOKUP(A207,NYSEARCAVEU!A$2:G$506,2,0)</f>
        <v>42.19</v>
      </c>
      <c r="E207">
        <f>VLOOKUP(A207,NYSEARCAVWO!A$2:G$506,2,0)</f>
        <v>32.83</v>
      </c>
      <c r="F207">
        <f>VLOOKUP(A207,NYSEARCABND!A$2:G$506,2,0)</f>
        <v>81.98</v>
      </c>
      <c r="G207">
        <f>VLOOKUP(A207,NYSEARCATIP!A$2:G$506,2,0)</f>
        <v>111.96</v>
      </c>
      <c r="H207">
        <f>VLOOKUP(A207,NYSEARCAMUB!A$2:G$506,2,0)</f>
        <v>110.83</v>
      </c>
      <c r="I207">
        <f>VLOOKUP(A207,NYSEARCAVNQ!A$2:G$506,2,0)</f>
        <v>80.86</v>
      </c>
      <c r="J207">
        <f>VLOOKUP(A207,NYSEARCARWX!A$2:G$506,2,0)</f>
        <v>40.14</v>
      </c>
      <c r="K207">
        <f>VLOOKUP(A207,NYSEARCADBC!A$2:G$506,2,0)</f>
        <v>13.25</v>
      </c>
      <c r="L207">
        <f>VLOOKUP(A207,NYSEARCAGSG!A$2:G$506,2,0)</f>
        <v>13.89</v>
      </c>
      <c r="M207">
        <f>VLOOKUP(A207,NYSEARCAGLD!A$2:G$506,2,0)</f>
        <v>117.78</v>
      </c>
      <c r="N207">
        <f>VLOOKUP(A207,NYSEBP!A$2:G$506,2,0)</f>
        <v>29.38</v>
      </c>
      <c r="O207">
        <f>VLOOKUP(A207,NASDAQYHOO!A$2:G$506,2,0)</f>
        <v>33.32</v>
      </c>
    </row>
    <row r="208" spans="1:15">
      <c r="A208" s="39">
        <v>42445</v>
      </c>
      <c r="B208">
        <v>67.94</v>
      </c>
      <c r="C208">
        <f>VLOOKUP(A208,NYSEARCAVTI!A$2:G$506,2,0)</f>
        <v>101.99</v>
      </c>
      <c r="D208">
        <f>VLOOKUP(A208,NYSEARCAVEU!A$2:G$506,2,0)</f>
        <v>41.98</v>
      </c>
      <c r="E208">
        <f>VLOOKUP(A208,NYSEARCAVWO!A$2:G$506,2,0)</f>
        <v>32.57</v>
      </c>
      <c r="F208">
        <f>VLOOKUP(A208,NYSEARCABND!A$2:G$506,2,0)</f>
        <v>81.760000000000005</v>
      </c>
      <c r="G208">
        <f>VLOOKUP(A208,NYSEARCATIP!A$2:G$506,2,0)</f>
        <v>111.96</v>
      </c>
      <c r="H208">
        <f>VLOOKUP(A208,NYSEARCAMUB!A$2:G$506,2,0)</f>
        <v>110.85</v>
      </c>
      <c r="I208">
        <f>VLOOKUP(A208,NYSEARCAVNQ!A$2:G$506,2,0)</f>
        <v>81.010000000000005</v>
      </c>
      <c r="J208">
        <f>VLOOKUP(A208,NYSEARCARWX!A$2:G$506,2,0)</f>
        <v>40.119999999999997</v>
      </c>
      <c r="K208">
        <f>VLOOKUP(A208,NYSEARCADBC!A$2:G$506,2,0)</f>
        <v>13.24</v>
      </c>
      <c r="L208">
        <f>VLOOKUP(A208,NYSEARCAGSG!A$2:G$506,2,0)</f>
        <v>13.98</v>
      </c>
      <c r="M208">
        <f>VLOOKUP(A208,NYSEARCAGLD!A$2:G$506,2,0)</f>
        <v>117.42</v>
      </c>
      <c r="N208">
        <f>VLOOKUP(A208,NYSEBP!A$2:G$506,2,0)</f>
        <v>29.83</v>
      </c>
      <c r="O208">
        <f>VLOOKUP(A208,NASDAQYHOO!A$2:G$506,2,0)</f>
        <v>33.03</v>
      </c>
    </row>
    <row r="209" spans="1:15">
      <c r="A209" s="39">
        <v>42446</v>
      </c>
      <c r="B209">
        <v>67.819999999999993</v>
      </c>
      <c r="C209">
        <f>VLOOKUP(A209,NYSEARCAVTI!A$2:G$506,2,0)</f>
        <v>102.87</v>
      </c>
      <c r="D209">
        <f>VLOOKUP(A209,NYSEARCAVEU!A$2:G$506,2,0)</f>
        <v>42.86</v>
      </c>
      <c r="E209">
        <f>VLOOKUP(A209,NYSEARCAVWO!A$2:G$506,2,0)</f>
        <v>33.909999999999997</v>
      </c>
      <c r="F209">
        <f>VLOOKUP(A209,NYSEARCABND!A$2:G$506,2,0)</f>
        <v>82.21</v>
      </c>
      <c r="G209">
        <f>VLOOKUP(A209,NYSEARCATIP!A$2:G$506,2,0)</f>
        <v>113.12</v>
      </c>
      <c r="H209">
        <f>VLOOKUP(A209,NYSEARCAMUB!A$2:G$506,2,0)</f>
        <v>110.94</v>
      </c>
      <c r="I209">
        <f>VLOOKUP(A209,NYSEARCAVNQ!A$2:G$506,2,0)</f>
        <v>82.35</v>
      </c>
      <c r="J209">
        <f>VLOOKUP(A209,NYSEARCARWX!A$2:G$506,2,0)</f>
        <v>41.19</v>
      </c>
      <c r="K209">
        <f>VLOOKUP(A209,NYSEARCADBC!A$2:G$506,2,0)</f>
        <v>13.52</v>
      </c>
      <c r="L209">
        <f>VLOOKUP(A209,NYSEARCAGSG!A$2:G$506,2,0)</f>
        <v>14.35</v>
      </c>
      <c r="M209">
        <f>VLOOKUP(A209,NYSEARCAGLD!A$2:G$506,2,0)</f>
        <v>121.16</v>
      </c>
      <c r="N209">
        <f>VLOOKUP(A209,NYSEBP!A$2:G$506,2,0)</f>
        <v>30.92</v>
      </c>
      <c r="O209">
        <f>VLOOKUP(A209,NASDAQYHOO!A$2:G$506,2,0)</f>
        <v>33.880000000000003</v>
      </c>
    </row>
    <row r="210" spans="1:15">
      <c r="A210" s="39">
        <v>42447</v>
      </c>
      <c r="B210">
        <v>67.48</v>
      </c>
      <c r="C210">
        <f>VLOOKUP(A210,NYSEARCAVTI!A$2:G$506,2,0)</f>
        <v>103.95</v>
      </c>
      <c r="D210">
        <f>VLOOKUP(A210,NYSEARCAVEU!A$2:G$506,2,0)</f>
        <v>43.28</v>
      </c>
      <c r="E210">
        <f>VLOOKUP(A210,NYSEARCAVWO!A$2:G$506,2,0)</f>
        <v>34.43</v>
      </c>
      <c r="F210">
        <f>VLOOKUP(A210,NYSEARCABND!A$2:G$506,2,0)</f>
        <v>82.39</v>
      </c>
      <c r="G210">
        <f>VLOOKUP(A210,NYSEARCATIP!A$2:G$506,2,0)</f>
        <v>113.65</v>
      </c>
      <c r="H210">
        <f>VLOOKUP(A210,NYSEARCAMUB!A$2:G$506,2,0)</f>
        <v>111.14</v>
      </c>
      <c r="I210">
        <f>VLOOKUP(A210,NYSEARCAVNQ!A$2:G$506,2,0)</f>
        <v>83.54</v>
      </c>
      <c r="J210">
        <f>VLOOKUP(A210,NYSEARCARWX!A$2:G$506,2,0)</f>
        <v>41.41</v>
      </c>
      <c r="K210">
        <f>VLOOKUP(A210,NYSEARCADBC!A$2:G$506,2,0)</f>
        <v>13.63</v>
      </c>
      <c r="L210">
        <f>VLOOKUP(A210,NYSEARCAGSG!A$2:G$506,2,0)</f>
        <v>14.47</v>
      </c>
      <c r="M210">
        <f>VLOOKUP(A210,NYSEARCAGLD!A$2:G$506,2,0)</f>
        <v>119.59</v>
      </c>
      <c r="N210">
        <f>VLOOKUP(A210,NYSEBP!A$2:G$506,2,0)</f>
        <v>31.65</v>
      </c>
      <c r="O210">
        <f>VLOOKUP(A210,NASDAQYHOO!A$2:G$506,2,0)</f>
        <v>34.54</v>
      </c>
    </row>
    <row r="211" spans="1:15">
      <c r="A211" s="39">
        <v>42450</v>
      </c>
      <c r="B211">
        <v>67.03</v>
      </c>
      <c r="C211">
        <f>VLOOKUP(A211,NYSEARCAVTI!A$2:G$506,2,0)</f>
        <v>103.98</v>
      </c>
      <c r="D211">
        <f>VLOOKUP(A211,NYSEARCAVEU!A$2:G$506,2,0)</f>
        <v>43.16</v>
      </c>
      <c r="E211">
        <f>VLOOKUP(A211,NYSEARCAVWO!A$2:G$506,2,0)</f>
        <v>34.44</v>
      </c>
      <c r="F211">
        <f>VLOOKUP(A211,NYSEARCABND!A$2:G$506,2,0)</f>
        <v>82.3</v>
      </c>
      <c r="G211">
        <f>VLOOKUP(A211,NYSEARCATIP!A$2:G$506,2,0)</f>
        <v>113.4</v>
      </c>
      <c r="H211">
        <f>VLOOKUP(A211,NYSEARCAMUB!A$2:G$506,2,0)</f>
        <v>111.1</v>
      </c>
      <c r="I211">
        <f>VLOOKUP(A211,NYSEARCAVNQ!A$2:G$506,2,0)</f>
        <v>81.96</v>
      </c>
      <c r="J211">
        <f>VLOOKUP(A211,NYSEARCARWX!A$2:G$506,2,0)</f>
        <v>41.27</v>
      </c>
      <c r="K211">
        <f>VLOOKUP(A211,NYSEARCADBC!A$2:G$506,2,0)</f>
        <v>13.57</v>
      </c>
      <c r="L211">
        <f>VLOOKUP(A211,NYSEARCAGSG!A$2:G$506,2,0)</f>
        <v>14.32</v>
      </c>
      <c r="M211">
        <f>VLOOKUP(A211,NYSEARCAGLD!A$2:G$506,2,0)</f>
        <v>119</v>
      </c>
      <c r="N211">
        <f>VLOOKUP(A211,NYSEBP!A$2:G$506,2,0)</f>
        <v>31.04</v>
      </c>
      <c r="O211">
        <f>VLOOKUP(A211,NASDAQYHOO!A$2:G$506,2,0)</f>
        <v>35</v>
      </c>
    </row>
    <row r="212" spans="1:15">
      <c r="A212" s="39">
        <v>42451</v>
      </c>
      <c r="B212">
        <v>68</v>
      </c>
      <c r="C212">
        <f>VLOOKUP(A212,NYSEARCAVTI!A$2:G$506,2,0)</f>
        <v>103.75</v>
      </c>
      <c r="D212">
        <f>VLOOKUP(A212,NYSEARCAVEU!A$2:G$506,2,0)</f>
        <v>42.93</v>
      </c>
      <c r="E212">
        <f>VLOOKUP(A212,NYSEARCAVWO!A$2:G$506,2,0)</f>
        <v>34.25</v>
      </c>
      <c r="F212">
        <f>VLOOKUP(A212,NYSEARCABND!A$2:G$506,2,0)</f>
        <v>82.39</v>
      </c>
      <c r="G212">
        <f>VLOOKUP(A212,NYSEARCATIP!A$2:G$506,2,0)</f>
        <v>113.71</v>
      </c>
      <c r="H212">
        <f>VLOOKUP(A212,NYSEARCAMUB!A$2:G$506,2,0)</f>
        <v>111.23</v>
      </c>
      <c r="I212">
        <f>VLOOKUP(A212,NYSEARCAVNQ!A$2:G$506,2,0)</f>
        <v>81.2</v>
      </c>
      <c r="J212">
        <f>VLOOKUP(A212,NYSEARCARWX!A$2:G$506,2,0)</f>
        <v>41.06</v>
      </c>
      <c r="K212">
        <f>VLOOKUP(A212,NYSEARCADBC!A$2:G$506,2,0)</f>
        <v>13.61</v>
      </c>
      <c r="L212">
        <f>VLOOKUP(A212,NYSEARCAGSG!A$2:G$506,2,0)</f>
        <v>14.28</v>
      </c>
      <c r="M212">
        <f>VLOOKUP(A212,NYSEARCAGLD!A$2:G$506,2,0)</f>
        <v>119.73</v>
      </c>
      <c r="N212">
        <f>VLOOKUP(A212,NYSEBP!A$2:G$506,2,0)</f>
        <v>30.76</v>
      </c>
      <c r="O212">
        <f>VLOOKUP(A212,NASDAQYHOO!A$2:G$506,2,0)</f>
        <v>34.68</v>
      </c>
    </row>
    <row r="213" spans="1:15">
      <c r="A213" s="39">
        <v>42452</v>
      </c>
      <c r="B213">
        <v>68.010000000000005</v>
      </c>
      <c r="C213">
        <f>VLOOKUP(A213,NYSEARCAVTI!A$2:G$506,2,0)</f>
        <v>104.04</v>
      </c>
      <c r="D213">
        <f>VLOOKUP(A213,NYSEARCAVEU!A$2:G$506,2,0)</f>
        <v>43.02</v>
      </c>
      <c r="E213">
        <f>VLOOKUP(A213,NYSEARCAVWO!A$2:G$506,2,0)</f>
        <v>34.17</v>
      </c>
      <c r="F213">
        <f>VLOOKUP(A213,NYSEARCABND!A$2:G$506,2,0)</f>
        <v>82.27</v>
      </c>
      <c r="G213">
        <f>VLOOKUP(A213,NYSEARCATIP!A$2:G$506,2,0)</f>
        <v>113.25</v>
      </c>
      <c r="H213">
        <f>VLOOKUP(A213,NYSEARCAMUB!A$2:G$506,2,0)</f>
        <v>111.06</v>
      </c>
      <c r="I213">
        <f>VLOOKUP(A213,NYSEARCAVNQ!A$2:G$506,2,0)</f>
        <v>81.36</v>
      </c>
      <c r="J213">
        <f>VLOOKUP(A213,NYSEARCARWX!A$2:G$506,2,0)</f>
        <v>40.94</v>
      </c>
      <c r="K213">
        <f>VLOOKUP(A213,NYSEARCADBC!A$2:G$506,2,0)</f>
        <v>13.53</v>
      </c>
      <c r="L213">
        <f>VLOOKUP(A213,NYSEARCAGSG!A$2:G$506,2,0)</f>
        <v>14.19</v>
      </c>
      <c r="M213">
        <f>VLOOKUP(A213,NYSEARCAGLD!A$2:G$506,2,0)</f>
        <v>116.74</v>
      </c>
      <c r="N213">
        <f>VLOOKUP(A213,NYSEBP!A$2:G$506,2,0)</f>
        <v>30.77</v>
      </c>
      <c r="O213">
        <f>VLOOKUP(A213,NASDAQYHOO!A$2:G$506,2,0)</f>
        <v>35.43</v>
      </c>
    </row>
    <row r="214" spans="1:15">
      <c r="A214" s="39">
        <v>42453</v>
      </c>
      <c r="B214">
        <v>67.430000000000007</v>
      </c>
      <c r="C214">
        <f>VLOOKUP(A214,NYSEARCAVTI!A$2:G$506,2,0)</f>
        <v>102.76</v>
      </c>
      <c r="D214">
        <f>VLOOKUP(A214,NYSEARCAVEU!A$2:G$506,2,0)</f>
        <v>42.17</v>
      </c>
      <c r="E214">
        <f>VLOOKUP(A214,NYSEARCAVWO!A$2:G$506,2,0)</f>
        <v>33.49</v>
      </c>
      <c r="F214">
        <f>VLOOKUP(A214,NYSEARCABND!A$2:G$506,2,0)</f>
        <v>82.52</v>
      </c>
      <c r="G214">
        <f>VLOOKUP(A214,NYSEARCATIP!A$2:G$506,2,0)</f>
        <v>113.27</v>
      </c>
      <c r="H214">
        <f>VLOOKUP(A214,NYSEARCAMUB!A$2:G$506,2,0)</f>
        <v>111.25</v>
      </c>
      <c r="I214">
        <f>VLOOKUP(A214,NYSEARCAVNQ!A$2:G$506,2,0)</f>
        <v>80.78</v>
      </c>
      <c r="J214">
        <f>VLOOKUP(A214,NYSEARCARWX!A$2:G$506,2,0)</f>
        <v>40.47</v>
      </c>
      <c r="K214">
        <f>VLOOKUP(A214,NYSEARCADBC!A$2:G$506,2,0)</f>
        <v>13.24</v>
      </c>
      <c r="L214">
        <f>VLOOKUP(A214,NYSEARCAGSG!A$2:G$506,2,0)</f>
        <v>13.8</v>
      </c>
      <c r="M214">
        <f>VLOOKUP(A214,NYSEARCAGLD!A$2:G$506,2,0)</f>
        <v>116.77</v>
      </c>
      <c r="N214">
        <f>VLOOKUP(A214,NYSEBP!A$2:G$506,2,0)</f>
        <v>29.78</v>
      </c>
      <c r="O214">
        <f>VLOOKUP(A214,NASDAQYHOO!A$2:G$506,2,0)</f>
        <v>34.450000000000003</v>
      </c>
    </row>
    <row r="215" spans="1:15">
      <c r="A215" s="39">
        <v>42457</v>
      </c>
      <c r="B215">
        <v>67.930000000000007</v>
      </c>
      <c r="C215">
        <f>VLOOKUP(A215,NYSEARCAVTI!A$2:G$506,2,0)</f>
        <v>103.58</v>
      </c>
      <c r="D215">
        <f>VLOOKUP(A215,NYSEARCAVEU!A$2:G$506,2,0)</f>
        <v>42.65</v>
      </c>
      <c r="E215">
        <f>VLOOKUP(A215,NYSEARCAVWO!A$2:G$506,2,0)</f>
        <v>33.86</v>
      </c>
      <c r="F215">
        <f>VLOOKUP(A215,NYSEARCABND!A$2:G$506,2,0)</f>
        <v>82.29</v>
      </c>
      <c r="G215">
        <f>VLOOKUP(A215,NYSEARCATIP!A$2:G$506,2,0)</f>
        <v>113.15</v>
      </c>
      <c r="H215">
        <f>VLOOKUP(A215,NYSEARCAMUB!A$2:G$506,2,0)</f>
        <v>111.22</v>
      </c>
      <c r="I215">
        <f>VLOOKUP(A215,NYSEARCAVNQ!A$2:G$506,2,0)</f>
        <v>80.930000000000007</v>
      </c>
      <c r="J215">
        <f>VLOOKUP(A215,NYSEARCARWX!A$2:G$506,2,0)</f>
        <v>40.61</v>
      </c>
      <c r="K215">
        <f>VLOOKUP(A215,NYSEARCADBC!A$2:G$506,2,0)</f>
        <v>13.35</v>
      </c>
      <c r="L215">
        <f>VLOOKUP(A215,NYSEARCAGSG!A$2:G$506,2,0)</f>
        <v>13.96</v>
      </c>
      <c r="M215">
        <f>VLOOKUP(A215,NYSEARCAGLD!A$2:G$506,2,0)</f>
        <v>116.73</v>
      </c>
      <c r="N215">
        <f>VLOOKUP(A215,NYSEBP!A$2:G$506,2,0)</f>
        <v>30.57</v>
      </c>
      <c r="O215">
        <f>VLOOKUP(A215,NASDAQYHOO!A$2:G$506,2,0)</f>
        <v>35.39</v>
      </c>
    </row>
    <row r="216" spans="1:15">
      <c r="A216" s="39">
        <v>42458</v>
      </c>
      <c r="B216">
        <v>68.150000000000006</v>
      </c>
      <c r="C216">
        <f>VLOOKUP(A216,NYSEARCAVTI!A$2:G$506,2,0)</f>
        <v>103.19</v>
      </c>
      <c r="D216">
        <f>VLOOKUP(A216,NYSEARCAVEU!A$2:G$506,2,0)</f>
        <v>42.42</v>
      </c>
      <c r="E216">
        <f>VLOOKUP(A216,NYSEARCAVWO!A$2:G$506,2,0)</f>
        <v>33.68</v>
      </c>
      <c r="F216">
        <f>VLOOKUP(A216,NYSEARCABND!A$2:G$506,2,0)</f>
        <v>82.45</v>
      </c>
      <c r="G216">
        <f>VLOOKUP(A216,NYSEARCATIP!A$2:G$506,2,0)</f>
        <v>113.55</v>
      </c>
      <c r="H216">
        <f>VLOOKUP(A216,NYSEARCAMUB!A$2:G$506,2,0)</f>
        <v>111.28</v>
      </c>
      <c r="I216">
        <f>VLOOKUP(A216,NYSEARCAVNQ!A$2:G$506,2,0)</f>
        <v>81.78</v>
      </c>
      <c r="J216">
        <f>VLOOKUP(A216,NYSEARCARWX!A$2:G$506,2,0)</f>
        <v>40.64</v>
      </c>
      <c r="K216">
        <f>VLOOKUP(A216,NYSEARCADBC!A$2:G$506,2,0)</f>
        <v>13.26</v>
      </c>
      <c r="L216">
        <f>VLOOKUP(A216,NYSEARCAGSG!A$2:G$506,2,0)</f>
        <v>13.78</v>
      </c>
      <c r="M216">
        <f>VLOOKUP(A216,NYSEARCAGLD!A$2:G$506,2,0)</f>
        <v>117.36</v>
      </c>
      <c r="N216">
        <f>VLOOKUP(A216,NYSEBP!A$2:G$506,2,0)</f>
        <v>29.9</v>
      </c>
      <c r="O216">
        <f>VLOOKUP(A216,NASDAQYHOO!A$2:G$506,2,0)</f>
        <v>35.049999999999997</v>
      </c>
    </row>
    <row r="217" spans="1:15">
      <c r="A217" s="39">
        <v>42459</v>
      </c>
      <c r="B217">
        <v>68.33</v>
      </c>
      <c r="C217">
        <f>VLOOKUP(A217,NYSEARCAVTI!A$2:G$506,2,0)</f>
        <v>105.04</v>
      </c>
      <c r="D217">
        <f>VLOOKUP(A217,NYSEARCAVEU!A$2:G$506,2,0)</f>
        <v>43.5</v>
      </c>
      <c r="E217">
        <f>VLOOKUP(A217,NYSEARCAVWO!A$2:G$506,2,0)</f>
        <v>34.75</v>
      </c>
      <c r="F217">
        <f>VLOOKUP(A217,NYSEARCABND!A$2:G$506,2,0)</f>
        <v>82.63</v>
      </c>
      <c r="G217">
        <f>VLOOKUP(A217,NYSEARCATIP!A$2:G$506,2,0)</f>
        <v>114.31</v>
      </c>
      <c r="H217">
        <f>VLOOKUP(A217,NYSEARCAMUB!A$2:G$506,2,0)</f>
        <v>111.4</v>
      </c>
      <c r="I217">
        <f>VLOOKUP(A217,NYSEARCAVNQ!A$2:G$506,2,0)</f>
        <v>83.66</v>
      </c>
      <c r="J217">
        <f>VLOOKUP(A217,NYSEARCARWX!A$2:G$506,2,0)</f>
        <v>41.6</v>
      </c>
      <c r="K217">
        <f>VLOOKUP(A217,NYSEARCADBC!A$2:G$506,2,0)</f>
        <v>13.45</v>
      </c>
      <c r="L217">
        <f>VLOOKUP(A217,NYSEARCAGSG!A$2:G$506,2,0)</f>
        <v>14.01</v>
      </c>
      <c r="M217">
        <f>VLOOKUP(A217,NYSEARCAGLD!A$2:G$506,2,0)</f>
        <v>117.88</v>
      </c>
      <c r="N217">
        <f>VLOOKUP(A217,NYSEBP!A$2:G$506,2,0)</f>
        <v>31.21</v>
      </c>
      <c r="O217">
        <f>VLOOKUP(A217,NASDAQYHOO!A$2:G$506,2,0)</f>
        <v>36.61</v>
      </c>
    </row>
    <row r="218" spans="1:15">
      <c r="A218" s="39">
        <v>42460</v>
      </c>
      <c r="B218">
        <v>68.75</v>
      </c>
      <c r="C218">
        <f>VLOOKUP(A218,NYSEARCAVTI!A$2:G$506,2,0)</f>
        <v>104.97</v>
      </c>
      <c r="D218">
        <f>VLOOKUP(A218,NYSEARCAVEU!A$2:G$506,2,0)</f>
        <v>43.38</v>
      </c>
      <c r="E218">
        <f>VLOOKUP(A218,NYSEARCAVWO!A$2:G$506,2,0)</f>
        <v>34.799999999999997</v>
      </c>
      <c r="F218">
        <f>VLOOKUP(A218,NYSEARCABND!A$2:G$506,2,0)</f>
        <v>82.72</v>
      </c>
      <c r="G218">
        <f>VLOOKUP(A218,NYSEARCATIP!A$2:G$506,2,0)</f>
        <v>114.6</v>
      </c>
      <c r="H218">
        <f>VLOOKUP(A218,NYSEARCAMUB!A$2:G$506,2,0)</f>
        <v>111.64</v>
      </c>
      <c r="I218">
        <f>VLOOKUP(A218,NYSEARCAVNQ!A$2:G$506,2,0)</f>
        <v>83.28</v>
      </c>
      <c r="J218">
        <f>VLOOKUP(A218,NYSEARCARWX!A$2:G$506,2,0)</f>
        <v>41.5</v>
      </c>
      <c r="K218">
        <f>VLOOKUP(A218,NYSEARCADBC!A$2:G$506,2,0)</f>
        <v>13.3</v>
      </c>
      <c r="L218">
        <f>VLOOKUP(A218,NYSEARCAGSG!A$2:G$506,2,0)</f>
        <v>13.77</v>
      </c>
      <c r="M218">
        <f>VLOOKUP(A218,NYSEARCAGLD!A$2:G$506,2,0)</f>
        <v>118.16</v>
      </c>
      <c r="N218">
        <f>VLOOKUP(A218,NYSEBP!A$2:G$506,2,0)</f>
        <v>30.53</v>
      </c>
      <c r="O218">
        <f>VLOOKUP(A218,NASDAQYHOO!A$2:G$506,2,0)</f>
        <v>36.51</v>
      </c>
    </row>
    <row r="219" spans="1:15">
      <c r="A219" s="39">
        <v>42461</v>
      </c>
      <c r="B219">
        <v>68.02</v>
      </c>
      <c r="C219">
        <f>VLOOKUP(A219,NYSEARCAVTI!A$2:G$506,2,0)</f>
        <v>104.3</v>
      </c>
      <c r="D219">
        <f>VLOOKUP(A219,NYSEARCAVEU!A$2:G$506,2,0)</f>
        <v>42.34</v>
      </c>
      <c r="E219">
        <f>VLOOKUP(A219,NYSEARCAVWO!A$2:G$506,2,0)</f>
        <v>34.01</v>
      </c>
      <c r="F219">
        <f>VLOOKUP(A219,NYSEARCABND!A$2:G$506,2,0)</f>
        <v>82.65</v>
      </c>
      <c r="G219">
        <f>VLOOKUP(A219,NYSEARCATIP!A$2:G$506,2,0)</f>
        <v>114.79</v>
      </c>
      <c r="H219">
        <f>VLOOKUP(A219,NYSEARCAMUB!A$2:G$506,2,0)</f>
        <v>111.4</v>
      </c>
      <c r="I219">
        <f>VLOOKUP(A219,NYSEARCAVNQ!A$2:G$506,2,0)</f>
        <v>83.63</v>
      </c>
      <c r="J219">
        <f>VLOOKUP(A219,NYSEARCARWX!A$2:G$506,2,0)</f>
        <v>40.71</v>
      </c>
      <c r="K219">
        <f>VLOOKUP(A219,NYSEARCADBC!A$2:G$506,2,0)</f>
        <v>13.07</v>
      </c>
      <c r="L219">
        <f>VLOOKUP(A219,NYSEARCAGSG!A$2:G$506,2,0)</f>
        <v>13.53</v>
      </c>
      <c r="M219">
        <f>VLOOKUP(A219,NYSEARCAGLD!A$2:G$506,2,0)</f>
        <v>116.08</v>
      </c>
      <c r="N219">
        <f>VLOOKUP(A219,NYSEBP!A$2:G$506,2,0)</f>
        <v>29.29</v>
      </c>
      <c r="O219">
        <f>VLOOKUP(A219,NASDAQYHOO!A$2:G$506,2,0)</f>
        <v>36.54</v>
      </c>
    </row>
    <row r="220" spans="1:15">
      <c r="A220" s="39">
        <v>42464</v>
      </c>
      <c r="B220">
        <v>69</v>
      </c>
      <c r="C220">
        <f>VLOOKUP(A220,NYSEARCAVTI!A$2:G$506,2,0)</f>
        <v>105.49</v>
      </c>
      <c r="D220">
        <f>VLOOKUP(A220,NYSEARCAVEU!A$2:G$506,2,0)</f>
        <v>42.85</v>
      </c>
      <c r="E220">
        <f>VLOOKUP(A220,NYSEARCAVWO!A$2:G$506,2,0)</f>
        <v>34.68</v>
      </c>
      <c r="F220">
        <f>VLOOKUP(A220,NYSEARCABND!A$2:G$506,2,0)</f>
        <v>82.77</v>
      </c>
      <c r="G220">
        <f>VLOOKUP(A220,NYSEARCATIP!A$2:G$506,2,0)</f>
        <v>114.86</v>
      </c>
      <c r="H220">
        <f>VLOOKUP(A220,NYSEARCAMUB!A$2:G$506,2,0)</f>
        <v>111.49</v>
      </c>
      <c r="I220">
        <f>VLOOKUP(A220,NYSEARCAVNQ!A$2:G$506,2,0)</f>
        <v>83.86</v>
      </c>
      <c r="J220">
        <f>VLOOKUP(A220,NYSEARCARWX!A$2:G$506,2,0)</f>
        <v>41.32</v>
      </c>
      <c r="K220">
        <f>VLOOKUP(A220,NYSEARCADBC!A$2:G$506,2,0)</f>
        <v>13</v>
      </c>
      <c r="L220">
        <f>VLOOKUP(A220,NYSEARCAGSG!A$2:G$506,2,0)</f>
        <v>13.46</v>
      </c>
      <c r="M220">
        <f>VLOOKUP(A220,NYSEARCAGLD!A$2:G$506,2,0)</f>
        <v>116.67</v>
      </c>
      <c r="N220">
        <f>VLOOKUP(A220,NYSEBP!A$2:G$506,2,0)</f>
        <v>29.75</v>
      </c>
      <c r="O220">
        <f>VLOOKUP(A220,NASDAQYHOO!A$2:G$506,2,0)</f>
        <v>36.549999999999997</v>
      </c>
    </row>
    <row r="221" spans="1:15">
      <c r="A221" s="39">
        <v>42465</v>
      </c>
      <c r="B221">
        <v>69.03</v>
      </c>
      <c r="C221">
        <f>VLOOKUP(A221,NYSEARCAVTI!A$2:G$506,2,0)</f>
        <v>104.31</v>
      </c>
      <c r="D221">
        <f>VLOOKUP(A221,NYSEARCAVEU!A$2:G$506,2,0)</f>
        <v>41.91</v>
      </c>
      <c r="E221">
        <f>VLOOKUP(A221,NYSEARCAVWO!A$2:G$506,2,0)</f>
        <v>33.82</v>
      </c>
      <c r="F221">
        <f>VLOOKUP(A221,NYSEARCABND!A$2:G$506,2,0)</f>
        <v>82.96</v>
      </c>
      <c r="G221">
        <f>VLOOKUP(A221,NYSEARCATIP!A$2:G$506,2,0)</f>
        <v>115</v>
      </c>
      <c r="H221">
        <f>VLOOKUP(A221,NYSEARCAMUB!A$2:G$506,2,0)</f>
        <v>111.74</v>
      </c>
      <c r="I221">
        <f>VLOOKUP(A221,NYSEARCAVNQ!A$2:G$506,2,0)</f>
        <v>83.2</v>
      </c>
      <c r="J221">
        <f>VLOOKUP(A221,NYSEARCARWX!A$2:G$506,2,0)</f>
        <v>40.69</v>
      </c>
      <c r="K221">
        <f>VLOOKUP(A221,NYSEARCADBC!A$2:G$506,2,0)</f>
        <v>12.86</v>
      </c>
      <c r="L221">
        <f>VLOOKUP(A221,NYSEARCAGSG!A$2:G$506,2,0)</f>
        <v>13.26</v>
      </c>
      <c r="M221">
        <f>VLOOKUP(A221,NYSEARCAGLD!A$2:G$506,2,0)</f>
        <v>117.76</v>
      </c>
      <c r="N221">
        <f>VLOOKUP(A221,NYSEBP!A$2:G$506,2,0)</f>
        <v>28.99</v>
      </c>
      <c r="O221">
        <f>VLOOKUP(A221,NASDAQYHOO!A$2:G$506,2,0)</f>
        <v>36.700000000000003</v>
      </c>
    </row>
    <row r="222" spans="1:15">
      <c r="A222" s="39">
        <v>42466</v>
      </c>
      <c r="B222">
        <v>68.7</v>
      </c>
      <c r="C222">
        <f>VLOOKUP(A222,NYSEARCAVTI!A$2:G$506,2,0)</f>
        <v>104.09</v>
      </c>
      <c r="D222">
        <f>VLOOKUP(A222,NYSEARCAVEU!A$2:G$506,2,0)</f>
        <v>41.91</v>
      </c>
      <c r="E222">
        <f>VLOOKUP(A222,NYSEARCAVWO!A$2:G$506,2,0)</f>
        <v>33.53</v>
      </c>
      <c r="F222">
        <f>VLOOKUP(A222,NYSEARCABND!A$2:G$506,2,0)</f>
        <v>82.9</v>
      </c>
      <c r="G222">
        <f>VLOOKUP(A222,NYSEARCATIP!A$2:G$506,2,0)</f>
        <v>114.8</v>
      </c>
      <c r="H222">
        <f>VLOOKUP(A222,NYSEARCAMUB!A$2:G$506,2,0)</f>
        <v>111.89</v>
      </c>
      <c r="I222">
        <f>VLOOKUP(A222,NYSEARCAVNQ!A$2:G$506,2,0)</f>
        <v>83.05</v>
      </c>
      <c r="J222">
        <f>VLOOKUP(A222,NYSEARCARWX!A$2:G$506,2,0)</f>
        <v>40.79</v>
      </c>
      <c r="K222">
        <f>VLOOKUP(A222,NYSEARCADBC!A$2:G$506,2,0)</f>
        <v>12.86</v>
      </c>
      <c r="L222">
        <f>VLOOKUP(A222,NYSEARCAGSG!A$2:G$506,2,0)</f>
        <v>13.35</v>
      </c>
      <c r="M222">
        <f>VLOOKUP(A222,NYSEARCAGLD!A$2:G$506,2,0)</f>
        <v>116.7</v>
      </c>
      <c r="N222">
        <f>VLOOKUP(A222,NYSEBP!A$2:G$506,2,0)</f>
        <v>28.86</v>
      </c>
      <c r="O222">
        <f>VLOOKUP(A222,NASDAQYHOO!A$2:G$506,2,0)</f>
        <v>36.4</v>
      </c>
    </row>
    <row r="223" spans="1:15">
      <c r="A223" s="39">
        <v>42467</v>
      </c>
      <c r="B223">
        <v>68.83</v>
      </c>
      <c r="C223">
        <f>VLOOKUP(A223,NYSEARCAVTI!A$2:G$506,2,0)</f>
        <v>104.5</v>
      </c>
      <c r="D223">
        <f>VLOOKUP(A223,NYSEARCAVEU!A$2:G$506,2,0)</f>
        <v>42.08</v>
      </c>
      <c r="E223">
        <f>VLOOKUP(A223,NYSEARCAVWO!A$2:G$506,2,0)</f>
        <v>33.54</v>
      </c>
      <c r="F223">
        <f>VLOOKUP(A223,NYSEARCABND!A$2:G$506,2,0)</f>
        <v>83.08</v>
      </c>
      <c r="G223">
        <f>VLOOKUP(A223,NYSEARCATIP!A$2:G$506,2,0)</f>
        <v>114.98</v>
      </c>
      <c r="H223">
        <f>VLOOKUP(A223,NYSEARCAMUB!A$2:G$506,2,0)</f>
        <v>112</v>
      </c>
      <c r="I223">
        <f>VLOOKUP(A223,NYSEARCAVNQ!A$2:G$506,2,0)</f>
        <v>83.02</v>
      </c>
      <c r="J223">
        <f>VLOOKUP(A223,NYSEARCARWX!A$2:G$506,2,0)</f>
        <v>40.89</v>
      </c>
      <c r="K223">
        <f>VLOOKUP(A223,NYSEARCADBC!A$2:G$506,2,0)</f>
        <v>12.96</v>
      </c>
      <c r="L223">
        <f>VLOOKUP(A223,NYSEARCAGSG!A$2:G$506,2,0)</f>
        <v>13.48</v>
      </c>
      <c r="M223">
        <f>VLOOKUP(A223,NYSEARCAGLD!A$2:G$506,2,0)</f>
        <v>118.65</v>
      </c>
      <c r="N223">
        <f>VLOOKUP(A223,NYSEBP!A$2:G$506,2,0)</f>
        <v>28.93</v>
      </c>
      <c r="O223">
        <f>VLOOKUP(A223,NASDAQYHOO!A$2:G$506,2,0)</f>
        <v>35.86</v>
      </c>
    </row>
    <row r="224" spans="1:15">
      <c r="A224" s="39">
        <v>42468</v>
      </c>
      <c r="B224">
        <v>68.31</v>
      </c>
      <c r="C224">
        <f>VLOOKUP(A224,NYSEARCAVTI!A$2:G$506,2,0)</f>
        <v>104.57</v>
      </c>
      <c r="D224">
        <f>VLOOKUP(A224,NYSEARCAVEU!A$2:G$506,2,0)</f>
        <v>42.64</v>
      </c>
      <c r="E224">
        <f>VLOOKUP(A224,NYSEARCAVWO!A$2:G$506,2,0)</f>
        <v>33.97</v>
      </c>
      <c r="F224">
        <f>VLOOKUP(A224,NYSEARCABND!A$2:G$506,2,0)</f>
        <v>83.06</v>
      </c>
      <c r="G224">
        <f>VLOOKUP(A224,NYSEARCATIP!A$2:G$506,2,0)</f>
        <v>114.99</v>
      </c>
      <c r="H224">
        <f>VLOOKUP(A224,NYSEARCAMUB!A$2:G$506,2,0)</f>
        <v>112.14</v>
      </c>
      <c r="I224">
        <f>VLOOKUP(A224,NYSEARCAVNQ!A$2:G$506,2,0)</f>
        <v>83.13</v>
      </c>
      <c r="J224">
        <f>VLOOKUP(A224,NYSEARCARWX!A$2:G$506,2,0)</f>
        <v>41.43</v>
      </c>
      <c r="K224">
        <f>VLOOKUP(A224,NYSEARCADBC!A$2:G$506,2,0)</f>
        <v>13.18</v>
      </c>
      <c r="L224">
        <f>VLOOKUP(A224,NYSEARCAGSG!A$2:G$506,2,0)</f>
        <v>13.82</v>
      </c>
      <c r="M224">
        <f>VLOOKUP(A224,NYSEARCAGLD!A$2:G$506,2,0)</f>
        <v>118.07</v>
      </c>
      <c r="N224">
        <f>VLOOKUP(A224,NYSEBP!A$2:G$506,2,0)</f>
        <v>29.82</v>
      </c>
      <c r="O224">
        <f>VLOOKUP(A224,NASDAQYHOO!A$2:G$506,2,0)</f>
        <v>36.85</v>
      </c>
    </row>
    <row r="225" spans="1:15">
      <c r="A225" s="39">
        <v>42471</v>
      </c>
      <c r="B225">
        <v>68.010000000000005</v>
      </c>
      <c r="C225">
        <f>VLOOKUP(A225,NYSEARCAVTI!A$2:G$506,2,0)</f>
        <v>104.65</v>
      </c>
      <c r="D225">
        <f>VLOOKUP(A225,NYSEARCAVEU!A$2:G$506,2,0)</f>
        <v>42.91</v>
      </c>
      <c r="E225">
        <f>VLOOKUP(A225,NYSEARCAVWO!A$2:G$506,2,0)</f>
        <v>34.369999999999997</v>
      </c>
      <c r="F225">
        <f>VLOOKUP(A225,NYSEARCABND!A$2:G$506,2,0)</f>
        <v>82.99</v>
      </c>
      <c r="G225">
        <f>VLOOKUP(A225,NYSEARCATIP!A$2:G$506,2,0)</f>
        <v>114.65</v>
      </c>
      <c r="H225">
        <f>VLOOKUP(A225,NYSEARCAMUB!A$2:G$506,2,0)</f>
        <v>112.18</v>
      </c>
      <c r="I225">
        <f>VLOOKUP(A225,NYSEARCAVNQ!A$2:G$506,2,0)</f>
        <v>83.32</v>
      </c>
      <c r="J225">
        <f>VLOOKUP(A225,NYSEARCARWX!A$2:G$506,2,0)</f>
        <v>41.62</v>
      </c>
      <c r="K225">
        <f>VLOOKUP(A225,NYSEARCADBC!A$2:G$506,2,0)</f>
        <v>13.29</v>
      </c>
      <c r="L225">
        <f>VLOOKUP(A225,NYSEARCAGSG!A$2:G$506,2,0)</f>
        <v>14.02</v>
      </c>
      <c r="M225">
        <f>VLOOKUP(A225,NYSEARCAGLD!A$2:G$506,2,0)</f>
        <v>119.47</v>
      </c>
      <c r="N225">
        <f>VLOOKUP(A225,NYSEBP!A$2:G$506,2,0)</f>
        <v>30.43</v>
      </c>
      <c r="O225">
        <f>VLOOKUP(A225,NASDAQYHOO!A$2:G$506,2,0)</f>
        <v>36.380000000000003</v>
      </c>
    </row>
    <row r="226" spans="1:15">
      <c r="A226" s="39">
        <v>42472</v>
      </c>
      <c r="B226">
        <v>67.569999999999993</v>
      </c>
      <c r="C226">
        <f>VLOOKUP(A226,NYSEARCAVTI!A$2:G$506,2,0)</f>
        <v>104.1</v>
      </c>
      <c r="D226">
        <f>VLOOKUP(A226,NYSEARCAVEU!A$2:G$506,2,0)</f>
        <v>43.01</v>
      </c>
      <c r="E226">
        <f>VLOOKUP(A226,NYSEARCAVWO!A$2:G$506,2,0)</f>
        <v>34.49</v>
      </c>
      <c r="F226">
        <f>VLOOKUP(A226,NYSEARCABND!A$2:G$506,2,0)</f>
        <v>82.92</v>
      </c>
      <c r="G226">
        <f>VLOOKUP(A226,NYSEARCATIP!A$2:G$506,2,0)</f>
        <v>114.34</v>
      </c>
      <c r="H226">
        <f>VLOOKUP(A226,NYSEARCAMUB!A$2:G$506,2,0)</f>
        <v>112.17</v>
      </c>
      <c r="I226">
        <f>VLOOKUP(A226,NYSEARCAVNQ!A$2:G$506,2,0)</f>
        <v>83.17</v>
      </c>
      <c r="J226">
        <f>VLOOKUP(A226,NYSEARCARWX!A$2:G$506,2,0)</f>
        <v>41.64</v>
      </c>
      <c r="K226">
        <f>VLOOKUP(A226,NYSEARCADBC!A$2:G$506,2,0)</f>
        <v>13.49</v>
      </c>
      <c r="L226">
        <f>VLOOKUP(A226,NYSEARCAGSG!A$2:G$506,2,0)</f>
        <v>14.19</v>
      </c>
      <c r="M226">
        <f>VLOOKUP(A226,NYSEARCAGLD!A$2:G$506,2,0)</f>
        <v>120.23</v>
      </c>
      <c r="N226">
        <f>VLOOKUP(A226,NYSEBP!A$2:G$506,2,0)</f>
        <v>30.43</v>
      </c>
      <c r="O226">
        <f>VLOOKUP(A226,NASDAQYHOO!A$2:G$506,2,0)</f>
        <v>36.65</v>
      </c>
    </row>
    <row r="227" spans="1:15">
      <c r="A227" s="39">
        <v>42473</v>
      </c>
      <c r="B227">
        <v>69.010000000000005</v>
      </c>
      <c r="C227">
        <f>VLOOKUP(A227,NYSEARCAVTI!A$2:G$506,2,0)</f>
        <v>105.5</v>
      </c>
      <c r="D227">
        <f>VLOOKUP(A227,NYSEARCAVEU!A$2:G$506,2,0)</f>
        <v>43.96</v>
      </c>
      <c r="E227">
        <f>VLOOKUP(A227,NYSEARCAVWO!A$2:G$506,2,0)</f>
        <v>35.369999999999997</v>
      </c>
      <c r="F227">
        <f>VLOOKUP(A227,NYSEARCABND!A$2:G$506,2,0)</f>
        <v>82.87</v>
      </c>
      <c r="G227">
        <f>VLOOKUP(A227,NYSEARCATIP!A$2:G$506,2,0)</f>
        <v>113.98</v>
      </c>
      <c r="H227">
        <f>VLOOKUP(A227,NYSEARCAMUB!A$2:G$506,2,0)</f>
        <v>112.14</v>
      </c>
      <c r="I227">
        <f>VLOOKUP(A227,NYSEARCAVNQ!A$2:G$506,2,0)</f>
        <v>83.83</v>
      </c>
      <c r="J227">
        <f>VLOOKUP(A227,NYSEARCARWX!A$2:G$506,2,0)</f>
        <v>42.03</v>
      </c>
      <c r="K227">
        <f>VLOOKUP(A227,NYSEARCADBC!A$2:G$506,2,0)</f>
        <v>13.68</v>
      </c>
      <c r="L227">
        <f>VLOOKUP(A227,NYSEARCAGSG!A$2:G$506,2,0)</f>
        <v>14.4</v>
      </c>
      <c r="M227">
        <f>VLOOKUP(A227,NYSEARCAGLD!A$2:G$506,2,0)</f>
        <v>119.37</v>
      </c>
      <c r="N227">
        <f>VLOOKUP(A227,NYSEBP!A$2:G$506,2,0)</f>
        <v>31.7</v>
      </c>
      <c r="O227">
        <f>VLOOKUP(A227,NASDAQYHOO!A$2:G$506,2,0)</f>
        <v>36.94</v>
      </c>
    </row>
    <row r="228" spans="1:15">
      <c r="A228" s="39">
        <v>42474</v>
      </c>
      <c r="B228">
        <v>69.150000000000006</v>
      </c>
      <c r="C228">
        <f>VLOOKUP(A228,NYSEARCAVTI!A$2:G$506,2,0)</f>
        <v>106.24</v>
      </c>
      <c r="D228">
        <f>VLOOKUP(A228,NYSEARCAVEU!A$2:G$506,2,0)</f>
        <v>44.2</v>
      </c>
      <c r="E228">
        <f>VLOOKUP(A228,NYSEARCAVWO!A$2:G$506,2,0)</f>
        <v>35.42</v>
      </c>
      <c r="F228">
        <f>VLOOKUP(A228,NYSEARCABND!A$2:G$506,2,0)</f>
        <v>82.95</v>
      </c>
      <c r="G228">
        <f>VLOOKUP(A228,NYSEARCATIP!A$2:G$506,2,0)</f>
        <v>113.88</v>
      </c>
      <c r="H228">
        <f>VLOOKUP(A228,NYSEARCAMUB!A$2:G$506,2,0)</f>
        <v>112.11</v>
      </c>
      <c r="I228">
        <f>VLOOKUP(A228,NYSEARCAVNQ!A$2:G$506,2,0)</f>
        <v>83.17</v>
      </c>
      <c r="J228">
        <f>VLOOKUP(A228,NYSEARCARWX!A$2:G$506,2,0)</f>
        <v>42.11</v>
      </c>
      <c r="K228">
        <f>VLOOKUP(A228,NYSEARCADBC!A$2:G$506,2,0)</f>
        <v>13.71</v>
      </c>
      <c r="L228">
        <f>VLOOKUP(A228,NYSEARCAGSG!A$2:G$506,2,0)</f>
        <v>14.42</v>
      </c>
      <c r="M228">
        <f>VLOOKUP(A228,NYSEARCAGLD!A$2:G$506,2,0)</f>
        <v>118.09</v>
      </c>
      <c r="N228">
        <f>VLOOKUP(A228,NYSEBP!A$2:G$506,2,0)</f>
        <v>30.79</v>
      </c>
      <c r="O228">
        <f>VLOOKUP(A228,NASDAQYHOO!A$2:G$506,2,0)</f>
        <v>37.47</v>
      </c>
    </row>
    <row r="229" spans="1:15">
      <c r="A229" s="39">
        <v>42475</v>
      </c>
      <c r="B229">
        <v>68.94</v>
      </c>
      <c r="C229">
        <f>VLOOKUP(A229,NYSEARCAVTI!A$2:G$506,2,0)</f>
        <v>106.12</v>
      </c>
      <c r="D229">
        <f>VLOOKUP(A229,NYSEARCAVEU!A$2:G$506,2,0)</f>
        <v>44</v>
      </c>
      <c r="E229">
        <f>VLOOKUP(A229,NYSEARCAVWO!A$2:G$506,2,0)</f>
        <v>35.22</v>
      </c>
      <c r="F229">
        <f>VLOOKUP(A229,NYSEARCABND!A$2:G$506,2,0)</f>
        <v>82.99</v>
      </c>
      <c r="G229">
        <f>VLOOKUP(A229,NYSEARCATIP!A$2:G$506,2,0)</f>
        <v>113.94</v>
      </c>
      <c r="H229">
        <f>VLOOKUP(A229,NYSEARCAMUB!A$2:G$506,2,0)</f>
        <v>112.2</v>
      </c>
      <c r="I229">
        <f>VLOOKUP(A229,NYSEARCAVNQ!A$2:G$506,2,0)</f>
        <v>82.92</v>
      </c>
      <c r="J229">
        <f>VLOOKUP(A229,NYSEARCARWX!A$2:G$506,2,0)</f>
        <v>41.9</v>
      </c>
      <c r="K229">
        <f>VLOOKUP(A229,NYSEARCADBC!A$2:G$506,2,0)</f>
        <v>13.49</v>
      </c>
      <c r="L229">
        <f>VLOOKUP(A229,NYSEARCAGSG!A$2:G$506,2,0)</f>
        <v>14.2</v>
      </c>
      <c r="M229">
        <f>VLOOKUP(A229,NYSEARCAGLD!A$2:G$506,2,0)</f>
        <v>117.33</v>
      </c>
      <c r="N229">
        <f>VLOOKUP(A229,NYSEBP!A$2:G$506,2,0)</f>
        <v>30.49</v>
      </c>
      <c r="O229">
        <f>VLOOKUP(A229,NASDAQYHOO!A$2:G$506,2,0)</f>
        <v>37.130000000000003</v>
      </c>
    </row>
    <row r="230" spans="1:15">
      <c r="A230" s="39">
        <v>42478</v>
      </c>
      <c r="B230">
        <v>69.05</v>
      </c>
      <c r="C230">
        <f>VLOOKUP(A230,NYSEARCAVTI!A$2:G$506,2,0)</f>
        <v>105.74</v>
      </c>
      <c r="D230">
        <f>VLOOKUP(A230,NYSEARCAVEU!A$2:G$506,2,0)</f>
        <v>43.87</v>
      </c>
      <c r="E230">
        <f>VLOOKUP(A230,NYSEARCAVWO!A$2:G$506,2,0)</f>
        <v>34.950000000000003</v>
      </c>
      <c r="F230">
        <f>VLOOKUP(A230,NYSEARCABND!A$2:G$506,2,0)</f>
        <v>83.02</v>
      </c>
      <c r="G230">
        <f>VLOOKUP(A230,NYSEARCATIP!A$2:G$506,2,0)</f>
        <v>114.11</v>
      </c>
      <c r="H230">
        <f>VLOOKUP(A230,NYSEARCAMUB!A$2:G$506,2,0)</f>
        <v>112.24</v>
      </c>
      <c r="I230">
        <f>VLOOKUP(A230,NYSEARCAVNQ!A$2:G$506,2,0)</f>
        <v>83.25</v>
      </c>
      <c r="J230">
        <f>VLOOKUP(A230,NYSEARCARWX!A$2:G$506,2,0)</f>
        <v>41.88</v>
      </c>
      <c r="K230">
        <f>VLOOKUP(A230,NYSEARCADBC!A$2:G$506,2,0)</f>
        <v>13.41</v>
      </c>
      <c r="L230">
        <f>VLOOKUP(A230,NYSEARCAGSG!A$2:G$506,2,0)</f>
        <v>13.92</v>
      </c>
      <c r="M230">
        <f>VLOOKUP(A230,NYSEARCAGLD!A$2:G$506,2,0)</f>
        <v>118.53</v>
      </c>
      <c r="N230">
        <f>VLOOKUP(A230,NYSEBP!A$2:G$506,2,0)</f>
        <v>30.03</v>
      </c>
      <c r="O230">
        <f>VLOOKUP(A230,NASDAQYHOO!A$2:G$506,2,0)</f>
        <v>36.24</v>
      </c>
    </row>
    <row r="231" spans="1:15">
      <c r="A231" s="39">
        <v>42479</v>
      </c>
      <c r="B231">
        <v>69.790000000000006</v>
      </c>
      <c r="C231">
        <f>VLOOKUP(A231,NYSEARCAVTI!A$2:G$506,2,0)</f>
        <v>107.02</v>
      </c>
      <c r="D231">
        <f>VLOOKUP(A231,NYSEARCAVEU!A$2:G$506,2,0)</f>
        <v>44.89</v>
      </c>
      <c r="E231">
        <f>VLOOKUP(A231,NYSEARCAVWO!A$2:G$506,2,0)</f>
        <v>35.520000000000003</v>
      </c>
      <c r="F231">
        <f>VLOOKUP(A231,NYSEARCABND!A$2:G$506,2,0)</f>
        <v>83.04</v>
      </c>
      <c r="G231">
        <f>VLOOKUP(A231,NYSEARCATIP!A$2:G$506,2,0)</f>
        <v>114.41</v>
      </c>
      <c r="H231">
        <f>VLOOKUP(A231,NYSEARCAMUB!A$2:G$506,2,0)</f>
        <v>112.4</v>
      </c>
      <c r="I231">
        <f>VLOOKUP(A231,NYSEARCAVNQ!A$2:G$506,2,0)</f>
        <v>84.01</v>
      </c>
      <c r="J231">
        <f>VLOOKUP(A231,NYSEARCARWX!A$2:G$506,2,0)</f>
        <v>42.46</v>
      </c>
      <c r="K231">
        <f>VLOOKUP(A231,NYSEARCADBC!A$2:G$506,2,0)</f>
        <v>13.76</v>
      </c>
      <c r="L231">
        <f>VLOOKUP(A231,NYSEARCAGSG!A$2:G$506,2,0)</f>
        <v>14.32</v>
      </c>
      <c r="M231">
        <f>VLOOKUP(A231,NYSEARCAGLD!A$2:G$506,2,0)</f>
        <v>119.87</v>
      </c>
      <c r="N231">
        <f>VLOOKUP(A231,NYSEBP!A$2:G$506,2,0)</f>
        <v>31.19</v>
      </c>
      <c r="O231">
        <f>VLOOKUP(A231,NASDAQYHOO!A$2:G$506,2,0)</f>
        <v>36.46</v>
      </c>
    </row>
    <row r="232" spans="1:15">
      <c r="A232" s="39">
        <v>42480</v>
      </c>
      <c r="B232">
        <v>69.760000000000005</v>
      </c>
      <c r="C232">
        <f>VLOOKUP(A232,NYSEARCAVTI!A$2:G$506,2,0)</f>
        <v>107.21</v>
      </c>
      <c r="D232">
        <f>VLOOKUP(A232,NYSEARCAVEU!A$2:G$506,2,0)</f>
        <v>44.99</v>
      </c>
      <c r="E232">
        <f>VLOOKUP(A232,NYSEARCAVWO!A$2:G$506,2,0)</f>
        <v>35.43</v>
      </c>
      <c r="F232">
        <f>VLOOKUP(A232,NYSEARCABND!A$2:G$506,2,0)</f>
        <v>83.11</v>
      </c>
      <c r="G232">
        <f>VLOOKUP(A232,NYSEARCATIP!A$2:G$506,2,0)</f>
        <v>114.52</v>
      </c>
      <c r="H232">
        <f>VLOOKUP(A232,NYSEARCAMUB!A$2:G$506,2,0)</f>
        <v>112.21</v>
      </c>
      <c r="I232">
        <f>VLOOKUP(A232,NYSEARCAVNQ!A$2:G$506,2,0)</f>
        <v>83.83</v>
      </c>
      <c r="J232">
        <f>VLOOKUP(A232,NYSEARCARWX!A$2:G$506,2,0)</f>
        <v>42.44</v>
      </c>
      <c r="K232">
        <f>VLOOKUP(A232,NYSEARCADBC!A$2:G$506,2,0)</f>
        <v>13.85</v>
      </c>
      <c r="L232">
        <f>VLOOKUP(A232,NYSEARCAGSG!A$2:G$506,2,0)</f>
        <v>14.39</v>
      </c>
      <c r="M232">
        <f>VLOOKUP(A232,NYSEARCAGLD!A$2:G$506,2,0)</f>
        <v>119.67</v>
      </c>
      <c r="N232">
        <f>VLOOKUP(A232,NYSEBP!A$2:G$506,2,0)</f>
        <v>31.25</v>
      </c>
      <c r="O232">
        <f>VLOOKUP(A232,NASDAQYHOO!A$2:G$506,2,0)</f>
        <v>37.1</v>
      </c>
    </row>
    <row r="233" spans="1:15">
      <c r="A233" s="39">
        <v>42481</v>
      </c>
      <c r="B233">
        <v>69.47</v>
      </c>
      <c r="C233">
        <f>VLOOKUP(A233,NYSEARCAVTI!A$2:G$506,2,0)</f>
        <v>107.26</v>
      </c>
      <c r="D233">
        <f>VLOOKUP(A233,NYSEARCAVEU!A$2:G$506,2,0)</f>
        <v>45</v>
      </c>
      <c r="E233">
        <f>VLOOKUP(A233,NYSEARCAVWO!A$2:G$506,2,0)</f>
        <v>35.450000000000003</v>
      </c>
      <c r="F233">
        <f>VLOOKUP(A233,NYSEARCABND!A$2:G$506,2,0)</f>
        <v>82.8</v>
      </c>
      <c r="G233">
        <f>VLOOKUP(A233,NYSEARCATIP!A$2:G$506,2,0)</f>
        <v>113.86</v>
      </c>
      <c r="H233">
        <f>VLOOKUP(A233,NYSEARCAMUB!A$2:G$506,2,0)</f>
        <v>112.18</v>
      </c>
      <c r="I233">
        <f>VLOOKUP(A233,NYSEARCAVNQ!A$2:G$506,2,0)</f>
        <v>82.36</v>
      </c>
      <c r="J233">
        <f>VLOOKUP(A233,NYSEARCARWX!A$2:G$506,2,0)</f>
        <v>42.2</v>
      </c>
      <c r="K233">
        <f>VLOOKUP(A233,NYSEARCADBC!A$2:G$506,2,0)</f>
        <v>14.26</v>
      </c>
      <c r="L233">
        <f>VLOOKUP(A233,NYSEARCAGSG!A$2:G$506,2,0)</f>
        <v>14.9</v>
      </c>
      <c r="M233">
        <f>VLOOKUP(A233,NYSEARCAGLD!A$2:G$506,2,0)</f>
        <v>120.42</v>
      </c>
      <c r="N233">
        <f>VLOOKUP(A233,NYSEBP!A$2:G$506,2,0)</f>
        <v>32.03</v>
      </c>
      <c r="O233">
        <f>VLOOKUP(A233,NASDAQYHOO!A$2:G$506,2,0)</f>
        <v>37.92</v>
      </c>
    </row>
    <row r="234" spans="1:15">
      <c r="A234" s="39">
        <v>42482</v>
      </c>
      <c r="B234">
        <v>68.819999999999993</v>
      </c>
      <c r="C234">
        <f>VLOOKUP(A234,NYSEARCAVTI!A$2:G$506,2,0)</f>
        <v>106.51</v>
      </c>
      <c r="D234">
        <f>VLOOKUP(A234,NYSEARCAVEU!A$2:G$506,2,0)</f>
        <v>44.72</v>
      </c>
      <c r="E234">
        <f>VLOOKUP(A234,NYSEARCAVWO!A$2:G$506,2,0)</f>
        <v>35.11</v>
      </c>
      <c r="F234">
        <f>VLOOKUP(A234,NYSEARCABND!A$2:G$506,2,0)</f>
        <v>82.82</v>
      </c>
      <c r="G234">
        <f>VLOOKUP(A234,NYSEARCATIP!A$2:G$506,2,0)</f>
        <v>114</v>
      </c>
      <c r="H234">
        <f>VLOOKUP(A234,NYSEARCAMUB!A$2:G$506,2,0)</f>
        <v>112.11</v>
      </c>
      <c r="I234">
        <f>VLOOKUP(A234,NYSEARCAVNQ!A$2:G$506,2,0)</f>
        <v>80.930000000000007</v>
      </c>
      <c r="J234">
        <f>VLOOKUP(A234,NYSEARCARWX!A$2:G$506,2,0)</f>
        <v>42.05</v>
      </c>
      <c r="K234">
        <f>VLOOKUP(A234,NYSEARCADBC!A$2:G$506,2,0)</f>
        <v>14.15</v>
      </c>
      <c r="L234">
        <f>VLOOKUP(A234,NYSEARCAGSG!A$2:G$506,2,0)</f>
        <v>14.8</v>
      </c>
      <c r="M234">
        <f>VLOOKUP(A234,NYSEARCAGLD!A$2:G$506,2,0)</f>
        <v>118.71</v>
      </c>
      <c r="N234">
        <f>VLOOKUP(A234,NYSEBP!A$2:G$506,2,0)</f>
        <v>31.63</v>
      </c>
      <c r="O234">
        <f>VLOOKUP(A234,NASDAQYHOO!A$2:G$506,2,0)</f>
        <v>37.5</v>
      </c>
    </row>
    <row r="235" spans="1:15">
      <c r="A235" s="39">
        <v>42485</v>
      </c>
      <c r="B235">
        <v>68.55</v>
      </c>
      <c r="C235">
        <f>VLOOKUP(A235,NYSEARCAVTI!A$2:G$506,2,0)</f>
        <v>106.51</v>
      </c>
      <c r="D235">
        <f>VLOOKUP(A235,NYSEARCAVEU!A$2:G$506,2,0)</f>
        <v>44.5</v>
      </c>
      <c r="E235">
        <f>VLOOKUP(A235,NYSEARCAVWO!A$2:G$506,2,0)</f>
        <v>34.93</v>
      </c>
      <c r="F235">
        <f>VLOOKUP(A235,NYSEARCABND!A$2:G$506,2,0)</f>
        <v>82.72</v>
      </c>
      <c r="G235">
        <f>VLOOKUP(A235,NYSEARCATIP!A$2:G$506,2,0)</f>
        <v>113.93</v>
      </c>
      <c r="H235">
        <f>VLOOKUP(A235,NYSEARCAMUB!A$2:G$506,2,0)</f>
        <v>112.04</v>
      </c>
      <c r="I235">
        <f>VLOOKUP(A235,NYSEARCAVNQ!A$2:G$506,2,0)</f>
        <v>81.55</v>
      </c>
      <c r="J235">
        <f>VLOOKUP(A235,NYSEARCARWX!A$2:G$506,2,0)</f>
        <v>42.33</v>
      </c>
      <c r="K235">
        <f>VLOOKUP(A235,NYSEARCADBC!A$2:G$506,2,0)</f>
        <v>14.08</v>
      </c>
      <c r="L235">
        <f>VLOOKUP(A235,NYSEARCAGSG!A$2:G$506,2,0)</f>
        <v>14.74</v>
      </c>
      <c r="M235">
        <f>VLOOKUP(A235,NYSEARCAGLD!A$2:G$506,2,0)</f>
        <v>118.14</v>
      </c>
      <c r="N235">
        <f>VLOOKUP(A235,NYSEBP!A$2:G$506,2,0)</f>
        <v>31.94</v>
      </c>
      <c r="O235">
        <f>VLOOKUP(A235,NASDAQYHOO!A$2:G$506,2,0)</f>
        <v>37.47</v>
      </c>
    </row>
    <row r="236" spans="1:15">
      <c r="A236" s="39">
        <v>42486</v>
      </c>
      <c r="B236">
        <v>69.7</v>
      </c>
      <c r="C236">
        <f>VLOOKUP(A236,NYSEARCAVTI!A$2:G$506,2,0)</f>
        <v>106.55</v>
      </c>
      <c r="D236">
        <f>VLOOKUP(A236,NYSEARCAVEU!A$2:G$506,2,0)</f>
        <v>44.68</v>
      </c>
      <c r="E236">
        <f>VLOOKUP(A236,NYSEARCAVWO!A$2:G$506,2,0)</f>
        <v>35.03</v>
      </c>
      <c r="F236">
        <f>VLOOKUP(A236,NYSEARCABND!A$2:G$506,2,0)</f>
        <v>82.67</v>
      </c>
      <c r="G236">
        <f>VLOOKUP(A236,NYSEARCATIP!A$2:G$506,2,0)</f>
        <v>113.81</v>
      </c>
      <c r="H236">
        <f>VLOOKUP(A236,NYSEARCAMUB!A$2:G$506,2,0)</f>
        <v>112</v>
      </c>
      <c r="I236">
        <f>VLOOKUP(A236,NYSEARCAVNQ!A$2:G$506,2,0)</f>
        <v>82.79</v>
      </c>
      <c r="J236">
        <f>VLOOKUP(A236,NYSEARCARWX!A$2:G$506,2,0)</f>
        <v>42.69</v>
      </c>
      <c r="K236">
        <f>VLOOKUP(A236,NYSEARCADBC!A$2:G$506,2,0)</f>
        <v>14.11</v>
      </c>
      <c r="L236">
        <f>VLOOKUP(A236,NYSEARCAGSG!A$2:G$506,2,0)</f>
        <v>14.71</v>
      </c>
      <c r="M236">
        <f>VLOOKUP(A236,NYSEARCAGLD!A$2:G$506,2,0)</f>
        <v>118.79</v>
      </c>
      <c r="N236">
        <f>VLOOKUP(A236,NYSEBP!A$2:G$506,2,0)</f>
        <v>33.299999999999997</v>
      </c>
      <c r="O236">
        <f>VLOOKUP(A236,NASDAQYHOO!A$2:G$506,2,0)</f>
        <v>37.32</v>
      </c>
    </row>
    <row r="237" spans="1:15">
      <c r="A237" s="39">
        <v>42487</v>
      </c>
      <c r="B237">
        <v>69.489999999999995</v>
      </c>
      <c r="C237">
        <f>VLOOKUP(A237,NYSEARCAVTI!A$2:G$506,2,0)</f>
        <v>106.66</v>
      </c>
      <c r="D237">
        <f>VLOOKUP(A237,NYSEARCAVEU!A$2:G$506,2,0)</f>
        <v>44.52</v>
      </c>
      <c r="E237">
        <f>VLOOKUP(A237,NYSEARCAVWO!A$2:G$506,2,0)</f>
        <v>35.049999999999997</v>
      </c>
      <c r="F237">
        <f>VLOOKUP(A237,NYSEARCABND!A$2:G$506,2,0)</f>
        <v>82.61</v>
      </c>
      <c r="G237">
        <f>VLOOKUP(A237,NYSEARCATIP!A$2:G$506,2,0)</f>
        <v>114.06</v>
      </c>
      <c r="H237">
        <f>VLOOKUP(A237,NYSEARCAMUB!A$2:G$506,2,0)</f>
        <v>112.07</v>
      </c>
      <c r="I237">
        <f>VLOOKUP(A237,NYSEARCAVNQ!A$2:G$506,2,0)</f>
        <v>82.79</v>
      </c>
      <c r="J237">
        <f>VLOOKUP(A237,NYSEARCARWX!A$2:G$506,2,0)</f>
        <v>42.49</v>
      </c>
      <c r="K237">
        <f>VLOOKUP(A237,NYSEARCADBC!A$2:G$506,2,0)</f>
        <v>14.32</v>
      </c>
      <c r="L237">
        <f>VLOOKUP(A237,NYSEARCAGSG!A$2:G$506,2,0)</f>
        <v>14.99</v>
      </c>
      <c r="M237">
        <f>VLOOKUP(A237,NYSEARCAGLD!A$2:G$506,2,0)</f>
        <v>118.97</v>
      </c>
      <c r="N237">
        <f>VLOOKUP(A237,NYSEBP!A$2:G$506,2,0)</f>
        <v>33.56</v>
      </c>
      <c r="O237">
        <f>VLOOKUP(A237,NASDAQYHOO!A$2:G$506,2,0)</f>
        <v>37.520000000000003</v>
      </c>
    </row>
    <row r="238" spans="1:15">
      <c r="A238" s="39">
        <v>42488</v>
      </c>
      <c r="B238">
        <v>69.069999999999993</v>
      </c>
      <c r="C238">
        <f>VLOOKUP(A238,NYSEARCAVTI!A$2:G$506,2,0)</f>
        <v>106.63</v>
      </c>
      <c r="D238">
        <f>VLOOKUP(A238,NYSEARCAVEU!A$2:G$506,2,0)</f>
        <v>44.26</v>
      </c>
      <c r="E238">
        <f>VLOOKUP(A238,NYSEARCAVWO!A$2:G$506,2,0)</f>
        <v>35.049999999999997</v>
      </c>
      <c r="F238">
        <f>VLOOKUP(A238,NYSEARCABND!A$2:G$506,2,0)</f>
        <v>82.78</v>
      </c>
      <c r="G238">
        <f>VLOOKUP(A238,NYSEARCATIP!A$2:G$506,2,0)</f>
        <v>114.47</v>
      </c>
      <c r="H238">
        <f>VLOOKUP(A238,NYSEARCAMUB!A$2:G$506,2,0)</f>
        <v>112.16</v>
      </c>
      <c r="I238">
        <f>VLOOKUP(A238,NYSEARCAVNQ!A$2:G$506,2,0)</f>
        <v>82.26</v>
      </c>
      <c r="J238">
        <f>VLOOKUP(A238,NYSEARCARWX!A$2:G$506,2,0)</f>
        <v>42.36</v>
      </c>
      <c r="K238">
        <f>VLOOKUP(A238,NYSEARCADBC!A$2:G$506,2,0)</f>
        <v>14.37</v>
      </c>
      <c r="L238">
        <f>VLOOKUP(A238,NYSEARCAGSG!A$2:G$506,2,0)</f>
        <v>15.06</v>
      </c>
      <c r="M238">
        <f>VLOOKUP(A238,NYSEARCAGLD!A$2:G$506,2,0)</f>
        <v>119.92</v>
      </c>
      <c r="N238">
        <f>VLOOKUP(A238,NYSEBP!A$2:G$506,2,0)</f>
        <v>33.340000000000003</v>
      </c>
      <c r="O238">
        <f>VLOOKUP(A238,NASDAQYHOO!A$2:G$506,2,0)</f>
        <v>36.840000000000003</v>
      </c>
    </row>
    <row r="239" spans="1:15">
      <c r="A239" s="39">
        <v>42489</v>
      </c>
      <c r="B239">
        <v>68.73</v>
      </c>
      <c r="C239">
        <f>VLOOKUP(A239,NYSEARCAVTI!A$2:G$506,2,0)</f>
        <v>105.8</v>
      </c>
      <c r="D239">
        <f>VLOOKUP(A239,NYSEARCAVEU!A$2:G$506,2,0)</f>
        <v>44.24</v>
      </c>
      <c r="E239">
        <f>VLOOKUP(A239,NYSEARCAVWO!A$2:G$506,2,0)</f>
        <v>35</v>
      </c>
      <c r="F239">
        <f>VLOOKUP(A239,NYSEARCABND!A$2:G$506,2,0)</f>
        <v>82.87</v>
      </c>
      <c r="G239">
        <f>VLOOKUP(A239,NYSEARCATIP!A$2:G$506,2,0)</f>
        <v>114.72</v>
      </c>
      <c r="H239">
        <f>VLOOKUP(A239,NYSEARCAMUB!A$2:G$506,2,0)</f>
        <v>112.17</v>
      </c>
      <c r="I239">
        <f>VLOOKUP(A239,NYSEARCAVNQ!A$2:G$506,2,0)</f>
        <v>82.19</v>
      </c>
      <c r="J239">
        <f>VLOOKUP(A239,NYSEARCARWX!A$2:G$506,2,0)</f>
        <v>42.4</v>
      </c>
      <c r="K239">
        <f>VLOOKUP(A239,NYSEARCADBC!A$2:G$506,2,0)</f>
        <v>14.6</v>
      </c>
      <c r="L239">
        <f>VLOOKUP(A239,NYSEARCAGSG!A$2:G$506,2,0)</f>
        <v>15.25</v>
      </c>
      <c r="M239">
        <f>VLOOKUP(A239,NYSEARCAGLD!A$2:G$506,2,0)</f>
        <v>122.43</v>
      </c>
      <c r="N239">
        <f>VLOOKUP(A239,NYSEBP!A$2:G$506,2,0)</f>
        <v>33.520000000000003</v>
      </c>
      <c r="O239">
        <f>VLOOKUP(A239,NASDAQYHOO!A$2:G$506,2,0)</f>
        <v>36.51</v>
      </c>
    </row>
    <row r="240" spans="1:15">
      <c r="A240" s="39">
        <v>42492</v>
      </c>
      <c r="B240">
        <v>66.62</v>
      </c>
      <c r="C240">
        <f>VLOOKUP(A240,NYSEARCAVTI!A$2:G$506,2,0)</f>
        <v>105.8</v>
      </c>
      <c r="D240">
        <f>VLOOKUP(A240,NYSEARCAVEU!A$2:G$506,2,0)</f>
        <v>44.41</v>
      </c>
      <c r="E240">
        <f>VLOOKUP(A240,NYSEARCAVWO!A$2:G$506,2,0)</f>
        <v>34.92</v>
      </c>
      <c r="F240">
        <f>VLOOKUP(A240,NYSEARCABND!A$2:G$506,2,0)</f>
        <v>82.78</v>
      </c>
      <c r="G240">
        <f>VLOOKUP(A240,NYSEARCATIP!A$2:G$506,2,0)</f>
        <v>114.66</v>
      </c>
      <c r="H240">
        <f>VLOOKUP(A240,NYSEARCAMUB!A$2:G$506,2,0)</f>
        <v>112.08</v>
      </c>
      <c r="I240">
        <f>VLOOKUP(A240,NYSEARCAVNQ!A$2:G$506,2,0)</f>
        <v>81.78</v>
      </c>
      <c r="J240">
        <f>VLOOKUP(A240,NYSEARCARWX!A$2:G$506,2,0)</f>
        <v>42.63</v>
      </c>
      <c r="K240">
        <f>VLOOKUP(A240,NYSEARCADBC!A$2:G$506,2,0)</f>
        <v>14.52</v>
      </c>
      <c r="L240">
        <f>VLOOKUP(A240,NYSEARCAGSG!A$2:G$506,2,0)</f>
        <v>15.17</v>
      </c>
      <c r="M240">
        <f>VLOOKUP(A240,NYSEARCAGLD!A$2:G$506,2,0)</f>
        <v>123.78</v>
      </c>
      <c r="N240">
        <f>VLOOKUP(A240,NYSEBP!A$2:G$506,2,0)</f>
        <v>33.619999999999997</v>
      </c>
      <c r="O240">
        <f>VLOOKUP(A240,NASDAQYHOO!A$2:G$506,2,0)</f>
        <v>36.65</v>
      </c>
    </row>
    <row r="241" spans="1:15">
      <c r="A241" s="39">
        <v>42493</v>
      </c>
      <c r="B241">
        <v>66.86</v>
      </c>
      <c r="C241">
        <f>VLOOKUP(A241,NYSEARCAVTI!A$2:G$506,2,0)</f>
        <v>105.62</v>
      </c>
      <c r="D241">
        <f>VLOOKUP(A241,NYSEARCAVEU!A$2:G$506,2,0)</f>
        <v>43.85</v>
      </c>
      <c r="E241">
        <f>VLOOKUP(A241,NYSEARCAVWO!A$2:G$506,2,0)</f>
        <v>34.229999999999997</v>
      </c>
      <c r="F241">
        <f>VLOOKUP(A241,NYSEARCABND!A$2:G$506,2,0)</f>
        <v>82.95</v>
      </c>
      <c r="G241">
        <f>VLOOKUP(A241,NYSEARCATIP!A$2:G$506,2,0)</f>
        <v>114.83</v>
      </c>
      <c r="H241">
        <f>VLOOKUP(A241,NYSEARCAMUB!A$2:G$506,2,0)</f>
        <v>112.13</v>
      </c>
      <c r="I241">
        <f>VLOOKUP(A241,NYSEARCAVNQ!A$2:G$506,2,0)</f>
        <v>83.07</v>
      </c>
      <c r="J241">
        <f>VLOOKUP(A241,NYSEARCARWX!A$2:G$506,2,0)</f>
        <v>42.48</v>
      </c>
      <c r="K241">
        <f>VLOOKUP(A241,NYSEARCADBC!A$2:G$506,2,0)</f>
        <v>14.29</v>
      </c>
      <c r="L241">
        <f>VLOOKUP(A241,NYSEARCAGSG!A$2:G$506,2,0)</f>
        <v>14.88</v>
      </c>
      <c r="M241">
        <f>VLOOKUP(A241,NYSEARCAGLD!A$2:G$506,2,0)</f>
        <v>123.73</v>
      </c>
      <c r="N241">
        <f>VLOOKUP(A241,NYSEBP!A$2:G$506,2,0)</f>
        <v>32.99</v>
      </c>
      <c r="O241">
        <f>VLOOKUP(A241,NASDAQYHOO!A$2:G$506,2,0)</f>
        <v>36.25</v>
      </c>
    </row>
    <row r="242" spans="1:15">
      <c r="A242" s="39">
        <v>42494</v>
      </c>
      <c r="B242">
        <v>66.849999999999994</v>
      </c>
      <c r="C242">
        <f>VLOOKUP(A242,NYSEARCAVTI!A$2:G$506,2,0)</f>
        <v>104.76</v>
      </c>
      <c r="D242">
        <f>VLOOKUP(A242,NYSEARCAVEU!A$2:G$506,2,0)</f>
        <v>43.23</v>
      </c>
      <c r="E242">
        <f>VLOOKUP(A242,NYSEARCAVWO!A$2:G$506,2,0)</f>
        <v>33.74</v>
      </c>
      <c r="F242">
        <f>VLOOKUP(A242,NYSEARCABND!A$2:G$506,2,0)</f>
        <v>82.94</v>
      </c>
      <c r="G242">
        <f>VLOOKUP(A242,NYSEARCATIP!A$2:G$506,2,0)</f>
        <v>114.7</v>
      </c>
      <c r="H242">
        <f>VLOOKUP(A242,NYSEARCAMUB!A$2:G$506,2,0)</f>
        <v>112.34</v>
      </c>
      <c r="I242">
        <f>VLOOKUP(A242,NYSEARCAVNQ!A$2:G$506,2,0)</f>
        <v>82.71</v>
      </c>
      <c r="J242">
        <f>VLOOKUP(A242,NYSEARCARWX!A$2:G$506,2,0)</f>
        <v>41.96</v>
      </c>
      <c r="K242">
        <f>VLOOKUP(A242,NYSEARCADBC!A$2:G$506,2,0)</f>
        <v>14.24</v>
      </c>
      <c r="L242">
        <f>VLOOKUP(A242,NYSEARCAGSG!A$2:G$506,2,0)</f>
        <v>14.83</v>
      </c>
      <c r="M242">
        <f>VLOOKUP(A242,NYSEARCAGLD!A$2:G$506,2,0)</f>
        <v>122.85</v>
      </c>
      <c r="N242">
        <f>VLOOKUP(A242,NYSEBP!A$2:G$506,2,0)</f>
        <v>31.72</v>
      </c>
      <c r="O242">
        <f>VLOOKUP(A242,NASDAQYHOO!A$2:G$506,2,0)</f>
        <v>35.81</v>
      </c>
    </row>
    <row r="243" spans="1:15">
      <c r="A243" s="39">
        <v>42495</v>
      </c>
      <c r="B243">
        <v>66.97</v>
      </c>
      <c r="C243">
        <f>VLOOKUP(A243,NYSEARCAVTI!A$2:G$506,2,0)</f>
        <v>104.95</v>
      </c>
      <c r="D243">
        <f>VLOOKUP(A243,NYSEARCAVEU!A$2:G$506,2,0)</f>
        <v>43.08</v>
      </c>
      <c r="E243">
        <f>VLOOKUP(A243,NYSEARCAVWO!A$2:G$506,2,0)</f>
        <v>33.68</v>
      </c>
      <c r="F243">
        <f>VLOOKUP(A243,NYSEARCABND!A$2:G$506,2,0)</f>
        <v>82.96</v>
      </c>
      <c r="G243">
        <f>VLOOKUP(A243,NYSEARCATIP!A$2:G$506,2,0)</f>
        <v>114.68</v>
      </c>
      <c r="H243">
        <f>VLOOKUP(A243,NYSEARCAMUB!A$2:G$506,2,0)</f>
        <v>112.35</v>
      </c>
      <c r="I243">
        <f>VLOOKUP(A243,NYSEARCAVNQ!A$2:G$506,2,0)</f>
        <v>84.53</v>
      </c>
      <c r="J243">
        <f>VLOOKUP(A243,NYSEARCARWX!A$2:G$506,2,0)</f>
        <v>42.15</v>
      </c>
      <c r="K243">
        <f>VLOOKUP(A243,NYSEARCADBC!A$2:G$506,2,0)</f>
        <v>14.34</v>
      </c>
      <c r="L243">
        <f>VLOOKUP(A243,NYSEARCAGSG!A$2:G$506,2,0)</f>
        <v>14.99</v>
      </c>
      <c r="M243">
        <f>VLOOKUP(A243,NYSEARCAGLD!A$2:G$506,2,0)</f>
        <v>122.63</v>
      </c>
      <c r="N243">
        <f>VLOOKUP(A243,NYSEBP!A$2:G$506,2,0)</f>
        <v>31.74</v>
      </c>
      <c r="O243">
        <f>VLOOKUP(A243,NASDAQYHOO!A$2:G$506,2,0)</f>
        <v>37.06</v>
      </c>
    </row>
    <row r="244" spans="1:15">
      <c r="A244" s="39">
        <v>42496</v>
      </c>
      <c r="B244">
        <v>66.91</v>
      </c>
      <c r="C244">
        <f>VLOOKUP(A244,NYSEARCAVTI!A$2:G$506,2,0)</f>
        <v>104.14</v>
      </c>
      <c r="D244">
        <f>VLOOKUP(A244,NYSEARCAVEU!A$2:G$506,2,0)</f>
        <v>42.72</v>
      </c>
      <c r="E244">
        <f>VLOOKUP(A244,NYSEARCAVWO!A$2:G$506,2,0)</f>
        <v>33.24</v>
      </c>
      <c r="F244">
        <f>VLOOKUP(A244,NYSEARCABND!A$2:G$506,2,0)</f>
        <v>83.07</v>
      </c>
      <c r="G244">
        <f>VLOOKUP(A244,NYSEARCATIP!A$2:G$506,2,0)</f>
        <v>115.02</v>
      </c>
      <c r="H244">
        <f>VLOOKUP(A244,NYSEARCAMUB!A$2:G$506,2,0)</f>
        <v>112.4</v>
      </c>
      <c r="I244">
        <f>VLOOKUP(A244,NYSEARCAVNQ!A$2:G$506,2,0)</f>
        <v>84.65</v>
      </c>
      <c r="J244">
        <f>VLOOKUP(A244,NYSEARCARWX!A$2:G$506,2,0)</f>
        <v>41.76</v>
      </c>
      <c r="K244">
        <f>VLOOKUP(A244,NYSEARCADBC!A$2:G$506,2,0)</f>
        <v>14</v>
      </c>
      <c r="L244">
        <f>VLOOKUP(A244,NYSEARCAGSG!A$2:G$506,2,0)</f>
        <v>14.6</v>
      </c>
      <c r="M244">
        <f>VLOOKUP(A244,NYSEARCAGLD!A$2:G$506,2,0)</f>
        <v>122.83</v>
      </c>
      <c r="N244">
        <f>VLOOKUP(A244,NYSEBP!A$2:G$506,2,0)</f>
        <v>31.18</v>
      </c>
      <c r="O244">
        <f>VLOOKUP(A244,NASDAQYHOO!A$2:G$506,2,0)</f>
        <v>36.549999999999997</v>
      </c>
    </row>
    <row r="245" spans="1:15">
      <c r="A245" s="39">
        <v>42499</v>
      </c>
      <c r="B245">
        <v>68.25</v>
      </c>
      <c r="C245">
        <f>VLOOKUP(A245,NYSEARCAVTI!A$2:G$506,2,0)</f>
        <v>104.87</v>
      </c>
      <c r="D245">
        <f>VLOOKUP(A245,NYSEARCAVEU!A$2:G$506,2,0)</f>
        <v>43.03</v>
      </c>
      <c r="E245">
        <f>VLOOKUP(A245,NYSEARCAVWO!A$2:G$506,2,0)</f>
        <v>33.36</v>
      </c>
      <c r="F245">
        <f>VLOOKUP(A245,NYSEARCABND!A$2:G$506,2,0)</f>
        <v>83.11</v>
      </c>
      <c r="G245">
        <f>VLOOKUP(A245,NYSEARCATIP!A$2:G$506,2,0)</f>
        <v>114.79</v>
      </c>
      <c r="H245">
        <f>VLOOKUP(A245,NYSEARCAMUB!A$2:G$506,2,0)</f>
        <v>112.46</v>
      </c>
      <c r="I245">
        <f>VLOOKUP(A245,NYSEARCAVNQ!A$2:G$506,2,0)</f>
        <v>85.86</v>
      </c>
      <c r="J245">
        <f>VLOOKUP(A245,NYSEARCARWX!A$2:G$506,2,0)</f>
        <v>42.23</v>
      </c>
      <c r="K245">
        <f>VLOOKUP(A245,NYSEARCADBC!A$2:G$506,2,0)</f>
        <v>13.96</v>
      </c>
      <c r="L245">
        <f>VLOOKUP(A245,NYSEARCAGSG!A$2:G$506,2,0)</f>
        <v>14.63</v>
      </c>
      <c r="M245">
        <f>VLOOKUP(A245,NYSEARCAGLD!A$2:G$506,2,0)</f>
        <v>121.2</v>
      </c>
      <c r="N245">
        <f>VLOOKUP(A245,NYSEBP!A$2:G$506,2,0)</f>
        <v>31.42</v>
      </c>
      <c r="O245">
        <f>VLOOKUP(A245,NASDAQYHOO!A$2:G$506,2,0)</f>
        <v>36.97</v>
      </c>
    </row>
    <row r="246" spans="1:15">
      <c r="A246" s="39">
        <v>42500</v>
      </c>
      <c r="B246">
        <v>68.92</v>
      </c>
      <c r="C246">
        <f>VLOOKUP(A246,NYSEARCAVTI!A$2:G$506,2,0)</f>
        <v>105.5</v>
      </c>
      <c r="D246">
        <f>VLOOKUP(A246,NYSEARCAVEU!A$2:G$506,2,0)</f>
        <v>43.22</v>
      </c>
      <c r="E246">
        <f>VLOOKUP(A246,NYSEARCAVWO!A$2:G$506,2,0)</f>
        <v>33.29</v>
      </c>
      <c r="F246">
        <f>VLOOKUP(A246,NYSEARCABND!A$2:G$506,2,0)</f>
        <v>83.09</v>
      </c>
      <c r="G246">
        <f>VLOOKUP(A246,NYSEARCATIP!A$2:G$506,2,0)</f>
        <v>115.02</v>
      </c>
      <c r="H246">
        <f>VLOOKUP(A246,NYSEARCAMUB!A$2:G$506,2,0)</f>
        <v>112.45</v>
      </c>
      <c r="I246">
        <f>VLOOKUP(A246,NYSEARCAVNQ!A$2:G$506,2,0)</f>
        <v>86.72</v>
      </c>
      <c r="J246">
        <f>VLOOKUP(A246,NYSEARCARWX!A$2:G$506,2,0)</f>
        <v>42.36</v>
      </c>
      <c r="K246">
        <f>VLOOKUP(A246,NYSEARCADBC!A$2:G$506,2,0)</f>
        <v>13.92</v>
      </c>
      <c r="L246">
        <f>VLOOKUP(A246,NYSEARCAGSG!A$2:G$506,2,0)</f>
        <v>14.5</v>
      </c>
      <c r="M246">
        <f>VLOOKUP(A246,NYSEARCAGLD!A$2:G$506,2,0)</f>
        <v>120.74</v>
      </c>
      <c r="N246">
        <f>VLOOKUP(A246,NYSEBP!A$2:G$506,2,0)</f>
        <v>31.18</v>
      </c>
      <c r="O246">
        <f>VLOOKUP(A246,NASDAQYHOO!A$2:G$506,2,0)</f>
        <v>37.17</v>
      </c>
    </row>
    <row r="247" spans="1:15">
      <c r="A247" s="39">
        <v>42501</v>
      </c>
      <c r="B247">
        <v>67.47</v>
      </c>
      <c r="C247">
        <f>VLOOKUP(A247,NYSEARCAVTI!A$2:G$506,2,0)</f>
        <v>106.09</v>
      </c>
      <c r="D247">
        <f>VLOOKUP(A247,NYSEARCAVEU!A$2:G$506,2,0)</f>
        <v>43.27</v>
      </c>
      <c r="E247">
        <f>VLOOKUP(A247,NYSEARCAVWO!A$2:G$506,2,0)</f>
        <v>33.6</v>
      </c>
      <c r="F247">
        <f>VLOOKUP(A247,NYSEARCABND!A$2:G$506,2,0)</f>
        <v>83.14</v>
      </c>
      <c r="G247">
        <f>VLOOKUP(A247,NYSEARCATIP!A$2:G$506,2,0)</f>
        <v>115.09</v>
      </c>
      <c r="H247">
        <f>VLOOKUP(A247,NYSEARCAMUB!A$2:G$506,2,0)</f>
        <v>112.52</v>
      </c>
      <c r="I247">
        <f>VLOOKUP(A247,NYSEARCAVNQ!A$2:G$506,2,0)</f>
        <v>86.47</v>
      </c>
      <c r="J247">
        <f>VLOOKUP(A247,NYSEARCARWX!A$2:G$506,2,0)</f>
        <v>42.21</v>
      </c>
      <c r="K247">
        <f>VLOOKUP(A247,NYSEARCADBC!A$2:G$506,2,0)</f>
        <v>14.21</v>
      </c>
      <c r="L247">
        <f>VLOOKUP(A247,NYSEARCAGSG!A$2:G$506,2,0)</f>
        <v>14.77</v>
      </c>
      <c r="M247">
        <f>VLOOKUP(A247,NYSEARCAGLD!A$2:G$506,2,0)</f>
        <v>121.85</v>
      </c>
      <c r="N247">
        <f>VLOOKUP(A247,NYSEBP!A$2:G$506,2,0)</f>
        <v>31.5</v>
      </c>
      <c r="O247">
        <f>VLOOKUP(A247,NASDAQYHOO!A$2:G$506,2,0)</f>
        <v>37.28</v>
      </c>
    </row>
    <row r="248" spans="1:15">
      <c r="A248" s="39">
        <v>42502</v>
      </c>
      <c r="B248">
        <v>66.55</v>
      </c>
      <c r="C248">
        <f>VLOOKUP(A248,NYSEARCAVTI!A$2:G$506,2,0)</f>
        <v>105.82</v>
      </c>
      <c r="D248">
        <f>VLOOKUP(A248,NYSEARCAVEU!A$2:G$506,2,0)</f>
        <v>43.53</v>
      </c>
      <c r="E248">
        <f>VLOOKUP(A248,NYSEARCAVWO!A$2:G$506,2,0)</f>
        <v>33.72</v>
      </c>
      <c r="F248">
        <f>VLOOKUP(A248,NYSEARCABND!A$2:G$506,2,0)</f>
        <v>83.1</v>
      </c>
      <c r="G248">
        <f>VLOOKUP(A248,NYSEARCATIP!A$2:G$506,2,0)</f>
        <v>114.87</v>
      </c>
      <c r="H248">
        <f>VLOOKUP(A248,NYSEARCAMUB!A$2:G$506,2,0)</f>
        <v>112.63</v>
      </c>
      <c r="I248">
        <f>VLOOKUP(A248,NYSEARCAVNQ!A$2:G$506,2,0)</f>
        <v>84.77</v>
      </c>
      <c r="J248">
        <f>VLOOKUP(A248,NYSEARCARWX!A$2:G$506,2,0)</f>
        <v>42.15</v>
      </c>
      <c r="K248">
        <f>VLOOKUP(A248,NYSEARCADBC!A$2:G$506,2,0)</f>
        <v>14.53</v>
      </c>
      <c r="L248">
        <f>VLOOKUP(A248,NYSEARCAGSG!A$2:G$506,2,0)</f>
        <v>15.2</v>
      </c>
      <c r="M248">
        <f>VLOOKUP(A248,NYSEARCAGLD!A$2:G$506,2,0)</f>
        <v>122.02</v>
      </c>
      <c r="N248">
        <f>VLOOKUP(A248,NYSEBP!A$2:G$506,2,0)</f>
        <v>32.46</v>
      </c>
      <c r="O248">
        <f>VLOOKUP(A248,NASDAQYHOO!A$2:G$506,2,0)</f>
        <v>37.39</v>
      </c>
    </row>
    <row r="249" spans="1:15">
      <c r="A249" s="39">
        <v>42503</v>
      </c>
      <c r="B249">
        <v>66.48</v>
      </c>
      <c r="C249">
        <f>VLOOKUP(A249,NYSEARCAVTI!A$2:G$506,2,0)</f>
        <v>105.08</v>
      </c>
      <c r="D249">
        <f>VLOOKUP(A249,NYSEARCAVEU!A$2:G$506,2,0)</f>
        <v>42.86</v>
      </c>
      <c r="E249">
        <f>VLOOKUP(A249,NYSEARCAVWO!A$2:G$506,2,0)</f>
        <v>33.24</v>
      </c>
      <c r="F249">
        <f>VLOOKUP(A249,NYSEARCABND!A$2:G$506,2,0)</f>
        <v>83.16</v>
      </c>
      <c r="G249">
        <f>VLOOKUP(A249,NYSEARCATIP!A$2:G$506,2,0)</f>
        <v>115.06</v>
      </c>
      <c r="H249">
        <f>VLOOKUP(A249,NYSEARCAMUB!A$2:G$506,2,0)</f>
        <v>112.71</v>
      </c>
      <c r="I249">
        <f>VLOOKUP(A249,NYSEARCAVNQ!A$2:G$506,2,0)</f>
        <v>84.93</v>
      </c>
      <c r="J249">
        <f>VLOOKUP(A249,NYSEARCARWX!A$2:G$506,2,0)</f>
        <v>41.59</v>
      </c>
      <c r="K249">
        <f>VLOOKUP(A249,NYSEARCADBC!A$2:G$506,2,0)</f>
        <v>14.41</v>
      </c>
      <c r="L249">
        <f>VLOOKUP(A249,NYSEARCAGSG!A$2:G$506,2,0)</f>
        <v>15.09</v>
      </c>
      <c r="M249">
        <f>VLOOKUP(A249,NYSEARCAGLD!A$2:G$506,2,0)</f>
        <v>121.09</v>
      </c>
      <c r="N249">
        <f>VLOOKUP(A249,NYSEBP!A$2:G$506,2,0)</f>
        <v>31.47</v>
      </c>
      <c r="O249">
        <f>VLOOKUP(A249,NASDAQYHOO!A$2:G$506,2,0)</f>
        <v>36.909999999999997</v>
      </c>
    </row>
    <row r="250" spans="1:15">
      <c r="A250" s="39">
        <v>42506</v>
      </c>
      <c r="B250">
        <v>64.86</v>
      </c>
      <c r="C250">
        <f>VLOOKUP(A250,NYSEARCAVTI!A$2:G$506,2,0)</f>
        <v>104.58</v>
      </c>
      <c r="D250">
        <f>VLOOKUP(A250,NYSEARCAVEU!A$2:G$506,2,0)</f>
        <v>42.86</v>
      </c>
      <c r="E250">
        <f>VLOOKUP(A250,NYSEARCAVWO!A$2:G$506,2,0)</f>
        <v>33.15</v>
      </c>
      <c r="F250">
        <f>VLOOKUP(A250,NYSEARCABND!A$2:G$506,2,0)</f>
        <v>83.15</v>
      </c>
      <c r="G250">
        <f>VLOOKUP(A250,NYSEARCATIP!A$2:G$506,2,0)</f>
        <v>115.14</v>
      </c>
      <c r="H250">
        <f>VLOOKUP(A250,NYSEARCAMUB!A$2:G$506,2,0)</f>
        <v>112.7</v>
      </c>
      <c r="I250">
        <f>VLOOKUP(A250,NYSEARCAVNQ!A$2:G$506,2,0)</f>
        <v>84.39</v>
      </c>
      <c r="J250">
        <f>VLOOKUP(A250,NYSEARCARWX!A$2:G$506,2,0)</f>
        <v>41.63</v>
      </c>
      <c r="K250">
        <f>VLOOKUP(A250,NYSEARCADBC!A$2:G$506,2,0)</f>
        <v>14.62</v>
      </c>
      <c r="L250">
        <f>VLOOKUP(A250,NYSEARCAGSG!A$2:G$506,2,0)</f>
        <v>15.37</v>
      </c>
      <c r="M250">
        <f>VLOOKUP(A250,NYSEARCAGLD!A$2:G$506,2,0)</f>
        <v>122.93</v>
      </c>
      <c r="N250">
        <f>VLOOKUP(A250,NYSEBP!A$2:G$506,2,0)</f>
        <v>31.97</v>
      </c>
      <c r="O250">
        <f>VLOOKUP(A250,NASDAQYHOO!A$2:G$506,2,0)</f>
        <v>37.03</v>
      </c>
    </row>
    <row r="251" spans="1:15">
      <c r="A251" s="39">
        <v>42507</v>
      </c>
      <c r="B251">
        <v>66.06</v>
      </c>
      <c r="C251">
        <f>VLOOKUP(A251,NYSEARCAVTI!A$2:G$506,2,0)</f>
        <v>105.26</v>
      </c>
      <c r="D251">
        <f>VLOOKUP(A251,NYSEARCAVEU!A$2:G$506,2,0)</f>
        <v>43.11</v>
      </c>
      <c r="E251">
        <f>VLOOKUP(A251,NYSEARCAVWO!A$2:G$506,2,0)</f>
        <v>33.22</v>
      </c>
      <c r="F251">
        <f>VLOOKUP(A251,NYSEARCABND!A$2:G$506,2,0)</f>
        <v>83.13</v>
      </c>
      <c r="G251">
        <f>VLOOKUP(A251,NYSEARCATIP!A$2:G$506,2,0)</f>
        <v>115.16</v>
      </c>
      <c r="H251">
        <f>VLOOKUP(A251,NYSEARCAMUB!A$2:G$506,2,0)</f>
        <v>112.74</v>
      </c>
      <c r="I251">
        <f>VLOOKUP(A251,NYSEARCAVNQ!A$2:G$506,2,0)</f>
        <v>84.99</v>
      </c>
      <c r="J251">
        <f>VLOOKUP(A251,NYSEARCARWX!A$2:G$506,2,0)</f>
        <v>42.23</v>
      </c>
      <c r="K251">
        <f>VLOOKUP(A251,NYSEARCADBC!A$2:G$506,2,0)</f>
        <v>14.63</v>
      </c>
      <c r="L251">
        <f>VLOOKUP(A251,NYSEARCAGSG!A$2:G$506,2,0)</f>
        <v>15.4</v>
      </c>
      <c r="M251">
        <f>VLOOKUP(A251,NYSEARCAGLD!A$2:G$506,2,0)</f>
        <v>121.58</v>
      </c>
      <c r="N251">
        <f>VLOOKUP(A251,NYSEBP!A$2:G$506,2,0)</f>
        <v>32.17</v>
      </c>
      <c r="O251">
        <f>VLOOKUP(A251,NASDAQYHOO!A$2:G$506,2,0)</f>
        <v>37.44</v>
      </c>
    </row>
    <row r="252" spans="1:15">
      <c r="A252" s="39">
        <v>42508</v>
      </c>
      <c r="B252">
        <v>63.02</v>
      </c>
      <c r="C252">
        <f>VLOOKUP(A252,NYSEARCAVTI!A$2:G$506,2,0)</f>
        <v>104.26</v>
      </c>
      <c r="D252">
        <f>VLOOKUP(A252,NYSEARCAVEU!A$2:G$506,2,0)</f>
        <v>42.88</v>
      </c>
      <c r="E252">
        <f>VLOOKUP(A252,NYSEARCAVWO!A$2:G$506,2,0)</f>
        <v>32.92</v>
      </c>
      <c r="F252">
        <f>VLOOKUP(A252,NYSEARCABND!A$2:G$506,2,0)</f>
        <v>82.92</v>
      </c>
      <c r="G252">
        <f>VLOOKUP(A252,NYSEARCATIP!A$2:G$506,2,0)</f>
        <v>114.95</v>
      </c>
      <c r="H252">
        <f>VLOOKUP(A252,NYSEARCAMUB!A$2:G$506,2,0)</f>
        <v>112.89</v>
      </c>
      <c r="I252">
        <f>VLOOKUP(A252,NYSEARCAVNQ!A$2:G$506,2,0)</f>
        <v>83.27</v>
      </c>
      <c r="J252">
        <f>VLOOKUP(A252,NYSEARCARWX!A$2:G$506,2,0)</f>
        <v>41.83</v>
      </c>
      <c r="K252">
        <f>VLOOKUP(A252,NYSEARCADBC!A$2:G$506,2,0)</f>
        <v>14.65</v>
      </c>
      <c r="L252">
        <f>VLOOKUP(A252,NYSEARCAGSG!A$2:G$506,2,0)</f>
        <v>15.46</v>
      </c>
      <c r="M252">
        <f>VLOOKUP(A252,NYSEARCAGLD!A$2:G$506,2,0)</f>
        <v>121.22</v>
      </c>
      <c r="N252">
        <f>VLOOKUP(A252,NYSEBP!A$2:G$506,2,0)</f>
        <v>32.4</v>
      </c>
      <c r="O252">
        <f>VLOOKUP(A252,NASDAQYHOO!A$2:G$506,2,0)</f>
        <v>37.090000000000003</v>
      </c>
    </row>
    <row r="253" spans="1:15">
      <c r="A253" s="39">
        <v>42509</v>
      </c>
      <c r="B253">
        <v>68.099999999999994</v>
      </c>
      <c r="C253">
        <f>VLOOKUP(A253,NYSEARCAVTI!A$2:G$506,2,0)</f>
        <v>104.08</v>
      </c>
      <c r="D253">
        <f>VLOOKUP(A253,NYSEARCAVEU!A$2:G$506,2,0)</f>
        <v>42.57</v>
      </c>
      <c r="E253">
        <f>VLOOKUP(A253,NYSEARCAVWO!A$2:G$506,2,0)</f>
        <v>32.47</v>
      </c>
      <c r="F253">
        <f>VLOOKUP(A253,NYSEARCABND!A$2:G$506,2,0)</f>
        <v>82.63</v>
      </c>
      <c r="G253">
        <f>VLOOKUP(A253,NYSEARCATIP!A$2:G$506,2,0)</f>
        <v>114.14</v>
      </c>
      <c r="H253">
        <f>VLOOKUP(A253,NYSEARCAMUB!A$2:G$506,2,0)</f>
        <v>112.59</v>
      </c>
      <c r="I253">
        <f>VLOOKUP(A253,NYSEARCAVNQ!A$2:G$506,2,0)</f>
        <v>81.790000000000006</v>
      </c>
      <c r="J253">
        <f>VLOOKUP(A253,NYSEARCARWX!A$2:G$506,2,0)</f>
        <v>41.27</v>
      </c>
      <c r="K253">
        <f>VLOOKUP(A253,NYSEARCADBC!A$2:G$506,2,0)</f>
        <v>14.49</v>
      </c>
      <c r="L253">
        <f>VLOOKUP(A253,NYSEARCAGSG!A$2:G$506,2,0)</f>
        <v>15.24</v>
      </c>
      <c r="M253">
        <f>VLOOKUP(A253,NYSEARCAGLD!A$2:G$506,2,0)</f>
        <v>119</v>
      </c>
      <c r="N253">
        <f>VLOOKUP(A253,NYSEBP!A$2:G$506,2,0)</f>
        <v>31.9</v>
      </c>
      <c r="O253">
        <f>VLOOKUP(A253,NASDAQYHOO!A$2:G$506,2,0)</f>
        <v>36.94</v>
      </c>
    </row>
    <row r="254" spans="1:15">
      <c r="A254" s="39">
        <v>42510</v>
      </c>
      <c r="B254">
        <v>69.33</v>
      </c>
      <c r="C254">
        <f>VLOOKUP(A254,NYSEARCAVTI!A$2:G$506,2,0)</f>
        <v>104.54</v>
      </c>
      <c r="D254">
        <f>VLOOKUP(A254,NYSEARCAVEU!A$2:G$506,2,0)</f>
        <v>42.84</v>
      </c>
      <c r="E254">
        <f>VLOOKUP(A254,NYSEARCAVWO!A$2:G$506,2,0)</f>
        <v>32.729999999999997</v>
      </c>
      <c r="F254">
        <f>VLOOKUP(A254,NYSEARCABND!A$2:G$506,2,0)</f>
        <v>82.66</v>
      </c>
      <c r="G254">
        <f>VLOOKUP(A254,NYSEARCATIP!A$2:G$506,2,0)</f>
        <v>114.2</v>
      </c>
      <c r="H254">
        <f>VLOOKUP(A254,NYSEARCAMUB!A$2:G$506,2,0)</f>
        <v>112.6</v>
      </c>
      <c r="I254">
        <f>VLOOKUP(A254,NYSEARCAVNQ!A$2:G$506,2,0)</f>
        <v>81.7</v>
      </c>
      <c r="J254">
        <f>VLOOKUP(A254,NYSEARCARWX!A$2:G$506,2,0)</f>
        <v>41.56</v>
      </c>
      <c r="K254">
        <f>VLOOKUP(A254,NYSEARCADBC!A$2:G$506,2,0)</f>
        <v>14.68</v>
      </c>
      <c r="L254">
        <f>VLOOKUP(A254,NYSEARCAGSG!A$2:G$506,2,0)</f>
        <v>15.4</v>
      </c>
      <c r="M254">
        <f>VLOOKUP(A254,NYSEARCAGLD!A$2:G$506,2,0)</f>
        <v>120.19</v>
      </c>
      <c r="N254">
        <f>VLOOKUP(A254,NYSEBP!A$2:G$506,2,0)</f>
        <v>31.98</v>
      </c>
      <c r="O254">
        <f>VLOOKUP(A254,NASDAQYHOO!A$2:G$506,2,0)</f>
        <v>36.049999999999997</v>
      </c>
    </row>
    <row r="255" spans="1:15">
      <c r="A255" s="39">
        <v>42513</v>
      </c>
      <c r="B255">
        <v>69.599999999999994</v>
      </c>
      <c r="C255">
        <f>VLOOKUP(A255,NYSEARCAVTI!A$2:G$506,2,0)</f>
        <v>104.92</v>
      </c>
      <c r="D255">
        <f>VLOOKUP(A255,NYSEARCAVEU!A$2:G$506,2,0)</f>
        <v>42.72</v>
      </c>
      <c r="E255">
        <f>VLOOKUP(A255,NYSEARCAVWO!A$2:G$506,2,0)</f>
        <v>32.71</v>
      </c>
      <c r="F255">
        <f>VLOOKUP(A255,NYSEARCABND!A$2:G$506,2,0)</f>
        <v>82.73</v>
      </c>
      <c r="G255">
        <f>VLOOKUP(A255,NYSEARCATIP!A$2:G$506,2,0)</f>
        <v>114</v>
      </c>
      <c r="H255">
        <f>VLOOKUP(A255,NYSEARCAMUB!A$2:G$506,2,0)</f>
        <v>112.52</v>
      </c>
      <c r="I255">
        <f>VLOOKUP(A255,NYSEARCAVNQ!A$2:G$506,2,0)</f>
        <v>82.18</v>
      </c>
      <c r="J255">
        <f>VLOOKUP(A255,NYSEARCARWX!A$2:G$506,2,0)</f>
        <v>41.35</v>
      </c>
      <c r="K255">
        <f>VLOOKUP(A255,NYSEARCADBC!A$2:G$506,2,0)</f>
        <v>14.49</v>
      </c>
      <c r="L255">
        <f>VLOOKUP(A255,NYSEARCAGSG!A$2:G$506,2,0)</f>
        <v>15.17</v>
      </c>
      <c r="M255">
        <f>VLOOKUP(A255,NYSEARCAGLD!A$2:G$506,2,0)</f>
        <v>118.86</v>
      </c>
      <c r="N255">
        <f>VLOOKUP(A255,NYSEBP!A$2:G$506,2,0)</f>
        <v>31.54</v>
      </c>
      <c r="O255">
        <f>VLOOKUP(A255,NASDAQYHOO!A$2:G$506,2,0)</f>
        <v>36.46</v>
      </c>
    </row>
    <row r="256" spans="1:15">
      <c r="A256" s="39">
        <v>42514</v>
      </c>
      <c r="B256">
        <v>69.650000000000006</v>
      </c>
      <c r="C256">
        <f>VLOOKUP(A256,NYSEARCAVTI!A$2:G$506,2,0)</f>
        <v>105.22</v>
      </c>
      <c r="D256">
        <f>VLOOKUP(A256,NYSEARCAVEU!A$2:G$506,2,0)</f>
        <v>43</v>
      </c>
      <c r="E256">
        <f>VLOOKUP(A256,NYSEARCAVWO!A$2:G$506,2,0)</f>
        <v>32.979999999999997</v>
      </c>
      <c r="F256">
        <f>VLOOKUP(A256,NYSEARCABND!A$2:G$506,2,0)</f>
        <v>82.69</v>
      </c>
      <c r="G256">
        <f>VLOOKUP(A256,NYSEARCATIP!A$2:G$506,2,0)</f>
        <v>114.01</v>
      </c>
      <c r="H256">
        <f>VLOOKUP(A256,NYSEARCAMUB!A$2:G$506,2,0)</f>
        <v>112.41</v>
      </c>
      <c r="I256">
        <f>VLOOKUP(A256,NYSEARCAVNQ!A$2:G$506,2,0)</f>
        <v>82.56</v>
      </c>
      <c r="J256">
        <f>VLOOKUP(A256,NYSEARCARWX!A$2:G$506,2,0)</f>
        <v>41.75</v>
      </c>
      <c r="K256">
        <f>VLOOKUP(A256,NYSEARCADBC!A$2:G$506,2,0)</f>
        <v>14.53</v>
      </c>
      <c r="L256">
        <f>VLOOKUP(A256,NYSEARCAGSG!A$2:G$506,2,0)</f>
        <v>15.26</v>
      </c>
      <c r="M256">
        <f>VLOOKUP(A256,NYSEARCAGLD!A$2:G$506,2,0)</f>
        <v>118.17</v>
      </c>
      <c r="N256">
        <f>VLOOKUP(A256,NYSEBP!A$2:G$506,2,0)</f>
        <v>31.85</v>
      </c>
      <c r="O256">
        <f>VLOOKUP(A256,NASDAQYHOO!A$2:G$506,2,0)</f>
        <v>36.85</v>
      </c>
    </row>
    <row r="257" spans="1:15">
      <c r="A257" s="39">
        <v>42515</v>
      </c>
      <c r="B257">
        <v>70.25</v>
      </c>
      <c r="C257">
        <f>VLOOKUP(A257,NYSEARCAVTI!A$2:G$506,2,0)</f>
        <v>106.51</v>
      </c>
      <c r="D257">
        <f>VLOOKUP(A257,NYSEARCAVEU!A$2:G$506,2,0)</f>
        <v>43.6</v>
      </c>
      <c r="E257">
        <f>VLOOKUP(A257,NYSEARCAVWO!A$2:G$506,2,0)</f>
        <v>33.42</v>
      </c>
      <c r="F257">
        <f>VLOOKUP(A257,NYSEARCABND!A$2:G$506,2,0)</f>
        <v>82.67</v>
      </c>
      <c r="G257">
        <f>VLOOKUP(A257,NYSEARCATIP!A$2:G$506,2,0)</f>
        <v>114.11</v>
      </c>
      <c r="H257">
        <f>VLOOKUP(A257,NYSEARCAMUB!A$2:G$506,2,0)</f>
        <v>112.44</v>
      </c>
      <c r="I257">
        <f>VLOOKUP(A257,NYSEARCAVNQ!A$2:G$506,2,0)</f>
        <v>83.29</v>
      </c>
      <c r="J257">
        <f>VLOOKUP(A257,NYSEARCARWX!A$2:G$506,2,0)</f>
        <v>41.85</v>
      </c>
      <c r="K257">
        <f>VLOOKUP(A257,NYSEARCADBC!A$2:G$506,2,0)</f>
        <v>14.62</v>
      </c>
      <c r="L257">
        <f>VLOOKUP(A257,NYSEARCAGSG!A$2:G$506,2,0)</f>
        <v>15.4</v>
      </c>
      <c r="M257">
        <f>VLOOKUP(A257,NYSEARCAGLD!A$2:G$506,2,0)</f>
        <v>116.59</v>
      </c>
      <c r="N257">
        <f>VLOOKUP(A257,NYSEBP!A$2:G$506,2,0)</f>
        <v>32.479999999999997</v>
      </c>
      <c r="O257">
        <f>VLOOKUP(A257,NASDAQYHOO!A$2:G$506,2,0)</f>
        <v>36.630000000000003</v>
      </c>
    </row>
    <row r="258" spans="1:15">
      <c r="A258" s="39">
        <v>42516</v>
      </c>
      <c r="B258">
        <v>70.69</v>
      </c>
      <c r="C258">
        <f>VLOOKUP(A258,NYSEARCAVTI!A$2:G$506,2,0)</f>
        <v>107.02</v>
      </c>
      <c r="D258">
        <f>VLOOKUP(A258,NYSEARCAVEU!A$2:G$506,2,0)</f>
        <v>43.91</v>
      </c>
      <c r="E258">
        <f>VLOOKUP(A258,NYSEARCAVWO!A$2:G$506,2,0)</f>
        <v>33.75</v>
      </c>
      <c r="F258">
        <f>VLOOKUP(A258,NYSEARCABND!A$2:G$506,2,0)</f>
        <v>82.72</v>
      </c>
      <c r="G258">
        <f>VLOOKUP(A258,NYSEARCATIP!A$2:G$506,2,0)</f>
        <v>114.4</v>
      </c>
      <c r="H258">
        <f>VLOOKUP(A258,NYSEARCAMUB!A$2:G$506,2,0)</f>
        <v>112.43</v>
      </c>
      <c r="I258">
        <f>VLOOKUP(A258,NYSEARCAVNQ!A$2:G$506,2,0)</f>
        <v>82.91</v>
      </c>
      <c r="J258">
        <f>VLOOKUP(A258,NYSEARCARWX!A$2:G$506,2,0)</f>
        <v>42.17</v>
      </c>
      <c r="K258">
        <f>VLOOKUP(A258,NYSEARCADBC!A$2:G$506,2,0)</f>
        <v>14.83</v>
      </c>
      <c r="L258">
        <f>VLOOKUP(A258,NYSEARCAGSG!A$2:G$506,2,0)</f>
        <v>15.59</v>
      </c>
      <c r="M258">
        <f>VLOOKUP(A258,NYSEARCAGLD!A$2:G$506,2,0)</f>
        <v>117.57</v>
      </c>
      <c r="N258">
        <f>VLOOKUP(A258,NYSEBP!A$2:G$506,2,0)</f>
        <v>32.770000000000003</v>
      </c>
      <c r="O258">
        <f>VLOOKUP(A258,NASDAQYHOO!A$2:G$506,2,0)</f>
        <v>36.130000000000003</v>
      </c>
    </row>
    <row r="259" spans="1:15">
      <c r="A259" s="39">
        <v>42517</v>
      </c>
      <c r="B259">
        <v>70.86</v>
      </c>
      <c r="C259">
        <f>VLOOKUP(A259,NYSEARCAVTI!A$2:G$506,2,0)</f>
        <v>106.97</v>
      </c>
      <c r="D259">
        <f>VLOOKUP(A259,NYSEARCAVEU!A$2:G$506,2,0)</f>
        <v>43.85</v>
      </c>
      <c r="E259">
        <f>VLOOKUP(A259,NYSEARCAVWO!A$2:G$506,2,0)</f>
        <v>33.83</v>
      </c>
      <c r="F259">
        <f>VLOOKUP(A259,NYSEARCABND!A$2:G$506,2,0)</f>
        <v>82.8</v>
      </c>
      <c r="G259">
        <f>VLOOKUP(A259,NYSEARCATIP!A$2:G$506,2,0)</f>
        <v>114.51</v>
      </c>
      <c r="H259">
        <f>VLOOKUP(A259,NYSEARCAMUB!A$2:G$506,2,0)</f>
        <v>112.37</v>
      </c>
      <c r="I259">
        <f>VLOOKUP(A259,NYSEARCAVNQ!A$2:G$506,2,0)</f>
        <v>83.37</v>
      </c>
      <c r="J259">
        <f>VLOOKUP(A259,NYSEARCARWX!A$2:G$506,2,0)</f>
        <v>41.99</v>
      </c>
      <c r="K259">
        <f>VLOOKUP(A259,NYSEARCADBC!A$2:G$506,2,0)</f>
        <v>14.71</v>
      </c>
      <c r="L259">
        <f>VLOOKUP(A259,NYSEARCAGSG!A$2:G$506,2,0)</f>
        <v>15.46</v>
      </c>
      <c r="M259">
        <f>VLOOKUP(A259,NYSEARCAGLD!A$2:G$506,2,0)</f>
        <v>116.27</v>
      </c>
      <c r="N259">
        <f>VLOOKUP(A259,NYSEBP!A$2:G$506,2,0)</f>
        <v>32.24</v>
      </c>
      <c r="O259">
        <f>VLOOKUP(A259,NASDAQYHOO!A$2:G$506,2,0)</f>
        <v>36.880000000000003</v>
      </c>
    </row>
    <row r="260" spans="1:15">
      <c r="A260" s="39">
        <v>42521</v>
      </c>
      <c r="B260">
        <v>70.58</v>
      </c>
      <c r="C260">
        <f>VLOOKUP(A260,NYSEARCAVTI!A$2:G$506,2,0)</f>
        <v>107.57</v>
      </c>
      <c r="D260">
        <f>VLOOKUP(A260,NYSEARCAVEU!A$2:G$506,2,0)</f>
        <v>43.96</v>
      </c>
      <c r="E260">
        <f>VLOOKUP(A260,NYSEARCAVWO!A$2:G$506,2,0)</f>
        <v>33.75</v>
      </c>
      <c r="F260">
        <f>VLOOKUP(A260,NYSEARCABND!A$2:G$506,2,0)</f>
        <v>82.66</v>
      </c>
      <c r="G260">
        <f>VLOOKUP(A260,NYSEARCATIP!A$2:G$506,2,0)</f>
        <v>114.08</v>
      </c>
      <c r="H260">
        <f>VLOOKUP(A260,NYSEARCAMUB!A$2:G$506,2,0)</f>
        <v>112.21</v>
      </c>
      <c r="I260">
        <f>VLOOKUP(A260,NYSEARCAVNQ!A$2:G$506,2,0)</f>
        <v>83.55</v>
      </c>
      <c r="J260">
        <f>VLOOKUP(A260,NYSEARCARWX!A$2:G$506,2,0)</f>
        <v>42.13</v>
      </c>
      <c r="K260">
        <f>VLOOKUP(A260,NYSEARCADBC!A$2:G$506,2,0)</f>
        <v>14.81</v>
      </c>
      <c r="L260">
        <f>VLOOKUP(A260,NYSEARCAGSG!A$2:G$506,2,0)</f>
        <v>15.6</v>
      </c>
      <c r="M260">
        <f>VLOOKUP(A260,NYSEARCAGLD!A$2:G$506,2,0)</f>
        <v>115.76</v>
      </c>
      <c r="N260">
        <f>VLOOKUP(A260,NYSEBP!A$2:G$506,2,0)</f>
        <v>31.98</v>
      </c>
      <c r="O260">
        <f>VLOOKUP(A260,NASDAQYHOO!A$2:G$506,2,0)</f>
        <v>37.729999999999997</v>
      </c>
    </row>
    <row r="261" spans="1:15">
      <c r="A261" s="39">
        <v>42522</v>
      </c>
      <c r="B261">
        <v>70.5</v>
      </c>
      <c r="C261">
        <f>VLOOKUP(A261,NYSEARCAVTI!A$2:G$506,2,0)</f>
        <v>107</v>
      </c>
      <c r="D261">
        <f>VLOOKUP(A261,NYSEARCAVEU!A$2:G$506,2,0)</f>
        <v>43.41</v>
      </c>
      <c r="E261">
        <f>VLOOKUP(A261,NYSEARCAVWO!A$2:G$506,2,0)</f>
        <v>33.69</v>
      </c>
      <c r="F261">
        <f>VLOOKUP(A261,NYSEARCABND!A$2:G$506,2,0)</f>
        <v>82.74</v>
      </c>
      <c r="G261">
        <f>VLOOKUP(A261,NYSEARCATIP!A$2:G$506,2,0)</f>
        <v>114.26</v>
      </c>
      <c r="H261">
        <f>VLOOKUP(A261,NYSEARCAMUB!A$2:G$506,2,0)</f>
        <v>112.24</v>
      </c>
      <c r="I261">
        <f>VLOOKUP(A261,NYSEARCAVNQ!A$2:G$506,2,0)</f>
        <v>83.38</v>
      </c>
      <c r="J261">
        <f>VLOOKUP(A261,NYSEARCARWX!A$2:G$506,2,0)</f>
        <v>41.63</v>
      </c>
      <c r="K261">
        <f>VLOOKUP(A261,NYSEARCADBC!A$2:G$506,2,0)</f>
        <v>14.6</v>
      </c>
      <c r="L261">
        <f>VLOOKUP(A261,NYSEARCAGSG!A$2:G$506,2,0)</f>
        <v>15.28</v>
      </c>
      <c r="M261">
        <f>VLOOKUP(A261,NYSEARCAGLD!A$2:G$506,2,0)</f>
        <v>115.97</v>
      </c>
      <c r="N261">
        <f>VLOOKUP(A261,NYSEBP!A$2:G$506,2,0)</f>
        <v>30.8</v>
      </c>
      <c r="O261">
        <f>VLOOKUP(A261,NASDAQYHOO!A$2:G$506,2,0)</f>
        <v>37.25</v>
      </c>
    </row>
    <row r="262" spans="1:15">
      <c r="A262" s="39">
        <v>42523</v>
      </c>
      <c r="B262">
        <v>70.5</v>
      </c>
      <c r="C262">
        <f>VLOOKUP(A262,NYSEARCAVTI!A$2:G$506,2,0)</f>
        <v>107.4</v>
      </c>
      <c r="D262">
        <f>VLOOKUP(A262,NYSEARCAVEU!A$2:G$506,2,0)</f>
        <v>43.46</v>
      </c>
      <c r="E262">
        <f>VLOOKUP(A262,NYSEARCAVWO!A$2:G$506,2,0)</f>
        <v>33.78</v>
      </c>
      <c r="F262">
        <f>VLOOKUP(A262,NYSEARCABND!A$2:G$506,2,0)</f>
        <v>82.75</v>
      </c>
      <c r="G262">
        <f>VLOOKUP(A262,NYSEARCATIP!A$2:G$506,2,0)</f>
        <v>114.06</v>
      </c>
      <c r="H262">
        <f>VLOOKUP(A262,NYSEARCAMUB!A$2:G$506,2,0)</f>
        <v>112.19</v>
      </c>
      <c r="I262">
        <f>VLOOKUP(A262,NYSEARCAVNQ!A$2:G$506,2,0)</f>
        <v>83.5</v>
      </c>
      <c r="J262">
        <f>VLOOKUP(A262,NYSEARCARWX!A$2:G$506,2,0)</f>
        <v>41.49</v>
      </c>
      <c r="K262">
        <f>VLOOKUP(A262,NYSEARCADBC!A$2:G$506,2,0)</f>
        <v>14.79</v>
      </c>
      <c r="L262">
        <f>VLOOKUP(A262,NYSEARCAGSG!A$2:G$506,2,0)</f>
        <v>15.47</v>
      </c>
      <c r="M262">
        <f>VLOOKUP(A262,NYSEARCAGLD!A$2:G$506,2,0)</f>
        <v>115.78</v>
      </c>
      <c r="N262">
        <f>VLOOKUP(A262,NYSEBP!A$2:G$506,2,0)</f>
        <v>31.09</v>
      </c>
      <c r="O262">
        <f>VLOOKUP(A262,NASDAQYHOO!A$2:G$506,2,0)</f>
        <v>36.659999999999997</v>
      </c>
    </row>
    <row r="263" spans="1:15">
      <c r="A263" s="39">
        <v>42524</v>
      </c>
      <c r="B263">
        <v>70.569999999999993</v>
      </c>
      <c r="C263">
        <f>VLOOKUP(A263,NYSEARCAVTI!A$2:G$506,2,0)</f>
        <v>107.78</v>
      </c>
      <c r="D263">
        <f>VLOOKUP(A263,NYSEARCAVEU!A$2:G$506,2,0)</f>
        <v>43.9</v>
      </c>
      <c r="E263">
        <f>VLOOKUP(A263,NYSEARCAVWO!A$2:G$506,2,0)</f>
        <v>34.43</v>
      </c>
      <c r="F263">
        <f>VLOOKUP(A263,NYSEARCABND!A$2:G$506,2,0)</f>
        <v>83.22</v>
      </c>
      <c r="G263">
        <f>VLOOKUP(A263,NYSEARCATIP!A$2:G$506,2,0)</f>
        <v>115.2</v>
      </c>
      <c r="H263">
        <f>VLOOKUP(A263,NYSEARCAMUB!A$2:G$506,2,0)</f>
        <v>112.4</v>
      </c>
      <c r="I263">
        <f>VLOOKUP(A263,NYSEARCAVNQ!A$2:G$506,2,0)</f>
        <v>84.98</v>
      </c>
      <c r="J263">
        <f>VLOOKUP(A263,NYSEARCARWX!A$2:G$506,2,0)</f>
        <v>42.07</v>
      </c>
      <c r="K263">
        <f>VLOOKUP(A263,NYSEARCADBC!A$2:G$506,2,0)</f>
        <v>15.01</v>
      </c>
      <c r="L263">
        <f>VLOOKUP(A263,NYSEARCAGSG!A$2:G$506,2,0)</f>
        <v>15.69</v>
      </c>
      <c r="M263">
        <f>VLOOKUP(A263,NYSEARCAGLD!A$2:G$506,2,0)</f>
        <v>118.25</v>
      </c>
      <c r="N263">
        <f>VLOOKUP(A263,NYSEBP!A$2:G$506,2,0)</f>
        <v>31.82</v>
      </c>
      <c r="O263">
        <f>VLOOKUP(A263,NASDAQYHOO!A$2:G$506,2,0)</f>
        <v>37.11</v>
      </c>
    </row>
    <row r="264" spans="1:15">
      <c r="A264" s="39">
        <v>42527</v>
      </c>
      <c r="B264">
        <v>71.52</v>
      </c>
      <c r="C264">
        <f>VLOOKUP(A264,NYSEARCAVTI!A$2:G$506,2,0)</f>
        <v>107.84</v>
      </c>
      <c r="D264">
        <f>VLOOKUP(A264,NYSEARCAVEU!A$2:G$506,2,0)</f>
        <v>44.25</v>
      </c>
      <c r="E264">
        <f>VLOOKUP(A264,NYSEARCAVWO!A$2:G$506,2,0)</f>
        <v>34.67</v>
      </c>
      <c r="F264">
        <f>VLOOKUP(A264,NYSEARCABND!A$2:G$506,2,0)</f>
        <v>83.23</v>
      </c>
      <c r="G264">
        <f>VLOOKUP(A264,NYSEARCATIP!A$2:G$506,2,0)</f>
        <v>114.9</v>
      </c>
      <c r="H264">
        <f>VLOOKUP(A264,NYSEARCAMUB!A$2:G$506,2,0)</f>
        <v>112.43</v>
      </c>
      <c r="I264">
        <f>VLOOKUP(A264,NYSEARCAVNQ!A$2:G$506,2,0)</f>
        <v>84.59</v>
      </c>
      <c r="J264">
        <f>VLOOKUP(A264,NYSEARCARWX!A$2:G$506,2,0)</f>
        <v>42.56</v>
      </c>
      <c r="K264">
        <f>VLOOKUP(A264,NYSEARCADBC!A$2:G$506,2,0)</f>
        <v>15.14</v>
      </c>
      <c r="L264">
        <f>VLOOKUP(A264,NYSEARCAGSG!A$2:G$506,2,0)</f>
        <v>15.84</v>
      </c>
      <c r="M264">
        <f>VLOOKUP(A264,NYSEARCAGLD!A$2:G$506,2,0)</f>
        <v>118.89</v>
      </c>
      <c r="N264">
        <f>VLOOKUP(A264,NYSEBP!A$2:G$506,2,0)</f>
        <v>32.28</v>
      </c>
      <c r="O264">
        <f>VLOOKUP(A264,NASDAQYHOO!A$2:G$506,2,0)</f>
        <v>36.67</v>
      </c>
    </row>
    <row r="265" spans="1:15">
      <c r="A265" s="39">
        <v>42528</v>
      </c>
      <c r="B265">
        <v>71.099999999999994</v>
      </c>
      <c r="C265">
        <f>VLOOKUP(A265,NYSEARCAVTI!A$2:G$506,2,0)</f>
        <v>108.39</v>
      </c>
      <c r="D265">
        <f>VLOOKUP(A265,NYSEARCAVEU!A$2:G$506,2,0)</f>
        <v>44.76</v>
      </c>
      <c r="E265">
        <f>VLOOKUP(A265,NYSEARCAVWO!A$2:G$506,2,0)</f>
        <v>35.06</v>
      </c>
      <c r="F265">
        <f>VLOOKUP(A265,NYSEARCABND!A$2:G$506,2,0)</f>
        <v>83.28</v>
      </c>
      <c r="G265">
        <f>VLOOKUP(A265,NYSEARCATIP!A$2:G$506,2,0)</f>
        <v>115.34</v>
      </c>
      <c r="H265">
        <f>VLOOKUP(A265,NYSEARCAMUB!A$2:G$506,2,0)</f>
        <v>112.49</v>
      </c>
      <c r="I265">
        <f>VLOOKUP(A265,NYSEARCAVNQ!A$2:G$506,2,0)</f>
        <v>84.23</v>
      </c>
      <c r="J265">
        <f>VLOOKUP(A265,NYSEARCARWX!A$2:G$506,2,0)</f>
        <v>42.79</v>
      </c>
      <c r="K265">
        <f>VLOOKUP(A265,NYSEARCADBC!A$2:G$506,2,0)</f>
        <v>15.19</v>
      </c>
      <c r="L265">
        <f>VLOOKUP(A265,NYSEARCAGSG!A$2:G$506,2,0)</f>
        <v>15.85</v>
      </c>
      <c r="M265">
        <f>VLOOKUP(A265,NYSEARCAGLD!A$2:G$506,2,0)</f>
        <v>118.5</v>
      </c>
      <c r="N265">
        <f>VLOOKUP(A265,NYSEBP!A$2:G$506,2,0)</f>
        <v>32.81</v>
      </c>
      <c r="O265">
        <f>VLOOKUP(A265,NASDAQYHOO!A$2:G$506,2,0)</f>
        <v>36.9</v>
      </c>
    </row>
    <row r="266" spans="1:15">
      <c r="A266" s="39">
        <v>42529</v>
      </c>
      <c r="B266">
        <v>70.849999999999994</v>
      </c>
      <c r="C266">
        <f>VLOOKUP(A266,NYSEARCAVTI!A$2:G$506,2,0)</f>
        <v>108.61</v>
      </c>
      <c r="D266">
        <f>VLOOKUP(A266,NYSEARCAVEU!A$2:G$506,2,0)</f>
        <v>44.97</v>
      </c>
      <c r="E266">
        <f>VLOOKUP(A266,NYSEARCAVWO!A$2:G$506,2,0)</f>
        <v>35.409999999999997</v>
      </c>
      <c r="F266">
        <f>VLOOKUP(A266,NYSEARCABND!A$2:G$506,2,0)</f>
        <v>83.3</v>
      </c>
      <c r="G266">
        <f>VLOOKUP(A266,NYSEARCATIP!A$2:G$506,2,0)</f>
        <v>115.76</v>
      </c>
      <c r="H266">
        <f>VLOOKUP(A266,NYSEARCAMUB!A$2:G$506,2,0)</f>
        <v>112.56</v>
      </c>
      <c r="I266">
        <f>VLOOKUP(A266,NYSEARCAVNQ!A$2:G$506,2,0)</f>
        <v>84.31</v>
      </c>
      <c r="J266">
        <f>VLOOKUP(A266,NYSEARCARWX!A$2:G$506,2,0)</f>
        <v>43.12</v>
      </c>
      <c r="K266">
        <f>VLOOKUP(A266,NYSEARCADBC!A$2:G$506,2,0)</f>
        <v>15.5</v>
      </c>
      <c r="L266">
        <f>VLOOKUP(A266,NYSEARCAGSG!A$2:G$506,2,0)</f>
        <v>16.11</v>
      </c>
      <c r="M266">
        <f>VLOOKUP(A266,NYSEARCAGLD!A$2:G$506,2,0)</f>
        <v>120.3</v>
      </c>
      <c r="N266">
        <f>VLOOKUP(A266,NYSEBP!A$2:G$506,2,0)</f>
        <v>33.53</v>
      </c>
      <c r="O266">
        <f>VLOOKUP(A266,NASDAQYHOO!A$2:G$506,2,0)</f>
        <v>36.840000000000003</v>
      </c>
    </row>
    <row r="267" spans="1:15">
      <c r="A267" s="39">
        <v>42530</v>
      </c>
      <c r="B267">
        <v>71.36</v>
      </c>
      <c r="C267">
        <f>VLOOKUP(A267,NYSEARCAVTI!A$2:G$506,2,0)</f>
        <v>108.45</v>
      </c>
      <c r="D267">
        <f>VLOOKUP(A267,NYSEARCAVEU!A$2:G$506,2,0)</f>
        <v>44.45</v>
      </c>
      <c r="E267">
        <f>VLOOKUP(A267,NYSEARCAVWO!A$2:G$506,2,0)</f>
        <v>35.08</v>
      </c>
      <c r="F267">
        <f>VLOOKUP(A267,NYSEARCABND!A$2:G$506,2,0)</f>
        <v>83.47</v>
      </c>
      <c r="G267">
        <f>VLOOKUP(A267,NYSEARCATIP!A$2:G$506,2,0)</f>
        <v>115.95</v>
      </c>
      <c r="H267">
        <f>VLOOKUP(A267,NYSEARCAMUB!A$2:G$506,2,0)</f>
        <v>112.68</v>
      </c>
      <c r="I267">
        <f>VLOOKUP(A267,NYSEARCAVNQ!A$2:G$506,2,0)</f>
        <v>84.91</v>
      </c>
      <c r="J267">
        <f>VLOOKUP(A267,NYSEARCARWX!A$2:G$506,2,0)</f>
        <v>42.91</v>
      </c>
      <c r="K267">
        <f>VLOOKUP(A267,NYSEARCADBC!A$2:G$506,2,0)</f>
        <v>15.44</v>
      </c>
      <c r="L267">
        <f>VLOOKUP(A267,NYSEARCAGSG!A$2:G$506,2,0)</f>
        <v>16.05</v>
      </c>
      <c r="M267">
        <f>VLOOKUP(A267,NYSEARCAGLD!A$2:G$506,2,0)</f>
        <v>120.61</v>
      </c>
      <c r="N267">
        <f>VLOOKUP(A267,NYSEBP!A$2:G$506,2,0)</f>
        <v>32.700000000000003</v>
      </c>
      <c r="O267">
        <f>VLOOKUP(A267,NASDAQYHOO!A$2:G$506,2,0)</f>
        <v>36.82</v>
      </c>
    </row>
    <row r="268" spans="1:15">
      <c r="A268" s="39">
        <v>42531</v>
      </c>
      <c r="B268">
        <v>71</v>
      </c>
      <c r="C268">
        <f>VLOOKUP(A268,NYSEARCAVTI!A$2:G$506,2,0)</f>
        <v>107.78</v>
      </c>
      <c r="D268">
        <f>VLOOKUP(A268,NYSEARCAVEU!A$2:G$506,2,0)</f>
        <v>43.61</v>
      </c>
      <c r="E268">
        <f>VLOOKUP(A268,NYSEARCAVWO!A$2:G$506,2,0)</f>
        <v>34.450000000000003</v>
      </c>
      <c r="F268">
        <f>VLOOKUP(A268,NYSEARCABND!A$2:G$506,2,0)</f>
        <v>83.49</v>
      </c>
      <c r="G268">
        <f>VLOOKUP(A268,NYSEARCATIP!A$2:G$506,2,0)</f>
        <v>115.85</v>
      </c>
      <c r="H268">
        <f>VLOOKUP(A268,NYSEARCAMUB!A$2:G$506,2,0)</f>
        <v>112.92</v>
      </c>
      <c r="I268">
        <f>VLOOKUP(A268,NYSEARCAVNQ!A$2:G$506,2,0)</f>
        <v>84.78</v>
      </c>
      <c r="J268">
        <f>VLOOKUP(A268,NYSEARCARWX!A$2:G$506,2,0)</f>
        <v>42.51</v>
      </c>
      <c r="K268">
        <f>VLOOKUP(A268,NYSEARCADBC!A$2:G$506,2,0)</f>
        <v>15.43</v>
      </c>
      <c r="L268">
        <f>VLOOKUP(A268,NYSEARCAGSG!A$2:G$506,2,0)</f>
        <v>15.98</v>
      </c>
      <c r="M268">
        <f>VLOOKUP(A268,NYSEARCAGLD!A$2:G$506,2,0)</f>
        <v>121.55</v>
      </c>
      <c r="N268">
        <f>VLOOKUP(A268,NYSEBP!A$2:G$506,2,0)</f>
        <v>32.369999999999997</v>
      </c>
      <c r="O268">
        <f>VLOOKUP(A268,NASDAQYHOO!A$2:G$506,2,0)</f>
        <v>36.97</v>
      </c>
    </row>
    <row r="269" spans="1:15">
      <c r="A269" s="39">
        <v>42534</v>
      </c>
      <c r="B269">
        <v>71</v>
      </c>
      <c r="C269">
        <f>VLOOKUP(A269,NYSEARCAVTI!A$2:G$506,2,0)</f>
        <v>107.15</v>
      </c>
      <c r="D269">
        <f>VLOOKUP(A269,NYSEARCAVEU!A$2:G$506,2,0)</f>
        <v>42.71</v>
      </c>
      <c r="E269">
        <f>VLOOKUP(A269,NYSEARCAVWO!A$2:G$506,2,0)</f>
        <v>33.86</v>
      </c>
      <c r="F269">
        <f>VLOOKUP(A269,NYSEARCABND!A$2:G$506,2,0)</f>
        <v>83.56</v>
      </c>
      <c r="G269">
        <f>VLOOKUP(A269,NYSEARCATIP!A$2:G$506,2,0)</f>
        <v>115.7</v>
      </c>
      <c r="H269">
        <f>VLOOKUP(A269,NYSEARCAMUB!A$2:G$506,2,0)</f>
        <v>113.1</v>
      </c>
      <c r="I269">
        <f>VLOOKUP(A269,NYSEARCAVNQ!A$2:G$506,2,0)</f>
        <v>84.73</v>
      </c>
      <c r="J269">
        <f>VLOOKUP(A269,NYSEARCARWX!A$2:G$506,2,0)</f>
        <v>41.83</v>
      </c>
      <c r="K269">
        <f>VLOOKUP(A269,NYSEARCADBC!A$2:G$506,2,0)</f>
        <v>15.35</v>
      </c>
      <c r="L269">
        <f>VLOOKUP(A269,NYSEARCAGSG!A$2:G$506,2,0)</f>
        <v>15.77</v>
      </c>
      <c r="M269">
        <f>VLOOKUP(A269,NYSEARCAGLD!A$2:G$506,2,0)</f>
        <v>122.8</v>
      </c>
      <c r="N269">
        <f>VLOOKUP(A269,NYSEBP!A$2:G$506,2,0)</f>
        <v>31.79</v>
      </c>
      <c r="O269">
        <f>VLOOKUP(A269,NASDAQYHOO!A$2:G$506,2,0)</f>
        <v>36.700000000000003</v>
      </c>
    </row>
    <row r="270" spans="1:15">
      <c r="A270" s="39">
        <v>42535</v>
      </c>
      <c r="B270">
        <v>70.66</v>
      </c>
      <c r="C270">
        <f>VLOOKUP(A270,NYSEARCAVTI!A$2:G$506,2,0)</f>
        <v>105.9</v>
      </c>
      <c r="D270">
        <f>VLOOKUP(A270,NYSEARCAVEU!A$2:G$506,2,0)</f>
        <v>41.75</v>
      </c>
      <c r="E270">
        <f>VLOOKUP(A270,NYSEARCAVWO!A$2:G$506,2,0)</f>
        <v>33.479999999999997</v>
      </c>
      <c r="F270">
        <f>VLOOKUP(A270,NYSEARCABND!A$2:G$506,2,0)</f>
        <v>83.62</v>
      </c>
      <c r="G270">
        <f>VLOOKUP(A270,NYSEARCATIP!A$2:G$506,2,0)</f>
        <v>115.64</v>
      </c>
      <c r="H270">
        <f>VLOOKUP(A270,NYSEARCAMUB!A$2:G$506,2,0)</f>
        <v>113.19</v>
      </c>
      <c r="I270">
        <f>VLOOKUP(A270,NYSEARCAVNQ!A$2:G$506,2,0)</f>
        <v>84.72</v>
      </c>
      <c r="J270">
        <f>VLOOKUP(A270,NYSEARCARWX!A$2:G$506,2,0)</f>
        <v>41.41</v>
      </c>
      <c r="K270">
        <f>VLOOKUP(A270,NYSEARCADBC!A$2:G$506,2,0)</f>
        <v>15.25</v>
      </c>
      <c r="L270">
        <f>VLOOKUP(A270,NYSEARCAGSG!A$2:G$506,2,0)</f>
        <v>15.67</v>
      </c>
      <c r="M270">
        <f>VLOOKUP(A270,NYSEARCAGLD!A$2:G$506,2,0)</f>
        <v>123</v>
      </c>
      <c r="N270">
        <f>VLOOKUP(A270,NYSEBP!A$2:G$506,2,0)</f>
        <v>31.46</v>
      </c>
      <c r="O270">
        <f>VLOOKUP(A270,NASDAQYHOO!A$2:G$506,2,0)</f>
        <v>36.630000000000003</v>
      </c>
    </row>
    <row r="271" spans="1:15">
      <c r="A271" s="39">
        <v>42536</v>
      </c>
      <c r="B271">
        <v>71.2</v>
      </c>
      <c r="C271">
        <f>VLOOKUP(A271,NYSEARCAVTI!A$2:G$506,2,0)</f>
        <v>106.19</v>
      </c>
      <c r="D271">
        <f>VLOOKUP(A271,NYSEARCAVEU!A$2:G$506,2,0)</f>
        <v>41.91</v>
      </c>
      <c r="E271">
        <f>VLOOKUP(A271,NYSEARCAVWO!A$2:G$506,2,0)</f>
        <v>33.729999999999997</v>
      </c>
      <c r="F271">
        <f>VLOOKUP(A271,NYSEARCABND!A$2:G$506,2,0)</f>
        <v>83.56</v>
      </c>
      <c r="G271">
        <f>VLOOKUP(A271,NYSEARCATIP!A$2:G$506,2,0)</f>
        <v>115.41</v>
      </c>
      <c r="H271">
        <f>VLOOKUP(A271,NYSEARCAMUB!A$2:G$506,2,0)</f>
        <v>113.23</v>
      </c>
      <c r="I271">
        <f>VLOOKUP(A271,NYSEARCAVNQ!A$2:G$506,2,0)</f>
        <v>84.69</v>
      </c>
      <c r="J271">
        <f>VLOOKUP(A271,NYSEARCARWX!A$2:G$506,2,0)</f>
        <v>41.46</v>
      </c>
      <c r="K271">
        <f>VLOOKUP(A271,NYSEARCADBC!A$2:G$506,2,0)</f>
        <v>15.24</v>
      </c>
      <c r="L271">
        <f>VLOOKUP(A271,NYSEARCAGSG!A$2:G$506,2,0)</f>
        <v>15.63</v>
      </c>
      <c r="M271">
        <f>VLOOKUP(A271,NYSEARCAGLD!A$2:G$506,2,0)</f>
        <v>122.52</v>
      </c>
      <c r="N271">
        <f>VLOOKUP(A271,NYSEBP!A$2:G$506,2,0)</f>
        <v>30.92</v>
      </c>
      <c r="O271">
        <f>VLOOKUP(A271,NASDAQYHOO!A$2:G$506,2,0)</f>
        <v>37.43</v>
      </c>
    </row>
    <row r="272" spans="1:15">
      <c r="A272" s="39">
        <v>42537</v>
      </c>
      <c r="B272">
        <v>71</v>
      </c>
      <c r="C272">
        <f>VLOOKUP(A272,NYSEARCAVTI!A$2:G$506,2,0)</f>
        <v>105.3</v>
      </c>
      <c r="D272">
        <f>VLOOKUP(A272,NYSEARCAVEU!A$2:G$506,2,0)</f>
        <v>41.28</v>
      </c>
      <c r="E272">
        <f>VLOOKUP(A272,NYSEARCAVWO!A$2:G$506,2,0)</f>
        <v>33.28</v>
      </c>
      <c r="F272">
        <f>VLOOKUP(A272,NYSEARCABND!A$2:G$506,2,0)</f>
        <v>83.82</v>
      </c>
      <c r="G272">
        <f>VLOOKUP(A272,NYSEARCATIP!A$2:G$506,2,0)</f>
        <v>115.88</v>
      </c>
      <c r="H272">
        <f>VLOOKUP(A272,NYSEARCAMUB!A$2:G$506,2,0)</f>
        <v>113.39</v>
      </c>
      <c r="I272">
        <f>VLOOKUP(A272,NYSEARCAVNQ!A$2:G$506,2,0)</f>
        <v>85.18</v>
      </c>
      <c r="J272">
        <f>VLOOKUP(A272,NYSEARCARWX!A$2:G$506,2,0)</f>
        <v>40.909999999999997</v>
      </c>
      <c r="K272">
        <f>VLOOKUP(A272,NYSEARCADBC!A$2:G$506,2,0)</f>
        <v>15.15</v>
      </c>
      <c r="L272">
        <f>VLOOKUP(A272,NYSEARCAGSG!A$2:G$506,2,0)</f>
        <v>15.48</v>
      </c>
      <c r="M272">
        <f>VLOOKUP(A272,NYSEARCAGLD!A$2:G$506,2,0)</f>
        <v>125.17</v>
      </c>
      <c r="N272">
        <f>VLOOKUP(A272,NYSEBP!A$2:G$506,2,0)</f>
        <v>31.19</v>
      </c>
      <c r="O272">
        <f>VLOOKUP(A272,NASDAQYHOO!A$2:G$506,2,0)</f>
        <v>37.39</v>
      </c>
    </row>
    <row r="273" spans="1:15">
      <c r="A273" s="39">
        <v>42538</v>
      </c>
      <c r="B273">
        <v>71.05</v>
      </c>
      <c r="C273">
        <f>VLOOKUP(A273,NYSEARCAVTI!A$2:G$506,2,0)</f>
        <v>106.12</v>
      </c>
      <c r="D273">
        <f>VLOOKUP(A273,NYSEARCAVEU!A$2:G$506,2,0)</f>
        <v>42.04</v>
      </c>
      <c r="E273">
        <f>VLOOKUP(A273,NYSEARCAVWO!A$2:G$506,2,0)</f>
        <v>33.72</v>
      </c>
      <c r="F273">
        <f>VLOOKUP(A273,NYSEARCABND!A$2:G$506,2,0)</f>
        <v>83.71</v>
      </c>
      <c r="G273">
        <f>VLOOKUP(A273,NYSEARCATIP!A$2:G$506,2,0)</f>
        <v>115.72</v>
      </c>
      <c r="H273">
        <f>VLOOKUP(A273,NYSEARCAMUB!A$2:G$506,2,0)</f>
        <v>113.5</v>
      </c>
      <c r="I273">
        <f>VLOOKUP(A273,NYSEARCAVNQ!A$2:G$506,2,0)</f>
        <v>85.83</v>
      </c>
      <c r="J273">
        <f>VLOOKUP(A273,NYSEARCARWX!A$2:G$506,2,0)</f>
        <v>40.96</v>
      </c>
      <c r="K273">
        <f>VLOOKUP(A273,NYSEARCADBC!A$2:G$506,2,0)</f>
        <v>15.14</v>
      </c>
      <c r="L273">
        <f>VLOOKUP(A273,NYSEARCAGSG!A$2:G$506,2,0)</f>
        <v>15.49</v>
      </c>
      <c r="M273">
        <f>VLOOKUP(A273,NYSEARCAGLD!A$2:G$506,2,0)</f>
        <v>123.26</v>
      </c>
      <c r="N273">
        <f>VLOOKUP(A273,NYSEBP!A$2:G$506,2,0)</f>
        <v>32.31</v>
      </c>
      <c r="O273">
        <f>VLOOKUP(A273,NASDAQYHOO!A$2:G$506,2,0)</f>
        <v>37.43</v>
      </c>
    </row>
    <row r="274" spans="1:15">
      <c r="A274" s="39">
        <v>42541</v>
      </c>
      <c r="B274">
        <v>71.31</v>
      </c>
      <c r="C274">
        <f>VLOOKUP(A274,NYSEARCAVTI!A$2:G$506,2,0)</f>
        <v>106.93</v>
      </c>
      <c r="D274">
        <f>VLOOKUP(A274,NYSEARCAVEU!A$2:G$506,2,0)</f>
        <v>43.38</v>
      </c>
      <c r="E274">
        <f>VLOOKUP(A274,NYSEARCAVWO!A$2:G$506,2,0)</f>
        <v>34.39</v>
      </c>
      <c r="F274">
        <f>VLOOKUP(A274,NYSEARCABND!A$2:G$506,2,0)</f>
        <v>83.48</v>
      </c>
      <c r="G274">
        <f>VLOOKUP(A274,NYSEARCATIP!A$2:G$506,2,0)</f>
        <v>115.17</v>
      </c>
      <c r="H274">
        <f>VLOOKUP(A274,NYSEARCAMUB!A$2:G$506,2,0)</f>
        <v>113.3</v>
      </c>
      <c r="I274">
        <f>VLOOKUP(A274,NYSEARCAVNQ!A$2:G$506,2,0)</f>
        <v>86.05</v>
      </c>
      <c r="J274">
        <f>VLOOKUP(A274,NYSEARCARWX!A$2:G$506,2,0)</f>
        <v>42.25</v>
      </c>
      <c r="K274">
        <f>VLOOKUP(A274,NYSEARCADBC!A$2:G$506,2,0)</f>
        <v>15.32</v>
      </c>
      <c r="L274">
        <f>VLOOKUP(A274,NYSEARCAGSG!A$2:G$506,2,0)</f>
        <v>15.77</v>
      </c>
      <c r="M274">
        <f>VLOOKUP(A274,NYSEARCAGLD!A$2:G$506,2,0)</f>
        <v>122.26</v>
      </c>
      <c r="N274">
        <f>VLOOKUP(A274,NYSEBP!A$2:G$506,2,0)</f>
        <v>33.82</v>
      </c>
      <c r="O274">
        <f>VLOOKUP(A274,NASDAQYHOO!A$2:G$506,2,0)</f>
        <v>37.270000000000003</v>
      </c>
    </row>
    <row r="275" spans="1:15">
      <c r="A275" s="39">
        <v>42542</v>
      </c>
      <c r="B275">
        <v>70.95</v>
      </c>
      <c r="C275">
        <f>VLOOKUP(A275,NYSEARCAVTI!A$2:G$506,2,0)</f>
        <v>106.8</v>
      </c>
      <c r="D275">
        <f>VLOOKUP(A275,NYSEARCAVEU!A$2:G$506,2,0)</f>
        <v>43.44</v>
      </c>
      <c r="E275">
        <f>VLOOKUP(A275,NYSEARCAVWO!A$2:G$506,2,0)</f>
        <v>34.5</v>
      </c>
      <c r="F275">
        <f>VLOOKUP(A275,NYSEARCABND!A$2:G$506,2,0)</f>
        <v>83.48</v>
      </c>
      <c r="G275">
        <f>VLOOKUP(A275,NYSEARCATIP!A$2:G$506,2,0)</f>
        <v>114.89</v>
      </c>
      <c r="H275">
        <f>VLOOKUP(A275,NYSEARCAMUB!A$2:G$506,2,0)</f>
        <v>113.3</v>
      </c>
      <c r="I275">
        <f>VLOOKUP(A275,NYSEARCAVNQ!A$2:G$506,2,0)</f>
        <v>85.31</v>
      </c>
      <c r="J275">
        <f>VLOOKUP(A275,NYSEARCARWX!A$2:G$506,2,0)</f>
        <v>42.45</v>
      </c>
      <c r="K275">
        <f>VLOOKUP(A275,NYSEARCADBC!A$2:G$506,2,0)</f>
        <v>15.28</v>
      </c>
      <c r="L275">
        <f>VLOOKUP(A275,NYSEARCAGSG!A$2:G$506,2,0)</f>
        <v>15.7</v>
      </c>
      <c r="M275">
        <f>VLOOKUP(A275,NYSEARCAGLD!A$2:G$506,2,0)</f>
        <v>121.65</v>
      </c>
      <c r="N275">
        <f>VLOOKUP(A275,NYSEBP!A$2:G$506,2,0)</f>
        <v>33.74</v>
      </c>
      <c r="O275">
        <f>VLOOKUP(A275,NASDAQYHOO!A$2:G$506,2,0)</f>
        <v>37.369999999999997</v>
      </c>
    </row>
    <row r="276" spans="1:15">
      <c r="A276" s="39">
        <v>42543</v>
      </c>
      <c r="B276">
        <v>71.599999999999994</v>
      </c>
      <c r="C276">
        <f>VLOOKUP(A276,NYSEARCAVTI!A$2:G$506,2,0)</f>
        <v>106.8</v>
      </c>
      <c r="D276">
        <f>VLOOKUP(A276,NYSEARCAVEU!A$2:G$506,2,0)</f>
        <v>43.65</v>
      </c>
      <c r="E276">
        <f>VLOOKUP(A276,NYSEARCAVWO!A$2:G$506,2,0)</f>
        <v>34.76</v>
      </c>
      <c r="F276">
        <f>VLOOKUP(A276,NYSEARCABND!A$2:G$506,2,0)</f>
        <v>83.38</v>
      </c>
      <c r="G276">
        <f>VLOOKUP(A276,NYSEARCATIP!A$2:G$506,2,0)</f>
        <v>114.76</v>
      </c>
      <c r="H276">
        <f>VLOOKUP(A276,NYSEARCAMUB!A$2:G$506,2,0)</f>
        <v>113.25</v>
      </c>
      <c r="I276">
        <f>VLOOKUP(A276,NYSEARCAVNQ!A$2:G$506,2,0)</f>
        <v>85.5</v>
      </c>
      <c r="J276">
        <f>VLOOKUP(A276,NYSEARCARWX!A$2:G$506,2,0)</f>
        <v>42.37</v>
      </c>
      <c r="K276">
        <f>VLOOKUP(A276,NYSEARCADBC!A$2:G$506,2,0)</f>
        <v>15.36</v>
      </c>
      <c r="L276">
        <f>VLOOKUP(A276,NYSEARCAGSG!A$2:G$506,2,0)</f>
        <v>15.81</v>
      </c>
      <c r="M276">
        <f>VLOOKUP(A276,NYSEARCAGLD!A$2:G$506,2,0)</f>
        <v>120.83</v>
      </c>
      <c r="N276">
        <f>VLOOKUP(A276,NYSEBP!A$2:G$506,2,0)</f>
        <v>34.520000000000003</v>
      </c>
      <c r="O276">
        <f>VLOOKUP(A276,NASDAQYHOO!A$2:G$506,2,0)</f>
        <v>37.369999999999997</v>
      </c>
    </row>
    <row r="277" spans="1:15">
      <c r="A277" s="39">
        <v>42544</v>
      </c>
      <c r="B277">
        <v>72.2</v>
      </c>
      <c r="C277">
        <f>VLOOKUP(A277,NYSEARCAVTI!A$2:G$506,2,0)</f>
        <v>107.42</v>
      </c>
      <c r="D277">
        <f>VLOOKUP(A277,NYSEARCAVEU!A$2:G$506,2,0)</f>
        <v>44.32</v>
      </c>
      <c r="E277">
        <f>VLOOKUP(A277,NYSEARCAVWO!A$2:G$506,2,0)</f>
        <v>35.07</v>
      </c>
      <c r="F277">
        <f>VLOOKUP(A277,NYSEARCABND!A$2:G$506,2,0)</f>
        <v>83.27</v>
      </c>
      <c r="G277">
        <f>VLOOKUP(A277,NYSEARCATIP!A$2:G$506,2,0)</f>
        <v>115.06</v>
      </c>
      <c r="H277">
        <f>VLOOKUP(A277,NYSEARCAMUB!A$2:G$506,2,0)</f>
        <v>113.08</v>
      </c>
      <c r="I277">
        <f>VLOOKUP(A277,NYSEARCAVNQ!A$2:G$506,2,0)</f>
        <v>85.58</v>
      </c>
      <c r="J277">
        <f>VLOOKUP(A277,NYSEARCARWX!A$2:G$506,2,0)</f>
        <v>42.89</v>
      </c>
      <c r="K277">
        <f>VLOOKUP(A277,NYSEARCADBC!A$2:G$506,2,0)</f>
        <v>15.25</v>
      </c>
      <c r="L277">
        <f>VLOOKUP(A277,NYSEARCAGSG!A$2:G$506,2,0)</f>
        <v>15.74</v>
      </c>
      <c r="M277">
        <f>VLOOKUP(A277,NYSEARCAGLD!A$2:G$506,2,0)</f>
        <v>120.49</v>
      </c>
      <c r="N277">
        <f>VLOOKUP(A277,NYSEBP!A$2:G$506,2,0)</f>
        <v>34.74</v>
      </c>
      <c r="O277">
        <f>VLOOKUP(A277,NASDAQYHOO!A$2:G$506,2,0)</f>
        <v>37.64</v>
      </c>
    </row>
    <row r="278" spans="1:15">
      <c r="A278" s="39">
        <v>42545</v>
      </c>
      <c r="B278">
        <v>70.55</v>
      </c>
      <c r="C278">
        <f>VLOOKUP(A278,NYSEARCAVTI!A$2:G$506,2,0)</f>
        <v>104.12</v>
      </c>
      <c r="D278">
        <f>VLOOKUP(A278,NYSEARCAVEU!A$2:G$506,2,0)</f>
        <v>41.26</v>
      </c>
      <c r="E278">
        <f>VLOOKUP(A278,NYSEARCAVWO!A$2:G$506,2,0)</f>
        <v>33.57</v>
      </c>
      <c r="F278">
        <f>VLOOKUP(A278,NYSEARCABND!A$2:G$506,2,0)</f>
        <v>83.84</v>
      </c>
      <c r="G278">
        <f>VLOOKUP(A278,NYSEARCATIP!A$2:G$506,2,0)</f>
        <v>115.77</v>
      </c>
      <c r="H278">
        <f>VLOOKUP(A278,NYSEARCAMUB!A$2:G$506,2,0)</f>
        <v>113.99</v>
      </c>
      <c r="I278">
        <f>VLOOKUP(A278,NYSEARCAVNQ!A$2:G$506,2,0)</f>
        <v>84.13</v>
      </c>
      <c r="J278">
        <f>VLOOKUP(A278,NYSEARCARWX!A$2:G$506,2,0)</f>
        <v>39.86</v>
      </c>
      <c r="K278">
        <f>VLOOKUP(A278,NYSEARCADBC!A$2:G$506,2,0)</f>
        <v>14.93</v>
      </c>
      <c r="L278">
        <f>VLOOKUP(A278,NYSEARCAGSG!A$2:G$506,2,0)</f>
        <v>15.19</v>
      </c>
      <c r="M278">
        <f>VLOOKUP(A278,NYSEARCAGLD!A$2:G$506,2,0)</f>
        <v>126.62</v>
      </c>
      <c r="N278">
        <f>VLOOKUP(A278,NYSEBP!A$2:G$506,2,0)</f>
        <v>32.03</v>
      </c>
      <c r="O278">
        <f>VLOOKUP(A278,NASDAQYHOO!A$2:G$506,2,0)</f>
        <v>36.4</v>
      </c>
    </row>
    <row r="279" spans="1:15">
      <c r="A279" s="39">
        <v>42548</v>
      </c>
      <c r="B279">
        <v>71.64</v>
      </c>
      <c r="C279">
        <f>VLOOKUP(A279,NYSEARCAVTI!A$2:G$506,2,0)</f>
        <v>103.22</v>
      </c>
      <c r="D279">
        <f>VLOOKUP(A279,NYSEARCAVEU!A$2:G$506,2,0)</f>
        <v>40.75</v>
      </c>
      <c r="E279">
        <f>VLOOKUP(A279,NYSEARCAVWO!A$2:G$506,2,0)</f>
        <v>33.380000000000003</v>
      </c>
      <c r="F279">
        <f>VLOOKUP(A279,NYSEARCABND!A$2:G$506,2,0)</f>
        <v>84.16</v>
      </c>
      <c r="G279">
        <f>VLOOKUP(A279,NYSEARCATIP!A$2:G$506,2,0)</f>
        <v>116</v>
      </c>
      <c r="H279">
        <f>VLOOKUP(A279,NYSEARCAMUB!A$2:G$506,2,0)</f>
        <v>114.07</v>
      </c>
      <c r="I279">
        <f>VLOOKUP(A279,NYSEARCAVNQ!A$2:G$506,2,0)</f>
        <v>84.52</v>
      </c>
      <c r="J279">
        <f>VLOOKUP(A279,NYSEARCARWX!A$2:G$506,2,0)</f>
        <v>39.25</v>
      </c>
      <c r="K279">
        <f>VLOOKUP(A279,NYSEARCADBC!A$2:G$506,2,0)</f>
        <v>15</v>
      </c>
      <c r="L279">
        <f>VLOOKUP(A279,NYSEARCAGSG!A$2:G$506,2,0)</f>
        <v>15.18</v>
      </c>
      <c r="M279">
        <f>VLOOKUP(A279,NYSEARCAGLD!A$2:G$506,2,0)</f>
        <v>126.44</v>
      </c>
      <c r="N279">
        <f>VLOOKUP(A279,NYSEBP!A$2:G$506,2,0)</f>
        <v>32.18</v>
      </c>
      <c r="O279">
        <f>VLOOKUP(A279,NASDAQYHOO!A$2:G$506,2,0)</f>
        <v>35.869999999999997</v>
      </c>
    </row>
    <row r="280" spans="1:15">
      <c r="A280" s="39">
        <v>42549</v>
      </c>
      <c r="B280">
        <v>71.760000000000005</v>
      </c>
      <c r="C280">
        <f>VLOOKUP(A280,NYSEARCAVTI!A$2:G$506,2,0)</f>
        <v>103.08</v>
      </c>
      <c r="D280">
        <f>VLOOKUP(A280,NYSEARCAVEU!A$2:G$506,2,0)</f>
        <v>41.35</v>
      </c>
      <c r="E280">
        <f>VLOOKUP(A280,NYSEARCAVWO!A$2:G$506,2,0)</f>
        <v>33.89</v>
      </c>
      <c r="F280">
        <f>VLOOKUP(A280,NYSEARCABND!A$2:G$506,2,0)</f>
        <v>84.25</v>
      </c>
      <c r="G280">
        <f>VLOOKUP(A280,NYSEARCATIP!A$2:G$506,2,0)</f>
        <v>116.2</v>
      </c>
      <c r="H280">
        <f>VLOOKUP(A280,NYSEARCAMUB!A$2:G$506,2,0)</f>
        <v>114.06</v>
      </c>
      <c r="I280">
        <f>VLOOKUP(A280,NYSEARCAVNQ!A$2:G$506,2,0)</f>
        <v>85.47</v>
      </c>
      <c r="J280">
        <f>VLOOKUP(A280,NYSEARCARWX!A$2:G$506,2,0)</f>
        <v>40.19</v>
      </c>
      <c r="K280">
        <f>VLOOKUP(A280,NYSEARCADBC!A$2:G$506,2,0)</f>
        <v>15.19</v>
      </c>
      <c r="L280">
        <f>VLOOKUP(A280,NYSEARCAGSG!A$2:G$506,2,0)</f>
        <v>15.43</v>
      </c>
      <c r="M280">
        <f>VLOOKUP(A280,NYSEARCAGLD!A$2:G$506,2,0)</f>
        <v>125.56</v>
      </c>
      <c r="N280">
        <f>VLOOKUP(A280,NYSEBP!A$2:G$506,2,0)</f>
        <v>33.01</v>
      </c>
      <c r="O280">
        <f>VLOOKUP(A280,NASDAQYHOO!A$2:G$506,2,0)</f>
        <v>35.58</v>
      </c>
    </row>
    <row r="281" spans="1:15">
      <c r="A281" s="39">
        <v>42550</v>
      </c>
      <c r="B281">
        <v>71.63</v>
      </c>
      <c r="C281">
        <f>VLOOKUP(A281,NYSEARCAVTI!A$2:G$506,2,0)</f>
        <v>104.68</v>
      </c>
      <c r="D281">
        <f>VLOOKUP(A281,NYSEARCAVEU!A$2:G$506,2,0)</f>
        <v>42.11</v>
      </c>
      <c r="E281">
        <f>VLOOKUP(A281,NYSEARCAVWO!A$2:G$506,2,0)</f>
        <v>34.68</v>
      </c>
      <c r="F281">
        <f>VLOOKUP(A281,NYSEARCABND!A$2:G$506,2,0)</f>
        <v>84.32</v>
      </c>
      <c r="G281">
        <f>VLOOKUP(A281,NYSEARCATIP!A$2:G$506,2,0)</f>
        <v>116.63</v>
      </c>
      <c r="H281">
        <f>VLOOKUP(A281,NYSEARCAMUB!A$2:G$506,2,0)</f>
        <v>113.88</v>
      </c>
      <c r="I281">
        <f>VLOOKUP(A281,NYSEARCAVNQ!A$2:G$506,2,0)</f>
        <v>87.12</v>
      </c>
      <c r="J281">
        <f>VLOOKUP(A281,NYSEARCARWX!A$2:G$506,2,0)</f>
        <v>40.93</v>
      </c>
      <c r="K281">
        <f>VLOOKUP(A281,NYSEARCADBC!A$2:G$506,2,0)</f>
        <v>15.32</v>
      </c>
      <c r="L281">
        <f>VLOOKUP(A281,NYSEARCAGSG!A$2:G$506,2,0)</f>
        <v>15.51</v>
      </c>
      <c r="M281">
        <f>VLOOKUP(A281,NYSEARCAGLD!A$2:G$506,2,0)</f>
        <v>125.91</v>
      </c>
      <c r="N281">
        <f>VLOOKUP(A281,NYSEBP!A$2:G$506,2,0)</f>
        <v>34.159999999999997</v>
      </c>
      <c r="O281">
        <f>VLOOKUP(A281,NASDAQYHOO!A$2:G$506,2,0)</f>
        <v>36.25</v>
      </c>
    </row>
    <row r="282" spans="1:15">
      <c r="A282" s="39">
        <v>42551</v>
      </c>
      <c r="B282">
        <v>72.569999999999993</v>
      </c>
      <c r="C282">
        <f>VLOOKUP(A282,NYSEARCAVTI!A$2:G$506,2,0)</f>
        <v>106.01</v>
      </c>
      <c r="D282">
        <f>VLOOKUP(A282,NYSEARCAVEU!A$2:G$506,2,0)</f>
        <v>42.4</v>
      </c>
      <c r="E282">
        <f>VLOOKUP(A282,NYSEARCAVWO!A$2:G$506,2,0)</f>
        <v>35</v>
      </c>
      <c r="F282">
        <f>VLOOKUP(A282,NYSEARCABND!A$2:G$506,2,0)</f>
        <v>84.21</v>
      </c>
      <c r="G282">
        <f>VLOOKUP(A282,NYSEARCATIP!A$2:G$506,2,0)</f>
        <v>116.58</v>
      </c>
      <c r="H282">
        <f>VLOOKUP(A282,NYSEARCAMUB!A$2:G$506,2,0)</f>
        <v>113.92</v>
      </c>
      <c r="I282">
        <f>VLOOKUP(A282,NYSEARCAVNQ!A$2:G$506,2,0)</f>
        <v>87.99</v>
      </c>
      <c r="J282">
        <f>VLOOKUP(A282,NYSEARCARWX!A$2:G$506,2,0)</f>
        <v>41.13</v>
      </c>
      <c r="K282">
        <f>VLOOKUP(A282,NYSEARCADBC!A$2:G$506,2,0)</f>
        <v>15.36</v>
      </c>
      <c r="L282">
        <f>VLOOKUP(A282,NYSEARCAGSG!A$2:G$506,2,0)</f>
        <v>15.61</v>
      </c>
      <c r="M282">
        <f>VLOOKUP(A282,NYSEARCAGLD!A$2:G$506,2,0)</f>
        <v>125.95</v>
      </c>
      <c r="N282">
        <f>VLOOKUP(A282,NYSEBP!A$2:G$506,2,0)</f>
        <v>34.85</v>
      </c>
      <c r="O282">
        <f>VLOOKUP(A282,NASDAQYHOO!A$2:G$506,2,0)</f>
        <v>36.89</v>
      </c>
    </row>
    <row r="283" spans="1:15">
      <c r="A283" s="39">
        <v>42552</v>
      </c>
      <c r="B283">
        <v>73.13</v>
      </c>
      <c r="C283">
        <f>VLOOKUP(A283,NYSEARCAVTI!A$2:G$506,2,0)</f>
        <v>107.1</v>
      </c>
      <c r="D283">
        <f>VLOOKUP(A283,NYSEARCAVEU!A$2:G$506,2,0)</f>
        <v>42.93</v>
      </c>
      <c r="E283">
        <f>VLOOKUP(A283,NYSEARCAVWO!A$2:G$506,2,0)</f>
        <v>35.369999999999997</v>
      </c>
      <c r="F283">
        <f>VLOOKUP(A283,NYSEARCABND!A$2:G$506,2,0)</f>
        <v>84.44</v>
      </c>
      <c r="G283">
        <f>VLOOKUP(A283,NYSEARCATIP!A$2:G$506,2,0)</f>
        <v>117</v>
      </c>
      <c r="H283">
        <f>VLOOKUP(A283,NYSEARCAMUB!A$2:G$506,2,0)</f>
        <v>113.79</v>
      </c>
      <c r="I283">
        <f>VLOOKUP(A283,NYSEARCAVNQ!A$2:G$506,2,0)</f>
        <v>88.97</v>
      </c>
      <c r="J283">
        <f>VLOOKUP(A283,NYSEARCARWX!A$2:G$506,2,0)</f>
        <v>41.39</v>
      </c>
      <c r="K283">
        <f>VLOOKUP(A283,NYSEARCADBC!A$2:G$506,2,0)</f>
        <v>15.36</v>
      </c>
      <c r="L283">
        <f>VLOOKUP(A283,NYSEARCAGSG!A$2:G$506,2,0)</f>
        <v>15.49</v>
      </c>
      <c r="M283">
        <f>VLOOKUP(A283,NYSEARCAGLD!A$2:G$506,2,0)</f>
        <v>127.66</v>
      </c>
      <c r="N283">
        <f>VLOOKUP(A283,NYSEBP!A$2:G$506,2,0)</f>
        <v>35.799999999999997</v>
      </c>
      <c r="O283">
        <f>VLOOKUP(A283,NASDAQYHOO!A$2:G$506,2,0)</f>
        <v>37.56</v>
      </c>
    </row>
    <row r="284" spans="1:15">
      <c r="A284" s="39">
        <v>42556</v>
      </c>
      <c r="B284">
        <v>72.75</v>
      </c>
      <c r="C284">
        <f>VLOOKUP(A284,NYSEARCAVTI!A$2:G$506,2,0)</f>
        <v>106.94</v>
      </c>
      <c r="D284">
        <f>VLOOKUP(A284,NYSEARCAVEU!A$2:G$506,2,0)</f>
        <v>42.5</v>
      </c>
      <c r="E284">
        <f>VLOOKUP(A284,NYSEARCAVWO!A$2:G$506,2,0)</f>
        <v>34.950000000000003</v>
      </c>
      <c r="F284">
        <f>VLOOKUP(A284,NYSEARCABND!A$2:G$506,2,0)</f>
        <v>84.6</v>
      </c>
      <c r="G284">
        <f>VLOOKUP(A284,NYSEARCATIP!A$2:G$506,2,0)</f>
        <v>117.16</v>
      </c>
      <c r="H284">
        <f>VLOOKUP(A284,NYSEARCAMUB!A$2:G$506,2,0)</f>
        <v>114.03</v>
      </c>
      <c r="I284">
        <f>VLOOKUP(A284,NYSEARCAVNQ!A$2:G$506,2,0)</f>
        <v>88.71</v>
      </c>
      <c r="J284">
        <f>VLOOKUP(A284,NYSEARCARWX!A$2:G$506,2,0)</f>
        <v>40.729999999999997</v>
      </c>
      <c r="K284">
        <f>VLOOKUP(A284,NYSEARCADBC!A$2:G$506,2,0)</f>
        <v>15.55</v>
      </c>
      <c r="L284">
        <f>VLOOKUP(A284,NYSEARCAGSG!A$2:G$506,2,0)</f>
        <v>15.66</v>
      </c>
      <c r="M284">
        <f>VLOOKUP(A284,NYSEARCAGLD!A$2:G$506,2,0)</f>
        <v>128.80000000000001</v>
      </c>
      <c r="N284">
        <f>VLOOKUP(A284,NYSEBP!A$2:G$506,2,0)</f>
        <v>35.89</v>
      </c>
      <c r="O284">
        <f>VLOOKUP(A284,NASDAQYHOO!A$2:G$506,2,0)</f>
        <v>37.68</v>
      </c>
    </row>
    <row r="285" spans="1:15">
      <c r="A285" s="39">
        <v>42557</v>
      </c>
      <c r="B285">
        <v>73.260000000000005</v>
      </c>
      <c r="C285">
        <f>VLOOKUP(A285,NYSEARCAVTI!A$2:G$506,2,0)</f>
        <v>106.2</v>
      </c>
      <c r="D285">
        <f>VLOOKUP(A285,NYSEARCAVEU!A$2:G$506,2,0)</f>
        <v>41.71</v>
      </c>
      <c r="E285">
        <f>VLOOKUP(A285,NYSEARCAVWO!A$2:G$506,2,0)</f>
        <v>34.369999999999997</v>
      </c>
      <c r="F285">
        <f>VLOOKUP(A285,NYSEARCABND!A$2:G$506,2,0)</f>
        <v>84.74</v>
      </c>
      <c r="G285">
        <f>VLOOKUP(A285,NYSEARCATIP!A$2:G$506,2,0)</f>
        <v>117.48</v>
      </c>
      <c r="H285">
        <f>VLOOKUP(A285,NYSEARCAMUB!A$2:G$506,2,0)</f>
        <v>114.1</v>
      </c>
      <c r="I285">
        <f>VLOOKUP(A285,NYSEARCAVNQ!A$2:G$506,2,0)</f>
        <v>89.55</v>
      </c>
      <c r="J285">
        <f>VLOOKUP(A285,NYSEARCARWX!A$2:G$506,2,0)</f>
        <v>40.22</v>
      </c>
      <c r="K285">
        <f>VLOOKUP(A285,NYSEARCADBC!A$2:G$506,2,0)</f>
        <v>14.94</v>
      </c>
      <c r="L285">
        <f>VLOOKUP(A285,NYSEARCAGSG!A$2:G$506,2,0)</f>
        <v>15.01</v>
      </c>
      <c r="M285">
        <f>VLOOKUP(A285,NYSEARCAGLD!A$2:G$506,2,0)</f>
        <v>130.5</v>
      </c>
      <c r="N285">
        <f>VLOOKUP(A285,NYSEBP!A$2:G$506,2,0)</f>
        <v>35.24</v>
      </c>
      <c r="O285">
        <f>VLOOKUP(A285,NASDAQYHOO!A$2:G$506,2,0)</f>
        <v>37.43</v>
      </c>
    </row>
    <row r="286" spans="1:15">
      <c r="A286" s="39">
        <v>42558</v>
      </c>
      <c r="B286">
        <v>73.73</v>
      </c>
      <c r="C286">
        <f>VLOOKUP(A286,NYSEARCAVTI!A$2:G$506,2,0)</f>
        <v>107.37</v>
      </c>
      <c r="D286">
        <f>VLOOKUP(A286,NYSEARCAVEU!A$2:G$506,2,0)</f>
        <v>42.19</v>
      </c>
      <c r="E286">
        <f>VLOOKUP(A286,NYSEARCAVWO!A$2:G$506,2,0)</f>
        <v>34.909999999999997</v>
      </c>
      <c r="F286">
        <f>VLOOKUP(A286,NYSEARCABND!A$2:G$506,2,0)</f>
        <v>84.67</v>
      </c>
      <c r="G286">
        <f>VLOOKUP(A286,NYSEARCATIP!A$2:G$506,2,0)</f>
        <v>117.51</v>
      </c>
      <c r="H286">
        <f>VLOOKUP(A286,NYSEARCAMUB!A$2:G$506,2,0)</f>
        <v>114.02</v>
      </c>
      <c r="I286">
        <f>VLOOKUP(A286,NYSEARCAVNQ!A$2:G$506,2,0)</f>
        <v>89.2</v>
      </c>
      <c r="J286">
        <f>VLOOKUP(A286,NYSEARCARWX!A$2:G$506,2,0)</f>
        <v>40.58</v>
      </c>
      <c r="K286">
        <f>VLOOKUP(A286,NYSEARCADBC!A$2:G$506,2,0)</f>
        <v>15.25</v>
      </c>
      <c r="L286">
        <f>VLOOKUP(A286,NYSEARCAGSG!A$2:G$506,2,0)</f>
        <v>15.37</v>
      </c>
      <c r="M286">
        <f>VLOOKUP(A286,NYSEARCAGLD!A$2:G$506,2,0)</f>
        <v>129.82</v>
      </c>
      <c r="N286">
        <f>VLOOKUP(A286,NYSEBP!A$2:G$506,2,0)</f>
        <v>36.020000000000003</v>
      </c>
      <c r="O286">
        <f>VLOOKUP(A286,NASDAQYHOO!A$2:G$506,2,0)</f>
        <v>37.57</v>
      </c>
    </row>
    <row r="287" spans="1:15">
      <c r="A287" s="39">
        <v>42559</v>
      </c>
      <c r="B287">
        <v>73.819999999999993</v>
      </c>
      <c r="C287">
        <f>VLOOKUP(A287,NYSEARCAVTI!A$2:G$506,2,0)</f>
        <v>107.91</v>
      </c>
      <c r="D287">
        <f>VLOOKUP(A287,NYSEARCAVEU!A$2:G$506,2,0)</f>
        <v>42.36</v>
      </c>
      <c r="E287">
        <f>VLOOKUP(A287,NYSEARCAVWO!A$2:G$506,2,0)</f>
        <v>35.020000000000003</v>
      </c>
      <c r="F287">
        <f>VLOOKUP(A287,NYSEARCABND!A$2:G$506,2,0)</f>
        <v>84.8</v>
      </c>
      <c r="G287">
        <f>VLOOKUP(A287,NYSEARCATIP!A$2:G$506,2,0)</f>
        <v>117.4</v>
      </c>
      <c r="H287">
        <f>VLOOKUP(A287,NYSEARCAMUB!A$2:G$506,2,0)</f>
        <v>113.94</v>
      </c>
      <c r="I287">
        <f>VLOOKUP(A287,NYSEARCAVNQ!A$2:G$506,2,0)</f>
        <v>88.86</v>
      </c>
      <c r="J287">
        <f>VLOOKUP(A287,NYSEARCARWX!A$2:G$506,2,0)</f>
        <v>40.81</v>
      </c>
      <c r="K287">
        <f>VLOOKUP(A287,NYSEARCADBC!A$2:G$506,2,0)</f>
        <v>14.82</v>
      </c>
      <c r="L287">
        <f>VLOOKUP(A287,NYSEARCAGSG!A$2:G$506,2,0)</f>
        <v>14.87</v>
      </c>
      <c r="M287">
        <f>VLOOKUP(A287,NYSEARCAGLD!A$2:G$506,2,0)</f>
        <v>129.85</v>
      </c>
      <c r="N287">
        <f>VLOOKUP(A287,NYSEBP!A$2:G$506,2,0)</f>
        <v>35.85</v>
      </c>
      <c r="O287">
        <f>VLOOKUP(A287,NASDAQYHOO!A$2:G$506,2,0)</f>
        <v>37.53</v>
      </c>
    </row>
    <row r="288" spans="1:15">
      <c r="A288" s="39">
        <v>42562</v>
      </c>
      <c r="B288">
        <v>73.67</v>
      </c>
      <c r="C288">
        <f>VLOOKUP(A288,NYSEARCAVTI!A$2:G$506,2,0)</f>
        <v>109.19</v>
      </c>
      <c r="D288">
        <f>VLOOKUP(A288,NYSEARCAVEU!A$2:G$506,2,0)</f>
        <v>43.06</v>
      </c>
      <c r="E288">
        <f>VLOOKUP(A288,NYSEARCAVWO!A$2:G$506,2,0)</f>
        <v>35.61</v>
      </c>
      <c r="F288">
        <f>VLOOKUP(A288,NYSEARCABND!A$2:G$506,2,0)</f>
        <v>84.81</v>
      </c>
      <c r="G288">
        <f>VLOOKUP(A288,NYSEARCATIP!A$2:G$506,2,0)</f>
        <v>117.38</v>
      </c>
      <c r="H288">
        <f>VLOOKUP(A288,NYSEARCAMUB!A$2:G$506,2,0)</f>
        <v>113.97</v>
      </c>
      <c r="I288">
        <f>VLOOKUP(A288,NYSEARCAVNQ!A$2:G$506,2,0)</f>
        <v>89.87</v>
      </c>
      <c r="J288">
        <f>VLOOKUP(A288,NYSEARCARWX!A$2:G$506,2,0)</f>
        <v>41.53</v>
      </c>
      <c r="K288">
        <f>VLOOKUP(A288,NYSEARCADBC!A$2:G$506,2,0)</f>
        <v>14.99</v>
      </c>
      <c r="L288">
        <f>VLOOKUP(A288,NYSEARCAGSG!A$2:G$506,2,0)</f>
        <v>14.92</v>
      </c>
      <c r="M288">
        <f>VLOOKUP(A288,NYSEARCAGLD!A$2:G$506,2,0)</f>
        <v>129.49</v>
      </c>
      <c r="N288">
        <f>VLOOKUP(A288,NYSEBP!A$2:G$506,2,0)</f>
        <v>36.06</v>
      </c>
      <c r="O288">
        <f>VLOOKUP(A288,NASDAQYHOO!A$2:G$506,2,0)</f>
        <v>37.44</v>
      </c>
    </row>
    <row r="289" spans="1:15">
      <c r="A289" s="39">
        <v>42563</v>
      </c>
      <c r="B289">
        <v>73.56</v>
      </c>
      <c r="C289">
        <f>VLOOKUP(A289,NYSEARCAVTI!A$2:G$506,2,0)</f>
        <v>109.88</v>
      </c>
      <c r="D289">
        <f>VLOOKUP(A289,NYSEARCAVEU!A$2:G$506,2,0)</f>
        <v>43.7</v>
      </c>
      <c r="E289">
        <f>VLOOKUP(A289,NYSEARCAVWO!A$2:G$506,2,0)</f>
        <v>36.19</v>
      </c>
      <c r="F289">
        <f>VLOOKUP(A289,NYSEARCABND!A$2:G$506,2,0)</f>
        <v>84.53</v>
      </c>
      <c r="G289">
        <f>VLOOKUP(A289,NYSEARCATIP!A$2:G$506,2,0)</f>
        <v>116.85</v>
      </c>
      <c r="H289">
        <f>VLOOKUP(A289,NYSEARCAMUB!A$2:G$506,2,0)</f>
        <v>113.86</v>
      </c>
      <c r="I289">
        <f>VLOOKUP(A289,NYSEARCAVNQ!A$2:G$506,2,0)</f>
        <v>90.41</v>
      </c>
      <c r="J289">
        <f>VLOOKUP(A289,NYSEARCARWX!A$2:G$506,2,0)</f>
        <v>42.01</v>
      </c>
      <c r="K289">
        <f>VLOOKUP(A289,NYSEARCADBC!A$2:G$506,2,0)</f>
        <v>15.04</v>
      </c>
      <c r="L289">
        <f>VLOOKUP(A289,NYSEARCAGSG!A$2:G$506,2,0)</f>
        <v>15.02</v>
      </c>
      <c r="M289">
        <f>VLOOKUP(A289,NYSEARCAGLD!A$2:G$506,2,0)</f>
        <v>128.52000000000001</v>
      </c>
      <c r="N289">
        <f>VLOOKUP(A289,NYSEBP!A$2:G$506,2,0)</f>
        <v>36.72</v>
      </c>
      <c r="O289">
        <f>VLOOKUP(A289,NASDAQYHOO!A$2:G$506,2,0)</f>
        <v>38</v>
      </c>
    </row>
    <row r="290" spans="1:15">
      <c r="A290" s="39">
        <v>42564</v>
      </c>
      <c r="B290">
        <v>73.25</v>
      </c>
      <c r="C290">
        <f>VLOOKUP(A290,NYSEARCAVTI!A$2:G$506,2,0)</f>
        <v>110.43</v>
      </c>
      <c r="D290">
        <f>VLOOKUP(A290,NYSEARCAVEU!A$2:G$506,2,0)</f>
        <v>43.85</v>
      </c>
      <c r="E290">
        <f>VLOOKUP(A290,NYSEARCAVWO!A$2:G$506,2,0)</f>
        <v>36.25</v>
      </c>
      <c r="F290">
        <f>VLOOKUP(A290,NYSEARCABND!A$2:G$506,2,0)</f>
        <v>84.51</v>
      </c>
      <c r="G290">
        <f>VLOOKUP(A290,NYSEARCATIP!A$2:G$506,2,0)</f>
        <v>116.91</v>
      </c>
      <c r="H290">
        <f>VLOOKUP(A290,NYSEARCAMUB!A$2:G$506,2,0)</f>
        <v>113.75</v>
      </c>
      <c r="I290">
        <f>VLOOKUP(A290,NYSEARCAVNQ!A$2:G$506,2,0)</f>
        <v>90.6</v>
      </c>
      <c r="J290">
        <f>VLOOKUP(A290,NYSEARCARWX!A$2:G$506,2,0)</f>
        <v>42</v>
      </c>
      <c r="K290">
        <f>VLOOKUP(A290,NYSEARCADBC!A$2:G$506,2,0)</f>
        <v>15.13</v>
      </c>
      <c r="L290">
        <f>VLOOKUP(A290,NYSEARCAGSG!A$2:G$506,2,0)</f>
        <v>15.09</v>
      </c>
      <c r="M290">
        <f>VLOOKUP(A290,NYSEARCAGLD!A$2:G$506,2,0)</f>
        <v>128</v>
      </c>
      <c r="N290">
        <f>VLOOKUP(A290,NYSEBP!A$2:G$506,2,0)</f>
        <v>37.1</v>
      </c>
      <c r="O290">
        <f>VLOOKUP(A290,NASDAQYHOO!A$2:G$506,2,0)</f>
        <v>37.99</v>
      </c>
    </row>
    <row r="291" spans="1:15">
      <c r="A291" s="39">
        <v>42565</v>
      </c>
      <c r="B291">
        <v>73.790000000000006</v>
      </c>
      <c r="C291">
        <f>VLOOKUP(A291,NYSEARCAVTI!A$2:G$506,2,0)</f>
        <v>110.72</v>
      </c>
      <c r="D291">
        <f>VLOOKUP(A291,NYSEARCAVEU!A$2:G$506,2,0)</f>
        <v>44.08</v>
      </c>
      <c r="E291">
        <f>VLOOKUP(A291,NYSEARCAVWO!A$2:G$506,2,0)</f>
        <v>36.5</v>
      </c>
      <c r="F291">
        <f>VLOOKUP(A291,NYSEARCABND!A$2:G$506,2,0)</f>
        <v>84.3</v>
      </c>
      <c r="G291">
        <f>VLOOKUP(A291,NYSEARCATIP!A$2:G$506,2,0)</f>
        <v>116.61</v>
      </c>
      <c r="H291">
        <f>VLOOKUP(A291,NYSEARCAMUB!A$2:G$506,2,0)</f>
        <v>113.61</v>
      </c>
      <c r="I291">
        <f>VLOOKUP(A291,NYSEARCAVNQ!A$2:G$506,2,0)</f>
        <v>90.61</v>
      </c>
      <c r="J291">
        <f>VLOOKUP(A291,NYSEARCARWX!A$2:G$506,2,0)</f>
        <v>42.06</v>
      </c>
      <c r="K291">
        <f>VLOOKUP(A291,NYSEARCADBC!A$2:G$506,2,0)</f>
        <v>15.03</v>
      </c>
      <c r="L291">
        <f>VLOOKUP(A291,NYSEARCAGSG!A$2:G$506,2,0)</f>
        <v>14.97</v>
      </c>
      <c r="M291">
        <f>VLOOKUP(A291,NYSEARCAGLD!A$2:G$506,2,0)</f>
        <v>126.31</v>
      </c>
      <c r="N291">
        <f>VLOOKUP(A291,NYSEBP!A$2:G$506,2,0)</f>
        <v>37.090000000000003</v>
      </c>
      <c r="O291">
        <f>VLOOKUP(A291,NASDAQYHOO!A$2:G$506,2,0)</f>
        <v>37.85</v>
      </c>
    </row>
    <row r="292" spans="1:15">
      <c r="A292" s="39">
        <v>42566</v>
      </c>
      <c r="B292">
        <v>73.98</v>
      </c>
      <c r="C292">
        <f>VLOOKUP(A292,NYSEARCAVTI!A$2:G$506,2,0)</f>
        <v>110.89</v>
      </c>
      <c r="D292">
        <f>VLOOKUP(A292,NYSEARCAVEU!A$2:G$506,2,0)</f>
        <v>44.05</v>
      </c>
      <c r="E292">
        <f>VLOOKUP(A292,NYSEARCAVWO!A$2:G$506,2,0)</f>
        <v>36.619999999999997</v>
      </c>
      <c r="F292">
        <f>VLOOKUP(A292,NYSEARCABND!A$2:G$506,2,0)</f>
        <v>84.26</v>
      </c>
      <c r="G292">
        <f>VLOOKUP(A292,NYSEARCATIP!A$2:G$506,2,0)</f>
        <v>116.33</v>
      </c>
      <c r="H292">
        <f>VLOOKUP(A292,NYSEARCAMUB!A$2:G$506,2,0)</f>
        <v>113.51</v>
      </c>
      <c r="I292">
        <f>VLOOKUP(A292,NYSEARCAVNQ!A$2:G$506,2,0)</f>
        <v>90.07</v>
      </c>
      <c r="J292">
        <f>VLOOKUP(A292,NYSEARCARWX!A$2:G$506,2,0)</f>
        <v>41.78</v>
      </c>
      <c r="K292">
        <f>VLOOKUP(A292,NYSEARCADBC!A$2:G$506,2,0)</f>
        <v>14.97</v>
      </c>
      <c r="L292">
        <f>VLOOKUP(A292,NYSEARCAGSG!A$2:G$506,2,0)</f>
        <v>15</v>
      </c>
      <c r="M292">
        <f>VLOOKUP(A292,NYSEARCAGLD!A$2:G$506,2,0)</f>
        <v>126.38</v>
      </c>
      <c r="N292">
        <f>VLOOKUP(A292,NYSEBP!A$2:G$506,2,0)</f>
        <v>36.6</v>
      </c>
      <c r="O292">
        <f>VLOOKUP(A292,NASDAQYHOO!A$2:G$506,2,0)</f>
        <v>38.159999999999997</v>
      </c>
    </row>
    <row r="293" spans="1:15">
      <c r="A293" s="39">
        <v>42569</v>
      </c>
      <c r="B293">
        <v>73.64</v>
      </c>
      <c r="C293">
        <f>VLOOKUP(A293,NYSEARCAVTI!A$2:G$506,2,0)</f>
        <v>110.65</v>
      </c>
      <c r="D293">
        <f>VLOOKUP(A293,NYSEARCAVEU!A$2:G$506,2,0)</f>
        <v>43.92</v>
      </c>
      <c r="E293">
        <f>VLOOKUP(A293,NYSEARCAVWO!A$2:G$506,2,0)</f>
        <v>36.479999999999997</v>
      </c>
      <c r="F293">
        <f>VLOOKUP(A293,NYSEARCABND!A$2:G$506,2,0)</f>
        <v>84.2</v>
      </c>
      <c r="G293">
        <f>VLOOKUP(A293,NYSEARCATIP!A$2:G$506,2,0)</f>
        <v>116.44</v>
      </c>
      <c r="H293">
        <f>VLOOKUP(A293,NYSEARCAMUB!A$2:G$506,2,0)</f>
        <v>113.42</v>
      </c>
      <c r="I293">
        <f>VLOOKUP(A293,NYSEARCAVNQ!A$2:G$506,2,0)</f>
        <v>90.24</v>
      </c>
      <c r="J293">
        <f>VLOOKUP(A293,NYSEARCARWX!A$2:G$506,2,0)</f>
        <v>41.79</v>
      </c>
      <c r="K293">
        <f>VLOOKUP(A293,NYSEARCADBC!A$2:G$506,2,0)</f>
        <v>14.8</v>
      </c>
      <c r="L293">
        <f>VLOOKUP(A293,NYSEARCAGSG!A$2:G$506,2,0)</f>
        <v>14.74</v>
      </c>
      <c r="M293">
        <f>VLOOKUP(A293,NYSEARCAGLD!A$2:G$506,2,0)</f>
        <v>127.02</v>
      </c>
      <c r="N293">
        <f>VLOOKUP(A293,NYSEBP!A$2:G$506,2,0)</f>
        <v>36.24</v>
      </c>
      <c r="O293">
        <f>VLOOKUP(A293,NASDAQYHOO!A$2:G$506,2,0)</f>
        <v>37.68</v>
      </c>
    </row>
    <row r="294" spans="1:15">
      <c r="A294" s="39">
        <v>42570</v>
      </c>
      <c r="B294">
        <v>73.64</v>
      </c>
      <c r="C294">
        <f>VLOOKUP(A294,NYSEARCAVTI!A$2:G$506,2,0)</f>
        <v>110.62</v>
      </c>
      <c r="D294">
        <f>VLOOKUP(A294,NYSEARCAVEU!A$2:G$506,2,0)</f>
        <v>43.79</v>
      </c>
      <c r="E294">
        <f>VLOOKUP(A294,NYSEARCAVWO!A$2:G$506,2,0)</f>
        <v>36.61</v>
      </c>
      <c r="F294">
        <f>VLOOKUP(A294,NYSEARCABND!A$2:G$506,2,0)</f>
        <v>84.17</v>
      </c>
      <c r="G294">
        <f>VLOOKUP(A294,NYSEARCATIP!A$2:G$506,2,0)</f>
        <v>116.49</v>
      </c>
      <c r="H294">
        <f>VLOOKUP(A294,NYSEARCAMUB!A$2:G$506,2,0)</f>
        <v>113.33</v>
      </c>
      <c r="I294">
        <f>VLOOKUP(A294,NYSEARCAVNQ!A$2:G$506,2,0)</f>
        <v>90.35</v>
      </c>
      <c r="J294">
        <f>VLOOKUP(A294,NYSEARCARWX!A$2:G$506,2,0)</f>
        <v>41.68</v>
      </c>
      <c r="K294">
        <f>VLOOKUP(A294,NYSEARCADBC!A$2:G$506,2,0)</f>
        <v>14.84</v>
      </c>
      <c r="L294">
        <f>VLOOKUP(A294,NYSEARCAGSG!A$2:G$506,2,0)</f>
        <v>14.8</v>
      </c>
      <c r="M294">
        <f>VLOOKUP(A294,NYSEARCAGLD!A$2:G$506,2,0)</f>
        <v>126.95</v>
      </c>
      <c r="N294">
        <f>VLOOKUP(A294,NYSEBP!A$2:G$506,2,0)</f>
        <v>36</v>
      </c>
      <c r="O294">
        <f>VLOOKUP(A294,NASDAQYHOO!A$2:G$506,2,0)</f>
        <v>37.770000000000003</v>
      </c>
    </row>
    <row r="295" spans="1:15">
      <c r="A295" s="39">
        <v>42571</v>
      </c>
      <c r="B295">
        <v>73.88</v>
      </c>
      <c r="C295">
        <f>VLOOKUP(A295,NYSEARCAVTI!A$2:G$506,2,0)</f>
        <v>110.68</v>
      </c>
      <c r="D295">
        <f>VLOOKUP(A295,NYSEARCAVEU!A$2:G$506,2,0)</f>
        <v>43.92</v>
      </c>
      <c r="E295">
        <f>VLOOKUP(A295,NYSEARCAVWO!A$2:G$506,2,0)</f>
        <v>36.630000000000003</v>
      </c>
      <c r="F295">
        <f>VLOOKUP(A295,NYSEARCABND!A$2:G$506,2,0)</f>
        <v>84.16</v>
      </c>
      <c r="G295">
        <f>VLOOKUP(A295,NYSEARCATIP!A$2:G$506,2,0)</f>
        <v>116.07</v>
      </c>
      <c r="H295">
        <f>VLOOKUP(A295,NYSEARCAMUB!A$2:G$506,2,0)</f>
        <v>113.4</v>
      </c>
      <c r="I295">
        <f>VLOOKUP(A295,NYSEARCAVNQ!A$2:G$506,2,0)</f>
        <v>90.95</v>
      </c>
      <c r="J295">
        <f>VLOOKUP(A295,NYSEARCARWX!A$2:G$506,2,0)</f>
        <v>42.14</v>
      </c>
      <c r="K295">
        <f>VLOOKUP(A295,NYSEARCADBC!A$2:G$506,2,0)</f>
        <v>14.61</v>
      </c>
      <c r="L295">
        <f>VLOOKUP(A295,NYSEARCAGSG!A$2:G$506,2,0)</f>
        <v>14.56</v>
      </c>
      <c r="M295">
        <f>VLOOKUP(A295,NYSEARCAGLD!A$2:G$506,2,0)</f>
        <v>125.5</v>
      </c>
      <c r="N295">
        <f>VLOOKUP(A295,NYSEBP!A$2:G$506,2,0)</f>
        <v>35.909999999999997</v>
      </c>
      <c r="O295">
        <f>VLOOKUP(A295,NASDAQYHOO!A$2:G$506,2,0)</f>
        <v>38.36</v>
      </c>
    </row>
    <row r="296" spans="1:15">
      <c r="A296" s="39">
        <v>42572</v>
      </c>
      <c r="B296">
        <v>73.430000000000007</v>
      </c>
      <c r="C296">
        <f>VLOOKUP(A296,NYSEARCAVTI!A$2:G$506,2,0)</f>
        <v>111.18</v>
      </c>
      <c r="D296">
        <f>VLOOKUP(A296,NYSEARCAVEU!A$2:G$506,2,0)</f>
        <v>43.97</v>
      </c>
      <c r="E296">
        <f>VLOOKUP(A296,NYSEARCAVWO!A$2:G$506,2,0)</f>
        <v>36.700000000000003</v>
      </c>
      <c r="F296">
        <f>VLOOKUP(A296,NYSEARCABND!A$2:G$506,2,0)</f>
        <v>84.05</v>
      </c>
      <c r="G296">
        <f>VLOOKUP(A296,NYSEARCATIP!A$2:G$506,2,0)</f>
        <v>115.88</v>
      </c>
      <c r="H296">
        <f>VLOOKUP(A296,NYSEARCAMUB!A$2:G$506,2,0)</f>
        <v>113.24</v>
      </c>
      <c r="I296">
        <f>VLOOKUP(A296,NYSEARCAVNQ!A$2:G$506,2,0)</f>
        <v>90.6</v>
      </c>
      <c r="J296">
        <f>VLOOKUP(A296,NYSEARCARWX!A$2:G$506,2,0)</f>
        <v>42.07</v>
      </c>
      <c r="K296">
        <f>VLOOKUP(A296,NYSEARCADBC!A$2:G$506,2,0)</f>
        <v>14.72</v>
      </c>
      <c r="L296">
        <f>VLOOKUP(A296,NYSEARCAGSG!A$2:G$506,2,0)</f>
        <v>14.55</v>
      </c>
      <c r="M296">
        <f>VLOOKUP(A296,NYSEARCAGLD!A$2:G$506,2,0)</f>
        <v>125.66</v>
      </c>
      <c r="N296">
        <f>VLOOKUP(A296,NYSEBP!A$2:G$506,2,0)</f>
        <v>35.83</v>
      </c>
      <c r="O296">
        <f>VLOOKUP(A296,NASDAQYHOO!A$2:G$506,2,0)</f>
        <v>39.01</v>
      </c>
    </row>
    <row r="297" spans="1:15">
      <c r="A297" s="39">
        <v>42573</v>
      </c>
      <c r="B297">
        <v>73.760000000000005</v>
      </c>
      <c r="C297">
        <f>VLOOKUP(A297,NYSEARCAVTI!A$2:G$506,2,0)</f>
        <v>110.9</v>
      </c>
      <c r="D297">
        <f>VLOOKUP(A297,NYSEARCAVEU!A$2:G$506,2,0)</f>
        <v>44.03</v>
      </c>
      <c r="E297">
        <f>VLOOKUP(A297,NYSEARCAVWO!A$2:G$506,2,0)</f>
        <v>36.76</v>
      </c>
      <c r="F297">
        <f>VLOOKUP(A297,NYSEARCABND!A$2:G$506,2,0)</f>
        <v>84.14</v>
      </c>
      <c r="G297">
        <f>VLOOKUP(A297,NYSEARCATIP!A$2:G$506,2,0)</f>
        <v>115.97</v>
      </c>
      <c r="H297">
        <f>VLOOKUP(A297,NYSEARCAMUB!A$2:G$506,2,0)</f>
        <v>113.2</v>
      </c>
      <c r="I297">
        <f>VLOOKUP(A297,NYSEARCAVNQ!A$2:G$506,2,0)</f>
        <v>90.89</v>
      </c>
      <c r="J297">
        <f>VLOOKUP(A297,NYSEARCARWX!A$2:G$506,2,0)</f>
        <v>42.07</v>
      </c>
      <c r="K297">
        <f>VLOOKUP(A297,NYSEARCADBC!A$2:G$506,2,0)</f>
        <v>14.55</v>
      </c>
      <c r="L297">
        <f>VLOOKUP(A297,NYSEARCAGSG!A$2:G$506,2,0)</f>
        <v>14.41</v>
      </c>
      <c r="M297">
        <f>VLOOKUP(A297,NYSEARCAGLD!A$2:G$506,2,0)</f>
        <v>126.43</v>
      </c>
      <c r="N297">
        <f>VLOOKUP(A297,NYSEBP!A$2:G$506,2,0)</f>
        <v>35.869999999999997</v>
      </c>
      <c r="O297">
        <f>VLOOKUP(A297,NASDAQYHOO!A$2:G$506,2,0)</f>
        <v>38.9</v>
      </c>
    </row>
    <row r="298" spans="1:15">
      <c r="A298" s="39">
        <v>42576</v>
      </c>
      <c r="B298">
        <v>73.55</v>
      </c>
      <c r="C298">
        <f>VLOOKUP(A298,NYSEARCAVTI!A$2:G$506,2,0)</f>
        <v>111.24</v>
      </c>
      <c r="D298">
        <f>VLOOKUP(A298,NYSEARCAVEU!A$2:G$506,2,0)</f>
        <v>44.04</v>
      </c>
      <c r="E298">
        <f>VLOOKUP(A298,NYSEARCAVWO!A$2:G$506,2,0)</f>
        <v>36.799999999999997</v>
      </c>
      <c r="F298">
        <f>VLOOKUP(A298,NYSEARCABND!A$2:G$506,2,0)</f>
        <v>84.23</v>
      </c>
      <c r="G298">
        <f>VLOOKUP(A298,NYSEARCATIP!A$2:G$506,2,0)</f>
        <v>116.06</v>
      </c>
      <c r="H298">
        <f>VLOOKUP(A298,NYSEARCAMUB!A$2:G$506,2,0)</f>
        <v>113.32</v>
      </c>
      <c r="I298">
        <f>VLOOKUP(A298,NYSEARCAVNQ!A$2:G$506,2,0)</f>
        <v>91.81</v>
      </c>
      <c r="J298">
        <f>VLOOKUP(A298,NYSEARCARWX!A$2:G$506,2,0)</f>
        <v>42.16</v>
      </c>
      <c r="K298">
        <f>VLOOKUP(A298,NYSEARCADBC!A$2:G$506,2,0)</f>
        <v>14.46</v>
      </c>
      <c r="L298">
        <f>VLOOKUP(A298,NYSEARCAGSG!A$2:G$506,2,0)</f>
        <v>14.28</v>
      </c>
      <c r="M298">
        <f>VLOOKUP(A298,NYSEARCAGLD!A$2:G$506,2,0)</f>
        <v>125.53</v>
      </c>
      <c r="N298">
        <f>VLOOKUP(A298,NYSEBP!A$2:G$506,2,0)</f>
        <v>35.46</v>
      </c>
      <c r="O298">
        <f>VLOOKUP(A298,NASDAQYHOO!A$2:G$506,2,0)</f>
        <v>39.200000000000003</v>
      </c>
    </row>
    <row r="299" spans="1:15">
      <c r="A299" s="39">
        <v>42577</v>
      </c>
      <c r="B299">
        <v>73.709999999999994</v>
      </c>
      <c r="C299">
        <f>VLOOKUP(A299,NYSEARCAVTI!A$2:G$506,2,0)</f>
        <v>111.06</v>
      </c>
      <c r="D299">
        <f>VLOOKUP(A299,NYSEARCAVEU!A$2:G$506,2,0)</f>
        <v>44.03</v>
      </c>
      <c r="E299">
        <f>VLOOKUP(A299,NYSEARCAVWO!A$2:G$506,2,0)</f>
        <v>36.729999999999997</v>
      </c>
      <c r="F299">
        <f>VLOOKUP(A299,NYSEARCABND!A$2:G$506,2,0)</f>
        <v>84.27</v>
      </c>
      <c r="G299">
        <f>VLOOKUP(A299,NYSEARCATIP!A$2:G$506,2,0)</f>
        <v>116.01</v>
      </c>
      <c r="H299">
        <f>VLOOKUP(A299,NYSEARCAMUB!A$2:G$506,2,0)</f>
        <v>113.34</v>
      </c>
      <c r="I299">
        <f>VLOOKUP(A299,NYSEARCAVNQ!A$2:G$506,2,0)</f>
        <v>91.69</v>
      </c>
      <c r="J299">
        <f>VLOOKUP(A299,NYSEARCARWX!A$2:G$506,2,0)</f>
        <v>42.52</v>
      </c>
      <c r="K299">
        <f>VLOOKUP(A299,NYSEARCADBC!A$2:G$506,2,0)</f>
        <v>14.37</v>
      </c>
      <c r="L299">
        <f>VLOOKUP(A299,NYSEARCAGSG!A$2:G$506,2,0)</f>
        <v>14.21</v>
      </c>
      <c r="M299">
        <f>VLOOKUP(A299,NYSEARCAGLD!A$2:G$506,2,0)</f>
        <v>126.09</v>
      </c>
      <c r="N299">
        <f>VLOOKUP(A299,NYSEBP!A$2:G$506,2,0)</f>
        <v>34.08</v>
      </c>
      <c r="O299">
        <f>VLOOKUP(A299,NASDAQYHOO!A$2:G$506,2,0)</f>
        <v>38.07</v>
      </c>
    </row>
    <row r="300" spans="1:15">
      <c r="A300" s="39">
        <v>42578</v>
      </c>
      <c r="B300">
        <v>73.66</v>
      </c>
      <c r="C300">
        <f>VLOOKUP(A300,NYSEARCAVTI!A$2:G$506,2,0)</f>
        <v>111.41</v>
      </c>
      <c r="D300">
        <f>VLOOKUP(A300,NYSEARCAVEU!A$2:G$506,2,0)</f>
        <v>44.27</v>
      </c>
      <c r="E300">
        <f>VLOOKUP(A300,NYSEARCAVWO!A$2:G$506,2,0)</f>
        <v>36.85</v>
      </c>
      <c r="F300">
        <f>VLOOKUP(A300,NYSEARCABND!A$2:G$506,2,0)</f>
        <v>84.22</v>
      </c>
      <c r="G300">
        <f>VLOOKUP(A300,NYSEARCATIP!A$2:G$506,2,0)</f>
        <v>116.17</v>
      </c>
      <c r="H300">
        <f>VLOOKUP(A300,NYSEARCAMUB!A$2:G$506,2,0)</f>
        <v>113.34</v>
      </c>
      <c r="I300">
        <f>VLOOKUP(A300,NYSEARCAVNQ!A$2:G$506,2,0)</f>
        <v>91.14</v>
      </c>
      <c r="J300">
        <f>VLOOKUP(A300,NYSEARCARWX!A$2:G$506,2,0)</f>
        <v>42.37</v>
      </c>
      <c r="K300">
        <f>VLOOKUP(A300,NYSEARCADBC!A$2:G$506,2,0)</f>
        <v>14.36</v>
      </c>
      <c r="L300">
        <f>VLOOKUP(A300,NYSEARCAGSG!A$2:G$506,2,0)</f>
        <v>14.24</v>
      </c>
      <c r="M300">
        <f>VLOOKUP(A300,NYSEARCAGLD!A$2:G$506,2,0)</f>
        <v>126.79</v>
      </c>
      <c r="N300">
        <f>VLOOKUP(A300,NYSEBP!A$2:G$506,2,0)</f>
        <v>34.97</v>
      </c>
      <c r="O300">
        <f>VLOOKUP(A300,NASDAQYHOO!A$2:G$506,2,0)</f>
        <v>38.659999999999997</v>
      </c>
    </row>
    <row r="301" spans="1:15">
      <c r="A301" s="39">
        <v>42579</v>
      </c>
      <c r="B301">
        <v>73.14</v>
      </c>
      <c r="C301">
        <f>VLOOKUP(A301,NYSEARCAVTI!A$2:G$506,2,0)</f>
        <v>110.89</v>
      </c>
      <c r="D301">
        <f>VLOOKUP(A301,NYSEARCAVEU!A$2:G$506,2,0)</f>
        <v>44.23</v>
      </c>
      <c r="E301">
        <f>VLOOKUP(A301,NYSEARCAVWO!A$2:G$506,2,0)</f>
        <v>36.840000000000003</v>
      </c>
      <c r="F301">
        <f>VLOOKUP(A301,NYSEARCABND!A$2:G$506,2,0)</f>
        <v>84.36</v>
      </c>
      <c r="G301">
        <f>VLOOKUP(A301,NYSEARCATIP!A$2:G$506,2,0)</f>
        <v>116.46</v>
      </c>
      <c r="H301">
        <f>VLOOKUP(A301,NYSEARCAMUB!A$2:G$506,2,0)</f>
        <v>113.45</v>
      </c>
      <c r="I301">
        <f>VLOOKUP(A301,NYSEARCAVNQ!A$2:G$506,2,0)</f>
        <v>90.31</v>
      </c>
      <c r="J301">
        <f>VLOOKUP(A301,NYSEARCARWX!A$2:G$506,2,0)</f>
        <v>42.6</v>
      </c>
      <c r="K301">
        <f>VLOOKUP(A301,NYSEARCADBC!A$2:G$506,2,0)</f>
        <v>14.22</v>
      </c>
      <c r="L301">
        <f>VLOOKUP(A301,NYSEARCAGSG!A$2:G$506,2,0)</f>
        <v>14.02</v>
      </c>
      <c r="M301">
        <f>VLOOKUP(A301,NYSEARCAGLD!A$2:G$506,2,0)</f>
        <v>128.09</v>
      </c>
      <c r="N301">
        <f>VLOOKUP(A301,NYSEBP!A$2:G$506,2,0)</f>
        <v>34.42</v>
      </c>
      <c r="O301">
        <f>VLOOKUP(A301,NASDAQYHOO!A$2:G$506,2,0)</f>
        <v>38.58</v>
      </c>
    </row>
    <row r="302" spans="1:15">
      <c r="A302" s="39">
        <v>42580</v>
      </c>
      <c r="B302">
        <v>73.17</v>
      </c>
      <c r="C302">
        <f>VLOOKUP(A302,NYSEARCAVTI!A$2:G$506,2,0)</f>
        <v>111.09</v>
      </c>
      <c r="D302">
        <f>VLOOKUP(A302,NYSEARCAVEU!A$2:G$506,2,0)</f>
        <v>44.47</v>
      </c>
      <c r="E302">
        <f>VLOOKUP(A302,NYSEARCAVWO!A$2:G$506,2,0)</f>
        <v>36.82</v>
      </c>
      <c r="F302">
        <f>VLOOKUP(A302,NYSEARCABND!A$2:G$506,2,0)</f>
        <v>84.49</v>
      </c>
      <c r="G302">
        <f>VLOOKUP(A302,NYSEARCATIP!A$2:G$506,2,0)</f>
        <v>116.95</v>
      </c>
      <c r="H302">
        <f>VLOOKUP(A302,NYSEARCAMUB!A$2:G$506,2,0)</f>
        <v>113.58</v>
      </c>
      <c r="I302">
        <f>VLOOKUP(A302,NYSEARCAVNQ!A$2:G$506,2,0)</f>
        <v>91.54</v>
      </c>
      <c r="J302">
        <f>VLOOKUP(A302,NYSEARCARWX!A$2:G$506,2,0)</f>
        <v>42.73</v>
      </c>
      <c r="K302">
        <f>VLOOKUP(A302,NYSEARCADBC!A$2:G$506,2,0)</f>
        <v>14.14</v>
      </c>
      <c r="L302">
        <f>VLOOKUP(A302,NYSEARCAGSG!A$2:G$506,2,0)</f>
        <v>13.85</v>
      </c>
      <c r="M302">
        <f>VLOOKUP(A302,NYSEARCAGLD!A$2:G$506,2,0)</f>
        <v>128.41999999999999</v>
      </c>
      <c r="N302">
        <f>VLOOKUP(A302,NYSEBP!A$2:G$506,2,0)</f>
        <v>34</v>
      </c>
      <c r="O302">
        <f>VLOOKUP(A302,NASDAQYHOO!A$2:G$506,2,0)</f>
        <v>38.47</v>
      </c>
    </row>
    <row r="303" spans="1:15">
      <c r="A303" s="39">
        <v>42583</v>
      </c>
      <c r="B303">
        <v>72.81</v>
      </c>
      <c r="C303">
        <f>VLOOKUP(A303,NYSEARCAVTI!A$2:G$506,2,0)</f>
        <v>111.4</v>
      </c>
      <c r="D303">
        <f>VLOOKUP(A303,NYSEARCAVEU!A$2:G$506,2,0)</f>
        <v>44.62</v>
      </c>
      <c r="E303">
        <f>VLOOKUP(A303,NYSEARCAVWO!A$2:G$506,2,0)</f>
        <v>37.08</v>
      </c>
      <c r="F303">
        <f>VLOOKUP(A303,NYSEARCABND!A$2:G$506,2,0)</f>
        <v>84.25</v>
      </c>
      <c r="G303">
        <f>VLOOKUP(A303,NYSEARCATIP!A$2:G$506,2,0)</f>
        <v>116.12</v>
      </c>
      <c r="H303">
        <f>VLOOKUP(A303,NYSEARCAMUB!A$2:G$506,2,0)</f>
        <v>113.29</v>
      </c>
      <c r="I303">
        <f>VLOOKUP(A303,NYSEARCAVNQ!A$2:G$506,2,0)</f>
        <v>92.33</v>
      </c>
      <c r="J303">
        <f>VLOOKUP(A303,NYSEARCARWX!A$2:G$506,2,0)</f>
        <v>42.86</v>
      </c>
      <c r="K303">
        <f>VLOOKUP(A303,NYSEARCADBC!A$2:G$506,2,0)</f>
        <v>14.16</v>
      </c>
      <c r="L303">
        <f>VLOOKUP(A303,NYSEARCAGSG!A$2:G$506,2,0)</f>
        <v>13.83</v>
      </c>
      <c r="M303">
        <f>VLOOKUP(A303,NYSEARCAGLD!A$2:G$506,2,0)</f>
        <v>128.57</v>
      </c>
      <c r="N303">
        <f>VLOOKUP(A303,NYSEBP!A$2:G$506,2,0)</f>
        <v>33.909999999999997</v>
      </c>
      <c r="O303">
        <f>VLOOKUP(A303,NASDAQYHOO!A$2:G$506,2,0)</f>
        <v>38.18</v>
      </c>
    </row>
    <row r="304" spans="1:15">
      <c r="A304" s="39">
        <v>42584</v>
      </c>
      <c r="B304">
        <v>73.7</v>
      </c>
      <c r="C304">
        <f>VLOOKUP(A304,NYSEARCAVTI!A$2:G$506,2,0)</f>
        <v>111.19</v>
      </c>
      <c r="D304">
        <f>VLOOKUP(A304,NYSEARCAVEU!A$2:G$506,2,0)</f>
        <v>44.36</v>
      </c>
      <c r="E304">
        <f>VLOOKUP(A304,NYSEARCAVWO!A$2:G$506,2,0)</f>
        <v>36.92</v>
      </c>
      <c r="F304">
        <f>VLOOKUP(A304,NYSEARCABND!A$2:G$506,2,0)</f>
        <v>84.18</v>
      </c>
      <c r="G304">
        <f>VLOOKUP(A304,NYSEARCATIP!A$2:G$506,2,0)</f>
        <v>115.37</v>
      </c>
      <c r="H304">
        <f>VLOOKUP(A304,NYSEARCAMUB!A$2:G$506,2,0)</f>
        <v>113.16</v>
      </c>
      <c r="I304">
        <f>VLOOKUP(A304,NYSEARCAVNQ!A$2:G$506,2,0)</f>
        <v>92.38</v>
      </c>
      <c r="J304">
        <f>VLOOKUP(A304,NYSEARCARWX!A$2:G$506,2,0)</f>
        <v>42.7</v>
      </c>
      <c r="K304">
        <f>VLOOKUP(A304,NYSEARCADBC!A$2:G$506,2,0)</f>
        <v>14.18</v>
      </c>
      <c r="L304">
        <f>VLOOKUP(A304,NYSEARCAGSG!A$2:G$506,2,0)</f>
        <v>13.86</v>
      </c>
      <c r="M304">
        <f>VLOOKUP(A304,NYSEARCAGLD!A$2:G$506,2,0)</f>
        <v>130.04</v>
      </c>
      <c r="N304">
        <f>VLOOKUP(A304,NYSEBP!A$2:G$506,2,0)</f>
        <v>33.65</v>
      </c>
      <c r="O304">
        <f>VLOOKUP(A304,NASDAQYHOO!A$2:G$506,2,0)</f>
        <v>38.6</v>
      </c>
    </row>
    <row r="305" spans="1:15">
      <c r="A305" s="39">
        <v>42585</v>
      </c>
      <c r="B305">
        <v>73</v>
      </c>
      <c r="C305">
        <f>VLOOKUP(A305,NYSEARCAVTI!A$2:G$506,2,0)</f>
        <v>110.39</v>
      </c>
      <c r="D305">
        <f>VLOOKUP(A305,NYSEARCAVEU!A$2:G$506,2,0)</f>
        <v>43.87</v>
      </c>
      <c r="E305">
        <f>VLOOKUP(A305,NYSEARCAVWO!A$2:G$506,2,0)</f>
        <v>36.51</v>
      </c>
      <c r="F305">
        <f>VLOOKUP(A305,NYSEARCABND!A$2:G$506,2,0)</f>
        <v>84.13</v>
      </c>
      <c r="G305">
        <f>VLOOKUP(A305,NYSEARCATIP!A$2:G$506,2,0)</f>
        <v>115.38</v>
      </c>
      <c r="H305">
        <f>VLOOKUP(A305,NYSEARCAMUB!A$2:G$506,2,0)</f>
        <v>113.08</v>
      </c>
      <c r="I305">
        <f>VLOOKUP(A305,NYSEARCAVNQ!A$2:G$506,2,0)</f>
        <v>90.85</v>
      </c>
      <c r="J305">
        <f>VLOOKUP(A305,NYSEARCARWX!A$2:G$506,2,0)</f>
        <v>42.15</v>
      </c>
      <c r="K305">
        <f>VLOOKUP(A305,NYSEARCADBC!A$2:G$506,2,0)</f>
        <v>14.04</v>
      </c>
      <c r="L305">
        <f>VLOOKUP(A305,NYSEARCAGSG!A$2:G$506,2,0)</f>
        <v>13.68</v>
      </c>
      <c r="M305">
        <f>VLOOKUP(A305,NYSEARCAGLD!A$2:G$506,2,0)</f>
        <v>129.94999999999999</v>
      </c>
      <c r="N305">
        <f>VLOOKUP(A305,NYSEBP!A$2:G$506,2,0)</f>
        <v>32.65</v>
      </c>
      <c r="O305">
        <f>VLOOKUP(A305,NASDAQYHOO!A$2:G$506,2,0)</f>
        <v>38.43</v>
      </c>
    </row>
    <row r="306" spans="1:15">
      <c r="A306" s="39">
        <v>42586</v>
      </c>
      <c r="B306">
        <v>72.8</v>
      </c>
      <c r="C306">
        <f>VLOOKUP(A306,NYSEARCAVTI!A$2:G$506,2,0)</f>
        <v>110.85</v>
      </c>
      <c r="D306">
        <f>VLOOKUP(A306,NYSEARCAVEU!A$2:G$506,2,0)</f>
        <v>44.26</v>
      </c>
      <c r="E306">
        <f>VLOOKUP(A306,NYSEARCAVWO!A$2:G$506,2,0)</f>
        <v>37.01</v>
      </c>
      <c r="F306">
        <f>VLOOKUP(A306,NYSEARCABND!A$2:G$506,2,0)</f>
        <v>84.27</v>
      </c>
      <c r="G306">
        <f>VLOOKUP(A306,NYSEARCATIP!A$2:G$506,2,0)</f>
        <v>116.02</v>
      </c>
      <c r="H306">
        <f>VLOOKUP(A306,NYSEARCAMUB!A$2:G$506,2,0)</f>
        <v>113.32</v>
      </c>
      <c r="I306">
        <f>VLOOKUP(A306,NYSEARCAVNQ!A$2:G$506,2,0)</f>
        <v>90.75</v>
      </c>
      <c r="J306">
        <f>VLOOKUP(A306,NYSEARCARWX!A$2:G$506,2,0)</f>
        <v>42.43</v>
      </c>
      <c r="K306">
        <f>VLOOKUP(A306,NYSEARCADBC!A$2:G$506,2,0)</f>
        <v>14.14</v>
      </c>
      <c r="L306">
        <f>VLOOKUP(A306,NYSEARCAGSG!A$2:G$506,2,0)</f>
        <v>13.86</v>
      </c>
      <c r="M306">
        <f>VLOOKUP(A306,NYSEARCAGLD!A$2:G$506,2,0)</f>
        <v>130.01</v>
      </c>
      <c r="N306">
        <f>VLOOKUP(A306,NYSEBP!A$2:G$506,2,0)</f>
        <v>33.06</v>
      </c>
      <c r="O306">
        <f>VLOOKUP(A306,NASDAQYHOO!A$2:G$506,2,0)</f>
        <v>38.47</v>
      </c>
    </row>
    <row r="307" spans="1:15">
      <c r="A307" s="39">
        <v>42587</v>
      </c>
      <c r="B307">
        <v>73.459999999999994</v>
      </c>
      <c r="C307">
        <f>VLOOKUP(A307,NYSEARCAVTI!A$2:G$506,2,0)</f>
        <v>111.42</v>
      </c>
      <c r="D307">
        <f>VLOOKUP(A307,NYSEARCAVEU!A$2:G$506,2,0)</f>
        <v>44.39</v>
      </c>
      <c r="E307">
        <f>VLOOKUP(A307,NYSEARCAVWO!A$2:G$506,2,0)</f>
        <v>37.32</v>
      </c>
      <c r="F307">
        <f>VLOOKUP(A307,NYSEARCABND!A$2:G$506,2,0)</f>
        <v>84.25</v>
      </c>
      <c r="G307">
        <f>VLOOKUP(A307,NYSEARCATIP!A$2:G$506,2,0)</f>
        <v>115.86</v>
      </c>
      <c r="H307">
        <f>VLOOKUP(A307,NYSEARCAMUB!A$2:G$506,2,0)</f>
        <v>113.23</v>
      </c>
      <c r="I307">
        <f>VLOOKUP(A307,NYSEARCAVNQ!A$2:G$506,2,0)</f>
        <v>90.32</v>
      </c>
      <c r="J307">
        <f>VLOOKUP(A307,NYSEARCARWX!A$2:G$506,2,0)</f>
        <v>42.65</v>
      </c>
      <c r="K307">
        <f>VLOOKUP(A307,NYSEARCADBC!A$2:G$506,2,0)</f>
        <v>14.3</v>
      </c>
      <c r="L307">
        <f>VLOOKUP(A307,NYSEARCAGSG!A$2:G$506,2,0)</f>
        <v>14.07</v>
      </c>
      <c r="M307">
        <f>VLOOKUP(A307,NYSEARCAGLD!A$2:G$506,2,0)</f>
        <v>128.46</v>
      </c>
      <c r="N307">
        <f>VLOOKUP(A307,NYSEBP!A$2:G$506,2,0)</f>
        <v>33.270000000000003</v>
      </c>
      <c r="O307">
        <f>VLOOKUP(A307,NASDAQYHOO!A$2:G$506,2,0)</f>
        <v>39</v>
      </c>
    </row>
    <row r="308" spans="1:15">
      <c r="A308" s="39">
        <v>42590</v>
      </c>
      <c r="B308">
        <v>74</v>
      </c>
      <c r="C308">
        <f>VLOOKUP(A308,NYSEARCAVTI!A$2:G$506,2,0)</f>
        <v>111.99</v>
      </c>
      <c r="D308">
        <f>VLOOKUP(A308,NYSEARCAVEU!A$2:G$506,2,0)</f>
        <v>44.72</v>
      </c>
      <c r="E308">
        <f>VLOOKUP(A308,NYSEARCAVWO!A$2:G$506,2,0)</f>
        <v>37.71</v>
      </c>
      <c r="F308">
        <f>VLOOKUP(A308,NYSEARCABND!A$2:G$506,2,0)</f>
        <v>83.96</v>
      </c>
      <c r="G308">
        <f>VLOOKUP(A308,NYSEARCATIP!A$2:G$506,2,0)</f>
        <v>115.78</v>
      </c>
      <c r="H308">
        <f>VLOOKUP(A308,NYSEARCAMUB!A$2:G$506,2,0)</f>
        <v>113.18</v>
      </c>
      <c r="I308">
        <f>VLOOKUP(A308,NYSEARCAVNQ!A$2:G$506,2,0)</f>
        <v>90.27</v>
      </c>
      <c r="J308">
        <f>VLOOKUP(A308,NYSEARCARWX!A$2:G$506,2,0)</f>
        <v>42.71</v>
      </c>
      <c r="K308">
        <f>VLOOKUP(A308,NYSEARCADBC!A$2:G$506,2,0)</f>
        <v>14.45</v>
      </c>
      <c r="L308">
        <f>VLOOKUP(A308,NYSEARCAGSG!A$2:G$506,2,0)</f>
        <v>14.26</v>
      </c>
      <c r="M308">
        <f>VLOOKUP(A308,NYSEARCAGLD!A$2:G$506,2,0)</f>
        <v>127.29</v>
      </c>
      <c r="N308">
        <f>VLOOKUP(A308,NYSEBP!A$2:G$506,2,0)</f>
        <v>33.08</v>
      </c>
      <c r="O308">
        <f>VLOOKUP(A308,NASDAQYHOO!A$2:G$506,2,0)</f>
        <v>39</v>
      </c>
    </row>
    <row r="309" spans="1:15">
      <c r="A309" s="39">
        <v>42591</v>
      </c>
      <c r="B309">
        <v>73.36</v>
      </c>
      <c r="C309">
        <f>VLOOKUP(A309,NYSEARCAVTI!A$2:G$506,2,0)</f>
        <v>111.94</v>
      </c>
      <c r="D309">
        <f>VLOOKUP(A309,NYSEARCAVEU!A$2:G$506,2,0)</f>
        <v>44.95</v>
      </c>
      <c r="E309">
        <f>VLOOKUP(A309,NYSEARCAVWO!A$2:G$506,2,0)</f>
        <v>37.869999999999997</v>
      </c>
      <c r="F309">
        <f>VLOOKUP(A309,NYSEARCABND!A$2:G$506,2,0)</f>
        <v>84.06</v>
      </c>
      <c r="G309">
        <f>VLOOKUP(A309,NYSEARCATIP!A$2:G$506,2,0)</f>
        <v>115.79</v>
      </c>
      <c r="H309">
        <f>VLOOKUP(A309,NYSEARCAMUB!A$2:G$506,2,0)</f>
        <v>113.22</v>
      </c>
      <c r="I309">
        <f>VLOOKUP(A309,NYSEARCAVNQ!A$2:G$506,2,0)</f>
        <v>90.64</v>
      </c>
      <c r="J309">
        <f>VLOOKUP(A309,NYSEARCARWX!A$2:G$506,2,0)</f>
        <v>42.55</v>
      </c>
      <c r="K309">
        <f>VLOOKUP(A309,NYSEARCADBC!A$2:G$506,2,0)</f>
        <v>14.49</v>
      </c>
      <c r="L309">
        <f>VLOOKUP(A309,NYSEARCAGSG!A$2:G$506,2,0)</f>
        <v>14.31</v>
      </c>
      <c r="M309">
        <f>VLOOKUP(A309,NYSEARCAGLD!A$2:G$506,2,0)</f>
        <v>127.94</v>
      </c>
      <c r="N309">
        <f>VLOOKUP(A309,NYSEBP!A$2:G$506,2,0)</f>
        <v>33.51</v>
      </c>
      <c r="O309">
        <f>VLOOKUP(A309,NASDAQYHOO!A$2:G$506,2,0)</f>
        <v>39.24</v>
      </c>
    </row>
    <row r="310" spans="1:15">
      <c r="A310" s="39">
        <v>42592</v>
      </c>
      <c r="B310">
        <v>73.569999999999993</v>
      </c>
      <c r="C310">
        <f>VLOOKUP(A310,NYSEARCAVTI!A$2:G$506,2,0)</f>
        <v>111.94</v>
      </c>
      <c r="D310">
        <f>VLOOKUP(A310,NYSEARCAVEU!A$2:G$506,2,0)</f>
        <v>45.39</v>
      </c>
      <c r="E310">
        <f>VLOOKUP(A310,NYSEARCAVWO!A$2:G$506,2,0)</f>
        <v>38.119999999999997</v>
      </c>
      <c r="F310">
        <f>VLOOKUP(A310,NYSEARCABND!A$2:G$506,2,0)</f>
        <v>84.31</v>
      </c>
      <c r="G310">
        <f>VLOOKUP(A310,NYSEARCATIP!A$2:G$506,2,0)</f>
        <v>116.18</v>
      </c>
      <c r="H310">
        <f>VLOOKUP(A310,NYSEARCAMUB!A$2:G$506,2,0)</f>
        <v>113.32</v>
      </c>
      <c r="I310">
        <f>VLOOKUP(A310,NYSEARCAVNQ!A$2:G$506,2,0)</f>
        <v>91.24</v>
      </c>
      <c r="J310">
        <f>VLOOKUP(A310,NYSEARCARWX!A$2:G$506,2,0)</f>
        <v>42.97</v>
      </c>
      <c r="K310">
        <f>VLOOKUP(A310,NYSEARCADBC!A$2:G$506,2,0)</f>
        <v>14.48</v>
      </c>
      <c r="L310">
        <f>VLOOKUP(A310,NYSEARCAGSG!A$2:G$506,2,0)</f>
        <v>14.25</v>
      </c>
      <c r="M310">
        <f>VLOOKUP(A310,NYSEARCAGLD!A$2:G$506,2,0)</f>
        <v>129.12</v>
      </c>
      <c r="N310">
        <f>VLOOKUP(A310,NYSEBP!A$2:G$506,2,0)</f>
        <v>33.44</v>
      </c>
      <c r="O310">
        <f>VLOOKUP(A310,NASDAQYHOO!A$2:G$506,2,0)</f>
        <v>39.340000000000003</v>
      </c>
    </row>
    <row r="311" spans="1:15">
      <c r="A311" s="39">
        <v>42593</v>
      </c>
      <c r="B311">
        <v>74.5</v>
      </c>
      <c r="C311">
        <f>VLOOKUP(A311,NYSEARCAVTI!A$2:G$506,2,0)</f>
        <v>111.98</v>
      </c>
      <c r="D311">
        <f>VLOOKUP(A311,NYSEARCAVEU!A$2:G$506,2,0)</f>
        <v>45.47</v>
      </c>
      <c r="E311">
        <f>VLOOKUP(A311,NYSEARCAVWO!A$2:G$506,2,0)</f>
        <v>38.01</v>
      </c>
      <c r="F311">
        <f>VLOOKUP(A311,NYSEARCABND!A$2:G$506,2,0)</f>
        <v>84.39</v>
      </c>
      <c r="G311">
        <f>VLOOKUP(A311,NYSEARCATIP!A$2:G$506,2,0)</f>
        <v>116.08</v>
      </c>
      <c r="H311">
        <f>VLOOKUP(A311,NYSEARCAMUB!A$2:G$506,2,0)</f>
        <v>113.37</v>
      </c>
      <c r="I311">
        <f>VLOOKUP(A311,NYSEARCAVNQ!A$2:G$506,2,0)</f>
        <v>90.85</v>
      </c>
      <c r="J311">
        <f>VLOOKUP(A311,NYSEARCARWX!A$2:G$506,2,0)</f>
        <v>42.86</v>
      </c>
      <c r="K311">
        <f>VLOOKUP(A311,NYSEARCADBC!A$2:G$506,2,0)</f>
        <v>14.32</v>
      </c>
      <c r="L311">
        <f>VLOOKUP(A311,NYSEARCAGSG!A$2:G$506,2,0)</f>
        <v>14.06</v>
      </c>
      <c r="M311">
        <f>VLOOKUP(A311,NYSEARCAGLD!A$2:G$506,2,0)</f>
        <v>128.61000000000001</v>
      </c>
      <c r="N311">
        <f>VLOOKUP(A311,NYSEBP!A$2:G$506,2,0)</f>
        <v>33.21</v>
      </c>
      <c r="O311">
        <f>VLOOKUP(A311,NASDAQYHOO!A$2:G$506,2,0)</f>
        <v>41.12</v>
      </c>
    </row>
    <row r="312" spans="1:15">
      <c r="A312" s="39">
        <v>42594</v>
      </c>
      <c r="B312">
        <v>73.8</v>
      </c>
      <c r="C312">
        <f>VLOOKUP(A312,NYSEARCAVTI!A$2:G$506,2,0)</f>
        <v>111.97</v>
      </c>
      <c r="D312">
        <f>VLOOKUP(A312,NYSEARCAVEU!A$2:G$506,2,0)</f>
        <v>45.66</v>
      </c>
      <c r="E312">
        <f>VLOOKUP(A312,NYSEARCAVWO!A$2:G$506,2,0)</f>
        <v>38.25</v>
      </c>
      <c r="F312">
        <f>VLOOKUP(A312,NYSEARCABND!A$2:G$506,2,0)</f>
        <v>84.41</v>
      </c>
      <c r="G312">
        <f>VLOOKUP(A312,NYSEARCATIP!A$2:G$506,2,0)</f>
        <v>116.28</v>
      </c>
      <c r="H312">
        <f>VLOOKUP(A312,NYSEARCAMUB!A$2:G$506,2,0)</f>
        <v>113.41</v>
      </c>
      <c r="I312">
        <f>VLOOKUP(A312,NYSEARCAVNQ!A$2:G$506,2,0)</f>
        <v>90.05</v>
      </c>
      <c r="J312">
        <f>VLOOKUP(A312,NYSEARCARWX!A$2:G$506,2,0)</f>
        <v>42.89</v>
      </c>
      <c r="K312">
        <f>VLOOKUP(A312,NYSEARCADBC!A$2:G$506,2,0)</f>
        <v>14.49</v>
      </c>
      <c r="L312">
        <f>VLOOKUP(A312,NYSEARCAGSG!A$2:G$506,2,0)</f>
        <v>14.35</v>
      </c>
      <c r="M312">
        <f>VLOOKUP(A312,NYSEARCAGLD!A$2:G$506,2,0)</f>
        <v>129.12</v>
      </c>
      <c r="N312">
        <f>VLOOKUP(A312,NYSEBP!A$2:G$506,2,0)</f>
        <v>33.79</v>
      </c>
      <c r="O312">
        <f>VLOOKUP(A312,NASDAQYHOO!A$2:G$506,2,0)</f>
        <v>41.28</v>
      </c>
    </row>
    <row r="313" spans="1:15">
      <c r="A313" s="39">
        <v>42597</v>
      </c>
      <c r="B313">
        <v>73.81</v>
      </c>
      <c r="C313">
        <f>VLOOKUP(A313,NYSEARCAVTI!A$2:G$506,2,0)</f>
        <v>112.29</v>
      </c>
      <c r="D313">
        <f>VLOOKUP(A313,NYSEARCAVEU!A$2:G$506,2,0)</f>
        <v>45.65</v>
      </c>
      <c r="E313">
        <f>VLOOKUP(A313,NYSEARCAVWO!A$2:G$506,2,0)</f>
        <v>38.409999999999997</v>
      </c>
      <c r="F313">
        <f>VLOOKUP(A313,NYSEARCABND!A$2:G$506,2,0)</f>
        <v>84.22</v>
      </c>
      <c r="G313">
        <f>VLOOKUP(A313,NYSEARCATIP!A$2:G$506,2,0)</f>
        <v>116.05</v>
      </c>
      <c r="H313">
        <f>VLOOKUP(A313,NYSEARCAMUB!A$2:G$506,2,0)</f>
        <v>113.43</v>
      </c>
      <c r="I313">
        <f>VLOOKUP(A313,NYSEARCAVNQ!A$2:G$506,2,0)</f>
        <v>90.37</v>
      </c>
      <c r="J313">
        <f>VLOOKUP(A313,NYSEARCARWX!A$2:G$506,2,0)</f>
        <v>42.95</v>
      </c>
      <c r="K313">
        <f>VLOOKUP(A313,NYSEARCADBC!A$2:G$506,2,0)</f>
        <v>14.65</v>
      </c>
      <c r="L313">
        <f>VLOOKUP(A313,NYSEARCAGSG!A$2:G$506,2,0)</f>
        <v>14.6</v>
      </c>
      <c r="M313">
        <f>VLOOKUP(A313,NYSEARCAGLD!A$2:G$506,2,0)</f>
        <v>127.62</v>
      </c>
      <c r="N313">
        <f>VLOOKUP(A313,NYSEBP!A$2:G$506,2,0)</f>
        <v>33.92</v>
      </c>
      <c r="O313">
        <f>VLOOKUP(A313,NASDAQYHOO!A$2:G$506,2,0)</f>
        <v>43.18</v>
      </c>
    </row>
    <row r="314" spans="1:15">
      <c r="A314" s="39">
        <v>42598</v>
      </c>
      <c r="B314">
        <v>72.59</v>
      </c>
      <c r="C314">
        <f>VLOOKUP(A314,NYSEARCAVTI!A$2:G$506,2,0)</f>
        <v>112.23</v>
      </c>
      <c r="D314">
        <f>VLOOKUP(A314,NYSEARCAVEU!A$2:G$506,2,0)</f>
        <v>45.71</v>
      </c>
      <c r="E314">
        <f>VLOOKUP(A314,NYSEARCAVWO!A$2:G$506,2,0)</f>
        <v>38.53</v>
      </c>
      <c r="F314">
        <f>VLOOKUP(A314,NYSEARCABND!A$2:G$506,2,0)</f>
        <v>84.22</v>
      </c>
      <c r="G314">
        <f>VLOOKUP(A314,NYSEARCATIP!A$2:G$506,2,0)</f>
        <v>115.5</v>
      </c>
      <c r="H314">
        <f>VLOOKUP(A314,NYSEARCAMUB!A$2:G$506,2,0)</f>
        <v>113.49</v>
      </c>
      <c r="I314">
        <f>VLOOKUP(A314,NYSEARCAVNQ!A$2:G$506,2,0)</f>
        <v>89.84</v>
      </c>
      <c r="J314">
        <f>VLOOKUP(A314,NYSEARCARWX!A$2:G$506,2,0)</f>
        <v>42.92</v>
      </c>
      <c r="K314">
        <f>VLOOKUP(A314,NYSEARCADBC!A$2:G$506,2,0)</f>
        <v>14.82</v>
      </c>
      <c r="L314">
        <f>VLOOKUP(A314,NYSEARCAGSG!A$2:G$506,2,0)</f>
        <v>14.79</v>
      </c>
      <c r="M314">
        <f>VLOOKUP(A314,NYSEARCAGLD!A$2:G$506,2,0)</f>
        <v>128.12</v>
      </c>
      <c r="N314">
        <f>VLOOKUP(A314,NYSEBP!A$2:G$506,2,0)</f>
        <v>34.08</v>
      </c>
      <c r="O314">
        <f>VLOOKUP(A314,NASDAQYHOO!A$2:G$506,2,0)</f>
        <v>42.3</v>
      </c>
    </row>
    <row r="315" spans="1:15">
      <c r="A315" s="39">
        <v>42599</v>
      </c>
      <c r="B315">
        <v>71.989999999999995</v>
      </c>
      <c r="C315">
        <f>VLOOKUP(A315,NYSEARCAVTI!A$2:G$506,2,0)</f>
        <v>111.84</v>
      </c>
      <c r="D315">
        <f>VLOOKUP(A315,NYSEARCAVEU!A$2:G$506,2,0)</f>
        <v>45.5</v>
      </c>
      <c r="E315">
        <f>VLOOKUP(A315,NYSEARCAVWO!A$2:G$506,2,0)</f>
        <v>38.15</v>
      </c>
      <c r="F315">
        <f>VLOOKUP(A315,NYSEARCABND!A$2:G$506,2,0)</f>
        <v>84.19</v>
      </c>
      <c r="G315">
        <f>VLOOKUP(A315,NYSEARCATIP!A$2:G$506,2,0)</f>
        <v>115.71</v>
      </c>
      <c r="H315">
        <f>VLOOKUP(A315,NYSEARCAMUB!A$2:G$506,2,0)</f>
        <v>113.49</v>
      </c>
      <c r="I315">
        <f>VLOOKUP(A315,NYSEARCAVNQ!A$2:G$506,2,0)</f>
        <v>88.98</v>
      </c>
      <c r="J315">
        <f>VLOOKUP(A315,NYSEARCARWX!A$2:G$506,2,0)</f>
        <v>42.69</v>
      </c>
      <c r="K315">
        <f>VLOOKUP(A315,NYSEARCADBC!A$2:G$506,2,0)</f>
        <v>14.91</v>
      </c>
      <c r="L315">
        <f>VLOOKUP(A315,NYSEARCAGSG!A$2:G$506,2,0)</f>
        <v>14.86</v>
      </c>
      <c r="M315">
        <f>VLOOKUP(A315,NYSEARCAGLD!A$2:G$506,2,0)</f>
        <v>128.16999999999999</v>
      </c>
      <c r="N315">
        <f>VLOOKUP(A315,NYSEBP!A$2:G$506,2,0)</f>
        <v>34.04</v>
      </c>
      <c r="O315">
        <f>VLOOKUP(A315,NASDAQYHOO!A$2:G$506,2,0)</f>
        <v>42.39</v>
      </c>
    </row>
    <row r="316" spans="1:15">
      <c r="A316" s="39">
        <v>42600</v>
      </c>
      <c r="B316">
        <v>74.94</v>
      </c>
      <c r="C316">
        <f>VLOOKUP(A316,NYSEARCAVTI!A$2:G$506,2,0)</f>
        <v>111.92</v>
      </c>
      <c r="D316">
        <f>VLOOKUP(A316,NYSEARCAVEU!A$2:G$506,2,0)</f>
        <v>45.63</v>
      </c>
      <c r="E316">
        <f>VLOOKUP(A316,NYSEARCAVWO!A$2:G$506,2,0)</f>
        <v>38.43</v>
      </c>
      <c r="F316">
        <f>VLOOKUP(A316,NYSEARCABND!A$2:G$506,2,0)</f>
        <v>84.32</v>
      </c>
      <c r="G316">
        <f>VLOOKUP(A316,NYSEARCATIP!A$2:G$506,2,0)</f>
        <v>116.15</v>
      </c>
      <c r="H316">
        <f>VLOOKUP(A316,NYSEARCAMUB!A$2:G$506,2,0)</f>
        <v>113.55</v>
      </c>
      <c r="I316">
        <f>VLOOKUP(A316,NYSEARCAVNQ!A$2:G$506,2,0)</f>
        <v>89.29</v>
      </c>
      <c r="J316">
        <f>VLOOKUP(A316,NYSEARCARWX!A$2:G$506,2,0)</f>
        <v>42.84</v>
      </c>
      <c r="K316">
        <f>VLOOKUP(A316,NYSEARCADBC!A$2:G$506,2,0)</f>
        <v>15.05</v>
      </c>
      <c r="L316">
        <f>VLOOKUP(A316,NYSEARCAGSG!A$2:G$506,2,0)</f>
        <v>15.05</v>
      </c>
      <c r="M316">
        <f>VLOOKUP(A316,NYSEARCAGLD!A$2:G$506,2,0)</f>
        <v>128.88999999999999</v>
      </c>
      <c r="N316">
        <f>VLOOKUP(A316,NYSEBP!A$2:G$506,2,0)</f>
        <v>34.29</v>
      </c>
      <c r="O316">
        <f>VLOOKUP(A316,NASDAQYHOO!A$2:G$506,2,0)</f>
        <v>42.69</v>
      </c>
    </row>
    <row r="317" spans="1:15">
      <c r="A317" s="39">
        <v>42601</v>
      </c>
      <c r="B317">
        <v>74.099999999999994</v>
      </c>
      <c r="C317">
        <f>VLOOKUP(A317,NYSEARCAVTI!A$2:G$506,2,0)</f>
        <v>112</v>
      </c>
      <c r="D317">
        <f>VLOOKUP(A317,NYSEARCAVEU!A$2:G$506,2,0)</f>
        <v>45.42</v>
      </c>
      <c r="E317">
        <f>VLOOKUP(A317,NYSEARCAVWO!A$2:G$506,2,0)</f>
        <v>38.130000000000003</v>
      </c>
      <c r="F317">
        <f>VLOOKUP(A317,NYSEARCABND!A$2:G$506,2,0)</f>
        <v>84.22</v>
      </c>
      <c r="G317">
        <f>VLOOKUP(A317,NYSEARCATIP!A$2:G$506,2,0)</f>
        <v>116</v>
      </c>
      <c r="H317">
        <f>VLOOKUP(A317,NYSEARCAMUB!A$2:G$506,2,0)</f>
        <v>113.55</v>
      </c>
      <c r="I317">
        <f>VLOOKUP(A317,NYSEARCAVNQ!A$2:G$506,2,0)</f>
        <v>88.97</v>
      </c>
      <c r="J317">
        <f>VLOOKUP(A317,NYSEARCARWX!A$2:G$506,2,0)</f>
        <v>42.55</v>
      </c>
      <c r="K317">
        <f>VLOOKUP(A317,NYSEARCADBC!A$2:G$506,2,0)</f>
        <v>15.11</v>
      </c>
      <c r="L317">
        <f>VLOOKUP(A317,NYSEARCAGSG!A$2:G$506,2,0)</f>
        <v>15.12</v>
      </c>
      <c r="M317">
        <f>VLOOKUP(A317,NYSEARCAGLD!A$2:G$506,2,0)</f>
        <v>128.08000000000001</v>
      </c>
      <c r="N317">
        <f>VLOOKUP(A317,NYSEBP!A$2:G$506,2,0)</f>
        <v>34.35</v>
      </c>
      <c r="O317">
        <f>VLOOKUP(A317,NASDAQYHOO!A$2:G$506,2,0)</f>
        <v>42.8</v>
      </c>
    </row>
    <row r="318" spans="1:15">
      <c r="A318" s="39">
        <v>42604</v>
      </c>
      <c r="B318">
        <v>73.06</v>
      </c>
      <c r="C318">
        <f>VLOOKUP(A318,NYSEARCAVTI!A$2:G$506,2,0)</f>
        <v>112.04</v>
      </c>
      <c r="D318">
        <f>VLOOKUP(A318,NYSEARCAVEU!A$2:G$506,2,0)</f>
        <v>45.38</v>
      </c>
      <c r="E318">
        <f>VLOOKUP(A318,NYSEARCAVWO!A$2:G$506,2,0)</f>
        <v>37.99</v>
      </c>
      <c r="F318">
        <f>VLOOKUP(A318,NYSEARCABND!A$2:G$506,2,0)</f>
        <v>84.29</v>
      </c>
      <c r="G318">
        <f>VLOOKUP(A318,NYSEARCATIP!A$2:G$506,2,0)</f>
        <v>116.18</v>
      </c>
      <c r="H318">
        <f>VLOOKUP(A318,NYSEARCAMUB!A$2:G$506,2,0)</f>
        <v>113.66</v>
      </c>
      <c r="I318">
        <f>VLOOKUP(A318,NYSEARCAVNQ!A$2:G$506,2,0)</f>
        <v>88.75</v>
      </c>
      <c r="J318">
        <f>VLOOKUP(A318,NYSEARCARWX!A$2:G$506,2,0)</f>
        <v>42.49</v>
      </c>
      <c r="K318">
        <f>VLOOKUP(A318,NYSEARCADBC!A$2:G$506,2,0)</f>
        <v>14.99</v>
      </c>
      <c r="L318">
        <f>VLOOKUP(A318,NYSEARCAGSG!A$2:G$506,2,0)</f>
        <v>15.05</v>
      </c>
      <c r="M318">
        <f>VLOOKUP(A318,NYSEARCAGLD!A$2:G$506,2,0)</f>
        <v>127.63</v>
      </c>
      <c r="N318">
        <f>VLOOKUP(A318,NYSEBP!A$2:G$506,2,0)</f>
        <v>33.83</v>
      </c>
      <c r="O318">
        <f>VLOOKUP(A318,NASDAQYHOO!A$2:G$506,2,0)</f>
        <v>42.84</v>
      </c>
    </row>
    <row r="319" spans="1:15">
      <c r="A319" s="39">
        <v>42605</v>
      </c>
      <c r="B319">
        <v>72.89</v>
      </c>
      <c r="C319">
        <f>VLOOKUP(A319,NYSEARCAVTI!A$2:G$506,2,0)</f>
        <v>112.48</v>
      </c>
      <c r="D319">
        <f>VLOOKUP(A319,NYSEARCAVEU!A$2:G$506,2,0)</f>
        <v>45.77</v>
      </c>
      <c r="E319">
        <f>VLOOKUP(A319,NYSEARCAVWO!A$2:G$506,2,0)</f>
        <v>38.159999999999997</v>
      </c>
      <c r="F319">
        <f>VLOOKUP(A319,NYSEARCABND!A$2:G$506,2,0)</f>
        <v>84.44</v>
      </c>
      <c r="G319">
        <f>VLOOKUP(A319,NYSEARCATIP!A$2:G$506,2,0)</f>
        <v>116.37</v>
      </c>
      <c r="H319">
        <f>VLOOKUP(A319,NYSEARCAMUB!A$2:G$506,2,0)</f>
        <v>113.68</v>
      </c>
      <c r="I319">
        <f>VLOOKUP(A319,NYSEARCAVNQ!A$2:G$506,2,0)</f>
        <v>89.31</v>
      </c>
      <c r="J319">
        <f>VLOOKUP(A319,NYSEARCARWX!A$2:G$506,2,0)</f>
        <v>43.08</v>
      </c>
      <c r="K319">
        <f>VLOOKUP(A319,NYSEARCADBC!A$2:G$506,2,0)</f>
        <v>14.89</v>
      </c>
      <c r="L319">
        <f>VLOOKUP(A319,NYSEARCAGSG!A$2:G$506,2,0)</f>
        <v>14.78</v>
      </c>
      <c r="M319">
        <f>VLOOKUP(A319,NYSEARCAGLD!A$2:G$506,2,0)</f>
        <v>128.13999999999999</v>
      </c>
      <c r="N319">
        <f>VLOOKUP(A319,NYSEBP!A$2:G$506,2,0)</f>
        <v>34.08</v>
      </c>
      <c r="O319">
        <f>VLOOKUP(A319,NASDAQYHOO!A$2:G$506,2,0)</f>
        <v>42.61</v>
      </c>
    </row>
    <row r="320" spans="1:15">
      <c r="A320" s="39">
        <v>42606</v>
      </c>
      <c r="B320">
        <v>71.97</v>
      </c>
      <c r="C320">
        <f>VLOOKUP(A320,NYSEARCAVTI!A$2:G$506,2,0)</f>
        <v>112.43</v>
      </c>
      <c r="D320">
        <f>VLOOKUP(A320,NYSEARCAVEU!A$2:G$506,2,0)</f>
        <v>45.56</v>
      </c>
      <c r="E320">
        <f>VLOOKUP(A320,NYSEARCAVWO!A$2:G$506,2,0)</f>
        <v>37.64</v>
      </c>
      <c r="F320">
        <f>VLOOKUP(A320,NYSEARCABND!A$2:G$506,2,0)</f>
        <v>84.43</v>
      </c>
      <c r="G320">
        <f>VLOOKUP(A320,NYSEARCATIP!A$2:G$506,2,0)</f>
        <v>116.54</v>
      </c>
      <c r="H320">
        <f>VLOOKUP(A320,NYSEARCAMUB!A$2:G$506,2,0)</f>
        <v>113.69</v>
      </c>
      <c r="I320">
        <f>VLOOKUP(A320,NYSEARCAVNQ!A$2:G$506,2,0)</f>
        <v>89.28</v>
      </c>
      <c r="J320">
        <f>VLOOKUP(A320,NYSEARCARWX!A$2:G$506,2,0)</f>
        <v>42.88</v>
      </c>
      <c r="K320">
        <f>VLOOKUP(A320,NYSEARCADBC!A$2:G$506,2,0)</f>
        <v>14.97</v>
      </c>
      <c r="L320">
        <f>VLOOKUP(A320,NYSEARCAGSG!A$2:G$506,2,0)</f>
        <v>14.91</v>
      </c>
      <c r="M320">
        <f>VLOOKUP(A320,NYSEARCAGLD!A$2:G$506,2,0)</f>
        <v>126.92</v>
      </c>
      <c r="N320">
        <f>VLOOKUP(A320,NYSEBP!A$2:G$506,2,0)</f>
        <v>34.270000000000003</v>
      </c>
      <c r="O320">
        <f>VLOOKUP(A320,NASDAQYHOO!A$2:G$506,2,0)</f>
        <v>42.5</v>
      </c>
    </row>
    <row r="321" spans="1:15">
      <c r="A321" s="39">
        <v>42607</v>
      </c>
      <c r="B321">
        <v>72.37</v>
      </c>
      <c r="C321">
        <f>VLOOKUP(A321,NYSEARCAVTI!A$2:G$506,2,0)</f>
        <v>111.7</v>
      </c>
      <c r="D321">
        <f>VLOOKUP(A321,NYSEARCAVEU!A$2:G$506,2,0)</f>
        <v>45.36</v>
      </c>
      <c r="E321">
        <f>VLOOKUP(A321,NYSEARCAVWO!A$2:G$506,2,0)</f>
        <v>37.67</v>
      </c>
      <c r="F321">
        <f>VLOOKUP(A321,NYSEARCABND!A$2:G$506,2,0)</f>
        <v>84.32</v>
      </c>
      <c r="G321">
        <f>VLOOKUP(A321,NYSEARCATIP!A$2:G$506,2,0)</f>
        <v>116.12</v>
      </c>
      <c r="H321">
        <f>VLOOKUP(A321,NYSEARCAMUB!A$2:G$506,2,0)</f>
        <v>113.64</v>
      </c>
      <c r="I321">
        <f>VLOOKUP(A321,NYSEARCAVNQ!A$2:G$506,2,0)</f>
        <v>88.9</v>
      </c>
      <c r="J321">
        <f>VLOOKUP(A321,NYSEARCARWX!A$2:G$506,2,0)</f>
        <v>42.71</v>
      </c>
      <c r="K321">
        <f>VLOOKUP(A321,NYSEARCADBC!A$2:G$506,2,0)</f>
        <v>14.88</v>
      </c>
      <c r="L321">
        <f>VLOOKUP(A321,NYSEARCAGSG!A$2:G$506,2,0)</f>
        <v>14.79</v>
      </c>
      <c r="M321">
        <f>VLOOKUP(A321,NYSEARCAGLD!A$2:G$506,2,0)</f>
        <v>125.98</v>
      </c>
      <c r="N321">
        <f>VLOOKUP(A321,NYSEBP!A$2:G$506,2,0)</f>
        <v>34.33</v>
      </c>
      <c r="O321">
        <f>VLOOKUP(A321,NASDAQYHOO!A$2:G$506,2,0)</f>
        <v>41.83</v>
      </c>
    </row>
    <row r="322" spans="1:15">
      <c r="A322" s="39">
        <v>42608</v>
      </c>
      <c r="B322">
        <v>71.41</v>
      </c>
      <c r="C322">
        <f>VLOOKUP(A322,NYSEARCAVTI!A$2:G$506,2,0)</f>
        <v>111.87</v>
      </c>
      <c r="D322">
        <f>VLOOKUP(A322,NYSEARCAVEU!A$2:G$506,2,0)</f>
        <v>45.48</v>
      </c>
      <c r="E322">
        <f>VLOOKUP(A322,NYSEARCAVWO!A$2:G$506,2,0)</f>
        <v>37.85</v>
      </c>
      <c r="F322">
        <f>VLOOKUP(A322,NYSEARCABND!A$2:G$506,2,0)</f>
        <v>84.38</v>
      </c>
      <c r="G322">
        <f>VLOOKUP(A322,NYSEARCATIP!A$2:G$506,2,0)</f>
        <v>116.48</v>
      </c>
      <c r="H322">
        <f>VLOOKUP(A322,NYSEARCAMUB!A$2:G$506,2,0)</f>
        <v>113.67</v>
      </c>
      <c r="I322">
        <f>VLOOKUP(A322,NYSEARCAVNQ!A$2:G$506,2,0)</f>
        <v>89.22</v>
      </c>
      <c r="J322">
        <f>VLOOKUP(A322,NYSEARCARWX!A$2:G$506,2,0)</f>
        <v>42.77</v>
      </c>
      <c r="K322">
        <f>VLOOKUP(A322,NYSEARCADBC!A$2:G$506,2,0)</f>
        <v>14.91</v>
      </c>
      <c r="L322">
        <f>VLOOKUP(A322,NYSEARCAGSG!A$2:G$506,2,0)</f>
        <v>14.86</v>
      </c>
      <c r="M322">
        <f>VLOOKUP(A322,NYSEARCAGLD!A$2:G$506,2,0)</f>
        <v>126.88</v>
      </c>
      <c r="N322">
        <f>VLOOKUP(A322,NYSEBP!A$2:G$506,2,0)</f>
        <v>34.380000000000003</v>
      </c>
      <c r="O322">
        <f>VLOOKUP(A322,NASDAQYHOO!A$2:G$506,2,0)</f>
        <v>42.15</v>
      </c>
    </row>
    <row r="323" spans="1:15">
      <c r="A323" s="39">
        <v>42611</v>
      </c>
      <c r="B323">
        <v>71.14</v>
      </c>
      <c r="C323">
        <f>VLOOKUP(A323,NYSEARCAVTI!A$2:G$506,2,0)</f>
        <v>111.72</v>
      </c>
      <c r="D323">
        <f>VLOOKUP(A323,NYSEARCAVEU!A$2:G$506,2,0)</f>
        <v>45.02</v>
      </c>
      <c r="E323">
        <f>VLOOKUP(A323,NYSEARCAVWO!A$2:G$506,2,0)</f>
        <v>37.47</v>
      </c>
      <c r="F323">
        <f>VLOOKUP(A323,NYSEARCABND!A$2:G$506,2,0)</f>
        <v>84.23</v>
      </c>
      <c r="G323">
        <f>VLOOKUP(A323,NYSEARCATIP!A$2:G$506,2,0)</f>
        <v>115.93</v>
      </c>
      <c r="H323">
        <f>VLOOKUP(A323,NYSEARCAMUB!A$2:G$506,2,0)</f>
        <v>113.66</v>
      </c>
      <c r="I323">
        <f>VLOOKUP(A323,NYSEARCAVNQ!A$2:G$506,2,0)</f>
        <v>88.37</v>
      </c>
      <c r="J323">
        <f>VLOOKUP(A323,NYSEARCARWX!A$2:G$506,2,0)</f>
        <v>42.15</v>
      </c>
      <c r="K323">
        <f>VLOOKUP(A323,NYSEARCADBC!A$2:G$506,2,0)</f>
        <v>14.82</v>
      </c>
      <c r="L323">
        <f>VLOOKUP(A323,NYSEARCAGSG!A$2:G$506,2,0)</f>
        <v>14.71</v>
      </c>
      <c r="M323">
        <f>VLOOKUP(A323,NYSEARCAGLD!A$2:G$506,2,0)</f>
        <v>126</v>
      </c>
      <c r="N323">
        <f>VLOOKUP(A323,NYSEBP!A$2:G$506,2,0)</f>
        <v>33.9</v>
      </c>
      <c r="O323">
        <f>VLOOKUP(A323,NASDAQYHOO!A$2:G$506,2,0)</f>
        <v>42.2</v>
      </c>
    </row>
    <row r="324" spans="1:15">
      <c r="A324" s="39">
        <v>42612</v>
      </c>
      <c r="B324">
        <v>71.760000000000005</v>
      </c>
      <c r="C324">
        <f>VLOOKUP(A324,NYSEARCAVTI!A$2:G$506,2,0)</f>
        <v>112.16</v>
      </c>
      <c r="D324">
        <f>VLOOKUP(A324,NYSEARCAVEU!A$2:G$506,2,0)</f>
        <v>45.31</v>
      </c>
      <c r="E324">
        <f>VLOOKUP(A324,NYSEARCAVWO!A$2:G$506,2,0)</f>
        <v>37.770000000000003</v>
      </c>
      <c r="F324">
        <f>VLOOKUP(A324,NYSEARCABND!A$2:G$506,2,0)</f>
        <v>84.36</v>
      </c>
      <c r="G324">
        <f>VLOOKUP(A324,NYSEARCATIP!A$2:G$506,2,0)</f>
        <v>116.12</v>
      </c>
      <c r="H324">
        <f>VLOOKUP(A324,NYSEARCAMUB!A$2:G$506,2,0)</f>
        <v>113.69</v>
      </c>
      <c r="I324">
        <f>VLOOKUP(A324,NYSEARCAVNQ!A$2:G$506,2,0)</f>
        <v>89.24</v>
      </c>
      <c r="J324">
        <f>VLOOKUP(A324,NYSEARCARWX!A$2:G$506,2,0)</f>
        <v>42.16</v>
      </c>
      <c r="K324">
        <f>VLOOKUP(A324,NYSEARCADBC!A$2:G$506,2,0)</f>
        <v>14.79</v>
      </c>
      <c r="L324">
        <f>VLOOKUP(A324,NYSEARCAGSG!A$2:G$506,2,0)</f>
        <v>14.74</v>
      </c>
      <c r="M324">
        <f>VLOOKUP(A324,NYSEARCAGLD!A$2:G$506,2,0)</f>
        <v>125.73</v>
      </c>
      <c r="N324">
        <f>VLOOKUP(A324,NYSEBP!A$2:G$506,2,0)</f>
        <v>34.229999999999997</v>
      </c>
      <c r="O324">
        <f>VLOOKUP(A324,NASDAQYHOO!A$2:G$506,2,0)</f>
        <v>42.28</v>
      </c>
    </row>
    <row r="325" spans="1:15">
      <c r="A325" s="39">
        <v>42613</v>
      </c>
      <c r="B325">
        <v>71.459999999999994</v>
      </c>
      <c r="C325">
        <f>VLOOKUP(A325,NYSEARCAVTI!A$2:G$506,2,0)</f>
        <v>111.88</v>
      </c>
      <c r="D325">
        <f>VLOOKUP(A325,NYSEARCAVEU!A$2:G$506,2,0)</f>
        <v>45.13</v>
      </c>
      <c r="E325">
        <f>VLOOKUP(A325,NYSEARCAVWO!A$2:G$506,2,0)</f>
        <v>37.53</v>
      </c>
      <c r="F325">
        <f>VLOOKUP(A325,NYSEARCABND!A$2:G$506,2,0)</f>
        <v>84.3</v>
      </c>
      <c r="G325">
        <f>VLOOKUP(A325,NYSEARCATIP!A$2:G$506,2,0)</f>
        <v>115.87</v>
      </c>
      <c r="H325">
        <f>VLOOKUP(A325,NYSEARCAMUB!A$2:G$506,2,0)</f>
        <v>113.63</v>
      </c>
      <c r="I325">
        <f>VLOOKUP(A325,NYSEARCAVNQ!A$2:G$506,2,0)</f>
        <v>88.79</v>
      </c>
      <c r="J325">
        <f>VLOOKUP(A325,NYSEARCARWX!A$2:G$506,2,0)</f>
        <v>42.01</v>
      </c>
      <c r="K325">
        <f>VLOOKUP(A325,NYSEARCADBC!A$2:G$506,2,0)</f>
        <v>14.55</v>
      </c>
      <c r="L325">
        <f>VLOOKUP(A325,NYSEARCAGSG!A$2:G$506,2,0)</f>
        <v>14.42</v>
      </c>
      <c r="M325">
        <f>VLOOKUP(A325,NYSEARCAGLD!A$2:G$506,2,0)</f>
        <v>124.73</v>
      </c>
      <c r="N325">
        <f>VLOOKUP(A325,NYSEBP!A$2:G$506,2,0)</f>
        <v>33.99</v>
      </c>
      <c r="O325">
        <f>VLOOKUP(A325,NASDAQYHOO!A$2:G$506,2,0)</f>
        <v>42.46</v>
      </c>
    </row>
    <row r="326" spans="1:15">
      <c r="A326" s="39">
        <v>42614</v>
      </c>
      <c r="B326">
        <v>71.569999999999993</v>
      </c>
      <c r="C326">
        <f>VLOOKUP(A326,NYSEARCAVTI!A$2:G$506,2,0)</f>
        <v>111.77</v>
      </c>
      <c r="D326">
        <f>VLOOKUP(A326,NYSEARCAVEU!A$2:G$506,2,0)</f>
        <v>45.16</v>
      </c>
      <c r="E326">
        <f>VLOOKUP(A326,NYSEARCAVWO!A$2:G$506,2,0)</f>
        <v>37.340000000000003</v>
      </c>
      <c r="F326">
        <f>VLOOKUP(A326,NYSEARCABND!A$2:G$506,2,0)</f>
        <v>83.9</v>
      </c>
      <c r="G326">
        <f>VLOOKUP(A326,NYSEARCATIP!A$2:G$506,2,0)</f>
        <v>115.38</v>
      </c>
      <c r="H326">
        <f>VLOOKUP(A326,NYSEARCAMUB!A$2:G$506,2,0)</f>
        <v>113.33</v>
      </c>
      <c r="I326">
        <f>VLOOKUP(A326,NYSEARCAVNQ!A$2:G$506,2,0)</f>
        <v>89.07</v>
      </c>
      <c r="J326">
        <f>VLOOKUP(A326,NYSEARCARWX!A$2:G$506,2,0)</f>
        <v>42.15</v>
      </c>
      <c r="K326">
        <f>VLOOKUP(A326,NYSEARCADBC!A$2:G$506,2,0)</f>
        <v>14.3</v>
      </c>
      <c r="L326">
        <f>VLOOKUP(A326,NYSEARCAGSG!A$2:G$506,2,0)</f>
        <v>14.1</v>
      </c>
      <c r="M326">
        <f>VLOOKUP(A326,NYSEARCAGLD!A$2:G$506,2,0)</f>
        <v>124.67</v>
      </c>
      <c r="N326">
        <f>VLOOKUP(A326,NYSEBP!A$2:G$506,2,0)</f>
        <v>33.81</v>
      </c>
      <c r="O326">
        <f>VLOOKUP(A326,NASDAQYHOO!A$2:G$506,2,0)</f>
        <v>42.78</v>
      </c>
    </row>
    <row r="327" spans="1:15">
      <c r="A327" s="39">
        <v>42615</v>
      </c>
      <c r="B327">
        <v>72.989999999999995</v>
      </c>
      <c r="C327">
        <f>VLOOKUP(A327,NYSEARCAVTI!A$2:G$506,2,0)</f>
        <v>112.19</v>
      </c>
      <c r="D327">
        <f>VLOOKUP(A327,NYSEARCAVEU!A$2:G$506,2,0)</f>
        <v>45.71</v>
      </c>
      <c r="E327">
        <f>VLOOKUP(A327,NYSEARCAVWO!A$2:G$506,2,0)</f>
        <v>38.020000000000003</v>
      </c>
      <c r="F327">
        <f>VLOOKUP(A327,NYSEARCABND!A$2:G$506,2,0)</f>
        <v>84.13</v>
      </c>
      <c r="G327">
        <f>VLOOKUP(A327,NYSEARCATIP!A$2:G$506,2,0)</f>
        <v>115.68</v>
      </c>
      <c r="H327">
        <f>VLOOKUP(A327,NYSEARCAMUB!A$2:G$506,2,0)</f>
        <v>113.25</v>
      </c>
      <c r="I327">
        <f>VLOOKUP(A327,NYSEARCAVNQ!A$2:G$506,2,0)</f>
        <v>89.27</v>
      </c>
      <c r="J327">
        <f>VLOOKUP(A327,NYSEARCARWX!A$2:G$506,2,0)</f>
        <v>42.57</v>
      </c>
      <c r="K327">
        <f>VLOOKUP(A327,NYSEARCADBC!A$2:G$506,2,0)</f>
        <v>14.38</v>
      </c>
      <c r="L327">
        <f>VLOOKUP(A327,NYSEARCAGSG!A$2:G$506,2,0)</f>
        <v>14.15</v>
      </c>
      <c r="M327">
        <f>VLOOKUP(A327,NYSEARCAGLD!A$2:G$506,2,0)</f>
        <v>126.29</v>
      </c>
      <c r="N327">
        <f>VLOOKUP(A327,NYSEBP!A$2:G$506,2,0)</f>
        <v>34.25</v>
      </c>
      <c r="O327">
        <f>VLOOKUP(A327,NASDAQYHOO!A$2:G$506,2,0)</f>
        <v>43.27</v>
      </c>
    </row>
    <row r="328" spans="1:15">
      <c r="A328" s="39">
        <v>42619</v>
      </c>
      <c r="B328">
        <v>72.760000000000005</v>
      </c>
      <c r="C328">
        <f>VLOOKUP(A328,NYSEARCAVTI!A$2:G$506,2,0)</f>
        <v>112.46</v>
      </c>
      <c r="D328">
        <f>VLOOKUP(A328,NYSEARCAVEU!A$2:G$506,2,0)</f>
        <v>46.06</v>
      </c>
      <c r="E328">
        <f>VLOOKUP(A328,NYSEARCAVWO!A$2:G$506,2,0)</f>
        <v>38.619999999999997</v>
      </c>
      <c r="F328">
        <f>VLOOKUP(A328,NYSEARCABND!A$2:G$506,2,0)</f>
        <v>84.1</v>
      </c>
      <c r="G328">
        <f>VLOOKUP(A328,NYSEARCATIP!A$2:G$506,2,0)</f>
        <v>115.64</v>
      </c>
      <c r="H328">
        <f>VLOOKUP(A328,NYSEARCAMUB!A$2:G$506,2,0)</f>
        <v>113.2</v>
      </c>
      <c r="I328">
        <f>VLOOKUP(A328,NYSEARCAVNQ!A$2:G$506,2,0)</f>
        <v>89.91</v>
      </c>
      <c r="J328">
        <f>VLOOKUP(A328,NYSEARCARWX!A$2:G$506,2,0)</f>
        <v>42.67</v>
      </c>
      <c r="K328">
        <f>VLOOKUP(A328,NYSEARCADBC!A$2:G$506,2,0)</f>
        <v>14.37</v>
      </c>
      <c r="L328">
        <f>VLOOKUP(A328,NYSEARCAGSG!A$2:G$506,2,0)</f>
        <v>14.11</v>
      </c>
      <c r="M328">
        <f>VLOOKUP(A328,NYSEARCAGLD!A$2:G$506,2,0)</f>
        <v>127.4</v>
      </c>
      <c r="N328">
        <f>VLOOKUP(A328,NYSEBP!A$2:G$506,2,0)</f>
        <v>34.549999999999997</v>
      </c>
      <c r="O328">
        <f>VLOOKUP(A328,NASDAQYHOO!A$2:G$506,2,0)</f>
        <v>43.5</v>
      </c>
    </row>
    <row r="329" spans="1:15">
      <c r="A329" s="39">
        <v>42620</v>
      </c>
      <c r="B329">
        <v>73</v>
      </c>
      <c r="C329">
        <f>VLOOKUP(A329,NYSEARCAVTI!A$2:G$506,2,0)</f>
        <v>112.54</v>
      </c>
      <c r="D329">
        <f>VLOOKUP(A329,NYSEARCAVEU!A$2:G$506,2,0)</f>
        <v>46.45</v>
      </c>
      <c r="E329">
        <f>VLOOKUP(A329,NYSEARCAVWO!A$2:G$506,2,0)</f>
        <v>38.799999999999997</v>
      </c>
      <c r="F329">
        <f>VLOOKUP(A329,NYSEARCABND!A$2:G$506,2,0)</f>
        <v>84.4</v>
      </c>
      <c r="G329">
        <f>VLOOKUP(A329,NYSEARCATIP!A$2:G$506,2,0)</f>
        <v>116.41</v>
      </c>
      <c r="H329">
        <f>VLOOKUP(A329,NYSEARCAMUB!A$2:G$506,2,0)</f>
        <v>113.26</v>
      </c>
      <c r="I329">
        <f>VLOOKUP(A329,NYSEARCAVNQ!A$2:G$506,2,0)</f>
        <v>90.09</v>
      </c>
      <c r="J329">
        <f>VLOOKUP(A329,NYSEARCARWX!A$2:G$506,2,0)</f>
        <v>43.15</v>
      </c>
      <c r="K329">
        <f>VLOOKUP(A329,NYSEARCADBC!A$2:G$506,2,0)</f>
        <v>14.59</v>
      </c>
      <c r="L329">
        <f>VLOOKUP(A329,NYSEARCAGSG!A$2:G$506,2,0)</f>
        <v>14.3</v>
      </c>
      <c r="M329">
        <f>VLOOKUP(A329,NYSEARCAGLD!A$2:G$506,2,0)</f>
        <v>128.79</v>
      </c>
      <c r="N329">
        <f>VLOOKUP(A329,NYSEBP!A$2:G$506,2,0)</f>
        <v>34.78</v>
      </c>
      <c r="O329">
        <f>VLOOKUP(A329,NASDAQYHOO!A$2:G$506,2,0)</f>
        <v>44.55</v>
      </c>
    </row>
    <row r="330" spans="1:15">
      <c r="A330" s="39">
        <v>42621</v>
      </c>
      <c r="B330">
        <v>71.89</v>
      </c>
      <c r="C330">
        <f>VLOOKUP(A330,NYSEARCAVTI!A$2:G$506,2,0)</f>
        <v>112.57</v>
      </c>
      <c r="D330">
        <f>VLOOKUP(A330,NYSEARCAVEU!A$2:G$506,2,0)</f>
        <v>46.32</v>
      </c>
      <c r="E330">
        <f>VLOOKUP(A330,NYSEARCAVWO!A$2:G$506,2,0)</f>
        <v>38.79</v>
      </c>
      <c r="F330">
        <f>VLOOKUP(A330,NYSEARCABND!A$2:G$506,2,0)</f>
        <v>84.17</v>
      </c>
      <c r="G330">
        <f>VLOOKUP(A330,NYSEARCATIP!A$2:G$506,2,0)</f>
        <v>116.23</v>
      </c>
      <c r="H330">
        <f>VLOOKUP(A330,NYSEARCAMUB!A$2:G$506,2,0)</f>
        <v>113.26</v>
      </c>
      <c r="I330">
        <f>VLOOKUP(A330,NYSEARCAVNQ!A$2:G$506,2,0)</f>
        <v>90.35</v>
      </c>
      <c r="J330">
        <f>VLOOKUP(A330,NYSEARCARWX!A$2:G$506,2,0)</f>
        <v>42.89</v>
      </c>
      <c r="K330">
        <f>VLOOKUP(A330,NYSEARCADBC!A$2:G$506,2,0)</f>
        <v>14.71</v>
      </c>
      <c r="L330">
        <f>VLOOKUP(A330,NYSEARCAGSG!A$2:G$506,2,0)</f>
        <v>14.55</v>
      </c>
      <c r="M330">
        <f>VLOOKUP(A330,NYSEARCAGLD!A$2:G$506,2,0)</f>
        <v>128.16</v>
      </c>
      <c r="N330">
        <f>VLOOKUP(A330,NYSEBP!A$2:G$506,2,0)</f>
        <v>34.89</v>
      </c>
      <c r="O330">
        <f>VLOOKUP(A330,NASDAQYHOO!A$2:G$506,2,0)</f>
        <v>44.07</v>
      </c>
    </row>
    <row r="331" spans="1:15">
      <c r="A331" s="39">
        <v>42622</v>
      </c>
      <c r="B331">
        <v>71.319999999999993</v>
      </c>
      <c r="C331">
        <f>VLOOKUP(A331,NYSEARCAVTI!A$2:G$506,2,0)</f>
        <v>111.72</v>
      </c>
      <c r="D331">
        <f>VLOOKUP(A331,NYSEARCAVEU!A$2:G$506,2,0)</f>
        <v>45.81</v>
      </c>
      <c r="E331">
        <f>VLOOKUP(A331,NYSEARCAVWO!A$2:G$506,2,0)</f>
        <v>38.08</v>
      </c>
      <c r="F331">
        <f>VLOOKUP(A331,NYSEARCABND!A$2:G$506,2,0)</f>
        <v>83.71</v>
      </c>
      <c r="G331">
        <f>VLOOKUP(A331,NYSEARCATIP!A$2:G$506,2,0)</f>
        <v>115.34</v>
      </c>
      <c r="H331">
        <f>VLOOKUP(A331,NYSEARCAMUB!A$2:G$506,2,0)</f>
        <v>113.09</v>
      </c>
      <c r="I331">
        <f>VLOOKUP(A331,NYSEARCAVNQ!A$2:G$506,2,0)</f>
        <v>88.62</v>
      </c>
      <c r="J331">
        <f>VLOOKUP(A331,NYSEARCARWX!A$2:G$506,2,0)</f>
        <v>42.13</v>
      </c>
      <c r="K331">
        <f>VLOOKUP(A331,NYSEARCADBC!A$2:G$506,2,0)</f>
        <v>14.76</v>
      </c>
      <c r="L331">
        <f>VLOOKUP(A331,NYSEARCAGSG!A$2:G$506,2,0)</f>
        <v>14.6</v>
      </c>
      <c r="M331">
        <f>VLOOKUP(A331,NYSEARCAGLD!A$2:G$506,2,0)</f>
        <v>127.24</v>
      </c>
      <c r="N331">
        <f>VLOOKUP(A331,NYSEBP!A$2:G$506,2,0)</f>
        <v>34.630000000000003</v>
      </c>
      <c r="O331">
        <f>VLOOKUP(A331,NASDAQYHOO!A$2:G$506,2,0)</f>
        <v>43.92</v>
      </c>
    </row>
    <row r="332" spans="1:15">
      <c r="A332" s="39">
        <v>42625</v>
      </c>
      <c r="B332">
        <v>70.790000000000006</v>
      </c>
      <c r="C332">
        <f>VLOOKUP(A332,NYSEARCAVTI!A$2:G$506,2,0)</f>
        <v>109.19</v>
      </c>
      <c r="D332">
        <f>VLOOKUP(A332,NYSEARCAVEU!A$2:G$506,2,0)</f>
        <v>44.82</v>
      </c>
      <c r="E332">
        <f>VLOOKUP(A332,NYSEARCAVWO!A$2:G$506,2,0)</f>
        <v>37.01</v>
      </c>
      <c r="F332">
        <f>VLOOKUP(A332,NYSEARCABND!A$2:G$506,2,0)</f>
        <v>83.55</v>
      </c>
      <c r="G332">
        <f>VLOOKUP(A332,NYSEARCATIP!A$2:G$506,2,0)</f>
        <v>114.98</v>
      </c>
      <c r="H332">
        <f>VLOOKUP(A332,NYSEARCAMUB!A$2:G$506,2,0)</f>
        <v>112.95</v>
      </c>
      <c r="I332">
        <f>VLOOKUP(A332,NYSEARCAVNQ!A$2:G$506,2,0)</f>
        <v>85.92</v>
      </c>
      <c r="J332">
        <f>VLOOKUP(A332,NYSEARCARWX!A$2:G$506,2,0)</f>
        <v>41.27</v>
      </c>
      <c r="K332">
        <f>VLOOKUP(A332,NYSEARCADBC!A$2:G$506,2,0)</f>
        <v>14.52</v>
      </c>
      <c r="L332">
        <f>VLOOKUP(A332,NYSEARCAGSG!A$2:G$506,2,0)</f>
        <v>14.31</v>
      </c>
      <c r="M332">
        <f>VLOOKUP(A332,NYSEARCAGLD!A$2:G$506,2,0)</f>
        <v>126.31</v>
      </c>
      <c r="N332">
        <f>VLOOKUP(A332,NYSEBP!A$2:G$506,2,0)</f>
        <v>34.11</v>
      </c>
      <c r="O332">
        <f>VLOOKUP(A332,NASDAQYHOO!A$2:G$506,2,0)</f>
        <v>42.28</v>
      </c>
    </row>
    <row r="333" spans="1:15">
      <c r="A333" s="39">
        <v>42626</v>
      </c>
      <c r="B333">
        <v>71.84</v>
      </c>
      <c r="C333">
        <f>VLOOKUP(A333,NYSEARCAVTI!A$2:G$506,2,0)</f>
        <v>109.95</v>
      </c>
      <c r="D333">
        <f>VLOOKUP(A333,NYSEARCAVEU!A$2:G$506,2,0)</f>
        <v>44.68</v>
      </c>
      <c r="E333">
        <f>VLOOKUP(A333,NYSEARCAVWO!A$2:G$506,2,0)</f>
        <v>36.75</v>
      </c>
      <c r="F333">
        <f>VLOOKUP(A333,NYSEARCABND!A$2:G$506,2,0)</f>
        <v>83.77</v>
      </c>
      <c r="G333">
        <f>VLOOKUP(A333,NYSEARCATIP!A$2:G$506,2,0)</f>
        <v>115.18</v>
      </c>
      <c r="H333">
        <f>VLOOKUP(A333,NYSEARCAMUB!A$2:G$506,2,0)</f>
        <v>112.91</v>
      </c>
      <c r="I333">
        <f>VLOOKUP(A333,NYSEARCAVNQ!A$2:G$506,2,0)</f>
        <v>86.08</v>
      </c>
      <c r="J333">
        <f>VLOOKUP(A333,NYSEARCARWX!A$2:G$506,2,0)</f>
        <v>41.31</v>
      </c>
      <c r="K333">
        <f>VLOOKUP(A333,NYSEARCADBC!A$2:G$506,2,0)</f>
        <v>14.57</v>
      </c>
      <c r="L333">
        <f>VLOOKUP(A333,NYSEARCAGSG!A$2:G$506,2,0)</f>
        <v>14.41</v>
      </c>
      <c r="M333">
        <f>VLOOKUP(A333,NYSEARCAGLD!A$2:G$506,2,0)</f>
        <v>126.47</v>
      </c>
      <c r="N333">
        <f>VLOOKUP(A333,NYSEBP!A$2:G$506,2,0)</f>
        <v>33.85</v>
      </c>
      <c r="O333">
        <f>VLOOKUP(A333,NASDAQYHOO!A$2:G$506,2,0)</f>
        <v>43.19</v>
      </c>
    </row>
    <row r="334" spans="1:15">
      <c r="A334" s="39">
        <v>42627</v>
      </c>
      <c r="B334">
        <v>71.62</v>
      </c>
      <c r="C334">
        <f>VLOOKUP(A334,NYSEARCAVTI!A$2:G$506,2,0)</f>
        <v>109.05</v>
      </c>
      <c r="D334">
        <f>VLOOKUP(A334,NYSEARCAVEU!A$2:G$506,2,0)</f>
        <v>44.3</v>
      </c>
      <c r="E334">
        <f>VLOOKUP(A334,NYSEARCAVWO!A$2:G$506,2,0)</f>
        <v>36.5</v>
      </c>
      <c r="F334">
        <f>VLOOKUP(A334,NYSEARCABND!A$2:G$506,2,0)</f>
        <v>83.42</v>
      </c>
      <c r="G334">
        <f>VLOOKUP(A334,NYSEARCATIP!A$2:G$506,2,0)</f>
        <v>114.66</v>
      </c>
      <c r="H334">
        <f>VLOOKUP(A334,NYSEARCAMUB!A$2:G$506,2,0)</f>
        <v>112.69</v>
      </c>
      <c r="I334">
        <f>VLOOKUP(A334,NYSEARCAVNQ!A$2:G$506,2,0)</f>
        <v>84.56</v>
      </c>
      <c r="J334">
        <f>VLOOKUP(A334,NYSEARCARWX!A$2:G$506,2,0)</f>
        <v>40.93</v>
      </c>
      <c r="K334">
        <f>VLOOKUP(A334,NYSEARCADBC!A$2:G$506,2,0)</f>
        <v>14.39</v>
      </c>
      <c r="L334">
        <f>VLOOKUP(A334,NYSEARCAGSG!A$2:G$506,2,0)</f>
        <v>14.21</v>
      </c>
      <c r="M334">
        <f>VLOOKUP(A334,NYSEARCAGLD!A$2:G$506,2,0)</f>
        <v>126.1</v>
      </c>
      <c r="N334">
        <f>VLOOKUP(A334,NYSEBP!A$2:G$506,2,0)</f>
        <v>33.39</v>
      </c>
      <c r="O334">
        <f>VLOOKUP(A334,NASDAQYHOO!A$2:G$506,2,0)</f>
        <v>42.91</v>
      </c>
    </row>
    <row r="335" spans="1:15">
      <c r="A335" s="39">
        <v>42628</v>
      </c>
      <c r="B335">
        <v>71.48</v>
      </c>
      <c r="C335">
        <f>VLOOKUP(A335,NYSEARCAVTI!A$2:G$506,2,0)</f>
        <v>108.86</v>
      </c>
      <c r="D335">
        <f>VLOOKUP(A335,NYSEARCAVEU!A$2:G$506,2,0)</f>
        <v>44.33</v>
      </c>
      <c r="E335">
        <f>VLOOKUP(A335,NYSEARCAVWO!A$2:G$506,2,0)</f>
        <v>36.700000000000003</v>
      </c>
      <c r="F335">
        <f>VLOOKUP(A335,NYSEARCABND!A$2:G$506,2,0)</f>
        <v>83.47</v>
      </c>
      <c r="G335">
        <f>VLOOKUP(A335,NYSEARCATIP!A$2:G$506,2,0)</f>
        <v>114.62</v>
      </c>
      <c r="H335">
        <f>VLOOKUP(A335,NYSEARCAMUB!A$2:G$506,2,0)</f>
        <v>112.62</v>
      </c>
      <c r="I335">
        <f>VLOOKUP(A335,NYSEARCAVNQ!A$2:G$506,2,0)</f>
        <v>84.58</v>
      </c>
      <c r="J335">
        <f>VLOOKUP(A335,NYSEARCARWX!A$2:G$506,2,0)</f>
        <v>40.85</v>
      </c>
      <c r="K335">
        <f>VLOOKUP(A335,NYSEARCADBC!A$2:G$506,2,0)</f>
        <v>14.39</v>
      </c>
      <c r="L335">
        <f>VLOOKUP(A335,NYSEARCAGSG!A$2:G$506,2,0)</f>
        <v>14.16</v>
      </c>
      <c r="M335">
        <f>VLOOKUP(A335,NYSEARCAGLD!A$2:G$506,2,0)</f>
        <v>125.73</v>
      </c>
      <c r="N335">
        <f>VLOOKUP(A335,NYSEBP!A$2:G$506,2,0)</f>
        <v>33.270000000000003</v>
      </c>
      <c r="O335">
        <f>VLOOKUP(A335,NASDAQYHOO!A$2:G$506,2,0)</f>
        <v>43.41</v>
      </c>
    </row>
    <row r="336" spans="1:15">
      <c r="A336" s="39">
        <v>42629</v>
      </c>
      <c r="B336">
        <v>72.319999999999993</v>
      </c>
      <c r="C336">
        <f>VLOOKUP(A336,NYSEARCAVTI!A$2:G$506,2,0)</f>
        <v>109.75</v>
      </c>
      <c r="D336">
        <f>VLOOKUP(A336,NYSEARCAVEU!A$2:G$506,2,0)</f>
        <v>44.27</v>
      </c>
      <c r="E336">
        <f>VLOOKUP(A336,NYSEARCAVWO!A$2:G$506,2,0)</f>
        <v>36.79</v>
      </c>
      <c r="F336">
        <f>VLOOKUP(A336,NYSEARCABND!A$2:G$506,2,0)</f>
        <v>83.65</v>
      </c>
      <c r="G336">
        <f>VLOOKUP(A336,NYSEARCATIP!A$2:G$506,2,0)</f>
        <v>115.1</v>
      </c>
      <c r="H336">
        <f>VLOOKUP(A336,NYSEARCAMUB!A$2:G$506,2,0)</f>
        <v>112.6</v>
      </c>
      <c r="I336">
        <f>VLOOKUP(A336,NYSEARCAVNQ!A$2:G$506,2,0)</f>
        <v>84.83</v>
      </c>
      <c r="J336">
        <f>VLOOKUP(A336,NYSEARCARWX!A$2:G$506,2,0)</f>
        <v>40.29</v>
      </c>
      <c r="K336">
        <f>VLOOKUP(A336,NYSEARCADBC!A$2:G$506,2,0)</f>
        <v>14.33</v>
      </c>
      <c r="L336">
        <f>VLOOKUP(A336,NYSEARCAGSG!A$2:G$506,2,0)</f>
        <v>14.03</v>
      </c>
      <c r="M336">
        <f>VLOOKUP(A336,NYSEARCAGLD!A$2:G$506,2,0)</f>
        <v>124.81</v>
      </c>
      <c r="N336">
        <f>VLOOKUP(A336,NYSEBP!A$2:G$506,2,0)</f>
        <v>33.08</v>
      </c>
      <c r="O336">
        <f>VLOOKUP(A336,NASDAQYHOO!A$2:G$506,2,0)</f>
        <v>43.94</v>
      </c>
    </row>
    <row r="337" spans="1:15">
      <c r="A337" s="39">
        <v>42632</v>
      </c>
      <c r="B337">
        <v>72.64</v>
      </c>
      <c r="C337">
        <f>VLOOKUP(A337,NYSEARCAVTI!A$2:G$506,2,0)</f>
        <v>110.19</v>
      </c>
      <c r="D337">
        <f>VLOOKUP(A337,NYSEARCAVEU!A$2:G$506,2,0)</f>
        <v>44.64</v>
      </c>
      <c r="E337">
        <f>VLOOKUP(A337,NYSEARCAVWO!A$2:G$506,2,0)</f>
        <v>37.26</v>
      </c>
      <c r="F337">
        <f>VLOOKUP(A337,NYSEARCABND!A$2:G$506,2,0)</f>
        <v>83.64</v>
      </c>
      <c r="G337">
        <f>VLOOKUP(A337,NYSEARCATIP!A$2:G$506,2,0)</f>
        <v>115.04</v>
      </c>
      <c r="H337">
        <f>VLOOKUP(A337,NYSEARCAMUB!A$2:G$506,2,0)</f>
        <v>112.49</v>
      </c>
      <c r="I337">
        <f>VLOOKUP(A337,NYSEARCAVNQ!A$2:G$506,2,0)</f>
        <v>85.25</v>
      </c>
      <c r="J337">
        <f>VLOOKUP(A337,NYSEARCARWX!A$2:G$506,2,0)</f>
        <v>40.67</v>
      </c>
      <c r="K337">
        <f>VLOOKUP(A337,NYSEARCADBC!A$2:G$506,2,0)</f>
        <v>14.48</v>
      </c>
      <c r="L337">
        <f>VLOOKUP(A337,NYSEARCAGSG!A$2:G$506,2,0)</f>
        <v>14.22</v>
      </c>
      <c r="M337">
        <f>VLOOKUP(A337,NYSEARCAGLD!A$2:G$506,2,0)</f>
        <v>125.61</v>
      </c>
      <c r="N337">
        <f>VLOOKUP(A337,NYSEBP!A$2:G$506,2,0)</f>
        <v>33.909999999999997</v>
      </c>
      <c r="O337">
        <f>VLOOKUP(A337,NASDAQYHOO!A$2:G$506,2,0)</f>
        <v>43.92</v>
      </c>
    </row>
    <row r="338" spans="1:15">
      <c r="A338" s="39">
        <v>42633</v>
      </c>
      <c r="B338">
        <v>72.150000000000006</v>
      </c>
      <c r="C338">
        <f>VLOOKUP(A338,NYSEARCAVTI!A$2:G$506,2,0)</f>
        <v>110.29</v>
      </c>
      <c r="D338">
        <f>VLOOKUP(A338,NYSEARCAVEU!A$2:G$506,2,0)</f>
        <v>44.8</v>
      </c>
      <c r="E338">
        <f>VLOOKUP(A338,NYSEARCAVWO!A$2:G$506,2,0)</f>
        <v>37.36</v>
      </c>
      <c r="F338">
        <f>VLOOKUP(A338,NYSEARCABND!A$2:G$506,2,0)</f>
        <v>83.66</v>
      </c>
      <c r="G338">
        <f>VLOOKUP(A338,NYSEARCATIP!A$2:G$506,2,0)</f>
        <v>114.87</v>
      </c>
      <c r="H338">
        <f>VLOOKUP(A338,NYSEARCAMUB!A$2:G$506,2,0)</f>
        <v>112.59</v>
      </c>
      <c r="I338">
        <f>VLOOKUP(A338,NYSEARCAVNQ!A$2:G$506,2,0)</f>
        <v>86.14</v>
      </c>
      <c r="J338">
        <f>VLOOKUP(A338,NYSEARCARWX!A$2:G$506,2,0)</f>
        <v>40.89</v>
      </c>
      <c r="K338">
        <f>VLOOKUP(A338,NYSEARCADBC!A$2:G$506,2,0)</f>
        <v>14.37</v>
      </c>
      <c r="L338">
        <f>VLOOKUP(A338,NYSEARCAGSG!A$2:G$506,2,0)</f>
        <v>14.1</v>
      </c>
      <c r="M338">
        <f>VLOOKUP(A338,NYSEARCAGLD!A$2:G$506,2,0)</f>
        <v>125.31</v>
      </c>
      <c r="N338">
        <f>VLOOKUP(A338,NYSEBP!A$2:G$506,2,0)</f>
        <v>33.409999999999997</v>
      </c>
      <c r="O338">
        <f>VLOOKUP(A338,NASDAQYHOO!A$2:G$506,2,0)</f>
        <v>43.24</v>
      </c>
    </row>
    <row r="339" spans="1:15">
      <c r="A339" s="39">
        <v>42634</v>
      </c>
      <c r="B339">
        <v>72.180000000000007</v>
      </c>
      <c r="C339">
        <f>VLOOKUP(A339,NYSEARCAVTI!A$2:G$506,2,0)</f>
        <v>110.11</v>
      </c>
      <c r="D339">
        <f>VLOOKUP(A339,NYSEARCAVEU!A$2:G$506,2,0)</f>
        <v>45.12</v>
      </c>
      <c r="E339">
        <f>VLOOKUP(A339,NYSEARCAVWO!A$2:G$506,2,0)</f>
        <v>37.479999999999997</v>
      </c>
      <c r="F339">
        <f>VLOOKUP(A339,NYSEARCABND!A$2:G$506,2,0)</f>
        <v>83.55</v>
      </c>
      <c r="G339">
        <f>VLOOKUP(A339,NYSEARCATIP!A$2:G$506,2,0)</f>
        <v>114.78</v>
      </c>
      <c r="H339">
        <f>VLOOKUP(A339,NYSEARCAMUB!A$2:G$506,2,0)</f>
        <v>112.57</v>
      </c>
      <c r="I339">
        <f>VLOOKUP(A339,NYSEARCAVNQ!A$2:G$506,2,0)</f>
        <v>85.76</v>
      </c>
      <c r="J339">
        <f>VLOOKUP(A339,NYSEARCARWX!A$2:G$506,2,0)</f>
        <v>40.93</v>
      </c>
      <c r="K339">
        <f>VLOOKUP(A339,NYSEARCADBC!A$2:G$506,2,0)</f>
        <v>14.6</v>
      </c>
      <c r="L339">
        <f>VLOOKUP(A339,NYSEARCAGSG!A$2:G$506,2,0)</f>
        <v>14.35</v>
      </c>
      <c r="M339">
        <f>VLOOKUP(A339,NYSEARCAGLD!A$2:G$506,2,0)</f>
        <v>126.33</v>
      </c>
      <c r="N339">
        <f>VLOOKUP(A339,NYSEBP!A$2:G$506,2,0)</f>
        <v>33.32</v>
      </c>
      <c r="O339">
        <f>VLOOKUP(A339,NASDAQYHOO!A$2:G$506,2,0)</f>
        <v>42.89</v>
      </c>
    </row>
    <row r="340" spans="1:15">
      <c r="A340" s="39">
        <v>42635</v>
      </c>
      <c r="B340">
        <v>72.430000000000007</v>
      </c>
      <c r="C340">
        <f>VLOOKUP(A340,NYSEARCAVTI!A$2:G$506,2,0)</f>
        <v>111.63</v>
      </c>
      <c r="D340">
        <f>VLOOKUP(A340,NYSEARCAVEU!A$2:G$506,2,0)</f>
        <v>46.09</v>
      </c>
      <c r="E340">
        <f>VLOOKUP(A340,NYSEARCAVWO!A$2:G$506,2,0)</f>
        <v>38.29</v>
      </c>
      <c r="F340">
        <f>VLOOKUP(A340,NYSEARCABND!A$2:G$506,2,0)</f>
        <v>83.94</v>
      </c>
      <c r="G340">
        <f>VLOOKUP(A340,NYSEARCATIP!A$2:G$506,2,0)</f>
        <v>115.57</v>
      </c>
      <c r="H340">
        <f>VLOOKUP(A340,NYSEARCAMUB!A$2:G$506,2,0)</f>
        <v>112.61</v>
      </c>
      <c r="I340">
        <f>VLOOKUP(A340,NYSEARCAVNQ!A$2:G$506,2,0)</f>
        <v>87.51</v>
      </c>
      <c r="J340">
        <f>VLOOKUP(A340,NYSEARCARWX!A$2:G$506,2,0)</f>
        <v>41.73</v>
      </c>
      <c r="K340">
        <f>VLOOKUP(A340,NYSEARCADBC!A$2:G$506,2,0)</f>
        <v>14.8</v>
      </c>
      <c r="L340">
        <f>VLOOKUP(A340,NYSEARCAGSG!A$2:G$506,2,0)</f>
        <v>14.62</v>
      </c>
      <c r="M340">
        <f>VLOOKUP(A340,NYSEARCAGLD!A$2:G$506,2,0)</f>
        <v>127.57</v>
      </c>
      <c r="N340">
        <f>VLOOKUP(A340,NYSEBP!A$2:G$506,2,0)</f>
        <v>34.57</v>
      </c>
      <c r="O340">
        <f>VLOOKUP(A340,NASDAQYHOO!A$2:G$506,2,0)</f>
        <v>43.94</v>
      </c>
    </row>
    <row r="341" spans="1:15">
      <c r="A341" s="39">
        <v>42636</v>
      </c>
      <c r="B341">
        <v>72.599999999999994</v>
      </c>
      <c r="C341">
        <f>VLOOKUP(A341,NYSEARCAVTI!A$2:G$506,2,0)</f>
        <v>111.59</v>
      </c>
      <c r="D341">
        <f>VLOOKUP(A341,NYSEARCAVEU!A$2:G$506,2,0)</f>
        <v>45.56</v>
      </c>
      <c r="E341">
        <f>VLOOKUP(A341,NYSEARCAVWO!A$2:G$506,2,0)</f>
        <v>37.909999999999997</v>
      </c>
      <c r="F341">
        <f>VLOOKUP(A341,NYSEARCABND!A$2:G$506,2,0)</f>
        <v>84.03</v>
      </c>
      <c r="G341">
        <f>VLOOKUP(A341,NYSEARCATIP!A$2:G$506,2,0)</f>
        <v>116.06</v>
      </c>
      <c r="H341">
        <f>VLOOKUP(A341,NYSEARCAMUB!A$2:G$506,2,0)</f>
        <v>112.62</v>
      </c>
      <c r="I341">
        <f>VLOOKUP(A341,NYSEARCAVNQ!A$2:G$506,2,0)</f>
        <v>88.02</v>
      </c>
      <c r="J341">
        <f>VLOOKUP(A341,NYSEARCARWX!A$2:G$506,2,0)</f>
        <v>41.5</v>
      </c>
      <c r="K341">
        <f>VLOOKUP(A341,NYSEARCADBC!A$2:G$506,2,0)</f>
        <v>14.74</v>
      </c>
      <c r="L341">
        <f>VLOOKUP(A341,NYSEARCAGSG!A$2:G$506,2,0)</f>
        <v>14.58</v>
      </c>
      <c r="M341">
        <f>VLOOKUP(A341,NYSEARCAGLD!A$2:G$506,2,0)</f>
        <v>127.6</v>
      </c>
      <c r="N341">
        <f>VLOOKUP(A341,NYSEBP!A$2:G$506,2,0)</f>
        <v>34.04</v>
      </c>
      <c r="O341">
        <f>VLOOKUP(A341,NASDAQYHOO!A$2:G$506,2,0)</f>
        <v>43.5</v>
      </c>
    </row>
    <row r="342" spans="1:15">
      <c r="A342" s="39">
        <v>42639</v>
      </c>
      <c r="B342">
        <v>72.31</v>
      </c>
      <c r="C342">
        <f>VLOOKUP(A342,NYSEARCAVTI!A$2:G$506,2,0)</f>
        <v>110.64</v>
      </c>
      <c r="D342">
        <f>VLOOKUP(A342,NYSEARCAVEU!A$2:G$506,2,0)</f>
        <v>45.17</v>
      </c>
      <c r="E342">
        <f>VLOOKUP(A342,NYSEARCAVWO!A$2:G$506,2,0)</f>
        <v>37.39</v>
      </c>
      <c r="F342">
        <f>VLOOKUP(A342,NYSEARCABND!A$2:G$506,2,0)</f>
        <v>84.08</v>
      </c>
      <c r="G342">
        <f>VLOOKUP(A342,NYSEARCATIP!A$2:G$506,2,0)</f>
        <v>116.37</v>
      </c>
      <c r="H342">
        <f>VLOOKUP(A342,NYSEARCAMUB!A$2:G$506,2,0)</f>
        <v>112.75</v>
      </c>
      <c r="I342">
        <f>VLOOKUP(A342,NYSEARCAVNQ!A$2:G$506,2,0)</f>
        <v>88.28</v>
      </c>
      <c r="J342">
        <f>VLOOKUP(A342,NYSEARCARWX!A$2:G$506,2,0)</f>
        <v>41.49</v>
      </c>
      <c r="K342">
        <f>VLOOKUP(A342,NYSEARCADBC!A$2:G$506,2,0)</f>
        <v>14.65</v>
      </c>
      <c r="L342">
        <f>VLOOKUP(A342,NYSEARCAGSG!A$2:G$506,2,0)</f>
        <v>14.42</v>
      </c>
      <c r="M342">
        <f>VLOOKUP(A342,NYSEARCAGLD!A$2:G$506,2,0)</f>
        <v>127.96</v>
      </c>
      <c r="N342">
        <f>VLOOKUP(A342,NYSEBP!A$2:G$506,2,0)</f>
        <v>33.71</v>
      </c>
      <c r="O342">
        <f>VLOOKUP(A342,NASDAQYHOO!A$2:G$506,2,0)</f>
        <v>42.38</v>
      </c>
    </row>
    <row r="343" spans="1:15">
      <c r="A343" s="39">
        <v>42640</v>
      </c>
      <c r="B343">
        <v>71.930000000000007</v>
      </c>
      <c r="C343">
        <f>VLOOKUP(A343,NYSEARCAVTI!A$2:G$506,2,0)</f>
        <v>110.23</v>
      </c>
      <c r="D343">
        <f>VLOOKUP(A343,NYSEARCAVEU!A$2:G$506,2,0)</f>
        <v>45.01</v>
      </c>
      <c r="E343">
        <f>VLOOKUP(A343,NYSEARCAVWO!A$2:G$506,2,0)</f>
        <v>37.43</v>
      </c>
      <c r="F343">
        <f>VLOOKUP(A343,NYSEARCABND!A$2:G$506,2,0)</f>
        <v>84.26</v>
      </c>
      <c r="G343">
        <f>VLOOKUP(A343,NYSEARCATIP!A$2:G$506,2,0)</f>
        <v>116.28</v>
      </c>
      <c r="H343">
        <f>VLOOKUP(A343,NYSEARCAMUB!A$2:G$506,2,0)</f>
        <v>112.84</v>
      </c>
      <c r="I343">
        <f>VLOOKUP(A343,NYSEARCAVNQ!A$2:G$506,2,0)</f>
        <v>89.03</v>
      </c>
      <c r="J343">
        <f>VLOOKUP(A343,NYSEARCARWX!A$2:G$506,2,0)</f>
        <v>41.51</v>
      </c>
      <c r="K343">
        <f>VLOOKUP(A343,NYSEARCADBC!A$2:G$506,2,0)</f>
        <v>14.52</v>
      </c>
      <c r="L343">
        <f>VLOOKUP(A343,NYSEARCAGSG!A$2:G$506,2,0)</f>
        <v>14.28</v>
      </c>
      <c r="M343">
        <f>VLOOKUP(A343,NYSEARCAGLD!A$2:G$506,2,0)</f>
        <v>126.86</v>
      </c>
      <c r="N343">
        <f>VLOOKUP(A343,NYSEBP!A$2:G$506,2,0)</f>
        <v>33.479999999999997</v>
      </c>
      <c r="O343">
        <f>VLOOKUP(A343,NASDAQYHOO!A$2:G$506,2,0)</f>
        <v>42.43</v>
      </c>
    </row>
    <row r="344" spans="1:15">
      <c r="A344" s="39">
        <v>42641</v>
      </c>
      <c r="B344">
        <v>72.22</v>
      </c>
      <c r="C344">
        <f>VLOOKUP(A344,NYSEARCAVTI!A$2:G$506,2,0)</f>
        <v>111.06</v>
      </c>
      <c r="D344">
        <f>VLOOKUP(A344,NYSEARCAVEU!A$2:G$506,2,0)</f>
        <v>45.49</v>
      </c>
      <c r="E344">
        <f>VLOOKUP(A344,NYSEARCAVWO!A$2:G$506,2,0)</f>
        <v>37.71</v>
      </c>
      <c r="F344">
        <f>VLOOKUP(A344,NYSEARCABND!A$2:G$506,2,0)</f>
        <v>84.24</v>
      </c>
      <c r="G344">
        <f>VLOOKUP(A344,NYSEARCATIP!A$2:G$506,2,0)</f>
        <v>116.47</v>
      </c>
      <c r="H344">
        <f>VLOOKUP(A344,NYSEARCAMUB!A$2:G$506,2,0)</f>
        <v>112.9</v>
      </c>
      <c r="I344">
        <f>VLOOKUP(A344,NYSEARCAVNQ!A$2:G$506,2,0)</f>
        <v>87.94</v>
      </c>
      <c r="J344">
        <f>VLOOKUP(A344,NYSEARCARWX!A$2:G$506,2,0)</f>
        <v>41.77</v>
      </c>
      <c r="K344">
        <f>VLOOKUP(A344,NYSEARCADBC!A$2:G$506,2,0)</f>
        <v>14.6</v>
      </c>
      <c r="L344">
        <f>VLOOKUP(A344,NYSEARCAGSG!A$2:G$506,2,0)</f>
        <v>14.37</v>
      </c>
      <c r="M344">
        <f>VLOOKUP(A344,NYSEARCAGLD!A$2:G$506,2,0)</f>
        <v>126.25</v>
      </c>
      <c r="N344">
        <f>VLOOKUP(A344,NYSEBP!A$2:G$506,2,0)</f>
        <v>34.119999999999997</v>
      </c>
      <c r="O344">
        <f>VLOOKUP(A344,NASDAQYHOO!A$2:G$506,2,0)</f>
        <v>43.4</v>
      </c>
    </row>
    <row r="345" spans="1:15">
      <c r="A345" s="39">
        <v>42642</v>
      </c>
      <c r="B345">
        <v>71.569999999999993</v>
      </c>
      <c r="C345">
        <f>VLOOKUP(A345,NYSEARCAVTI!A$2:G$506,2,0)</f>
        <v>111.48</v>
      </c>
      <c r="D345">
        <f>VLOOKUP(A345,NYSEARCAVEU!A$2:G$506,2,0)</f>
        <v>45.59</v>
      </c>
      <c r="E345">
        <f>VLOOKUP(A345,NYSEARCAVWO!A$2:G$506,2,0)</f>
        <v>37.81</v>
      </c>
      <c r="F345">
        <f>VLOOKUP(A345,NYSEARCABND!A$2:G$506,2,0)</f>
        <v>84.14</v>
      </c>
      <c r="G345">
        <f>VLOOKUP(A345,NYSEARCATIP!A$2:G$506,2,0)</f>
        <v>116.33</v>
      </c>
      <c r="H345">
        <f>VLOOKUP(A345,NYSEARCAMUB!A$2:G$506,2,0)</f>
        <v>112.85</v>
      </c>
      <c r="I345">
        <f>VLOOKUP(A345,NYSEARCAVNQ!A$2:G$506,2,0)</f>
        <v>88.22</v>
      </c>
      <c r="J345">
        <f>VLOOKUP(A345,NYSEARCARWX!A$2:G$506,2,0)</f>
        <v>41.62</v>
      </c>
      <c r="K345">
        <f>VLOOKUP(A345,NYSEARCADBC!A$2:G$506,2,0)</f>
        <v>14.9</v>
      </c>
      <c r="L345">
        <f>VLOOKUP(A345,NYSEARCAGSG!A$2:G$506,2,0)</f>
        <v>14.72</v>
      </c>
      <c r="M345">
        <f>VLOOKUP(A345,NYSEARCAGLD!A$2:G$506,2,0)</f>
        <v>125.84</v>
      </c>
      <c r="N345">
        <f>VLOOKUP(A345,NYSEBP!A$2:G$506,2,0)</f>
        <v>35.229999999999997</v>
      </c>
      <c r="O345">
        <f>VLOOKUP(A345,NASDAQYHOO!A$2:G$506,2,0)</f>
        <v>43.17</v>
      </c>
    </row>
    <row r="346" spans="1:15">
      <c r="A346" s="39">
        <v>42643</v>
      </c>
      <c r="B346">
        <v>71.5</v>
      </c>
      <c r="C346">
        <f>VLOOKUP(A346,NYSEARCAVTI!A$2:G$506,2,0)</f>
        <v>110.97</v>
      </c>
      <c r="D346">
        <f>VLOOKUP(A346,NYSEARCAVEU!A$2:G$506,2,0)</f>
        <v>45.25</v>
      </c>
      <c r="E346">
        <f>VLOOKUP(A346,NYSEARCAVWO!A$2:G$506,2,0)</f>
        <v>37.549999999999997</v>
      </c>
      <c r="F346">
        <f>VLOOKUP(A346,NYSEARCABND!A$2:G$506,2,0)</f>
        <v>84.25</v>
      </c>
      <c r="G346">
        <f>VLOOKUP(A346,NYSEARCATIP!A$2:G$506,2,0)</f>
        <v>116.51</v>
      </c>
      <c r="H346">
        <f>VLOOKUP(A346,NYSEARCAMUB!A$2:G$506,2,0)</f>
        <v>112.76</v>
      </c>
      <c r="I346">
        <f>VLOOKUP(A346,NYSEARCAVNQ!A$2:G$506,2,0)</f>
        <v>87.65</v>
      </c>
      <c r="J346">
        <f>VLOOKUP(A346,NYSEARCARWX!A$2:G$506,2,0)</f>
        <v>41.49</v>
      </c>
      <c r="K346">
        <f>VLOOKUP(A346,NYSEARCADBC!A$2:G$506,2,0)</f>
        <v>15.01</v>
      </c>
      <c r="L346">
        <f>VLOOKUP(A346,NYSEARCAGSG!A$2:G$506,2,0)</f>
        <v>14.81</v>
      </c>
      <c r="M346">
        <f>VLOOKUP(A346,NYSEARCAGLD!A$2:G$506,2,0)</f>
        <v>126.52</v>
      </c>
      <c r="N346">
        <f>VLOOKUP(A346,NYSEBP!A$2:G$506,2,0)</f>
        <v>35.24</v>
      </c>
      <c r="O346">
        <f>VLOOKUP(A346,NASDAQYHOO!A$2:G$506,2,0)</f>
        <v>42.74</v>
      </c>
    </row>
    <row r="347" spans="1:15">
      <c r="A347" s="39">
        <v>42646</v>
      </c>
      <c r="B347">
        <v>71.83</v>
      </c>
      <c r="C347">
        <f>VLOOKUP(A347,NYSEARCAVTI!A$2:G$506,2,0)</f>
        <v>111.09</v>
      </c>
      <c r="D347">
        <f>VLOOKUP(A347,NYSEARCAVEU!A$2:G$506,2,0)</f>
        <v>45.4</v>
      </c>
      <c r="E347">
        <f>VLOOKUP(A347,NYSEARCAVWO!A$2:G$506,2,0)</f>
        <v>37.700000000000003</v>
      </c>
      <c r="F347">
        <f>VLOOKUP(A347,NYSEARCABND!A$2:G$506,2,0)</f>
        <v>83.95</v>
      </c>
      <c r="G347">
        <f>VLOOKUP(A347,NYSEARCATIP!A$2:G$506,2,0)</f>
        <v>116.63</v>
      </c>
      <c r="H347">
        <f>VLOOKUP(A347,NYSEARCAMUB!A$2:G$506,2,0)</f>
        <v>112.59</v>
      </c>
      <c r="I347">
        <f>VLOOKUP(A347,NYSEARCAVNQ!A$2:G$506,2,0)</f>
        <v>86.01</v>
      </c>
      <c r="J347">
        <f>VLOOKUP(A347,NYSEARCARWX!A$2:G$506,2,0)</f>
        <v>41.38</v>
      </c>
      <c r="K347">
        <f>VLOOKUP(A347,NYSEARCADBC!A$2:G$506,2,0)</f>
        <v>15.03</v>
      </c>
      <c r="L347">
        <f>VLOOKUP(A347,NYSEARCAGSG!A$2:G$506,2,0)</f>
        <v>14.83</v>
      </c>
      <c r="M347">
        <f>VLOOKUP(A347,NYSEARCAGLD!A$2:G$506,2,0)</f>
        <v>125.32</v>
      </c>
      <c r="N347">
        <f>VLOOKUP(A347,NYSEBP!A$2:G$506,2,0)</f>
        <v>35.340000000000003</v>
      </c>
      <c r="O347">
        <f>VLOOKUP(A347,NASDAQYHOO!A$2:G$506,2,0)</f>
        <v>42.95</v>
      </c>
    </row>
    <row r="348" spans="1:15">
      <c r="A348" s="39">
        <v>42647</v>
      </c>
      <c r="B348">
        <v>72</v>
      </c>
      <c r="C348">
        <f>VLOOKUP(A348,NYSEARCAVTI!A$2:G$506,2,0)</f>
        <v>111.12</v>
      </c>
      <c r="D348">
        <f>VLOOKUP(A348,NYSEARCAVEU!A$2:G$506,2,0)</f>
        <v>45.56</v>
      </c>
      <c r="E348">
        <f>VLOOKUP(A348,NYSEARCAVWO!A$2:G$506,2,0)</f>
        <v>37.92</v>
      </c>
      <c r="F348">
        <f>VLOOKUP(A348,NYSEARCABND!A$2:G$506,2,0)</f>
        <v>83.84</v>
      </c>
      <c r="G348">
        <f>VLOOKUP(A348,NYSEARCATIP!A$2:G$506,2,0)</f>
        <v>116.48</v>
      </c>
      <c r="H348">
        <f>VLOOKUP(A348,NYSEARCAMUB!A$2:G$506,2,0)</f>
        <v>112.44</v>
      </c>
      <c r="I348">
        <f>VLOOKUP(A348,NYSEARCAVNQ!A$2:G$506,2,0)</f>
        <v>85</v>
      </c>
      <c r="J348">
        <f>VLOOKUP(A348,NYSEARCARWX!A$2:G$506,2,0)</f>
        <v>41.27</v>
      </c>
      <c r="K348">
        <f>VLOOKUP(A348,NYSEARCADBC!A$2:G$506,2,0)</f>
        <v>15.17</v>
      </c>
      <c r="L348">
        <f>VLOOKUP(A348,NYSEARCAGSG!A$2:G$506,2,0)</f>
        <v>15</v>
      </c>
      <c r="M348">
        <f>VLOOKUP(A348,NYSEARCAGLD!A$2:G$506,2,0)</f>
        <v>123.16</v>
      </c>
      <c r="N348">
        <f>VLOOKUP(A348,NYSEBP!A$2:G$506,2,0)</f>
        <v>36.020000000000003</v>
      </c>
      <c r="O348">
        <f>VLOOKUP(A348,NASDAQYHOO!A$2:G$506,2,0)</f>
        <v>43.2</v>
      </c>
    </row>
    <row r="349" spans="1:15">
      <c r="A349" s="39">
        <v>42648</v>
      </c>
      <c r="B349">
        <v>71.87</v>
      </c>
      <c r="C349">
        <f>VLOOKUP(A349,NYSEARCAVTI!A$2:G$506,2,0)</f>
        <v>110.78</v>
      </c>
      <c r="D349">
        <f>VLOOKUP(A349,NYSEARCAVEU!A$2:G$506,2,0)</f>
        <v>45.53</v>
      </c>
      <c r="E349">
        <f>VLOOKUP(A349,NYSEARCAVWO!A$2:G$506,2,0)</f>
        <v>37.89</v>
      </c>
      <c r="F349">
        <f>VLOOKUP(A349,NYSEARCABND!A$2:G$506,2,0)</f>
        <v>83.66</v>
      </c>
      <c r="G349">
        <f>VLOOKUP(A349,NYSEARCATIP!A$2:G$506,2,0)</f>
        <v>115.9</v>
      </c>
      <c r="H349">
        <f>VLOOKUP(A349,NYSEARCAMUB!A$2:G$506,2,0)</f>
        <v>112.35</v>
      </c>
      <c r="I349">
        <f>VLOOKUP(A349,NYSEARCAVNQ!A$2:G$506,2,0)</f>
        <v>84.12</v>
      </c>
      <c r="J349">
        <f>VLOOKUP(A349,NYSEARCARWX!A$2:G$506,2,0)</f>
        <v>40.5</v>
      </c>
      <c r="K349">
        <f>VLOOKUP(A349,NYSEARCADBC!A$2:G$506,2,0)</f>
        <v>15.22</v>
      </c>
      <c r="L349">
        <f>VLOOKUP(A349,NYSEARCAGSG!A$2:G$506,2,0)</f>
        <v>15.13</v>
      </c>
      <c r="M349">
        <f>VLOOKUP(A349,NYSEARCAGLD!A$2:G$506,2,0)</f>
        <v>121.33</v>
      </c>
      <c r="N349">
        <f>VLOOKUP(A349,NYSEBP!A$2:G$506,2,0)</f>
        <v>36.020000000000003</v>
      </c>
      <c r="O349">
        <f>VLOOKUP(A349,NASDAQYHOO!A$2:G$506,2,0)</f>
        <v>43.23</v>
      </c>
    </row>
    <row r="350" spans="1:15">
      <c r="A350" s="39">
        <v>42649</v>
      </c>
      <c r="B350">
        <v>70.2</v>
      </c>
      <c r="C350">
        <f>VLOOKUP(A350,NYSEARCAVTI!A$2:G$506,2,0)</f>
        <v>110.75</v>
      </c>
      <c r="D350">
        <f>VLOOKUP(A350,NYSEARCAVEU!A$2:G$506,2,0)</f>
        <v>45.36</v>
      </c>
      <c r="E350">
        <f>VLOOKUP(A350,NYSEARCAVWO!A$2:G$506,2,0)</f>
        <v>37.86</v>
      </c>
      <c r="F350">
        <f>VLOOKUP(A350,NYSEARCABND!A$2:G$506,2,0)</f>
        <v>83.46</v>
      </c>
      <c r="G350">
        <f>VLOOKUP(A350,NYSEARCATIP!A$2:G$506,2,0)</f>
        <v>115.73</v>
      </c>
      <c r="H350">
        <f>VLOOKUP(A350,NYSEARCAMUB!A$2:G$506,2,0)</f>
        <v>111.99</v>
      </c>
      <c r="I350">
        <f>VLOOKUP(A350,NYSEARCAVNQ!A$2:G$506,2,0)</f>
        <v>81.849999999999994</v>
      </c>
      <c r="J350">
        <f>VLOOKUP(A350,NYSEARCARWX!A$2:G$506,2,0)</f>
        <v>39.89</v>
      </c>
      <c r="K350">
        <f>VLOOKUP(A350,NYSEARCADBC!A$2:G$506,2,0)</f>
        <v>15.2</v>
      </c>
      <c r="L350">
        <f>VLOOKUP(A350,NYSEARCAGSG!A$2:G$506,2,0)</f>
        <v>15.16</v>
      </c>
      <c r="M350">
        <f>VLOOKUP(A350,NYSEARCAGLD!A$2:G$506,2,0)</f>
        <v>119.69</v>
      </c>
      <c r="N350">
        <f>VLOOKUP(A350,NYSEBP!A$2:G$506,2,0)</f>
        <v>36.15</v>
      </c>
      <c r="O350">
        <f>VLOOKUP(A350,NASDAQYHOO!A$2:G$506,2,0)</f>
        <v>43.64</v>
      </c>
    </row>
    <row r="351" spans="1:15">
      <c r="A351" s="39">
        <v>42650</v>
      </c>
      <c r="B351">
        <v>69.260000000000005</v>
      </c>
      <c r="C351">
        <f>VLOOKUP(A351,NYSEARCAVTI!A$2:G$506,2,0)</f>
        <v>111.15</v>
      </c>
      <c r="D351">
        <f>VLOOKUP(A351,NYSEARCAVEU!A$2:G$506,2,0)</f>
        <v>45.28</v>
      </c>
      <c r="E351">
        <f>VLOOKUP(A351,NYSEARCAVWO!A$2:G$506,2,0)</f>
        <v>38.08</v>
      </c>
      <c r="F351">
        <f>VLOOKUP(A351,NYSEARCABND!A$2:G$506,2,0)</f>
        <v>83.52</v>
      </c>
      <c r="G351">
        <f>VLOOKUP(A351,NYSEARCATIP!A$2:G$506,2,0)</f>
        <v>115.78</v>
      </c>
      <c r="H351">
        <f>VLOOKUP(A351,NYSEARCAMUB!A$2:G$506,2,0)</f>
        <v>111.95</v>
      </c>
      <c r="I351">
        <f>VLOOKUP(A351,NYSEARCAVNQ!A$2:G$506,2,0)</f>
        <v>82.8</v>
      </c>
      <c r="J351">
        <f>VLOOKUP(A351,NYSEARCARWX!A$2:G$506,2,0)</f>
        <v>39.71</v>
      </c>
      <c r="K351">
        <f>VLOOKUP(A351,NYSEARCADBC!A$2:G$506,2,0)</f>
        <v>15.26</v>
      </c>
      <c r="L351">
        <f>VLOOKUP(A351,NYSEARCAGSG!A$2:G$506,2,0)</f>
        <v>15.2</v>
      </c>
      <c r="M351">
        <f>VLOOKUP(A351,NYSEARCAGLD!A$2:G$506,2,0)</f>
        <v>120.49</v>
      </c>
      <c r="N351">
        <f>VLOOKUP(A351,NYSEBP!A$2:G$506,2,0)</f>
        <v>36.06</v>
      </c>
      <c r="O351">
        <f>VLOOKUP(A351,NASDAQYHOO!A$2:G$506,2,0)</f>
        <v>43.26</v>
      </c>
    </row>
    <row r="352" spans="1:15">
      <c r="A352" s="39">
        <v>42653</v>
      </c>
      <c r="B352">
        <v>68.75</v>
      </c>
      <c r="C352">
        <f>VLOOKUP(A352,NYSEARCAVTI!A$2:G$506,2,0)</f>
        <v>111.1</v>
      </c>
      <c r="D352">
        <f>VLOOKUP(A352,NYSEARCAVEU!A$2:G$506,2,0)</f>
        <v>45.24</v>
      </c>
      <c r="E352">
        <f>VLOOKUP(A352,NYSEARCAVWO!A$2:G$506,2,0)</f>
        <v>38.090000000000003</v>
      </c>
      <c r="F352">
        <f>VLOOKUP(A352,NYSEARCABND!A$2:G$506,2,0)</f>
        <v>83.38</v>
      </c>
      <c r="G352">
        <f>VLOOKUP(A352,NYSEARCATIP!A$2:G$506,2,0)</f>
        <v>115.49</v>
      </c>
      <c r="H352">
        <f>VLOOKUP(A352,NYSEARCAMUB!A$2:G$506,2,0)</f>
        <v>111.87</v>
      </c>
      <c r="I352">
        <f>VLOOKUP(A352,NYSEARCAVNQ!A$2:G$506,2,0)</f>
        <v>82.22</v>
      </c>
      <c r="J352">
        <f>VLOOKUP(A352,NYSEARCARWX!A$2:G$506,2,0)</f>
        <v>39.51</v>
      </c>
      <c r="K352">
        <f>VLOOKUP(A352,NYSEARCADBC!A$2:G$506,2,0)</f>
        <v>15.3</v>
      </c>
      <c r="L352">
        <f>VLOOKUP(A352,NYSEARCAGSG!A$2:G$506,2,0)</f>
        <v>15.18</v>
      </c>
      <c r="M352">
        <f>VLOOKUP(A352,NYSEARCAGLD!A$2:G$506,2,0)</f>
        <v>120.16</v>
      </c>
      <c r="N352">
        <f>VLOOKUP(A352,NYSEBP!A$2:G$506,2,0)</f>
        <v>36.43</v>
      </c>
      <c r="O352">
        <f>VLOOKUP(A352,NASDAQYHOO!A$2:G$506,2,0)</f>
        <v>43.36</v>
      </c>
    </row>
    <row r="353" spans="1:15">
      <c r="A353" s="39">
        <v>42654</v>
      </c>
      <c r="B353">
        <v>67.95</v>
      </c>
      <c r="C353">
        <f>VLOOKUP(A353,NYSEARCAVTI!A$2:G$506,2,0)</f>
        <v>110.94</v>
      </c>
      <c r="D353">
        <f>VLOOKUP(A353,NYSEARCAVEU!A$2:G$506,2,0)</f>
        <v>45.05</v>
      </c>
      <c r="E353">
        <f>VLOOKUP(A353,NYSEARCAVWO!A$2:G$506,2,0)</f>
        <v>37.68</v>
      </c>
      <c r="F353">
        <f>VLOOKUP(A353,NYSEARCABND!A$2:G$506,2,0)</f>
        <v>83.38</v>
      </c>
      <c r="G353">
        <f>VLOOKUP(A353,NYSEARCATIP!A$2:G$506,2,0)</f>
        <v>115.57</v>
      </c>
      <c r="H353">
        <f>VLOOKUP(A353,NYSEARCAMUB!A$2:G$506,2,0)</f>
        <v>111.83</v>
      </c>
      <c r="I353">
        <f>VLOOKUP(A353,NYSEARCAVNQ!A$2:G$506,2,0)</f>
        <v>82.55</v>
      </c>
      <c r="J353">
        <f>VLOOKUP(A353,NYSEARCARWX!A$2:G$506,2,0)</f>
        <v>39.21</v>
      </c>
      <c r="K353">
        <f>VLOOKUP(A353,NYSEARCADBC!A$2:G$506,2,0)</f>
        <v>15.32</v>
      </c>
      <c r="L353">
        <f>VLOOKUP(A353,NYSEARCAGSG!A$2:G$506,2,0)</f>
        <v>15.31</v>
      </c>
      <c r="M353">
        <f>VLOOKUP(A353,NYSEARCAGLD!A$2:G$506,2,0)</f>
        <v>119.92</v>
      </c>
      <c r="N353">
        <f>VLOOKUP(A353,NYSEBP!A$2:G$506,2,0)</f>
        <v>36.44</v>
      </c>
      <c r="O353">
        <f>VLOOKUP(A353,NASDAQYHOO!A$2:G$506,2,0)</f>
        <v>43.87</v>
      </c>
    </row>
    <row r="354" spans="1:15">
      <c r="A354" s="39">
        <v>42655</v>
      </c>
      <c r="B354">
        <v>67.739999999999995</v>
      </c>
      <c r="C354">
        <f>VLOOKUP(A354,NYSEARCAVTI!A$2:G$506,2,0)</f>
        <v>109.78</v>
      </c>
      <c r="D354">
        <f>VLOOKUP(A354,NYSEARCAVEU!A$2:G$506,2,0)</f>
        <v>44.58</v>
      </c>
      <c r="E354">
        <f>VLOOKUP(A354,NYSEARCAVWO!A$2:G$506,2,0)</f>
        <v>37.39</v>
      </c>
      <c r="F354">
        <f>VLOOKUP(A354,NYSEARCABND!A$2:G$506,2,0)</f>
        <v>83.3</v>
      </c>
      <c r="G354">
        <f>VLOOKUP(A354,NYSEARCATIP!A$2:G$506,2,0)</f>
        <v>115.35</v>
      </c>
      <c r="H354">
        <f>VLOOKUP(A354,NYSEARCAMUB!A$2:G$506,2,0)</f>
        <v>111.63</v>
      </c>
      <c r="I354">
        <f>VLOOKUP(A354,NYSEARCAVNQ!A$2:G$506,2,0)</f>
        <v>81.99</v>
      </c>
      <c r="J354">
        <f>VLOOKUP(A354,NYSEARCARWX!A$2:G$506,2,0)</f>
        <v>38.78</v>
      </c>
      <c r="K354">
        <f>VLOOKUP(A354,NYSEARCADBC!A$2:G$506,2,0)</f>
        <v>15.18</v>
      </c>
      <c r="L354">
        <f>VLOOKUP(A354,NYSEARCAGSG!A$2:G$506,2,0)</f>
        <v>15.09</v>
      </c>
      <c r="M354">
        <f>VLOOKUP(A354,NYSEARCAGLD!A$2:G$506,2,0)</f>
        <v>119.72</v>
      </c>
      <c r="N354">
        <f>VLOOKUP(A354,NYSEBP!A$2:G$506,2,0)</f>
        <v>35.99</v>
      </c>
      <c r="O354">
        <f>VLOOKUP(A354,NASDAQYHOO!A$2:G$506,2,0)</f>
        <v>42.6</v>
      </c>
    </row>
    <row r="355" spans="1:15">
      <c r="A355" s="39">
        <v>42656</v>
      </c>
      <c r="B355">
        <v>67.19</v>
      </c>
      <c r="C355">
        <f>VLOOKUP(A355,NYSEARCAVTI!A$2:G$506,2,0)</f>
        <v>109.01</v>
      </c>
      <c r="D355">
        <f>VLOOKUP(A355,NYSEARCAVEU!A$2:G$506,2,0)</f>
        <v>44.11</v>
      </c>
      <c r="E355">
        <f>VLOOKUP(A355,NYSEARCAVWO!A$2:G$506,2,0)</f>
        <v>37</v>
      </c>
      <c r="F355">
        <f>VLOOKUP(A355,NYSEARCABND!A$2:G$506,2,0)</f>
        <v>83.52</v>
      </c>
      <c r="G355">
        <f>VLOOKUP(A355,NYSEARCATIP!A$2:G$506,2,0)</f>
        <v>115.47</v>
      </c>
      <c r="H355">
        <f>VLOOKUP(A355,NYSEARCAMUB!A$2:G$506,2,0)</f>
        <v>111.68</v>
      </c>
      <c r="I355">
        <f>VLOOKUP(A355,NYSEARCAVNQ!A$2:G$506,2,0)</f>
        <v>82.47</v>
      </c>
      <c r="J355">
        <f>VLOOKUP(A355,NYSEARCARWX!A$2:G$506,2,0)</f>
        <v>38.97</v>
      </c>
      <c r="K355">
        <f>VLOOKUP(A355,NYSEARCADBC!A$2:G$506,2,0)</f>
        <v>15.13</v>
      </c>
      <c r="L355">
        <f>VLOOKUP(A355,NYSEARCAGSG!A$2:G$506,2,0)</f>
        <v>15.04</v>
      </c>
      <c r="M355">
        <f>VLOOKUP(A355,NYSEARCAGLD!A$2:G$506,2,0)</f>
        <v>120</v>
      </c>
      <c r="N355">
        <f>VLOOKUP(A355,NYSEBP!A$2:G$506,2,0)</f>
        <v>35.47</v>
      </c>
      <c r="O355">
        <f>VLOOKUP(A355,NASDAQYHOO!A$2:G$506,2,0)</f>
        <v>42</v>
      </c>
    </row>
    <row r="356" spans="1:15">
      <c r="A356" s="39">
        <v>42657</v>
      </c>
      <c r="B356">
        <v>68.42</v>
      </c>
      <c r="C356">
        <f>VLOOKUP(A356,NYSEARCAVTI!A$2:G$506,2,0)</f>
        <v>110</v>
      </c>
      <c r="D356">
        <f>VLOOKUP(A356,NYSEARCAVEU!A$2:G$506,2,0)</f>
        <v>44.68</v>
      </c>
      <c r="E356">
        <f>VLOOKUP(A356,NYSEARCAVWO!A$2:G$506,2,0)</f>
        <v>37.56</v>
      </c>
      <c r="F356">
        <f>VLOOKUP(A356,NYSEARCABND!A$2:G$506,2,0)</f>
        <v>83.34</v>
      </c>
      <c r="G356">
        <f>VLOOKUP(A356,NYSEARCATIP!A$2:G$506,2,0)</f>
        <v>115.4</v>
      </c>
      <c r="H356">
        <f>VLOOKUP(A356,NYSEARCAMUB!A$2:G$506,2,0)</f>
        <v>111.51</v>
      </c>
      <c r="I356">
        <f>VLOOKUP(A356,NYSEARCAVNQ!A$2:G$506,2,0)</f>
        <v>83.3</v>
      </c>
      <c r="J356">
        <f>VLOOKUP(A356,NYSEARCARWX!A$2:G$506,2,0)</f>
        <v>39.33</v>
      </c>
      <c r="K356">
        <f>VLOOKUP(A356,NYSEARCADBC!A$2:G$506,2,0)</f>
        <v>15.25</v>
      </c>
      <c r="L356">
        <f>VLOOKUP(A356,NYSEARCAGSG!A$2:G$506,2,0)</f>
        <v>15.2</v>
      </c>
      <c r="M356">
        <f>VLOOKUP(A356,NYSEARCAGLD!A$2:G$506,2,0)</f>
        <v>119.37</v>
      </c>
      <c r="N356">
        <f>VLOOKUP(A356,NYSEBP!A$2:G$506,2,0)</f>
        <v>36.01</v>
      </c>
      <c r="O356">
        <f>VLOOKUP(A356,NASDAQYHOO!A$2:G$506,2,0)</f>
        <v>42.04</v>
      </c>
    </row>
    <row r="357" spans="1:15">
      <c r="A357" s="39">
        <v>42660</v>
      </c>
      <c r="B357">
        <v>68.650000000000006</v>
      </c>
      <c r="C357">
        <f>VLOOKUP(A357,NYSEARCAVTI!A$2:G$506,2,0)</f>
        <v>109.38</v>
      </c>
      <c r="D357">
        <f>VLOOKUP(A357,NYSEARCAVEU!A$2:G$506,2,0)</f>
        <v>44.43</v>
      </c>
      <c r="E357">
        <f>VLOOKUP(A357,NYSEARCAVWO!A$2:G$506,2,0)</f>
        <v>37.26</v>
      </c>
      <c r="F357">
        <f>VLOOKUP(A357,NYSEARCABND!A$2:G$506,2,0)</f>
        <v>83.33</v>
      </c>
      <c r="G357">
        <f>VLOOKUP(A357,NYSEARCATIP!A$2:G$506,2,0)</f>
        <v>115.74</v>
      </c>
      <c r="H357">
        <f>VLOOKUP(A357,NYSEARCAMUB!A$2:G$506,2,0)</f>
        <v>111.46</v>
      </c>
      <c r="I357">
        <f>VLOOKUP(A357,NYSEARCAVNQ!A$2:G$506,2,0)</f>
        <v>83.15</v>
      </c>
      <c r="J357">
        <f>VLOOKUP(A357,NYSEARCARWX!A$2:G$506,2,0)</f>
        <v>38.909999999999997</v>
      </c>
      <c r="K357">
        <f>VLOOKUP(A357,NYSEARCADBC!A$2:G$506,2,0)</f>
        <v>15.25</v>
      </c>
      <c r="L357">
        <f>VLOOKUP(A357,NYSEARCAGSG!A$2:G$506,2,0)</f>
        <v>15.16</v>
      </c>
      <c r="M357">
        <f>VLOOKUP(A357,NYSEARCAGLD!A$2:G$506,2,0)</f>
        <v>119.7</v>
      </c>
      <c r="N357">
        <f>VLOOKUP(A357,NYSEBP!A$2:G$506,2,0)</f>
        <v>35.56</v>
      </c>
      <c r="O357">
        <f>VLOOKUP(A357,NASDAQYHOO!A$2:G$506,2,0)</f>
        <v>41.35</v>
      </c>
    </row>
    <row r="358" spans="1:15">
      <c r="A358" s="39">
        <v>42661</v>
      </c>
      <c r="B358">
        <v>68.569999999999993</v>
      </c>
      <c r="C358">
        <f>VLOOKUP(A358,NYSEARCAVTI!A$2:G$506,2,0)</f>
        <v>109.92</v>
      </c>
      <c r="D358">
        <f>VLOOKUP(A358,NYSEARCAVEU!A$2:G$506,2,0)</f>
        <v>44.97</v>
      </c>
      <c r="E358">
        <f>VLOOKUP(A358,NYSEARCAVWO!A$2:G$506,2,0)</f>
        <v>37.869999999999997</v>
      </c>
      <c r="F358">
        <f>VLOOKUP(A358,NYSEARCABND!A$2:G$506,2,0)</f>
        <v>83.38</v>
      </c>
      <c r="G358">
        <f>VLOOKUP(A358,NYSEARCATIP!A$2:G$506,2,0)</f>
        <v>115.84</v>
      </c>
      <c r="H358">
        <f>VLOOKUP(A358,NYSEARCAMUB!A$2:G$506,2,0)</f>
        <v>111.35</v>
      </c>
      <c r="I358">
        <f>VLOOKUP(A358,NYSEARCAVNQ!A$2:G$506,2,0)</f>
        <v>83.81</v>
      </c>
      <c r="J358">
        <f>VLOOKUP(A358,NYSEARCARWX!A$2:G$506,2,0)</f>
        <v>39.380000000000003</v>
      </c>
      <c r="K358">
        <f>VLOOKUP(A358,NYSEARCADBC!A$2:G$506,2,0)</f>
        <v>15.35</v>
      </c>
      <c r="L358">
        <f>VLOOKUP(A358,NYSEARCAGSG!A$2:G$506,2,0)</f>
        <v>15.21</v>
      </c>
      <c r="M358">
        <f>VLOOKUP(A358,NYSEARCAGLD!A$2:G$506,2,0)</f>
        <v>120.08</v>
      </c>
      <c r="N358">
        <f>VLOOKUP(A358,NYSEBP!A$2:G$506,2,0)</f>
        <v>36.159999999999997</v>
      </c>
      <c r="O358">
        <f>VLOOKUP(A358,NASDAQYHOO!A$2:G$506,2,0)</f>
        <v>42.04</v>
      </c>
    </row>
    <row r="359" spans="1:15">
      <c r="A359" s="39">
        <v>42662</v>
      </c>
      <c r="B359">
        <v>69.22</v>
      </c>
      <c r="C359">
        <f>VLOOKUP(A359,NYSEARCAVTI!A$2:G$506,2,0)</f>
        <v>109.94</v>
      </c>
      <c r="D359">
        <f>VLOOKUP(A359,NYSEARCAVEU!A$2:G$506,2,0)</f>
        <v>44.98</v>
      </c>
      <c r="E359">
        <f>VLOOKUP(A359,NYSEARCAVWO!A$2:G$506,2,0)</f>
        <v>38.049999999999997</v>
      </c>
      <c r="F359">
        <f>VLOOKUP(A359,NYSEARCABND!A$2:G$506,2,0)</f>
        <v>83.51</v>
      </c>
      <c r="G359">
        <f>VLOOKUP(A359,NYSEARCATIP!A$2:G$506,2,0)</f>
        <v>115.9</v>
      </c>
      <c r="H359">
        <f>VLOOKUP(A359,NYSEARCAMUB!A$2:G$506,2,0)</f>
        <v>111.38</v>
      </c>
      <c r="I359">
        <f>VLOOKUP(A359,NYSEARCAVNQ!A$2:G$506,2,0)</f>
        <v>83.81</v>
      </c>
      <c r="J359">
        <f>VLOOKUP(A359,NYSEARCARWX!A$2:G$506,2,0)</f>
        <v>39.49</v>
      </c>
      <c r="K359">
        <f>VLOOKUP(A359,NYSEARCADBC!A$2:G$506,2,0)</f>
        <v>15.33</v>
      </c>
      <c r="L359">
        <f>VLOOKUP(A359,NYSEARCAGSG!A$2:G$506,2,0)</f>
        <v>15.19</v>
      </c>
      <c r="M359">
        <f>VLOOKUP(A359,NYSEARCAGLD!A$2:G$506,2,0)</f>
        <v>121.13</v>
      </c>
      <c r="N359">
        <f>VLOOKUP(A359,NYSEBP!A$2:G$506,2,0)</f>
        <v>36.119999999999997</v>
      </c>
      <c r="O359">
        <f>VLOOKUP(A359,NASDAQYHOO!A$2:G$506,2,0)</f>
        <v>42.3</v>
      </c>
    </row>
    <row r="360" spans="1:15">
      <c r="A360" s="39">
        <v>42663</v>
      </c>
      <c r="B360">
        <v>68.98</v>
      </c>
      <c r="C360">
        <f>VLOOKUP(A360,NYSEARCAVTI!A$2:G$506,2,0)</f>
        <v>109.9</v>
      </c>
      <c r="D360">
        <f>VLOOKUP(A360,NYSEARCAVEU!A$2:G$506,2,0)</f>
        <v>44.99</v>
      </c>
      <c r="E360">
        <f>VLOOKUP(A360,NYSEARCAVWO!A$2:G$506,2,0)</f>
        <v>38</v>
      </c>
      <c r="F360">
        <f>VLOOKUP(A360,NYSEARCABND!A$2:G$506,2,0)</f>
        <v>83.63</v>
      </c>
      <c r="G360">
        <f>VLOOKUP(A360,NYSEARCATIP!A$2:G$506,2,0)</f>
        <v>116.3</v>
      </c>
      <c r="H360">
        <f>VLOOKUP(A360,NYSEARCAMUB!A$2:G$506,2,0)</f>
        <v>111.46</v>
      </c>
      <c r="I360">
        <f>VLOOKUP(A360,NYSEARCAVNQ!A$2:G$506,2,0)</f>
        <v>83.96</v>
      </c>
      <c r="J360">
        <f>VLOOKUP(A360,NYSEARCARWX!A$2:G$506,2,0)</f>
        <v>39.700000000000003</v>
      </c>
      <c r="K360">
        <f>VLOOKUP(A360,NYSEARCADBC!A$2:G$506,2,0)</f>
        <v>15.26</v>
      </c>
      <c r="L360">
        <f>VLOOKUP(A360,NYSEARCAGSG!A$2:G$506,2,0)</f>
        <v>15.14</v>
      </c>
      <c r="M360">
        <f>VLOOKUP(A360,NYSEARCAGLD!A$2:G$506,2,0)</f>
        <v>121.39</v>
      </c>
      <c r="N360">
        <f>VLOOKUP(A360,NYSEBP!A$2:G$506,2,0)</f>
        <v>35.94</v>
      </c>
      <c r="O360">
        <f>VLOOKUP(A360,NASDAQYHOO!A$2:G$506,2,0)</f>
        <v>42.69</v>
      </c>
    </row>
    <row r="361" spans="1:15">
      <c r="A361" s="39">
        <v>42664</v>
      </c>
      <c r="B361">
        <v>68.34</v>
      </c>
      <c r="C361">
        <f>VLOOKUP(A361,NYSEARCAVTI!A$2:G$506,2,0)</f>
        <v>109.41</v>
      </c>
      <c r="D361">
        <f>VLOOKUP(A361,NYSEARCAVEU!A$2:G$506,2,0)</f>
        <v>44.79</v>
      </c>
      <c r="E361">
        <f>VLOOKUP(A361,NYSEARCAVWO!A$2:G$506,2,0)</f>
        <v>37.869999999999997</v>
      </c>
      <c r="F361">
        <f>VLOOKUP(A361,NYSEARCABND!A$2:G$506,2,0)</f>
        <v>83.6</v>
      </c>
      <c r="G361">
        <f>VLOOKUP(A361,NYSEARCATIP!A$2:G$506,2,0)</f>
        <v>116.21</v>
      </c>
      <c r="H361">
        <f>VLOOKUP(A361,NYSEARCAMUB!A$2:G$506,2,0)</f>
        <v>111.63</v>
      </c>
      <c r="I361">
        <f>VLOOKUP(A361,NYSEARCAVNQ!A$2:G$506,2,0)</f>
        <v>83.38</v>
      </c>
      <c r="J361">
        <f>VLOOKUP(A361,NYSEARCARWX!A$2:G$506,2,0)</f>
        <v>39.4</v>
      </c>
      <c r="K361">
        <f>VLOOKUP(A361,NYSEARCADBC!A$2:G$506,2,0)</f>
        <v>15.25</v>
      </c>
      <c r="L361">
        <f>VLOOKUP(A361,NYSEARCAGSG!A$2:G$506,2,0)</f>
        <v>15.14</v>
      </c>
      <c r="M361">
        <f>VLOOKUP(A361,NYSEARCAGLD!A$2:G$506,2,0)</f>
        <v>120.9</v>
      </c>
      <c r="N361">
        <f>VLOOKUP(A361,NYSEBP!A$2:G$506,2,0)</f>
        <v>36.06</v>
      </c>
      <c r="O361">
        <f>VLOOKUP(A361,NASDAQYHOO!A$2:G$506,2,0)</f>
        <v>42.1</v>
      </c>
    </row>
    <row r="362" spans="1:15">
      <c r="A362" s="39">
        <v>42667</v>
      </c>
      <c r="B362">
        <v>68.62</v>
      </c>
      <c r="C362">
        <f>VLOOKUP(A362,NYSEARCAVTI!A$2:G$506,2,0)</f>
        <v>110.39</v>
      </c>
      <c r="D362">
        <f>VLOOKUP(A362,NYSEARCAVEU!A$2:G$506,2,0)</f>
        <v>45.16</v>
      </c>
      <c r="E362">
        <f>VLOOKUP(A362,NYSEARCAVWO!A$2:G$506,2,0)</f>
        <v>38.31</v>
      </c>
      <c r="F362">
        <f>VLOOKUP(A362,NYSEARCABND!A$2:G$506,2,0)</f>
        <v>83.65</v>
      </c>
      <c r="G362">
        <f>VLOOKUP(A362,NYSEARCATIP!A$2:G$506,2,0)</f>
        <v>116.13</v>
      </c>
      <c r="H362">
        <f>VLOOKUP(A362,NYSEARCAMUB!A$2:G$506,2,0)</f>
        <v>111.6</v>
      </c>
      <c r="I362">
        <f>VLOOKUP(A362,NYSEARCAVNQ!A$2:G$506,2,0)</f>
        <v>83.85</v>
      </c>
      <c r="J362">
        <f>VLOOKUP(A362,NYSEARCARWX!A$2:G$506,2,0)</f>
        <v>39.71</v>
      </c>
      <c r="K362">
        <f>VLOOKUP(A362,NYSEARCADBC!A$2:G$506,2,0)</f>
        <v>15.33</v>
      </c>
      <c r="L362">
        <f>VLOOKUP(A362,NYSEARCAGSG!A$2:G$506,2,0)</f>
        <v>15.03</v>
      </c>
      <c r="M362">
        <f>VLOOKUP(A362,NYSEARCAGLD!A$2:G$506,2,0)</f>
        <v>121.28</v>
      </c>
      <c r="N362">
        <f>VLOOKUP(A362,NYSEBP!A$2:G$506,2,0)</f>
        <v>36.18</v>
      </c>
      <c r="O362">
        <f>VLOOKUP(A362,NASDAQYHOO!A$2:G$506,2,0)</f>
        <v>42.5</v>
      </c>
    </row>
    <row r="363" spans="1:15">
      <c r="A363" s="39">
        <v>42668</v>
      </c>
      <c r="B363">
        <v>69.010000000000005</v>
      </c>
      <c r="C363">
        <f>VLOOKUP(A363,NYSEARCAVTI!A$2:G$506,2,0)</f>
        <v>110.25</v>
      </c>
      <c r="D363">
        <f>VLOOKUP(A363,NYSEARCAVEU!A$2:G$506,2,0)</f>
        <v>44.98</v>
      </c>
      <c r="E363">
        <f>VLOOKUP(A363,NYSEARCAVWO!A$2:G$506,2,0)</f>
        <v>38.21</v>
      </c>
      <c r="F363">
        <f>VLOOKUP(A363,NYSEARCABND!A$2:G$506,2,0)</f>
        <v>83.48</v>
      </c>
      <c r="G363">
        <f>VLOOKUP(A363,NYSEARCATIP!A$2:G$506,2,0)</f>
        <v>115.92</v>
      </c>
      <c r="H363">
        <f>VLOOKUP(A363,NYSEARCAMUB!A$2:G$506,2,0)</f>
        <v>111.42</v>
      </c>
      <c r="I363">
        <f>VLOOKUP(A363,NYSEARCAVNQ!A$2:G$506,2,0)</f>
        <v>83.32</v>
      </c>
      <c r="J363">
        <f>VLOOKUP(A363,NYSEARCARWX!A$2:G$506,2,0)</f>
        <v>39.65</v>
      </c>
      <c r="K363">
        <f>VLOOKUP(A363,NYSEARCADBC!A$2:G$506,2,0)</f>
        <v>15.33</v>
      </c>
      <c r="L363">
        <f>VLOOKUP(A363,NYSEARCAGSG!A$2:G$506,2,0)</f>
        <v>15.12</v>
      </c>
      <c r="M363">
        <f>VLOOKUP(A363,NYSEARCAGLD!A$2:G$506,2,0)</f>
        <v>120.89</v>
      </c>
      <c r="N363">
        <f>VLOOKUP(A363,NYSEBP!A$2:G$506,2,0)</f>
        <v>36.04</v>
      </c>
      <c r="O363">
        <f>VLOOKUP(A363,NASDAQYHOO!A$2:G$506,2,0)</f>
        <v>42.72</v>
      </c>
    </row>
    <row r="364" spans="1:15">
      <c r="A364" s="39">
        <v>42669</v>
      </c>
      <c r="B364">
        <v>69.3</v>
      </c>
      <c r="C364">
        <f>VLOOKUP(A364,NYSEARCAVTI!A$2:G$506,2,0)</f>
        <v>109.47</v>
      </c>
      <c r="D364">
        <f>VLOOKUP(A364,NYSEARCAVEU!A$2:G$506,2,0)</f>
        <v>44.77</v>
      </c>
      <c r="E364">
        <f>VLOOKUP(A364,NYSEARCAVWO!A$2:G$506,2,0)</f>
        <v>37.92</v>
      </c>
      <c r="F364">
        <f>VLOOKUP(A364,NYSEARCABND!A$2:G$506,2,0)</f>
        <v>83.39</v>
      </c>
      <c r="G364">
        <f>VLOOKUP(A364,NYSEARCATIP!A$2:G$506,2,0)</f>
        <v>115.89</v>
      </c>
      <c r="H364">
        <f>VLOOKUP(A364,NYSEARCAMUB!A$2:G$506,2,0)</f>
        <v>111.51</v>
      </c>
      <c r="I364">
        <f>VLOOKUP(A364,NYSEARCAVNQ!A$2:G$506,2,0)</f>
        <v>83.19</v>
      </c>
      <c r="J364">
        <f>VLOOKUP(A364,NYSEARCARWX!A$2:G$506,2,0)</f>
        <v>39.42</v>
      </c>
      <c r="K364">
        <f>VLOOKUP(A364,NYSEARCADBC!A$2:G$506,2,0)</f>
        <v>15.16</v>
      </c>
      <c r="L364">
        <f>VLOOKUP(A364,NYSEARCAGSG!A$2:G$506,2,0)</f>
        <v>14.92</v>
      </c>
      <c r="M364">
        <f>VLOOKUP(A364,NYSEARCAGLD!A$2:G$506,2,0)</f>
        <v>121.37</v>
      </c>
      <c r="N364">
        <f>VLOOKUP(A364,NYSEBP!A$2:G$506,2,0)</f>
        <v>35.57</v>
      </c>
      <c r="O364">
        <f>VLOOKUP(A364,NASDAQYHOO!A$2:G$506,2,0)</f>
        <v>42.26</v>
      </c>
    </row>
    <row r="365" spans="1:15">
      <c r="A365" s="39">
        <v>42670</v>
      </c>
      <c r="B365">
        <v>69.599999999999994</v>
      </c>
      <c r="C365">
        <f>VLOOKUP(A365,NYSEARCAVTI!A$2:G$506,2,0)</f>
        <v>110</v>
      </c>
      <c r="D365">
        <f>VLOOKUP(A365,NYSEARCAVEU!A$2:G$506,2,0)</f>
        <v>44.89</v>
      </c>
      <c r="E365">
        <f>VLOOKUP(A365,NYSEARCAVWO!A$2:G$506,2,0)</f>
        <v>37.979999999999997</v>
      </c>
      <c r="F365">
        <f>VLOOKUP(A365,NYSEARCABND!A$2:G$506,2,0)</f>
        <v>83.17</v>
      </c>
      <c r="G365">
        <f>VLOOKUP(A365,NYSEARCATIP!A$2:G$506,2,0)</f>
        <v>115.81</v>
      </c>
      <c r="H365">
        <f>VLOOKUP(A365,NYSEARCAMUB!A$2:G$506,2,0)</f>
        <v>111.44</v>
      </c>
      <c r="I365">
        <f>VLOOKUP(A365,NYSEARCAVNQ!A$2:G$506,2,0)</f>
        <v>82.27</v>
      </c>
      <c r="J365">
        <f>VLOOKUP(A365,NYSEARCARWX!A$2:G$506,2,0)</f>
        <v>39.130000000000003</v>
      </c>
      <c r="K365">
        <f>VLOOKUP(A365,NYSEARCADBC!A$2:G$506,2,0)</f>
        <v>15.25</v>
      </c>
      <c r="L365">
        <f>VLOOKUP(A365,NYSEARCAGSG!A$2:G$506,2,0)</f>
        <v>15.03</v>
      </c>
      <c r="M365">
        <f>VLOOKUP(A365,NYSEARCAGLD!A$2:G$506,2,0)</f>
        <v>121.11</v>
      </c>
      <c r="N365">
        <f>VLOOKUP(A365,NYSEBP!A$2:G$506,2,0)</f>
        <v>35.94</v>
      </c>
      <c r="O365">
        <f>VLOOKUP(A365,NASDAQYHOO!A$2:G$506,2,0)</f>
        <v>42.31</v>
      </c>
    </row>
    <row r="366" spans="1:15">
      <c r="A366" s="39">
        <v>42671</v>
      </c>
      <c r="B366">
        <v>69.8</v>
      </c>
      <c r="C366">
        <f>VLOOKUP(A366,NYSEARCAVTI!A$2:G$506,2,0)</f>
        <v>109.11</v>
      </c>
      <c r="D366">
        <f>VLOOKUP(A366,NYSEARCAVEU!A$2:G$506,2,0)</f>
        <v>44.63</v>
      </c>
      <c r="E366">
        <f>VLOOKUP(A366,NYSEARCAVWO!A$2:G$506,2,0)</f>
        <v>37.69</v>
      </c>
      <c r="F366">
        <f>VLOOKUP(A366,NYSEARCABND!A$2:G$506,2,0)</f>
        <v>83.09</v>
      </c>
      <c r="G366">
        <f>VLOOKUP(A366,NYSEARCATIP!A$2:G$506,2,0)</f>
        <v>115.55</v>
      </c>
      <c r="H366">
        <f>VLOOKUP(A366,NYSEARCAMUB!A$2:G$506,2,0)</f>
        <v>111.28</v>
      </c>
      <c r="I366">
        <f>VLOOKUP(A366,NYSEARCAVNQ!A$2:G$506,2,0)</f>
        <v>80.39</v>
      </c>
      <c r="J366">
        <f>VLOOKUP(A366,NYSEARCARWX!A$2:G$506,2,0)</f>
        <v>38.729999999999997</v>
      </c>
      <c r="K366">
        <f>VLOOKUP(A366,NYSEARCADBC!A$2:G$506,2,0)</f>
        <v>15.2</v>
      </c>
      <c r="L366">
        <f>VLOOKUP(A366,NYSEARCAGSG!A$2:G$506,2,0)</f>
        <v>15.01</v>
      </c>
      <c r="M366">
        <f>VLOOKUP(A366,NYSEARCAGLD!A$2:G$506,2,0)</f>
        <v>121.2</v>
      </c>
      <c r="N366">
        <f>VLOOKUP(A366,NYSEBP!A$2:G$506,2,0)</f>
        <v>35.619999999999997</v>
      </c>
      <c r="O366">
        <f>VLOOKUP(A366,NASDAQYHOO!A$2:G$506,2,0)</f>
        <v>42.03</v>
      </c>
    </row>
    <row r="367" spans="1:15">
      <c r="A367" s="39">
        <v>42674</v>
      </c>
      <c r="B367">
        <v>70.06</v>
      </c>
      <c r="C367">
        <f>VLOOKUP(A367,NYSEARCAVTI!A$2:G$506,2,0)</f>
        <v>109.05</v>
      </c>
      <c r="D367">
        <f>VLOOKUP(A367,NYSEARCAVEU!A$2:G$506,2,0)</f>
        <v>44.62</v>
      </c>
      <c r="E367">
        <f>VLOOKUP(A367,NYSEARCAVWO!A$2:G$506,2,0)</f>
        <v>37.659999999999997</v>
      </c>
      <c r="F367">
        <f>VLOOKUP(A367,NYSEARCABND!A$2:G$506,2,0)</f>
        <v>83.21</v>
      </c>
      <c r="G367">
        <f>VLOOKUP(A367,NYSEARCATIP!A$2:G$506,2,0)</f>
        <v>115.77</v>
      </c>
      <c r="H367">
        <f>VLOOKUP(A367,NYSEARCAMUB!A$2:G$506,2,0)</f>
        <v>111.4</v>
      </c>
      <c r="I367">
        <f>VLOOKUP(A367,NYSEARCAVNQ!A$2:G$506,2,0)</f>
        <v>80.8</v>
      </c>
      <c r="J367">
        <f>VLOOKUP(A367,NYSEARCARWX!A$2:G$506,2,0)</f>
        <v>38.840000000000003</v>
      </c>
      <c r="K367">
        <f>VLOOKUP(A367,NYSEARCADBC!A$2:G$506,2,0)</f>
        <v>15.1</v>
      </c>
      <c r="L367">
        <f>VLOOKUP(A367,NYSEARCAGSG!A$2:G$506,2,0)</f>
        <v>14.81</v>
      </c>
      <c r="M367">
        <f>VLOOKUP(A367,NYSEARCAGLD!A$2:G$506,2,0)</f>
        <v>121.51</v>
      </c>
      <c r="N367">
        <f>VLOOKUP(A367,NYSEBP!A$2:G$506,2,0)</f>
        <v>35.42</v>
      </c>
      <c r="O367">
        <f>VLOOKUP(A367,NASDAQYHOO!A$2:G$506,2,0)</f>
        <v>42.03</v>
      </c>
    </row>
    <row r="368" spans="1:15">
      <c r="A368" s="39">
        <v>42675</v>
      </c>
      <c r="B368">
        <v>69.98</v>
      </c>
      <c r="C368">
        <f>VLOOKUP(A368,NYSEARCAVTI!A$2:G$506,2,0)</f>
        <v>109.1</v>
      </c>
      <c r="D368">
        <f>VLOOKUP(A368,NYSEARCAVEU!A$2:G$506,2,0)</f>
        <v>44.85</v>
      </c>
      <c r="E368">
        <f>VLOOKUP(A368,NYSEARCAVWO!A$2:G$506,2,0)</f>
        <v>37.89</v>
      </c>
      <c r="F368">
        <f>VLOOKUP(A368,NYSEARCABND!A$2:G$506,2,0)</f>
        <v>82.89</v>
      </c>
      <c r="G368">
        <f>VLOOKUP(A368,NYSEARCATIP!A$2:G$506,2,0)</f>
        <v>115.6</v>
      </c>
      <c r="H368">
        <f>VLOOKUP(A368,NYSEARCAMUB!A$2:G$506,2,0)</f>
        <v>111.2</v>
      </c>
      <c r="I368">
        <f>VLOOKUP(A368,NYSEARCAVNQ!A$2:G$506,2,0)</f>
        <v>81.400000000000006</v>
      </c>
      <c r="J368">
        <f>VLOOKUP(A368,NYSEARCARWX!A$2:G$506,2,0)</f>
        <v>38.880000000000003</v>
      </c>
      <c r="K368">
        <f>VLOOKUP(A368,NYSEARCADBC!A$2:G$506,2,0)</f>
        <v>15.17</v>
      </c>
      <c r="L368">
        <f>VLOOKUP(A368,NYSEARCAGSG!A$2:G$506,2,0)</f>
        <v>14.68</v>
      </c>
      <c r="M368">
        <f>VLOOKUP(A368,NYSEARCAGLD!A$2:G$506,2,0)</f>
        <v>122.8</v>
      </c>
      <c r="N368">
        <f>VLOOKUP(A368,NYSEBP!A$2:G$506,2,0)</f>
        <v>35.020000000000003</v>
      </c>
      <c r="O368">
        <f>VLOOKUP(A368,NASDAQYHOO!A$2:G$506,2,0)</f>
        <v>41.13</v>
      </c>
    </row>
    <row r="369" spans="1:15">
      <c r="A369" s="39">
        <v>42676</v>
      </c>
      <c r="B369">
        <v>69.2</v>
      </c>
      <c r="C369">
        <f>VLOOKUP(A369,NYSEARCAVTI!A$2:G$506,2,0)</f>
        <v>107.87</v>
      </c>
      <c r="D369">
        <f>VLOOKUP(A369,NYSEARCAVEU!A$2:G$506,2,0)</f>
        <v>44.4</v>
      </c>
      <c r="E369">
        <f>VLOOKUP(A369,NYSEARCAVWO!A$2:G$506,2,0)</f>
        <v>37.36</v>
      </c>
      <c r="F369">
        <f>VLOOKUP(A369,NYSEARCABND!A$2:G$506,2,0)</f>
        <v>83.06</v>
      </c>
      <c r="G369">
        <f>VLOOKUP(A369,NYSEARCATIP!A$2:G$506,2,0)</f>
        <v>115.96</v>
      </c>
      <c r="H369">
        <f>VLOOKUP(A369,NYSEARCAMUB!A$2:G$506,2,0)</f>
        <v>111.35</v>
      </c>
      <c r="I369">
        <f>VLOOKUP(A369,NYSEARCAVNQ!A$2:G$506,2,0)</f>
        <v>79.849999999999994</v>
      </c>
      <c r="J369">
        <f>VLOOKUP(A369,NYSEARCARWX!A$2:G$506,2,0)</f>
        <v>38.950000000000003</v>
      </c>
      <c r="K369">
        <f>VLOOKUP(A369,NYSEARCADBC!A$2:G$506,2,0)</f>
        <v>14.91</v>
      </c>
      <c r="L369">
        <f>VLOOKUP(A369,NYSEARCAGSG!A$2:G$506,2,0)</f>
        <v>14.4</v>
      </c>
      <c r="M369">
        <f>VLOOKUP(A369,NYSEARCAGLD!A$2:G$506,2,0)</f>
        <v>123.76</v>
      </c>
      <c r="N369">
        <f>VLOOKUP(A369,NYSEBP!A$2:G$506,2,0)</f>
        <v>34.33</v>
      </c>
      <c r="O369">
        <f>VLOOKUP(A369,NASDAQYHOO!A$2:G$506,2,0)</f>
        <v>41.8</v>
      </c>
    </row>
    <row r="370" spans="1:15">
      <c r="A370" s="39">
        <v>42677</v>
      </c>
      <c r="B370">
        <v>69.63</v>
      </c>
      <c r="C370">
        <f>VLOOKUP(A370,NYSEARCAVTI!A$2:G$506,2,0)</f>
        <v>107.42</v>
      </c>
      <c r="D370">
        <f>VLOOKUP(A370,NYSEARCAVEU!A$2:G$506,2,0)</f>
        <v>44.23</v>
      </c>
      <c r="E370">
        <f>VLOOKUP(A370,NYSEARCAVWO!A$2:G$506,2,0)</f>
        <v>37.07</v>
      </c>
      <c r="F370">
        <f>VLOOKUP(A370,NYSEARCABND!A$2:G$506,2,0)</f>
        <v>83.06</v>
      </c>
      <c r="G370">
        <f>VLOOKUP(A370,NYSEARCATIP!A$2:G$506,2,0)</f>
        <v>115.8</v>
      </c>
      <c r="H370">
        <f>VLOOKUP(A370,NYSEARCAMUB!A$2:G$506,2,0)</f>
        <v>111.39</v>
      </c>
      <c r="I370">
        <f>VLOOKUP(A370,NYSEARCAVNQ!A$2:G$506,2,0)</f>
        <v>78.87</v>
      </c>
      <c r="J370">
        <f>VLOOKUP(A370,NYSEARCARWX!A$2:G$506,2,0)</f>
        <v>39.01</v>
      </c>
      <c r="K370">
        <f>VLOOKUP(A370,NYSEARCADBC!A$2:G$506,2,0)</f>
        <v>14.85</v>
      </c>
      <c r="L370">
        <f>VLOOKUP(A370,NYSEARCAGSG!A$2:G$506,2,0)</f>
        <v>14.35</v>
      </c>
      <c r="M370">
        <f>VLOOKUP(A370,NYSEARCAGLD!A$2:G$506,2,0)</f>
        <v>123.36</v>
      </c>
      <c r="N370">
        <f>VLOOKUP(A370,NYSEBP!A$2:G$506,2,0)</f>
        <v>34.020000000000003</v>
      </c>
      <c r="O370">
        <f>VLOOKUP(A370,NASDAQYHOO!A$2:G$506,2,0)</f>
        <v>40.619999999999997</v>
      </c>
    </row>
    <row r="371" spans="1:15">
      <c r="A371" s="39">
        <v>42678</v>
      </c>
      <c r="B371">
        <v>69.709999999999994</v>
      </c>
      <c r="C371">
        <f>VLOOKUP(A371,NYSEARCAVTI!A$2:G$506,2,0)</f>
        <v>106.89</v>
      </c>
      <c r="D371">
        <f>VLOOKUP(A371,NYSEARCAVEU!A$2:G$506,2,0)</f>
        <v>43.79</v>
      </c>
      <c r="E371">
        <f>VLOOKUP(A371,NYSEARCAVWO!A$2:G$506,2,0)</f>
        <v>36.700000000000003</v>
      </c>
      <c r="F371">
        <f>VLOOKUP(A371,NYSEARCABND!A$2:G$506,2,0)</f>
        <v>83.08</v>
      </c>
      <c r="G371">
        <f>VLOOKUP(A371,NYSEARCATIP!A$2:G$506,2,0)</f>
        <v>115.71</v>
      </c>
      <c r="H371">
        <f>VLOOKUP(A371,NYSEARCAMUB!A$2:G$506,2,0)</f>
        <v>111.44</v>
      </c>
      <c r="I371">
        <f>VLOOKUP(A371,NYSEARCAVNQ!A$2:G$506,2,0)</f>
        <v>78.39</v>
      </c>
      <c r="J371">
        <f>VLOOKUP(A371,NYSEARCARWX!A$2:G$506,2,0)</f>
        <v>38.76</v>
      </c>
      <c r="K371">
        <f>VLOOKUP(A371,NYSEARCADBC!A$2:G$506,2,0)</f>
        <v>14.67</v>
      </c>
      <c r="L371">
        <f>VLOOKUP(A371,NYSEARCAGSG!A$2:G$506,2,0)</f>
        <v>14.1</v>
      </c>
      <c r="M371">
        <f>VLOOKUP(A371,NYSEARCAGLD!A$2:G$506,2,0)</f>
        <v>124.4</v>
      </c>
      <c r="N371">
        <f>VLOOKUP(A371,NYSEBP!A$2:G$506,2,0)</f>
        <v>33.58</v>
      </c>
      <c r="O371">
        <f>VLOOKUP(A371,NASDAQYHOO!A$2:G$506,2,0)</f>
        <v>39.96</v>
      </c>
    </row>
    <row r="372" spans="1:15">
      <c r="A372" s="39">
        <v>42681</v>
      </c>
      <c r="B372">
        <v>69.62</v>
      </c>
      <c r="C372">
        <f>VLOOKUP(A372,NYSEARCAVTI!A$2:G$506,2,0)</f>
        <v>108.41</v>
      </c>
      <c r="D372">
        <f>VLOOKUP(A372,NYSEARCAVEU!A$2:G$506,2,0)</f>
        <v>44.27</v>
      </c>
      <c r="E372">
        <f>VLOOKUP(A372,NYSEARCAVWO!A$2:G$506,2,0)</f>
        <v>37.5</v>
      </c>
      <c r="F372">
        <f>VLOOKUP(A372,NYSEARCABND!A$2:G$506,2,0)</f>
        <v>83.16</v>
      </c>
      <c r="G372">
        <f>VLOOKUP(A372,NYSEARCATIP!A$2:G$506,2,0)</f>
        <v>115.7</v>
      </c>
      <c r="H372">
        <f>VLOOKUP(A372,NYSEARCAMUB!A$2:G$506,2,0)</f>
        <v>111.36</v>
      </c>
      <c r="I372">
        <f>VLOOKUP(A372,NYSEARCAVNQ!A$2:G$506,2,0)</f>
        <v>79.41</v>
      </c>
      <c r="J372">
        <f>VLOOKUP(A372,NYSEARCARWX!A$2:G$506,2,0)</f>
        <v>38.909999999999997</v>
      </c>
      <c r="K372">
        <f>VLOOKUP(A372,NYSEARCADBC!A$2:G$506,2,0)</f>
        <v>14.75</v>
      </c>
      <c r="L372">
        <f>VLOOKUP(A372,NYSEARCAGSG!A$2:G$506,2,0)</f>
        <v>14.2</v>
      </c>
      <c r="M372">
        <f>VLOOKUP(A372,NYSEARCAGLD!A$2:G$506,2,0)</f>
        <v>122.66</v>
      </c>
      <c r="N372">
        <f>VLOOKUP(A372,NYSEBP!A$2:G$506,2,0)</f>
        <v>33.83</v>
      </c>
      <c r="O372">
        <f>VLOOKUP(A372,NASDAQYHOO!A$2:G$506,2,0)</f>
        <v>41.17</v>
      </c>
    </row>
    <row r="373" spans="1:15">
      <c r="A373" s="39">
        <v>42682</v>
      </c>
      <c r="B373">
        <v>69.709999999999994</v>
      </c>
      <c r="C373">
        <f>VLOOKUP(A373,NYSEARCAVTI!A$2:G$506,2,0)</f>
        <v>109.01</v>
      </c>
      <c r="D373">
        <f>VLOOKUP(A373,NYSEARCAVEU!A$2:G$506,2,0)</f>
        <v>44.31</v>
      </c>
      <c r="E373">
        <f>VLOOKUP(A373,NYSEARCAVWO!A$2:G$506,2,0)</f>
        <v>37.64</v>
      </c>
      <c r="F373">
        <f>VLOOKUP(A373,NYSEARCABND!A$2:G$506,2,0)</f>
        <v>83.12</v>
      </c>
      <c r="G373">
        <f>VLOOKUP(A373,NYSEARCATIP!A$2:G$506,2,0)</f>
        <v>115.84</v>
      </c>
      <c r="H373">
        <f>VLOOKUP(A373,NYSEARCAMUB!A$2:G$506,2,0)</f>
        <v>111.43</v>
      </c>
      <c r="I373">
        <f>VLOOKUP(A373,NYSEARCAVNQ!A$2:G$506,2,0)</f>
        <v>80.180000000000007</v>
      </c>
      <c r="J373">
        <f>VLOOKUP(A373,NYSEARCARWX!A$2:G$506,2,0)</f>
        <v>38.93</v>
      </c>
      <c r="K373">
        <f>VLOOKUP(A373,NYSEARCADBC!A$2:G$506,2,0)</f>
        <v>14.65</v>
      </c>
      <c r="L373">
        <f>VLOOKUP(A373,NYSEARCAGSG!A$2:G$506,2,0)</f>
        <v>14.15</v>
      </c>
      <c r="M373">
        <f>VLOOKUP(A373,NYSEARCAGLD!A$2:G$506,2,0)</f>
        <v>122.12</v>
      </c>
      <c r="N373">
        <f>VLOOKUP(A373,NYSEBP!A$2:G$506,2,0)</f>
        <v>33.380000000000003</v>
      </c>
      <c r="O373">
        <f>VLOOKUP(A373,NASDAQYHOO!A$2:G$506,2,0)</f>
        <v>40.97</v>
      </c>
    </row>
    <row r="374" spans="1:15">
      <c r="A374" s="39">
        <v>42683</v>
      </c>
      <c r="B374">
        <v>69.3</v>
      </c>
      <c r="C374">
        <f>VLOOKUP(A374,NYSEARCAVTI!A$2:G$506,2,0)</f>
        <v>108.77</v>
      </c>
      <c r="D374">
        <f>VLOOKUP(A374,NYSEARCAVEU!A$2:G$506,2,0)</f>
        <v>44.03</v>
      </c>
      <c r="E374">
        <f>VLOOKUP(A374,NYSEARCAVWO!A$2:G$506,2,0)</f>
        <v>36.9</v>
      </c>
      <c r="F374">
        <f>VLOOKUP(A374,NYSEARCABND!A$2:G$506,2,0)</f>
        <v>82.5</v>
      </c>
      <c r="G374">
        <f>VLOOKUP(A374,NYSEARCATIP!A$2:G$506,2,0)</f>
        <v>115.81</v>
      </c>
      <c r="H374">
        <f>VLOOKUP(A374,NYSEARCAMUB!A$2:G$506,2,0)</f>
        <v>111.05</v>
      </c>
      <c r="I374">
        <f>VLOOKUP(A374,NYSEARCAVNQ!A$2:G$506,2,0)</f>
        <v>78.7</v>
      </c>
      <c r="J374">
        <f>VLOOKUP(A374,NYSEARCARWX!A$2:G$506,2,0)</f>
        <v>38.659999999999997</v>
      </c>
      <c r="K374">
        <f>VLOOKUP(A374,NYSEARCADBC!A$2:G$506,2,0)</f>
        <v>14.79</v>
      </c>
      <c r="L374">
        <f>VLOOKUP(A374,NYSEARCAGSG!A$2:G$506,2,0)</f>
        <v>14.21</v>
      </c>
      <c r="M374">
        <f>VLOOKUP(A374,NYSEARCAGLD!A$2:G$506,2,0)</f>
        <v>124.3</v>
      </c>
      <c r="N374">
        <f>VLOOKUP(A374,NYSEBP!A$2:G$506,2,0)</f>
        <v>33.19</v>
      </c>
      <c r="O374">
        <f>VLOOKUP(A374,NASDAQYHOO!A$2:G$506,2,0)</f>
        <v>40.44</v>
      </c>
    </row>
    <row r="375" spans="1:15">
      <c r="A375" s="39">
        <v>42684</v>
      </c>
      <c r="B375">
        <v>71.25</v>
      </c>
      <c r="C375">
        <f>VLOOKUP(A375,NYSEARCAVTI!A$2:G$506,2,0)</f>
        <v>111.59</v>
      </c>
      <c r="D375">
        <f>VLOOKUP(A375,NYSEARCAVEU!A$2:G$506,2,0)</f>
        <v>44.32</v>
      </c>
      <c r="E375">
        <f>VLOOKUP(A375,NYSEARCAVWO!A$2:G$506,2,0)</f>
        <v>36.71</v>
      </c>
      <c r="F375">
        <f>VLOOKUP(A375,NYSEARCABND!A$2:G$506,2,0)</f>
        <v>81.99</v>
      </c>
      <c r="G375">
        <f>VLOOKUP(A375,NYSEARCATIP!A$2:G$506,2,0)</f>
        <v>114.9</v>
      </c>
      <c r="H375">
        <f>VLOOKUP(A375,NYSEARCAMUB!A$2:G$506,2,0)</f>
        <v>110.16</v>
      </c>
      <c r="I375">
        <f>VLOOKUP(A375,NYSEARCAVNQ!A$2:G$506,2,0)</f>
        <v>79.3</v>
      </c>
      <c r="J375">
        <f>VLOOKUP(A375,NYSEARCARWX!A$2:G$506,2,0)</f>
        <v>38.090000000000003</v>
      </c>
      <c r="K375">
        <f>VLOOKUP(A375,NYSEARCADBC!A$2:G$506,2,0)</f>
        <v>14.74</v>
      </c>
      <c r="L375">
        <f>VLOOKUP(A375,NYSEARCAGSG!A$2:G$506,2,0)</f>
        <v>14.18</v>
      </c>
      <c r="M375">
        <f>VLOOKUP(A375,NYSEARCAGLD!A$2:G$506,2,0)</f>
        <v>121.52</v>
      </c>
      <c r="N375">
        <f>VLOOKUP(A375,NYSEBP!A$2:G$506,2,0)</f>
        <v>34.28</v>
      </c>
      <c r="O375">
        <f>VLOOKUP(A375,NASDAQYHOO!A$2:G$506,2,0)</f>
        <v>41.55</v>
      </c>
    </row>
    <row r="376" spans="1:15">
      <c r="A376" s="39">
        <v>42685</v>
      </c>
      <c r="B376">
        <v>71.11</v>
      </c>
      <c r="C376">
        <f>VLOOKUP(A376,NYSEARCAVTI!A$2:G$506,2,0)</f>
        <v>111</v>
      </c>
      <c r="D376">
        <f>VLOOKUP(A376,NYSEARCAVEU!A$2:G$506,2,0)</f>
        <v>43.74</v>
      </c>
      <c r="E376">
        <f>VLOOKUP(A376,NYSEARCAVWO!A$2:G$506,2,0)</f>
        <v>35.29</v>
      </c>
      <c r="F376">
        <f>VLOOKUP(A376,NYSEARCABND!A$2:G$506,2,0)</f>
        <v>81.72</v>
      </c>
      <c r="G376">
        <f>VLOOKUP(A376,NYSEARCATIP!A$2:G$506,2,0)</f>
        <v>114.73</v>
      </c>
      <c r="H376">
        <f>VLOOKUP(A376,NYSEARCAMUB!A$2:G$506,2,0)</f>
        <v>109.78</v>
      </c>
      <c r="I376">
        <f>VLOOKUP(A376,NYSEARCAVNQ!A$2:G$506,2,0)</f>
        <v>78</v>
      </c>
      <c r="J376">
        <f>VLOOKUP(A376,NYSEARCARWX!A$2:G$506,2,0)</f>
        <v>37.770000000000003</v>
      </c>
      <c r="K376">
        <f>VLOOKUP(A376,NYSEARCADBC!A$2:G$506,2,0)</f>
        <v>14.58</v>
      </c>
      <c r="L376">
        <f>VLOOKUP(A376,NYSEARCAGSG!A$2:G$506,2,0)</f>
        <v>14.07</v>
      </c>
      <c r="M376">
        <f>VLOOKUP(A376,NYSEARCAGLD!A$2:G$506,2,0)</f>
        <v>119.65</v>
      </c>
      <c r="N376">
        <f>VLOOKUP(A376,NYSEBP!A$2:G$506,2,0)</f>
        <v>33.51</v>
      </c>
      <c r="O376">
        <f>VLOOKUP(A376,NASDAQYHOO!A$2:G$506,2,0)</f>
        <v>39.840000000000003</v>
      </c>
    </row>
    <row r="377" spans="1:15">
      <c r="A377" s="39">
        <v>42688</v>
      </c>
      <c r="B377">
        <v>71.16</v>
      </c>
      <c r="C377">
        <f>VLOOKUP(A377,NYSEARCAVTI!A$2:G$506,2,0)</f>
        <v>111.78</v>
      </c>
      <c r="D377">
        <f>VLOOKUP(A377,NYSEARCAVEU!A$2:G$506,2,0)</f>
        <v>43.3</v>
      </c>
      <c r="E377">
        <f>VLOOKUP(A377,NYSEARCAVWO!A$2:G$506,2,0)</f>
        <v>35.07</v>
      </c>
      <c r="F377">
        <f>VLOOKUP(A377,NYSEARCABND!A$2:G$506,2,0)</f>
        <v>81.44</v>
      </c>
      <c r="G377">
        <f>VLOOKUP(A377,NYSEARCATIP!A$2:G$506,2,0)</f>
        <v>114.15</v>
      </c>
      <c r="H377">
        <f>VLOOKUP(A377,NYSEARCAMUB!A$2:G$506,2,0)</f>
        <v>109.31</v>
      </c>
      <c r="I377">
        <f>VLOOKUP(A377,NYSEARCAVNQ!A$2:G$506,2,0)</f>
        <v>78.400000000000006</v>
      </c>
      <c r="J377">
        <f>VLOOKUP(A377,NYSEARCARWX!A$2:G$506,2,0)</f>
        <v>37.159999999999997</v>
      </c>
      <c r="K377">
        <f>VLOOKUP(A377,NYSEARCADBC!A$2:G$506,2,0)</f>
        <v>14.4</v>
      </c>
      <c r="L377">
        <f>VLOOKUP(A377,NYSEARCAGSG!A$2:G$506,2,0)</f>
        <v>13.87</v>
      </c>
      <c r="M377">
        <f>VLOOKUP(A377,NYSEARCAGLD!A$2:G$506,2,0)</f>
        <v>116.12</v>
      </c>
      <c r="N377">
        <f>VLOOKUP(A377,NYSEBP!A$2:G$506,2,0)</f>
        <v>32.75</v>
      </c>
      <c r="O377">
        <f>VLOOKUP(A377,NASDAQYHOO!A$2:G$506,2,0)</f>
        <v>40.36</v>
      </c>
    </row>
    <row r="378" spans="1:15">
      <c r="A378" s="39">
        <v>42689</v>
      </c>
      <c r="B378">
        <v>70.790000000000006</v>
      </c>
      <c r="C378">
        <f>VLOOKUP(A378,NYSEARCAVTI!A$2:G$506,2,0)</f>
        <v>112.04</v>
      </c>
      <c r="D378">
        <f>VLOOKUP(A378,NYSEARCAVEU!A$2:G$506,2,0)</f>
        <v>43.3</v>
      </c>
      <c r="E378">
        <f>VLOOKUP(A378,NYSEARCAVWO!A$2:G$506,2,0)</f>
        <v>35.369999999999997</v>
      </c>
      <c r="F378">
        <f>VLOOKUP(A378,NYSEARCABND!A$2:G$506,2,0)</f>
        <v>81.430000000000007</v>
      </c>
      <c r="G378">
        <f>VLOOKUP(A378,NYSEARCATIP!A$2:G$506,2,0)</f>
        <v>113.79</v>
      </c>
      <c r="H378">
        <f>VLOOKUP(A378,NYSEARCAMUB!A$2:G$506,2,0)</f>
        <v>108.58</v>
      </c>
      <c r="I378">
        <f>VLOOKUP(A378,NYSEARCAVNQ!A$2:G$506,2,0)</f>
        <v>80.67</v>
      </c>
      <c r="J378">
        <f>VLOOKUP(A378,NYSEARCARWX!A$2:G$506,2,0)</f>
        <v>37.18</v>
      </c>
      <c r="K378">
        <f>VLOOKUP(A378,NYSEARCADBC!A$2:G$506,2,0)</f>
        <v>14.49</v>
      </c>
      <c r="L378">
        <f>VLOOKUP(A378,NYSEARCAGSG!A$2:G$506,2,0)</f>
        <v>14.05</v>
      </c>
      <c r="M378">
        <f>VLOOKUP(A378,NYSEARCAGLD!A$2:G$506,2,0)</f>
        <v>116.46</v>
      </c>
      <c r="N378">
        <f>VLOOKUP(A378,NYSEBP!A$2:G$506,2,0)</f>
        <v>33.22</v>
      </c>
      <c r="O378">
        <f>VLOOKUP(A378,NASDAQYHOO!A$2:G$506,2,0)</f>
        <v>39.61</v>
      </c>
    </row>
    <row r="379" spans="1:15">
      <c r="A379" s="39">
        <v>42690</v>
      </c>
      <c r="B379">
        <v>71.75</v>
      </c>
      <c r="C379">
        <f>VLOOKUP(A379,NYSEARCAVTI!A$2:G$506,2,0)</f>
        <v>112.37</v>
      </c>
      <c r="D379">
        <f>VLOOKUP(A379,NYSEARCAVEU!A$2:G$506,2,0)</f>
        <v>43.26</v>
      </c>
      <c r="E379">
        <f>VLOOKUP(A379,NYSEARCAVWO!A$2:G$506,2,0)</f>
        <v>35.28</v>
      </c>
      <c r="F379">
        <f>VLOOKUP(A379,NYSEARCABND!A$2:G$506,2,0)</f>
        <v>81.47</v>
      </c>
      <c r="G379">
        <f>VLOOKUP(A379,NYSEARCATIP!A$2:G$506,2,0)</f>
        <v>113.35</v>
      </c>
      <c r="H379">
        <f>VLOOKUP(A379,NYSEARCAMUB!A$2:G$506,2,0)</f>
        <v>108.71</v>
      </c>
      <c r="I379">
        <f>VLOOKUP(A379,NYSEARCAVNQ!A$2:G$506,2,0)</f>
        <v>79.760000000000005</v>
      </c>
      <c r="J379">
        <f>VLOOKUP(A379,NYSEARCARWX!A$2:G$506,2,0)</f>
        <v>36.92</v>
      </c>
      <c r="K379">
        <f>VLOOKUP(A379,NYSEARCADBC!A$2:G$506,2,0)</f>
        <v>14.63</v>
      </c>
      <c r="L379">
        <f>VLOOKUP(A379,NYSEARCAGSG!A$2:G$506,2,0)</f>
        <v>14.22</v>
      </c>
      <c r="M379">
        <f>VLOOKUP(A379,NYSEARCAGLD!A$2:G$506,2,0)</f>
        <v>117.27</v>
      </c>
      <c r="N379">
        <f>VLOOKUP(A379,NYSEBP!A$2:G$506,2,0)</f>
        <v>33.26</v>
      </c>
      <c r="O379">
        <f>VLOOKUP(A379,NASDAQYHOO!A$2:G$506,2,0)</f>
        <v>40.1</v>
      </c>
    </row>
    <row r="380" spans="1:15">
      <c r="A380" s="39">
        <v>42691</v>
      </c>
      <c r="B380">
        <v>69.08</v>
      </c>
      <c r="C380">
        <f>VLOOKUP(A380,NYSEARCAVTI!A$2:G$506,2,0)</f>
        <v>112.53</v>
      </c>
      <c r="D380">
        <f>VLOOKUP(A380,NYSEARCAVEU!A$2:G$506,2,0)</f>
        <v>43.42</v>
      </c>
      <c r="E380">
        <f>VLOOKUP(A380,NYSEARCAVWO!A$2:G$506,2,0)</f>
        <v>35.53</v>
      </c>
      <c r="F380">
        <f>VLOOKUP(A380,NYSEARCABND!A$2:G$506,2,0)</f>
        <v>81.44</v>
      </c>
      <c r="G380">
        <f>VLOOKUP(A380,NYSEARCATIP!A$2:G$506,2,0)</f>
        <v>113.93</v>
      </c>
      <c r="H380">
        <f>VLOOKUP(A380,NYSEARCAMUB!A$2:G$506,2,0)</f>
        <v>108.52</v>
      </c>
      <c r="I380">
        <f>VLOOKUP(A380,NYSEARCAVNQ!A$2:G$506,2,0)</f>
        <v>79.459999999999994</v>
      </c>
      <c r="J380">
        <f>VLOOKUP(A380,NYSEARCARWX!A$2:G$506,2,0)</f>
        <v>37.35</v>
      </c>
      <c r="K380">
        <f>VLOOKUP(A380,NYSEARCADBC!A$2:G$506,2,0)</f>
        <v>14.66</v>
      </c>
      <c r="L380">
        <f>VLOOKUP(A380,NYSEARCAGSG!A$2:G$506,2,0)</f>
        <v>14.32</v>
      </c>
      <c r="M380">
        <f>VLOOKUP(A380,NYSEARCAGLD!A$2:G$506,2,0)</f>
        <v>116.91</v>
      </c>
      <c r="N380">
        <f>VLOOKUP(A380,NYSEBP!A$2:G$506,2,0)</f>
        <v>33.58</v>
      </c>
      <c r="O380">
        <f>VLOOKUP(A380,NASDAQYHOO!A$2:G$506,2,0)</f>
        <v>41.34</v>
      </c>
    </row>
    <row r="381" spans="1:15">
      <c r="A381" s="39">
        <v>42692</v>
      </c>
      <c r="B381">
        <v>68.930000000000007</v>
      </c>
      <c r="C381">
        <f>VLOOKUP(A381,NYSEARCAVTI!A$2:G$506,2,0)</f>
        <v>113.05</v>
      </c>
      <c r="D381">
        <f>VLOOKUP(A381,NYSEARCAVEU!A$2:G$506,2,0)</f>
        <v>43.25</v>
      </c>
      <c r="E381">
        <f>VLOOKUP(A381,NYSEARCAVWO!A$2:G$506,2,0)</f>
        <v>35.549999999999997</v>
      </c>
      <c r="F381">
        <f>VLOOKUP(A381,NYSEARCABND!A$2:G$506,2,0)</f>
        <v>81.28</v>
      </c>
      <c r="G381">
        <f>VLOOKUP(A381,NYSEARCATIP!A$2:G$506,2,0)</f>
        <v>113.65</v>
      </c>
      <c r="H381">
        <f>VLOOKUP(A381,NYSEARCAMUB!A$2:G$506,2,0)</f>
        <v>108.49</v>
      </c>
      <c r="I381">
        <f>VLOOKUP(A381,NYSEARCAVNQ!A$2:G$506,2,0)</f>
        <v>78.790000000000006</v>
      </c>
      <c r="J381">
        <f>VLOOKUP(A381,NYSEARCARWX!A$2:G$506,2,0)</f>
        <v>37.24</v>
      </c>
      <c r="K381">
        <f>VLOOKUP(A381,NYSEARCADBC!A$2:G$506,2,0)</f>
        <v>14.63</v>
      </c>
      <c r="L381">
        <f>VLOOKUP(A381,NYSEARCAGSG!A$2:G$506,2,0)</f>
        <v>14.14</v>
      </c>
      <c r="M381">
        <f>VLOOKUP(A381,NYSEARCAGLD!A$2:G$506,2,0)</f>
        <v>115.52</v>
      </c>
      <c r="N381">
        <f>VLOOKUP(A381,NYSEBP!A$2:G$506,2,0)</f>
        <v>33.35</v>
      </c>
      <c r="O381">
        <f>VLOOKUP(A381,NASDAQYHOO!A$2:G$506,2,0)</f>
        <v>41.48</v>
      </c>
    </row>
    <row r="382" spans="1:15">
      <c r="A382" s="39">
        <v>42695</v>
      </c>
      <c r="B382">
        <v>68.61</v>
      </c>
      <c r="C382">
        <f>VLOOKUP(A382,NYSEARCAVTI!A$2:G$506,2,0)</f>
        <v>113.12</v>
      </c>
      <c r="D382">
        <f>VLOOKUP(A382,NYSEARCAVEU!A$2:G$506,2,0)</f>
        <v>43.32</v>
      </c>
      <c r="E382">
        <f>VLOOKUP(A382,NYSEARCAVWO!A$2:G$506,2,0)</f>
        <v>35.65</v>
      </c>
      <c r="F382">
        <f>VLOOKUP(A382,NYSEARCABND!A$2:G$506,2,0)</f>
        <v>81.099999999999994</v>
      </c>
      <c r="G382">
        <f>VLOOKUP(A382,NYSEARCATIP!A$2:G$506,2,0)</f>
        <v>113.59</v>
      </c>
      <c r="H382">
        <f>VLOOKUP(A382,NYSEARCAMUB!A$2:G$506,2,0)</f>
        <v>108.48</v>
      </c>
      <c r="I382">
        <f>VLOOKUP(A382,NYSEARCAVNQ!A$2:G$506,2,0)</f>
        <v>79.180000000000007</v>
      </c>
      <c r="J382">
        <f>VLOOKUP(A382,NYSEARCARWX!A$2:G$506,2,0)</f>
        <v>37.130000000000003</v>
      </c>
      <c r="K382">
        <f>VLOOKUP(A382,NYSEARCADBC!A$2:G$506,2,0)</f>
        <v>14.89</v>
      </c>
      <c r="L382">
        <f>VLOOKUP(A382,NYSEARCAGSG!A$2:G$506,2,0)</f>
        <v>14.52</v>
      </c>
      <c r="M382">
        <f>VLOOKUP(A382,NYSEARCAGLD!A$2:G$506,2,0)</f>
        <v>115.72</v>
      </c>
      <c r="N382">
        <f>VLOOKUP(A382,NYSEBP!A$2:G$506,2,0)</f>
        <v>34.31</v>
      </c>
      <c r="O382">
        <f>VLOOKUP(A382,NASDAQYHOO!A$2:G$506,2,0)</f>
        <v>41.44</v>
      </c>
    </row>
    <row r="383" spans="1:15">
      <c r="A383" s="39">
        <v>42696</v>
      </c>
      <c r="B383">
        <v>69.73</v>
      </c>
      <c r="C383">
        <f>VLOOKUP(A383,NYSEARCAVTI!A$2:G$506,2,0)</f>
        <v>113.88</v>
      </c>
      <c r="D383">
        <f>VLOOKUP(A383,NYSEARCAVEU!A$2:G$506,2,0)</f>
        <v>43.72</v>
      </c>
      <c r="E383">
        <f>VLOOKUP(A383,NYSEARCAVWO!A$2:G$506,2,0)</f>
        <v>36.19</v>
      </c>
      <c r="F383">
        <f>VLOOKUP(A383,NYSEARCABND!A$2:G$506,2,0)</f>
        <v>81.19</v>
      </c>
      <c r="G383">
        <f>VLOOKUP(A383,NYSEARCATIP!A$2:G$506,2,0)</f>
        <v>113.78</v>
      </c>
      <c r="H383">
        <f>VLOOKUP(A383,NYSEARCAMUB!A$2:G$506,2,0)</f>
        <v>108.38</v>
      </c>
      <c r="I383">
        <f>VLOOKUP(A383,NYSEARCAVNQ!A$2:G$506,2,0)</f>
        <v>79.069999999999993</v>
      </c>
      <c r="J383">
        <f>VLOOKUP(A383,NYSEARCARWX!A$2:G$506,2,0)</f>
        <v>37.270000000000003</v>
      </c>
      <c r="K383">
        <f>VLOOKUP(A383,NYSEARCADBC!A$2:G$506,2,0)</f>
        <v>15.1</v>
      </c>
      <c r="L383">
        <f>VLOOKUP(A383,NYSEARCAGSG!A$2:G$506,2,0)</f>
        <v>14.73</v>
      </c>
      <c r="M383">
        <f>VLOOKUP(A383,NYSEARCAGLD!A$2:G$506,2,0)</f>
        <v>115.72</v>
      </c>
      <c r="N383">
        <f>VLOOKUP(A383,NYSEBP!A$2:G$506,2,0)</f>
        <v>34.479999999999997</v>
      </c>
      <c r="O383">
        <f>VLOOKUP(A383,NASDAQYHOO!A$2:G$506,2,0)</f>
        <v>41.2</v>
      </c>
    </row>
    <row r="384" spans="1:15">
      <c r="A384" s="39">
        <v>42697</v>
      </c>
      <c r="B384">
        <v>70.22</v>
      </c>
      <c r="C384">
        <f>VLOOKUP(A384,NYSEARCAVTI!A$2:G$506,2,0)</f>
        <v>113.72</v>
      </c>
      <c r="D384">
        <f>VLOOKUP(A384,NYSEARCAVEU!A$2:G$506,2,0)</f>
        <v>43.29</v>
      </c>
      <c r="E384">
        <f>VLOOKUP(A384,NYSEARCAVWO!A$2:G$506,2,0)</f>
        <v>35.65</v>
      </c>
      <c r="F384">
        <f>VLOOKUP(A384,NYSEARCABND!A$2:G$506,2,0)</f>
        <v>80.89</v>
      </c>
      <c r="G384">
        <f>VLOOKUP(A384,NYSEARCATIP!A$2:G$506,2,0)</f>
        <v>113.31</v>
      </c>
      <c r="H384">
        <f>VLOOKUP(A384,NYSEARCAMUB!A$2:G$506,2,0)</f>
        <v>107.9</v>
      </c>
      <c r="I384">
        <f>VLOOKUP(A384,NYSEARCAVNQ!A$2:G$506,2,0)</f>
        <v>79.36</v>
      </c>
      <c r="J384">
        <f>VLOOKUP(A384,NYSEARCARWX!A$2:G$506,2,0)</f>
        <v>37.19</v>
      </c>
      <c r="K384">
        <f>VLOOKUP(A384,NYSEARCADBC!A$2:G$506,2,0)</f>
        <v>15</v>
      </c>
      <c r="L384">
        <f>VLOOKUP(A384,NYSEARCAGSG!A$2:G$506,2,0)</f>
        <v>14.6</v>
      </c>
      <c r="M384">
        <f>VLOOKUP(A384,NYSEARCAGLD!A$2:G$506,2,0)</f>
        <v>113.87</v>
      </c>
      <c r="N384">
        <f>VLOOKUP(A384,NYSEBP!A$2:G$506,2,0)</f>
        <v>34.130000000000003</v>
      </c>
      <c r="O384">
        <f>VLOOKUP(A384,NASDAQYHOO!A$2:G$506,2,0)</f>
        <v>40.909999999999997</v>
      </c>
    </row>
    <row r="385" spans="1:15">
      <c r="A385" s="39">
        <v>42699</v>
      </c>
      <c r="B385">
        <v>71.11</v>
      </c>
      <c r="C385">
        <f>VLOOKUP(A385,NYSEARCAVTI!A$2:G$506,2,0)</f>
        <v>114.35</v>
      </c>
      <c r="D385">
        <f>VLOOKUP(A385,NYSEARCAVEU!A$2:G$506,2,0)</f>
        <v>43.71</v>
      </c>
      <c r="E385">
        <f>VLOOKUP(A385,NYSEARCAVWO!A$2:G$506,2,0)</f>
        <v>35.96</v>
      </c>
      <c r="F385">
        <f>VLOOKUP(A385,NYSEARCABND!A$2:G$506,2,0)</f>
        <v>80.91</v>
      </c>
      <c r="G385">
        <f>VLOOKUP(A385,NYSEARCATIP!A$2:G$506,2,0)</f>
        <v>113.43</v>
      </c>
      <c r="H385">
        <f>VLOOKUP(A385,NYSEARCAMUB!A$2:G$506,2,0)</f>
        <v>107.74</v>
      </c>
      <c r="I385">
        <f>VLOOKUP(A385,NYSEARCAVNQ!A$2:G$506,2,0)</f>
        <v>79.8</v>
      </c>
      <c r="J385">
        <f>VLOOKUP(A385,NYSEARCARWX!A$2:G$506,2,0)</f>
        <v>37.33</v>
      </c>
      <c r="K385">
        <f>VLOOKUP(A385,NYSEARCADBC!A$2:G$506,2,0)</f>
        <v>15.07</v>
      </c>
      <c r="L385">
        <f>VLOOKUP(A385,NYSEARCAGSG!A$2:G$506,2,0)</f>
        <v>14.59</v>
      </c>
      <c r="M385">
        <f>VLOOKUP(A385,NYSEARCAGLD!A$2:G$506,2,0)</f>
        <v>113.42</v>
      </c>
      <c r="N385">
        <f>VLOOKUP(A385,NYSEBP!A$2:G$506,2,0)</f>
        <v>34.4</v>
      </c>
      <c r="O385">
        <f>VLOOKUP(A385,NASDAQYHOO!A$2:G$506,2,0)</f>
        <v>41.08</v>
      </c>
    </row>
    <row r="386" spans="1:15">
      <c r="A386" s="39">
        <v>42702</v>
      </c>
      <c r="B386">
        <v>70.930000000000007</v>
      </c>
      <c r="C386">
        <f>VLOOKUP(A386,NYSEARCAVTI!A$2:G$506,2,0)</f>
        <v>114.32</v>
      </c>
      <c r="D386">
        <f>VLOOKUP(A386,NYSEARCAVEU!A$2:G$506,2,0)</f>
        <v>43.63</v>
      </c>
      <c r="E386">
        <f>VLOOKUP(A386,NYSEARCAVWO!A$2:G$506,2,0)</f>
        <v>36.08</v>
      </c>
      <c r="F386">
        <f>VLOOKUP(A386,NYSEARCABND!A$2:G$506,2,0)</f>
        <v>81.010000000000005</v>
      </c>
      <c r="G386">
        <f>VLOOKUP(A386,NYSEARCATIP!A$2:G$506,2,0)</f>
        <v>113.47</v>
      </c>
      <c r="H386">
        <f>VLOOKUP(A386,NYSEARCAMUB!A$2:G$506,2,0)</f>
        <v>107.85</v>
      </c>
      <c r="I386">
        <f>VLOOKUP(A386,NYSEARCAVNQ!A$2:G$506,2,0)</f>
        <v>80.180000000000007</v>
      </c>
      <c r="J386">
        <f>VLOOKUP(A386,NYSEARCARWX!A$2:G$506,2,0)</f>
        <v>37.58</v>
      </c>
      <c r="K386">
        <f>VLOOKUP(A386,NYSEARCADBC!A$2:G$506,2,0)</f>
        <v>15.09</v>
      </c>
      <c r="L386">
        <f>VLOOKUP(A386,NYSEARCAGSG!A$2:G$506,2,0)</f>
        <v>14.65</v>
      </c>
      <c r="M386">
        <f>VLOOKUP(A386,NYSEARCAGLD!A$2:G$506,2,0)</f>
        <v>113.23</v>
      </c>
      <c r="N386">
        <f>VLOOKUP(A386,NYSEBP!A$2:G$506,2,0)</f>
        <v>34.090000000000003</v>
      </c>
      <c r="O386">
        <f>VLOOKUP(A386,NASDAQYHOO!A$2:G$506,2,0)</f>
        <v>40.85</v>
      </c>
    </row>
    <row r="387" spans="1:15">
      <c r="A387" s="39">
        <v>42703</v>
      </c>
      <c r="B387">
        <v>71.38</v>
      </c>
      <c r="C387">
        <f>VLOOKUP(A387,NYSEARCAVTI!A$2:G$506,2,0)</f>
        <v>113.9</v>
      </c>
      <c r="D387">
        <f>VLOOKUP(A387,NYSEARCAVEU!A$2:G$506,2,0)</f>
        <v>43.55</v>
      </c>
      <c r="E387">
        <f>VLOOKUP(A387,NYSEARCAVWO!A$2:G$506,2,0)</f>
        <v>36.090000000000003</v>
      </c>
      <c r="F387">
        <f>VLOOKUP(A387,NYSEARCABND!A$2:G$506,2,0)</f>
        <v>81.010000000000005</v>
      </c>
      <c r="G387">
        <f>VLOOKUP(A387,NYSEARCATIP!A$2:G$506,2,0)</f>
        <v>112.93</v>
      </c>
      <c r="H387">
        <f>VLOOKUP(A387,NYSEARCAMUB!A$2:G$506,2,0)</f>
        <v>107.58</v>
      </c>
      <c r="I387">
        <f>VLOOKUP(A387,NYSEARCAVNQ!A$2:G$506,2,0)</f>
        <v>80.63</v>
      </c>
      <c r="J387">
        <f>VLOOKUP(A387,NYSEARCARWX!A$2:G$506,2,0)</f>
        <v>37.58</v>
      </c>
      <c r="K387">
        <f>VLOOKUP(A387,NYSEARCADBC!A$2:G$506,2,0)</f>
        <v>14.84</v>
      </c>
      <c r="L387">
        <f>VLOOKUP(A387,NYSEARCAGSG!A$2:G$506,2,0)</f>
        <v>14.31</v>
      </c>
      <c r="M387">
        <f>VLOOKUP(A387,NYSEARCAGLD!A$2:G$506,2,0)</f>
        <v>112.76</v>
      </c>
      <c r="N387">
        <f>VLOOKUP(A387,NYSEBP!A$2:G$506,2,0)</f>
        <v>33.369999999999997</v>
      </c>
      <c r="O387">
        <f>VLOOKUP(A387,NASDAQYHOO!A$2:G$506,2,0)</f>
        <v>41.43</v>
      </c>
    </row>
    <row r="388" spans="1:15">
      <c r="A388" s="39">
        <v>42704</v>
      </c>
      <c r="B388">
        <v>70.92</v>
      </c>
      <c r="C388">
        <f>VLOOKUP(A388,NYSEARCAVTI!A$2:G$506,2,0)</f>
        <v>114.47</v>
      </c>
      <c r="D388">
        <f>VLOOKUP(A388,NYSEARCAVEU!A$2:G$506,2,0)</f>
        <v>43.88</v>
      </c>
      <c r="E388">
        <f>VLOOKUP(A388,NYSEARCAVWO!A$2:G$506,2,0)</f>
        <v>36.32</v>
      </c>
      <c r="F388">
        <f>VLOOKUP(A388,NYSEARCABND!A$2:G$506,2,0)</f>
        <v>80.930000000000007</v>
      </c>
      <c r="G388">
        <f>VLOOKUP(A388,NYSEARCATIP!A$2:G$506,2,0)</f>
        <v>113.09</v>
      </c>
      <c r="H388">
        <f>VLOOKUP(A388,NYSEARCAMUB!A$2:G$506,2,0)</f>
        <v>106.68</v>
      </c>
      <c r="I388">
        <f>VLOOKUP(A388,NYSEARCAVNQ!A$2:G$506,2,0)</f>
        <v>80.55</v>
      </c>
      <c r="J388">
        <f>VLOOKUP(A388,NYSEARCARWX!A$2:G$506,2,0)</f>
        <v>37.86</v>
      </c>
      <c r="K388">
        <f>VLOOKUP(A388,NYSEARCADBC!A$2:G$506,2,0)</f>
        <v>15.03</v>
      </c>
      <c r="L388">
        <f>VLOOKUP(A388,NYSEARCAGSG!A$2:G$506,2,0)</f>
        <v>14.85</v>
      </c>
      <c r="M388">
        <f>VLOOKUP(A388,NYSEARCAGLD!A$2:G$506,2,0)</f>
        <v>112.69</v>
      </c>
      <c r="N388">
        <f>VLOOKUP(A388,NYSEBP!A$2:G$506,2,0)</f>
        <v>34.54</v>
      </c>
      <c r="O388">
        <f>VLOOKUP(A388,NASDAQYHOO!A$2:G$506,2,0)</f>
        <v>41.62</v>
      </c>
    </row>
    <row r="389" spans="1:15">
      <c r="A389" s="39">
        <v>42705</v>
      </c>
      <c r="B389">
        <v>70.25</v>
      </c>
      <c r="C389">
        <f>VLOOKUP(A389,NYSEARCAVTI!A$2:G$506,2,0)</f>
        <v>114.03</v>
      </c>
      <c r="D389">
        <f>VLOOKUP(A389,NYSEARCAVEU!A$2:G$506,2,0)</f>
        <v>43.7</v>
      </c>
      <c r="E389">
        <f>VLOOKUP(A389,NYSEARCAVWO!A$2:G$506,2,0)</f>
        <v>36.119999999999997</v>
      </c>
      <c r="F389">
        <f>VLOOKUP(A389,NYSEARCABND!A$2:G$506,2,0)</f>
        <v>80.48</v>
      </c>
      <c r="G389">
        <f>VLOOKUP(A389,NYSEARCATIP!A$2:G$506,2,0)</f>
        <v>112.84</v>
      </c>
      <c r="H389">
        <f>VLOOKUP(A389,NYSEARCAMUB!A$2:G$506,2,0)</f>
        <v>106.52</v>
      </c>
      <c r="I389">
        <f>VLOOKUP(A389,NYSEARCAVNQ!A$2:G$506,2,0)</f>
        <v>79.92</v>
      </c>
      <c r="J389">
        <f>VLOOKUP(A389,NYSEARCARWX!A$2:G$506,2,0)</f>
        <v>37.44</v>
      </c>
      <c r="K389">
        <f>VLOOKUP(A389,NYSEARCADBC!A$2:G$506,2,0)</f>
        <v>15.46</v>
      </c>
      <c r="L389">
        <f>VLOOKUP(A389,NYSEARCAGSG!A$2:G$506,2,0)</f>
        <v>15.18</v>
      </c>
      <c r="M389">
        <f>VLOOKUP(A389,NYSEARCAGLD!A$2:G$506,2,0)</f>
        <v>111.11</v>
      </c>
      <c r="N389">
        <f>VLOOKUP(A389,NYSEBP!A$2:G$506,2,0)</f>
        <v>35.69</v>
      </c>
      <c r="O389">
        <f>VLOOKUP(A389,NASDAQYHOO!A$2:G$506,2,0)</f>
        <v>41</v>
      </c>
    </row>
    <row r="390" spans="1:15">
      <c r="A390" s="39">
        <v>42706</v>
      </c>
      <c r="B390">
        <v>70.58</v>
      </c>
      <c r="C390">
        <f>VLOOKUP(A390,NYSEARCAVTI!A$2:G$506,2,0)</f>
        <v>113.34</v>
      </c>
      <c r="D390">
        <f>VLOOKUP(A390,NYSEARCAVEU!A$2:G$506,2,0)</f>
        <v>43.49</v>
      </c>
      <c r="E390">
        <f>VLOOKUP(A390,NYSEARCAVWO!A$2:G$506,2,0)</f>
        <v>35.79</v>
      </c>
      <c r="F390">
        <f>VLOOKUP(A390,NYSEARCABND!A$2:G$506,2,0)</f>
        <v>80.62</v>
      </c>
      <c r="G390">
        <f>VLOOKUP(A390,NYSEARCATIP!A$2:G$506,2,0)</f>
        <v>113.18</v>
      </c>
      <c r="H390">
        <f>VLOOKUP(A390,NYSEARCAMUB!A$2:G$506,2,0)</f>
        <v>106.43</v>
      </c>
      <c r="I390">
        <f>VLOOKUP(A390,NYSEARCAVNQ!A$2:G$506,2,0)</f>
        <v>79.56</v>
      </c>
      <c r="J390">
        <f>VLOOKUP(A390,NYSEARCARWX!A$2:G$506,2,0)</f>
        <v>37.479999999999997</v>
      </c>
      <c r="K390">
        <f>VLOOKUP(A390,NYSEARCADBC!A$2:G$506,2,0)</f>
        <v>15.52</v>
      </c>
      <c r="L390">
        <f>VLOOKUP(A390,NYSEARCAGSG!A$2:G$506,2,0)</f>
        <v>15.29</v>
      </c>
      <c r="M390">
        <f>VLOOKUP(A390,NYSEARCAGLD!A$2:G$506,2,0)</f>
        <v>111.89</v>
      </c>
      <c r="N390">
        <f>VLOOKUP(A390,NYSEBP!A$2:G$506,2,0)</f>
        <v>35.450000000000003</v>
      </c>
      <c r="O390">
        <f>VLOOKUP(A390,NASDAQYHOO!A$2:G$506,2,0)</f>
        <v>39.770000000000003</v>
      </c>
    </row>
    <row r="391" spans="1:15">
      <c r="A391" s="39">
        <v>42709</v>
      </c>
      <c r="B391">
        <v>70.900000000000006</v>
      </c>
      <c r="C391">
        <f>VLOOKUP(A391,NYSEARCAVTI!A$2:G$506,2,0)</f>
        <v>113.9</v>
      </c>
      <c r="D391">
        <f>VLOOKUP(A391,NYSEARCAVEU!A$2:G$506,2,0)</f>
        <v>43.84</v>
      </c>
      <c r="E391">
        <f>VLOOKUP(A391,NYSEARCAVWO!A$2:G$506,2,0)</f>
        <v>35.880000000000003</v>
      </c>
      <c r="F391">
        <f>VLOOKUP(A391,NYSEARCABND!A$2:G$506,2,0)</f>
        <v>80.599999999999994</v>
      </c>
      <c r="G391">
        <f>VLOOKUP(A391,NYSEARCATIP!A$2:G$506,2,0)</f>
        <v>112.99</v>
      </c>
      <c r="H391">
        <f>VLOOKUP(A391,NYSEARCAMUB!A$2:G$506,2,0)</f>
        <v>106.57</v>
      </c>
      <c r="I391">
        <f>VLOOKUP(A391,NYSEARCAVNQ!A$2:G$506,2,0)</f>
        <v>80.010000000000005</v>
      </c>
      <c r="J391">
        <f>VLOOKUP(A391,NYSEARCARWX!A$2:G$506,2,0)</f>
        <v>37.65</v>
      </c>
      <c r="K391">
        <f>VLOOKUP(A391,NYSEARCADBC!A$2:G$506,2,0)</f>
        <v>15.73</v>
      </c>
      <c r="L391">
        <f>VLOOKUP(A391,NYSEARCAGSG!A$2:G$506,2,0)</f>
        <v>15.48</v>
      </c>
      <c r="M391">
        <f>VLOOKUP(A391,NYSEARCAGLD!A$2:G$506,2,0)</f>
        <v>111.15</v>
      </c>
      <c r="N391">
        <f>VLOOKUP(A391,NYSEBP!A$2:G$506,2,0)</f>
        <v>35.56</v>
      </c>
      <c r="O391">
        <f>VLOOKUP(A391,NASDAQYHOO!A$2:G$506,2,0)</f>
        <v>40.020000000000003</v>
      </c>
    </row>
    <row r="392" spans="1:15">
      <c r="A392" s="39">
        <v>42710</v>
      </c>
      <c r="B392">
        <v>70.010000000000005</v>
      </c>
      <c r="C392">
        <f>VLOOKUP(A392,NYSEARCAVTI!A$2:G$506,2,0)</f>
        <v>114.34</v>
      </c>
      <c r="D392">
        <f>VLOOKUP(A392,NYSEARCAVEU!A$2:G$506,2,0)</f>
        <v>44.02</v>
      </c>
      <c r="E392">
        <f>VLOOKUP(A392,NYSEARCAVWO!A$2:G$506,2,0)</f>
        <v>36.14</v>
      </c>
      <c r="F392">
        <f>VLOOKUP(A392,NYSEARCABND!A$2:G$506,2,0)</f>
        <v>80.849999999999994</v>
      </c>
      <c r="G392">
        <f>VLOOKUP(A392,NYSEARCATIP!A$2:G$506,2,0)</f>
        <v>113.14</v>
      </c>
      <c r="H392">
        <f>VLOOKUP(A392,NYSEARCAMUB!A$2:G$506,2,0)</f>
        <v>106.9</v>
      </c>
      <c r="I392">
        <f>VLOOKUP(A392,NYSEARCAVNQ!A$2:G$506,2,0)</f>
        <v>80.8</v>
      </c>
      <c r="J392">
        <f>VLOOKUP(A392,NYSEARCARWX!A$2:G$506,2,0)</f>
        <v>37.97</v>
      </c>
      <c r="K392">
        <f>VLOOKUP(A392,NYSEARCADBC!A$2:G$506,2,0)</f>
        <v>15.63</v>
      </c>
      <c r="L392">
        <f>VLOOKUP(A392,NYSEARCAGSG!A$2:G$506,2,0)</f>
        <v>15.25</v>
      </c>
      <c r="M392">
        <f>VLOOKUP(A392,NYSEARCAGLD!A$2:G$506,2,0)</f>
        <v>111.69</v>
      </c>
      <c r="N392">
        <f>VLOOKUP(A392,NYSEBP!A$2:G$506,2,0)</f>
        <v>35.68</v>
      </c>
      <c r="O392">
        <f>VLOOKUP(A392,NASDAQYHOO!A$2:G$506,2,0)</f>
        <v>40.31</v>
      </c>
    </row>
    <row r="393" spans="1:15">
      <c r="A393" s="39">
        <v>42711</v>
      </c>
      <c r="B393">
        <v>69.930000000000007</v>
      </c>
      <c r="C393">
        <f>VLOOKUP(A393,NYSEARCAVTI!A$2:G$506,2,0)</f>
        <v>114.63</v>
      </c>
      <c r="D393">
        <f>VLOOKUP(A393,NYSEARCAVEU!A$2:G$506,2,0)</f>
        <v>44.42</v>
      </c>
      <c r="E393">
        <f>VLOOKUP(A393,NYSEARCAVWO!A$2:G$506,2,0)</f>
        <v>36.4</v>
      </c>
      <c r="F393">
        <f>VLOOKUP(A393,NYSEARCABND!A$2:G$506,2,0)</f>
        <v>80.930000000000007</v>
      </c>
      <c r="G393">
        <f>VLOOKUP(A393,NYSEARCATIP!A$2:G$506,2,0)</f>
        <v>113.54</v>
      </c>
      <c r="H393">
        <f>VLOOKUP(A393,NYSEARCAMUB!A$2:G$506,2,0)</f>
        <v>107.54</v>
      </c>
      <c r="I393">
        <f>VLOOKUP(A393,NYSEARCAVNQ!A$2:G$506,2,0)</f>
        <v>81.17</v>
      </c>
      <c r="J393">
        <f>VLOOKUP(A393,NYSEARCARWX!A$2:G$506,2,0)</f>
        <v>38.21</v>
      </c>
      <c r="K393">
        <f>VLOOKUP(A393,NYSEARCADBC!A$2:G$506,2,0)</f>
        <v>15.6</v>
      </c>
      <c r="L393">
        <f>VLOOKUP(A393,NYSEARCAGSG!A$2:G$506,2,0)</f>
        <v>15.21</v>
      </c>
      <c r="M393">
        <f>VLOOKUP(A393,NYSEARCAGLD!A$2:G$506,2,0)</f>
        <v>112.13</v>
      </c>
      <c r="N393">
        <f>VLOOKUP(A393,NYSEBP!A$2:G$506,2,0)</f>
        <v>35.909999999999997</v>
      </c>
      <c r="O393">
        <f>VLOOKUP(A393,NASDAQYHOO!A$2:G$506,2,0)</f>
        <v>39.979999999999997</v>
      </c>
    </row>
    <row r="394" spans="1:15">
      <c r="A394" s="39">
        <v>42712</v>
      </c>
      <c r="B394">
        <v>70.48</v>
      </c>
      <c r="C394">
        <f>VLOOKUP(A394,NYSEARCAVTI!A$2:G$506,2,0)</f>
        <v>116.18</v>
      </c>
      <c r="D394">
        <f>VLOOKUP(A394,NYSEARCAVEU!A$2:G$506,2,0)</f>
        <v>44.81</v>
      </c>
      <c r="E394">
        <f>VLOOKUP(A394,NYSEARCAVWO!A$2:G$506,2,0)</f>
        <v>36.659999999999997</v>
      </c>
      <c r="F394">
        <f>VLOOKUP(A394,NYSEARCABND!A$2:G$506,2,0)</f>
        <v>80.89</v>
      </c>
      <c r="G394">
        <f>VLOOKUP(A394,NYSEARCATIP!A$2:G$506,2,0)</f>
        <v>113.43</v>
      </c>
      <c r="H394">
        <f>VLOOKUP(A394,NYSEARCAMUB!A$2:G$506,2,0)</f>
        <v>108.04</v>
      </c>
      <c r="I394">
        <f>VLOOKUP(A394,NYSEARCAVNQ!A$2:G$506,2,0)</f>
        <v>82.45</v>
      </c>
      <c r="J394">
        <f>VLOOKUP(A394,NYSEARCARWX!A$2:G$506,2,0)</f>
        <v>38.44</v>
      </c>
      <c r="K394">
        <f>VLOOKUP(A394,NYSEARCADBC!A$2:G$506,2,0)</f>
        <v>15.5</v>
      </c>
      <c r="L394">
        <f>VLOOKUP(A394,NYSEARCAGSG!A$2:G$506,2,0)</f>
        <v>15.39</v>
      </c>
      <c r="M394">
        <f>VLOOKUP(A394,NYSEARCAGLD!A$2:G$506,2,0)</f>
        <v>111.72</v>
      </c>
      <c r="N394">
        <f>VLOOKUP(A394,NYSEBP!A$2:G$506,2,0)</f>
        <v>36.049999999999997</v>
      </c>
      <c r="O394">
        <f>VLOOKUP(A394,NASDAQYHOO!A$2:G$506,2,0)</f>
        <v>40.659999999999997</v>
      </c>
    </row>
    <row r="395" spans="1:15">
      <c r="A395" s="39">
        <v>42713</v>
      </c>
      <c r="B395">
        <v>70.27</v>
      </c>
      <c r="C395">
        <f>VLOOKUP(A395,NYSEARCAVTI!A$2:G$506,2,0)</f>
        <v>116.77</v>
      </c>
      <c r="D395">
        <f>VLOOKUP(A395,NYSEARCAVEU!A$2:G$506,2,0)</f>
        <v>44.88</v>
      </c>
      <c r="E395">
        <f>VLOOKUP(A395,NYSEARCAVWO!A$2:G$506,2,0)</f>
        <v>36.64</v>
      </c>
      <c r="F395">
        <f>VLOOKUP(A395,NYSEARCABND!A$2:G$506,2,0)</f>
        <v>80.8</v>
      </c>
      <c r="G395">
        <f>VLOOKUP(A395,NYSEARCATIP!A$2:G$506,2,0)</f>
        <v>113.3</v>
      </c>
      <c r="H395">
        <f>VLOOKUP(A395,NYSEARCAMUB!A$2:G$506,2,0)</f>
        <v>107.96</v>
      </c>
      <c r="I395">
        <f>VLOOKUP(A395,NYSEARCAVNQ!A$2:G$506,2,0)</f>
        <v>83.35</v>
      </c>
      <c r="J395">
        <f>VLOOKUP(A395,NYSEARCARWX!A$2:G$506,2,0)</f>
        <v>38.53</v>
      </c>
      <c r="K395">
        <f>VLOOKUP(A395,NYSEARCADBC!A$2:G$506,2,0)</f>
        <v>15.6</v>
      </c>
      <c r="L395">
        <f>VLOOKUP(A395,NYSEARCAGSG!A$2:G$506,2,0)</f>
        <v>15.39</v>
      </c>
      <c r="M395">
        <f>VLOOKUP(A395,NYSEARCAGLD!A$2:G$506,2,0)</f>
        <v>111.18</v>
      </c>
      <c r="N395">
        <f>VLOOKUP(A395,NYSEBP!A$2:G$506,2,0)</f>
        <v>36.15</v>
      </c>
      <c r="O395">
        <f>VLOOKUP(A395,NASDAQYHOO!A$2:G$506,2,0)</f>
        <v>41.52</v>
      </c>
    </row>
    <row r="396" spans="1:15">
      <c r="A396" s="39">
        <v>42716</v>
      </c>
      <c r="B396">
        <v>70.069999999999993</v>
      </c>
      <c r="C396">
        <f>VLOOKUP(A396,NYSEARCAVTI!A$2:G$506,2,0)</f>
        <v>117.12</v>
      </c>
      <c r="D396">
        <f>VLOOKUP(A396,NYSEARCAVEU!A$2:G$506,2,0)</f>
        <v>44.87</v>
      </c>
      <c r="E396">
        <f>VLOOKUP(A396,NYSEARCAVWO!A$2:G$506,2,0)</f>
        <v>36.39</v>
      </c>
      <c r="F396">
        <f>VLOOKUP(A396,NYSEARCABND!A$2:G$506,2,0)</f>
        <v>80.5</v>
      </c>
      <c r="G396">
        <f>VLOOKUP(A396,NYSEARCATIP!A$2:G$506,2,0)</f>
        <v>112.91</v>
      </c>
      <c r="H396">
        <f>VLOOKUP(A396,NYSEARCAMUB!A$2:G$506,2,0)</f>
        <v>107.76</v>
      </c>
      <c r="I396">
        <f>VLOOKUP(A396,NYSEARCAVNQ!A$2:G$506,2,0)</f>
        <v>82.98</v>
      </c>
      <c r="J396">
        <f>VLOOKUP(A396,NYSEARCARWX!A$2:G$506,2,0)</f>
        <v>38.24</v>
      </c>
      <c r="K396">
        <f>VLOOKUP(A396,NYSEARCADBC!A$2:G$506,2,0)</f>
        <v>15.82</v>
      </c>
      <c r="L396">
        <f>VLOOKUP(A396,NYSEARCAGSG!A$2:G$506,2,0)</f>
        <v>15.72</v>
      </c>
      <c r="M396">
        <f>VLOOKUP(A396,NYSEARCAGLD!A$2:G$506,2,0)</f>
        <v>110.59</v>
      </c>
      <c r="N396">
        <f>VLOOKUP(A396,NYSEBP!A$2:G$506,2,0)</f>
        <v>36.61</v>
      </c>
      <c r="O396">
        <f>VLOOKUP(A396,NASDAQYHOO!A$2:G$506,2,0)</f>
        <v>41.45</v>
      </c>
    </row>
    <row r="397" spans="1:15">
      <c r="A397" s="39">
        <v>42717</v>
      </c>
      <c r="B397">
        <v>71.67</v>
      </c>
      <c r="C397">
        <f>VLOOKUP(A397,NYSEARCAVTI!A$2:G$506,2,0)</f>
        <v>117.3</v>
      </c>
      <c r="D397">
        <f>VLOOKUP(A397,NYSEARCAVEU!A$2:G$506,2,0)</f>
        <v>45.17</v>
      </c>
      <c r="E397">
        <f>VLOOKUP(A397,NYSEARCAVWO!A$2:G$506,2,0)</f>
        <v>36.65</v>
      </c>
      <c r="F397">
        <f>VLOOKUP(A397,NYSEARCABND!A$2:G$506,2,0)</f>
        <v>80.650000000000006</v>
      </c>
      <c r="G397">
        <f>VLOOKUP(A397,NYSEARCATIP!A$2:G$506,2,0)</f>
        <v>113.02</v>
      </c>
      <c r="H397">
        <f>VLOOKUP(A397,NYSEARCAMUB!A$2:G$506,2,0)</f>
        <v>107.72</v>
      </c>
      <c r="I397">
        <f>VLOOKUP(A397,NYSEARCAVNQ!A$2:G$506,2,0)</f>
        <v>84.1</v>
      </c>
      <c r="J397">
        <f>VLOOKUP(A397,NYSEARCARWX!A$2:G$506,2,0)</f>
        <v>38.549999999999997</v>
      </c>
      <c r="K397">
        <f>VLOOKUP(A397,NYSEARCADBC!A$2:G$506,2,0)</f>
        <v>15.8</v>
      </c>
      <c r="L397">
        <f>VLOOKUP(A397,NYSEARCAGSG!A$2:G$506,2,0)</f>
        <v>15.65</v>
      </c>
      <c r="M397">
        <f>VLOOKUP(A397,NYSEARCAGLD!A$2:G$506,2,0)</f>
        <v>110.57</v>
      </c>
      <c r="N397">
        <f>VLOOKUP(A397,NYSEBP!A$2:G$506,2,0)</f>
        <v>36.9</v>
      </c>
      <c r="O397">
        <f>VLOOKUP(A397,NASDAQYHOO!A$2:G$506,2,0)</f>
        <v>41.35</v>
      </c>
    </row>
    <row r="398" spans="1:15">
      <c r="A398" s="39">
        <v>42718</v>
      </c>
      <c r="B398">
        <v>71.900000000000006</v>
      </c>
      <c r="C398">
        <f>VLOOKUP(A398,NYSEARCAVTI!A$2:G$506,2,0)</f>
        <v>117.48</v>
      </c>
      <c r="D398">
        <f>VLOOKUP(A398,NYSEARCAVEU!A$2:G$506,2,0)</f>
        <v>45.15</v>
      </c>
      <c r="E398">
        <f>VLOOKUP(A398,NYSEARCAVWO!A$2:G$506,2,0)</f>
        <v>36.46</v>
      </c>
      <c r="F398">
        <f>VLOOKUP(A398,NYSEARCABND!A$2:G$506,2,0)</f>
        <v>80.760000000000005</v>
      </c>
      <c r="G398">
        <f>VLOOKUP(A398,NYSEARCATIP!A$2:G$506,2,0)</f>
        <v>113.05</v>
      </c>
      <c r="H398">
        <f>VLOOKUP(A398,NYSEARCAMUB!A$2:G$506,2,0)</f>
        <v>107.82</v>
      </c>
      <c r="I398">
        <f>VLOOKUP(A398,NYSEARCAVNQ!A$2:G$506,2,0)</f>
        <v>83.62</v>
      </c>
      <c r="J398">
        <f>VLOOKUP(A398,NYSEARCARWX!A$2:G$506,2,0)</f>
        <v>38.46</v>
      </c>
      <c r="K398">
        <f>VLOOKUP(A398,NYSEARCADBC!A$2:G$506,2,0)</f>
        <v>15.7</v>
      </c>
      <c r="L398">
        <f>VLOOKUP(A398,NYSEARCAGSG!A$2:G$506,2,0)</f>
        <v>15.49</v>
      </c>
      <c r="M398">
        <f>VLOOKUP(A398,NYSEARCAGLD!A$2:G$506,2,0)</f>
        <v>110.95</v>
      </c>
      <c r="N398">
        <f>VLOOKUP(A398,NYSEBP!A$2:G$506,2,0)</f>
        <v>36.74</v>
      </c>
      <c r="O398">
        <f>VLOOKUP(A398,NASDAQYHOO!A$2:G$506,2,0)</f>
        <v>41.44</v>
      </c>
    </row>
    <row r="399" spans="1:15">
      <c r="A399" s="39">
        <v>42719</v>
      </c>
      <c r="B399">
        <v>71.22</v>
      </c>
      <c r="C399">
        <f>VLOOKUP(A399,NYSEARCAVTI!A$2:G$506,2,0)</f>
        <v>116.56</v>
      </c>
      <c r="D399">
        <f>VLOOKUP(A399,NYSEARCAVEU!A$2:G$506,2,0)</f>
        <v>44.37</v>
      </c>
      <c r="E399">
        <f>VLOOKUP(A399,NYSEARCAVWO!A$2:G$506,2,0)</f>
        <v>35.700000000000003</v>
      </c>
      <c r="F399">
        <f>VLOOKUP(A399,NYSEARCABND!A$2:G$506,2,0)</f>
        <v>80.2</v>
      </c>
      <c r="G399">
        <f>VLOOKUP(A399,NYSEARCATIP!A$2:G$506,2,0)</f>
        <v>111.41</v>
      </c>
      <c r="H399">
        <f>VLOOKUP(A399,NYSEARCAMUB!A$2:G$506,2,0)</f>
        <v>107.64</v>
      </c>
      <c r="I399">
        <f>VLOOKUP(A399,NYSEARCAVNQ!A$2:G$506,2,0)</f>
        <v>81.819999999999993</v>
      </c>
      <c r="J399">
        <f>VLOOKUP(A399,NYSEARCARWX!A$2:G$506,2,0)</f>
        <v>37.43</v>
      </c>
      <c r="K399">
        <f>VLOOKUP(A399,NYSEARCADBC!A$2:G$506,2,0)</f>
        <v>15.46</v>
      </c>
      <c r="L399">
        <f>VLOOKUP(A399,NYSEARCAGSG!A$2:G$506,2,0)</f>
        <v>15.23</v>
      </c>
      <c r="M399">
        <f>VLOOKUP(A399,NYSEARCAGLD!A$2:G$506,2,0)</f>
        <v>107.85</v>
      </c>
      <c r="N399">
        <f>VLOOKUP(A399,NYSEBP!A$2:G$506,2,0)</f>
        <v>35.44</v>
      </c>
      <c r="O399">
        <f>VLOOKUP(A399,NASDAQYHOO!A$2:G$506,2,0)</f>
        <v>40</v>
      </c>
    </row>
    <row r="400" spans="1:15">
      <c r="A400" s="39">
        <v>42720</v>
      </c>
      <c r="B400">
        <v>71.069999999999993</v>
      </c>
      <c r="C400">
        <f>VLOOKUP(A400,NYSEARCAVTI!A$2:G$506,2,0)</f>
        <v>117.27</v>
      </c>
      <c r="D400">
        <f>VLOOKUP(A400,NYSEARCAVEU!A$2:G$506,2,0)</f>
        <v>44.45</v>
      </c>
      <c r="E400">
        <f>VLOOKUP(A400,NYSEARCAVWO!A$2:G$506,2,0)</f>
        <v>35.840000000000003</v>
      </c>
      <c r="F400">
        <f>VLOOKUP(A400,NYSEARCABND!A$2:G$506,2,0)</f>
        <v>80.150000000000006</v>
      </c>
      <c r="G400">
        <f>VLOOKUP(A400,NYSEARCATIP!A$2:G$506,2,0)</f>
        <v>111.28</v>
      </c>
      <c r="H400">
        <f>VLOOKUP(A400,NYSEARCAMUB!A$2:G$506,2,0)</f>
        <v>107.2</v>
      </c>
      <c r="I400">
        <f>VLOOKUP(A400,NYSEARCAVNQ!A$2:G$506,2,0)</f>
        <v>81.58</v>
      </c>
      <c r="J400">
        <f>VLOOKUP(A400,NYSEARCARWX!A$2:G$506,2,0)</f>
        <v>35.159999999999997</v>
      </c>
      <c r="K400">
        <f>VLOOKUP(A400,NYSEARCADBC!A$2:G$506,2,0)</f>
        <v>15.61</v>
      </c>
      <c r="L400">
        <f>VLOOKUP(A400,NYSEARCAGSG!A$2:G$506,2,0)</f>
        <v>15.34</v>
      </c>
      <c r="M400">
        <f>VLOOKUP(A400,NYSEARCAGLD!A$2:G$506,2,0)</f>
        <v>107.95</v>
      </c>
      <c r="N400">
        <f>VLOOKUP(A400,NYSEBP!A$2:G$506,2,0)</f>
        <v>36.21</v>
      </c>
      <c r="O400">
        <f>VLOOKUP(A400,NASDAQYHOO!A$2:G$506,2,0)</f>
        <v>38.619999999999997</v>
      </c>
    </row>
    <row r="401" spans="1:15">
      <c r="A401" s="39">
        <v>42723</v>
      </c>
      <c r="B401">
        <v>70.84</v>
      </c>
      <c r="C401">
        <f>VLOOKUP(A401,NYSEARCAVTI!A$2:G$506,2,0)</f>
        <v>116.96</v>
      </c>
      <c r="D401">
        <f>VLOOKUP(A401,NYSEARCAVEU!A$2:G$506,2,0)</f>
        <v>44.4</v>
      </c>
      <c r="E401">
        <f>VLOOKUP(A401,NYSEARCAVWO!A$2:G$506,2,0)</f>
        <v>35.64</v>
      </c>
      <c r="F401">
        <f>VLOOKUP(A401,NYSEARCABND!A$2:G$506,2,0)</f>
        <v>80.34</v>
      </c>
      <c r="G401">
        <f>VLOOKUP(A401,NYSEARCATIP!A$2:G$506,2,0)</f>
        <v>111.43</v>
      </c>
      <c r="H401">
        <f>VLOOKUP(A401,NYSEARCAMUB!A$2:G$506,2,0)</f>
        <v>107.47</v>
      </c>
      <c r="I401">
        <f>VLOOKUP(A401,NYSEARCAVNQ!A$2:G$506,2,0)</f>
        <v>82.91</v>
      </c>
      <c r="J401">
        <f>VLOOKUP(A401,NYSEARCARWX!A$2:G$506,2,0)</f>
        <v>35.26</v>
      </c>
      <c r="K401">
        <f>VLOOKUP(A401,NYSEARCADBC!A$2:G$506,2,0)</f>
        <v>15.62</v>
      </c>
      <c r="L401">
        <f>VLOOKUP(A401,NYSEARCAGSG!A$2:G$506,2,0)</f>
        <v>15.5</v>
      </c>
      <c r="M401">
        <f>VLOOKUP(A401,NYSEARCAGLD!A$2:G$506,2,0)</f>
        <v>108.6</v>
      </c>
      <c r="N401">
        <f>VLOOKUP(A401,NYSEBP!A$2:G$506,2,0)</f>
        <v>36.630000000000003</v>
      </c>
      <c r="O401">
        <f>VLOOKUP(A401,NASDAQYHOO!A$2:G$506,2,0)</f>
        <v>38.659999999999997</v>
      </c>
    </row>
    <row r="402" spans="1:15">
      <c r="A402" s="39">
        <v>42724</v>
      </c>
      <c r="B402">
        <v>71.73</v>
      </c>
      <c r="C402">
        <f>VLOOKUP(A402,NYSEARCAVTI!A$2:G$506,2,0)</f>
        <v>116.88</v>
      </c>
      <c r="D402">
        <f>VLOOKUP(A402,NYSEARCAVEU!A$2:G$506,2,0)</f>
        <v>44.03</v>
      </c>
      <c r="E402">
        <f>VLOOKUP(A402,NYSEARCAVWO!A$2:G$506,2,0)</f>
        <v>35.36</v>
      </c>
      <c r="F402">
        <f>VLOOKUP(A402,NYSEARCABND!A$2:G$506,2,0)</f>
        <v>80.23</v>
      </c>
      <c r="G402">
        <f>VLOOKUP(A402,NYSEARCATIP!A$2:G$506,2,0)</f>
        <v>111.39</v>
      </c>
      <c r="H402">
        <f>VLOOKUP(A402,NYSEARCAMUB!A$2:G$506,2,0)</f>
        <v>107.55</v>
      </c>
      <c r="I402">
        <f>VLOOKUP(A402,NYSEARCAVNQ!A$2:G$506,2,0)</f>
        <v>83.48</v>
      </c>
      <c r="J402">
        <f>VLOOKUP(A402,NYSEARCARWX!A$2:G$506,2,0)</f>
        <v>35.43</v>
      </c>
      <c r="K402">
        <f>VLOOKUP(A402,NYSEARCADBC!A$2:G$506,2,0)</f>
        <v>15.62</v>
      </c>
      <c r="L402">
        <f>VLOOKUP(A402,NYSEARCAGSG!A$2:G$506,2,0)</f>
        <v>15.47</v>
      </c>
      <c r="M402">
        <f>VLOOKUP(A402,NYSEARCAGLD!A$2:G$506,2,0)</f>
        <v>107.47</v>
      </c>
      <c r="N402">
        <f>VLOOKUP(A402,NYSEBP!A$2:G$506,2,0)</f>
        <v>36.65</v>
      </c>
      <c r="O402">
        <f>VLOOKUP(A402,NASDAQYHOO!A$2:G$506,2,0)</f>
        <v>38.4</v>
      </c>
    </row>
    <row r="403" spans="1:15">
      <c r="A403" s="39">
        <v>42725</v>
      </c>
      <c r="B403">
        <v>71.66</v>
      </c>
      <c r="C403">
        <f>VLOOKUP(A403,NYSEARCAVTI!A$2:G$506,2,0)</f>
        <v>116.87</v>
      </c>
      <c r="D403">
        <f>VLOOKUP(A403,NYSEARCAVEU!A$2:G$506,2,0)</f>
        <v>44.08</v>
      </c>
      <c r="E403">
        <f>VLOOKUP(A403,NYSEARCAVWO!A$2:G$506,2,0)</f>
        <v>35.4</v>
      </c>
      <c r="F403">
        <f>VLOOKUP(A403,NYSEARCABND!A$2:G$506,2,0)</f>
        <v>80.44</v>
      </c>
      <c r="G403">
        <f>VLOOKUP(A403,NYSEARCATIP!A$2:G$506,2,0)</f>
        <v>112.05</v>
      </c>
      <c r="H403">
        <f>VLOOKUP(A403,NYSEARCAMUB!A$2:G$506,2,0)</f>
        <v>107.62</v>
      </c>
      <c r="I403">
        <f>VLOOKUP(A403,NYSEARCAVNQ!A$2:G$506,2,0)</f>
        <v>83.71</v>
      </c>
      <c r="J403">
        <f>VLOOKUP(A403,NYSEARCARWX!A$2:G$506,2,0)</f>
        <v>35.42</v>
      </c>
      <c r="K403">
        <f>VLOOKUP(A403,NYSEARCADBC!A$2:G$506,2,0)</f>
        <v>15.63</v>
      </c>
      <c r="L403">
        <f>VLOOKUP(A403,NYSEARCAGSG!A$2:G$506,2,0)</f>
        <v>15.43</v>
      </c>
      <c r="M403">
        <f>VLOOKUP(A403,NYSEARCAGLD!A$2:G$506,2,0)</f>
        <v>108.25</v>
      </c>
      <c r="N403">
        <f>VLOOKUP(A403,NYSEBP!A$2:G$506,2,0)</f>
        <v>36.86</v>
      </c>
      <c r="O403">
        <f>VLOOKUP(A403,NASDAQYHOO!A$2:G$506,2,0)</f>
        <v>39.08</v>
      </c>
    </row>
    <row r="404" spans="1:15">
      <c r="A404" s="39">
        <v>42726</v>
      </c>
      <c r="B404">
        <v>71.239999999999995</v>
      </c>
      <c r="C404">
        <f>VLOOKUP(A404,NYSEARCAVTI!A$2:G$506,2,0)</f>
        <v>116.42</v>
      </c>
      <c r="D404">
        <f>VLOOKUP(A404,NYSEARCAVEU!A$2:G$506,2,0)</f>
        <v>43.99</v>
      </c>
      <c r="E404">
        <f>VLOOKUP(A404,NYSEARCAVWO!A$2:G$506,2,0)</f>
        <v>34.909999999999997</v>
      </c>
      <c r="F404">
        <f>VLOOKUP(A404,NYSEARCABND!A$2:G$506,2,0)</f>
        <v>80.17</v>
      </c>
      <c r="G404">
        <f>VLOOKUP(A404,NYSEARCATIP!A$2:G$506,2,0)</f>
        <v>111.85</v>
      </c>
      <c r="H404">
        <f>VLOOKUP(A404,NYSEARCAMUB!A$2:G$506,2,0)</f>
        <v>107.55</v>
      </c>
      <c r="I404">
        <f>VLOOKUP(A404,NYSEARCAVNQ!A$2:G$506,2,0)</f>
        <v>80.64</v>
      </c>
      <c r="J404">
        <f>VLOOKUP(A404,NYSEARCARWX!A$2:G$506,2,0)</f>
        <v>35.35</v>
      </c>
      <c r="K404">
        <f>VLOOKUP(A404,NYSEARCADBC!A$2:G$506,2,0)</f>
        <v>15.52</v>
      </c>
      <c r="L404">
        <f>VLOOKUP(A404,NYSEARCAGSG!A$2:G$506,2,0)</f>
        <v>15.35</v>
      </c>
      <c r="M404">
        <f>VLOOKUP(A404,NYSEARCAGLD!A$2:G$506,2,0)</f>
        <v>107.68</v>
      </c>
      <c r="N404">
        <f>VLOOKUP(A404,NYSEBP!A$2:G$506,2,0)</f>
        <v>36.979999999999997</v>
      </c>
      <c r="O404">
        <f>VLOOKUP(A404,NASDAQYHOO!A$2:G$506,2,0)</f>
        <v>38.69</v>
      </c>
    </row>
    <row r="405" spans="1:15">
      <c r="A405" s="39">
        <v>42727</v>
      </c>
      <c r="B405">
        <v>69.430000000000007</v>
      </c>
      <c r="C405">
        <f>VLOOKUP(A405,NYSEARCAVTI!A$2:G$506,2,0)</f>
        <v>116.23</v>
      </c>
      <c r="D405">
        <f>VLOOKUP(A405,NYSEARCAVEU!A$2:G$506,2,0)</f>
        <v>43.91</v>
      </c>
      <c r="E405">
        <f>VLOOKUP(A405,NYSEARCAVWO!A$2:G$506,2,0)</f>
        <v>34.880000000000003</v>
      </c>
      <c r="F405">
        <f>VLOOKUP(A405,NYSEARCABND!A$2:G$506,2,0)</f>
        <v>80.36</v>
      </c>
      <c r="G405">
        <f>VLOOKUP(A405,NYSEARCATIP!A$2:G$506,2,0)</f>
        <v>112.34</v>
      </c>
      <c r="H405">
        <f>VLOOKUP(A405,NYSEARCAMUB!A$2:G$506,2,0)</f>
        <v>107.74</v>
      </c>
      <c r="I405">
        <f>VLOOKUP(A405,NYSEARCAVNQ!A$2:G$506,2,0)</f>
        <v>80.72</v>
      </c>
      <c r="J405">
        <f>VLOOKUP(A405,NYSEARCARWX!A$2:G$506,2,0)</f>
        <v>35.43</v>
      </c>
      <c r="K405">
        <f>VLOOKUP(A405,NYSEARCADBC!A$2:G$506,2,0)</f>
        <v>15.5</v>
      </c>
      <c r="L405">
        <f>VLOOKUP(A405,NYSEARCAGSG!A$2:G$506,2,0)</f>
        <v>15.36</v>
      </c>
      <c r="M405">
        <f>VLOOKUP(A405,NYSEARCAGLD!A$2:G$506,2,0)</f>
        <v>107.84</v>
      </c>
      <c r="N405">
        <f>VLOOKUP(A405,NYSEBP!A$2:G$506,2,0)</f>
        <v>36.840000000000003</v>
      </c>
      <c r="O405">
        <f>VLOOKUP(A405,NASDAQYHOO!A$2:G$506,2,0)</f>
        <v>38.46</v>
      </c>
    </row>
    <row r="406" spans="1:15">
      <c r="A406" s="39">
        <v>42731</v>
      </c>
      <c r="B406">
        <v>69.3</v>
      </c>
      <c r="C406">
        <f>VLOOKUP(A406,NYSEARCAVTI!A$2:G$506,2,0)</f>
        <v>116.57</v>
      </c>
      <c r="D406">
        <f>VLOOKUP(A406,NYSEARCAVEU!A$2:G$506,2,0)</f>
        <v>44</v>
      </c>
      <c r="E406">
        <f>VLOOKUP(A406,NYSEARCAVWO!A$2:G$506,2,0)</f>
        <v>35.119999999999997</v>
      </c>
      <c r="F406">
        <f>VLOOKUP(A406,NYSEARCABND!A$2:G$506,2,0)</f>
        <v>80.13</v>
      </c>
      <c r="G406">
        <f>VLOOKUP(A406,NYSEARCATIP!A$2:G$506,2,0)</f>
        <v>112.25</v>
      </c>
      <c r="H406">
        <f>VLOOKUP(A406,NYSEARCAMUB!A$2:G$506,2,0)</f>
        <v>107.78</v>
      </c>
      <c r="I406">
        <f>VLOOKUP(A406,NYSEARCAVNQ!A$2:G$506,2,0)</f>
        <v>80.94</v>
      </c>
      <c r="J406">
        <f>VLOOKUP(A406,NYSEARCARWX!A$2:G$506,2,0)</f>
        <v>35.6</v>
      </c>
      <c r="K406">
        <f>VLOOKUP(A406,NYSEARCADBC!A$2:G$506,2,0)</f>
        <v>15.66</v>
      </c>
      <c r="L406">
        <f>VLOOKUP(A406,NYSEARCAGSG!A$2:G$506,2,0)</f>
        <v>15.49</v>
      </c>
      <c r="M406">
        <f>VLOOKUP(A406,NYSEARCAGLD!A$2:G$506,2,0)</f>
        <v>108.61</v>
      </c>
      <c r="N406">
        <f>VLOOKUP(A406,NYSEBP!A$2:G$506,2,0)</f>
        <v>37.1</v>
      </c>
      <c r="O406">
        <f>VLOOKUP(A406,NASDAQYHOO!A$2:G$506,2,0)</f>
        <v>38.590000000000003</v>
      </c>
    </row>
    <row r="407" spans="1:15">
      <c r="A407" s="39">
        <v>42732</v>
      </c>
      <c r="B407">
        <v>69.94</v>
      </c>
      <c r="C407">
        <f>VLOOKUP(A407,NYSEARCAVTI!A$2:G$506,2,0)</f>
        <v>116.88</v>
      </c>
      <c r="D407">
        <f>VLOOKUP(A407,NYSEARCAVEU!A$2:G$506,2,0)</f>
        <v>44.04</v>
      </c>
      <c r="E407">
        <f>VLOOKUP(A407,NYSEARCAVWO!A$2:G$506,2,0)</f>
        <v>35.39</v>
      </c>
      <c r="F407">
        <f>VLOOKUP(A407,NYSEARCABND!A$2:G$506,2,0)</f>
        <v>80.239999999999995</v>
      </c>
      <c r="G407">
        <f>VLOOKUP(A407,NYSEARCATIP!A$2:G$506,2,0)</f>
        <v>112.49</v>
      </c>
      <c r="H407">
        <f>VLOOKUP(A407,NYSEARCAMUB!A$2:G$506,2,0)</f>
        <v>107.85</v>
      </c>
      <c r="I407">
        <f>VLOOKUP(A407,NYSEARCAVNQ!A$2:G$506,2,0)</f>
        <v>81.180000000000007</v>
      </c>
      <c r="J407">
        <f>VLOOKUP(A407,NYSEARCARWX!A$2:G$506,2,0)</f>
        <v>35.479999999999997</v>
      </c>
      <c r="K407">
        <f>VLOOKUP(A407,NYSEARCADBC!A$2:G$506,2,0)</f>
        <v>15.78</v>
      </c>
      <c r="L407">
        <f>VLOOKUP(A407,NYSEARCAGSG!A$2:G$506,2,0)</f>
        <v>15.69</v>
      </c>
      <c r="M407">
        <f>VLOOKUP(A407,NYSEARCAGLD!A$2:G$506,2,0)</f>
        <v>108.4</v>
      </c>
      <c r="N407">
        <f>VLOOKUP(A407,NYSEBP!A$2:G$506,2,0)</f>
        <v>37.32</v>
      </c>
      <c r="O407">
        <f>VLOOKUP(A407,NASDAQYHOO!A$2:G$506,2,0)</f>
        <v>39.119999999999997</v>
      </c>
    </row>
    <row r="408" spans="1:15">
      <c r="A408" s="39">
        <v>42733</v>
      </c>
      <c r="B408">
        <v>69.209999999999994</v>
      </c>
      <c r="C408">
        <f>VLOOKUP(A408,NYSEARCAVTI!A$2:G$506,2,0)</f>
        <v>115.74</v>
      </c>
      <c r="D408">
        <f>VLOOKUP(A408,NYSEARCAVEU!A$2:G$506,2,0)</f>
        <v>44.09</v>
      </c>
      <c r="E408">
        <f>VLOOKUP(A408,NYSEARCAVWO!A$2:G$506,2,0)</f>
        <v>35.75</v>
      </c>
      <c r="F408">
        <f>VLOOKUP(A408,NYSEARCABND!A$2:G$506,2,0)</f>
        <v>80.540000000000006</v>
      </c>
      <c r="G408">
        <f>VLOOKUP(A408,NYSEARCATIP!A$2:G$506,2,0)</f>
        <v>112.79</v>
      </c>
      <c r="H408">
        <f>VLOOKUP(A408,NYSEARCAMUB!A$2:G$506,2,0)</f>
        <v>108.01</v>
      </c>
      <c r="I408">
        <f>VLOOKUP(A408,NYSEARCAVNQ!A$2:G$506,2,0)</f>
        <v>80.760000000000005</v>
      </c>
      <c r="J408">
        <f>VLOOKUP(A408,NYSEARCARWX!A$2:G$506,2,0)</f>
        <v>35.729999999999997</v>
      </c>
      <c r="K408">
        <f>VLOOKUP(A408,NYSEARCADBC!A$2:G$506,2,0)</f>
        <v>15.81</v>
      </c>
      <c r="L408">
        <f>VLOOKUP(A408,NYSEARCAGSG!A$2:G$506,2,0)</f>
        <v>15.69</v>
      </c>
      <c r="M408">
        <f>VLOOKUP(A408,NYSEARCAGLD!A$2:G$506,2,0)</f>
        <v>109.23</v>
      </c>
      <c r="N408">
        <f>VLOOKUP(A408,NYSEBP!A$2:G$506,2,0)</f>
        <v>37.49</v>
      </c>
      <c r="O408">
        <f>VLOOKUP(A408,NASDAQYHOO!A$2:G$506,2,0)</f>
        <v>38.76</v>
      </c>
    </row>
    <row r="409" spans="1:15">
      <c r="A409" s="39">
        <v>42734</v>
      </c>
      <c r="B409">
        <v>69.12</v>
      </c>
      <c r="C409">
        <f>VLOOKUP(A409,NYSEARCAVTI!A$2:G$506,2,0)</f>
        <v>116</v>
      </c>
      <c r="D409">
        <f>VLOOKUP(A409,NYSEARCAVEU!A$2:G$506,2,0)</f>
        <v>44.43</v>
      </c>
      <c r="E409">
        <f>VLOOKUP(A409,NYSEARCAVWO!A$2:G$506,2,0)</f>
        <v>35.99</v>
      </c>
      <c r="F409">
        <f>VLOOKUP(A409,NYSEARCABND!A$2:G$506,2,0)</f>
        <v>80.63</v>
      </c>
      <c r="G409">
        <f>VLOOKUP(A409,NYSEARCATIP!A$2:G$506,2,0)</f>
        <v>112.76</v>
      </c>
      <c r="H409">
        <f>VLOOKUP(A409,NYSEARCAMUB!A$2:G$506,2,0)</f>
        <v>108.26</v>
      </c>
      <c r="I409">
        <f>VLOOKUP(A409,NYSEARCAVNQ!A$2:G$506,2,0)</f>
        <v>81.59</v>
      </c>
      <c r="J409">
        <f>VLOOKUP(A409,NYSEARCARWX!A$2:G$506,2,0)</f>
        <v>36.090000000000003</v>
      </c>
      <c r="K409">
        <f>VLOOKUP(A409,NYSEARCADBC!A$2:G$506,2,0)</f>
        <v>15.82</v>
      </c>
      <c r="L409">
        <f>VLOOKUP(A409,NYSEARCAGSG!A$2:G$506,2,0)</f>
        <v>15.65</v>
      </c>
      <c r="M409">
        <f>VLOOKUP(A409,NYSEARCAGLD!A$2:G$506,2,0)</f>
        <v>110.38</v>
      </c>
      <c r="N409">
        <f>VLOOKUP(A409,NYSEBP!A$2:G$506,2,0)</f>
        <v>37.47</v>
      </c>
      <c r="O409">
        <f>VLOOKUP(A409,NASDAQYHOO!A$2:G$506,2,0)</f>
        <v>38.72</v>
      </c>
    </row>
    <row r="410" spans="1:15">
      <c r="A410" s="39">
        <v>42738</v>
      </c>
      <c r="B410">
        <v>69.239999999999995</v>
      </c>
      <c r="C410">
        <f>VLOOKUP(A410,NYSEARCAVTI!A$2:G$506,2,0)</f>
        <v>116.15</v>
      </c>
      <c r="D410">
        <f>VLOOKUP(A410,NYSEARCAVEU!A$2:G$506,2,0)</f>
        <v>44.47</v>
      </c>
      <c r="E410">
        <f>VLOOKUP(A410,NYSEARCAVWO!A$2:G$506,2,0)</f>
        <v>36.18</v>
      </c>
      <c r="F410">
        <f>VLOOKUP(A410,NYSEARCABND!A$2:G$506,2,0)</f>
        <v>80.55</v>
      </c>
      <c r="G410">
        <f>VLOOKUP(A410,NYSEARCATIP!A$2:G$506,2,0)</f>
        <v>112.96</v>
      </c>
      <c r="H410">
        <f>VLOOKUP(A410,NYSEARCAMUB!A$2:G$506,2,0)</f>
        <v>107.94</v>
      </c>
      <c r="I410">
        <f>VLOOKUP(A410,NYSEARCAVNQ!A$2:G$506,2,0)</f>
        <v>82.98</v>
      </c>
      <c r="J410">
        <f>VLOOKUP(A410,NYSEARCARWX!A$2:G$506,2,0)</f>
        <v>36.020000000000003</v>
      </c>
      <c r="K410">
        <f>VLOOKUP(A410,NYSEARCADBC!A$2:G$506,2,0)</f>
        <v>15.97</v>
      </c>
      <c r="L410">
        <f>VLOOKUP(A410,NYSEARCAGSG!A$2:G$506,2,0)</f>
        <v>15.85</v>
      </c>
      <c r="M410">
        <f>VLOOKUP(A410,NYSEARCAGLD!A$2:G$506,2,0)</f>
        <v>109.62</v>
      </c>
      <c r="N410">
        <f>VLOOKUP(A410,NYSEBP!A$2:G$506,2,0)</f>
        <v>38.1</v>
      </c>
      <c r="O410">
        <f>VLOOKUP(A410,NASDAQYHOO!A$2:G$506,2,0)</f>
        <v>39.11</v>
      </c>
    </row>
    <row r="411" spans="1:15">
      <c r="A411" s="39">
        <v>42739</v>
      </c>
      <c r="B411">
        <v>68.66</v>
      </c>
      <c r="C411">
        <f>VLOOKUP(A411,NYSEARCAVTI!A$2:G$506,2,0)</f>
        <v>116.47</v>
      </c>
      <c r="D411">
        <f>VLOOKUP(A411,NYSEARCAVEU!A$2:G$506,2,0)</f>
        <v>44.77</v>
      </c>
      <c r="E411">
        <f>VLOOKUP(A411,NYSEARCAVWO!A$2:G$506,2,0)</f>
        <v>36.39</v>
      </c>
      <c r="F411">
        <f>VLOOKUP(A411,NYSEARCABND!A$2:G$506,2,0)</f>
        <v>80.84</v>
      </c>
      <c r="G411">
        <f>VLOOKUP(A411,NYSEARCATIP!A$2:G$506,2,0)</f>
        <v>113.23</v>
      </c>
      <c r="H411">
        <f>VLOOKUP(A411,NYSEARCAMUB!A$2:G$506,2,0)</f>
        <v>108.12</v>
      </c>
      <c r="I411">
        <f>VLOOKUP(A411,NYSEARCAVNQ!A$2:G$506,2,0)</f>
        <v>82.91</v>
      </c>
      <c r="J411">
        <f>VLOOKUP(A411,NYSEARCARWX!A$2:G$506,2,0)</f>
        <v>36.28</v>
      </c>
      <c r="K411">
        <f>VLOOKUP(A411,NYSEARCADBC!A$2:G$506,2,0)</f>
        <v>15.66</v>
      </c>
      <c r="L411">
        <f>VLOOKUP(A411,NYSEARCAGSG!A$2:G$506,2,0)</f>
        <v>15.42</v>
      </c>
      <c r="M411">
        <f>VLOOKUP(A411,NYSEARCAGLD!A$2:G$506,2,0)</f>
        <v>111.06</v>
      </c>
      <c r="N411">
        <f>VLOOKUP(A411,NYSEBP!A$2:G$506,2,0)</f>
        <v>38.04</v>
      </c>
      <c r="O411">
        <f>VLOOKUP(A411,NASDAQYHOO!A$2:G$506,2,0)</f>
        <v>39</v>
      </c>
    </row>
    <row r="412" spans="1:15">
      <c r="A412" s="39">
        <v>42740</v>
      </c>
      <c r="B412">
        <v>68.430000000000007</v>
      </c>
      <c r="C412">
        <f>VLOOKUP(A412,NYSEARCAVTI!A$2:G$506,2,0)</f>
        <v>116.95</v>
      </c>
      <c r="D412">
        <f>VLOOKUP(A412,NYSEARCAVEU!A$2:G$506,2,0)</f>
        <v>45.16</v>
      </c>
      <c r="E412">
        <f>VLOOKUP(A412,NYSEARCAVWO!A$2:G$506,2,0)</f>
        <v>36.75</v>
      </c>
      <c r="F412">
        <f>VLOOKUP(A412,NYSEARCABND!A$2:G$506,2,0)</f>
        <v>80.98</v>
      </c>
      <c r="G412">
        <f>VLOOKUP(A412,NYSEARCATIP!A$2:G$506,2,0)</f>
        <v>113.52</v>
      </c>
      <c r="H412">
        <f>VLOOKUP(A412,NYSEARCAMUB!A$2:G$506,2,0)</f>
        <v>108.45</v>
      </c>
      <c r="I412">
        <f>VLOOKUP(A412,NYSEARCAVNQ!A$2:G$506,2,0)</f>
        <v>83.7</v>
      </c>
      <c r="J412">
        <f>VLOOKUP(A412,NYSEARCARWX!A$2:G$506,2,0)</f>
        <v>36.630000000000003</v>
      </c>
      <c r="K412">
        <f>VLOOKUP(A412,NYSEARCADBC!A$2:G$506,2,0)</f>
        <v>15.84</v>
      </c>
      <c r="L412">
        <f>VLOOKUP(A412,NYSEARCAGSG!A$2:G$506,2,0)</f>
        <v>15.61</v>
      </c>
      <c r="M412">
        <f>VLOOKUP(A412,NYSEARCAGLD!A$2:G$506,2,0)</f>
        <v>112.16</v>
      </c>
      <c r="N412">
        <f>VLOOKUP(A412,NYSEBP!A$2:G$506,2,0)</f>
        <v>38.14</v>
      </c>
      <c r="O412">
        <f>VLOOKUP(A412,NASDAQYHOO!A$2:G$506,2,0)</f>
        <v>40.31</v>
      </c>
    </row>
    <row r="413" spans="1:15">
      <c r="A413" s="39">
        <v>42741</v>
      </c>
      <c r="B413">
        <v>68.41</v>
      </c>
      <c r="C413">
        <f>VLOOKUP(A413,NYSEARCAVTI!A$2:G$506,2,0)</f>
        <v>117.02</v>
      </c>
      <c r="D413">
        <f>VLOOKUP(A413,NYSEARCAVEU!A$2:G$506,2,0)</f>
        <v>45.27</v>
      </c>
      <c r="E413">
        <f>VLOOKUP(A413,NYSEARCAVWO!A$2:G$506,2,0)</f>
        <v>36.76</v>
      </c>
      <c r="F413">
        <f>VLOOKUP(A413,NYSEARCABND!A$2:G$506,2,0)</f>
        <v>81.099999999999994</v>
      </c>
      <c r="G413">
        <f>VLOOKUP(A413,NYSEARCATIP!A$2:G$506,2,0)</f>
        <v>113.58</v>
      </c>
      <c r="H413">
        <f>VLOOKUP(A413,NYSEARCAMUB!A$2:G$506,2,0)</f>
        <v>108.39</v>
      </c>
      <c r="I413">
        <f>VLOOKUP(A413,NYSEARCAVNQ!A$2:G$506,2,0)</f>
        <v>84.02</v>
      </c>
      <c r="J413">
        <f>VLOOKUP(A413,NYSEARCARWX!A$2:G$506,2,0)</f>
        <v>37.08</v>
      </c>
      <c r="K413">
        <f>VLOOKUP(A413,NYSEARCADBC!A$2:G$506,2,0)</f>
        <v>15.85</v>
      </c>
      <c r="L413">
        <f>VLOOKUP(A413,NYSEARCAGSG!A$2:G$506,2,0)</f>
        <v>15.67</v>
      </c>
      <c r="M413">
        <f>VLOOKUP(A413,NYSEARCAGLD!A$2:G$506,2,0)</f>
        <v>111.81</v>
      </c>
      <c r="N413">
        <f>VLOOKUP(A413,NYSEBP!A$2:G$506,2,0)</f>
        <v>38.159999999999997</v>
      </c>
      <c r="O413">
        <f>VLOOKUP(A413,NASDAQYHOO!A$2:G$506,2,0)</f>
        <v>41.25</v>
      </c>
    </row>
    <row r="414" spans="1:15">
      <c r="A414" s="39">
        <v>42744</v>
      </c>
      <c r="B414">
        <v>68.33</v>
      </c>
      <c r="C414">
        <f>VLOOKUP(A414,NYSEARCAVTI!A$2:G$506,2,0)</f>
        <v>117.1</v>
      </c>
      <c r="D414">
        <f>VLOOKUP(A414,NYSEARCAVEU!A$2:G$506,2,0)</f>
        <v>45.14</v>
      </c>
      <c r="E414">
        <f>VLOOKUP(A414,NYSEARCAVWO!A$2:G$506,2,0)</f>
        <v>36.69</v>
      </c>
      <c r="F414">
        <f>VLOOKUP(A414,NYSEARCABND!A$2:G$506,2,0)</f>
        <v>81.17</v>
      </c>
      <c r="G414">
        <f>VLOOKUP(A414,NYSEARCATIP!A$2:G$506,2,0)</f>
        <v>113.71</v>
      </c>
      <c r="H414">
        <f>VLOOKUP(A414,NYSEARCAMUB!A$2:G$506,2,0)</f>
        <v>108.64</v>
      </c>
      <c r="I414">
        <f>VLOOKUP(A414,NYSEARCAVNQ!A$2:G$506,2,0)</f>
        <v>84.53</v>
      </c>
      <c r="J414">
        <f>VLOOKUP(A414,NYSEARCARWX!A$2:G$506,2,0)</f>
        <v>36.89</v>
      </c>
      <c r="K414">
        <f>VLOOKUP(A414,NYSEARCADBC!A$2:G$506,2,0)</f>
        <v>15.71</v>
      </c>
      <c r="L414">
        <f>VLOOKUP(A414,NYSEARCAGSG!A$2:G$506,2,0)</f>
        <v>15.42</v>
      </c>
      <c r="M414">
        <f>VLOOKUP(A414,NYSEARCAGLD!A$2:G$506,2,0)</f>
        <v>112.39</v>
      </c>
      <c r="N414">
        <f>VLOOKUP(A414,NYSEBP!A$2:G$506,2,0)</f>
        <v>37.58</v>
      </c>
      <c r="O414">
        <f>VLOOKUP(A414,NASDAQYHOO!A$2:G$506,2,0)</f>
        <v>41.17</v>
      </c>
    </row>
    <row r="415" spans="1:15">
      <c r="A415" s="39">
        <v>42745</v>
      </c>
      <c r="B415">
        <v>68.64</v>
      </c>
      <c r="C415">
        <f>VLOOKUP(A415,NYSEARCAVTI!A$2:G$506,2,0)</f>
        <v>116.76</v>
      </c>
      <c r="D415">
        <f>VLOOKUP(A415,NYSEARCAVEU!A$2:G$506,2,0)</f>
        <v>45.26</v>
      </c>
      <c r="E415">
        <f>VLOOKUP(A415,NYSEARCAVWO!A$2:G$506,2,0)</f>
        <v>36.869999999999997</v>
      </c>
      <c r="F415">
        <f>VLOOKUP(A415,NYSEARCABND!A$2:G$506,2,0)</f>
        <v>81.14</v>
      </c>
      <c r="G415">
        <f>VLOOKUP(A415,NYSEARCATIP!A$2:G$506,2,0)</f>
        <v>113.47</v>
      </c>
      <c r="H415">
        <f>VLOOKUP(A415,NYSEARCAMUB!A$2:G$506,2,0)</f>
        <v>108.58</v>
      </c>
      <c r="I415">
        <f>VLOOKUP(A415,NYSEARCAVNQ!A$2:G$506,2,0)</f>
        <v>83.57</v>
      </c>
      <c r="J415">
        <f>VLOOKUP(A415,NYSEARCARWX!A$2:G$506,2,0)</f>
        <v>36.94</v>
      </c>
      <c r="K415">
        <f>VLOOKUP(A415,NYSEARCADBC!A$2:G$506,2,0)</f>
        <v>15.66</v>
      </c>
      <c r="L415">
        <f>VLOOKUP(A415,NYSEARCAGSG!A$2:G$506,2,0)</f>
        <v>15.36</v>
      </c>
      <c r="M415">
        <f>VLOOKUP(A415,NYSEARCAGLD!A$2:G$506,2,0)</f>
        <v>112.94</v>
      </c>
      <c r="N415">
        <f>VLOOKUP(A415,NYSEBP!A$2:G$506,2,0)</f>
        <v>37.25</v>
      </c>
      <c r="O415">
        <f>VLOOKUP(A415,NASDAQYHOO!A$2:G$506,2,0)</f>
        <v>41.89</v>
      </c>
    </row>
    <row r="416" spans="1:15">
      <c r="A416" s="39">
        <v>42746</v>
      </c>
      <c r="B416">
        <v>68.2</v>
      </c>
      <c r="C416">
        <f>VLOOKUP(A416,NYSEARCAVTI!A$2:G$506,2,0)</f>
        <v>116.91</v>
      </c>
      <c r="D416">
        <f>VLOOKUP(A416,NYSEARCAVEU!A$2:G$506,2,0)</f>
        <v>45.24</v>
      </c>
      <c r="E416">
        <f>VLOOKUP(A416,NYSEARCAVWO!A$2:G$506,2,0)</f>
        <v>36.880000000000003</v>
      </c>
      <c r="F416">
        <f>VLOOKUP(A416,NYSEARCABND!A$2:G$506,2,0)</f>
        <v>81.14</v>
      </c>
      <c r="G416">
        <f>VLOOKUP(A416,NYSEARCATIP!A$2:G$506,2,0)</f>
        <v>114.07</v>
      </c>
      <c r="H416">
        <f>VLOOKUP(A416,NYSEARCAMUB!A$2:G$506,2,0)</f>
        <v>108.86</v>
      </c>
      <c r="I416">
        <f>VLOOKUP(A416,NYSEARCAVNQ!A$2:G$506,2,0)</f>
        <v>82.87</v>
      </c>
      <c r="J416">
        <f>VLOOKUP(A416,NYSEARCARWX!A$2:G$506,2,0)</f>
        <v>36.64</v>
      </c>
      <c r="K416">
        <f>VLOOKUP(A416,NYSEARCADBC!A$2:G$506,2,0)</f>
        <v>15.63</v>
      </c>
      <c r="L416">
        <f>VLOOKUP(A416,NYSEARCAGSG!A$2:G$506,2,0)</f>
        <v>15.3</v>
      </c>
      <c r="M416">
        <f>VLOOKUP(A416,NYSEARCAGLD!A$2:G$506,2,0)</f>
        <v>112.87</v>
      </c>
      <c r="N416">
        <f>VLOOKUP(A416,NYSEBP!A$2:G$506,2,0)</f>
        <v>37.200000000000003</v>
      </c>
      <c r="O416">
        <f>VLOOKUP(A416,NASDAQYHOO!A$2:G$506,2,0)</f>
        <v>42.27</v>
      </c>
    </row>
    <row r="417" spans="1:15">
      <c r="A417" s="39">
        <v>42747</v>
      </c>
      <c r="B417">
        <v>68.36</v>
      </c>
      <c r="C417">
        <f>VLOOKUP(A417,NYSEARCAVTI!A$2:G$506,2,0)</f>
        <v>117.04</v>
      </c>
      <c r="D417">
        <f>VLOOKUP(A417,NYSEARCAVEU!A$2:G$506,2,0)</f>
        <v>45.69</v>
      </c>
      <c r="E417">
        <f>VLOOKUP(A417,NYSEARCAVWO!A$2:G$506,2,0)</f>
        <v>37.26</v>
      </c>
      <c r="F417">
        <f>VLOOKUP(A417,NYSEARCABND!A$2:G$506,2,0)</f>
        <v>81.37</v>
      </c>
      <c r="G417">
        <f>VLOOKUP(A417,NYSEARCATIP!A$2:G$506,2,0)</f>
        <v>114.51</v>
      </c>
      <c r="H417">
        <f>VLOOKUP(A417,NYSEARCAMUB!A$2:G$506,2,0)</f>
        <v>109.14</v>
      </c>
      <c r="I417">
        <f>VLOOKUP(A417,NYSEARCAVNQ!A$2:G$506,2,0)</f>
        <v>82.4</v>
      </c>
      <c r="J417">
        <f>VLOOKUP(A417,NYSEARCARWX!A$2:G$506,2,0)</f>
        <v>36.74</v>
      </c>
      <c r="K417">
        <f>VLOOKUP(A417,NYSEARCADBC!A$2:G$506,2,0)</f>
        <v>15.83</v>
      </c>
      <c r="L417">
        <f>VLOOKUP(A417,NYSEARCAGSG!A$2:G$506,2,0)</f>
        <v>15.65</v>
      </c>
      <c r="M417">
        <f>VLOOKUP(A417,NYSEARCAGLD!A$2:G$506,2,0)</f>
        <v>114.52</v>
      </c>
      <c r="N417">
        <f>VLOOKUP(A417,NYSEBP!A$2:G$506,2,0)</f>
        <v>37.99</v>
      </c>
      <c r="O417">
        <f>VLOOKUP(A417,NASDAQYHOO!A$2:G$506,2,0)</f>
        <v>42.34</v>
      </c>
    </row>
    <row r="418" spans="1:15">
      <c r="A418" s="39">
        <v>42748</v>
      </c>
      <c r="B418">
        <v>67.98</v>
      </c>
      <c r="C418">
        <f>VLOOKUP(A418,NYSEARCAVTI!A$2:G$506,2,0)</f>
        <v>116.99</v>
      </c>
      <c r="D418">
        <f>VLOOKUP(A418,NYSEARCAVEU!A$2:G$506,2,0)</f>
        <v>45.67</v>
      </c>
      <c r="E418">
        <f>VLOOKUP(A418,NYSEARCAVWO!A$2:G$506,2,0)</f>
        <v>37.19</v>
      </c>
      <c r="F418">
        <f>VLOOKUP(A418,NYSEARCABND!A$2:G$506,2,0)</f>
        <v>81.12</v>
      </c>
      <c r="G418">
        <f>VLOOKUP(A418,NYSEARCATIP!A$2:G$506,2,0)</f>
        <v>113.99</v>
      </c>
      <c r="H418">
        <f>VLOOKUP(A418,NYSEARCAMUB!A$2:G$506,2,0)</f>
        <v>109.19</v>
      </c>
      <c r="I418">
        <f>VLOOKUP(A418,NYSEARCAVNQ!A$2:G$506,2,0)</f>
        <v>82.72</v>
      </c>
      <c r="J418">
        <f>VLOOKUP(A418,NYSEARCARWX!A$2:G$506,2,0)</f>
        <v>36.58</v>
      </c>
      <c r="K418">
        <f>VLOOKUP(A418,NYSEARCADBC!A$2:G$506,2,0)</f>
        <v>15.85</v>
      </c>
      <c r="L418">
        <f>VLOOKUP(A418,NYSEARCAGSG!A$2:G$506,2,0)</f>
        <v>15.59</v>
      </c>
      <c r="M418">
        <f>VLOOKUP(A418,NYSEARCAGLD!A$2:G$506,2,0)</f>
        <v>113.65</v>
      </c>
      <c r="N418">
        <f>VLOOKUP(A418,NYSEBP!A$2:G$506,2,0)</f>
        <v>37.82</v>
      </c>
      <c r="O418">
        <f>VLOOKUP(A418,NASDAQYHOO!A$2:G$506,2,0)</f>
        <v>42.11</v>
      </c>
    </row>
    <row r="419" spans="1:15">
      <c r="A419" s="39">
        <v>42752</v>
      </c>
      <c r="B419">
        <v>68.09</v>
      </c>
      <c r="C419">
        <f>VLOOKUP(A419,NYSEARCAVTI!A$2:G$506,2,0)</f>
        <v>116.86</v>
      </c>
      <c r="D419">
        <f>VLOOKUP(A419,NYSEARCAVEU!A$2:G$506,2,0)</f>
        <v>45.7</v>
      </c>
      <c r="E419">
        <f>VLOOKUP(A419,NYSEARCAVWO!A$2:G$506,2,0)</f>
        <v>37.200000000000003</v>
      </c>
      <c r="F419">
        <f>VLOOKUP(A419,NYSEARCABND!A$2:G$506,2,0)</f>
        <v>81.34</v>
      </c>
      <c r="G419">
        <f>VLOOKUP(A419,NYSEARCATIP!A$2:G$506,2,0)</f>
        <v>114.54</v>
      </c>
      <c r="H419">
        <f>VLOOKUP(A419,NYSEARCAMUB!A$2:G$506,2,0)</f>
        <v>109.33</v>
      </c>
      <c r="I419">
        <f>VLOOKUP(A419,NYSEARCAVNQ!A$2:G$506,2,0)</f>
        <v>82.96</v>
      </c>
      <c r="J419">
        <f>VLOOKUP(A419,NYSEARCARWX!A$2:G$506,2,0)</f>
        <v>36.65</v>
      </c>
      <c r="K419">
        <f>VLOOKUP(A419,NYSEARCADBC!A$2:G$506,2,0)</f>
        <v>16.059999999999999</v>
      </c>
      <c r="L419">
        <f>VLOOKUP(A419,NYSEARCAGSG!A$2:G$506,2,0)</f>
        <v>15.8</v>
      </c>
      <c r="M419">
        <f>VLOOKUP(A419,NYSEARCAGLD!A$2:G$506,2,0)</f>
        <v>115.89</v>
      </c>
      <c r="N419">
        <f>VLOOKUP(A419,NYSEBP!A$2:G$506,2,0)</f>
        <v>37.58</v>
      </c>
      <c r="O419">
        <f>VLOOKUP(A419,NASDAQYHOO!A$2:G$506,2,0)</f>
        <v>42.06</v>
      </c>
    </row>
    <row r="420" spans="1:15">
      <c r="A420" s="39">
        <v>42753</v>
      </c>
      <c r="B420">
        <v>67.88</v>
      </c>
      <c r="C420">
        <f>VLOOKUP(A420,NYSEARCAVTI!A$2:G$506,2,0)</f>
        <v>116.8</v>
      </c>
      <c r="D420">
        <f>VLOOKUP(A420,NYSEARCAVEU!A$2:G$506,2,0)</f>
        <v>45.58</v>
      </c>
      <c r="E420">
        <f>VLOOKUP(A420,NYSEARCAVWO!A$2:G$506,2,0)</f>
        <v>37.24</v>
      </c>
      <c r="F420">
        <f>VLOOKUP(A420,NYSEARCABND!A$2:G$506,2,0)</f>
        <v>81.209999999999994</v>
      </c>
      <c r="G420">
        <f>VLOOKUP(A420,NYSEARCATIP!A$2:G$506,2,0)</f>
        <v>114.05</v>
      </c>
      <c r="H420">
        <f>VLOOKUP(A420,NYSEARCAMUB!A$2:G$506,2,0)</f>
        <v>109.2</v>
      </c>
      <c r="I420">
        <f>VLOOKUP(A420,NYSEARCAVNQ!A$2:G$506,2,0)</f>
        <v>83.22</v>
      </c>
      <c r="J420">
        <f>VLOOKUP(A420,NYSEARCARWX!A$2:G$506,2,0)</f>
        <v>36.69</v>
      </c>
      <c r="K420">
        <f>VLOOKUP(A420,NYSEARCADBC!A$2:G$506,2,0)</f>
        <v>15.8</v>
      </c>
      <c r="L420">
        <f>VLOOKUP(A420,NYSEARCAGSG!A$2:G$506,2,0)</f>
        <v>15.46</v>
      </c>
      <c r="M420">
        <f>VLOOKUP(A420,NYSEARCAGLD!A$2:G$506,2,0)</f>
        <v>115.74</v>
      </c>
      <c r="N420">
        <f>VLOOKUP(A420,NYSEBP!A$2:G$506,2,0)</f>
        <v>37.18</v>
      </c>
      <c r="O420">
        <f>VLOOKUP(A420,NASDAQYHOO!A$2:G$506,2,0)</f>
        <v>42.15</v>
      </c>
    </row>
    <row r="421" spans="1:15">
      <c r="A421" s="39">
        <v>42754</v>
      </c>
      <c r="B421">
        <v>68.13</v>
      </c>
      <c r="C421">
        <f>VLOOKUP(A421,NYSEARCAVTI!A$2:G$506,2,0)</f>
        <v>117.03</v>
      </c>
      <c r="D421">
        <f>VLOOKUP(A421,NYSEARCAVEU!A$2:G$506,2,0)</f>
        <v>45.44</v>
      </c>
      <c r="E421">
        <f>VLOOKUP(A421,NYSEARCAVWO!A$2:G$506,2,0)</f>
        <v>36.99</v>
      </c>
      <c r="F421">
        <f>VLOOKUP(A421,NYSEARCABND!A$2:G$506,2,0)</f>
        <v>80.78</v>
      </c>
      <c r="G421">
        <f>VLOOKUP(A421,NYSEARCATIP!A$2:G$506,2,0)</f>
        <v>113.65</v>
      </c>
      <c r="H421">
        <f>VLOOKUP(A421,NYSEARCAMUB!A$2:G$506,2,0)</f>
        <v>108.93</v>
      </c>
      <c r="I421">
        <f>VLOOKUP(A421,NYSEARCAVNQ!A$2:G$506,2,0)</f>
        <v>83.08</v>
      </c>
      <c r="J421">
        <f>VLOOKUP(A421,NYSEARCARWX!A$2:G$506,2,0)</f>
        <v>36.39</v>
      </c>
      <c r="K421">
        <f>VLOOKUP(A421,NYSEARCADBC!A$2:G$506,2,0)</f>
        <v>15.77</v>
      </c>
      <c r="L421">
        <f>VLOOKUP(A421,NYSEARCAGSG!A$2:G$506,2,0)</f>
        <v>15.42</v>
      </c>
      <c r="M421">
        <f>VLOOKUP(A421,NYSEARCAGLD!A$2:G$506,2,0)</f>
        <v>114.32</v>
      </c>
      <c r="N421">
        <f>VLOOKUP(A421,NYSEBP!A$2:G$506,2,0)</f>
        <v>37.01</v>
      </c>
      <c r="O421">
        <f>VLOOKUP(A421,NASDAQYHOO!A$2:G$506,2,0)</f>
        <v>42.05</v>
      </c>
    </row>
    <row r="422" spans="1:15">
      <c r="A422" s="39">
        <v>42755</v>
      </c>
      <c r="B422">
        <v>67.739999999999995</v>
      </c>
      <c r="C422">
        <f>VLOOKUP(A422,NYSEARCAVTI!A$2:G$506,2,0)</f>
        <v>116.84</v>
      </c>
      <c r="D422">
        <f>VLOOKUP(A422,NYSEARCAVEU!A$2:G$506,2,0)</f>
        <v>45.5</v>
      </c>
      <c r="E422">
        <f>VLOOKUP(A422,NYSEARCAVWO!A$2:G$506,2,0)</f>
        <v>37</v>
      </c>
      <c r="F422">
        <f>VLOOKUP(A422,NYSEARCABND!A$2:G$506,2,0)</f>
        <v>80.67</v>
      </c>
      <c r="G422">
        <f>VLOOKUP(A422,NYSEARCATIP!A$2:G$506,2,0)</f>
        <v>113.72</v>
      </c>
      <c r="H422">
        <f>VLOOKUP(A422,NYSEARCAMUB!A$2:G$506,2,0)</f>
        <v>108.48</v>
      </c>
      <c r="I422">
        <f>VLOOKUP(A422,NYSEARCAVNQ!A$2:G$506,2,0)</f>
        <v>82.57</v>
      </c>
      <c r="J422">
        <f>VLOOKUP(A422,NYSEARCARWX!A$2:G$506,2,0)</f>
        <v>36.43</v>
      </c>
      <c r="K422">
        <f>VLOOKUP(A422,NYSEARCADBC!A$2:G$506,2,0)</f>
        <v>15.89</v>
      </c>
      <c r="L422">
        <f>VLOOKUP(A422,NYSEARCAGSG!A$2:G$506,2,0)</f>
        <v>15.56</v>
      </c>
      <c r="M422">
        <f>VLOOKUP(A422,NYSEARCAGLD!A$2:G$506,2,0)</f>
        <v>114.65</v>
      </c>
      <c r="N422">
        <f>VLOOKUP(A422,NYSEBP!A$2:G$506,2,0)</f>
        <v>37.11</v>
      </c>
      <c r="O422">
        <f>VLOOKUP(A422,NASDAQYHOO!A$2:G$506,2,0)</f>
        <v>42.33</v>
      </c>
    </row>
    <row r="423" spans="1:15">
      <c r="A423" s="39">
        <v>42758</v>
      </c>
      <c r="B423">
        <v>67.010000000000005</v>
      </c>
      <c r="C423">
        <f>VLOOKUP(A423,NYSEARCAVTI!A$2:G$506,2,0)</f>
        <v>116.75</v>
      </c>
      <c r="D423">
        <f>VLOOKUP(A423,NYSEARCAVEU!A$2:G$506,2,0)</f>
        <v>45.62</v>
      </c>
      <c r="E423">
        <f>VLOOKUP(A423,NYSEARCAVWO!A$2:G$506,2,0)</f>
        <v>37.299999999999997</v>
      </c>
      <c r="F423">
        <f>VLOOKUP(A423,NYSEARCABND!A$2:G$506,2,0)</f>
        <v>80.819999999999993</v>
      </c>
      <c r="G423">
        <f>VLOOKUP(A423,NYSEARCATIP!A$2:G$506,2,0)</f>
        <v>113.87</v>
      </c>
      <c r="H423">
        <f>VLOOKUP(A423,NYSEARCAMUB!A$2:G$506,2,0)</f>
        <v>108.39</v>
      </c>
      <c r="I423">
        <f>VLOOKUP(A423,NYSEARCAVNQ!A$2:G$506,2,0)</f>
        <v>83.26</v>
      </c>
      <c r="J423">
        <f>VLOOKUP(A423,NYSEARCARWX!A$2:G$506,2,0)</f>
        <v>36.61</v>
      </c>
      <c r="K423">
        <f>VLOOKUP(A423,NYSEARCADBC!A$2:G$506,2,0)</f>
        <v>15.77</v>
      </c>
      <c r="L423">
        <f>VLOOKUP(A423,NYSEARCAGSG!A$2:G$506,2,0)</f>
        <v>15.42</v>
      </c>
      <c r="M423">
        <f>VLOOKUP(A423,NYSEARCAGLD!A$2:G$506,2,0)</f>
        <v>115.51</v>
      </c>
      <c r="N423">
        <f>VLOOKUP(A423,NYSEBP!A$2:G$506,2,0)</f>
        <v>36.6</v>
      </c>
      <c r="O423">
        <f>VLOOKUP(A423,NASDAQYHOO!A$2:G$506,2,0)</f>
        <v>41.95</v>
      </c>
    </row>
    <row r="424" spans="1:15">
      <c r="A424" s="39">
        <v>42759</v>
      </c>
      <c r="B424">
        <v>66.89</v>
      </c>
      <c r="C424">
        <f>VLOOKUP(A424,NYSEARCAVTI!A$2:G$506,2,0)</f>
        <v>116.82</v>
      </c>
      <c r="D424">
        <f>VLOOKUP(A424,NYSEARCAVEU!A$2:G$506,2,0)</f>
        <v>45.77</v>
      </c>
      <c r="E424">
        <f>VLOOKUP(A424,NYSEARCAVWO!A$2:G$506,2,0)</f>
        <v>37.71</v>
      </c>
      <c r="F424">
        <f>VLOOKUP(A424,NYSEARCABND!A$2:G$506,2,0)</f>
        <v>80.97</v>
      </c>
      <c r="G424">
        <f>VLOOKUP(A424,NYSEARCATIP!A$2:G$506,2,0)</f>
        <v>114</v>
      </c>
      <c r="H424">
        <f>VLOOKUP(A424,NYSEARCAMUB!A$2:G$506,2,0)</f>
        <v>108.5</v>
      </c>
      <c r="I424">
        <f>VLOOKUP(A424,NYSEARCAVNQ!A$2:G$506,2,0)</f>
        <v>83.84</v>
      </c>
      <c r="J424">
        <f>VLOOKUP(A424,NYSEARCARWX!A$2:G$506,2,0)</f>
        <v>36.729999999999997</v>
      </c>
      <c r="K424">
        <f>VLOOKUP(A424,NYSEARCADBC!A$2:G$506,2,0)</f>
        <v>15.95</v>
      </c>
      <c r="L424">
        <f>VLOOKUP(A424,NYSEARCAGSG!A$2:G$506,2,0)</f>
        <v>15.6</v>
      </c>
      <c r="M424">
        <f>VLOOKUP(A424,NYSEARCAGLD!A$2:G$506,2,0)</f>
        <v>115.69</v>
      </c>
      <c r="N424">
        <f>VLOOKUP(A424,NYSEBP!A$2:G$506,2,0)</f>
        <v>36.54</v>
      </c>
      <c r="O424">
        <f>VLOOKUP(A424,NASDAQYHOO!A$2:G$506,2,0)</f>
        <v>43.65</v>
      </c>
    </row>
    <row r="425" spans="1:15">
      <c r="A425" s="39">
        <v>42760</v>
      </c>
      <c r="B425">
        <v>67.52</v>
      </c>
      <c r="C425">
        <f>VLOOKUP(A425,NYSEARCAVTI!A$2:G$506,2,0)</f>
        <v>118.02</v>
      </c>
      <c r="D425">
        <f>VLOOKUP(A425,NYSEARCAVEU!A$2:G$506,2,0)</f>
        <v>46.23</v>
      </c>
      <c r="E425">
        <f>VLOOKUP(A425,NYSEARCAVWO!A$2:G$506,2,0)</f>
        <v>37.99</v>
      </c>
      <c r="F425">
        <f>VLOOKUP(A425,NYSEARCABND!A$2:G$506,2,0)</f>
        <v>80.739999999999995</v>
      </c>
      <c r="G425">
        <f>VLOOKUP(A425,NYSEARCATIP!A$2:G$506,2,0)</f>
        <v>113.51</v>
      </c>
      <c r="H425">
        <f>VLOOKUP(A425,NYSEARCAMUB!A$2:G$506,2,0)</f>
        <v>108.27</v>
      </c>
      <c r="I425">
        <f>VLOOKUP(A425,NYSEARCAVNQ!A$2:G$506,2,0)</f>
        <v>83.81</v>
      </c>
      <c r="J425">
        <f>VLOOKUP(A425,NYSEARCARWX!A$2:G$506,2,0)</f>
        <v>36.619999999999997</v>
      </c>
      <c r="K425">
        <f>VLOOKUP(A425,NYSEARCADBC!A$2:G$506,2,0)</f>
        <v>15.8</v>
      </c>
      <c r="L425">
        <f>VLOOKUP(A425,NYSEARCAGSG!A$2:G$506,2,0)</f>
        <v>15.49</v>
      </c>
      <c r="M425">
        <f>VLOOKUP(A425,NYSEARCAGLD!A$2:G$506,2,0)</f>
        <v>114.14</v>
      </c>
      <c r="N425">
        <f>VLOOKUP(A425,NYSEBP!A$2:G$506,2,0)</f>
        <v>37.1</v>
      </c>
      <c r="O425">
        <f>VLOOKUP(A425,NASDAQYHOO!A$2:G$506,2,0)</f>
        <v>44.11</v>
      </c>
    </row>
    <row r="426" spans="1:15">
      <c r="A426" s="39">
        <v>42761</v>
      </c>
      <c r="B426">
        <v>67.13</v>
      </c>
      <c r="C426">
        <f>VLOOKUP(A426,NYSEARCAVTI!A$2:G$506,2,0)</f>
        <v>118.56</v>
      </c>
      <c r="D426">
        <f>VLOOKUP(A426,NYSEARCAVEU!A$2:G$506,2,0)</f>
        <v>46.35</v>
      </c>
      <c r="E426">
        <f>VLOOKUP(A426,NYSEARCAVWO!A$2:G$506,2,0)</f>
        <v>38.1</v>
      </c>
      <c r="F426">
        <f>VLOOKUP(A426,NYSEARCABND!A$2:G$506,2,0)</f>
        <v>80.62</v>
      </c>
      <c r="G426">
        <f>VLOOKUP(A426,NYSEARCATIP!A$2:G$506,2,0)</f>
        <v>113.66</v>
      </c>
      <c r="H426">
        <f>VLOOKUP(A426,NYSEARCAMUB!A$2:G$506,2,0)</f>
        <v>108.28</v>
      </c>
      <c r="I426">
        <f>VLOOKUP(A426,NYSEARCAVNQ!A$2:G$506,2,0)</f>
        <v>83.32</v>
      </c>
      <c r="J426">
        <f>VLOOKUP(A426,NYSEARCARWX!A$2:G$506,2,0)</f>
        <v>36.74</v>
      </c>
      <c r="K426">
        <f>VLOOKUP(A426,NYSEARCADBC!A$2:G$506,2,0)</f>
        <v>15.89</v>
      </c>
      <c r="L426">
        <f>VLOOKUP(A426,NYSEARCAGSG!A$2:G$506,2,0)</f>
        <v>15.59</v>
      </c>
      <c r="M426">
        <f>VLOOKUP(A426,NYSEARCAGLD!A$2:G$506,2,0)</f>
        <v>113.24</v>
      </c>
      <c r="N426">
        <f>VLOOKUP(A426,NYSEBP!A$2:G$506,2,0)</f>
        <v>36.96</v>
      </c>
      <c r="O426">
        <f>VLOOKUP(A426,NASDAQYHOO!A$2:G$506,2,0)</f>
        <v>44.83</v>
      </c>
    </row>
    <row r="427" spans="1:15">
      <c r="A427" s="39">
        <v>42762</v>
      </c>
      <c r="B427">
        <v>66.86</v>
      </c>
      <c r="C427">
        <f>VLOOKUP(A427,NYSEARCAVTI!A$2:G$506,2,0)</f>
        <v>118.45</v>
      </c>
      <c r="D427">
        <f>VLOOKUP(A427,NYSEARCAVEU!A$2:G$506,2,0)</f>
        <v>46.23</v>
      </c>
      <c r="E427">
        <f>VLOOKUP(A427,NYSEARCAVWO!A$2:G$506,2,0)</f>
        <v>38.04</v>
      </c>
      <c r="F427">
        <f>VLOOKUP(A427,NYSEARCABND!A$2:G$506,2,0)</f>
        <v>80.739999999999995</v>
      </c>
      <c r="G427">
        <f>VLOOKUP(A427,NYSEARCATIP!A$2:G$506,2,0)</f>
        <v>113.95</v>
      </c>
      <c r="H427">
        <f>VLOOKUP(A427,NYSEARCAMUB!A$2:G$506,2,0)</f>
        <v>108.38</v>
      </c>
      <c r="I427">
        <f>VLOOKUP(A427,NYSEARCAVNQ!A$2:G$506,2,0)</f>
        <v>83.39</v>
      </c>
      <c r="J427">
        <f>VLOOKUP(A427,NYSEARCARWX!A$2:G$506,2,0)</f>
        <v>36.68</v>
      </c>
      <c r="K427">
        <f>VLOOKUP(A427,NYSEARCADBC!A$2:G$506,2,0)</f>
        <v>15.9</v>
      </c>
      <c r="L427">
        <f>VLOOKUP(A427,NYSEARCAGSG!A$2:G$506,2,0)</f>
        <v>15.5</v>
      </c>
      <c r="M427">
        <f>VLOOKUP(A427,NYSEARCAGLD!A$2:G$506,2,0)</f>
        <v>112.93</v>
      </c>
      <c r="N427">
        <f>VLOOKUP(A427,NYSEBP!A$2:G$506,2,0)</f>
        <v>36.53</v>
      </c>
      <c r="O427">
        <f>VLOOKUP(A427,NASDAQYHOO!A$2:G$506,2,0)</f>
        <v>44.54</v>
      </c>
    </row>
    <row r="428" spans="1:15">
      <c r="A428" s="39">
        <v>42765</v>
      </c>
      <c r="B428">
        <v>65.63</v>
      </c>
      <c r="C428">
        <f>VLOOKUP(A428,NYSEARCAVTI!A$2:G$506,2,0)</f>
        <v>117.73</v>
      </c>
      <c r="D428">
        <f>VLOOKUP(A428,NYSEARCAVEU!A$2:G$506,2,0)</f>
        <v>45.84</v>
      </c>
      <c r="E428">
        <f>VLOOKUP(A428,NYSEARCAVWO!A$2:G$506,2,0)</f>
        <v>37.82</v>
      </c>
      <c r="F428">
        <f>VLOOKUP(A428,NYSEARCABND!A$2:G$506,2,0)</f>
        <v>80.78</v>
      </c>
      <c r="G428">
        <f>VLOOKUP(A428,NYSEARCATIP!A$2:G$506,2,0)</f>
        <v>114.03</v>
      </c>
      <c r="H428">
        <f>VLOOKUP(A428,NYSEARCAMUB!A$2:G$506,2,0)</f>
        <v>108.45</v>
      </c>
      <c r="I428">
        <f>VLOOKUP(A428,NYSEARCAVNQ!A$2:G$506,2,0)</f>
        <v>82.1</v>
      </c>
      <c r="J428">
        <f>VLOOKUP(A428,NYSEARCARWX!A$2:G$506,2,0)</f>
        <v>36.409999999999997</v>
      </c>
      <c r="K428">
        <f>VLOOKUP(A428,NYSEARCADBC!A$2:G$506,2,0)</f>
        <v>15.68</v>
      </c>
      <c r="L428">
        <f>VLOOKUP(A428,NYSEARCAGSG!A$2:G$506,2,0)</f>
        <v>15.37</v>
      </c>
      <c r="M428">
        <f>VLOOKUP(A428,NYSEARCAGLD!A$2:G$506,2,0)</f>
        <v>113.61</v>
      </c>
      <c r="N428">
        <f>VLOOKUP(A428,NYSEBP!A$2:G$506,2,0)</f>
        <v>36.090000000000003</v>
      </c>
      <c r="O428">
        <f>VLOOKUP(A428,NASDAQYHOO!A$2:G$506,2,0)</f>
        <v>44.22</v>
      </c>
    </row>
    <row r="429" spans="1:15">
      <c r="A429" s="39">
        <v>42766</v>
      </c>
      <c r="B429">
        <v>66.209999999999994</v>
      </c>
      <c r="C429">
        <f>VLOOKUP(A429,NYSEARCAVTI!A$2:G$506,2,0)</f>
        <v>117</v>
      </c>
      <c r="D429">
        <f>VLOOKUP(A429,NYSEARCAVEU!A$2:G$506,2,0)</f>
        <v>45.94</v>
      </c>
      <c r="E429">
        <f>VLOOKUP(A429,NYSEARCAVWO!A$2:G$506,2,0)</f>
        <v>37.82</v>
      </c>
      <c r="F429">
        <f>VLOOKUP(A429,NYSEARCABND!A$2:G$506,2,0)</f>
        <v>80.8</v>
      </c>
      <c r="G429">
        <f>VLOOKUP(A429,NYSEARCATIP!A$2:G$506,2,0)</f>
        <v>114</v>
      </c>
      <c r="H429">
        <f>VLOOKUP(A429,NYSEARCAMUB!A$2:G$506,2,0)</f>
        <v>108.39</v>
      </c>
      <c r="I429">
        <f>VLOOKUP(A429,NYSEARCAVNQ!A$2:G$506,2,0)</f>
        <v>81.8</v>
      </c>
      <c r="J429">
        <f>VLOOKUP(A429,NYSEARCARWX!A$2:G$506,2,0)</f>
        <v>36.72</v>
      </c>
      <c r="K429">
        <f>VLOOKUP(A429,NYSEARCADBC!A$2:G$506,2,0)</f>
        <v>15.78</v>
      </c>
      <c r="L429">
        <f>VLOOKUP(A429,NYSEARCAGSG!A$2:G$506,2,0)</f>
        <v>15.46</v>
      </c>
      <c r="M429">
        <f>VLOOKUP(A429,NYSEARCAGLD!A$2:G$506,2,0)</f>
        <v>115.27</v>
      </c>
      <c r="N429">
        <f>VLOOKUP(A429,NYSEBP!A$2:G$506,2,0)</f>
        <v>36.06</v>
      </c>
      <c r="O429">
        <f>VLOOKUP(A429,NASDAQYHOO!A$2:G$506,2,0)</f>
        <v>43.78</v>
      </c>
    </row>
    <row r="430" spans="1:15">
      <c r="A430" s="39">
        <v>42767</v>
      </c>
      <c r="B430">
        <v>66.459999999999994</v>
      </c>
      <c r="C430">
        <f>VLOOKUP(A430,NYSEARCAVTI!A$2:G$506,2,0)</f>
        <v>117.86</v>
      </c>
      <c r="D430">
        <f>VLOOKUP(A430,NYSEARCAVEU!A$2:G$506,2,0)</f>
        <v>46.21</v>
      </c>
      <c r="E430">
        <f>VLOOKUP(A430,NYSEARCAVWO!A$2:G$506,2,0)</f>
        <v>38.090000000000003</v>
      </c>
      <c r="F430">
        <f>VLOOKUP(A430,NYSEARCABND!A$2:G$506,2,0)</f>
        <v>80.56</v>
      </c>
      <c r="G430">
        <f>VLOOKUP(A430,NYSEARCATIP!A$2:G$506,2,0)</f>
        <v>113.95</v>
      </c>
      <c r="H430">
        <f>VLOOKUP(A430,NYSEARCAMUB!A$2:G$506,2,0)</f>
        <v>108.17</v>
      </c>
      <c r="I430">
        <f>VLOOKUP(A430,NYSEARCAVNQ!A$2:G$506,2,0)</f>
        <v>82.28</v>
      </c>
      <c r="J430">
        <f>VLOOKUP(A430,NYSEARCARWX!A$2:G$506,2,0)</f>
        <v>37.020000000000003</v>
      </c>
      <c r="K430">
        <f>VLOOKUP(A430,NYSEARCADBC!A$2:G$506,2,0)</f>
        <v>15.8</v>
      </c>
      <c r="L430">
        <f>VLOOKUP(A430,NYSEARCAGSG!A$2:G$506,2,0)</f>
        <v>15.53</v>
      </c>
      <c r="M430">
        <f>VLOOKUP(A430,NYSEARCAGLD!A$2:G$506,2,0)</f>
        <v>114.66</v>
      </c>
      <c r="N430">
        <f>VLOOKUP(A430,NYSEBP!A$2:G$506,2,0)</f>
        <v>36.18</v>
      </c>
      <c r="O430">
        <f>VLOOKUP(A430,NASDAQYHOO!A$2:G$506,2,0)</f>
        <v>44.25</v>
      </c>
    </row>
    <row r="431" spans="1:15">
      <c r="A431" s="39">
        <v>42768</v>
      </c>
      <c r="B431">
        <v>66.34</v>
      </c>
      <c r="C431">
        <f>VLOOKUP(A431,NYSEARCAVTI!A$2:G$506,2,0)</f>
        <v>117.21</v>
      </c>
      <c r="D431">
        <f>VLOOKUP(A431,NYSEARCAVEU!A$2:G$506,2,0)</f>
        <v>46.21</v>
      </c>
      <c r="E431">
        <f>VLOOKUP(A431,NYSEARCAVWO!A$2:G$506,2,0)</f>
        <v>38.03</v>
      </c>
      <c r="F431">
        <f>VLOOKUP(A431,NYSEARCABND!A$2:G$506,2,0)</f>
        <v>80.790000000000006</v>
      </c>
      <c r="G431">
        <f>VLOOKUP(A431,NYSEARCATIP!A$2:G$506,2,0)</f>
        <v>114.25</v>
      </c>
      <c r="H431">
        <f>VLOOKUP(A431,NYSEARCAMUB!A$2:G$506,2,0)</f>
        <v>108.37</v>
      </c>
      <c r="I431">
        <f>VLOOKUP(A431,NYSEARCAVNQ!A$2:G$506,2,0)</f>
        <v>81.430000000000007</v>
      </c>
      <c r="J431">
        <f>VLOOKUP(A431,NYSEARCARWX!A$2:G$506,2,0)</f>
        <v>36.93</v>
      </c>
      <c r="K431">
        <f>VLOOKUP(A431,NYSEARCADBC!A$2:G$506,2,0)</f>
        <v>15.97</v>
      </c>
      <c r="L431">
        <f>VLOOKUP(A431,NYSEARCAGSG!A$2:G$506,2,0)</f>
        <v>15.66</v>
      </c>
      <c r="M431">
        <f>VLOOKUP(A431,NYSEARCAGLD!A$2:G$506,2,0)</f>
        <v>116.26</v>
      </c>
      <c r="N431">
        <f>VLOOKUP(A431,NYSEBP!A$2:G$506,2,0)</f>
        <v>35.869999999999997</v>
      </c>
      <c r="O431">
        <f>VLOOKUP(A431,NASDAQYHOO!A$2:G$506,2,0)</f>
        <v>43.63</v>
      </c>
    </row>
    <row r="432" spans="1:15">
      <c r="A432" s="39">
        <v>42769</v>
      </c>
      <c r="B432">
        <v>66.819999999999993</v>
      </c>
      <c r="C432">
        <f>VLOOKUP(A432,NYSEARCAVTI!A$2:G$506,2,0)</f>
        <v>117.99</v>
      </c>
      <c r="D432">
        <f>VLOOKUP(A432,NYSEARCAVEU!A$2:G$506,2,0)</f>
        <v>46.33</v>
      </c>
      <c r="E432">
        <f>VLOOKUP(A432,NYSEARCAVWO!A$2:G$506,2,0)</f>
        <v>38.24</v>
      </c>
      <c r="F432">
        <f>VLOOKUP(A432,NYSEARCABND!A$2:G$506,2,0)</f>
        <v>80.86</v>
      </c>
      <c r="G432">
        <f>VLOOKUP(A432,NYSEARCATIP!A$2:G$506,2,0)</f>
        <v>114.17</v>
      </c>
      <c r="H432">
        <f>VLOOKUP(A432,NYSEARCAMUB!A$2:G$506,2,0)</f>
        <v>108.35</v>
      </c>
      <c r="I432">
        <f>VLOOKUP(A432,NYSEARCAVNQ!A$2:G$506,2,0)</f>
        <v>82.96</v>
      </c>
      <c r="J432">
        <f>VLOOKUP(A432,NYSEARCARWX!A$2:G$506,2,0)</f>
        <v>37.01</v>
      </c>
      <c r="K432">
        <f>VLOOKUP(A432,NYSEARCADBC!A$2:G$506,2,0)</f>
        <v>15.85</v>
      </c>
      <c r="L432">
        <f>VLOOKUP(A432,NYSEARCAGSG!A$2:G$506,2,0)</f>
        <v>15.54</v>
      </c>
      <c r="M432">
        <f>VLOOKUP(A432,NYSEARCAGLD!A$2:G$506,2,0)</f>
        <v>115.73</v>
      </c>
      <c r="N432">
        <f>VLOOKUP(A432,NYSEBP!A$2:G$506,2,0)</f>
        <v>35.92</v>
      </c>
      <c r="O432">
        <f>VLOOKUP(A432,NASDAQYHOO!A$2:G$506,2,0)</f>
        <v>43.9</v>
      </c>
    </row>
    <row r="433" spans="1:15">
      <c r="A433" s="39">
        <v>42772</v>
      </c>
      <c r="B433">
        <v>66.37</v>
      </c>
      <c r="C433">
        <f>VLOOKUP(A433,NYSEARCAVTI!A$2:G$506,2,0)</f>
        <v>118.26</v>
      </c>
      <c r="D433">
        <f>VLOOKUP(A433,NYSEARCAVEU!A$2:G$506,2,0)</f>
        <v>46.06</v>
      </c>
      <c r="E433">
        <f>VLOOKUP(A433,NYSEARCAVWO!A$2:G$506,2,0)</f>
        <v>38.32</v>
      </c>
      <c r="F433">
        <f>VLOOKUP(A433,NYSEARCABND!A$2:G$506,2,0)</f>
        <v>80.959999999999994</v>
      </c>
      <c r="G433">
        <f>VLOOKUP(A433,NYSEARCATIP!A$2:G$506,2,0)</f>
        <v>114.05</v>
      </c>
      <c r="H433">
        <f>VLOOKUP(A433,NYSEARCAMUB!A$2:G$506,2,0)</f>
        <v>108.48</v>
      </c>
      <c r="I433">
        <f>VLOOKUP(A433,NYSEARCAVNQ!A$2:G$506,2,0)</f>
        <v>82.9</v>
      </c>
      <c r="J433">
        <f>VLOOKUP(A433,NYSEARCARWX!A$2:G$506,2,0)</f>
        <v>36.93</v>
      </c>
      <c r="K433">
        <f>VLOOKUP(A433,NYSEARCADBC!A$2:G$506,2,0)</f>
        <v>15.91</v>
      </c>
      <c r="L433">
        <f>VLOOKUP(A433,NYSEARCAGSG!A$2:G$506,2,0)</f>
        <v>15.62</v>
      </c>
      <c r="M433">
        <f>VLOOKUP(A433,NYSEARCAGLD!A$2:G$506,2,0)</f>
        <v>117.07</v>
      </c>
      <c r="N433">
        <f>VLOOKUP(A433,NYSEBP!A$2:G$506,2,0)</f>
        <v>35.81</v>
      </c>
      <c r="O433">
        <f>VLOOKUP(A433,NASDAQYHOO!A$2:G$506,2,0)</f>
        <v>43.62</v>
      </c>
    </row>
    <row r="434" spans="1:15">
      <c r="A434" s="39">
        <v>42773</v>
      </c>
      <c r="B434">
        <v>66.56</v>
      </c>
      <c r="C434">
        <f>VLOOKUP(A434,NYSEARCAVTI!A$2:G$506,2,0)</f>
        <v>118.43</v>
      </c>
      <c r="D434">
        <f>VLOOKUP(A434,NYSEARCAVEU!A$2:G$506,2,0)</f>
        <v>46.04</v>
      </c>
      <c r="E434">
        <f>VLOOKUP(A434,NYSEARCAVWO!A$2:G$506,2,0)</f>
        <v>38.19</v>
      </c>
      <c r="F434">
        <f>VLOOKUP(A434,NYSEARCABND!A$2:G$506,2,0)</f>
        <v>80.959999999999994</v>
      </c>
      <c r="G434">
        <f>VLOOKUP(A434,NYSEARCATIP!A$2:G$506,2,0)</f>
        <v>114.14</v>
      </c>
      <c r="H434">
        <f>VLOOKUP(A434,NYSEARCAMUB!A$2:G$506,2,0)</f>
        <v>108.43</v>
      </c>
      <c r="I434">
        <f>VLOOKUP(A434,NYSEARCAVNQ!A$2:G$506,2,0)</f>
        <v>82.73</v>
      </c>
      <c r="J434">
        <f>VLOOKUP(A434,NYSEARCARWX!A$2:G$506,2,0)</f>
        <v>37.049999999999997</v>
      </c>
      <c r="K434">
        <f>VLOOKUP(A434,NYSEARCADBC!A$2:G$506,2,0)</f>
        <v>15.69</v>
      </c>
      <c r="L434">
        <f>VLOOKUP(A434,NYSEARCAGSG!A$2:G$506,2,0)</f>
        <v>15.35</v>
      </c>
      <c r="M434">
        <f>VLOOKUP(A434,NYSEARCAGLD!A$2:G$506,2,0)</f>
        <v>117.31</v>
      </c>
      <c r="N434">
        <f>VLOOKUP(A434,NYSEBP!A$2:G$506,2,0)</f>
        <v>34.770000000000003</v>
      </c>
      <c r="O434">
        <f>VLOOKUP(A434,NASDAQYHOO!A$2:G$506,2,0)</f>
        <v>44.43</v>
      </c>
    </row>
    <row r="435" spans="1:15">
      <c r="A435" s="39">
        <v>42774</v>
      </c>
      <c r="B435">
        <v>66.89</v>
      </c>
      <c r="C435">
        <f>VLOOKUP(A435,NYSEARCAVTI!A$2:G$506,2,0)</f>
        <v>117.92</v>
      </c>
      <c r="D435">
        <f>VLOOKUP(A435,NYSEARCAVEU!A$2:G$506,2,0)</f>
        <v>46.05</v>
      </c>
      <c r="E435">
        <f>VLOOKUP(A435,NYSEARCAVWO!A$2:G$506,2,0)</f>
        <v>38.15</v>
      </c>
      <c r="F435">
        <f>VLOOKUP(A435,NYSEARCABND!A$2:G$506,2,0)</f>
        <v>81.17</v>
      </c>
      <c r="G435">
        <f>VLOOKUP(A435,NYSEARCATIP!A$2:G$506,2,0)</f>
        <v>114.39</v>
      </c>
      <c r="H435">
        <f>VLOOKUP(A435,NYSEARCAMUB!A$2:G$506,2,0)</f>
        <v>108.73</v>
      </c>
      <c r="I435">
        <f>VLOOKUP(A435,NYSEARCAVNQ!A$2:G$506,2,0)</f>
        <v>82.62</v>
      </c>
      <c r="J435">
        <f>VLOOKUP(A435,NYSEARCARWX!A$2:G$506,2,0)</f>
        <v>37.35</v>
      </c>
      <c r="K435">
        <f>VLOOKUP(A435,NYSEARCADBC!A$2:G$506,2,0)</f>
        <v>15.75</v>
      </c>
      <c r="L435">
        <f>VLOOKUP(A435,NYSEARCAGSG!A$2:G$506,2,0)</f>
        <v>15.33</v>
      </c>
      <c r="M435">
        <f>VLOOKUP(A435,NYSEARCAGLD!A$2:G$506,2,0)</f>
        <v>118.09</v>
      </c>
      <c r="N435">
        <f>VLOOKUP(A435,NYSEBP!A$2:G$506,2,0)</f>
        <v>34.17</v>
      </c>
      <c r="O435">
        <f>VLOOKUP(A435,NASDAQYHOO!A$2:G$506,2,0)</f>
        <v>44.5</v>
      </c>
    </row>
    <row r="436" spans="1:15">
      <c r="A436" s="39">
        <v>42775</v>
      </c>
      <c r="B436">
        <v>67.8</v>
      </c>
      <c r="C436">
        <f>VLOOKUP(A436,NYSEARCAVTI!A$2:G$506,2,0)</f>
        <v>118.42</v>
      </c>
      <c r="D436">
        <f>VLOOKUP(A436,NYSEARCAVEU!A$2:G$506,2,0)</f>
        <v>46.27</v>
      </c>
      <c r="E436">
        <f>VLOOKUP(A436,NYSEARCAVWO!A$2:G$506,2,0)</f>
        <v>38.54</v>
      </c>
      <c r="F436">
        <f>VLOOKUP(A436,NYSEARCABND!A$2:G$506,2,0)</f>
        <v>81.14</v>
      </c>
      <c r="G436">
        <f>VLOOKUP(A436,NYSEARCATIP!A$2:G$506,2,0)</f>
        <v>114.28</v>
      </c>
      <c r="H436">
        <f>VLOOKUP(A436,NYSEARCAMUB!A$2:G$506,2,0)</f>
        <v>108.56</v>
      </c>
      <c r="I436">
        <f>VLOOKUP(A436,NYSEARCAVNQ!A$2:G$506,2,0)</f>
        <v>83</v>
      </c>
      <c r="J436">
        <f>VLOOKUP(A436,NYSEARCARWX!A$2:G$506,2,0)</f>
        <v>37.58</v>
      </c>
      <c r="K436">
        <f>VLOOKUP(A436,NYSEARCADBC!A$2:G$506,2,0)</f>
        <v>15.91</v>
      </c>
      <c r="L436">
        <f>VLOOKUP(A436,NYSEARCAGSG!A$2:G$506,2,0)</f>
        <v>15.53</v>
      </c>
      <c r="M436">
        <f>VLOOKUP(A436,NYSEARCAGLD!A$2:G$506,2,0)</f>
        <v>118.32</v>
      </c>
      <c r="N436">
        <f>VLOOKUP(A436,NYSEBP!A$2:G$506,2,0)</f>
        <v>34.86</v>
      </c>
      <c r="O436">
        <f>VLOOKUP(A436,NASDAQYHOO!A$2:G$506,2,0)</f>
        <v>44.95</v>
      </c>
    </row>
    <row r="437" spans="1:15">
      <c r="A437" s="39">
        <v>42776</v>
      </c>
      <c r="B437">
        <v>68.25</v>
      </c>
      <c r="C437">
        <f>VLOOKUP(A437,NYSEARCAVTI!A$2:G$506,2,0)</f>
        <v>119.29</v>
      </c>
      <c r="D437">
        <f>VLOOKUP(A437,NYSEARCAVEU!A$2:G$506,2,0)</f>
        <v>46.37</v>
      </c>
      <c r="E437">
        <f>VLOOKUP(A437,NYSEARCAVWO!A$2:G$506,2,0)</f>
        <v>38.64</v>
      </c>
      <c r="F437">
        <f>VLOOKUP(A437,NYSEARCABND!A$2:G$506,2,0)</f>
        <v>80.95</v>
      </c>
      <c r="G437">
        <f>VLOOKUP(A437,NYSEARCATIP!A$2:G$506,2,0)</f>
        <v>114.16</v>
      </c>
      <c r="H437">
        <f>VLOOKUP(A437,NYSEARCAMUB!A$2:G$506,2,0)</f>
        <v>108.34</v>
      </c>
      <c r="I437">
        <f>VLOOKUP(A437,NYSEARCAVNQ!A$2:G$506,2,0)</f>
        <v>83.19</v>
      </c>
      <c r="J437">
        <f>VLOOKUP(A437,NYSEARCARWX!A$2:G$506,2,0)</f>
        <v>37.32</v>
      </c>
      <c r="K437">
        <f>VLOOKUP(A437,NYSEARCADBC!A$2:G$506,2,0)</f>
        <v>16.010000000000002</v>
      </c>
      <c r="L437">
        <f>VLOOKUP(A437,NYSEARCAGSG!A$2:G$506,2,0)</f>
        <v>15.67</v>
      </c>
      <c r="M437">
        <f>VLOOKUP(A437,NYSEARCAGLD!A$2:G$506,2,0)</f>
        <v>116.68</v>
      </c>
      <c r="N437">
        <f>VLOOKUP(A437,NYSEBP!A$2:G$506,2,0)</f>
        <v>34.65</v>
      </c>
      <c r="O437">
        <f>VLOOKUP(A437,NASDAQYHOO!A$2:G$506,2,0)</f>
        <v>45.15</v>
      </c>
    </row>
    <row r="438" spans="1:15">
      <c r="A438" s="39">
        <v>42779</v>
      </c>
      <c r="B438">
        <v>68.319999999999993</v>
      </c>
      <c r="C438">
        <f>VLOOKUP(A438,NYSEARCAVTI!A$2:G$506,2,0)</f>
        <v>119.92</v>
      </c>
      <c r="D438">
        <f>VLOOKUP(A438,NYSEARCAVEU!A$2:G$506,2,0)</f>
        <v>46.71</v>
      </c>
      <c r="E438">
        <f>VLOOKUP(A438,NYSEARCAVWO!A$2:G$506,2,0)</f>
        <v>38.96</v>
      </c>
      <c r="F438">
        <f>VLOOKUP(A438,NYSEARCABND!A$2:G$506,2,0)</f>
        <v>80.98</v>
      </c>
      <c r="G438">
        <f>VLOOKUP(A438,NYSEARCATIP!A$2:G$506,2,0)</f>
        <v>114.09</v>
      </c>
      <c r="H438">
        <f>VLOOKUP(A438,NYSEARCAMUB!A$2:G$506,2,0)</f>
        <v>108.4</v>
      </c>
      <c r="I438">
        <f>VLOOKUP(A438,NYSEARCAVNQ!A$2:G$506,2,0)</f>
        <v>83.88</v>
      </c>
      <c r="J438">
        <f>VLOOKUP(A438,NYSEARCARWX!A$2:G$506,2,0)</f>
        <v>37.4</v>
      </c>
      <c r="K438">
        <f>VLOOKUP(A438,NYSEARCADBC!A$2:G$506,2,0)</f>
        <v>15.9</v>
      </c>
      <c r="L438">
        <f>VLOOKUP(A438,NYSEARCAGSG!A$2:G$506,2,0)</f>
        <v>15.53</v>
      </c>
      <c r="M438">
        <f>VLOOKUP(A438,NYSEARCAGLD!A$2:G$506,2,0)</f>
        <v>116.73</v>
      </c>
      <c r="N438">
        <f>VLOOKUP(A438,NYSEBP!A$2:G$506,2,0)</f>
        <v>34.57</v>
      </c>
      <c r="O438">
        <f>VLOOKUP(A438,NASDAQYHOO!A$2:G$506,2,0)</f>
        <v>45.08</v>
      </c>
    </row>
    <row r="439" spans="1:15">
      <c r="A439" s="39">
        <v>42780</v>
      </c>
      <c r="B439">
        <v>67.88</v>
      </c>
      <c r="C439">
        <f>VLOOKUP(A439,NYSEARCAVTI!A$2:G$506,2,0)</f>
        <v>120.1</v>
      </c>
      <c r="D439">
        <f>VLOOKUP(A439,NYSEARCAVEU!A$2:G$506,2,0)</f>
        <v>46.67</v>
      </c>
      <c r="E439">
        <f>VLOOKUP(A439,NYSEARCAVWO!A$2:G$506,2,0)</f>
        <v>39.04</v>
      </c>
      <c r="F439">
        <f>VLOOKUP(A439,NYSEARCABND!A$2:G$506,2,0)</f>
        <v>80.94</v>
      </c>
      <c r="G439">
        <f>VLOOKUP(A439,NYSEARCATIP!A$2:G$506,2,0)</f>
        <v>114.18</v>
      </c>
      <c r="H439">
        <f>VLOOKUP(A439,NYSEARCAMUB!A$2:G$506,2,0)</f>
        <v>108.34</v>
      </c>
      <c r="I439">
        <f>VLOOKUP(A439,NYSEARCAVNQ!A$2:G$506,2,0)</f>
        <v>83.64</v>
      </c>
      <c r="J439">
        <f>VLOOKUP(A439,NYSEARCARWX!A$2:G$506,2,0)</f>
        <v>37.409999999999997</v>
      </c>
      <c r="K439">
        <f>VLOOKUP(A439,NYSEARCADBC!A$2:G$506,2,0)</f>
        <v>15.97</v>
      </c>
      <c r="L439">
        <f>VLOOKUP(A439,NYSEARCAGSG!A$2:G$506,2,0)</f>
        <v>15.59</v>
      </c>
      <c r="M439">
        <f>VLOOKUP(A439,NYSEARCAGLD!A$2:G$506,2,0)</f>
        <v>117.51</v>
      </c>
      <c r="N439">
        <f>VLOOKUP(A439,NYSEBP!A$2:G$506,2,0)</f>
        <v>34.590000000000003</v>
      </c>
      <c r="O439">
        <f>VLOOKUP(A439,NASDAQYHOO!A$2:G$506,2,0)</f>
        <v>45.38</v>
      </c>
    </row>
    <row r="440" spans="1:15">
      <c r="A440" s="39">
        <v>42781</v>
      </c>
      <c r="B440">
        <v>67.8</v>
      </c>
      <c r="C440">
        <f>VLOOKUP(A440,NYSEARCAVTI!A$2:G$506,2,0)</f>
        <v>120.57</v>
      </c>
      <c r="D440">
        <f>VLOOKUP(A440,NYSEARCAVEU!A$2:G$506,2,0)</f>
        <v>46.57</v>
      </c>
      <c r="E440">
        <f>VLOOKUP(A440,NYSEARCAVWO!A$2:G$506,2,0)</f>
        <v>39.130000000000003</v>
      </c>
      <c r="F440">
        <f>VLOOKUP(A440,NYSEARCABND!A$2:G$506,2,0)</f>
        <v>80.61</v>
      </c>
      <c r="G440">
        <f>VLOOKUP(A440,NYSEARCATIP!A$2:G$506,2,0)</f>
        <v>113.74</v>
      </c>
      <c r="H440">
        <f>VLOOKUP(A440,NYSEARCAMUB!A$2:G$506,2,0)</f>
        <v>108.01</v>
      </c>
      <c r="I440">
        <f>VLOOKUP(A440,NYSEARCAVNQ!A$2:G$506,2,0)</f>
        <v>82.88</v>
      </c>
      <c r="J440">
        <f>VLOOKUP(A440,NYSEARCARWX!A$2:G$506,2,0)</f>
        <v>37.200000000000003</v>
      </c>
      <c r="K440">
        <f>VLOOKUP(A440,NYSEARCADBC!A$2:G$506,2,0)</f>
        <v>15.87</v>
      </c>
      <c r="L440">
        <f>VLOOKUP(A440,NYSEARCAGSG!A$2:G$506,2,0)</f>
        <v>15.51</v>
      </c>
      <c r="M440">
        <f>VLOOKUP(A440,NYSEARCAGLD!A$2:G$506,2,0)</f>
        <v>116.33</v>
      </c>
      <c r="N440">
        <f>VLOOKUP(A440,NYSEBP!A$2:G$506,2,0)</f>
        <v>33.799999999999997</v>
      </c>
      <c r="O440">
        <f>VLOOKUP(A440,NASDAQYHOO!A$2:G$506,2,0)</f>
        <v>45.03</v>
      </c>
    </row>
    <row r="441" spans="1:15">
      <c r="A441" s="39">
        <v>42782</v>
      </c>
      <c r="B441">
        <v>68.67</v>
      </c>
      <c r="C441">
        <f>VLOOKUP(A441,NYSEARCAVTI!A$2:G$506,2,0)</f>
        <v>121.25</v>
      </c>
      <c r="D441">
        <f>VLOOKUP(A441,NYSEARCAVEU!A$2:G$506,2,0)</f>
        <v>46.98</v>
      </c>
      <c r="E441">
        <f>VLOOKUP(A441,NYSEARCAVWO!A$2:G$506,2,0)</f>
        <v>39.46</v>
      </c>
      <c r="F441">
        <f>VLOOKUP(A441,NYSEARCABND!A$2:G$506,2,0)</f>
        <v>80.739999999999995</v>
      </c>
      <c r="G441">
        <f>VLOOKUP(A441,NYSEARCATIP!A$2:G$506,2,0)</f>
        <v>114.1</v>
      </c>
      <c r="H441">
        <f>VLOOKUP(A441,NYSEARCAMUB!A$2:G$506,2,0)</f>
        <v>108.11</v>
      </c>
      <c r="I441">
        <f>VLOOKUP(A441,NYSEARCAVNQ!A$2:G$506,2,0)</f>
        <v>83.21</v>
      </c>
      <c r="J441">
        <f>VLOOKUP(A441,NYSEARCARWX!A$2:G$506,2,0)</f>
        <v>37.369999999999997</v>
      </c>
      <c r="K441">
        <f>VLOOKUP(A441,NYSEARCADBC!A$2:G$506,2,0)</f>
        <v>15.91</v>
      </c>
      <c r="L441">
        <f>VLOOKUP(A441,NYSEARCAGSG!A$2:G$506,2,0)</f>
        <v>15.56</v>
      </c>
      <c r="M441">
        <f>VLOOKUP(A441,NYSEARCAGLD!A$2:G$506,2,0)</f>
        <v>117.93</v>
      </c>
      <c r="N441">
        <f>VLOOKUP(A441,NYSEBP!A$2:G$506,2,0)</f>
        <v>33.89</v>
      </c>
      <c r="O441">
        <f>VLOOKUP(A441,NASDAQYHOO!A$2:G$506,2,0)</f>
        <v>45.65</v>
      </c>
    </row>
    <row r="442" spans="1:15">
      <c r="A442" s="39">
        <v>42783</v>
      </c>
      <c r="B442">
        <v>68.83</v>
      </c>
      <c r="C442">
        <f>VLOOKUP(A442,NYSEARCAVTI!A$2:G$506,2,0)</f>
        <v>120.66</v>
      </c>
      <c r="D442">
        <f>VLOOKUP(A442,NYSEARCAVEU!A$2:G$506,2,0)</f>
        <v>46.73</v>
      </c>
      <c r="E442">
        <f>VLOOKUP(A442,NYSEARCAVWO!A$2:G$506,2,0)</f>
        <v>39</v>
      </c>
      <c r="F442">
        <f>VLOOKUP(A442,NYSEARCABND!A$2:G$506,2,0)</f>
        <v>81</v>
      </c>
      <c r="G442">
        <f>VLOOKUP(A442,NYSEARCATIP!A$2:G$506,2,0)</f>
        <v>114.26</v>
      </c>
      <c r="H442">
        <f>VLOOKUP(A442,NYSEARCAMUB!A$2:G$506,2,0)</f>
        <v>108.27</v>
      </c>
      <c r="I442">
        <f>VLOOKUP(A442,NYSEARCAVNQ!A$2:G$506,2,0)</f>
        <v>83.81</v>
      </c>
      <c r="J442">
        <f>VLOOKUP(A442,NYSEARCARWX!A$2:G$506,2,0)</f>
        <v>37.43</v>
      </c>
      <c r="K442">
        <f>VLOOKUP(A442,NYSEARCADBC!A$2:G$506,2,0)</f>
        <v>15.71</v>
      </c>
      <c r="L442">
        <f>VLOOKUP(A442,NYSEARCAGSG!A$2:G$506,2,0)</f>
        <v>15.39</v>
      </c>
      <c r="M442">
        <f>VLOOKUP(A442,NYSEARCAGLD!A$2:G$506,2,0)</f>
        <v>118.19</v>
      </c>
      <c r="N442">
        <f>VLOOKUP(A442,NYSEBP!A$2:G$506,2,0)</f>
        <v>33.53</v>
      </c>
      <c r="O442">
        <f>VLOOKUP(A442,NASDAQYHOO!A$2:G$506,2,0)</f>
        <v>44.95</v>
      </c>
    </row>
    <row r="443" spans="1:15">
      <c r="A443" s="39">
        <v>42787</v>
      </c>
      <c r="B443">
        <v>71.209999999999994</v>
      </c>
      <c r="C443">
        <f>VLOOKUP(A443,NYSEARCAVTI!A$2:G$506,2,0)</f>
        <v>121.55</v>
      </c>
      <c r="D443">
        <f>VLOOKUP(A443,NYSEARCAVEU!A$2:G$506,2,0)</f>
        <v>46.9</v>
      </c>
      <c r="E443">
        <f>VLOOKUP(A443,NYSEARCAVWO!A$2:G$506,2,0)</f>
        <v>39.380000000000003</v>
      </c>
      <c r="F443">
        <f>VLOOKUP(A443,NYSEARCABND!A$2:G$506,2,0)</f>
        <v>80.94</v>
      </c>
      <c r="G443">
        <f>VLOOKUP(A443,NYSEARCATIP!A$2:G$506,2,0)</f>
        <v>114.15</v>
      </c>
      <c r="H443">
        <f>VLOOKUP(A443,NYSEARCAMUB!A$2:G$506,2,0)</f>
        <v>108.2</v>
      </c>
      <c r="I443">
        <f>VLOOKUP(A443,NYSEARCAVNQ!A$2:G$506,2,0)</f>
        <v>83.68</v>
      </c>
      <c r="J443">
        <f>VLOOKUP(A443,NYSEARCARWX!A$2:G$506,2,0)</f>
        <v>37.299999999999997</v>
      </c>
      <c r="K443">
        <f>VLOOKUP(A443,NYSEARCADBC!A$2:G$506,2,0)</f>
        <v>15.85</v>
      </c>
      <c r="L443">
        <f>VLOOKUP(A443,NYSEARCAGSG!A$2:G$506,2,0)</f>
        <v>15.67</v>
      </c>
      <c r="M443">
        <f>VLOOKUP(A443,NYSEARCAGLD!A$2:G$506,2,0)</f>
        <v>117.04</v>
      </c>
      <c r="N443">
        <f>VLOOKUP(A443,NYSEBP!A$2:G$506,2,0)</f>
        <v>34.04</v>
      </c>
      <c r="O443">
        <f>VLOOKUP(A443,NASDAQYHOO!A$2:G$506,2,0)</f>
        <v>45.22</v>
      </c>
    </row>
    <row r="444" spans="1:15">
      <c r="A444" s="39">
        <v>42788</v>
      </c>
      <c r="B444">
        <v>72.25</v>
      </c>
      <c r="C444">
        <f>VLOOKUP(A444,NYSEARCAVTI!A$2:G$506,2,0)</f>
        <v>121.82</v>
      </c>
      <c r="D444">
        <f>VLOOKUP(A444,NYSEARCAVEU!A$2:G$506,2,0)</f>
        <v>46.92</v>
      </c>
      <c r="E444">
        <f>VLOOKUP(A444,NYSEARCAVWO!A$2:G$506,2,0)</f>
        <v>39.479999999999997</v>
      </c>
      <c r="F444">
        <f>VLOOKUP(A444,NYSEARCABND!A$2:G$506,2,0)</f>
        <v>81.17</v>
      </c>
      <c r="G444">
        <f>VLOOKUP(A444,NYSEARCATIP!A$2:G$506,2,0)</f>
        <v>114.35</v>
      </c>
      <c r="H444">
        <f>VLOOKUP(A444,NYSEARCAMUB!A$2:G$506,2,0)</f>
        <v>108.45</v>
      </c>
      <c r="I444">
        <f>VLOOKUP(A444,NYSEARCAVNQ!A$2:G$506,2,0)</f>
        <v>84.96</v>
      </c>
      <c r="J444">
        <f>VLOOKUP(A444,NYSEARCARWX!A$2:G$506,2,0)</f>
        <v>37.24</v>
      </c>
      <c r="K444">
        <f>VLOOKUP(A444,NYSEARCADBC!A$2:G$506,2,0)</f>
        <v>15.69</v>
      </c>
      <c r="L444">
        <f>VLOOKUP(A444,NYSEARCAGSG!A$2:G$506,2,0)</f>
        <v>15.4</v>
      </c>
      <c r="M444">
        <f>VLOOKUP(A444,NYSEARCAGLD!A$2:G$506,2,0)</f>
        <v>117.86</v>
      </c>
      <c r="N444">
        <f>VLOOKUP(A444,NYSEBP!A$2:G$506,2,0)</f>
        <v>33.53</v>
      </c>
      <c r="O444">
        <f>VLOOKUP(A444,NASDAQYHOO!A$2:G$506,2,0)</f>
        <v>45.47</v>
      </c>
    </row>
    <row r="445" spans="1:15">
      <c r="A445" s="39">
        <v>42789</v>
      </c>
      <c r="B445">
        <v>72</v>
      </c>
      <c r="C445">
        <f>VLOOKUP(A445,NYSEARCAVTI!A$2:G$506,2,0)</f>
        <v>122.21</v>
      </c>
      <c r="D445">
        <f>VLOOKUP(A445,NYSEARCAVEU!A$2:G$506,2,0)</f>
        <v>47.25</v>
      </c>
      <c r="E445">
        <f>VLOOKUP(A445,NYSEARCAVWO!A$2:G$506,2,0)</f>
        <v>39.75</v>
      </c>
      <c r="F445">
        <f>VLOOKUP(A445,NYSEARCABND!A$2:G$506,2,0)</f>
        <v>81.17</v>
      </c>
      <c r="G445">
        <f>VLOOKUP(A445,NYSEARCATIP!A$2:G$506,2,0)</f>
        <v>114.62</v>
      </c>
      <c r="H445">
        <f>VLOOKUP(A445,NYSEARCAMUB!A$2:G$506,2,0)</f>
        <v>108.59</v>
      </c>
      <c r="I445">
        <f>VLOOKUP(A445,NYSEARCAVNQ!A$2:G$506,2,0)</f>
        <v>84.79</v>
      </c>
      <c r="J445">
        <f>VLOOKUP(A445,NYSEARCARWX!A$2:G$506,2,0)</f>
        <v>37.6</v>
      </c>
      <c r="K445">
        <f>VLOOKUP(A445,NYSEARCADBC!A$2:G$506,2,0)</f>
        <v>15.83</v>
      </c>
      <c r="L445">
        <f>VLOOKUP(A445,NYSEARCAGSG!A$2:G$506,2,0)</f>
        <v>15.59</v>
      </c>
      <c r="M445">
        <f>VLOOKUP(A445,NYSEARCAGLD!A$2:G$506,2,0)</f>
        <v>118.76</v>
      </c>
      <c r="N445">
        <f>VLOOKUP(A445,NYSEBP!A$2:G$506,2,0)</f>
        <v>33.93</v>
      </c>
      <c r="O445">
        <f>VLOOKUP(A445,NASDAQYHOO!A$2:G$506,2,0)</f>
        <v>46.04</v>
      </c>
    </row>
    <row r="446" spans="1:15">
      <c r="A446" s="39">
        <v>42790</v>
      </c>
      <c r="B446">
        <v>71.34</v>
      </c>
      <c r="C446">
        <f>VLOOKUP(A446,NYSEARCAVTI!A$2:G$506,2,0)</f>
        <v>121.38</v>
      </c>
      <c r="D446">
        <f>VLOOKUP(A446,NYSEARCAVEU!A$2:G$506,2,0)</f>
        <v>46.7</v>
      </c>
      <c r="E446">
        <f>VLOOKUP(A446,NYSEARCAVWO!A$2:G$506,2,0)</f>
        <v>39.19</v>
      </c>
      <c r="F446">
        <f>VLOOKUP(A446,NYSEARCABND!A$2:G$506,2,0)</f>
        <v>81.36</v>
      </c>
      <c r="G446">
        <f>VLOOKUP(A446,NYSEARCATIP!A$2:G$506,2,0)</f>
        <v>114.83</v>
      </c>
      <c r="H446">
        <f>VLOOKUP(A446,NYSEARCAMUB!A$2:G$506,2,0)</f>
        <v>108.7</v>
      </c>
      <c r="I446">
        <f>VLOOKUP(A446,NYSEARCAVNQ!A$2:G$506,2,0)</f>
        <v>84.98</v>
      </c>
      <c r="J446">
        <f>VLOOKUP(A446,NYSEARCARWX!A$2:G$506,2,0)</f>
        <v>37.409999999999997</v>
      </c>
      <c r="K446">
        <f>VLOOKUP(A446,NYSEARCADBC!A$2:G$506,2,0)</f>
        <v>15.74</v>
      </c>
      <c r="L446">
        <f>VLOOKUP(A446,NYSEARCAGSG!A$2:G$506,2,0)</f>
        <v>15.4</v>
      </c>
      <c r="M446">
        <f>VLOOKUP(A446,NYSEARCAGLD!A$2:G$506,2,0)</f>
        <v>119.74</v>
      </c>
      <c r="N446">
        <f>VLOOKUP(A446,NYSEBP!A$2:G$506,2,0)</f>
        <v>33.58</v>
      </c>
      <c r="O446">
        <f>VLOOKUP(A446,NASDAQYHOO!A$2:G$506,2,0)</f>
        <v>45.14</v>
      </c>
    </row>
    <row r="447" spans="1:15">
      <c r="A447" s="39">
        <v>42793</v>
      </c>
      <c r="B447">
        <v>72.28</v>
      </c>
      <c r="C447">
        <f>VLOOKUP(A447,NYSEARCAVTI!A$2:G$506,2,0)</f>
        <v>121.92</v>
      </c>
      <c r="D447">
        <f>VLOOKUP(A447,NYSEARCAVEU!A$2:G$506,2,0)</f>
        <v>46.6</v>
      </c>
      <c r="E447">
        <f>VLOOKUP(A447,NYSEARCAVWO!A$2:G$506,2,0)</f>
        <v>39.07</v>
      </c>
      <c r="F447">
        <f>VLOOKUP(A447,NYSEARCABND!A$2:G$506,2,0)</f>
        <v>81.459999999999994</v>
      </c>
      <c r="G447">
        <f>VLOOKUP(A447,NYSEARCATIP!A$2:G$506,2,0)</f>
        <v>114.94</v>
      </c>
      <c r="H447">
        <f>VLOOKUP(A447,NYSEARCAMUB!A$2:G$506,2,0)</f>
        <v>108.81</v>
      </c>
      <c r="I447">
        <f>VLOOKUP(A447,NYSEARCAVNQ!A$2:G$506,2,0)</f>
        <v>85.39</v>
      </c>
      <c r="J447">
        <f>VLOOKUP(A447,NYSEARCARWX!A$2:G$506,2,0)</f>
        <v>37.4</v>
      </c>
      <c r="K447">
        <f>VLOOKUP(A447,NYSEARCADBC!A$2:G$506,2,0)</f>
        <v>15.72</v>
      </c>
      <c r="L447">
        <f>VLOOKUP(A447,NYSEARCAGSG!A$2:G$506,2,0)</f>
        <v>15.54</v>
      </c>
      <c r="M447">
        <f>VLOOKUP(A447,NYSEARCAGLD!A$2:G$506,2,0)</f>
        <v>119.73</v>
      </c>
      <c r="N447">
        <f>VLOOKUP(A447,NYSEBP!A$2:G$506,2,0)</f>
        <v>33.69</v>
      </c>
      <c r="O447">
        <f>VLOOKUP(A447,NASDAQYHOO!A$2:G$506,2,0)</f>
        <v>45.45</v>
      </c>
    </row>
    <row r="448" spans="1:15">
      <c r="A448" s="39">
        <v>42794</v>
      </c>
      <c r="B448">
        <v>70.87</v>
      </c>
      <c r="C448">
        <f>VLOOKUP(A448,NYSEARCAVTI!A$2:G$506,2,0)</f>
        <v>122.18</v>
      </c>
      <c r="D448">
        <f>VLOOKUP(A448,NYSEARCAVEU!A$2:G$506,2,0)</f>
        <v>46.68</v>
      </c>
      <c r="E448">
        <f>VLOOKUP(A448,NYSEARCAVWO!A$2:G$506,2,0)</f>
        <v>38.99</v>
      </c>
      <c r="F448">
        <f>VLOOKUP(A448,NYSEARCABND!A$2:G$506,2,0)</f>
        <v>81.33</v>
      </c>
      <c r="G448">
        <f>VLOOKUP(A448,NYSEARCATIP!A$2:G$506,2,0)</f>
        <v>114.63</v>
      </c>
      <c r="H448">
        <f>VLOOKUP(A448,NYSEARCAMUB!A$2:G$506,2,0)</f>
        <v>108.79</v>
      </c>
      <c r="I448">
        <f>VLOOKUP(A448,NYSEARCAVNQ!A$2:G$506,2,0)</f>
        <v>85.85</v>
      </c>
      <c r="J448">
        <f>VLOOKUP(A448,NYSEARCARWX!A$2:G$506,2,0)</f>
        <v>37.35</v>
      </c>
      <c r="K448">
        <f>VLOOKUP(A448,NYSEARCADBC!A$2:G$506,2,0)</f>
        <v>15.63</v>
      </c>
      <c r="L448">
        <f>VLOOKUP(A448,NYSEARCAGSG!A$2:G$506,2,0)</f>
        <v>15.32</v>
      </c>
      <c r="M448">
        <f>VLOOKUP(A448,NYSEARCAGLD!A$2:G$506,2,0)</f>
        <v>119.7</v>
      </c>
      <c r="N448">
        <f>VLOOKUP(A448,NYSEBP!A$2:G$506,2,0)</f>
        <v>33.909999999999997</v>
      </c>
      <c r="O448">
        <f>VLOOKUP(A448,NASDAQYHOO!A$2:G$506,2,0)</f>
        <v>45.57</v>
      </c>
    </row>
    <row r="449" spans="1:15">
      <c r="A449" s="39">
        <v>42795</v>
      </c>
      <c r="B449">
        <v>70.97</v>
      </c>
      <c r="C449">
        <f>VLOOKUP(A449,NYSEARCAVTI!A$2:G$506,2,0)</f>
        <v>122.81</v>
      </c>
      <c r="D449">
        <f>VLOOKUP(A449,NYSEARCAVEU!A$2:G$506,2,0)</f>
        <v>46.9</v>
      </c>
      <c r="E449">
        <f>VLOOKUP(A449,NYSEARCAVWO!A$2:G$506,2,0)</f>
        <v>39.03</v>
      </c>
      <c r="F449">
        <f>VLOOKUP(A449,NYSEARCABND!A$2:G$506,2,0)</f>
        <v>80.78</v>
      </c>
      <c r="G449">
        <f>VLOOKUP(A449,NYSEARCATIP!A$2:G$506,2,0)</f>
        <v>113.9</v>
      </c>
      <c r="H449">
        <f>VLOOKUP(A449,NYSEARCAMUB!A$2:G$506,2,0)</f>
        <v>108.36</v>
      </c>
      <c r="I449">
        <f>VLOOKUP(A449,NYSEARCAVNQ!A$2:G$506,2,0)</f>
        <v>85</v>
      </c>
      <c r="J449">
        <f>VLOOKUP(A449,NYSEARCARWX!A$2:G$506,2,0)</f>
        <v>37.32</v>
      </c>
      <c r="K449">
        <f>VLOOKUP(A449,NYSEARCADBC!A$2:G$506,2,0)</f>
        <v>15.81</v>
      </c>
      <c r="L449">
        <f>VLOOKUP(A449,NYSEARCAGSG!A$2:G$506,2,0)</f>
        <v>15.51</v>
      </c>
      <c r="M449">
        <f>VLOOKUP(A449,NYSEARCAGLD!A$2:G$506,2,0)</f>
        <v>117.98</v>
      </c>
      <c r="N449">
        <f>VLOOKUP(A449,NYSEBP!A$2:G$506,2,0)</f>
        <v>34.35</v>
      </c>
      <c r="O449">
        <f>VLOOKUP(A449,NASDAQYHOO!A$2:G$506,2,0)</f>
        <v>45.89</v>
      </c>
    </row>
    <row r="450" spans="1:15">
      <c r="A450" s="39">
        <v>42796</v>
      </c>
      <c r="B450">
        <v>70.42</v>
      </c>
      <c r="C450">
        <f>VLOOKUP(A450,NYSEARCAVTI!A$2:G$506,2,0)</f>
        <v>123.42</v>
      </c>
      <c r="D450">
        <f>VLOOKUP(A450,NYSEARCAVEU!A$2:G$506,2,0)</f>
        <v>46.87</v>
      </c>
      <c r="E450">
        <f>VLOOKUP(A450,NYSEARCAVWO!A$2:G$506,2,0)</f>
        <v>38.86</v>
      </c>
      <c r="F450">
        <f>VLOOKUP(A450,NYSEARCABND!A$2:G$506,2,0)</f>
        <v>80.709999999999994</v>
      </c>
      <c r="G450">
        <f>VLOOKUP(A450,NYSEARCATIP!A$2:G$506,2,0)</f>
        <v>113.75</v>
      </c>
      <c r="H450">
        <f>VLOOKUP(A450,NYSEARCAMUB!A$2:G$506,2,0)</f>
        <v>108.2</v>
      </c>
      <c r="I450">
        <f>VLOOKUP(A450,NYSEARCAVNQ!A$2:G$506,2,0)</f>
        <v>84.88</v>
      </c>
      <c r="J450">
        <f>VLOOKUP(A450,NYSEARCARWX!A$2:G$506,2,0)</f>
        <v>37.020000000000003</v>
      </c>
      <c r="K450">
        <f>VLOOKUP(A450,NYSEARCADBC!A$2:G$506,2,0)</f>
        <v>15.62</v>
      </c>
      <c r="L450">
        <f>VLOOKUP(A450,NYSEARCAGSG!A$2:G$506,2,0)</f>
        <v>15.28</v>
      </c>
      <c r="M450">
        <f>VLOOKUP(A450,NYSEARCAGLD!A$2:G$506,2,0)</f>
        <v>117.76</v>
      </c>
      <c r="N450">
        <f>VLOOKUP(A450,NYSEBP!A$2:G$506,2,0)</f>
        <v>34.19</v>
      </c>
      <c r="O450">
        <f>VLOOKUP(A450,NASDAQYHOO!A$2:G$506,2,0)</f>
        <v>46.02</v>
      </c>
    </row>
    <row r="451" spans="1:15">
      <c r="A451" s="39">
        <v>42797</v>
      </c>
      <c r="B451">
        <v>70.81</v>
      </c>
      <c r="C451">
        <f>VLOOKUP(A451,NYSEARCAVTI!A$2:G$506,2,0)</f>
        <v>122.63</v>
      </c>
      <c r="D451">
        <f>VLOOKUP(A451,NYSEARCAVEU!A$2:G$506,2,0)</f>
        <v>46.75</v>
      </c>
      <c r="E451">
        <f>VLOOKUP(A451,NYSEARCAVWO!A$2:G$506,2,0)</f>
        <v>38.81</v>
      </c>
      <c r="F451">
        <f>VLOOKUP(A451,NYSEARCABND!A$2:G$506,2,0)</f>
        <v>80.64</v>
      </c>
      <c r="G451">
        <f>VLOOKUP(A451,NYSEARCATIP!A$2:G$506,2,0)</f>
        <v>113.73</v>
      </c>
      <c r="H451">
        <f>VLOOKUP(A451,NYSEARCAMUB!A$2:G$506,2,0)</f>
        <v>108.23</v>
      </c>
      <c r="I451">
        <f>VLOOKUP(A451,NYSEARCAVNQ!A$2:G$506,2,0)</f>
        <v>84.47</v>
      </c>
      <c r="J451">
        <f>VLOOKUP(A451,NYSEARCARWX!A$2:G$506,2,0)</f>
        <v>36.96</v>
      </c>
      <c r="K451">
        <f>VLOOKUP(A451,NYSEARCADBC!A$2:G$506,2,0)</f>
        <v>15.56</v>
      </c>
      <c r="L451">
        <f>VLOOKUP(A451,NYSEARCAGSG!A$2:G$506,2,0)</f>
        <v>15.21</v>
      </c>
      <c r="M451">
        <f>VLOOKUP(A451,NYSEARCAGLD!A$2:G$506,2,0)</f>
        <v>116.95</v>
      </c>
      <c r="N451">
        <f>VLOOKUP(A451,NYSEBP!A$2:G$506,2,0)</f>
        <v>34.130000000000003</v>
      </c>
      <c r="O451">
        <f>VLOOKUP(A451,NASDAQYHOO!A$2:G$506,2,0)</f>
        <v>45.88</v>
      </c>
    </row>
    <row r="452" spans="1:15">
      <c r="A452" s="39">
        <v>42800</v>
      </c>
      <c r="B452">
        <v>70</v>
      </c>
      <c r="C452">
        <f>VLOOKUP(A452,NYSEARCAVTI!A$2:G$506,2,0)</f>
        <v>122.48</v>
      </c>
      <c r="D452">
        <f>VLOOKUP(A452,NYSEARCAVEU!A$2:G$506,2,0)</f>
        <v>46.85</v>
      </c>
      <c r="E452">
        <f>VLOOKUP(A452,NYSEARCAVWO!A$2:G$506,2,0)</f>
        <v>39.03</v>
      </c>
      <c r="F452">
        <f>VLOOKUP(A452,NYSEARCABND!A$2:G$506,2,0)</f>
        <v>80.72</v>
      </c>
      <c r="G452">
        <f>VLOOKUP(A452,NYSEARCATIP!A$2:G$506,2,0)</f>
        <v>113.94</v>
      </c>
      <c r="H452">
        <f>VLOOKUP(A452,NYSEARCAMUB!A$2:G$506,2,0)</f>
        <v>108.02</v>
      </c>
      <c r="I452">
        <f>VLOOKUP(A452,NYSEARCAVNQ!A$2:G$506,2,0)</f>
        <v>84.06</v>
      </c>
      <c r="J452">
        <f>VLOOKUP(A452,NYSEARCARWX!A$2:G$506,2,0)</f>
        <v>37.1</v>
      </c>
      <c r="K452">
        <f>VLOOKUP(A452,NYSEARCADBC!A$2:G$506,2,0)</f>
        <v>15.69</v>
      </c>
      <c r="L452">
        <f>VLOOKUP(A452,NYSEARCAGSG!A$2:G$506,2,0)</f>
        <v>15.35</v>
      </c>
      <c r="M452">
        <f>VLOOKUP(A452,NYSEARCAGLD!A$2:G$506,2,0)</f>
        <v>117.35</v>
      </c>
      <c r="N452">
        <f>VLOOKUP(A452,NYSEBP!A$2:G$506,2,0)</f>
        <v>33.93</v>
      </c>
      <c r="O452">
        <f>VLOOKUP(A452,NASDAQYHOO!A$2:G$506,2,0)</f>
        <v>45.61</v>
      </c>
    </row>
    <row r="453" spans="1:15">
      <c r="A453" s="39">
        <v>42801</v>
      </c>
      <c r="B453">
        <v>69.900000000000006</v>
      </c>
      <c r="C453">
        <f>VLOOKUP(A453,NYSEARCAVTI!A$2:G$506,2,0)</f>
        <v>122.21</v>
      </c>
      <c r="D453">
        <f>VLOOKUP(A453,NYSEARCAVEU!A$2:G$506,2,0)</f>
        <v>46.76</v>
      </c>
      <c r="E453">
        <f>VLOOKUP(A453,NYSEARCAVWO!A$2:G$506,2,0)</f>
        <v>39.11</v>
      </c>
      <c r="F453">
        <f>VLOOKUP(A453,NYSEARCABND!A$2:G$506,2,0)</f>
        <v>80.599999999999994</v>
      </c>
      <c r="G453">
        <f>VLOOKUP(A453,NYSEARCATIP!A$2:G$506,2,0)</f>
        <v>113.7</v>
      </c>
      <c r="H453">
        <f>VLOOKUP(A453,NYSEARCAMUB!A$2:G$506,2,0)</f>
        <v>108.03</v>
      </c>
      <c r="I453">
        <f>VLOOKUP(A453,NYSEARCAVNQ!A$2:G$506,2,0)</f>
        <v>83.65</v>
      </c>
      <c r="J453">
        <f>VLOOKUP(A453,NYSEARCARWX!A$2:G$506,2,0)</f>
        <v>36.880000000000003</v>
      </c>
      <c r="K453">
        <f>VLOOKUP(A453,NYSEARCADBC!A$2:G$506,2,0)</f>
        <v>15.64</v>
      </c>
      <c r="L453">
        <f>VLOOKUP(A453,NYSEARCAGSG!A$2:G$506,2,0)</f>
        <v>15.37</v>
      </c>
      <c r="M453">
        <f>VLOOKUP(A453,NYSEARCAGLD!A$2:G$506,2,0)</f>
        <v>116.13</v>
      </c>
      <c r="N453">
        <f>VLOOKUP(A453,NYSEBP!A$2:G$506,2,0)</f>
        <v>34.049999999999997</v>
      </c>
      <c r="O453">
        <f>VLOOKUP(A453,NASDAQYHOO!A$2:G$506,2,0)</f>
        <v>45.5</v>
      </c>
    </row>
    <row r="454" spans="1:15">
      <c r="A454" s="39">
        <v>42802</v>
      </c>
      <c r="B454">
        <v>69.69</v>
      </c>
      <c r="C454">
        <f>VLOOKUP(A454,NYSEARCAVTI!A$2:G$506,2,0)</f>
        <v>121.99</v>
      </c>
      <c r="D454">
        <f>VLOOKUP(A454,NYSEARCAVEU!A$2:G$506,2,0)</f>
        <v>46.72</v>
      </c>
      <c r="E454">
        <f>VLOOKUP(A454,NYSEARCAVWO!A$2:G$506,2,0)</f>
        <v>38.909999999999997</v>
      </c>
      <c r="F454">
        <f>VLOOKUP(A454,NYSEARCABND!A$2:G$506,2,0)</f>
        <v>80.239999999999995</v>
      </c>
      <c r="G454">
        <f>VLOOKUP(A454,NYSEARCATIP!A$2:G$506,2,0)</f>
        <v>113.18</v>
      </c>
      <c r="H454">
        <f>VLOOKUP(A454,NYSEARCAMUB!A$2:G$506,2,0)</f>
        <v>107.83</v>
      </c>
      <c r="I454">
        <f>VLOOKUP(A454,NYSEARCAVNQ!A$2:G$506,2,0)</f>
        <v>82.94</v>
      </c>
      <c r="J454">
        <f>VLOOKUP(A454,NYSEARCARWX!A$2:G$506,2,0)</f>
        <v>36.75</v>
      </c>
      <c r="K454">
        <f>VLOOKUP(A454,NYSEARCADBC!A$2:G$506,2,0)</f>
        <v>15.48</v>
      </c>
      <c r="L454">
        <f>VLOOKUP(A454,NYSEARCAGSG!A$2:G$506,2,0)</f>
        <v>15.12</v>
      </c>
      <c r="M454">
        <f>VLOOKUP(A454,NYSEARCAGLD!A$2:G$506,2,0)</f>
        <v>114.99</v>
      </c>
      <c r="N454">
        <f>VLOOKUP(A454,NYSEBP!A$2:G$506,2,0)</f>
        <v>33.75</v>
      </c>
      <c r="O454">
        <f>VLOOKUP(A454,NASDAQYHOO!A$2:G$506,2,0)</f>
        <v>45.85</v>
      </c>
    </row>
    <row r="455" spans="1:15">
      <c r="A455" s="39">
        <v>42803</v>
      </c>
      <c r="B455">
        <v>69.75</v>
      </c>
      <c r="C455">
        <f>VLOOKUP(A455,NYSEARCAVTI!A$2:G$506,2,0)</f>
        <v>121.6</v>
      </c>
      <c r="D455">
        <f>VLOOKUP(A455,NYSEARCAVEU!A$2:G$506,2,0)</f>
        <v>46.55</v>
      </c>
      <c r="E455">
        <f>VLOOKUP(A455,NYSEARCAVWO!A$2:G$506,2,0)</f>
        <v>38.43</v>
      </c>
      <c r="F455">
        <f>VLOOKUP(A455,NYSEARCABND!A$2:G$506,2,0)</f>
        <v>80.16</v>
      </c>
      <c r="G455">
        <f>VLOOKUP(A455,NYSEARCATIP!A$2:G$506,2,0)</f>
        <v>112.95</v>
      </c>
      <c r="H455">
        <f>VLOOKUP(A455,NYSEARCAMUB!A$2:G$506,2,0)</f>
        <v>107.74</v>
      </c>
      <c r="I455">
        <f>VLOOKUP(A455,NYSEARCAVNQ!A$2:G$506,2,0)</f>
        <v>81.73</v>
      </c>
      <c r="J455">
        <f>VLOOKUP(A455,NYSEARCARWX!A$2:G$506,2,0)</f>
        <v>36.57</v>
      </c>
      <c r="K455">
        <f>VLOOKUP(A455,NYSEARCADBC!A$2:G$506,2,0)</f>
        <v>15.13</v>
      </c>
      <c r="L455">
        <f>VLOOKUP(A455,NYSEARCAGSG!A$2:G$506,2,0)</f>
        <v>14.74</v>
      </c>
      <c r="M455">
        <f>VLOOKUP(A455,NYSEARCAGLD!A$2:G$506,2,0)</f>
        <v>114.78</v>
      </c>
      <c r="N455">
        <f>VLOOKUP(A455,NYSEBP!A$2:G$506,2,0)</f>
        <v>33.22</v>
      </c>
      <c r="O455">
        <f>VLOOKUP(A455,NASDAQYHOO!A$2:G$506,2,0)</f>
        <v>45.87</v>
      </c>
    </row>
    <row r="456" spans="1:15">
      <c r="A456" s="39">
        <v>42804</v>
      </c>
      <c r="B456">
        <v>70</v>
      </c>
      <c r="C456">
        <f>VLOOKUP(A456,NYSEARCAVTI!A$2:G$506,2,0)</f>
        <v>122.19</v>
      </c>
      <c r="D456">
        <f>VLOOKUP(A456,NYSEARCAVEU!A$2:G$506,2,0)</f>
        <v>46.88</v>
      </c>
      <c r="E456">
        <f>VLOOKUP(A456,NYSEARCAVWO!A$2:G$506,2,0)</f>
        <v>38.57</v>
      </c>
      <c r="F456">
        <f>VLOOKUP(A456,NYSEARCABND!A$2:G$506,2,0)</f>
        <v>80.14</v>
      </c>
      <c r="G456">
        <f>VLOOKUP(A456,NYSEARCATIP!A$2:G$506,2,0)</f>
        <v>113.07</v>
      </c>
      <c r="H456">
        <f>VLOOKUP(A456,NYSEARCAMUB!A$2:G$506,2,0)</f>
        <v>107.73</v>
      </c>
      <c r="I456">
        <f>VLOOKUP(A456,NYSEARCAVNQ!A$2:G$506,2,0)</f>
        <v>81.3</v>
      </c>
      <c r="J456">
        <f>VLOOKUP(A456,NYSEARCARWX!A$2:G$506,2,0)</f>
        <v>36.53</v>
      </c>
      <c r="K456">
        <f>VLOOKUP(A456,NYSEARCADBC!A$2:G$506,2,0)</f>
        <v>15.05</v>
      </c>
      <c r="L456">
        <f>VLOOKUP(A456,NYSEARCAGSG!A$2:G$506,2,0)</f>
        <v>14.66</v>
      </c>
      <c r="M456">
        <f>VLOOKUP(A456,NYSEARCAGLD!A$2:G$506,2,0)</f>
        <v>114.45</v>
      </c>
      <c r="N456">
        <f>VLOOKUP(A456,NYSEBP!A$2:G$506,2,0)</f>
        <v>34.44</v>
      </c>
      <c r="O456">
        <f>VLOOKUP(A456,NASDAQYHOO!A$2:G$506,2,0)</f>
        <v>46.2</v>
      </c>
    </row>
    <row r="457" spans="1:15">
      <c r="A457" s="39">
        <v>42807</v>
      </c>
      <c r="B457">
        <v>69.989999999999995</v>
      </c>
      <c r="C457">
        <f>VLOOKUP(A457,NYSEARCAVTI!A$2:G$506,2,0)</f>
        <v>122.06</v>
      </c>
      <c r="D457">
        <f>VLOOKUP(A457,NYSEARCAVEU!A$2:G$506,2,0)</f>
        <v>47.1</v>
      </c>
      <c r="E457">
        <f>VLOOKUP(A457,NYSEARCAVWO!A$2:G$506,2,0)</f>
        <v>39.03</v>
      </c>
      <c r="F457">
        <f>VLOOKUP(A457,NYSEARCABND!A$2:G$506,2,0)</f>
        <v>80.12</v>
      </c>
      <c r="G457">
        <f>VLOOKUP(A457,NYSEARCATIP!A$2:G$506,2,0)</f>
        <v>112.83</v>
      </c>
      <c r="H457">
        <f>VLOOKUP(A457,NYSEARCAMUB!A$2:G$506,2,0)</f>
        <v>107.79</v>
      </c>
      <c r="I457">
        <f>VLOOKUP(A457,NYSEARCAVNQ!A$2:G$506,2,0)</f>
        <v>80.5</v>
      </c>
      <c r="J457">
        <f>VLOOKUP(A457,NYSEARCARWX!A$2:G$506,2,0)</f>
        <v>36.6</v>
      </c>
      <c r="K457">
        <f>VLOOKUP(A457,NYSEARCADBC!A$2:G$506,2,0)</f>
        <v>14.92</v>
      </c>
      <c r="L457">
        <f>VLOOKUP(A457,NYSEARCAGSG!A$2:G$506,2,0)</f>
        <v>14.51</v>
      </c>
      <c r="M457">
        <f>VLOOKUP(A457,NYSEARCAGLD!A$2:G$506,2,0)</f>
        <v>114.63</v>
      </c>
      <c r="N457">
        <f>VLOOKUP(A457,NYSEBP!A$2:G$506,2,0)</f>
        <v>34.11</v>
      </c>
      <c r="O457">
        <f>VLOOKUP(A457,NASDAQYHOO!A$2:G$506,2,0)</f>
        <v>46.1</v>
      </c>
    </row>
    <row r="458" spans="1:15">
      <c r="A458" s="39">
        <v>42808</v>
      </c>
      <c r="B458">
        <v>70.819999999999993</v>
      </c>
      <c r="C458">
        <f>VLOOKUP(A458,NYSEARCAVTI!A$2:G$506,2,0)</f>
        <v>121.87</v>
      </c>
      <c r="D458">
        <f>VLOOKUP(A458,NYSEARCAVEU!A$2:G$506,2,0)</f>
        <v>46.93</v>
      </c>
      <c r="E458">
        <f>VLOOKUP(A458,NYSEARCAVWO!A$2:G$506,2,0)</f>
        <v>39.049999999999997</v>
      </c>
      <c r="F458">
        <f>VLOOKUP(A458,NYSEARCABND!A$2:G$506,2,0)</f>
        <v>80.03</v>
      </c>
      <c r="G458">
        <f>VLOOKUP(A458,NYSEARCATIP!A$2:G$506,2,0)</f>
        <v>112.66</v>
      </c>
      <c r="H458">
        <f>VLOOKUP(A458,NYSEARCAMUB!A$2:G$506,2,0)</f>
        <v>107.74</v>
      </c>
      <c r="I458">
        <f>VLOOKUP(A458,NYSEARCAVNQ!A$2:G$506,2,0)</f>
        <v>80.53</v>
      </c>
      <c r="J458">
        <f>VLOOKUP(A458,NYSEARCARWX!A$2:G$506,2,0)</f>
        <v>36.340000000000003</v>
      </c>
      <c r="K458">
        <f>VLOOKUP(A458,NYSEARCADBC!A$2:G$506,2,0)</f>
        <v>14.78</v>
      </c>
      <c r="L458">
        <f>VLOOKUP(A458,NYSEARCAGSG!A$2:G$506,2,0)</f>
        <v>14.36</v>
      </c>
      <c r="M458">
        <f>VLOOKUP(A458,NYSEARCAGLD!A$2:G$506,2,0)</f>
        <v>114.54</v>
      </c>
      <c r="N458">
        <f>VLOOKUP(A458,NYSEBP!A$2:G$506,2,0)</f>
        <v>33.74</v>
      </c>
      <c r="O458">
        <f>VLOOKUP(A458,NASDAQYHOO!A$2:G$506,2,0)</f>
        <v>46.41</v>
      </c>
    </row>
    <row r="459" spans="1:15">
      <c r="A459" s="39">
        <v>42809</v>
      </c>
      <c r="B459">
        <v>70.5</v>
      </c>
      <c r="C459">
        <f>VLOOKUP(A459,NYSEARCAVTI!A$2:G$506,2,0)</f>
        <v>121.98</v>
      </c>
      <c r="D459">
        <f>VLOOKUP(A459,NYSEARCAVEU!A$2:G$506,2,0)</f>
        <v>47.02</v>
      </c>
      <c r="E459">
        <f>VLOOKUP(A459,NYSEARCAVWO!A$2:G$506,2,0)</f>
        <v>39.07</v>
      </c>
      <c r="F459">
        <f>VLOOKUP(A459,NYSEARCABND!A$2:G$506,2,0)</f>
        <v>80.16</v>
      </c>
      <c r="G459">
        <f>VLOOKUP(A459,NYSEARCATIP!A$2:G$506,2,0)</f>
        <v>112.75</v>
      </c>
      <c r="H459">
        <f>VLOOKUP(A459,NYSEARCAMUB!A$2:G$506,2,0)</f>
        <v>107.89</v>
      </c>
      <c r="I459">
        <f>VLOOKUP(A459,NYSEARCAVNQ!A$2:G$506,2,0)</f>
        <v>80.83</v>
      </c>
      <c r="J459">
        <f>VLOOKUP(A459,NYSEARCARWX!A$2:G$506,2,0)</f>
        <v>36.450000000000003</v>
      </c>
      <c r="K459">
        <f>VLOOKUP(A459,NYSEARCADBC!A$2:G$506,2,0)</f>
        <v>14.92</v>
      </c>
      <c r="L459">
        <f>VLOOKUP(A459,NYSEARCAGSG!A$2:G$506,2,0)</f>
        <v>14.5</v>
      </c>
      <c r="M459">
        <f>VLOOKUP(A459,NYSEARCAGLD!A$2:G$506,2,0)</f>
        <v>114.29</v>
      </c>
      <c r="N459">
        <f>VLOOKUP(A459,NYSEBP!A$2:G$506,2,0)</f>
        <v>33.590000000000003</v>
      </c>
      <c r="O459">
        <f>VLOOKUP(A459,NASDAQYHOO!A$2:G$506,2,0)</f>
        <v>46.55</v>
      </c>
    </row>
    <row r="460" spans="1:15">
      <c r="A460" s="39">
        <v>42810</v>
      </c>
      <c r="B460">
        <v>70.11</v>
      </c>
      <c r="C460">
        <f>VLOOKUP(A460,NYSEARCAVTI!A$2:G$506,2,0)</f>
        <v>122.96</v>
      </c>
      <c r="D460">
        <f>VLOOKUP(A460,NYSEARCAVEU!A$2:G$506,2,0)</f>
        <v>47.95</v>
      </c>
      <c r="E460">
        <f>VLOOKUP(A460,NYSEARCAVWO!A$2:G$506,2,0)</f>
        <v>40.119999999999997</v>
      </c>
      <c r="F460">
        <f>VLOOKUP(A460,NYSEARCABND!A$2:G$506,2,0)</f>
        <v>80.48</v>
      </c>
      <c r="G460">
        <f>VLOOKUP(A460,NYSEARCATIP!A$2:G$506,2,0)</f>
        <v>113.73</v>
      </c>
      <c r="H460">
        <f>VLOOKUP(A460,NYSEARCAMUB!A$2:G$506,2,0)</f>
        <v>108.13</v>
      </c>
      <c r="I460">
        <f>VLOOKUP(A460,NYSEARCAVNQ!A$2:G$506,2,0)</f>
        <v>82.13</v>
      </c>
      <c r="J460">
        <f>VLOOKUP(A460,NYSEARCARWX!A$2:G$506,2,0)</f>
        <v>37.31</v>
      </c>
      <c r="K460">
        <f>VLOOKUP(A460,NYSEARCADBC!A$2:G$506,2,0)</f>
        <v>15.02</v>
      </c>
      <c r="L460">
        <f>VLOOKUP(A460,NYSEARCAGSG!A$2:G$506,2,0)</f>
        <v>14.62</v>
      </c>
      <c r="M460">
        <f>VLOOKUP(A460,NYSEARCAGLD!A$2:G$506,2,0)</f>
        <v>117.27</v>
      </c>
      <c r="N460">
        <f>VLOOKUP(A460,NYSEBP!A$2:G$506,2,0)</f>
        <v>34.08</v>
      </c>
      <c r="O460">
        <f>VLOOKUP(A460,NASDAQYHOO!A$2:G$506,2,0)</f>
        <v>46.6</v>
      </c>
    </row>
    <row r="461" spans="1:15">
      <c r="A461" s="39">
        <v>42811</v>
      </c>
      <c r="B461">
        <v>70.58</v>
      </c>
      <c r="C461">
        <f>VLOOKUP(A461,NYSEARCAVTI!A$2:G$506,2,0)</f>
        <v>122.84</v>
      </c>
      <c r="D461">
        <f>VLOOKUP(A461,NYSEARCAVEU!A$2:G$506,2,0)</f>
        <v>48</v>
      </c>
      <c r="E461">
        <f>VLOOKUP(A461,NYSEARCAVWO!A$2:G$506,2,0)</f>
        <v>40.119999999999997</v>
      </c>
      <c r="F461">
        <f>VLOOKUP(A461,NYSEARCABND!A$2:G$506,2,0)</f>
        <v>80.47</v>
      </c>
      <c r="G461">
        <f>VLOOKUP(A461,NYSEARCATIP!A$2:G$506,2,0)</f>
        <v>113.71</v>
      </c>
      <c r="H461">
        <f>VLOOKUP(A461,NYSEARCAMUB!A$2:G$506,2,0)</f>
        <v>108.02</v>
      </c>
      <c r="I461">
        <f>VLOOKUP(A461,NYSEARCAVNQ!A$2:G$506,2,0)</f>
        <v>82.4</v>
      </c>
      <c r="J461">
        <f>VLOOKUP(A461,NYSEARCARWX!A$2:G$506,2,0)</f>
        <v>37.229999999999997</v>
      </c>
      <c r="K461">
        <f>VLOOKUP(A461,NYSEARCADBC!A$2:G$506,2,0)</f>
        <v>15</v>
      </c>
      <c r="L461">
        <f>VLOOKUP(A461,NYSEARCAGSG!A$2:G$506,2,0)</f>
        <v>14.59</v>
      </c>
      <c r="M461">
        <f>VLOOKUP(A461,NYSEARCAGLD!A$2:G$506,2,0)</f>
        <v>117.04</v>
      </c>
      <c r="N461">
        <f>VLOOKUP(A461,NYSEBP!A$2:G$506,2,0)</f>
        <v>34.32</v>
      </c>
      <c r="O461">
        <f>VLOOKUP(A461,NASDAQYHOO!A$2:G$506,2,0)</f>
        <v>46.73</v>
      </c>
    </row>
    <row r="462" spans="1:15">
      <c r="A462" s="39">
        <v>42814</v>
      </c>
      <c r="B462">
        <v>70.14</v>
      </c>
      <c r="C462">
        <f>VLOOKUP(A462,NYSEARCAVTI!A$2:G$506,2,0)</f>
        <v>122.51</v>
      </c>
      <c r="D462">
        <f>VLOOKUP(A462,NYSEARCAVEU!A$2:G$506,2,0)</f>
        <v>48</v>
      </c>
      <c r="E462">
        <f>VLOOKUP(A462,NYSEARCAVWO!A$2:G$506,2,0)</f>
        <v>40.21</v>
      </c>
      <c r="F462">
        <f>VLOOKUP(A462,NYSEARCABND!A$2:G$506,2,0)</f>
        <v>80.59</v>
      </c>
      <c r="G462">
        <f>VLOOKUP(A462,NYSEARCATIP!A$2:G$506,2,0)</f>
        <v>113.71</v>
      </c>
      <c r="H462">
        <f>VLOOKUP(A462,NYSEARCAMUB!A$2:G$506,2,0)</f>
        <v>108.1</v>
      </c>
      <c r="I462">
        <f>VLOOKUP(A462,NYSEARCAVNQ!A$2:G$506,2,0)</f>
        <v>82.5</v>
      </c>
      <c r="J462">
        <f>VLOOKUP(A462,NYSEARCARWX!A$2:G$506,2,0)</f>
        <v>37.299999999999997</v>
      </c>
      <c r="K462">
        <f>VLOOKUP(A462,NYSEARCADBC!A$2:G$506,2,0)</f>
        <v>14.96</v>
      </c>
      <c r="L462">
        <f>VLOOKUP(A462,NYSEARCAGSG!A$2:G$506,2,0)</f>
        <v>14.54</v>
      </c>
      <c r="M462">
        <f>VLOOKUP(A462,NYSEARCAGLD!A$2:G$506,2,0)</f>
        <v>117.31</v>
      </c>
      <c r="N462">
        <f>VLOOKUP(A462,NYSEBP!A$2:G$506,2,0)</f>
        <v>34.130000000000003</v>
      </c>
      <c r="O462">
        <f>VLOOKUP(A462,NASDAQYHOO!A$2:G$506,2,0)</f>
        <v>46.62</v>
      </c>
    </row>
    <row r="463" spans="1:15">
      <c r="A463" s="39">
        <v>42815</v>
      </c>
      <c r="B463">
        <v>70.17</v>
      </c>
      <c r="C463">
        <f>VLOOKUP(A463,NYSEARCAVTI!A$2:G$506,2,0)</f>
        <v>122.69</v>
      </c>
      <c r="D463">
        <f>VLOOKUP(A463,NYSEARCAVEU!A$2:G$506,2,0)</f>
        <v>48.36</v>
      </c>
      <c r="E463">
        <f>VLOOKUP(A463,NYSEARCAVWO!A$2:G$506,2,0)</f>
        <v>40.57</v>
      </c>
      <c r="F463">
        <f>VLOOKUP(A463,NYSEARCABND!A$2:G$506,2,0)</f>
        <v>80.7</v>
      </c>
      <c r="G463">
        <f>VLOOKUP(A463,NYSEARCATIP!A$2:G$506,2,0)</f>
        <v>113.98</v>
      </c>
      <c r="H463">
        <f>VLOOKUP(A463,NYSEARCAMUB!A$2:G$506,2,0)</f>
        <v>108.19</v>
      </c>
      <c r="I463">
        <f>VLOOKUP(A463,NYSEARCAVNQ!A$2:G$506,2,0)</f>
        <v>82.48</v>
      </c>
      <c r="J463">
        <f>VLOOKUP(A463,NYSEARCARWX!A$2:G$506,2,0)</f>
        <v>37.29</v>
      </c>
      <c r="K463">
        <f>VLOOKUP(A463,NYSEARCADBC!A$2:G$506,2,0)</f>
        <v>15.02</v>
      </c>
      <c r="L463">
        <f>VLOOKUP(A463,NYSEARCAGSG!A$2:G$506,2,0)</f>
        <v>14.55</v>
      </c>
      <c r="M463">
        <f>VLOOKUP(A463,NYSEARCAGLD!A$2:G$506,2,0)</f>
        <v>117.77</v>
      </c>
      <c r="N463">
        <f>VLOOKUP(A463,NYSEBP!A$2:G$506,2,0)</f>
        <v>34.51</v>
      </c>
      <c r="O463">
        <f>VLOOKUP(A463,NASDAQYHOO!A$2:G$506,2,0)</f>
        <v>47</v>
      </c>
    </row>
    <row r="464" spans="1:15">
      <c r="A464" s="39">
        <v>42816</v>
      </c>
      <c r="B464">
        <v>70.03</v>
      </c>
      <c r="C464">
        <f>VLOOKUP(A464,NYSEARCAVTI!A$2:G$506,2,0)</f>
        <v>120.48</v>
      </c>
      <c r="D464">
        <f>VLOOKUP(A464,NYSEARCAVEU!A$2:G$506,2,0)</f>
        <v>47.45</v>
      </c>
      <c r="E464">
        <f>VLOOKUP(A464,NYSEARCAVWO!A$2:G$506,2,0)</f>
        <v>39.89</v>
      </c>
      <c r="F464">
        <f>VLOOKUP(A464,NYSEARCABND!A$2:G$506,2,0)</f>
        <v>81</v>
      </c>
      <c r="G464">
        <f>VLOOKUP(A464,NYSEARCATIP!A$2:G$506,2,0)</f>
        <v>114.21</v>
      </c>
      <c r="H464">
        <f>VLOOKUP(A464,NYSEARCAMUB!A$2:G$506,2,0)</f>
        <v>108.6</v>
      </c>
      <c r="I464">
        <f>VLOOKUP(A464,NYSEARCAVNQ!A$2:G$506,2,0)</f>
        <v>81.510000000000005</v>
      </c>
      <c r="J464">
        <f>VLOOKUP(A464,NYSEARCARWX!A$2:G$506,2,0)</f>
        <v>37.090000000000003</v>
      </c>
      <c r="K464">
        <f>VLOOKUP(A464,NYSEARCADBC!A$2:G$506,2,0)</f>
        <v>14.86</v>
      </c>
      <c r="L464">
        <f>VLOOKUP(A464,NYSEARCAGSG!A$2:G$506,2,0)</f>
        <v>14.35</v>
      </c>
      <c r="M464">
        <f>VLOOKUP(A464,NYSEARCAGLD!A$2:G$506,2,0)</f>
        <v>118.87</v>
      </c>
      <c r="N464">
        <f>VLOOKUP(A464,NYSEBP!A$2:G$506,2,0)</f>
        <v>33.99</v>
      </c>
      <c r="O464">
        <f>VLOOKUP(A464,NASDAQYHOO!A$2:G$506,2,0)</f>
        <v>45.61</v>
      </c>
    </row>
    <row r="465" spans="1:15">
      <c r="A465" s="39">
        <v>42817</v>
      </c>
      <c r="B465">
        <v>70.2</v>
      </c>
      <c r="C465">
        <f>VLOOKUP(A465,NYSEARCAVTI!A$2:G$506,2,0)</f>
        <v>120.66</v>
      </c>
      <c r="D465">
        <f>VLOOKUP(A465,NYSEARCAVEU!A$2:G$506,2,0)</f>
        <v>47.55</v>
      </c>
      <c r="E465">
        <f>VLOOKUP(A465,NYSEARCAVWO!A$2:G$506,2,0)</f>
        <v>39.97</v>
      </c>
      <c r="F465">
        <f>VLOOKUP(A465,NYSEARCABND!A$2:G$506,2,0)</f>
        <v>81.069999999999993</v>
      </c>
      <c r="G465">
        <f>VLOOKUP(A465,NYSEARCATIP!A$2:G$506,2,0)</f>
        <v>114.24</v>
      </c>
      <c r="H465">
        <f>VLOOKUP(A465,NYSEARCAMUB!A$2:G$506,2,0)</f>
        <v>108.69</v>
      </c>
      <c r="I465">
        <f>VLOOKUP(A465,NYSEARCAVNQ!A$2:G$506,2,0)</f>
        <v>81.38</v>
      </c>
      <c r="J465">
        <f>VLOOKUP(A465,NYSEARCARWX!A$2:G$506,2,0)</f>
        <v>37.17</v>
      </c>
      <c r="K465">
        <f>VLOOKUP(A465,NYSEARCADBC!A$2:G$506,2,0)</f>
        <v>14.87</v>
      </c>
      <c r="L465">
        <f>VLOOKUP(A465,NYSEARCAGSG!A$2:G$506,2,0)</f>
        <v>14.4</v>
      </c>
      <c r="M465">
        <f>VLOOKUP(A465,NYSEARCAGLD!A$2:G$506,2,0)</f>
        <v>119.15</v>
      </c>
      <c r="N465">
        <f>VLOOKUP(A465,NYSEBP!A$2:G$506,2,0)</f>
        <v>33.9</v>
      </c>
      <c r="O465">
        <f>VLOOKUP(A465,NASDAQYHOO!A$2:G$506,2,0)</f>
        <v>46.13</v>
      </c>
    </row>
    <row r="466" spans="1:15">
      <c r="A466" s="39">
        <v>42818</v>
      </c>
      <c r="B466">
        <v>69.989999999999995</v>
      </c>
      <c r="C466">
        <f>VLOOKUP(A466,NYSEARCAVTI!A$2:G$506,2,0)</f>
        <v>120.42</v>
      </c>
      <c r="D466">
        <f>VLOOKUP(A466,NYSEARCAVEU!A$2:G$506,2,0)</f>
        <v>47.81</v>
      </c>
      <c r="E466">
        <f>VLOOKUP(A466,NYSEARCAVWO!A$2:G$506,2,0)</f>
        <v>40.1</v>
      </c>
      <c r="F466">
        <f>VLOOKUP(A466,NYSEARCABND!A$2:G$506,2,0)</f>
        <v>80.94</v>
      </c>
      <c r="G466">
        <f>VLOOKUP(A466,NYSEARCATIP!A$2:G$506,2,0)</f>
        <v>114.13</v>
      </c>
      <c r="H466">
        <f>VLOOKUP(A466,NYSEARCAMUB!A$2:G$506,2,0)</f>
        <v>108.7</v>
      </c>
      <c r="I466">
        <f>VLOOKUP(A466,NYSEARCAVNQ!A$2:G$506,2,0)</f>
        <v>82.09</v>
      </c>
      <c r="J466">
        <f>VLOOKUP(A466,NYSEARCARWX!A$2:G$506,2,0)</f>
        <v>37.29</v>
      </c>
      <c r="K466">
        <f>VLOOKUP(A466,NYSEARCADBC!A$2:G$506,2,0)</f>
        <v>14.9</v>
      </c>
      <c r="L466">
        <f>VLOOKUP(A466,NYSEARCAGSG!A$2:G$506,2,0)</f>
        <v>14.39</v>
      </c>
      <c r="M466">
        <f>VLOOKUP(A466,NYSEARCAGLD!A$2:G$506,2,0)</f>
        <v>118.5</v>
      </c>
      <c r="N466">
        <f>VLOOKUP(A466,NYSEBP!A$2:G$506,2,0)</f>
        <v>33.880000000000003</v>
      </c>
      <c r="O466">
        <f>VLOOKUP(A466,NASDAQYHOO!A$2:G$506,2,0)</f>
        <v>46.65</v>
      </c>
    </row>
    <row r="467" spans="1:15">
      <c r="A467" s="39">
        <v>42821</v>
      </c>
      <c r="B467">
        <v>69.52</v>
      </c>
      <c r="C467">
        <f>VLOOKUP(A467,NYSEARCAVTI!A$2:G$506,2,0)</f>
        <v>119.18</v>
      </c>
      <c r="D467">
        <f>VLOOKUP(A467,NYSEARCAVEU!A$2:G$506,2,0)</f>
        <v>47.73</v>
      </c>
      <c r="E467">
        <f>VLOOKUP(A467,NYSEARCAVWO!A$2:G$506,2,0)</f>
        <v>39.92</v>
      </c>
      <c r="F467">
        <f>VLOOKUP(A467,NYSEARCABND!A$2:G$506,2,0)</f>
        <v>81.2</v>
      </c>
      <c r="G467">
        <f>VLOOKUP(A467,NYSEARCATIP!A$2:G$506,2,0)</f>
        <v>114.77</v>
      </c>
      <c r="H467">
        <f>VLOOKUP(A467,NYSEARCAMUB!A$2:G$506,2,0)</f>
        <v>108.92</v>
      </c>
      <c r="I467">
        <f>VLOOKUP(A467,NYSEARCAVNQ!A$2:G$506,2,0)</f>
        <v>81.760000000000005</v>
      </c>
      <c r="J467">
        <f>VLOOKUP(A467,NYSEARCARWX!A$2:G$506,2,0)</f>
        <v>37.409999999999997</v>
      </c>
      <c r="K467">
        <f>VLOOKUP(A467,NYSEARCADBC!A$2:G$506,2,0)</f>
        <v>14.81</v>
      </c>
      <c r="L467">
        <f>VLOOKUP(A467,NYSEARCAGSG!A$2:G$506,2,0)</f>
        <v>14.32</v>
      </c>
      <c r="M467">
        <f>VLOOKUP(A467,NYSEARCAGLD!A$2:G$506,2,0)</f>
        <v>119.93</v>
      </c>
      <c r="N467">
        <f>VLOOKUP(A467,NYSEBP!A$2:G$506,2,0)</f>
        <v>33.619999999999997</v>
      </c>
      <c r="O467">
        <f>VLOOKUP(A467,NASDAQYHOO!A$2:G$506,2,0)</f>
        <v>45.92</v>
      </c>
    </row>
    <row r="468" spans="1:15">
      <c r="A468" s="39">
        <v>42822</v>
      </c>
      <c r="B468">
        <v>69.33</v>
      </c>
      <c r="C468">
        <f>VLOOKUP(A468,NYSEARCAVTI!A$2:G$506,2,0)</f>
        <v>119.96</v>
      </c>
      <c r="D468">
        <f>VLOOKUP(A468,NYSEARCAVEU!A$2:G$506,2,0)</f>
        <v>47.97</v>
      </c>
      <c r="E468">
        <f>VLOOKUP(A468,NYSEARCAVWO!A$2:G$506,2,0)</f>
        <v>40.06</v>
      </c>
      <c r="F468">
        <f>VLOOKUP(A468,NYSEARCABND!A$2:G$506,2,0)</f>
        <v>81.23</v>
      </c>
      <c r="G468">
        <f>VLOOKUP(A468,NYSEARCATIP!A$2:G$506,2,0)</f>
        <v>114.73</v>
      </c>
      <c r="H468">
        <f>VLOOKUP(A468,NYSEARCAMUB!A$2:G$506,2,0)</f>
        <v>109</v>
      </c>
      <c r="I468">
        <f>VLOOKUP(A468,NYSEARCAVNQ!A$2:G$506,2,0)</f>
        <v>81.33</v>
      </c>
      <c r="J468">
        <f>VLOOKUP(A468,NYSEARCARWX!A$2:G$506,2,0)</f>
        <v>37.35</v>
      </c>
      <c r="K468">
        <f>VLOOKUP(A468,NYSEARCADBC!A$2:G$506,2,0)</f>
        <v>14.96</v>
      </c>
      <c r="L468">
        <f>VLOOKUP(A468,NYSEARCAGSG!A$2:G$506,2,0)</f>
        <v>14.46</v>
      </c>
      <c r="M468">
        <f>VLOOKUP(A468,NYSEARCAGLD!A$2:G$506,2,0)</f>
        <v>119.74</v>
      </c>
      <c r="N468">
        <f>VLOOKUP(A468,NYSEBP!A$2:G$506,2,0)</f>
        <v>33.78</v>
      </c>
      <c r="O468">
        <f>VLOOKUP(A468,NASDAQYHOO!A$2:G$506,2,0)</f>
        <v>46.33</v>
      </c>
    </row>
    <row r="469" spans="1:15">
      <c r="A469" s="39">
        <v>42823</v>
      </c>
      <c r="B469">
        <v>70.349999999999994</v>
      </c>
      <c r="C469">
        <f>VLOOKUP(A469,NYSEARCAVTI!A$2:G$506,2,0)</f>
        <v>120.88</v>
      </c>
      <c r="D469">
        <f>VLOOKUP(A469,NYSEARCAVEU!A$2:G$506,2,0)</f>
        <v>47.98</v>
      </c>
      <c r="E469">
        <f>VLOOKUP(A469,NYSEARCAVWO!A$2:G$506,2,0)</f>
        <v>40.08</v>
      </c>
      <c r="F469">
        <f>VLOOKUP(A469,NYSEARCABND!A$2:G$506,2,0)</f>
        <v>81.05</v>
      </c>
      <c r="G469">
        <f>VLOOKUP(A469,NYSEARCATIP!A$2:G$506,2,0)</f>
        <v>114.47</v>
      </c>
      <c r="H469">
        <f>VLOOKUP(A469,NYSEARCAMUB!A$2:G$506,2,0)</f>
        <v>109.08</v>
      </c>
      <c r="I469">
        <f>VLOOKUP(A469,NYSEARCAVNQ!A$2:G$506,2,0)</f>
        <v>81.459999999999994</v>
      </c>
      <c r="J469">
        <f>VLOOKUP(A469,NYSEARCARWX!A$2:G$506,2,0)</f>
        <v>37.32</v>
      </c>
      <c r="K469">
        <f>VLOOKUP(A469,NYSEARCADBC!A$2:G$506,2,0)</f>
        <v>15.04</v>
      </c>
      <c r="L469">
        <f>VLOOKUP(A469,NYSEARCAGSG!A$2:G$506,2,0)</f>
        <v>14.51</v>
      </c>
      <c r="M469">
        <f>VLOOKUP(A469,NYSEARCAGLD!A$2:G$506,2,0)</f>
        <v>119.22</v>
      </c>
      <c r="N469">
        <f>VLOOKUP(A469,NYSEBP!A$2:G$506,2,0)</f>
        <v>33.880000000000003</v>
      </c>
      <c r="O469">
        <f>VLOOKUP(A469,NASDAQYHOO!A$2:G$506,2,0)</f>
        <v>46.52</v>
      </c>
    </row>
    <row r="470" spans="1:15">
      <c r="A470" s="39">
        <v>42824</v>
      </c>
      <c r="B470">
        <v>70.69</v>
      </c>
      <c r="C470">
        <f>VLOOKUP(A470,NYSEARCAVTI!A$2:G$506,2,0)</f>
        <v>121.14</v>
      </c>
      <c r="D470">
        <f>VLOOKUP(A470,NYSEARCAVEU!A$2:G$506,2,0)</f>
        <v>48.04</v>
      </c>
      <c r="E470">
        <f>VLOOKUP(A470,NYSEARCAVWO!A$2:G$506,2,0)</f>
        <v>40.090000000000003</v>
      </c>
      <c r="F470">
        <f>VLOOKUP(A470,NYSEARCABND!A$2:G$506,2,0)</f>
        <v>81.099999999999994</v>
      </c>
      <c r="G470">
        <f>VLOOKUP(A470,NYSEARCATIP!A$2:G$506,2,0)</f>
        <v>114.49</v>
      </c>
      <c r="H470">
        <f>VLOOKUP(A470,NYSEARCAMUB!A$2:G$506,2,0)</f>
        <v>108.97</v>
      </c>
      <c r="I470">
        <f>VLOOKUP(A470,NYSEARCAVNQ!A$2:G$506,2,0)</f>
        <v>81.819999999999993</v>
      </c>
      <c r="J470">
        <f>VLOOKUP(A470,NYSEARCARWX!A$2:G$506,2,0)</f>
        <v>37.33</v>
      </c>
      <c r="K470">
        <f>VLOOKUP(A470,NYSEARCADBC!A$2:G$506,2,0)</f>
        <v>15.16</v>
      </c>
      <c r="L470">
        <f>VLOOKUP(A470,NYSEARCAGSG!A$2:G$506,2,0)</f>
        <v>14.69</v>
      </c>
      <c r="M470">
        <f>VLOOKUP(A470,NYSEARCAGLD!A$2:G$506,2,0)</f>
        <v>118.77</v>
      </c>
      <c r="N470">
        <f>VLOOKUP(A470,NYSEBP!A$2:G$506,2,0)</f>
        <v>34.56</v>
      </c>
      <c r="O470">
        <f>VLOOKUP(A470,NASDAQYHOO!A$2:G$506,2,0)</f>
        <v>46.8</v>
      </c>
    </row>
    <row r="471" spans="1:15">
      <c r="A471" s="39">
        <v>42825</v>
      </c>
      <c r="B471">
        <v>71.319999999999993</v>
      </c>
      <c r="C471">
        <f>VLOOKUP(A471,NYSEARCAVTI!A$2:G$506,2,0)</f>
        <v>121.42</v>
      </c>
      <c r="D471">
        <f>VLOOKUP(A471,NYSEARCAVEU!A$2:G$506,2,0)</f>
        <v>47.77</v>
      </c>
      <c r="E471">
        <f>VLOOKUP(A471,NYSEARCAVWO!A$2:G$506,2,0)</f>
        <v>39.79</v>
      </c>
      <c r="F471">
        <f>VLOOKUP(A471,NYSEARCABND!A$2:G$506,2,0)</f>
        <v>81.010000000000005</v>
      </c>
      <c r="G471">
        <f>VLOOKUP(A471,NYSEARCATIP!A$2:G$506,2,0)</f>
        <v>114.37</v>
      </c>
      <c r="H471">
        <f>VLOOKUP(A471,NYSEARCAMUB!A$2:G$506,2,0)</f>
        <v>108.94</v>
      </c>
      <c r="I471">
        <f>VLOOKUP(A471,NYSEARCAVNQ!A$2:G$506,2,0)</f>
        <v>82.13</v>
      </c>
      <c r="J471">
        <f>VLOOKUP(A471,NYSEARCARWX!A$2:G$506,2,0)</f>
        <v>37.200000000000003</v>
      </c>
      <c r="K471">
        <f>VLOOKUP(A471,NYSEARCADBC!A$2:G$506,2,0)</f>
        <v>15.15</v>
      </c>
      <c r="L471">
        <f>VLOOKUP(A471,NYSEARCAGSG!A$2:G$506,2,0)</f>
        <v>14.67</v>
      </c>
      <c r="M471">
        <f>VLOOKUP(A471,NYSEARCAGLD!A$2:G$506,2,0)</f>
        <v>118.61</v>
      </c>
      <c r="N471">
        <f>VLOOKUP(A471,NYSEBP!A$2:G$506,2,0)</f>
        <v>34.46</v>
      </c>
      <c r="O471">
        <f>VLOOKUP(A471,NASDAQYHOO!A$2:G$506,2,0)</f>
        <v>46.52</v>
      </c>
    </row>
    <row r="472" spans="1:15">
      <c r="A472" s="39">
        <v>42828</v>
      </c>
      <c r="B472">
        <v>72.08</v>
      </c>
      <c r="C472">
        <f>VLOOKUP(A472,NYSEARCAVTI!A$2:G$506,2,0)</f>
        <v>121.45</v>
      </c>
      <c r="D472">
        <f>VLOOKUP(A472,NYSEARCAVEU!A$2:G$506,2,0)</f>
        <v>47.84</v>
      </c>
      <c r="E472">
        <f>VLOOKUP(A472,NYSEARCAVWO!A$2:G$506,2,0)</f>
        <v>39.93</v>
      </c>
      <c r="F472">
        <f>VLOOKUP(A472,NYSEARCABND!A$2:G$506,2,0)</f>
        <v>80.97</v>
      </c>
      <c r="G472">
        <f>VLOOKUP(A472,NYSEARCATIP!A$2:G$506,2,0)</f>
        <v>114.55</v>
      </c>
      <c r="H472">
        <f>VLOOKUP(A472,NYSEARCAMUB!A$2:G$506,2,0)</f>
        <v>108.77</v>
      </c>
      <c r="I472">
        <f>VLOOKUP(A472,NYSEARCAVNQ!A$2:G$506,2,0)</f>
        <v>82.36</v>
      </c>
      <c r="J472">
        <f>VLOOKUP(A472,NYSEARCARWX!A$2:G$506,2,0)</f>
        <v>37.200000000000003</v>
      </c>
      <c r="K472">
        <f>VLOOKUP(A472,NYSEARCADBC!A$2:G$506,2,0)</f>
        <v>15.25</v>
      </c>
      <c r="L472">
        <f>VLOOKUP(A472,NYSEARCAGSG!A$2:G$506,2,0)</f>
        <v>14.79</v>
      </c>
      <c r="M472">
        <f>VLOOKUP(A472,NYSEARCAGLD!A$2:G$506,2,0)</f>
        <v>118.69</v>
      </c>
      <c r="N472">
        <f>VLOOKUP(A472,NYSEBP!A$2:G$506,2,0)</f>
        <v>34.590000000000003</v>
      </c>
      <c r="O472">
        <f>VLOOKUP(A472,NASDAQYHOO!A$2:G$506,2,0)</f>
        <v>46.5</v>
      </c>
    </row>
    <row r="473" spans="1:15">
      <c r="A473" s="39">
        <v>42829</v>
      </c>
      <c r="B473">
        <v>71.739999999999995</v>
      </c>
      <c r="C473">
        <f>VLOOKUP(A473,NYSEARCAVTI!A$2:G$506,2,0)</f>
        <v>120.89</v>
      </c>
      <c r="D473">
        <f>VLOOKUP(A473,NYSEARCAVEU!A$2:G$506,2,0)</f>
        <v>47.69</v>
      </c>
      <c r="E473">
        <f>VLOOKUP(A473,NYSEARCAVWO!A$2:G$506,2,0)</f>
        <v>39.950000000000003</v>
      </c>
      <c r="F473">
        <f>VLOOKUP(A473,NYSEARCABND!A$2:G$506,2,0)</f>
        <v>81.180000000000007</v>
      </c>
      <c r="G473">
        <f>VLOOKUP(A473,NYSEARCATIP!A$2:G$506,2,0)</f>
        <v>114.73</v>
      </c>
      <c r="H473">
        <f>VLOOKUP(A473,NYSEARCAMUB!A$2:G$506,2,0)</f>
        <v>108.94</v>
      </c>
      <c r="I473">
        <f>VLOOKUP(A473,NYSEARCAVNQ!A$2:G$506,2,0)</f>
        <v>82.71</v>
      </c>
      <c r="J473">
        <f>VLOOKUP(A473,NYSEARCARWX!A$2:G$506,2,0)</f>
        <v>37.380000000000003</v>
      </c>
      <c r="K473">
        <f>VLOOKUP(A473,NYSEARCADBC!A$2:G$506,2,0)</f>
        <v>15.23</v>
      </c>
      <c r="L473">
        <f>VLOOKUP(A473,NYSEARCAGSG!A$2:G$506,2,0)</f>
        <v>14.75</v>
      </c>
      <c r="M473">
        <f>VLOOKUP(A473,NYSEARCAGLD!A$2:G$506,2,0)</f>
        <v>119.59</v>
      </c>
      <c r="N473">
        <f>VLOOKUP(A473,NYSEBP!A$2:G$506,2,0)</f>
        <v>34.520000000000003</v>
      </c>
      <c r="O473">
        <f>VLOOKUP(A473,NASDAQYHOO!A$2:G$506,2,0)</f>
        <v>46.3</v>
      </c>
    </row>
    <row r="474" spans="1:15">
      <c r="A474" s="39">
        <v>42830</v>
      </c>
      <c r="B474">
        <v>71.64</v>
      </c>
      <c r="C474">
        <f>VLOOKUP(A474,NYSEARCAVTI!A$2:G$506,2,0)</f>
        <v>121.49</v>
      </c>
      <c r="D474">
        <f>VLOOKUP(A474,NYSEARCAVEU!A$2:G$506,2,0)</f>
        <v>47.89</v>
      </c>
      <c r="E474">
        <f>VLOOKUP(A474,NYSEARCAVWO!A$2:G$506,2,0)</f>
        <v>40.29</v>
      </c>
      <c r="F474">
        <f>VLOOKUP(A474,NYSEARCABND!A$2:G$506,2,0)</f>
        <v>81.069999999999993</v>
      </c>
      <c r="G474">
        <f>VLOOKUP(A474,NYSEARCATIP!A$2:G$506,2,0)</f>
        <v>114.62</v>
      </c>
      <c r="H474">
        <f>VLOOKUP(A474,NYSEARCAMUB!A$2:G$506,2,0)</f>
        <v>108.91</v>
      </c>
      <c r="I474">
        <f>VLOOKUP(A474,NYSEARCAVNQ!A$2:G$506,2,0)</f>
        <v>82.91</v>
      </c>
      <c r="J474">
        <f>VLOOKUP(A474,NYSEARCARWX!A$2:G$506,2,0)</f>
        <v>37.450000000000003</v>
      </c>
      <c r="K474">
        <f>VLOOKUP(A474,NYSEARCADBC!A$2:G$506,2,0)</f>
        <v>15.47</v>
      </c>
      <c r="L474">
        <f>VLOOKUP(A474,NYSEARCAGSG!A$2:G$506,2,0)</f>
        <v>14.97</v>
      </c>
      <c r="M474">
        <f>VLOOKUP(A474,NYSEARCAGLD!A$2:G$506,2,0)</f>
        <v>118.62</v>
      </c>
      <c r="N474">
        <f>VLOOKUP(A474,NYSEBP!A$2:G$506,2,0)</f>
        <v>35.049999999999997</v>
      </c>
      <c r="O474">
        <f>VLOOKUP(A474,NASDAQYHOO!A$2:G$506,2,0)</f>
        <v>46.41</v>
      </c>
    </row>
    <row r="475" spans="1:15">
      <c r="A475" s="39">
        <v>42831</v>
      </c>
      <c r="B475">
        <v>71.7</v>
      </c>
      <c r="C475">
        <f>VLOOKUP(A475,NYSEARCAVTI!A$2:G$506,2,0)</f>
        <v>120.69</v>
      </c>
      <c r="D475">
        <f>VLOOKUP(A475,NYSEARCAVEU!A$2:G$506,2,0)</f>
        <v>47.65</v>
      </c>
      <c r="E475">
        <f>VLOOKUP(A475,NYSEARCAVWO!A$2:G$506,2,0)</f>
        <v>40.03</v>
      </c>
      <c r="F475">
        <f>VLOOKUP(A475,NYSEARCABND!A$2:G$506,2,0)</f>
        <v>81.180000000000007</v>
      </c>
      <c r="G475">
        <f>VLOOKUP(A475,NYSEARCATIP!A$2:G$506,2,0)</f>
        <v>114.8</v>
      </c>
      <c r="H475">
        <f>VLOOKUP(A475,NYSEARCAMUB!A$2:G$506,2,0)</f>
        <v>109.07</v>
      </c>
      <c r="I475">
        <f>VLOOKUP(A475,NYSEARCAVNQ!A$2:G$506,2,0)</f>
        <v>82.77</v>
      </c>
      <c r="J475">
        <f>VLOOKUP(A475,NYSEARCARWX!A$2:G$506,2,0)</f>
        <v>37.619999999999997</v>
      </c>
      <c r="K475">
        <f>VLOOKUP(A475,NYSEARCADBC!A$2:G$506,2,0)</f>
        <v>15.4</v>
      </c>
      <c r="L475">
        <f>VLOOKUP(A475,NYSEARCAGSG!A$2:G$506,2,0)</f>
        <v>14.94</v>
      </c>
      <c r="M475">
        <f>VLOOKUP(A475,NYSEARCAGLD!A$2:G$506,2,0)</f>
        <v>119.22</v>
      </c>
      <c r="N475">
        <f>VLOOKUP(A475,NYSEBP!A$2:G$506,2,0)</f>
        <v>34.58</v>
      </c>
      <c r="O475">
        <f>VLOOKUP(A475,NASDAQYHOO!A$2:G$506,2,0)</f>
        <v>46.38</v>
      </c>
    </row>
    <row r="476" spans="1:15">
      <c r="A476" s="39">
        <v>42832</v>
      </c>
      <c r="B476">
        <v>72.099999999999994</v>
      </c>
      <c r="C476">
        <f>VLOOKUP(A476,NYSEARCAVTI!A$2:G$506,2,0)</f>
        <v>120.84</v>
      </c>
      <c r="D476">
        <f>VLOOKUP(A476,NYSEARCAVEU!A$2:G$506,2,0)</f>
        <v>47.56</v>
      </c>
      <c r="E476">
        <f>VLOOKUP(A476,NYSEARCAVWO!A$2:G$506,2,0)</f>
        <v>39.950000000000003</v>
      </c>
      <c r="F476">
        <f>VLOOKUP(A476,NYSEARCABND!A$2:G$506,2,0)</f>
        <v>81.3</v>
      </c>
      <c r="G476">
        <f>VLOOKUP(A476,NYSEARCATIP!A$2:G$506,2,0)</f>
        <v>114.82</v>
      </c>
      <c r="H476">
        <f>VLOOKUP(A476,NYSEARCAMUB!A$2:G$506,2,0)</f>
        <v>109.12</v>
      </c>
      <c r="I476">
        <f>VLOOKUP(A476,NYSEARCAVNQ!A$2:G$506,2,0)</f>
        <v>83.59</v>
      </c>
      <c r="J476">
        <f>VLOOKUP(A476,NYSEARCARWX!A$2:G$506,2,0)</f>
        <v>37.729999999999997</v>
      </c>
      <c r="K476">
        <f>VLOOKUP(A476,NYSEARCADBC!A$2:G$506,2,0)</f>
        <v>15.42</v>
      </c>
      <c r="L476">
        <f>VLOOKUP(A476,NYSEARCAGSG!A$2:G$506,2,0)</f>
        <v>14.99</v>
      </c>
      <c r="M476">
        <f>VLOOKUP(A476,NYSEARCAGLD!A$2:G$506,2,0)</f>
        <v>120.3</v>
      </c>
      <c r="N476">
        <f>VLOOKUP(A476,NYSEBP!A$2:G$506,2,0)</f>
        <v>34.83</v>
      </c>
      <c r="O476">
        <f>VLOOKUP(A476,NASDAQYHOO!A$2:G$506,2,0)</f>
        <v>46.23</v>
      </c>
    </row>
    <row r="477" spans="1:15">
      <c r="A477" s="39">
        <v>42835</v>
      </c>
      <c r="B477">
        <v>72.989999999999995</v>
      </c>
      <c r="C477">
        <f>VLOOKUP(A477,NYSEARCAVTI!A$2:G$506,2,0)</f>
        <v>121.04</v>
      </c>
      <c r="D477">
        <f>VLOOKUP(A477,NYSEARCAVEU!A$2:G$506,2,0)</f>
        <v>47.53</v>
      </c>
      <c r="E477">
        <f>VLOOKUP(A477,NYSEARCAVWO!A$2:G$506,2,0)</f>
        <v>39.76</v>
      </c>
      <c r="F477">
        <f>VLOOKUP(A477,NYSEARCABND!A$2:G$506,2,0)</f>
        <v>81.12</v>
      </c>
      <c r="G477">
        <f>VLOOKUP(A477,NYSEARCATIP!A$2:G$506,2,0)</f>
        <v>114.67</v>
      </c>
      <c r="H477">
        <f>VLOOKUP(A477,NYSEARCAMUB!A$2:G$506,2,0)</f>
        <v>109.2</v>
      </c>
      <c r="I477">
        <f>VLOOKUP(A477,NYSEARCAVNQ!A$2:G$506,2,0)</f>
        <v>83.56</v>
      </c>
      <c r="J477">
        <f>VLOOKUP(A477,NYSEARCARWX!A$2:G$506,2,0)</f>
        <v>37.58</v>
      </c>
      <c r="K477">
        <f>VLOOKUP(A477,NYSEARCADBC!A$2:G$506,2,0)</f>
        <v>15.48</v>
      </c>
      <c r="L477">
        <f>VLOOKUP(A477,NYSEARCAGSG!A$2:G$506,2,0)</f>
        <v>15.11</v>
      </c>
      <c r="M477">
        <f>VLOOKUP(A477,NYSEARCAGLD!A$2:G$506,2,0)</f>
        <v>119.04</v>
      </c>
      <c r="N477">
        <f>VLOOKUP(A477,NYSEBP!A$2:G$506,2,0)</f>
        <v>34.81</v>
      </c>
      <c r="O477">
        <f>VLOOKUP(A477,NASDAQYHOO!A$2:G$506,2,0)</f>
        <v>46.49</v>
      </c>
    </row>
    <row r="478" spans="1:15">
      <c r="A478" s="39">
        <v>42836</v>
      </c>
      <c r="B478">
        <v>73</v>
      </c>
      <c r="C478">
        <f>VLOOKUP(A478,NYSEARCAVTI!A$2:G$506,2,0)</f>
        <v>120.87</v>
      </c>
      <c r="D478">
        <f>VLOOKUP(A478,NYSEARCAVEU!A$2:G$506,2,0)</f>
        <v>47.68</v>
      </c>
      <c r="E478">
        <f>VLOOKUP(A478,NYSEARCAVWO!A$2:G$506,2,0)</f>
        <v>39.840000000000003</v>
      </c>
      <c r="F478">
        <f>VLOOKUP(A478,NYSEARCABND!A$2:G$506,2,0)</f>
        <v>81.239999999999995</v>
      </c>
      <c r="G478">
        <f>VLOOKUP(A478,NYSEARCATIP!A$2:G$506,2,0)</f>
        <v>114.6</v>
      </c>
      <c r="H478">
        <f>VLOOKUP(A478,NYSEARCAMUB!A$2:G$506,2,0)</f>
        <v>109.28</v>
      </c>
      <c r="I478">
        <f>VLOOKUP(A478,NYSEARCAVNQ!A$2:G$506,2,0)</f>
        <v>84.06</v>
      </c>
      <c r="J478">
        <f>VLOOKUP(A478,NYSEARCARWX!A$2:G$506,2,0)</f>
        <v>37.729999999999997</v>
      </c>
      <c r="K478">
        <f>VLOOKUP(A478,NYSEARCADBC!A$2:G$506,2,0)</f>
        <v>15.52</v>
      </c>
      <c r="L478">
        <f>VLOOKUP(A478,NYSEARCAGSG!A$2:G$506,2,0)</f>
        <v>15.1</v>
      </c>
      <c r="M478">
        <f>VLOOKUP(A478,NYSEARCAGLD!A$2:G$506,2,0)</f>
        <v>120.33</v>
      </c>
      <c r="N478">
        <f>VLOOKUP(A478,NYSEBP!A$2:G$506,2,0)</f>
        <v>35.24</v>
      </c>
      <c r="O478">
        <f>VLOOKUP(A478,NASDAQYHOO!A$2:G$506,2,0)</f>
        <v>47.03</v>
      </c>
    </row>
    <row r="479" spans="1:15">
      <c r="A479" s="39">
        <v>42837</v>
      </c>
      <c r="B479">
        <v>73.55</v>
      </c>
      <c r="C479">
        <f>VLOOKUP(A479,NYSEARCAVTI!A$2:G$506,2,0)</f>
        <v>120.88</v>
      </c>
      <c r="D479">
        <f>VLOOKUP(A479,NYSEARCAVEU!A$2:G$506,2,0)</f>
        <v>47.67</v>
      </c>
      <c r="E479">
        <f>VLOOKUP(A479,NYSEARCAVWO!A$2:G$506,2,0)</f>
        <v>39.92</v>
      </c>
      <c r="F479">
        <f>VLOOKUP(A479,NYSEARCABND!A$2:G$506,2,0)</f>
        <v>81.36</v>
      </c>
      <c r="G479">
        <f>VLOOKUP(A479,NYSEARCATIP!A$2:G$506,2,0)</f>
        <v>114.84</v>
      </c>
      <c r="H479">
        <f>VLOOKUP(A479,NYSEARCAMUB!A$2:G$506,2,0)</f>
        <v>109.44</v>
      </c>
      <c r="I479">
        <f>VLOOKUP(A479,NYSEARCAVNQ!A$2:G$506,2,0)</f>
        <v>84.58</v>
      </c>
      <c r="J479">
        <f>VLOOKUP(A479,NYSEARCARWX!A$2:G$506,2,0)</f>
        <v>38.020000000000003</v>
      </c>
      <c r="K479">
        <f>VLOOKUP(A479,NYSEARCADBC!A$2:G$506,2,0)</f>
        <v>15.56</v>
      </c>
      <c r="L479">
        <f>VLOOKUP(A479,NYSEARCAGSG!A$2:G$506,2,0)</f>
        <v>15.25</v>
      </c>
      <c r="M479">
        <f>VLOOKUP(A479,NYSEARCAGLD!A$2:G$506,2,0)</f>
        <v>121.38</v>
      </c>
      <c r="N479">
        <f>VLOOKUP(A479,NYSEBP!A$2:G$506,2,0)</f>
        <v>35.4</v>
      </c>
      <c r="O479">
        <f>VLOOKUP(A479,NASDAQYHOO!A$2:G$506,2,0)</f>
        <v>46.8</v>
      </c>
    </row>
    <row r="480" spans="1:15">
      <c r="A480" s="39">
        <v>42838</v>
      </c>
      <c r="B480">
        <v>73.37</v>
      </c>
      <c r="C480">
        <f>VLOOKUP(A480,NYSEARCAVTI!A$2:G$506,2,0)</f>
        <v>120.15</v>
      </c>
      <c r="D480">
        <f>VLOOKUP(A480,NYSEARCAVEU!A$2:G$506,2,0)</f>
        <v>47.57</v>
      </c>
      <c r="E480">
        <f>VLOOKUP(A480,NYSEARCAVWO!A$2:G$506,2,0)</f>
        <v>39.96</v>
      </c>
      <c r="F480">
        <f>VLOOKUP(A480,NYSEARCABND!A$2:G$506,2,0)</f>
        <v>81.61</v>
      </c>
      <c r="G480">
        <f>VLOOKUP(A480,NYSEARCATIP!A$2:G$506,2,0)</f>
        <v>115.3</v>
      </c>
      <c r="H480">
        <f>VLOOKUP(A480,NYSEARCAMUB!A$2:G$506,2,0)</f>
        <v>109.58</v>
      </c>
      <c r="I480">
        <f>VLOOKUP(A480,NYSEARCAVNQ!A$2:G$506,2,0)</f>
        <v>84.43</v>
      </c>
      <c r="J480">
        <f>VLOOKUP(A480,NYSEARCARWX!A$2:G$506,2,0)</f>
        <v>38.11</v>
      </c>
      <c r="K480">
        <f>VLOOKUP(A480,NYSEARCADBC!A$2:G$506,2,0)</f>
        <v>15.63</v>
      </c>
      <c r="L480">
        <f>VLOOKUP(A480,NYSEARCAGSG!A$2:G$506,2,0)</f>
        <v>15.17</v>
      </c>
      <c r="M480">
        <f>VLOOKUP(A480,NYSEARCAGLD!A$2:G$506,2,0)</f>
        <v>122.54</v>
      </c>
      <c r="N480">
        <f>VLOOKUP(A480,NYSEBP!A$2:G$506,2,0)</f>
        <v>35.28</v>
      </c>
      <c r="O480">
        <f>VLOOKUP(A480,NASDAQYHOO!A$2:G$506,2,0)</f>
        <v>46.85</v>
      </c>
    </row>
    <row r="481" spans="1:15">
      <c r="A481" s="39">
        <v>42842</v>
      </c>
      <c r="B481">
        <v>73.16</v>
      </c>
      <c r="C481">
        <f>VLOOKUP(A481,NYSEARCAVTI!A$2:G$506,2,0)</f>
        <v>119.88</v>
      </c>
      <c r="D481">
        <f>VLOOKUP(A481,NYSEARCAVEU!A$2:G$506,2,0)</f>
        <v>47.63</v>
      </c>
      <c r="E481">
        <f>VLOOKUP(A481,NYSEARCAVWO!A$2:G$506,2,0)</f>
        <v>39.869999999999997</v>
      </c>
      <c r="F481">
        <f>VLOOKUP(A481,NYSEARCABND!A$2:G$506,2,0)</f>
        <v>81.69</v>
      </c>
      <c r="G481">
        <f>VLOOKUP(A481,NYSEARCATIP!A$2:G$506,2,0)</f>
        <v>115.17</v>
      </c>
      <c r="H481">
        <f>VLOOKUP(A481,NYSEARCAMUB!A$2:G$506,2,0)</f>
        <v>109.57</v>
      </c>
      <c r="I481">
        <f>VLOOKUP(A481,NYSEARCAVNQ!A$2:G$506,2,0)</f>
        <v>84.4</v>
      </c>
      <c r="J481">
        <f>VLOOKUP(A481,NYSEARCARWX!A$2:G$506,2,0)</f>
        <v>38.42</v>
      </c>
      <c r="K481">
        <f>VLOOKUP(A481,NYSEARCADBC!A$2:G$506,2,0)</f>
        <v>15.61</v>
      </c>
      <c r="L481">
        <f>VLOOKUP(A481,NYSEARCAGSG!A$2:G$506,2,0)</f>
        <v>15.16</v>
      </c>
      <c r="M481">
        <f>VLOOKUP(A481,NYSEARCAGLD!A$2:G$506,2,0)</f>
        <v>122.55</v>
      </c>
      <c r="N481">
        <f>VLOOKUP(A481,NYSEBP!A$2:G$506,2,0)</f>
        <v>34.94</v>
      </c>
      <c r="O481">
        <f>VLOOKUP(A481,NASDAQYHOO!A$2:G$506,2,0)</f>
        <v>47.02</v>
      </c>
    </row>
    <row r="482" spans="1:15">
      <c r="A482" s="39">
        <v>42843</v>
      </c>
      <c r="B482">
        <v>73.540000000000006</v>
      </c>
      <c r="C482">
        <f>VLOOKUP(A482,NYSEARCAVTI!A$2:G$506,2,0)</f>
        <v>120.2</v>
      </c>
      <c r="D482">
        <f>VLOOKUP(A482,NYSEARCAVEU!A$2:G$506,2,0)</f>
        <v>47.41</v>
      </c>
      <c r="E482">
        <f>VLOOKUP(A482,NYSEARCAVWO!A$2:G$506,2,0)</f>
        <v>39.659999999999997</v>
      </c>
      <c r="F482">
        <f>VLOOKUP(A482,NYSEARCABND!A$2:G$506,2,0)</f>
        <v>81.72</v>
      </c>
      <c r="G482">
        <f>VLOOKUP(A482,NYSEARCATIP!A$2:G$506,2,0)</f>
        <v>115.21</v>
      </c>
      <c r="H482">
        <f>VLOOKUP(A482,NYSEARCAMUB!A$2:G$506,2,0)</f>
        <v>109.8</v>
      </c>
      <c r="I482">
        <f>VLOOKUP(A482,NYSEARCAVNQ!A$2:G$506,2,0)</f>
        <v>85.22</v>
      </c>
      <c r="J482">
        <f>VLOOKUP(A482,NYSEARCARWX!A$2:G$506,2,0)</f>
        <v>38.299999999999997</v>
      </c>
      <c r="K482">
        <f>VLOOKUP(A482,NYSEARCADBC!A$2:G$506,2,0)</f>
        <v>15.44</v>
      </c>
      <c r="L482">
        <f>VLOOKUP(A482,NYSEARCAGSG!A$2:G$506,2,0)</f>
        <v>15.01</v>
      </c>
      <c r="M482">
        <f>VLOOKUP(A482,NYSEARCAGLD!A$2:G$506,2,0)</f>
        <v>122.43</v>
      </c>
      <c r="N482">
        <f>VLOOKUP(A482,NYSEBP!A$2:G$506,2,0)</f>
        <v>34.74</v>
      </c>
      <c r="O482">
        <f>VLOOKUP(A482,NASDAQYHOO!A$2:G$506,2,0)</f>
        <v>47.25</v>
      </c>
    </row>
    <row r="483" spans="1:15">
      <c r="A483" s="39">
        <v>42844</v>
      </c>
      <c r="B483">
        <v>74.099999999999994</v>
      </c>
      <c r="C483">
        <f>VLOOKUP(A483,NYSEARCAVTI!A$2:G$506,2,0)</f>
        <v>120.72</v>
      </c>
      <c r="D483">
        <f>VLOOKUP(A483,NYSEARCAVEU!A$2:G$506,2,0)</f>
        <v>47.52</v>
      </c>
      <c r="E483">
        <f>VLOOKUP(A483,NYSEARCAVWO!A$2:G$506,2,0)</f>
        <v>39.64</v>
      </c>
      <c r="F483">
        <f>VLOOKUP(A483,NYSEARCABND!A$2:G$506,2,0)</f>
        <v>81.83</v>
      </c>
      <c r="G483">
        <f>VLOOKUP(A483,NYSEARCATIP!A$2:G$506,2,0)</f>
        <v>115.07</v>
      </c>
      <c r="H483">
        <f>VLOOKUP(A483,NYSEARCAMUB!A$2:G$506,2,0)</f>
        <v>109.93</v>
      </c>
      <c r="I483">
        <f>VLOOKUP(A483,NYSEARCAVNQ!A$2:G$506,2,0)</f>
        <v>85.45</v>
      </c>
      <c r="J483">
        <f>VLOOKUP(A483,NYSEARCARWX!A$2:G$506,2,0)</f>
        <v>38.33</v>
      </c>
      <c r="K483">
        <f>VLOOKUP(A483,NYSEARCADBC!A$2:G$506,2,0)</f>
        <v>15.47</v>
      </c>
      <c r="L483">
        <f>VLOOKUP(A483,NYSEARCAGSG!A$2:G$506,2,0)</f>
        <v>15.01</v>
      </c>
      <c r="M483">
        <f>VLOOKUP(A483,NYSEARCAGLD!A$2:G$506,2,0)</f>
        <v>122.25</v>
      </c>
      <c r="N483">
        <f>VLOOKUP(A483,NYSEBP!A$2:G$506,2,0)</f>
        <v>34.61</v>
      </c>
      <c r="O483">
        <f>VLOOKUP(A483,NASDAQYHOO!A$2:G$506,2,0)</f>
        <v>47.6</v>
      </c>
    </row>
    <row r="484" spans="1:15">
      <c r="A484" s="39">
        <v>42845</v>
      </c>
      <c r="B484">
        <v>74.14</v>
      </c>
      <c r="C484">
        <f>VLOOKUP(A484,NYSEARCAVTI!A$2:G$506,2,0)</f>
        <v>120.59</v>
      </c>
      <c r="D484">
        <f>VLOOKUP(A484,NYSEARCAVEU!A$2:G$506,2,0)</f>
        <v>47.62</v>
      </c>
      <c r="E484">
        <f>VLOOKUP(A484,NYSEARCAVWO!A$2:G$506,2,0)</f>
        <v>39.71</v>
      </c>
      <c r="F484">
        <f>VLOOKUP(A484,NYSEARCABND!A$2:G$506,2,0)</f>
        <v>81.739999999999995</v>
      </c>
      <c r="G484">
        <f>VLOOKUP(A484,NYSEARCATIP!A$2:G$506,2,0)</f>
        <v>114.81</v>
      </c>
      <c r="H484">
        <f>VLOOKUP(A484,NYSEARCAMUB!A$2:G$506,2,0)</f>
        <v>109.87</v>
      </c>
      <c r="I484">
        <f>VLOOKUP(A484,NYSEARCAVNQ!A$2:G$506,2,0)</f>
        <v>85.24</v>
      </c>
      <c r="J484">
        <f>VLOOKUP(A484,NYSEARCARWX!A$2:G$506,2,0)</f>
        <v>38.33</v>
      </c>
      <c r="K484">
        <f>VLOOKUP(A484,NYSEARCADBC!A$2:G$506,2,0)</f>
        <v>15.22</v>
      </c>
      <c r="L484">
        <f>VLOOKUP(A484,NYSEARCAGSG!A$2:G$506,2,0)</f>
        <v>14.75</v>
      </c>
      <c r="M484">
        <f>VLOOKUP(A484,NYSEARCAGLD!A$2:G$506,2,0)</f>
        <v>121.82</v>
      </c>
      <c r="N484">
        <f>VLOOKUP(A484,NYSEBP!A$2:G$506,2,0)</f>
        <v>34.229999999999997</v>
      </c>
      <c r="O484">
        <f>VLOOKUP(A484,NASDAQYHOO!A$2:G$506,2,0)</f>
        <v>47.25</v>
      </c>
    </row>
    <row r="485" spans="1:15">
      <c r="A485" s="39">
        <v>42846</v>
      </c>
      <c r="B485">
        <v>74.739999999999995</v>
      </c>
      <c r="C485">
        <f>VLOOKUP(A485,NYSEARCAVTI!A$2:G$506,2,0)</f>
        <v>121.21</v>
      </c>
      <c r="D485">
        <f>VLOOKUP(A485,NYSEARCAVEU!A$2:G$506,2,0)</f>
        <v>47.63</v>
      </c>
      <c r="E485">
        <f>VLOOKUP(A485,NYSEARCAVWO!A$2:G$506,2,0)</f>
        <v>39.72</v>
      </c>
      <c r="F485">
        <f>VLOOKUP(A485,NYSEARCABND!A$2:G$506,2,0)</f>
        <v>81.73</v>
      </c>
      <c r="G485">
        <f>VLOOKUP(A485,NYSEARCATIP!A$2:G$506,2,0)</f>
        <v>114.96</v>
      </c>
      <c r="H485">
        <f>VLOOKUP(A485,NYSEARCAMUB!A$2:G$506,2,0)</f>
        <v>109.85</v>
      </c>
      <c r="I485">
        <f>VLOOKUP(A485,NYSEARCAVNQ!A$2:G$506,2,0)</f>
        <v>85.36</v>
      </c>
      <c r="J485">
        <f>VLOOKUP(A485,NYSEARCARWX!A$2:G$506,2,0)</f>
        <v>38.159999999999997</v>
      </c>
      <c r="K485">
        <f>VLOOKUP(A485,NYSEARCADBC!A$2:G$506,2,0)</f>
        <v>15.15</v>
      </c>
      <c r="L485">
        <f>VLOOKUP(A485,NYSEARCAGSG!A$2:G$506,2,0)</f>
        <v>14.64</v>
      </c>
      <c r="M485">
        <f>VLOOKUP(A485,NYSEARCAGLD!A$2:G$506,2,0)</f>
        <v>122.14</v>
      </c>
      <c r="N485">
        <f>VLOOKUP(A485,NYSEBP!A$2:G$506,2,0)</f>
        <v>34.03</v>
      </c>
      <c r="O485">
        <f>VLOOKUP(A485,NASDAQYHOO!A$2:G$506,2,0)</f>
        <v>47.73</v>
      </c>
    </row>
    <row r="486" spans="1:15">
      <c r="A486" s="39">
        <v>42849</v>
      </c>
      <c r="B486">
        <v>75.08</v>
      </c>
      <c r="C486">
        <f>VLOOKUP(A486,NYSEARCAVTI!A$2:G$506,2,0)</f>
        <v>122.17</v>
      </c>
      <c r="D486">
        <f>VLOOKUP(A486,NYSEARCAVEU!A$2:G$506,2,0)</f>
        <v>48.54</v>
      </c>
      <c r="E486">
        <f>VLOOKUP(A486,NYSEARCAVWO!A$2:G$506,2,0)</f>
        <v>40.19</v>
      </c>
      <c r="F486">
        <f>VLOOKUP(A486,NYSEARCABND!A$2:G$506,2,0)</f>
        <v>81.48</v>
      </c>
      <c r="G486">
        <f>VLOOKUP(A486,NYSEARCATIP!A$2:G$506,2,0)</f>
        <v>114.7</v>
      </c>
      <c r="H486">
        <f>VLOOKUP(A486,NYSEARCAMUB!A$2:G$506,2,0)</f>
        <v>109.53</v>
      </c>
      <c r="I486">
        <f>VLOOKUP(A486,NYSEARCAVNQ!A$2:G$506,2,0)</f>
        <v>85.5</v>
      </c>
      <c r="J486">
        <f>VLOOKUP(A486,NYSEARCARWX!A$2:G$506,2,0)</f>
        <v>38.340000000000003</v>
      </c>
      <c r="K486">
        <f>VLOOKUP(A486,NYSEARCADBC!A$2:G$506,2,0)</f>
        <v>14.97</v>
      </c>
      <c r="L486">
        <f>VLOOKUP(A486,NYSEARCAGSG!A$2:G$506,2,0)</f>
        <v>14.45</v>
      </c>
      <c r="M486">
        <f>VLOOKUP(A486,NYSEARCAGLD!A$2:G$506,2,0)</f>
        <v>120.77</v>
      </c>
      <c r="N486">
        <f>VLOOKUP(A486,NYSEBP!A$2:G$506,2,0)</f>
        <v>34.39</v>
      </c>
      <c r="O486">
        <f>VLOOKUP(A486,NASDAQYHOO!A$2:G$506,2,0)</f>
        <v>47.89</v>
      </c>
    </row>
    <row r="487" spans="1:15">
      <c r="A487" s="39">
        <v>42850</v>
      </c>
      <c r="B487">
        <v>74.97</v>
      </c>
      <c r="C487">
        <f>VLOOKUP(A487,NYSEARCAVTI!A$2:G$506,2,0)</f>
        <v>122.56</v>
      </c>
      <c r="D487">
        <f>VLOOKUP(A487,NYSEARCAVEU!A$2:G$506,2,0)</f>
        <v>48.91</v>
      </c>
      <c r="E487">
        <f>VLOOKUP(A487,NYSEARCAVWO!A$2:G$506,2,0)</f>
        <v>40.380000000000003</v>
      </c>
      <c r="F487">
        <f>VLOOKUP(A487,NYSEARCABND!A$2:G$506,2,0)</f>
        <v>81.41</v>
      </c>
      <c r="G487">
        <f>VLOOKUP(A487,NYSEARCATIP!A$2:G$506,2,0)</f>
        <v>114.73</v>
      </c>
      <c r="H487">
        <f>VLOOKUP(A487,NYSEARCAMUB!A$2:G$506,2,0)</f>
        <v>109.46</v>
      </c>
      <c r="I487">
        <f>VLOOKUP(A487,NYSEARCAVNQ!A$2:G$506,2,0)</f>
        <v>84.16</v>
      </c>
      <c r="J487">
        <f>VLOOKUP(A487,NYSEARCARWX!A$2:G$506,2,0)</f>
        <v>38.47</v>
      </c>
      <c r="K487">
        <f>VLOOKUP(A487,NYSEARCADBC!A$2:G$506,2,0)</f>
        <v>14.89</v>
      </c>
      <c r="L487">
        <f>VLOOKUP(A487,NYSEARCAGSG!A$2:G$506,2,0)</f>
        <v>14.4</v>
      </c>
      <c r="M487">
        <f>VLOOKUP(A487,NYSEARCAGLD!A$2:G$506,2,0)</f>
        <v>120.53</v>
      </c>
      <c r="N487">
        <f>VLOOKUP(A487,NYSEBP!A$2:G$506,2,0)</f>
        <v>34.549999999999997</v>
      </c>
      <c r="O487">
        <f>VLOOKUP(A487,NASDAQYHOO!A$2:G$506,2,0)</f>
        <v>48.29</v>
      </c>
    </row>
    <row r="488" spans="1:15">
      <c r="A488" s="39">
        <v>42851</v>
      </c>
      <c r="B488">
        <v>75.27</v>
      </c>
      <c r="C488">
        <f>VLOOKUP(A488,NYSEARCAVTI!A$2:G$506,2,0)</f>
        <v>122.9</v>
      </c>
      <c r="D488">
        <f>VLOOKUP(A488,NYSEARCAVEU!A$2:G$506,2,0)</f>
        <v>48.91</v>
      </c>
      <c r="E488">
        <f>VLOOKUP(A488,NYSEARCAVWO!A$2:G$506,2,0)</f>
        <v>40.35</v>
      </c>
      <c r="F488">
        <f>VLOOKUP(A488,NYSEARCABND!A$2:G$506,2,0)</f>
        <v>81.290000000000006</v>
      </c>
      <c r="G488">
        <f>VLOOKUP(A488,NYSEARCATIP!A$2:G$506,2,0)</f>
        <v>114.51</v>
      </c>
      <c r="H488">
        <f>VLOOKUP(A488,NYSEARCAMUB!A$2:G$506,2,0)</f>
        <v>109.4</v>
      </c>
      <c r="I488">
        <f>VLOOKUP(A488,NYSEARCAVNQ!A$2:G$506,2,0)</f>
        <v>84.45</v>
      </c>
      <c r="J488">
        <f>VLOOKUP(A488,NYSEARCARWX!A$2:G$506,2,0)</f>
        <v>38.33</v>
      </c>
      <c r="K488">
        <f>VLOOKUP(A488,NYSEARCADBC!A$2:G$506,2,0)</f>
        <v>14.94</v>
      </c>
      <c r="L488">
        <f>VLOOKUP(A488,NYSEARCAGSG!A$2:G$506,2,0)</f>
        <v>14.38</v>
      </c>
      <c r="M488">
        <f>VLOOKUP(A488,NYSEARCAGLD!A$2:G$506,2,0)</f>
        <v>120.21</v>
      </c>
      <c r="N488">
        <f>VLOOKUP(A488,NYSEBP!A$2:G$506,2,0)</f>
        <v>34.57</v>
      </c>
      <c r="O488">
        <f>VLOOKUP(A488,NASDAQYHOO!A$2:G$506,2,0)</f>
        <v>48.4</v>
      </c>
    </row>
    <row r="489" spans="1:15">
      <c r="A489" s="39">
        <v>42852</v>
      </c>
      <c r="B489">
        <v>75.540000000000006</v>
      </c>
      <c r="C489">
        <f>VLOOKUP(A489,NYSEARCAVTI!A$2:G$506,2,0)</f>
        <v>123.12</v>
      </c>
      <c r="D489">
        <f>VLOOKUP(A489,NYSEARCAVEU!A$2:G$506,2,0)</f>
        <v>48.93</v>
      </c>
      <c r="E489">
        <f>VLOOKUP(A489,NYSEARCAVWO!A$2:G$506,2,0)</f>
        <v>40.32</v>
      </c>
      <c r="F489">
        <f>VLOOKUP(A489,NYSEARCABND!A$2:G$506,2,0)</f>
        <v>81.42</v>
      </c>
      <c r="G489">
        <f>VLOOKUP(A489,NYSEARCATIP!A$2:G$506,2,0)</f>
        <v>114.68</v>
      </c>
      <c r="H489">
        <f>VLOOKUP(A489,NYSEARCAMUB!A$2:G$506,2,0)</f>
        <v>109.36</v>
      </c>
      <c r="I489">
        <f>VLOOKUP(A489,NYSEARCAVNQ!A$2:G$506,2,0)</f>
        <v>84.01</v>
      </c>
      <c r="J489">
        <f>VLOOKUP(A489,NYSEARCARWX!A$2:G$506,2,0)</f>
        <v>38.32</v>
      </c>
      <c r="K489">
        <f>VLOOKUP(A489,NYSEARCADBC!A$2:G$506,2,0)</f>
        <v>14.8</v>
      </c>
      <c r="L489">
        <f>VLOOKUP(A489,NYSEARCAGSG!A$2:G$506,2,0)</f>
        <v>14.31</v>
      </c>
      <c r="M489">
        <f>VLOOKUP(A489,NYSEARCAGLD!A$2:G$506,2,0)</f>
        <v>120.42</v>
      </c>
      <c r="N489">
        <f>VLOOKUP(A489,NYSEBP!A$2:G$506,2,0)</f>
        <v>34.520000000000003</v>
      </c>
      <c r="O489">
        <f>VLOOKUP(A489,NASDAQYHOO!A$2:G$506,2,0)</f>
        <v>48.08</v>
      </c>
    </row>
    <row r="490" spans="1:15">
      <c r="A490" s="39">
        <v>42853</v>
      </c>
      <c r="B490">
        <v>75.239999999999995</v>
      </c>
      <c r="C490">
        <f>VLOOKUP(A490,NYSEARCAVTI!A$2:G$506,2,0)</f>
        <v>123.16</v>
      </c>
      <c r="D490">
        <f>VLOOKUP(A490,NYSEARCAVEU!A$2:G$506,2,0)</f>
        <v>48.87</v>
      </c>
      <c r="E490">
        <f>VLOOKUP(A490,NYSEARCAVWO!A$2:G$506,2,0)</f>
        <v>40.26</v>
      </c>
      <c r="F490">
        <f>VLOOKUP(A490,NYSEARCABND!A$2:G$506,2,0)</f>
        <v>81.400000000000006</v>
      </c>
      <c r="G490">
        <f>VLOOKUP(A490,NYSEARCATIP!A$2:G$506,2,0)</f>
        <v>114.84</v>
      </c>
      <c r="H490">
        <f>VLOOKUP(A490,NYSEARCAMUB!A$2:G$506,2,0)</f>
        <v>109.33</v>
      </c>
      <c r="I490">
        <f>VLOOKUP(A490,NYSEARCAVNQ!A$2:G$506,2,0)</f>
        <v>83.44</v>
      </c>
      <c r="J490">
        <f>VLOOKUP(A490,NYSEARCARWX!A$2:G$506,2,0)</f>
        <v>38.15</v>
      </c>
      <c r="K490">
        <f>VLOOKUP(A490,NYSEARCADBC!A$2:G$506,2,0)</f>
        <v>14.87</v>
      </c>
      <c r="L490">
        <f>VLOOKUP(A490,NYSEARCAGSG!A$2:G$506,2,0)</f>
        <v>14.45</v>
      </c>
      <c r="M490">
        <f>VLOOKUP(A490,NYSEARCAGLD!A$2:G$506,2,0)</f>
        <v>120.34</v>
      </c>
      <c r="N490">
        <f>VLOOKUP(A490,NYSEBP!A$2:G$506,2,0)</f>
        <v>34.340000000000003</v>
      </c>
      <c r="O490">
        <f>VLOOKUP(A490,NASDAQYHOO!A$2:G$506,2,0)</f>
        <v>48.45</v>
      </c>
    </row>
    <row r="491" spans="1:15">
      <c r="A491" s="39">
        <v>42856</v>
      </c>
      <c r="B491">
        <v>75.09</v>
      </c>
      <c r="C491">
        <f>VLOOKUP(A491,NYSEARCAVTI!A$2:G$506,2,0)</f>
        <v>122.93</v>
      </c>
      <c r="D491">
        <f>VLOOKUP(A491,NYSEARCAVEU!A$2:G$506,2,0)</f>
        <v>49.04</v>
      </c>
      <c r="E491">
        <f>VLOOKUP(A491,NYSEARCAVWO!A$2:G$506,2,0)</f>
        <v>40.479999999999997</v>
      </c>
      <c r="F491">
        <f>VLOOKUP(A491,NYSEARCABND!A$2:G$506,2,0)</f>
        <v>81.34</v>
      </c>
      <c r="G491">
        <f>VLOOKUP(A491,NYSEARCATIP!A$2:G$506,2,0)</f>
        <v>114.55</v>
      </c>
      <c r="H491">
        <f>VLOOKUP(A491,NYSEARCAMUB!A$2:G$506,2,0)</f>
        <v>109.07</v>
      </c>
      <c r="I491">
        <f>VLOOKUP(A491,NYSEARCAVNQ!A$2:G$506,2,0)</f>
        <v>83.15</v>
      </c>
      <c r="J491">
        <f>VLOOKUP(A491,NYSEARCARWX!A$2:G$506,2,0)</f>
        <v>38.299999999999997</v>
      </c>
      <c r="K491">
        <f>VLOOKUP(A491,NYSEARCADBC!A$2:G$506,2,0)</f>
        <v>14.81</v>
      </c>
      <c r="L491">
        <f>VLOOKUP(A491,NYSEARCAGSG!A$2:G$506,2,0)</f>
        <v>14.44</v>
      </c>
      <c r="M491">
        <f>VLOOKUP(A491,NYSEARCAGLD!A$2:G$506,2,0)</f>
        <v>120.21</v>
      </c>
      <c r="N491">
        <f>VLOOKUP(A491,NYSEBP!A$2:G$506,2,0)</f>
        <v>34.33</v>
      </c>
      <c r="O491">
        <f>VLOOKUP(A491,NASDAQYHOO!A$2:G$506,2,0)</f>
        <v>48.22</v>
      </c>
    </row>
    <row r="492" spans="1:15">
      <c r="A492" s="39">
        <v>42857</v>
      </c>
      <c r="B492">
        <v>75.3</v>
      </c>
      <c r="C492">
        <f>VLOOKUP(A492,NYSEARCAVTI!A$2:G$506,2,0)</f>
        <v>123.09</v>
      </c>
      <c r="D492">
        <f>VLOOKUP(A492,NYSEARCAVEU!A$2:G$506,2,0)</f>
        <v>49.15</v>
      </c>
      <c r="E492">
        <f>VLOOKUP(A492,NYSEARCAVWO!A$2:G$506,2,0)</f>
        <v>40.6</v>
      </c>
      <c r="F492">
        <f>VLOOKUP(A492,NYSEARCABND!A$2:G$506,2,0)</f>
        <v>81.239999999999995</v>
      </c>
      <c r="G492">
        <f>VLOOKUP(A492,NYSEARCATIP!A$2:G$506,2,0)</f>
        <v>114.33</v>
      </c>
      <c r="H492">
        <f>VLOOKUP(A492,NYSEARCAMUB!A$2:G$506,2,0)</f>
        <v>108.96</v>
      </c>
      <c r="I492">
        <f>VLOOKUP(A492,NYSEARCAVNQ!A$2:G$506,2,0)</f>
        <v>83.38</v>
      </c>
      <c r="J492">
        <f>VLOOKUP(A492,NYSEARCARWX!A$2:G$506,2,0)</f>
        <v>38.5</v>
      </c>
      <c r="K492">
        <f>VLOOKUP(A492,NYSEARCADBC!A$2:G$506,2,0)</f>
        <v>14.82</v>
      </c>
      <c r="L492">
        <f>VLOOKUP(A492,NYSEARCAGSG!A$2:G$506,2,0)</f>
        <v>14.46</v>
      </c>
      <c r="M492">
        <f>VLOOKUP(A492,NYSEARCAGLD!A$2:G$506,2,0)</f>
        <v>119.3</v>
      </c>
      <c r="N492">
        <f>VLOOKUP(A492,NYSEBP!A$2:G$506,2,0)</f>
        <v>34.82</v>
      </c>
      <c r="O492">
        <f>VLOOKUP(A492,NASDAQYHOO!A$2:G$506,2,0)</f>
        <v>48.72</v>
      </c>
    </row>
    <row r="493" spans="1:15">
      <c r="A493" s="39">
        <v>42858</v>
      </c>
      <c r="B493">
        <v>75.400000000000006</v>
      </c>
      <c r="C493">
        <f>VLOOKUP(A493,NYSEARCAVTI!A$2:G$506,2,0)</f>
        <v>122.59</v>
      </c>
      <c r="D493">
        <f>VLOOKUP(A493,NYSEARCAVEU!A$2:G$506,2,0)</f>
        <v>49.12</v>
      </c>
      <c r="E493">
        <f>VLOOKUP(A493,NYSEARCAVWO!A$2:G$506,2,0)</f>
        <v>40.56</v>
      </c>
      <c r="F493">
        <f>VLOOKUP(A493,NYSEARCABND!A$2:G$506,2,0)</f>
        <v>81.400000000000006</v>
      </c>
      <c r="G493">
        <f>VLOOKUP(A493,NYSEARCATIP!A$2:G$506,2,0)</f>
        <v>114.37</v>
      </c>
      <c r="H493">
        <f>VLOOKUP(A493,NYSEARCAMUB!A$2:G$506,2,0)</f>
        <v>109.17</v>
      </c>
      <c r="I493">
        <f>VLOOKUP(A493,NYSEARCAVNQ!A$2:G$506,2,0)</f>
        <v>83.1</v>
      </c>
      <c r="J493">
        <f>VLOOKUP(A493,NYSEARCARWX!A$2:G$506,2,0)</f>
        <v>38.46</v>
      </c>
      <c r="K493">
        <f>VLOOKUP(A493,NYSEARCADBC!A$2:G$506,2,0)</f>
        <v>14.7</v>
      </c>
      <c r="L493">
        <f>VLOOKUP(A493,NYSEARCAGSG!A$2:G$506,2,0)</f>
        <v>14.24</v>
      </c>
      <c r="M493">
        <f>VLOOKUP(A493,NYSEARCAGLD!A$2:G$506,2,0)</f>
        <v>119.18</v>
      </c>
      <c r="N493">
        <f>VLOOKUP(A493,NYSEBP!A$2:G$506,2,0)</f>
        <v>34.6</v>
      </c>
      <c r="O493">
        <f>VLOOKUP(A493,NASDAQYHOO!A$2:G$506,2,0)</f>
        <v>49.19</v>
      </c>
    </row>
    <row r="494" spans="1:15">
      <c r="A494" s="39">
        <v>42859</v>
      </c>
      <c r="B494">
        <v>75.930000000000007</v>
      </c>
      <c r="C494">
        <f>VLOOKUP(A494,NYSEARCAVTI!A$2:G$506,2,0)</f>
        <v>122.83</v>
      </c>
      <c r="D494">
        <f>VLOOKUP(A494,NYSEARCAVEU!A$2:G$506,2,0)</f>
        <v>49.21</v>
      </c>
      <c r="E494">
        <f>VLOOKUP(A494,NYSEARCAVWO!A$2:G$506,2,0)</f>
        <v>40.229999999999997</v>
      </c>
      <c r="F494">
        <f>VLOOKUP(A494,NYSEARCABND!A$2:G$506,2,0)</f>
        <v>81.14</v>
      </c>
      <c r="G494">
        <f>VLOOKUP(A494,NYSEARCATIP!A$2:G$506,2,0)</f>
        <v>113.69</v>
      </c>
      <c r="H494">
        <f>VLOOKUP(A494,NYSEARCAMUB!A$2:G$506,2,0)</f>
        <v>109.11</v>
      </c>
      <c r="I494">
        <f>VLOOKUP(A494,NYSEARCAVNQ!A$2:G$506,2,0)</f>
        <v>81.52</v>
      </c>
      <c r="J494">
        <f>VLOOKUP(A494,NYSEARCARWX!A$2:G$506,2,0)</f>
        <v>38.28</v>
      </c>
      <c r="K494">
        <f>VLOOKUP(A494,NYSEARCADBC!A$2:G$506,2,0)</f>
        <v>14.46</v>
      </c>
      <c r="L494">
        <f>VLOOKUP(A494,NYSEARCAGSG!A$2:G$506,2,0)</f>
        <v>13.87</v>
      </c>
      <c r="M494">
        <f>VLOOKUP(A494,NYSEARCAGLD!A$2:G$506,2,0)</f>
        <v>116.81</v>
      </c>
      <c r="N494">
        <f>VLOOKUP(A494,NYSEBP!A$2:G$506,2,0)</f>
        <v>34.43</v>
      </c>
      <c r="O494">
        <f>VLOOKUP(A494,NASDAQYHOO!A$2:G$506,2,0)</f>
        <v>48.63</v>
      </c>
    </row>
    <row r="495" spans="1:15">
      <c r="A495" s="39">
        <v>42860</v>
      </c>
      <c r="B495">
        <v>76.42</v>
      </c>
      <c r="C495">
        <f>VLOOKUP(A495,NYSEARCAVTI!A$2:G$506,2,0)</f>
        <v>122.95</v>
      </c>
      <c r="D495">
        <f>VLOOKUP(A495,NYSEARCAVEU!A$2:G$506,2,0)</f>
        <v>49.31</v>
      </c>
      <c r="E495">
        <f>VLOOKUP(A495,NYSEARCAVWO!A$2:G$506,2,0)</f>
        <v>39.94</v>
      </c>
      <c r="F495">
        <f>VLOOKUP(A495,NYSEARCABND!A$2:G$506,2,0)</f>
        <v>81.2</v>
      </c>
      <c r="G495">
        <f>VLOOKUP(A495,NYSEARCATIP!A$2:G$506,2,0)</f>
        <v>113.72</v>
      </c>
      <c r="H495">
        <f>VLOOKUP(A495,NYSEARCAMUB!A$2:G$506,2,0)</f>
        <v>109.18</v>
      </c>
      <c r="I495">
        <f>VLOOKUP(A495,NYSEARCAVNQ!A$2:G$506,2,0)</f>
        <v>81.81</v>
      </c>
      <c r="J495">
        <f>VLOOKUP(A495,NYSEARCARWX!A$2:G$506,2,0)</f>
        <v>38.33</v>
      </c>
      <c r="K495">
        <f>VLOOKUP(A495,NYSEARCADBC!A$2:G$506,2,0)</f>
        <v>14.32</v>
      </c>
      <c r="L495">
        <f>VLOOKUP(A495,NYSEARCAGSG!A$2:G$506,2,0)</f>
        <v>13.95</v>
      </c>
      <c r="M495">
        <f>VLOOKUP(A495,NYSEARCAGLD!A$2:G$506,2,0)</f>
        <v>116.86</v>
      </c>
      <c r="N495">
        <f>VLOOKUP(A495,NYSEBP!A$2:G$506,2,0)</f>
        <v>34.67</v>
      </c>
      <c r="O495">
        <f>VLOOKUP(A495,NASDAQYHOO!A$2:G$506,2,0)</f>
        <v>48.45</v>
      </c>
    </row>
    <row r="496" spans="1:15">
      <c r="A496" s="39">
        <v>42863</v>
      </c>
      <c r="B496">
        <v>76.5</v>
      </c>
      <c r="C496">
        <f>VLOOKUP(A496,NYSEARCAVTI!A$2:G$506,2,0)</f>
        <v>123.36</v>
      </c>
      <c r="D496">
        <f>VLOOKUP(A496,NYSEARCAVEU!A$2:G$506,2,0)</f>
        <v>49.56</v>
      </c>
      <c r="E496">
        <f>VLOOKUP(A496,NYSEARCAVWO!A$2:G$506,2,0)</f>
        <v>40.17</v>
      </c>
      <c r="F496">
        <f>VLOOKUP(A496,NYSEARCABND!A$2:G$506,2,0)</f>
        <v>81.19</v>
      </c>
      <c r="G496">
        <f>VLOOKUP(A496,NYSEARCATIP!A$2:G$506,2,0)</f>
        <v>113.56</v>
      </c>
      <c r="H496">
        <f>VLOOKUP(A496,NYSEARCAMUB!A$2:G$506,2,0)</f>
        <v>109.19</v>
      </c>
      <c r="I496">
        <f>VLOOKUP(A496,NYSEARCAVNQ!A$2:G$506,2,0)</f>
        <v>82.58</v>
      </c>
      <c r="J496">
        <f>VLOOKUP(A496,NYSEARCARWX!A$2:G$506,2,0)</f>
        <v>38.659999999999997</v>
      </c>
      <c r="K496">
        <f>VLOOKUP(A496,NYSEARCADBC!A$2:G$506,2,0)</f>
        <v>14.39</v>
      </c>
      <c r="L496">
        <f>VLOOKUP(A496,NYSEARCAGSG!A$2:G$506,2,0)</f>
        <v>14.01</v>
      </c>
      <c r="M496">
        <f>VLOOKUP(A496,NYSEARCAGLD!A$2:G$506,2,0)</f>
        <v>117.03</v>
      </c>
      <c r="N496">
        <f>VLOOKUP(A496,NYSEBP!A$2:G$506,2,0)</f>
        <v>35.32</v>
      </c>
      <c r="O496">
        <f>VLOOKUP(A496,NASDAQYHOO!A$2:G$506,2,0)</f>
        <v>48.71</v>
      </c>
    </row>
    <row r="497" spans="1:15">
      <c r="A497" s="39">
        <v>42864</v>
      </c>
      <c r="B497">
        <v>76.44</v>
      </c>
      <c r="C497">
        <f>VLOOKUP(A497,NYSEARCAVTI!A$2:G$506,2,0)</f>
        <v>123.36</v>
      </c>
      <c r="D497">
        <f>VLOOKUP(A497,NYSEARCAVEU!A$2:G$506,2,0)</f>
        <v>49.55</v>
      </c>
      <c r="E497">
        <f>VLOOKUP(A497,NYSEARCAVWO!A$2:G$506,2,0)</f>
        <v>40.25</v>
      </c>
      <c r="F497">
        <f>VLOOKUP(A497,NYSEARCABND!A$2:G$506,2,0)</f>
        <v>81.05</v>
      </c>
      <c r="G497">
        <f>VLOOKUP(A497,NYSEARCATIP!A$2:G$506,2,0)</f>
        <v>113.31</v>
      </c>
      <c r="H497">
        <f>VLOOKUP(A497,NYSEARCAMUB!A$2:G$506,2,0)</f>
        <v>109.14</v>
      </c>
      <c r="I497">
        <f>VLOOKUP(A497,NYSEARCAVNQ!A$2:G$506,2,0)</f>
        <v>81.81</v>
      </c>
      <c r="J497">
        <f>VLOOKUP(A497,NYSEARCARWX!A$2:G$506,2,0)</f>
        <v>38.5</v>
      </c>
      <c r="K497">
        <f>VLOOKUP(A497,NYSEARCADBC!A$2:G$506,2,0)</f>
        <v>14.43</v>
      </c>
      <c r="L497">
        <f>VLOOKUP(A497,NYSEARCAGSG!A$2:G$506,2,0)</f>
        <v>14.04</v>
      </c>
      <c r="M497">
        <f>VLOOKUP(A497,NYSEARCAGLD!A$2:G$506,2,0)</f>
        <v>116.18</v>
      </c>
      <c r="N497">
        <f>VLOOKUP(A497,NYSEBP!A$2:G$506,2,0)</f>
        <v>35.44</v>
      </c>
      <c r="O497">
        <f>VLOOKUP(A497,NASDAQYHOO!A$2:G$506,2,0)</f>
        <v>49.14</v>
      </c>
    </row>
    <row r="498" spans="1:15">
      <c r="A498" s="39">
        <v>42865</v>
      </c>
      <c r="B498">
        <v>76.33</v>
      </c>
      <c r="C498">
        <f>VLOOKUP(A498,NYSEARCAVTI!A$2:G$506,2,0)</f>
        <v>123.09</v>
      </c>
      <c r="D498">
        <f>VLOOKUP(A498,NYSEARCAVEU!A$2:G$506,2,0)</f>
        <v>49.59</v>
      </c>
      <c r="E498">
        <f>VLOOKUP(A498,NYSEARCAVWO!A$2:G$506,2,0)</f>
        <v>40.6</v>
      </c>
      <c r="F498">
        <f>VLOOKUP(A498,NYSEARCABND!A$2:G$506,2,0)</f>
        <v>81.14</v>
      </c>
      <c r="G498">
        <f>VLOOKUP(A498,NYSEARCATIP!A$2:G$506,2,0)</f>
        <v>113.47</v>
      </c>
      <c r="H498">
        <f>VLOOKUP(A498,NYSEARCAMUB!A$2:G$506,2,0)</f>
        <v>109.24</v>
      </c>
      <c r="I498">
        <f>VLOOKUP(A498,NYSEARCAVNQ!A$2:G$506,2,0)</f>
        <v>81.37</v>
      </c>
      <c r="J498">
        <f>VLOOKUP(A498,NYSEARCARWX!A$2:G$506,2,0)</f>
        <v>38.520000000000003</v>
      </c>
      <c r="K498">
        <f>VLOOKUP(A498,NYSEARCADBC!A$2:G$506,2,0)</f>
        <v>14.43</v>
      </c>
      <c r="L498">
        <f>VLOOKUP(A498,NYSEARCAGSG!A$2:G$506,2,0)</f>
        <v>14.03</v>
      </c>
      <c r="M498">
        <f>VLOOKUP(A498,NYSEARCAGLD!A$2:G$506,2,0)</f>
        <v>116.42</v>
      </c>
      <c r="N498">
        <f>VLOOKUP(A498,NYSEBP!A$2:G$506,2,0)</f>
        <v>35.24</v>
      </c>
      <c r="O498">
        <f>VLOOKUP(A498,NASDAQYHOO!A$2:G$506,2,0)</f>
        <v>49.4</v>
      </c>
    </row>
    <row r="499" spans="1:15">
      <c r="A499" s="39">
        <v>42866</v>
      </c>
      <c r="B499">
        <v>76.349999999999994</v>
      </c>
      <c r="C499">
        <f>VLOOKUP(A499,NYSEARCAVTI!A$2:G$506,2,0)</f>
        <v>123.02</v>
      </c>
      <c r="D499">
        <f>VLOOKUP(A499,NYSEARCAVEU!A$2:G$506,2,0)</f>
        <v>49.52</v>
      </c>
      <c r="E499">
        <f>VLOOKUP(A499,NYSEARCAVWO!A$2:G$506,2,0)</f>
        <v>40.68</v>
      </c>
      <c r="F499">
        <f>VLOOKUP(A499,NYSEARCABND!A$2:G$506,2,0)</f>
        <v>81</v>
      </c>
      <c r="G499">
        <f>VLOOKUP(A499,NYSEARCATIP!A$2:G$506,2,0)</f>
        <v>113.29</v>
      </c>
      <c r="H499">
        <f>VLOOKUP(A499,NYSEARCAMUB!A$2:G$506,2,0)</f>
        <v>109.28</v>
      </c>
      <c r="I499">
        <f>VLOOKUP(A499,NYSEARCAVNQ!A$2:G$506,2,0)</f>
        <v>81.72</v>
      </c>
      <c r="J499">
        <f>VLOOKUP(A499,NYSEARCARWX!A$2:G$506,2,0)</f>
        <v>38.450000000000003</v>
      </c>
      <c r="K499">
        <f>VLOOKUP(A499,NYSEARCADBC!A$2:G$506,2,0)</f>
        <v>14.63</v>
      </c>
      <c r="L499">
        <f>VLOOKUP(A499,NYSEARCAGSG!A$2:G$506,2,0)</f>
        <v>14.27</v>
      </c>
      <c r="M499">
        <f>VLOOKUP(A499,NYSEARCAGLD!A$2:G$506,2,0)</f>
        <v>116.21</v>
      </c>
      <c r="N499">
        <f>VLOOKUP(A499,NYSEBP!A$2:G$506,2,0)</f>
        <v>35.11</v>
      </c>
      <c r="O499">
        <f>VLOOKUP(A499,NASDAQYHOO!A$2:G$506,2,0)</f>
        <v>49.45</v>
      </c>
    </row>
    <row r="500" spans="1:15">
      <c r="A500" s="39">
        <v>42867</v>
      </c>
      <c r="B500">
        <v>75.95</v>
      </c>
      <c r="C500">
        <f>VLOOKUP(A500,NYSEARCAVTI!A$2:G$506,2,0)</f>
        <v>122.91</v>
      </c>
      <c r="D500">
        <f>VLOOKUP(A500,NYSEARCAVEU!A$2:G$506,2,0)</f>
        <v>49.64</v>
      </c>
      <c r="E500">
        <f>VLOOKUP(A500,NYSEARCAVWO!A$2:G$506,2,0)</f>
        <v>40.799999999999997</v>
      </c>
      <c r="F500">
        <f>VLOOKUP(A500,NYSEARCABND!A$2:G$506,2,0)</f>
        <v>81.290000000000006</v>
      </c>
      <c r="G500">
        <f>VLOOKUP(A500,NYSEARCATIP!A$2:G$506,2,0)</f>
        <v>113.68</v>
      </c>
      <c r="H500">
        <f>VLOOKUP(A500,NYSEARCAMUB!A$2:G$506,2,0)</f>
        <v>109.44</v>
      </c>
      <c r="I500">
        <f>VLOOKUP(A500,NYSEARCAVNQ!A$2:G$506,2,0)</f>
        <v>81.75</v>
      </c>
      <c r="J500">
        <f>VLOOKUP(A500,NYSEARCARWX!A$2:G$506,2,0)</f>
        <v>38.54</v>
      </c>
      <c r="K500">
        <f>VLOOKUP(A500,NYSEARCADBC!A$2:G$506,2,0)</f>
        <v>14.66</v>
      </c>
      <c r="L500">
        <f>VLOOKUP(A500,NYSEARCAGSG!A$2:G$506,2,0)</f>
        <v>14.29</v>
      </c>
      <c r="M500">
        <f>VLOOKUP(A500,NYSEARCAGLD!A$2:G$506,2,0)</f>
        <v>117.07</v>
      </c>
      <c r="N500">
        <f>VLOOKUP(A500,NYSEBP!A$2:G$506,2,0)</f>
        <v>35.22</v>
      </c>
      <c r="O500">
        <f>VLOOKUP(A500,NASDAQYHOO!A$2:G$506,2,0)</f>
        <v>49.75</v>
      </c>
    </row>
    <row r="501" spans="1:15">
      <c r="A501" s="39">
        <v>42870</v>
      </c>
      <c r="B501">
        <v>75.8</v>
      </c>
      <c r="C501">
        <f>VLOOKUP(A501,NYSEARCAVTI!A$2:G$506,2,0)</f>
        <v>123.07</v>
      </c>
      <c r="D501">
        <f>VLOOKUP(A501,NYSEARCAVEU!A$2:G$506,2,0)</f>
        <v>50.01</v>
      </c>
      <c r="E501">
        <f>VLOOKUP(A501,NYSEARCAVWO!A$2:G$506,2,0)</f>
        <v>41.14</v>
      </c>
      <c r="F501">
        <f>VLOOKUP(A501,NYSEARCABND!A$2:G$506,2,0)</f>
        <v>81.3</v>
      </c>
      <c r="G501">
        <f>VLOOKUP(A501,NYSEARCATIP!A$2:G$506,2,0)</f>
        <v>113.79</v>
      </c>
      <c r="H501">
        <f>VLOOKUP(A501,NYSEARCAMUB!A$2:G$506,2,0)</f>
        <v>109.55</v>
      </c>
      <c r="I501">
        <f>VLOOKUP(A501,NYSEARCAVNQ!A$2:G$506,2,0)</f>
        <v>81.349999999999994</v>
      </c>
      <c r="J501">
        <f>VLOOKUP(A501,NYSEARCARWX!A$2:G$506,2,0)</f>
        <v>38.82</v>
      </c>
      <c r="K501">
        <f>VLOOKUP(A501,NYSEARCADBC!A$2:G$506,2,0)</f>
        <v>14.83</v>
      </c>
      <c r="L501">
        <f>VLOOKUP(A501,NYSEARCAGSG!A$2:G$506,2,0)</f>
        <v>14.54</v>
      </c>
      <c r="M501">
        <f>VLOOKUP(A501,NYSEARCAGLD!A$2:G$506,2,0)</f>
        <v>117.52</v>
      </c>
      <c r="N501">
        <f>VLOOKUP(A501,NYSEBP!A$2:G$506,2,0)</f>
        <v>36.1</v>
      </c>
      <c r="O501">
        <f>VLOOKUP(A501,NASDAQYHOO!A$2:G$506,2,0)</f>
        <v>49.71</v>
      </c>
    </row>
    <row r="502" spans="1:15">
      <c r="A502" s="39">
        <v>42871</v>
      </c>
      <c r="B502">
        <v>76.19</v>
      </c>
      <c r="C502">
        <f>VLOOKUP(A502,NYSEARCAVTI!A$2:G$506,2,0)</f>
        <v>123.63</v>
      </c>
      <c r="D502">
        <f>VLOOKUP(A502,NYSEARCAVEU!A$2:G$506,2,0)</f>
        <v>50.39</v>
      </c>
      <c r="E502">
        <f>VLOOKUP(A502,NYSEARCAVWO!A$2:G$506,2,0)</f>
        <v>41.32</v>
      </c>
      <c r="F502">
        <f>VLOOKUP(A502,NYSEARCABND!A$2:G$506,2,0)</f>
        <v>81.36</v>
      </c>
      <c r="G502">
        <f>VLOOKUP(A502,NYSEARCATIP!A$2:G$506,2,0)</f>
        <v>113.49</v>
      </c>
      <c r="H502">
        <f>VLOOKUP(A502,NYSEARCAMUB!A$2:G$506,2,0)</f>
        <v>109.6</v>
      </c>
      <c r="I502">
        <f>VLOOKUP(A502,NYSEARCAVNQ!A$2:G$506,2,0)</f>
        <v>81.52</v>
      </c>
      <c r="J502">
        <f>VLOOKUP(A502,NYSEARCARWX!A$2:G$506,2,0)</f>
        <v>38.79</v>
      </c>
      <c r="K502">
        <f>VLOOKUP(A502,NYSEARCADBC!A$2:G$506,2,0)</f>
        <v>14.77</v>
      </c>
      <c r="L502">
        <f>VLOOKUP(A502,NYSEARCAGSG!A$2:G$506,2,0)</f>
        <v>14.47</v>
      </c>
      <c r="M502">
        <f>VLOOKUP(A502,NYSEARCAGLD!A$2:G$506,2,0)</f>
        <v>117.45</v>
      </c>
      <c r="N502">
        <f>VLOOKUP(A502,NYSEBP!A$2:G$506,2,0)</f>
        <v>36.24</v>
      </c>
      <c r="O502">
        <f>VLOOKUP(A502,NASDAQYHOO!A$2:G$506,2,0)</f>
        <v>50.05</v>
      </c>
    </row>
    <row r="503" spans="1:15">
      <c r="A503" s="39">
        <v>42872</v>
      </c>
      <c r="B503">
        <v>75.05</v>
      </c>
      <c r="C503">
        <f>VLOOKUP(A503,NYSEARCAVTI!A$2:G$506,2,0)</f>
        <v>122.31</v>
      </c>
      <c r="D503">
        <f>VLOOKUP(A503,NYSEARCAVEU!A$2:G$506,2,0)</f>
        <v>50.13</v>
      </c>
      <c r="E503">
        <f>VLOOKUP(A503,NYSEARCAVWO!A$2:G$506,2,0)</f>
        <v>41.01</v>
      </c>
      <c r="F503">
        <f>VLOOKUP(A503,NYSEARCABND!A$2:G$506,2,0)</f>
        <v>81.63</v>
      </c>
      <c r="G503">
        <f>VLOOKUP(A503,NYSEARCATIP!A$2:G$506,2,0)</f>
        <v>113.88</v>
      </c>
      <c r="H503">
        <f>VLOOKUP(A503,NYSEARCAMUB!A$2:G$506,2,0)</f>
        <v>109.89</v>
      </c>
      <c r="I503">
        <f>VLOOKUP(A503,NYSEARCAVNQ!A$2:G$506,2,0)</f>
        <v>80.92</v>
      </c>
      <c r="J503">
        <f>VLOOKUP(A503,NYSEARCARWX!A$2:G$506,2,0)</f>
        <v>38.82</v>
      </c>
      <c r="K503">
        <f>VLOOKUP(A503,NYSEARCADBC!A$2:G$506,2,0)</f>
        <v>14.81</v>
      </c>
      <c r="L503">
        <f>VLOOKUP(A503,NYSEARCAGSG!A$2:G$506,2,0)</f>
        <v>14.49</v>
      </c>
      <c r="M503">
        <f>VLOOKUP(A503,NYSEARCAGLD!A$2:G$506,2,0)</f>
        <v>119.36</v>
      </c>
      <c r="N503">
        <f>VLOOKUP(A503,NYSEBP!A$2:G$506,2,0)</f>
        <v>36.479999999999997</v>
      </c>
      <c r="O503">
        <f>VLOOKUP(A503,NASDAQYHOO!A$2:G$506,2,0)</f>
        <v>50.7</v>
      </c>
    </row>
    <row r="504" spans="1:15">
      <c r="A504" s="39">
        <v>42873</v>
      </c>
      <c r="B504">
        <v>76.89</v>
      </c>
      <c r="C504">
        <f>VLOOKUP(A504,NYSEARCAVTI!A$2:G$506,2,0)</f>
        <v>120.94</v>
      </c>
      <c r="D504">
        <f>VLOOKUP(A504,NYSEARCAVEU!A$2:G$506,2,0)</f>
        <v>49.45</v>
      </c>
      <c r="E504">
        <f>VLOOKUP(A504,NYSEARCAVWO!A$2:G$506,2,0)</f>
        <v>39.86</v>
      </c>
      <c r="F504">
        <f>VLOOKUP(A504,NYSEARCABND!A$2:G$506,2,0)</f>
        <v>81.87</v>
      </c>
      <c r="G504">
        <f>VLOOKUP(A504,NYSEARCATIP!A$2:G$506,2,0)</f>
        <v>114.2</v>
      </c>
      <c r="H504">
        <f>VLOOKUP(A504,NYSEARCAMUB!A$2:G$506,2,0)</f>
        <v>110.07</v>
      </c>
      <c r="I504">
        <f>VLOOKUP(A504,NYSEARCAVNQ!A$2:G$506,2,0)</f>
        <v>81.17</v>
      </c>
      <c r="J504">
        <f>VLOOKUP(A504,NYSEARCARWX!A$2:G$506,2,0)</f>
        <v>38.54</v>
      </c>
      <c r="K504">
        <f>VLOOKUP(A504,NYSEARCADBC!A$2:G$506,2,0)</f>
        <v>14.72</v>
      </c>
      <c r="L504">
        <f>VLOOKUP(A504,NYSEARCAGSG!A$2:G$506,2,0)</f>
        <v>14.35</v>
      </c>
      <c r="M504">
        <f>VLOOKUP(A504,NYSEARCAGLD!A$2:G$506,2,0)</f>
        <v>119.77</v>
      </c>
      <c r="N504">
        <f>VLOOKUP(A504,NYSEBP!A$2:G$506,2,0)</f>
        <v>36.299999999999997</v>
      </c>
      <c r="O504">
        <f>VLOOKUP(A504,NASDAQYHOO!A$2:G$506,2,0)</f>
        <v>48.68</v>
      </c>
    </row>
    <row r="505" spans="1:15">
      <c r="A505" s="39">
        <v>42874</v>
      </c>
      <c r="B505">
        <v>77.97</v>
      </c>
      <c r="C505">
        <f>VLOOKUP(A505,NYSEARCAVTI!A$2:G$506,2,0)</f>
        <v>121.91</v>
      </c>
      <c r="D505">
        <f>VLOOKUP(A505,NYSEARCAVEU!A$2:G$506,2,0)</f>
        <v>50.05</v>
      </c>
      <c r="E505">
        <f>VLOOKUP(A505,NYSEARCAVWO!A$2:G$506,2,0)</f>
        <v>40.5</v>
      </c>
      <c r="F505">
        <f>VLOOKUP(A505,NYSEARCABND!A$2:G$506,2,0)</f>
        <v>81.81</v>
      </c>
      <c r="G505">
        <f>VLOOKUP(A505,NYSEARCATIP!A$2:G$506,2,0)</f>
        <v>114.4</v>
      </c>
      <c r="H505">
        <f>VLOOKUP(A505,NYSEARCAMUB!A$2:G$506,2,0)</f>
        <v>110.07</v>
      </c>
      <c r="I505">
        <f>VLOOKUP(A505,NYSEARCAVNQ!A$2:G$506,2,0)</f>
        <v>81.69</v>
      </c>
      <c r="J505">
        <f>VLOOKUP(A505,NYSEARCARWX!A$2:G$506,2,0)</f>
        <v>38.75</v>
      </c>
      <c r="K505">
        <f>VLOOKUP(A505,NYSEARCADBC!A$2:G$506,2,0)</f>
        <v>14.96</v>
      </c>
      <c r="L505">
        <f>VLOOKUP(A505,NYSEARCAGSG!A$2:G$506,2,0)</f>
        <v>14.61</v>
      </c>
      <c r="M505">
        <f>VLOOKUP(A505,NYSEARCAGLD!A$2:G$506,2,0)</f>
        <v>119.39</v>
      </c>
      <c r="N505">
        <f>VLOOKUP(A505,NYSEBP!A$2:G$506,2,0)</f>
        <v>36.96</v>
      </c>
      <c r="O505">
        <f>VLOOKUP(A505,NASDAQYHOO!A$2:G$506,2,0)</f>
        <v>50.03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05"/>
  <sheetViews>
    <sheetView workbookViewId="0"/>
  </sheetViews>
  <sheetFormatPr defaultRowHeight="15"/>
  <cols>
    <col min="1" max="1" width="10.42578125" bestFit="1" customWidth="1"/>
  </cols>
  <sheetData>
    <row r="1" spans="1:15">
      <c r="A1" t="s">
        <v>26</v>
      </c>
      <c r="B1" t="s">
        <v>63</v>
      </c>
      <c r="C1" t="s">
        <v>39</v>
      </c>
      <c r="D1" t="s">
        <v>41</v>
      </c>
      <c r="E1" t="s">
        <v>43</v>
      </c>
      <c r="F1" t="s">
        <v>45</v>
      </c>
      <c r="G1" t="s">
        <v>47</v>
      </c>
      <c r="H1" t="s">
        <v>49</v>
      </c>
      <c r="I1" t="s">
        <v>51</v>
      </c>
      <c r="J1" t="s">
        <v>53</v>
      </c>
      <c r="K1" t="s">
        <v>55</v>
      </c>
      <c r="L1" t="s">
        <v>57</v>
      </c>
      <c r="M1" t="s">
        <v>59</v>
      </c>
      <c r="N1" t="s">
        <v>66</v>
      </c>
      <c r="O1" t="s">
        <v>70</v>
      </c>
    </row>
    <row r="2" spans="1:15">
      <c r="A2" s="39">
        <v>42145</v>
      </c>
      <c r="B2">
        <v>76.42</v>
      </c>
      <c r="C2">
        <f>VLOOKUP(A2,NYSEARCAVTI!A$2:G$506,3,0)</f>
        <v>110.66</v>
      </c>
      <c r="D2">
        <f>VLOOKUP(A2,NYSEARCAVEU!A$2:G$506,3,0)</f>
        <v>52</v>
      </c>
      <c r="E2">
        <f>VLOOKUP(A2,NYSEARCAVWO!A$2:G$506,3,0)</f>
        <v>43.88</v>
      </c>
      <c r="F2">
        <f>VLOOKUP(A2,NYSEARCABND!A$2:G$506,3,0)</f>
        <v>82.16</v>
      </c>
      <c r="G2">
        <f>VLOOKUP(A2,NYSEARCATIP!A$2:G$506,3,0)</f>
        <v>112.84</v>
      </c>
      <c r="H2">
        <f>VLOOKUP(A2,NYSEARCAMUB!A$2:G$506,3,0)</f>
        <v>108.62</v>
      </c>
      <c r="I2">
        <f>VLOOKUP(A2,NYSEARCAVNQ!A$2:G$506,3,0)</f>
        <v>80.709999999999994</v>
      </c>
      <c r="J2">
        <f>VLOOKUP(A2,NYSEARCARWX!A$2:G$506,3,0)</f>
        <v>44.99</v>
      </c>
      <c r="K2">
        <f>VLOOKUP(A2,NYSEARCADBC!A$2:G$506,3,0)</f>
        <v>18.25</v>
      </c>
      <c r="L2">
        <f>VLOOKUP(A2,NYSEARCAGSG!A$2:G$506,3,0)</f>
        <v>21.72</v>
      </c>
      <c r="M2">
        <f>VLOOKUP(A2,NYSEARCAGLD!A$2:G$506,3,0)</f>
        <v>116</v>
      </c>
      <c r="N2">
        <f>VLOOKUP(A2,NYSEBP!A$2:G$506,3,0)</f>
        <v>43.07</v>
      </c>
      <c r="O2">
        <f>VLOOKUP(A2,NASDAQYHOO!A$2:G$506,3,0)</f>
        <v>43.86</v>
      </c>
    </row>
    <row r="3" spans="1:15">
      <c r="A3" s="39">
        <v>42146</v>
      </c>
      <c r="B3">
        <v>76.38</v>
      </c>
      <c r="C3">
        <f>VLOOKUP(A3,NYSEARCAVTI!A$2:G$506,3,0)</f>
        <v>110.55</v>
      </c>
      <c r="D3">
        <f>VLOOKUP(A3,NYSEARCAVEU!A$2:G$506,3,0)</f>
        <v>51.83</v>
      </c>
      <c r="E3">
        <f>VLOOKUP(A3,NYSEARCAVWO!A$2:G$506,3,0)</f>
        <v>44.11</v>
      </c>
      <c r="F3">
        <f>VLOOKUP(A3,NYSEARCABND!A$2:G$506,3,0)</f>
        <v>82.09</v>
      </c>
      <c r="G3">
        <f>VLOOKUP(A3,NYSEARCATIP!A$2:G$506,3,0)</f>
        <v>113</v>
      </c>
      <c r="H3">
        <f>VLOOKUP(A3,NYSEARCAMUB!A$2:G$506,3,0)</f>
        <v>108.46</v>
      </c>
      <c r="I3">
        <f>VLOOKUP(A3,NYSEARCAVNQ!A$2:G$506,3,0)</f>
        <v>80.599999999999994</v>
      </c>
      <c r="J3">
        <f>VLOOKUP(A3,NYSEARCARWX!A$2:G$506,3,0)</f>
        <v>44.82</v>
      </c>
      <c r="K3">
        <f>VLOOKUP(A3,NYSEARCADBC!A$2:G$506,3,0)</f>
        <v>18.07</v>
      </c>
      <c r="L3">
        <f>VLOOKUP(A3,NYSEARCAGSG!A$2:G$506,3,0)</f>
        <v>21.5</v>
      </c>
      <c r="M3">
        <f>VLOOKUP(A3,NYSEARCAGLD!A$2:G$506,3,0)</f>
        <v>115.93</v>
      </c>
      <c r="N3">
        <f>VLOOKUP(A3,NYSEBP!A$2:G$506,3,0)</f>
        <v>42.74</v>
      </c>
      <c r="O3">
        <f>VLOOKUP(A3,NASDAQYHOO!A$2:G$506,3,0)</f>
        <v>44</v>
      </c>
    </row>
    <row r="4" spans="1:15">
      <c r="A4" s="39">
        <v>42150</v>
      </c>
      <c r="B4">
        <v>75.83</v>
      </c>
      <c r="C4">
        <f>VLOOKUP(A4,NYSEARCAVTI!A$2:G$506,3,0)</f>
        <v>110.02</v>
      </c>
      <c r="D4">
        <f>VLOOKUP(A4,NYSEARCAVEU!A$2:G$506,3,0)</f>
        <v>51.37</v>
      </c>
      <c r="E4">
        <f>VLOOKUP(A4,NYSEARCAVWO!A$2:G$506,3,0)</f>
        <v>43.77</v>
      </c>
      <c r="F4">
        <f>VLOOKUP(A4,NYSEARCABND!A$2:G$506,3,0)</f>
        <v>82.31</v>
      </c>
      <c r="G4">
        <f>VLOOKUP(A4,NYSEARCATIP!A$2:G$506,3,0)</f>
        <v>113.2</v>
      </c>
      <c r="H4">
        <f>VLOOKUP(A4,NYSEARCAMUB!A$2:G$506,3,0)</f>
        <v>108.69</v>
      </c>
      <c r="I4">
        <f>VLOOKUP(A4,NYSEARCAVNQ!A$2:G$506,3,0)</f>
        <v>80.05</v>
      </c>
      <c r="J4">
        <f>VLOOKUP(A4,NYSEARCARWX!A$2:G$506,3,0)</f>
        <v>44.46</v>
      </c>
      <c r="K4">
        <f>VLOOKUP(A4,NYSEARCADBC!A$2:G$506,3,0)</f>
        <v>17.809999999999999</v>
      </c>
      <c r="L4">
        <f>VLOOKUP(A4,NYSEARCAGSG!A$2:G$506,3,0)</f>
        <v>21.15</v>
      </c>
      <c r="M4">
        <f>VLOOKUP(A4,NYSEARCAGLD!A$2:G$506,3,0)</f>
        <v>114.23</v>
      </c>
      <c r="N4">
        <f>VLOOKUP(A4,NYSEBP!A$2:G$506,3,0)</f>
        <v>41.96</v>
      </c>
      <c r="O4">
        <f>VLOOKUP(A4,NASDAQYHOO!A$2:G$506,3,0)</f>
        <v>43.5</v>
      </c>
    </row>
    <row r="5" spans="1:15">
      <c r="A5" s="39">
        <v>42151</v>
      </c>
      <c r="B5">
        <v>75.510000000000005</v>
      </c>
      <c r="C5">
        <f>VLOOKUP(A5,NYSEARCAVTI!A$2:G$506,3,0)</f>
        <v>110.28</v>
      </c>
      <c r="D5">
        <f>VLOOKUP(A5,NYSEARCAVEU!A$2:G$506,3,0)</f>
        <v>51.3</v>
      </c>
      <c r="E5">
        <f>VLOOKUP(A5,NYSEARCAVWO!A$2:G$506,3,0)</f>
        <v>43.47</v>
      </c>
      <c r="F5">
        <f>VLOOKUP(A5,NYSEARCABND!A$2:G$506,3,0)</f>
        <v>82.34</v>
      </c>
      <c r="G5">
        <f>VLOOKUP(A5,NYSEARCATIP!A$2:G$506,3,0)</f>
        <v>112.98</v>
      </c>
      <c r="H5">
        <f>VLOOKUP(A5,NYSEARCAMUB!A$2:G$506,3,0)</f>
        <v>108.68</v>
      </c>
      <c r="I5">
        <f>VLOOKUP(A5,NYSEARCAVNQ!A$2:G$506,3,0)</f>
        <v>80.34</v>
      </c>
      <c r="J5">
        <f>VLOOKUP(A5,NYSEARCARWX!A$2:G$506,3,0)</f>
        <v>44.27</v>
      </c>
      <c r="K5">
        <f>VLOOKUP(A5,NYSEARCADBC!A$2:G$506,3,0)</f>
        <v>17.559999999999999</v>
      </c>
      <c r="L5">
        <f>VLOOKUP(A5,NYSEARCAGSG!A$2:G$506,3,0)</f>
        <v>20.87</v>
      </c>
      <c r="M5">
        <f>VLOOKUP(A5,NYSEARCAGLD!A$2:G$506,3,0)</f>
        <v>114.01</v>
      </c>
      <c r="N5">
        <f>VLOOKUP(A5,NYSEBP!A$2:G$506,3,0)</f>
        <v>42.04</v>
      </c>
      <c r="O5">
        <f>VLOOKUP(A5,NASDAQYHOO!A$2:G$506,3,0)</f>
        <v>43.44</v>
      </c>
    </row>
    <row r="6" spans="1:15">
      <c r="A6" s="39">
        <v>42152</v>
      </c>
      <c r="B6">
        <v>75.16</v>
      </c>
      <c r="C6">
        <f>VLOOKUP(A6,NYSEARCAVTI!A$2:G$506,3,0)</f>
        <v>110.08</v>
      </c>
      <c r="D6">
        <f>VLOOKUP(A6,NYSEARCAVEU!A$2:G$506,3,0)</f>
        <v>51.06</v>
      </c>
      <c r="E6">
        <f>VLOOKUP(A6,NYSEARCAVWO!A$2:G$506,3,0)</f>
        <v>42.85</v>
      </c>
      <c r="F6">
        <f>VLOOKUP(A6,NYSEARCABND!A$2:G$506,3,0)</f>
        <v>82.38</v>
      </c>
      <c r="G6">
        <f>VLOOKUP(A6,NYSEARCATIP!A$2:G$506,3,0)</f>
        <v>112.91</v>
      </c>
      <c r="H6">
        <f>VLOOKUP(A6,NYSEARCAMUB!A$2:G$506,3,0)</f>
        <v>108.76</v>
      </c>
      <c r="I6">
        <f>VLOOKUP(A6,NYSEARCAVNQ!A$2:G$506,3,0)</f>
        <v>80.39</v>
      </c>
      <c r="J6">
        <f>VLOOKUP(A6,NYSEARCARWX!A$2:G$506,3,0)</f>
        <v>43.97</v>
      </c>
      <c r="K6">
        <f>VLOOKUP(A6,NYSEARCADBC!A$2:G$506,3,0)</f>
        <v>17.5</v>
      </c>
      <c r="L6">
        <f>VLOOKUP(A6,NYSEARCAGSG!A$2:G$506,3,0)</f>
        <v>20.78</v>
      </c>
      <c r="M6">
        <f>VLOOKUP(A6,NYSEARCAGLD!A$2:G$506,3,0)</f>
        <v>114.16</v>
      </c>
      <c r="N6">
        <f>VLOOKUP(A6,NYSEBP!A$2:G$506,3,0)</f>
        <v>41.61</v>
      </c>
      <c r="O6">
        <f>VLOOKUP(A6,NASDAQYHOO!A$2:G$506,3,0)</f>
        <v>43.42</v>
      </c>
    </row>
    <row r="7" spans="1:15">
      <c r="A7" s="39">
        <v>42153</v>
      </c>
      <c r="B7">
        <v>74.88</v>
      </c>
      <c r="C7">
        <f>VLOOKUP(A7,NYSEARCAVTI!A$2:G$506,3,0)</f>
        <v>110.02</v>
      </c>
      <c r="D7">
        <f>VLOOKUP(A7,NYSEARCAVEU!A$2:G$506,3,0)</f>
        <v>50.84</v>
      </c>
      <c r="E7">
        <f>VLOOKUP(A7,NYSEARCAVWO!A$2:G$506,3,0)</f>
        <v>42.77</v>
      </c>
      <c r="F7">
        <f>VLOOKUP(A7,NYSEARCABND!A$2:G$506,3,0)</f>
        <v>82.46</v>
      </c>
      <c r="G7">
        <f>VLOOKUP(A7,NYSEARCATIP!A$2:G$506,3,0)</f>
        <v>113.46</v>
      </c>
      <c r="H7">
        <f>VLOOKUP(A7,NYSEARCAMUB!A$2:G$506,3,0)</f>
        <v>108.92</v>
      </c>
      <c r="I7">
        <f>VLOOKUP(A7,NYSEARCAVNQ!A$2:G$506,3,0)</f>
        <v>80.2</v>
      </c>
      <c r="J7">
        <f>VLOOKUP(A7,NYSEARCARWX!A$2:G$506,3,0)</f>
        <v>43.9</v>
      </c>
      <c r="K7">
        <f>VLOOKUP(A7,NYSEARCADBC!A$2:G$506,3,0)</f>
        <v>17.75</v>
      </c>
      <c r="L7">
        <f>VLOOKUP(A7,NYSEARCAGSG!A$2:G$506,3,0)</f>
        <v>21.24</v>
      </c>
      <c r="M7">
        <f>VLOOKUP(A7,NYSEARCAGLD!A$2:G$506,3,0)</f>
        <v>114.48</v>
      </c>
      <c r="N7">
        <f>VLOOKUP(A7,NYSEBP!A$2:G$506,3,0)</f>
        <v>41.72</v>
      </c>
      <c r="O7">
        <f>VLOOKUP(A7,NASDAQYHOO!A$2:G$506,3,0)</f>
        <v>43.59</v>
      </c>
    </row>
    <row r="8" spans="1:15">
      <c r="A8" s="39">
        <v>42156</v>
      </c>
      <c r="B8">
        <v>75.08</v>
      </c>
      <c r="C8">
        <f>VLOOKUP(A8,NYSEARCAVTI!A$2:G$506,3,0)</f>
        <v>109.96</v>
      </c>
      <c r="D8">
        <f>VLOOKUP(A8,NYSEARCAVEU!A$2:G$506,3,0)</f>
        <v>50.69</v>
      </c>
      <c r="E8">
        <f>VLOOKUP(A8,NYSEARCAVWO!A$2:G$506,3,0)</f>
        <v>42.54</v>
      </c>
      <c r="F8">
        <f>VLOOKUP(A8,NYSEARCABND!A$2:G$506,3,0)</f>
        <v>82.19</v>
      </c>
      <c r="G8">
        <f>VLOOKUP(A8,NYSEARCATIP!A$2:G$506,3,0)</f>
        <v>113.11</v>
      </c>
      <c r="H8">
        <f>VLOOKUP(A8,NYSEARCAMUB!A$2:G$506,3,0)</f>
        <v>108.69</v>
      </c>
      <c r="I8">
        <f>VLOOKUP(A8,NYSEARCAVNQ!A$2:G$506,3,0)</f>
        <v>80.260000000000005</v>
      </c>
      <c r="J8">
        <f>VLOOKUP(A8,NYSEARCARWX!A$2:G$506,3,0)</f>
        <v>43.76</v>
      </c>
      <c r="K8">
        <f>VLOOKUP(A8,NYSEARCADBC!A$2:G$506,3,0)</f>
        <v>17.760000000000002</v>
      </c>
      <c r="L8">
        <f>VLOOKUP(A8,NYSEARCAGSG!A$2:G$506,3,0)</f>
        <v>21.25</v>
      </c>
      <c r="M8">
        <f>VLOOKUP(A8,NYSEARCAGLD!A$2:G$506,3,0)</f>
        <v>115.5</v>
      </c>
      <c r="N8">
        <f>VLOOKUP(A8,NYSEBP!A$2:G$506,3,0)</f>
        <v>41.25</v>
      </c>
      <c r="O8">
        <f>VLOOKUP(A8,NASDAQYHOO!A$2:G$506,3,0)</f>
        <v>43.63</v>
      </c>
    </row>
    <row r="9" spans="1:15">
      <c r="A9" s="39">
        <v>42157</v>
      </c>
      <c r="B9">
        <v>75</v>
      </c>
      <c r="C9">
        <f>VLOOKUP(A9,NYSEARCAVTI!A$2:G$506,3,0)</f>
        <v>109.93</v>
      </c>
      <c r="D9">
        <f>VLOOKUP(A9,NYSEARCAVEU!A$2:G$506,3,0)</f>
        <v>50.85</v>
      </c>
      <c r="E9">
        <f>VLOOKUP(A9,NYSEARCAVWO!A$2:G$506,3,0)</f>
        <v>42.64</v>
      </c>
      <c r="F9">
        <f>VLOOKUP(A9,NYSEARCABND!A$2:G$506,3,0)</f>
        <v>81.83</v>
      </c>
      <c r="G9">
        <f>VLOOKUP(A9,NYSEARCATIP!A$2:G$506,3,0)</f>
        <v>112.26</v>
      </c>
      <c r="H9">
        <f>VLOOKUP(A9,NYSEARCAMUB!A$2:G$506,3,0)</f>
        <v>108.37</v>
      </c>
      <c r="I9">
        <f>VLOOKUP(A9,NYSEARCAVNQ!A$2:G$506,3,0)</f>
        <v>79.8</v>
      </c>
      <c r="J9">
        <f>VLOOKUP(A9,NYSEARCARWX!A$2:G$506,3,0)</f>
        <v>43.67</v>
      </c>
      <c r="K9">
        <f>VLOOKUP(A9,NYSEARCADBC!A$2:G$506,3,0)</f>
        <v>17.899999999999999</v>
      </c>
      <c r="L9">
        <f>VLOOKUP(A9,NYSEARCAGSG!A$2:G$506,3,0)</f>
        <v>21.44</v>
      </c>
      <c r="M9">
        <f>VLOOKUP(A9,NYSEARCAGLD!A$2:G$506,3,0)</f>
        <v>114.64</v>
      </c>
      <c r="N9">
        <f>VLOOKUP(A9,NYSEBP!A$2:G$506,3,0)</f>
        <v>41.71</v>
      </c>
      <c r="O9">
        <f>VLOOKUP(A9,NASDAQYHOO!A$2:G$506,3,0)</f>
        <v>43.62</v>
      </c>
    </row>
    <row r="10" spans="1:15">
      <c r="A10" s="39">
        <v>42158</v>
      </c>
      <c r="B10">
        <v>75.2</v>
      </c>
      <c r="C10">
        <f>VLOOKUP(A10,NYSEARCAVTI!A$2:G$506,3,0)</f>
        <v>110.22</v>
      </c>
      <c r="D10">
        <f>VLOOKUP(A10,NYSEARCAVEU!A$2:G$506,3,0)</f>
        <v>50.99</v>
      </c>
      <c r="E10">
        <f>VLOOKUP(A10,NYSEARCAVWO!A$2:G$506,3,0)</f>
        <v>42.39</v>
      </c>
      <c r="F10">
        <f>VLOOKUP(A10,NYSEARCABND!A$2:G$506,3,0)</f>
        <v>81.53</v>
      </c>
      <c r="G10">
        <f>VLOOKUP(A10,NYSEARCATIP!A$2:G$506,3,0)</f>
        <v>111.69</v>
      </c>
      <c r="H10">
        <f>VLOOKUP(A10,NYSEARCAMUB!A$2:G$506,3,0)</f>
        <v>108.03</v>
      </c>
      <c r="I10">
        <f>VLOOKUP(A10,NYSEARCAVNQ!A$2:G$506,3,0)</f>
        <v>79.31</v>
      </c>
      <c r="J10">
        <f>VLOOKUP(A10,NYSEARCARWX!A$2:G$506,3,0)</f>
        <v>43.51</v>
      </c>
      <c r="K10">
        <f>VLOOKUP(A10,NYSEARCADBC!A$2:G$506,3,0)</f>
        <v>17.86</v>
      </c>
      <c r="L10">
        <f>VLOOKUP(A10,NYSEARCAGSG!A$2:G$506,3,0)</f>
        <v>21.35</v>
      </c>
      <c r="M10">
        <f>VLOOKUP(A10,NYSEARCAGLD!A$2:G$506,3,0)</f>
        <v>114.37</v>
      </c>
      <c r="N10">
        <f>VLOOKUP(A10,NYSEBP!A$2:G$506,3,0)</f>
        <v>41.62</v>
      </c>
      <c r="O10">
        <f>VLOOKUP(A10,NASDAQYHOO!A$2:G$506,3,0)</f>
        <v>43.78</v>
      </c>
    </row>
    <row r="11" spans="1:15">
      <c r="A11" s="39">
        <v>42159</v>
      </c>
      <c r="B11">
        <v>74.98</v>
      </c>
      <c r="C11">
        <f>VLOOKUP(A11,NYSEARCAVTI!A$2:G$506,3,0)</f>
        <v>109.8</v>
      </c>
      <c r="D11">
        <f>VLOOKUP(A11,NYSEARCAVEU!A$2:G$506,3,0)</f>
        <v>50.72</v>
      </c>
      <c r="E11">
        <f>VLOOKUP(A11,NYSEARCAVWO!A$2:G$506,3,0)</f>
        <v>42.03</v>
      </c>
      <c r="F11">
        <f>VLOOKUP(A11,NYSEARCABND!A$2:G$506,3,0)</f>
        <v>81.61</v>
      </c>
      <c r="G11">
        <f>VLOOKUP(A11,NYSEARCATIP!A$2:G$506,3,0)</f>
        <v>111.89</v>
      </c>
      <c r="H11">
        <f>VLOOKUP(A11,NYSEARCAMUB!A$2:G$506,3,0)</f>
        <v>108.23</v>
      </c>
      <c r="I11">
        <f>VLOOKUP(A11,NYSEARCAVNQ!A$2:G$506,3,0)</f>
        <v>78.44</v>
      </c>
      <c r="J11">
        <f>VLOOKUP(A11,NYSEARCARWX!A$2:G$506,3,0)</f>
        <v>43.17</v>
      </c>
      <c r="K11">
        <f>VLOOKUP(A11,NYSEARCADBC!A$2:G$506,3,0)</f>
        <v>17.559999999999999</v>
      </c>
      <c r="L11">
        <f>VLOOKUP(A11,NYSEARCAGSG!A$2:G$506,3,0)</f>
        <v>20.95</v>
      </c>
      <c r="M11">
        <f>VLOOKUP(A11,NYSEARCAGLD!A$2:G$506,3,0)</f>
        <v>113.15</v>
      </c>
      <c r="N11">
        <f>VLOOKUP(A11,NYSEBP!A$2:G$506,3,0)</f>
        <v>40.98</v>
      </c>
      <c r="O11">
        <f>VLOOKUP(A11,NASDAQYHOO!A$2:G$506,3,0)</f>
        <v>43.44</v>
      </c>
    </row>
    <row r="12" spans="1:15">
      <c r="A12" s="39">
        <v>42160</v>
      </c>
      <c r="B12">
        <v>74.27</v>
      </c>
      <c r="C12">
        <f>VLOOKUP(A12,NYSEARCAVTI!A$2:G$506,3,0)</f>
        <v>109.2</v>
      </c>
      <c r="D12">
        <f>VLOOKUP(A12,NYSEARCAVEU!A$2:G$506,3,0)</f>
        <v>49.9</v>
      </c>
      <c r="E12">
        <f>VLOOKUP(A12,NYSEARCAVWO!A$2:G$506,3,0)</f>
        <v>41.61</v>
      </c>
      <c r="F12">
        <f>VLOOKUP(A12,NYSEARCABND!A$2:G$506,3,0)</f>
        <v>81.349999999999994</v>
      </c>
      <c r="G12">
        <f>VLOOKUP(A12,NYSEARCATIP!A$2:G$506,3,0)</f>
        <v>111.58</v>
      </c>
      <c r="H12">
        <f>VLOOKUP(A12,NYSEARCAMUB!A$2:G$506,3,0)</f>
        <v>107.94</v>
      </c>
      <c r="I12">
        <f>VLOOKUP(A12,NYSEARCAVNQ!A$2:G$506,3,0)</f>
        <v>77.8</v>
      </c>
      <c r="J12">
        <f>VLOOKUP(A12,NYSEARCARWX!A$2:G$506,3,0)</f>
        <v>42.43</v>
      </c>
      <c r="K12">
        <f>VLOOKUP(A12,NYSEARCADBC!A$2:G$506,3,0)</f>
        <v>17.579999999999998</v>
      </c>
      <c r="L12">
        <f>VLOOKUP(A12,NYSEARCAGSG!A$2:G$506,3,0)</f>
        <v>20.91</v>
      </c>
      <c r="M12">
        <f>VLOOKUP(A12,NYSEARCAGLD!A$2:G$506,3,0)</f>
        <v>112.39</v>
      </c>
      <c r="N12">
        <f>VLOOKUP(A12,NYSEBP!A$2:G$506,3,0)</f>
        <v>40.840000000000003</v>
      </c>
      <c r="O12">
        <f>VLOOKUP(A12,NASDAQYHOO!A$2:G$506,3,0)</f>
        <v>43.26</v>
      </c>
    </row>
    <row r="13" spans="1:15">
      <c r="A13" s="39">
        <v>42163</v>
      </c>
      <c r="B13">
        <v>73.489999999999995</v>
      </c>
      <c r="C13">
        <f>VLOOKUP(A13,NYSEARCAVTI!A$2:G$506,3,0)</f>
        <v>108.96</v>
      </c>
      <c r="D13">
        <f>VLOOKUP(A13,NYSEARCAVEU!A$2:G$506,3,0)</f>
        <v>49.74</v>
      </c>
      <c r="E13">
        <f>VLOOKUP(A13,NYSEARCAVWO!A$2:G$506,3,0)</f>
        <v>41.54</v>
      </c>
      <c r="F13">
        <f>VLOOKUP(A13,NYSEARCABND!A$2:G$506,3,0)</f>
        <v>81.34</v>
      </c>
      <c r="G13">
        <f>VLOOKUP(A13,NYSEARCATIP!A$2:G$506,3,0)</f>
        <v>111.65</v>
      </c>
      <c r="H13">
        <f>VLOOKUP(A13,NYSEARCAMUB!A$2:G$506,3,0)</f>
        <v>107.99</v>
      </c>
      <c r="I13">
        <f>VLOOKUP(A13,NYSEARCAVNQ!A$2:G$506,3,0)</f>
        <v>77.41</v>
      </c>
      <c r="J13">
        <f>VLOOKUP(A13,NYSEARCARWX!A$2:G$506,3,0)</f>
        <v>42.27</v>
      </c>
      <c r="K13">
        <f>VLOOKUP(A13,NYSEARCADBC!A$2:G$506,3,0)</f>
        <v>17.61</v>
      </c>
      <c r="L13">
        <f>VLOOKUP(A13,NYSEARCAGSG!A$2:G$506,3,0)</f>
        <v>20.88</v>
      </c>
      <c r="M13">
        <f>VLOOKUP(A13,NYSEARCAGLD!A$2:G$506,3,0)</f>
        <v>112.66</v>
      </c>
      <c r="N13">
        <f>VLOOKUP(A13,NYSEBP!A$2:G$506,3,0)</f>
        <v>40.74</v>
      </c>
      <c r="O13">
        <f>VLOOKUP(A13,NASDAQYHOO!A$2:G$506,3,0)</f>
        <v>42.89</v>
      </c>
    </row>
    <row r="14" spans="1:15">
      <c r="A14" s="39">
        <v>42164</v>
      </c>
      <c r="B14">
        <v>72.849999999999994</v>
      </c>
      <c r="C14">
        <f>VLOOKUP(A14,NYSEARCAVTI!A$2:G$506,3,0)</f>
        <v>108.48</v>
      </c>
      <c r="D14">
        <f>VLOOKUP(A14,NYSEARCAVEU!A$2:G$506,3,0)</f>
        <v>49.55</v>
      </c>
      <c r="E14">
        <f>VLOOKUP(A14,NYSEARCAVWO!A$2:G$506,3,0)</f>
        <v>41.26</v>
      </c>
      <c r="F14">
        <f>VLOOKUP(A14,NYSEARCABND!A$2:G$506,3,0)</f>
        <v>81.2</v>
      </c>
      <c r="G14">
        <f>VLOOKUP(A14,NYSEARCATIP!A$2:G$506,3,0)</f>
        <v>111.45</v>
      </c>
      <c r="H14">
        <f>VLOOKUP(A14,NYSEARCAMUB!A$2:G$506,3,0)</f>
        <v>107.92</v>
      </c>
      <c r="I14">
        <f>VLOOKUP(A14,NYSEARCAVNQ!A$2:G$506,3,0)</f>
        <v>77.209999999999994</v>
      </c>
      <c r="J14">
        <f>VLOOKUP(A14,NYSEARCARWX!A$2:G$506,3,0)</f>
        <v>42.43</v>
      </c>
      <c r="K14">
        <f>VLOOKUP(A14,NYSEARCADBC!A$2:G$506,3,0)</f>
        <v>17.920000000000002</v>
      </c>
      <c r="L14">
        <f>VLOOKUP(A14,NYSEARCAGSG!A$2:G$506,3,0)</f>
        <v>21.32</v>
      </c>
      <c r="M14">
        <f>VLOOKUP(A14,NYSEARCAGLD!A$2:G$506,3,0)</f>
        <v>113.23</v>
      </c>
      <c r="N14">
        <f>VLOOKUP(A14,NYSEBP!A$2:G$506,3,0)</f>
        <v>40.74</v>
      </c>
      <c r="O14">
        <f>VLOOKUP(A14,NASDAQYHOO!A$2:G$506,3,0)</f>
        <v>41.95</v>
      </c>
    </row>
    <row r="15" spans="1:15">
      <c r="A15" s="39">
        <v>42165</v>
      </c>
      <c r="B15">
        <v>73.33</v>
      </c>
      <c r="C15">
        <f>VLOOKUP(A15,NYSEARCAVTI!A$2:G$506,3,0)</f>
        <v>109.66</v>
      </c>
      <c r="D15">
        <f>VLOOKUP(A15,NYSEARCAVEU!A$2:G$506,3,0)</f>
        <v>50.45</v>
      </c>
      <c r="E15">
        <f>VLOOKUP(A15,NYSEARCAVWO!A$2:G$506,3,0)</f>
        <v>41.81</v>
      </c>
      <c r="F15">
        <f>VLOOKUP(A15,NYSEARCABND!A$2:G$506,3,0)</f>
        <v>81</v>
      </c>
      <c r="G15">
        <f>VLOOKUP(A15,NYSEARCATIP!A$2:G$506,3,0)</f>
        <v>111.25</v>
      </c>
      <c r="H15">
        <f>VLOOKUP(A15,NYSEARCAMUB!A$2:G$506,3,0)</f>
        <v>107.74</v>
      </c>
      <c r="I15">
        <f>VLOOKUP(A15,NYSEARCAVNQ!A$2:G$506,3,0)</f>
        <v>77.73</v>
      </c>
      <c r="J15">
        <f>VLOOKUP(A15,NYSEARCARWX!A$2:G$506,3,0)</f>
        <v>43.15</v>
      </c>
      <c r="K15">
        <f>VLOOKUP(A15,NYSEARCADBC!A$2:G$506,3,0)</f>
        <v>18.079999999999998</v>
      </c>
      <c r="L15">
        <f>VLOOKUP(A15,NYSEARCAGSG!A$2:G$506,3,0)</f>
        <v>21.59</v>
      </c>
      <c r="M15">
        <f>VLOOKUP(A15,NYSEARCAGLD!A$2:G$506,3,0)</f>
        <v>114.14</v>
      </c>
      <c r="N15">
        <f>VLOOKUP(A15,NYSEBP!A$2:G$506,3,0)</f>
        <v>41.43</v>
      </c>
      <c r="O15">
        <f>VLOOKUP(A15,NASDAQYHOO!A$2:G$506,3,0)</f>
        <v>42.31</v>
      </c>
    </row>
    <row r="16" spans="1:15">
      <c r="A16" s="39">
        <v>42166</v>
      </c>
      <c r="B16">
        <v>73.67</v>
      </c>
      <c r="C16">
        <f>VLOOKUP(A16,NYSEARCAVTI!A$2:G$506,3,0)</f>
        <v>110.01</v>
      </c>
      <c r="D16">
        <f>VLOOKUP(A16,NYSEARCAVEU!A$2:G$506,3,0)</f>
        <v>50.49</v>
      </c>
      <c r="E16">
        <f>VLOOKUP(A16,NYSEARCAVWO!A$2:G$506,3,0)</f>
        <v>41.63</v>
      </c>
      <c r="F16">
        <f>VLOOKUP(A16,NYSEARCABND!A$2:G$506,3,0)</f>
        <v>81.27</v>
      </c>
      <c r="G16">
        <f>VLOOKUP(A16,NYSEARCATIP!A$2:G$506,3,0)</f>
        <v>111.43</v>
      </c>
      <c r="H16">
        <f>VLOOKUP(A16,NYSEARCAMUB!A$2:G$506,3,0)</f>
        <v>107.99</v>
      </c>
      <c r="I16">
        <f>VLOOKUP(A16,NYSEARCAVNQ!A$2:G$506,3,0)</f>
        <v>77.81</v>
      </c>
      <c r="J16">
        <f>VLOOKUP(A16,NYSEARCARWX!A$2:G$506,3,0)</f>
        <v>43.33</v>
      </c>
      <c r="K16">
        <f>VLOOKUP(A16,NYSEARCADBC!A$2:G$506,3,0)</f>
        <v>17.88</v>
      </c>
      <c r="L16">
        <f>VLOOKUP(A16,NYSEARCAGSG!A$2:G$506,3,0)</f>
        <v>21.41</v>
      </c>
      <c r="M16">
        <f>VLOOKUP(A16,NYSEARCAGLD!A$2:G$506,3,0)</f>
        <v>113.41</v>
      </c>
      <c r="N16">
        <f>VLOOKUP(A16,NYSEBP!A$2:G$506,3,0)</f>
        <v>41.65</v>
      </c>
      <c r="O16">
        <f>VLOOKUP(A16,NASDAQYHOO!A$2:G$506,3,0)</f>
        <v>42.21</v>
      </c>
    </row>
    <row r="17" spans="1:15">
      <c r="A17" s="39">
        <v>42167</v>
      </c>
      <c r="B17">
        <v>72.900000000000006</v>
      </c>
      <c r="C17">
        <f>VLOOKUP(A17,NYSEARCAVTI!A$2:G$506,3,0)</f>
        <v>109.5</v>
      </c>
      <c r="D17">
        <f>VLOOKUP(A17,NYSEARCAVEU!A$2:G$506,3,0)</f>
        <v>50.19</v>
      </c>
      <c r="E17">
        <f>VLOOKUP(A17,NYSEARCAVWO!A$2:G$506,3,0)</f>
        <v>41.66</v>
      </c>
      <c r="F17">
        <f>VLOOKUP(A17,NYSEARCABND!A$2:G$506,3,0)</f>
        <v>81.42</v>
      </c>
      <c r="G17">
        <f>VLOOKUP(A17,NYSEARCATIP!A$2:G$506,3,0)</f>
        <v>111.77</v>
      </c>
      <c r="H17">
        <f>VLOOKUP(A17,NYSEARCAMUB!A$2:G$506,3,0)</f>
        <v>108.19</v>
      </c>
      <c r="I17">
        <f>VLOOKUP(A17,NYSEARCAVNQ!A$2:G$506,3,0)</f>
        <v>77.760000000000005</v>
      </c>
      <c r="J17">
        <f>VLOOKUP(A17,NYSEARCARWX!A$2:G$506,3,0)</f>
        <v>43.04</v>
      </c>
      <c r="K17">
        <f>VLOOKUP(A17,NYSEARCADBC!A$2:G$506,3,0)</f>
        <v>17.739999999999998</v>
      </c>
      <c r="L17">
        <f>VLOOKUP(A17,NYSEARCAGSG!A$2:G$506,3,0)</f>
        <v>21.21</v>
      </c>
      <c r="M17">
        <f>VLOOKUP(A17,NYSEARCAGLD!A$2:G$506,3,0)</f>
        <v>113.5</v>
      </c>
      <c r="N17">
        <f>VLOOKUP(A17,NYSEBP!A$2:G$506,3,0)</f>
        <v>41.09</v>
      </c>
      <c r="O17">
        <f>VLOOKUP(A17,NASDAQYHOO!A$2:G$506,3,0)</f>
        <v>41.11</v>
      </c>
    </row>
    <row r="18" spans="1:15">
      <c r="A18" s="39">
        <v>42170</v>
      </c>
      <c r="B18">
        <v>72.400000000000006</v>
      </c>
      <c r="C18">
        <f>VLOOKUP(A18,NYSEARCAVTI!A$2:G$506,3,0)</f>
        <v>108.76</v>
      </c>
      <c r="D18">
        <f>VLOOKUP(A18,NYSEARCAVEU!A$2:G$506,3,0)</f>
        <v>49.7</v>
      </c>
      <c r="E18">
        <f>VLOOKUP(A18,NYSEARCAVWO!A$2:G$506,3,0)</f>
        <v>41.16</v>
      </c>
      <c r="F18">
        <f>VLOOKUP(A18,NYSEARCABND!A$2:G$506,3,0)</f>
        <v>81.430000000000007</v>
      </c>
      <c r="G18">
        <f>VLOOKUP(A18,NYSEARCATIP!A$2:G$506,3,0)</f>
        <v>111.88</v>
      </c>
      <c r="H18">
        <f>VLOOKUP(A18,NYSEARCAMUB!A$2:G$506,3,0)</f>
        <v>108.26</v>
      </c>
      <c r="I18">
        <f>VLOOKUP(A18,NYSEARCAVNQ!A$2:G$506,3,0)</f>
        <v>77.38</v>
      </c>
      <c r="J18">
        <f>VLOOKUP(A18,NYSEARCARWX!A$2:G$506,3,0)</f>
        <v>42.97</v>
      </c>
      <c r="K18">
        <f>VLOOKUP(A18,NYSEARCADBC!A$2:G$506,3,0)</f>
        <v>17.559999999999999</v>
      </c>
      <c r="L18">
        <f>VLOOKUP(A18,NYSEARCAGSG!A$2:G$506,3,0)</f>
        <v>20.93</v>
      </c>
      <c r="M18">
        <f>VLOOKUP(A18,NYSEARCAGLD!A$2:G$506,3,0)</f>
        <v>114.15</v>
      </c>
      <c r="N18">
        <f>VLOOKUP(A18,NYSEBP!A$2:G$506,3,0)</f>
        <v>40.99</v>
      </c>
      <c r="O18">
        <f>VLOOKUP(A18,NASDAQYHOO!A$2:G$506,3,0)</f>
        <v>40.67</v>
      </c>
    </row>
    <row r="19" spans="1:15">
      <c r="A19" s="39">
        <v>42171</v>
      </c>
      <c r="B19">
        <v>72.58</v>
      </c>
      <c r="C19">
        <f>VLOOKUP(A19,NYSEARCAVTI!A$2:G$506,3,0)</f>
        <v>109.25</v>
      </c>
      <c r="D19">
        <f>VLOOKUP(A19,NYSEARCAVEU!A$2:G$506,3,0)</f>
        <v>49.69</v>
      </c>
      <c r="E19">
        <f>VLOOKUP(A19,NYSEARCAVWO!A$2:G$506,3,0)</f>
        <v>41.25</v>
      </c>
      <c r="F19">
        <f>VLOOKUP(A19,NYSEARCABND!A$2:G$506,3,0)</f>
        <v>81.42</v>
      </c>
      <c r="G19">
        <f>VLOOKUP(A19,NYSEARCATIP!A$2:G$506,3,0)</f>
        <v>112.49</v>
      </c>
      <c r="H19">
        <f>VLOOKUP(A19,NYSEARCAMUB!A$2:G$506,3,0)</f>
        <v>108.34</v>
      </c>
      <c r="I19">
        <f>VLOOKUP(A19,NYSEARCAVNQ!A$2:G$506,3,0)</f>
        <v>77.77</v>
      </c>
      <c r="J19">
        <f>VLOOKUP(A19,NYSEARCARWX!A$2:G$506,3,0)</f>
        <v>43.02</v>
      </c>
      <c r="K19">
        <f>VLOOKUP(A19,NYSEARCADBC!A$2:G$506,3,0)</f>
        <v>17.59</v>
      </c>
      <c r="L19">
        <f>VLOOKUP(A19,NYSEARCAGSG!A$2:G$506,3,0)</f>
        <v>20.95</v>
      </c>
      <c r="M19">
        <f>VLOOKUP(A19,NYSEARCAGLD!A$2:G$506,3,0)</f>
        <v>113.45</v>
      </c>
      <c r="N19">
        <f>VLOOKUP(A19,NYSEBP!A$2:G$506,3,0)</f>
        <v>40.94</v>
      </c>
      <c r="O19">
        <f>VLOOKUP(A19,NASDAQYHOO!A$2:G$506,3,0)</f>
        <v>41.4</v>
      </c>
    </row>
    <row r="20" spans="1:15">
      <c r="A20" s="39">
        <v>42172</v>
      </c>
      <c r="B20">
        <v>72.900000000000006</v>
      </c>
      <c r="C20">
        <f>VLOOKUP(A20,NYSEARCAVTI!A$2:G$506,3,0)</f>
        <v>109.69</v>
      </c>
      <c r="D20">
        <f>VLOOKUP(A20,NYSEARCAVEU!A$2:G$506,3,0)</f>
        <v>49.8</v>
      </c>
      <c r="E20">
        <f>VLOOKUP(A20,NYSEARCAVWO!A$2:G$506,3,0)</f>
        <v>41.66</v>
      </c>
      <c r="F20">
        <f>VLOOKUP(A20,NYSEARCABND!A$2:G$506,3,0)</f>
        <v>81.47</v>
      </c>
      <c r="G20">
        <f>VLOOKUP(A20,NYSEARCATIP!A$2:G$506,3,0)</f>
        <v>112.65</v>
      </c>
      <c r="H20">
        <f>VLOOKUP(A20,NYSEARCAMUB!A$2:G$506,3,0)</f>
        <v>108.32</v>
      </c>
      <c r="I20">
        <f>VLOOKUP(A20,NYSEARCAVNQ!A$2:G$506,3,0)</f>
        <v>78.37</v>
      </c>
      <c r="J20">
        <f>VLOOKUP(A20,NYSEARCARWX!A$2:G$506,3,0)</f>
        <v>42.89</v>
      </c>
      <c r="K20">
        <f>VLOOKUP(A20,NYSEARCADBC!A$2:G$506,3,0)</f>
        <v>17.8</v>
      </c>
      <c r="L20">
        <f>VLOOKUP(A20,NYSEARCAGSG!A$2:G$506,3,0)</f>
        <v>21.25</v>
      </c>
      <c r="M20">
        <f>VLOOKUP(A20,NYSEARCAGLD!A$2:G$506,3,0)</f>
        <v>114.04</v>
      </c>
      <c r="N20">
        <f>VLOOKUP(A20,NYSEBP!A$2:G$506,3,0)</f>
        <v>41.42</v>
      </c>
      <c r="O20">
        <f>VLOOKUP(A20,NASDAQYHOO!A$2:G$506,3,0)</f>
        <v>41.52</v>
      </c>
    </row>
    <row r="21" spans="1:15">
      <c r="A21" s="39">
        <v>42173</v>
      </c>
      <c r="B21">
        <v>73.48</v>
      </c>
      <c r="C21">
        <f>VLOOKUP(A21,NYSEARCAVTI!A$2:G$506,3,0)</f>
        <v>110.76</v>
      </c>
      <c r="D21">
        <f>VLOOKUP(A21,NYSEARCAVEU!A$2:G$506,3,0)</f>
        <v>50.44</v>
      </c>
      <c r="E21">
        <f>VLOOKUP(A21,NYSEARCAVWO!A$2:G$506,3,0)</f>
        <v>41.96</v>
      </c>
      <c r="F21">
        <f>VLOOKUP(A21,NYSEARCABND!A$2:G$506,3,0)</f>
        <v>81.44</v>
      </c>
      <c r="G21">
        <f>VLOOKUP(A21,NYSEARCATIP!A$2:G$506,3,0)</f>
        <v>112.37</v>
      </c>
      <c r="H21">
        <f>VLOOKUP(A21,NYSEARCAMUB!A$2:G$506,3,0)</f>
        <v>108.38</v>
      </c>
      <c r="I21">
        <f>VLOOKUP(A21,NYSEARCAVNQ!A$2:G$506,3,0)</f>
        <v>79.72</v>
      </c>
      <c r="J21">
        <f>VLOOKUP(A21,NYSEARCARWX!A$2:G$506,3,0)</f>
        <v>43.29</v>
      </c>
      <c r="K21">
        <f>VLOOKUP(A21,NYSEARCADBC!A$2:G$506,3,0)</f>
        <v>17.690000000000001</v>
      </c>
      <c r="L21">
        <f>VLOOKUP(A21,NYSEARCAGSG!A$2:G$506,3,0)</f>
        <v>21.06</v>
      </c>
      <c r="M21">
        <f>VLOOKUP(A21,NYSEARCAGLD!A$2:G$506,3,0)</f>
        <v>115.61</v>
      </c>
      <c r="N21">
        <f>VLOOKUP(A21,NYSEBP!A$2:G$506,3,0)</f>
        <v>41.59</v>
      </c>
      <c r="O21">
        <f>VLOOKUP(A21,NASDAQYHOO!A$2:G$506,3,0)</f>
        <v>41.27</v>
      </c>
    </row>
    <row r="22" spans="1:15">
      <c r="A22" s="39">
        <v>42174</v>
      </c>
      <c r="B22">
        <v>73.22</v>
      </c>
      <c r="C22">
        <f>VLOOKUP(A22,NYSEARCAVTI!A$2:G$506,3,0)</f>
        <v>110.42</v>
      </c>
      <c r="D22">
        <f>VLOOKUP(A22,NYSEARCAVEU!A$2:G$506,3,0)</f>
        <v>50.06</v>
      </c>
      <c r="E22">
        <f>VLOOKUP(A22,NYSEARCAVWO!A$2:G$506,3,0)</f>
        <v>41.73</v>
      </c>
      <c r="F22">
        <f>VLOOKUP(A22,NYSEARCABND!A$2:G$506,3,0)</f>
        <v>81.650000000000006</v>
      </c>
      <c r="G22">
        <f>VLOOKUP(A22,NYSEARCATIP!A$2:G$506,3,0)</f>
        <v>112.74</v>
      </c>
      <c r="H22">
        <f>VLOOKUP(A22,NYSEARCAMUB!A$2:G$506,3,0)</f>
        <v>108.48</v>
      </c>
      <c r="I22">
        <f>VLOOKUP(A22,NYSEARCAVNQ!A$2:G$506,3,0)</f>
        <v>79.61</v>
      </c>
      <c r="J22">
        <f>VLOOKUP(A22,NYSEARCARWX!A$2:G$506,3,0)</f>
        <v>42.64</v>
      </c>
      <c r="K22">
        <f>VLOOKUP(A22,NYSEARCADBC!A$2:G$506,3,0)</f>
        <v>17.489999999999998</v>
      </c>
      <c r="L22">
        <f>VLOOKUP(A22,NYSEARCAGSG!A$2:G$506,3,0)</f>
        <v>20.77</v>
      </c>
      <c r="M22">
        <f>VLOOKUP(A22,NYSEARCAGLD!A$2:G$506,3,0)</f>
        <v>115.46</v>
      </c>
      <c r="N22">
        <f>VLOOKUP(A22,NYSEBP!A$2:G$506,3,0)</f>
        <v>41.37</v>
      </c>
      <c r="O22">
        <f>VLOOKUP(A22,NASDAQYHOO!A$2:G$506,3,0)</f>
        <v>40.93</v>
      </c>
    </row>
    <row r="23" spans="1:15">
      <c r="A23" s="39">
        <v>42177</v>
      </c>
      <c r="B23">
        <v>73.19</v>
      </c>
      <c r="C23">
        <f>VLOOKUP(A23,NYSEARCAVTI!A$2:G$506,3,0)</f>
        <v>110.9</v>
      </c>
      <c r="D23">
        <f>VLOOKUP(A23,NYSEARCAVEU!A$2:G$506,3,0)</f>
        <v>51.01</v>
      </c>
      <c r="E23">
        <f>VLOOKUP(A23,NYSEARCAVWO!A$2:G$506,3,0)</f>
        <v>42.14</v>
      </c>
      <c r="F23">
        <f>VLOOKUP(A23,NYSEARCABND!A$2:G$506,3,0)</f>
        <v>81.489999999999995</v>
      </c>
      <c r="G23">
        <f>VLOOKUP(A23,NYSEARCATIP!A$2:G$506,3,0)</f>
        <v>112.44</v>
      </c>
      <c r="H23">
        <f>VLOOKUP(A23,NYSEARCAMUB!A$2:G$506,3,0)</f>
        <v>108.28</v>
      </c>
      <c r="I23">
        <f>VLOOKUP(A23,NYSEARCAVNQ!A$2:G$506,3,0)</f>
        <v>79.13</v>
      </c>
      <c r="J23">
        <f>VLOOKUP(A23,NYSEARCARWX!A$2:G$506,3,0)</f>
        <v>43.15</v>
      </c>
      <c r="K23">
        <f>VLOOKUP(A23,NYSEARCADBC!A$2:G$506,3,0)</f>
        <v>17.55</v>
      </c>
      <c r="L23">
        <f>VLOOKUP(A23,NYSEARCAGSG!A$2:G$506,3,0)</f>
        <v>20.81</v>
      </c>
      <c r="M23">
        <f>VLOOKUP(A23,NYSEARCAGLD!A$2:G$506,3,0)</f>
        <v>113.94</v>
      </c>
      <c r="N23">
        <f>VLOOKUP(A23,NYSEBP!A$2:G$506,3,0)</f>
        <v>41.76</v>
      </c>
      <c r="O23">
        <f>VLOOKUP(A23,NASDAQYHOO!A$2:G$506,3,0)</f>
        <v>40.89</v>
      </c>
    </row>
    <row r="24" spans="1:15">
      <c r="A24" s="39">
        <v>42178</v>
      </c>
      <c r="B24">
        <v>72.94</v>
      </c>
      <c r="C24">
        <f>VLOOKUP(A24,NYSEARCAVTI!A$2:G$506,3,0)</f>
        <v>110.85</v>
      </c>
      <c r="D24">
        <f>VLOOKUP(A24,NYSEARCAVEU!A$2:G$506,3,0)</f>
        <v>51.03</v>
      </c>
      <c r="E24">
        <f>VLOOKUP(A24,NYSEARCAVWO!A$2:G$506,3,0)</f>
        <v>42.43</v>
      </c>
      <c r="F24">
        <f>VLOOKUP(A24,NYSEARCABND!A$2:G$506,3,0)</f>
        <v>81.23</v>
      </c>
      <c r="G24">
        <f>VLOOKUP(A24,NYSEARCATIP!A$2:G$506,3,0)</f>
        <v>112.17</v>
      </c>
      <c r="H24">
        <f>VLOOKUP(A24,NYSEARCAMUB!A$2:G$506,3,0)</f>
        <v>108.22</v>
      </c>
      <c r="I24">
        <f>VLOOKUP(A24,NYSEARCAVNQ!A$2:G$506,3,0)</f>
        <v>77.819999999999993</v>
      </c>
      <c r="J24">
        <f>VLOOKUP(A24,NYSEARCARWX!A$2:G$506,3,0)</f>
        <v>43.12</v>
      </c>
      <c r="K24">
        <f>VLOOKUP(A24,NYSEARCADBC!A$2:G$506,3,0)</f>
        <v>17.73</v>
      </c>
      <c r="L24">
        <f>VLOOKUP(A24,NYSEARCAGSG!A$2:G$506,3,0)</f>
        <v>21.11</v>
      </c>
      <c r="M24">
        <f>VLOOKUP(A24,NYSEARCAGLD!A$2:G$506,3,0)</f>
        <v>113.17</v>
      </c>
      <c r="N24">
        <f>VLOOKUP(A24,NYSEBP!A$2:G$506,3,0)</f>
        <v>41.62</v>
      </c>
      <c r="O24">
        <f>VLOOKUP(A24,NASDAQYHOO!A$2:G$506,3,0)</f>
        <v>40.799999999999997</v>
      </c>
    </row>
    <row r="25" spans="1:15">
      <c r="A25" s="39">
        <v>42179</v>
      </c>
      <c r="B25">
        <v>72.650000000000006</v>
      </c>
      <c r="C25">
        <f>VLOOKUP(A25,NYSEARCAVTI!A$2:G$506,3,0)</f>
        <v>110.71</v>
      </c>
      <c r="D25">
        <f>VLOOKUP(A25,NYSEARCAVEU!A$2:G$506,3,0)</f>
        <v>50.85</v>
      </c>
      <c r="E25">
        <f>VLOOKUP(A25,NYSEARCAVWO!A$2:G$506,3,0)</f>
        <v>42.5</v>
      </c>
      <c r="F25">
        <f>VLOOKUP(A25,NYSEARCABND!A$2:G$506,3,0)</f>
        <v>81.23</v>
      </c>
      <c r="G25">
        <f>VLOOKUP(A25,NYSEARCATIP!A$2:G$506,3,0)</f>
        <v>112.22</v>
      </c>
      <c r="H25">
        <f>VLOOKUP(A25,NYSEARCAMUB!A$2:G$506,3,0)</f>
        <v>108.38</v>
      </c>
      <c r="I25">
        <f>VLOOKUP(A25,NYSEARCAVNQ!A$2:G$506,3,0)</f>
        <v>77.66</v>
      </c>
      <c r="J25">
        <f>VLOOKUP(A25,NYSEARCARWX!A$2:G$506,3,0)</f>
        <v>42.99</v>
      </c>
      <c r="K25">
        <f>VLOOKUP(A25,NYSEARCADBC!A$2:G$506,3,0)</f>
        <v>17.760000000000002</v>
      </c>
      <c r="L25">
        <f>VLOOKUP(A25,NYSEARCAGSG!A$2:G$506,3,0)</f>
        <v>21.17</v>
      </c>
      <c r="M25">
        <f>VLOOKUP(A25,NYSEARCAGLD!A$2:G$506,3,0)</f>
        <v>112.74</v>
      </c>
      <c r="N25">
        <f>VLOOKUP(A25,NYSEBP!A$2:G$506,3,0)</f>
        <v>42.04</v>
      </c>
      <c r="O25">
        <f>VLOOKUP(A25,NASDAQYHOO!A$2:G$506,3,0)</f>
        <v>41.23</v>
      </c>
    </row>
    <row r="26" spans="1:15">
      <c r="A26" s="39">
        <v>42180</v>
      </c>
      <c r="B26">
        <v>72.63</v>
      </c>
      <c r="C26">
        <f>VLOOKUP(A26,NYSEARCAVTI!A$2:G$506,3,0)</f>
        <v>110.24</v>
      </c>
      <c r="D26">
        <f>VLOOKUP(A26,NYSEARCAVEU!A$2:G$506,3,0)</f>
        <v>50.86</v>
      </c>
      <c r="E26">
        <f>VLOOKUP(A26,NYSEARCAVWO!A$2:G$506,3,0)</f>
        <v>42.3</v>
      </c>
      <c r="F26">
        <f>VLOOKUP(A26,NYSEARCABND!A$2:G$506,3,0)</f>
        <v>81.2</v>
      </c>
      <c r="G26">
        <f>VLOOKUP(A26,NYSEARCATIP!A$2:G$506,3,0)</f>
        <v>112.1</v>
      </c>
      <c r="H26">
        <f>VLOOKUP(A26,NYSEARCAMUB!A$2:G$506,3,0)</f>
        <v>108.37</v>
      </c>
      <c r="I26">
        <f>VLOOKUP(A26,NYSEARCAVNQ!A$2:G$506,3,0)</f>
        <v>77</v>
      </c>
      <c r="J26">
        <f>VLOOKUP(A26,NYSEARCARWX!A$2:G$506,3,0)</f>
        <v>42.87</v>
      </c>
      <c r="K26">
        <f>VLOOKUP(A26,NYSEARCADBC!A$2:G$506,3,0)</f>
        <v>17.649999999999999</v>
      </c>
      <c r="L26">
        <f>VLOOKUP(A26,NYSEARCAGSG!A$2:G$506,3,0)</f>
        <v>20.87</v>
      </c>
      <c r="M26">
        <f>VLOOKUP(A26,NYSEARCAGLD!A$2:G$506,3,0)</f>
        <v>112.71</v>
      </c>
      <c r="N26">
        <f>VLOOKUP(A26,NYSEBP!A$2:G$506,3,0)</f>
        <v>42.2</v>
      </c>
      <c r="O26">
        <f>VLOOKUP(A26,NASDAQYHOO!A$2:G$506,3,0)</f>
        <v>41.38</v>
      </c>
    </row>
    <row r="27" spans="1:15">
      <c r="A27" s="39">
        <v>42181</v>
      </c>
      <c r="B27">
        <v>72.459999999999994</v>
      </c>
      <c r="C27">
        <f>VLOOKUP(A27,NYSEARCAVTI!A$2:G$506,3,0)</f>
        <v>109.39</v>
      </c>
      <c r="D27">
        <f>VLOOKUP(A27,NYSEARCAVEU!A$2:G$506,3,0)</f>
        <v>50.09</v>
      </c>
      <c r="E27">
        <f>VLOOKUP(A27,NYSEARCAVWO!A$2:G$506,3,0)</f>
        <v>41.46</v>
      </c>
      <c r="F27">
        <f>VLOOKUP(A27,NYSEARCABND!A$2:G$506,3,0)</f>
        <v>80.98</v>
      </c>
      <c r="G27">
        <f>VLOOKUP(A27,NYSEARCATIP!A$2:G$506,3,0)</f>
        <v>111.65</v>
      </c>
      <c r="H27">
        <f>VLOOKUP(A27,NYSEARCAMUB!A$2:G$506,3,0)</f>
        <v>108.22</v>
      </c>
      <c r="I27">
        <f>VLOOKUP(A27,NYSEARCAVNQ!A$2:G$506,3,0)</f>
        <v>76.09</v>
      </c>
      <c r="J27">
        <f>VLOOKUP(A27,NYSEARCARWX!A$2:G$506,3,0)</f>
        <v>42.77</v>
      </c>
      <c r="K27">
        <f>VLOOKUP(A27,NYSEARCADBC!A$2:G$506,3,0)</f>
        <v>17.760000000000002</v>
      </c>
      <c r="L27">
        <f>VLOOKUP(A27,NYSEARCAGSG!A$2:G$506,3,0)</f>
        <v>20.99</v>
      </c>
      <c r="M27">
        <f>VLOOKUP(A27,NYSEARCAGLD!A$2:G$506,3,0)</f>
        <v>112.68</v>
      </c>
      <c r="N27">
        <f>VLOOKUP(A27,NYSEBP!A$2:G$506,3,0)</f>
        <v>41.79</v>
      </c>
      <c r="O27">
        <f>VLOOKUP(A27,NASDAQYHOO!A$2:G$506,3,0)</f>
        <v>41.06</v>
      </c>
    </row>
    <row r="28" spans="1:15">
      <c r="A28" s="39">
        <v>42184</v>
      </c>
      <c r="B28">
        <v>72</v>
      </c>
      <c r="C28">
        <f>VLOOKUP(A28,NYSEARCAVTI!A$2:G$506,3,0)</f>
        <v>108.5</v>
      </c>
      <c r="D28">
        <f>VLOOKUP(A28,NYSEARCAVEU!A$2:G$506,3,0)</f>
        <v>49.14</v>
      </c>
      <c r="E28">
        <f>VLOOKUP(A28,NYSEARCAVWO!A$2:G$506,3,0)</f>
        <v>40.74</v>
      </c>
      <c r="F28">
        <f>VLOOKUP(A28,NYSEARCABND!A$2:G$506,3,0)</f>
        <v>81.400000000000006</v>
      </c>
      <c r="G28">
        <f>VLOOKUP(A28,NYSEARCATIP!A$2:G$506,3,0)</f>
        <v>112.41</v>
      </c>
      <c r="H28">
        <f>VLOOKUP(A28,NYSEARCAMUB!A$2:G$506,3,0)</f>
        <v>108.59</v>
      </c>
      <c r="I28">
        <f>VLOOKUP(A28,NYSEARCAVNQ!A$2:G$506,3,0)</f>
        <v>76.38</v>
      </c>
      <c r="J28">
        <f>VLOOKUP(A28,NYSEARCARWX!A$2:G$506,3,0)</f>
        <v>42.24</v>
      </c>
      <c r="K28">
        <f>VLOOKUP(A28,NYSEARCADBC!A$2:G$506,3,0)</f>
        <v>17.72</v>
      </c>
      <c r="L28">
        <f>VLOOKUP(A28,NYSEARCAGSG!A$2:G$506,3,0)</f>
        <v>20.83</v>
      </c>
      <c r="M28">
        <f>VLOOKUP(A28,NYSEARCAGLD!A$2:G$506,3,0)</f>
        <v>113.23</v>
      </c>
      <c r="N28">
        <f>VLOOKUP(A28,NYSEBP!A$2:G$506,3,0)</f>
        <v>41</v>
      </c>
      <c r="O28">
        <f>VLOOKUP(A28,NASDAQYHOO!A$2:G$506,3,0)</f>
        <v>39.78</v>
      </c>
    </row>
    <row r="29" spans="1:15">
      <c r="A29" s="39">
        <v>42185</v>
      </c>
      <c r="B29">
        <v>71.81</v>
      </c>
      <c r="C29">
        <f>VLOOKUP(A29,NYSEARCAVTI!A$2:G$506,3,0)</f>
        <v>107.65</v>
      </c>
      <c r="D29">
        <f>VLOOKUP(A29,NYSEARCAVEU!A$2:G$506,3,0)</f>
        <v>49.03</v>
      </c>
      <c r="E29">
        <f>VLOOKUP(A29,NYSEARCAVWO!A$2:G$506,3,0)</f>
        <v>41.11</v>
      </c>
      <c r="F29">
        <f>VLOOKUP(A29,NYSEARCABND!A$2:G$506,3,0)</f>
        <v>81.48</v>
      </c>
      <c r="G29">
        <f>VLOOKUP(A29,NYSEARCATIP!A$2:G$506,3,0)</f>
        <v>112.57</v>
      </c>
      <c r="H29">
        <f>VLOOKUP(A29,NYSEARCAMUB!A$2:G$506,3,0)</f>
        <v>108.42</v>
      </c>
      <c r="I29">
        <f>VLOOKUP(A29,NYSEARCAVNQ!A$2:G$506,3,0)</f>
        <v>75.39</v>
      </c>
      <c r="J29">
        <f>VLOOKUP(A29,NYSEARCARWX!A$2:G$506,3,0)</f>
        <v>42.16</v>
      </c>
      <c r="K29">
        <f>VLOOKUP(A29,NYSEARCADBC!A$2:G$506,3,0)</f>
        <v>18.05</v>
      </c>
      <c r="L29">
        <f>VLOOKUP(A29,NYSEARCAGSG!A$2:G$506,3,0)</f>
        <v>21.21</v>
      </c>
      <c r="M29">
        <f>VLOOKUP(A29,NYSEARCAGLD!A$2:G$506,3,0)</f>
        <v>113.05</v>
      </c>
      <c r="N29">
        <f>VLOOKUP(A29,NYSEBP!A$2:G$506,3,0)</f>
        <v>40.15</v>
      </c>
      <c r="O29">
        <f>VLOOKUP(A29,NASDAQYHOO!A$2:G$506,3,0)</f>
        <v>39.65</v>
      </c>
    </row>
    <row r="30" spans="1:15">
      <c r="A30" s="39">
        <v>42186</v>
      </c>
      <c r="B30">
        <v>71.95</v>
      </c>
      <c r="C30">
        <f>VLOOKUP(A30,NYSEARCAVTI!A$2:G$506,3,0)</f>
        <v>108.11</v>
      </c>
      <c r="D30">
        <f>VLOOKUP(A30,NYSEARCAVEU!A$2:G$506,3,0)</f>
        <v>49.07</v>
      </c>
      <c r="E30">
        <f>VLOOKUP(A30,NYSEARCAVWO!A$2:G$506,3,0)</f>
        <v>41.14</v>
      </c>
      <c r="F30">
        <f>VLOOKUP(A30,NYSEARCABND!A$2:G$506,3,0)</f>
        <v>81.03</v>
      </c>
      <c r="G30">
        <f>VLOOKUP(A30,NYSEARCATIP!A$2:G$506,3,0)</f>
        <v>111.94</v>
      </c>
      <c r="H30">
        <f>VLOOKUP(A30,NYSEARCAMUB!A$2:G$506,3,0)</f>
        <v>108.11</v>
      </c>
      <c r="I30">
        <f>VLOOKUP(A30,NYSEARCAVNQ!A$2:G$506,3,0)</f>
        <v>75.92</v>
      </c>
      <c r="J30">
        <f>VLOOKUP(A30,NYSEARCARWX!A$2:G$506,3,0)</f>
        <v>42.2</v>
      </c>
      <c r="K30">
        <f>VLOOKUP(A30,NYSEARCADBC!A$2:G$506,3,0)</f>
        <v>17.89</v>
      </c>
      <c r="L30">
        <f>VLOOKUP(A30,NYSEARCAGSG!A$2:G$506,3,0)</f>
        <v>20.96</v>
      </c>
      <c r="M30">
        <f>VLOOKUP(A30,NYSEARCAGLD!A$2:G$506,3,0)</f>
        <v>112.51</v>
      </c>
      <c r="N30">
        <f>VLOOKUP(A30,NYSEBP!A$2:G$506,3,0)</f>
        <v>39.659999999999997</v>
      </c>
      <c r="O30">
        <f>VLOOKUP(A30,NASDAQYHOO!A$2:G$506,3,0)</f>
        <v>39.78</v>
      </c>
    </row>
    <row r="31" spans="1:15">
      <c r="A31" s="39">
        <v>42187</v>
      </c>
      <c r="B31">
        <v>72.56</v>
      </c>
      <c r="C31">
        <f>VLOOKUP(A31,NYSEARCAVTI!A$2:G$506,3,0)</f>
        <v>108.2</v>
      </c>
      <c r="D31">
        <f>VLOOKUP(A31,NYSEARCAVEU!A$2:G$506,3,0)</f>
        <v>48.95</v>
      </c>
      <c r="E31">
        <f>VLOOKUP(A31,NYSEARCAVWO!A$2:G$506,3,0)</f>
        <v>41.29</v>
      </c>
      <c r="F31">
        <f>VLOOKUP(A31,NYSEARCABND!A$2:G$506,3,0)</f>
        <v>81.180000000000007</v>
      </c>
      <c r="G31">
        <f>VLOOKUP(A31,NYSEARCATIP!A$2:G$506,3,0)</f>
        <v>112.31</v>
      </c>
      <c r="H31">
        <f>VLOOKUP(A31,NYSEARCAMUB!A$2:G$506,3,0)</f>
        <v>108.17</v>
      </c>
      <c r="I31">
        <f>VLOOKUP(A31,NYSEARCAVNQ!A$2:G$506,3,0)</f>
        <v>77.14</v>
      </c>
      <c r="J31">
        <f>VLOOKUP(A31,NYSEARCARWX!A$2:G$506,3,0)</f>
        <v>41.98</v>
      </c>
      <c r="K31">
        <f>VLOOKUP(A31,NYSEARCADBC!A$2:G$506,3,0)</f>
        <v>17.940000000000001</v>
      </c>
      <c r="L31">
        <f>VLOOKUP(A31,NYSEARCAGSG!A$2:G$506,3,0)</f>
        <v>21</v>
      </c>
      <c r="M31">
        <f>VLOOKUP(A31,NYSEARCAGLD!A$2:G$506,3,0)</f>
        <v>111.84</v>
      </c>
      <c r="N31">
        <f>VLOOKUP(A31,NYSEBP!A$2:G$506,3,0)</f>
        <v>41.52</v>
      </c>
      <c r="O31">
        <f>VLOOKUP(A31,NASDAQYHOO!A$2:G$506,3,0)</f>
        <v>39.64</v>
      </c>
    </row>
    <row r="32" spans="1:15">
      <c r="A32" s="39">
        <v>42191</v>
      </c>
      <c r="B32">
        <v>72.69</v>
      </c>
      <c r="C32">
        <f>VLOOKUP(A32,NYSEARCAVTI!A$2:G$506,3,0)</f>
        <v>107.79</v>
      </c>
      <c r="D32">
        <f>VLOOKUP(A32,NYSEARCAVEU!A$2:G$506,3,0)</f>
        <v>48.26</v>
      </c>
      <c r="E32">
        <f>VLOOKUP(A32,NYSEARCAVWO!A$2:G$506,3,0)</f>
        <v>40.25</v>
      </c>
      <c r="F32">
        <f>VLOOKUP(A32,NYSEARCABND!A$2:G$506,3,0)</f>
        <v>81.44</v>
      </c>
      <c r="G32">
        <f>VLOOKUP(A32,NYSEARCATIP!A$2:G$506,3,0)</f>
        <v>112.76</v>
      </c>
      <c r="H32">
        <f>VLOOKUP(A32,NYSEARCAMUB!A$2:G$506,3,0)</f>
        <v>108.46</v>
      </c>
      <c r="I32">
        <f>VLOOKUP(A32,NYSEARCAVNQ!A$2:G$506,3,0)</f>
        <v>76.69</v>
      </c>
      <c r="J32">
        <f>VLOOKUP(A32,NYSEARCARWX!A$2:G$506,3,0)</f>
        <v>41.69</v>
      </c>
      <c r="K32">
        <f>VLOOKUP(A32,NYSEARCADBC!A$2:G$506,3,0)</f>
        <v>17.37</v>
      </c>
      <c r="L32">
        <f>VLOOKUP(A32,NYSEARCAGSG!A$2:G$506,3,0)</f>
        <v>20.16</v>
      </c>
      <c r="M32">
        <f>VLOOKUP(A32,NYSEARCAGLD!A$2:G$506,3,0)</f>
        <v>112.58</v>
      </c>
      <c r="N32">
        <f>VLOOKUP(A32,NYSEBP!A$2:G$506,3,0)</f>
        <v>40.630000000000003</v>
      </c>
      <c r="O32">
        <f>VLOOKUP(A32,NASDAQYHOO!A$2:G$506,3,0)</f>
        <v>39.119999999999997</v>
      </c>
    </row>
    <row r="33" spans="1:15">
      <c r="A33" s="39">
        <v>42192</v>
      </c>
      <c r="B33">
        <v>73.86</v>
      </c>
      <c r="C33">
        <f>VLOOKUP(A33,NYSEARCAVTI!A$2:G$506,3,0)</f>
        <v>108</v>
      </c>
      <c r="D33">
        <f>VLOOKUP(A33,NYSEARCAVEU!A$2:G$506,3,0)</f>
        <v>47.84</v>
      </c>
      <c r="E33">
        <f>VLOOKUP(A33,NYSEARCAVWO!A$2:G$506,3,0)</f>
        <v>39.36</v>
      </c>
      <c r="F33">
        <f>VLOOKUP(A33,NYSEARCABND!A$2:G$506,3,0)</f>
        <v>81.77</v>
      </c>
      <c r="G33">
        <f>VLOOKUP(A33,NYSEARCATIP!A$2:G$506,3,0)</f>
        <v>113.29</v>
      </c>
      <c r="H33">
        <f>VLOOKUP(A33,NYSEARCAMUB!A$2:G$506,3,0)</f>
        <v>108.63</v>
      </c>
      <c r="I33">
        <f>VLOOKUP(A33,NYSEARCAVNQ!A$2:G$506,3,0)</f>
        <v>77.92</v>
      </c>
      <c r="J33">
        <f>VLOOKUP(A33,NYSEARCARWX!A$2:G$506,3,0)</f>
        <v>41.58</v>
      </c>
      <c r="K33">
        <f>VLOOKUP(A33,NYSEARCADBC!A$2:G$506,3,0)</f>
        <v>17.100000000000001</v>
      </c>
      <c r="L33">
        <f>VLOOKUP(A33,NYSEARCAGSG!A$2:G$506,3,0)</f>
        <v>19.87</v>
      </c>
      <c r="M33">
        <f>VLOOKUP(A33,NYSEARCAGLD!A$2:G$506,3,0)</f>
        <v>111.14</v>
      </c>
      <c r="N33">
        <f>VLOOKUP(A33,NYSEBP!A$2:G$506,3,0)</f>
        <v>39.869999999999997</v>
      </c>
      <c r="O33">
        <f>VLOOKUP(A33,NASDAQYHOO!A$2:G$506,3,0)</f>
        <v>38.380000000000003</v>
      </c>
    </row>
    <row r="34" spans="1:15">
      <c r="A34" s="39">
        <v>42193</v>
      </c>
      <c r="B34">
        <v>73.59</v>
      </c>
      <c r="C34">
        <f>VLOOKUP(A34,NYSEARCAVTI!A$2:G$506,3,0)</f>
        <v>107.28</v>
      </c>
      <c r="D34">
        <f>VLOOKUP(A34,NYSEARCAVEU!A$2:G$506,3,0)</f>
        <v>46.97</v>
      </c>
      <c r="E34">
        <f>VLOOKUP(A34,NYSEARCAVWO!A$2:G$506,3,0)</f>
        <v>38.35</v>
      </c>
      <c r="F34">
        <f>VLOOKUP(A34,NYSEARCABND!A$2:G$506,3,0)</f>
        <v>81.760000000000005</v>
      </c>
      <c r="G34">
        <f>VLOOKUP(A34,NYSEARCATIP!A$2:G$506,3,0)</f>
        <v>113.14</v>
      </c>
      <c r="H34">
        <f>VLOOKUP(A34,NYSEARCAMUB!A$2:G$506,3,0)</f>
        <v>108.75</v>
      </c>
      <c r="I34">
        <f>VLOOKUP(A34,NYSEARCAVNQ!A$2:G$506,3,0)</f>
        <v>77.760000000000005</v>
      </c>
      <c r="J34">
        <f>VLOOKUP(A34,NYSEARCARWX!A$2:G$506,3,0)</f>
        <v>41.04</v>
      </c>
      <c r="K34">
        <f>VLOOKUP(A34,NYSEARCADBC!A$2:G$506,3,0)</f>
        <v>17.12</v>
      </c>
      <c r="L34">
        <f>VLOOKUP(A34,NYSEARCAGSG!A$2:G$506,3,0)</f>
        <v>19.850000000000001</v>
      </c>
      <c r="M34">
        <f>VLOOKUP(A34,NYSEARCAGLD!A$2:G$506,3,0)</f>
        <v>111.65</v>
      </c>
      <c r="N34">
        <f>VLOOKUP(A34,NYSEBP!A$2:G$506,3,0)</f>
        <v>39.42</v>
      </c>
      <c r="O34">
        <f>VLOOKUP(A34,NASDAQYHOO!A$2:G$506,3,0)</f>
        <v>37.49</v>
      </c>
    </row>
    <row r="35" spans="1:15">
      <c r="A35" s="39">
        <v>42194</v>
      </c>
      <c r="B35">
        <v>73.73</v>
      </c>
      <c r="C35">
        <f>VLOOKUP(A35,NYSEARCAVTI!A$2:G$506,3,0)</f>
        <v>107.69</v>
      </c>
      <c r="D35">
        <f>VLOOKUP(A35,NYSEARCAVEU!A$2:G$506,3,0)</f>
        <v>47.67</v>
      </c>
      <c r="E35">
        <f>VLOOKUP(A35,NYSEARCAVWO!A$2:G$506,3,0)</f>
        <v>39.19</v>
      </c>
      <c r="F35">
        <f>VLOOKUP(A35,NYSEARCABND!A$2:G$506,3,0)</f>
        <v>81.58</v>
      </c>
      <c r="G35">
        <f>VLOOKUP(A35,NYSEARCATIP!A$2:G$506,3,0)</f>
        <v>112.77</v>
      </c>
      <c r="H35">
        <f>VLOOKUP(A35,NYSEARCAMUB!A$2:G$506,3,0)</f>
        <v>108.64</v>
      </c>
      <c r="I35">
        <f>VLOOKUP(A35,NYSEARCAVNQ!A$2:G$506,3,0)</f>
        <v>77.94</v>
      </c>
      <c r="J35">
        <f>VLOOKUP(A35,NYSEARCARWX!A$2:G$506,3,0)</f>
        <v>41.23</v>
      </c>
      <c r="K35">
        <f>VLOOKUP(A35,NYSEARCADBC!A$2:G$506,3,0)</f>
        <v>17.29</v>
      </c>
      <c r="L35">
        <f>VLOOKUP(A35,NYSEARCAGSG!A$2:G$506,3,0)</f>
        <v>20.09</v>
      </c>
      <c r="M35">
        <f>VLOOKUP(A35,NYSEARCAGLD!A$2:G$506,3,0)</f>
        <v>111.93</v>
      </c>
      <c r="N35">
        <f>VLOOKUP(A35,NYSEBP!A$2:G$506,3,0)</f>
        <v>39.71</v>
      </c>
      <c r="O35">
        <f>VLOOKUP(A35,NASDAQYHOO!A$2:G$506,3,0)</f>
        <v>38.68</v>
      </c>
    </row>
    <row r="36" spans="1:15">
      <c r="A36" s="39">
        <v>42195</v>
      </c>
      <c r="B36">
        <v>73.55</v>
      </c>
      <c r="C36">
        <f>VLOOKUP(A36,NYSEARCAVTI!A$2:G$506,3,0)</f>
        <v>107.84</v>
      </c>
      <c r="D36">
        <f>VLOOKUP(A36,NYSEARCAVEU!A$2:G$506,3,0)</f>
        <v>48.67</v>
      </c>
      <c r="E36">
        <f>VLOOKUP(A36,NYSEARCAVWO!A$2:G$506,3,0)</f>
        <v>39.83</v>
      </c>
      <c r="F36">
        <f>VLOOKUP(A36,NYSEARCABND!A$2:G$506,3,0)</f>
        <v>81.16</v>
      </c>
      <c r="G36">
        <f>VLOOKUP(A36,NYSEARCATIP!A$2:G$506,3,0)</f>
        <v>112.09</v>
      </c>
      <c r="H36">
        <f>VLOOKUP(A36,NYSEARCAMUB!A$2:G$506,3,0)</f>
        <v>108.5</v>
      </c>
      <c r="I36">
        <f>VLOOKUP(A36,NYSEARCAVNQ!A$2:G$506,3,0)</f>
        <v>78.28</v>
      </c>
      <c r="J36">
        <f>VLOOKUP(A36,NYSEARCARWX!A$2:G$506,3,0)</f>
        <v>41.73</v>
      </c>
      <c r="K36">
        <f>VLOOKUP(A36,NYSEARCADBC!A$2:G$506,3,0)</f>
        <v>17.36</v>
      </c>
      <c r="L36">
        <f>VLOOKUP(A36,NYSEARCAGSG!A$2:G$506,3,0)</f>
        <v>20.059999999999999</v>
      </c>
      <c r="M36">
        <f>VLOOKUP(A36,NYSEARCAGLD!A$2:G$506,3,0)</f>
        <v>111.71</v>
      </c>
      <c r="N36">
        <f>VLOOKUP(A36,NYSEBP!A$2:G$506,3,0)</f>
        <v>40.200000000000003</v>
      </c>
      <c r="O36">
        <f>VLOOKUP(A36,NASDAQYHOO!A$2:G$506,3,0)</f>
        <v>38.42</v>
      </c>
    </row>
    <row r="37" spans="1:15">
      <c r="A37" s="39">
        <v>42198</v>
      </c>
      <c r="B37">
        <v>74.099999999999994</v>
      </c>
      <c r="C37">
        <f>VLOOKUP(A37,NYSEARCAVTI!A$2:G$506,3,0)</f>
        <v>108.88</v>
      </c>
      <c r="D37">
        <f>VLOOKUP(A37,NYSEARCAVEU!A$2:G$506,3,0)</f>
        <v>48.87</v>
      </c>
      <c r="E37">
        <f>VLOOKUP(A37,NYSEARCAVWO!A$2:G$506,3,0)</f>
        <v>40.07</v>
      </c>
      <c r="F37">
        <f>VLOOKUP(A37,NYSEARCABND!A$2:G$506,3,0)</f>
        <v>81.010000000000005</v>
      </c>
      <c r="G37">
        <f>VLOOKUP(A37,NYSEARCATIP!A$2:G$506,3,0)</f>
        <v>111.8</v>
      </c>
      <c r="H37">
        <f>VLOOKUP(A37,NYSEARCAMUB!A$2:G$506,3,0)</f>
        <v>108.4</v>
      </c>
      <c r="I37">
        <f>VLOOKUP(A37,NYSEARCAVNQ!A$2:G$506,3,0)</f>
        <v>78.739999999999995</v>
      </c>
      <c r="J37">
        <f>VLOOKUP(A37,NYSEARCARWX!A$2:G$506,3,0)</f>
        <v>42.25</v>
      </c>
      <c r="K37">
        <f>VLOOKUP(A37,NYSEARCADBC!A$2:G$506,3,0)</f>
        <v>17.37</v>
      </c>
      <c r="L37">
        <f>VLOOKUP(A37,NYSEARCAGSG!A$2:G$506,3,0)</f>
        <v>20.04</v>
      </c>
      <c r="M37">
        <f>VLOOKUP(A37,NYSEARCAGLD!A$2:G$506,3,0)</f>
        <v>111.14</v>
      </c>
      <c r="N37">
        <f>VLOOKUP(A37,NYSEBP!A$2:G$506,3,0)</f>
        <v>40.11</v>
      </c>
      <c r="O37">
        <f>VLOOKUP(A37,NASDAQYHOO!A$2:G$506,3,0)</f>
        <v>38.799999999999997</v>
      </c>
    </row>
    <row r="38" spans="1:15">
      <c r="A38" s="39">
        <v>42199</v>
      </c>
      <c r="B38">
        <v>74.09</v>
      </c>
      <c r="C38">
        <f>VLOOKUP(A38,NYSEARCAVTI!A$2:G$506,3,0)</f>
        <v>109.5</v>
      </c>
      <c r="D38">
        <f>VLOOKUP(A38,NYSEARCAVEU!A$2:G$506,3,0)</f>
        <v>49.13</v>
      </c>
      <c r="E38">
        <f>VLOOKUP(A38,NYSEARCAVWO!A$2:G$506,3,0)</f>
        <v>40.119999999999997</v>
      </c>
      <c r="F38">
        <f>VLOOKUP(A38,NYSEARCABND!A$2:G$506,3,0)</f>
        <v>81.069999999999993</v>
      </c>
      <c r="G38">
        <f>VLOOKUP(A38,NYSEARCATIP!A$2:G$506,3,0)</f>
        <v>111.72</v>
      </c>
      <c r="H38">
        <f>VLOOKUP(A38,NYSEARCAMUB!A$2:G$506,3,0)</f>
        <v>108.52</v>
      </c>
      <c r="I38">
        <f>VLOOKUP(A38,NYSEARCAVNQ!A$2:G$506,3,0)</f>
        <v>78.3</v>
      </c>
      <c r="J38">
        <f>VLOOKUP(A38,NYSEARCARWX!A$2:G$506,3,0)</f>
        <v>42.51</v>
      </c>
      <c r="K38">
        <f>VLOOKUP(A38,NYSEARCADBC!A$2:G$506,3,0)</f>
        <v>17.29</v>
      </c>
      <c r="L38">
        <f>VLOOKUP(A38,NYSEARCAGSG!A$2:G$506,3,0)</f>
        <v>19.98</v>
      </c>
      <c r="M38">
        <f>VLOOKUP(A38,NYSEARCAGLD!A$2:G$506,3,0)</f>
        <v>111.08</v>
      </c>
      <c r="N38">
        <f>VLOOKUP(A38,NYSEBP!A$2:G$506,3,0)</f>
        <v>40.36</v>
      </c>
      <c r="O38">
        <f>VLOOKUP(A38,NASDAQYHOO!A$2:G$506,3,0)</f>
        <v>39.03</v>
      </c>
    </row>
    <row r="39" spans="1:15">
      <c r="A39" s="39">
        <v>42200</v>
      </c>
      <c r="B39">
        <v>73.900000000000006</v>
      </c>
      <c r="C39">
        <f>VLOOKUP(A39,NYSEARCAVTI!A$2:G$506,3,0)</f>
        <v>109.56</v>
      </c>
      <c r="D39">
        <f>VLOOKUP(A39,NYSEARCAVEU!A$2:G$506,3,0)</f>
        <v>48.99</v>
      </c>
      <c r="E39">
        <f>VLOOKUP(A39,NYSEARCAVWO!A$2:G$506,3,0)</f>
        <v>39.89</v>
      </c>
      <c r="F39">
        <f>VLOOKUP(A39,NYSEARCABND!A$2:G$506,3,0)</f>
        <v>81.260000000000005</v>
      </c>
      <c r="G39">
        <f>VLOOKUP(A39,NYSEARCATIP!A$2:G$506,3,0)</f>
        <v>112.02</v>
      </c>
      <c r="H39">
        <f>VLOOKUP(A39,NYSEARCAMUB!A$2:G$506,3,0)</f>
        <v>108.48</v>
      </c>
      <c r="I39">
        <f>VLOOKUP(A39,NYSEARCAVNQ!A$2:G$506,3,0)</f>
        <v>78.44</v>
      </c>
      <c r="J39">
        <f>VLOOKUP(A39,NYSEARCARWX!A$2:G$506,3,0)</f>
        <v>42.5</v>
      </c>
      <c r="K39">
        <f>VLOOKUP(A39,NYSEARCADBC!A$2:G$506,3,0)</f>
        <v>17.149999999999999</v>
      </c>
      <c r="L39">
        <f>VLOOKUP(A39,NYSEARCAGSG!A$2:G$506,3,0)</f>
        <v>19.82</v>
      </c>
      <c r="M39">
        <f>VLOOKUP(A39,NYSEARCAGLD!A$2:G$506,3,0)</f>
        <v>110.19</v>
      </c>
      <c r="N39">
        <f>VLOOKUP(A39,NYSEBP!A$2:G$506,3,0)</f>
        <v>40.21</v>
      </c>
      <c r="O39">
        <f>VLOOKUP(A39,NASDAQYHOO!A$2:G$506,3,0)</f>
        <v>38.799999999999997</v>
      </c>
    </row>
    <row r="40" spans="1:15">
      <c r="A40" s="39">
        <v>42201</v>
      </c>
      <c r="B40">
        <v>74.14</v>
      </c>
      <c r="C40">
        <f>VLOOKUP(A40,NYSEARCAVTI!A$2:G$506,3,0)</f>
        <v>109.95</v>
      </c>
      <c r="D40">
        <f>VLOOKUP(A40,NYSEARCAVEU!A$2:G$506,3,0)</f>
        <v>49.32</v>
      </c>
      <c r="E40">
        <f>VLOOKUP(A40,NYSEARCAVWO!A$2:G$506,3,0)</f>
        <v>40.119999999999997</v>
      </c>
      <c r="F40">
        <f>VLOOKUP(A40,NYSEARCABND!A$2:G$506,3,0)</f>
        <v>81.28</v>
      </c>
      <c r="G40">
        <f>VLOOKUP(A40,NYSEARCATIP!A$2:G$506,3,0)</f>
        <v>112.17</v>
      </c>
      <c r="H40">
        <f>VLOOKUP(A40,NYSEARCAMUB!A$2:G$506,3,0)</f>
        <v>108.59</v>
      </c>
      <c r="I40">
        <f>VLOOKUP(A40,NYSEARCAVNQ!A$2:G$506,3,0)</f>
        <v>78.89</v>
      </c>
      <c r="J40">
        <f>VLOOKUP(A40,NYSEARCARWX!A$2:G$506,3,0)</f>
        <v>42.9</v>
      </c>
      <c r="K40">
        <f>VLOOKUP(A40,NYSEARCADBC!A$2:G$506,3,0)</f>
        <v>17.2</v>
      </c>
      <c r="L40">
        <f>VLOOKUP(A40,NYSEARCAGSG!A$2:G$506,3,0)</f>
        <v>19.690000000000001</v>
      </c>
      <c r="M40">
        <f>VLOOKUP(A40,NYSEARCAGLD!A$2:G$506,3,0)</f>
        <v>110.01</v>
      </c>
      <c r="N40">
        <f>VLOOKUP(A40,NYSEBP!A$2:G$506,3,0)</f>
        <v>39.82</v>
      </c>
      <c r="O40">
        <f>VLOOKUP(A40,NASDAQYHOO!A$2:G$506,3,0)</f>
        <v>38.96</v>
      </c>
    </row>
    <row r="41" spans="1:15">
      <c r="A41" s="39">
        <v>42202</v>
      </c>
      <c r="B41">
        <v>74.069999999999993</v>
      </c>
      <c r="C41">
        <f>VLOOKUP(A41,NYSEARCAVTI!A$2:G$506,3,0)</f>
        <v>110</v>
      </c>
      <c r="D41">
        <f>VLOOKUP(A41,NYSEARCAVEU!A$2:G$506,3,0)</f>
        <v>49.24</v>
      </c>
      <c r="E41">
        <f>VLOOKUP(A41,NYSEARCAVWO!A$2:G$506,3,0)</f>
        <v>40.21</v>
      </c>
      <c r="F41">
        <f>VLOOKUP(A41,NYSEARCABND!A$2:G$506,3,0)</f>
        <v>81.319999999999993</v>
      </c>
      <c r="G41">
        <f>VLOOKUP(A41,NYSEARCATIP!A$2:G$506,3,0)</f>
        <v>112.13</v>
      </c>
      <c r="H41">
        <f>VLOOKUP(A41,NYSEARCAMUB!A$2:G$506,3,0)</f>
        <v>108.71</v>
      </c>
      <c r="I41">
        <f>VLOOKUP(A41,NYSEARCAVNQ!A$2:G$506,3,0)</f>
        <v>78.83</v>
      </c>
      <c r="J41">
        <f>VLOOKUP(A41,NYSEARCARWX!A$2:G$506,3,0)</f>
        <v>42.91</v>
      </c>
      <c r="K41">
        <f>VLOOKUP(A41,NYSEARCADBC!A$2:G$506,3,0)</f>
        <v>16.91</v>
      </c>
      <c r="L41">
        <f>VLOOKUP(A41,NYSEARCAGSG!A$2:G$506,3,0)</f>
        <v>19.510000000000002</v>
      </c>
      <c r="M41">
        <f>VLOOKUP(A41,NYSEARCAGLD!A$2:G$506,3,0)</f>
        <v>109.16</v>
      </c>
      <c r="N41">
        <f>VLOOKUP(A41,NYSEBP!A$2:G$506,3,0)</f>
        <v>39.44</v>
      </c>
      <c r="O41">
        <f>VLOOKUP(A41,NASDAQYHOO!A$2:G$506,3,0)</f>
        <v>39.79</v>
      </c>
    </row>
    <row r="42" spans="1:15">
      <c r="A42" s="39">
        <v>42205</v>
      </c>
      <c r="B42">
        <v>73.44</v>
      </c>
      <c r="C42">
        <f>VLOOKUP(A42,NYSEARCAVTI!A$2:G$506,3,0)</f>
        <v>110.21</v>
      </c>
      <c r="D42">
        <f>VLOOKUP(A42,NYSEARCAVEU!A$2:G$506,3,0)</f>
        <v>49.24</v>
      </c>
      <c r="E42">
        <f>VLOOKUP(A42,NYSEARCAVWO!A$2:G$506,3,0)</f>
        <v>39.89</v>
      </c>
      <c r="F42">
        <f>VLOOKUP(A42,NYSEARCABND!A$2:G$506,3,0)</f>
        <v>81.22</v>
      </c>
      <c r="G42">
        <f>VLOOKUP(A42,NYSEARCATIP!A$2:G$506,3,0)</f>
        <v>111.87</v>
      </c>
      <c r="H42">
        <f>VLOOKUP(A42,NYSEARCAMUB!A$2:G$506,3,0)</f>
        <v>108.72</v>
      </c>
      <c r="I42">
        <f>VLOOKUP(A42,NYSEARCAVNQ!A$2:G$506,3,0)</f>
        <v>78.739999999999995</v>
      </c>
      <c r="J42">
        <f>VLOOKUP(A42,NYSEARCARWX!A$2:G$506,3,0)</f>
        <v>42.85</v>
      </c>
      <c r="K42">
        <f>VLOOKUP(A42,NYSEARCADBC!A$2:G$506,3,0)</f>
        <v>16.73</v>
      </c>
      <c r="L42">
        <f>VLOOKUP(A42,NYSEARCAGSG!A$2:G$506,3,0)</f>
        <v>19.329999999999998</v>
      </c>
      <c r="M42">
        <f>VLOOKUP(A42,NYSEARCAGLD!A$2:G$506,3,0)</f>
        <v>106.65</v>
      </c>
      <c r="N42">
        <f>VLOOKUP(A42,NYSEBP!A$2:G$506,3,0)</f>
        <v>39.07</v>
      </c>
      <c r="O42">
        <f>VLOOKUP(A42,NASDAQYHOO!A$2:G$506,3,0)</f>
        <v>39.979999999999997</v>
      </c>
    </row>
    <row r="43" spans="1:15">
      <c r="A43" s="39">
        <v>42206</v>
      </c>
      <c r="B43">
        <v>73.290000000000006</v>
      </c>
      <c r="C43">
        <f>VLOOKUP(A43,NYSEARCAVTI!A$2:G$506,3,0)</f>
        <v>110.04</v>
      </c>
      <c r="D43">
        <f>VLOOKUP(A43,NYSEARCAVEU!A$2:G$506,3,0)</f>
        <v>49.19</v>
      </c>
      <c r="E43">
        <f>VLOOKUP(A43,NYSEARCAVWO!A$2:G$506,3,0)</f>
        <v>40.03</v>
      </c>
      <c r="F43">
        <f>VLOOKUP(A43,NYSEARCABND!A$2:G$506,3,0)</f>
        <v>81.33</v>
      </c>
      <c r="G43">
        <f>VLOOKUP(A43,NYSEARCATIP!A$2:G$506,3,0)</f>
        <v>112.06</v>
      </c>
      <c r="H43">
        <f>VLOOKUP(A43,NYSEARCAMUB!A$2:G$506,3,0)</f>
        <v>108.81</v>
      </c>
      <c r="I43">
        <f>VLOOKUP(A43,NYSEARCAVNQ!A$2:G$506,3,0)</f>
        <v>78.989999999999995</v>
      </c>
      <c r="J43">
        <f>VLOOKUP(A43,NYSEARCARWX!A$2:G$506,3,0)</f>
        <v>42.73</v>
      </c>
      <c r="K43">
        <f>VLOOKUP(A43,NYSEARCADBC!A$2:G$506,3,0)</f>
        <v>16.75</v>
      </c>
      <c r="L43">
        <f>VLOOKUP(A43,NYSEARCAGSG!A$2:G$506,3,0)</f>
        <v>19.36</v>
      </c>
      <c r="M43">
        <f>VLOOKUP(A43,NYSEARCAGLD!A$2:G$506,3,0)</f>
        <v>106.32</v>
      </c>
      <c r="N43">
        <f>VLOOKUP(A43,NYSEBP!A$2:G$506,3,0)</f>
        <v>38.96</v>
      </c>
      <c r="O43">
        <f>VLOOKUP(A43,NASDAQYHOO!A$2:G$506,3,0)</f>
        <v>39.85</v>
      </c>
    </row>
    <row r="44" spans="1:15">
      <c r="A44" s="39">
        <v>42207</v>
      </c>
      <c r="B44">
        <v>73.819999999999993</v>
      </c>
      <c r="C44">
        <f>VLOOKUP(A44,NYSEARCAVTI!A$2:G$506,3,0)</f>
        <v>109.5</v>
      </c>
      <c r="D44">
        <f>VLOOKUP(A44,NYSEARCAVEU!A$2:G$506,3,0)</f>
        <v>48.69</v>
      </c>
      <c r="E44">
        <f>VLOOKUP(A44,NYSEARCAVWO!A$2:G$506,3,0)</f>
        <v>39.520000000000003</v>
      </c>
      <c r="F44">
        <f>VLOOKUP(A44,NYSEARCABND!A$2:G$506,3,0)</f>
        <v>81.430000000000007</v>
      </c>
      <c r="G44">
        <f>VLOOKUP(A44,NYSEARCATIP!A$2:G$506,3,0)</f>
        <v>112.31</v>
      </c>
      <c r="H44">
        <f>VLOOKUP(A44,NYSEARCAMUB!A$2:G$506,3,0)</f>
        <v>108.95</v>
      </c>
      <c r="I44">
        <f>VLOOKUP(A44,NYSEARCAVNQ!A$2:G$506,3,0)</f>
        <v>79</v>
      </c>
      <c r="J44">
        <f>VLOOKUP(A44,NYSEARCARWX!A$2:G$506,3,0)</f>
        <v>42.6</v>
      </c>
      <c r="K44">
        <f>VLOOKUP(A44,NYSEARCADBC!A$2:G$506,3,0)</f>
        <v>16.579999999999998</v>
      </c>
      <c r="L44">
        <f>VLOOKUP(A44,NYSEARCAGSG!A$2:G$506,3,0)</f>
        <v>19.21</v>
      </c>
      <c r="M44">
        <f>VLOOKUP(A44,NYSEARCAGLD!A$2:G$506,3,0)</f>
        <v>105.09</v>
      </c>
      <c r="N44">
        <f>VLOOKUP(A44,NYSEBP!A$2:G$506,3,0)</f>
        <v>38.42</v>
      </c>
      <c r="O44">
        <f>VLOOKUP(A44,NASDAQYHOO!A$2:G$506,3,0)</f>
        <v>39.630000000000003</v>
      </c>
    </row>
    <row r="45" spans="1:15">
      <c r="A45" s="39">
        <v>42208</v>
      </c>
      <c r="B45">
        <v>73.22</v>
      </c>
      <c r="C45">
        <f>VLOOKUP(A45,NYSEARCAVTI!A$2:G$506,3,0)</f>
        <v>109.53</v>
      </c>
      <c r="D45">
        <f>VLOOKUP(A45,NYSEARCAVEU!A$2:G$506,3,0)</f>
        <v>48.71</v>
      </c>
      <c r="E45">
        <f>VLOOKUP(A45,NYSEARCAVWO!A$2:G$506,3,0)</f>
        <v>39.29</v>
      </c>
      <c r="F45">
        <f>VLOOKUP(A45,NYSEARCABND!A$2:G$506,3,0)</f>
        <v>81.540000000000006</v>
      </c>
      <c r="G45">
        <f>VLOOKUP(A45,NYSEARCATIP!A$2:G$506,3,0)</f>
        <v>112.32</v>
      </c>
      <c r="H45">
        <f>VLOOKUP(A45,NYSEARCAMUB!A$2:G$506,3,0)</f>
        <v>109.15</v>
      </c>
      <c r="I45">
        <f>VLOOKUP(A45,NYSEARCAVNQ!A$2:G$506,3,0)</f>
        <v>78.709999999999994</v>
      </c>
      <c r="J45">
        <f>VLOOKUP(A45,NYSEARCARWX!A$2:G$506,3,0)</f>
        <v>42.36</v>
      </c>
      <c r="K45">
        <f>VLOOKUP(A45,NYSEARCADBC!A$2:G$506,3,0)</f>
        <v>16.5</v>
      </c>
      <c r="L45">
        <f>VLOOKUP(A45,NYSEARCAGSG!A$2:G$506,3,0)</f>
        <v>19.059999999999999</v>
      </c>
      <c r="M45">
        <f>VLOOKUP(A45,NYSEARCAGLD!A$2:G$506,3,0)</f>
        <v>105.3</v>
      </c>
      <c r="N45">
        <f>VLOOKUP(A45,NYSEBP!A$2:G$506,3,0)</f>
        <v>37.71</v>
      </c>
      <c r="O45">
        <f>VLOOKUP(A45,NASDAQYHOO!A$2:G$506,3,0)</f>
        <v>39.78</v>
      </c>
    </row>
    <row r="46" spans="1:15">
      <c r="A46" s="39">
        <v>42209</v>
      </c>
      <c r="B46">
        <v>72.56</v>
      </c>
      <c r="C46">
        <f>VLOOKUP(A46,NYSEARCAVTI!A$2:G$506,3,0)</f>
        <v>108.83</v>
      </c>
      <c r="D46">
        <f>VLOOKUP(A46,NYSEARCAVEU!A$2:G$506,3,0)</f>
        <v>48.27</v>
      </c>
      <c r="E46">
        <f>VLOOKUP(A46,NYSEARCAVWO!A$2:G$506,3,0)</f>
        <v>38.67</v>
      </c>
      <c r="F46">
        <f>VLOOKUP(A46,NYSEARCABND!A$2:G$506,3,0)</f>
        <v>81.61</v>
      </c>
      <c r="G46">
        <f>VLOOKUP(A46,NYSEARCATIP!A$2:G$506,3,0)</f>
        <v>112.36</v>
      </c>
      <c r="H46">
        <f>VLOOKUP(A46,NYSEARCAMUB!A$2:G$506,3,0)</f>
        <v>109.1</v>
      </c>
      <c r="I46">
        <f>VLOOKUP(A46,NYSEARCAVNQ!A$2:G$506,3,0)</f>
        <v>78.33</v>
      </c>
      <c r="J46">
        <f>VLOOKUP(A46,NYSEARCARWX!A$2:G$506,3,0)</f>
        <v>42.22</v>
      </c>
      <c r="K46">
        <f>VLOOKUP(A46,NYSEARCADBC!A$2:G$506,3,0)</f>
        <v>16.23</v>
      </c>
      <c r="L46">
        <f>VLOOKUP(A46,NYSEARCAGSG!A$2:G$506,3,0)</f>
        <v>18.71</v>
      </c>
      <c r="M46">
        <f>VLOOKUP(A46,NYSEARCAGLD!A$2:G$506,3,0)</f>
        <v>105.59</v>
      </c>
      <c r="N46">
        <f>VLOOKUP(A46,NYSEBP!A$2:G$506,3,0)</f>
        <v>37.14</v>
      </c>
      <c r="O46">
        <f>VLOOKUP(A46,NASDAQYHOO!A$2:G$506,3,0)</f>
        <v>39.58</v>
      </c>
    </row>
    <row r="47" spans="1:15">
      <c r="A47" s="39">
        <v>42212</v>
      </c>
      <c r="B47">
        <v>71.650000000000006</v>
      </c>
      <c r="C47">
        <f>VLOOKUP(A47,NYSEARCAVTI!A$2:G$506,3,0)</f>
        <v>107.46</v>
      </c>
      <c r="D47">
        <f>VLOOKUP(A47,NYSEARCAVEU!A$2:G$506,3,0)</f>
        <v>47.66</v>
      </c>
      <c r="E47">
        <f>VLOOKUP(A47,NYSEARCAVWO!A$2:G$506,3,0)</f>
        <v>37.72</v>
      </c>
      <c r="F47">
        <f>VLOOKUP(A47,NYSEARCABND!A$2:G$506,3,0)</f>
        <v>81.72</v>
      </c>
      <c r="G47">
        <f>VLOOKUP(A47,NYSEARCATIP!A$2:G$506,3,0)</f>
        <v>112.45</v>
      </c>
      <c r="H47">
        <f>VLOOKUP(A47,NYSEARCAMUB!A$2:G$506,3,0)</f>
        <v>109.22</v>
      </c>
      <c r="I47">
        <f>VLOOKUP(A47,NYSEARCAVNQ!A$2:G$506,3,0)</f>
        <v>78.66</v>
      </c>
      <c r="J47">
        <f>VLOOKUP(A47,NYSEARCARWX!A$2:G$506,3,0)</f>
        <v>41.94</v>
      </c>
      <c r="K47">
        <f>VLOOKUP(A47,NYSEARCADBC!A$2:G$506,3,0)</f>
        <v>16.010000000000002</v>
      </c>
      <c r="L47">
        <f>VLOOKUP(A47,NYSEARCAGSG!A$2:G$506,3,0)</f>
        <v>18.399999999999999</v>
      </c>
      <c r="M47">
        <f>VLOOKUP(A47,NYSEARCAGLD!A$2:G$506,3,0)</f>
        <v>105.68</v>
      </c>
      <c r="N47">
        <f>VLOOKUP(A47,NYSEBP!A$2:G$506,3,0)</f>
        <v>36.369999999999997</v>
      </c>
      <c r="O47">
        <f>VLOOKUP(A47,NASDAQYHOO!A$2:G$506,3,0)</f>
        <v>38.31</v>
      </c>
    </row>
    <row r="48" spans="1:15">
      <c r="A48" s="39">
        <v>42213</v>
      </c>
      <c r="B48">
        <v>72.39</v>
      </c>
      <c r="C48">
        <f>VLOOKUP(A48,NYSEARCAVTI!A$2:G$506,3,0)</f>
        <v>108.23</v>
      </c>
      <c r="D48">
        <f>VLOOKUP(A48,NYSEARCAVEU!A$2:G$506,3,0)</f>
        <v>48.04</v>
      </c>
      <c r="E48">
        <f>VLOOKUP(A48,NYSEARCAVWO!A$2:G$506,3,0)</f>
        <v>37.89</v>
      </c>
      <c r="F48">
        <f>VLOOKUP(A48,NYSEARCABND!A$2:G$506,3,0)</f>
        <v>81.64</v>
      </c>
      <c r="G48">
        <f>VLOOKUP(A48,NYSEARCATIP!A$2:G$506,3,0)</f>
        <v>112.25</v>
      </c>
      <c r="H48">
        <f>VLOOKUP(A48,NYSEARCAMUB!A$2:G$506,3,0)</f>
        <v>109.14</v>
      </c>
      <c r="I48">
        <f>VLOOKUP(A48,NYSEARCAVNQ!A$2:G$506,3,0)</f>
        <v>78.510000000000005</v>
      </c>
      <c r="J48">
        <f>VLOOKUP(A48,NYSEARCARWX!A$2:G$506,3,0)</f>
        <v>42.29</v>
      </c>
      <c r="K48">
        <f>VLOOKUP(A48,NYSEARCADBC!A$2:G$506,3,0)</f>
        <v>16.059999999999999</v>
      </c>
      <c r="L48">
        <f>VLOOKUP(A48,NYSEARCAGSG!A$2:G$506,3,0)</f>
        <v>18.53</v>
      </c>
      <c r="M48">
        <f>VLOOKUP(A48,NYSEARCAGLD!A$2:G$506,3,0)</f>
        <v>105.33</v>
      </c>
      <c r="N48">
        <f>VLOOKUP(A48,NYSEBP!A$2:G$506,3,0)</f>
        <v>37.33</v>
      </c>
      <c r="O48">
        <f>VLOOKUP(A48,NASDAQYHOO!A$2:G$506,3,0)</f>
        <v>37.92</v>
      </c>
    </row>
    <row r="49" spans="1:15">
      <c r="A49" s="39">
        <v>42214</v>
      </c>
      <c r="B49">
        <v>72.63</v>
      </c>
      <c r="C49">
        <f>VLOOKUP(A49,NYSEARCAVTI!A$2:G$506,3,0)</f>
        <v>108.98</v>
      </c>
      <c r="D49">
        <f>VLOOKUP(A49,NYSEARCAVEU!A$2:G$506,3,0)</f>
        <v>48.35</v>
      </c>
      <c r="E49">
        <f>VLOOKUP(A49,NYSEARCAVWO!A$2:G$506,3,0)</f>
        <v>38.39</v>
      </c>
      <c r="F49">
        <f>VLOOKUP(A49,NYSEARCABND!A$2:G$506,3,0)</f>
        <v>81.58</v>
      </c>
      <c r="G49">
        <f>VLOOKUP(A49,NYSEARCATIP!A$2:G$506,3,0)</f>
        <v>112.21</v>
      </c>
      <c r="H49">
        <f>VLOOKUP(A49,NYSEARCAMUB!A$2:G$506,3,0)</f>
        <v>109.06</v>
      </c>
      <c r="I49">
        <f>VLOOKUP(A49,NYSEARCAVNQ!A$2:G$506,3,0)</f>
        <v>78.900000000000006</v>
      </c>
      <c r="J49">
        <f>VLOOKUP(A49,NYSEARCARWX!A$2:G$506,3,0)</f>
        <v>42.5</v>
      </c>
      <c r="K49">
        <f>VLOOKUP(A49,NYSEARCADBC!A$2:G$506,3,0)</f>
        <v>16.100000000000001</v>
      </c>
      <c r="L49">
        <f>VLOOKUP(A49,NYSEARCAGSG!A$2:G$506,3,0)</f>
        <v>18.62</v>
      </c>
      <c r="M49">
        <f>VLOOKUP(A49,NYSEARCAGLD!A$2:G$506,3,0)</f>
        <v>105.63</v>
      </c>
      <c r="N49">
        <f>VLOOKUP(A49,NYSEBP!A$2:G$506,3,0)</f>
        <v>37.520000000000003</v>
      </c>
      <c r="O49">
        <f>VLOOKUP(A49,NASDAQYHOO!A$2:G$506,3,0)</f>
        <v>37.92</v>
      </c>
    </row>
    <row r="50" spans="1:15">
      <c r="A50" s="39">
        <v>42215</v>
      </c>
      <c r="B50">
        <v>72.53</v>
      </c>
      <c r="C50">
        <f>VLOOKUP(A50,NYSEARCAVTI!A$2:G$506,3,0)</f>
        <v>109.04</v>
      </c>
      <c r="D50">
        <f>VLOOKUP(A50,NYSEARCAVEU!A$2:G$506,3,0)</f>
        <v>48.15</v>
      </c>
      <c r="E50">
        <f>VLOOKUP(A50,NYSEARCAVWO!A$2:G$506,3,0)</f>
        <v>38.03</v>
      </c>
      <c r="F50">
        <f>VLOOKUP(A50,NYSEARCABND!A$2:G$506,3,0)</f>
        <v>81.58</v>
      </c>
      <c r="G50">
        <f>VLOOKUP(A50,NYSEARCATIP!A$2:G$506,3,0)</f>
        <v>112.36</v>
      </c>
      <c r="H50">
        <f>VLOOKUP(A50,NYSEARCAMUB!A$2:G$506,3,0)</f>
        <v>109.08</v>
      </c>
      <c r="I50">
        <f>VLOOKUP(A50,NYSEARCAVNQ!A$2:G$506,3,0)</f>
        <v>78.78</v>
      </c>
      <c r="J50">
        <f>VLOOKUP(A50,NYSEARCARWX!A$2:G$506,3,0)</f>
        <v>42.17</v>
      </c>
      <c r="K50">
        <f>VLOOKUP(A50,NYSEARCADBC!A$2:G$506,3,0)</f>
        <v>16.07</v>
      </c>
      <c r="L50">
        <f>VLOOKUP(A50,NYSEARCAGSG!A$2:G$506,3,0)</f>
        <v>18.57</v>
      </c>
      <c r="M50">
        <f>VLOOKUP(A50,NYSEARCAGLD!A$2:G$506,3,0)</f>
        <v>104.97</v>
      </c>
      <c r="N50">
        <f>VLOOKUP(A50,NYSEBP!A$2:G$506,3,0)</f>
        <v>38.06</v>
      </c>
      <c r="O50">
        <f>VLOOKUP(A50,NASDAQYHOO!A$2:G$506,3,0)</f>
        <v>37.69</v>
      </c>
    </row>
    <row r="51" spans="1:15">
      <c r="A51" s="39">
        <v>42216</v>
      </c>
      <c r="B51">
        <v>72.489999999999995</v>
      </c>
      <c r="C51">
        <f>VLOOKUP(A51,NYSEARCAVTI!A$2:G$506,3,0)</f>
        <v>109.34</v>
      </c>
      <c r="D51">
        <f>VLOOKUP(A51,NYSEARCAVEU!A$2:G$506,3,0)</f>
        <v>48.61</v>
      </c>
      <c r="E51">
        <f>VLOOKUP(A51,NYSEARCAVWO!A$2:G$506,3,0)</f>
        <v>38.5</v>
      </c>
      <c r="F51">
        <f>VLOOKUP(A51,NYSEARCABND!A$2:G$506,3,0)</f>
        <v>81.83</v>
      </c>
      <c r="G51">
        <f>VLOOKUP(A51,NYSEARCATIP!A$2:G$506,3,0)</f>
        <v>112.71</v>
      </c>
      <c r="H51">
        <f>VLOOKUP(A51,NYSEARCAMUB!A$2:G$506,3,0)</f>
        <v>109.28</v>
      </c>
      <c r="I51">
        <f>VLOOKUP(A51,NYSEARCAVNQ!A$2:G$506,3,0)</f>
        <v>79.63</v>
      </c>
      <c r="J51">
        <f>VLOOKUP(A51,NYSEARCARWX!A$2:G$506,3,0)</f>
        <v>42.56</v>
      </c>
      <c r="K51">
        <f>VLOOKUP(A51,NYSEARCADBC!A$2:G$506,3,0)</f>
        <v>16.02</v>
      </c>
      <c r="L51">
        <f>VLOOKUP(A51,NYSEARCAGSG!A$2:G$506,3,0)</f>
        <v>18.46</v>
      </c>
      <c r="M51">
        <f>VLOOKUP(A51,NYSEARCAGLD!A$2:G$506,3,0)</f>
        <v>105.75</v>
      </c>
      <c r="N51">
        <f>VLOOKUP(A51,NYSEBP!A$2:G$506,3,0)</f>
        <v>37.36</v>
      </c>
      <c r="O51">
        <f>VLOOKUP(A51,NASDAQYHOO!A$2:G$506,3,0)</f>
        <v>37.57</v>
      </c>
    </row>
    <row r="52" spans="1:15">
      <c r="A52" s="39">
        <v>42219</v>
      </c>
      <c r="B52">
        <v>72.38</v>
      </c>
      <c r="C52">
        <f>VLOOKUP(A52,NYSEARCAVTI!A$2:G$506,3,0)</f>
        <v>108.99</v>
      </c>
      <c r="D52">
        <f>VLOOKUP(A52,NYSEARCAVEU!A$2:G$506,3,0)</f>
        <v>48.39</v>
      </c>
      <c r="E52">
        <f>VLOOKUP(A52,NYSEARCAVWO!A$2:G$506,3,0)</f>
        <v>37.96</v>
      </c>
      <c r="F52">
        <f>VLOOKUP(A52,NYSEARCABND!A$2:G$506,3,0)</f>
        <v>81.849999999999994</v>
      </c>
      <c r="G52">
        <f>VLOOKUP(A52,NYSEARCATIP!A$2:G$506,3,0)</f>
        <v>112.68</v>
      </c>
      <c r="H52">
        <f>VLOOKUP(A52,NYSEARCAMUB!A$2:G$506,3,0)</f>
        <v>109.14</v>
      </c>
      <c r="I52">
        <f>VLOOKUP(A52,NYSEARCAVNQ!A$2:G$506,3,0)</f>
        <v>79.569999999999993</v>
      </c>
      <c r="J52">
        <f>VLOOKUP(A52,NYSEARCARWX!A$2:G$506,3,0)</f>
        <v>42.35</v>
      </c>
      <c r="K52">
        <f>VLOOKUP(A52,NYSEARCADBC!A$2:G$506,3,0)</f>
        <v>15.65</v>
      </c>
      <c r="L52">
        <f>VLOOKUP(A52,NYSEARCAGSG!A$2:G$506,3,0)</f>
        <v>17.940000000000001</v>
      </c>
      <c r="M52">
        <f>VLOOKUP(A52,NYSEARCAGLD!A$2:G$506,3,0)</f>
        <v>104.82</v>
      </c>
      <c r="N52">
        <f>VLOOKUP(A52,NYSEBP!A$2:G$506,3,0)</f>
        <v>36.840000000000003</v>
      </c>
      <c r="O52">
        <f>VLOOKUP(A52,NASDAQYHOO!A$2:G$506,3,0)</f>
        <v>36.979999999999997</v>
      </c>
    </row>
    <row r="53" spans="1:15">
      <c r="A53" s="39">
        <v>42220</v>
      </c>
      <c r="B53">
        <v>72.8</v>
      </c>
      <c r="C53">
        <f>VLOOKUP(A53,NYSEARCAVTI!A$2:G$506,3,0)</f>
        <v>108.75</v>
      </c>
      <c r="D53">
        <f>VLOOKUP(A53,NYSEARCAVEU!A$2:G$506,3,0)</f>
        <v>48.37</v>
      </c>
      <c r="E53">
        <f>VLOOKUP(A53,NYSEARCAVWO!A$2:G$506,3,0)</f>
        <v>38.119999999999997</v>
      </c>
      <c r="F53">
        <f>VLOOKUP(A53,NYSEARCABND!A$2:G$506,3,0)</f>
        <v>81.78</v>
      </c>
      <c r="G53">
        <f>VLOOKUP(A53,NYSEARCATIP!A$2:G$506,3,0)</f>
        <v>112.5</v>
      </c>
      <c r="H53">
        <f>VLOOKUP(A53,NYSEARCAMUB!A$2:G$506,3,0)</f>
        <v>109.08</v>
      </c>
      <c r="I53">
        <f>VLOOKUP(A53,NYSEARCAVNQ!A$2:G$506,3,0)</f>
        <v>79.86</v>
      </c>
      <c r="J53">
        <f>VLOOKUP(A53,NYSEARCARWX!A$2:G$506,3,0)</f>
        <v>42.5</v>
      </c>
      <c r="K53">
        <f>VLOOKUP(A53,NYSEARCADBC!A$2:G$506,3,0)</f>
        <v>15.62</v>
      </c>
      <c r="L53">
        <f>VLOOKUP(A53,NYSEARCAGSG!A$2:G$506,3,0)</f>
        <v>17.940000000000001</v>
      </c>
      <c r="M53">
        <f>VLOOKUP(A53,NYSEARCAGLD!A$2:G$506,3,0)</f>
        <v>104.75</v>
      </c>
      <c r="N53">
        <f>VLOOKUP(A53,NYSEBP!A$2:G$506,3,0)</f>
        <v>36.85</v>
      </c>
      <c r="O53">
        <f>VLOOKUP(A53,NASDAQYHOO!A$2:G$506,3,0)</f>
        <v>37.21</v>
      </c>
    </row>
    <row r="54" spans="1:15">
      <c r="A54" s="39">
        <v>42221</v>
      </c>
      <c r="B54">
        <v>73.7</v>
      </c>
      <c r="C54">
        <f>VLOOKUP(A54,NYSEARCAVTI!A$2:G$506,3,0)</f>
        <v>109.34</v>
      </c>
      <c r="D54">
        <f>VLOOKUP(A54,NYSEARCAVEU!A$2:G$506,3,0)</f>
        <v>48.62</v>
      </c>
      <c r="E54">
        <f>VLOOKUP(A54,NYSEARCAVWO!A$2:G$506,3,0)</f>
        <v>38.25</v>
      </c>
      <c r="F54">
        <f>VLOOKUP(A54,NYSEARCABND!A$2:G$506,3,0)</f>
        <v>81.47</v>
      </c>
      <c r="G54">
        <f>VLOOKUP(A54,NYSEARCATIP!A$2:G$506,3,0)</f>
        <v>111.87</v>
      </c>
      <c r="H54">
        <f>VLOOKUP(A54,NYSEARCAMUB!A$2:G$506,3,0)</f>
        <v>108.93</v>
      </c>
      <c r="I54">
        <f>VLOOKUP(A54,NYSEARCAVNQ!A$2:G$506,3,0)</f>
        <v>79.150000000000006</v>
      </c>
      <c r="J54">
        <f>VLOOKUP(A54,NYSEARCARWX!A$2:G$506,3,0)</f>
        <v>42.69</v>
      </c>
      <c r="K54">
        <f>VLOOKUP(A54,NYSEARCADBC!A$2:G$506,3,0)</f>
        <v>15.67</v>
      </c>
      <c r="L54">
        <f>VLOOKUP(A54,NYSEARCAGSG!A$2:G$506,3,0)</f>
        <v>18.02</v>
      </c>
      <c r="M54">
        <f>VLOOKUP(A54,NYSEARCAGLD!A$2:G$506,3,0)</f>
        <v>104.5</v>
      </c>
      <c r="N54">
        <f>VLOOKUP(A54,NYSEBP!A$2:G$506,3,0)</f>
        <v>36.67</v>
      </c>
      <c r="O54">
        <f>VLOOKUP(A54,NASDAQYHOO!A$2:G$506,3,0)</f>
        <v>37.71</v>
      </c>
    </row>
    <row r="55" spans="1:15">
      <c r="A55" s="39">
        <v>42222</v>
      </c>
      <c r="B55">
        <v>73.38</v>
      </c>
      <c r="C55">
        <f>VLOOKUP(A55,NYSEARCAVTI!A$2:G$506,3,0)</f>
        <v>108.92</v>
      </c>
      <c r="D55">
        <f>VLOOKUP(A55,NYSEARCAVEU!A$2:G$506,3,0)</f>
        <v>48.36</v>
      </c>
      <c r="E55">
        <f>VLOOKUP(A55,NYSEARCAVWO!A$2:G$506,3,0)</f>
        <v>37.72</v>
      </c>
      <c r="F55">
        <f>VLOOKUP(A55,NYSEARCABND!A$2:G$506,3,0)</f>
        <v>81.55</v>
      </c>
      <c r="G55">
        <f>VLOOKUP(A55,NYSEARCATIP!A$2:G$506,3,0)</f>
        <v>111.79</v>
      </c>
      <c r="H55">
        <f>VLOOKUP(A55,NYSEARCAMUB!A$2:G$506,3,0)</f>
        <v>108.99</v>
      </c>
      <c r="I55">
        <f>VLOOKUP(A55,NYSEARCAVNQ!A$2:G$506,3,0)</f>
        <v>78.55</v>
      </c>
      <c r="J55">
        <f>VLOOKUP(A55,NYSEARCARWX!A$2:G$506,3,0)</f>
        <v>42.48</v>
      </c>
      <c r="K55">
        <f>VLOOKUP(A55,NYSEARCADBC!A$2:G$506,3,0)</f>
        <v>15.49</v>
      </c>
      <c r="L55">
        <f>VLOOKUP(A55,NYSEARCAGSG!A$2:G$506,3,0)</f>
        <v>17.7</v>
      </c>
      <c r="M55">
        <f>VLOOKUP(A55,NYSEARCAGLD!A$2:G$506,3,0)</f>
        <v>104.86</v>
      </c>
      <c r="N55">
        <f>VLOOKUP(A55,NYSEBP!A$2:G$506,3,0)</f>
        <v>35.909999999999997</v>
      </c>
      <c r="O55">
        <f>VLOOKUP(A55,NASDAQYHOO!A$2:G$506,3,0)</f>
        <v>37.520000000000003</v>
      </c>
    </row>
    <row r="56" spans="1:15">
      <c r="A56" s="39">
        <v>42223</v>
      </c>
      <c r="B56">
        <v>72.819999999999993</v>
      </c>
      <c r="C56">
        <f>VLOOKUP(A56,NYSEARCAVTI!A$2:G$506,3,0)</f>
        <v>107.7</v>
      </c>
      <c r="D56">
        <f>VLOOKUP(A56,NYSEARCAVEU!A$2:G$506,3,0)</f>
        <v>48.16</v>
      </c>
      <c r="E56">
        <f>VLOOKUP(A56,NYSEARCAVWO!A$2:G$506,3,0)</f>
        <v>37.72</v>
      </c>
      <c r="F56">
        <f>VLOOKUP(A56,NYSEARCABND!A$2:G$506,3,0)</f>
        <v>81.709999999999994</v>
      </c>
      <c r="G56">
        <f>VLOOKUP(A56,NYSEARCATIP!A$2:G$506,3,0)</f>
        <v>112.21</v>
      </c>
      <c r="H56">
        <f>VLOOKUP(A56,NYSEARCAMUB!A$2:G$506,3,0)</f>
        <v>108.98</v>
      </c>
      <c r="I56">
        <f>VLOOKUP(A56,NYSEARCAVNQ!A$2:G$506,3,0)</f>
        <v>78.900000000000006</v>
      </c>
      <c r="J56">
        <f>VLOOKUP(A56,NYSEARCARWX!A$2:G$506,3,0)</f>
        <v>42.41</v>
      </c>
      <c r="K56">
        <f>VLOOKUP(A56,NYSEARCADBC!A$2:G$506,3,0)</f>
        <v>15.5</v>
      </c>
      <c r="L56">
        <f>VLOOKUP(A56,NYSEARCAGSG!A$2:G$506,3,0)</f>
        <v>17.64</v>
      </c>
      <c r="M56">
        <f>VLOOKUP(A56,NYSEARCAGLD!A$2:G$506,3,0)</f>
        <v>105.38</v>
      </c>
      <c r="N56">
        <f>VLOOKUP(A56,NYSEBP!A$2:G$506,3,0)</f>
        <v>36.29</v>
      </c>
      <c r="O56">
        <f>VLOOKUP(A56,NASDAQYHOO!A$2:G$506,3,0)</f>
        <v>36.76</v>
      </c>
    </row>
    <row r="57" spans="1:15">
      <c r="A57" s="39">
        <v>42226</v>
      </c>
      <c r="B57">
        <v>71.75</v>
      </c>
      <c r="C57">
        <f>VLOOKUP(A57,NYSEARCAVTI!A$2:G$506,3,0)</f>
        <v>108.85</v>
      </c>
      <c r="D57">
        <f>VLOOKUP(A57,NYSEARCAVEU!A$2:G$506,3,0)</f>
        <v>48.79</v>
      </c>
      <c r="E57">
        <f>VLOOKUP(A57,NYSEARCAVWO!A$2:G$506,3,0)</f>
        <v>38.270000000000003</v>
      </c>
      <c r="F57">
        <f>VLOOKUP(A57,NYSEARCABND!A$2:G$506,3,0)</f>
        <v>81.61</v>
      </c>
      <c r="G57">
        <f>VLOOKUP(A57,NYSEARCATIP!A$2:G$506,3,0)</f>
        <v>112</v>
      </c>
      <c r="H57">
        <f>VLOOKUP(A57,NYSEARCAMUB!A$2:G$506,3,0)</f>
        <v>108.85</v>
      </c>
      <c r="I57">
        <f>VLOOKUP(A57,NYSEARCAVNQ!A$2:G$506,3,0)</f>
        <v>79.17</v>
      </c>
      <c r="J57">
        <f>VLOOKUP(A57,NYSEARCARWX!A$2:G$506,3,0)</f>
        <v>42.79</v>
      </c>
      <c r="K57">
        <f>VLOOKUP(A57,NYSEARCADBC!A$2:G$506,3,0)</f>
        <v>15.82</v>
      </c>
      <c r="L57">
        <f>VLOOKUP(A57,NYSEARCAGSG!A$2:G$506,3,0)</f>
        <v>18.010000000000002</v>
      </c>
      <c r="M57">
        <f>VLOOKUP(A57,NYSEARCAGLD!A$2:G$506,3,0)</f>
        <v>106.27</v>
      </c>
      <c r="N57">
        <f>VLOOKUP(A57,NYSEBP!A$2:G$506,3,0)</f>
        <v>36.299999999999997</v>
      </c>
      <c r="O57">
        <f>VLOOKUP(A57,NASDAQYHOO!A$2:G$506,3,0)</f>
        <v>37.69</v>
      </c>
    </row>
    <row r="58" spans="1:15">
      <c r="A58" s="39">
        <v>42227</v>
      </c>
      <c r="B58">
        <v>72.37</v>
      </c>
      <c r="C58">
        <f>VLOOKUP(A58,NYSEARCAVTI!A$2:G$506,3,0)</f>
        <v>108.23</v>
      </c>
      <c r="D58">
        <f>VLOOKUP(A58,NYSEARCAVEU!A$2:G$506,3,0)</f>
        <v>48.05</v>
      </c>
      <c r="E58">
        <f>VLOOKUP(A58,NYSEARCAVWO!A$2:G$506,3,0)</f>
        <v>37.46</v>
      </c>
      <c r="F58">
        <f>VLOOKUP(A58,NYSEARCABND!A$2:G$506,3,0)</f>
        <v>81.89</v>
      </c>
      <c r="G58">
        <f>VLOOKUP(A58,NYSEARCATIP!A$2:G$506,3,0)</f>
        <v>112.5</v>
      </c>
      <c r="H58">
        <f>VLOOKUP(A58,NYSEARCAMUB!A$2:G$506,3,0)</f>
        <v>109.14</v>
      </c>
      <c r="I58">
        <f>VLOOKUP(A58,NYSEARCAVNQ!A$2:G$506,3,0)</f>
        <v>79.39</v>
      </c>
      <c r="J58">
        <f>VLOOKUP(A58,NYSEARCARWX!A$2:G$506,3,0)</f>
        <v>42.24</v>
      </c>
      <c r="K58">
        <f>VLOOKUP(A58,NYSEARCADBC!A$2:G$506,3,0)</f>
        <v>15.58</v>
      </c>
      <c r="L58">
        <f>VLOOKUP(A58,NYSEARCAGSG!A$2:G$506,3,0)</f>
        <v>17.690000000000001</v>
      </c>
      <c r="M58">
        <f>VLOOKUP(A58,NYSEARCAGLD!A$2:G$506,3,0)</f>
        <v>106.63</v>
      </c>
      <c r="N58">
        <f>VLOOKUP(A58,NYSEBP!A$2:G$506,3,0)</f>
        <v>36.06</v>
      </c>
      <c r="O58">
        <f>VLOOKUP(A58,NASDAQYHOO!A$2:G$506,3,0)</f>
        <v>36.770000000000003</v>
      </c>
    </row>
    <row r="59" spans="1:15">
      <c r="A59" s="39">
        <v>42228</v>
      </c>
      <c r="B59">
        <v>72.66</v>
      </c>
      <c r="C59">
        <f>VLOOKUP(A59,NYSEARCAVTI!A$2:G$506,3,0)</f>
        <v>108.03</v>
      </c>
      <c r="D59">
        <f>VLOOKUP(A59,NYSEARCAVEU!A$2:G$506,3,0)</f>
        <v>47.63</v>
      </c>
      <c r="E59">
        <f>VLOOKUP(A59,NYSEARCAVWO!A$2:G$506,3,0)</f>
        <v>36.79</v>
      </c>
      <c r="F59">
        <f>VLOOKUP(A59,NYSEARCABND!A$2:G$506,3,0)</f>
        <v>82.03</v>
      </c>
      <c r="G59">
        <f>VLOOKUP(A59,NYSEARCATIP!A$2:G$506,3,0)</f>
        <v>112.84</v>
      </c>
      <c r="H59">
        <f>VLOOKUP(A59,NYSEARCAMUB!A$2:G$506,3,0)</f>
        <v>109.2</v>
      </c>
      <c r="I59">
        <f>VLOOKUP(A59,NYSEARCAVNQ!A$2:G$506,3,0)</f>
        <v>79.33</v>
      </c>
      <c r="J59">
        <f>VLOOKUP(A59,NYSEARCARWX!A$2:G$506,3,0)</f>
        <v>42.04</v>
      </c>
      <c r="K59">
        <f>VLOOKUP(A59,NYSEARCADBC!A$2:G$506,3,0)</f>
        <v>15.7</v>
      </c>
      <c r="L59">
        <f>VLOOKUP(A59,NYSEARCAGSG!A$2:G$506,3,0)</f>
        <v>17.809999999999999</v>
      </c>
      <c r="M59">
        <f>VLOOKUP(A59,NYSEARCAGLD!A$2:G$506,3,0)</f>
        <v>107.91</v>
      </c>
      <c r="N59">
        <f>VLOOKUP(A59,NYSEBP!A$2:G$506,3,0)</f>
        <v>36.5</v>
      </c>
      <c r="O59">
        <f>VLOOKUP(A59,NASDAQYHOO!A$2:G$506,3,0)</f>
        <v>34.770000000000003</v>
      </c>
    </row>
    <row r="60" spans="1:15">
      <c r="A60" s="39">
        <v>42229</v>
      </c>
      <c r="B60">
        <v>72.77</v>
      </c>
      <c r="C60">
        <f>VLOOKUP(A60,NYSEARCAVTI!A$2:G$506,3,0)</f>
        <v>108.24</v>
      </c>
      <c r="D60">
        <f>VLOOKUP(A60,NYSEARCAVEU!A$2:G$506,3,0)</f>
        <v>47.65</v>
      </c>
      <c r="E60">
        <f>VLOOKUP(A60,NYSEARCAVWO!A$2:G$506,3,0)</f>
        <v>36.92</v>
      </c>
      <c r="F60">
        <f>VLOOKUP(A60,NYSEARCABND!A$2:G$506,3,0)</f>
        <v>81.75</v>
      </c>
      <c r="G60">
        <f>VLOOKUP(A60,NYSEARCATIP!A$2:G$506,3,0)</f>
        <v>111.91</v>
      </c>
      <c r="H60">
        <f>VLOOKUP(A60,NYSEARCAMUB!A$2:G$506,3,0)</f>
        <v>109.04</v>
      </c>
      <c r="I60">
        <f>VLOOKUP(A60,NYSEARCAVNQ!A$2:G$506,3,0)</f>
        <v>79.73</v>
      </c>
      <c r="J60">
        <f>VLOOKUP(A60,NYSEARCARWX!A$2:G$506,3,0)</f>
        <v>42.24</v>
      </c>
      <c r="K60">
        <f>VLOOKUP(A60,NYSEARCADBC!A$2:G$506,3,0)</f>
        <v>15.45</v>
      </c>
      <c r="L60">
        <f>VLOOKUP(A60,NYSEARCAGSG!A$2:G$506,3,0)</f>
        <v>17.61</v>
      </c>
      <c r="M60">
        <f>VLOOKUP(A60,NYSEARCAGLD!A$2:G$506,3,0)</f>
        <v>107.18</v>
      </c>
      <c r="N60">
        <f>VLOOKUP(A60,NYSEBP!A$2:G$506,3,0)</f>
        <v>36.07</v>
      </c>
      <c r="O60">
        <f>VLOOKUP(A60,NASDAQYHOO!A$2:G$506,3,0)</f>
        <v>36.61</v>
      </c>
    </row>
    <row r="61" spans="1:15">
      <c r="A61" s="39">
        <v>42230</v>
      </c>
      <c r="B61">
        <v>72.599999999999994</v>
      </c>
      <c r="C61">
        <f>VLOOKUP(A61,NYSEARCAVTI!A$2:G$506,3,0)</f>
        <v>108.23</v>
      </c>
      <c r="D61">
        <f>VLOOKUP(A61,NYSEARCAVEU!A$2:G$506,3,0)</f>
        <v>47.62</v>
      </c>
      <c r="E61">
        <f>VLOOKUP(A61,NYSEARCAVWO!A$2:G$506,3,0)</f>
        <v>36.92</v>
      </c>
      <c r="F61">
        <f>VLOOKUP(A61,NYSEARCABND!A$2:G$506,3,0)</f>
        <v>81.67</v>
      </c>
      <c r="G61">
        <f>VLOOKUP(A61,NYSEARCATIP!A$2:G$506,3,0)</f>
        <v>111.96</v>
      </c>
      <c r="H61">
        <f>VLOOKUP(A61,NYSEARCAMUB!A$2:G$506,3,0)</f>
        <v>108.99</v>
      </c>
      <c r="I61">
        <f>VLOOKUP(A61,NYSEARCAVNQ!A$2:G$506,3,0)</f>
        <v>79.86</v>
      </c>
      <c r="J61">
        <f>VLOOKUP(A61,NYSEARCARWX!A$2:G$506,3,0)</f>
        <v>42.39</v>
      </c>
      <c r="K61">
        <f>VLOOKUP(A61,NYSEARCADBC!A$2:G$506,3,0)</f>
        <v>15.47</v>
      </c>
      <c r="L61">
        <f>VLOOKUP(A61,NYSEARCAGSG!A$2:G$506,3,0)</f>
        <v>17.579999999999998</v>
      </c>
      <c r="M61">
        <f>VLOOKUP(A61,NYSEARCAGLD!A$2:G$506,3,0)</f>
        <v>107.41</v>
      </c>
      <c r="N61">
        <f>VLOOKUP(A61,NYSEBP!A$2:G$506,3,0)</f>
        <v>35.86</v>
      </c>
      <c r="O61">
        <f>VLOOKUP(A61,NASDAQYHOO!A$2:G$506,3,0)</f>
        <v>36.340000000000003</v>
      </c>
    </row>
    <row r="62" spans="1:15">
      <c r="A62" s="39">
        <v>42233</v>
      </c>
      <c r="B62">
        <v>72.23</v>
      </c>
      <c r="C62">
        <f>VLOOKUP(A62,NYSEARCAVTI!A$2:G$506,3,0)</f>
        <v>108.86</v>
      </c>
      <c r="D62">
        <f>VLOOKUP(A62,NYSEARCAVEU!A$2:G$506,3,0)</f>
        <v>47.43</v>
      </c>
      <c r="E62">
        <f>VLOOKUP(A62,NYSEARCAVWO!A$2:G$506,3,0)</f>
        <v>36.47</v>
      </c>
      <c r="F62">
        <f>VLOOKUP(A62,NYSEARCABND!A$2:G$506,3,0)</f>
        <v>81.78</v>
      </c>
      <c r="G62">
        <f>VLOOKUP(A62,NYSEARCATIP!A$2:G$506,3,0)</f>
        <v>112.09</v>
      </c>
      <c r="H62">
        <f>VLOOKUP(A62,NYSEARCAMUB!A$2:G$506,3,0)</f>
        <v>109.08</v>
      </c>
      <c r="I62">
        <f>VLOOKUP(A62,NYSEARCAVNQ!A$2:G$506,3,0)</f>
        <v>80.569999999999993</v>
      </c>
      <c r="J62">
        <f>VLOOKUP(A62,NYSEARCARWX!A$2:G$506,3,0)</f>
        <v>42.33</v>
      </c>
      <c r="K62">
        <f>VLOOKUP(A62,NYSEARCADBC!A$2:G$506,3,0)</f>
        <v>15.4</v>
      </c>
      <c r="L62">
        <f>VLOOKUP(A62,NYSEARCAGSG!A$2:G$506,3,0)</f>
        <v>17.47</v>
      </c>
      <c r="M62">
        <f>VLOOKUP(A62,NYSEARCAGLD!A$2:G$506,3,0)</f>
        <v>107.51</v>
      </c>
      <c r="N62">
        <f>VLOOKUP(A62,NYSEBP!A$2:G$506,3,0)</f>
        <v>35.56</v>
      </c>
      <c r="O62">
        <f>VLOOKUP(A62,NASDAQYHOO!A$2:G$506,3,0)</f>
        <v>36.24</v>
      </c>
    </row>
    <row r="63" spans="1:15">
      <c r="A63" s="39">
        <v>42234</v>
      </c>
      <c r="B63">
        <v>70.5</v>
      </c>
      <c r="C63">
        <f>VLOOKUP(A63,NYSEARCAVTI!A$2:G$506,3,0)</f>
        <v>108.89</v>
      </c>
      <c r="D63">
        <f>VLOOKUP(A63,NYSEARCAVEU!A$2:G$506,3,0)</f>
        <v>47.24</v>
      </c>
      <c r="E63">
        <f>VLOOKUP(A63,NYSEARCAVWO!A$2:G$506,3,0)</f>
        <v>36.11</v>
      </c>
      <c r="F63">
        <f>VLOOKUP(A63,NYSEARCABND!A$2:G$506,3,0)</f>
        <v>81.66</v>
      </c>
      <c r="G63">
        <f>VLOOKUP(A63,NYSEARCATIP!A$2:G$506,3,0)</f>
        <v>111.68</v>
      </c>
      <c r="H63">
        <f>VLOOKUP(A63,NYSEARCAMUB!A$2:G$506,3,0)</f>
        <v>108.94</v>
      </c>
      <c r="I63">
        <f>VLOOKUP(A63,NYSEARCAVNQ!A$2:G$506,3,0)</f>
        <v>80.83</v>
      </c>
      <c r="J63">
        <f>VLOOKUP(A63,NYSEARCARWX!A$2:G$506,3,0)</f>
        <v>42.24</v>
      </c>
      <c r="K63">
        <f>VLOOKUP(A63,NYSEARCADBC!A$2:G$506,3,0)</f>
        <v>15.24</v>
      </c>
      <c r="L63">
        <f>VLOOKUP(A63,NYSEARCAGSG!A$2:G$506,3,0)</f>
        <v>17.38</v>
      </c>
      <c r="M63">
        <f>VLOOKUP(A63,NYSEARCAGLD!A$2:G$506,3,0)</f>
        <v>107.33</v>
      </c>
      <c r="N63">
        <f>VLOOKUP(A63,NYSEBP!A$2:G$506,3,0)</f>
        <v>35.32</v>
      </c>
      <c r="O63">
        <f>VLOOKUP(A63,NASDAQYHOO!A$2:G$506,3,0)</f>
        <v>36.19</v>
      </c>
    </row>
    <row r="64" spans="1:15">
      <c r="A64" s="39">
        <v>42235</v>
      </c>
      <c r="B64">
        <v>69.39</v>
      </c>
      <c r="C64">
        <f>VLOOKUP(A64,NYSEARCAVTI!A$2:G$506,3,0)</f>
        <v>108.45</v>
      </c>
      <c r="D64">
        <f>VLOOKUP(A64,NYSEARCAVEU!A$2:G$506,3,0)</f>
        <v>46.93</v>
      </c>
      <c r="E64">
        <f>VLOOKUP(A64,NYSEARCAVWO!A$2:G$506,3,0)</f>
        <v>35.9</v>
      </c>
      <c r="F64">
        <f>VLOOKUP(A64,NYSEARCABND!A$2:G$506,3,0)</f>
        <v>81.87</v>
      </c>
      <c r="G64">
        <f>VLOOKUP(A64,NYSEARCATIP!A$2:G$506,3,0)</f>
        <v>111.91</v>
      </c>
      <c r="H64">
        <f>VLOOKUP(A64,NYSEARCAMUB!A$2:G$506,3,0)</f>
        <v>109.06</v>
      </c>
      <c r="I64">
        <f>VLOOKUP(A64,NYSEARCAVNQ!A$2:G$506,3,0)</f>
        <v>80.62</v>
      </c>
      <c r="J64">
        <f>VLOOKUP(A64,NYSEARCARWX!A$2:G$506,3,0)</f>
        <v>42.15</v>
      </c>
      <c r="K64">
        <f>VLOOKUP(A64,NYSEARCADBC!A$2:G$506,3,0)</f>
        <v>15.25</v>
      </c>
      <c r="L64">
        <f>VLOOKUP(A64,NYSEARCAGSG!A$2:G$506,3,0)</f>
        <v>17.309999999999999</v>
      </c>
      <c r="M64">
        <f>VLOOKUP(A64,NYSEARCAGLD!A$2:G$506,3,0)</f>
        <v>108.67</v>
      </c>
      <c r="N64">
        <f>VLOOKUP(A64,NYSEBP!A$2:G$506,3,0)</f>
        <v>35.159999999999997</v>
      </c>
      <c r="O64">
        <f>VLOOKUP(A64,NASDAQYHOO!A$2:G$506,3,0)</f>
        <v>35.67</v>
      </c>
    </row>
    <row r="65" spans="1:15">
      <c r="A65" s="39">
        <v>42236</v>
      </c>
      <c r="B65">
        <v>69.3</v>
      </c>
      <c r="C65">
        <f>VLOOKUP(A65,NYSEARCAVTI!A$2:G$506,3,0)</f>
        <v>107</v>
      </c>
      <c r="D65">
        <f>VLOOKUP(A65,NYSEARCAVEU!A$2:G$506,3,0)</f>
        <v>46.24</v>
      </c>
      <c r="E65">
        <f>VLOOKUP(A65,NYSEARCAVWO!A$2:G$506,3,0)</f>
        <v>35.18</v>
      </c>
      <c r="F65">
        <f>VLOOKUP(A65,NYSEARCABND!A$2:G$506,3,0)</f>
        <v>81.97</v>
      </c>
      <c r="G65">
        <f>VLOOKUP(A65,NYSEARCATIP!A$2:G$506,3,0)</f>
        <v>112.17</v>
      </c>
      <c r="H65">
        <f>VLOOKUP(A65,NYSEARCAMUB!A$2:G$506,3,0)</f>
        <v>109.18</v>
      </c>
      <c r="I65">
        <f>VLOOKUP(A65,NYSEARCAVNQ!A$2:G$506,3,0)</f>
        <v>80.260000000000005</v>
      </c>
      <c r="J65">
        <f>VLOOKUP(A65,NYSEARCARWX!A$2:G$506,3,0)</f>
        <v>41.67</v>
      </c>
      <c r="K65">
        <f>VLOOKUP(A65,NYSEARCADBC!A$2:G$506,3,0)</f>
        <v>15.18</v>
      </c>
      <c r="L65">
        <f>VLOOKUP(A65,NYSEARCAGSG!A$2:G$506,3,0)</f>
        <v>17.12</v>
      </c>
      <c r="M65">
        <f>VLOOKUP(A65,NYSEARCAGLD!A$2:G$506,3,0)</f>
        <v>110.61</v>
      </c>
      <c r="N65">
        <f>VLOOKUP(A65,NYSEBP!A$2:G$506,3,0)</f>
        <v>35.299999999999997</v>
      </c>
      <c r="O65">
        <f>VLOOKUP(A65,NASDAQYHOO!A$2:G$506,3,0)</f>
        <v>34.950000000000003</v>
      </c>
    </row>
    <row r="66" spans="1:15">
      <c r="A66" s="39">
        <v>42237</v>
      </c>
      <c r="B66">
        <v>68.31</v>
      </c>
      <c r="C66">
        <f>VLOOKUP(A66,NYSEARCAVTI!A$2:G$506,3,0)</f>
        <v>104.74</v>
      </c>
      <c r="D66">
        <f>VLOOKUP(A66,NYSEARCAVEU!A$2:G$506,3,0)</f>
        <v>45.5</v>
      </c>
      <c r="E66">
        <f>VLOOKUP(A66,NYSEARCAVWO!A$2:G$506,3,0)</f>
        <v>34.590000000000003</v>
      </c>
      <c r="F66">
        <f>VLOOKUP(A66,NYSEARCABND!A$2:G$506,3,0)</f>
        <v>82.09</v>
      </c>
      <c r="G66">
        <f>VLOOKUP(A66,NYSEARCATIP!A$2:G$506,3,0)</f>
        <v>112.21</v>
      </c>
      <c r="H66">
        <f>VLOOKUP(A66,NYSEARCAMUB!A$2:G$506,3,0)</f>
        <v>109.24</v>
      </c>
      <c r="I66">
        <f>VLOOKUP(A66,NYSEARCAVNQ!A$2:G$506,3,0)</f>
        <v>79.56</v>
      </c>
      <c r="J66">
        <f>VLOOKUP(A66,NYSEARCARWX!A$2:G$506,3,0)</f>
        <v>41.18</v>
      </c>
      <c r="K66">
        <f>VLOOKUP(A66,NYSEARCADBC!A$2:G$506,3,0)</f>
        <v>14.97</v>
      </c>
      <c r="L66">
        <f>VLOOKUP(A66,NYSEARCAGSG!A$2:G$506,3,0)</f>
        <v>16.850000000000001</v>
      </c>
      <c r="M66">
        <f>VLOOKUP(A66,NYSEARCAGLD!A$2:G$506,3,0)</f>
        <v>111.33</v>
      </c>
      <c r="N66">
        <f>VLOOKUP(A66,NYSEBP!A$2:G$506,3,0)</f>
        <v>34.42</v>
      </c>
      <c r="O66">
        <f>VLOOKUP(A66,NASDAQYHOO!A$2:G$506,3,0)</f>
        <v>34.020000000000003</v>
      </c>
    </row>
    <row r="67" spans="1:15">
      <c r="A67" s="39">
        <v>42240</v>
      </c>
      <c r="B67">
        <v>66.16</v>
      </c>
      <c r="C67">
        <f>VLOOKUP(A67,NYSEARCAVTI!A$2:G$506,3,0)</f>
        <v>101.27</v>
      </c>
      <c r="D67">
        <f>VLOOKUP(A67,NYSEARCAVEU!A$2:G$506,3,0)</f>
        <v>43.83</v>
      </c>
      <c r="E67">
        <f>VLOOKUP(A67,NYSEARCAVWO!A$2:G$506,3,0)</f>
        <v>33.159999999999997</v>
      </c>
      <c r="F67">
        <f>VLOOKUP(A67,NYSEARCABND!A$2:G$506,3,0)</f>
        <v>82.43</v>
      </c>
      <c r="G67">
        <f>VLOOKUP(A67,NYSEARCATIP!A$2:G$506,3,0)</f>
        <v>112.84</v>
      </c>
      <c r="H67">
        <f>VLOOKUP(A67,NYSEARCAMUB!A$2:G$506,3,0)</f>
        <v>109.5</v>
      </c>
      <c r="I67">
        <f>VLOOKUP(A67,NYSEARCAVNQ!A$2:G$506,3,0)</f>
        <v>77.069999999999993</v>
      </c>
      <c r="J67">
        <f>VLOOKUP(A67,NYSEARCARWX!A$2:G$506,3,0)</f>
        <v>39.369999999999997</v>
      </c>
      <c r="K67">
        <f>VLOOKUP(A67,NYSEARCADBC!A$2:G$506,3,0)</f>
        <v>14.48</v>
      </c>
      <c r="L67">
        <f>VLOOKUP(A67,NYSEARCAGSG!A$2:G$506,3,0)</f>
        <v>16.38</v>
      </c>
      <c r="M67">
        <f>VLOOKUP(A67,NYSEARCAGLD!A$2:G$506,3,0)</f>
        <v>112.12</v>
      </c>
      <c r="N67">
        <f>VLOOKUP(A67,NYSEBP!A$2:G$506,3,0)</f>
        <v>32.01</v>
      </c>
      <c r="O67">
        <f>VLOOKUP(A67,NASDAQYHOO!A$2:G$506,3,0)</f>
        <v>32.28</v>
      </c>
    </row>
    <row r="68" spans="1:15">
      <c r="A68" s="39">
        <v>42241</v>
      </c>
      <c r="B68">
        <v>65.709999999999994</v>
      </c>
      <c r="C68">
        <f>VLOOKUP(A68,NYSEARCAVTI!A$2:G$506,3,0)</f>
        <v>101.72</v>
      </c>
      <c r="D68">
        <f>VLOOKUP(A68,NYSEARCAVEU!A$2:G$506,3,0)</f>
        <v>44.8</v>
      </c>
      <c r="E68">
        <f>VLOOKUP(A68,NYSEARCAVWO!A$2:G$506,3,0)</f>
        <v>34.229999999999997</v>
      </c>
      <c r="F68">
        <f>VLOOKUP(A68,NYSEARCABND!A$2:G$506,3,0)</f>
        <v>81.92</v>
      </c>
      <c r="G68">
        <f>VLOOKUP(A68,NYSEARCATIP!A$2:G$506,3,0)</f>
        <v>111.74</v>
      </c>
      <c r="H68">
        <f>VLOOKUP(A68,NYSEARCAMUB!A$2:G$506,3,0)</f>
        <v>109</v>
      </c>
      <c r="I68">
        <f>VLOOKUP(A68,NYSEARCAVNQ!A$2:G$506,3,0)</f>
        <v>76</v>
      </c>
      <c r="J68">
        <f>VLOOKUP(A68,NYSEARCARWX!A$2:G$506,3,0)</f>
        <v>40.17</v>
      </c>
      <c r="K68">
        <f>VLOOKUP(A68,NYSEARCADBC!A$2:G$506,3,0)</f>
        <v>14.71</v>
      </c>
      <c r="L68">
        <f>VLOOKUP(A68,NYSEARCAGSG!A$2:G$506,3,0)</f>
        <v>16.54</v>
      </c>
      <c r="M68">
        <f>VLOOKUP(A68,NYSEARCAGLD!A$2:G$506,3,0)</f>
        <v>110.05</v>
      </c>
      <c r="N68">
        <f>VLOOKUP(A68,NYSEBP!A$2:G$506,3,0)</f>
        <v>32.03</v>
      </c>
      <c r="O68">
        <f>VLOOKUP(A68,NASDAQYHOO!A$2:G$506,3,0)</f>
        <v>33.03</v>
      </c>
    </row>
    <row r="69" spans="1:15">
      <c r="A69" s="39">
        <v>42242</v>
      </c>
      <c r="B69">
        <v>64.849999999999994</v>
      </c>
      <c r="C69">
        <f>VLOOKUP(A69,NYSEARCAVTI!A$2:G$506,3,0)</f>
        <v>100.58</v>
      </c>
      <c r="D69">
        <f>VLOOKUP(A69,NYSEARCAVEU!A$2:G$506,3,0)</f>
        <v>44.23</v>
      </c>
      <c r="E69">
        <f>VLOOKUP(A69,NYSEARCAVWO!A$2:G$506,3,0)</f>
        <v>33.799999999999997</v>
      </c>
      <c r="F69">
        <f>VLOOKUP(A69,NYSEARCABND!A$2:G$506,3,0)</f>
        <v>81.739999999999995</v>
      </c>
      <c r="G69">
        <f>VLOOKUP(A69,NYSEARCATIP!A$2:G$506,3,0)</f>
        <v>111.67</v>
      </c>
      <c r="H69">
        <f>VLOOKUP(A69,NYSEARCAMUB!A$2:G$506,3,0)</f>
        <v>108.89</v>
      </c>
      <c r="I69">
        <f>VLOOKUP(A69,NYSEARCAVNQ!A$2:G$506,3,0)</f>
        <v>74.63</v>
      </c>
      <c r="J69">
        <f>VLOOKUP(A69,NYSEARCARWX!A$2:G$506,3,0)</f>
        <v>39.58</v>
      </c>
      <c r="K69">
        <f>VLOOKUP(A69,NYSEARCADBC!A$2:G$506,3,0)</f>
        <v>14.49</v>
      </c>
      <c r="L69">
        <f>VLOOKUP(A69,NYSEARCAGSG!A$2:G$506,3,0)</f>
        <v>16.23</v>
      </c>
      <c r="M69">
        <f>VLOOKUP(A69,NYSEARCAGLD!A$2:G$506,3,0)</f>
        <v>108.06</v>
      </c>
      <c r="N69">
        <f>VLOOKUP(A69,NYSEBP!A$2:G$506,3,0)</f>
        <v>31.65</v>
      </c>
      <c r="O69">
        <f>VLOOKUP(A69,NASDAQYHOO!A$2:G$506,3,0)</f>
        <v>32.619999999999997</v>
      </c>
    </row>
    <row r="70" spans="1:15">
      <c r="A70" s="39">
        <v>42243</v>
      </c>
      <c r="B70">
        <v>66.180000000000007</v>
      </c>
      <c r="C70">
        <f>VLOOKUP(A70,NYSEARCAVTI!A$2:G$506,3,0)</f>
        <v>103.05</v>
      </c>
      <c r="D70">
        <f>VLOOKUP(A70,NYSEARCAVEU!A$2:G$506,3,0)</f>
        <v>45.18</v>
      </c>
      <c r="E70">
        <f>VLOOKUP(A70,NYSEARCAVWO!A$2:G$506,3,0)</f>
        <v>35.14</v>
      </c>
      <c r="F70">
        <f>VLOOKUP(A70,NYSEARCABND!A$2:G$506,3,0)</f>
        <v>81.62</v>
      </c>
      <c r="G70">
        <f>VLOOKUP(A70,NYSEARCATIP!A$2:G$506,3,0)</f>
        <v>111.6</v>
      </c>
      <c r="H70">
        <f>VLOOKUP(A70,NYSEARCAMUB!A$2:G$506,3,0)</f>
        <v>109</v>
      </c>
      <c r="I70">
        <f>VLOOKUP(A70,NYSEARCAVNQ!A$2:G$506,3,0)</f>
        <v>76.459999999999994</v>
      </c>
      <c r="J70">
        <f>VLOOKUP(A70,NYSEARCARWX!A$2:G$506,3,0)</f>
        <v>40.4</v>
      </c>
      <c r="K70">
        <f>VLOOKUP(A70,NYSEARCADBC!A$2:G$506,3,0)</f>
        <v>14.96</v>
      </c>
      <c r="L70">
        <f>VLOOKUP(A70,NYSEARCAGSG!A$2:G$506,3,0)</f>
        <v>16.93</v>
      </c>
      <c r="M70">
        <f>VLOOKUP(A70,NYSEARCAGLD!A$2:G$506,3,0)</f>
        <v>108.04</v>
      </c>
      <c r="N70">
        <f>VLOOKUP(A70,NYSEBP!A$2:G$506,3,0)</f>
        <v>33.03</v>
      </c>
      <c r="O70">
        <f>VLOOKUP(A70,NASDAQYHOO!A$2:G$506,3,0)</f>
        <v>33.770000000000003</v>
      </c>
    </row>
    <row r="71" spans="1:15">
      <c r="A71" s="39">
        <v>42244</v>
      </c>
      <c r="B71">
        <v>66.12</v>
      </c>
      <c r="C71">
        <f>VLOOKUP(A71,NYSEARCAVTI!A$2:G$506,3,0)</f>
        <v>103.32</v>
      </c>
      <c r="D71">
        <f>VLOOKUP(A71,NYSEARCAVEU!A$2:G$506,3,0)</f>
        <v>45.02</v>
      </c>
      <c r="E71">
        <f>VLOOKUP(A71,NYSEARCAVWO!A$2:G$506,3,0)</f>
        <v>34.880000000000003</v>
      </c>
      <c r="F71">
        <f>VLOOKUP(A71,NYSEARCABND!A$2:G$506,3,0)</f>
        <v>81.739999999999995</v>
      </c>
      <c r="G71">
        <f>VLOOKUP(A71,NYSEARCATIP!A$2:G$506,3,0)</f>
        <v>112</v>
      </c>
      <c r="H71">
        <f>VLOOKUP(A71,NYSEARCAMUB!A$2:G$506,3,0)</f>
        <v>109</v>
      </c>
      <c r="I71">
        <f>VLOOKUP(A71,NYSEARCAVNQ!A$2:G$506,3,0)</f>
        <v>75.98</v>
      </c>
      <c r="J71">
        <f>VLOOKUP(A71,NYSEARCARWX!A$2:G$506,3,0)</f>
        <v>39.99</v>
      </c>
      <c r="K71">
        <f>VLOOKUP(A71,NYSEARCADBC!A$2:G$506,3,0)</f>
        <v>15.43</v>
      </c>
      <c r="L71">
        <f>VLOOKUP(A71,NYSEARCAGSG!A$2:G$506,3,0)</f>
        <v>17.64</v>
      </c>
      <c r="M71">
        <f>VLOOKUP(A71,NYSEARCAGLD!A$2:G$506,3,0)</f>
        <v>109.3</v>
      </c>
      <c r="N71">
        <f>VLOOKUP(A71,NYSEBP!A$2:G$506,3,0)</f>
        <v>33.57</v>
      </c>
      <c r="O71">
        <f>VLOOKUP(A71,NASDAQYHOO!A$2:G$506,3,0)</f>
        <v>33.57</v>
      </c>
    </row>
    <row r="72" spans="1:15">
      <c r="A72" s="39">
        <v>42247</v>
      </c>
      <c r="B72">
        <v>65</v>
      </c>
      <c r="C72">
        <f>VLOOKUP(A72,NYSEARCAVTI!A$2:G$506,3,0)</f>
        <v>103.01</v>
      </c>
      <c r="D72">
        <f>VLOOKUP(A72,NYSEARCAVEU!A$2:G$506,3,0)</f>
        <v>44.85</v>
      </c>
      <c r="E72">
        <f>VLOOKUP(A72,NYSEARCAVWO!A$2:G$506,3,0)</f>
        <v>34.65</v>
      </c>
      <c r="F72">
        <f>VLOOKUP(A72,NYSEARCABND!A$2:G$506,3,0)</f>
        <v>81.7</v>
      </c>
      <c r="G72">
        <f>VLOOKUP(A72,NYSEARCATIP!A$2:G$506,3,0)</f>
        <v>111.89</v>
      </c>
      <c r="H72">
        <f>VLOOKUP(A72,NYSEARCAMUB!A$2:G$506,3,0)</f>
        <v>109</v>
      </c>
      <c r="I72">
        <f>VLOOKUP(A72,NYSEARCAVNQ!A$2:G$506,3,0)</f>
        <v>75.75</v>
      </c>
      <c r="J72">
        <f>VLOOKUP(A72,NYSEARCARWX!A$2:G$506,3,0)</f>
        <v>39.729999999999997</v>
      </c>
      <c r="K72">
        <f>VLOOKUP(A72,NYSEARCADBC!A$2:G$506,3,0)</f>
        <v>15.79</v>
      </c>
      <c r="L72">
        <f>VLOOKUP(A72,NYSEARCAGSG!A$2:G$506,3,0)</f>
        <v>18.34</v>
      </c>
      <c r="M72">
        <f>VLOOKUP(A72,NYSEARCAGLD!A$2:G$506,3,0)</f>
        <v>108.92</v>
      </c>
      <c r="N72">
        <f>VLOOKUP(A72,NYSEBP!A$2:G$506,3,0)</f>
        <v>33.630000000000003</v>
      </c>
      <c r="O72">
        <f>VLOOKUP(A72,NASDAQYHOO!A$2:G$506,3,0)</f>
        <v>32.99</v>
      </c>
    </row>
    <row r="73" spans="1:15">
      <c r="A73" s="39">
        <v>42248</v>
      </c>
      <c r="B73">
        <v>64.319999999999993</v>
      </c>
      <c r="C73">
        <f>VLOOKUP(A73,NYSEARCAVTI!A$2:G$506,3,0)</f>
        <v>100.83</v>
      </c>
      <c r="D73">
        <f>VLOOKUP(A73,NYSEARCAVEU!A$2:G$506,3,0)</f>
        <v>43.71</v>
      </c>
      <c r="E73">
        <f>VLOOKUP(A73,NYSEARCAVWO!A$2:G$506,3,0)</f>
        <v>33.76</v>
      </c>
      <c r="F73">
        <f>VLOOKUP(A73,NYSEARCABND!A$2:G$506,3,0)</f>
        <v>81.540000000000006</v>
      </c>
      <c r="G73">
        <f>VLOOKUP(A73,NYSEARCATIP!A$2:G$506,3,0)</f>
        <v>111.29</v>
      </c>
      <c r="H73">
        <f>VLOOKUP(A73,NYSEARCAMUB!A$2:G$506,3,0)</f>
        <v>109.03</v>
      </c>
      <c r="I73">
        <f>VLOOKUP(A73,NYSEARCAVNQ!A$2:G$506,3,0)</f>
        <v>73.66</v>
      </c>
      <c r="J73">
        <f>VLOOKUP(A73,NYSEARCARWX!A$2:G$506,3,0)</f>
        <v>38.81</v>
      </c>
      <c r="K73">
        <f>VLOOKUP(A73,NYSEARCADBC!A$2:G$506,3,0)</f>
        <v>15.52</v>
      </c>
      <c r="L73">
        <f>VLOOKUP(A73,NYSEARCAGSG!A$2:G$506,3,0)</f>
        <v>17.899999999999999</v>
      </c>
      <c r="M73">
        <f>VLOOKUP(A73,NYSEARCAGLD!A$2:G$506,3,0)</f>
        <v>109.77</v>
      </c>
      <c r="N73">
        <f>VLOOKUP(A73,NYSEBP!A$2:G$506,3,0)</f>
        <v>32.630000000000003</v>
      </c>
      <c r="O73">
        <f>VLOOKUP(A73,NASDAQYHOO!A$2:G$506,3,0)</f>
        <v>32.1</v>
      </c>
    </row>
    <row r="74" spans="1:15">
      <c r="A74" s="39">
        <v>42249</v>
      </c>
      <c r="B74">
        <v>64.94</v>
      </c>
      <c r="C74">
        <f>VLOOKUP(A74,NYSEARCAVTI!A$2:G$506,3,0)</f>
        <v>101.08</v>
      </c>
      <c r="D74">
        <f>VLOOKUP(A74,NYSEARCAVEU!A$2:G$506,3,0)</f>
        <v>43.93</v>
      </c>
      <c r="E74">
        <f>VLOOKUP(A74,NYSEARCAVWO!A$2:G$506,3,0)</f>
        <v>33.700000000000003</v>
      </c>
      <c r="F74">
        <f>VLOOKUP(A74,NYSEARCABND!A$2:G$506,3,0)</f>
        <v>81.5</v>
      </c>
      <c r="G74">
        <f>VLOOKUP(A74,NYSEARCATIP!A$2:G$506,3,0)</f>
        <v>111.07</v>
      </c>
      <c r="H74">
        <f>VLOOKUP(A74,NYSEARCAMUB!A$2:G$506,3,0)</f>
        <v>108.96</v>
      </c>
      <c r="I74">
        <f>VLOOKUP(A74,NYSEARCAVNQ!A$2:G$506,3,0)</f>
        <v>73.62</v>
      </c>
      <c r="J74">
        <f>VLOOKUP(A74,NYSEARCARWX!A$2:G$506,3,0)</f>
        <v>39.1</v>
      </c>
      <c r="K74">
        <f>VLOOKUP(A74,NYSEARCADBC!A$2:G$506,3,0)</f>
        <v>15.37</v>
      </c>
      <c r="L74">
        <f>VLOOKUP(A74,NYSEARCAGSG!A$2:G$506,3,0)</f>
        <v>17.670000000000002</v>
      </c>
      <c r="M74">
        <f>VLOOKUP(A74,NYSEARCAGLD!A$2:G$506,3,0)</f>
        <v>109.34</v>
      </c>
      <c r="N74">
        <f>VLOOKUP(A74,NYSEBP!A$2:G$506,3,0)</f>
        <v>32.479999999999997</v>
      </c>
      <c r="O74">
        <f>VLOOKUP(A74,NASDAQYHOO!A$2:G$506,3,0)</f>
        <v>32.03</v>
      </c>
    </row>
    <row r="75" spans="1:15">
      <c r="A75" s="39">
        <v>42250</v>
      </c>
      <c r="B75">
        <v>65.010000000000005</v>
      </c>
      <c r="C75">
        <f>VLOOKUP(A75,NYSEARCAVTI!A$2:G$506,3,0)</f>
        <v>102.44</v>
      </c>
      <c r="D75">
        <f>VLOOKUP(A75,NYSEARCAVEU!A$2:G$506,3,0)</f>
        <v>44.3</v>
      </c>
      <c r="E75">
        <f>VLOOKUP(A75,NYSEARCAVWO!A$2:G$506,3,0)</f>
        <v>34.26</v>
      </c>
      <c r="F75">
        <f>VLOOKUP(A75,NYSEARCABND!A$2:G$506,3,0)</f>
        <v>81.569999999999993</v>
      </c>
      <c r="G75">
        <f>VLOOKUP(A75,NYSEARCATIP!A$2:G$506,3,0)</f>
        <v>110.93</v>
      </c>
      <c r="H75">
        <f>VLOOKUP(A75,NYSEARCAMUB!A$2:G$506,3,0)</f>
        <v>109.05</v>
      </c>
      <c r="I75">
        <f>VLOOKUP(A75,NYSEARCAVNQ!A$2:G$506,3,0)</f>
        <v>74.11</v>
      </c>
      <c r="J75">
        <f>VLOOKUP(A75,NYSEARCARWX!A$2:G$506,3,0)</f>
        <v>39.26</v>
      </c>
      <c r="K75">
        <f>VLOOKUP(A75,NYSEARCADBC!A$2:G$506,3,0)</f>
        <v>15.58</v>
      </c>
      <c r="L75">
        <f>VLOOKUP(A75,NYSEARCAGSG!A$2:G$506,3,0)</f>
        <v>18.010000000000002</v>
      </c>
      <c r="M75">
        <f>VLOOKUP(A75,NYSEARCAGLD!A$2:G$506,3,0)</f>
        <v>108.32</v>
      </c>
      <c r="N75">
        <f>VLOOKUP(A75,NYSEBP!A$2:G$506,3,0)</f>
        <v>32.89</v>
      </c>
      <c r="O75">
        <f>VLOOKUP(A75,NASDAQYHOO!A$2:G$506,3,0)</f>
        <v>32.74</v>
      </c>
    </row>
    <row r="76" spans="1:15">
      <c r="A76" s="39">
        <v>42251</v>
      </c>
      <c r="B76">
        <v>64.3</v>
      </c>
      <c r="C76">
        <f>VLOOKUP(A76,NYSEARCAVTI!A$2:G$506,3,0)</f>
        <v>100.4</v>
      </c>
      <c r="D76">
        <f>VLOOKUP(A76,NYSEARCAVEU!A$2:G$506,3,0)</f>
        <v>43.17</v>
      </c>
      <c r="E76">
        <f>VLOOKUP(A76,NYSEARCAVWO!A$2:G$506,3,0)</f>
        <v>33.24</v>
      </c>
      <c r="F76">
        <f>VLOOKUP(A76,NYSEARCABND!A$2:G$506,3,0)</f>
        <v>81.7</v>
      </c>
      <c r="G76">
        <f>VLOOKUP(A76,NYSEARCATIP!A$2:G$506,3,0)</f>
        <v>111.05</v>
      </c>
      <c r="H76">
        <f>VLOOKUP(A76,NYSEARCAMUB!A$2:G$506,3,0)</f>
        <v>109</v>
      </c>
      <c r="I76">
        <f>VLOOKUP(A76,NYSEARCAVNQ!A$2:G$506,3,0)</f>
        <v>73.12</v>
      </c>
      <c r="J76">
        <f>VLOOKUP(A76,NYSEARCARWX!A$2:G$506,3,0)</f>
        <v>38.49</v>
      </c>
      <c r="K76">
        <f>VLOOKUP(A76,NYSEARCADBC!A$2:G$506,3,0)</f>
        <v>15.36</v>
      </c>
      <c r="L76">
        <f>VLOOKUP(A76,NYSEARCAGSG!A$2:G$506,3,0)</f>
        <v>17.64</v>
      </c>
      <c r="M76">
        <f>VLOOKUP(A76,NYSEARCAGLD!A$2:G$506,3,0)</f>
        <v>107.56</v>
      </c>
      <c r="N76">
        <f>VLOOKUP(A76,NYSEBP!A$2:G$506,3,0)</f>
        <v>31.36</v>
      </c>
      <c r="O76">
        <f>VLOOKUP(A76,NASDAQYHOO!A$2:G$506,3,0)</f>
        <v>32.29</v>
      </c>
    </row>
    <row r="77" spans="1:15">
      <c r="A77" s="39">
        <v>42255</v>
      </c>
      <c r="B77">
        <v>66.5</v>
      </c>
      <c r="C77">
        <f>VLOOKUP(A77,NYSEARCAVTI!A$2:G$506,3,0)</f>
        <v>102.32</v>
      </c>
      <c r="D77">
        <f>VLOOKUP(A77,NYSEARCAVEU!A$2:G$506,3,0)</f>
        <v>44.14</v>
      </c>
      <c r="E77">
        <f>VLOOKUP(A77,NYSEARCAVWO!A$2:G$506,3,0)</f>
        <v>33.9</v>
      </c>
      <c r="F77">
        <f>VLOOKUP(A77,NYSEARCABND!A$2:G$506,3,0)</f>
        <v>81.52</v>
      </c>
      <c r="G77">
        <f>VLOOKUP(A77,NYSEARCATIP!A$2:G$506,3,0)</f>
        <v>110.61</v>
      </c>
      <c r="H77">
        <f>VLOOKUP(A77,NYSEARCAMUB!A$2:G$506,3,0)</f>
        <v>108.8</v>
      </c>
      <c r="I77">
        <f>VLOOKUP(A77,NYSEARCAVNQ!A$2:G$506,3,0)</f>
        <v>73.489999999999995</v>
      </c>
      <c r="J77">
        <f>VLOOKUP(A77,NYSEARCARWX!A$2:G$506,3,0)</f>
        <v>39.17</v>
      </c>
      <c r="K77">
        <f>VLOOKUP(A77,NYSEARCADBC!A$2:G$506,3,0)</f>
        <v>15.36</v>
      </c>
      <c r="L77">
        <f>VLOOKUP(A77,NYSEARCAGSG!A$2:G$506,3,0)</f>
        <v>17.579999999999998</v>
      </c>
      <c r="M77">
        <f>VLOOKUP(A77,NYSEARCAGLD!A$2:G$506,3,0)</f>
        <v>107.94</v>
      </c>
      <c r="N77">
        <f>VLOOKUP(A77,NYSEBP!A$2:G$506,3,0)</f>
        <v>31.63</v>
      </c>
      <c r="O77">
        <f>VLOOKUP(A77,NASDAQYHOO!A$2:G$506,3,0)</f>
        <v>32.83</v>
      </c>
    </row>
    <row r="78" spans="1:15">
      <c r="A78" s="39">
        <v>42256</v>
      </c>
      <c r="B78">
        <v>67.010000000000005</v>
      </c>
      <c r="C78">
        <f>VLOOKUP(A78,NYSEARCAVTI!A$2:G$506,3,0)</f>
        <v>103.4</v>
      </c>
      <c r="D78">
        <f>VLOOKUP(A78,NYSEARCAVEU!A$2:G$506,3,0)</f>
        <v>44.79</v>
      </c>
      <c r="E78">
        <f>VLOOKUP(A78,NYSEARCAVWO!A$2:G$506,3,0)</f>
        <v>34.54</v>
      </c>
      <c r="F78">
        <f>VLOOKUP(A78,NYSEARCABND!A$2:G$506,3,0)</f>
        <v>81.569999999999993</v>
      </c>
      <c r="G78">
        <f>VLOOKUP(A78,NYSEARCATIP!A$2:G$506,3,0)</f>
        <v>110.77</v>
      </c>
      <c r="H78">
        <f>VLOOKUP(A78,NYSEARCAMUB!A$2:G$506,3,0)</f>
        <v>108.76</v>
      </c>
      <c r="I78">
        <f>VLOOKUP(A78,NYSEARCAVNQ!A$2:G$506,3,0)</f>
        <v>74.14</v>
      </c>
      <c r="J78">
        <f>VLOOKUP(A78,NYSEARCARWX!A$2:G$506,3,0)</f>
        <v>39.4</v>
      </c>
      <c r="K78">
        <f>VLOOKUP(A78,NYSEARCADBC!A$2:G$506,3,0)</f>
        <v>15.36</v>
      </c>
      <c r="L78">
        <f>VLOOKUP(A78,NYSEARCAGSG!A$2:G$506,3,0)</f>
        <v>17.600000000000001</v>
      </c>
      <c r="M78">
        <f>VLOOKUP(A78,NYSEARCAGLD!A$2:G$506,3,0)</f>
        <v>106.71</v>
      </c>
      <c r="N78">
        <f>VLOOKUP(A78,NYSEBP!A$2:G$506,3,0)</f>
        <v>32.049999999999997</v>
      </c>
      <c r="O78">
        <f>VLOOKUP(A78,NASDAQYHOO!A$2:G$506,3,0)</f>
        <v>31.8</v>
      </c>
    </row>
    <row r="79" spans="1:15">
      <c r="A79" s="39">
        <v>42257</v>
      </c>
      <c r="B79">
        <v>64.650000000000006</v>
      </c>
      <c r="C79">
        <f>VLOOKUP(A79,NYSEARCAVTI!A$2:G$506,3,0)</f>
        <v>102.07</v>
      </c>
      <c r="D79">
        <f>VLOOKUP(A79,NYSEARCAVEU!A$2:G$506,3,0)</f>
        <v>44.35</v>
      </c>
      <c r="E79">
        <f>VLOOKUP(A79,NYSEARCAVWO!A$2:G$506,3,0)</f>
        <v>34.159999999999997</v>
      </c>
      <c r="F79">
        <f>VLOOKUP(A79,NYSEARCABND!A$2:G$506,3,0)</f>
        <v>81.430000000000007</v>
      </c>
      <c r="G79">
        <f>VLOOKUP(A79,NYSEARCATIP!A$2:G$506,3,0)</f>
        <v>110.7</v>
      </c>
      <c r="H79">
        <f>VLOOKUP(A79,NYSEARCAMUB!A$2:G$506,3,0)</f>
        <v>108.68</v>
      </c>
      <c r="I79">
        <f>VLOOKUP(A79,NYSEARCAVNQ!A$2:G$506,3,0)</f>
        <v>73.37</v>
      </c>
      <c r="J79">
        <f>VLOOKUP(A79,NYSEARCARWX!A$2:G$506,3,0)</f>
        <v>39.08</v>
      </c>
      <c r="K79">
        <f>VLOOKUP(A79,NYSEARCADBC!A$2:G$506,3,0)</f>
        <v>15.3</v>
      </c>
      <c r="L79">
        <f>VLOOKUP(A79,NYSEARCAGSG!A$2:G$506,3,0)</f>
        <v>17.47</v>
      </c>
      <c r="M79">
        <f>VLOOKUP(A79,NYSEARCAGLD!A$2:G$506,3,0)</f>
        <v>106.7</v>
      </c>
      <c r="N79">
        <f>VLOOKUP(A79,NYSEBP!A$2:G$506,3,0)</f>
        <v>31.43</v>
      </c>
      <c r="O79">
        <f>VLOOKUP(A79,NASDAQYHOO!A$2:G$506,3,0)</f>
        <v>31.59</v>
      </c>
    </row>
    <row r="80" spans="1:15">
      <c r="A80" s="39">
        <v>42258</v>
      </c>
      <c r="B80">
        <v>64.680000000000007</v>
      </c>
      <c r="C80">
        <f>VLOOKUP(A80,NYSEARCAVTI!A$2:G$506,3,0)</f>
        <v>101.88</v>
      </c>
      <c r="D80">
        <f>VLOOKUP(A80,NYSEARCAVEU!A$2:G$506,3,0)</f>
        <v>44.18</v>
      </c>
      <c r="E80">
        <f>VLOOKUP(A80,NYSEARCAVWO!A$2:G$506,3,0)</f>
        <v>34.08</v>
      </c>
      <c r="F80">
        <f>VLOOKUP(A80,NYSEARCABND!A$2:G$506,3,0)</f>
        <v>81.53</v>
      </c>
      <c r="G80">
        <f>VLOOKUP(A80,NYSEARCATIP!A$2:G$506,3,0)</f>
        <v>111.1</v>
      </c>
      <c r="H80">
        <f>VLOOKUP(A80,NYSEARCAMUB!A$2:G$506,3,0)</f>
        <v>108.74</v>
      </c>
      <c r="I80">
        <f>VLOOKUP(A80,NYSEARCAVNQ!A$2:G$506,3,0)</f>
        <v>74.02</v>
      </c>
      <c r="J80">
        <f>VLOOKUP(A80,NYSEARCARWX!A$2:G$506,3,0)</f>
        <v>39.01</v>
      </c>
      <c r="K80">
        <f>VLOOKUP(A80,NYSEARCADBC!A$2:G$506,3,0)</f>
        <v>15.3</v>
      </c>
      <c r="L80">
        <f>VLOOKUP(A80,NYSEARCAGSG!A$2:G$506,3,0)</f>
        <v>17.39</v>
      </c>
      <c r="M80">
        <f>VLOOKUP(A80,NYSEARCAGLD!A$2:G$506,3,0)</f>
        <v>106.2</v>
      </c>
      <c r="N80">
        <f>VLOOKUP(A80,NYSEBP!A$2:G$506,3,0)</f>
        <v>31.09</v>
      </c>
      <c r="O80">
        <f>VLOOKUP(A80,NASDAQYHOO!A$2:G$506,3,0)</f>
        <v>31.43</v>
      </c>
    </row>
    <row r="81" spans="1:15">
      <c r="A81" s="39">
        <v>42261</v>
      </c>
      <c r="B81">
        <v>64.67</v>
      </c>
      <c r="C81">
        <f>VLOOKUP(A81,NYSEARCAVTI!A$2:G$506,3,0)</f>
        <v>101.91</v>
      </c>
      <c r="D81">
        <f>VLOOKUP(A81,NYSEARCAVEU!A$2:G$506,3,0)</f>
        <v>44</v>
      </c>
      <c r="E81">
        <f>VLOOKUP(A81,NYSEARCAVWO!A$2:G$506,3,0)</f>
        <v>34.119999999999997</v>
      </c>
      <c r="F81">
        <f>VLOOKUP(A81,NYSEARCABND!A$2:G$506,3,0)</f>
        <v>81.56</v>
      </c>
      <c r="G81">
        <f>VLOOKUP(A81,NYSEARCATIP!A$2:G$506,3,0)</f>
        <v>111.17</v>
      </c>
      <c r="H81">
        <f>VLOOKUP(A81,NYSEARCAMUB!A$2:G$506,3,0)</f>
        <v>108.66</v>
      </c>
      <c r="I81">
        <f>VLOOKUP(A81,NYSEARCAVNQ!A$2:G$506,3,0)</f>
        <v>74.25</v>
      </c>
      <c r="J81">
        <f>VLOOKUP(A81,NYSEARCARWX!A$2:G$506,3,0)</f>
        <v>39</v>
      </c>
      <c r="K81">
        <f>VLOOKUP(A81,NYSEARCADBC!A$2:G$506,3,0)</f>
        <v>15.16</v>
      </c>
      <c r="L81">
        <f>VLOOKUP(A81,NYSEARCAGSG!A$2:G$506,3,0)</f>
        <v>17.21</v>
      </c>
      <c r="M81">
        <f>VLOOKUP(A81,NYSEARCAGLD!A$2:G$506,3,0)</f>
        <v>106.39</v>
      </c>
      <c r="N81">
        <f>VLOOKUP(A81,NYSEBP!A$2:G$506,3,0)</f>
        <v>30.81</v>
      </c>
      <c r="O81">
        <f>VLOOKUP(A81,NASDAQYHOO!A$2:G$506,3,0)</f>
        <v>30.92</v>
      </c>
    </row>
    <row r="82" spans="1:15">
      <c r="A82" s="39">
        <v>42262</v>
      </c>
      <c r="B82">
        <v>64.7</v>
      </c>
      <c r="C82">
        <f>VLOOKUP(A82,NYSEARCAVTI!A$2:G$506,3,0)</f>
        <v>102.97</v>
      </c>
      <c r="D82">
        <f>VLOOKUP(A82,NYSEARCAVEU!A$2:G$506,3,0)</f>
        <v>44.3</v>
      </c>
      <c r="E82">
        <f>VLOOKUP(A82,NYSEARCAVWO!A$2:G$506,3,0)</f>
        <v>34.479999999999997</v>
      </c>
      <c r="F82">
        <f>VLOOKUP(A82,NYSEARCABND!A$2:G$506,3,0)</f>
        <v>81.400000000000006</v>
      </c>
      <c r="G82">
        <f>VLOOKUP(A82,NYSEARCATIP!A$2:G$506,3,0)</f>
        <v>110.68</v>
      </c>
      <c r="H82">
        <f>VLOOKUP(A82,NYSEARCAMUB!A$2:G$506,3,0)</f>
        <v>108.58</v>
      </c>
      <c r="I82">
        <f>VLOOKUP(A82,NYSEARCAVNQ!A$2:G$506,3,0)</f>
        <v>74.930000000000007</v>
      </c>
      <c r="J82">
        <f>VLOOKUP(A82,NYSEARCARWX!A$2:G$506,3,0)</f>
        <v>39.08</v>
      </c>
      <c r="K82">
        <f>VLOOKUP(A82,NYSEARCADBC!A$2:G$506,3,0)</f>
        <v>15.1</v>
      </c>
      <c r="L82">
        <f>VLOOKUP(A82,NYSEARCAGSG!A$2:G$506,3,0)</f>
        <v>17.16</v>
      </c>
      <c r="M82">
        <f>VLOOKUP(A82,NYSEARCAGLD!A$2:G$506,3,0)</f>
        <v>106.06</v>
      </c>
      <c r="N82">
        <f>VLOOKUP(A82,NYSEBP!A$2:G$506,3,0)</f>
        <v>31.3</v>
      </c>
      <c r="O82">
        <f>VLOOKUP(A82,NASDAQYHOO!A$2:G$506,3,0)</f>
        <v>31.22</v>
      </c>
    </row>
    <row r="83" spans="1:15">
      <c r="A83" s="39">
        <v>42263</v>
      </c>
      <c r="B83">
        <v>64.760000000000005</v>
      </c>
      <c r="C83">
        <f>VLOOKUP(A83,NYSEARCAVTI!A$2:G$506,3,0)</f>
        <v>103.73</v>
      </c>
      <c r="D83">
        <f>VLOOKUP(A83,NYSEARCAVEU!A$2:G$506,3,0)</f>
        <v>45.04</v>
      </c>
      <c r="E83">
        <f>VLOOKUP(A83,NYSEARCAVWO!A$2:G$506,3,0)</f>
        <v>35.299999999999997</v>
      </c>
      <c r="F83">
        <f>VLOOKUP(A83,NYSEARCABND!A$2:G$506,3,0)</f>
        <v>81.14</v>
      </c>
      <c r="G83">
        <f>VLOOKUP(A83,NYSEARCATIP!A$2:G$506,3,0)</f>
        <v>110.33</v>
      </c>
      <c r="H83">
        <f>VLOOKUP(A83,NYSEARCAMUB!A$2:G$506,3,0)</f>
        <v>108.43</v>
      </c>
      <c r="I83">
        <f>VLOOKUP(A83,NYSEARCAVNQ!A$2:G$506,3,0)</f>
        <v>75.75</v>
      </c>
      <c r="J83">
        <f>VLOOKUP(A83,NYSEARCARWX!A$2:G$506,3,0)</f>
        <v>39.39</v>
      </c>
      <c r="K83">
        <f>VLOOKUP(A83,NYSEARCADBC!A$2:G$506,3,0)</f>
        <v>15.4</v>
      </c>
      <c r="L83">
        <f>VLOOKUP(A83,NYSEARCAGSG!A$2:G$506,3,0)</f>
        <v>17.55</v>
      </c>
      <c r="M83">
        <f>VLOOKUP(A83,NYSEARCAGLD!A$2:G$506,3,0)</f>
        <v>107.71</v>
      </c>
      <c r="N83">
        <f>VLOOKUP(A83,NYSEBP!A$2:G$506,3,0)</f>
        <v>32.25</v>
      </c>
      <c r="O83">
        <f>VLOOKUP(A83,NASDAQYHOO!A$2:G$506,3,0)</f>
        <v>31.77</v>
      </c>
    </row>
    <row r="84" spans="1:15">
      <c r="A84" s="39">
        <v>42264</v>
      </c>
      <c r="B84">
        <v>65.290000000000006</v>
      </c>
      <c r="C84">
        <f>VLOOKUP(A84,NYSEARCAVTI!A$2:G$506,3,0)</f>
        <v>105.02</v>
      </c>
      <c r="D84">
        <f>VLOOKUP(A84,NYSEARCAVEU!A$2:G$506,3,0)</f>
        <v>45.61</v>
      </c>
      <c r="E84">
        <f>VLOOKUP(A84,NYSEARCAVWO!A$2:G$506,3,0)</f>
        <v>36</v>
      </c>
      <c r="F84">
        <f>VLOOKUP(A84,NYSEARCABND!A$2:G$506,3,0)</f>
        <v>81.540000000000006</v>
      </c>
      <c r="G84">
        <f>VLOOKUP(A84,NYSEARCATIP!A$2:G$506,3,0)</f>
        <v>110.89</v>
      </c>
      <c r="H84">
        <f>VLOOKUP(A84,NYSEARCAMUB!A$2:G$506,3,0)</f>
        <v>108.7</v>
      </c>
      <c r="I84">
        <f>VLOOKUP(A84,NYSEARCAVNQ!A$2:G$506,3,0)</f>
        <v>77.739999999999995</v>
      </c>
      <c r="J84">
        <f>VLOOKUP(A84,NYSEARCARWX!A$2:G$506,3,0)</f>
        <v>39.869999999999997</v>
      </c>
      <c r="K84">
        <f>VLOOKUP(A84,NYSEARCADBC!A$2:G$506,3,0)</f>
        <v>15.32</v>
      </c>
      <c r="L84">
        <f>VLOOKUP(A84,NYSEARCAGSG!A$2:G$506,3,0)</f>
        <v>17.510000000000002</v>
      </c>
      <c r="M84">
        <f>VLOOKUP(A84,NYSEARCAGLD!A$2:G$506,3,0)</f>
        <v>108.58</v>
      </c>
      <c r="N84">
        <f>VLOOKUP(A84,NYSEBP!A$2:G$506,3,0)</f>
        <v>32.619999999999997</v>
      </c>
      <c r="O84">
        <f>VLOOKUP(A84,NASDAQYHOO!A$2:G$506,3,0)</f>
        <v>31.33</v>
      </c>
    </row>
    <row r="85" spans="1:15">
      <c r="A85" s="39">
        <v>42265</v>
      </c>
      <c r="B85">
        <v>64.23</v>
      </c>
      <c r="C85">
        <f>VLOOKUP(A85,NYSEARCAVTI!A$2:G$506,3,0)</f>
        <v>102.89</v>
      </c>
      <c r="D85">
        <f>VLOOKUP(A85,NYSEARCAVEU!A$2:G$506,3,0)</f>
        <v>44.5</v>
      </c>
      <c r="E85">
        <f>VLOOKUP(A85,NYSEARCAVWO!A$2:G$506,3,0)</f>
        <v>34.99</v>
      </c>
      <c r="F85">
        <f>VLOOKUP(A85,NYSEARCABND!A$2:G$506,3,0)</f>
        <v>81.78</v>
      </c>
      <c r="G85">
        <f>VLOOKUP(A85,NYSEARCATIP!A$2:G$506,3,0)</f>
        <v>111.27</v>
      </c>
      <c r="H85">
        <f>VLOOKUP(A85,NYSEARCAMUB!A$2:G$506,3,0)</f>
        <v>108.95</v>
      </c>
      <c r="I85">
        <f>VLOOKUP(A85,NYSEARCAVNQ!A$2:G$506,3,0)</f>
        <v>77.209999999999994</v>
      </c>
      <c r="J85">
        <f>VLOOKUP(A85,NYSEARCARWX!A$2:G$506,3,0)</f>
        <v>39.200000000000003</v>
      </c>
      <c r="K85">
        <f>VLOOKUP(A85,NYSEARCADBC!A$2:G$506,3,0)</f>
        <v>15.15</v>
      </c>
      <c r="L85">
        <f>VLOOKUP(A85,NYSEARCAGSG!A$2:G$506,3,0)</f>
        <v>17.23</v>
      </c>
      <c r="M85">
        <f>VLOOKUP(A85,NYSEARCAGLD!A$2:G$506,3,0)</f>
        <v>109.38</v>
      </c>
      <c r="N85">
        <f>VLOOKUP(A85,NYSEBP!A$2:G$506,3,0)</f>
        <v>31.68</v>
      </c>
      <c r="O85">
        <f>VLOOKUP(A85,NASDAQYHOO!A$2:G$506,3,0)</f>
        <v>30.8</v>
      </c>
    </row>
    <row r="86" spans="1:15">
      <c r="A86" s="39">
        <v>42268</v>
      </c>
      <c r="B86">
        <v>64</v>
      </c>
      <c r="C86">
        <f>VLOOKUP(A86,NYSEARCAVTI!A$2:G$506,3,0)</f>
        <v>103.02</v>
      </c>
      <c r="D86">
        <f>VLOOKUP(A86,NYSEARCAVEU!A$2:G$506,3,0)</f>
        <v>44.25</v>
      </c>
      <c r="E86">
        <f>VLOOKUP(A86,NYSEARCAVWO!A$2:G$506,3,0)</f>
        <v>34.590000000000003</v>
      </c>
      <c r="F86">
        <f>VLOOKUP(A86,NYSEARCABND!A$2:G$506,3,0)</f>
        <v>81.67</v>
      </c>
      <c r="G86">
        <f>VLOOKUP(A86,NYSEARCATIP!A$2:G$506,3,0)</f>
        <v>110.95</v>
      </c>
      <c r="H86">
        <f>VLOOKUP(A86,NYSEARCAMUB!A$2:G$506,3,0)</f>
        <v>108.84</v>
      </c>
      <c r="I86">
        <f>VLOOKUP(A86,NYSEARCAVNQ!A$2:G$506,3,0)</f>
        <v>77.34</v>
      </c>
      <c r="J86">
        <f>VLOOKUP(A86,NYSEARCARWX!A$2:G$506,3,0)</f>
        <v>39.159999999999997</v>
      </c>
      <c r="K86">
        <f>VLOOKUP(A86,NYSEARCADBC!A$2:G$506,3,0)</f>
        <v>15.19</v>
      </c>
      <c r="L86">
        <f>VLOOKUP(A86,NYSEARCAGSG!A$2:G$506,3,0)</f>
        <v>17.309999999999999</v>
      </c>
      <c r="M86">
        <f>VLOOKUP(A86,NYSEARCAGLD!A$2:G$506,3,0)</f>
        <v>108.66</v>
      </c>
      <c r="N86">
        <f>VLOOKUP(A86,NYSEBP!A$2:G$506,3,0)</f>
        <v>31.17</v>
      </c>
      <c r="O86">
        <f>VLOOKUP(A86,NASDAQYHOO!A$2:G$506,3,0)</f>
        <v>31.74</v>
      </c>
    </row>
    <row r="87" spans="1:15">
      <c r="A87" s="39">
        <v>42269</v>
      </c>
      <c r="B87">
        <v>63.82</v>
      </c>
      <c r="C87">
        <f>VLOOKUP(A87,NYSEARCAVTI!A$2:G$506,3,0)</f>
        <v>101.24</v>
      </c>
      <c r="D87">
        <f>VLOOKUP(A87,NYSEARCAVEU!A$2:G$506,3,0)</f>
        <v>43.19</v>
      </c>
      <c r="E87">
        <f>VLOOKUP(A87,NYSEARCAVWO!A$2:G$506,3,0)</f>
        <v>33.840000000000003</v>
      </c>
      <c r="F87">
        <f>VLOOKUP(A87,NYSEARCABND!A$2:G$506,3,0)</f>
        <v>81.78</v>
      </c>
      <c r="G87">
        <f>VLOOKUP(A87,NYSEARCATIP!A$2:G$506,3,0)</f>
        <v>110.88</v>
      </c>
      <c r="H87">
        <f>VLOOKUP(A87,NYSEARCAMUB!A$2:G$506,3,0)</f>
        <v>109.16</v>
      </c>
      <c r="I87">
        <f>VLOOKUP(A87,NYSEARCAVNQ!A$2:G$506,3,0)</f>
        <v>76.83</v>
      </c>
      <c r="J87">
        <f>VLOOKUP(A87,NYSEARCARWX!A$2:G$506,3,0)</f>
        <v>38.479999999999997</v>
      </c>
      <c r="K87">
        <f>VLOOKUP(A87,NYSEARCADBC!A$2:G$506,3,0)</f>
        <v>15.11</v>
      </c>
      <c r="L87">
        <f>VLOOKUP(A87,NYSEARCAGSG!A$2:G$506,3,0)</f>
        <v>17.23</v>
      </c>
      <c r="M87">
        <f>VLOOKUP(A87,NYSEARCAGLD!A$2:G$506,3,0)</f>
        <v>107.96</v>
      </c>
      <c r="N87">
        <f>VLOOKUP(A87,NYSEBP!A$2:G$506,3,0)</f>
        <v>30.46</v>
      </c>
      <c r="O87">
        <f>VLOOKUP(A87,NASDAQYHOO!A$2:G$506,3,0)</f>
        <v>30.92</v>
      </c>
    </row>
    <row r="88" spans="1:15">
      <c r="A88" s="39">
        <v>42270</v>
      </c>
      <c r="B88">
        <v>63.93</v>
      </c>
      <c r="C88">
        <f>VLOOKUP(A88,NYSEARCAVTI!A$2:G$506,3,0)</f>
        <v>101.28</v>
      </c>
      <c r="D88">
        <f>VLOOKUP(A88,NYSEARCAVEU!A$2:G$506,3,0)</f>
        <v>43.11</v>
      </c>
      <c r="E88">
        <f>VLOOKUP(A88,NYSEARCAVWO!A$2:G$506,3,0)</f>
        <v>33.67</v>
      </c>
      <c r="F88">
        <f>VLOOKUP(A88,NYSEARCABND!A$2:G$506,3,0)</f>
        <v>81.7</v>
      </c>
      <c r="G88">
        <f>VLOOKUP(A88,NYSEARCATIP!A$2:G$506,3,0)</f>
        <v>110.9</v>
      </c>
      <c r="H88">
        <f>VLOOKUP(A88,NYSEARCAMUB!A$2:G$506,3,0)</f>
        <v>109.16</v>
      </c>
      <c r="I88">
        <f>VLOOKUP(A88,NYSEARCAVNQ!A$2:G$506,3,0)</f>
        <v>76.08</v>
      </c>
      <c r="J88">
        <f>VLOOKUP(A88,NYSEARCARWX!A$2:G$506,3,0)</f>
        <v>38.520000000000003</v>
      </c>
      <c r="K88">
        <f>VLOOKUP(A88,NYSEARCADBC!A$2:G$506,3,0)</f>
        <v>15.29</v>
      </c>
      <c r="L88">
        <f>VLOOKUP(A88,NYSEARCAGSG!A$2:G$506,3,0)</f>
        <v>17.440000000000001</v>
      </c>
      <c r="M88">
        <f>VLOOKUP(A88,NYSEARCAGLD!A$2:G$506,3,0)</f>
        <v>108.64</v>
      </c>
      <c r="N88">
        <f>VLOOKUP(A88,NYSEBP!A$2:G$506,3,0)</f>
        <v>30.66</v>
      </c>
      <c r="O88">
        <f>VLOOKUP(A88,NASDAQYHOO!A$2:G$506,3,0)</f>
        <v>30.57</v>
      </c>
    </row>
    <row r="89" spans="1:15">
      <c r="A89" s="39">
        <v>42271</v>
      </c>
      <c r="B89">
        <v>63.98</v>
      </c>
      <c r="C89">
        <f>VLOOKUP(A89,NYSEARCAVTI!A$2:G$506,3,0)</f>
        <v>100.53</v>
      </c>
      <c r="D89">
        <f>VLOOKUP(A89,NYSEARCAVEU!A$2:G$506,3,0)</f>
        <v>42.7</v>
      </c>
      <c r="E89">
        <f>VLOOKUP(A89,NYSEARCAVWO!A$2:G$506,3,0)</f>
        <v>33.28</v>
      </c>
      <c r="F89">
        <f>VLOOKUP(A89,NYSEARCABND!A$2:G$506,3,0)</f>
        <v>81.86</v>
      </c>
      <c r="G89">
        <f>VLOOKUP(A89,NYSEARCATIP!A$2:G$506,3,0)</f>
        <v>111.1</v>
      </c>
      <c r="H89">
        <f>VLOOKUP(A89,NYSEARCAMUB!A$2:G$506,3,0)</f>
        <v>109.36</v>
      </c>
      <c r="I89">
        <f>VLOOKUP(A89,NYSEARCAVNQ!A$2:G$506,3,0)</f>
        <v>75.91</v>
      </c>
      <c r="J89">
        <f>VLOOKUP(A89,NYSEARCARWX!A$2:G$506,3,0)</f>
        <v>38.700000000000003</v>
      </c>
      <c r="K89">
        <f>VLOOKUP(A89,NYSEARCADBC!A$2:G$506,3,0)</f>
        <v>15.09</v>
      </c>
      <c r="L89">
        <f>VLOOKUP(A89,NYSEARCAGSG!A$2:G$506,3,0)</f>
        <v>17.079999999999998</v>
      </c>
      <c r="M89">
        <f>VLOOKUP(A89,NYSEARCAGLD!A$2:G$506,3,0)</f>
        <v>110.82</v>
      </c>
      <c r="N89">
        <f>VLOOKUP(A89,NYSEBP!A$2:G$506,3,0)</f>
        <v>30.32</v>
      </c>
      <c r="O89">
        <f>VLOOKUP(A89,NASDAQYHOO!A$2:G$506,3,0)</f>
        <v>29.57</v>
      </c>
    </row>
    <row r="90" spans="1:15">
      <c r="A90" s="39">
        <v>42272</v>
      </c>
      <c r="B90">
        <v>64.459999999999994</v>
      </c>
      <c r="C90">
        <f>VLOOKUP(A90,NYSEARCAVTI!A$2:G$506,3,0)</f>
        <v>100.87</v>
      </c>
      <c r="D90">
        <f>VLOOKUP(A90,NYSEARCAVEU!A$2:G$506,3,0)</f>
        <v>43.09</v>
      </c>
      <c r="E90">
        <f>VLOOKUP(A90,NYSEARCAVWO!A$2:G$506,3,0)</f>
        <v>33.18</v>
      </c>
      <c r="F90">
        <f>VLOOKUP(A90,NYSEARCABND!A$2:G$506,3,0)</f>
        <v>81.63</v>
      </c>
      <c r="G90">
        <f>VLOOKUP(A90,NYSEARCATIP!A$2:G$506,3,0)</f>
        <v>110.57</v>
      </c>
      <c r="H90">
        <f>VLOOKUP(A90,NYSEARCAMUB!A$2:G$506,3,0)</f>
        <v>109.2</v>
      </c>
      <c r="I90">
        <f>VLOOKUP(A90,NYSEARCAVNQ!A$2:G$506,3,0)</f>
        <v>75.92</v>
      </c>
      <c r="J90">
        <f>VLOOKUP(A90,NYSEARCARWX!A$2:G$506,3,0)</f>
        <v>39.479999999999997</v>
      </c>
      <c r="K90">
        <f>VLOOKUP(A90,NYSEARCADBC!A$2:G$506,3,0)</f>
        <v>15.2</v>
      </c>
      <c r="L90">
        <f>VLOOKUP(A90,NYSEARCAGSG!A$2:G$506,3,0)</f>
        <v>17.260000000000002</v>
      </c>
      <c r="M90">
        <f>VLOOKUP(A90,NYSEARCAGLD!A$2:G$506,3,0)</f>
        <v>110.03</v>
      </c>
      <c r="N90">
        <f>VLOOKUP(A90,NYSEBP!A$2:G$506,3,0)</f>
        <v>30.65</v>
      </c>
      <c r="O90">
        <f>VLOOKUP(A90,NASDAQYHOO!A$2:G$506,3,0)</f>
        <v>29.71</v>
      </c>
    </row>
    <row r="91" spans="1:15">
      <c r="A91" s="39">
        <v>42275</v>
      </c>
      <c r="B91">
        <v>63.95</v>
      </c>
      <c r="C91">
        <f>VLOOKUP(A91,NYSEARCAVTI!A$2:G$506,3,0)</f>
        <v>99.13</v>
      </c>
      <c r="D91">
        <f>VLOOKUP(A91,NYSEARCAVEU!A$2:G$506,3,0)</f>
        <v>42.38</v>
      </c>
      <c r="E91">
        <f>VLOOKUP(A91,NYSEARCAVWO!A$2:G$506,3,0)</f>
        <v>32.4</v>
      </c>
      <c r="F91">
        <f>VLOOKUP(A91,NYSEARCABND!A$2:G$506,3,0)</f>
        <v>81.760000000000005</v>
      </c>
      <c r="G91">
        <f>VLOOKUP(A91,NYSEARCATIP!A$2:G$506,3,0)</f>
        <v>110.53</v>
      </c>
      <c r="H91">
        <f>VLOOKUP(A91,NYSEARCAMUB!A$2:G$506,3,0)</f>
        <v>109.44</v>
      </c>
      <c r="I91">
        <f>VLOOKUP(A91,NYSEARCAVNQ!A$2:G$506,3,0)</f>
        <v>75.150000000000006</v>
      </c>
      <c r="J91">
        <f>VLOOKUP(A91,NYSEARCARWX!A$2:G$506,3,0)</f>
        <v>39.22</v>
      </c>
      <c r="K91">
        <f>VLOOKUP(A91,NYSEARCADBC!A$2:G$506,3,0)</f>
        <v>15.05</v>
      </c>
      <c r="L91">
        <f>VLOOKUP(A91,NYSEARCAGSG!A$2:G$506,3,0)</f>
        <v>17.059999999999999</v>
      </c>
      <c r="M91">
        <f>VLOOKUP(A91,NYSEARCAGLD!A$2:G$506,3,0)</f>
        <v>108.91</v>
      </c>
      <c r="N91">
        <f>VLOOKUP(A91,NYSEBP!A$2:G$506,3,0)</f>
        <v>29.88</v>
      </c>
      <c r="O91">
        <f>VLOOKUP(A91,NASDAQYHOO!A$2:G$506,3,0)</f>
        <v>29.22</v>
      </c>
    </row>
    <row r="92" spans="1:15">
      <c r="A92" s="39">
        <v>42276</v>
      </c>
      <c r="B92">
        <v>64.040000000000006</v>
      </c>
      <c r="C92">
        <f>VLOOKUP(A92,NYSEARCAVTI!A$2:G$506,3,0)</f>
        <v>97.84</v>
      </c>
      <c r="D92">
        <f>VLOOKUP(A92,NYSEARCAVEU!A$2:G$506,3,0)</f>
        <v>41.88</v>
      </c>
      <c r="E92">
        <f>VLOOKUP(A92,NYSEARCAVWO!A$2:G$506,3,0)</f>
        <v>32.369999999999997</v>
      </c>
      <c r="F92">
        <f>VLOOKUP(A92,NYSEARCABND!A$2:G$506,3,0)</f>
        <v>81.88</v>
      </c>
      <c r="G92">
        <f>VLOOKUP(A92,NYSEARCATIP!A$2:G$506,3,0)</f>
        <v>110.59</v>
      </c>
      <c r="H92">
        <f>VLOOKUP(A92,NYSEARCAMUB!A$2:G$506,3,0)</f>
        <v>109.6</v>
      </c>
      <c r="I92">
        <f>VLOOKUP(A92,NYSEARCAVNQ!A$2:G$506,3,0)</f>
        <v>75.23</v>
      </c>
      <c r="J92">
        <f>VLOOKUP(A92,NYSEARCARWX!A$2:G$506,3,0)</f>
        <v>38.799999999999997</v>
      </c>
      <c r="K92">
        <f>VLOOKUP(A92,NYSEARCADBC!A$2:G$506,3,0)</f>
        <v>15.09</v>
      </c>
      <c r="L92">
        <f>VLOOKUP(A92,NYSEARCAGSG!A$2:G$506,3,0)</f>
        <v>17.100000000000001</v>
      </c>
      <c r="M92">
        <f>VLOOKUP(A92,NYSEARCAGLD!A$2:G$506,3,0)</f>
        <v>108.69</v>
      </c>
      <c r="N92">
        <f>VLOOKUP(A92,NYSEBP!A$2:G$506,3,0)</f>
        <v>29.95</v>
      </c>
      <c r="O92">
        <f>VLOOKUP(A92,NASDAQYHOO!A$2:G$506,3,0)</f>
        <v>29.23</v>
      </c>
    </row>
    <row r="93" spans="1:15">
      <c r="A93" s="39">
        <v>42277</v>
      </c>
      <c r="B93">
        <v>64.94</v>
      </c>
      <c r="C93">
        <f>VLOOKUP(A93,NYSEARCAVTI!A$2:G$506,3,0)</f>
        <v>98.79</v>
      </c>
      <c r="D93">
        <f>VLOOKUP(A93,NYSEARCAVEU!A$2:G$506,3,0)</f>
        <v>42.68</v>
      </c>
      <c r="E93">
        <f>VLOOKUP(A93,NYSEARCAVWO!A$2:G$506,3,0)</f>
        <v>33.159999999999997</v>
      </c>
      <c r="F93">
        <f>VLOOKUP(A93,NYSEARCABND!A$2:G$506,3,0)</f>
        <v>81.94</v>
      </c>
      <c r="G93">
        <f>VLOOKUP(A93,NYSEARCATIP!A$2:G$506,3,0)</f>
        <v>110.7</v>
      </c>
      <c r="H93">
        <f>VLOOKUP(A93,NYSEARCAMUB!A$2:G$506,3,0)</f>
        <v>109.58</v>
      </c>
      <c r="I93">
        <f>VLOOKUP(A93,NYSEARCAVNQ!A$2:G$506,3,0)</f>
        <v>75.69</v>
      </c>
      <c r="J93">
        <f>VLOOKUP(A93,NYSEARCARWX!A$2:G$506,3,0)</f>
        <v>39.4</v>
      </c>
      <c r="K93">
        <f>VLOOKUP(A93,NYSEARCADBC!A$2:G$506,3,0)</f>
        <v>15.19</v>
      </c>
      <c r="L93">
        <f>VLOOKUP(A93,NYSEARCAGSG!A$2:G$506,3,0)</f>
        <v>17.22</v>
      </c>
      <c r="M93">
        <f>VLOOKUP(A93,NYSEARCAGLD!A$2:G$506,3,0)</f>
        <v>107.08</v>
      </c>
      <c r="N93">
        <f>VLOOKUP(A93,NYSEBP!A$2:G$506,3,0)</f>
        <v>30.57</v>
      </c>
      <c r="O93">
        <f>VLOOKUP(A93,NASDAQYHOO!A$2:G$506,3,0)</f>
        <v>29.11</v>
      </c>
    </row>
    <row r="94" spans="1:15">
      <c r="A94" s="39">
        <v>42278</v>
      </c>
      <c r="B94">
        <v>64.94</v>
      </c>
      <c r="C94">
        <f>VLOOKUP(A94,NYSEARCAVTI!A$2:G$506,3,0)</f>
        <v>99.12</v>
      </c>
      <c r="D94">
        <f>VLOOKUP(A94,NYSEARCAVEU!A$2:G$506,3,0)</f>
        <v>42.97</v>
      </c>
      <c r="E94">
        <f>VLOOKUP(A94,NYSEARCAVWO!A$2:G$506,3,0)</f>
        <v>33.39</v>
      </c>
      <c r="F94">
        <f>VLOOKUP(A94,NYSEARCABND!A$2:G$506,3,0)</f>
        <v>81.96</v>
      </c>
      <c r="G94">
        <f>VLOOKUP(A94,NYSEARCATIP!A$2:G$506,3,0)</f>
        <v>111.29</v>
      </c>
      <c r="H94">
        <f>VLOOKUP(A94,NYSEARCAMUB!A$2:G$506,3,0)</f>
        <v>109.63</v>
      </c>
      <c r="I94">
        <f>VLOOKUP(A94,NYSEARCAVNQ!A$2:G$506,3,0)</f>
        <v>76.03</v>
      </c>
      <c r="J94">
        <f>VLOOKUP(A94,NYSEARCARWX!A$2:G$506,3,0)</f>
        <v>39.78</v>
      </c>
      <c r="K94">
        <f>VLOOKUP(A94,NYSEARCADBC!A$2:G$506,3,0)</f>
        <v>15.37</v>
      </c>
      <c r="L94">
        <f>VLOOKUP(A94,NYSEARCAGSG!A$2:G$506,3,0)</f>
        <v>17.39</v>
      </c>
      <c r="M94">
        <f>VLOOKUP(A94,NYSEARCAGLD!A$2:G$506,3,0)</f>
        <v>107.21</v>
      </c>
      <c r="N94">
        <f>VLOOKUP(A94,NYSEBP!A$2:G$506,3,0)</f>
        <v>31.88</v>
      </c>
      <c r="O94">
        <f>VLOOKUP(A94,NASDAQYHOO!A$2:G$506,3,0)</f>
        <v>29</v>
      </c>
    </row>
    <row r="95" spans="1:15">
      <c r="A95" s="39">
        <v>42279</v>
      </c>
      <c r="B95">
        <v>64.98</v>
      </c>
      <c r="C95">
        <f>VLOOKUP(A95,NYSEARCAVTI!A$2:G$506,3,0)</f>
        <v>100.37</v>
      </c>
      <c r="D95">
        <f>VLOOKUP(A95,NYSEARCAVEU!A$2:G$506,3,0)</f>
        <v>43.53</v>
      </c>
      <c r="E95">
        <f>VLOOKUP(A95,NYSEARCAVWO!A$2:G$506,3,0)</f>
        <v>34.08</v>
      </c>
      <c r="F95">
        <f>VLOOKUP(A95,NYSEARCABND!A$2:G$506,3,0)</f>
        <v>82.34</v>
      </c>
      <c r="G95">
        <f>VLOOKUP(A95,NYSEARCATIP!A$2:G$506,3,0)</f>
        <v>111.96</v>
      </c>
      <c r="H95">
        <f>VLOOKUP(A95,NYSEARCAMUB!A$2:G$506,3,0)</f>
        <v>109.8</v>
      </c>
      <c r="I95">
        <f>VLOOKUP(A95,NYSEARCAVNQ!A$2:G$506,3,0)</f>
        <v>76.48</v>
      </c>
      <c r="J95">
        <f>VLOOKUP(A95,NYSEARCARWX!A$2:G$506,3,0)</f>
        <v>39.9</v>
      </c>
      <c r="K95">
        <f>VLOOKUP(A95,NYSEARCADBC!A$2:G$506,3,0)</f>
        <v>15.17</v>
      </c>
      <c r="L95">
        <f>VLOOKUP(A95,NYSEARCAGSG!A$2:G$506,3,0)</f>
        <v>17.09</v>
      </c>
      <c r="M95">
        <f>VLOOKUP(A95,NYSEARCAGLD!A$2:G$506,3,0)</f>
        <v>109.32</v>
      </c>
      <c r="N95">
        <f>VLOOKUP(A95,NYSEBP!A$2:G$506,3,0)</f>
        <v>32.53</v>
      </c>
      <c r="O95">
        <f>VLOOKUP(A95,NASDAQYHOO!A$2:G$506,3,0)</f>
        <v>30.71</v>
      </c>
    </row>
    <row r="96" spans="1:15">
      <c r="A96" s="39">
        <v>42282</v>
      </c>
      <c r="B96">
        <v>65.92</v>
      </c>
      <c r="C96">
        <f>VLOOKUP(A96,NYSEARCAVTI!A$2:G$506,3,0)</f>
        <v>102.36</v>
      </c>
      <c r="D96">
        <f>VLOOKUP(A96,NYSEARCAVEU!A$2:G$506,3,0)</f>
        <v>44.46</v>
      </c>
      <c r="E96">
        <f>VLOOKUP(A96,NYSEARCAVWO!A$2:G$506,3,0)</f>
        <v>34.799999999999997</v>
      </c>
      <c r="F96">
        <f>VLOOKUP(A96,NYSEARCABND!A$2:G$506,3,0)</f>
        <v>82.02</v>
      </c>
      <c r="G96">
        <f>VLOOKUP(A96,NYSEARCATIP!A$2:G$506,3,0)</f>
        <v>111.73</v>
      </c>
      <c r="H96">
        <f>VLOOKUP(A96,NYSEARCAMUB!A$2:G$506,3,0)</f>
        <v>109.61</v>
      </c>
      <c r="I96">
        <f>VLOOKUP(A96,NYSEARCAVNQ!A$2:G$506,3,0)</f>
        <v>77.88</v>
      </c>
      <c r="J96">
        <f>VLOOKUP(A96,NYSEARCARWX!A$2:G$506,3,0)</f>
        <v>40.78</v>
      </c>
      <c r="K96">
        <f>VLOOKUP(A96,NYSEARCADBC!A$2:G$506,3,0)</f>
        <v>15.36</v>
      </c>
      <c r="L96">
        <f>VLOOKUP(A96,NYSEARCAGSG!A$2:G$506,3,0)</f>
        <v>17.34</v>
      </c>
      <c r="M96">
        <f>VLOOKUP(A96,NYSEARCAGLD!A$2:G$506,3,0)</f>
        <v>109.38</v>
      </c>
      <c r="N96">
        <f>VLOOKUP(A96,NYSEBP!A$2:G$506,3,0)</f>
        <v>33.6</v>
      </c>
      <c r="O96">
        <f>VLOOKUP(A96,NASDAQYHOO!A$2:G$506,3,0)</f>
        <v>31.2</v>
      </c>
    </row>
    <row r="97" spans="1:15">
      <c r="A97" s="39">
        <v>42283</v>
      </c>
      <c r="B97">
        <v>65.95</v>
      </c>
      <c r="C97">
        <f>VLOOKUP(A97,NYSEARCAVTI!A$2:G$506,3,0)</f>
        <v>102.46</v>
      </c>
      <c r="D97">
        <f>VLOOKUP(A97,NYSEARCAVEU!A$2:G$506,3,0)</f>
        <v>44.58</v>
      </c>
      <c r="E97">
        <f>VLOOKUP(A97,NYSEARCAVWO!A$2:G$506,3,0)</f>
        <v>34.79</v>
      </c>
      <c r="F97">
        <f>VLOOKUP(A97,NYSEARCABND!A$2:G$506,3,0)</f>
        <v>81.99</v>
      </c>
      <c r="G97">
        <f>VLOOKUP(A97,NYSEARCATIP!A$2:G$506,3,0)</f>
        <v>111.8</v>
      </c>
      <c r="H97">
        <f>VLOOKUP(A97,NYSEARCAMUB!A$2:G$506,3,0)</f>
        <v>109.63</v>
      </c>
      <c r="I97">
        <f>VLOOKUP(A97,NYSEARCAVNQ!A$2:G$506,3,0)</f>
        <v>78.209999999999994</v>
      </c>
      <c r="J97">
        <f>VLOOKUP(A97,NYSEARCARWX!A$2:G$506,3,0)</f>
        <v>40.71</v>
      </c>
      <c r="K97">
        <f>VLOOKUP(A97,NYSEARCADBC!A$2:G$506,3,0)</f>
        <v>15.68</v>
      </c>
      <c r="L97">
        <f>VLOOKUP(A97,NYSEARCAGSG!A$2:G$506,3,0)</f>
        <v>17.79</v>
      </c>
      <c r="M97">
        <f>VLOOKUP(A97,NYSEARCAGLD!A$2:G$506,3,0)</f>
        <v>110.26</v>
      </c>
      <c r="N97">
        <f>VLOOKUP(A97,NYSEBP!A$2:G$506,3,0)</f>
        <v>34.619999999999997</v>
      </c>
      <c r="O97">
        <f>VLOOKUP(A97,NASDAQYHOO!A$2:G$506,3,0)</f>
        <v>31.18</v>
      </c>
    </row>
    <row r="98" spans="1:15">
      <c r="A98" s="39">
        <v>42284</v>
      </c>
      <c r="B98">
        <v>66.36</v>
      </c>
      <c r="C98">
        <f>VLOOKUP(A98,NYSEARCAVTI!A$2:G$506,3,0)</f>
        <v>102.88</v>
      </c>
      <c r="D98">
        <f>VLOOKUP(A98,NYSEARCAVEU!A$2:G$506,3,0)</f>
        <v>45.3</v>
      </c>
      <c r="E98">
        <f>VLOOKUP(A98,NYSEARCAVWO!A$2:G$506,3,0)</f>
        <v>35.82</v>
      </c>
      <c r="F98">
        <f>VLOOKUP(A98,NYSEARCABND!A$2:G$506,3,0)</f>
        <v>81.97</v>
      </c>
      <c r="G98">
        <f>VLOOKUP(A98,NYSEARCATIP!A$2:G$506,3,0)</f>
        <v>111.73</v>
      </c>
      <c r="H98">
        <f>VLOOKUP(A98,NYSEARCAMUB!A$2:G$506,3,0)</f>
        <v>109.51</v>
      </c>
      <c r="I98">
        <f>VLOOKUP(A98,NYSEARCAVNQ!A$2:G$506,3,0)</f>
        <v>78.459999999999994</v>
      </c>
      <c r="J98">
        <f>VLOOKUP(A98,NYSEARCARWX!A$2:G$506,3,0)</f>
        <v>40.78</v>
      </c>
      <c r="K98">
        <f>VLOOKUP(A98,NYSEARCADBC!A$2:G$506,3,0)</f>
        <v>15.82</v>
      </c>
      <c r="L98">
        <f>VLOOKUP(A98,NYSEARCAGSG!A$2:G$506,3,0)</f>
        <v>18.010000000000002</v>
      </c>
      <c r="M98">
        <f>VLOOKUP(A98,NYSEARCAGLD!A$2:G$506,3,0)</f>
        <v>110.14</v>
      </c>
      <c r="N98">
        <f>VLOOKUP(A98,NYSEBP!A$2:G$506,3,0)</f>
        <v>36.1</v>
      </c>
      <c r="O98">
        <f>VLOOKUP(A98,NASDAQYHOO!A$2:G$506,3,0)</f>
        <v>31.99</v>
      </c>
    </row>
    <row r="99" spans="1:15">
      <c r="A99" s="39">
        <v>42285</v>
      </c>
      <c r="B99">
        <v>66.989999999999995</v>
      </c>
      <c r="C99">
        <f>VLOOKUP(A99,NYSEARCAVTI!A$2:G$506,3,0)</f>
        <v>103.88</v>
      </c>
      <c r="D99">
        <f>VLOOKUP(A99,NYSEARCAVEU!A$2:G$506,3,0)</f>
        <v>45.57</v>
      </c>
      <c r="E99">
        <f>VLOOKUP(A99,NYSEARCAVWO!A$2:G$506,3,0)</f>
        <v>36.01</v>
      </c>
      <c r="F99">
        <f>VLOOKUP(A99,NYSEARCABND!A$2:G$506,3,0)</f>
        <v>81.96</v>
      </c>
      <c r="G99">
        <f>VLOOKUP(A99,NYSEARCATIP!A$2:G$506,3,0)</f>
        <v>111.89</v>
      </c>
      <c r="H99">
        <f>VLOOKUP(A99,NYSEARCAMUB!A$2:G$506,3,0)</f>
        <v>109.5</v>
      </c>
      <c r="I99">
        <f>VLOOKUP(A99,NYSEARCAVNQ!A$2:G$506,3,0)</f>
        <v>79.2</v>
      </c>
      <c r="J99">
        <f>VLOOKUP(A99,NYSEARCARWX!A$2:G$506,3,0)</f>
        <v>41.02</v>
      </c>
      <c r="K99">
        <f>VLOOKUP(A99,NYSEARCADBC!A$2:G$506,3,0)</f>
        <v>15.73</v>
      </c>
      <c r="L99">
        <f>VLOOKUP(A99,NYSEARCAGSG!A$2:G$506,3,0)</f>
        <v>17.989999999999998</v>
      </c>
      <c r="M99">
        <f>VLOOKUP(A99,NYSEARCAGLD!A$2:G$506,3,0)</f>
        <v>110.27</v>
      </c>
      <c r="N99">
        <f>VLOOKUP(A99,NYSEBP!A$2:G$506,3,0)</f>
        <v>36.06</v>
      </c>
      <c r="O99">
        <f>VLOOKUP(A99,NASDAQYHOO!A$2:G$506,3,0)</f>
        <v>32.5</v>
      </c>
    </row>
    <row r="100" spans="1:15">
      <c r="A100" s="39">
        <v>42286</v>
      </c>
      <c r="B100">
        <v>67.02</v>
      </c>
      <c r="C100">
        <f>VLOOKUP(A100,NYSEARCAVTI!A$2:G$506,3,0)</f>
        <v>104.06</v>
      </c>
      <c r="D100">
        <f>VLOOKUP(A100,NYSEARCAVEU!A$2:G$506,3,0)</f>
        <v>45.79</v>
      </c>
      <c r="E100">
        <f>VLOOKUP(A100,NYSEARCAVWO!A$2:G$506,3,0)</f>
        <v>36.33</v>
      </c>
      <c r="F100">
        <f>VLOOKUP(A100,NYSEARCABND!A$2:G$506,3,0)</f>
        <v>81.84</v>
      </c>
      <c r="G100">
        <f>VLOOKUP(A100,NYSEARCATIP!A$2:G$506,3,0)</f>
        <v>111.61</v>
      </c>
      <c r="H100">
        <f>VLOOKUP(A100,NYSEARCAMUB!A$2:G$506,3,0)</f>
        <v>109.39</v>
      </c>
      <c r="I100">
        <f>VLOOKUP(A100,NYSEARCAVNQ!A$2:G$506,3,0)</f>
        <v>79.180000000000007</v>
      </c>
      <c r="J100">
        <f>VLOOKUP(A100,NYSEARCARWX!A$2:G$506,3,0)</f>
        <v>41.07</v>
      </c>
      <c r="K100">
        <f>VLOOKUP(A100,NYSEARCADBC!A$2:G$506,3,0)</f>
        <v>15.86</v>
      </c>
      <c r="L100">
        <f>VLOOKUP(A100,NYSEARCAGSG!A$2:G$506,3,0)</f>
        <v>18.02</v>
      </c>
      <c r="M100">
        <f>VLOOKUP(A100,NYSEARCAGLD!A$2:G$506,3,0)</f>
        <v>111.05</v>
      </c>
      <c r="N100">
        <f>VLOOKUP(A100,NYSEBP!A$2:G$506,3,0)</f>
        <v>36.31</v>
      </c>
      <c r="O100">
        <f>VLOOKUP(A100,NASDAQYHOO!A$2:G$506,3,0)</f>
        <v>32.69</v>
      </c>
    </row>
    <row r="101" spans="1:15">
      <c r="A101" s="39">
        <v>42289</v>
      </c>
      <c r="B101">
        <v>67</v>
      </c>
      <c r="C101">
        <f>VLOOKUP(A101,NYSEARCAVTI!A$2:G$506,3,0)</f>
        <v>103.95</v>
      </c>
      <c r="D101">
        <f>VLOOKUP(A101,NYSEARCAVEU!A$2:G$506,3,0)</f>
        <v>45.57</v>
      </c>
      <c r="E101">
        <f>VLOOKUP(A101,NYSEARCAVWO!A$2:G$506,3,0)</f>
        <v>36.17</v>
      </c>
      <c r="F101">
        <f>VLOOKUP(A101,NYSEARCABND!A$2:G$506,3,0)</f>
        <v>81.97</v>
      </c>
      <c r="G101">
        <f>VLOOKUP(A101,NYSEARCATIP!A$2:G$506,3,0)</f>
        <v>111.58</v>
      </c>
      <c r="H101">
        <f>VLOOKUP(A101,NYSEARCAMUB!A$2:G$506,3,0)</f>
        <v>109.55</v>
      </c>
      <c r="I101">
        <f>VLOOKUP(A101,NYSEARCAVNQ!A$2:G$506,3,0)</f>
        <v>79.849999999999994</v>
      </c>
      <c r="J101">
        <f>VLOOKUP(A101,NYSEARCARWX!A$2:G$506,3,0)</f>
        <v>40.909999999999997</v>
      </c>
      <c r="K101">
        <f>VLOOKUP(A101,NYSEARCADBC!A$2:G$506,3,0)</f>
        <v>15.8</v>
      </c>
      <c r="L101">
        <f>VLOOKUP(A101,NYSEARCAGSG!A$2:G$506,3,0)</f>
        <v>17.91</v>
      </c>
      <c r="M101">
        <f>VLOOKUP(A101,NYSEARCAGLD!A$2:G$506,3,0)</f>
        <v>111.73</v>
      </c>
      <c r="N101">
        <f>VLOOKUP(A101,NYSEBP!A$2:G$506,3,0)</f>
        <v>35.76</v>
      </c>
      <c r="O101">
        <f>VLOOKUP(A101,NASDAQYHOO!A$2:G$506,3,0)</f>
        <v>33.020000000000003</v>
      </c>
    </row>
    <row r="102" spans="1:15">
      <c r="A102" s="39">
        <v>42290</v>
      </c>
      <c r="B102">
        <v>66.94</v>
      </c>
      <c r="C102">
        <f>VLOOKUP(A102,NYSEARCAVTI!A$2:G$506,3,0)</f>
        <v>104.17</v>
      </c>
      <c r="D102">
        <f>VLOOKUP(A102,NYSEARCAVEU!A$2:G$506,3,0)</f>
        <v>45.27</v>
      </c>
      <c r="E102">
        <f>VLOOKUP(A102,NYSEARCAVWO!A$2:G$506,3,0)</f>
        <v>35.67</v>
      </c>
      <c r="F102">
        <f>VLOOKUP(A102,NYSEARCABND!A$2:G$506,3,0)</f>
        <v>82</v>
      </c>
      <c r="G102">
        <f>VLOOKUP(A102,NYSEARCATIP!A$2:G$506,3,0)</f>
        <v>111.54</v>
      </c>
      <c r="H102">
        <f>VLOOKUP(A102,NYSEARCAMUB!A$2:G$506,3,0)</f>
        <v>109.55</v>
      </c>
      <c r="I102">
        <f>VLOOKUP(A102,NYSEARCAVNQ!A$2:G$506,3,0)</f>
        <v>79.599999999999994</v>
      </c>
      <c r="J102">
        <f>VLOOKUP(A102,NYSEARCARWX!A$2:G$506,3,0)</f>
        <v>40.630000000000003</v>
      </c>
      <c r="K102">
        <f>VLOOKUP(A102,NYSEARCADBC!A$2:G$506,3,0)</f>
        <v>15.55</v>
      </c>
      <c r="L102">
        <f>VLOOKUP(A102,NYSEARCAGSG!A$2:G$506,3,0)</f>
        <v>17.579999999999998</v>
      </c>
      <c r="M102">
        <f>VLOOKUP(A102,NYSEARCAGLD!A$2:G$506,3,0)</f>
        <v>111.87</v>
      </c>
      <c r="N102">
        <f>VLOOKUP(A102,NYSEBP!A$2:G$506,3,0)</f>
        <v>35.159999999999997</v>
      </c>
      <c r="O102">
        <f>VLOOKUP(A102,NASDAQYHOO!A$2:G$506,3,0)</f>
        <v>32.82</v>
      </c>
    </row>
    <row r="103" spans="1:15">
      <c r="A103" s="39">
        <v>42291</v>
      </c>
      <c r="B103">
        <v>67.95</v>
      </c>
      <c r="C103">
        <f>VLOOKUP(A103,NYSEARCAVTI!A$2:G$506,3,0)</f>
        <v>103.44</v>
      </c>
      <c r="D103">
        <f>VLOOKUP(A103,NYSEARCAVEU!A$2:G$506,3,0)</f>
        <v>45.2</v>
      </c>
      <c r="E103">
        <f>VLOOKUP(A103,NYSEARCAVWO!A$2:G$506,3,0)</f>
        <v>35.65</v>
      </c>
      <c r="F103">
        <f>VLOOKUP(A103,NYSEARCABND!A$2:G$506,3,0)</f>
        <v>82.26</v>
      </c>
      <c r="G103">
        <f>VLOOKUP(A103,NYSEARCATIP!A$2:G$506,3,0)</f>
        <v>111.81</v>
      </c>
      <c r="H103">
        <f>VLOOKUP(A103,NYSEARCAMUB!A$2:G$506,3,0)</f>
        <v>109.62</v>
      </c>
      <c r="I103">
        <f>VLOOKUP(A103,NYSEARCAVNQ!A$2:G$506,3,0)</f>
        <v>79.180000000000007</v>
      </c>
      <c r="J103">
        <f>VLOOKUP(A103,NYSEARCARWX!A$2:G$506,3,0)</f>
        <v>40.83</v>
      </c>
      <c r="K103">
        <f>VLOOKUP(A103,NYSEARCADBC!A$2:G$506,3,0)</f>
        <v>15.48</v>
      </c>
      <c r="L103">
        <f>VLOOKUP(A103,NYSEARCAGSG!A$2:G$506,3,0)</f>
        <v>17.34</v>
      </c>
      <c r="M103">
        <f>VLOOKUP(A103,NYSEARCAGLD!A$2:G$506,3,0)</f>
        <v>113.95</v>
      </c>
      <c r="N103">
        <f>VLOOKUP(A103,NYSEBP!A$2:G$506,3,0)</f>
        <v>35.43</v>
      </c>
      <c r="O103">
        <f>VLOOKUP(A103,NASDAQYHOO!A$2:G$506,3,0)</f>
        <v>32.49</v>
      </c>
    </row>
    <row r="104" spans="1:15">
      <c r="A104" s="39">
        <v>42292</v>
      </c>
      <c r="B104">
        <v>60.47</v>
      </c>
      <c r="C104">
        <f>VLOOKUP(A104,NYSEARCAVTI!A$2:G$506,3,0)</f>
        <v>104.12</v>
      </c>
      <c r="D104">
        <f>VLOOKUP(A104,NYSEARCAVEU!A$2:G$506,3,0)</f>
        <v>45.9</v>
      </c>
      <c r="E104">
        <f>VLOOKUP(A104,NYSEARCAVWO!A$2:G$506,3,0)</f>
        <v>36.31</v>
      </c>
      <c r="F104">
        <f>VLOOKUP(A104,NYSEARCABND!A$2:G$506,3,0)</f>
        <v>82.22</v>
      </c>
      <c r="G104">
        <f>VLOOKUP(A104,NYSEARCATIP!A$2:G$506,3,0)</f>
        <v>111.85</v>
      </c>
      <c r="H104">
        <f>VLOOKUP(A104,NYSEARCAMUB!A$2:G$506,3,0)</f>
        <v>109.63</v>
      </c>
      <c r="I104">
        <f>VLOOKUP(A104,NYSEARCAVNQ!A$2:G$506,3,0)</f>
        <v>79.41</v>
      </c>
      <c r="J104">
        <f>VLOOKUP(A104,NYSEARCARWX!A$2:G$506,3,0)</f>
        <v>41.29</v>
      </c>
      <c r="K104">
        <f>VLOOKUP(A104,NYSEARCADBC!A$2:G$506,3,0)</f>
        <v>15.44</v>
      </c>
      <c r="L104">
        <f>VLOOKUP(A104,NYSEARCAGSG!A$2:G$506,3,0)</f>
        <v>17.350000000000001</v>
      </c>
      <c r="M104">
        <f>VLOOKUP(A104,NYSEARCAGLD!A$2:G$506,3,0)</f>
        <v>113.99</v>
      </c>
      <c r="N104">
        <f>VLOOKUP(A104,NYSEBP!A$2:G$506,3,0)</f>
        <v>35.68</v>
      </c>
      <c r="O104">
        <f>VLOOKUP(A104,NASDAQYHOO!A$2:G$506,3,0)</f>
        <v>33.49</v>
      </c>
    </row>
    <row r="105" spans="1:15">
      <c r="A105" s="39">
        <v>42293</v>
      </c>
      <c r="B105">
        <v>59.49</v>
      </c>
      <c r="C105">
        <f>VLOOKUP(A105,NYSEARCAVTI!A$2:G$506,3,0)</f>
        <v>104.54</v>
      </c>
      <c r="D105">
        <f>VLOOKUP(A105,NYSEARCAVEU!A$2:G$506,3,0)</f>
        <v>45.9</v>
      </c>
      <c r="E105">
        <f>VLOOKUP(A105,NYSEARCAVWO!A$2:G$506,3,0)</f>
        <v>36.4</v>
      </c>
      <c r="F105">
        <f>VLOOKUP(A105,NYSEARCABND!A$2:G$506,3,0)</f>
        <v>82.15</v>
      </c>
      <c r="G105">
        <f>VLOOKUP(A105,NYSEARCATIP!A$2:G$506,3,0)</f>
        <v>111.5</v>
      </c>
      <c r="H105">
        <f>VLOOKUP(A105,NYSEARCAMUB!A$2:G$506,3,0)</f>
        <v>109.61</v>
      </c>
      <c r="I105">
        <f>VLOOKUP(A105,NYSEARCAVNQ!A$2:G$506,3,0)</f>
        <v>80.150000000000006</v>
      </c>
      <c r="J105">
        <f>VLOOKUP(A105,NYSEARCARWX!A$2:G$506,3,0)</f>
        <v>41.44</v>
      </c>
      <c r="K105">
        <f>VLOOKUP(A105,NYSEARCADBC!A$2:G$506,3,0)</f>
        <v>15.47</v>
      </c>
      <c r="L105">
        <f>VLOOKUP(A105,NYSEARCAGSG!A$2:G$506,3,0)</f>
        <v>17.38</v>
      </c>
      <c r="M105">
        <f>VLOOKUP(A105,NYSEARCAGLD!A$2:G$506,3,0)</f>
        <v>113.44</v>
      </c>
      <c r="N105">
        <f>VLOOKUP(A105,NYSEBP!A$2:G$506,3,0)</f>
        <v>35.909999999999997</v>
      </c>
      <c r="O105">
        <f>VLOOKUP(A105,NASDAQYHOO!A$2:G$506,3,0)</f>
        <v>33.86</v>
      </c>
    </row>
    <row r="106" spans="1:15">
      <c r="A106" s="39">
        <v>42296</v>
      </c>
      <c r="B106">
        <v>59.3</v>
      </c>
      <c r="C106">
        <f>VLOOKUP(A106,NYSEARCAVTI!A$2:G$506,3,0)</f>
        <v>104.67</v>
      </c>
      <c r="D106">
        <f>VLOOKUP(A106,NYSEARCAVEU!A$2:G$506,3,0)</f>
        <v>45.62</v>
      </c>
      <c r="E106">
        <f>VLOOKUP(A106,NYSEARCAVWO!A$2:G$506,3,0)</f>
        <v>36.04</v>
      </c>
      <c r="F106">
        <f>VLOOKUP(A106,NYSEARCABND!A$2:G$506,3,0)</f>
        <v>82.12</v>
      </c>
      <c r="G106">
        <f>VLOOKUP(A106,NYSEARCATIP!A$2:G$506,3,0)</f>
        <v>111.19</v>
      </c>
      <c r="H106">
        <f>VLOOKUP(A106,NYSEARCAMUB!A$2:G$506,3,0)</f>
        <v>109.65</v>
      </c>
      <c r="I106">
        <f>VLOOKUP(A106,NYSEARCAVNQ!A$2:G$506,3,0)</f>
        <v>81.13</v>
      </c>
      <c r="J106">
        <f>VLOOKUP(A106,NYSEARCARWX!A$2:G$506,3,0)</f>
        <v>41.44</v>
      </c>
      <c r="K106">
        <f>VLOOKUP(A106,NYSEARCADBC!A$2:G$506,3,0)</f>
        <v>15.25</v>
      </c>
      <c r="L106">
        <f>VLOOKUP(A106,NYSEARCAGSG!A$2:G$506,3,0)</f>
        <v>17.16</v>
      </c>
      <c r="M106">
        <f>VLOOKUP(A106,NYSEARCAGLD!A$2:G$506,3,0)</f>
        <v>112.69</v>
      </c>
      <c r="N106">
        <f>VLOOKUP(A106,NYSEBP!A$2:G$506,3,0)</f>
        <v>35.39</v>
      </c>
      <c r="O106">
        <f>VLOOKUP(A106,NASDAQYHOO!A$2:G$506,3,0)</f>
        <v>33.630000000000003</v>
      </c>
    </row>
    <row r="107" spans="1:15">
      <c r="A107" s="39">
        <v>42297</v>
      </c>
      <c r="B107">
        <v>59</v>
      </c>
      <c r="C107">
        <f>VLOOKUP(A107,NYSEARCAVTI!A$2:G$506,3,0)</f>
        <v>104.91</v>
      </c>
      <c r="D107">
        <f>VLOOKUP(A107,NYSEARCAVEU!A$2:G$506,3,0)</f>
        <v>45.63</v>
      </c>
      <c r="E107">
        <f>VLOOKUP(A107,NYSEARCAVWO!A$2:G$506,3,0)</f>
        <v>36.03</v>
      </c>
      <c r="F107">
        <f>VLOOKUP(A107,NYSEARCABND!A$2:G$506,3,0)</f>
        <v>81.98</v>
      </c>
      <c r="G107">
        <f>VLOOKUP(A107,NYSEARCATIP!A$2:G$506,3,0)</f>
        <v>110.98</v>
      </c>
      <c r="H107">
        <f>VLOOKUP(A107,NYSEARCAMUB!A$2:G$506,3,0)</f>
        <v>109.57</v>
      </c>
      <c r="I107">
        <f>VLOOKUP(A107,NYSEARCAVNQ!A$2:G$506,3,0)</f>
        <v>81.319999999999993</v>
      </c>
      <c r="J107">
        <f>VLOOKUP(A107,NYSEARCARWX!A$2:G$506,3,0)</f>
        <v>41.49</v>
      </c>
      <c r="K107">
        <f>VLOOKUP(A107,NYSEARCADBC!A$2:G$506,3,0)</f>
        <v>15.21</v>
      </c>
      <c r="L107">
        <f>VLOOKUP(A107,NYSEARCAGSG!A$2:G$506,3,0)</f>
        <v>17.11</v>
      </c>
      <c r="M107">
        <f>VLOOKUP(A107,NYSEARCAGLD!A$2:G$506,3,0)</f>
        <v>113.09</v>
      </c>
      <c r="N107">
        <f>VLOOKUP(A107,NYSEBP!A$2:G$506,3,0)</f>
        <v>35.08</v>
      </c>
      <c r="O107">
        <f>VLOOKUP(A107,NASDAQYHOO!A$2:G$506,3,0)</f>
        <v>33.590000000000003</v>
      </c>
    </row>
    <row r="108" spans="1:15">
      <c r="A108" s="39">
        <v>42298</v>
      </c>
      <c r="B108">
        <v>59.04</v>
      </c>
      <c r="C108">
        <f>VLOOKUP(A108,NYSEARCAVTI!A$2:G$506,3,0)</f>
        <v>104.86</v>
      </c>
      <c r="D108">
        <f>VLOOKUP(A108,NYSEARCAVEU!A$2:G$506,3,0)</f>
        <v>45.71</v>
      </c>
      <c r="E108">
        <f>VLOOKUP(A108,NYSEARCAVWO!A$2:G$506,3,0)</f>
        <v>35.79</v>
      </c>
      <c r="F108">
        <f>VLOOKUP(A108,NYSEARCABND!A$2:G$506,3,0)</f>
        <v>82.18</v>
      </c>
      <c r="G108">
        <f>VLOOKUP(A108,NYSEARCATIP!A$2:G$506,3,0)</f>
        <v>111.27</v>
      </c>
      <c r="H108">
        <f>VLOOKUP(A108,NYSEARCAMUB!A$2:G$506,3,0)</f>
        <v>109.75</v>
      </c>
      <c r="I108">
        <f>VLOOKUP(A108,NYSEARCAVNQ!A$2:G$506,3,0)</f>
        <v>81.489999999999995</v>
      </c>
      <c r="J108">
        <f>VLOOKUP(A108,NYSEARCARWX!A$2:G$506,3,0)</f>
        <v>41.56</v>
      </c>
      <c r="K108">
        <f>VLOOKUP(A108,NYSEARCADBC!A$2:G$506,3,0)</f>
        <v>15.11</v>
      </c>
      <c r="L108">
        <f>VLOOKUP(A108,NYSEARCAGSG!A$2:G$506,3,0)</f>
        <v>16.97</v>
      </c>
      <c r="M108">
        <f>VLOOKUP(A108,NYSEARCAGLD!A$2:G$506,3,0)</f>
        <v>112.37</v>
      </c>
      <c r="N108">
        <f>VLOOKUP(A108,NYSEBP!A$2:G$506,3,0)</f>
        <v>35.47</v>
      </c>
      <c r="O108">
        <f>VLOOKUP(A108,NASDAQYHOO!A$2:G$506,3,0)</f>
        <v>32.43</v>
      </c>
    </row>
    <row r="109" spans="1:15">
      <c r="A109" s="39">
        <v>42299</v>
      </c>
      <c r="B109">
        <v>59.96</v>
      </c>
      <c r="C109">
        <f>VLOOKUP(A109,NYSEARCAVTI!A$2:G$506,3,0)</f>
        <v>105.43</v>
      </c>
      <c r="D109">
        <f>VLOOKUP(A109,NYSEARCAVEU!A$2:G$506,3,0)</f>
        <v>46.07</v>
      </c>
      <c r="E109">
        <f>VLOOKUP(A109,NYSEARCAVWO!A$2:G$506,3,0)</f>
        <v>36.25</v>
      </c>
      <c r="F109">
        <f>VLOOKUP(A109,NYSEARCABND!A$2:G$506,3,0)</f>
        <v>82.29</v>
      </c>
      <c r="G109">
        <f>VLOOKUP(A109,NYSEARCATIP!A$2:G$506,3,0)</f>
        <v>111.51</v>
      </c>
      <c r="H109">
        <f>VLOOKUP(A109,NYSEARCAMUB!A$2:G$506,3,0)</f>
        <v>109.72</v>
      </c>
      <c r="I109">
        <f>VLOOKUP(A109,NYSEARCAVNQ!A$2:G$506,3,0)</f>
        <v>81.77</v>
      </c>
      <c r="J109">
        <f>VLOOKUP(A109,NYSEARCARWX!A$2:G$506,3,0)</f>
        <v>41.94</v>
      </c>
      <c r="K109">
        <f>VLOOKUP(A109,NYSEARCADBC!A$2:G$506,3,0)</f>
        <v>15.21</v>
      </c>
      <c r="L109">
        <f>VLOOKUP(A109,NYSEARCAGSG!A$2:G$506,3,0)</f>
        <v>17.09</v>
      </c>
      <c r="M109">
        <f>VLOOKUP(A109,NYSEARCAGLD!A$2:G$506,3,0)</f>
        <v>112.21</v>
      </c>
      <c r="N109">
        <f>VLOOKUP(A109,NYSEBP!A$2:G$506,3,0)</f>
        <v>35.99</v>
      </c>
      <c r="O109">
        <f>VLOOKUP(A109,NASDAQYHOO!A$2:G$506,3,0)</f>
        <v>31.9</v>
      </c>
    </row>
    <row r="110" spans="1:15">
      <c r="A110" s="39">
        <v>42300</v>
      </c>
      <c r="B110">
        <v>59.28</v>
      </c>
      <c r="C110">
        <f>VLOOKUP(A110,NYSEARCAVTI!A$2:G$506,3,0)</f>
        <v>106.47</v>
      </c>
      <c r="D110">
        <f>VLOOKUP(A110,NYSEARCAVEU!A$2:G$506,3,0)</f>
        <v>46.46</v>
      </c>
      <c r="E110">
        <f>VLOOKUP(A110,NYSEARCAVWO!A$2:G$506,3,0)</f>
        <v>36.520000000000003</v>
      </c>
      <c r="F110">
        <f>VLOOKUP(A110,NYSEARCABND!A$2:G$506,3,0)</f>
        <v>82.08</v>
      </c>
      <c r="G110">
        <f>VLOOKUP(A110,NYSEARCATIP!A$2:G$506,3,0)</f>
        <v>111.34</v>
      </c>
      <c r="H110">
        <f>VLOOKUP(A110,NYSEARCAMUB!A$2:G$506,3,0)</f>
        <v>109.62</v>
      </c>
      <c r="I110">
        <f>VLOOKUP(A110,NYSEARCAVNQ!A$2:G$506,3,0)</f>
        <v>81.680000000000007</v>
      </c>
      <c r="J110">
        <f>VLOOKUP(A110,NYSEARCARWX!A$2:G$506,3,0)</f>
        <v>42.11</v>
      </c>
      <c r="K110">
        <f>VLOOKUP(A110,NYSEARCADBC!A$2:G$506,3,0)</f>
        <v>15.06</v>
      </c>
      <c r="L110">
        <f>VLOOKUP(A110,NYSEARCAGSG!A$2:G$506,3,0)</f>
        <v>16.829999999999998</v>
      </c>
      <c r="M110">
        <f>VLOOKUP(A110,NYSEARCAGLD!A$2:G$506,3,0)</f>
        <v>111.84</v>
      </c>
      <c r="N110">
        <f>VLOOKUP(A110,NYSEBP!A$2:G$506,3,0)</f>
        <v>36</v>
      </c>
      <c r="O110">
        <f>VLOOKUP(A110,NASDAQYHOO!A$2:G$506,3,0)</f>
        <v>33.36</v>
      </c>
    </row>
    <row r="111" spans="1:15">
      <c r="A111" s="39">
        <v>42303</v>
      </c>
      <c r="B111">
        <v>58.45</v>
      </c>
      <c r="C111">
        <f>VLOOKUP(A111,NYSEARCAVTI!A$2:G$506,3,0)</f>
        <v>106.3</v>
      </c>
      <c r="D111">
        <f>VLOOKUP(A111,NYSEARCAVEU!A$2:G$506,3,0)</f>
        <v>46.23</v>
      </c>
      <c r="E111">
        <f>VLOOKUP(A111,NYSEARCAVWO!A$2:G$506,3,0)</f>
        <v>36.229999999999997</v>
      </c>
      <c r="F111">
        <f>VLOOKUP(A111,NYSEARCABND!A$2:G$506,3,0)</f>
        <v>82.2</v>
      </c>
      <c r="G111">
        <f>VLOOKUP(A111,NYSEARCATIP!A$2:G$506,3,0)</f>
        <v>111.45</v>
      </c>
      <c r="H111">
        <f>VLOOKUP(A111,NYSEARCAMUB!A$2:G$506,3,0)</f>
        <v>109.7</v>
      </c>
      <c r="I111">
        <f>VLOOKUP(A111,NYSEARCAVNQ!A$2:G$506,3,0)</f>
        <v>80.94</v>
      </c>
      <c r="J111">
        <f>VLOOKUP(A111,NYSEARCARWX!A$2:G$506,3,0)</f>
        <v>42.08</v>
      </c>
      <c r="K111">
        <f>VLOOKUP(A111,NYSEARCADBC!A$2:G$506,3,0)</f>
        <v>15.04</v>
      </c>
      <c r="L111">
        <f>VLOOKUP(A111,NYSEARCAGSG!A$2:G$506,3,0)</f>
        <v>16.75</v>
      </c>
      <c r="M111">
        <f>VLOOKUP(A111,NYSEARCAGLD!A$2:G$506,3,0)</f>
        <v>111.98</v>
      </c>
      <c r="N111">
        <f>VLOOKUP(A111,NYSEBP!A$2:G$506,3,0)</f>
        <v>35.64</v>
      </c>
      <c r="O111">
        <f>VLOOKUP(A111,NASDAQYHOO!A$2:G$506,3,0)</f>
        <v>33.49</v>
      </c>
    </row>
    <row r="112" spans="1:15">
      <c r="A112" s="39">
        <v>42304</v>
      </c>
      <c r="B112">
        <v>58.04</v>
      </c>
      <c r="C112">
        <f>VLOOKUP(A112,NYSEARCAVTI!A$2:G$506,3,0)</f>
        <v>105.94</v>
      </c>
      <c r="D112">
        <f>VLOOKUP(A112,NYSEARCAVEU!A$2:G$506,3,0)</f>
        <v>45.83</v>
      </c>
      <c r="E112">
        <f>VLOOKUP(A112,NYSEARCAVWO!A$2:G$506,3,0)</f>
        <v>35.729999999999997</v>
      </c>
      <c r="F112">
        <f>VLOOKUP(A112,NYSEARCABND!A$2:G$506,3,0)</f>
        <v>82.28</v>
      </c>
      <c r="G112">
        <f>VLOOKUP(A112,NYSEARCATIP!A$2:G$506,3,0)</f>
        <v>111.6</v>
      </c>
      <c r="H112">
        <f>VLOOKUP(A112,NYSEARCAMUB!A$2:G$506,3,0)</f>
        <v>109.78</v>
      </c>
      <c r="I112">
        <f>VLOOKUP(A112,NYSEARCAVNQ!A$2:G$506,3,0)</f>
        <v>80.88</v>
      </c>
      <c r="J112">
        <f>VLOOKUP(A112,NYSEARCARWX!A$2:G$506,3,0)</f>
        <v>41.92</v>
      </c>
      <c r="K112">
        <f>VLOOKUP(A112,NYSEARCADBC!A$2:G$506,3,0)</f>
        <v>14.95</v>
      </c>
      <c r="L112">
        <f>VLOOKUP(A112,NYSEARCAGSG!A$2:G$506,3,0)</f>
        <v>16.57</v>
      </c>
      <c r="M112">
        <f>VLOOKUP(A112,NYSEARCAGLD!A$2:G$506,3,0)</f>
        <v>111.81</v>
      </c>
      <c r="N112">
        <f>VLOOKUP(A112,NYSEBP!A$2:G$506,3,0)</f>
        <v>35.19</v>
      </c>
      <c r="O112">
        <f>VLOOKUP(A112,NASDAQYHOO!A$2:G$506,3,0)</f>
        <v>35.47</v>
      </c>
    </row>
    <row r="113" spans="1:15">
      <c r="A113" s="39">
        <v>42305</v>
      </c>
      <c r="B113">
        <v>57.72</v>
      </c>
      <c r="C113">
        <f>VLOOKUP(A113,NYSEARCAVTI!A$2:G$506,3,0)</f>
        <v>107.12</v>
      </c>
      <c r="D113">
        <f>VLOOKUP(A113,NYSEARCAVEU!A$2:G$506,3,0)</f>
        <v>46.22</v>
      </c>
      <c r="E113">
        <f>VLOOKUP(A113,NYSEARCAVWO!A$2:G$506,3,0)</f>
        <v>35.85</v>
      </c>
      <c r="F113">
        <f>VLOOKUP(A113,NYSEARCABND!A$2:G$506,3,0)</f>
        <v>82.18</v>
      </c>
      <c r="G113">
        <f>VLOOKUP(A113,NYSEARCATIP!A$2:G$506,3,0)</f>
        <v>111.43</v>
      </c>
      <c r="H113">
        <f>VLOOKUP(A113,NYSEARCAMUB!A$2:G$506,3,0)</f>
        <v>109.84</v>
      </c>
      <c r="I113">
        <f>VLOOKUP(A113,NYSEARCAVNQ!A$2:G$506,3,0)</f>
        <v>81.260000000000005</v>
      </c>
      <c r="J113">
        <f>VLOOKUP(A113,NYSEARCARWX!A$2:G$506,3,0)</f>
        <v>42.08</v>
      </c>
      <c r="K113">
        <f>VLOOKUP(A113,NYSEARCADBC!A$2:G$506,3,0)</f>
        <v>15.24</v>
      </c>
      <c r="L113">
        <f>VLOOKUP(A113,NYSEARCAGSG!A$2:G$506,3,0)</f>
        <v>17.010000000000002</v>
      </c>
      <c r="M113">
        <f>VLOOKUP(A113,NYSEARCAGLD!A$2:G$506,3,0)</f>
        <v>113.25</v>
      </c>
      <c r="N113">
        <f>VLOOKUP(A113,NYSEBP!A$2:G$506,3,0)</f>
        <v>36.090000000000003</v>
      </c>
      <c r="O113">
        <f>VLOOKUP(A113,NASDAQYHOO!A$2:G$506,3,0)</f>
        <v>35.270000000000003</v>
      </c>
    </row>
    <row r="114" spans="1:15">
      <c r="A114" s="39">
        <v>42306</v>
      </c>
      <c r="B114">
        <v>58.12</v>
      </c>
      <c r="C114">
        <f>VLOOKUP(A114,NYSEARCAVTI!A$2:G$506,3,0)</f>
        <v>107.18</v>
      </c>
      <c r="D114">
        <f>VLOOKUP(A114,NYSEARCAVEU!A$2:G$506,3,0)</f>
        <v>45.59</v>
      </c>
      <c r="E114">
        <f>VLOOKUP(A114,NYSEARCAVWO!A$2:G$506,3,0)</f>
        <v>35.049999999999997</v>
      </c>
      <c r="F114">
        <f>VLOOKUP(A114,NYSEARCABND!A$2:G$506,3,0)</f>
        <v>81.8</v>
      </c>
      <c r="G114">
        <f>VLOOKUP(A114,NYSEARCATIP!A$2:G$506,3,0)</f>
        <v>110.78</v>
      </c>
      <c r="H114">
        <f>VLOOKUP(A114,NYSEARCAMUB!A$2:G$506,3,0)</f>
        <v>109.75</v>
      </c>
      <c r="I114">
        <f>VLOOKUP(A114,NYSEARCAVNQ!A$2:G$506,3,0)</f>
        <v>80.739999999999995</v>
      </c>
      <c r="J114">
        <f>VLOOKUP(A114,NYSEARCARWX!A$2:G$506,3,0)</f>
        <v>41.6</v>
      </c>
      <c r="K114">
        <f>VLOOKUP(A114,NYSEARCADBC!A$2:G$506,3,0)</f>
        <v>15.18</v>
      </c>
      <c r="L114">
        <f>VLOOKUP(A114,NYSEARCAGSG!A$2:G$506,3,0)</f>
        <v>17.059999999999999</v>
      </c>
      <c r="M114">
        <f>VLOOKUP(A114,NYSEARCAGLD!A$2:G$506,3,0)</f>
        <v>110.6</v>
      </c>
      <c r="N114">
        <f>VLOOKUP(A114,NYSEBP!A$2:G$506,3,0)</f>
        <v>36.01</v>
      </c>
      <c r="O114">
        <f>VLOOKUP(A114,NASDAQYHOO!A$2:G$506,3,0)</f>
        <v>35.15</v>
      </c>
    </row>
    <row r="115" spans="1:15">
      <c r="A115" s="39">
        <v>42307</v>
      </c>
      <c r="B115">
        <v>58.12</v>
      </c>
      <c r="C115">
        <f>VLOOKUP(A115,NYSEARCAVTI!A$2:G$506,3,0)</f>
        <v>107.28</v>
      </c>
      <c r="D115">
        <f>VLOOKUP(A115,NYSEARCAVEU!A$2:G$506,3,0)</f>
        <v>45.75</v>
      </c>
      <c r="E115">
        <f>VLOOKUP(A115,NYSEARCAVWO!A$2:G$506,3,0)</f>
        <v>35.090000000000003</v>
      </c>
      <c r="F115">
        <f>VLOOKUP(A115,NYSEARCABND!A$2:G$506,3,0)</f>
        <v>81.790000000000006</v>
      </c>
      <c r="G115">
        <f>VLOOKUP(A115,NYSEARCATIP!A$2:G$506,3,0)</f>
        <v>110.98</v>
      </c>
      <c r="H115">
        <f>VLOOKUP(A115,NYSEARCAMUB!A$2:G$506,3,0)</f>
        <v>109.73</v>
      </c>
      <c r="I115">
        <f>VLOOKUP(A115,NYSEARCAVNQ!A$2:G$506,3,0)</f>
        <v>80.81</v>
      </c>
      <c r="J115">
        <f>VLOOKUP(A115,NYSEARCARWX!A$2:G$506,3,0)</f>
        <v>41.68</v>
      </c>
      <c r="K115">
        <f>VLOOKUP(A115,NYSEARCADBC!A$2:G$506,3,0)</f>
        <v>15.26</v>
      </c>
      <c r="L115">
        <f>VLOOKUP(A115,NYSEARCAGSG!A$2:G$506,3,0)</f>
        <v>17.170000000000002</v>
      </c>
      <c r="M115">
        <f>VLOOKUP(A115,NYSEARCAGLD!A$2:G$506,3,0)</f>
        <v>109.58</v>
      </c>
      <c r="N115">
        <f>VLOOKUP(A115,NYSEBP!A$2:G$506,3,0)</f>
        <v>36</v>
      </c>
      <c r="O115">
        <f>VLOOKUP(A115,NASDAQYHOO!A$2:G$506,3,0)</f>
        <v>35.700000000000003</v>
      </c>
    </row>
    <row r="116" spans="1:15">
      <c r="A116" s="39">
        <v>42310</v>
      </c>
      <c r="B116">
        <v>57.61</v>
      </c>
      <c r="C116">
        <f>VLOOKUP(A116,NYSEARCAVTI!A$2:G$506,3,0)</f>
        <v>108</v>
      </c>
      <c r="D116">
        <f>VLOOKUP(A116,NYSEARCAVEU!A$2:G$506,3,0)</f>
        <v>45.92</v>
      </c>
      <c r="E116">
        <f>VLOOKUP(A116,NYSEARCAVWO!A$2:G$506,3,0)</f>
        <v>35.520000000000003</v>
      </c>
      <c r="F116">
        <f>VLOOKUP(A116,NYSEARCABND!A$2:G$506,3,0)</f>
        <v>81.540000000000006</v>
      </c>
      <c r="G116">
        <f>VLOOKUP(A116,NYSEARCATIP!A$2:G$506,3,0)</f>
        <v>110.92</v>
      </c>
      <c r="H116">
        <f>VLOOKUP(A116,NYSEARCAMUB!A$2:G$506,3,0)</f>
        <v>109.51</v>
      </c>
      <c r="I116">
        <f>VLOOKUP(A116,NYSEARCAVNQ!A$2:G$506,3,0)</f>
        <v>81.599999999999994</v>
      </c>
      <c r="J116">
        <f>VLOOKUP(A116,NYSEARCARWX!A$2:G$506,3,0)</f>
        <v>41.76</v>
      </c>
      <c r="K116">
        <f>VLOOKUP(A116,NYSEARCADBC!A$2:G$506,3,0)</f>
        <v>15.18</v>
      </c>
      <c r="L116">
        <f>VLOOKUP(A116,NYSEARCAGSG!A$2:G$506,3,0)</f>
        <v>17.059999999999999</v>
      </c>
      <c r="M116">
        <f>VLOOKUP(A116,NYSEARCAGLD!A$2:G$506,3,0)</f>
        <v>108.84</v>
      </c>
      <c r="N116">
        <f>VLOOKUP(A116,NYSEBP!A$2:G$506,3,0)</f>
        <v>36.340000000000003</v>
      </c>
      <c r="O116">
        <f>VLOOKUP(A116,NASDAQYHOO!A$2:G$506,3,0)</f>
        <v>35.479999999999997</v>
      </c>
    </row>
    <row r="117" spans="1:15">
      <c r="A117" s="39">
        <v>42311</v>
      </c>
      <c r="B117">
        <v>58.33</v>
      </c>
      <c r="C117">
        <f>VLOOKUP(A117,NYSEARCAVTI!A$2:G$506,3,0)</f>
        <v>108.57</v>
      </c>
      <c r="D117">
        <f>VLOOKUP(A117,NYSEARCAVEU!A$2:G$506,3,0)</f>
        <v>46.15</v>
      </c>
      <c r="E117">
        <f>VLOOKUP(A117,NYSEARCAVWO!A$2:G$506,3,0)</f>
        <v>36.1</v>
      </c>
      <c r="F117">
        <f>VLOOKUP(A117,NYSEARCABND!A$2:G$506,3,0)</f>
        <v>81.44</v>
      </c>
      <c r="G117">
        <f>VLOOKUP(A117,NYSEARCATIP!A$2:G$506,3,0)</f>
        <v>111</v>
      </c>
      <c r="H117">
        <f>VLOOKUP(A117,NYSEARCAMUB!A$2:G$506,3,0)</f>
        <v>109.45</v>
      </c>
      <c r="I117">
        <f>VLOOKUP(A117,NYSEARCAVNQ!A$2:G$506,3,0)</f>
        <v>81.489999999999995</v>
      </c>
      <c r="J117">
        <f>VLOOKUP(A117,NYSEARCARWX!A$2:G$506,3,0)</f>
        <v>41.57</v>
      </c>
      <c r="K117">
        <f>VLOOKUP(A117,NYSEARCADBC!A$2:G$506,3,0)</f>
        <v>15.44</v>
      </c>
      <c r="L117">
        <f>VLOOKUP(A117,NYSEARCAGSG!A$2:G$506,3,0)</f>
        <v>17.38</v>
      </c>
      <c r="M117">
        <f>VLOOKUP(A117,NYSEARCAGLD!A$2:G$506,3,0)</f>
        <v>107.81</v>
      </c>
      <c r="N117">
        <f>VLOOKUP(A117,NYSEBP!A$2:G$506,3,0)</f>
        <v>37.53</v>
      </c>
      <c r="O117">
        <f>VLOOKUP(A117,NASDAQYHOO!A$2:G$506,3,0)</f>
        <v>35.340000000000003</v>
      </c>
    </row>
    <row r="118" spans="1:15">
      <c r="A118" s="39">
        <v>42312</v>
      </c>
      <c r="B118">
        <v>58.76</v>
      </c>
      <c r="C118">
        <f>VLOOKUP(A118,NYSEARCAVTI!A$2:G$506,3,0)</f>
        <v>108.53</v>
      </c>
      <c r="D118">
        <f>VLOOKUP(A118,NYSEARCAVEU!A$2:G$506,3,0)</f>
        <v>46.16</v>
      </c>
      <c r="E118">
        <f>VLOOKUP(A118,NYSEARCAVWO!A$2:G$506,3,0)</f>
        <v>36.299999999999997</v>
      </c>
      <c r="F118">
        <f>VLOOKUP(A118,NYSEARCABND!A$2:G$506,3,0)</f>
        <v>81.44</v>
      </c>
      <c r="G118">
        <f>VLOOKUP(A118,NYSEARCATIP!A$2:G$506,3,0)</f>
        <v>110.93</v>
      </c>
      <c r="H118">
        <f>VLOOKUP(A118,NYSEARCAMUB!A$2:G$506,3,0)</f>
        <v>109.39</v>
      </c>
      <c r="I118">
        <f>VLOOKUP(A118,NYSEARCAVNQ!A$2:G$506,3,0)</f>
        <v>80.959999999999994</v>
      </c>
      <c r="J118">
        <f>VLOOKUP(A118,NYSEARCARWX!A$2:G$506,3,0)</f>
        <v>41.25</v>
      </c>
      <c r="K118">
        <f>VLOOKUP(A118,NYSEARCADBC!A$2:G$506,3,0)</f>
        <v>15.44</v>
      </c>
      <c r="L118">
        <f>VLOOKUP(A118,NYSEARCAGSG!A$2:G$506,3,0)</f>
        <v>17.3</v>
      </c>
      <c r="M118">
        <f>VLOOKUP(A118,NYSEARCAGLD!A$2:G$506,3,0)</f>
        <v>107.09</v>
      </c>
      <c r="N118">
        <f>VLOOKUP(A118,NYSEBP!A$2:G$506,3,0)</f>
        <v>37.04</v>
      </c>
      <c r="O118">
        <f>VLOOKUP(A118,NASDAQYHOO!A$2:G$506,3,0)</f>
        <v>35.24</v>
      </c>
    </row>
    <row r="119" spans="1:15">
      <c r="A119" s="39">
        <v>42313</v>
      </c>
      <c r="B119">
        <v>58.98</v>
      </c>
      <c r="C119">
        <f>VLOOKUP(A119,NYSEARCAVTI!A$2:G$506,3,0)</f>
        <v>108.23</v>
      </c>
      <c r="D119">
        <f>VLOOKUP(A119,NYSEARCAVEU!A$2:G$506,3,0)</f>
        <v>45.89</v>
      </c>
      <c r="E119">
        <f>VLOOKUP(A119,NYSEARCAVWO!A$2:G$506,3,0)</f>
        <v>35.950000000000003</v>
      </c>
      <c r="F119">
        <f>VLOOKUP(A119,NYSEARCABND!A$2:G$506,3,0)</f>
        <v>81.37</v>
      </c>
      <c r="G119">
        <f>VLOOKUP(A119,NYSEARCATIP!A$2:G$506,3,0)</f>
        <v>110.43</v>
      </c>
      <c r="H119">
        <f>VLOOKUP(A119,NYSEARCAMUB!A$2:G$506,3,0)</f>
        <v>109.38</v>
      </c>
      <c r="I119">
        <f>VLOOKUP(A119,NYSEARCAVNQ!A$2:G$506,3,0)</f>
        <v>80.819999999999993</v>
      </c>
      <c r="J119">
        <f>VLOOKUP(A119,NYSEARCARWX!A$2:G$506,3,0)</f>
        <v>41.05</v>
      </c>
      <c r="K119">
        <f>VLOOKUP(A119,NYSEARCADBC!A$2:G$506,3,0)</f>
        <v>15.1</v>
      </c>
      <c r="L119">
        <f>VLOOKUP(A119,NYSEARCAGSG!A$2:G$506,3,0)</f>
        <v>16.93</v>
      </c>
      <c r="M119">
        <f>VLOOKUP(A119,NYSEARCAGLD!A$2:G$506,3,0)</f>
        <v>106.1</v>
      </c>
      <c r="N119">
        <f>VLOOKUP(A119,NYSEBP!A$2:G$506,3,0)</f>
        <v>36.19</v>
      </c>
      <c r="O119">
        <f>VLOOKUP(A119,NASDAQYHOO!A$2:G$506,3,0)</f>
        <v>35.299999999999997</v>
      </c>
    </row>
    <row r="120" spans="1:15">
      <c r="A120" s="39">
        <v>42314</v>
      </c>
      <c r="B120">
        <v>59.2</v>
      </c>
      <c r="C120">
        <f>VLOOKUP(A120,NYSEARCAVTI!A$2:G$506,3,0)</f>
        <v>107.85</v>
      </c>
      <c r="D120">
        <f>VLOOKUP(A120,NYSEARCAVEU!A$2:G$506,3,0)</f>
        <v>45.4</v>
      </c>
      <c r="E120">
        <f>VLOOKUP(A120,NYSEARCAVWO!A$2:G$506,3,0)</f>
        <v>35.42</v>
      </c>
      <c r="F120">
        <f>VLOOKUP(A120,NYSEARCABND!A$2:G$506,3,0)</f>
        <v>81.02</v>
      </c>
      <c r="G120">
        <f>VLOOKUP(A120,NYSEARCATIP!A$2:G$506,3,0)</f>
        <v>109.94</v>
      </c>
      <c r="H120">
        <f>VLOOKUP(A120,NYSEARCAMUB!A$2:G$506,3,0)</f>
        <v>109.15</v>
      </c>
      <c r="I120">
        <f>VLOOKUP(A120,NYSEARCAVNQ!A$2:G$506,3,0)</f>
        <v>79.760000000000005</v>
      </c>
      <c r="J120">
        <f>VLOOKUP(A120,NYSEARCARWX!A$2:G$506,3,0)</f>
        <v>40.619999999999997</v>
      </c>
      <c r="K120">
        <f>VLOOKUP(A120,NYSEARCADBC!A$2:G$506,3,0)</f>
        <v>14.96</v>
      </c>
      <c r="L120">
        <f>VLOOKUP(A120,NYSEARCAGSG!A$2:G$506,3,0)</f>
        <v>16.64</v>
      </c>
      <c r="M120">
        <f>VLOOKUP(A120,NYSEARCAGLD!A$2:G$506,3,0)</f>
        <v>104.42</v>
      </c>
      <c r="N120">
        <f>VLOOKUP(A120,NYSEBP!A$2:G$506,3,0)</f>
        <v>35.369999999999997</v>
      </c>
      <c r="O120">
        <f>VLOOKUP(A120,NASDAQYHOO!A$2:G$506,3,0)</f>
        <v>35.200000000000003</v>
      </c>
    </row>
    <row r="121" spans="1:15">
      <c r="A121" s="39">
        <v>42317</v>
      </c>
      <c r="B121">
        <v>58.78</v>
      </c>
      <c r="C121">
        <f>VLOOKUP(A121,NYSEARCAVTI!A$2:G$506,3,0)</f>
        <v>107.9</v>
      </c>
      <c r="D121">
        <f>VLOOKUP(A121,NYSEARCAVEU!A$2:G$506,3,0)</f>
        <v>45.17</v>
      </c>
      <c r="E121">
        <f>VLOOKUP(A121,NYSEARCAVWO!A$2:G$506,3,0)</f>
        <v>35.020000000000003</v>
      </c>
      <c r="F121">
        <f>VLOOKUP(A121,NYSEARCABND!A$2:G$506,3,0)</f>
        <v>80.930000000000007</v>
      </c>
      <c r="G121">
        <f>VLOOKUP(A121,NYSEARCATIP!A$2:G$506,3,0)</f>
        <v>109.92</v>
      </c>
      <c r="H121">
        <f>VLOOKUP(A121,NYSEARCAMUB!A$2:G$506,3,0)</f>
        <v>109</v>
      </c>
      <c r="I121">
        <f>VLOOKUP(A121,NYSEARCAVNQ!A$2:G$506,3,0)</f>
        <v>77.88</v>
      </c>
      <c r="J121">
        <f>VLOOKUP(A121,NYSEARCARWX!A$2:G$506,3,0)</f>
        <v>39.840000000000003</v>
      </c>
      <c r="K121">
        <f>VLOOKUP(A121,NYSEARCADBC!A$2:G$506,3,0)</f>
        <v>14.92</v>
      </c>
      <c r="L121">
        <f>VLOOKUP(A121,NYSEARCAGSG!A$2:G$506,3,0)</f>
        <v>16.579999999999998</v>
      </c>
      <c r="M121">
        <f>VLOOKUP(A121,NYSEARCAGLD!A$2:G$506,3,0)</f>
        <v>104.58</v>
      </c>
      <c r="N121">
        <f>VLOOKUP(A121,NYSEBP!A$2:G$506,3,0)</f>
        <v>35.39</v>
      </c>
      <c r="O121">
        <f>VLOOKUP(A121,NASDAQYHOO!A$2:G$506,3,0)</f>
        <v>34.08</v>
      </c>
    </row>
    <row r="122" spans="1:15">
      <c r="A122" s="39">
        <v>42318</v>
      </c>
      <c r="B122">
        <v>58.71</v>
      </c>
      <c r="C122">
        <f>VLOOKUP(A122,NYSEARCAVTI!A$2:G$506,3,0)</f>
        <v>107.04</v>
      </c>
      <c r="D122">
        <f>VLOOKUP(A122,NYSEARCAVEU!A$2:G$506,3,0)</f>
        <v>44.84</v>
      </c>
      <c r="E122">
        <f>VLOOKUP(A122,NYSEARCAVWO!A$2:G$506,3,0)</f>
        <v>34.520000000000003</v>
      </c>
      <c r="F122">
        <f>VLOOKUP(A122,NYSEARCABND!A$2:G$506,3,0)</f>
        <v>81.040000000000006</v>
      </c>
      <c r="G122">
        <f>VLOOKUP(A122,NYSEARCATIP!A$2:G$506,3,0)</f>
        <v>110.02</v>
      </c>
      <c r="H122">
        <f>VLOOKUP(A122,NYSEARCAMUB!A$2:G$506,3,0)</f>
        <v>109</v>
      </c>
      <c r="I122">
        <f>VLOOKUP(A122,NYSEARCAVNQ!A$2:G$506,3,0)</f>
        <v>77.94</v>
      </c>
      <c r="J122">
        <f>VLOOKUP(A122,NYSEARCARWX!A$2:G$506,3,0)</f>
        <v>39.520000000000003</v>
      </c>
      <c r="K122">
        <f>VLOOKUP(A122,NYSEARCADBC!A$2:G$506,3,0)</f>
        <v>14.84</v>
      </c>
      <c r="L122">
        <f>VLOOKUP(A122,NYSEARCAGSG!A$2:G$506,3,0)</f>
        <v>16.52</v>
      </c>
      <c r="M122">
        <f>VLOOKUP(A122,NYSEARCAGLD!A$2:G$506,3,0)</f>
        <v>104.65</v>
      </c>
      <c r="N122">
        <f>VLOOKUP(A122,NYSEBP!A$2:G$506,3,0)</f>
        <v>35.01</v>
      </c>
      <c r="O122">
        <f>VLOOKUP(A122,NASDAQYHOO!A$2:G$506,3,0)</f>
        <v>34.130000000000003</v>
      </c>
    </row>
    <row r="123" spans="1:15">
      <c r="A123" s="39">
        <v>42319</v>
      </c>
      <c r="B123">
        <v>58.73</v>
      </c>
      <c r="C123">
        <f>VLOOKUP(A123,NYSEARCAVTI!A$2:G$506,3,0)</f>
        <v>107.27</v>
      </c>
      <c r="D123">
        <f>VLOOKUP(A123,NYSEARCAVEU!A$2:G$506,3,0)</f>
        <v>45.19</v>
      </c>
      <c r="E123">
        <f>VLOOKUP(A123,NYSEARCAVWO!A$2:G$506,3,0)</f>
        <v>34.729999999999997</v>
      </c>
      <c r="F123">
        <f>VLOOKUP(A123,NYSEARCABND!A$2:G$506,3,0)</f>
        <v>80.97</v>
      </c>
      <c r="G123">
        <f>VLOOKUP(A123,NYSEARCATIP!A$2:G$506,3,0)</f>
        <v>109.7</v>
      </c>
      <c r="H123">
        <f>VLOOKUP(A123,NYSEARCAMUB!A$2:G$506,3,0)</f>
        <v>108.95</v>
      </c>
      <c r="I123">
        <f>VLOOKUP(A123,NYSEARCAVNQ!A$2:G$506,3,0)</f>
        <v>78.180000000000007</v>
      </c>
      <c r="J123">
        <f>VLOOKUP(A123,NYSEARCARWX!A$2:G$506,3,0)</f>
        <v>39.94</v>
      </c>
      <c r="K123">
        <f>VLOOKUP(A123,NYSEARCADBC!A$2:G$506,3,0)</f>
        <v>14.83</v>
      </c>
      <c r="L123">
        <f>VLOOKUP(A123,NYSEARCAGSG!A$2:G$506,3,0)</f>
        <v>16.440000000000001</v>
      </c>
      <c r="M123">
        <f>VLOOKUP(A123,NYSEARCAGLD!A$2:G$506,3,0)</f>
        <v>104.23</v>
      </c>
      <c r="N123">
        <f>VLOOKUP(A123,NYSEBP!A$2:G$506,3,0)</f>
        <v>34.85</v>
      </c>
      <c r="O123">
        <f>VLOOKUP(A123,NASDAQYHOO!A$2:G$506,3,0)</f>
        <v>34.229999999999997</v>
      </c>
    </row>
    <row r="124" spans="1:15">
      <c r="A124" s="39">
        <v>42320</v>
      </c>
      <c r="B124">
        <v>57.77</v>
      </c>
      <c r="C124">
        <f>VLOOKUP(A124,NYSEARCAVTI!A$2:G$506,3,0)</f>
        <v>106.16</v>
      </c>
      <c r="D124">
        <f>VLOOKUP(A124,NYSEARCAVEU!A$2:G$506,3,0)</f>
        <v>44.79</v>
      </c>
      <c r="E124">
        <f>VLOOKUP(A124,NYSEARCAVWO!A$2:G$506,3,0)</f>
        <v>34.56</v>
      </c>
      <c r="F124">
        <f>VLOOKUP(A124,NYSEARCABND!A$2:G$506,3,0)</f>
        <v>81.06</v>
      </c>
      <c r="G124">
        <f>VLOOKUP(A124,NYSEARCATIP!A$2:G$506,3,0)</f>
        <v>109.74</v>
      </c>
      <c r="H124">
        <f>VLOOKUP(A124,NYSEARCAMUB!A$2:G$506,3,0)</f>
        <v>109.05</v>
      </c>
      <c r="I124">
        <f>VLOOKUP(A124,NYSEARCAVNQ!A$2:G$506,3,0)</f>
        <v>78.010000000000005</v>
      </c>
      <c r="J124">
        <f>VLOOKUP(A124,NYSEARCARWX!A$2:G$506,3,0)</f>
        <v>39.700000000000003</v>
      </c>
      <c r="K124">
        <f>VLOOKUP(A124,NYSEARCADBC!A$2:G$506,3,0)</f>
        <v>14.55</v>
      </c>
      <c r="L124">
        <f>VLOOKUP(A124,NYSEARCAGSG!A$2:G$506,3,0)</f>
        <v>16.14</v>
      </c>
      <c r="M124">
        <f>VLOOKUP(A124,NYSEARCAGLD!A$2:G$506,3,0)</f>
        <v>104.32</v>
      </c>
      <c r="N124">
        <f>VLOOKUP(A124,NYSEBP!A$2:G$506,3,0)</f>
        <v>34.049999999999997</v>
      </c>
      <c r="O124">
        <f>VLOOKUP(A124,NASDAQYHOO!A$2:G$506,3,0)</f>
        <v>33.840000000000003</v>
      </c>
    </row>
    <row r="125" spans="1:15">
      <c r="A125" s="39">
        <v>42321</v>
      </c>
      <c r="B125">
        <v>57.06</v>
      </c>
      <c r="C125">
        <f>VLOOKUP(A125,NYSEARCAVTI!A$2:G$506,3,0)</f>
        <v>104.88</v>
      </c>
      <c r="D125">
        <f>VLOOKUP(A125,NYSEARCAVEU!A$2:G$506,3,0)</f>
        <v>44.25</v>
      </c>
      <c r="E125">
        <f>VLOOKUP(A125,NYSEARCAVWO!A$2:G$506,3,0)</f>
        <v>34.03</v>
      </c>
      <c r="F125">
        <f>VLOOKUP(A125,NYSEARCABND!A$2:G$506,3,0)</f>
        <v>81.12</v>
      </c>
      <c r="G125">
        <f>VLOOKUP(A125,NYSEARCATIP!A$2:G$506,3,0)</f>
        <v>109.97</v>
      </c>
      <c r="H125">
        <f>VLOOKUP(A125,NYSEARCAMUB!A$2:G$506,3,0)</f>
        <v>109.17</v>
      </c>
      <c r="I125">
        <f>VLOOKUP(A125,NYSEARCAVNQ!A$2:G$506,3,0)</f>
        <v>77.75</v>
      </c>
      <c r="J125">
        <f>VLOOKUP(A125,NYSEARCARWX!A$2:G$506,3,0)</f>
        <v>39.49</v>
      </c>
      <c r="K125">
        <f>VLOOKUP(A125,NYSEARCADBC!A$2:G$506,3,0)</f>
        <v>14.39</v>
      </c>
      <c r="L125">
        <f>VLOOKUP(A125,NYSEARCAGSG!A$2:G$506,3,0)</f>
        <v>15.86</v>
      </c>
      <c r="M125">
        <f>VLOOKUP(A125,NYSEARCAGLD!A$2:G$506,3,0)</f>
        <v>103.74</v>
      </c>
      <c r="N125">
        <f>VLOOKUP(A125,NYSEBP!A$2:G$506,3,0)</f>
        <v>33.6</v>
      </c>
      <c r="O125">
        <f>VLOOKUP(A125,NASDAQYHOO!A$2:G$506,3,0)</f>
        <v>33.04</v>
      </c>
    </row>
    <row r="126" spans="1:15">
      <c r="A126" s="39">
        <v>42324</v>
      </c>
      <c r="B126">
        <v>58.03</v>
      </c>
      <c r="C126">
        <f>VLOOKUP(A126,NYSEARCAVTI!A$2:G$506,3,0)</f>
        <v>105.36</v>
      </c>
      <c r="D126">
        <f>VLOOKUP(A126,NYSEARCAVEU!A$2:G$506,3,0)</f>
        <v>44.63</v>
      </c>
      <c r="E126">
        <f>VLOOKUP(A126,NYSEARCAVWO!A$2:G$506,3,0)</f>
        <v>34.44</v>
      </c>
      <c r="F126">
        <f>VLOOKUP(A126,NYSEARCABND!A$2:G$506,3,0)</f>
        <v>81.2</v>
      </c>
      <c r="G126">
        <f>VLOOKUP(A126,NYSEARCATIP!A$2:G$506,3,0)</f>
        <v>110.02</v>
      </c>
      <c r="H126">
        <f>VLOOKUP(A126,NYSEARCAMUB!A$2:G$506,3,0)</f>
        <v>109.25</v>
      </c>
      <c r="I126">
        <f>VLOOKUP(A126,NYSEARCAVNQ!A$2:G$506,3,0)</f>
        <v>77.319999999999993</v>
      </c>
      <c r="J126">
        <f>VLOOKUP(A126,NYSEARCARWX!A$2:G$506,3,0)</f>
        <v>39.81</v>
      </c>
      <c r="K126">
        <f>VLOOKUP(A126,NYSEARCADBC!A$2:G$506,3,0)</f>
        <v>14.37</v>
      </c>
      <c r="L126">
        <f>VLOOKUP(A126,NYSEARCAGSG!A$2:G$506,3,0)</f>
        <v>15.8</v>
      </c>
      <c r="M126">
        <f>VLOOKUP(A126,NYSEARCAGLD!A$2:G$506,3,0)</f>
        <v>104.03</v>
      </c>
      <c r="N126">
        <f>VLOOKUP(A126,NYSEBP!A$2:G$506,3,0)</f>
        <v>34.5</v>
      </c>
      <c r="O126">
        <f>VLOOKUP(A126,NASDAQYHOO!A$2:G$506,3,0)</f>
        <v>32.99</v>
      </c>
    </row>
    <row r="127" spans="1:15">
      <c r="A127" s="39">
        <v>42325</v>
      </c>
      <c r="B127">
        <v>60.9</v>
      </c>
      <c r="C127">
        <f>VLOOKUP(A127,NYSEARCAVTI!A$2:G$506,3,0)</f>
        <v>106.09</v>
      </c>
      <c r="D127">
        <f>VLOOKUP(A127,NYSEARCAVEU!A$2:G$506,3,0)</f>
        <v>44.91</v>
      </c>
      <c r="E127">
        <f>VLOOKUP(A127,NYSEARCAVWO!A$2:G$506,3,0)</f>
        <v>34.54</v>
      </c>
      <c r="F127">
        <f>VLOOKUP(A127,NYSEARCABND!A$2:G$506,3,0)</f>
        <v>81.239999999999995</v>
      </c>
      <c r="G127">
        <f>VLOOKUP(A127,NYSEARCATIP!A$2:G$506,3,0)</f>
        <v>110.1</v>
      </c>
      <c r="H127">
        <f>VLOOKUP(A127,NYSEARCAMUB!A$2:G$506,3,0)</f>
        <v>109.3</v>
      </c>
      <c r="I127">
        <f>VLOOKUP(A127,NYSEARCAVNQ!A$2:G$506,3,0)</f>
        <v>77.98</v>
      </c>
      <c r="J127">
        <f>VLOOKUP(A127,NYSEARCARWX!A$2:G$506,3,0)</f>
        <v>40.130000000000003</v>
      </c>
      <c r="K127">
        <f>VLOOKUP(A127,NYSEARCADBC!A$2:G$506,3,0)</f>
        <v>14.28</v>
      </c>
      <c r="L127">
        <f>VLOOKUP(A127,NYSEARCAGSG!A$2:G$506,3,0)</f>
        <v>15.67</v>
      </c>
      <c r="M127">
        <f>VLOOKUP(A127,NYSEARCAGLD!A$2:G$506,3,0)</f>
        <v>103.4</v>
      </c>
      <c r="N127">
        <f>VLOOKUP(A127,NYSEBP!A$2:G$506,3,0)</f>
        <v>34.619999999999997</v>
      </c>
      <c r="O127">
        <f>VLOOKUP(A127,NASDAQYHOO!A$2:G$506,3,0)</f>
        <v>33.119999999999997</v>
      </c>
    </row>
    <row r="128" spans="1:15">
      <c r="A128" s="39">
        <v>42326</v>
      </c>
      <c r="B128">
        <v>61.07</v>
      </c>
      <c r="C128">
        <f>VLOOKUP(A128,NYSEARCAVTI!A$2:G$506,3,0)</f>
        <v>107</v>
      </c>
      <c r="D128">
        <f>VLOOKUP(A128,NYSEARCAVEU!A$2:G$506,3,0)</f>
        <v>45.12</v>
      </c>
      <c r="E128">
        <f>VLOOKUP(A128,NYSEARCAVWO!A$2:G$506,3,0)</f>
        <v>34.700000000000003</v>
      </c>
      <c r="F128">
        <f>VLOOKUP(A128,NYSEARCABND!A$2:G$506,3,0)</f>
        <v>81.19</v>
      </c>
      <c r="G128">
        <f>VLOOKUP(A128,NYSEARCATIP!A$2:G$506,3,0)</f>
        <v>110.16</v>
      </c>
      <c r="H128">
        <f>VLOOKUP(A128,NYSEARCAMUB!A$2:G$506,3,0)</f>
        <v>109.5</v>
      </c>
      <c r="I128">
        <f>VLOOKUP(A128,NYSEARCAVNQ!A$2:G$506,3,0)</f>
        <v>78.05</v>
      </c>
      <c r="J128">
        <f>VLOOKUP(A128,NYSEARCARWX!A$2:G$506,3,0)</f>
        <v>40.299999999999997</v>
      </c>
      <c r="K128">
        <f>VLOOKUP(A128,NYSEARCADBC!A$2:G$506,3,0)</f>
        <v>14.24</v>
      </c>
      <c r="L128">
        <f>VLOOKUP(A128,NYSEARCAGSG!A$2:G$506,3,0)</f>
        <v>15.68</v>
      </c>
      <c r="M128">
        <f>VLOOKUP(A128,NYSEARCAGLD!A$2:G$506,3,0)</f>
        <v>102.95</v>
      </c>
      <c r="N128">
        <f>VLOOKUP(A128,NYSEBP!A$2:G$506,3,0)</f>
        <v>35.130000000000003</v>
      </c>
      <c r="O128">
        <f>VLOOKUP(A128,NASDAQYHOO!A$2:G$506,3,0)</f>
        <v>33.020000000000003</v>
      </c>
    </row>
    <row r="129" spans="1:15">
      <c r="A129" s="39">
        <v>42327</v>
      </c>
      <c r="B129">
        <v>61.36</v>
      </c>
      <c r="C129">
        <f>VLOOKUP(A129,NYSEARCAVTI!A$2:G$506,3,0)</f>
        <v>107.08</v>
      </c>
      <c r="D129">
        <f>VLOOKUP(A129,NYSEARCAVEU!A$2:G$506,3,0)</f>
        <v>45.45</v>
      </c>
      <c r="E129">
        <f>VLOOKUP(A129,NYSEARCAVWO!A$2:G$506,3,0)</f>
        <v>35</v>
      </c>
      <c r="F129">
        <f>VLOOKUP(A129,NYSEARCABND!A$2:G$506,3,0)</f>
        <v>81.3</v>
      </c>
      <c r="G129">
        <f>VLOOKUP(A129,NYSEARCATIP!A$2:G$506,3,0)</f>
        <v>110.53</v>
      </c>
      <c r="H129">
        <f>VLOOKUP(A129,NYSEARCAMUB!A$2:G$506,3,0)</f>
        <v>109.69</v>
      </c>
      <c r="I129">
        <f>VLOOKUP(A129,NYSEARCAVNQ!A$2:G$506,3,0)</f>
        <v>78.63</v>
      </c>
      <c r="J129">
        <f>VLOOKUP(A129,NYSEARCARWX!A$2:G$506,3,0)</f>
        <v>40.700000000000003</v>
      </c>
      <c r="K129">
        <f>VLOOKUP(A129,NYSEARCADBC!A$2:G$506,3,0)</f>
        <v>14.27</v>
      </c>
      <c r="L129">
        <f>VLOOKUP(A129,NYSEARCAGSG!A$2:G$506,3,0)</f>
        <v>15.64</v>
      </c>
      <c r="M129">
        <f>VLOOKUP(A129,NYSEARCAGLD!A$2:G$506,3,0)</f>
        <v>104.09</v>
      </c>
      <c r="N129">
        <f>VLOOKUP(A129,NYSEBP!A$2:G$506,3,0)</f>
        <v>35.380000000000003</v>
      </c>
      <c r="O129">
        <f>VLOOKUP(A129,NASDAQYHOO!A$2:G$506,3,0)</f>
        <v>33.5</v>
      </c>
    </row>
    <row r="130" spans="1:15">
      <c r="A130" s="39">
        <v>42328</v>
      </c>
      <c r="B130">
        <v>61.47</v>
      </c>
      <c r="C130">
        <f>VLOOKUP(A130,NYSEARCAVTI!A$2:G$506,3,0)</f>
        <v>107.6</v>
      </c>
      <c r="D130">
        <f>VLOOKUP(A130,NYSEARCAVEU!A$2:G$506,3,0)</f>
        <v>45.62</v>
      </c>
      <c r="E130">
        <f>VLOOKUP(A130,NYSEARCAVWO!A$2:G$506,3,0)</f>
        <v>35.44</v>
      </c>
      <c r="F130">
        <f>VLOOKUP(A130,NYSEARCABND!A$2:G$506,3,0)</f>
        <v>81.319999999999993</v>
      </c>
      <c r="G130">
        <f>VLOOKUP(A130,NYSEARCATIP!A$2:G$506,3,0)</f>
        <v>110.69</v>
      </c>
      <c r="H130">
        <f>VLOOKUP(A130,NYSEARCAMUB!A$2:G$506,3,0)</f>
        <v>109.75</v>
      </c>
      <c r="I130">
        <f>VLOOKUP(A130,NYSEARCAVNQ!A$2:G$506,3,0)</f>
        <v>79.31</v>
      </c>
      <c r="J130">
        <f>VLOOKUP(A130,NYSEARCARWX!A$2:G$506,3,0)</f>
        <v>40.869999999999997</v>
      </c>
      <c r="K130">
        <f>VLOOKUP(A130,NYSEARCADBC!A$2:G$506,3,0)</f>
        <v>14.36</v>
      </c>
      <c r="L130">
        <f>VLOOKUP(A130,NYSEARCAGSG!A$2:G$506,3,0)</f>
        <v>15.79</v>
      </c>
      <c r="M130">
        <f>VLOOKUP(A130,NYSEARCAGLD!A$2:G$506,3,0)</f>
        <v>103.66</v>
      </c>
      <c r="N130">
        <f>VLOOKUP(A130,NYSEBP!A$2:G$506,3,0)</f>
        <v>35.17</v>
      </c>
      <c r="O130">
        <f>VLOOKUP(A130,NASDAQYHOO!A$2:G$506,3,0)</f>
        <v>33.299999999999997</v>
      </c>
    </row>
    <row r="131" spans="1:15">
      <c r="A131" s="39">
        <v>42331</v>
      </c>
      <c r="B131">
        <v>60.74</v>
      </c>
      <c r="C131">
        <f>VLOOKUP(A131,NYSEARCAVTI!A$2:G$506,3,0)</f>
        <v>107.59</v>
      </c>
      <c r="D131">
        <f>VLOOKUP(A131,NYSEARCAVEU!A$2:G$506,3,0)</f>
        <v>45.3</v>
      </c>
      <c r="E131">
        <f>VLOOKUP(A131,NYSEARCAVWO!A$2:G$506,3,0)</f>
        <v>35.18</v>
      </c>
      <c r="F131">
        <f>VLOOKUP(A131,NYSEARCABND!A$2:G$506,3,0)</f>
        <v>81.31</v>
      </c>
      <c r="G131">
        <f>VLOOKUP(A131,NYSEARCATIP!A$2:G$506,3,0)</f>
        <v>110.82</v>
      </c>
      <c r="H131">
        <f>VLOOKUP(A131,NYSEARCAMUB!A$2:G$506,3,0)</f>
        <v>109.84</v>
      </c>
      <c r="I131">
        <f>VLOOKUP(A131,NYSEARCAVNQ!A$2:G$506,3,0)</f>
        <v>79.69</v>
      </c>
      <c r="J131">
        <f>VLOOKUP(A131,NYSEARCARWX!A$2:G$506,3,0)</f>
        <v>40.61</v>
      </c>
      <c r="K131">
        <f>VLOOKUP(A131,NYSEARCADBC!A$2:G$506,3,0)</f>
        <v>14.37</v>
      </c>
      <c r="L131">
        <f>VLOOKUP(A131,NYSEARCAGSG!A$2:G$506,3,0)</f>
        <v>15.78</v>
      </c>
      <c r="M131">
        <f>VLOOKUP(A131,NYSEARCAGLD!A$2:G$506,3,0)</f>
        <v>102.75</v>
      </c>
      <c r="N131">
        <f>VLOOKUP(A131,NYSEBP!A$2:G$506,3,0)</f>
        <v>34.65</v>
      </c>
      <c r="O131">
        <f>VLOOKUP(A131,NASDAQYHOO!A$2:G$506,3,0)</f>
        <v>33.869999999999997</v>
      </c>
    </row>
    <row r="132" spans="1:15">
      <c r="A132" s="39">
        <v>42332</v>
      </c>
      <c r="B132">
        <v>60.42</v>
      </c>
      <c r="C132">
        <f>VLOOKUP(A132,NYSEARCAVTI!A$2:G$506,3,0)</f>
        <v>107.59</v>
      </c>
      <c r="D132">
        <f>VLOOKUP(A132,NYSEARCAVEU!A$2:G$506,3,0)</f>
        <v>45.18</v>
      </c>
      <c r="E132">
        <f>VLOOKUP(A132,NYSEARCAVWO!A$2:G$506,3,0)</f>
        <v>35.08</v>
      </c>
      <c r="F132">
        <f>VLOOKUP(A132,NYSEARCABND!A$2:G$506,3,0)</f>
        <v>81.349999999999994</v>
      </c>
      <c r="G132">
        <f>VLOOKUP(A132,NYSEARCATIP!A$2:G$506,3,0)</f>
        <v>110.98</v>
      </c>
      <c r="H132">
        <f>VLOOKUP(A132,NYSEARCAMUB!A$2:G$506,3,0)</f>
        <v>109.9</v>
      </c>
      <c r="I132">
        <f>VLOOKUP(A132,NYSEARCAVNQ!A$2:G$506,3,0)</f>
        <v>79.13</v>
      </c>
      <c r="J132">
        <f>VLOOKUP(A132,NYSEARCARWX!A$2:G$506,3,0)</f>
        <v>40.32</v>
      </c>
      <c r="K132">
        <f>VLOOKUP(A132,NYSEARCADBC!A$2:G$506,3,0)</f>
        <v>14.59</v>
      </c>
      <c r="L132">
        <f>VLOOKUP(A132,NYSEARCAGSG!A$2:G$506,3,0)</f>
        <v>16</v>
      </c>
      <c r="M132">
        <f>VLOOKUP(A132,NYSEARCAGLD!A$2:G$506,3,0)</f>
        <v>103.25</v>
      </c>
      <c r="N132">
        <f>VLOOKUP(A132,NYSEBP!A$2:G$506,3,0)</f>
        <v>35.08</v>
      </c>
      <c r="O132">
        <f>VLOOKUP(A132,NASDAQYHOO!A$2:G$506,3,0)</f>
        <v>33.19</v>
      </c>
    </row>
    <row r="133" spans="1:15">
      <c r="A133" s="39">
        <v>42333</v>
      </c>
      <c r="B133">
        <v>60.71</v>
      </c>
      <c r="C133">
        <f>VLOOKUP(A133,NYSEARCAVTI!A$2:G$506,3,0)</f>
        <v>107.66</v>
      </c>
      <c r="D133">
        <f>VLOOKUP(A133,NYSEARCAVEU!A$2:G$506,3,0)</f>
        <v>45.2</v>
      </c>
      <c r="E133">
        <f>VLOOKUP(A133,NYSEARCAVWO!A$2:G$506,3,0)</f>
        <v>34.81</v>
      </c>
      <c r="F133">
        <f>VLOOKUP(A133,NYSEARCABND!A$2:G$506,3,0)</f>
        <v>81.36</v>
      </c>
      <c r="G133">
        <f>VLOOKUP(A133,NYSEARCATIP!A$2:G$506,3,0)</f>
        <v>110.86</v>
      </c>
      <c r="H133">
        <f>VLOOKUP(A133,NYSEARCAMUB!A$2:G$506,3,0)</f>
        <v>109.96</v>
      </c>
      <c r="I133">
        <f>VLOOKUP(A133,NYSEARCAVNQ!A$2:G$506,3,0)</f>
        <v>79.48</v>
      </c>
      <c r="J133">
        <f>VLOOKUP(A133,NYSEARCARWX!A$2:G$506,3,0)</f>
        <v>40.340000000000003</v>
      </c>
      <c r="K133">
        <f>VLOOKUP(A133,NYSEARCADBC!A$2:G$506,3,0)</f>
        <v>14.53</v>
      </c>
      <c r="L133">
        <f>VLOOKUP(A133,NYSEARCAGSG!A$2:G$506,3,0)</f>
        <v>15.91</v>
      </c>
      <c r="M133">
        <f>VLOOKUP(A133,NYSEARCAGLD!A$2:G$506,3,0)</f>
        <v>102.69</v>
      </c>
      <c r="N133">
        <f>VLOOKUP(A133,NYSEBP!A$2:G$506,3,0)</f>
        <v>35.119999999999997</v>
      </c>
      <c r="O133">
        <f>VLOOKUP(A133,NASDAQYHOO!A$2:G$506,3,0)</f>
        <v>33.520000000000003</v>
      </c>
    </row>
    <row r="134" spans="1:15">
      <c r="A134" s="39">
        <v>42335</v>
      </c>
      <c r="B134">
        <v>60.69</v>
      </c>
      <c r="C134">
        <f>VLOOKUP(A134,NYSEARCAVTI!A$2:G$506,3,0)</f>
        <v>107.76</v>
      </c>
      <c r="D134">
        <f>VLOOKUP(A134,NYSEARCAVEU!A$2:G$506,3,0)</f>
        <v>45.05</v>
      </c>
      <c r="E134">
        <f>VLOOKUP(A134,NYSEARCAVWO!A$2:G$506,3,0)</f>
        <v>34.33</v>
      </c>
      <c r="F134">
        <f>VLOOKUP(A134,NYSEARCABND!A$2:G$506,3,0)</f>
        <v>81.39</v>
      </c>
      <c r="G134">
        <f>VLOOKUP(A134,NYSEARCATIP!A$2:G$506,3,0)</f>
        <v>110.93</v>
      </c>
      <c r="H134">
        <f>VLOOKUP(A134,NYSEARCAMUB!A$2:G$506,3,0)</f>
        <v>109.98</v>
      </c>
      <c r="I134">
        <f>VLOOKUP(A134,NYSEARCAVNQ!A$2:G$506,3,0)</f>
        <v>80.23</v>
      </c>
      <c r="J134">
        <f>VLOOKUP(A134,NYSEARCARWX!A$2:G$506,3,0)</f>
        <v>40.11</v>
      </c>
      <c r="K134">
        <f>VLOOKUP(A134,NYSEARCADBC!A$2:G$506,3,0)</f>
        <v>14.4</v>
      </c>
      <c r="L134">
        <f>VLOOKUP(A134,NYSEARCAGSG!A$2:G$506,3,0)</f>
        <v>15.76</v>
      </c>
      <c r="M134">
        <f>VLOOKUP(A134,NYSEARCAGLD!A$2:G$506,3,0)</f>
        <v>101.62</v>
      </c>
      <c r="N134">
        <f>VLOOKUP(A134,NYSEBP!A$2:G$506,3,0)</f>
        <v>34.94</v>
      </c>
      <c r="O134">
        <f>VLOOKUP(A134,NASDAQYHOO!A$2:G$506,3,0)</f>
        <v>33.08</v>
      </c>
    </row>
    <row r="135" spans="1:15">
      <c r="A135" s="39">
        <v>42338</v>
      </c>
      <c r="B135">
        <v>60.06</v>
      </c>
      <c r="C135">
        <f>VLOOKUP(A135,NYSEARCAVTI!A$2:G$506,3,0)</f>
        <v>107.85</v>
      </c>
      <c r="D135">
        <f>VLOOKUP(A135,NYSEARCAVEU!A$2:G$506,3,0)</f>
        <v>45.02</v>
      </c>
      <c r="E135">
        <f>VLOOKUP(A135,NYSEARCAVWO!A$2:G$506,3,0)</f>
        <v>34.090000000000003</v>
      </c>
      <c r="F135">
        <f>VLOOKUP(A135,NYSEARCABND!A$2:G$506,3,0)</f>
        <v>81.38</v>
      </c>
      <c r="G135">
        <f>VLOOKUP(A135,NYSEARCATIP!A$2:G$506,3,0)</f>
        <v>111</v>
      </c>
      <c r="H135">
        <f>VLOOKUP(A135,NYSEARCAMUB!A$2:G$506,3,0)</f>
        <v>110.04</v>
      </c>
      <c r="I135">
        <f>VLOOKUP(A135,NYSEARCAVNQ!A$2:G$506,3,0)</f>
        <v>80.459999999999994</v>
      </c>
      <c r="J135">
        <f>VLOOKUP(A135,NYSEARCARWX!A$2:G$506,3,0)</f>
        <v>40.159999999999997</v>
      </c>
      <c r="K135">
        <f>VLOOKUP(A135,NYSEARCADBC!A$2:G$506,3,0)</f>
        <v>14.4</v>
      </c>
      <c r="L135">
        <f>VLOOKUP(A135,NYSEARCAGSG!A$2:G$506,3,0)</f>
        <v>15.77</v>
      </c>
      <c r="M135">
        <f>VLOOKUP(A135,NYSEARCAGLD!A$2:G$506,3,0)</f>
        <v>102.38</v>
      </c>
      <c r="N135">
        <f>VLOOKUP(A135,NYSEBP!A$2:G$506,3,0)</f>
        <v>35.03</v>
      </c>
      <c r="O135">
        <f>VLOOKUP(A135,NASDAQYHOO!A$2:G$506,3,0)</f>
        <v>33.83</v>
      </c>
    </row>
    <row r="136" spans="1:15">
      <c r="A136" s="39">
        <v>42339</v>
      </c>
      <c r="B136">
        <v>59.29</v>
      </c>
      <c r="C136">
        <f>VLOOKUP(A136,NYSEARCAVTI!A$2:G$506,3,0)</f>
        <v>108.21</v>
      </c>
      <c r="D136">
        <f>VLOOKUP(A136,NYSEARCAVEU!A$2:G$506,3,0)</f>
        <v>45.36</v>
      </c>
      <c r="E136">
        <f>VLOOKUP(A136,NYSEARCAVWO!A$2:G$506,3,0)</f>
        <v>34.299999999999997</v>
      </c>
      <c r="F136">
        <f>VLOOKUP(A136,NYSEARCABND!A$2:G$506,3,0)</f>
        <v>81.45</v>
      </c>
      <c r="G136">
        <f>VLOOKUP(A136,NYSEARCATIP!A$2:G$506,3,0)</f>
        <v>111.33</v>
      </c>
      <c r="H136">
        <f>VLOOKUP(A136,NYSEARCAMUB!A$2:G$506,3,0)</f>
        <v>110.04</v>
      </c>
      <c r="I136">
        <f>VLOOKUP(A136,NYSEARCAVNQ!A$2:G$506,3,0)</f>
        <v>80.52</v>
      </c>
      <c r="J136">
        <f>VLOOKUP(A136,NYSEARCARWX!A$2:G$506,3,0)</f>
        <v>40.82</v>
      </c>
      <c r="K136">
        <f>VLOOKUP(A136,NYSEARCADBC!A$2:G$506,3,0)</f>
        <v>14.41</v>
      </c>
      <c r="L136">
        <f>VLOOKUP(A136,NYSEARCAGSG!A$2:G$506,3,0)</f>
        <v>15.68</v>
      </c>
      <c r="M136">
        <f>VLOOKUP(A136,NYSEARCAGLD!A$2:G$506,3,0)</f>
        <v>102.43</v>
      </c>
      <c r="N136">
        <f>VLOOKUP(A136,NYSEBP!A$2:G$506,3,0)</f>
        <v>34.950000000000003</v>
      </c>
      <c r="O136">
        <f>VLOOKUP(A136,NASDAQYHOO!A$2:G$506,3,0)</f>
        <v>33.89</v>
      </c>
    </row>
    <row r="137" spans="1:15">
      <c r="A137" s="39">
        <v>42340</v>
      </c>
      <c r="B137">
        <v>59.29</v>
      </c>
      <c r="C137">
        <f>VLOOKUP(A137,NYSEARCAVTI!A$2:G$506,3,0)</f>
        <v>108.26</v>
      </c>
      <c r="D137">
        <f>VLOOKUP(A137,NYSEARCAVEU!A$2:G$506,3,0)</f>
        <v>45.23</v>
      </c>
      <c r="E137">
        <f>VLOOKUP(A137,NYSEARCAVWO!A$2:G$506,3,0)</f>
        <v>34.200000000000003</v>
      </c>
      <c r="F137">
        <f>VLOOKUP(A137,NYSEARCABND!A$2:G$506,3,0)</f>
        <v>81.41</v>
      </c>
      <c r="G137">
        <f>VLOOKUP(A137,NYSEARCATIP!A$2:G$506,3,0)</f>
        <v>110.98</v>
      </c>
      <c r="H137">
        <f>VLOOKUP(A137,NYSEARCAMUB!A$2:G$506,3,0)</f>
        <v>110.07</v>
      </c>
      <c r="I137">
        <f>VLOOKUP(A137,NYSEARCAVNQ!A$2:G$506,3,0)</f>
        <v>80.37</v>
      </c>
      <c r="J137">
        <f>VLOOKUP(A137,NYSEARCARWX!A$2:G$506,3,0)</f>
        <v>40.6</v>
      </c>
      <c r="K137">
        <f>VLOOKUP(A137,NYSEARCADBC!A$2:G$506,3,0)</f>
        <v>14.29</v>
      </c>
      <c r="L137">
        <f>VLOOKUP(A137,NYSEARCAGSG!A$2:G$506,3,0)</f>
        <v>15.54</v>
      </c>
      <c r="M137">
        <f>VLOOKUP(A137,NYSEARCAGLD!A$2:G$506,3,0)</f>
        <v>101.35</v>
      </c>
      <c r="N137">
        <f>VLOOKUP(A137,NYSEBP!A$2:G$506,3,0)</f>
        <v>34.659999999999997</v>
      </c>
      <c r="O137">
        <f>VLOOKUP(A137,NASDAQYHOO!A$2:G$506,3,0)</f>
        <v>36.39</v>
      </c>
    </row>
    <row r="138" spans="1:15">
      <c r="A138" s="39">
        <v>42341</v>
      </c>
      <c r="B138">
        <v>59.66</v>
      </c>
      <c r="C138">
        <f>VLOOKUP(A138,NYSEARCAVTI!A$2:G$506,3,0)</f>
        <v>107.48</v>
      </c>
      <c r="D138">
        <f>VLOOKUP(A138,NYSEARCAVEU!A$2:G$506,3,0)</f>
        <v>45.1</v>
      </c>
      <c r="E138">
        <f>VLOOKUP(A138,NYSEARCAVWO!A$2:G$506,3,0)</f>
        <v>34.130000000000003</v>
      </c>
      <c r="F138">
        <f>VLOOKUP(A138,NYSEARCABND!A$2:G$506,3,0)</f>
        <v>81.150000000000006</v>
      </c>
      <c r="G138">
        <f>VLOOKUP(A138,NYSEARCATIP!A$2:G$506,3,0)</f>
        <v>110.65</v>
      </c>
      <c r="H138">
        <f>VLOOKUP(A138,NYSEARCAMUB!A$2:G$506,3,0)</f>
        <v>109.96</v>
      </c>
      <c r="I138">
        <f>VLOOKUP(A138,NYSEARCAVNQ!A$2:G$506,3,0)</f>
        <v>78.849999999999994</v>
      </c>
      <c r="J138">
        <f>VLOOKUP(A138,NYSEARCARWX!A$2:G$506,3,0)</f>
        <v>40.409999999999997</v>
      </c>
      <c r="K138">
        <f>VLOOKUP(A138,NYSEARCADBC!A$2:G$506,3,0)</f>
        <v>14.35</v>
      </c>
      <c r="L138">
        <f>VLOOKUP(A138,NYSEARCAGSG!A$2:G$506,3,0)</f>
        <v>15.59</v>
      </c>
      <c r="M138">
        <f>VLOOKUP(A138,NYSEARCAGLD!A$2:G$506,3,0)</f>
        <v>101.97</v>
      </c>
      <c r="N138">
        <f>VLOOKUP(A138,NYSEBP!A$2:G$506,3,0)</f>
        <v>34.04</v>
      </c>
      <c r="O138">
        <f>VLOOKUP(A138,NASDAQYHOO!A$2:G$506,3,0)</f>
        <v>35.72</v>
      </c>
    </row>
    <row r="139" spans="1:15">
      <c r="A139" s="39">
        <v>42342</v>
      </c>
      <c r="B139">
        <v>59.85</v>
      </c>
      <c r="C139">
        <f>VLOOKUP(A139,NYSEARCAVTI!A$2:G$506,3,0)</f>
        <v>107.54</v>
      </c>
      <c r="D139">
        <f>VLOOKUP(A139,NYSEARCAVEU!A$2:G$506,3,0)</f>
        <v>45.01</v>
      </c>
      <c r="E139">
        <f>VLOOKUP(A139,NYSEARCAVWO!A$2:G$506,3,0)</f>
        <v>34.020000000000003</v>
      </c>
      <c r="F139">
        <f>VLOOKUP(A139,NYSEARCABND!A$2:G$506,3,0)</f>
        <v>81.040000000000006</v>
      </c>
      <c r="G139">
        <f>VLOOKUP(A139,NYSEARCATIP!A$2:G$506,3,0)</f>
        <v>110.63</v>
      </c>
      <c r="H139">
        <f>VLOOKUP(A139,NYSEARCAMUB!A$2:G$506,3,0)</f>
        <v>109.94</v>
      </c>
      <c r="I139">
        <f>VLOOKUP(A139,NYSEARCAVNQ!A$2:G$506,3,0)</f>
        <v>79.290000000000006</v>
      </c>
      <c r="J139">
        <f>VLOOKUP(A139,NYSEARCARWX!A$2:G$506,3,0)</f>
        <v>40.32</v>
      </c>
      <c r="K139">
        <f>VLOOKUP(A139,NYSEARCADBC!A$2:G$506,3,0)</f>
        <v>14.26</v>
      </c>
      <c r="L139">
        <f>VLOOKUP(A139,NYSEARCAGSG!A$2:G$506,3,0)</f>
        <v>15.43</v>
      </c>
      <c r="M139">
        <f>VLOOKUP(A139,NYSEARCAGLD!A$2:G$506,3,0)</f>
        <v>104.21</v>
      </c>
      <c r="N139">
        <f>VLOOKUP(A139,NYSEBP!A$2:G$506,3,0)</f>
        <v>32.93</v>
      </c>
      <c r="O139">
        <f>VLOOKUP(A139,NASDAQYHOO!A$2:G$506,3,0)</f>
        <v>35.200000000000003</v>
      </c>
    </row>
    <row r="140" spans="1:15">
      <c r="A140" s="39">
        <v>42345</v>
      </c>
      <c r="B140">
        <v>60.73</v>
      </c>
      <c r="C140">
        <f>VLOOKUP(A140,NYSEARCAVTI!A$2:G$506,3,0)</f>
        <v>107.27</v>
      </c>
      <c r="D140">
        <f>VLOOKUP(A140,NYSEARCAVEU!A$2:G$506,3,0)</f>
        <v>44.7</v>
      </c>
      <c r="E140">
        <f>VLOOKUP(A140,NYSEARCAVWO!A$2:G$506,3,0)</f>
        <v>33.75</v>
      </c>
      <c r="F140">
        <f>VLOOKUP(A140,NYSEARCABND!A$2:G$506,3,0)</f>
        <v>81.290000000000006</v>
      </c>
      <c r="G140">
        <f>VLOOKUP(A140,NYSEARCATIP!A$2:G$506,3,0)</f>
        <v>110.62</v>
      </c>
      <c r="H140">
        <f>VLOOKUP(A140,NYSEARCAMUB!A$2:G$506,3,0)</f>
        <v>109.98</v>
      </c>
      <c r="I140">
        <f>VLOOKUP(A140,NYSEARCAVNQ!A$2:G$506,3,0)</f>
        <v>79.19</v>
      </c>
      <c r="J140">
        <f>VLOOKUP(A140,NYSEARCARWX!A$2:G$506,3,0)</f>
        <v>40.270000000000003</v>
      </c>
      <c r="K140">
        <f>VLOOKUP(A140,NYSEARCADBC!A$2:G$506,3,0)</f>
        <v>14.04</v>
      </c>
      <c r="L140">
        <f>VLOOKUP(A140,NYSEARCAGSG!A$2:G$506,3,0)</f>
        <v>15.1</v>
      </c>
      <c r="M140">
        <f>VLOOKUP(A140,NYSEARCAGLD!A$2:G$506,3,0)</f>
        <v>103.37</v>
      </c>
      <c r="N140">
        <f>VLOOKUP(A140,NYSEBP!A$2:G$506,3,0)</f>
        <v>31.83</v>
      </c>
      <c r="O140">
        <f>VLOOKUP(A140,NASDAQYHOO!A$2:G$506,3,0)</f>
        <v>34.92</v>
      </c>
    </row>
    <row r="141" spans="1:15">
      <c r="A141" s="39">
        <v>42346</v>
      </c>
      <c r="B141">
        <v>60.49</v>
      </c>
      <c r="C141">
        <f>VLOOKUP(A141,NYSEARCAVTI!A$2:G$506,3,0)</f>
        <v>106.4</v>
      </c>
      <c r="D141">
        <f>VLOOKUP(A141,NYSEARCAVEU!A$2:G$506,3,0)</f>
        <v>43.93</v>
      </c>
      <c r="E141">
        <f>VLOOKUP(A141,NYSEARCAVWO!A$2:G$506,3,0)</f>
        <v>33.07</v>
      </c>
      <c r="F141">
        <f>VLOOKUP(A141,NYSEARCABND!A$2:G$506,3,0)</f>
        <v>81.27</v>
      </c>
      <c r="G141">
        <f>VLOOKUP(A141,NYSEARCATIP!A$2:G$506,3,0)</f>
        <v>110.58</v>
      </c>
      <c r="H141">
        <f>VLOOKUP(A141,NYSEARCAMUB!A$2:G$506,3,0)</f>
        <v>110.11</v>
      </c>
      <c r="I141">
        <f>VLOOKUP(A141,NYSEARCAVNQ!A$2:G$506,3,0)</f>
        <v>79.09</v>
      </c>
      <c r="J141">
        <f>VLOOKUP(A141,NYSEARCARWX!A$2:G$506,3,0)</f>
        <v>39.770000000000003</v>
      </c>
      <c r="K141">
        <f>VLOOKUP(A141,NYSEARCADBC!A$2:G$506,3,0)</f>
        <v>13.83</v>
      </c>
      <c r="L141">
        <f>VLOOKUP(A141,NYSEARCAGSG!A$2:G$506,3,0)</f>
        <v>14.87</v>
      </c>
      <c r="M141">
        <f>VLOOKUP(A141,NYSEARCAGLD!A$2:G$506,3,0)</f>
        <v>103.26</v>
      </c>
      <c r="N141">
        <f>VLOOKUP(A141,NYSEBP!A$2:G$506,3,0)</f>
        <v>31.7</v>
      </c>
      <c r="O141">
        <f>VLOOKUP(A141,NASDAQYHOO!A$2:G$506,3,0)</f>
        <v>34.979999999999997</v>
      </c>
    </row>
    <row r="142" spans="1:15">
      <c r="A142" s="39">
        <v>42347</v>
      </c>
      <c r="B142">
        <v>60.11</v>
      </c>
      <c r="C142">
        <f>VLOOKUP(A142,NYSEARCAVTI!A$2:G$506,3,0)</f>
        <v>106.75</v>
      </c>
      <c r="D142">
        <f>VLOOKUP(A142,NYSEARCAVEU!A$2:G$506,3,0)</f>
        <v>44.21</v>
      </c>
      <c r="E142">
        <f>VLOOKUP(A142,NYSEARCAVWO!A$2:G$506,3,0)</f>
        <v>33.31</v>
      </c>
      <c r="F142">
        <f>VLOOKUP(A142,NYSEARCABND!A$2:G$506,3,0)</f>
        <v>81.260000000000005</v>
      </c>
      <c r="G142">
        <f>VLOOKUP(A142,NYSEARCATIP!A$2:G$506,3,0)</f>
        <v>110.44</v>
      </c>
      <c r="H142">
        <f>VLOOKUP(A142,NYSEARCAMUB!A$2:G$506,3,0)</f>
        <v>110.16</v>
      </c>
      <c r="I142">
        <f>VLOOKUP(A142,NYSEARCAVNQ!A$2:G$506,3,0)</f>
        <v>79.16</v>
      </c>
      <c r="J142">
        <f>VLOOKUP(A142,NYSEARCARWX!A$2:G$506,3,0)</f>
        <v>39.880000000000003</v>
      </c>
      <c r="K142">
        <f>VLOOKUP(A142,NYSEARCADBC!A$2:G$506,3,0)</f>
        <v>13.92</v>
      </c>
      <c r="L142">
        <f>VLOOKUP(A142,NYSEARCAGSG!A$2:G$506,3,0)</f>
        <v>14.94</v>
      </c>
      <c r="M142">
        <f>VLOOKUP(A142,NYSEARCAGLD!A$2:G$506,3,0)</f>
        <v>103.66</v>
      </c>
      <c r="N142">
        <f>VLOOKUP(A142,NYSEBP!A$2:G$506,3,0)</f>
        <v>32.409999999999997</v>
      </c>
      <c r="O142">
        <f>VLOOKUP(A142,NASDAQYHOO!A$2:G$506,3,0)</f>
        <v>35.840000000000003</v>
      </c>
    </row>
    <row r="143" spans="1:15">
      <c r="A143" s="39">
        <v>42348</v>
      </c>
      <c r="B143">
        <v>60.09</v>
      </c>
      <c r="C143">
        <f>VLOOKUP(A143,NYSEARCAVTI!A$2:G$506,3,0)</f>
        <v>106.06</v>
      </c>
      <c r="D143">
        <f>VLOOKUP(A143,NYSEARCAVEU!A$2:G$506,3,0)</f>
        <v>43.91</v>
      </c>
      <c r="E143">
        <f>VLOOKUP(A143,NYSEARCAVWO!A$2:G$506,3,0)</f>
        <v>32.78</v>
      </c>
      <c r="F143">
        <f>VLOOKUP(A143,NYSEARCABND!A$2:G$506,3,0)</f>
        <v>81.22</v>
      </c>
      <c r="G143">
        <f>VLOOKUP(A143,NYSEARCATIP!A$2:G$506,3,0)</f>
        <v>110.23</v>
      </c>
      <c r="H143">
        <f>VLOOKUP(A143,NYSEARCAMUB!A$2:G$506,3,0)</f>
        <v>110.26</v>
      </c>
      <c r="I143">
        <f>VLOOKUP(A143,NYSEARCAVNQ!A$2:G$506,3,0)</f>
        <v>78.760000000000005</v>
      </c>
      <c r="J143">
        <f>VLOOKUP(A143,NYSEARCARWX!A$2:G$506,3,0)</f>
        <v>39.56</v>
      </c>
      <c r="K143">
        <f>VLOOKUP(A143,NYSEARCADBC!A$2:G$506,3,0)</f>
        <v>13.77</v>
      </c>
      <c r="L143">
        <f>VLOOKUP(A143,NYSEARCAGSG!A$2:G$506,3,0)</f>
        <v>14.7</v>
      </c>
      <c r="M143">
        <f>VLOOKUP(A143,NYSEARCAGLD!A$2:G$506,3,0)</f>
        <v>102.82</v>
      </c>
      <c r="N143">
        <f>VLOOKUP(A143,NYSEBP!A$2:G$506,3,0)</f>
        <v>32.18</v>
      </c>
      <c r="O143">
        <f>VLOOKUP(A143,NASDAQYHOO!A$2:G$506,3,0)</f>
        <v>34.729999999999997</v>
      </c>
    </row>
    <row r="144" spans="1:15">
      <c r="A144" s="39">
        <v>42349</v>
      </c>
      <c r="B144">
        <v>59.53</v>
      </c>
      <c r="C144">
        <f>VLOOKUP(A144,NYSEARCAVTI!A$2:G$506,3,0)</f>
        <v>104.43</v>
      </c>
      <c r="D144">
        <f>VLOOKUP(A144,NYSEARCAVEU!A$2:G$506,3,0)</f>
        <v>43.05</v>
      </c>
      <c r="E144">
        <f>VLOOKUP(A144,NYSEARCAVWO!A$2:G$506,3,0)</f>
        <v>31.86</v>
      </c>
      <c r="F144">
        <f>VLOOKUP(A144,NYSEARCABND!A$2:G$506,3,0)</f>
        <v>81.42</v>
      </c>
      <c r="G144">
        <f>VLOOKUP(A144,NYSEARCATIP!A$2:G$506,3,0)</f>
        <v>110.48</v>
      </c>
      <c r="H144">
        <f>VLOOKUP(A144,NYSEARCAMUB!A$2:G$506,3,0)</f>
        <v>110.48</v>
      </c>
      <c r="I144">
        <f>VLOOKUP(A144,NYSEARCAVNQ!A$2:G$506,3,0)</f>
        <v>78.010000000000005</v>
      </c>
      <c r="J144">
        <f>VLOOKUP(A144,NYSEARCARWX!A$2:G$506,3,0)</f>
        <v>38.9</v>
      </c>
      <c r="K144">
        <f>VLOOKUP(A144,NYSEARCADBC!A$2:G$506,3,0)</f>
        <v>13.71</v>
      </c>
      <c r="L144">
        <f>VLOOKUP(A144,NYSEARCAGSG!A$2:G$506,3,0)</f>
        <v>14.53</v>
      </c>
      <c r="M144">
        <f>VLOOKUP(A144,NYSEARCAGLD!A$2:G$506,3,0)</f>
        <v>103.32</v>
      </c>
      <c r="N144">
        <f>VLOOKUP(A144,NYSEBP!A$2:G$506,3,0)</f>
        <v>31.25</v>
      </c>
      <c r="O144">
        <f>VLOOKUP(A144,NASDAQYHOO!A$2:G$506,3,0)</f>
        <v>34.15</v>
      </c>
    </row>
    <row r="145" spans="1:15">
      <c r="A145" s="39">
        <v>42352</v>
      </c>
      <c r="B145">
        <v>60.44</v>
      </c>
      <c r="C145">
        <f>VLOOKUP(A145,NYSEARCAVTI!A$2:G$506,3,0)</f>
        <v>103.72</v>
      </c>
      <c r="D145">
        <f>VLOOKUP(A145,NYSEARCAVEU!A$2:G$506,3,0)</f>
        <v>43.02</v>
      </c>
      <c r="E145">
        <f>VLOOKUP(A145,NYSEARCAVWO!A$2:G$506,3,0)</f>
        <v>32.1</v>
      </c>
      <c r="F145">
        <f>VLOOKUP(A145,NYSEARCABND!A$2:G$506,3,0)</f>
        <v>81.260000000000005</v>
      </c>
      <c r="G145">
        <f>VLOOKUP(A145,NYSEARCATIP!A$2:G$506,3,0)</f>
        <v>110</v>
      </c>
      <c r="H145">
        <f>VLOOKUP(A145,NYSEARCAMUB!A$2:G$506,3,0)</f>
        <v>110.34</v>
      </c>
      <c r="I145">
        <f>VLOOKUP(A145,NYSEARCAVNQ!A$2:G$506,3,0)</f>
        <v>78.06</v>
      </c>
      <c r="J145">
        <f>VLOOKUP(A145,NYSEARCARWX!A$2:G$506,3,0)</f>
        <v>39</v>
      </c>
      <c r="K145">
        <f>VLOOKUP(A145,NYSEARCADBC!A$2:G$506,3,0)</f>
        <v>13.55</v>
      </c>
      <c r="L145">
        <f>VLOOKUP(A145,NYSEARCAGSG!A$2:G$506,3,0)</f>
        <v>14.33</v>
      </c>
      <c r="M145">
        <f>VLOOKUP(A145,NYSEARCAGLD!A$2:G$506,3,0)</f>
        <v>102.72</v>
      </c>
      <c r="N145">
        <f>VLOOKUP(A145,NYSEBP!A$2:G$506,3,0)</f>
        <v>30.63</v>
      </c>
      <c r="O145">
        <f>VLOOKUP(A145,NASDAQYHOO!A$2:G$506,3,0)</f>
        <v>33.270000000000003</v>
      </c>
    </row>
    <row r="146" spans="1:15">
      <c r="A146" s="39">
        <v>42353</v>
      </c>
      <c r="B146">
        <v>60.84</v>
      </c>
      <c r="C146">
        <f>VLOOKUP(A146,NYSEARCAVTI!A$2:G$506,3,0)</f>
        <v>105.19</v>
      </c>
      <c r="D146">
        <f>VLOOKUP(A146,NYSEARCAVEU!A$2:G$506,3,0)</f>
        <v>43.39</v>
      </c>
      <c r="E146">
        <f>VLOOKUP(A146,NYSEARCAVWO!A$2:G$506,3,0)</f>
        <v>32.700000000000003</v>
      </c>
      <c r="F146">
        <f>VLOOKUP(A146,NYSEARCABND!A$2:G$506,3,0)</f>
        <v>80.959999999999994</v>
      </c>
      <c r="G146">
        <f>VLOOKUP(A146,NYSEARCATIP!A$2:G$506,3,0)</f>
        <v>109.61</v>
      </c>
      <c r="H146">
        <f>VLOOKUP(A146,NYSEARCAMUB!A$2:G$506,3,0)</f>
        <v>110.15</v>
      </c>
      <c r="I146">
        <f>VLOOKUP(A146,NYSEARCAVNQ!A$2:G$506,3,0)</f>
        <v>79.260000000000005</v>
      </c>
      <c r="J146">
        <f>VLOOKUP(A146,NYSEARCARWX!A$2:G$506,3,0)</f>
        <v>39.119999999999997</v>
      </c>
      <c r="K146">
        <f>VLOOKUP(A146,NYSEARCADBC!A$2:G$506,3,0)</f>
        <v>13.6</v>
      </c>
      <c r="L146">
        <f>VLOOKUP(A146,NYSEARCAGSG!A$2:G$506,3,0)</f>
        <v>14.49</v>
      </c>
      <c r="M146">
        <f>VLOOKUP(A146,NYSEARCAGLD!A$2:G$506,3,0)</f>
        <v>102.06</v>
      </c>
      <c r="N146">
        <f>VLOOKUP(A146,NYSEBP!A$2:G$506,3,0)</f>
        <v>30.87</v>
      </c>
      <c r="O146">
        <f>VLOOKUP(A146,NASDAQYHOO!A$2:G$506,3,0)</f>
        <v>33.39</v>
      </c>
    </row>
    <row r="147" spans="1:15">
      <c r="A147" s="39">
        <v>42354</v>
      </c>
      <c r="B147">
        <v>60.65</v>
      </c>
      <c r="C147">
        <f>VLOOKUP(A147,NYSEARCAVTI!A$2:G$506,3,0)</f>
        <v>106.42</v>
      </c>
      <c r="D147">
        <f>VLOOKUP(A147,NYSEARCAVEU!A$2:G$506,3,0)</f>
        <v>44.1</v>
      </c>
      <c r="E147">
        <f>VLOOKUP(A147,NYSEARCAVWO!A$2:G$506,3,0)</f>
        <v>33.299999999999997</v>
      </c>
      <c r="F147">
        <f>VLOOKUP(A147,NYSEARCABND!A$2:G$506,3,0)</f>
        <v>81</v>
      </c>
      <c r="G147">
        <f>VLOOKUP(A147,NYSEARCATIP!A$2:G$506,3,0)</f>
        <v>109.49</v>
      </c>
      <c r="H147">
        <f>VLOOKUP(A147,NYSEARCAMUB!A$2:G$506,3,0)</f>
        <v>110.09</v>
      </c>
      <c r="I147">
        <f>VLOOKUP(A147,NYSEARCAVNQ!A$2:G$506,3,0)</f>
        <v>80.56</v>
      </c>
      <c r="J147">
        <f>VLOOKUP(A147,NYSEARCARWX!A$2:G$506,3,0)</f>
        <v>39.86</v>
      </c>
      <c r="K147">
        <f>VLOOKUP(A147,NYSEARCADBC!A$2:G$506,3,0)</f>
        <v>13.42</v>
      </c>
      <c r="L147">
        <f>VLOOKUP(A147,NYSEARCAGSG!A$2:G$506,3,0)</f>
        <v>14.21</v>
      </c>
      <c r="M147">
        <f>VLOOKUP(A147,NYSEARCAGLD!A$2:G$506,3,0)</f>
        <v>103.2</v>
      </c>
      <c r="N147">
        <f>VLOOKUP(A147,NYSEBP!A$2:G$506,3,0)</f>
        <v>31.2</v>
      </c>
      <c r="O147">
        <f>VLOOKUP(A147,NASDAQYHOO!A$2:G$506,3,0)</f>
        <v>33.880000000000003</v>
      </c>
    </row>
    <row r="148" spans="1:15">
      <c r="A148" s="39">
        <v>42355</v>
      </c>
      <c r="B148">
        <v>60.33</v>
      </c>
      <c r="C148">
        <f>VLOOKUP(A148,NYSEARCAVTI!A$2:G$506,3,0)</f>
        <v>106.47</v>
      </c>
      <c r="D148">
        <f>VLOOKUP(A148,NYSEARCAVEU!A$2:G$506,3,0)</f>
        <v>43.99</v>
      </c>
      <c r="E148">
        <f>VLOOKUP(A148,NYSEARCAVWO!A$2:G$506,3,0)</f>
        <v>33.340000000000003</v>
      </c>
      <c r="F148">
        <f>VLOOKUP(A148,NYSEARCABND!A$2:G$506,3,0)</f>
        <v>81.02</v>
      </c>
      <c r="G148">
        <f>VLOOKUP(A148,NYSEARCATIP!A$2:G$506,3,0)</f>
        <v>109.67</v>
      </c>
      <c r="H148">
        <f>VLOOKUP(A148,NYSEARCAMUB!A$2:G$506,3,0)</f>
        <v>110.36</v>
      </c>
      <c r="I148">
        <f>VLOOKUP(A148,NYSEARCAVNQ!A$2:G$506,3,0)</f>
        <v>80.59</v>
      </c>
      <c r="J148">
        <f>VLOOKUP(A148,NYSEARCARWX!A$2:G$506,3,0)</f>
        <v>39.65</v>
      </c>
      <c r="K148">
        <f>VLOOKUP(A148,NYSEARCADBC!A$2:G$506,3,0)</f>
        <v>13.3</v>
      </c>
      <c r="L148">
        <f>VLOOKUP(A148,NYSEARCAGSG!A$2:G$506,3,0)</f>
        <v>14.5</v>
      </c>
      <c r="M148">
        <f>VLOOKUP(A148,NYSEARCAGLD!A$2:G$506,3,0)</f>
        <v>100.99</v>
      </c>
      <c r="N148">
        <f>VLOOKUP(A148,NYSEBP!A$2:G$506,3,0)</f>
        <v>30.83</v>
      </c>
      <c r="O148">
        <f>VLOOKUP(A148,NASDAQYHOO!A$2:G$506,3,0)</f>
        <v>34.08</v>
      </c>
    </row>
    <row r="149" spans="1:15">
      <c r="A149" s="39">
        <v>42356</v>
      </c>
      <c r="B149">
        <v>59.4</v>
      </c>
      <c r="C149">
        <f>VLOOKUP(A149,NYSEARCAVTI!A$2:G$506,3,0)</f>
        <v>104.36</v>
      </c>
      <c r="D149">
        <f>VLOOKUP(A149,NYSEARCAVEU!A$2:G$506,3,0)</f>
        <v>43.39</v>
      </c>
      <c r="E149">
        <f>VLOOKUP(A149,NYSEARCAVWO!A$2:G$506,3,0)</f>
        <v>32.9</v>
      </c>
      <c r="F149">
        <f>VLOOKUP(A149,NYSEARCABND!A$2:G$506,3,0)</f>
        <v>81.17</v>
      </c>
      <c r="G149">
        <f>VLOOKUP(A149,NYSEARCATIP!A$2:G$506,3,0)</f>
        <v>109.97</v>
      </c>
      <c r="H149">
        <f>VLOOKUP(A149,NYSEARCAMUB!A$2:G$506,3,0)</f>
        <v>110.6</v>
      </c>
      <c r="I149">
        <f>VLOOKUP(A149,NYSEARCAVNQ!A$2:G$506,3,0)</f>
        <v>80.05</v>
      </c>
      <c r="J149">
        <f>VLOOKUP(A149,NYSEARCARWX!A$2:G$506,3,0)</f>
        <v>39.159999999999997</v>
      </c>
      <c r="K149">
        <f>VLOOKUP(A149,NYSEARCADBC!A$2:G$506,3,0)</f>
        <v>13.44</v>
      </c>
      <c r="L149">
        <f>VLOOKUP(A149,NYSEARCAGSG!A$2:G$506,3,0)</f>
        <v>14.19</v>
      </c>
      <c r="M149">
        <f>VLOOKUP(A149,NYSEARCAGLD!A$2:G$506,3,0)</f>
        <v>102.53</v>
      </c>
      <c r="N149">
        <f>VLOOKUP(A149,NYSEBP!A$2:G$506,3,0)</f>
        <v>30.63</v>
      </c>
      <c r="O149">
        <f>VLOOKUP(A149,NASDAQYHOO!A$2:G$506,3,0)</f>
        <v>33.630000000000003</v>
      </c>
    </row>
    <row r="150" spans="1:15">
      <c r="A150" s="39">
        <v>42359</v>
      </c>
      <c r="B150">
        <v>59.58</v>
      </c>
      <c r="C150">
        <f>VLOOKUP(A150,NYSEARCAVTI!A$2:G$506,3,0)</f>
        <v>103.28</v>
      </c>
      <c r="D150">
        <f>VLOOKUP(A150,NYSEARCAVEU!A$2:G$506,3,0)</f>
        <v>43.28</v>
      </c>
      <c r="E150">
        <f>VLOOKUP(A150,NYSEARCAVWO!A$2:G$506,3,0)</f>
        <v>32.81</v>
      </c>
      <c r="F150">
        <f>VLOOKUP(A150,NYSEARCABND!A$2:G$506,3,0)</f>
        <v>81.23</v>
      </c>
      <c r="G150">
        <f>VLOOKUP(A150,NYSEARCATIP!A$2:G$506,3,0)</f>
        <v>109.82</v>
      </c>
      <c r="H150">
        <f>VLOOKUP(A150,NYSEARCAMUB!A$2:G$506,3,0)</f>
        <v>110.62</v>
      </c>
      <c r="I150">
        <f>VLOOKUP(A150,NYSEARCAVNQ!A$2:G$506,3,0)</f>
        <v>79.87</v>
      </c>
      <c r="J150">
        <f>VLOOKUP(A150,NYSEARCARWX!A$2:G$506,3,0)</f>
        <v>39.28</v>
      </c>
      <c r="K150">
        <f>VLOOKUP(A150,NYSEARCADBC!A$2:G$506,3,0)</f>
        <v>13.3</v>
      </c>
      <c r="L150">
        <f>VLOOKUP(A150,NYSEARCAGSG!A$2:G$506,3,0)</f>
        <v>14.02</v>
      </c>
      <c r="M150">
        <f>VLOOKUP(A150,NYSEARCAGLD!A$2:G$506,3,0)</f>
        <v>103.52</v>
      </c>
      <c r="N150">
        <f>VLOOKUP(A150,NYSEBP!A$2:G$506,3,0)</f>
        <v>30.68</v>
      </c>
      <c r="O150">
        <f>VLOOKUP(A150,NASDAQYHOO!A$2:G$506,3,0)</f>
        <v>33.299999999999997</v>
      </c>
    </row>
    <row r="151" spans="1:15">
      <c r="A151" s="39">
        <v>42360</v>
      </c>
      <c r="B151">
        <v>60.7</v>
      </c>
      <c r="C151">
        <f>VLOOKUP(A151,NYSEARCAVTI!A$2:G$506,3,0)</f>
        <v>104.26</v>
      </c>
      <c r="D151">
        <f>VLOOKUP(A151,NYSEARCAVEU!A$2:G$506,3,0)</f>
        <v>43.34</v>
      </c>
      <c r="E151">
        <f>VLOOKUP(A151,NYSEARCAVWO!A$2:G$506,3,0)</f>
        <v>32.97</v>
      </c>
      <c r="F151">
        <f>VLOOKUP(A151,NYSEARCABND!A$2:G$506,3,0)</f>
        <v>81.040000000000006</v>
      </c>
      <c r="G151">
        <f>VLOOKUP(A151,NYSEARCATIP!A$2:G$506,3,0)</f>
        <v>109.54</v>
      </c>
      <c r="H151">
        <f>VLOOKUP(A151,NYSEARCAMUB!A$2:G$506,3,0)</f>
        <v>110.61</v>
      </c>
      <c r="I151">
        <f>VLOOKUP(A151,NYSEARCAVNQ!A$2:G$506,3,0)</f>
        <v>80.209999999999994</v>
      </c>
      <c r="J151">
        <f>VLOOKUP(A151,NYSEARCARWX!A$2:G$506,3,0)</f>
        <v>39.25</v>
      </c>
      <c r="K151">
        <f>VLOOKUP(A151,NYSEARCADBC!A$2:G$506,3,0)</f>
        <v>13.26</v>
      </c>
      <c r="L151">
        <f>VLOOKUP(A151,NYSEARCAGSG!A$2:G$506,3,0)</f>
        <v>14</v>
      </c>
      <c r="M151">
        <f>VLOOKUP(A151,NYSEARCAGLD!A$2:G$506,3,0)</f>
        <v>103.2</v>
      </c>
      <c r="N151">
        <f>VLOOKUP(A151,NYSEBP!A$2:G$506,3,0)</f>
        <v>30.86</v>
      </c>
      <c r="O151">
        <f>VLOOKUP(A151,NASDAQYHOO!A$2:G$506,3,0)</f>
        <v>34.21</v>
      </c>
    </row>
    <row r="152" spans="1:15">
      <c r="A152" s="39">
        <v>42361</v>
      </c>
      <c r="B152">
        <v>61.12</v>
      </c>
      <c r="C152">
        <f>VLOOKUP(A152,NYSEARCAVTI!A$2:G$506,3,0)</f>
        <v>105.4</v>
      </c>
      <c r="D152">
        <f>VLOOKUP(A152,NYSEARCAVEU!A$2:G$506,3,0)</f>
        <v>44.04</v>
      </c>
      <c r="E152">
        <f>VLOOKUP(A152,NYSEARCAVWO!A$2:G$506,3,0)</f>
        <v>33.47</v>
      </c>
      <c r="F152">
        <f>VLOOKUP(A152,NYSEARCABND!A$2:G$506,3,0)</f>
        <v>80.739999999999995</v>
      </c>
      <c r="G152">
        <f>VLOOKUP(A152,NYSEARCATIP!A$2:G$506,3,0)</f>
        <v>109.67</v>
      </c>
      <c r="H152">
        <f>VLOOKUP(A152,NYSEARCAMUB!A$2:G$506,3,0)</f>
        <v>110.62</v>
      </c>
      <c r="I152">
        <f>VLOOKUP(A152,NYSEARCAVNQ!A$2:G$506,3,0)</f>
        <v>79.44</v>
      </c>
      <c r="J152">
        <f>VLOOKUP(A152,NYSEARCARWX!A$2:G$506,3,0)</f>
        <v>39.6</v>
      </c>
      <c r="K152">
        <f>VLOOKUP(A152,NYSEARCADBC!A$2:G$506,3,0)</f>
        <v>13.42</v>
      </c>
      <c r="L152">
        <f>VLOOKUP(A152,NYSEARCAGSG!A$2:G$506,3,0)</f>
        <v>14.3</v>
      </c>
      <c r="M152">
        <f>VLOOKUP(A152,NYSEARCAGLD!A$2:G$506,3,0)</f>
        <v>102.59</v>
      </c>
      <c r="N152">
        <f>VLOOKUP(A152,NYSEBP!A$2:G$506,3,0)</f>
        <v>32.35</v>
      </c>
      <c r="O152">
        <f>VLOOKUP(A152,NASDAQYHOO!A$2:G$506,3,0)</f>
        <v>34.58</v>
      </c>
    </row>
    <row r="153" spans="1:15">
      <c r="A153" s="39">
        <v>42362</v>
      </c>
      <c r="B153">
        <v>61.1</v>
      </c>
      <c r="C153">
        <f>VLOOKUP(A153,NYSEARCAVTI!A$2:G$506,3,0)</f>
        <v>105.6</v>
      </c>
      <c r="D153">
        <f>VLOOKUP(A153,NYSEARCAVEU!A$2:G$506,3,0)</f>
        <v>44.07</v>
      </c>
      <c r="E153">
        <f>VLOOKUP(A153,NYSEARCAVWO!A$2:G$506,3,0)</f>
        <v>33.44</v>
      </c>
      <c r="F153">
        <f>VLOOKUP(A153,NYSEARCABND!A$2:G$506,3,0)</f>
        <v>80.83</v>
      </c>
      <c r="G153">
        <f>VLOOKUP(A153,NYSEARCATIP!A$2:G$506,3,0)</f>
        <v>109.84</v>
      </c>
      <c r="H153">
        <f>VLOOKUP(A153,NYSEARCAMUB!A$2:G$506,3,0)</f>
        <v>110.44</v>
      </c>
      <c r="I153">
        <f>VLOOKUP(A153,NYSEARCAVNQ!A$2:G$506,3,0)</f>
        <v>79.69</v>
      </c>
      <c r="J153">
        <f>VLOOKUP(A153,NYSEARCARWX!A$2:G$506,3,0)</f>
        <v>39.74</v>
      </c>
      <c r="K153">
        <f>VLOOKUP(A153,NYSEARCADBC!A$2:G$506,3,0)</f>
        <v>13.47</v>
      </c>
      <c r="L153">
        <f>VLOOKUP(A153,NYSEARCAGSG!A$2:G$506,3,0)</f>
        <v>14.33</v>
      </c>
      <c r="M153">
        <f>VLOOKUP(A153,NYSEARCAGLD!A$2:G$506,3,0)</f>
        <v>103.05</v>
      </c>
      <c r="N153">
        <f>VLOOKUP(A153,NYSEBP!A$2:G$506,3,0)</f>
        <v>32.590000000000003</v>
      </c>
      <c r="O153">
        <f>VLOOKUP(A153,NASDAQYHOO!A$2:G$506,3,0)</f>
        <v>34.74</v>
      </c>
    </row>
    <row r="154" spans="1:15">
      <c r="A154" s="39">
        <v>42366</v>
      </c>
      <c r="B154">
        <v>60.97</v>
      </c>
      <c r="C154">
        <f>VLOOKUP(A154,NYSEARCAVTI!A$2:G$506,3,0)</f>
        <v>105</v>
      </c>
      <c r="D154">
        <f>VLOOKUP(A154,NYSEARCAVEU!A$2:G$506,3,0)</f>
        <v>43.96</v>
      </c>
      <c r="E154">
        <f>VLOOKUP(A154,NYSEARCAVWO!A$2:G$506,3,0)</f>
        <v>33.229999999999997</v>
      </c>
      <c r="F154">
        <f>VLOOKUP(A154,NYSEARCABND!A$2:G$506,3,0)</f>
        <v>80.88</v>
      </c>
      <c r="G154">
        <f>VLOOKUP(A154,NYSEARCATIP!A$2:G$506,3,0)</f>
        <v>109.99</v>
      </c>
      <c r="H154">
        <f>VLOOKUP(A154,NYSEARCAMUB!A$2:G$506,3,0)</f>
        <v>110.55</v>
      </c>
      <c r="I154">
        <f>VLOOKUP(A154,NYSEARCAVNQ!A$2:G$506,3,0)</f>
        <v>79.87</v>
      </c>
      <c r="J154">
        <f>VLOOKUP(A154,NYSEARCARWX!A$2:G$506,3,0)</f>
        <v>39.51</v>
      </c>
      <c r="K154">
        <f>VLOOKUP(A154,NYSEARCADBC!A$2:G$506,3,0)</f>
        <v>13.3</v>
      </c>
      <c r="L154">
        <f>VLOOKUP(A154,NYSEARCAGSG!A$2:G$506,3,0)</f>
        <v>14.16</v>
      </c>
      <c r="M154">
        <f>VLOOKUP(A154,NYSEARCAGLD!A$2:G$506,3,0)</f>
        <v>102.6</v>
      </c>
      <c r="N154">
        <f>VLOOKUP(A154,NYSEBP!A$2:G$506,3,0)</f>
        <v>31.82</v>
      </c>
      <c r="O154">
        <f>VLOOKUP(A154,NASDAQYHOO!A$2:G$506,3,0)</f>
        <v>33.909999999999997</v>
      </c>
    </row>
    <row r="155" spans="1:15">
      <c r="A155" s="39">
        <v>42367</v>
      </c>
      <c r="B155">
        <v>61.75</v>
      </c>
      <c r="C155">
        <f>VLOOKUP(A155,NYSEARCAVTI!A$2:G$506,3,0)</f>
        <v>106.24</v>
      </c>
      <c r="D155">
        <f>VLOOKUP(A155,NYSEARCAVEU!A$2:G$506,3,0)</f>
        <v>44.27</v>
      </c>
      <c r="E155">
        <f>VLOOKUP(A155,NYSEARCAVWO!A$2:G$506,3,0)</f>
        <v>33.31</v>
      </c>
      <c r="F155">
        <f>VLOOKUP(A155,NYSEARCABND!A$2:G$506,3,0)</f>
        <v>80.73</v>
      </c>
      <c r="G155">
        <f>VLOOKUP(A155,NYSEARCATIP!A$2:G$506,3,0)</f>
        <v>109.85</v>
      </c>
      <c r="H155">
        <f>VLOOKUP(A155,NYSEARCAMUB!A$2:G$506,3,0)</f>
        <v>110.54</v>
      </c>
      <c r="I155">
        <f>VLOOKUP(A155,NYSEARCAVNQ!A$2:G$506,3,0)</f>
        <v>80.8</v>
      </c>
      <c r="J155">
        <f>VLOOKUP(A155,NYSEARCARWX!A$2:G$506,3,0)</f>
        <v>39.869999999999997</v>
      </c>
      <c r="K155">
        <f>VLOOKUP(A155,NYSEARCADBC!A$2:G$506,3,0)</f>
        <v>13.46</v>
      </c>
      <c r="L155">
        <f>VLOOKUP(A155,NYSEARCAGSG!A$2:G$506,3,0)</f>
        <v>14.38</v>
      </c>
      <c r="M155">
        <f>VLOOKUP(A155,NYSEARCAGLD!A$2:G$506,3,0)</f>
        <v>102.58</v>
      </c>
      <c r="N155">
        <f>VLOOKUP(A155,NYSEBP!A$2:G$506,3,0)</f>
        <v>32.200000000000003</v>
      </c>
      <c r="O155">
        <f>VLOOKUP(A155,NASDAQYHOO!A$2:G$506,3,0)</f>
        <v>34.17</v>
      </c>
    </row>
    <row r="156" spans="1:15">
      <c r="A156" s="39">
        <v>42368</v>
      </c>
      <c r="B156">
        <v>61.87</v>
      </c>
      <c r="C156">
        <f>VLOOKUP(A156,NYSEARCAVTI!A$2:G$506,3,0)</f>
        <v>106</v>
      </c>
      <c r="D156">
        <f>VLOOKUP(A156,NYSEARCAVEU!A$2:G$506,3,0)</f>
        <v>44.01</v>
      </c>
      <c r="E156">
        <f>VLOOKUP(A156,NYSEARCAVWO!A$2:G$506,3,0)</f>
        <v>32.94</v>
      </c>
      <c r="F156">
        <f>VLOOKUP(A156,NYSEARCABND!A$2:G$506,3,0)</f>
        <v>80.650000000000006</v>
      </c>
      <c r="G156">
        <f>VLOOKUP(A156,NYSEARCATIP!A$2:G$506,3,0)</f>
        <v>109.6</v>
      </c>
      <c r="H156">
        <f>VLOOKUP(A156,NYSEARCAMUB!A$2:G$506,3,0)</f>
        <v>110.55</v>
      </c>
      <c r="I156">
        <f>VLOOKUP(A156,NYSEARCAVNQ!A$2:G$506,3,0)</f>
        <v>80.91</v>
      </c>
      <c r="J156">
        <f>VLOOKUP(A156,NYSEARCARWX!A$2:G$506,3,0)</f>
        <v>39.69</v>
      </c>
      <c r="K156">
        <f>VLOOKUP(A156,NYSEARCADBC!A$2:G$506,3,0)</f>
        <v>13.34</v>
      </c>
      <c r="L156">
        <f>VLOOKUP(A156,NYSEARCAGSG!A$2:G$506,3,0)</f>
        <v>14.19</v>
      </c>
      <c r="M156">
        <f>VLOOKUP(A156,NYSEARCAGLD!A$2:G$506,3,0)</f>
        <v>101.6</v>
      </c>
      <c r="N156">
        <f>VLOOKUP(A156,NYSEBP!A$2:G$506,3,0)</f>
        <v>31.79</v>
      </c>
      <c r="O156">
        <f>VLOOKUP(A156,NASDAQYHOO!A$2:G$506,3,0)</f>
        <v>34.04</v>
      </c>
    </row>
    <row r="157" spans="1:15">
      <c r="A157" s="39">
        <v>42369</v>
      </c>
      <c r="B157">
        <v>61.72</v>
      </c>
      <c r="C157">
        <f>VLOOKUP(A157,NYSEARCAVTI!A$2:G$506,3,0)</f>
        <v>105.32</v>
      </c>
      <c r="D157">
        <f>VLOOKUP(A157,NYSEARCAVEU!A$2:G$506,3,0)</f>
        <v>43.7</v>
      </c>
      <c r="E157">
        <f>VLOOKUP(A157,NYSEARCAVWO!A$2:G$506,3,0)</f>
        <v>32.9</v>
      </c>
      <c r="F157">
        <f>VLOOKUP(A157,NYSEARCABND!A$2:G$506,3,0)</f>
        <v>80.81</v>
      </c>
      <c r="G157">
        <f>VLOOKUP(A157,NYSEARCATIP!A$2:G$506,3,0)</f>
        <v>109.91</v>
      </c>
      <c r="H157">
        <f>VLOOKUP(A157,NYSEARCAMUB!A$2:G$506,3,0)</f>
        <v>110.73</v>
      </c>
      <c r="I157">
        <f>VLOOKUP(A157,NYSEARCAVNQ!A$2:G$506,3,0)</f>
        <v>80.64</v>
      </c>
      <c r="J157">
        <f>VLOOKUP(A157,NYSEARCARWX!A$2:G$506,3,0)</f>
        <v>39.4</v>
      </c>
      <c r="K157">
        <f>VLOOKUP(A157,NYSEARCADBC!A$2:G$506,3,0)</f>
        <v>13.49</v>
      </c>
      <c r="L157">
        <f>VLOOKUP(A157,NYSEARCAGSG!A$2:G$506,3,0)</f>
        <v>14.38</v>
      </c>
      <c r="M157">
        <f>VLOOKUP(A157,NYSEARCAGLD!A$2:G$506,3,0)</f>
        <v>101.72</v>
      </c>
      <c r="N157">
        <f>VLOOKUP(A157,NYSEBP!A$2:G$506,3,0)</f>
        <v>31.46</v>
      </c>
      <c r="O157">
        <f>VLOOKUP(A157,NASDAQYHOO!A$2:G$506,3,0)</f>
        <v>33.68</v>
      </c>
    </row>
    <row r="158" spans="1:15">
      <c r="A158" s="39">
        <v>42373</v>
      </c>
      <c r="B158">
        <v>61.49</v>
      </c>
      <c r="C158">
        <f>VLOOKUP(A158,NYSEARCAVTI!A$2:G$506,3,0)</f>
        <v>102.95</v>
      </c>
      <c r="D158">
        <f>VLOOKUP(A158,NYSEARCAVEU!A$2:G$506,3,0)</f>
        <v>42.68</v>
      </c>
      <c r="E158">
        <f>VLOOKUP(A158,NYSEARCAVWO!A$2:G$506,3,0)</f>
        <v>31.88</v>
      </c>
      <c r="F158">
        <f>VLOOKUP(A158,NYSEARCABND!A$2:G$506,3,0)</f>
        <v>80.930000000000007</v>
      </c>
      <c r="G158">
        <f>VLOOKUP(A158,NYSEARCATIP!A$2:G$506,3,0)</f>
        <v>110.37</v>
      </c>
      <c r="H158">
        <f>VLOOKUP(A158,NYSEARCAMUB!A$2:G$506,3,0)</f>
        <v>110.75</v>
      </c>
      <c r="I158">
        <f>VLOOKUP(A158,NYSEARCAVNQ!A$2:G$506,3,0)</f>
        <v>79.099999999999994</v>
      </c>
      <c r="J158">
        <f>VLOOKUP(A158,NYSEARCARWX!A$2:G$506,3,0)</f>
        <v>38.770000000000003</v>
      </c>
      <c r="K158">
        <f>VLOOKUP(A158,NYSEARCADBC!A$2:G$506,3,0)</f>
        <v>13.51</v>
      </c>
      <c r="L158">
        <f>VLOOKUP(A158,NYSEARCAGSG!A$2:G$506,3,0)</f>
        <v>14.48</v>
      </c>
      <c r="M158">
        <f>VLOOKUP(A158,NYSEARCAGLD!A$2:G$506,3,0)</f>
        <v>103.67</v>
      </c>
      <c r="N158">
        <f>VLOOKUP(A158,NYSEBP!A$2:G$506,3,0)</f>
        <v>31.17</v>
      </c>
      <c r="O158">
        <f>VLOOKUP(A158,NASDAQYHOO!A$2:G$506,3,0)</f>
        <v>32.35</v>
      </c>
    </row>
    <row r="159" spans="1:15">
      <c r="A159" s="39">
        <v>42374</v>
      </c>
      <c r="B159">
        <v>63.05</v>
      </c>
      <c r="C159">
        <f>VLOOKUP(A159,NYSEARCAVTI!A$2:G$506,3,0)</f>
        <v>103.18</v>
      </c>
      <c r="D159">
        <f>VLOOKUP(A159,NYSEARCAVEU!A$2:G$506,3,0)</f>
        <v>42.62</v>
      </c>
      <c r="E159">
        <f>VLOOKUP(A159,NYSEARCAVWO!A$2:G$506,3,0)</f>
        <v>31.97</v>
      </c>
      <c r="F159">
        <f>VLOOKUP(A159,NYSEARCABND!A$2:G$506,3,0)</f>
        <v>80.900000000000006</v>
      </c>
      <c r="G159">
        <f>VLOOKUP(A159,NYSEARCATIP!A$2:G$506,3,0)</f>
        <v>110.13</v>
      </c>
      <c r="H159">
        <f>VLOOKUP(A159,NYSEARCAMUB!A$2:G$506,3,0)</f>
        <v>110.65</v>
      </c>
      <c r="I159">
        <f>VLOOKUP(A159,NYSEARCAVNQ!A$2:G$506,3,0)</f>
        <v>80.540000000000006</v>
      </c>
      <c r="J159">
        <f>VLOOKUP(A159,NYSEARCARWX!A$2:G$506,3,0)</f>
        <v>38.869999999999997</v>
      </c>
      <c r="K159">
        <f>VLOOKUP(A159,NYSEARCADBC!A$2:G$506,3,0)</f>
        <v>13.25</v>
      </c>
      <c r="L159">
        <f>VLOOKUP(A159,NYSEARCAGSG!A$2:G$506,3,0)</f>
        <v>14.1</v>
      </c>
      <c r="M159">
        <f>VLOOKUP(A159,NYSEARCAGLD!A$2:G$506,3,0)</f>
        <v>103.46</v>
      </c>
      <c r="N159">
        <f>VLOOKUP(A159,NYSEBP!A$2:G$506,3,0)</f>
        <v>30.99</v>
      </c>
      <c r="O159">
        <f>VLOOKUP(A159,NASDAQYHOO!A$2:G$506,3,0)</f>
        <v>32.32</v>
      </c>
    </row>
    <row r="160" spans="1:15">
      <c r="A160" s="39">
        <v>42375</v>
      </c>
      <c r="B160">
        <v>63.95</v>
      </c>
      <c r="C160">
        <f>VLOOKUP(A160,NYSEARCAVTI!A$2:G$506,3,0)</f>
        <v>102.23</v>
      </c>
      <c r="D160">
        <f>VLOOKUP(A160,NYSEARCAVEU!A$2:G$506,3,0)</f>
        <v>41.99</v>
      </c>
      <c r="E160">
        <f>VLOOKUP(A160,NYSEARCAVWO!A$2:G$506,3,0)</f>
        <v>31.47</v>
      </c>
      <c r="F160">
        <f>VLOOKUP(A160,NYSEARCABND!A$2:G$506,3,0)</f>
        <v>81.180000000000007</v>
      </c>
      <c r="G160">
        <f>VLOOKUP(A160,NYSEARCATIP!A$2:G$506,3,0)</f>
        <v>110.42</v>
      </c>
      <c r="H160">
        <f>VLOOKUP(A160,NYSEARCAMUB!A$2:G$506,3,0)</f>
        <v>111.12</v>
      </c>
      <c r="I160">
        <f>VLOOKUP(A160,NYSEARCAVNQ!A$2:G$506,3,0)</f>
        <v>80.19</v>
      </c>
      <c r="J160">
        <f>VLOOKUP(A160,NYSEARCARWX!A$2:G$506,3,0)</f>
        <v>38.479999999999997</v>
      </c>
      <c r="K160">
        <f>VLOOKUP(A160,NYSEARCADBC!A$2:G$506,3,0)</f>
        <v>13.06</v>
      </c>
      <c r="L160">
        <f>VLOOKUP(A160,NYSEARCAGSG!A$2:G$506,3,0)</f>
        <v>13.78</v>
      </c>
      <c r="M160">
        <f>VLOOKUP(A160,NYSEARCAGLD!A$2:G$506,3,0)</f>
        <v>104.8</v>
      </c>
      <c r="N160">
        <f>VLOOKUP(A160,NYSEBP!A$2:G$506,3,0)</f>
        <v>30.41</v>
      </c>
      <c r="O160">
        <f>VLOOKUP(A160,NASDAQYHOO!A$2:G$506,3,0)</f>
        <v>32.46</v>
      </c>
    </row>
    <row r="161" spans="1:15">
      <c r="A161" s="39">
        <v>42376</v>
      </c>
      <c r="B161">
        <v>65.23</v>
      </c>
      <c r="C161">
        <f>VLOOKUP(A161,NYSEARCAVTI!A$2:G$506,3,0)</f>
        <v>100.8</v>
      </c>
      <c r="D161">
        <f>VLOOKUP(A161,NYSEARCAVEU!A$2:G$506,3,0)</f>
        <v>41.42</v>
      </c>
      <c r="E161">
        <f>VLOOKUP(A161,NYSEARCAVWO!A$2:G$506,3,0)</f>
        <v>30.87</v>
      </c>
      <c r="F161">
        <f>VLOOKUP(A161,NYSEARCABND!A$2:G$506,3,0)</f>
        <v>81.2</v>
      </c>
      <c r="G161">
        <f>VLOOKUP(A161,NYSEARCATIP!A$2:G$506,3,0)</f>
        <v>110.43</v>
      </c>
      <c r="H161">
        <f>VLOOKUP(A161,NYSEARCAMUB!A$2:G$506,3,0)</f>
        <v>111.25</v>
      </c>
      <c r="I161">
        <f>VLOOKUP(A161,NYSEARCAVNQ!A$2:G$506,3,0)</f>
        <v>79.430000000000007</v>
      </c>
      <c r="J161">
        <f>VLOOKUP(A161,NYSEARCARWX!A$2:G$506,3,0)</f>
        <v>38</v>
      </c>
      <c r="K161">
        <f>VLOOKUP(A161,NYSEARCADBC!A$2:G$506,3,0)</f>
        <v>12.98</v>
      </c>
      <c r="L161">
        <f>VLOOKUP(A161,NYSEARCAGSG!A$2:G$506,3,0)</f>
        <v>13.68</v>
      </c>
      <c r="M161">
        <f>VLOOKUP(A161,NYSEARCAGLD!A$2:G$506,3,0)</f>
        <v>106.24</v>
      </c>
      <c r="N161">
        <f>VLOOKUP(A161,NYSEBP!A$2:G$506,3,0)</f>
        <v>29.82</v>
      </c>
      <c r="O161">
        <f>VLOOKUP(A161,NASDAQYHOO!A$2:G$506,3,0)</f>
        <v>31.19</v>
      </c>
    </row>
    <row r="162" spans="1:15">
      <c r="A162" s="39">
        <v>42377</v>
      </c>
      <c r="B162">
        <v>65.41</v>
      </c>
      <c r="C162">
        <f>VLOOKUP(A162,NYSEARCAVTI!A$2:G$506,3,0)</f>
        <v>99.99</v>
      </c>
      <c r="D162">
        <f>VLOOKUP(A162,NYSEARCAVEU!A$2:G$506,3,0)</f>
        <v>41.23</v>
      </c>
      <c r="E162">
        <f>VLOOKUP(A162,NYSEARCAVWO!A$2:G$506,3,0)</f>
        <v>30.58</v>
      </c>
      <c r="F162">
        <f>VLOOKUP(A162,NYSEARCABND!A$2:G$506,3,0)</f>
        <v>81.319999999999993</v>
      </c>
      <c r="G162">
        <f>VLOOKUP(A162,NYSEARCATIP!A$2:G$506,3,0)</f>
        <v>110.43</v>
      </c>
      <c r="H162">
        <f>VLOOKUP(A162,NYSEARCAMUB!A$2:G$506,3,0)</f>
        <v>111.41</v>
      </c>
      <c r="I162">
        <f>VLOOKUP(A162,NYSEARCAVNQ!A$2:G$506,3,0)</f>
        <v>79.099999999999994</v>
      </c>
      <c r="J162">
        <f>VLOOKUP(A162,NYSEARCARWX!A$2:G$506,3,0)</f>
        <v>37.619999999999997</v>
      </c>
      <c r="K162">
        <f>VLOOKUP(A162,NYSEARCADBC!A$2:G$506,3,0)</f>
        <v>12.88</v>
      </c>
      <c r="L162">
        <f>VLOOKUP(A162,NYSEARCAGSG!A$2:G$506,3,0)</f>
        <v>13.51</v>
      </c>
      <c r="M162">
        <f>VLOOKUP(A162,NYSEARCAGLD!A$2:G$506,3,0)</f>
        <v>105.8</v>
      </c>
      <c r="N162">
        <f>VLOOKUP(A162,NYSEBP!A$2:G$506,3,0)</f>
        <v>29.45</v>
      </c>
      <c r="O162">
        <f>VLOOKUP(A162,NASDAQYHOO!A$2:G$506,3,0)</f>
        <v>31.54</v>
      </c>
    </row>
    <row r="163" spans="1:15">
      <c r="A163" s="39">
        <v>42380</v>
      </c>
      <c r="B163">
        <v>64.459999999999994</v>
      </c>
      <c r="C163">
        <f>VLOOKUP(A163,NYSEARCAVTI!A$2:G$506,3,0)</f>
        <v>98.67</v>
      </c>
      <c r="D163">
        <f>VLOOKUP(A163,NYSEARCAVEU!A$2:G$506,3,0)</f>
        <v>40.909999999999997</v>
      </c>
      <c r="E163">
        <f>VLOOKUP(A163,NYSEARCAVWO!A$2:G$506,3,0)</f>
        <v>30.22</v>
      </c>
      <c r="F163">
        <f>VLOOKUP(A163,NYSEARCABND!A$2:G$506,3,0)</f>
        <v>81.16</v>
      </c>
      <c r="G163">
        <f>VLOOKUP(A163,NYSEARCATIP!A$2:G$506,3,0)</f>
        <v>110.24</v>
      </c>
      <c r="H163">
        <f>VLOOKUP(A163,NYSEARCAMUB!A$2:G$506,3,0)</f>
        <v>111.28</v>
      </c>
      <c r="I163">
        <f>VLOOKUP(A163,NYSEARCAVNQ!A$2:G$506,3,0)</f>
        <v>78.36</v>
      </c>
      <c r="J163">
        <f>VLOOKUP(A163,NYSEARCARWX!A$2:G$506,3,0)</f>
        <v>37.49</v>
      </c>
      <c r="K163">
        <f>VLOOKUP(A163,NYSEARCADBC!A$2:G$506,3,0)</f>
        <v>12.92</v>
      </c>
      <c r="L163">
        <f>VLOOKUP(A163,NYSEARCAGSG!A$2:G$506,3,0)</f>
        <v>13.34</v>
      </c>
      <c r="M163">
        <f>VLOOKUP(A163,NYSEARCAGLD!A$2:G$506,3,0)</f>
        <v>105.57</v>
      </c>
      <c r="N163">
        <f>VLOOKUP(A163,NYSEBP!A$2:G$506,3,0)</f>
        <v>29.57</v>
      </c>
      <c r="O163">
        <f>VLOOKUP(A163,NASDAQYHOO!A$2:G$506,3,0)</f>
        <v>30.75</v>
      </c>
    </row>
    <row r="164" spans="1:15">
      <c r="A164" s="39">
        <v>42381</v>
      </c>
      <c r="B164">
        <v>64.73</v>
      </c>
      <c r="C164">
        <f>VLOOKUP(A164,NYSEARCAVTI!A$2:G$506,3,0)</f>
        <v>99.17</v>
      </c>
      <c r="D164">
        <f>VLOOKUP(A164,NYSEARCAVEU!A$2:G$506,3,0)</f>
        <v>40.92</v>
      </c>
      <c r="E164">
        <f>VLOOKUP(A164,NYSEARCAVWO!A$2:G$506,3,0)</f>
        <v>30.28</v>
      </c>
      <c r="F164">
        <f>VLOOKUP(A164,NYSEARCABND!A$2:G$506,3,0)</f>
        <v>81.33</v>
      </c>
      <c r="G164">
        <f>VLOOKUP(A164,NYSEARCATIP!A$2:G$506,3,0)</f>
        <v>110.36</v>
      </c>
      <c r="H164">
        <f>VLOOKUP(A164,NYSEARCAMUB!A$2:G$506,3,0)</f>
        <v>111.25</v>
      </c>
      <c r="I164">
        <f>VLOOKUP(A164,NYSEARCAVNQ!A$2:G$506,3,0)</f>
        <v>78.41</v>
      </c>
      <c r="J164">
        <f>VLOOKUP(A164,NYSEARCARWX!A$2:G$506,3,0)</f>
        <v>37.53</v>
      </c>
      <c r="K164">
        <f>VLOOKUP(A164,NYSEARCADBC!A$2:G$506,3,0)</f>
        <v>12.54</v>
      </c>
      <c r="L164">
        <f>VLOOKUP(A164,NYSEARCAGSG!A$2:G$506,3,0)</f>
        <v>13.14</v>
      </c>
      <c r="M164">
        <f>VLOOKUP(A164,NYSEARCAGLD!A$2:G$506,3,0)</f>
        <v>104.59</v>
      </c>
      <c r="N164">
        <f>VLOOKUP(A164,NYSEBP!A$2:G$506,3,0)</f>
        <v>29.19</v>
      </c>
      <c r="O164">
        <f>VLOOKUP(A164,NASDAQYHOO!A$2:G$506,3,0)</f>
        <v>30.97</v>
      </c>
    </row>
    <row r="165" spans="1:15">
      <c r="A165" s="39">
        <v>42382</v>
      </c>
      <c r="B165">
        <v>63.73</v>
      </c>
      <c r="C165">
        <f>VLOOKUP(A165,NYSEARCAVTI!A$2:G$506,3,0)</f>
        <v>99.2</v>
      </c>
      <c r="D165">
        <f>VLOOKUP(A165,NYSEARCAVEU!A$2:G$506,3,0)</f>
        <v>41.06</v>
      </c>
      <c r="E165">
        <f>VLOOKUP(A165,NYSEARCAVWO!A$2:G$506,3,0)</f>
        <v>30.35</v>
      </c>
      <c r="F165">
        <f>VLOOKUP(A165,NYSEARCABND!A$2:G$506,3,0)</f>
        <v>81.45</v>
      </c>
      <c r="G165">
        <f>VLOOKUP(A165,NYSEARCATIP!A$2:G$506,3,0)</f>
        <v>110.59</v>
      </c>
      <c r="H165">
        <f>VLOOKUP(A165,NYSEARCAMUB!A$2:G$506,3,0)</f>
        <v>111.26</v>
      </c>
      <c r="I165">
        <f>VLOOKUP(A165,NYSEARCAVNQ!A$2:G$506,3,0)</f>
        <v>78.2</v>
      </c>
      <c r="J165">
        <f>VLOOKUP(A165,NYSEARCARWX!A$2:G$506,3,0)</f>
        <v>37.72</v>
      </c>
      <c r="K165">
        <f>VLOOKUP(A165,NYSEARCADBC!A$2:G$506,3,0)</f>
        <v>12.47</v>
      </c>
      <c r="L165">
        <f>VLOOKUP(A165,NYSEARCAGSG!A$2:G$506,3,0)</f>
        <v>13.08</v>
      </c>
      <c r="M165">
        <f>VLOOKUP(A165,NYSEARCAGLD!A$2:G$506,3,0)</f>
        <v>104.82</v>
      </c>
      <c r="N165">
        <f>VLOOKUP(A165,NYSEBP!A$2:G$506,3,0)</f>
        <v>29.84</v>
      </c>
      <c r="O165">
        <f>VLOOKUP(A165,NASDAQYHOO!A$2:G$506,3,0)</f>
        <v>31.17</v>
      </c>
    </row>
    <row r="166" spans="1:15">
      <c r="A166" s="39">
        <v>42383</v>
      </c>
      <c r="B166">
        <v>63.62</v>
      </c>
      <c r="C166">
        <f>VLOOKUP(A166,NYSEARCAVTI!A$2:G$506,3,0)</f>
        <v>98.18</v>
      </c>
      <c r="D166">
        <f>VLOOKUP(A166,NYSEARCAVEU!A$2:G$506,3,0)</f>
        <v>40.74</v>
      </c>
      <c r="E166">
        <f>VLOOKUP(A166,NYSEARCAVWO!A$2:G$506,3,0)</f>
        <v>30.12</v>
      </c>
      <c r="F166">
        <f>VLOOKUP(A166,NYSEARCABND!A$2:G$506,3,0)</f>
        <v>81.47</v>
      </c>
      <c r="G166">
        <f>VLOOKUP(A166,NYSEARCATIP!A$2:G$506,3,0)</f>
        <v>110.45</v>
      </c>
      <c r="H166">
        <f>VLOOKUP(A166,NYSEARCAMUB!A$2:G$506,3,0)</f>
        <v>111.26</v>
      </c>
      <c r="I166">
        <f>VLOOKUP(A166,NYSEARCAVNQ!A$2:G$506,3,0)</f>
        <v>76.78</v>
      </c>
      <c r="J166">
        <f>VLOOKUP(A166,NYSEARCARWX!A$2:G$506,3,0)</f>
        <v>37.47</v>
      </c>
      <c r="K166">
        <f>VLOOKUP(A166,NYSEARCADBC!A$2:G$506,3,0)</f>
        <v>12.36</v>
      </c>
      <c r="L166">
        <f>VLOOKUP(A166,NYSEARCAGSG!A$2:G$506,3,0)</f>
        <v>12.94</v>
      </c>
      <c r="M166">
        <f>VLOOKUP(A166,NYSEARCAGLD!A$2:G$506,3,0)</f>
        <v>104.18</v>
      </c>
      <c r="N166">
        <f>VLOOKUP(A166,NYSEBP!A$2:G$506,3,0)</f>
        <v>30.99</v>
      </c>
      <c r="O166">
        <f>VLOOKUP(A166,NASDAQYHOO!A$2:G$506,3,0)</f>
        <v>30.57</v>
      </c>
    </row>
    <row r="167" spans="1:15">
      <c r="A167" s="39">
        <v>42384</v>
      </c>
      <c r="B167">
        <v>62.47</v>
      </c>
      <c r="C167">
        <f>VLOOKUP(A167,NYSEARCAVTI!A$2:G$506,3,0)</f>
        <v>95.88</v>
      </c>
      <c r="D167">
        <f>VLOOKUP(A167,NYSEARCAVEU!A$2:G$506,3,0)</f>
        <v>39.42</v>
      </c>
      <c r="E167">
        <f>VLOOKUP(A167,NYSEARCAVWO!A$2:G$506,3,0)</f>
        <v>29.01</v>
      </c>
      <c r="F167">
        <f>VLOOKUP(A167,NYSEARCABND!A$2:G$506,3,0)</f>
        <v>81.52</v>
      </c>
      <c r="G167">
        <f>VLOOKUP(A167,NYSEARCATIP!A$2:G$506,3,0)</f>
        <v>110.65</v>
      </c>
      <c r="H167">
        <f>VLOOKUP(A167,NYSEARCAMUB!A$2:G$506,3,0)</f>
        <v>111.36</v>
      </c>
      <c r="I167">
        <f>VLOOKUP(A167,NYSEARCAVNQ!A$2:G$506,3,0)</f>
        <v>75.760000000000005</v>
      </c>
      <c r="J167">
        <f>VLOOKUP(A167,NYSEARCARWX!A$2:G$506,3,0)</f>
        <v>36.409999999999997</v>
      </c>
      <c r="K167">
        <f>VLOOKUP(A167,NYSEARCADBC!A$2:G$506,3,0)</f>
        <v>12.19</v>
      </c>
      <c r="L167">
        <f>VLOOKUP(A167,NYSEARCAGSG!A$2:G$506,3,0)</f>
        <v>12.67</v>
      </c>
      <c r="M167">
        <f>VLOOKUP(A167,NYSEARCAGLD!A$2:G$506,3,0)</f>
        <v>104.96</v>
      </c>
      <c r="N167">
        <f>VLOOKUP(A167,NYSEBP!A$2:G$506,3,0)</f>
        <v>29.73</v>
      </c>
      <c r="O167">
        <f>VLOOKUP(A167,NASDAQYHOO!A$2:G$506,3,0)</f>
        <v>29.77</v>
      </c>
    </row>
    <row r="168" spans="1:15">
      <c r="A168" s="39">
        <v>42388</v>
      </c>
      <c r="B168">
        <v>62.8</v>
      </c>
      <c r="C168">
        <f>VLOOKUP(A168,NYSEARCAVTI!A$2:G$506,3,0)</f>
        <v>96.67</v>
      </c>
      <c r="D168">
        <f>VLOOKUP(A168,NYSEARCAVEU!A$2:G$506,3,0)</f>
        <v>39.83</v>
      </c>
      <c r="E168">
        <f>VLOOKUP(A168,NYSEARCAVWO!A$2:G$506,3,0)</f>
        <v>29.52</v>
      </c>
      <c r="F168">
        <f>VLOOKUP(A168,NYSEARCABND!A$2:G$506,3,0)</f>
        <v>81.400000000000006</v>
      </c>
      <c r="G168">
        <f>VLOOKUP(A168,NYSEARCATIP!A$2:G$506,3,0)</f>
        <v>110.4</v>
      </c>
      <c r="H168">
        <f>VLOOKUP(A168,NYSEARCAMUB!A$2:G$506,3,0)</f>
        <v>111.37</v>
      </c>
      <c r="I168">
        <f>VLOOKUP(A168,NYSEARCAVNQ!A$2:G$506,3,0)</f>
        <v>76.56</v>
      </c>
      <c r="J168">
        <f>VLOOKUP(A168,NYSEARCARWX!A$2:G$506,3,0)</f>
        <v>36.72</v>
      </c>
      <c r="K168">
        <f>VLOOKUP(A168,NYSEARCADBC!A$2:G$506,3,0)</f>
        <v>12.12</v>
      </c>
      <c r="L168">
        <f>VLOOKUP(A168,NYSEARCAGSG!A$2:G$506,3,0)</f>
        <v>12.63</v>
      </c>
      <c r="M168">
        <f>VLOOKUP(A168,NYSEARCAGLD!A$2:G$506,3,0)</f>
        <v>104.45</v>
      </c>
      <c r="N168">
        <f>VLOOKUP(A168,NYSEBP!A$2:G$506,3,0)</f>
        <v>29.7</v>
      </c>
      <c r="O168">
        <f>VLOOKUP(A168,NASDAQYHOO!A$2:G$506,3,0)</f>
        <v>30</v>
      </c>
    </row>
    <row r="169" spans="1:15">
      <c r="A169" s="39">
        <v>42389</v>
      </c>
      <c r="B169">
        <v>62.33</v>
      </c>
      <c r="C169">
        <f>VLOOKUP(A169,NYSEARCAVTI!A$2:G$506,3,0)</f>
        <v>95.27</v>
      </c>
      <c r="D169">
        <f>VLOOKUP(A169,NYSEARCAVEU!A$2:G$506,3,0)</f>
        <v>38.81</v>
      </c>
      <c r="E169">
        <f>VLOOKUP(A169,NYSEARCAVWO!A$2:G$506,3,0)</f>
        <v>28.79</v>
      </c>
      <c r="F169">
        <f>VLOOKUP(A169,NYSEARCABND!A$2:G$506,3,0)</f>
        <v>81.61</v>
      </c>
      <c r="G169">
        <f>VLOOKUP(A169,NYSEARCATIP!A$2:G$506,3,0)</f>
        <v>110.63</v>
      </c>
      <c r="H169">
        <f>VLOOKUP(A169,NYSEARCAMUB!A$2:G$506,3,0)</f>
        <v>111.71</v>
      </c>
      <c r="I169">
        <f>VLOOKUP(A169,NYSEARCAVNQ!A$2:G$506,3,0)</f>
        <v>75.3</v>
      </c>
      <c r="J169">
        <f>VLOOKUP(A169,NYSEARCARWX!A$2:G$506,3,0)</f>
        <v>35.950000000000003</v>
      </c>
      <c r="K169">
        <f>VLOOKUP(A169,NYSEARCADBC!A$2:G$506,3,0)</f>
        <v>11.91</v>
      </c>
      <c r="L169">
        <f>VLOOKUP(A169,NYSEARCAGSG!A$2:G$506,3,0)</f>
        <v>12.32</v>
      </c>
      <c r="M169">
        <f>VLOOKUP(A169,NYSEARCAGLD!A$2:G$506,3,0)</f>
        <v>106.16</v>
      </c>
      <c r="N169">
        <f>VLOOKUP(A169,NYSEBP!A$2:G$506,3,0)</f>
        <v>28.82</v>
      </c>
      <c r="O169">
        <f>VLOOKUP(A169,NASDAQYHOO!A$2:G$506,3,0)</f>
        <v>29.11</v>
      </c>
    </row>
    <row r="170" spans="1:15">
      <c r="A170" s="39">
        <v>42390</v>
      </c>
      <c r="B170">
        <v>62.79</v>
      </c>
      <c r="C170">
        <f>VLOOKUP(A170,NYSEARCAVTI!A$2:G$506,3,0)</f>
        <v>95.96</v>
      </c>
      <c r="D170">
        <f>VLOOKUP(A170,NYSEARCAVEU!A$2:G$506,3,0)</f>
        <v>39.090000000000003</v>
      </c>
      <c r="E170">
        <f>VLOOKUP(A170,NYSEARCAVWO!A$2:G$506,3,0)</f>
        <v>29</v>
      </c>
      <c r="F170">
        <f>VLOOKUP(A170,NYSEARCABND!A$2:G$506,3,0)</f>
        <v>81.56</v>
      </c>
      <c r="G170">
        <f>VLOOKUP(A170,NYSEARCATIP!A$2:G$506,3,0)</f>
        <v>110.43</v>
      </c>
      <c r="H170">
        <f>VLOOKUP(A170,NYSEARCAMUB!A$2:G$506,3,0)</f>
        <v>111.65</v>
      </c>
      <c r="I170">
        <f>VLOOKUP(A170,NYSEARCAVNQ!A$2:G$506,3,0)</f>
        <v>75.39</v>
      </c>
      <c r="J170">
        <f>VLOOKUP(A170,NYSEARCARWX!A$2:G$506,3,0)</f>
        <v>35.92</v>
      </c>
      <c r="K170">
        <f>VLOOKUP(A170,NYSEARCADBC!A$2:G$506,3,0)</f>
        <v>12.11</v>
      </c>
      <c r="L170">
        <f>VLOOKUP(A170,NYSEARCAGSG!A$2:G$506,3,0)</f>
        <v>12.59</v>
      </c>
      <c r="M170">
        <f>VLOOKUP(A170,NYSEARCAGLD!A$2:G$506,3,0)</f>
        <v>105.49</v>
      </c>
      <c r="N170">
        <f>VLOOKUP(A170,NYSEBP!A$2:G$506,3,0)</f>
        <v>29.62</v>
      </c>
      <c r="O170">
        <f>VLOOKUP(A170,NASDAQYHOO!A$2:G$506,3,0)</f>
        <v>29.8</v>
      </c>
    </row>
    <row r="171" spans="1:15">
      <c r="A171" s="39">
        <v>42391</v>
      </c>
      <c r="B171">
        <v>63.26</v>
      </c>
      <c r="C171">
        <f>VLOOKUP(A171,NYSEARCAVTI!A$2:G$506,3,0)</f>
        <v>96.89</v>
      </c>
      <c r="D171">
        <f>VLOOKUP(A171,NYSEARCAVEU!A$2:G$506,3,0)</f>
        <v>40.08</v>
      </c>
      <c r="E171">
        <f>VLOOKUP(A171,NYSEARCAVWO!A$2:G$506,3,0)</f>
        <v>29.59</v>
      </c>
      <c r="F171">
        <f>VLOOKUP(A171,NYSEARCABND!A$2:G$506,3,0)</f>
        <v>81.33</v>
      </c>
      <c r="G171">
        <f>VLOOKUP(A171,NYSEARCATIP!A$2:G$506,3,0)</f>
        <v>110.07</v>
      </c>
      <c r="H171">
        <f>VLOOKUP(A171,NYSEARCAMUB!A$2:G$506,3,0)</f>
        <v>111.46</v>
      </c>
      <c r="I171">
        <f>VLOOKUP(A171,NYSEARCAVNQ!A$2:G$506,3,0)</f>
        <v>76.7</v>
      </c>
      <c r="J171">
        <f>VLOOKUP(A171,NYSEARCARWX!A$2:G$506,3,0)</f>
        <v>36.590000000000003</v>
      </c>
      <c r="K171">
        <f>VLOOKUP(A171,NYSEARCADBC!A$2:G$506,3,0)</f>
        <v>12.41</v>
      </c>
      <c r="L171">
        <f>VLOOKUP(A171,NYSEARCAGSG!A$2:G$506,3,0)</f>
        <v>13.02</v>
      </c>
      <c r="M171">
        <f>VLOOKUP(A171,NYSEARCAGLD!A$2:G$506,3,0)</f>
        <v>105.51</v>
      </c>
      <c r="N171">
        <f>VLOOKUP(A171,NYSEBP!A$2:G$506,3,0)</f>
        <v>30.88</v>
      </c>
      <c r="O171">
        <f>VLOOKUP(A171,NASDAQYHOO!A$2:G$506,3,0)</f>
        <v>30.52</v>
      </c>
    </row>
    <row r="172" spans="1:15">
      <c r="A172" s="39">
        <v>42394</v>
      </c>
      <c r="B172">
        <v>63.82</v>
      </c>
      <c r="C172">
        <f>VLOOKUP(A172,NYSEARCAVTI!A$2:G$506,3,0)</f>
        <v>96.65</v>
      </c>
      <c r="D172">
        <f>VLOOKUP(A172,NYSEARCAVEU!A$2:G$506,3,0)</f>
        <v>39.86</v>
      </c>
      <c r="E172">
        <f>VLOOKUP(A172,NYSEARCAVWO!A$2:G$506,3,0)</f>
        <v>29.47</v>
      </c>
      <c r="F172">
        <f>VLOOKUP(A172,NYSEARCABND!A$2:G$506,3,0)</f>
        <v>81.42</v>
      </c>
      <c r="G172">
        <f>VLOOKUP(A172,NYSEARCATIP!A$2:G$506,3,0)</f>
        <v>110.22</v>
      </c>
      <c r="H172">
        <f>VLOOKUP(A172,NYSEARCAMUB!A$2:G$506,3,0)</f>
        <v>111.37</v>
      </c>
      <c r="I172">
        <f>VLOOKUP(A172,NYSEARCAVNQ!A$2:G$506,3,0)</f>
        <v>77.069999999999993</v>
      </c>
      <c r="J172">
        <f>VLOOKUP(A172,NYSEARCARWX!A$2:G$506,3,0)</f>
        <v>36.54</v>
      </c>
      <c r="K172">
        <f>VLOOKUP(A172,NYSEARCADBC!A$2:G$506,3,0)</f>
        <v>12.37</v>
      </c>
      <c r="L172">
        <f>VLOOKUP(A172,NYSEARCAGSG!A$2:G$506,3,0)</f>
        <v>12.94</v>
      </c>
      <c r="M172">
        <f>VLOOKUP(A172,NYSEARCAGLD!A$2:G$506,3,0)</f>
        <v>106.09</v>
      </c>
      <c r="N172">
        <f>VLOOKUP(A172,NYSEBP!A$2:G$506,3,0)</f>
        <v>30.17</v>
      </c>
      <c r="O172">
        <f>VLOOKUP(A172,NASDAQYHOO!A$2:G$506,3,0)</f>
        <v>30.39</v>
      </c>
    </row>
    <row r="173" spans="1:15">
      <c r="A173" s="39">
        <v>42395</v>
      </c>
      <c r="B173">
        <v>64.47</v>
      </c>
      <c r="C173">
        <f>VLOOKUP(A173,NYSEARCAVTI!A$2:G$506,3,0)</f>
        <v>96.82</v>
      </c>
      <c r="D173">
        <f>VLOOKUP(A173,NYSEARCAVEU!A$2:G$506,3,0)</f>
        <v>40.159999999999997</v>
      </c>
      <c r="E173">
        <f>VLOOKUP(A173,NYSEARCAVWO!A$2:G$506,3,0)</f>
        <v>29.54</v>
      </c>
      <c r="F173">
        <f>VLOOKUP(A173,NYSEARCABND!A$2:G$506,3,0)</f>
        <v>81.47</v>
      </c>
      <c r="G173">
        <f>VLOOKUP(A173,NYSEARCATIP!A$2:G$506,3,0)</f>
        <v>110.56</v>
      </c>
      <c r="H173">
        <f>VLOOKUP(A173,NYSEARCAMUB!A$2:G$506,3,0)</f>
        <v>111.36</v>
      </c>
      <c r="I173">
        <f>VLOOKUP(A173,NYSEARCAVNQ!A$2:G$506,3,0)</f>
        <v>77.55</v>
      </c>
      <c r="J173">
        <f>VLOOKUP(A173,NYSEARCARWX!A$2:G$506,3,0)</f>
        <v>36.85</v>
      </c>
      <c r="K173">
        <f>VLOOKUP(A173,NYSEARCADBC!A$2:G$506,3,0)</f>
        <v>12.53</v>
      </c>
      <c r="L173">
        <f>VLOOKUP(A173,NYSEARCAGSG!A$2:G$506,3,0)</f>
        <v>13.08</v>
      </c>
      <c r="M173">
        <f>VLOOKUP(A173,NYSEARCAGLD!A$2:G$506,3,0)</f>
        <v>107.43</v>
      </c>
      <c r="N173">
        <f>VLOOKUP(A173,NYSEBP!A$2:G$506,3,0)</f>
        <v>30.9</v>
      </c>
      <c r="O173">
        <f>VLOOKUP(A173,NASDAQYHOO!A$2:G$506,3,0)</f>
        <v>30.19</v>
      </c>
    </row>
    <row r="174" spans="1:15">
      <c r="A174" s="39">
        <v>42396</v>
      </c>
      <c r="B174">
        <v>65.180000000000007</v>
      </c>
      <c r="C174">
        <f>VLOOKUP(A174,NYSEARCAVTI!A$2:G$506,3,0)</f>
        <v>97.32</v>
      </c>
      <c r="D174">
        <f>VLOOKUP(A174,NYSEARCAVEU!A$2:G$506,3,0)</f>
        <v>40.5</v>
      </c>
      <c r="E174">
        <f>VLOOKUP(A174,NYSEARCAVWO!A$2:G$506,3,0)</f>
        <v>29.79</v>
      </c>
      <c r="F174">
        <f>VLOOKUP(A174,NYSEARCABND!A$2:G$506,3,0)</f>
        <v>81.5</v>
      </c>
      <c r="G174">
        <f>VLOOKUP(A174,NYSEARCATIP!A$2:G$506,3,0)</f>
        <v>110.79</v>
      </c>
      <c r="H174">
        <f>VLOOKUP(A174,NYSEARCAMUB!A$2:G$506,3,0)</f>
        <v>111.41</v>
      </c>
      <c r="I174">
        <f>VLOOKUP(A174,NYSEARCAVNQ!A$2:G$506,3,0)</f>
        <v>77.42</v>
      </c>
      <c r="J174">
        <f>VLOOKUP(A174,NYSEARCARWX!A$2:G$506,3,0)</f>
        <v>37.01</v>
      </c>
      <c r="K174">
        <f>VLOOKUP(A174,NYSEARCADBC!A$2:G$506,3,0)</f>
        <v>12.61</v>
      </c>
      <c r="L174">
        <f>VLOOKUP(A174,NYSEARCAGSG!A$2:G$506,3,0)</f>
        <v>13.19</v>
      </c>
      <c r="M174">
        <f>VLOOKUP(A174,NYSEARCAGLD!A$2:G$506,3,0)</f>
        <v>107.93</v>
      </c>
      <c r="N174">
        <f>VLOOKUP(A174,NYSEBP!A$2:G$506,3,0)</f>
        <v>31.29</v>
      </c>
      <c r="O174">
        <f>VLOOKUP(A174,NASDAQYHOO!A$2:G$506,3,0)</f>
        <v>30.53</v>
      </c>
    </row>
    <row r="175" spans="1:15">
      <c r="A175" s="39">
        <v>42397</v>
      </c>
      <c r="B175">
        <v>64.510000000000005</v>
      </c>
      <c r="C175">
        <f>VLOOKUP(A175,NYSEARCAVTI!A$2:G$506,3,0)</f>
        <v>96.66</v>
      </c>
      <c r="D175">
        <f>VLOOKUP(A175,NYSEARCAVEU!A$2:G$506,3,0)</f>
        <v>40.409999999999997</v>
      </c>
      <c r="E175">
        <f>VLOOKUP(A175,NYSEARCAVWO!A$2:G$506,3,0)</f>
        <v>29.98</v>
      </c>
      <c r="F175">
        <f>VLOOKUP(A175,NYSEARCABND!A$2:G$506,3,0)</f>
        <v>81.53</v>
      </c>
      <c r="G175">
        <f>VLOOKUP(A175,NYSEARCATIP!A$2:G$506,3,0)</f>
        <v>111.05</v>
      </c>
      <c r="H175">
        <f>VLOOKUP(A175,NYSEARCAMUB!A$2:G$506,3,0)</f>
        <v>111.42</v>
      </c>
      <c r="I175">
        <f>VLOOKUP(A175,NYSEARCAVNQ!A$2:G$506,3,0)</f>
        <v>76.739999999999995</v>
      </c>
      <c r="J175">
        <f>VLOOKUP(A175,NYSEARCARWX!A$2:G$506,3,0)</f>
        <v>37.03</v>
      </c>
      <c r="K175">
        <f>VLOOKUP(A175,NYSEARCADBC!A$2:G$506,3,0)</f>
        <v>12.77</v>
      </c>
      <c r="L175">
        <f>VLOOKUP(A175,NYSEARCAGSG!A$2:G$506,3,0)</f>
        <v>13.45</v>
      </c>
      <c r="M175">
        <f>VLOOKUP(A175,NYSEARCAGLD!A$2:G$506,3,0)</f>
        <v>106.86</v>
      </c>
      <c r="N175">
        <f>VLOOKUP(A175,NYSEBP!A$2:G$506,3,0)</f>
        <v>32.11</v>
      </c>
      <c r="O175">
        <f>VLOOKUP(A175,NASDAQYHOO!A$2:G$506,3,0)</f>
        <v>30.63</v>
      </c>
    </row>
    <row r="176" spans="1:15">
      <c r="A176" s="39">
        <v>42398</v>
      </c>
      <c r="B176">
        <v>66.53</v>
      </c>
      <c r="C176">
        <f>VLOOKUP(A176,NYSEARCAVTI!A$2:G$506,3,0)</f>
        <v>98.36</v>
      </c>
      <c r="D176">
        <f>VLOOKUP(A176,NYSEARCAVEU!A$2:G$506,3,0)</f>
        <v>41</v>
      </c>
      <c r="E176">
        <f>VLOOKUP(A176,NYSEARCAVWO!A$2:G$506,3,0)</f>
        <v>30.87</v>
      </c>
      <c r="F176">
        <f>VLOOKUP(A176,NYSEARCABND!A$2:G$506,3,0)</f>
        <v>81.8</v>
      </c>
      <c r="G176">
        <f>VLOOKUP(A176,NYSEARCATIP!A$2:G$506,3,0)</f>
        <v>111.55</v>
      </c>
      <c r="H176">
        <f>VLOOKUP(A176,NYSEARCAMUB!A$2:G$506,3,0)</f>
        <v>111.59</v>
      </c>
      <c r="I176">
        <f>VLOOKUP(A176,NYSEARCAVNQ!A$2:G$506,3,0)</f>
        <v>77.069999999999993</v>
      </c>
      <c r="J176">
        <f>VLOOKUP(A176,NYSEARCARWX!A$2:G$506,3,0)</f>
        <v>37.9</v>
      </c>
      <c r="K176">
        <f>VLOOKUP(A176,NYSEARCADBC!A$2:G$506,3,0)</f>
        <v>12.82</v>
      </c>
      <c r="L176">
        <f>VLOOKUP(A176,NYSEARCAGSG!A$2:G$506,3,0)</f>
        <v>13.51</v>
      </c>
      <c r="M176">
        <f>VLOOKUP(A176,NYSEARCAGLD!A$2:G$506,3,0)</f>
        <v>107</v>
      </c>
      <c r="N176">
        <f>VLOOKUP(A176,NYSEBP!A$2:G$506,3,0)</f>
        <v>32.380000000000003</v>
      </c>
      <c r="O176">
        <f>VLOOKUP(A176,NASDAQYHOO!A$2:G$506,3,0)</f>
        <v>29.51</v>
      </c>
    </row>
    <row r="177" spans="1:15">
      <c r="A177" s="39">
        <v>42401</v>
      </c>
      <c r="B177">
        <v>67.930000000000007</v>
      </c>
      <c r="C177">
        <f>VLOOKUP(A177,NYSEARCAVTI!A$2:G$506,3,0)</f>
        <v>98.81</v>
      </c>
      <c r="D177">
        <f>VLOOKUP(A177,NYSEARCAVEU!A$2:G$506,3,0)</f>
        <v>40.99</v>
      </c>
      <c r="E177">
        <f>VLOOKUP(A177,NYSEARCAVWO!A$2:G$506,3,0)</f>
        <v>30.62</v>
      </c>
      <c r="F177">
        <f>VLOOKUP(A177,NYSEARCABND!A$2:G$506,3,0)</f>
        <v>81.63</v>
      </c>
      <c r="G177">
        <f>VLOOKUP(A177,NYSEARCATIP!A$2:G$506,3,0)</f>
        <v>111.4</v>
      </c>
      <c r="H177">
        <f>VLOOKUP(A177,NYSEARCAMUB!A$2:G$506,3,0)</f>
        <v>111.37</v>
      </c>
      <c r="I177">
        <f>VLOOKUP(A177,NYSEARCAVNQ!A$2:G$506,3,0)</f>
        <v>77.77</v>
      </c>
      <c r="J177">
        <f>VLOOKUP(A177,NYSEARCARWX!A$2:G$506,3,0)</f>
        <v>38.29</v>
      </c>
      <c r="K177">
        <f>VLOOKUP(A177,NYSEARCADBC!A$2:G$506,3,0)</f>
        <v>12.66</v>
      </c>
      <c r="L177">
        <f>VLOOKUP(A177,NYSEARCAGSG!A$2:G$506,3,0)</f>
        <v>13.26</v>
      </c>
      <c r="M177">
        <f>VLOOKUP(A177,NYSEARCAGLD!A$2:G$506,3,0)</f>
        <v>108.15</v>
      </c>
      <c r="N177">
        <f>VLOOKUP(A177,NYSEBP!A$2:G$506,3,0)</f>
        <v>31.88</v>
      </c>
      <c r="O177">
        <f>VLOOKUP(A177,NASDAQYHOO!A$2:G$506,3,0)</f>
        <v>29.78</v>
      </c>
    </row>
    <row r="178" spans="1:15">
      <c r="A178" s="39">
        <v>42402</v>
      </c>
      <c r="B178">
        <v>67.84</v>
      </c>
      <c r="C178">
        <f>VLOOKUP(A178,NYSEARCAVTI!A$2:G$506,3,0)</f>
        <v>97.55</v>
      </c>
      <c r="D178">
        <f>VLOOKUP(A178,NYSEARCAVEU!A$2:G$506,3,0)</f>
        <v>40.299999999999997</v>
      </c>
      <c r="E178">
        <f>VLOOKUP(A178,NYSEARCAVWO!A$2:G$506,3,0)</f>
        <v>30.07</v>
      </c>
      <c r="F178">
        <f>VLOOKUP(A178,NYSEARCABND!A$2:G$506,3,0)</f>
        <v>81.72</v>
      </c>
      <c r="G178">
        <f>VLOOKUP(A178,NYSEARCATIP!A$2:G$506,3,0)</f>
        <v>111.65</v>
      </c>
      <c r="H178">
        <f>VLOOKUP(A178,NYSEARCAMUB!A$2:G$506,3,0)</f>
        <v>111.41</v>
      </c>
      <c r="I178">
        <f>VLOOKUP(A178,NYSEARCAVNQ!A$2:G$506,3,0)</f>
        <v>77</v>
      </c>
      <c r="J178">
        <f>VLOOKUP(A178,NYSEARCARWX!A$2:G$506,3,0)</f>
        <v>37.729999999999997</v>
      </c>
      <c r="K178">
        <f>VLOOKUP(A178,NYSEARCADBC!A$2:G$506,3,0)</f>
        <v>12.4</v>
      </c>
      <c r="L178">
        <f>VLOOKUP(A178,NYSEARCAGSG!A$2:G$506,3,0)</f>
        <v>12.88</v>
      </c>
      <c r="M178">
        <f>VLOOKUP(A178,NYSEARCAGLD!A$2:G$506,3,0)</f>
        <v>108.18</v>
      </c>
      <c r="N178">
        <f>VLOOKUP(A178,NYSEBP!A$2:G$506,3,0)</f>
        <v>29.36</v>
      </c>
      <c r="O178">
        <f>VLOOKUP(A178,NASDAQYHOO!A$2:G$506,3,0)</f>
        <v>30.23</v>
      </c>
    </row>
    <row r="179" spans="1:15">
      <c r="A179" s="39">
        <v>42403</v>
      </c>
      <c r="B179">
        <v>67.5</v>
      </c>
      <c r="C179">
        <f>VLOOKUP(A179,NYSEARCAVTI!A$2:G$506,3,0)</f>
        <v>97.29</v>
      </c>
      <c r="D179">
        <f>VLOOKUP(A179,NYSEARCAVEU!A$2:G$506,3,0)</f>
        <v>40.36</v>
      </c>
      <c r="E179">
        <f>VLOOKUP(A179,NYSEARCAVWO!A$2:G$506,3,0)</f>
        <v>30.43</v>
      </c>
      <c r="F179">
        <f>VLOOKUP(A179,NYSEARCABND!A$2:G$506,3,0)</f>
        <v>81.93</v>
      </c>
      <c r="G179">
        <f>VLOOKUP(A179,NYSEARCATIP!A$2:G$506,3,0)</f>
        <v>112.24</v>
      </c>
      <c r="H179">
        <f>VLOOKUP(A179,NYSEARCAMUB!A$2:G$506,3,0)</f>
        <v>111.67</v>
      </c>
      <c r="I179">
        <f>VLOOKUP(A179,NYSEARCAVNQ!A$2:G$506,3,0)</f>
        <v>77.23</v>
      </c>
      <c r="J179">
        <f>VLOOKUP(A179,NYSEARCARWX!A$2:G$506,3,0)</f>
        <v>38.08</v>
      </c>
      <c r="K179">
        <f>VLOOKUP(A179,NYSEARCADBC!A$2:G$506,3,0)</f>
        <v>12.64</v>
      </c>
      <c r="L179">
        <f>VLOOKUP(A179,NYSEARCAGSG!A$2:G$506,3,0)</f>
        <v>13.27</v>
      </c>
      <c r="M179">
        <f>VLOOKUP(A179,NYSEARCAGLD!A$2:G$506,3,0)</f>
        <v>109.58</v>
      </c>
      <c r="N179">
        <f>VLOOKUP(A179,NYSEBP!A$2:G$506,3,0)</f>
        <v>29.81</v>
      </c>
      <c r="O179">
        <f>VLOOKUP(A179,NASDAQYHOO!A$2:G$506,3,0)</f>
        <v>28.61</v>
      </c>
    </row>
    <row r="180" spans="1:15">
      <c r="A180" s="39">
        <v>42404</v>
      </c>
      <c r="B180">
        <v>66.55</v>
      </c>
      <c r="C180">
        <f>VLOOKUP(A180,NYSEARCAVTI!A$2:G$506,3,0)</f>
        <v>97.92</v>
      </c>
      <c r="D180">
        <f>VLOOKUP(A180,NYSEARCAVEU!A$2:G$506,3,0)</f>
        <v>40.700000000000003</v>
      </c>
      <c r="E180">
        <f>VLOOKUP(A180,NYSEARCAVWO!A$2:G$506,3,0)</f>
        <v>30.98</v>
      </c>
      <c r="F180">
        <f>VLOOKUP(A180,NYSEARCABND!A$2:G$506,3,0)</f>
        <v>81.86</v>
      </c>
      <c r="G180">
        <f>VLOOKUP(A180,NYSEARCATIP!A$2:G$506,3,0)</f>
        <v>111.91</v>
      </c>
      <c r="H180">
        <f>VLOOKUP(A180,NYSEARCAMUB!A$2:G$506,3,0)</f>
        <v>111.62</v>
      </c>
      <c r="I180">
        <f>VLOOKUP(A180,NYSEARCAVNQ!A$2:G$506,3,0)</f>
        <v>77.39</v>
      </c>
      <c r="J180">
        <f>VLOOKUP(A180,NYSEARCARWX!A$2:G$506,3,0)</f>
        <v>38.299999999999997</v>
      </c>
      <c r="K180">
        <f>VLOOKUP(A180,NYSEARCADBC!A$2:G$506,3,0)</f>
        <v>12.79</v>
      </c>
      <c r="L180">
        <f>VLOOKUP(A180,NYSEARCAGSG!A$2:G$506,3,0)</f>
        <v>13.48</v>
      </c>
      <c r="M180">
        <f>VLOOKUP(A180,NYSEARCAGLD!A$2:G$506,3,0)</f>
        <v>110.7</v>
      </c>
      <c r="N180">
        <f>VLOOKUP(A180,NYSEBP!A$2:G$506,3,0)</f>
        <v>31.04</v>
      </c>
      <c r="O180">
        <f>VLOOKUP(A180,NASDAQYHOO!A$2:G$506,3,0)</f>
        <v>29.23</v>
      </c>
    </row>
    <row r="181" spans="1:15">
      <c r="A181" s="39">
        <v>42405</v>
      </c>
      <c r="B181">
        <v>67.53</v>
      </c>
      <c r="C181">
        <f>VLOOKUP(A181,NYSEARCAVTI!A$2:G$506,3,0)</f>
        <v>97</v>
      </c>
      <c r="D181">
        <f>VLOOKUP(A181,NYSEARCAVEU!A$2:G$506,3,0)</f>
        <v>40.39</v>
      </c>
      <c r="E181">
        <f>VLOOKUP(A181,NYSEARCAVWO!A$2:G$506,3,0)</f>
        <v>30.62</v>
      </c>
      <c r="F181">
        <f>VLOOKUP(A181,NYSEARCABND!A$2:G$506,3,0)</f>
        <v>81.8</v>
      </c>
      <c r="G181">
        <f>VLOOKUP(A181,NYSEARCATIP!A$2:G$506,3,0)</f>
        <v>111.62</v>
      </c>
      <c r="H181">
        <f>VLOOKUP(A181,NYSEARCAMUB!A$2:G$506,3,0)</f>
        <v>111.65</v>
      </c>
      <c r="I181">
        <f>VLOOKUP(A181,NYSEARCAVNQ!A$2:G$506,3,0)</f>
        <v>76.81</v>
      </c>
      <c r="J181">
        <f>VLOOKUP(A181,NYSEARCARWX!A$2:G$506,3,0)</f>
        <v>38.049999999999997</v>
      </c>
      <c r="K181">
        <f>VLOOKUP(A181,NYSEARCADBC!A$2:G$506,3,0)</f>
        <v>12.63</v>
      </c>
      <c r="L181">
        <f>VLOOKUP(A181,NYSEARCAGSG!A$2:G$506,3,0)</f>
        <v>13.16</v>
      </c>
      <c r="M181">
        <f>VLOOKUP(A181,NYSEARCAGLD!A$2:G$506,3,0)</f>
        <v>112.35</v>
      </c>
      <c r="N181">
        <f>VLOOKUP(A181,NYSEBP!A$2:G$506,3,0)</f>
        <v>30.81</v>
      </c>
      <c r="O181">
        <f>VLOOKUP(A181,NASDAQYHOO!A$2:G$506,3,0)</f>
        <v>29.14</v>
      </c>
    </row>
    <row r="182" spans="1:15">
      <c r="A182" s="39">
        <v>42408</v>
      </c>
      <c r="B182">
        <v>67.150000000000006</v>
      </c>
      <c r="C182">
        <f>VLOOKUP(A182,NYSEARCAVTI!A$2:G$506,3,0)</f>
        <v>94.38</v>
      </c>
      <c r="D182">
        <f>VLOOKUP(A182,NYSEARCAVEU!A$2:G$506,3,0)</f>
        <v>39.36</v>
      </c>
      <c r="E182">
        <f>VLOOKUP(A182,NYSEARCAVWO!A$2:G$506,3,0)</f>
        <v>30.02</v>
      </c>
      <c r="F182">
        <f>VLOOKUP(A182,NYSEARCABND!A$2:G$506,3,0)</f>
        <v>82.14</v>
      </c>
      <c r="G182">
        <f>VLOOKUP(A182,NYSEARCATIP!A$2:G$506,3,0)</f>
        <v>111.83</v>
      </c>
      <c r="H182">
        <f>VLOOKUP(A182,NYSEARCAMUB!A$2:G$506,3,0)</f>
        <v>111.95</v>
      </c>
      <c r="I182">
        <f>VLOOKUP(A182,NYSEARCAVNQ!A$2:G$506,3,0)</f>
        <v>75.12</v>
      </c>
      <c r="J182">
        <f>VLOOKUP(A182,NYSEARCARWX!A$2:G$506,3,0)</f>
        <v>37.21</v>
      </c>
      <c r="K182">
        <f>VLOOKUP(A182,NYSEARCADBC!A$2:G$506,3,0)</f>
        <v>12.62</v>
      </c>
      <c r="L182">
        <f>VLOOKUP(A182,NYSEARCAGSG!A$2:G$506,3,0)</f>
        <v>12.95</v>
      </c>
      <c r="M182">
        <f>VLOOKUP(A182,NYSEARCAGLD!A$2:G$506,3,0)</f>
        <v>114.87</v>
      </c>
      <c r="N182">
        <f>VLOOKUP(A182,NYSEBP!A$2:G$506,3,0)</f>
        <v>30.06</v>
      </c>
      <c r="O182">
        <f>VLOOKUP(A182,NASDAQYHOO!A$2:G$506,3,0)</f>
        <v>27.97</v>
      </c>
    </row>
    <row r="183" spans="1:15">
      <c r="A183" s="39">
        <v>42409</v>
      </c>
      <c r="B183">
        <v>66.41</v>
      </c>
      <c r="C183">
        <f>VLOOKUP(A183,NYSEARCAVTI!A$2:G$506,3,0)</f>
        <v>94.47</v>
      </c>
      <c r="D183">
        <f>VLOOKUP(A183,NYSEARCAVEU!A$2:G$506,3,0)</f>
        <v>38.96</v>
      </c>
      <c r="E183">
        <f>VLOOKUP(A183,NYSEARCAVWO!A$2:G$506,3,0)</f>
        <v>29.8</v>
      </c>
      <c r="F183">
        <f>VLOOKUP(A183,NYSEARCABND!A$2:G$506,3,0)</f>
        <v>82.22</v>
      </c>
      <c r="G183">
        <f>VLOOKUP(A183,NYSEARCATIP!A$2:G$506,3,0)</f>
        <v>111.46</v>
      </c>
      <c r="H183">
        <f>VLOOKUP(A183,NYSEARCAMUB!A$2:G$506,3,0)</f>
        <v>112.06</v>
      </c>
      <c r="I183">
        <f>VLOOKUP(A183,NYSEARCAVNQ!A$2:G$506,3,0)</f>
        <v>72.8</v>
      </c>
      <c r="J183">
        <f>VLOOKUP(A183,NYSEARCARWX!A$2:G$506,3,0)</f>
        <v>36.840000000000003</v>
      </c>
      <c r="K183">
        <f>VLOOKUP(A183,NYSEARCADBC!A$2:G$506,3,0)</f>
        <v>12.42</v>
      </c>
      <c r="L183">
        <f>VLOOKUP(A183,NYSEARCAGSG!A$2:G$506,3,0)</f>
        <v>12.74</v>
      </c>
      <c r="M183">
        <f>VLOOKUP(A183,NYSEARCAGLD!A$2:G$506,3,0)</f>
        <v>114.69</v>
      </c>
      <c r="N183">
        <f>VLOOKUP(A183,NYSEBP!A$2:G$506,3,0)</f>
        <v>29.5</v>
      </c>
      <c r="O183">
        <f>VLOOKUP(A183,NASDAQYHOO!A$2:G$506,3,0)</f>
        <v>27.69</v>
      </c>
    </row>
    <row r="184" spans="1:15">
      <c r="A184" s="39">
        <v>42410</v>
      </c>
      <c r="B184">
        <v>66.59</v>
      </c>
      <c r="C184">
        <f>VLOOKUP(A184,NYSEARCAVTI!A$2:G$506,3,0)</f>
        <v>95.27</v>
      </c>
      <c r="D184">
        <f>VLOOKUP(A184,NYSEARCAVEU!A$2:G$506,3,0)</f>
        <v>39.22</v>
      </c>
      <c r="E184">
        <f>VLOOKUP(A184,NYSEARCAVWO!A$2:G$506,3,0)</f>
        <v>30.11</v>
      </c>
      <c r="F184">
        <f>VLOOKUP(A184,NYSEARCABND!A$2:G$506,3,0)</f>
        <v>82.23</v>
      </c>
      <c r="G184">
        <f>VLOOKUP(A184,NYSEARCATIP!A$2:G$506,3,0)</f>
        <v>111.71</v>
      </c>
      <c r="H184">
        <f>VLOOKUP(A184,NYSEARCAMUB!A$2:G$506,3,0)</f>
        <v>112</v>
      </c>
      <c r="I184">
        <f>VLOOKUP(A184,NYSEARCAVNQ!A$2:G$506,3,0)</f>
        <v>73.48</v>
      </c>
      <c r="J184">
        <f>VLOOKUP(A184,NYSEARCARWX!A$2:G$506,3,0)</f>
        <v>37.15</v>
      </c>
      <c r="K184">
        <f>VLOOKUP(A184,NYSEARCADBC!A$2:G$506,3,0)</f>
        <v>12.28</v>
      </c>
      <c r="L184">
        <f>VLOOKUP(A184,NYSEARCAGSG!A$2:G$506,3,0)</f>
        <v>12.55</v>
      </c>
      <c r="M184">
        <f>VLOOKUP(A184,NYSEARCAGLD!A$2:G$506,3,0)</f>
        <v>114.52</v>
      </c>
      <c r="N184">
        <f>VLOOKUP(A184,NYSEBP!A$2:G$506,3,0)</f>
        <v>28.61</v>
      </c>
      <c r="O184">
        <f>VLOOKUP(A184,NASDAQYHOO!A$2:G$506,3,0)</f>
        <v>27.81</v>
      </c>
    </row>
    <row r="185" spans="1:15">
      <c r="A185" s="39">
        <v>42411</v>
      </c>
      <c r="B185">
        <v>65.760000000000005</v>
      </c>
      <c r="C185">
        <f>VLOOKUP(A185,NYSEARCAVTI!A$2:G$506,3,0)</f>
        <v>93.06</v>
      </c>
      <c r="D185">
        <f>VLOOKUP(A185,NYSEARCAVEU!A$2:G$506,3,0)</f>
        <v>38.35</v>
      </c>
      <c r="E185">
        <f>VLOOKUP(A185,NYSEARCAVWO!A$2:G$506,3,0)</f>
        <v>29.33</v>
      </c>
      <c r="F185">
        <f>VLOOKUP(A185,NYSEARCABND!A$2:G$506,3,0)</f>
        <v>82.58</v>
      </c>
      <c r="G185">
        <f>VLOOKUP(A185,NYSEARCATIP!A$2:G$506,3,0)</f>
        <v>112.21</v>
      </c>
      <c r="H185">
        <f>VLOOKUP(A185,NYSEARCAMUB!A$2:G$506,3,0)</f>
        <v>112.27</v>
      </c>
      <c r="I185">
        <f>VLOOKUP(A185,NYSEARCAVNQ!A$2:G$506,3,0)</f>
        <v>71.95</v>
      </c>
      <c r="J185">
        <f>VLOOKUP(A185,NYSEARCARWX!A$2:G$506,3,0)</f>
        <v>36.64</v>
      </c>
      <c r="K185">
        <f>VLOOKUP(A185,NYSEARCADBC!A$2:G$506,3,0)</f>
        <v>12.34</v>
      </c>
      <c r="L185">
        <f>VLOOKUP(A185,NYSEARCAGSG!A$2:G$506,3,0)</f>
        <v>12.44</v>
      </c>
      <c r="M185">
        <f>VLOOKUP(A185,NYSEARCAGLD!A$2:G$506,3,0)</f>
        <v>120.84</v>
      </c>
      <c r="N185">
        <f>VLOOKUP(A185,NYSEBP!A$2:G$506,3,0)</f>
        <v>27.85</v>
      </c>
      <c r="O185">
        <f>VLOOKUP(A185,NASDAQYHOO!A$2:G$506,3,0)</f>
        <v>26.97</v>
      </c>
    </row>
    <row r="186" spans="1:15">
      <c r="A186" s="39">
        <v>42412</v>
      </c>
      <c r="B186">
        <v>66.25</v>
      </c>
      <c r="C186">
        <f>VLOOKUP(A186,NYSEARCAVTI!A$2:G$506,3,0)</f>
        <v>94.38</v>
      </c>
      <c r="D186">
        <f>VLOOKUP(A186,NYSEARCAVEU!A$2:G$506,3,0)</f>
        <v>38.81</v>
      </c>
      <c r="E186">
        <f>VLOOKUP(A186,NYSEARCAVWO!A$2:G$506,3,0)</f>
        <v>29.66</v>
      </c>
      <c r="F186">
        <f>VLOOKUP(A186,NYSEARCABND!A$2:G$506,3,0)</f>
        <v>82.2</v>
      </c>
      <c r="G186">
        <f>VLOOKUP(A186,NYSEARCATIP!A$2:G$506,3,0)</f>
        <v>112.14</v>
      </c>
      <c r="H186">
        <f>VLOOKUP(A186,NYSEARCAMUB!A$2:G$506,3,0)</f>
        <v>112.1</v>
      </c>
      <c r="I186">
        <f>VLOOKUP(A186,NYSEARCAVNQ!A$2:G$506,3,0)</f>
        <v>72.489999999999995</v>
      </c>
      <c r="J186">
        <f>VLOOKUP(A186,NYSEARCARWX!A$2:G$506,3,0)</f>
        <v>37.03</v>
      </c>
      <c r="K186">
        <f>VLOOKUP(A186,NYSEARCADBC!A$2:G$506,3,0)</f>
        <v>12.57</v>
      </c>
      <c r="L186">
        <f>VLOOKUP(A186,NYSEARCAGSG!A$2:G$506,3,0)</f>
        <v>12.78</v>
      </c>
      <c r="M186">
        <f>VLOOKUP(A186,NYSEARCAGLD!A$2:G$506,3,0)</f>
        <v>118.74</v>
      </c>
      <c r="N186">
        <f>VLOOKUP(A186,NYSEBP!A$2:G$506,3,0)</f>
        <v>29.06</v>
      </c>
      <c r="O186">
        <f>VLOOKUP(A186,NASDAQYHOO!A$2:G$506,3,0)</f>
        <v>27.32</v>
      </c>
    </row>
    <row r="187" spans="1:15">
      <c r="A187" s="39">
        <v>42416</v>
      </c>
      <c r="B187">
        <v>66.8</v>
      </c>
      <c r="C187">
        <f>VLOOKUP(A187,NYSEARCAVTI!A$2:G$506,3,0)</f>
        <v>96.09</v>
      </c>
      <c r="D187">
        <f>VLOOKUP(A187,NYSEARCAVEU!A$2:G$506,3,0)</f>
        <v>39.619999999999997</v>
      </c>
      <c r="E187">
        <f>VLOOKUP(A187,NYSEARCAVWO!A$2:G$506,3,0)</f>
        <v>30.39</v>
      </c>
      <c r="F187">
        <f>VLOOKUP(A187,NYSEARCABND!A$2:G$506,3,0)</f>
        <v>81.93</v>
      </c>
      <c r="G187">
        <f>VLOOKUP(A187,NYSEARCATIP!A$2:G$506,3,0)</f>
        <v>111.53</v>
      </c>
      <c r="H187">
        <f>VLOOKUP(A187,NYSEARCAMUB!A$2:G$506,3,0)</f>
        <v>112.09</v>
      </c>
      <c r="I187">
        <f>VLOOKUP(A187,NYSEARCAVNQ!A$2:G$506,3,0)</f>
        <v>73.7</v>
      </c>
      <c r="J187">
        <f>VLOOKUP(A187,NYSEARCARWX!A$2:G$506,3,0)</f>
        <v>37.89</v>
      </c>
      <c r="K187">
        <f>VLOOKUP(A187,NYSEARCADBC!A$2:G$506,3,0)</f>
        <v>12.55</v>
      </c>
      <c r="L187">
        <f>VLOOKUP(A187,NYSEARCAGSG!A$2:G$506,3,0)</f>
        <v>12.85</v>
      </c>
      <c r="M187">
        <f>VLOOKUP(A187,NYSEARCAGLD!A$2:G$506,3,0)</f>
        <v>116.31</v>
      </c>
      <c r="N187">
        <f>VLOOKUP(A187,NYSEBP!A$2:G$506,3,0)</f>
        <v>29.39</v>
      </c>
      <c r="O187">
        <f>VLOOKUP(A187,NASDAQYHOO!A$2:G$506,3,0)</f>
        <v>29.44</v>
      </c>
    </row>
    <row r="188" spans="1:15">
      <c r="A188" s="39">
        <v>42417</v>
      </c>
      <c r="B188">
        <v>66.61</v>
      </c>
      <c r="C188">
        <f>VLOOKUP(A188,NYSEARCAVTI!A$2:G$506,3,0)</f>
        <v>97.93</v>
      </c>
      <c r="D188">
        <f>VLOOKUP(A188,NYSEARCAVEU!A$2:G$506,3,0)</f>
        <v>40.409999999999997</v>
      </c>
      <c r="E188">
        <f>VLOOKUP(A188,NYSEARCAVWO!A$2:G$506,3,0)</f>
        <v>31.04</v>
      </c>
      <c r="F188">
        <f>VLOOKUP(A188,NYSEARCABND!A$2:G$506,3,0)</f>
        <v>81.88</v>
      </c>
      <c r="G188">
        <f>VLOOKUP(A188,NYSEARCATIP!A$2:G$506,3,0)</f>
        <v>111.27</v>
      </c>
      <c r="H188">
        <f>VLOOKUP(A188,NYSEARCAMUB!A$2:G$506,3,0)</f>
        <v>111.86</v>
      </c>
      <c r="I188">
        <f>VLOOKUP(A188,NYSEARCAVNQ!A$2:G$506,3,0)</f>
        <v>75.09</v>
      </c>
      <c r="J188">
        <f>VLOOKUP(A188,NYSEARCARWX!A$2:G$506,3,0)</f>
        <v>38.33</v>
      </c>
      <c r="K188">
        <f>VLOOKUP(A188,NYSEARCADBC!A$2:G$506,3,0)</f>
        <v>12.67</v>
      </c>
      <c r="L188">
        <f>VLOOKUP(A188,NYSEARCAGSG!A$2:G$506,3,0)</f>
        <v>13.11</v>
      </c>
      <c r="M188">
        <f>VLOOKUP(A188,NYSEARCAGLD!A$2:G$506,3,0)</f>
        <v>116.07</v>
      </c>
      <c r="N188">
        <f>VLOOKUP(A188,NYSEBP!A$2:G$506,3,0)</f>
        <v>30.23</v>
      </c>
      <c r="O188">
        <f>VLOOKUP(A188,NASDAQYHOO!A$2:G$506,3,0)</f>
        <v>29.66</v>
      </c>
    </row>
    <row r="189" spans="1:15">
      <c r="A189" s="39">
        <v>42418</v>
      </c>
      <c r="B189">
        <v>64.78</v>
      </c>
      <c r="C189">
        <f>VLOOKUP(A189,NYSEARCAVTI!A$2:G$506,3,0)</f>
        <v>97.92</v>
      </c>
      <c r="D189">
        <f>VLOOKUP(A189,NYSEARCAVEU!A$2:G$506,3,0)</f>
        <v>40.5</v>
      </c>
      <c r="E189">
        <f>VLOOKUP(A189,NYSEARCAVWO!A$2:G$506,3,0)</f>
        <v>31.13</v>
      </c>
      <c r="F189">
        <f>VLOOKUP(A189,NYSEARCABND!A$2:G$506,3,0)</f>
        <v>82.15</v>
      </c>
      <c r="G189">
        <f>VLOOKUP(A189,NYSEARCATIP!A$2:G$506,3,0)</f>
        <v>111.46</v>
      </c>
      <c r="H189">
        <f>VLOOKUP(A189,NYSEARCAMUB!A$2:G$506,3,0)</f>
        <v>111.82</v>
      </c>
      <c r="I189">
        <f>VLOOKUP(A189,NYSEARCAVNQ!A$2:G$506,3,0)</f>
        <v>75.2</v>
      </c>
      <c r="J189">
        <f>VLOOKUP(A189,NYSEARCARWX!A$2:G$506,3,0)</f>
        <v>38.369999999999997</v>
      </c>
      <c r="K189">
        <f>VLOOKUP(A189,NYSEARCADBC!A$2:G$506,3,0)</f>
        <v>12.71</v>
      </c>
      <c r="L189">
        <f>VLOOKUP(A189,NYSEARCAGSG!A$2:G$506,3,0)</f>
        <v>13.19</v>
      </c>
      <c r="M189">
        <f>VLOOKUP(A189,NYSEARCAGLD!A$2:G$506,3,0)</f>
        <v>118.6</v>
      </c>
      <c r="N189">
        <f>VLOOKUP(A189,NYSEBP!A$2:G$506,3,0)</f>
        <v>30.21</v>
      </c>
      <c r="O189">
        <f>VLOOKUP(A189,NASDAQYHOO!A$2:G$506,3,0)</f>
        <v>30.14</v>
      </c>
    </row>
    <row r="190" spans="1:15">
      <c r="A190" s="39">
        <v>42419</v>
      </c>
      <c r="B190">
        <v>64.760000000000005</v>
      </c>
      <c r="C190">
        <f>VLOOKUP(A190,NYSEARCAVTI!A$2:G$506,3,0)</f>
        <v>97.36</v>
      </c>
      <c r="D190">
        <f>VLOOKUP(A190,NYSEARCAVEU!A$2:G$506,3,0)</f>
        <v>40.1</v>
      </c>
      <c r="E190">
        <f>VLOOKUP(A190,NYSEARCAVWO!A$2:G$506,3,0)</f>
        <v>30.84</v>
      </c>
      <c r="F190">
        <f>VLOOKUP(A190,NYSEARCABND!A$2:G$506,3,0)</f>
        <v>82.15</v>
      </c>
      <c r="G190">
        <f>VLOOKUP(A190,NYSEARCATIP!A$2:G$506,3,0)</f>
        <v>111.59</v>
      </c>
      <c r="H190">
        <f>VLOOKUP(A190,NYSEARCAMUB!A$2:G$506,3,0)</f>
        <v>111.78</v>
      </c>
      <c r="I190">
        <f>VLOOKUP(A190,NYSEARCAVNQ!A$2:G$506,3,0)</f>
        <v>75.75</v>
      </c>
      <c r="J190">
        <f>VLOOKUP(A190,NYSEARCARWX!A$2:G$506,3,0)</f>
        <v>38.44</v>
      </c>
      <c r="K190">
        <f>VLOOKUP(A190,NYSEARCADBC!A$2:G$506,3,0)</f>
        <v>12.48</v>
      </c>
      <c r="L190">
        <f>VLOOKUP(A190,NYSEARCAGSG!A$2:G$506,3,0)</f>
        <v>12.86</v>
      </c>
      <c r="M190">
        <f>VLOOKUP(A190,NYSEARCAGLD!A$2:G$506,3,0)</f>
        <v>117.96</v>
      </c>
      <c r="N190">
        <f>VLOOKUP(A190,NYSEBP!A$2:G$506,3,0)</f>
        <v>29.75</v>
      </c>
      <c r="O190">
        <f>VLOOKUP(A190,NASDAQYHOO!A$2:G$506,3,0)</f>
        <v>30.23</v>
      </c>
    </row>
    <row r="191" spans="1:15">
      <c r="A191" s="39">
        <v>42422</v>
      </c>
      <c r="B191">
        <v>66.14</v>
      </c>
      <c r="C191">
        <f>VLOOKUP(A191,NYSEARCAVTI!A$2:G$506,3,0)</f>
        <v>98.8</v>
      </c>
      <c r="D191">
        <f>VLOOKUP(A191,NYSEARCAVEU!A$2:G$506,3,0)</f>
        <v>40.64</v>
      </c>
      <c r="E191">
        <f>VLOOKUP(A191,NYSEARCAVWO!A$2:G$506,3,0)</f>
        <v>31.46</v>
      </c>
      <c r="F191">
        <f>VLOOKUP(A191,NYSEARCABND!A$2:G$506,3,0)</f>
        <v>82.09</v>
      </c>
      <c r="G191">
        <f>VLOOKUP(A191,NYSEARCATIP!A$2:G$506,3,0)</f>
        <v>111.65</v>
      </c>
      <c r="H191">
        <f>VLOOKUP(A191,NYSEARCAMUB!A$2:G$506,3,0)</f>
        <v>111.7</v>
      </c>
      <c r="I191">
        <f>VLOOKUP(A191,NYSEARCAVNQ!A$2:G$506,3,0)</f>
        <v>76.709999999999994</v>
      </c>
      <c r="J191">
        <f>VLOOKUP(A191,NYSEARCARWX!A$2:G$506,3,0)</f>
        <v>38.79</v>
      </c>
      <c r="K191">
        <f>VLOOKUP(A191,NYSEARCADBC!A$2:G$506,3,0)</f>
        <v>12.65</v>
      </c>
      <c r="L191">
        <f>VLOOKUP(A191,NYSEARCAGSG!A$2:G$506,3,0)</f>
        <v>13.12</v>
      </c>
      <c r="M191">
        <f>VLOOKUP(A191,NYSEARCAGLD!A$2:G$506,3,0)</f>
        <v>116.19</v>
      </c>
      <c r="N191">
        <f>VLOOKUP(A191,NYSEBP!A$2:G$506,3,0)</f>
        <v>30.49</v>
      </c>
      <c r="O191">
        <f>VLOOKUP(A191,NASDAQYHOO!A$2:G$506,3,0)</f>
        <v>31.21</v>
      </c>
    </row>
    <row r="192" spans="1:15">
      <c r="A192" s="39">
        <v>42423</v>
      </c>
      <c r="B192">
        <v>66.599999999999994</v>
      </c>
      <c r="C192">
        <f>VLOOKUP(A192,NYSEARCAVTI!A$2:G$506,3,0)</f>
        <v>98.52</v>
      </c>
      <c r="D192">
        <f>VLOOKUP(A192,NYSEARCAVEU!A$2:G$506,3,0)</f>
        <v>40.33</v>
      </c>
      <c r="E192">
        <f>VLOOKUP(A192,NYSEARCAVWO!A$2:G$506,3,0)</f>
        <v>31.14</v>
      </c>
      <c r="F192">
        <f>VLOOKUP(A192,NYSEARCABND!A$2:G$506,3,0)</f>
        <v>82.23</v>
      </c>
      <c r="G192">
        <f>VLOOKUP(A192,NYSEARCATIP!A$2:G$506,3,0)</f>
        <v>111.96</v>
      </c>
      <c r="H192">
        <f>VLOOKUP(A192,NYSEARCAMUB!A$2:G$506,3,0)</f>
        <v>111.62</v>
      </c>
      <c r="I192">
        <f>VLOOKUP(A192,NYSEARCAVNQ!A$2:G$506,3,0)</f>
        <v>76.849999999999994</v>
      </c>
      <c r="J192">
        <f>VLOOKUP(A192,NYSEARCARWX!A$2:G$506,3,0)</f>
        <v>38.42</v>
      </c>
      <c r="K192">
        <f>VLOOKUP(A192,NYSEARCADBC!A$2:G$506,3,0)</f>
        <v>12.58</v>
      </c>
      <c r="L192">
        <f>VLOOKUP(A192,NYSEARCAGSG!A$2:G$506,3,0)</f>
        <v>12.98</v>
      </c>
      <c r="M192">
        <f>VLOOKUP(A192,NYSEARCAGLD!A$2:G$506,3,0)</f>
        <v>117.42</v>
      </c>
      <c r="N192">
        <f>VLOOKUP(A192,NYSEBP!A$2:G$506,3,0)</f>
        <v>29.88</v>
      </c>
      <c r="O192">
        <f>VLOOKUP(A192,NASDAQYHOO!A$2:G$506,3,0)</f>
        <v>31.38</v>
      </c>
    </row>
    <row r="193" spans="1:15">
      <c r="A193" s="39">
        <v>42424</v>
      </c>
      <c r="B193">
        <v>67.33</v>
      </c>
      <c r="C193">
        <f>VLOOKUP(A193,NYSEARCAVTI!A$2:G$506,3,0)</f>
        <v>98.14</v>
      </c>
      <c r="D193">
        <f>VLOOKUP(A193,NYSEARCAVEU!A$2:G$506,3,0)</f>
        <v>39.86</v>
      </c>
      <c r="E193">
        <f>VLOOKUP(A193,NYSEARCAVWO!A$2:G$506,3,0)</f>
        <v>30.85</v>
      </c>
      <c r="F193">
        <f>VLOOKUP(A193,NYSEARCABND!A$2:G$506,3,0)</f>
        <v>82.49</v>
      </c>
      <c r="G193">
        <f>VLOOKUP(A193,NYSEARCATIP!A$2:G$506,3,0)</f>
        <v>112.62</v>
      </c>
      <c r="H193">
        <f>VLOOKUP(A193,NYSEARCAMUB!A$2:G$506,3,0)</f>
        <v>111.67</v>
      </c>
      <c r="I193">
        <f>VLOOKUP(A193,NYSEARCAVNQ!A$2:G$506,3,0)</f>
        <v>76.02</v>
      </c>
      <c r="J193">
        <f>VLOOKUP(A193,NYSEARCARWX!A$2:G$506,3,0)</f>
        <v>38.380000000000003</v>
      </c>
      <c r="K193">
        <f>VLOOKUP(A193,NYSEARCADBC!A$2:G$506,3,0)</f>
        <v>12.66</v>
      </c>
      <c r="L193">
        <f>VLOOKUP(A193,NYSEARCAGSG!A$2:G$506,3,0)</f>
        <v>13</v>
      </c>
      <c r="M193">
        <f>VLOOKUP(A193,NYSEARCAGLD!A$2:G$506,3,0)</f>
        <v>119.86</v>
      </c>
      <c r="N193">
        <f>VLOOKUP(A193,NYSEBP!A$2:G$506,3,0)</f>
        <v>28.56</v>
      </c>
      <c r="O193">
        <f>VLOOKUP(A193,NASDAQYHOO!A$2:G$506,3,0)</f>
        <v>31.12</v>
      </c>
    </row>
    <row r="194" spans="1:15">
      <c r="A194" s="39">
        <v>42425</v>
      </c>
      <c r="B194">
        <v>68.13</v>
      </c>
      <c r="C194">
        <f>VLOOKUP(A194,NYSEARCAVTI!A$2:G$506,3,0)</f>
        <v>99.19</v>
      </c>
      <c r="D194">
        <f>VLOOKUP(A194,NYSEARCAVEU!A$2:G$506,3,0)</f>
        <v>40.229999999999997</v>
      </c>
      <c r="E194">
        <f>VLOOKUP(A194,NYSEARCAVWO!A$2:G$506,3,0)</f>
        <v>30.86</v>
      </c>
      <c r="F194">
        <f>VLOOKUP(A194,NYSEARCABND!A$2:G$506,3,0)</f>
        <v>82.39</v>
      </c>
      <c r="G194">
        <f>VLOOKUP(A194,NYSEARCATIP!A$2:G$506,3,0)</f>
        <v>112.83</v>
      </c>
      <c r="H194">
        <f>VLOOKUP(A194,NYSEARCAMUB!A$2:G$506,3,0)</f>
        <v>111.61</v>
      </c>
      <c r="I194">
        <f>VLOOKUP(A194,NYSEARCAVNQ!A$2:G$506,3,0)</f>
        <v>77.45</v>
      </c>
      <c r="J194">
        <f>VLOOKUP(A194,NYSEARCARWX!A$2:G$506,3,0)</f>
        <v>38.69</v>
      </c>
      <c r="K194">
        <f>VLOOKUP(A194,NYSEARCADBC!A$2:G$506,3,0)</f>
        <v>12.7</v>
      </c>
      <c r="L194">
        <f>VLOOKUP(A194,NYSEARCAGSG!A$2:G$506,3,0)</f>
        <v>13.12</v>
      </c>
      <c r="M194">
        <f>VLOOKUP(A194,NYSEARCAGLD!A$2:G$506,3,0)</f>
        <v>118.91</v>
      </c>
      <c r="N194">
        <f>VLOOKUP(A194,NYSEBP!A$2:G$506,3,0)</f>
        <v>28.91</v>
      </c>
      <c r="O194">
        <f>VLOOKUP(A194,NASDAQYHOO!A$2:G$506,3,0)</f>
        <v>31.36</v>
      </c>
    </row>
    <row r="195" spans="1:15">
      <c r="A195" s="39">
        <v>42426</v>
      </c>
      <c r="B195">
        <v>68.2</v>
      </c>
      <c r="C195">
        <f>VLOOKUP(A195,NYSEARCAVTI!A$2:G$506,3,0)</f>
        <v>99.76</v>
      </c>
      <c r="D195">
        <f>VLOOKUP(A195,NYSEARCAVEU!A$2:G$506,3,0)</f>
        <v>40.47</v>
      </c>
      <c r="E195">
        <f>VLOOKUP(A195,NYSEARCAVWO!A$2:G$506,3,0)</f>
        <v>31.03</v>
      </c>
      <c r="F195">
        <f>VLOOKUP(A195,NYSEARCABND!A$2:G$506,3,0)</f>
        <v>82.21</v>
      </c>
      <c r="G195">
        <f>VLOOKUP(A195,NYSEARCATIP!A$2:G$506,3,0)</f>
        <v>112.47</v>
      </c>
      <c r="H195">
        <f>VLOOKUP(A195,NYSEARCAMUB!A$2:G$506,3,0)</f>
        <v>111.5</v>
      </c>
      <c r="I195">
        <f>VLOOKUP(A195,NYSEARCAVNQ!A$2:G$506,3,0)</f>
        <v>77.680000000000007</v>
      </c>
      <c r="J195">
        <f>VLOOKUP(A195,NYSEARCARWX!A$2:G$506,3,0)</f>
        <v>38.880000000000003</v>
      </c>
      <c r="K195">
        <f>VLOOKUP(A195,NYSEARCADBC!A$2:G$506,3,0)</f>
        <v>12.81</v>
      </c>
      <c r="L195">
        <f>VLOOKUP(A195,NYSEARCAGSG!A$2:G$506,3,0)</f>
        <v>13.35</v>
      </c>
      <c r="M195">
        <f>VLOOKUP(A195,NYSEARCAGLD!A$2:G$506,3,0)</f>
        <v>117.72</v>
      </c>
      <c r="N195">
        <f>VLOOKUP(A195,NYSEBP!A$2:G$506,3,0)</f>
        <v>29.3</v>
      </c>
      <c r="O195">
        <f>VLOOKUP(A195,NASDAQYHOO!A$2:G$506,3,0)</f>
        <v>31.9</v>
      </c>
    </row>
    <row r="196" spans="1:15">
      <c r="A196" s="39">
        <v>42429</v>
      </c>
      <c r="B196">
        <v>66.95</v>
      </c>
      <c r="C196">
        <f>VLOOKUP(A196,NYSEARCAVTI!A$2:G$506,3,0)</f>
        <v>99.69</v>
      </c>
      <c r="D196">
        <f>VLOOKUP(A196,NYSEARCAVEU!A$2:G$506,3,0)</f>
        <v>40.32</v>
      </c>
      <c r="E196">
        <f>VLOOKUP(A196,NYSEARCAVWO!A$2:G$506,3,0)</f>
        <v>31.05</v>
      </c>
      <c r="F196">
        <f>VLOOKUP(A196,NYSEARCABND!A$2:G$506,3,0)</f>
        <v>82.32</v>
      </c>
      <c r="G196">
        <f>VLOOKUP(A196,NYSEARCATIP!A$2:G$506,3,0)</f>
        <v>112.83</v>
      </c>
      <c r="H196">
        <f>VLOOKUP(A196,NYSEARCAMUB!A$2:G$506,3,0)</f>
        <v>111.47</v>
      </c>
      <c r="I196">
        <f>VLOOKUP(A196,NYSEARCAVNQ!A$2:G$506,3,0)</f>
        <v>77.78</v>
      </c>
      <c r="J196">
        <f>VLOOKUP(A196,NYSEARCARWX!A$2:G$506,3,0)</f>
        <v>38.65</v>
      </c>
      <c r="K196">
        <f>VLOOKUP(A196,NYSEARCADBC!A$2:G$506,3,0)</f>
        <v>12.76</v>
      </c>
      <c r="L196">
        <f>VLOOKUP(A196,NYSEARCAGSG!A$2:G$506,3,0)</f>
        <v>13.22</v>
      </c>
      <c r="M196">
        <f>VLOOKUP(A196,NYSEARCAGLD!A$2:G$506,3,0)</f>
        <v>118.7</v>
      </c>
      <c r="N196">
        <f>VLOOKUP(A196,NYSEBP!A$2:G$506,3,0)</f>
        <v>29.44</v>
      </c>
      <c r="O196">
        <f>VLOOKUP(A196,NASDAQYHOO!A$2:G$506,3,0)</f>
        <v>32.46</v>
      </c>
    </row>
    <row r="197" spans="1:15">
      <c r="A197" s="39">
        <v>42430</v>
      </c>
      <c r="B197">
        <v>66.89</v>
      </c>
      <c r="C197">
        <f>VLOOKUP(A197,NYSEARCAVTI!A$2:G$506,3,0)</f>
        <v>100.68</v>
      </c>
      <c r="D197">
        <f>VLOOKUP(A197,NYSEARCAVEU!A$2:G$506,3,0)</f>
        <v>41.09</v>
      </c>
      <c r="E197">
        <f>VLOOKUP(A197,NYSEARCAVWO!A$2:G$506,3,0)</f>
        <v>31.9</v>
      </c>
      <c r="F197">
        <f>VLOOKUP(A197,NYSEARCABND!A$2:G$506,3,0)</f>
        <v>82.17</v>
      </c>
      <c r="G197">
        <f>VLOOKUP(A197,NYSEARCATIP!A$2:G$506,3,0)</f>
        <v>112.99</v>
      </c>
      <c r="H197">
        <f>VLOOKUP(A197,NYSEARCAMUB!A$2:G$506,3,0)</f>
        <v>111.29</v>
      </c>
      <c r="I197">
        <f>VLOOKUP(A197,NYSEARCAVNQ!A$2:G$506,3,0)</f>
        <v>78.88</v>
      </c>
      <c r="J197">
        <f>VLOOKUP(A197,NYSEARCARWX!A$2:G$506,3,0)</f>
        <v>39.33</v>
      </c>
      <c r="K197">
        <f>VLOOKUP(A197,NYSEARCADBC!A$2:G$506,3,0)</f>
        <v>12.8</v>
      </c>
      <c r="L197">
        <f>VLOOKUP(A197,NYSEARCAGSG!A$2:G$506,3,0)</f>
        <v>13.29</v>
      </c>
      <c r="M197">
        <f>VLOOKUP(A197,NYSEARCAGLD!A$2:G$506,3,0)</f>
        <v>119.11</v>
      </c>
      <c r="N197">
        <f>VLOOKUP(A197,NYSEBP!A$2:G$506,3,0)</f>
        <v>29.64</v>
      </c>
      <c r="O197">
        <f>VLOOKUP(A197,NASDAQYHOO!A$2:G$506,3,0)</f>
        <v>32.85</v>
      </c>
    </row>
    <row r="198" spans="1:15">
      <c r="A198" s="39">
        <v>42431</v>
      </c>
      <c r="B198">
        <v>66.67</v>
      </c>
      <c r="C198">
        <f>VLOOKUP(A198,NYSEARCAVTI!A$2:G$506,3,0)</f>
        <v>101.24</v>
      </c>
      <c r="D198">
        <f>VLOOKUP(A198,NYSEARCAVEU!A$2:G$506,3,0)</f>
        <v>41.42</v>
      </c>
      <c r="E198">
        <f>VLOOKUP(A198,NYSEARCAVWO!A$2:G$506,3,0)</f>
        <v>32.369999999999997</v>
      </c>
      <c r="F198">
        <f>VLOOKUP(A198,NYSEARCABND!A$2:G$506,3,0)</f>
        <v>81.81</v>
      </c>
      <c r="G198">
        <f>VLOOKUP(A198,NYSEARCATIP!A$2:G$506,3,0)</f>
        <v>112.69</v>
      </c>
      <c r="H198">
        <f>VLOOKUP(A198,NYSEARCAMUB!A$2:G$506,3,0)</f>
        <v>110.95</v>
      </c>
      <c r="I198">
        <f>VLOOKUP(A198,NYSEARCAVNQ!A$2:G$506,3,0)</f>
        <v>79.48</v>
      </c>
      <c r="J198">
        <f>VLOOKUP(A198,NYSEARCARWX!A$2:G$506,3,0)</f>
        <v>39.56</v>
      </c>
      <c r="K198">
        <f>VLOOKUP(A198,NYSEARCADBC!A$2:G$506,3,0)</f>
        <v>12.87</v>
      </c>
      <c r="L198">
        <f>VLOOKUP(A198,NYSEARCAGSG!A$2:G$506,3,0)</f>
        <v>13.37</v>
      </c>
      <c r="M198">
        <f>VLOOKUP(A198,NYSEARCAGLD!A$2:G$506,3,0)</f>
        <v>118.97</v>
      </c>
      <c r="N198">
        <f>VLOOKUP(A198,NYSEBP!A$2:G$506,3,0)</f>
        <v>30.21</v>
      </c>
      <c r="O198">
        <f>VLOOKUP(A198,NASDAQYHOO!A$2:G$506,3,0)</f>
        <v>33.24</v>
      </c>
    </row>
    <row r="199" spans="1:15">
      <c r="A199" s="39">
        <v>42432</v>
      </c>
      <c r="B199">
        <v>66.2</v>
      </c>
      <c r="C199">
        <f>VLOOKUP(A199,NYSEARCAVTI!A$2:G$506,3,0)</f>
        <v>101.75</v>
      </c>
      <c r="D199">
        <f>VLOOKUP(A199,NYSEARCAVEU!A$2:G$506,3,0)</f>
        <v>41.86</v>
      </c>
      <c r="E199">
        <f>VLOOKUP(A199,NYSEARCAVWO!A$2:G$506,3,0)</f>
        <v>32.74</v>
      </c>
      <c r="F199">
        <f>VLOOKUP(A199,NYSEARCABND!A$2:G$506,3,0)</f>
        <v>81.94</v>
      </c>
      <c r="G199">
        <f>VLOOKUP(A199,NYSEARCATIP!A$2:G$506,3,0)</f>
        <v>113.05</v>
      </c>
      <c r="H199">
        <f>VLOOKUP(A199,NYSEARCAMUB!A$2:G$506,3,0)</f>
        <v>110.98</v>
      </c>
      <c r="I199">
        <f>VLOOKUP(A199,NYSEARCAVNQ!A$2:G$506,3,0)</f>
        <v>79.86</v>
      </c>
      <c r="J199">
        <f>VLOOKUP(A199,NYSEARCARWX!A$2:G$506,3,0)</f>
        <v>39.770000000000003</v>
      </c>
      <c r="K199">
        <f>VLOOKUP(A199,NYSEARCADBC!A$2:G$506,3,0)</f>
        <v>12.92</v>
      </c>
      <c r="L199">
        <f>VLOOKUP(A199,NYSEARCAGSG!A$2:G$506,3,0)</f>
        <v>13.38</v>
      </c>
      <c r="M199">
        <f>VLOOKUP(A199,NYSEARCAGLD!A$2:G$506,3,0)</f>
        <v>121.3</v>
      </c>
      <c r="N199">
        <f>VLOOKUP(A199,NYSEBP!A$2:G$506,3,0)</f>
        <v>30.98</v>
      </c>
      <c r="O199">
        <f>VLOOKUP(A199,NASDAQYHOO!A$2:G$506,3,0)</f>
        <v>33.21</v>
      </c>
    </row>
    <row r="200" spans="1:15">
      <c r="A200" s="39">
        <v>42433</v>
      </c>
      <c r="B200">
        <v>67.28</v>
      </c>
      <c r="C200">
        <f>VLOOKUP(A200,NYSEARCAVTI!A$2:G$506,3,0)</f>
        <v>102.6</v>
      </c>
      <c r="D200">
        <f>VLOOKUP(A200,NYSEARCAVEU!A$2:G$506,3,0)</f>
        <v>42.48</v>
      </c>
      <c r="E200">
        <f>VLOOKUP(A200,NYSEARCAVWO!A$2:G$506,3,0)</f>
        <v>33.57</v>
      </c>
      <c r="F200">
        <f>VLOOKUP(A200,NYSEARCABND!A$2:G$506,3,0)</f>
        <v>81.87</v>
      </c>
      <c r="G200">
        <f>VLOOKUP(A200,NYSEARCATIP!A$2:G$506,3,0)</f>
        <v>112.99</v>
      </c>
      <c r="H200">
        <f>VLOOKUP(A200,NYSEARCAMUB!A$2:G$506,3,0)</f>
        <v>110.92</v>
      </c>
      <c r="I200">
        <f>VLOOKUP(A200,NYSEARCAVNQ!A$2:G$506,3,0)</f>
        <v>79.94</v>
      </c>
      <c r="J200">
        <f>VLOOKUP(A200,NYSEARCARWX!A$2:G$506,3,0)</f>
        <v>39.979999999999997</v>
      </c>
      <c r="K200">
        <f>VLOOKUP(A200,NYSEARCADBC!A$2:G$506,3,0)</f>
        <v>13.16</v>
      </c>
      <c r="L200">
        <f>VLOOKUP(A200,NYSEARCAGSG!A$2:G$506,3,0)</f>
        <v>13.7</v>
      </c>
      <c r="M200">
        <f>VLOOKUP(A200,NYSEARCAGLD!A$2:G$506,3,0)</f>
        <v>122.37</v>
      </c>
      <c r="N200">
        <f>VLOOKUP(A200,NYSEBP!A$2:G$506,3,0)</f>
        <v>31.45</v>
      </c>
      <c r="O200">
        <f>VLOOKUP(A200,NASDAQYHOO!A$2:G$506,3,0)</f>
        <v>33.93</v>
      </c>
    </row>
    <row r="201" spans="1:15">
      <c r="A201" s="39">
        <v>42436</v>
      </c>
      <c r="B201">
        <v>68.48</v>
      </c>
      <c r="C201">
        <f>VLOOKUP(A201,NYSEARCAVTI!A$2:G$506,3,0)</f>
        <v>102.56</v>
      </c>
      <c r="D201">
        <f>VLOOKUP(A201,NYSEARCAVEU!A$2:G$506,3,0)</f>
        <v>42.4</v>
      </c>
      <c r="E201">
        <f>VLOOKUP(A201,NYSEARCAVWO!A$2:G$506,3,0)</f>
        <v>33.520000000000003</v>
      </c>
      <c r="F201">
        <f>VLOOKUP(A201,NYSEARCABND!A$2:G$506,3,0)</f>
        <v>81.78</v>
      </c>
      <c r="G201">
        <f>VLOOKUP(A201,NYSEARCATIP!A$2:G$506,3,0)</f>
        <v>112.45</v>
      </c>
      <c r="H201">
        <f>VLOOKUP(A201,NYSEARCAMUB!A$2:G$506,3,0)</f>
        <v>110.73</v>
      </c>
      <c r="I201">
        <f>VLOOKUP(A201,NYSEARCAVNQ!A$2:G$506,3,0)</f>
        <v>80.260000000000005</v>
      </c>
      <c r="J201">
        <f>VLOOKUP(A201,NYSEARCARWX!A$2:G$506,3,0)</f>
        <v>39.69</v>
      </c>
      <c r="K201">
        <f>VLOOKUP(A201,NYSEARCADBC!A$2:G$506,3,0)</f>
        <v>13.43</v>
      </c>
      <c r="L201">
        <f>VLOOKUP(A201,NYSEARCAGSG!A$2:G$506,3,0)</f>
        <v>14.08</v>
      </c>
      <c r="M201">
        <f>VLOOKUP(A201,NYSEARCAGLD!A$2:G$506,3,0)</f>
        <v>121.58</v>
      </c>
      <c r="N201">
        <f>VLOOKUP(A201,NYSEBP!A$2:G$506,3,0)</f>
        <v>31.7</v>
      </c>
      <c r="O201">
        <f>VLOOKUP(A201,NASDAQYHOO!A$2:G$506,3,0)</f>
        <v>34.380000000000003</v>
      </c>
    </row>
    <row r="202" spans="1:15">
      <c r="A202" s="39">
        <v>42437</v>
      </c>
      <c r="B202">
        <v>68.47</v>
      </c>
      <c r="C202">
        <f>VLOOKUP(A202,NYSEARCAVTI!A$2:G$506,3,0)</f>
        <v>101.8</v>
      </c>
      <c r="D202">
        <f>VLOOKUP(A202,NYSEARCAVEU!A$2:G$506,3,0)</f>
        <v>42.02</v>
      </c>
      <c r="E202">
        <f>VLOOKUP(A202,NYSEARCAVWO!A$2:G$506,3,0)</f>
        <v>33.020000000000003</v>
      </c>
      <c r="F202">
        <f>VLOOKUP(A202,NYSEARCABND!A$2:G$506,3,0)</f>
        <v>82.13</v>
      </c>
      <c r="G202">
        <f>VLOOKUP(A202,NYSEARCATIP!A$2:G$506,3,0)</f>
        <v>112.64</v>
      </c>
      <c r="H202">
        <f>VLOOKUP(A202,NYSEARCAMUB!A$2:G$506,3,0)</f>
        <v>110.86</v>
      </c>
      <c r="I202">
        <f>VLOOKUP(A202,NYSEARCAVNQ!A$2:G$506,3,0)</f>
        <v>80.040000000000006</v>
      </c>
      <c r="J202">
        <f>VLOOKUP(A202,NYSEARCARWX!A$2:G$506,3,0)</f>
        <v>39.58</v>
      </c>
      <c r="K202">
        <f>VLOOKUP(A202,NYSEARCADBC!A$2:G$506,3,0)</f>
        <v>13.39</v>
      </c>
      <c r="L202">
        <f>VLOOKUP(A202,NYSEARCAGSG!A$2:G$506,3,0)</f>
        <v>14.05</v>
      </c>
      <c r="M202">
        <f>VLOOKUP(A202,NYSEARCAGLD!A$2:G$506,3,0)</f>
        <v>121.88</v>
      </c>
      <c r="N202">
        <f>VLOOKUP(A202,NYSEBP!A$2:G$506,3,0)</f>
        <v>30.92</v>
      </c>
      <c r="O202">
        <f>VLOOKUP(A202,NASDAQYHOO!A$2:G$506,3,0)</f>
        <v>33.82</v>
      </c>
    </row>
    <row r="203" spans="1:15">
      <c r="A203" s="39">
        <v>42438</v>
      </c>
      <c r="B203">
        <v>67.989999999999995</v>
      </c>
      <c r="C203">
        <f>VLOOKUP(A203,NYSEARCAVTI!A$2:G$506,3,0)</f>
        <v>101.7</v>
      </c>
      <c r="D203">
        <f>VLOOKUP(A203,NYSEARCAVEU!A$2:G$506,3,0)</f>
        <v>42.13</v>
      </c>
      <c r="E203">
        <f>VLOOKUP(A203,NYSEARCAVWO!A$2:G$506,3,0)</f>
        <v>33.200000000000003</v>
      </c>
      <c r="F203">
        <f>VLOOKUP(A203,NYSEARCABND!A$2:G$506,3,0)</f>
        <v>82</v>
      </c>
      <c r="G203">
        <f>VLOOKUP(A203,NYSEARCATIP!A$2:G$506,3,0)</f>
        <v>112.67</v>
      </c>
      <c r="H203">
        <f>VLOOKUP(A203,NYSEARCAMUB!A$2:G$506,3,0)</f>
        <v>110.87</v>
      </c>
      <c r="I203">
        <f>VLOOKUP(A203,NYSEARCAVNQ!A$2:G$506,3,0)</f>
        <v>80.12</v>
      </c>
      <c r="J203">
        <f>VLOOKUP(A203,NYSEARCARWX!A$2:G$506,3,0)</f>
        <v>39.74</v>
      </c>
      <c r="K203">
        <f>VLOOKUP(A203,NYSEARCADBC!A$2:G$506,3,0)</f>
        <v>13.43</v>
      </c>
      <c r="L203">
        <f>VLOOKUP(A203,NYSEARCAGSG!A$2:G$506,3,0)</f>
        <v>14.18</v>
      </c>
      <c r="M203">
        <f>VLOOKUP(A203,NYSEARCAGLD!A$2:G$506,3,0)</f>
        <v>120.39</v>
      </c>
      <c r="N203">
        <f>VLOOKUP(A203,NYSEBP!A$2:G$506,3,0)</f>
        <v>30.62</v>
      </c>
      <c r="O203">
        <f>VLOOKUP(A203,NASDAQYHOO!A$2:G$506,3,0)</f>
        <v>33.520000000000003</v>
      </c>
    </row>
    <row r="204" spans="1:15">
      <c r="A204" s="39">
        <v>42439</v>
      </c>
      <c r="B204">
        <v>68.040000000000006</v>
      </c>
      <c r="C204">
        <f>VLOOKUP(A204,NYSEARCAVTI!A$2:G$506,3,0)</f>
        <v>102.3</v>
      </c>
      <c r="D204">
        <f>VLOOKUP(A204,NYSEARCAVEU!A$2:G$506,3,0)</f>
        <v>42.5</v>
      </c>
      <c r="E204">
        <f>VLOOKUP(A204,NYSEARCAVWO!A$2:G$506,3,0)</f>
        <v>33.14</v>
      </c>
      <c r="F204">
        <f>VLOOKUP(A204,NYSEARCABND!A$2:G$506,3,0)</f>
        <v>82.02</v>
      </c>
      <c r="G204">
        <f>VLOOKUP(A204,NYSEARCATIP!A$2:G$506,3,0)</f>
        <v>112.68</v>
      </c>
      <c r="H204">
        <f>VLOOKUP(A204,NYSEARCAMUB!A$2:G$506,3,0)</f>
        <v>110.9</v>
      </c>
      <c r="I204">
        <f>VLOOKUP(A204,NYSEARCAVNQ!A$2:G$506,3,0)</f>
        <v>80.41</v>
      </c>
      <c r="J204">
        <f>VLOOKUP(A204,NYSEARCARWX!A$2:G$506,3,0)</f>
        <v>39.96</v>
      </c>
      <c r="K204">
        <f>VLOOKUP(A204,NYSEARCADBC!A$2:G$506,3,0)</f>
        <v>13.43</v>
      </c>
      <c r="L204">
        <f>VLOOKUP(A204,NYSEARCAGSG!A$2:G$506,3,0)</f>
        <v>14.12</v>
      </c>
      <c r="M204">
        <f>VLOOKUP(A204,NYSEARCAGLD!A$2:G$506,3,0)</f>
        <v>121.76</v>
      </c>
      <c r="N204">
        <f>VLOOKUP(A204,NYSEBP!A$2:G$506,3,0)</f>
        <v>30.03</v>
      </c>
      <c r="O204">
        <f>VLOOKUP(A204,NASDAQYHOO!A$2:G$506,3,0)</f>
        <v>33.6</v>
      </c>
    </row>
    <row r="205" spans="1:15">
      <c r="A205" s="39">
        <v>42440</v>
      </c>
      <c r="B205">
        <v>67.94</v>
      </c>
      <c r="C205">
        <f>VLOOKUP(A205,NYSEARCAVTI!A$2:G$506,3,0)</f>
        <v>103.24</v>
      </c>
      <c r="D205">
        <f>VLOOKUP(A205,NYSEARCAVEU!A$2:G$506,3,0)</f>
        <v>43.01</v>
      </c>
      <c r="E205">
        <f>VLOOKUP(A205,NYSEARCAVWO!A$2:G$506,3,0)</f>
        <v>33.659999999999997</v>
      </c>
      <c r="F205">
        <f>VLOOKUP(A205,NYSEARCABND!A$2:G$506,3,0)</f>
        <v>81.900000000000006</v>
      </c>
      <c r="G205">
        <f>VLOOKUP(A205,NYSEARCATIP!A$2:G$506,3,0)</f>
        <v>112.19</v>
      </c>
      <c r="H205">
        <f>VLOOKUP(A205,NYSEARCAMUB!A$2:G$506,3,0)</f>
        <v>110.93</v>
      </c>
      <c r="I205">
        <f>VLOOKUP(A205,NYSEARCAVNQ!A$2:G$506,3,0)</f>
        <v>81.27</v>
      </c>
      <c r="J205">
        <f>VLOOKUP(A205,NYSEARCARWX!A$2:G$506,3,0)</f>
        <v>40.54</v>
      </c>
      <c r="K205">
        <f>VLOOKUP(A205,NYSEARCADBC!A$2:G$506,3,0)</f>
        <v>13.53</v>
      </c>
      <c r="L205">
        <f>VLOOKUP(A205,NYSEARCAGSG!A$2:G$506,3,0)</f>
        <v>14.26</v>
      </c>
      <c r="M205">
        <f>VLOOKUP(A205,NYSEARCAGLD!A$2:G$506,3,0)</f>
        <v>121.38</v>
      </c>
      <c r="N205">
        <f>VLOOKUP(A205,NYSEBP!A$2:G$506,3,0)</f>
        <v>30.59</v>
      </c>
      <c r="O205">
        <f>VLOOKUP(A205,NASDAQYHOO!A$2:G$506,3,0)</f>
        <v>33.86</v>
      </c>
    </row>
    <row r="206" spans="1:15">
      <c r="A206" s="39">
        <v>42443</v>
      </c>
      <c r="B206">
        <v>67.67</v>
      </c>
      <c r="C206">
        <f>VLOOKUP(A206,NYSEARCAVTI!A$2:G$506,3,0)</f>
        <v>103.32</v>
      </c>
      <c r="D206">
        <f>VLOOKUP(A206,NYSEARCAVEU!A$2:G$506,3,0)</f>
        <v>42.97</v>
      </c>
      <c r="E206">
        <f>VLOOKUP(A206,NYSEARCAVWO!A$2:G$506,3,0)</f>
        <v>33.630000000000003</v>
      </c>
      <c r="F206">
        <f>VLOOKUP(A206,NYSEARCABND!A$2:G$506,3,0)</f>
        <v>81.97</v>
      </c>
      <c r="G206">
        <f>VLOOKUP(A206,NYSEARCATIP!A$2:G$506,3,0)</f>
        <v>112.17</v>
      </c>
      <c r="H206">
        <f>VLOOKUP(A206,NYSEARCAMUB!A$2:G$506,3,0)</f>
        <v>110.91</v>
      </c>
      <c r="I206">
        <f>VLOOKUP(A206,NYSEARCAVNQ!A$2:G$506,3,0)</f>
        <v>81.28</v>
      </c>
      <c r="J206">
        <f>VLOOKUP(A206,NYSEARCARWX!A$2:G$506,3,0)</f>
        <v>40.53</v>
      </c>
      <c r="K206">
        <f>VLOOKUP(A206,NYSEARCADBC!A$2:G$506,3,0)</f>
        <v>13.35</v>
      </c>
      <c r="L206">
        <f>VLOOKUP(A206,NYSEARCAGSG!A$2:G$506,3,0)</f>
        <v>14.02</v>
      </c>
      <c r="M206">
        <f>VLOOKUP(A206,NYSEARCAGLD!A$2:G$506,3,0)</f>
        <v>120.31</v>
      </c>
      <c r="N206">
        <f>VLOOKUP(A206,NYSEBP!A$2:G$506,3,0)</f>
        <v>30.09</v>
      </c>
      <c r="O206">
        <f>VLOOKUP(A206,NASDAQYHOO!A$2:G$506,3,0)</f>
        <v>34.08</v>
      </c>
    </row>
    <row r="207" spans="1:15">
      <c r="A207" s="39">
        <v>42444</v>
      </c>
      <c r="B207">
        <v>68.349999999999994</v>
      </c>
      <c r="C207">
        <f>VLOOKUP(A207,NYSEARCAVTI!A$2:G$506,3,0)</f>
        <v>102.26</v>
      </c>
      <c r="D207">
        <f>VLOOKUP(A207,NYSEARCAVEU!A$2:G$506,3,0)</f>
        <v>42.24</v>
      </c>
      <c r="E207">
        <f>VLOOKUP(A207,NYSEARCAVWO!A$2:G$506,3,0)</f>
        <v>32.840000000000003</v>
      </c>
      <c r="F207">
        <f>VLOOKUP(A207,NYSEARCABND!A$2:G$506,3,0)</f>
        <v>82.01</v>
      </c>
      <c r="G207">
        <f>VLOOKUP(A207,NYSEARCATIP!A$2:G$506,3,0)</f>
        <v>112.09</v>
      </c>
      <c r="H207">
        <f>VLOOKUP(A207,NYSEARCAMUB!A$2:G$506,3,0)</f>
        <v>110.88</v>
      </c>
      <c r="I207">
        <f>VLOOKUP(A207,NYSEARCAVNQ!A$2:G$506,3,0)</f>
        <v>81.41</v>
      </c>
      <c r="J207">
        <f>VLOOKUP(A207,NYSEARCARWX!A$2:G$506,3,0)</f>
        <v>40.340000000000003</v>
      </c>
      <c r="K207">
        <f>VLOOKUP(A207,NYSEARCADBC!A$2:G$506,3,0)</f>
        <v>13.25</v>
      </c>
      <c r="L207">
        <f>VLOOKUP(A207,NYSEARCAGSG!A$2:G$506,3,0)</f>
        <v>13.89</v>
      </c>
      <c r="M207">
        <f>VLOOKUP(A207,NYSEARCAGLD!A$2:G$506,3,0)</f>
        <v>118.04</v>
      </c>
      <c r="N207">
        <f>VLOOKUP(A207,NYSEBP!A$2:G$506,3,0)</f>
        <v>29.65</v>
      </c>
      <c r="O207">
        <f>VLOOKUP(A207,NASDAQYHOO!A$2:G$506,3,0)</f>
        <v>33.46</v>
      </c>
    </row>
    <row r="208" spans="1:15">
      <c r="A208" s="39">
        <v>42445</v>
      </c>
      <c r="B208">
        <v>68.34</v>
      </c>
      <c r="C208">
        <f>VLOOKUP(A208,NYSEARCAVTI!A$2:G$506,3,0)</f>
        <v>103.09</v>
      </c>
      <c r="D208">
        <f>VLOOKUP(A208,NYSEARCAVEU!A$2:G$506,3,0)</f>
        <v>42.82</v>
      </c>
      <c r="E208">
        <f>VLOOKUP(A208,NYSEARCAVWO!A$2:G$506,3,0)</f>
        <v>33.58</v>
      </c>
      <c r="F208">
        <f>VLOOKUP(A208,NYSEARCABND!A$2:G$506,3,0)</f>
        <v>82.14</v>
      </c>
      <c r="G208">
        <f>VLOOKUP(A208,NYSEARCATIP!A$2:G$506,3,0)</f>
        <v>112.9</v>
      </c>
      <c r="H208">
        <f>VLOOKUP(A208,NYSEARCAMUB!A$2:G$506,3,0)</f>
        <v>110.97</v>
      </c>
      <c r="I208">
        <f>VLOOKUP(A208,NYSEARCAVNQ!A$2:G$506,3,0)</f>
        <v>82.35</v>
      </c>
      <c r="J208">
        <f>VLOOKUP(A208,NYSEARCARWX!A$2:G$506,3,0)</f>
        <v>40.909999999999997</v>
      </c>
      <c r="K208">
        <f>VLOOKUP(A208,NYSEARCADBC!A$2:G$506,3,0)</f>
        <v>13.45</v>
      </c>
      <c r="L208">
        <f>VLOOKUP(A208,NYSEARCAGSG!A$2:G$506,3,0)</f>
        <v>14.19</v>
      </c>
      <c r="M208">
        <f>VLOOKUP(A208,NYSEARCAGLD!A$2:G$506,3,0)</f>
        <v>120.76</v>
      </c>
      <c r="N208">
        <f>VLOOKUP(A208,NYSEBP!A$2:G$506,3,0)</f>
        <v>30.52</v>
      </c>
      <c r="O208">
        <f>VLOOKUP(A208,NASDAQYHOO!A$2:G$506,3,0)</f>
        <v>34.08</v>
      </c>
    </row>
    <row r="209" spans="1:15">
      <c r="A209" s="39">
        <v>42446</v>
      </c>
      <c r="B209">
        <v>68.92</v>
      </c>
      <c r="C209">
        <f>VLOOKUP(A209,NYSEARCAVTI!A$2:G$506,3,0)</f>
        <v>103.92</v>
      </c>
      <c r="D209">
        <f>VLOOKUP(A209,NYSEARCAVEU!A$2:G$506,3,0)</f>
        <v>43.34</v>
      </c>
      <c r="E209">
        <f>VLOOKUP(A209,NYSEARCAVWO!A$2:G$506,3,0)</f>
        <v>34.28</v>
      </c>
      <c r="F209">
        <f>VLOOKUP(A209,NYSEARCABND!A$2:G$506,3,0)</f>
        <v>82.34</v>
      </c>
      <c r="G209">
        <f>VLOOKUP(A209,NYSEARCATIP!A$2:G$506,3,0)</f>
        <v>113.51</v>
      </c>
      <c r="H209">
        <f>VLOOKUP(A209,NYSEARCAMUB!A$2:G$506,3,0)</f>
        <v>111.07</v>
      </c>
      <c r="I209">
        <f>VLOOKUP(A209,NYSEARCAVNQ!A$2:G$506,3,0)</f>
        <v>83.56</v>
      </c>
      <c r="J209">
        <f>VLOOKUP(A209,NYSEARCARWX!A$2:G$506,3,0)</f>
        <v>41.69</v>
      </c>
      <c r="K209">
        <f>VLOOKUP(A209,NYSEARCADBC!A$2:G$506,3,0)</f>
        <v>13.62</v>
      </c>
      <c r="L209">
        <f>VLOOKUP(A209,NYSEARCAGSG!A$2:G$506,3,0)</f>
        <v>14.42</v>
      </c>
      <c r="M209">
        <f>VLOOKUP(A209,NYSEARCAGLD!A$2:G$506,3,0)</f>
        <v>121.18</v>
      </c>
      <c r="N209">
        <f>VLOOKUP(A209,NYSEBP!A$2:G$506,3,0)</f>
        <v>31.6</v>
      </c>
      <c r="O209">
        <f>VLOOKUP(A209,NASDAQYHOO!A$2:G$506,3,0)</f>
        <v>34.549999999999997</v>
      </c>
    </row>
    <row r="210" spans="1:15">
      <c r="A210" s="39">
        <v>42447</v>
      </c>
      <c r="B210">
        <v>68.03</v>
      </c>
      <c r="C210">
        <f>VLOOKUP(A210,NYSEARCAVTI!A$2:G$506,3,0)</f>
        <v>104.28</v>
      </c>
      <c r="D210">
        <f>VLOOKUP(A210,NYSEARCAVEU!A$2:G$506,3,0)</f>
        <v>43.36</v>
      </c>
      <c r="E210">
        <f>VLOOKUP(A210,NYSEARCAVWO!A$2:G$506,3,0)</f>
        <v>34.57</v>
      </c>
      <c r="F210">
        <f>VLOOKUP(A210,NYSEARCABND!A$2:G$506,3,0)</f>
        <v>82.46</v>
      </c>
      <c r="G210">
        <f>VLOOKUP(A210,NYSEARCATIP!A$2:G$506,3,0)</f>
        <v>113.78</v>
      </c>
      <c r="H210">
        <f>VLOOKUP(A210,NYSEARCAMUB!A$2:G$506,3,0)</f>
        <v>111.14</v>
      </c>
      <c r="I210">
        <f>VLOOKUP(A210,NYSEARCAVNQ!A$2:G$506,3,0)</f>
        <v>83.75</v>
      </c>
      <c r="J210">
        <f>VLOOKUP(A210,NYSEARCARWX!A$2:G$506,3,0)</f>
        <v>41.49</v>
      </c>
      <c r="K210">
        <f>VLOOKUP(A210,NYSEARCADBC!A$2:G$506,3,0)</f>
        <v>13.68</v>
      </c>
      <c r="L210">
        <f>VLOOKUP(A210,NYSEARCAGSG!A$2:G$506,3,0)</f>
        <v>14.54</v>
      </c>
      <c r="M210">
        <f>VLOOKUP(A210,NYSEARCAGLD!A$2:G$506,3,0)</f>
        <v>120.34</v>
      </c>
      <c r="N210">
        <f>VLOOKUP(A210,NYSEBP!A$2:G$506,3,0)</f>
        <v>31.74</v>
      </c>
      <c r="O210">
        <f>VLOOKUP(A210,NASDAQYHOO!A$2:G$506,3,0)</f>
        <v>35.21</v>
      </c>
    </row>
    <row r="211" spans="1:15">
      <c r="A211" s="39">
        <v>42450</v>
      </c>
      <c r="B211">
        <v>68.38</v>
      </c>
      <c r="C211">
        <f>VLOOKUP(A211,NYSEARCAVTI!A$2:G$506,3,0)</f>
        <v>104.36</v>
      </c>
      <c r="D211">
        <f>VLOOKUP(A211,NYSEARCAVEU!A$2:G$506,3,0)</f>
        <v>43.3</v>
      </c>
      <c r="E211">
        <f>VLOOKUP(A211,NYSEARCAVWO!A$2:G$506,3,0)</f>
        <v>34.619999999999997</v>
      </c>
      <c r="F211">
        <f>VLOOKUP(A211,NYSEARCABND!A$2:G$506,3,0)</f>
        <v>82.3</v>
      </c>
      <c r="G211">
        <f>VLOOKUP(A211,NYSEARCATIP!A$2:G$506,3,0)</f>
        <v>113.81</v>
      </c>
      <c r="H211">
        <f>VLOOKUP(A211,NYSEARCAMUB!A$2:G$506,3,0)</f>
        <v>111.11</v>
      </c>
      <c r="I211">
        <f>VLOOKUP(A211,NYSEARCAVNQ!A$2:G$506,3,0)</f>
        <v>82.22</v>
      </c>
      <c r="J211">
        <f>VLOOKUP(A211,NYSEARCARWX!A$2:G$506,3,0)</f>
        <v>41.4</v>
      </c>
      <c r="K211">
        <f>VLOOKUP(A211,NYSEARCADBC!A$2:G$506,3,0)</f>
        <v>13.64</v>
      </c>
      <c r="L211">
        <f>VLOOKUP(A211,NYSEARCAGSG!A$2:G$506,3,0)</f>
        <v>14.4</v>
      </c>
      <c r="M211">
        <f>VLOOKUP(A211,NYSEARCAGLD!A$2:G$506,3,0)</f>
        <v>119.33</v>
      </c>
      <c r="N211">
        <f>VLOOKUP(A211,NYSEBP!A$2:G$506,3,0)</f>
        <v>31.39</v>
      </c>
      <c r="O211">
        <f>VLOOKUP(A211,NASDAQYHOO!A$2:G$506,3,0)</f>
        <v>36.1</v>
      </c>
    </row>
    <row r="212" spans="1:15">
      <c r="A212" s="39">
        <v>42451</v>
      </c>
      <c r="B212">
        <v>68.680000000000007</v>
      </c>
      <c r="C212">
        <f>VLOOKUP(A212,NYSEARCAVTI!A$2:G$506,3,0)</f>
        <v>104.52</v>
      </c>
      <c r="D212">
        <f>VLOOKUP(A212,NYSEARCAVEU!A$2:G$506,3,0)</f>
        <v>43.26</v>
      </c>
      <c r="E212">
        <f>VLOOKUP(A212,NYSEARCAVWO!A$2:G$506,3,0)</f>
        <v>34.58</v>
      </c>
      <c r="F212">
        <f>VLOOKUP(A212,NYSEARCABND!A$2:G$506,3,0)</f>
        <v>82.42</v>
      </c>
      <c r="G212">
        <f>VLOOKUP(A212,NYSEARCATIP!A$2:G$506,3,0)</f>
        <v>113.71</v>
      </c>
      <c r="H212">
        <f>VLOOKUP(A212,NYSEARCAMUB!A$2:G$506,3,0)</f>
        <v>111.23</v>
      </c>
      <c r="I212">
        <f>VLOOKUP(A212,NYSEARCAVNQ!A$2:G$506,3,0)</f>
        <v>81.599999999999994</v>
      </c>
      <c r="J212">
        <f>VLOOKUP(A212,NYSEARCARWX!A$2:G$506,3,0)</f>
        <v>41.25</v>
      </c>
      <c r="K212">
        <f>VLOOKUP(A212,NYSEARCADBC!A$2:G$506,3,0)</f>
        <v>13.73</v>
      </c>
      <c r="L212">
        <f>VLOOKUP(A212,NYSEARCAGSG!A$2:G$506,3,0)</f>
        <v>14.41</v>
      </c>
      <c r="M212">
        <f>VLOOKUP(A212,NYSEARCAGLD!A$2:G$506,3,0)</f>
        <v>120.16</v>
      </c>
      <c r="N212">
        <f>VLOOKUP(A212,NYSEBP!A$2:G$506,3,0)</f>
        <v>31.17</v>
      </c>
      <c r="O212">
        <f>VLOOKUP(A212,NASDAQYHOO!A$2:G$506,3,0)</f>
        <v>35.61</v>
      </c>
    </row>
    <row r="213" spans="1:15">
      <c r="A213" s="39">
        <v>42452</v>
      </c>
      <c r="B213">
        <v>68.099999999999994</v>
      </c>
      <c r="C213">
        <f>VLOOKUP(A213,NYSEARCAVTI!A$2:G$506,3,0)</f>
        <v>104.04</v>
      </c>
      <c r="D213">
        <f>VLOOKUP(A213,NYSEARCAVEU!A$2:G$506,3,0)</f>
        <v>43.02</v>
      </c>
      <c r="E213">
        <f>VLOOKUP(A213,NYSEARCAVWO!A$2:G$506,3,0)</f>
        <v>34.17</v>
      </c>
      <c r="F213">
        <f>VLOOKUP(A213,NYSEARCABND!A$2:G$506,3,0)</f>
        <v>82.41</v>
      </c>
      <c r="G213">
        <f>VLOOKUP(A213,NYSEARCATIP!A$2:G$506,3,0)</f>
        <v>113.55</v>
      </c>
      <c r="H213">
        <f>VLOOKUP(A213,NYSEARCAMUB!A$2:G$506,3,0)</f>
        <v>111.21</v>
      </c>
      <c r="I213">
        <f>VLOOKUP(A213,NYSEARCAVNQ!A$2:G$506,3,0)</f>
        <v>81.45</v>
      </c>
      <c r="J213">
        <f>VLOOKUP(A213,NYSEARCARWX!A$2:G$506,3,0)</f>
        <v>40.98</v>
      </c>
      <c r="K213">
        <f>VLOOKUP(A213,NYSEARCADBC!A$2:G$506,3,0)</f>
        <v>13.56</v>
      </c>
      <c r="L213">
        <f>VLOOKUP(A213,NYSEARCAGSG!A$2:G$506,3,0)</f>
        <v>14.26</v>
      </c>
      <c r="M213">
        <f>VLOOKUP(A213,NYSEARCAGLD!A$2:G$506,3,0)</f>
        <v>117.12</v>
      </c>
      <c r="N213">
        <f>VLOOKUP(A213,NYSEBP!A$2:G$506,3,0)</f>
        <v>30.84</v>
      </c>
      <c r="O213">
        <f>VLOOKUP(A213,NASDAQYHOO!A$2:G$506,3,0)</f>
        <v>35.700000000000003</v>
      </c>
    </row>
    <row r="214" spans="1:15">
      <c r="A214" s="39">
        <v>42453</v>
      </c>
      <c r="B214">
        <v>68.040000000000006</v>
      </c>
      <c r="C214">
        <f>VLOOKUP(A214,NYSEARCAVTI!A$2:G$506,3,0)</f>
        <v>103.33</v>
      </c>
      <c r="D214">
        <f>VLOOKUP(A214,NYSEARCAVEU!A$2:G$506,3,0)</f>
        <v>42.44</v>
      </c>
      <c r="E214">
        <f>VLOOKUP(A214,NYSEARCAVWO!A$2:G$506,3,0)</f>
        <v>33.81</v>
      </c>
      <c r="F214">
        <f>VLOOKUP(A214,NYSEARCABND!A$2:G$506,3,0)</f>
        <v>82.52</v>
      </c>
      <c r="G214">
        <f>VLOOKUP(A214,NYSEARCATIP!A$2:G$506,3,0)</f>
        <v>113.5</v>
      </c>
      <c r="H214">
        <f>VLOOKUP(A214,NYSEARCAMUB!A$2:G$506,3,0)</f>
        <v>111.25</v>
      </c>
      <c r="I214">
        <f>VLOOKUP(A214,NYSEARCAVNQ!A$2:G$506,3,0)</f>
        <v>81.02</v>
      </c>
      <c r="J214">
        <f>VLOOKUP(A214,NYSEARCARWX!A$2:G$506,3,0)</f>
        <v>40.549999999999997</v>
      </c>
      <c r="K214">
        <f>VLOOKUP(A214,NYSEARCADBC!A$2:G$506,3,0)</f>
        <v>13.41</v>
      </c>
      <c r="L214">
        <f>VLOOKUP(A214,NYSEARCAGSG!A$2:G$506,3,0)</f>
        <v>14</v>
      </c>
      <c r="M214">
        <f>VLOOKUP(A214,NYSEARCAGLD!A$2:G$506,3,0)</f>
        <v>116.94</v>
      </c>
      <c r="N214">
        <f>VLOOKUP(A214,NYSEBP!A$2:G$506,3,0)</f>
        <v>30.47</v>
      </c>
      <c r="O214">
        <f>VLOOKUP(A214,NASDAQYHOO!A$2:G$506,3,0)</f>
        <v>34.86</v>
      </c>
    </row>
    <row r="215" spans="1:15">
      <c r="A215" s="39">
        <v>42457</v>
      </c>
      <c r="B215">
        <v>68.58</v>
      </c>
      <c r="C215">
        <f>VLOOKUP(A215,NYSEARCAVTI!A$2:G$506,3,0)</f>
        <v>103.71</v>
      </c>
      <c r="D215">
        <f>VLOOKUP(A215,NYSEARCAVEU!A$2:G$506,3,0)</f>
        <v>42.8</v>
      </c>
      <c r="E215">
        <f>VLOOKUP(A215,NYSEARCAVWO!A$2:G$506,3,0)</f>
        <v>33.92</v>
      </c>
      <c r="F215">
        <f>VLOOKUP(A215,NYSEARCABND!A$2:G$506,3,0)</f>
        <v>82.44</v>
      </c>
      <c r="G215">
        <f>VLOOKUP(A215,NYSEARCATIP!A$2:G$506,3,0)</f>
        <v>113.35</v>
      </c>
      <c r="H215">
        <f>VLOOKUP(A215,NYSEARCAMUB!A$2:G$506,3,0)</f>
        <v>111.23</v>
      </c>
      <c r="I215">
        <f>VLOOKUP(A215,NYSEARCAVNQ!A$2:G$506,3,0)</f>
        <v>81.86</v>
      </c>
      <c r="J215">
        <f>VLOOKUP(A215,NYSEARCARWX!A$2:G$506,3,0)</f>
        <v>40.72</v>
      </c>
      <c r="K215">
        <f>VLOOKUP(A215,NYSEARCADBC!A$2:G$506,3,0)</f>
        <v>13.4</v>
      </c>
      <c r="L215">
        <f>VLOOKUP(A215,NYSEARCAGSG!A$2:G$506,3,0)</f>
        <v>13.98</v>
      </c>
      <c r="M215">
        <f>VLOOKUP(A215,NYSEARCAGLD!A$2:G$506,3,0)</f>
        <v>116.91</v>
      </c>
      <c r="N215">
        <f>VLOOKUP(A215,NYSEBP!A$2:G$506,3,0)</f>
        <v>30.61</v>
      </c>
      <c r="O215">
        <f>VLOOKUP(A215,NASDAQYHOO!A$2:G$506,3,0)</f>
        <v>35.450000000000003</v>
      </c>
    </row>
    <row r="216" spans="1:15">
      <c r="A216" s="39">
        <v>42458</v>
      </c>
      <c r="B216">
        <v>68.209999999999994</v>
      </c>
      <c r="C216">
        <f>VLOOKUP(A216,NYSEARCAVTI!A$2:G$506,3,0)</f>
        <v>104.55</v>
      </c>
      <c r="D216">
        <f>VLOOKUP(A216,NYSEARCAVEU!A$2:G$506,3,0)</f>
        <v>43.13</v>
      </c>
      <c r="E216">
        <f>VLOOKUP(A216,NYSEARCAVWO!A$2:G$506,3,0)</f>
        <v>34.28</v>
      </c>
      <c r="F216">
        <f>VLOOKUP(A216,NYSEARCABND!A$2:G$506,3,0)</f>
        <v>82.74</v>
      </c>
      <c r="G216">
        <f>VLOOKUP(A216,NYSEARCATIP!A$2:G$506,3,0)</f>
        <v>114.5</v>
      </c>
      <c r="H216">
        <f>VLOOKUP(A216,NYSEARCAMUB!A$2:G$506,3,0)</f>
        <v>111.45</v>
      </c>
      <c r="I216">
        <f>VLOOKUP(A216,NYSEARCAVNQ!A$2:G$506,3,0)</f>
        <v>83.49</v>
      </c>
      <c r="J216">
        <f>VLOOKUP(A216,NYSEARCARWX!A$2:G$506,3,0)</f>
        <v>41.36</v>
      </c>
      <c r="K216">
        <f>VLOOKUP(A216,NYSEARCADBC!A$2:G$506,3,0)</f>
        <v>13.37</v>
      </c>
      <c r="L216">
        <f>VLOOKUP(A216,NYSEARCAGSG!A$2:G$506,3,0)</f>
        <v>13.88</v>
      </c>
      <c r="M216">
        <f>VLOOKUP(A216,NYSEARCAGLD!A$2:G$506,3,0)</f>
        <v>118.81</v>
      </c>
      <c r="N216">
        <f>VLOOKUP(A216,NYSEBP!A$2:G$506,3,0)</f>
        <v>30.36</v>
      </c>
      <c r="O216">
        <f>VLOOKUP(A216,NASDAQYHOO!A$2:G$506,3,0)</f>
        <v>36.43</v>
      </c>
    </row>
    <row r="217" spans="1:15">
      <c r="A217" s="39">
        <v>42459</v>
      </c>
      <c r="B217">
        <v>69</v>
      </c>
      <c r="C217">
        <f>VLOOKUP(A217,NYSEARCAVTI!A$2:G$506,3,0)</f>
        <v>105.39</v>
      </c>
      <c r="D217">
        <f>VLOOKUP(A217,NYSEARCAVEU!A$2:G$506,3,0)</f>
        <v>43.76</v>
      </c>
      <c r="E217">
        <f>VLOOKUP(A217,NYSEARCAVWO!A$2:G$506,3,0)</f>
        <v>34.93</v>
      </c>
      <c r="F217">
        <f>VLOOKUP(A217,NYSEARCABND!A$2:G$506,3,0)</f>
        <v>82.74</v>
      </c>
      <c r="G217">
        <f>VLOOKUP(A217,NYSEARCATIP!A$2:G$506,3,0)</f>
        <v>114.54</v>
      </c>
      <c r="H217">
        <f>VLOOKUP(A217,NYSEARCAMUB!A$2:G$506,3,0)</f>
        <v>111.47</v>
      </c>
      <c r="I217">
        <f>VLOOKUP(A217,NYSEARCAVNQ!A$2:G$506,3,0)</f>
        <v>83.84</v>
      </c>
      <c r="J217">
        <f>VLOOKUP(A217,NYSEARCARWX!A$2:G$506,3,0)</f>
        <v>41.82</v>
      </c>
      <c r="K217">
        <f>VLOOKUP(A217,NYSEARCADBC!A$2:G$506,3,0)</f>
        <v>13.51</v>
      </c>
      <c r="L217">
        <f>VLOOKUP(A217,NYSEARCAGSG!A$2:G$506,3,0)</f>
        <v>14.06</v>
      </c>
      <c r="M217">
        <f>VLOOKUP(A217,NYSEARCAGLD!A$2:G$506,3,0)</f>
        <v>118.2</v>
      </c>
      <c r="N217">
        <f>VLOOKUP(A217,NYSEBP!A$2:G$506,3,0)</f>
        <v>31.39</v>
      </c>
      <c r="O217">
        <f>VLOOKUP(A217,NASDAQYHOO!A$2:G$506,3,0)</f>
        <v>37.28</v>
      </c>
    </row>
    <row r="218" spans="1:15">
      <c r="A218" s="39">
        <v>42460</v>
      </c>
      <c r="B218">
        <v>69.19</v>
      </c>
      <c r="C218">
        <f>VLOOKUP(A218,NYSEARCAVTI!A$2:G$506,3,0)</f>
        <v>105.22</v>
      </c>
      <c r="D218">
        <f>VLOOKUP(A218,NYSEARCAVEU!A$2:G$506,3,0)</f>
        <v>43.48</v>
      </c>
      <c r="E218">
        <f>VLOOKUP(A218,NYSEARCAVWO!A$2:G$506,3,0)</f>
        <v>34.9</v>
      </c>
      <c r="F218">
        <f>VLOOKUP(A218,NYSEARCABND!A$2:G$506,3,0)</f>
        <v>82.92</v>
      </c>
      <c r="G218">
        <f>VLOOKUP(A218,NYSEARCATIP!A$2:G$506,3,0)</f>
        <v>114.74</v>
      </c>
      <c r="H218">
        <f>VLOOKUP(A218,NYSEARCAMUB!A$2:G$506,3,0)</f>
        <v>111.65</v>
      </c>
      <c r="I218">
        <f>VLOOKUP(A218,NYSEARCAVNQ!A$2:G$506,3,0)</f>
        <v>83.91</v>
      </c>
      <c r="J218">
        <f>VLOOKUP(A218,NYSEARCARWX!A$2:G$506,3,0)</f>
        <v>41.63</v>
      </c>
      <c r="K218">
        <f>VLOOKUP(A218,NYSEARCADBC!A$2:G$506,3,0)</f>
        <v>13.41</v>
      </c>
      <c r="L218">
        <f>VLOOKUP(A218,NYSEARCAGSG!A$2:G$506,3,0)</f>
        <v>13.9</v>
      </c>
      <c r="M218">
        <f>VLOOKUP(A218,NYSEARCAGLD!A$2:G$506,3,0)</f>
        <v>118.39</v>
      </c>
      <c r="N218">
        <f>VLOOKUP(A218,NYSEBP!A$2:G$506,3,0)</f>
        <v>30.77</v>
      </c>
      <c r="O218">
        <f>VLOOKUP(A218,NASDAQYHOO!A$2:G$506,3,0)</f>
        <v>37.020000000000003</v>
      </c>
    </row>
    <row r="219" spans="1:15">
      <c r="A219" s="39">
        <v>42461</v>
      </c>
      <c r="B219">
        <v>69.2</v>
      </c>
      <c r="C219">
        <f>VLOOKUP(A219,NYSEARCAVTI!A$2:G$506,3,0)</f>
        <v>105.57</v>
      </c>
      <c r="D219">
        <f>VLOOKUP(A219,NYSEARCAVEU!A$2:G$506,3,0)</f>
        <v>42.84</v>
      </c>
      <c r="E219">
        <f>VLOOKUP(A219,NYSEARCAVWO!A$2:G$506,3,0)</f>
        <v>34.71</v>
      </c>
      <c r="F219">
        <f>VLOOKUP(A219,NYSEARCABND!A$2:G$506,3,0)</f>
        <v>82.79</v>
      </c>
      <c r="G219">
        <f>VLOOKUP(A219,NYSEARCATIP!A$2:G$506,3,0)</f>
        <v>114.88</v>
      </c>
      <c r="H219">
        <f>VLOOKUP(A219,NYSEARCAMUB!A$2:G$506,3,0)</f>
        <v>111.49</v>
      </c>
      <c r="I219">
        <f>VLOOKUP(A219,NYSEARCAVNQ!A$2:G$506,3,0)</f>
        <v>83.83</v>
      </c>
      <c r="J219">
        <f>VLOOKUP(A219,NYSEARCARWX!A$2:G$506,3,0)</f>
        <v>41.12</v>
      </c>
      <c r="K219">
        <f>VLOOKUP(A219,NYSEARCADBC!A$2:G$506,3,0)</f>
        <v>13.13</v>
      </c>
      <c r="L219">
        <f>VLOOKUP(A219,NYSEARCAGSG!A$2:G$506,3,0)</f>
        <v>13.55</v>
      </c>
      <c r="M219">
        <f>VLOOKUP(A219,NYSEARCAGLD!A$2:G$506,3,0)</f>
        <v>116.98</v>
      </c>
      <c r="N219">
        <f>VLOOKUP(A219,NYSEBP!A$2:G$506,3,0)</f>
        <v>29.64</v>
      </c>
      <c r="O219">
        <f>VLOOKUP(A219,NASDAQYHOO!A$2:G$506,3,0)</f>
        <v>36.880000000000003</v>
      </c>
    </row>
    <row r="220" spans="1:15">
      <c r="A220" s="39">
        <v>42464</v>
      </c>
      <c r="B220">
        <v>69.37</v>
      </c>
      <c r="C220">
        <f>VLOOKUP(A220,NYSEARCAVTI!A$2:G$506,3,0)</f>
        <v>105.55</v>
      </c>
      <c r="D220">
        <f>VLOOKUP(A220,NYSEARCAVEU!A$2:G$506,3,0)</f>
        <v>42.9</v>
      </c>
      <c r="E220">
        <f>VLOOKUP(A220,NYSEARCAVWO!A$2:G$506,3,0)</f>
        <v>34.68</v>
      </c>
      <c r="F220">
        <f>VLOOKUP(A220,NYSEARCABND!A$2:G$506,3,0)</f>
        <v>82.86</v>
      </c>
      <c r="G220">
        <f>VLOOKUP(A220,NYSEARCATIP!A$2:G$506,3,0)</f>
        <v>114.97</v>
      </c>
      <c r="H220">
        <f>VLOOKUP(A220,NYSEARCAMUB!A$2:G$506,3,0)</f>
        <v>111.58</v>
      </c>
      <c r="I220">
        <f>VLOOKUP(A220,NYSEARCAVNQ!A$2:G$506,3,0)</f>
        <v>83.94</v>
      </c>
      <c r="J220">
        <f>VLOOKUP(A220,NYSEARCARWX!A$2:G$506,3,0)</f>
        <v>41.32</v>
      </c>
      <c r="K220">
        <f>VLOOKUP(A220,NYSEARCADBC!A$2:G$506,3,0)</f>
        <v>13.08</v>
      </c>
      <c r="L220">
        <f>VLOOKUP(A220,NYSEARCAGSG!A$2:G$506,3,0)</f>
        <v>13.56</v>
      </c>
      <c r="M220">
        <f>VLOOKUP(A220,NYSEARCAGLD!A$2:G$506,3,0)</f>
        <v>116.73</v>
      </c>
      <c r="N220">
        <f>VLOOKUP(A220,NYSEBP!A$2:G$506,3,0)</f>
        <v>29.95</v>
      </c>
      <c r="O220">
        <f>VLOOKUP(A220,NASDAQYHOO!A$2:G$506,3,0)</f>
        <v>37.5</v>
      </c>
    </row>
    <row r="221" spans="1:15">
      <c r="A221" s="39">
        <v>42465</v>
      </c>
      <c r="B221">
        <v>69.25</v>
      </c>
      <c r="C221">
        <f>VLOOKUP(A221,NYSEARCAVTI!A$2:G$506,3,0)</f>
        <v>104.55</v>
      </c>
      <c r="D221">
        <f>VLOOKUP(A221,NYSEARCAVEU!A$2:G$506,3,0)</f>
        <v>41.95</v>
      </c>
      <c r="E221">
        <f>VLOOKUP(A221,NYSEARCAVWO!A$2:G$506,3,0)</f>
        <v>33.869999999999997</v>
      </c>
      <c r="F221">
        <f>VLOOKUP(A221,NYSEARCABND!A$2:G$506,3,0)</f>
        <v>82.99</v>
      </c>
      <c r="G221">
        <f>VLOOKUP(A221,NYSEARCATIP!A$2:G$506,3,0)</f>
        <v>115.11</v>
      </c>
      <c r="H221">
        <f>VLOOKUP(A221,NYSEARCAMUB!A$2:G$506,3,0)</f>
        <v>111.75</v>
      </c>
      <c r="I221">
        <f>VLOOKUP(A221,NYSEARCAVNQ!A$2:G$506,3,0)</f>
        <v>83.42</v>
      </c>
      <c r="J221">
        <f>VLOOKUP(A221,NYSEARCARWX!A$2:G$506,3,0)</f>
        <v>40.78</v>
      </c>
      <c r="K221">
        <f>VLOOKUP(A221,NYSEARCADBC!A$2:G$506,3,0)</f>
        <v>12.87</v>
      </c>
      <c r="L221">
        <f>VLOOKUP(A221,NYSEARCAGSG!A$2:G$506,3,0)</f>
        <v>13.3</v>
      </c>
      <c r="M221">
        <f>VLOOKUP(A221,NYSEARCAGLD!A$2:G$506,3,0)</f>
        <v>117.93</v>
      </c>
      <c r="N221">
        <f>VLOOKUP(A221,NYSEBP!A$2:G$506,3,0)</f>
        <v>29.22</v>
      </c>
      <c r="O221">
        <f>VLOOKUP(A221,NASDAQYHOO!A$2:G$506,3,0)</f>
        <v>36.92</v>
      </c>
    </row>
    <row r="222" spans="1:15">
      <c r="A222" s="39">
        <v>42466</v>
      </c>
      <c r="B222">
        <v>69.06</v>
      </c>
      <c r="C222">
        <f>VLOOKUP(A222,NYSEARCAVTI!A$2:G$506,3,0)</f>
        <v>105.2</v>
      </c>
      <c r="D222">
        <f>VLOOKUP(A222,NYSEARCAVEU!A$2:G$506,3,0)</f>
        <v>42.42</v>
      </c>
      <c r="E222">
        <f>VLOOKUP(A222,NYSEARCAVWO!A$2:G$506,3,0)</f>
        <v>34</v>
      </c>
      <c r="F222">
        <f>VLOOKUP(A222,NYSEARCABND!A$2:G$506,3,0)</f>
        <v>82.92</v>
      </c>
      <c r="G222">
        <f>VLOOKUP(A222,NYSEARCATIP!A$2:G$506,3,0)</f>
        <v>114.95</v>
      </c>
      <c r="H222">
        <f>VLOOKUP(A222,NYSEARCAMUB!A$2:G$506,3,0)</f>
        <v>111.9</v>
      </c>
      <c r="I222">
        <f>VLOOKUP(A222,NYSEARCAVNQ!A$2:G$506,3,0)</f>
        <v>83.26</v>
      </c>
      <c r="J222">
        <f>VLOOKUP(A222,NYSEARCARWX!A$2:G$506,3,0)</f>
        <v>41.12</v>
      </c>
      <c r="K222">
        <f>VLOOKUP(A222,NYSEARCADBC!A$2:G$506,3,0)</f>
        <v>13.04</v>
      </c>
      <c r="L222">
        <f>VLOOKUP(A222,NYSEARCAGSG!A$2:G$506,3,0)</f>
        <v>13.59</v>
      </c>
      <c r="M222">
        <f>VLOOKUP(A222,NYSEARCAGLD!A$2:G$506,3,0)</f>
        <v>117.38</v>
      </c>
      <c r="N222">
        <f>VLOOKUP(A222,NYSEBP!A$2:G$506,3,0)</f>
        <v>29.32</v>
      </c>
      <c r="O222">
        <f>VLOOKUP(A222,NASDAQYHOO!A$2:G$506,3,0)</f>
        <v>37</v>
      </c>
    </row>
    <row r="223" spans="1:15">
      <c r="A223" s="39">
        <v>42467</v>
      </c>
      <c r="B223">
        <v>68.930000000000007</v>
      </c>
      <c r="C223">
        <f>VLOOKUP(A223,NYSEARCAVTI!A$2:G$506,3,0)</f>
        <v>104.74</v>
      </c>
      <c r="D223">
        <f>VLOOKUP(A223,NYSEARCAVEU!A$2:G$506,3,0)</f>
        <v>42.15</v>
      </c>
      <c r="E223">
        <f>VLOOKUP(A223,NYSEARCAVWO!A$2:G$506,3,0)</f>
        <v>33.590000000000003</v>
      </c>
      <c r="F223">
        <f>VLOOKUP(A223,NYSEARCABND!A$2:G$506,3,0)</f>
        <v>83.15</v>
      </c>
      <c r="G223">
        <f>VLOOKUP(A223,NYSEARCATIP!A$2:G$506,3,0)</f>
        <v>115.14</v>
      </c>
      <c r="H223">
        <f>VLOOKUP(A223,NYSEARCAMUB!A$2:G$506,3,0)</f>
        <v>112.15</v>
      </c>
      <c r="I223">
        <f>VLOOKUP(A223,NYSEARCAVNQ!A$2:G$506,3,0)</f>
        <v>83.22</v>
      </c>
      <c r="J223">
        <f>VLOOKUP(A223,NYSEARCARWX!A$2:G$506,3,0)</f>
        <v>40.950000000000003</v>
      </c>
      <c r="K223">
        <f>VLOOKUP(A223,NYSEARCADBC!A$2:G$506,3,0)</f>
        <v>12.99</v>
      </c>
      <c r="L223">
        <f>VLOOKUP(A223,NYSEARCAGSG!A$2:G$506,3,0)</f>
        <v>13.52</v>
      </c>
      <c r="M223">
        <f>VLOOKUP(A223,NYSEARCAGLD!A$2:G$506,3,0)</f>
        <v>118.85</v>
      </c>
      <c r="N223">
        <f>VLOOKUP(A223,NYSEBP!A$2:G$506,3,0)</f>
        <v>29.21</v>
      </c>
      <c r="O223">
        <f>VLOOKUP(A223,NASDAQYHOO!A$2:G$506,3,0)</f>
        <v>37.25</v>
      </c>
    </row>
    <row r="224" spans="1:15">
      <c r="A224" s="39">
        <v>42468</v>
      </c>
      <c r="B224">
        <v>68.39</v>
      </c>
      <c r="C224">
        <f>VLOOKUP(A224,NYSEARCAVTI!A$2:G$506,3,0)</f>
        <v>104.9</v>
      </c>
      <c r="D224">
        <f>VLOOKUP(A224,NYSEARCAVEU!A$2:G$506,3,0)</f>
        <v>42.75</v>
      </c>
      <c r="E224">
        <f>VLOOKUP(A224,NYSEARCAVWO!A$2:G$506,3,0)</f>
        <v>34.07</v>
      </c>
      <c r="F224">
        <f>VLOOKUP(A224,NYSEARCABND!A$2:G$506,3,0)</f>
        <v>83.07</v>
      </c>
      <c r="G224">
        <f>VLOOKUP(A224,NYSEARCATIP!A$2:G$506,3,0)</f>
        <v>114.99</v>
      </c>
      <c r="H224">
        <f>VLOOKUP(A224,NYSEARCAMUB!A$2:G$506,3,0)</f>
        <v>112.17</v>
      </c>
      <c r="I224">
        <f>VLOOKUP(A224,NYSEARCAVNQ!A$2:G$506,3,0)</f>
        <v>83.5</v>
      </c>
      <c r="J224">
        <f>VLOOKUP(A224,NYSEARCARWX!A$2:G$506,3,0)</f>
        <v>41.49</v>
      </c>
      <c r="K224">
        <f>VLOOKUP(A224,NYSEARCADBC!A$2:G$506,3,0)</f>
        <v>13.3</v>
      </c>
      <c r="L224">
        <f>VLOOKUP(A224,NYSEARCAGSG!A$2:G$506,3,0)</f>
        <v>13.96</v>
      </c>
      <c r="M224">
        <f>VLOOKUP(A224,NYSEARCAGLD!A$2:G$506,3,0)</f>
        <v>118.77</v>
      </c>
      <c r="N224">
        <f>VLOOKUP(A224,NYSEBP!A$2:G$506,3,0)</f>
        <v>30.23</v>
      </c>
      <c r="O224">
        <f>VLOOKUP(A224,NASDAQYHOO!A$2:G$506,3,0)</f>
        <v>36.92</v>
      </c>
    </row>
    <row r="225" spans="1:15">
      <c r="A225" s="39">
        <v>42471</v>
      </c>
      <c r="B225">
        <v>68.37</v>
      </c>
      <c r="C225">
        <f>VLOOKUP(A225,NYSEARCAVTI!A$2:G$506,3,0)</f>
        <v>105.05</v>
      </c>
      <c r="D225">
        <f>VLOOKUP(A225,NYSEARCAVEU!A$2:G$506,3,0)</f>
        <v>43.11</v>
      </c>
      <c r="E225">
        <f>VLOOKUP(A225,NYSEARCAVWO!A$2:G$506,3,0)</f>
        <v>34.590000000000003</v>
      </c>
      <c r="F225">
        <f>VLOOKUP(A225,NYSEARCABND!A$2:G$506,3,0)</f>
        <v>83.07</v>
      </c>
      <c r="G225">
        <f>VLOOKUP(A225,NYSEARCATIP!A$2:G$506,3,0)</f>
        <v>114.88</v>
      </c>
      <c r="H225">
        <f>VLOOKUP(A225,NYSEARCAMUB!A$2:G$506,3,0)</f>
        <v>112.2</v>
      </c>
      <c r="I225">
        <f>VLOOKUP(A225,NYSEARCAVNQ!A$2:G$506,3,0)</f>
        <v>83.56</v>
      </c>
      <c r="J225">
        <f>VLOOKUP(A225,NYSEARCARWX!A$2:G$506,3,0)</f>
        <v>41.81</v>
      </c>
      <c r="K225">
        <f>VLOOKUP(A225,NYSEARCADBC!A$2:G$506,3,0)</f>
        <v>13.39</v>
      </c>
      <c r="L225">
        <f>VLOOKUP(A225,NYSEARCAGSG!A$2:G$506,3,0)</f>
        <v>14.11</v>
      </c>
      <c r="M225">
        <f>VLOOKUP(A225,NYSEARCAGLD!A$2:G$506,3,0)</f>
        <v>120.3</v>
      </c>
      <c r="N225">
        <f>VLOOKUP(A225,NYSEBP!A$2:G$506,3,0)</f>
        <v>30.61</v>
      </c>
      <c r="O225">
        <f>VLOOKUP(A225,NASDAQYHOO!A$2:G$506,3,0)</f>
        <v>36.840000000000003</v>
      </c>
    </row>
    <row r="226" spans="1:15">
      <c r="A226" s="39">
        <v>42472</v>
      </c>
      <c r="B226">
        <v>68.87</v>
      </c>
      <c r="C226">
        <f>VLOOKUP(A226,NYSEARCAVTI!A$2:G$506,3,0)</f>
        <v>105.1</v>
      </c>
      <c r="D226">
        <f>VLOOKUP(A226,NYSEARCAVEU!A$2:G$506,3,0)</f>
        <v>43.5</v>
      </c>
      <c r="E226">
        <f>VLOOKUP(A226,NYSEARCAVWO!A$2:G$506,3,0)</f>
        <v>34.979999999999997</v>
      </c>
      <c r="F226">
        <f>VLOOKUP(A226,NYSEARCABND!A$2:G$506,3,0)</f>
        <v>82.98</v>
      </c>
      <c r="G226">
        <f>VLOOKUP(A226,NYSEARCATIP!A$2:G$506,3,0)</f>
        <v>114.34</v>
      </c>
      <c r="H226">
        <f>VLOOKUP(A226,NYSEARCAMUB!A$2:G$506,3,0)</f>
        <v>112.19</v>
      </c>
      <c r="I226">
        <f>VLOOKUP(A226,NYSEARCAVNQ!A$2:G$506,3,0)</f>
        <v>83.79</v>
      </c>
      <c r="J226">
        <f>VLOOKUP(A226,NYSEARCARWX!A$2:G$506,3,0)</f>
        <v>41.9</v>
      </c>
      <c r="K226">
        <f>VLOOKUP(A226,NYSEARCADBC!A$2:G$506,3,0)</f>
        <v>13.7</v>
      </c>
      <c r="L226">
        <f>VLOOKUP(A226,NYSEARCAGSG!A$2:G$506,3,0)</f>
        <v>14.47</v>
      </c>
      <c r="M226">
        <f>VLOOKUP(A226,NYSEARCAGLD!A$2:G$506,3,0)</f>
        <v>120.34</v>
      </c>
      <c r="N226">
        <f>VLOOKUP(A226,NYSEBP!A$2:G$506,3,0)</f>
        <v>31.31</v>
      </c>
      <c r="O226">
        <f>VLOOKUP(A226,NASDAQYHOO!A$2:G$506,3,0)</f>
        <v>36.83</v>
      </c>
    </row>
    <row r="227" spans="1:15">
      <c r="A227" s="39">
        <v>42473</v>
      </c>
      <c r="B227">
        <v>69.42</v>
      </c>
      <c r="C227">
        <f>VLOOKUP(A227,NYSEARCAVTI!A$2:G$506,3,0)</f>
        <v>106.17</v>
      </c>
      <c r="D227">
        <f>VLOOKUP(A227,NYSEARCAVEU!A$2:G$506,3,0)</f>
        <v>44.14</v>
      </c>
      <c r="E227">
        <f>VLOOKUP(A227,NYSEARCAVWO!A$2:G$506,3,0)</f>
        <v>35.51</v>
      </c>
      <c r="F227">
        <f>VLOOKUP(A227,NYSEARCABND!A$2:G$506,3,0)</f>
        <v>83</v>
      </c>
      <c r="G227">
        <f>VLOOKUP(A227,NYSEARCATIP!A$2:G$506,3,0)</f>
        <v>114.31</v>
      </c>
      <c r="H227">
        <f>VLOOKUP(A227,NYSEARCAMUB!A$2:G$506,3,0)</f>
        <v>112.2</v>
      </c>
      <c r="I227">
        <f>VLOOKUP(A227,NYSEARCAVNQ!A$2:G$506,3,0)</f>
        <v>83.87</v>
      </c>
      <c r="J227">
        <f>VLOOKUP(A227,NYSEARCARWX!A$2:G$506,3,0)</f>
        <v>42.25</v>
      </c>
      <c r="K227">
        <f>VLOOKUP(A227,NYSEARCADBC!A$2:G$506,3,0)</f>
        <v>13.77</v>
      </c>
      <c r="L227">
        <f>VLOOKUP(A227,NYSEARCAGSG!A$2:G$506,3,0)</f>
        <v>14.55</v>
      </c>
      <c r="M227">
        <f>VLOOKUP(A227,NYSEARCAGLD!A$2:G$506,3,0)</f>
        <v>119.43</v>
      </c>
      <c r="N227">
        <f>VLOOKUP(A227,NYSEBP!A$2:G$506,3,0)</f>
        <v>31.7</v>
      </c>
      <c r="O227">
        <f>VLOOKUP(A227,NASDAQYHOO!A$2:G$506,3,0)</f>
        <v>37.35</v>
      </c>
    </row>
    <row r="228" spans="1:15">
      <c r="A228" s="39">
        <v>42474</v>
      </c>
      <c r="B228">
        <v>69.239999999999995</v>
      </c>
      <c r="C228">
        <f>VLOOKUP(A228,NYSEARCAVTI!A$2:G$506,3,0)</f>
        <v>106.39</v>
      </c>
      <c r="D228">
        <f>VLOOKUP(A228,NYSEARCAVEU!A$2:G$506,3,0)</f>
        <v>44.22</v>
      </c>
      <c r="E228">
        <f>VLOOKUP(A228,NYSEARCAVWO!A$2:G$506,3,0)</f>
        <v>35.43</v>
      </c>
      <c r="F228">
        <f>VLOOKUP(A228,NYSEARCABND!A$2:G$506,3,0)</f>
        <v>82.98</v>
      </c>
      <c r="G228">
        <f>VLOOKUP(A228,NYSEARCATIP!A$2:G$506,3,0)</f>
        <v>114.54</v>
      </c>
      <c r="H228">
        <f>VLOOKUP(A228,NYSEARCAMUB!A$2:G$506,3,0)</f>
        <v>112.19</v>
      </c>
      <c r="I228">
        <f>VLOOKUP(A228,NYSEARCAVNQ!A$2:G$506,3,0)</f>
        <v>83.23</v>
      </c>
      <c r="J228">
        <f>VLOOKUP(A228,NYSEARCARWX!A$2:G$506,3,0)</f>
        <v>42.11</v>
      </c>
      <c r="K228">
        <f>VLOOKUP(A228,NYSEARCADBC!A$2:G$506,3,0)</f>
        <v>13.72</v>
      </c>
      <c r="L228">
        <f>VLOOKUP(A228,NYSEARCAGSG!A$2:G$506,3,0)</f>
        <v>14.46</v>
      </c>
      <c r="M228">
        <f>VLOOKUP(A228,NYSEARCAGLD!A$2:G$506,3,0)</f>
        <v>118.19</v>
      </c>
      <c r="N228">
        <f>VLOOKUP(A228,NYSEBP!A$2:G$506,3,0)</f>
        <v>30.98</v>
      </c>
      <c r="O228">
        <f>VLOOKUP(A228,NASDAQYHOO!A$2:G$506,3,0)</f>
        <v>37.5</v>
      </c>
    </row>
    <row r="229" spans="1:15">
      <c r="A229" s="39">
        <v>42475</v>
      </c>
      <c r="B229">
        <v>69.41</v>
      </c>
      <c r="C229">
        <f>VLOOKUP(A229,NYSEARCAVTI!A$2:G$506,3,0)</f>
        <v>106.19</v>
      </c>
      <c r="D229">
        <f>VLOOKUP(A229,NYSEARCAVEU!A$2:G$506,3,0)</f>
        <v>44.12</v>
      </c>
      <c r="E229">
        <f>VLOOKUP(A229,NYSEARCAVWO!A$2:G$506,3,0)</f>
        <v>35.31</v>
      </c>
      <c r="F229">
        <f>VLOOKUP(A229,NYSEARCABND!A$2:G$506,3,0)</f>
        <v>83.14</v>
      </c>
      <c r="G229">
        <f>VLOOKUP(A229,NYSEARCATIP!A$2:G$506,3,0)</f>
        <v>114.42</v>
      </c>
      <c r="H229">
        <f>VLOOKUP(A229,NYSEARCAMUB!A$2:G$506,3,0)</f>
        <v>112.3</v>
      </c>
      <c r="I229">
        <f>VLOOKUP(A229,NYSEARCAVNQ!A$2:G$506,3,0)</f>
        <v>83.58</v>
      </c>
      <c r="J229">
        <f>VLOOKUP(A229,NYSEARCARWX!A$2:G$506,3,0)</f>
        <v>41.93</v>
      </c>
      <c r="K229">
        <f>VLOOKUP(A229,NYSEARCADBC!A$2:G$506,3,0)</f>
        <v>13.61</v>
      </c>
      <c r="L229">
        <f>VLOOKUP(A229,NYSEARCAGSG!A$2:G$506,3,0)</f>
        <v>14.27</v>
      </c>
      <c r="M229">
        <f>VLOOKUP(A229,NYSEARCAGLD!A$2:G$506,3,0)</f>
        <v>118.12</v>
      </c>
      <c r="N229">
        <f>VLOOKUP(A229,NYSEBP!A$2:G$506,3,0)</f>
        <v>30.7</v>
      </c>
      <c r="O229">
        <f>VLOOKUP(A229,NASDAQYHOO!A$2:G$506,3,0)</f>
        <v>37.15</v>
      </c>
    </row>
    <row r="230" spans="1:15">
      <c r="A230" s="39">
        <v>42478</v>
      </c>
      <c r="B230">
        <v>69.900000000000006</v>
      </c>
      <c r="C230">
        <f>VLOOKUP(A230,NYSEARCAVTI!A$2:G$506,3,0)</f>
        <v>106.79</v>
      </c>
      <c r="D230">
        <f>VLOOKUP(A230,NYSEARCAVEU!A$2:G$506,3,0)</f>
        <v>44.35</v>
      </c>
      <c r="E230">
        <f>VLOOKUP(A230,NYSEARCAVWO!A$2:G$506,3,0)</f>
        <v>35.43</v>
      </c>
      <c r="F230">
        <f>VLOOKUP(A230,NYSEARCABND!A$2:G$506,3,0)</f>
        <v>83.04</v>
      </c>
      <c r="G230">
        <f>VLOOKUP(A230,NYSEARCATIP!A$2:G$506,3,0)</f>
        <v>114.32</v>
      </c>
      <c r="H230">
        <f>VLOOKUP(A230,NYSEARCAMUB!A$2:G$506,3,0)</f>
        <v>112.32</v>
      </c>
      <c r="I230">
        <f>VLOOKUP(A230,NYSEARCAVNQ!A$2:G$506,3,0)</f>
        <v>83.79</v>
      </c>
      <c r="J230">
        <f>VLOOKUP(A230,NYSEARCARWX!A$2:G$506,3,0)</f>
        <v>42.19</v>
      </c>
      <c r="K230">
        <f>VLOOKUP(A230,NYSEARCADBC!A$2:G$506,3,0)</f>
        <v>13.68</v>
      </c>
      <c r="L230">
        <f>VLOOKUP(A230,NYSEARCAGSG!A$2:G$506,3,0)</f>
        <v>14.25</v>
      </c>
      <c r="M230">
        <f>VLOOKUP(A230,NYSEARCAGLD!A$2:G$506,3,0)</f>
        <v>118.56</v>
      </c>
      <c r="N230">
        <f>VLOOKUP(A230,NYSEBP!A$2:G$506,3,0)</f>
        <v>31.12</v>
      </c>
      <c r="O230">
        <f>VLOOKUP(A230,NASDAQYHOO!A$2:G$506,3,0)</f>
        <v>37</v>
      </c>
    </row>
    <row r="231" spans="1:15">
      <c r="A231" s="39">
        <v>42479</v>
      </c>
      <c r="B231">
        <v>70.08</v>
      </c>
      <c r="C231">
        <f>VLOOKUP(A231,NYSEARCAVTI!A$2:G$506,3,0)</f>
        <v>107.31</v>
      </c>
      <c r="D231">
        <f>VLOOKUP(A231,NYSEARCAVEU!A$2:G$506,3,0)</f>
        <v>45.14</v>
      </c>
      <c r="E231">
        <f>VLOOKUP(A231,NYSEARCAVWO!A$2:G$506,3,0)</f>
        <v>35.83</v>
      </c>
      <c r="F231">
        <f>VLOOKUP(A231,NYSEARCABND!A$2:G$506,3,0)</f>
        <v>83.09</v>
      </c>
      <c r="G231">
        <f>VLOOKUP(A231,NYSEARCATIP!A$2:G$506,3,0)</f>
        <v>114.57</v>
      </c>
      <c r="H231">
        <f>VLOOKUP(A231,NYSEARCAMUB!A$2:G$506,3,0)</f>
        <v>112.4</v>
      </c>
      <c r="I231">
        <f>VLOOKUP(A231,NYSEARCAVNQ!A$2:G$506,3,0)</f>
        <v>84.01</v>
      </c>
      <c r="J231">
        <f>VLOOKUP(A231,NYSEARCARWX!A$2:G$506,3,0)</f>
        <v>42.52</v>
      </c>
      <c r="K231">
        <f>VLOOKUP(A231,NYSEARCADBC!A$2:G$506,3,0)</f>
        <v>13.94</v>
      </c>
      <c r="L231">
        <f>VLOOKUP(A231,NYSEARCAGSG!A$2:G$506,3,0)</f>
        <v>14.52</v>
      </c>
      <c r="M231">
        <f>VLOOKUP(A231,NYSEARCAGLD!A$2:G$506,3,0)</f>
        <v>120.09</v>
      </c>
      <c r="N231">
        <f>VLOOKUP(A231,NYSEBP!A$2:G$506,3,0)</f>
        <v>31.83</v>
      </c>
      <c r="O231">
        <f>VLOOKUP(A231,NASDAQYHOO!A$2:G$506,3,0)</f>
        <v>36.729999999999997</v>
      </c>
    </row>
    <row r="232" spans="1:15">
      <c r="A232" s="39">
        <v>42480</v>
      </c>
      <c r="B232">
        <v>69.989999999999995</v>
      </c>
      <c r="C232">
        <f>VLOOKUP(A232,NYSEARCAVTI!A$2:G$506,3,0)</f>
        <v>107.64</v>
      </c>
      <c r="D232">
        <f>VLOOKUP(A232,NYSEARCAVEU!A$2:G$506,3,0)</f>
        <v>45.25</v>
      </c>
      <c r="E232">
        <f>VLOOKUP(A232,NYSEARCAVWO!A$2:G$506,3,0)</f>
        <v>35.74</v>
      </c>
      <c r="F232">
        <f>VLOOKUP(A232,NYSEARCABND!A$2:G$506,3,0)</f>
        <v>83.15</v>
      </c>
      <c r="G232">
        <f>VLOOKUP(A232,NYSEARCATIP!A$2:G$506,3,0)</f>
        <v>114.8</v>
      </c>
      <c r="H232">
        <f>VLOOKUP(A232,NYSEARCAMUB!A$2:G$506,3,0)</f>
        <v>112.35</v>
      </c>
      <c r="I232">
        <f>VLOOKUP(A232,NYSEARCAVNQ!A$2:G$506,3,0)</f>
        <v>84</v>
      </c>
      <c r="J232">
        <f>VLOOKUP(A232,NYSEARCARWX!A$2:G$506,3,0)</f>
        <v>42.6</v>
      </c>
      <c r="K232">
        <f>VLOOKUP(A232,NYSEARCADBC!A$2:G$506,3,0)</f>
        <v>14.24</v>
      </c>
      <c r="L232">
        <f>VLOOKUP(A232,NYSEARCAGSG!A$2:G$506,3,0)</f>
        <v>14.9</v>
      </c>
      <c r="M232">
        <f>VLOOKUP(A232,NYSEARCAGLD!A$2:G$506,3,0)</f>
        <v>120.08</v>
      </c>
      <c r="N232">
        <f>VLOOKUP(A232,NYSEBP!A$2:G$506,3,0)</f>
        <v>32.200000000000003</v>
      </c>
      <c r="O232">
        <f>VLOOKUP(A232,NASDAQYHOO!A$2:G$506,3,0)</f>
        <v>38.18</v>
      </c>
    </row>
    <row r="233" spans="1:15">
      <c r="A233" s="39">
        <v>42481</v>
      </c>
      <c r="B233">
        <v>69.680000000000007</v>
      </c>
      <c r="C233">
        <f>VLOOKUP(A233,NYSEARCAVTI!A$2:G$506,3,0)</f>
        <v>107.33</v>
      </c>
      <c r="D233">
        <f>VLOOKUP(A233,NYSEARCAVEU!A$2:G$506,3,0)</f>
        <v>45</v>
      </c>
      <c r="E233">
        <f>VLOOKUP(A233,NYSEARCAVWO!A$2:G$506,3,0)</f>
        <v>35.450000000000003</v>
      </c>
      <c r="F233">
        <f>VLOOKUP(A233,NYSEARCABND!A$2:G$506,3,0)</f>
        <v>82.86</v>
      </c>
      <c r="G233">
        <f>VLOOKUP(A233,NYSEARCATIP!A$2:G$506,3,0)</f>
        <v>114.03</v>
      </c>
      <c r="H233">
        <f>VLOOKUP(A233,NYSEARCAMUB!A$2:G$506,3,0)</f>
        <v>112.24</v>
      </c>
      <c r="I233">
        <f>VLOOKUP(A233,NYSEARCAVNQ!A$2:G$506,3,0)</f>
        <v>82.53</v>
      </c>
      <c r="J233">
        <f>VLOOKUP(A233,NYSEARCARWX!A$2:G$506,3,0)</f>
        <v>42.22</v>
      </c>
      <c r="K233">
        <f>VLOOKUP(A233,NYSEARCADBC!A$2:G$506,3,0)</f>
        <v>14.26</v>
      </c>
      <c r="L233">
        <f>VLOOKUP(A233,NYSEARCAGSG!A$2:G$506,3,0)</f>
        <v>14.9</v>
      </c>
      <c r="M233">
        <f>VLOOKUP(A233,NYSEARCAGLD!A$2:G$506,3,0)</f>
        <v>120.55</v>
      </c>
      <c r="N233">
        <f>VLOOKUP(A233,NYSEBP!A$2:G$506,3,0)</f>
        <v>32.119999999999997</v>
      </c>
      <c r="O233">
        <f>VLOOKUP(A233,NASDAQYHOO!A$2:G$506,3,0)</f>
        <v>38.119999999999997</v>
      </c>
    </row>
    <row r="234" spans="1:15">
      <c r="A234" s="39">
        <v>42482</v>
      </c>
      <c r="B234">
        <v>68.94</v>
      </c>
      <c r="C234">
        <f>VLOOKUP(A234,NYSEARCAVTI!A$2:G$506,3,0)</f>
        <v>106.93</v>
      </c>
      <c r="D234">
        <f>VLOOKUP(A234,NYSEARCAVEU!A$2:G$506,3,0)</f>
        <v>44.86</v>
      </c>
      <c r="E234">
        <f>VLOOKUP(A234,NYSEARCAVWO!A$2:G$506,3,0)</f>
        <v>35.31</v>
      </c>
      <c r="F234">
        <f>VLOOKUP(A234,NYSEARCABND!A$2:G$506,3,0)</f>
        <v>82.88</v>
      </c>
      <c r="G234">
        <f>VLOOKUP(A234,NYSEARCATIP!A$2:G$506,3,0)</f>
        <v>114.09</v>
      </c>
      <c r="H234">
        <f>VLOOKUP(A234,NYSEARCAMUB!A$2:G$506,3,0)</f>
        <v>112.12</v>
      </c>
      <c r="I234">
        <f>VLOOKUP(A234,NYSEARCAVNQ!A$2:G$506,3,0)</f>
        <v>81.95</v>
      </c>
      <c r="J234">
        <f>VLOOKUP(A234,NYSEARCARWX!A$2:G$506,3,0)</f>
        <v>42.14</v>
      </c>
      <c r="K234">
        <f>VLOOKUP(A234,NYSEARCADBC!A$2:G$506,3,0)</f>
        <v>14.27</v>
      </c>
      <c r="L234">
        <f>VLOOKUP(A234,NYSEARCAGSG!A$2:G$506,3,0)</f>
        <v>14.9</v>
      </c>
      <c r="M234">
        <f>VLOOKUP(A234,NYSEARCAGLD!A$2:G$506,3,0)</f>
        <v>119.02</v>
      </c>
      <c r="N234">
        <f>VLOOKUP(A234,NYSEBP!A$2:G$506,3,0)</f>
        <v>32.229999999999997</v>
      </c>
      <c r="O234">
        <f>VLOOKUP(A234,NASDAQYHOO!A$2:G$506,3,0)</f>
        <v>38.090000000000003</v>
      </c>
    </row>
    <row r="235" spans="1:15">
      <c r="A235" s="39">
        <v>42485</v>
      </c>
      <c r="B235">
        <v>69.5</v>
      </c>
      <c r="C235">
        <f>VLOOKUP(A235,NYSEARCAVTI!A$2:G$506,3,0)</f>
        <v>106.59</v>
      </c>
      <c r="D235">
        <f>VLOOKUP(A235,NYSEARCAVEU!A$2:G$506,3,0)</f>
        <v>44.53</v>
      </c>
      <c r="E235">
        <f>VLOOKUP(A235,NYSEARCAVWO!A$2:G$506,3,0)</f>
        <v>34.97</v>
      </c>
      <c r="F235">
        <f>VLOOKUP(A235,NYSEARCABND!A$2:G$506,3,0)</f>
        <v>82.77</v>
      </c>
      <c r="G235">
        <f>VLOOKUP(A235,NYSEARCATIP!A$2:G$506,3,0)</f>
        <v>114.07</v>
      </c>
      <c r="H235">
        <f>VLOOKUP(A235,NYSEARCAMUB!A$2:G$506,3,0)</f>
        <v>112.08</v>
      </c>
      <c r="I235">
        <f>VLOOKUP(A235,NYSEARCAVNQ!A$2:G$506,3,0)</f>
        <v>82.5</v>
      </c>
      <c r="J235">
        <f>VLOOKUP(A235,NYSEARCARWX!A$2:G$506,3,0)</f>
        <v>42.39</v>
      </c>
      <c r="K235">
        <f>VLOOKUP(A235,NYSEARCADBC!A$2:G$506,3,0)</f>
        <v>14.15</v>
      </c>
      <c r="L235">
        <f>VLOOKUP(A235,NYSEARCAGSG!A$2:G$506,3,0)</f>
        <v>14.74</v>
      </c>
      <c r="M235">
        <f>VLOOKUP(A235,NYSEARCAGLD!A$2:G$506,3,0)</f>
        <v>118.71</v>
      </c>
      <c r="N235">
        <f>VLOOKUP(A235,NYSEBP!A$2:G$506,3,0)</f>
        <v>32.020000000000003</v>
      </c>
      <c r="O235">
        <f>VLOOKUP(A235,NASDAQYHOO!A$2:G$506,3,0)</f>
        <v>37.54</v>
      </c>
    </row>
    <row r="236" spans="1:15">
      <c r="A236" s="39">
        <v>42486</v>
      </c>
      <c r="B236">
        <v>69.89</v>
      </c>
      <c r="C236">
        <f>VLOOKUP(A236,NYSEARCAVTI!A$2:G$506,3,0)</f>
        <v>107.05</v>
      </c>
      <c r="D236">
        <f>VLOOKUP(A236,NYSEARCAVEU!A$2:G$506,3,0)</f>
        <v>44.7</v>
      </c>
      <c r="E236">
        <f>VLOOKUP(A236,NYSEARCAVWO!A$2:G$506,3,0)</f>
        <v>35.15</v>
      </c>
      <c r="F236">
        <f>VLOOKUP(A236,NYSEARCABND!A$2:G$506,3,0)</f>
        <v>82.67</v>
      </c>
      <c r="G236">
        <f>VLOOKUP(A236,NYSEARCATIP!A$2:G$506,3,0)</f>
        <v>113.82</v>
      </c>
      <c r="H236">
        <f>VLOOKUP(A236,NYSEARCAMUB!A$2:G$506,3,0)</f>
        <v>112.08</v>
      </c>
      <c r="I236">
        <f>VLOOKUP(A236,NYSEARCAVNQ!A$2:G$506,3,0)</f>
        <v>83.28</v>
      </c>
      <c r="J236">
        <f>VLOOKUP(A236,NYSEARCARWX!A$2:G$506,3,0)</f>
        <v>42.85</v>
      </c>
      <c r="K236">
        <f>VLOOKUP(A236,NYSEARCADBC!A$2:G$506,3,0)</f>
        <v>14.25</v>
      </c>
      <c r="L236">
        <f>VLOOKUP(A236,NYSEARCAGSG!A$2:G$506,3,0)</f>
        <v>14.84</v>
      </c>
      <c r="M236">
        <f>VLOOKUP(A236,NYSEARCAGLD!A$2:G$506,3,0)</f>
        <v>118.89</v>
      </c>
      <c r="N236">
        <f>VLOOKUP(A236,NYSEBP!A$2:G$506,3,0)</f>
        <v>33.520000000000003</v>
      </c>
      <c r="O236">
        <f>VLOOKUP(A236,NASDAQYHOO!A$2:G$506,3,0)</f>
        <v>37.54</v>
      </c>
    </row>
    <row r="237" spans="1:15">
      <c r="A237" s="39">
        <v>42487</v>
      </c>
      <c r="B237">
        <v>69.78</v>
      </c>
      <c r="C237">
        <f>VLOOKUP(A237,NYSEARCAVTI!A$2:G$506,3,0)</f>
        <v>107.33</v>
      </c>
      <c r="D237">
        <f>VLOOKUP(A237,NYSEARCAVEU!A$2:G$506,3,0)</f>
        <v>44.8</v>
      </c>
      <c r="E237">
        <f>VLOOKUP(A237,NYSEARCAVWO!A$2:G$506,3,0)</f>
        <v>35.450000000000003</v>
      </c>
      <c r="F237">
        <f>VLOOKUP(A237,NYSEARCABND!A$2:G$506,3,0)</f>
        <v>82.81</v>
      </c>
      <c r="G237">
        <f>VLOOKUP(A237,NYSEARCATIP!A$2:G$506,3,0)</f>
        <v>114.42</v>
      </c>
      <c r="H237">
        <f>VLOOKUP(A237,NYSEARCAMUB!A$2:G$506,3,0)</f>
        <v>112.1</v>
      </c>
      <c r="I237">
        <f>VLOOKUP(A237,NYSEARCAVNQ!A$2:G$506,3,0)</f>
        <v>82.92</v>
      </c>
      <c r="J237">
        <f>VLOOKUP(A237,NYSEARCARWX!A$2:G$506,3,0)</f>
        <v>42.68</v>
      </c>
      <c r="K237">
        <f>VLOOKUP(A237,NYSEARCADBC!A$2:G$506,3,0)</f>
        <v>14.39</v>
      </c>
      <c r="L237">
        <f>VLOOKUP(A237,NYSEARCAGSG!A$2:G$506,3,0)</f>
        <v>15.06</v>
      </c>
      <c r="M237">
        <f>VLOOKUP(A237,NYSEARCAGLD!A$2:G$506,3,0)</f>
        <v>119.7</v>
      </c>
      <c r="N237">
        <f>VLOOKUP(A237,NYSEBP!A$2:G$506,3,0)</f>
        <v>34</v>
      </c>
      <c r="O237">
        <f>VLOOKUP(A237,NASDAQYHOO!A$2:G$506,3,0)</f>
        <v>37.590000000000003</v>
      </c>
    </row>
    <row r="238" spans="1:15">
      <c r="A238" s="39">
        <v>42488</v>
      </c>
      <c r="B238">
        <v>69.62</v>
      </c>
      <c r="C238">
        <f>VLOOKUP(A238,NYSEARCAVTI!A$2:G$506,3,0)</f>
        <v>107.3</v>
      </c>
      <c r="D238">
        <f>VLOOKUP(A238,NYSEARCAVEU!A$2:G$506,3,0)</f>
        <v>44.6</v>
      </c>
      <c r="E238">
        <f>VLOOKUP(A238,NYSEARCAVWO!A$2:G$506,3,0)</f>
        <v>35.340000000000003</v>
      </c>
      <c r="F238">
        <f>VLOOKUP(A238,NYSEARCABND!A$2:G$506,3,0)</f>
        <v>82.97</v>
      </c>
      <c r="G238">
        <f>VLOOKUP(A238,NYSEARCATIP!A$2:G$506,3,0)</f>
        <v>114.96</v>
      </c>
      <c r="H238">
        <f>VLOOKUP(A238,NYSEARCAMUB!A$2:G$506,3,0)</f>
        <v>112.2</v>
      </c>
      <c r="I238">
        <f>VLOOKUP(A238,NYSEARCAVNQ!A$2:G$506,3,0)</f>
        <v>83.09</v>
      </c>
      <c r="J238">
        <f>VLOOKUP(A238,NYSEARCARWX!A$2:G$506,3,0)</f>
        <v>42.64</v>
      </c>
      <c r="K238">
        <f>VLOOKUP(A238,NYSEARCADBC!A$2:G$506,3,0)</f>
        <v>14.51</v>
      </c>
      <c r="L238">
        <f>VLOOKUP(A238,NYSEARCAGSG!A$2:G$506,3,0)</f>
        <v>15.19</v>
      </c>
      <c r="M238">
        <f>VLOOKUP(A238,NYSEARCAGLD!A$2:G$506,3,0)</f>
        <v>121.42</v>
      </c>
      <c r="N238">
        <f>VLOOKUP(A238,NYSEBP!A$2:G$506,3,0)</f>
        <v>34</v>
      </c>
      <c r="O238">
        <f>VLOOKUP(A238,NASDAQYHOO!A$2:G$506,3,0)</f>
        <v>37.44</v>
      </c>
    </row>
    <row r="239" spans="1:15">
      <c r="A239" s="39">
        <v>42489</v>
      </c>
      <c r="B239">
        <v>68.819999999999993</v>
      </c>
      <c r="C239">
        <f>VLOOKUP(A239,NYSEARCAVTI!A$2:G$506,3,0)</f>
        <v>105.96</v>
      </c>
      <c r="D239">
        <f>VLOOKUP(A239,NYSEARCAVEU!A$2:G$506,3,0)</f>
        <v>44.32</v>
      </c>
      <c r="E239">
        <f>VLOOKUP(A239,NYSEARCAVWO!A$2:G$506,3,0)</f>
        <v>35.1</v>
      </c>
      <c r="F239">
        <f>VLOOKUP(A239,NYSEARCABND!A$2:G$506,3,0)</f>
        <v>82.98</v>
      </c>
      <c r="G239">
        <f>VLOOKUP(A239,NYSEARCATIP!A$2:G$506,3,0)</f>
        <v>115.09</v>
      </c>
      <c r="H239">
        <f>VLOOKUP(A239,NYSEARCAMUB!A$2:G$506,3,0)</f>
        <v>112.28</v>
      </c>
      <c r="I239">
        <f>VLOOKUP(A239,NYSEARCAVNQ!A$2:G$506,3,0)</f>
        <v>82.37</v>
      </c>
      <c r="J239">
        <f>VLOOKUP(A239,NYSEARCARWX!A$2:G$506,3,0)</f>
        <v>42.45</v>
      </c>
      <c r="K239">
        <f>VLOOKUP(A239,NYSEARCADBC!A$2:G$506,3,0)</f>
        <v>14.63</v>
      </c>
      <c r="L239">
        <f>VLOOKUP(A239,NYSEARCAGSG!A$2:G$506,3,0)</f>
        <v>15.32</v>
      </c>
      <c r="M239">
        <f>VLOOKUP(A239,NYSEARCAGLD!A$2:G$506,3,0)</f>
        <v>123.93</v>
      </c>
      <c r="N239">
        <f>VLOOKUP(A239,NYSEBP!A$2:G$506,3,0)</f>
        <v>33.76</v>
      </c>
      <c r="O239">
        <f>VLOOKUP(A239,NASDAQYHOO!A$2:G$506,3,0)</f>
        <v>36.979999999999997</v>
      </c>
    </row>
    <row r="240" spans="1:15">
      <c r="A240" s="39">
        <v>42492</v>
      </c>
      <c r="B240">
        <v>67.7</v>
      </c>
      <c r="C240">
        <f>VLOOKUP(A240,NYSEARCAVTI!A$2:G$506,3,0)</f>
        <v>106.4</v>
      </c>
      <c r="D240">
        <f>VLOOKUP(A240,NYSEARCAVEU!A$2:G$506,3,0)</f>
        <v>44.41</v>
      </c>
      <c r="E240">
        <f>VLOOKUP(A240,NYSEARCAVWO!A$2:G$506,3,0)</f>
        <v>34.92</v>
      </c>
      <c r="F240">
        <f>VLOOKUP(A240,NYSEARCABND!A$2:G$506,3,0)</f>
        <v>82.78</v>
      </c>
      <c r="G240">
        <f>VLOOKUP(A240,NYSEARCATIP!A$2:G$506,3,0)</f>
        <v>114.71</v>
      </c>
      <c r="H240">
        <f>VLOOKUP(A240,NYSEARCAMUB!A$2:G$506,3,0)</f>
        <v>112.08</v>
      </c>
      <c r="I240">
        <f>VLOOKUP(A240,NYSEARCAVNQ!A$2:G$506,3,0)</f>
        <v>83.31</v>
      </c>
      <c r="J240">
        <f>VLOOKUP(A240,NYSEARCARWX!A$2:G$506,3,0)</f>
        <v>42.83</v>
      </c>
      <c r="K240">
        <f>VLOOKUP(A240,NYSEARCADBC!A$2:G$506,3,0)</f>
        <v>14.52</v>
      </c>
      <c r="L240">
        <f>VLOOKUP(A240,NYSEARCAGSG!A$2:G$506,3,0)</f>
        <v>15.17</v>
      </c>
      <c r="M240">
        <f>VLOOKUP(A240,NYSEARCAGLD!A$2:G$506,3,0)</f>
        <v>123.96</v>
      </c>
      <c r="N240">
        <f>VLOOKUP(A240,NYSEBP!A$2:G$506,3,0)</f>
        <v>33.75</v>
      </c>
      <c r="O240">
        <f>VLOOKUP(A240,NASDAQYHOO!A$2:G$506,3,0)</f>
        <v>36.74</v>
      </c>
    </row>
    <row r="241" spans="1:15">
      <c r="A241" s="39">
        <v>42493</v>
      </c>
      <c r="B241">
        <v>67.5</v>
      </c>
      <c r="C241">
        <f>VLOOKUP(A241,NYSEARCAVTI!A$2:G$506,3,0)</f>
        <v>105.68</v>
      </c>
      <c r="D241">
        <f>VLOOKUP(A241,NYSEARCAVEU!A$2:G$506,3,0)</f>
        <v>43.85</v>
      </c>
      <c r="E241">
        <f>VLOOKUP(A241,NYSEARCAVWO!A$2:G$506,3,0)</f>
        <v>34.299999999999997</v>
      </c>
      <c r="F241">
        <f>VLOOKUP(A241,NYSEARCABND!A$2:G$506,3,0)</f>
        <v>82.96</v>
      </c>
      <c r="G241">
        <f>VLOOKUP(A241,NYSEARCATIP!A$2:G$506,3,0)</f>
        <v>114.83</v>
      </c>
      <c r="H241">
        <f>VLOOKUP(A241,NYSEARCAMUB!A$2:G$506,3,0)</f>
        <v>112.32</v>
      </c>
      <c r="I241">
        <f>VLOOKUP(A241,NYSEARCAVNQ!A$2:G$506,3,0)</f>
        <v>83.29</v>
      </c>
      <c r="J241">
        <f>VLOOKUP(A241,NYSEARCARWX!A$2:G$506,3,0)</f>
        <v>42.58</v>
      </c>
      <c r="K241">
        <f>VLOOKUP(A241,NYSEARCADBC!A$2:G$506,3,0)</f>
        <v>14.3</v>
      </c>
      <c r="L241">
        <f>VLOOKUP(A241,NYSEARCAGSG!A$2:G$506,3,0)</f>
        <v>14.88</v>
      </c>
      <c r="M241">
        <f>VLOOKUP(A241,NYSEARCAGLD!A$2:G$506,3,0)</f>
        <v>123.82</v>
      </c>
      <c r="N241">
        <f>VLOOKUP(A241,NYSEBP!A$2:G$506,3,0)</f>
        <v>33</v>
      </c>
      <c r="O241">
        <f>VLOOKUP(A241,NASDAQYHOO!A$2:G$506,3,0)</f>
        <v>36.409999999999997</v>
      </c>
    </row>
    <row r="242" spans="1:15">
      <c r="A242" s="39">
        <v>42494</v>
      </c>
      <c r="B242">
        <v>67.489999999999995</v>
      </c>
      <c r="C242">
        <f>VLOOKUP(A242,NYSEARCAVTI!A$2:G$506,3,0)</f>
        <v>105.17</v>
      </c>
      <c r="D242">
        <f>VLOOKUP(A242,NYSEARCAVEU!A$2:G$506,3,0)</f>
        <v>43.24</v>
      </c>
      <c r="E242">
        <f>VLOOKUP(A242,NYSEARCAVWO!A$2:G$506,3,0)</f>
        <v>33.75</v>
      </c>
      <c r="F242">
        <f>VLOOKUP(A242,NYSEARCABND!A$2:G$506,3,0)</f>
        <v>83.01</v>
      </c>
      <c r="G242">
        <f>VLOOKUP(A242,NYSEARCATIP!A$2:G$506,3,0)</f>
        <v>114.73</v>
      </c>
      <c r="H242">
        <f>VLOOKUP(A242,NYSEARCAMUB!A$2:G$506,3,0)</f>
        <v>112.41</v>
      </c>
      <c r="I242">
        <f>VLOOKUP(A242,NYSEARCAVNQ!A$2:G$506,3,0)</f>
        <v>84.58</v>
      </c>
      <c r="J242">
        <f>VLOOKUP(A242,NYSEARCARWX!A$2:G$506,3,0)</f>
        <v>42.08</v>
      </c>
      <c r="K242">
        <f>VLOOKUP(A242,NYSEARCADBC!A$2:G$506,3,0)</f>
        <v>14.32</v>
      </c>
      <c r="L242">
        <f>VLOOKUP(A242,NYSEARCAGSG!A$2:G$506,3,0)</f>
        <v>14.88</v>
      </c>
      <c r="M242">
        <f>VLOOKUP(A242,NYSEARCAGLD!A$2:G$506,3,0)</f>
        <v>123.23</v>
      </c>
      <c r="N242">
        <f>VLOOKUP(A242,NYSEBP!A$2:G$506,3,0)</f>
        <v>31.96</v>
      </c>
      <c r="O242">
        <f>VLOOKUP(A242,NASDAQYHOO!A$2:G$506,3,0)</f>
        <v>36.090000000000003</v>
      </c>
    </row>
    <row r="243" spans="1:15">
      <c r="A243" s="39">
        <v>42495</v>
      </c>
      <c r="B243">
        <v>67.25</v>
      </c>
      <c r="C243">
        <f>VLOOKUP(A243,NYSEARCAVTI!A$2:G$506,3,0)</f>
        <v>105.17</v>
      </c>
      <c r="D243">
        <f>VLOOKUP(A243,NYSEARCAVEU!A$2:G$506,3,0)</f>
        <v>43.18</v>
      </c>
      <c r="E243">
        <f>VLOOKUP(A243,NYSEARCAVWO!A$2:G$506,3,0)</f>
        <v>33.76</v>
      </c>
      <c r="F243">
        <f>VLOOKUP(A243,NYSEARCABND!A$2:G$506,3,0)</f>
        <v>83.1</v>
      </c>
      <c r="G243">
        <f>VLOOKUP(A243,NYSEARCATIP!A$2:G$506,3,0)</f>
        <v>115.07</v>
      </c>
      <c r="H243">
        <f>VLOOKUP(A243,NYSEARCAMUB!A$2:G$506,3,0)</f>
        <v>112.4</v>
      </c>
      <c r="I243">
        <f>VLOOKUP(A243,NYSEARCAVNQ!A$2:G$506,3,0)</f>
        <v>84.82</v>
      </c>
      <c r="J243">
        <f>VLOOKUP(A243,NYSEARCARWX!A$2:G$506,3,0)</f>
        <v>42.15</v>
      </c>
      <c r="K243">
        <f>VLOOKUP(A243,NYSEARCADBC!A$2:G$506,3,0)</f>
        <v>14.34</v>
      </c>
      <c r="L243">
        <f>VLOOKUP(A243,NYSEARCAGSG!A$2:G$506,3,0)</f>
        <v>15</v>
      </c>
      <c r="M243">
        <f>VLOOKUP(A243,NYSEARCAGLD!A$2:G$506,3,0)</f>
        <v>122.73</v>
      </c>
      <c r="N243">
        <f>VLOOKUP(A243,NYSEBP!A$2:G$506,3,0)</f>
        <v>32.04</v>
      </c>
      <c r="O243">
        <f>VLOOKUP(A243,NASDAQYHOO!A$2:G$506,3,0)</f>
        <v>37.450000000000003</v>
      </c>
    </row>
    <row r="244" spans="1:15">
      <c r="A244" s="39">
        <v>42496</v>
      </c>
      <c r="B244">
        <v>68.260000000000005</v>
      </c>
      <c r="C244">
        <f>VLOOKUP(A244,NYSEARCAVTI!A$2:G$506,3,0)</f>
        <v>104.99</v>
      </c>
      <c r="D244">
        <f>VLOOKUP(A244,NYSEARCAVEU!A$2:G$506,3,0)</f>
        <v>43.07</v>
      </c>
      <c r="E244">
        <f>VLOOKUP(A244,NYSEARCAVWO!A$2:G$506,3,0)</f>
        <v>33.57</v>
      </c>
      <c r="F244">
        <f>VLOOKUP(A244,NYSEARCABND!A$2:G$506,3,0)</f>
        <v>83.1</v>
      </c>
      <c r="G244">
        <f>VLOOKUP(A244,NYSEARCATIP!A$2:G$506,3,0)</f>
        <v>115.02</v>
      </c>
      <c r="H244">
        <f>VLOOKUP(A244,NYSEARCAMUB!A$2:G$506,3,0)</f>
        <v>112.41</v>
      </c>
      <c r="I244">
        <f>VLOOKUP(A244,NYSEARCAVNQ!A$2:G$506,3,0)</f>
        <v>85.66</v>
      </c>
      <c r="J244">
        <f>VLOOKUP(A244,NYSEARCARWX!A$2:G$506,3,0)</f>
        <v>42.08</v>
      </c>
      <c r="K244">
        <f>VLOOKUP(A244,NYSEARCADBC!A$2:G$506,3,0)</f>
        <v>14.24</v>
      </c>
      <c r="L244">
        <f>VLOOKUP(A244,NYSEARCAGSG!A$2:G$506,3,0)</f>
        <v>14.89</v>
      </c>
      <c r="M244">
        <f>VLOOKUP(A244,NYSEARCAGLD!A$2:G$506,3,0)</f>
        <v>123.8</v>
      </c>
      <c r="N244">
        <f>VLOOKUP(A244,NYSEBP!A$2:G$506,3,0)</f>
        <v>31.84</v>
      </c>
      <c r="O244">
        <f>VLOOKUP(A244,NASDAQYHOO!A$2:G$506,3,0)</f>
        <v>37.31</v>
      </c>
    </row>
    <row r="245" spans="1:15">
      <c r="A245" s="39">
        <v>42499</v>
      </c>
      <c r="B245">
        <v>69.099999999999994</v>
      </c>
      <c r="C245">
        <f>VLOOKUP(A245,NYSEARCAVTI!A$2:G$506,3,0)</f>
        <v>105.34</v>
      </c>
      <c r="D245">
        <f>VLOOKUP(A245,NYSEARCAVEU!A$2:G$506,3,0)</f>
        <v>43.11</v>
      </c>
      <c r="E245">
        <f>VLOOKUP(A245,NYSEARCAVWO!A$2:G$506,3,0)</f>
        <v>33.36</v>
      </c>
      <c r="F245">
        <f>VLOOKUP(A245,NYSEARCABND!A$2:G$506,3,0)</f>
        <v>83.14</v>
      </c>
      <c r="G245">
        <f>VLOOKUP(A245,NYSEARCATIP!A$2:G$506,3,0)</f>
        <v>114.83</v>
      </c>
      <c r="H245">
        <f>VLOOKUP(A245,NYSEARCAMUB!A$2:G$506,3,0)</f>
        <v>112.46</v>
      </c>
      <c r="I245">
        <f>VLOOKUP(A245,NYSEARCAVNQ!A$2:G$506,3,0)</f>
        <v>86.67</v>
      </c>
      <c r="J245">
        <f>VLOOKUP(A245,NYSEARCARWX!A$2:G$506,3,0)</f>
        <v>42.34</v>
      </c>
      <c r="K245">
        <f>VLOOKUP(A245,NYSEARCADBC!A$2:G$506,3,0)</f>
        <v>13.99</v>
      </c>
      <c r="L245">
        <f>VLOOKUP(A245,NYSEARCAGSG!A$2:G$506,3,0)</f>
        <v>14.63</v>
      </c>
      <c r="M245">
        <f>VLOOKUP(A245,NYSEARCAGLD!A$2:G$506,3,0)</f>
        <v>121.28</v>
      </c>
      <c r="N245">
        <f>VLOOKUP(A245,NYSEBP!A$2:G$506,3,0)</f>
        <v>31.42</v>
      </c>
      <c r="O245">
        <f>VLOOKUP(A245,NASDAQYHOO!A$2:G$506,3,0)</f>
        <v>37.35</v>
      </c>
    </row>
    <row r="246" spans="1:15">
      <c r="A246" s="39">
        <v>42500</v>
      </c>
      <c r="B246">
        <v>69.13</v>
      </c>
      <c r="C246">
        <f>VLOOKUP(A246,NYSEARCAVTI!A$2:G$506,3,0)</f>
        <v>106.4</v>
      </c>
      <c r="D246">
        <f>VLOOKUP(A246,NYSEARCAVEU!A$2:G$506,3,0)</f>
        <v>43.54</v>
      </c>
      <c r="E246">
        <f>VLOOKUP(A246,NYSEARCAVWO!A$2:G$506,3,0)</f>
        <v>33.619999999999997</v>
      </c>
      <c r="F246">
        <f>VLOOKUP(A246,NYSEARCABND!A$2:G$506,3,0)</f>
        <v>83.16</v>
      </c>
      <c r="G246">
        <f>VLOOKUP(A246,NYSEARCATIP!A$2:G$506,3,0)</f>
        <v>115.08</v>
      </c>
      <c r="H246">
        <f>VLOOKUP(A246,NYSEARCAMUB!A$2:G$506,3,0)</f>
        <v>112.49</v>
      </c>
      <c r="I246">
        <f>VLOOKUP(A246,NYSEARCAVNQ!A$2:G$506,3,0)</f>
        <v>86.82</v>
      </c>
      <c r="J246">
        <f>VLOOKUP(A246,NYSEARCARWX!A$2:G$506,3,0)</f>
        <v>42.64</v>
      </c>
      <c r="K246">
        <f>VLOOKUP(A246,NYSEARCADBC!A$2:G$506,3,0)</f>
        <v>14.18</v>
      </c>
      <c r="L246">
        <f>VLOOKUP(A246,NYSEARCAGSG!A$2:G$506,3,0)</f>
        <v>14.81</v>
      </c>
      <c r="M246">
        <f>VLOOKUP(A246,NYSEARCAGLD!A$2:G$506,3,0)</f>
        <v>121.38</v>
      </c>
      <c r="N246">
        <f>VLOOKUP(A246,NYSEBP!A$2:G$506,3,0)</f>
        <v>31.7</v>
      </c>
      <c r="O246">
        <f>VLOOKUP(A246,NASDAQYHOO!A$2:G$506,3,0)</f>
        <v>37.58</v>
      </c>
    </row>
    <row r="247" spans="1:15">
      <c r="A247" s="39">
        <v>42501</v>
      </c>
      <c r="B247">
        <v>67.5</v>
      </c>
      <c r="C247">
        <f>VLOOKUP(A247,NYSEARCAVTI!A$2:G$506,3,0)</f>
        <v>106.29</v>
      </c>
      <c r="D247">
        <f>VLOOKUP(A247,NYSEARCAVEU!A$2:G$506,3,0)</f>
        <v>43.46</v>
      </c>
      <c r="E247">
        <f>VLOOKUP(A247,NYSEARCAVWO!A$2:G$506,3,0)</f>
        <v>33.75</v>
      </c>
      <c r="F247">
        <f>VLOOKUP(A247,NYSEARCABND!A$2:G$506,3,0)</f>
        <v>83.26</v>
      </c>
      <c r="G247">
        <f>VLOOKUP(A247,NYSEARCATIP!A$2:G$506,3,0)</f>
        <v>115.42</v>
      </c>
      <c r="H247">
        <f>VLOOKUP(A247,NYSEARCAMUB!A$2:G$506,3,0)</f>
        <v>112.69</v>
      </c>
      <c r="I247">
        <f>VLOOKUP(A247,NYSEARCAVNQ!A$2:G$506,3,0)</f>
        <v>86.47</v>
      </c>
      <c r="J247">
        <f>VLOOKUP(A247,NYSEARCARWX!A$2:G$506,3,0)</f>
        <v>42.32</v>
      </c>
      <c r="K247">
        <f>VLOOKUP(A247,NYSEARCADBC!A$2:G$506,3,0)</f>
        <v>14.5</v>
      </c>
      <c r="L247">
        <f>VLOOKUP(A247,NYSEARCAGSG!A$2:G$506,3,0)</f>
        <v>15.14</v>
      </c>
      <c r="M247">
        <f>VLOOKUP(A247,NYSEARCAGLD!A$2:G$506,3,0)</f>
        <v>122.16</v>
      </c>
      <c r="N247">
        <f>VLOOKUP(A247,NYSEBP!A$2:G$506,3,0)</f>
        <v>31.98</v>
      </c>
      <c r="O247">
        <f>VLOOKUP(A247,NASDAQYHOO!A$2:G$506,3,0)</f>
        <v>37.630000000000003</v>
      </c>
    </row>
    <row r="248" spans="1:15">
      <c r="A248" s="39">
        <v>42502</v>
      </c>
      <c r="B248">
        <v>67.05</v>
      </c>
      <c r="C248">
        <f>VLOOKUP(A248,NYSEARCAVTI!A$2:G$506,3,0)</f>
        <v>105.88</v>
      </c>
      <c r="D248">
        <f>VLOOKUP(A248,NYSEARCAVEU!A$2:G$506,3,0)</f>
        <v>43.57</v>
      </c>
      <c r="E248">
        <f>VLOOKUP(A248,NYSEARCAVWO!A$2:G$506,3,0)</f>
        <v>33.770000000000003</v>
      </c>
      <c r="F248">
        <f>VLOOKUP(A248,NYSEARCABND!A$2:G$506,3,0)</f>
        <v>83.18</v>
      </c>
      <c r="G248">
        <f>VLOOKUP(A248,NYSEARCATIP!A$2:G$506,3,0)</f>
        <v>115.02</v>
      </c>
      <c r="H248">
        <f>VLOOKUP(A248,NYSEARCAMUB!A$2:G$506,3,0)</f>
        <v>112.68</v>
      </c>
      <c r="I248">
        <f>VLOOKUP(A248,NYSEARCAVNQ!A$2:G$506,3,0)</f>
        <v>85.44</v>
      </c>
      <c r="J248">
        <f>VLOOKUP(A248,NYSEARCARWX!A$2:G$506,3,0)</f>
        <v>42.15</v>
      </c>
      <c r="K248">
        <f>VLOOKUP(A248,NYSEARCADBC!A$2:G$506,3,0)</f>
        <v>14.53</v>
      </c>
      <c r="L248">
        <f>VLOOKUP(A248,NYSEARCAGSG!A$2:G$506,3,0)</f>
        <v>15.22</v>
      </c>
      <c r="M248">
        <f>VLOOKUP(A248,NYSEARCAGLD!A$2:G$506,3,0)</f>
        <v>122.39</v>
      </c>
      <c r="N248">
        <f>VLOOKUP(A248,NYSEBP!A$2:G$506,3,0)</f>
        <v>32.49</v>
      </c>
      <c r="O248">
        <f>VLOOKUP(A248,NASDAQYHOO!A$2:G$506,3,0)</f>
        <v>37.51</v>
      </c>
    </row>
    <row r="249" spans="1:15">
      <c r="A249" s="39">
        <v>42503</v>
      </c>
      <c r="B249">
        <v>66.55</v>
      </c>
      <c r="C249">
        <f>VLOOKUP(A249,NYSEARCAVTI!A$2:G$506,3,0)</f>
        <v>105.48</v>
      </c>
      <c r="D249">
        <f>VLOOKUP(A249,NYSEARCAVEU!A$2:G$506,3,0)</f>
        <v>43</v>
      </c>
      <c r="E249">
        <f>VLOOKUP(A249,NYSEARCAVWO!A$2:G$506,3,0)</f>
        <v>33.340000000000003</v>
      </c>
      <c r="F249">
        <f>VLOOKUP(A249,NYSEARCABND!A$2:G$506,3,0)</f>
        <v>83.24</v>
      </c>
      <c r="G249">
        <f>VLOOKUP(A249,NYSEARCATIP!A$2:G$506,3,0)</f>
        <v>115.28</v>
      </c>
      <c r="H249">
        <f>VLOOKUP(A249,NYSEARCAMUB!A$2:G$506,3,0)</f>
        <v>112.81</v>
      </c>
      <c r="I249">
        <f>VLOOKUP(A249,NYSEARCAVNQ!A$2:G$506,3,0)</f>
        <v>84.93</v>
      </c>
      <c r="J249">
        <f>VLOOKUP(A249,NYSEARCARWX!A$2:G$506,3,0)</f>
        <v>41.68</v>
      </c>
      <c r="K249">
        <f>VLOOKUP(A249,NYSEARCADBC!A$2:G$506,3,0)</f>
        <v>14.51</v>
      </c>
      <c r="L249">
        <f>VLOOKUP(A249,NYSEARCAGSG!A$2:G$506,3,0)</f>
        <v>15.17</v>
      </c>
      <c r="M249">
        <f>VLOOKUP(A249,NYSEARCAGLD!A$2:G$506,3,0)</f>
        <v>121.86</v>
      </c>
      <c r="N249">
        <f>VLOOKUP(A249,NYSEBP!A$2:G$506,3,0)</f>
        <v>31.76</v>
      </c>
      <c r="O249">
        <f>VLOOKUP(A249,NASDAQYHOO!A$2:G$506,3,0)</f>
        <v>37.07</v>
      </c>
    </row>
    <row r="250" spans="1:15">
      <c r="A250" s="39">
        <v>42506</v>
      </c>
      <c r="B250">
        <v>66.349999999999994</v>
      </c>
      <c r="C250">
        <f>VLOOKUP(A250,NYSEARCAVTI!A$2:G$506,3,0)</f>
        <v>105.75</v>
      </c>
      <c r="D250">
        <f>VLOOKUP(A250,NYSEARCAVEU!A$2:G$506,3,0)</f>
        <v>43.22</v>
      </c>
      <c r="E250">
        <f>VLOOKUP(A250,NYSEARCAVWO!A$2:G$506,3,0)</f>
        <v>33.369999999999997</v>
      </c>
      <c r="F250">
        <f>VLOOKUP(A250,NYSEARCABND!A$2:G$506,3,0)</f>
        <v>83.15</v>
      </c>
      <c r="G250">
        <f>VLOOKUP(A250,NYSEARCATIP!A$2:G$506,3,0)</f>
        <v>115.22</v>
      </c>
      <c r="H250">
        <f>VLOOKUP(A250,NYSEARCAMUB!A$2:G$506,3,0)</f>
        <v>112.7</v>
      </c>
      <c r="I250">
        <f>VLOOKUP(A250,NYSEARCAVNQ!A$2:G$506,3,0)</f>
        <v>85.44</v>
      </c>
      <c r="J250">
        <f>VLOOKUP(A250,NYSEARCARWX!A$2:G$506,3,0)</f>
        <v>42</v>
      </c>
      <c r="K250">
        <f>VLOOKUP(A250,NYSEARCADBC!A$2:G$506,3,0)</f>
        <v>14.69</v>
      </c>
      <c r="L250">
        <f>VLOOKUP(A250,NYSEARCAGSG!A$2:G$506,3,0)</f>
        <v>15.44</v>
      </c>
      <c r="M250">
        <f>VLOOKUP(A250,NYSEARCAGLD!A$2:G$506,3,0)</f>
        <v>122.97</v>
      </c>
      <c r="N250">
        <f>VLOOKUP(A250,NYSEBP!A$2:G$506,3,0)</f>
        <v>32.22</v>
      </c>
      <c r="O250">
        <f>VLOOKUP(A250,NASDAQYHOO!A$2:G$506,3,0)</f>
        <v>37.79</v>
      </c>
    </row>
    <row r="251" spans="1:15">
      <c r="A251" s="39">
        <v>42507</v>
      </c>
      <c r="B251">
        <v>66.27</v>
      </c>
      <c r="C251">
        <f>VLOOKUP(A251,NYSEARCAVTI!A$2:G$506,3,0)</f>
        <v>105.46</v>
      </c>
      <c r="D251">
        <f>VLOOKUP(A251,NYSEARCAVEU!A$2:G$506,3,0)</f>
        <v>43.22</v>
      </c>
      <c r="E251">
        <f>VLOOKUP(A251,NYSEARCAVWO!A$2:G$506,3,0)</f>
        <v>33.31</v>
      </c>
      <c r="F251">
        <f>VLOOKUP(A251,NYSEARCABND!A$2:G$506,3,0)</f>
        <v>83.13</v>
      </c>
      <c r="G251">
        <f>VLOOKUP(A251,NYSEARCATIP!A$2:G$506,3,0)</f>
        <v>115.42</v>
      </c>
      <c r="H251">
        <f>VLOOKUP(A251,NYSEARCAMUB!A$2:G$506,3,0)</f>
        <v>112.84</v>
      </c>
      <c r="I251">
        <f>VLOOKUP(A251,NYSEARCAVNQ!A$2:G$506,3,0)</f>
        <v>84.99</v>
      </c>
      <c r="J251">
        <f>VLOOKUP(A251,NYSEARCARWX!A$2:G$506,3,0)</f>
        <v>42.23</v>
      </c>
      <c r="K251">
        <f>VLOOKUP(A251,NYSEARCADBC!A$2:G$506,3,0)</f>
        <v>14.77</v>
      </c>
      <c r="L251">
        <f>VLOOKUP(A251,NYSEARCAGSG!A$2:G$506,3,0)</f>
        <v>15.58</v>
      </c>
      <c r="M251">
        <f>VLOOKUP(A251,NYSEARCAGLD!A$2:G$506,3,0)</f>
        <v>122.52</v>
      </c>
      <c r="N251">
        <f>VLOOKUP(A251,NYSEBP!A$2:G$506,3,0)</f>
        <v>32.43</v>
      </c>
      <c r="O251">
        <f>VLOOKUP(A251,NASDAQYHOO!A$2:G$506,3,0)</f>
        <v>37.700000000000003</v>
      </c>
    </row>
    <row r="252" spans="1:15">
      <c r="A252" s="39">
        <v>42508</v>
      </c>
      <c r="B252">
        <v>63.78</v>
      </c>
      <c r="C252">
        <f>VLOOKUP(A252,NYSEARCAVTI!A$2:G$506,3,0)</f>
        <v>105.2</v>
      </c>
      <c r="D252">
        <f>VLOOKUP(A252,NYSEARCAVEU!A$2:G$506,3,0)</f>
        <v>43.3</v>
      </c>
      <c r="E252">
        <f>VLOOKUP(A252,NYSEARCAVWO!A$2:G$506,3,0)</f>
        <v>33.28</v>
      </c>
      <c r="F252">
        <f>VLOOKUP(A252,NYSEARCABND!A$2:G$506,3,0)</f>
        <v>82.92</v>
      </c>
      <c r="G252">
        <f>VLOOKUP(A252,NYSEARCATIP!A$2:G$506,3,0)</f>
        <v>114.98</v>
      </c>
      <c r="H252">
        <f>VLOOKUP(A252,NYSEARCAMUB!A$2:G$506,3,0)</f>
        <v>112.89</v>
      </c>
      <c r="I252">
        <f>VLOOKUP(A252,NYSEARCAVNQ!A$2:G$506,3,0)</f>
        <v>83.36</v>
      </c>
      <c r="J252">
        <f>VLOOKUP(A252,NYSEARCARWX!A$2:G$506,3,0)</f>
        <v>42.1</v>
      </c>
      <c r="K252">
        <f>VLOOKUP(A252,NYSEARCADBC!A$2:G$506,3,0)</f>
        <v>14.82</v>
      </c>
      <c r="L252">
        <f>VLOOKUP(A252,NYSEARCAGSG!A$2:G$506,3,0)</f>
        <v>15.62</v>
      </c>
      <c r="M252">
        <f>VLOOKUP(A252,NYSEARCAGLD!A$2:G$506,3,0)</f>
        <v>121.92</v>
      </c>
      <c r="N252">
        <f>VLOOKUP(A252,NYSEBP!A$2:G$506,3,0)</f>
        <v>32.49</v>
      </c>
      <c r="O252">
        <f>VLOOKUP(A252,NASDAQYHOO!A$2:G$506,3,0)</f>
        <v>37.5</v>
      </c>
    </row>
    <row r="253" spans="1:15">
      <c r="A253" s="39">
        <v>42509</v>
      </c>
      <c r="B253">
        <v>69.33</v>
      </c>
      <c r="C253">
        <f>VLOOKUP(A253,NYSEARCAVTI!A$2:G$506,3,0)</f>
        <v>104.36</v>
      </c>
      <c r="D253">
        <f>VLOOKUP(A253,NYSEARCAVEU!A$2:G$506,3,0)</f>
        <v>42.6</v>
      </c>
      <c r="E253">
        <f>VLOOKUP(A253,NYSEARCAVWO!A$2:G$506,3,0)</f>
        <v>32.54</v>
      </c>
      <c r="F253">
        <f>VLOOKUP(A253,NYSEARCABND!A$2:G$506,3,0)</f>
        <v>82.69</v>
      </c>
      <c r="G253">
        <f>VLOOKUP(A253,NYSEARCATIP!A$2:G$506,3,0)</f>
        <v>114.33</v>
      </c>
      <c r="H253">
        <f>VLOOKUP(A253,NYSEARCAMUB!A$2:G$506,3,0)</f>
        <v>112.64</v>
      </c>
      <c r="I253">
        <f>VLOOKUP(A253,NYSEARCAVNQ!A$2:G$506,3,0)</f>
        <v>81.98</v>
      </c>
      <c r="J253">
        <f>VLOOKUP(A253,NYSEARCARWX!A$2:G$506,3,0)</f>
        <v>41.33</v>
      </c>
      <c r="K253">
        <f>VLOOKUP(A253,NYSEARCADBC!A$2:G$506,3,0)</f>
        <v>14.62</v>
      </c>
      <c r="L253">
        <f>VLOOKUP(A253,NYSEARCAGSG!A$2:G$506,3,0)</f>
        <v>15.38</v>
      </c>
      <c r="M253">
        <f>VLOOKUP(A253,NYSEARCAGLD!A$2:G$506,3,0)</f>
        <v>119.98</v>
      </c>
      <c r="N253">
        <f>VLOOKUP(A253,NYSEBP!A$2:G$506,3,0)</f>
        <v>32.04</v>
      </c>
      <c r="O253">
        <f>VLOOKUP(A253,NASDAQYHOO!A$2:G$506,3,0)</f>
        <v>37.229999999999997</v>
      </c>
    </row>
    <row r="254" spans="1:15">
      <c r="A254" s="39">
        <v>42510</v>
      </c>
      <c r="B254">
        <v>70.14</v>
      </c>
      <c r="C254">
        <f>VLOOKUP(A254,NYSEARCAVTI!A$2:G$506,3,0)</f>
        <v>105.14</v>
      </c>
      <c r="D254">
        <f>VLOOKUP(A254,NYSEARCAVEU!A$2:G$506,3,0)</f>
        <v>42.95</v>
      </c>
      <c r="E254">
        <f>VLOOKUP(A254,NYSEARCAVWO!A$2:G$506,3,0)</f>
        <v>32.92</v>
      </c>
      <c r="F254">
        <f>VLOOKUP(A254,NYSEARCABND!A$2:G$506,3,0)</f>
        <v>82.77</v>
      </c>
      <c r="G254">
        <f>VLOOKUP(A254,NYSEARCATIP!A$2:G$506,3,0)</f>
        <v>114.35</v>
      </c>
      <c r="H254">
        <f>VLOOKUP(A254,NYSEARCAMUB!A$2:G$506,3,0)</f>
        <v>112.6</v>
      </c>
      <c r="I254">
        <f>VLOOKUP(A254,NYSEARCAVNQ!A$2:G$506,3,0)</f>
        <v>82.19</v>
      </c>
      <c r="J254">
        <f>VLOOKUP(A254,NYSEARCARWX!A$2:G$506,3,0)</f>
        <v>41.62</v>
      </c>
      <c r="K254">
        <f>VLOOKUP(A254,NYSEARCADBC!A$2:G$506,3,0)</f>
        <v>14.74</v>
      </c>
      <c r="L254">
        <f>VLOOKUP(A254,NYSEARCAGSG!A$2:G$506,3,0)</f>
        <v>15.49</v>
      </c>
      <c r="M254">
        <f>VLOOKUP(A254,NYSEARCAGLD!A$2:G$506,3,0)</f>
        <v>120.32</v>
      </c>
      <c r="N254">
        <f>VLOOKUP(A254,NYSEBP!A$2:G$506,3,0)</f>
        <v>32.24</v>
      </c>
      <c r="O254">
        <f>VLOOKUP(A254,NASDAQYHOO!A$2:G$506,3,0)</f>
        <v>36.72</v>
      </c>
    </row>
    <row r="255" spans="1:15">
      <c r="A255" s="39">
        <v>42513</v>
      </c>
      <c r="B255">
        <v>70.06</v>
      </c>
      <c r="C255">
        <f>VLOOKUP(A255,NYSEARCAVTI!A$2:G$506,3,0)</f>
        <v>105.12</v>
      </c>
      <c r="D255">
        <f>VLOOKUP(A255,NYSEARCAVEU!A$2:G$506,3,0)</f>
        <v>42.85</v>
      </c>
      <c r="E255">
        <f>VLOOKUP(A255,NYSEARCAVWO!A$2:G$506,3,0)</f>
        <v>32.93</v>
      </c>
      <c r="F255">
        <f>VLOOKUP(A255,NYSEARCABND!A$2:G$506,3,0)</f>
        <v>82.77</v>
      </c>
      <c r="G255">
        <f>VLOOKUP(A255,NYSEARCATIP!A$2:G$506,3,0)</f>
        <v>114.23</v>
      </c>
      <c r="H255">
        <f>VLOOKUP(A255,NYSEARCAMUB!A$2:G$506,3,0)</f>
        <v>112.54</v>
      </c>
      <c r="I255">
        <f>VLOOKUP(A255,NYSEARCAVNQ!A$2:G$506,3,0)</f>
        <v>82.36</v>
      </c>
      <c r="J255">
        <f>VLOOKUP(A255,NYSEARCARWX!A$2:G$506,3,0)</f>
        <v>41.57</v>
      </c>
      <c r="K255">
        <f>VLOOKUP(A255,NYSEARCADBC!A$2:G$506,3,0)</f>
        <v>14.61</v>
      </c>
      <c r="L255">
        <f>VLOOKUP(A255,NYSEARCAGSG!A$2:G$506,3,0)</f>
        <v>15.31</v>
      </c>
      <c r="M255">
        <f>VLOOKUP(A255,NYSEARCAGLD!A$2:G$506,3,0)</f>
        <v>119.6</v>
      </c>
      <c r="N255">
        <f>VLOOKUP(A255,NYSEBP!A$2:G$506,3,0)</f>
        <v>31.79</v>
      </c>
      <c r="O255">
        <f>VLOOKUP(A255,NASDAQYHOO!A$2:G$506,3,0)</f>
        <v>36.94</v>
      </c>
    </row>
    <row r="256" spans="1:15">
      <c r="A256" s="39">
        <v>42514</v>
      </c>
      <c r="B256">
        <v>70.42</v>
      </c>
      <c r="C256">
        <f>VLOOKUP(A256,NYSEARCAVTI!A$2:G$506,3,0)</f>
        <v>106.37</v>
      </c>
      <c r="D256">
        <f>VLOOKUP(A256,NYSEARCAVEU!A$2:G$506,3,0)</f>
        <v>43.38</v>
      </c>
      <c r="E256">
        <f>VLOOKUP(A256,NYSEARCAVWO!A$2:G$506,3,0)</f>
        <v>33.22</v>
      </c>
      <c r="F256">
        <f>VLOOKUP(A256,NYSEARCABND!A$2:G$506,3,0)</f>
        <v>82.7</v>
      </c>
      <c r="G256">
        <f>VLOOKUP(A256,NYSEARCATIP!A$2:G$506,3,0)</f>
        <v>114.13</v>
      </c>
      <c r="H256">
        <f>VLOOKUP(A256,NYSEARCAMUB!A$2:G$506,3,0)</f>
        <v>112.47</v>
      </c>
      <c r="I256">
        <f>VLOOKUP(A256,NYSEARCAVNQ!A$2:G$506,3,0)</f>
        <v>83.21</v>
      </c>
      <c r="J256">
        <f>VLOOKUP(A256,NYSEARCARWX!A$2:G$506,3,0)</f>
        <v>42.04</v>
      </c>
      <c r="K256">
        <f>VLOOKUP(A256,NYSEARCADBC!A$2:G$506,3,0)</f>
        <v>14.69</v>
      </c>
      <c r="L256">
        <f>VLOOKUP(A256,NYSEARCAGSG!A$2:G$506,3,0)</f>
        <v>15.42</v>
      </c>
      <c r="M256">
        <f>VLOOKUP(A256,NYSEARCAGLD!A$2:G$506,3,0)</f>
        <v>118.23</v>
      </c>
      <c r="N256">
        <f>VLOOKUP(A256,NYSEBP!A$2:G$506,3,0)</f>
        <v>31.98</v>
      </c>
      <c r="O256">
        <f>VLOOKUP(A256,NASDAQYHOO!A$2:G$506,3,0)</f>
        <v>37.630000000000003</v>
      </c>
    </row>
    <row r="257" spans="1:15">
      <c r="A257" s="39">
        <v>42515</v>
      </c>
      <c r="B257">
        <v>71</v>
      </c>
      <c r="C257">
        <f>VLOOKUP(A257,NYSEARCAVTI!A$2:G$506,3,0)</f>
        <v>107.14</v>
      </c>
      <c r="D257">
        <f>VLOOKUP(A257,NYSEARCAVEU!A$2:G$506,3,0)</f>
        <v>43.83</v>
      </c>
      <c r="E257">
        <f>VLOOKUP(A257,NYSEARCAVWO!A$2:G$506,3,0)</f>
        <v>33.64</v>
      </c>
      <c r="F257">
        <f>VLOOKUP(A257,NYSEARCABND!A$2:G$506,3,0)</f>
        <v>82.7</v>
      </c>
      <c r="G257">
        <f>VLOOKUP(A257,NYSEARCATIP!A$2:G$506,3,0)</f>
        <v>114.2</v>
      </c>
      <c r="H257">
        <f>VLOOKUP(A257,NYSEARCAMUB!A$2:G$506,3,0)</f>
        <v>112.45</v>
      </c>
      <c r="I257">
        <f>VLOOKUP(A257,NYSEARCAVNQ!A$2:G$506,3,0)</f>
        <v>83.29</v>
      </c>
      <c r="J257">
        <f>VLOOKUP(A257,NYSEARCARWX!A$2:G$506,3,0)</f>
        <v>42.26</v>
      </c>
      <c r="K257">
        <f>VLOOKUP(A257,NYSEARCADBC!A$2:G$506,3,0)</f>
        <v>14.76</v>
      </c>
      <c r="L257">
        <f>VLOOKUP(A257,NYSEARCAGSG!A$2:G$506,3,0)</f>
        <v>15.54</v>
      </c>
      <c r="M257">
        <f>VLOOKUP(A257,NYSEARCAGLD!A$2:G$506,3,0)</f>
        <v>117.06</v>
      </c>
      <c r="N257">
        <f>VLOOKUP(A257,NYSEBP!A$2:G$506,3,0)</f>
        <v>32.97</v>
      </c>
      <c r="O257">
        <f>VLOOKUP(A257,NASDAQYHOO!A$2:G$506,3,0)</f>
        <v>36.96</v>
      </c>
    </row>
    <row r="258" spans="1:15">
      <c r="A258" s="39">
        <v>42516</v>
      </c>
      <c r="B258">
        <v>71.38</v>
      </c>
      <c r="C258">
        <f>VLOOKUP(A258,NYSEARCAVTI!A$2:G$506,3,0)</f>
        <v>107.14</v>
      </c>
      <c r="D258">
        <f>VLOOKUP(A258,NYSEARCAVEU!A$2:G$506,3,0)</f>
        <v>43.99</v>
      </c>
      <c r="E258">
        <f>VLOOKUP(A258,NYSEARCAVWO!A$2:G$506,3,0)</f>
        <v>33.83</v>
      </c>
      <c r="F258">
        <f>VLOOKUP(A258,NYSEARCABND!A$2:G$506,3,0)</f>
        <v>82.82</v>
      </c>
      <c r="G258">
        <f>VLOOKUP(A258,NYSEARCATIP!A$2:G$506,3,0)</f>
        <v>114.63</v>
      </c>
      <c r="H258">
        <f>VLOOKUP(A258,NYSEARCAMUB!A$2:G$506,3,0)</f>
        <v>112.43</v>
      </c>
      <c r="I258">
        <f>VLOOKUP(A258,NYSEARCAVNQ!A$2:G$506,3,0)</f>
        <v>83.48</v>
      </c>
      <c r="J258">
        <f>VLOOKUP(A258,NYSEARCARWX!A$2:G$506,3,0)</f>
        <v>42.2</v>
      </c>
      <c r="K258">
        <f>VLOOKUP(A258,NYSEARCADBC!A$2:G$506,3,0)</f>
        <v>14.85</v>
      </c>
      <c r="L258">
        <f>VLOOKUP(A258,NYSEARCAGSG!A$2:G$506,3,0)</f>
        <v>15.61</v>
      </c>
      <c r="M258">
        <f>VLOOKUP(A258,NYSEARCAGLD!A$2:G$506,3,0)</f>
        <v>117.63</v>
      </c>
      <c r="N258">
        <f>VLOOKUP(A258,NYSEBP!A$2:G$506,3,0)</f>
        <v>32.89</v>
      </c>
      <c r="O258">
        <f>VLOOKUP(A258,NASDAQYHOO!A$2:G$506,3,0)</f>
        <v>36.85</v>
      </c>
    </row>
    <row r="259" spans="1:15">
      <c r="A259" s="39">
        <v>42517</v>
      </c>
      <c r="B259">
        <v>70.89</v>
      </c>
      <c r="C259">
        <f>VLOOKUP(A259,NYSEARCAVTI!A$2:G$506,3,0)</f>
        <v>107.39</v>
      </c>
      <c r="D259">
        <f>VLOOKUP(A259,NYSEARCAVEU!A$2:G$506,3,0)</f>
        <v>43.92</v>
      </c>
      <c r="E259">
        <f>VLOOKUP(A259,NYSEARCAVWO!A$2:G$506,3,0)</f>
        <v>33.9</v>
      </c>
      <c r="F259">
        <f>VLOOKUP(A259,NYSEARCABND!A$2:G$506,3,0)</f>
        <v>82.8</v>
      </c>
      <c r="G259">
        <f>VLOOKUP(A259,NYSEARCATIP!A$2:G$506,3,0)</f>
        <v>114.8</v>
      </c>
      <c r="H259">
        <f>VLOOKUP(A259,NYSEARCAMUB!A$2:G$506,3,0)</f>
        <v>112.39</v>
      </c>
      <c r="I259">
        <f>VLOOKUP(A259,NYSEARCAVNQ!A$2:G$506,3,0)</f>
        <v>84.03</v>
      </c>
      <c r="J259">
        <f>VLOOKUP(A259,NYSEARCARWX!A$2:G$506,3,0)</f>
        <v>42.15</v>
      </c>
      <c r="K259">
        <f>VLOOKUP(A259,NYSEARCADBC!A$2:G$506,3,0)</f>
        <v>14.83</v>
      </c>
      <c r="L259">
        <f>VLOOKUP(A259,NYSEARCAGSG!A$2:G$506,3,0)</f>
        <v>15.58</v>
      </c>
      <c r="M259">
        <f>VLOOKUP(A259,NYSEARCAGLD!A$2:G$506,3,0)</f>
        <v>116.36</v>
      </c>
      <c r="N259">
        <f>VLOOKUP(A259,NYSEBP!A$2:G$506,3,0)</f>
        <v>32.369999999999997</v>
      </c>
      <c r="O259">
        <f>VLOOKUP(A259,NASDAQYHOO!A$2:G$506,3,0)</f>
        <v>37.880000000000003</v>
      </c>
    </row>
    <row r="260" spans="1:15">
      <c r="A260" s="39">
        <v>42521</v>
      </c>
      <c r="B260">
        <v>71</v>
      </c>
      <c r="C260">
        <f>VLOOKUP(A260,NYSEARCAVTI!A$2:G$506,3,0)</f>
        <v>107.69</v>
      </c>
      <c r="D260">
        <f>VLOOKUP(A260,NYSEARCAVEU!A$2:G$506,3,0)</f>
        <v>44.07</v>
      </c>
      <c r="E260">
        <f>VLOOKUP(A260,NYSEARCAVWO!A$2:G$506,3,0)</f>
        <v>33.92</v>
      </c>
      <c r="F260">
        <f>VLOOKUP(A260,NYSEARCABND!A$2:G$506,3,0)</f>
        <v>82.89</v>
      </c>
      <c r="G260">
        <f>VLOOKUP(A260,NYSEARCATIP!A$2:G$506,3,0)</f>
        <v>114.32</v>
      </c>
      <c r="H260">
        <f>VLOOKUP(A260,NYSEARCAMUB!A$2:G$506,3,0)</f>
        <v>112.34</v>
      </c>
      <c r="I260">
        <f>VLOOKUP(A260,NYSEARCAVNQ!A$2:G$506,3,0)</f>
        <v>83.92</v>
      </c>
      <c r="J260">
        <f>VLOOKUP(A260,NYSEARCARWX!A$2:G$506,3,0)</f>
        <v>42.13</v>
      </c>
      <c r="K260">
        <f>VLOOKUP(A260,NYSEARCADBC!A$2:G$506,3,0)</f>
        <v>14.89</v>
      </c>
      <c r="L260">
        <f>VLOOKUP(A260,NYSEARCAGSG!A$2:G$506,3,0)</f>
        <v>15.67</v>
      </c>
      <c r="M260">
        <f>VLOOKUP(A260,NYSEARCAGLD!A$2:G$506,3,0)</f>
        <v>116.4</v>
      </c>
      <c r="N260">
        <f>VLOOKUP(A260,NYSEBP!A$2:G$506,3,0)</f>
        <v>32.229999999999997</v>
      </c>
      <c r="O260">
        <f>VLOOKUP(A260,NASDAQYHOO!A$2:G$506,3,0)</f>
        <v>38.08</v>
      </c>
    </row>
    <row r="261" spans="1:15">
      <c r="A261" s="39">
        <v>42522</v>
      </c>
      <c r="B261">
        <v>70.900000000000006</v>
      </c>
      <c r="C261">
        <f>VLOOKUP(A261,NYSEARCAVTI!A$2:G$506,3,0)</f>
        <v>107.7</v>
      </c>
      <c r="D261">
        <f>VLOOKUP(A261,NYSEARCAVEU!A$2:G$506,3,0)</f>
        <v>43.7</v>
      </c>
      <c r="E261">
        <f>VLOOKUP(A261,NYSEARCAVWO!A$2:G$506,3,0)</f>
        <v>33.85</v>
      </c>
      <c r="F261">
        <f>VLOOKUP(A261,NYSEARCABND!A$2:G$506,3,0)</f>
        <v>82.78</v>
      </c>
      <c r="G261">
        <f>VLOOKUP(A261,NYSEARCATIP!A$2:G$506,3,0)</f>
        <v>114.28</v>
      </c>
      <c r="H261">
        <f>VLOOKUP(A261,NYSEARCAMUB!A$2:G$506,3,0)</f>
        <v>112.27</v>
      </c>
      <c r="I261">
        <f>VLOOKUP(A261,NYSEARCAVNQ!A$2:G$506,3,0)</f>
        <v>83.95</v>
      </c>
      <c r="J261">
        <f>VLOOKUP(A261,NYSEARCARWX!A$2:G$506,3,0)</f>
        <v>41.8</v>
      </c>
      <c r="K261">
        <f>VLOOKUP(A261,NYSEARCADBC!A$2:G$506,3,0)</f>
        <v>14.86</v>
      </c>
      <c r="L261">
        <f>VLOOKUP(A261,NYSEARCAGSG!A$2:G$506,3,0)</f>
        <v>15.58</v>
      </c>
      <c r="M261">
        <f>VLOOKUP(A261,NYSEARCAGLD!A$2:G$506,3,0)</f>
        <v>116.14</v>
      </c>
      <c r="N261">
        <f>VLOOKUP(A261,NYSEBP!A$2:G$506,3,0)</f>
        <v>31.38</v>
      </c>
      <c r="O261">
        <f>VLOOKUP(A261,NASDAQYHOO!A$2:G$506,3,0)</f>
        <v>37.74</v>
      </c>
    </row>
    <row r="262" spans="1:15">
      <c r="A262" s="39">
        <v>42523</v>
      </c>
      <c r="B262">
        <v>71</v>
      </c>
      <c r="C262">
        <f>VLOOKUP(A262,NYSEARCAVTI!A$2:G$506,3,0)</f>
        <v>107.99</v>
      </c>
      <c r="D262">
        <f>VLOOKUP(A262,NYSEARCAVEU!A$2:G$506,3,0)</f>
        <v>43.74</v>
      </c>
      <c r="E262">
        <f>VLOOKUP(A262,NYSEARCAVWO!A$2:G$506,3,0)</f>
        <v>34.07</v>
      </c>
      <c r="F262">
        <f>VLOOKUP(A262,NYSEARCABND!A$2:G$506,3,0)</f>
        <v>82.89</v>
      </c>
      <c r="G262">
        <f>VLOOKUP(A262,NYSEARCATIP!A$2:G$506,3,0)</f>
        <v>114.41</v>
      </c>
      <c r="H262">
        <f>VLOOKUP(A262,NYSEARCAMUB!A$2:G$506,3,0)</f>
        <v>112.27</v>
      </c>
      <c r="I262">
        <f>VLOOKUP(A262,NYSEARCAVNQ!A$2:G$506,3,0)</f>
        <v>84.2</v>
      </c>
      <c r="J262">
        <f>VLOOKUP(A262,NYSEARCARWX!A$2:G$506,3,0)</f>
        <v>41.75</v>
      </c>
      <c r="K262">
        <f>VLOOKUP(A262,NYSEARCADBC!A$2:G$506,3,0)</f>
        <v>14.99</v>
      </c>
      <c r="L262">
        <f>VLOOKUP(A262,NYSEARCAGSG!A$2:G$506,3,0)</f>
        <v>15.7</v>
      </c>
      <c r="M262">
        <f>VLOOKUP(A262,NYSEARCAGLD!A$2:G$506,3,0)</f>
        <v>115.97</v>
      </c>
      <c r="N262">
        <f>VLOOKUP(A262,NYSEBP!A$2:G$506,3,0)</f>
        <v>31.53</v>
      </c>
      <c r="O262">
        <f>VLOOKUP(A262,NASDAQYHOO!A$2:G$506,3,0)</f>
        <v>37.22</v>
      </c>
    </row>
    <row r="263" spans="1:15">
      <c r="A263" s="39">
        <v>42524</v>
      </c>
      <c r="B263">
        <v>71.05</v>
      </c>
      <c r="C263">
        <f>VLOOKUP(A263,NYSEARCAVTI!A$2:G$506,3,0)</f>
        <v>107.87</v>
      </c>
      <c r="D263">
        <f>VLOOKUP(A263,NYSEARCAVEU!A$2:G$506,3,0)</f>
        <v>44.12</v>
      </c>
      <c r="E263">
        <f>VLOOKUP(A263,NYSEARCAVWO!A$2:G$506,3,0)</f>
        <v>34.619999999999997</v>
      </c>
      <c r="F263">
        <f>VLOOKUP(A263,NYSEARCABND!A$2:G$506,3,0)</f>
        <v>83.37</v>
      </c>
      <c r="G263">
        <f>VLOOKUP(A263,NYSEARCATIP!A$2:G$506,3,0)</f>
        <v>115.26</v>
      </c>
      <c r="H263">
        <f>VLOOKUP(A263,NYSEARCAMUB!A$2:G$506,3,0)</f>
        <v>112.51</v>
      </c>
      <c r="I263">
        <f>VLOOKUP(A263,NYSEARCAVNQ!A$2:G$506,3,0)</f>
        <v>85.24</v>
      </c>
      <c r="J263">
        <f>VLOOKUP(A263,NYSEARCARWX!A$2:G$506,3,0)</f>
        <v>42.48</v>
      </c>
      <c r="K263">
        <f>VLOOKUP(A263,NYSEARCADBC!A$2:G$506,3,0)</f>
        <v>15.02</v>
      </c>
      <c r="L263">
        <f>VLOOKUP(A263,NYSEARCAGSG!A$2:G$506,3,0)</f>
        <v>15.74</v>
      </c>
      <c r="M263">
        <f>VLOOKUP(A263,NYSEARCAGLD!A$2:G$506,3,0)</f>
        <v>118.89</v>
      </c>
      <c r="N263">
        <f>VLOOKUP(A263,NYSEBP!A$2:G$506,3,0)</f>
        <v>32.020000000000003</v>
      </c>
      <c r="O263">
        <f>VLOOKUP(A263,NASDAQYHOO!A$2:G$506,3,0)</f>
        <v>37.11</v>
      </c>
    </row>
    <row r="264" spans="1:15">
      <c r="A264" s="39">
        <v>42527</v>
      </c>
      <c r="B264">
        <v>71.55</v>
      </c>
      <c r="C264">
        <f>VLOOKUP(A264,NYSEARCAVTI!A$2:G$506,3,0)</f>
        <v>108.46</v>
      </c>
      <c r="D264">
        <f>VLOOKUP(A264,NYSEARCAVEU!A$2:G$506,3,0)</f>
        <v>44.51</v>
      </c>
      <c r="E264">
        <f>VLOOKUP(A264,NYSEARCAVWO!A$2:G$506,3,0)</f>
        <v>34.92</v>
      </c>
      <c r="F264">
        <f>VLOOKUP(A264,NYSEARCABND!A$2:G$506,3,0)</f>
        <v>83.25</v>
      </c>
      <c r="G264">
        <f>VLOOKUP(A264,NYSEARCATIP!A$2:G$506,3,0)</f>
        <v>115.27</v>
      </c>
      <c r="H264">
        <f>VLOOKUP(A264,NYSEARCAMUB!A$2:G$506,3,0)</f>
        <v>112.44</v>
      </c>
      <c r="I264">
        <f>VLOOKUP(A264,NYSEARCAVNQ!A$2:G$506,3,0)</f>
        <v>84.77</v>
      </c>
      <c r="J264">
        <f>VLOOKUP(A264,NYSEARCARWX!A$2:G$506,3,0)</f>
        <v>42.78</v>
      </c>
      <c r="K264">
        <f>VLOOKUP(A264,NYSEARCADBC!A$2:G$506,3,0)</f>
        <v>15.2</v>
      </c>
      <c r="L264">
        <f>VLOOKUP(A264,NYSEARCAGSG!A$2:G$506,3,0)</f>
        <v>15.9</v>
      </c>
      <c r="M264">
        <f>VLOOKUP(A264,NYSEARCAGLD!A$2:G$506,3,0)</f>
        <v>119.17</v>
      </c>
      <c r="N264">
        <f>VLOOKUP(A264,NYSEBP!A$2:G$506,3,0)</f>
        <v>32.619999999999997</v>
      </c>
      <c r="O264">
        <f>VLOOKUP(A264,NASDAQYHOO!A$2:G$506,3,0)</f>
        <v>37.200000000000003</v>
      </c>
    </row>
    <row r="265" spans="1:15">
      <c r="A265" s="39">
        <v>42528</v>
      </c>
      <c r="B265">
        <v>71.31</v>
      </c>
      <c r="C265">
        <f>VLOOKUP(A265,NYSEARCAVTI!A$2:G$506,3,0)</f>
        <v>108.81</v>
      </c>
      <c r="D265">
        <f>VLOOKUP(A265,NYSEARCAVEU!A$2:G$506,3,0)</f>
        <v>44.9</v>
      </c>
      <c r="E265">
        <f>VLOOKUP(A265,NYSEARCAVWO!A$2:G$506,3,0)</f>
        <v>35.25</v>
      </c>
      <c r="F265">
        <f>VLOOKUP(A265,NYSEARCABND!A$2:G$506,3,0)</f>
        <v>83.3</v>
      </c>
      <c r="G265">
        <f>VLOOKUP(A265,NYSEARCATIP!A$2:G$506,3,0)</f>
        <v>115.58</v>
      </c>
      <c r="H265">
        <f>VLOOKUP(A265,NYSEARCAMUB!A$2:G$506,3,0)</f>
        <v>112.49</v>
      </c>
      <c r="I265">
        <f>VLOOKUP(A265,NYSEARCAVNQ!A$2:G$506,3,0)</f>
        <v>84.62</v>
      </c>
      <c r="J265">
        <f>VLOOKUP(A265,NYSEARCARWX!A$2:G$506,3,0)</f>
        <v>42.99</v>
      </c>
      <c r="K265">
        <f>VLOOKUP(A265,NYSEARCADBC!A$2:G$506,3,0)</f>
        <v>15.32</v>
      </c>
      <c r="L265">
        <f>VLOOKUP(A265,NYSEARCAGSG!A$2:G$506,3,0)</f>
        <v>15.98</v>
      </c>
      <c r="M265">
        <f>VLOOKUP(A265,NYSEARCAGLD!A$2:G$506,3,0)</f>
        <v>119.02</v>
      </c>
      <c r="N265">
        <f>VLOOKUP(A265,NYSEBP!A$2:G$506,3,0)</f>
        <v>33.25</v>
      </c>
      <c r="O265">
        <f>VLOOKUP(A265,NASDAQYHOO!A$2:G$506,3,0)</f>
        <v>36.99</v>
      </c>
    </row>
    <row r="266" spans="1:15">
      <c r="A266" s="39">
        <v>42529</v>
      </c>
      <c r="B266">
        <v>71.45</v>
      </c>
      <c r="C266">
        <f>VLOOKUP(A266,NYSEARCAVTI!A$2:G$506,3,0)</f>
        <v>108.93</v>
      </c>
      <c r="D266">
        <f>VLOOKUP(A266,NYSEARCAVEU!A$2:G$506,3,0)</f>
        <v>45.09</v>
      </c>
      <c r="E266">
        <f>VLOOKUP(A266,NYSEARCAVWO!A$2:G$506,3,0)</f>
        <v>35.520000000000003</v>
      </c>
      <c r="F266">
        <f>VLOOKUP(A266,NYSEARCABND!A$2:G$506,3,0)</f>
        <v>83.33</v>
      </c>
      <c r="G266">
        <f>VLOOKUP(A266,NYSEARCATIP!A$2:G$506,3,0)</f>
        <v>115.79</v>
      </c>
      <c r="H266">
        <f>VLOOKUP(A266,NYSEARCAMUB!A$2:G$506,3,0)</f>
        <v>112.61</v>
      </c>
      <c r="I266">
        <f>VLOOKUP(A266,NYSEARCAVNQ!A$2:G$506,3,0)</f>
        <v>84.98</v>
      </c>
      <c r="J266">
        <f>VLOOKUP(A266,NYSEARCARWX!A$2:G$506,3,0)</f>
        <v>43.14</v>
      </c>
      <c r="K266">
        <f>VLOOKUP(A266,NYSEARCADBC!A$2:G$506,3,0)</f>
        <v>15.59</v>
      </c>
      <c r="L266">
        <f>VLOOKUP(A266,NYSEARCAGSG!A$2:G$506,3,0)</f>
        <v>16.260000000000002</v>
      </c>
      <c r="M266">
        <f>VLOOKUP(A266,NYSEARCAGLD!A$2:G$506,3,0)</f>
        <v>120.78</v>
      </c>
      <c r="N266">
        <f>VLOOKUP(A266,NYSEBP!A$2:G$506,3,0)</f>
        <v>33.6</v>
      </c>
      <c r="O266">
        <f>VLOOKUP(A266,NASDAQYHOO!A$2:G$506,3,0)</f>
        <v>37.299999999999997</v>
      </c>
    </row>
    <row r="267" spans="1:15">
      <c r="A267" s="39">
        <v>42530</v>
      </c>
      <c r="B267">
        <v>71.59</v>
      </c>
      <c r="C267">
        <f>VLOOKUP(A267,NYSEARCAVTI!A$2:G$506,3,0)</f>
        <v>108.73</v>
      </c>
      <c r="D267">
        <f>VLOOKUP(A267,NYSEARCAVEU!A$2:G$506,3,0)</f>
        <v>44.51</v>
      </c>
      <c r="E267">
        <f>VLOOKUP(A267,NYSEARCAVWO!A$2:G$506,3,0)</f>
        <v>35.130000000000003</v>
      </c>
      <c r="F267">
        <f>VLOOKUP(A267,NYSEARCABND!A$2:G$506,3,0)</f>
        <v>83.47</v>
      </c>
      <c r="G267">
        <f>VLOOKUP(A267,NYSEARCATIP!A$2:G$506,3,0)</f>
        <v>115.95</v>
      </c>
      <c r="H267">
        <f>VLOOKUP(A267,NYSEARCAMUB!A$2:G$506,3,0)</f>
        <v>112.79</v>
      </c>
      <c r="I267">
        <f>VLOOKUP(A267,NYSEARCAVNQ!A$2:G$506,3,0)</f>
        <v>85.26</v>
      </c>
      <c r="J267">
        <f>VLOOKUP(A267,NYSEARCARWX!A$2:G$506,3,0)</f>
        <v>42.98</v>
      </c>
      <c r="K267">
        <f>VLOOKUP(A267,NYSEARCADBC!A$2:G$506,3,0)</f>
        <v>15.57</v>
      </c>
      <c r="L267">
        <f>VLOOKUP(A267,NYSEARCAGSG!A$2:G$506,3,0)</f>
        <v>16.18</v>
      </c>
      <c r="M267">
        <f>VLOOKUP(A267,NYSEARCAGLD!A$2:G$506,3,0)</f>
        <v>121.48</v>
      </c>
      <c r="N267">
        <f>VLOOKUP(A267,NYSEBP!A$2:G$506,3,0)</f>
        <v>33.07</v>
      </c>
      <c r="O267">
        <f>VLOOKUP(A267,NASDAQYHOO!A$2:G$506,3,0)</f>
        <v>37.729999999999997</v>
      </c>
    </row>
    <row r="268" spans="1:15">
      <c r="A268" s="39">
        <v>42531</v>
      </c>
      <c r="B268">
        <v>71.41</v>
      </c>
      <c r="C268">
        <f>VLOOKUP(A268,NYSEARCAVTI!A$2:G$506,3,0)</f>
        <v>107.92</v>
      </c>
      <c r="D268">
        <f>VLOOKUP(A268,NYSEARCAVEU!A$2:G$506,3,0)</f>
        <v>43.61</v>
      </c>
      <c r="E268">
        <f>VLOOKUP(A268,NYSEARCAVWO!A$2:G$506,3,0)</f>
        <v>34.5</v>
      </c>
      <c r="F268">
        <f>VLOOKUP(A268,NYSEARCABND!A$2:G$506,3,0)</f>
        <v>83.58</v>
      </c>
      <c r="G268">
        <f>VLOOKUP(A268,NYSEARCATIP!A$2:G$506,3,0)</f>
        <v>116</v>
      </c>
      <c r="H268">
        <f>VLOOKUP(A268,NYSEARCAMUB!A$2:G$506,3,0)</f>
        <v>113.02</v>
      </c>
      <c r="I268">
        <f>VLOOKUP(A268,NYSEARCAVNQ!A$2:G$506,3,0)</f>
        <v>85.02</v>
      </c>
      <c r="J268">
        <f>VLOOKUP(A268,NYSEARCARWX!A$2:G$506,3,0)</f>
        <v>42.54</v>
      </c>
      <c r="K268">
        <f>VLOOKUP(A268,NYSEARCADBC!A$2:G$506,3,0)</f>
        <v>15.48</v>
      </c>
      <c r="L268">
        <f>VLOOKUP(A268,NYSEARCAGSG!A$2:G$506,3,0)</f>
        <v>16.02</v>
      </c>
      <c r="M268">
        <f>VLOOKUP(A268,NYSEARCAGLD!A$2:G$506,3,0)</f>
        <v>122.1</v>
      </c>
      <c r="N268">
        <f>VLOOKUP(A268,NYSEBP!A$2:G$506,3,0)</f>
        <v>32.61</v>
      </c>
      <c r="O268">
        <f>VLOOKUP(A268,NASDAQYHOO!A$2:G$506,3,0)</f>
        <v>37.14</v>
      </c>
    </row>
    <row r="269" spans="1:15">
      <c r="A269" s="39">
        <v>42534</v>
      </c>
      <c r="B269">
        <v>71.180000000000007</v>
      </c>
      <c r="C269">
        <f>VLOOKUP(A269,NYSEARCAVTI!A$2:G$506,3,0)</f>
        <v>107.68</v>
      </c>
      <c r="D269">
        <f>VLOOKUP(A269,NYSEARCAVEU!A$2:G$506,3,0)</f>
        <v>43.01</v>
      </c>
      <c r="E269">
        <f>VLOOKUP(A269,NYSEARCAVWO!A$2:G$506,3,0)</f>
        <v>34.06</v>
      </c>
      <c r="F269">
        <f>VLOOKUP(A269,NYSEARCABND!A$2:G$506,3,0)</f>
        <v>83.58</v>
      </c>
      <c r="G269">
        <f>VLOOKUP(A269,NYSEARCATIP!A$2:G$506,3,0)</f>
        <v>115.78</v>
      </c>
      <c r="H269">
        <f>VLOOKUP(A269,NYSEARCAMUB!A$2:G$506,3,0)</f>
        <v>113.14</v>
      </c>
      <c r="I269">
        <f>VLOOKUP(A269,NYSEARCAVNQ!A$2:G$506,3,0)</f>
        <v>85.36</v>
      </c>
      <c r="J269">
        <f>VLOOKUP(A269,NYSEARCARWX!A$2:G$506,3,0)</f>
        <v>42.07</v>
      </c>
      <c r="K269">
        <f>VLOOKUP(A269,NYSEARCADBC!A$2:G$506,3,0)</f>
        <v>15.46</v>
      </c>
      <c r="L269">
        <f>VLOOKUP(A269,NYSEARCAGSG!A$2:G$506,3,0)</f>
        <v>15.9</v>
      </c>
      <c r="M269">
        <f>VLOOKUP(A269,NYSEARCAGLD!A$2:G$506,3,0)</f>
        <v>122.83</v>
      </c>
      <c r="N269">
        <f>VLOOKUP(A269,NYSEBP!A$2:G$506,3,0)</f>
        <v>32.32</v>
      </c>
      <c r="O269">
        <f>VLOOKUP(A269,NASDAQYHOO!A$2:G$506,3,0)</f>
        <v>36.909999999999997</v>
      </c>
    </row>
    <row r="270" spans="1:15">
      <c r="A270" s="39">
        <v>42535</v>
      </c>
      <c r="B270">
        <v>71.17</v>
      </c>
      <c r="C270">
        <f>VLOOKUP(A270,NYSEARCAVTI!A$2:G$506,3,0)</f>
        <v>106.33</v>
      </c>
      <c r="D270">
        <f>VLOOKUP(A270,NYSEARCAVEU!A$2:G$506,3,0)</f>
        <v>41.84</v>
      </c>
      <c r="E270">
        <f>VLOOKUP(A270,NYSEARCAVWO!A$2:G$506,3,0)</f>
        <v>33.61</v>
      </c>
      <c r="F270">
        <f>VLOOKUP(A270,NYSEARCABND!A$2:G$506,3,0)</f>
        <v>83.62</v>
      </c>
      <c r="G270">
        <f>VLOOKUP(A270,NYSEARCATIP!A$2:G$506,3,0)</f>
        <v>115.7</v>
      </c>
      <c r="H270">
        <f>VLOOKUP(A270,NYSEARCAMUB!A$2:G$506,3,0)</f>
        <v>113.23</v>
      </c>
      <c r="I270">
        <f>VLOOKUP(A270,NYSEARCAVNQ!A$2:G$506,3,0)</f>
        <v>85.02</v>
      </c>
      <c r="J270">
        <f>VLOOKUP(A270,NYSEARCARWX!A$2:G$506,3,0)</f>
        <v>41.41</v>
      </c>
      <c r="K270">
        <f>VLOOKUP(A270,NYSEARCADBC!A$2:G$506,3,0)</f>
        <v>15.31</v>
      </c>
      <c r="L270">
        <f>VLOOKUP(A270,NYSEARCAGSG!A$2:G$506,3,0)</f>
        <v>15.75</v>
      </c>
      <c r="M270">
        <f>VLOOKUP(A270,NYSEARCAGLD!A$2:G$506,3,0)</f>
        <v>123.06</v>
      </c>
      <c r="N270">
        <f>VLOOKUP(A270,NYSEBP!A$2:G$506,3,0)</f>
        <v>31.63</v>
      </c>
      <c r="O270">
        <f>VLOOKUP(A270,NASDAQYHOO!A$2:G$506,3,0)</f>
        <v>37.44</v>
      </c>
    </row>
    <row r="271" spans="1:15">
      <c r="A271" s="39">
        <v>42536</v>
      </c>
      <c r="B271">
        <v>71.62</v>
      </c>
      <c r="C271">
        <f>VLOOKUP(A271,NYSEARCAVTI!A$2:G$506,3,0)</f>
        <v>106.6</v>
      </c>
      <c r="D271">
        <f>VLOOKUP(A271,NYSEARCAVEU!A$2:G$506,3,0)</f>
        <v>42.1</v>
      </c>
      <c r="E271">
        <f>VLOOKUP(A271,NYSEARCAVWO!A$2:G$506,3,0)</f>
        <v>34.090000000000003</v>
      </c>
      <c r="F271">
        <f>VLOOKUP(A271,NYSEARCABND!A$2:G$506,3,0)</f>
        <v>83.75</v>
      </c>
      <c r="G271">
        <f>VLOOKUP(A271,NYSEARCATIP!A$2:G$506,3,0)</f>
        <v>115.91</v>
      </c>
      <c r="H271">
        <f>VLOOKUP(A271,NYSEARCAMUB!A$2:G$506,3,0)</f>
        <v>113.34</v>
      </c>
      <c r="I271">
        <f>VLOOKUP(A271,NYSEARCAVNQ!A$2:G$506,3,0)</f>
        <v>85.59</v>
      </c>
      <c r="J271">
        <f>VLOOKUP(A271,NYSEARCARWX!A$2:G$506,3,0)</f>
        <v>41.61</v>
      </c>
      <c r="K271">
        <f>VLOOKUP(A271,NYSEARCADBC!A$2:G$506,3,0)</f>
        <v>15.32</v>
      </c>
      <c r="L271">
        <f>VLOOKUP(A271,NYSEARCAGSG!A$2:G$506,3,0)</f>
        <v>15.75</v>
      </c>
      <c r="M271">
        <f>VLOOKUP(A271,NYSEARCAGLD!A$2:G$506,3,0)</f>
        <v>123.87</v>
      </c>
      <c r="N271">
        <f>VLOOKUP(A271,NYSEBP!A$2:G$506,3,0)</f>
        <v>31.39</v>
      </c>
      <c r="O271">
        <f>VLOOKUP(A271,NASDAQYHOO!A$2:G$506,3,0)</f>
        <v>37.6</v>
      </c>
    </row>
    <row r="272" spans="1:15">
      <c r="A272" s="39">
        <v>42537</v>
      </c>
      <c r="B272">
        <v>71.459999999999994</v>
      </c>
      <c r="C272">
        <f>VLOOKUP(A272,NYSEARCAVTI!A$2:G$506,3,0)</f>
        <v>106.18</v>
      </c>
      <c r="D272">
        <f>VLOOKUP(A272,NYSEARCAVEU!A$2:G$506,3,0)</f>
        <v>41.88</v>
      </c>
      <c r="E272">
        <f>VLOOKUP(A272,NYSEARCAVWO!A$2:G$506,3,0)</f>
        <v>33.72</v>
      </c>
      <c r="F272">
        <f>VLOOKUP(A272,NYSEARCABND!A$2:G$506,3,0)</f>
        <v>83.91</v>
      </c>
      <c r="G272">
        <f>VLOOKUP(A272,NYSEARCATIP!A$2:G$506,3,0)</f>
        <v>116.04</v>
      </c>
      <c r="H272">
        <f>VLOOKUP(A272,NYSEARCAMUB!A$2:G$506,3,0)</f>
        <v>113.54</v>
      </c>
      <c r="I272">
        <f>VLOOKUP(A272,NYSEARCAVNQ!A$2:G$506,3,0)</f>
        <v>85.81</v>
      </c>
      <c r="J272">
        <f>VLOOKUP(A272,NYSEARCARWX!A$2:G$506,3,0)</f>
        <v>41.32</v>
      </c>
      <c r="K272">
        <f>VLOOKUP(A272,NYSEARCADBC!A$2:G$506,3,0)</f>
        <v>15.15</v>
      </c>
      <c r="L272">
        <f>VLOOKUP(A272,NYSEARCAGSG!A$2:G$506,3,0)</f>
        <v>15.48</v>
      </c>
      <c r="M272">
        <f>VLOOKUP(A272,NYSEARCAGLD!A$2:G$506,3,0)</f>
        <v>125.67</v>
      </c>
      <c r="N272">
        <f>VLOOKUP(A272,NYSEBP!A$2:G$506,3,0)</f>
        <v>32.15</v>
      </c>
      <c r="O272">
        <f>VLOOKUP(A272,NASDAQYHOO!A$2:G$506,3,0)</f>
        <v>37.450000000000003</v>
      </c>
    </row>
    <row r="273" spans="1:15">
      <c r="A273" s="39">
        <v>42538</v>
      </c>
      <c r="B273">
        <v>71.31</v>
      </c>
      <c r="C273">
        <f>VLOOKUP(A273,NYSEARCAVTI!A$2:G$506,3,0)</f>
        <v>106.12</v>
      </c>
      <c r="D273">
        <f>VLOOKUP(A273,NYSEARCAVEU!A$2:G$506,3,0)</f>
        <v>42.28</v>
      </c>
      <c r="E273">
        <f>VLOOKUP(A273,NYSEARCAVWO!A$2:G$506,3,0)</f>
        <v>33.89</v>
      </c>
      <c r="F273">
        <f>VLOOKUP(A273,NYSEARCABND!A$2:G$506,3,0)</f>
        <v>83.74</v>
      </c>
      <c r="G273">
        <f>VLOOKUP(A273,NYSEARCATIP!A$2:G$506,3,0)</f>
        <v>115.73</v>
      </c>
      <c r="H273">
        <f>VLOOKUP(A273,NYSEARCAMUB!A$2:G$506,3,0)</f>
        <v>113.51</v>
      </c>
      <c r="I273">
        <f>VLOOKUP(A273,NYSEARCAVNQ!A$2:G$506,3,0)</f>
        <v>85.83</v>
      </c>
      <c r="J273">
        <f>VLOOKUP(A273,NYSEARCARWX!A$2:G$506,3,0)</f>
        <v>41.21</v>
      </c>
      <c r="K273">
        <f>VLOOKUP(A273,NYSEARCADBC!A$2:G$506,3,0)</f>
        <v>15.29</v>
      </c>
      <c r="L273">
        <f>VLOOKUP(A273,NYSEARCAGSG!A$2:G$506,3,0)</f>
        <v>15.67</v>
      </c>
      <c r="M273">
        <f>VLOOKUP(A273,NYSEARCAGLD!A$2:G$506,3,0)</f>
        <v>124.1</v>
      </c>
      <c r="N273">
        <f>VLOOKUP(A273,NYSEBP!A$2:G$506,3,0)</f>
        <v>32.79</v>
      </c>
      <c r="O273">
        <f>VLOOKUP(A273,NASDAQYHOO!A$2:G$506,3,0)</f>
        <v>37.44</v>
      </c>
    </row>
    <row r="274" spans="1:15">
      <c r="A274" s="39">
        <v>42541</v>
      </c>
      <c r="B274">
        <v>71.78</v>
      </c>
      <c r="C274">
        <f>VLOOKUP(A274,NYSEARCAVTI!A$2:G$506,3,0)</f>
        <v>107.39</v>
      </c>
      <c r="D274">
        <f>VLOOKUP(A274,NYSEARCAVEU!A$2:G$506,3,0)</f>
        <v>43.43</v>
      </c>
      <c r="E274">
        <f>VLOOKUP(A274,NYSEARCAVWO!A$2:G$506,3,0)</f>
        <v>34.56</v>
      </c>
      <c r="F274">
        <f>VLOOKUP(A274,NYSEARCABND!A$2:G$506,3,0)</f>
        <v>83.53</v>
      </c>
      <c r="G274">
        <f>VLOOKUP(A274,NYSEARCATIP!A$2:G$506,3,0)</f>
        <v>115.25</v>
      </c>
      <c r="H274">
        <f>VLOOKUP(A274,NYSEARCAMUB!A$2:G$506,3,0)</f>
        <v>113.38</v>
      </c>
      <c r="I274">
        <f>VLOOKUP(A274,NYSEARCAVNQ!A$2:G$506,3,0)</f>
        <v>86.79</v>
      </c>
      <c r="J274">
        <f>VLOOKUP(A274,NYSEARCARWX!A$2:G$506,3,0)</f>
        <v>42.32</v>
      </c>
      <c r="K274">
        <f>VLOOKUP(A274,NYSEARCADBC!A$2:G$506,3,0)</f>
        <v>15.46</v>
      </c>
      <c r="L274">
        <f>VLOOKUP(A274,NYSEARCAGSG!A$2:G$506,3,0)</f>
        <v>15.87</v>
      </c>
      <c r="M274">
        <f>VLOOKUP(A274,NYSEARCAGLD!A$2:G$506,3,0)</f>
        <v>123.33</v>
      </c>
      <c r="N274">
        <f>VLOOKUP(A274,NYSEBP!A$2:G$506,3,0)</f>
        <v>33.840000000000003</v>
      </c>
      <c r="O274">
        <f>VLOOKUP(A274,NASDAQYHOO!A$2:G$506,3,0)</f>
        <v>37.68</v>
      </c>
    </row>
    <row r="275" spans="1:15">
      <c r="A275" s="39">
        <v>42542</v>
      </c>
      <c r="B275">
        <v>71.72</v>
      </c>
      <c r="C275">
        <f>VLOOKUP(A275,NYSEARCAVTI!A$2:G$506,3,0)</f>
        <v>106.99</v>
      </c>
      <c r="D275">
        <f>VLOOKUP(A275,NYSEARCAVEU!A$2:G$506,3,0)</f>
        <v>43.74</v>
      </c>
      <c r="E275">
        <f>VLOOKUP(A275,NYSEARCAVWO!A$2:G$506,3,0)</f>
        <v>34.68</v>
      </c>
      <c r="F275">
        <f>VLOOKUP(A275,NYSEARCABND!A$2:G$506,3,0)</f>
        <v>83.5</v>
      </c>
      <c r="G275">
        <f>VLOOKUP(A275,NYSEARCATIP!A$2:G$506,3,0)</f>
        <v>114.96</v>
      </c>
      <c r="H275">
        <f>VLOOKUP(A275,NYSEARCAMUB!A$2:G$506,3,0)</f>
        <v>113.31</v>
      </c>
      <c r="I275">
        <f>VLOOKUP(A275,NYSEARCAVNQ!A$2:G$506,3,0)</f>
        <v>85.57</v>
      </c>
      <c r="J275">
        <f>VLOOKUP(A275,NYSEARCARWX!A$2:G$506,3,0)</f>
        <v>42.7</v>
      </c>
      <c r="K275">
        <f>VLOOKUP(A275,NYSEARCADBC!A$2:G$506,3,0)</f>
        <v>15.33</v>
      </c>
      <c r="L275">
        <f>VLOOKUP(A275,NYSEARCAGSG!A$2:G$506,3,0)</f>
        <v>15.78</v>
      </c>
      <c r="M275">
        <f>VLOOKUP(A275,NYSEARCAGLD!A$2:G$506,3,0)</f>
        <v>121.86</v>
      </c>
      <c r="N275">
        <f>VLOOKUP(A275,NYSEBP!A$2:G$506,3,0)</f>
        <v>34.29</v>
      </c>
      <c r="O275">
        <f>VLOOKUP(A275,NASDAQYHOO!A$2:G$506,3,0)</f>
        <v>37.549999999999997</v>
      </c>
    </row>
    <row r="276" spans="1:15">
      <c r="A276" s="39">
        <v>42543</v>
      </c>
      <c r="B276">
        <v>72.25</v>
      </c>
      <c r="C276">
        <f>VLOOKUP(A276,NYSEARCAVTI!A$2:G$506,3,0)</f>
        <v>107.28</v>
      </c>
      <c r="D276">
        <f>VLOOKUP(A276,NYSEARCAVEU!A$2:G$506,3,0)</f>
        <v>43.87</v>
      </c>
      <c r="E276">
        <f>VLOOKUP(A276,NYSEARCAVWO!A$2:G$506,3,0)</f>
        <v>34.89</v>
      </c>
      <c r="F276">
        <f>VLOOKUP(A276,NYSEARCABND!A$2:G$506,3,0)</f>
        <v>83.42</v>
      </c>
      <c r="G276">
        <f>VLOOKUP(A276,NYSEARCATIP!A$2:G$506,3,0)</f>
        <v>115.14</v>
      </c>
      <c r="H276">
        <f>VLOOKUP(A276,NYSEARCAMUB!A$2:G$506,3,0)</f>
        <v>113.26</v>
      </c>
      <c r="I276">
        <f>VLOOKUP(A276,NYSEARCAVNQ!A$2:G$506,3,0)</f>
        <v>85.51</v>
      </c>
      <c r="J276">
        <f>VLOOKUP(A276,NYSEARCARWX!A$2:G$506,3,0)</f>
        <v>42.59</v>
      </c>
      <c r="K276">
        <f>VLOOKUP(A276,NYSEARCADBC!A$2:G$506,3,0)</f>
        <v>15.4</v>
      </c>
      <c r="L276">
        <f>VLOOKUP(A276,NYSEARCAGSG!A$2:G$506,3,0)</f>
        <v>15.86</v>
      </c>
      <c r="M276">
        <f>VLOOKUP(A276,NYSEARCAGLD!A$2:G$506,3,0)</f>
        <v>121.25</v>
      </c>
      <c r="N276">
        <f>VLOOKUP(A276,NYSEBP!A$2:G$506,3,0)</f>
        <v>34.659999999999997</v>
      </c>
      <c r="O276">
        <f>VLOOKUP(A276,NASDAQYHOO!A$2:G$506,3,0)</f>
        <v>37.520000000000003</v>
      </c>
    </row>
    <row r="277" spans="1:15">
      <c r="A277" s="39">
        <v>42544</v>
      </c>
      <c r="B277">
        <v>72.239999999999995</v>
      </c>
      <c r="C277">
        <f>VLOOKUP(A277,NYSEARCAVTI!A$2:G$506,3,0)</f>
        <v>108</v>
      </c>
      <c r="D277">
        <f>VLOOKUP(A277,NYSEARCAVEU!A$2:G$506,3,0)</f>
        <v>44.69</v>
      </c>
      <c r="E277">
        <f>VLOOKUP(A277,NYSEARCAVWO!A$2:G$506,3,0)</f>
        <v>35.520000000000003</v>
      </c>
      <c r="F277">
        <f>VLOOKUP(A277,NYSEARCABND!A$2:G$506,3,0)</f>
        <v>83.37</v>
      </c>
      <c r="G277">
        <f>VLOOKUP(A277,NYSEARCATIP!A$2:G$506,3,0)</f>
        <v>115.28</v>
      </c>
      <c r="H277">
        <f>VLOOKUP(A277,NYSEARCAMUB!A$2:G$506,3,0)</f>
        <v>113.09</v>
      </c>
      <c r="I277">
        <f>VLOOKUP(A277,NYSEARCAVNQ!A$2:G$506,3,0)</f>
        <v>85.94</v>
      </c>
      <c r="J277">
        <f>VLOOKUP(A277,NYSEARCARWX!A$2:G$506,3,0)</f>
        <v>43.11</v>
      </c>
      <c r="K277">
        <f>VLOOKUP(A277,NYSEARCADBC!A$2:G$506,3,0)</f>
        <v>15.33</v>
      </c>
      <c r="L277">
        <f>VLOOKUP(A277,NYSEARCAGSG!A$2:G$506,3,0)</f>
        <v>15.79</v>
      </c>
      <c r="M277">
        <f>VLOOKUP(A277,NYSEARCAGLD!A$2:G$506,3,0)</f>
        <v>121.03</v>
      </c>
      <c r="N277">
        <f>VLOOKUP(A277,NYSEBP!A$2:G$506,3,0)</f>
        <v>34.75</v>
      </c>
      <c r="O277">
        <f>VLOOKUP(A277,NASDAQYHOO!A$2:G$506,3,0)</f>
        <v>37.78</v>
      </c>
    </row>
    <row r="278" spans="1:15">
      <c r="A278" s="39">
        <v>42545</v>
      </c>
      <c r="B278">
        <v>72.72</v>
      </c>
      <c r="C278">
        <f>VLOOKUP(A278,NYSEARCAVTI!A$2:G$506,3,0)</f>
        <v>105.94</v>
      </c>
      <c r="D278">
        <f>VLOOKUP(A278,NYSEARCAVEU!A$2:G$506,3,0)</f>
        <v>42.19</v>
      </c>
      <c r="E278">
        <f>VLOOKUP(A278,NYSEARCAVWO!A$2:G$506,3,0)</f>
        <v>34.26</v>
      </c>
      <c r="F278">
        <f>VLOOKUP(A278,NYSEARCABND!A$2:G$506,3,0)</f>
        <v>83.92</v>
      </c>
      <c r="G278">
        <f>VLOOKUP(A278,NYSEARCATIP!A$2:G$506,3,0)</f>
        <v>116.09</v>
      </c>
      <c r="H278">
        <f>VLOOKUP(A278,NYSEARCAMUB!A$2:G$506,3,0)</f>
        <v>113.99</v>
      </c>
      <c r="I278">
        <f>VLOOKUP(A278,NYSEARCAVNQ!A$2:G$506,3,0)</f>
        <v>85.72</v>
      </c>
      <c r="J278">
        <f>VLOOKUP(A278,NYSEARCARWX!A$2:G$506,3,0)</f>
        <v>40.58</v>
      </c>
      <c r="K278">
        <f>VLOOKUP(A278,NYSEARCADBC!A$2:G$506,3,0)</f>
        <v>15.06</v>
      </c>
      <c r="L278">
        <f>VLOOKUP(A278,NYSEARCAGSG!A$2:G$506,3,0)</f>
        <v>15.38</v>
      </c>
      <c r="M278">
        <f>VLOOKUP(A278,NYSEARCAGLD!A$2:G$506,3,0)</f>
        <v>126.82</v>
      </c>
      <c r="N278">
        <f>VLOOKUP(A278,NYSEBP!A$2:G$506,3,0)</f>
        <v>33.54</v>
      </c>
      <c r="O278">
        <f>VLOOKUP(A278,NASDAQYHOO!A$2:G$506,3,0)</f>
        <v>36.950000000000003</v>
      </c>
    </row>
    <row r="279" spans="1:15">
      <c r="A279" s="39">
        <v>42548</v>
      </c>
      <c r="B279">
        <v>71.77</v>
      </c>
      <c r="C279">
        <f>VLOOKUP(A279,NYSEARCAVTI!A$2:G$506,3,0)</f>
        <v>103.23</v>
      </c>
      <c r="D279">
        <f>VLOOKUP(A279,NYSEARCAVEU!A$2:G$506,3,0)</f>
        <v>40.75</v>
      </c>
      <c r="E279">
        <f>VLOOKUP(A279,NYSEARCAVWO!A$2:G$506,3,0)</f>
        <v>33.409999999999997</v>
      </c>
      <c r="F279">
        <f>VLOOKUP(A279,NYSEARCABND!A$2:G$506,3,0)</f>
        <v>84.17</v>
      </c>
      <c r="G279">
        <f>VLOOKUP(A279,NYSEARCATIP!A$2:G$506,3,0)</f>
        <v>116.25</v>
      </c>
      <c r="H279">
        <f>VLOOKUP(A279,NYSEARCAMUB!A$2:G$506,3,0)</f>
        <v>114.18</v>
      </c>
      <c r="I279">
        <f>VLOOKUP(A279,NYSEARCAVNQ!A$2:G$506,3,0)</f>
        <v>85.05</v>
      </c>
      <c r="J279">
        <f>VLOOKUP(A279,NYSEARCARWX!A$2:G$506,3,0)</f>
        <v>39.4</v>
      </c>
      <c r="K279">
        <f>VLOOKUP(A279,NYSEARCADBC!A$2:G$506,3,0)</f>
        <v>15</v>
      </c>
      <c r="L279">
        <f>VLOOKUP(A279,NYSEARCAGSG!A$2:G$506,3,0)</f>
        <v>15.2</v>
      </c>
      <c r="M279">
        <f>VLOOKUP(A279,NYSEARCAGLD!A$2:G$506,3,0)</f>
        <v>127.05</v>
      </c>
      <c r="N279">
        <f>VLOOKUP(A279,NYSEBP!A$2:G$506,3,0)</f>
        <v>32.35</v>
      </c>
      <c r="O279">
        <f>VLOOKUP(A279,NASDAQYHOO!A$2:G$506,3,0)</f>
        <v>36.01</v>
      </c>
    </row>
    <row r="280" spans="1:15">
      <c r="A280" s="39">
        <v>42549</v>
      </c>
      <c r="B280">
        <v>71.87</v>
      </c>
      <c r="C280">
        <f>VLOOKUP(A280,NYSEARCAVTI!A$2:G$506,3,0)</f>
        <v>103.86</v>
      </c>
      <c r="D280">
        <f>VLOOKUP(A280,NYSEARCAVEU!A$2:G$506,3,0)</f>
        <v>41.52</v>
      </c>
      <c r="E280">
        <f>VLOOKUP(A280,NYSEARCAVWO!A$2:G$506,3,0)</f>
        <v>34.08</v>
      </c>
      <c r="F280">
        <f>VLOOKUP(A280,NYSEARCABND!A$2:G$506,3,0)</f>
        <v>84.25</v>
      </c>
      <c r="G280">
        <f>VLOOKUP(A280,NYSEARCATIP!A$2:G$506,3,0)</f>
        <v>116.53</v>
      </c>
      <c r="H280">
        <f>VLOOKUP(A280,NYSEARCAMUB!A$2:G$506,3,0)</f>
        <v>114.1</v>
      </c>
      <c r="I280">
        <f>VLOOKUP(A280,NYSEARCAVNQ!A$2:G$506,3,0)</f>
        <v>86.72</v>
      </c>
      <c r="J280">
        <f>VLOOKUP(A280,NYSEARCARWX!A$2:G$506,3,0)</f>
        <v>40.409999999999997</v>
      </c>
      <c r="K280">
        <f>VLOOKUP(A280,NYSEARCADBC!A$2:G$506,3,0)</f>
        <v>15.22</v>
      </c>
      <c r="L280">
        <f>VLOOKUP(A280,NYSEARCAGSG!A$2:G$506,3,0)</f>
        <v>15.46</v>
      </c>
      <c r="M280">
        <f>VLOOKUP(A280,NYSEARCAGLD!A$2:G$506,3,0)</f>
        <v>126.02</v>
      </c>
      <c r="N280">
        <f>VLOOKUP(A280,NYSEBP!A$2:G$506,3,0)</f>
        <v>33.26</v>
      </c>
      <c r="O280">
        <f>VLOOKUP(A280,NASDAQYHOO!A$2:G$506,3,0)</f>
        <v>36.14</v>
      </c>
    </row>
    <row r="281" spans="1:15">
      <c r="A281" s="39">
        <v>42550</v>
      </c>
      <c r="B281">
        <v>72.489999999999995</v>
      </c>
      <c r="C281">
        <f>VLOOKUP(A281,NYSEARCAVTI!A$2:G$506,3,0)</f>
        <v>105.83</v>
      </c>
      <c r="D281">
        <f>VLOOKUP(A281,NYSEARCAVEU!A$2:G$506,3,0)</f>
        <v>42.4</v>
      </c>
      <c r="E281">
        <f>VLOOKUP(A281,NYSEARCAVWO!A$2:G$506,3,0)</f>
        <v>34.9</v>
      </c>
      <c r="F281">
        <f>VLOOKUP(A281,NYSEARCABND!A$2:G$506,3,0)</f>
        <v>84.33</v>
      </c>
      <c r="G281">
        <f>VLOOKUP(A281,NYSEARCATIP!A$2:G$506,3,0)</f>
        <v>116.71</v>
      </c>
      <c r="H281">
        <f>VLOOKUP(A281,NYSEARCAMUB!A$2:G$506,3,0)</f>
        <v>114</v>
      </c>
      <c r="I281">
        <f>VLOOKUP(A281,NYSEARCAVNQ!A$2:G$506,3,0)</f>
        <v>87.88</v>
      </c>
      <c r="J281">
        <f>VLOOKUP(A281,NYSEARCARWX!A$2:G$506,3,0)</f>
        <v>41.15</v>
      </c>
      <c r="K281">
        <f>VLOOKUP(A281,NYSEARCADBC!A$2:G$506,3,0)</f>
        <v>15.52</v>
      </c>
      <c r="L281">
        <f>VLOOKUP(A281,NYSEARCAGSG!A$2:G$506,3,0)</f>
        <v>15.81</v>
      </c>
      <c r="M281">
        <f>VLOOKUP(A281,NYSEARCAGLD!A$2:G$506,3,0)</f>
        <v>126.81</v>
      </c>
      <c r="N281">
        <f>VLOOKUP(A281,NYSEBP!A$2:G$506,3,0)</f>
        <v>35.08</v>
      </c>
      <c r="O281">
        <f>VLOOKUP(A281,NASDAQYHOO!A$2:G$506,3,0)</f>
        <v>37.08</v>
      </c>
    </row>
    <row r="282" spans="1:15">
      <c r="A282" s="39">
        <v>42551</v>
      </c>
      <c r="B282">
        <v>73.2</v>
      </c>
      <c r="C282">
        <f>VLOOKUP(A282,NYSEARCAVTI!A$2:G$506,3,0)</f>
        <v>107.2</v>
      </c>
      <c r="D282">
        <f>VLOOKUP(A282,NYSEARCAVEU!A$2:G$506,3,0)</f>
        <v>42.87</v>
      </c>
      <c r="E282">
        <f>VLOOKUP(A282,NYSEARCAVWO!A$2:G$506,3,0)</f>
        <v>35.29</v>
      </c>
      <c r="F282">
        <f>VLOOKUP(A282,NYSEARCABND!A$2:G$506,3,0)</f>
        <v>84.41</v>
      </c>
      <c r="G282">
        <f>VLOOKUP(A282,NYSEARCATIP!A$2:G$506,3,0)</f>
        <v>116.86</v>
      </c>
      <c r="H282">
        <f>VLOOKUP(A282,NYSEARCAMUB!A$2:G$506,3,0)</f>
        <v>113.98</v>
      </c>
      <c r="I282">
        <f>VLOOKUP(A282,NYSEARCAVNQ!A$2:G$506,3,0)</f>
        <v>88.67</v>
      </c>
      <c r="J282">
        <f>VLOOKUP(A282,NYSEARCARWX!A$2:G$506,3,0)</f>
        <v>41.46</v>
      </c>
      <c r="K282">
        <f>VLOOKUP(A282,NYSEARCADBC!A$2:G$506,3,0)</f>
        <v>15.44</v>
      </c>
      <c r="L282">
        <f>VLOOKUP(A282,NYSEARCAGSG!A$2:G$506,3,0)</f>
        <v>15.69</v>
      </c>
      <c r="M282">
        <f>VLOOKUP(A282,NYSEARCAGLD!A$2:G$506,3,0)</f>
        <v>126.52</v>
      </c>
      <c r="N282">
        <f>VLOOKUP(A282,NYSEBP!A$2:G$506,3,0)</f>
        <v>35.58</v>
      </c>
      <c r="O282">
        <f>VLOOKUP(A282,NASDAQYHOO!A$2:G$506,3,0)</f>
        <v>37.58</v>
      </c>
    </row>
    <row r="283" spans="1:15">
      <c r="A283" s="39">
        <v>42552</v>
      </c>
      <c r="B283">
        <v>73.17</v>
      </c>
      <c r="C283">
        <f>VLOOKUP(A283,NYSEARCAVTI!A$2:G$506,3,0)</f>
        <v>107.75</v>
      </c>
      <c r="D283">
        <f>VLOOKUP(A283,NYSEARCAVEU!A$2:G$506,3,0)</f>
        <v>43.06</v>
      </c>
      <c r="E283">
        <f>VLOOKUP(A283,NYSEARCAVWO!A$2:G$506,3,0)</f>
        <v>35.56</v>
      </c>
      <c r="F283">
        <f>VLOOKUP(A283,NYSEARCABND!A$2:G$506,3,0)</f>
        <v>84.48</v>
      </c>
      <c r="G283">
        <f>VLOOKUP(A283,NYSEARCATIP!A$2:G$506,3,0)</f>
        <v>117.4</v>
      </c>
      <c r="H283">
        <f>VLOOKUP(A283,NYSEARCAMUB!A$2:G$506,3,0)</f>
        <v>113.98</v>
      </c>
      <c r="I283">
        <f>VLOOKUP(A283,NYSEARCAVNQ!A$2:G$506,3,0)</f>
        <v>89.4</v>
      </c>
      <c r="J283">
        <f>VLOOKUP(A283,NYSEARCARWX!A$2:G$506,3,0)</f>
        <v>41.56</v>
      </c>
      <c r="K283">
        <f>VLOOKUP(A283,NYSEARCADBC!A$2:G$506,3,0)</f>
        <v>15.55</v>
      </c>
      <c r="L283">
        <f>VLOOKUP(A283,NYSEARCAGSG!A$2:G$506,3,0)</f>
        <v>15.72</v>
      </c>
      <c r="M283">
        <f>VLOOKUP(A283,NYSEARCAGLD!A$2:G$506,3,0)</f>
        <v>128.41999999999999</v>
      </c>
      <c r="N283">
        <f>VLOOKUP(A283,NYSEBP!A$2:G$506,3,0)</f>
        <v>36.090000000000003</v>
      </c>
      <c r="O283">
        <f>VLOOKUP(A283,NASDAQYHOO!A$2:G$506,3,0)</f>
        <v>38.08</v>
      </c>
    </row>
    <row r="284" spans="1:15">
      <c r="A284" s="39">
        <v>42556</v>
      </c>
      <c r="B284">
        <v>73.62</v>
      </c>
      <c r="C284">
        <f>VLOOKUP(A284,NYSEARCAVTI!A$2:G$506,3,0)</f>
        <v>107</v>
      </c>
      <c r="D284">
        <f>VLOOKUP(A284,NYSEARCAVEU!A$2:G$506,3,0)</f>
        <v>42.5</v>
      </c>
      <c r="E284">
        <f>VLOOKUP(A284,NYSEARCAVWO!A$2:G$506,3,0)</f>
        <v>35.049999999999997</v>
      </c>
      <c r="F284">
        <f>VLOOKUP(A284,NYSEARCABND!A$2:G$506,3,0)</f>
        <v>84.71</v>
      </c>
      <c r="G284">
        <f>VLOOKUP(A284,NYSEARCATIP!A$2:G$506,3,0)</f>
        <v>117.33</v>
      </c>
      <c r="H284">
        <f>VLOOKUP(A284,NYSEARCAMUB!A$2:G$506,3,0)</f>
        <v>114.1</v>
      </c>
      <c r="I284">
        <f>VLOOKUP(A284,NYSEARCAVNQ!A$2:G$506,3,0)</f>
        <v>89.68</v>
      </c>
      <c r="J284">
        <f>VLOOKUP(A284,NYSEARCARWX!A$2:G$506,3,0)</f>
        <v>40.92</v>
      </c>
      <c r="K284">
        <f>VLOOKUP(A284,NYSEARCADBC!A$2:G$506,3,0)</f>
        <v>15.55</v>
      </c>
      <c r="L284">
        <f>VLOOKUP(A284,NYSEARCAGSG!A$2:G$506,3,0)</f>
        <v>15.66</v>
      </c>
      <c r="M284">
        <f>VLOOKUP(A284,NYSEARCAGLD!A$2:G$506,3,0)</f>
        <v>129.59</v>
      </c>
      <c r="N284">
        <f>VLOOKUP(A284,NYSEBP!A$2:G$506,3,0)</f>
        <v>36.04</v>
      </c>
      <c r="O284">
        <f>VLOOKUP(A284,NASDAQYHOO!A$2:G$506,3,0)</f>
        <v>37.770000000000003</v>
      </c>
    </row>
    <row r="285" spans="1:15">
      <c r="A285" s="39">
        <v>42557</v>
      </c>
      <c r="B285">
        <v>73.98</v>
      </c>
      <c r="C285">
        <f>VLOOKUP(A285,NYSEARCAVTI!A$2:G$506,3,0)</f>
        <v>107.26</v>
      </c>
      <c r="D285">
        <f>VLOOKUP(A285,NYSEARCAVEU!A$2:G$506,3,0)</f>
        <v>42.1</v>
      </c>
      <c r="E285">
        <f>VLOOKUP(A285,NYSEARCAVWO!A$2:G$506,3,0)</f>
        <v>34.799999999999997</v>
      </c>
      <c r="F285">
        <f>VLOOKUP(A285,NYSEARCABND!A$2:G$506,3,0)</f>
        <v>84.81</v>
      </c>
      <c r="G285">
        <f>VLOOKUP(A285,NYSEARCATIP!A$2:G$506,3,0)</f>
        <v>117.55</v>
      </c>
      <c r="H285">
        <f>VLOOKUP(A285,NYSEARCAMUB!A$2:G$506,3,0)</f>
        <v>114.15</v>
      </c>
      <c r="I285">
        <f>VLOOKUP(A285,NYSEARCAVNQ!A$2:G$506,3,0)</f>
        <v>89.65</v>
      </c>
      <c r="J285">
        <f>VLOOKUP(A285,NYSEARCARWX!A$2:G$506,3,0)</f>
        <v>40.520000000000003</v>
      </c>
      <c r="K285">
        <f>VLOOKUP(A285,NYSEARCADBC!A$2:G$506,3,0)</f>
        <v>15.17</v>
      </c>
      <c r="L285">
        <f>VLOOKUP(A285,NYSEARCAGSG!A$2:G$506,3,0)</f>
        <v>15.25</v>
      </c>
      <c r="M285">
        <f>VLOOKUP(A285,NYSEARCAGLD!A$2:G$506,3,0)</f>
        <v>131.15</v>
      </c>
      <c r="N285">
        <f>VLOOKUP(A285,NYSEBP!A$2:G$506,3,0)</f>
        <v>35.58</v>
      </c>
      <c r="O285">
        <f>VLOOKUP(A285,NASDAQYHOO!A$2:G$506,3,0)</f>
        <v>37.56</v>
      </c>
    </row>
    <row r="286" spans="1:15">
      <c r="A286" s="39">
        <v>42558</v>
      </c>
      <c r="B286">
        <v>73.930000000000007</v>
      </c>
      <c r="C286">
        <f>VLOOKUP(A286,NYSEARCAVTI!A$2:G$506,3,0)</f>
        <v>107.77</v>
      </c>
      <c r="D286">
        <f>VLOOKUP(A286,NYSEARCAVEU!A$2:G$506,3,0)</f>
        <v>42.34</v>
      </c>
      <c r="E286">
        <f>VLOOKUP(A286,NYSEARCAVWO!A$2:G$506,3,0)</f>
        <v>35.01</v>
      </c>
      <c r="F286">
        <f>VLOOKUP(A286,NYSEARCABND!A$2:G$506,3,0)</f>
        <v>84.77</v>
      </c>
      <c r="G286">
        <f>VLOOKUP(A286,NYSEARCATIP!A$2:G$506,3,0)</f>
        <v>117.55</v>
      </c>
      <c r="H286">
        <f>VLOOKUP(A286,NYSEARCAMUB!A$2:G$506,3,0)</f>
        <v>115.19</v>
      </c>
      <c r="I286">
        <f>VLOOKUP(A286,NYSEARCAVNQ!A$2:G$506,3,0)</f>
        <v>89.26</v>
      </c>
      <c r="J286">
        <f>VLOOKUP(A286,NYSEARCARWX!A$2:G$506,3,0)</f>
        <v>40.74</v>
      </c>
      <c r="K286">
        <f>VLOOKUP(A286,NYSEARCADBC!A$2:G$506,3,0)</f>
        <v>15.27</v>
      </c>
      <c r="L286">
        <f>VLOOKUP(A286,NYSEARCAGSG!A$2:G$506,3,0)</f>
        <v>15.38</v>
      </c>
      <c r="M286">
        <f>VLOOKUP(A286,NYSEARCAGLD!A$2:G$506,3,0)</f>
        <v>130.12</v>
      </c>
      <c r="N286">
        <f>VLOOKUP(A286,NYSEBP!A$2:G$506,3,0)</f>
        <v>36.04</v>
      </c>
      <c r="O286">
        <f>VLOOKUP(A286,NASDAQYHOO!A$2:G$506,3,0)</f>
        <v>37.76</v>
      </c>
    </row>
    <row r="287" spans="1:15">
      <c r="A287" s="39">
        <v>42559</v>
      </c>
      <c r="B287">
        <v>73.849999999999994</v>
      </c>
      <c r="C287">
        <f>VLOOKUP(A287,NYSEARCAVTI!A$2:G$506,3,0)</f>
        <v>108.99</v>
      </c>
      <c r="D287">
        <f>VLOOKUP(A287,NYSEARCAVEU!A$2:G$506,3,0)</f>
        <v>42.65</v>
      </c>
      <c r="E287">
        <f>VLOOKUP(A287,NYSEARCAVWO!A$2:G$506,3,0)</f>
        <v>35.43</v>
      </c>
      <c r="F287">
        <f>VLOOKUP(A287,NYSEARCABND!A$2:G$506,3,0)</f>
        <v>84.92</v>
      </c>
      <c r="G287">
        <f>VLOOKUP(A287,NYSEARCATIP!A$2:G$506,3,0)</f>
        <v>117.55</v>
      </c>
      <c r="H287">
        <f>VLOOKUP(A287,NYSEARCAMUB!A$2:G$506,3,0)</f>
        <v>114.06</v>
      </c>
      <c r="I287">
        <f>VLOOKUP(A287,NYSEARCAVNQ!A$2:G$506,3,0)</f>
        <v>89.84</v>
      </c>
      <c r="J287">
        <f>VLOOKUP(A287,NYSEARCARWX!A$2:G$506,3,0)</f>
        <v>41.12</v>
      </c>
      <c r="K287">
        <f>VLOOKUP(A287,NYSEARCADBC!A$2:G$506,3,0)</f>
        <v>14.9</v>
      </c>
      <c r="L287">
        <f>VLOOKUP(A287,NYSEARCAGSG!A$2:G$506,3,0)</f>
        <v>14.95</v>
      </c>
      <c r="M287">
        <f>VLOOKUP(A287,NYSEARCAGLD!A$2:G$506,3,0)</f>
        <v>130.52000000000001</v>
      </c>
      <c r="N287">
        <f>VLOOKUP(A287,NYSEBP!A$2:G$506,3,0)</f>
        <v>36.04</v>
      </c>
      <c r="O287">
        <f>VLOOKUP(A287,NASDAQYHOO!A$2:G$506,3,0)</f>
        <v>37.840000000000003</v>
      </c>
    </row>
    <row r="288" spans="1:15">
      <c r="A288" s="39">
        <v>42562</v>
      </c>
      <c r="B288">
        <v>74.349999999999994</v>
      </c>
      <c r="C288">
        <f>VLOOKUP(A288,NYSEARCAVTI!A$2:G$506,3,0)</f>
        <v>109.62</v>
      </c>
      <c r="D288">
        <f>VLOOKUP(A288,NYSEARCAVEU!A$2:G$506,3,0)</f>
        <v>43.32</v>
      </c>
      <c r="E288">
        <f>VLOOKUP(A288,NYSEARCAVWO!A$2:G$506,3,0)</f>
        <v>35.82</v>
      </c>
      <c r="F288">
        <f>VLOOKUP(A288,NYSEARCABND!A$2:G$506,3,0)</f>
        <v>84.84</v>
      </c>
      <c r="G288">
        <f>VLOOKUP(A288,NYSEARCATIP!A$2:G$506,3,0)</f>
        <v>117.43</v>
      </c>
      <c r="H288">
        <f>VLOOKUP(A288,NYSEARCAMUB!A$2:G$506,3,0)</f>
        <v>113.99</v>
      </c>
      <c r="I288">
        <f>VLOOKUP(A288,NYSEARCAVNQ!A$2:G$506,3,0)</f>
        <v>90.59</v>
      </c>
      <c r="J288">
        <f>VLOOKUP(A288,NYSEARCARWX!A$2:G$506,3,0)</f>
        <v>41.74</v>
      </c>
      <c r="K288">
        <f>VLOOKUP(A288,NYSEARCADBC!A$2:G$506,3,0)</f>
        <v>15</v>
      </c>
      <c r="L288">
        <f>VLOOKUP(A288,NYSEARCAGSG!A$2:G$506,3,0)</f>
        <v>14.96</v>
      </c>
      <c r="M288">
        <f>VLOOKUP(A288,NYSEARCAGLD!A$2:G$506,3,0)</f>
        <v>129.9</v>
      </c>
      <c r="N288">
        <f>VLOOKUP(A288,NYSEBP!A$2:G$506,3,0)</f>
        <v>36.229999999999997</v>
      </c>
      <c r="O288">
        <f>VLOOKUP(A288,NASDAQYHOO!A$2:G$506,3,0)</f>
        <v>38.15</v>
      </c>
    </row>
    <row r="289" spans="1:15">
      <c r="A289" s="39">
        <v>42563</v>
      </c>
      <c r="B289">
        <v>73.73</v>
      </c>
      <c r="C289">
        <f>VLOOKUP(A289,NYSEARCAVTI!A$2:G$506,3,0)</f>
        <v>110.4</v>
      </c>
      <c r="D289">
        <f>VLOOKUP(A289,NYSEARCAVEU!A$2:G$506,3,0)</f>
        <v>43.94</v>
      </c>
      <c r="E289">
        <f>VLOOKUP(A289,NYSEARCAVWO!A$2:G$506,3,0)</f>
        <v>36.35</v>
      </c>
      <c r="F289">
        <f>VLOOKUP(A289,NYSEARCABND!A$2:G$506,3,0)</f>
        <v>84.53</v>
      </c>
      <c r="G289">
        <f>VLOOKUP(A289,NYSEARCATIP!A$2:G$506,3,0)</f>
        <v>116.85</v>
      </c>
      <c r="H289">
        <f>VLOOKUP(A289,NYSEARCAMUB!A$2:G$506,3,0)</f>
        <v>113.87</v>
      </c>
      <c r="I289">
        <f>VLOOKUP(A289,NYSEARCAVNQ!A$2:G$506,3,0)</f>
        <v>90.54</v>
      </c>
      <c r="J289">
        <f>VLOOKUP(A289,NYSEARCARWX!A$2:G$506,3,0)</f>
        <v>42.2</v>
      </c>
      <c r="K289">
        <f>VLOOKUP(A289,NYSEARCADBC!A$2:G$506,3,0)</f>
        <v>15.14</v>
      </c>
      <c r="L289">
        <f>VLOOKUP(A289,NYSEARCAGSG!A$2:G$506,3,0)</f>
        <v>15.15</v>
      </c>
      <c r="M289">
        <f>VLOOKUP(A289,NYSEARCAGLD!A$2:G$506,3,0)</f>
        <v>128.54</v>
      </c>
      <c r="N289">
        <f>VLOOKUP(A289,NYSEBP!A$2:G$506,3,0)</f>
        <v>37.200000000000003</v>
      </c>
      <c r="O289">
        <f>VLOOKUP(A289,NASDAQYHOO!A$2:G$506,3,0)</f>
        <v>38.33</v>
      </c>
    </row>
    <row r="290" spans="1:15">
      <c r="A290" s="39">
        <v>42564</v>
      </c>
      <c r="B290">
        <v>73.63</v>
      </c>
      <c r="C290">
        <f>VLOOKUP(A290,NYSEARCAVTI!A$2:G$506,3,0)</f>
        <v>110.5</v>
      </c>
      <c r="D290">
        <f>VLOOKUP(A290,NYSEARCAVEU!A$2:G$506,3,0)</f>
        <v>43.91</v>
      </c>
      <c r="E290">
        <f>VLOOKUP(A290,NYSEARCAVWO!A$2:G$506,3,0)</f>
        <v>36.26</v>
      </c>
      <c r="F290">
        <f>VLOOKUP(A290,NYSEARCABND!A$2:G$506,3,0)</f>
        <v>84.53</v>
      </c>
      <c r="G290">
        <f>VLOOKUP(A290,NYSEARCATIP!A$2:G$506,3,0)</f>
        <v>117.15</v>
      </c>
      <c r="H290">
        <f>VLOOKUP(A290,NYSEARCAMUB!A$2:G$506,3,0)</f>
        <v>113.76</v>
      </c>
      <c r="I290">
        <f>VLOOKUP(A290,NYSEARCAVNQ!A$2:G$506,3,0)</f>
        <v>90.89</v>
      </c>
      <c r="J290">
        <f>VLOOKUP(A290,NYSEARCARWX!A$2:G$506,3,0)</f>
        <v>42.08</v>
      </c>
      <c r="K290">
        <f>VLOOKUP(A290,NYSEARCADBC!A$2:G$506,3,0)</f>
        <v>15.2</v>
      </c>
      <c r="L290">
        <f>VLOOKUP(A290,NYSEARCAGSG!A$2:G$506,3,0)</f>
        <v>15.13</v>
      </c>
      <c r="M290">
        <f>VLOOKUP(A290,NYSEARCAGLD!A$2:G$506,3,0)</f>
        <v>128.43</v>
      </c>
      <c r="N290">
        <f>VLOOKUP(A290,NYSEBP!A$2:G$506,3,0)</f>
        <v>37.28</v>
      </c>
      <c r="O290">
        <f>VLOOKUP(A290,NASDAQYHOO!A$2:G$506,3,0)</f>
        <v>38.01</v>
      </c>
    </row>
    <row r="291" spans="1:15">
      <c r="A291" s="39">
        <v>42565</v>
      </c>
      <c r="B291">
        <v>74.11</v>
      </c>
      <c r="C291">
        <f>VLOOKUP(A291,NYSEARCAVTI!A$2:G$506,3,0)</f>
        <v>110.99</v>
      </c>
      <c r="D291">
        <f>VLOOKUP(A291,NYSEARCAVEU!A$2:G$506,3,0)</f>
        <v>44.22</v>
      </c>
      <c r="E291">
        <f>VLOOKUP(A291,NYSEARCAVWO!A$2:G$506,3,0)</f>
        <v>36.76</v>
      </c>
      <c r="F291">
        <f>VLOOKUP(A291,NYSEARCABND!A$2:G$506,3,0)</f>
        <v>84.39</v>
      </c>
      <c r="G291">
        <f>VLOOKUP(A291,NYSEARCATIP!A$2:G$506,3,0)</f>
        <v>116.7</v>
      </c>
      <c r="H291">
        <f>VLOOKUP(A291,NYSEARCAMUB!A$2:G$506,3,0)</f>
        <v>113.62</v>
      </c>
      <c r="I291">
        <f>VLOOKUP(A291,NYSEARCAVNQ!A$2:G$506,3,0)</f>
        <v>90.84</v>
      </c>
      <c r="J291">
        <f>VLOOKUP(A291,NYSEARCARWX!A$2:G$506,3,0)</f>
        <v>42.26</v>
      </c>
      <c r="K291">
        <f>VLOOKUP(A291,NYSEARCADBC!A$2:G$506,3,0)</f>
        <v>15.06</v>
      </c>
      <c r="L291">
        <f>VLOOKUP(A291,NYSEARCAGSG!A$2:G$506,3,0)</f>
        <v>15.02</v>
      </c>
      <c r="M291">
        <f>VLOOKUP(A291,NYSEARCAGLD!A$2:G$506,3,0)</f>
        <v>127.37</v>
      </c>
      <c r="N291">
        <f>VLOOKUP(A291,NYSEBP!A$2:G$506,3,0)</f>
        <v>37.1</v>
      </c>
      <c r="O291">
        <f>VLOOKUP(A291,NASDAQYHOO!A$2:G$506,3,0)</f>
        <v>38.35</v>
      </c>
    </row>
    <row r="292" spans="1:15">
      <c r="A292" s="39">
        <v>42566</v>
      </c>
      <c r="B292">
        <v>74.010000000000005</v>
      </c>
      <c r="C292">
        <f>VLOOKUP(A292,NYSEARCAVTI!A$2:G$506,3,0)</f>
        <v>110.97</v>
      </c>
      <c r="D292">
        <f>VLOOKUP(A292,NYSEARCAVEU!A$2:G$506,3,0)</f>
        <v>44.05</v>
      </c>
      <c r="E292">
        <f>VLOOKUP(A292,NYSEARCAVWO!A$2:G$506,3,0)</f>
        <v>36.65</v>
      </c>
      <c r="F292">
        <f>VLOOKUP(A292,NYSEARCABND!A$2:G$506,3,0)</f>
        <v>84.26</v>
      </c>
      <c r="G292">
        <f>VLOOKUP(A292,NYSEARCATIP!A$2:G$506,3,0)</f>
        <v>116.44</v>
      </c>
      <c r="H292">
        <f>VLOOKUP(A292,NYSEARCAMUB!A$2:G$506,3,0)</f>
        <v>113.51</v>
      </c>
      <c r="I292">
        <f>VLOOKUP(A292,NYSEARCAVNQ!A$2:G$506,3,0)</f>
        <v>90.18</v>
      </c>
      <c r="J292">
        <f>VLOOKUP(A292,NYSEARCARWX!A$2:G$506,3,0)</f>
        <v>41.78</v>
      </c>
      <c r="K292">
        <f>VLOOKUP(A292,NYSEARCADBC!A$2:G$506,3,0)</f>
        <v>15.03</v>
      </c>
      <c r="L292">
        <f>VLOOKUP(A292,NYSEARCAGSG!A$2:G$506,3,0)</f>
        <v>15.07</v>
      </c>
      <c r="M292">
        <f>VLOOKUP(A292,NYSEARCAGLD!A$2:G$506,3,0)</f>
        <v>127.19</v>
      </c>
      <c r="N292">
        <f>VLOOKUP(A292,NYSEBP!A$2:G$506,3,0)</f>
        <v>36.65</v>
      </c>
      <c r="O292">
        <f>VLOOKUP(A292,NASDAQYHOO!A$2:G$506,3,0)</f>
        <v>38.18</v>
      </c>
    </row>
    <row r="293" spans="1:15">
      <c r="A293" s="39">
        <v>42569</v>
      </c>
      <c r="B293">
        <v>74.180000000000007</v>
      </c>
      <c r="C293">
        <f>VLOOKUP(A293,NYSEARCAVTI!A$2:G$506,3,0)</f>
        <v>110.93</v>
      </c>
      <c r="D293">
        <f>VLOOKUP(A293,NYSEARCAVEU!A$2:G$506,3,0)</f>
        <v>44.13</v>
      </c>
      <c r="E293">
        <f>VLOOKUP(A293,NYSEARCAVWO!A$2:G$506,3,0)</f>
        <v>36.9</v>
      </c>
      <c r="F293">
        <f>VLOOKUP(A293,NYSEARCABND!A$2:G$506,3,0)</f>
        <v>84.21</v>
      </c>
      <c r="G293">
        <f>VLOOKUP(A293,NYSEARCATIP!A$2:G$506,3,0)</f>
        <v>116.56</v>
      </c>
      <c r="H293">
        <f>VLOOKUP(A293,NYSEARCAMUB!A$2:G$506,3,0)</f>
        <v>113.44</v>
      </c>
      <c r="I293">
        <f>VLOOKUP(A293,NYSEARCAVNQ!A$2:G$506,3,0)</f>
        <v>90.38</v>
      </c>
      <c r="J293">
        <f>VLOOKUP(A293,NYSEARCARWX!A$2:G$506,3,0)</f>
        <v>41.9</v>
      </c>
      <c r="K293">
        <f>VLOOKUP(A293,NYSEARCADBC!A$2:G$506,3,0)</f>
        <v>14.89</v>
      </c>
      <c r="L293">
        <f>VLOOKUP(A293,NYSEARCAGSG!A$2:G$506,3,0)</f>
        <v>14.86</v>
      </c>
      <c r="M293">
        <f>VLOOKUP(A293,NYSEARCAGLD!A$2:G$506,3,0)</f>
        <v>127.5</v>
      </c>
      <c r="N293">
        <f>VLOOKUP(A293,NYSEBP!A$2:G$506,3,0)</f>
        <v>36.33</v>
      </c>
      <c r="O293">
        <f>VLOOKUP(A293,NASDAQYHOO!A$2:G$506,3,0)</f>
        <v>37.97</v>
      </c>
    </row>
    <row r="294" spans="1:15">
      <c r="A294" s="39">
        <v>42570</v>
      </c>
      <c r="B294">
        <v>73.959999999999994</v>
      </c>
      <c r="C294">
        <f>VLOOKUP(A294,NYSEARCAVTI!A$2:G$506,3,0)</f>
        <v>110.75</v>
      </c>
      <c r="D294">
        <f>VLOOKUP(A294,NYSEARCAVEU!A$2:G$506,3,0)</f>
        <v>43.82</v>
      </c>
      <c r="E294">
        <f>VLOOKUP(A294,NYSEARCAVWO!A$2:G$506,3,0)</f>
        <v>36.67</v>
      </c>
      <c r="F294">
        <f>VLOOKUP(A294,NYSEARCABND!A$2:G$506,3,0)</f>
        <v>84.23</v>
      </c>
      <c r="G294">
        <f>VLOOKUP(A294,NYSEARCATIP!A$2:G$506,3,0)</f>
        <v>116.52</v>
      </c>
      <c r="H294">
        <f>VLOOKUP(A294,NYSEARCAMUB!A$2:G$506,3,0)</f>
        <v>113.42</v>
      </c>
      <c r="I294">
        <f>VLOOKUP(A294,NYSEARCAVNQ!A$2:G$506,3,0)</f>
        <v>90.79</v>
      </c>
      <c r="J294">
        <f>VLOOKUP(A294,NYSEARCARWX!A$2:G$506,3,0)</f>
        <v>41.73</v>
      </c>
      <c r="K294">
        <f>VLOOKUP(A294,NYSEARCADBC!A$2:G$506,3,0)</f>
        <v>14.86</v>
      </c>
      <c r="L294">
        <f>VLOOKUP(A294,NYSEARCAGSG!A$2:G$506,3,0)</f>
        <v>14.8</v>
      </c>
      <c r="M294">
        <f>VLOOKUP(A294,NYSEARCAGLD!A$2:G$506,3,0)</f>
        <v>127.35</v>
      </c>
      <c r="N294">
        <f>VLOOKUP(A294,NYSEBP!A$2:G$506,3,0)</f>
        <v>36.14</v>
      </c>
      <c r="O294">
        <f>VLOOKUP(A294,NASDAQYHOO!A$2:G$506,3,0)</f>
        <v>38.49</v>
      </c>
    </row>
    <row r="295" spans="1:15">
      <c r="A295" s="39">
        <v>42571</v>
      </c>
      <c r="B295">
        <v>74.11</v>
      </c>
      <c r="C295">
        <f>VLOOKUP(A295,NYSEARCAVTI!A$2:G$506,3,0)</f>
        <v>111.33</v>
      </c>
      <c r="D295">
        <f>VLOOKUP(A295,NYSEARCAVEU!A$2:G$506,3,0)</f>
        <v>44.11</v>
      </c>
      <c r="E295">
        <f>VLOOKUP(A295,NYSEARCAVWO!A$2:G$506,3,0)</f>
        <v>36.82</v>
      </c>
      <c r="F295">
        <f>VLOOKUP(A295,NYSEARCABND!A$2:G$506,3,0)</f>
        <v>84.16</v>
      </c>
      <c r="G295">
        <f>VLOOKUP(A295,NYSEARCATIP!A$2:G$506,3,0)</f>
        <v>116.22</v>
      </c>
      <c r="H295">
        <f>VLOOKUP(A295,NYSEARCAMUB!A$2:G$506,3,0)</f>
        <v>113.4</v>
      </c>
      <c r="I295">
        <f>VLOOKUP(A295,NYSEARCAVNQ!A$2:G$506,3,0)</f>
        <v>91.04</v>
      </c>
      <c r="J295">
        <f>VLOOKUP(A295,NYSEARCARWX!A$2:G$506,3,0)</f>
        <v>42.24</v>
      </c>
      <c r="K295">
        <f>VLOOKUP(A295,NYSEARCADBC!A$2:G$506,3,0)</f>
        <v>14.77</v>
      </c>
      <c r="L295">
        <f>VLOOKUP(A295,NYSEARCAGSG!A$2:G$506,3,0)</f>
        <v>14.73</v>
      </c>
      <c r="M295">
        <f>VLOOKUP(A295,NYSEARCAGLD!A$2:G$506,3,0)</f>
        <v>126.12</v>
      </c>
      <c r="N295">
        <f>VLOOKUP(A295,NYSEBP!A$2:G$506,3,0)</f>
        <v>36.07</v>
      </c>
      <c r="O295">
        <f>VLOOKUP(A295,NASDAQYHOO!A$2:G$506,3,0)</f>
        <v>38.93</v>
      </c>
    </row>
    <row r="296" spans="1:15">
      <c r="A296" s="39">
        <v>42572</v>
      </c>
      <c r="B296">
        <v>73.66</v>
      </c>
      <c r="C296">
        <f>VLOOKUP(A296,NYSEARCAVTI!A$2:G$506,3,0)</f>
        <v>111.29</v>
      </c>
      <c r="D296">
        <f>VLOOKUP(A296,NYSEARCAVEU!A$2:G$506,3,0)</f>
        <v>44.12</v>
      </c>
      <c r="E296">
        <f>VLOOKUP(A296,NYSEARCAVWO!A$2:G$506,3,0)</f>
        <v>36.82</v>
      </c>
      <c r="F296">
        <f>VLOOKUP(A296,NYSEARCABND!A$2:G$506,3,0)</f>
        <v>84.23</v>
      </c>
      <c r="G296">
        <f>VLOOKUP(A296,NYSEARCATIP!A$2:G$506,3,0)</f>
        <v>116.27</v>
      </c>
      <c r="H296">
        <f>VLOOKUP(A296,NYSEARCAMUB!A$2:G$506,3,0)</f>
        <v>113.35</v>
      </c>
      <c r="I296">
        <f>VLOOKUP(A296,NYSEARCAVNQ!A$2:G$506,3,0)</f>
        <v>90.98</v>
      </c>
      <c r="J296">
        <f>VLOOKUP(A296,NYSEARCARWX!A$2:G$506,3,0)</f>
        <v>42.19</v>
      </c>
      <c r="K296">
        <f>VLOOKUP(A296,NYSEARCADBC!A$2:G$506,3,0)</f>
        <v>14.73</v>
      </c>
      <c r="L296">
        <f>VLOOKUP(A296,NYSEARCAGSG!A$2:G$506,3,0)</f>
        <v>14.68</v>
      </c>
      <c r="M296">
        <f>VLOOKUP(A296,NYSEARCAGLD!A$2:G$506,3,0)</f>
        <v>127.37</v>
      </c>
      <c r="N296">
        <f>VLOOKUP(A296,NYSEBP!A$2:G$506,3,0)</f>
        <v>36.25</v>
      </c>
      <c r="O296">
        <f>VLOOKUP(A296,NASDAQYHOO!A$2:G$506,3,0)</f>
        <v>39.25</v>
      </c>
    </row>
    <row r="297" spans="1:15">
      <c r="A297" s="39">
        <v>42573</v>
      </c>
      <c r="B297">
        <v>73.91</v>
      </c>
      <c r="C297">
        <f>VLOOKUP(A297,NYSEARCAVTI!A$2:G$506,3,0)</f>
        <v>111.36</v>
      </c>
      <c r="D297">
        <f>VLOOKUP(A297,NYSEARCAVEU!A$2:G$506,3,0)</f>
        <v>44.03</v>
      </c>
      <c r="E297">
        <f>VLOOKUP(A297,NYSEARCAVWO!A$2:G$506,3,0)</f>
        <v>36.92</v>
      </c>
      <c r="F297">
        <f>VLOOKUP(A297,NYSEARCABND!A$2:G$506,3,0)</f>
        <v>84.28</v>
      </c>
      <c r="G297">
        <f>VLOOKUP(A297,NYSEARCATIP!A$2:G$506,3,0)</f>
        <v>116.19</v>
      </c>
      <c r="H297">
        <f>VLOOKUP(A297,NYSEARCAMUB!A$2:G$506,3,0)</f>
        <v>113.3</v>
      </c>
      <c r="I297">
        <f>VLOOKUP(A297,NYSEARCAVNQ!A$2:G$506,3,0)</f>
        <v>92.05</v>
      </c>
      <c r="J297">
        <f>VLOOKUP(A297,NYSEARCARWX!A$2:G$506,3,0)</f>
        <v>42.13</v>
      </c>
      <c r="K297">
        <f>VLOOKUP(A297,NYSEARCADBC!A$2:G$506,3,0)</f>
        <v>14.58</v>
      </c>
      <c r="L297">
        <f>VLOOKUP(A297,NYSEARCAGSG!A$2:G$506,3,0)</f>
        <v>14.44</v>
      </c>
      <c r="M297">
        <f>VLOOKUP(A297,NYSEARCAGLD!A$2:G$506,3,0)</f>
        <v>126.52</v>
      </c>
      <c r="N297">
        <f>VLOOKUP(A297,NYSEBP!A$2:G$506,3,0)</f>
        <v>35.92</v>
      </c>
      <c r="O297">
        <f>VLOOKUP(A297,NASDAQYHOO!A$2:G$506,3,0)</f>
        <v>39.42</v>
      </c>
    </row>
    <row r="298" spans="1:15">
      <c r="A298" s="39">
        <v>42576</v>
      </c>
      <c r="B298">
        <v>73.84</v>
      </c>
      <c r="C298">
        <f>VLOOKUP(A298,NYSEARCAVTI!A$2:G$506,3,0)</f>
        <v>111.27</v>
      </c>
      <c r="D298">
        <f>VLOOKUP(A298,NYSEARCAVEU!A$2:G$506,3,0)</f>
        <v>44.05</v>
      </c>
      <c r="E298">
        <f>VLOOKUP(A298,NYSEARCAVWO!A$2:G$506,3,0)</f>
        <v>36.799999999999997</v>
      </c>
      <c r="F298">
        <f>VLOOKUP(A298,NYSEARCABND!A$2:G$506,3,0)</f>
        <v>84.28</v>
      </c>
      <c r="G298">
        <f>VLOOKUP(A298,NYSEARCATIP!A$2:G$506,3,0)</f>
        <v>116.1</v>
      </c>
      <c r="H298">
        <f>VLOOKUP(A298,NYSEARCAMUB!A$2:G$506,3,0)</f>
        <v>113.34</v>
      </c>
      <c r="I298">
        <f>VLOOKUP(A298,NYSEARCAVNQ!A$2:G$506,3,0)</f>
        <v>92.14</v>
      </c>
      <c r="J298">
        <f>VLOOKUP(A298,NYSEARCARWX!A$2:G$506,3,0)</f>
        <v>42.2</v>
      </c>
      <c r="K298">
        <f>VLOOKUP(A298,NYSEARCADBC!A$2:G$506,3,0)</f>
        <v>14.47</v>
      </c>
      <c r="L298">
        <f>VLOOKUP(A298,NYSEARCAGSG!A$2:G$506,3,0)</f>
        <v>14.31</v>
      </c>
      <c r="M298">
        <f>VLOOKUP(A298,NYSEARCAGLD!A$2:G$506,3,0)</f>
        <v>126.21</v>
      </c>
      <c r="N298">
        <f>VLOOKUP(A298,NYSEBP!A$2:G$506,3,0)</f>
        <v>35.49</v>
      </c>
      <c r="O298">
        <f>VLOOKUP(A298,NASDAQYHOO!A$2:G$506,3,0)</f>
        <v>39.21</v>
      </c>
    </row>
    <row r="299" spans="1:15">
      <c r="A299" s="39">
        <v>42577</v>
      </c>
      <c r="B299">
        <v>74.069999999999993</v>
      </c>
      <c r="C299">
        <f>VLOOKUP(A299,NYSEARCAVTI!A$2:G$506,3,0)</f>
        <v>111.34</v>
      </c>
      <c r="D299">
        <f>VLOOKUP(A299,NYSEARCAVEU!A$2:G$506,3,0)</f>
        <v>44.2</v>
      </c>
      <c r="E299">
        <f>VLOOKUP(A299,NYSEARCAVWO!A$2:G$506,3,0)</f>
        <v>36.86</v>
      </c>
      <c r="F299">
        <f>VLOOKUP(A299,NYSEARCABND!A$2:G$506,3,0)</f>
        <v>84.27</v>
      </c>
      <c r="G299">
        <f>VLOOKUP(A299,NYSEARCATIP!A$2:G$506,3,0)</f>
        <v>116.05</v>
      </c>
      <c r="H299">
        <f>VLOOKUP(A299,NYSEARCAMUB!A$2:G$506,3,0)</f>
        <v>113.34</v>
      </c>
      <c r="I299">
        <f>VLOOKUP(A299,NYSEARCAVNQ!A$2:G$506,3,0)</f>
        <v>91.97</v>
      </c>
      <c r="J299">
        <f>VLOOKUP(A299,NYSEARCARWX!A$2:G$506,3,0)</f>
        <v>42.59</v>
      </c>
      <c r="K299">
        <f>VLOOKUP(A299,NYSEARCADBC!A$2:G$506,3,0)</f>
        <v>14.41</v>
      </c>
      <c r="L299">
        <f>VLOOKUP(A299,NYSEARCAGSG!A$2:G$506,3,0)</f>
        <v>14.25</v>
      </c>
      <c r="M299">
        <f>VLOOKUP(A299,NYSEARCAGLD!A$2:G$506,3,0)</f>
        <v>126.14</v>
      </c>
      <c r="N299">
        <f>VLOOKUP(A299,NYSEBP!A$2:G$506,3,0)</f>
        <v>34.67</v>
      </c>
      <c r="O299">
        <f>VLOOKUP(A299,NASDAQYHOO!A$2:G$506,3,0)</f>
        <v>38.83</v>
      </c>
    </row>
    <row r="300" spans="1:15">
      <c r="A300" s="39">
        <v>42578</v>
      </c>
      <c r="B300">
        <v>73.819999999999993</v>
      </c>
      <c r="C300">
        <f>VLOOKUP(A300,NYSEARCAVTI!A$2:G$506,3,0)</f>
        <v>111.42</v>
      </c>
      <c r="D300">
        <f>VLOOKUP(A300,NYSEARCAVEU!A$2:G$506,3,0)</f>
        <v>44.36</v>
      </c>
      <c r="E300">
        <f>VLOOKUP(A300,NYSEARCAVWO!A$2:G$506,3,0)</f>
        <v>36.979999999999997</v>
      </c>
      <c r="F300">
        <f>VLOOKUP(A300,NYSEARCABND!A$2:G$506,3,0)</f>
        <v>84.42</v>
      </c>
      <c r="G300">
        <f>VLOOKUP(A300,NYSEARCATIP!A$2:G$506,3,0)</f>
        <v>116.48</v>
      </c>
      <c r="H300">
        <f>VLOOKUP(A300,NYSEARCAMUB!A$2:G$506,3,0)</f>
        <v>113.53</v>
      </c>
      <c r="I300">
        <f>VLOOKUP(A300,NYSEARCAVNQ!A$2:G$506,3,0)</f>
        <v>91.14</v>
      </c>
      <c r="J300">
        <f>VLOOKUP(A300,NYSEARCARWX!A$2:G$506,3,0)</f>
        <v>42.49</v>
      </c>
      <c r="K300">
        <f>VLOOKUP(A300,NYSEARCADBC!A$2:G$506,3,0)</f>
        <v>14.42</v>
      </c>
      <c r="L300">
        <f>VLOOKUP(A300,NYSEARCAGSG!A$2:G$506,3,0)</f>
        <v>14.27</v>
      </c>
      <c r="M300">
        <f>VLOOKUP(A300,NYSEARCAGLD!A$2:G$506,3,0)</f>
        <v>128.12</v>
      </c>
      <c r="N300">
        <f>VLOOKUP(A300,NYSEBP!A$2:G$506,3,0)</f>
        <v>35.17</v>
      </c>
      <c r="O300">
        <f>VLOOKUP(A300,NASDAQYHOO!A$2:G$506,3,0)</f>
        <v>38.770000000000003</v>
      </c>
    </row>
    <row r="301" spans="1:15">
      <c r="A301" s="39">
        <v>42579</v>
      </c>
      <c r="B301">
        <v>73.319999999999993</v>
      </c>
      <c r="C301">
        <f>VLOOKUP(A301,NYSEARCAVTI!A$2:G$506,3,0)</f>
        <v>111.38</v>
      </c>
      <c r="D301">
        <f>VLOOKUP(A301,NYSEARCAVEU!A$2:G$506,3,0)</f>
        <v>44.26</v>
      </c>
      <c r="E301">
        <f>VLOOKUP(A301,NYSEARCAVWO!A$2:G$506,3,0)</f>
        <v>36.86</v>
      </c>
      <c r="F301">
        <f>VLOOKUP(A301,NYSEARCABND!A$2:G$506,3,0)</f>
        <v>84.45</v>
      </c>
      <c r="G301">
        <f>VLOOKUP(A301,NYSEARCATIP!A$2:G$506,3,0)</f>
        <v>116.68</v>
      </c>
      <c r="H301">
        <f>VLOOKUP(A301,NYSEARCAMUB!A$2:G$506,3,0)</f>
        <v>113.51</v>
      </c>
      <c r="I301">
        <f>VLOOKUP(A301,NYSEARCAVNQ!A$2:G$506,3,0)</f>
        <v>91.64</v>
      </c>
      <c r="J301">
        <f>VLOOKUP(A301,NYSEARCARWX!A$2:G$506,3,0)</f>
        <v>42.67</v>
      </c>
      <c r="K301">
        <f>VLOOKUP(A301,NYSEARCADBC!A$2:G$506,3,0)</f>
        <v>14.25</v>
      </c>
      <c r="L301">
        <f>VLOOKUP(A301,NYSEARCAGSG!A$2:G$506,3,0)</f>
        <v>14.04</v>
      </c>
      <c r="M301">
        <f>VLOOKUP(A301,NYSEARCAGLD!A$2:G$506,3,0)</f>
        <v>128.19999999999999</v>
      </c>
      <c r="N301">
        <f>VLOOKUP(A301,NYSEBP!A$2:G$506,3,0)</f>
        <v>34.47</v>
      </c>
      <c r="O301">
        <f>VLOOKUP(A301,NASDAQYHOO!A$2:G$506,3,0)</f>
        <v>38.64</v>
      </c>
    </row>
    <row r="302" spans="1:15">
      <c r="A302" s="39">
        <v>42580</v>
      </c>
      <c r="B302">
        <v>73.25</v>
      </c>
      <c r="C302">
        <f>VLOOKUP(A302,NYSEARCAVTI!A$2:G$506,3,0)</f>
        <v>111.62</v>
      </c>
      <c r="D302">
        <f>VLOOKUP(A302,NYSEARCAVEU!A$2:G$506,3,0)</f>
        <v>44.72</v>
      </c>
      <c r="E302">
        <f>VLOOKUP(A302,NYSEARCAVWO!A$2:G$506,3,0)</f>
        <v>37.1</v>
      </c>
      <c r="F302">
        <f>VLOOKUP(A302,NYSEARCABND!A$2:G$506,3,0)</f>
        <v>84.64</v>
      </c>
      <c r="G302">
        <f>VLOOKUP(A302,NYSEARCATIP!A$2:G$506,3,0)</f>
        <v>117.08</v>
      </c>
      <c r="H302">
        <f>VLOOKUP(A302,NYSEARCAMUB!A$2:G$506,3,0)</f>
        <v>113.66</v>
      </c>
      <c r="I302">
        <f>VLOOKUP(A302,NYSEARCAVNQ!A$2:G$506,3,0)</f>
        <v>92.92</v>
      </c>
      <c r="J302">
        <f>VLOOKUP(A302,NYSEARCARWX!A$2:G$506,3,0)</f>
        <v>42.97</v>
      </c>
      <c r="K302">
        <f>VLOOKUP(A302,NYSEARCADBC!A$2:G$506,3,0)</f>
        <v>14.31</v>
      </c>
      <c r="L302">
        <f>VLOOKUP(A302,NYSEARCAGSG!A$2:G$506,3,0)</f>
        <v>13.99</v>
      </c>
      <c r="M302">
        <f>VLOOKUP(A302,NYSEARCAGLD!A$2:G$506,3,0)</f>
        <v>129.41</v>
      </c>
      <c r="N302">
        <f>VLOOKUP(A302,NYSEBP!A$2:G$506,3,0)</f>
        <v>34.43</v>
      </c>
      <c r="O302">
        <f>VLOOKUP(A302,NASDAQYHOO!A$2:G$506,3,0)</f>
        <v>38.520000000000003</v>
      </c>
    </row>
    <row r="303" spans="1:15">
      <c r="A303" s="39">
        <v>42583</v>
      </c>
      <c r="B303">
        <v>73.989999999999995</v>
      </c>
      <c r="C303">
        <f>VLOOKUP(A303,NYSEARCAVTI!A$2:G$506,3,0)</f>
        <v>111.67</v>
      </c>
      <c r="D303">
        <f>VLOOKUP(A303,NYSEARCAVEU!A$2:G$506,3,0)</f>
        <v>44.68</v>
      </c>
      <c r="E303">
        <f>VLOOKUP(A303,NYSEARCAVWO!A$2:G$506,3,0)</f>
        <v>37.130000000000003</v>
      </c>
      <c r="F303">
        <f>VLOOKUP(A303,NYSEARCABND!A$2:G$506,3,0)</f>
        <v>84.44</v>
      </c>
      <c r="G303">
        <f>VLOOKUP(A303,NYSEARCATIP!A$2:G$506,3,0)</f>
        <v>116.17</v>
      </c>
      <c r="H303">
        <f>VLOOKUP(A303,NYSEARCAMUB!A$2:G$506,3,0)</f>
        <v>113.29</v>
      </c>
      <c r="I303">
        <f>VLOOKUP(A303,NYSEARCAVNQ!A$2:G$506,3,0)</f>
        <v>92.75</v>
      </c>
      <c r="J303">
        <f>VLOOKUP(A303,NYSEARCARWX!A$2:G$506,3,0)</f>
        <v>42.86</v>
      </c>
      <c r="K303">
        <f>VLOOKUP(A303,NYSEARCADBC!A$2:G$506,3,0)</f>
        <v>14.19</v>
      </c>
      <c r="L303">
        <f>VLOOKUP(A303,NYSEARCAGSG!A$2:G$506,3,0)</f>
        <v>13.93</v>
      </c>
      <c r="M303">
        <f>VLOOKUP(A303,NYSEARCAGLD!A$2:G$506,3,0)</f>
        <v>129.34</v>
      </c>
      <c r="N303">
        <f>VLOOKUP(A303,NYSEBP!A$2:G$506,3,0)</f>
        <v>33.94</v>
      </c>
      <c r="O303">
        <f>VLOOKUP(A303,NASDAQYHOO!A$2:G$506,3,0)</f>
        <v>38.89</v>
      </c>
    </row>
    <row r="304" spans="1:15">
      <c r="A304" s="39">
        <v>42584</v>
      </c>
      <c r="B304">
        <v>73.72</v>
      </c>
      <c r="C304">
        <f>VLOOKUP(A304,NYSEARCAVTI!A$2:G$506,3,0)</f>
        <v>111.23</v>
      </c>
      <c r="D304">
        <f>VLOOKUP(A304,NYSEARCAVEU!A$2:G$506,3,0)</f>
        <v>44.42</v>
      </c>
      <c r="E304">
        <f>VLOOKUP(A304,NYSEARCAVWO!A$2:G$506,3,0)</f>
        <v>36.93</v>
      </c>
      <c r="F304">
        <f>VLOOKUP(A304,NYSEARCABND!A$2:G$506,3,0)</f>
        <v>84.25</v>
      </c>
      <c r="G304">
        <f>VLOOKUP(A304,NYSEARCATIP!A$2:G$506,3,0)</f>
        <v>115.58</v>
      </c>
      <c r="H304">
        <f>VLOOKUP(A304,NYSEARCAMUB!A$2:G$506,3,0)</f>
        <v>113.2</v>
      </c>
      <c r="I304">
        <f>VLOOKUP(A304,NYSEARCAVNQ!A$2:G$506,3,0)</f>
        <v>92.54</v>
      </c>
      <c r="J304">
        <f>VLOOKUP(A304,NYSEARCARWX!A$2:G$506,3,0)</f>
        <v>42.73</v>
      </c>
      <c r="K304">
        <f>VLOOKUP(A304,NYSEARCADBC!A$2:G$506,3,0)</f>
        <v>14.23</v>
      </c>
      <c r="L304">
        <f>VLOOKUP(A304,NYSEARCAGSG!A$2:G$506,3,0)</f>
        <v>13.92</v>
      </c>
      <c r="M304">
        <f>VLOOKUP(A304,NYSEARCAGLD!A$2:G$506,3,0)</f>
        <v>130.55000000000001</v>
      </c>
      <c r="N304">
        <f>VLOOKUP(A304,NYSEBP!A$2:G$506,3,0)</f>
        <v>33.74</v>
      </c>
      <c r="O304">
        <f>VLOOKUP(A304,NASDAQYHOO!A$2:G$506,3,0)</f>
        <v>38.67</v>
      </c>
    </row>
    <row r="305" spans="1:15">
      <c r="A305" s="39">
        <v>42585</v>
      </c>
      <c r="B305">
        <v>73.400000000000006</v>
      </c>
      <c r="C305">
        <f>VLOOKUP(A305,NYSEARCAVTI!A$2:G$506,3,0)</f>
        <v>110.86</v>
      </c>
      <c r="D305">
        <f>VLOOKUP(A305,NYSEARCAVEU!A$2:G$506,3,0)</f>
        <v>44.13</v>
      </c>
      <c r="E305">
        <f>VLOOKUP(A305,NYSEARCAVWO!A$2:G$506,3,0)</f>
        <v>36.94</v>
      </c>
      <c r="F305">
        <f>VLOOKUP(A305,NYSEARCABND!A$2:G$506,3,0)</f>
        <v>84.18</v>
      </c>
      <c r="G305">
        <f>VLOOKUP(A305,NYSEARCATIP!A$2:G$506,3,0)</f>
        <v>115.56</v>
      </c>
      <c r="H305">
        <f>VLOOKUP(A305,NYSEARCAMUB!A$2:G$506,3,0)</f>
        <v>113.22</v>
      </c>
      <c r="I305">
        <f>VLOOKUP(A305,NYSEARCAVNQ!A$2:G$506,3,0)</f>
        <v>91.23</v>
      </c>
      <c r="J305">
        <f>VLOOKUP(A305,NYSEARCARWX!A$2:G$506,3,0)</f>
        <v>42.28</v>
      </c>
      <c r="K305">
        <f>VLOOKUP(A305,NYSEARCADBC!A$2:G$506,3,0)</f>
        <v>14.24</v>
      </c>
      <c r="L305">
        <f>VLOOKUP(A305,NYSEARCAGSG!A$2:G$506,3,0)</f>
        <v>13.96</v>
      </c>
      <c r="M305">
        <f>VLOOKUP(A305,NYSEARCAGLD!A$2:G$506,3,0)</f>
        <v>129.96</v>
      </c>
      <c r="N305">
        <f>VLOOKUP(A305,NYSEBP!A$2:G$506,3,0)</f>
        <v>33.03</v>
      </c>
      <c r="O305">
        <f>VLOOKUP(A305,NASDAQYHOO!A$2:G$506,3,0)</f>
        <v>38.549999999999997</v>
      </c>
    </row>
    <row r="306" spans="1:15">
      <c r="A306" s="39">
        <v>42586</v>
      </c>
      <c r="B306">
        <v>73.489999999999995</v>
      </c>
      <c r="C306">
        <f>VLOOKUP(A306,NYSEARCAVTI!A$2:G$506,3,0)</f>
        <v>111.18</v>
      </c>
      <c r="D306">
        <f>VLOOKUP(A306,NYSEARCAVEU!A$2:G$506,3,0)</f>
        <v>44.4</v>
      </c>
      <c r="E306">
        <f>VLOOKUP(A306,NYSEARCAVWO!A$2:G$506,3,0)</f>
        <v>37.24</v>
      </c>
      <c r="F306">
        <f>VLOOKUP(A306,NYSEARCABND!A$2:G$506,3,0)</f>
        <v>84.38</v>
      </c>
      <c r="G306">
        <f>VLOOKUP(A306,NYSEARCATIP!A$2:G$506,3,0)</f>
        <v>116.36</v>
      </c>
      <c r="H306">
        <f>VLOOKUP(A306,NYSEARCAMUB!A$2:G$506,3,0)</f>
        <v>113.37</v>
      </c>
      <c r="I306">
        <f>VLOOKUP(A306,NYSEARCAVNQ!A$2:G$506,3,0)</f>
        <v>90.92</v>
      </c>
      <c r="J306">
        <f>VLOOKUP(A306,NYSEARCARWX!A$2:G$506,3,0)</f>
        <v>42.64</v>
      </c>
      <c r="K306">
        <f>VLOOKUP(A306,NYSEARCADBC!A$2:G$506,3,0)</f>
        <v>14.36</v>
      </c>
      <c r="L306">
        <f>VLOOKUP(A306,NYSEARCAGSG!A$2:G$506,3,0)</f>
        <v>14.11</v>
      </c>
      <c r="M306">
        <f>VLOOKUP(A306,NYSEARCAGLD!A$2:G$506,3,0)</f>
        <v>130.28</v>
      </c>
      <c r="N306">
        <f>VLOOKUP(A306,NYSEBP!A$2:G$506,3,0)</f>
        <v>33.299999999999997</v>
      </c>
      <c r="O306">
        <f>VLOOKUP(A306,NASDAQYHOO!A$2:G$506,3,0)</f>
        <v>39.03</v>
      </c>
    </row>
    <row r="307" spans="1:15">
      <c r="A307" s="39">
        <v>42587</v>
      </c>
      <c r="B307">
        <v>73.95</v>
      </c>
      <c r="C307">
        <f>VLOOKUP(A307,NYSEARCAVTI!A$2:G$506,3,0)</f>
        <v>111.92</v>
      </c>
      <c r="D307">
        <f>VLOOKUP(A307,NYSEARCAVEU!A$2:G$506,3,0)</f>
        <v>44.63</v>
      </c>
      <c r="E307">
        <f>VLOOKUP(A307,NYSEARCAVWO!A$2:G$506,3,0)</f>
        <v>37.51</v>
      </c>
      <c r="F307">
        <f>VLOOKUP(A307,NYSEARCABND!A$2:G$506,3,0)</f>
        <v>84.25</v>
      </c>
      <c r="G307">
        <f>VLOOKUP(A307,NYSEARCATIP!A$2:G$506,3,0)</f>
        <v>115.96</v>
      </c>
      <c r="H307">
        <f>VLOOKUP(A307,NYSEARCAMUB!A$2:G$506,3,0)</f>
        <v>113.23</v>
      </c>
      <c r="I307">
        <f>VLOOKUP(A307,NYSEARCAVNQ!A$2:G$506,3,0)</f>
        <v>90.6</v>
      </c>
      <c r="J307">
        <f>VLOOKUP(A307,NYSEARCARWX!A$2:G$506,3,0)</f>
        <v>42.71</v>
      </c>
      <c r="K307">
        <f>VLOOKUP(A307,NYSEARCADBC!A$2:G$506,3,0)</f>
        <v>14.36</v>
      </c>
      <c r="L307">
        <f>VLOOKUP(A307,NYSEARCAGSG!A$2:G$506,3,0)</f>
        <v>14.13</v>
      </c>
      <c r="M307">
        <f>VLOOKUP(A307,NYSEARCAGLD!A$2:G$506,3,0)</f>
        <v>128.55000000000001</v>
      </c>
      <c r="N307">
        <f>VLOOKUP(A307,NYSEBP!A$2:G$506,3,0)</f>
        <v>33.31</v>
      </c>
      <c r="O307">
        <f>VLOOKUP(A307,NASDAQYHOO!A$2:G$506,3,0)</f>
        <v>39.15</v>
      </c>
    </row>
    <row r="308" spans="1:15">
      <c r="A308" s="39">
        <v>42590</v>
      </c>
      <c r="B308">
        <v>74.069999999999993</v>
      </c>
      <c r="C308">
        <f>VLOOKUP(A308,NYSEARCAVTI!A$2:G$506,3,0)</f>
        <v>112.12</v>
      </c>
      <c r="D308">
        <f>VLOOKUP(A308,NYSEARCAVEU!A$2:G$506,3,0)</f>
        <v>44.81</v>
      </c>
      <c r="E308">
        <f>VLOOKUP(A308,NYSEARCAVWO!A$2:G$506,3,0)</f>
        <v>37.799999999999997</v>
      </c>
      <c r="F308">
        <f>VLOOKUP(A308,NYSEARCABND!A$2:G$506,3,0)</f>
        <v>84.07</v>
      </c>
      <c r="G308">
        <f>VLOOKUP(A308,NYSEARCATIP!A$2:G$506,3,0)</f>
        <v>116</v>
      </c>
      <c r="H308">
        <f>VLOOKUP(A308,NYSEARCAMUB!A$2:G$506,3,0)</f>
        <v>113.24</v>
      </c>
      <c r="I308">
        <f>VLOOKUP(A308,NYSEARCAVNQ!A$2:G$506,3,0)</f>
        <v>90.91</v>
      </c>
      <c r="J308">
        <f>VLOOKUP(A308,NYSEARCARWX!A$2:G$506,3,0)</f>
        <v>42.78</v>
      </c>
      <c r="K308">
        <f>VLOOKUP(A308,NYSEARCADBC!A$2:G$506,3,0)</f>
        <v>14.52</v>
      </c>
      <c r="L308">
        <f>VLOOKUP(A308,NYSEARCAGSG!A$2:G$506,3,0)</f>
        <v>14.34</v>
      </c>
      <c r="M308">
        <f>VLOOKUP(A308,NYSEARCAGLD!A$2:G$506,3,0)</f>
        <v>127.7</v>
      </c>
      <c r="N308">
        <f>VLOOKUP(A308,NYSEBP!A$2:G$506,3,0)</f>
        <v>33.380000000000003</v>
      </c>
      <c r="O308">
        <f>VLOOKUP(A308,NASDAQYHOO!A$2:G$506,3,0)</f>
        <v>39.270000000000003</v>
      </c>
    </row>
    <row r="309" spans="1:15">
      <c r="A309" s="39">
        <v>42591</v>
      </c>
      <c r="B309">
        <v>73.88</v>
      </c>
      <c r="C309">
        <f>VLOOKUP(A309,NYSEARCAVTI!A$2:G$506,3,0)</f>
        <v>112.18</v>
      </c>
      <c r="D309">
        <f>VLOOKUP(A309,NYSEARCAVEU!A$2:G$506,3,0)</f>
        <v>45.24</v>
      </c>
      <c r="E309">
        <f>VLOOKUP(A309,NYSEARCAVWO!A$2:G$506,3,0)</f>
        <v>38.090000000000003</v>
      </c>
      <c r="F309">
        <f>VLOOKUP(A309,NYSEARCABND!A$2:G$506,3,0)</f>
        <v>84.25</v>
      </c>
      <c r="G309">
        <f>VLOOKUP(A309,NYSEARCATIP!A$2:G$506,3,0)</f>
        <v>116.1</v>
      </c>
      <c r="H309">
        <f>VLOOKUP(A309,NYSEARCAMUB!A$2:G$506,3,0)</f>
        <v>113.29</v>
      </c>
      <c r="I309">
        <f>VLOOKUP(A309,NYSEARCAVNQ!A$2:G$506,3,0)</f>
        <v>90.98</v>
      </c>
      <c r="J309">
        <f>VLOOKUP(A309,NYSEARCARWX!A$2:G$506,3,0)</f>
        <v>42.82</v>
      </c>
      <c r="K309">
        <f>VLOOKUP(A309,NYSEARCADBC!A$2:G$506,3,0)</f>
        <v>14.54</v>
      </c>
      <c r="L309">
        <f>VLOOKUP(A309,NYSEARCAGSG!A$2:G$506,3,0)</f>
        <v>14.33</v>
      </c>
      <c r="M309">
        <f>VLOOKUP(A309,NYSEARCAGLD!A$2:G$506,3,0)</f>
        <v>128.13999999999999</v>
      </c>
      <c r="N309">
        <f>VLOOKUP(A309,NYSEBP!A$2:G$506,3,0)</f>
        <v>33.64</v>
      </c>
      <c r="O309">
        <f>VLOOKUP(A309,NASDAQYHOO!A$2:G$506,3,0)</f>
        <v>39.31</v>
      </c>
    </row>
    <row r="310" spans="1:15">
      <c r="A310" s="39">
        <v>42592</v>
      </c>
      <c r="B310">
        <v>74.510000000000005</v>
      </c>
      <c r="C310">
        <f>VLOOKUP(A310,NYSEARCAVTI!A$2:G$506,3,0)</f>
        <v>112.05</v>
      </c>
      <c r="D310">
        <f>VLOOKUP(A310,NYSEARCAVEU!A$2:G$506,3,0)</f>
        <v>45.4</v>
      </c>
      <c r="E310">
        <f>VLOOKUP(A310,NYSEARCAVWO!A$2:G$506,3,0)</f>
        <v>38.130000000000003</v>
      </c>
      <c r="F310">
        <f>VLOOKUP(A310,NYSEARCABND!A$2:G$506,3,0)</f>
        <v>84.39</v>
      </c>
      <c r="G310">
        <f>VLOOKUP(A310,NYSEARCATIP!A$2:G$506,3,0)</f>
        <v>116.24</v>
      </c>
      <c r="H310">
        <f>VLOOKUP(A310,NYSEARCAMUB!A$2:G$506,3,0)</f>
        <v>113.33</v>
      </c>
      <c r="I310">
        <f>VLOOKUP(A310,NYSEARCAVNQ!A$2:G$506,3,0)</f>
        <v>91.4</v>
      </c>
      <c r="J310">
        <f>VLOOKUP(A310,NYSEARCARWX!A$2:G$506,3,0)</f>
        <v>43.06</v>
      </c>
      <c r="K310">
        <f>VLOOKUP(A310,NYSEARCADBC!A$2:G$506,3,0)</f>
        <v>14.55</v>
      </c>
      <c r="L310">
        <f>VLOOKUP(A310,NYSEARCAGSG!A$2:G$506,3,0)</f>
        <v>14.34</v>
      </c>
      <c r="M310">
        <f>VLOOKUP(A310,NYSEARCAGLD!A$2:G$506,3,0)</f>
        <v>129.19999999999999</v>
      </c>
      <c r="N310">
        <f>VLOOKUP(A310,NYSEBP!A$2:G$506,3,0)</f>
        <v>33.49</v>
      </c>
      <c r="O310">
        <f>VLOOKUP(A310,NASDAQYHOO!A$2:G$506,3,0)</f>
        <v>39.979999999999997</v>
      </c>
    </row>
    <row r="311" spans="1:15">
      <c r="A311" s="39">
        <v>42593</v>
      </c>
      <c r="B311">
        <v>74.8</v>
      </c>
      <c r="C311">
        <f>VLOOKUP(A311,NYSEARCAVTI!A$2:G$506,3,0)</f>
        <v>112.26</v>
      </c>
      <c r="D311">
        <f>VLOOKUP(A311,NYSEARCAVEU!A$2:G$506,3,0)</f>
        <v>45.68</v>
      </c>
      <c r="E311">
        <f>VLOOKUP(A311,NYSEARCAVWO!A$2:G$506,3,0)</f>
        <v>38.36</v>
      </c>
      <c r="F311">
        <f>VLOOKUP(A311,NYSEARCABND!A$2:G$506,3,0)</f>
        <v>84.39</v>
      </c>
      <c r="G311">
        <f>VLOOKUP(A311,NYSEARCATIP!A$2:G$506,3,0)</f>
        <v>116.11</v>
      </c>
      <c r="H311">
        <f>VLOOKUP(A311,NYSEARCAMUB!A$2:G$506,3,0)</f>
        <v>113.37</v>
      </c>
      <c r="I311">
        <f>VLOOKUP(A311,NYSEARCAVNQ!A$2:G$506,3,0)</f>
        <v>90.89</v>
      </c>
      <c r="J311">
        <f>VLOOKUP(A311,NYSEARCARWX!A$2:G$506,3,0)</f>
        <v>42.94</v>
      </c>
      <c r="K311">
        <f>VLOOKUP(A311,NYSEARCADBC!A$2:G$506,3,0)</f>
        <v>14.54</v>
      </c>
      <c r="L311">
        <f>VLOOKUP(A311,NYSEARCAGSG!A$2:G$506,3,0)</f>
        <v>14.37</v>
      </c>
      <c r="M311">
        <f>VLOOKUP(A311,NYSEARCAGLD!A$2:G$506,3,0)</f>
        <v>129.19</v>
      </c>
      <c r="N311">
        <f>VLOOKUP(A311,NYSEBP!A$2:G$506,3,0)</f>
        <v>33.85</v>
      </c>
      <c r="O311">
        <f>VLOOKUP(A311,NASDAQYHOO!A$2:G$506,3,0)</f>
        <v>41.73</v>
      </c>
    </row>
    <row r="312" spans="1:15">
      <c r="A312" s="39">
        <v>42594</v>
      </c>
      <c r="B312">
        <v>74.12</v>
      </c>
      <c r="C312">
        <f>VLOOKUP(A312,NYSEARCAVTI!A$2:G$506,3,0)</f>
        <v>112.17</v>
      </c>
      <c r="D312">
        <f>VLOOKUP(A312,NYSEARCAVEU!A$2:G$506,3,0)</f>
        <v>45.69</v>
      </c>
      <c r="E312">
        <f>VLOOKUP(A312,NYSEARCAVWO!A$2:G$506,3,0)</f>
        <v>38.340000000000003</v>
      </c>
      <c r="F312">
        <f>VLOOKUP(A312,NYSEARCABND!A$2:G$506,3,0)</f>
        <v>84.47</v>
      </c>
      <c r="G312">
        <f>VLOOKUP(A312,NYSEARCATIP!A$2:G$506,3,0)</f>
        <v>116.34</v>
      </c>
      <c r="H312">
        <f>VLOOKUP(A312,NYSEARCAMUB!A$2:G$506,3,0)</f>
        <v>113.51</v>
      </c>
      <c r="I312">
        <f>VLOOKUP(A312,NYSEARCAVNQ!A$2:G$506,3,0)</f>
        <v>91.06</v>
      </c>
      <c r="J312">
        <f>VLOOKUP(A312,NYSEARCARWX!A$2:G$506,3,0)</f>
        <v>42.92</v>
      </c>
      <c r="K312">
        <f>VLOOKUP(A312,NYSEARCADBC!A$2:G$506,3,0)</f>
        <v>14.59</v>
      </c>
      <c r="L312">
        <f>VLOOKUP(A312,NYSEARCAGSG!A$2:G$506,3,0)</f>
        <v>14.5</v>
      </c>
      <c r="M312">
        <f>VLOOKUP(A312,NYSEARCAGLD!A$2:G$506,3,0)</f>
        <v>129.26</v>
      </c>
      <c r="N312">
        <f>VLOOKUP(A312,NYSEBP!A$2:G$506,3,0)</f>
        <v>33.869999999999997</v>
      </c>
      <c r="O312">
        <f>VLOOKUP(A312,NASDAQYHOO!A$2:G$506,3,0)</f>
        <v>42.98</v>
      </c>
    </row>
    <row r="313" spans="1:15">
      <c r="A313" s="39">
        <v>42597</v>
      </c>
      <c r="B313">
        <v>74.010000000000005</v>
      </c>
      <c r="C313">
        <f>VLOOKUP(A313,NYSEARCAVTI!A$2:G$506,3,0)</f>
        <v>112.64</v>
      </c>
      <c r="D313">
        <f>VLOOKUP(A313,NYSEARCAVEU!A$2:G$506,3,0)</f>
        <v>45.85</v>
      </c>
      <c r="E313">
        <f>VLOOKUP(A313,NYSEARCAVWO!A$2:G$506,3,0)</f>
        <v>38.67</v>
      </c>
      <c r="F313">
        <f>VLOOKUP(A313,NYSEARCABND!A$2:G$506,3,0)</f>
        <v>84.32</v>
      </c>
      <c r="G313">
        <f>VLOOKUP(A313,NYSEARCATIP!A$2:G$506,3,0)</f>
        <v>116.16</v>
      </c>
      <c r="H313">
        <f>VLOOKUP(A313,NYSEARCAMUB!A$2:G$506,3,0)</f>
        <v>113.44</v>
      </c>
      <c r="I313">
        <f>VLOOKUP(A313,NYSEARCAVNQ!A$2:G$506,3,0)</f>
        <v>90.68</v>
      </c>
      <c r="J313">
        <f>VLOOKUP(A313,NYSEARCARWX!A$2:G$506,3,0)</f>
        <v>43.09</v>
      </c>
      <c r="K313">
        <f>VLOOKUP(A313,NYSEARCADBC!A$2:G$506,3,0)</f>
        <v>14.81</v>
      </c>
      <c r="L313">
        <f>VLOOKUP(A313,NYSEARCAGSG!A$2:G$506,3,0)</f>
        <v>14.75</v>
      </c>
      <c r="M313">
        <f>VLOOKUP(A313,NYSEARCAGLD!A$2:G$506,3,0)</f>
        <v>128.25</v>
      </c>
      <c r="N313">
        <f>VLOOKUP(A313,NYSEBP!A$2:G$506,3,0)</f>
        <v>34.06</v>
      </c>
      <c r="O313">
        <f>VLOOKUP(A313,NASDAQYHOO!A$2:G$506,3,0)</f>
        <v>43.29</v>
      </c>
    </row>
    <row r="314" spans="1:15">
      <c r="A314" s="39">
        <v>42598</v>
      </c>
      <c r="B314">
        <v>73.31</v>
      </c>
      <c r="C314">
        <f>VLOOKUP(A314,NYSEARCAVTI!A$2:G$506,3,0)</f>
        <v>112.24</v>
      </c>
      <c r="D314">
        <f>VLOOKUP(A314,NYSEARCAVEU!A$2:G$506,3,0)</f>
        <v>45.75</v>
      </c>
      <c r="E314">
        <f>VLOOKUP(A314,NYSEARCAVWO!A$2:G$506,3,0)</f>
        <v>38.53</v>
      </c>
      <c r="F314">
        <f>VLOOKUP(A314,NYSEARCABND!A$2:G$506,3,0)</f>
        <v>84.23</v>
      </c>
      <c r="G314">
        <f>VLOOKUP(A314,NYSEARCATIP!A$2:G$506,3,0)</f>
        <v>115.72</v>
      </c>
      <c r="H314">
        <f>VLOOKUP(A314,NYSEARCAMUB!A$2:G$506,3,0)</f>
        <v>113.54</v>
      </c>
      <c r="I314">
        <f>VLOOKUP(A314,NYSEARCAVNQ!A$2:G$506,3,0)</f>
        <v>89.95</v>
      </c>
      <c r="J314">
        <f>VLOOKUP(A314,NYSEARCARWX!A$2:G$506,3,0)</f>
        <v>42.93</v>
      </c>
      <c r="K314">
        <f>VLOOKUP(A314,NYSEARCADBC!A$2:G$506,3,0)</f>
        <v>14.94</v>
      </c>
      <c r="L314">
        <f>VLOOKUP(A314,NYSEARCAGSG!A$2:G$506,3,0)</f>
        <v>14.88</v>
      </c>
      <c r="M314">
        <f>VLOOKUP(A314,NYSEARCAGLD!A$2:G$506,3,0)</f>
        <v>129.04</v>
      </c>
      <c r="N314">
        <f>VLOOKUP(A314,NYSEBP!A$2:G$506,3,0)</f>
        <v>34.32</v>
      </c>
      <c r="O314">
        <f>VLOOKUP(A314,NASDAQYHOO!A$2:G$506,3,0)</f>
        <v>42.79</v>
      </c>
    </row>
    <row r="315" spans="1:15">
      <c r="A315" s="39">
        <v>42599</v>
      </c>
      <c r="B315">
        <v>72.95</v>
      </c>
      <c r="C315">
        <f>VLOOKUP(A315,NYSEARCAVTI!A$2:G$506,3,0)</f>
        <v>112.03</v>
      </c>
      <c r="D315">
        <f>VLOOKUP(A315,NYSEARCAVEU!A$2:G$506,3,0)</f>
        <v>45.7</v>
      </c>
      <c r="E315">
        <f>VLOOKUP(A315,NYSEARCAVWO!A$2:G$506,3,0)</f>
        <v>38.31</v>
      </c>
      <c r="F315">
        <f>VLOOKUP(A315,NYSEARCABND!A$2:G$506,3,0)</f>
        <v>84.34</v>
      </c>
      <c r="G315">
        <f>VLOOKUP(A315,NYSEARCATIP!A$2:G$506,3,0)</f>
        <v>116.04</v>
      </c>
      <c r="H315">
        <f>VLOOKUP(A315,NYSEARCAMUB!A$2:G$506,3,0)</f>
        <v>113.52</v>
      </c>
      <c r="I315">
        <f>VLOOKUP(A315,NYSEARCAVNQ!A$2:G$506,3,0)</f>
        <v>89.49</v>
      </c>
      <c r="J315">
        <f>VLOOKUP(A315,NYSEARCARWX!A$2:G$506,3,0)</f>
        <v>42.93</v>
      </c>
      <c r="K315">
        <f>VLOOKUP(A315,NYSEARCADBC!A$2:G$506,3,0)</f>
        <v>15</v>
      </c>
      <c r="L315">
        <f>VLOOKUP(A315,NYSEARCAGSG!A$2:G$506,3,0)</f>
        <v>14.98</v>
      </c>
      <c r="M315">
        <f>VLOOKUP(A315,NYSEARCAGLD!A$2:G$506,3,0)</f>
        <v>128.99</v>
      </c>
      <c r="N315">
        <f>VLOOKUP(A315,NYSEBP!A$2:G$506,3,0)</f>
        <v>34.24</v>
      </c>
      <c r="O315">
        <f>VLOOKUP(A315,NASDAQYHOO!A$2:G$506,3,0)</f>
        <v>42.75</v>
      </c>
    </row>
    <row r="316" spans="1:15">
      <c r="A316" s="39">
        <v>42600</v>
      </c>
      <c r="B316">
        <v>75.19</v>
      </c>
      <c r="C316">
        <f>VLOOKUP(A316,NYSEARCAVTI!A$2:G$506,3,0)</f>
        <v>112.3</v>
      </c>
      <c r="D316">
        <f>VLOOKUP(A316,NYSEARCAVEU!A$2:G$506,3,0)</f>
        <v>45.84</v>
      </c>
      <c r="E316">
        <f>VLOOKUP(A316,NYSEARCAVWO!A$2:G$506,3,0)</f>
        <v>38.58</v>
      </c>
      <c r="F316">
        <f>VLOOKUP(A316,NYSEARCABND!A$2:G$506,3,0)</f>
        <v>84.41</v>
      </c>
      <c r="G316">
        <f>VLOOKUP(A316,NYSEARCATIP!A$2:G$506,3,0)</f>
        <v>116.34</v>
      </c>
      <c r="H316">
        <f>VLOOKUP(A316,NYSEARCAMUB!A$2:G$506,3,0)</f>
        <v>113.62</v>
      </c>
      <c r="I316">
        <f>VLOOKUP(A316,NYSEARCAVNQ!A$2:G$506,3,0)</f>
        <v>89.69</v>
      </c>
      <c r="J316">
        <f>VLOOKUP(A316,NYSEARCARWX!A$2:G$506,3,0)</f>
        <v>43.01</v>
      </c>
      <c r="K316">
        <f>VLOOKUP(A316,NYSEARCADBC!A$2:G$506,3,0)</f>
        <v>15.2</v>
      </c>
      <c r="L316">
        <f>VLOOKUP(A316,NYSEARCAGSG!A$2:G$506,3,0)</f>
        <v>15.21</v>
      </c>
      <c r="M316">
        <f>VLOOKUP(A316,NYSEARCAGLD!A$2:G$506,3,0)</f>
        <v>129.16999999999999</v>
      </c>
      <c r="N316">
        <f>VLOOKUP(A316,NYSEBP!A$2:G$506,3,0)</f>
        <v>34.67</v>
      </c>
      <c r="O316">
        <f>VLOOKUP(A316,NASDAQYHOO!A$2:G$506,3,0)</f>
        <v>42.97</v>
      </c>
    </row>
    <row r="317" spans="1:15">
      <c r="A317" s="39">
        <v>42601</v>
      </c>
      <c r="B317">
        <v>74.290000000000006</v>
      </c>
      <c r="C317">
        <f>VLOOKUP(A317,NYSEARCAVTI!A$2:G$506,3,0)</f>
        <v>112.23</v>
      </c>
      <c r="D317">
        <f>VLOOKUP(A317,NYSEARCAVEU!A$2:G$506,3,0)</f>
        <v>45.56</v>
      </c>
      <c r="E317">
        <f>VLOOKUP(A317,NYSEARCAVWO!A$2:G$506,3,0)</f>
        <v>38.36</v>
      </c>
      <c r="F317">
        <f>VLOOKUP(A317,NYSEARCABND!A$2:G$506,3,0)</f>
        <v>84.26</v>
      </c>
      <c r="G317">
        <f>VLOOKUP(A317,NYSEARCATIP!A$2:G$506,3,0)</f>
        <v>116.06</v>
      </c>
      <c r="H317">
        <f>VLOOKUP(A317,NYSEARCAMUB!A$2:G$506,3,0)</f>
        <v>113.55</v>
      </c>
      <c r="I317">
        <f>VLOOKUP(A317,NYSEARCAVNQ!A$2:G$506,3,0)</f>
        <v>89.07</v>
      </c>
      <c r="J317">
        <f>VLOOKUP(A317,NYSEARCARWX!A$2:G$506,3,0)</f>
        <v>42.7</v>
      </c>
      <c r="K317">
        <f>VLOOKUP(A317,NYSEARCADBC!A$2:G$506,3,0)</f>
        <v>15.15</v>
      </c>
      <c r="L317">
        <f>VLOOKUP(A317,NYSEARCAGSG!A$2:G$506,3,0)</f>
        <v>15.17</v>
      </c>
      <c r="M317">
        <f>VLOOKUP(A317,NYSEARCAGLD!A$2:G$506,3,0)</f>
        <v>128.66999999999999</v>
      </c>
      <c r="N317">
        <f>VLOOKUP(A317,NYSEBP!A$2:G$506,3,0)</f>
        <v>34.39</v>
      </c>
      <c r="O317">
        <f>VLOOKUP(A317,NASDAQYHOO!A$2:G$506,3,0)</f>
        <v>43.12</v>
      </c>
    </row>
    <row r="318" spans="1:15">
      <c r="A318" s="39">
        <v>42604</v>
      </c>
      <c r="B318">
        <v>73.14</v>
      </c>
      <c r="C318">
        <f>VLOOKUP(A318,NYSEARCAVTI!A$2:G$506,3,0)</f>
        <v>112.25</v>
      </c>
      <c r="D318">
        <f>VLOOKUP(A318,NYSEARCAVEU!A$2:G$506,3,0)</f>
        <v>45.49</v>
      </c>
      <c r="E318">
        <f>VLOOKUP(A318,NYSEARCAVWO!A$2:G$506,3,0)</f>
        <v>38</v>
      </c>
      <c r="F318">
        <f>VLOOKUP(A318,NYSEARCABND!A$2:G$506,3,0)</f>
        <v>84.35</v>
      </c>
      <c r="G318">
        <f>VLOOKUP(A318,NYSEARCATIP!A$2:G$506,3,0)</f>
        <v>116.31</v>
      </c>
      <c r="H318">
        <f>VLOOKUP(A318,NYSEARCAMUB!A$2:G$506,3,0)</f>
        <v>113.72</v>
      </c>
      <c r="I318">
        <f>VLOOKUP(A318,NYSEARCAVNQ!A$2:G$506,3,0)</f>
        <v>89.07</v>
      </c>
      <c r="J318">
        <f>VLOOKUP(A318,NYSEARCARWX!A$2:G$506,3,0)</f>
        <v>42.67</v>
      </c>
      <c r="K318">
        <f>VLOOKUP(A318,NYSEARCADBC!A$2:G$506,3,0)</f>
        <v>15.04</v>
      </c>
      <c r="L318">
        <f>VLOOKUP(A318,NYSEARCAGSG!A$2:G$506,3,0)</f>
        <v>15.05</v>
      </c>
      <c r="M318">
        <f>VLOOKUP(A318,NYSEARCAGLD!A$2:G$506,3,0)</f>
        <v>127.92</v>
      </c>
      <c r="N318">
        <f>VLOOKUP(A318,NYSEBP!A$2:G$506,3,0)</f>
        <v>34.03</v>
      </c>
      <c r="O318">
        <f>VLOOKUP(A318,NASDAQYHOO!A$2:G$506,3,0)</f>
        <v>42.87</v>
      </c>
    </row>
    <row r="319" spans="1:15">
      <c r="A319" s="39">
        <v>42605</v>
      </c>
      <c r="B319">
        <v>73.069999999999993</v>
      </c>
      <c r="C319">
        <f>VLOOKUP(A319,NYSEARCAVTI!A$2:G$506,3,0)</f>
        <v>112.78</v>
      </c>
      <c r="D319">
        <f>VLOOKUP(A319,NYSEARCAVEU!A$2:G$506,3,0)</f>
        <v>45.83</v>
      </c>
      <c r="E319">
        <f>VLOOKUP(A319,NYSEARCAVWO!A$2:G$506,3,0)</f>
        <v>38.24</v>
      </c>
      <c r="F319">
        <f>VLOOKUP(A319,NYSEARCABND!A$2:G$506,3,0)</f>
        <v>84.45</v>
      </c>
      <c r="G319">
        <f>VLOOKUP(A319,NYSEARCATIP!A$2:G$506,3,0)</f>
        <v>116.44</v>
      </c>
      <c r="H319">
        <f>VLOOKUP(A319,NYSEARCAMUB!A$2:G$506,3,0)</f>
        <v>113.7</v>
      </c>
      <c r="I319">
        <f>VLOOKUP(A319,NYSEARCAVNQ!A$2:G$506,3,0)</f>
        <v>89.51</v>
      </c>
      <c r="J319">
        <f>VLOOKUP(A319,NYSEARCARWX!A$2:G$506,3,0)</f>
        <v>43.15</v>
      </c>
      <c r="K319">
        <f>VLOOKUP(A319,NYSEARCADBC!A$2:G$506,3,0)</f>
        <v>15.09</v>
      </c>
      <c r="L319">
        <f>VLOOKUP(A319,NYSEARCAGSG!A$2:G$506,3,0)</f>
        <v>15.04</v>
      </c>
      <c r="M319">
        <f>VLOOKUP(A319,NYSEARCAGLD!A$2:G$506,3,0)</f>
        <v>128.22</v>
      </c>
      <c r="N319">
        <f>VLOOKUP(A319,NYSEBP!A$2:G$506,3,0)</f>
        <v>34.31</v>
      </c>
      <c r="O319">
        <f>VLOOKUP(A319,NASDAQYHOO!A$2:G$506,3,0)</f>
        <v>42.91</v>
      </c>
    </row>
    <row r="320" spans="1:15">
      <c r="A320" s="39">
        <v>42606</v>
      </c>
      <c r="B320">
        <v>72.75</v>
      </c>
      <c r="C320">
        <f>VLOOKUP(A320,NYSEARCAVTI!A$2:G$506,3,0)</f>
        <v>112.46</v>
      </c>
      <c r="D320">
        <f>VLOOKUP(A320,NYSEARCAVEU!A$2:G$506,3,0)</f>
        <v>45.64</v>
      </c>
      <c r="E320">
        <f>VLOOKUP(A320,NYSEARCAVWO!A$2:G$506,3,0)</f>
        <v>37.840000000000003</v>
      </c>
      <c r="F320">
        <f>VLOOKUP(A320,NYSEARCABND!A$2:G$506,3,0)</f>
        <v>84.45</v>
      </c>
      <c r="G320">
        <f>VLOOKUP(A320,NYSEARCATIP!A$2:G$506,3,0)</f>
        <v>116.54</v>
      </c>
      <c r="H320">
        <f>VLOOKUP(A320,NYSEARCAMUB!A$2:G$506,3,0)</f>
        <v>113.69</v>
      </c>
      <c r="I320">
        <f>VLOOKUP(A320,NYSEARCAVNQ!A$2:G$506,3,0)</f>
        <v>89.29</v>
      </c>
      <c r="J320">
        <f>VLOOKUP(A320,NYSEARCARWX!A$2:G$506,3,0)</f>
        <v>42.88</v>
      </c>
      <c r="K320">
        <f>VLOOKUP(A320,NYSEARCADBC!A$2:G$506,3,0)</f>
        <v>15.01</v>
      </c>
      <c r="L320">
        <f>VLOOKUP(A320,NYSEARCAGSG!A$2:G$506,3,0)</f>
        <v>14.97</v>
      </c>
      <c r="M320">
        <f>VLOOKUP(A320,NYSEARCAGLD!A$2:G$506,3,0)</f>
        <v>126.97</v>
      </c>
      <c r="N320">
        <f>VLOOKUP(A320,NYSEBP!A$2:G$506,3,0)</f>
        <v>34.4</v>
      </c>
      <c r="O320">
        <f>VLOOKUP(A320,NASDAQYHOO!A$2:G$506,3,0)</f>
        <v>42.77</v>
      </c>
    </row>
    <row r="321" spans="1:15">
      <c r="A321" s="39">
        <v>42607</v>
      </c>
      <c r="B321">
        <v>72.58</v>
      </c>
      <c r="C321">
        <f>VLOOKUP(A321,NYSEARCAVTI!A$2:G$506,3,0)</f>
        <v>112.07</v>
      </c>
      <c r="D321">
        <f>VLOOKUP(A321,NYSEARCAVEU!A$2:G$506,3,0)</f>
        <v>45.45</v>
      </c>
      <c r="E321">
        <f>VLOOKUP(A321,NYSEARCAVWO!A$2:G$506,3,0)</f>
        <v>37.81</v>
      </c>
      <c r="F321">
        <f>VLOOKUP(A321,NYSEARCABND!A$2:G$506,3,0)</f>
        <v>84.38</v>
      </c>
      <c r="G321">
        <f>VLOOKUP(A321,NYSEARCATIP!A$2:G$506,3,0)</f>
        <v>116.32</v>
      </c>
      <c r="H321">
        <f>VLOOKUP(A321,NYSEARCAMUB!A$2:G$506,3,0)</f>
        <v>113.65</v>
      </c>
      <c r="I321">
        <f>VLOOKUP(A321,NYSEARCAVNQ!A$2:G$506,3,0)</f>
        <v>89.6</v>
      </c>
      <c r="J321">
        <f>VLOOKUP(A321,NYSEARCARWX!A$2:G$506,3,0)</f>
        <v>42.81</v>
      </c>
      <c r="K321">
        <f>VLOOKUP(A321,NYSEARCADBC!A$2:G$506,3,0)</f>
        <v>14.92</v>
      </c>
      <c r="L321">
        <f>VLOOKUP(A321,NYSEARCAGSG!A$2:G$506,3,0)</f>
        <v>14.89</v>
      </c>
      <c r="M321">
        <f>VLOOKUP(A321,NYSEARCAGLD!A$2:G$506,3,0)</f>
        <v>126.31</v>
      </c>
      <c r="N321">
        <f>VLOOKUP(A321,NYSEBP!A$2:G$506,3,0)</f>
        <v>34.53</v>
      </c>
      <c r="O321">
        <f>VLOOKUP(A321,NASDAQYHOO!A$2:G$506,3,0)</f>
        <v>42.24</v>
      </c>
    </row>
    <row r="322" spans="1:15">
      <c r="A322" s="39">
        <v>42608</v>
      </c>
      <c r="B322">
        <v>71.69</v>
      </c>
      <c r="C322">
        <f>VLOOKUP(A322,NYSEARCAVTI!A$2:G$506,3,0)</f>
        <v>112.55</v>
      </c>
      <c r="D322">
        <f>VLOOKUP(A322,NYSEARCAVEU!A$2:G$506,3,0)</f>
        <v>45.83</v>
      </c>
      <c r="E322">
        <f>VLOOKUP(A322,NYSEARCAVWO!A$2:G$506,3,0)</f>
        <v>38.25</v>
      </c>
      <c r="F322">
        <f>VLOOKUP(A322,NYSEARCABND!A$2:G$506,3,0)</f>
        <v>84.49</v>
      </c>
      <c r="G322">
        <f>VLOOKUP(A322,NYSEARCATIP!A$2:G$506,3,0)</f>
        <v>116.76</v>
      </c>
      <c r="H322">
        <f>VLOOKUP(A322,NYSEARCAMUB!A$2:G$506,3,0)</f>
        <v>113.71</v>
      </c>
      <c r="I322">
        <f>VLOOKUP(A322,NYSEARCAVNQ!A$2:G$506,3,0)</f>
        <v>89.77</v>
      </c>
      <c r="J322">
        <f>VLOOKUP(A322,NYSEARCARWX!A$2:G$506,3,0)</f>
        <v>43.03</v>
      </c>
      <c r="K322">
        <f>VLOOKUP(A322,NYSEARCADBC!A$2:G$506,3,0)</f>
        <v>15.09</v>
      </c>
      <c r="L322">
        <f>VLOOKUP(A322,NYSEARCAGSG!A$2:G$506,3,0)</f>
        <v>14.99</v>
      </c>
      <c r="M322">
        <f>VLOOKUP(A322,NYSEARCAGLD!A$2:G$506,3,0)</f>
        <v>128.11000000000001</v>
      </c>
      <c r="N322">
        <f>VLOOKUP(A322,NYSEBP!A$2:G$506,3,0)</f>
        <v>34.799999999999997</v>
      </c>
      <c r="O322">
        <f>VLOOKUP(A322,NASDAQYHOO!A$2:G$506,3,0)</f>
        <v>42.61</v>
      </c>
    </row>
    <row r="323" spans="1:15">
      <c r="A323" s="39">
        <v>42611</v>
      </c>
      <c r="B323">
        <v>71.66</v>
      </c>
      <c r="C323">
        <f>VLOOKUP(A323,NYSEARCAVTI!A$2:G$506,3,0)</f>
        <v>112.33</v>
      </c>
      <c r="D323">
        <f>VLOOKUP(A323,NYSEARCAVEU!A$2:G$506,3,0)</f>
        <v>45.28</v>
      </c>
      <c r="E323">
        <f>VLOOKUP(A323,NYSEARCAVWO!A$2:G$506,3,0)</f>
        <v>37.82</v>
      </c>
      <c r="F323">
        <f>VLOOKUP(A323,NYSEARCABND!A$2:G$506,3,0)</f>
        <v>84.34</v>
      </c>
      <c r="G323">
        <f>VLOOKUP(A323,NYSEARCATIP!A$2:G$506,3,0)</f>
        <v>116.12</v>
      </c>
      <c r="H323">
        <f>VLOOKUP(A323,NYSEARCAMUB!A$2:G$506,3,0)</f>
        <v>113.74</v>
      </c>
      <c r="I323">
        <f>VLOOKUP(A323,NYSEARCAVNQ!A$2:G$506,3,0)</f>
        <v>89.33</v>
      </c>
      <c r="J323">
        <f>VLOOKUP(A323,NYSEARCARWX!A$2:G$506,3,0)</f>
        <v>42.32</v>
      </c>
      <c r="K323">
        <f>VLOOKUP(A323,NYSEARCADBC!A$2:G$506,3,0)</f>
        <v>14.84</v>
      </c>
      <c r="L323">
        <f>VLOOKUP(A323,NYSEARCAGSG!A$2:G$506,3,0)</f>
        <v>14.73</v>
      </c>
      <c r="M323">
        <f>VLOOKUP(A323,NYSEARCAGLD!A$2:G$506,3,0)</f>
        <v>126.48</v>
      </c>
      <c r="N323">
        <f>VLOOKUP(A323,NYSEBP!A$2:G$506,3,0)</f>
        <v>34.32</v>
      </c>
      <c r="O323">
        <f>VLOOKUP(A323,NASDAQYHOO!A$2:G$506,3,0)</f>
        <v>42.46</v>
      </c>
    </row>
    <row r="324" spans="1:15">
      <c r="A324" s="39">
        <v>42612</v>
      </c>
      <c r="B324">
        <v>71.760000000000005</v>
      </c>
      <c r="C324">
        <f>VLOOKUP(A324,NYSEARCAVTI!A$2:G$506,3,0)</f>
        <v>112.3</v>
      </c>
      <c r="D324">
        <f>VLOOKUP(A324,NYSEARCAVEU!A$2:G$506,3,0)</f>
        <v>45.36</v>
      </c>
      <c r="E324">
        <f>VLOOKUP(A324,NYSEARCAVWO!A$2:G$506,3,0)</f>
        <v>37.92</v>
      </c>
      <c r="F324">
        <f>VLOOKUP(A324,NYSEARCABND!A$2:G$506,3,0)</f>
        <v>84.36</v>
      </c>
      <c r="G324">
        <f>VLOOKUP(A324,NYSEARCATIP!A$2:G$506,3,0)</f>
        <v>116.13</v>
      </c>
      <c r="H324">
        <f>VLOOKUP(A324,NYSEARCAMUB!A$2:G$506,3,0)</f>
        <v>113.69</v>
      </c>
      <c r="I324">
        <f>VLOOKUP(A324,NYSEARCAVNQ!A$2:G$506,3,0)</f>
        <v>89.35</v>
      </c>
      <c r="J324">
        <f>VLOOKUP(A324,NYSEARCARWX!A$2:G$506,3,0)</f>
        <v>42.28</v>
      </c>
      <c r="K324">
        <f>VLOOKUP(A324,NYSEARCADBC!A$2:G$506,3,0)</f>
        <v>14.82</v>
      </c>
      <c r="L324">
        <f>VLOOKUP(A324,NYSEARCAGSG!A$2:G$506,3,0)</f>
        <v>14.74</v>
      </c>
      <c r="M324">
        <f>VLOOKUP(A324,NYSEARCAGLD!A$2:G$506,3,0)</f>
        <v>125.95</v>
      </c>
      <c r="N324">
        <f>VLOOKUP(A324,NYSEBP!A$2:G$506,3,0)</f>
        <v>34.32</v>
      </c>
      <c r="O324">
        <f>VLOOKUP(A324,NASDAQYHOO!A$2:G$506,3,0)</f>
        <v>42.74</v>
      </c>
    </row>
    <row r="325" spans="1:15">
      <c r="A325" s="39">
        <v>42613</v>
      </c>
      <c r="B325">
        <v>71.64</v>
      </c>
      <c r="C325">
        <f>VLOOKUP(A325,NYSEARCAVTI!A$2:G$506,3,0)</f>
        <v>111.9</v>
      </c>
      <c r="D325">
        <f>VLOOKUP(A325,NYSEARCAVEU!A$2:G$506,3,0)</f>
        <v>45.16</v>
      </c>
      <c r="E325">
        <f>VLOOKUP(A325,NYSEARCAVWO!A$2:G$506,3,0)</f>
        <v>37.54</v>
      </c>
      <c r="F325">
        <f>VLOOKUP(A325,NYSEARCABND!A$2:G$506,3,0)</f>
        <v>84.35</v>
      </c>
      <c r="G325">
        <f>VLOOKUP(A325,NYSEARCATIP!A$2:G$506,3,0)</f>
        <v>116.17</v>
      </c>
      <c r="H325">
        <f>VLOOKUP(A325,NYSEARCAMUB!A$2:G$506,3,0)</f>
        <v>113.65</v>
      </c>
      <c r="I325">
        <f>VLOOKUP(A325,NYSEARCAVNQ!A$2:G$506,3,0)</f>
        <v>89.27</v>
      </c>
      <c r="J325">
        <f>VLOOKUP(A325,NYSEARCARWX!A$2:G$506,3,0)</f>
        <v>42.09</v>
      </c>
      <c r="K325">
        <f>VLOOKUP(A325,NYSEARCADBC!A$2:G$506,3,0)</f>
        <v>14.6</v>
      </c>
      <c r="L325">
        <f>VLOOKUP(A325,NYSEARCAGSG!A$2:G$506,3,0)</f>
        <v>14.5</v>
      </c>
      <c r="M325">
        <f>VLOOKUP(A325,NYSEARCAGLD!A$2:G$506,3,0)</f>
        <v>125.11</v>
      </c>
      <c r="N325">
        <f>VLOOKUP(A325,NYSEBP!A$2:G$506,3,0)</f>
        <v>34.090000000000003</v>
      </c>
      <c r="O325">
        <f>VLOOKUP(A325,NASDAQYHOO!A$2:G$506,3,0)</f>
        <v>42.8</v>
      </c>
    </row>
    <row r="326" spans="1:15">
      <c r="A326" s="39">
        <v>42614</v>
      </c>
      <c r="B326">
        <v>72.86</v>
      </c>
      <c r="C326">
        <f>VLOOKUP(A326,NYSEARCAVTI!A$2:G$506,3,0)</f>
        <v>111.89</v>
      </c>
      <c r="D326">
        <f>VLOOKUP(A326,NYSEARCAVEU!A$2:G$506,3,0)</f>
        <v>45.31</v>
      </c>
      <c r="E326">
        <f>VLOOKUP(A326,NYSEARCAVWO!A$2:G$506,3,0)</f>
        <v>37.53</v>
      </c>
      <c r="F326">
        <f>VLOOKUP(A326,NYSEARCABND!A$2:G$506,3,0)</f>
        <v>84.19</v>
      </c>
      <c r="G326">
        <f>VLOOKUP(A326,NYSEARCATIP!A$2:G$506,3,0)</f>
        <v>115.83</v>
      </c>
      <c r="H326">
        <f>VLOOKUP(A326,NYSEARCAMUB!A$2:G$506,3,0)</f>
        <v>113.4</v>
      </c>
      <c r="I326">
        <f>VLOOKUP(A326,NYSEARCAVNQ!A$2:G$506,3,0)</f>
        <v>89.1</v>
      </c>
      <c r="J326">
        <f>VLOOKUP(A326,NYSEARCARWX!A$2:G$506,3,0)</f>
        <v>42.4</v>
      </c>
      <c r="K326">
        <f>VLOOKUP(A326,NYSEARCADBC!A$2:G$506,3,0)</f>
        <v>14.33</v>
      </c>
      <c r="L326">
        <f>VLOOKUP(A326,NYSEARCAGSG!A$2:G$506,3,0)</f>
        <v>14.17</v>
      </c>
      <c r="M326">
        <f>VLOOKUP(A326,NYSEARCAGLD!A$2:G$506,3,0)</f>
        <v>125.51</v>
      </c>
      <c r="N326">
        <f>VLOOKUP(A326,NYSEBP!A$2:G$506,3,0)</f>
        <v>33.83</v>
      </c>
      <c r="O326">
        <f>VLOOKUP(A326,NASDAQYHOO!A$2:G$506,3,0)</f>
        <v>43.1</v>
      </c>
    </row>
    <row r="327" spans="1:15">
      <c r="A327" s="39">
        <v>42615</v>
      </c>
      <c r="B327">
        <v>73.19</v>
      </c>
      <c r="C327">
        <f>VLOOKUP(A327,NYSEARCAVTI!A$2:G$506,3,0)</f>
        <v>112.51</v>
      </c>
      <c r="D327">
        <f>VLOOKUP(A327,NYSEARCAVEU!A$2:G$506,3,0)</f>
        <v>45.86</v>
      </c>
      <c r="E327">
        <f>VLOOKUP(A327,NYSEARCAVWO!A$2:G$506,3,0)</f>
        <v>38.119999999999997</v>
      </c>
      <c r="F327">
        <f>VLOOKUP(A327,NYSEARCABND!A$2:G$506,3,0)</f>
        <v>84.13</v>
      </c>
      <c r="G327">
        <f>VLOOKUP(A327,NYSEARCATIP!A$2:G$506,3,0)</f>
        <v>115.69</v>
      </c>
      <c r="H327">
        <f>VLOOKUP(A327,NYSEARCAMUB!A$2:G$506,3,0)</f>
        <v>113.32</v>
      </c>
      <c r="I327">
        <f>VLOOKUP(A327,NYSEARCAVNQ!A$2:G$506,3,0)</f>
        <v>90.61</v>
      </c>
      <c r="J327">
        <f>VLOOKUP(A327,NYSEARCARWX!A$2:G$506,3,0)</f>
        <v>42.58</v>
      </c>
      <c r="K327">
        <f>VLOOKUP(A327,NYSEARCADBC!A$2:G$506,3,0)</f>
        <v>14.44</v>
      </c>
      <c r="L327">
        <f>VLOOKUP(A327,NYSEARCAGSG!A$2:G$506,3,0)</f>
        <v>14.25</v>
      </c>
      <c r="M327">
        <f>VLOOKUP(A327,NYSEARCAGLD!A$2:G$506,3,0)</f>
        <v>126.57</v>
      </c>
      <c r="N327">
        <f>VLOOKUP(A327,NYSEBP!A$2:G$506,3,0)</f>
        <v>34.75</v>
      </c>
      <c r="O327">
        <f>VLOOKUP(A327,NASDAQYHOO!A$2:G$506,3,0)</f>
        <v>43.6</v>
      </c>
    </row>
    <row r="328" spans="1:15">
      <c r="A328" s="39">
        <v>42619</v>
      </c>
      <c r="B328">
        <v>73.08</v>
      </c>
      <c r="C328">
        <f>VLOOKUP(A328,NYSEARCAVTI!A$2:G$506,3,0)</f>
        <v>112.62</v>
      </c>
      <c r="D328">
        <f>VLOOKUP(A328,NYSEARCAVEU!A$2:G$506,3,0)</f>
        <v>46.29</v>
      </c>
      <c r="E328">
        <f>VLOOKUP(A328,NYSEARCAVWO!A$2:G$506,3,0)</f>
        <v>38.840000000000003</v>
      </c>
      <c r="F328">
        <f>VLOOKUP(A328,NYSEARCABND!A$2:G$506,3,0)</f>
        <v>84.35</v>
      </c>
      <c r="G328">
        <f>VLOOKUP(A328,NYSEARCATIP!A$2:G$506,3,0)</f>
        <v>116.28</v>
      </c>
      <c r="H328">
        <f>VLOOKUP(A328,NYSEARCAMUB!A$2:G$506,3,0)</f>
        <v>113.34</v>
      </c>
      <c r="I328">
        <f>VLOOKUP(A328,NYSEARCAVNQ!A$2:G$506,3,0)</f>
        <v>90.22</v>
      </c>
      <c r="J328">
        <f>VLOOKUP(A328,NYSEARCARWX!A$2:G$506,3,0)</f>
        <v>43.1</v>
      </c>
      <c r="K328">
        <f>VLOOKUP(A328,NYSEARCADBC!A$2:G$506,3,0)</f>
        <v>14.51</v>
      </c>
      <c r="L328">
        <f>VLOOKUP(A328,NYSEARCAGSG!A$2:G$506,3,0)</f>
        <v>14.27</v>
      </c>
      <c r="M328">
        <f>VLOOKUP(A328,NYSEARCAGLD!A$2:G$506,3,0)</f>
        <v>129.08000000000001</v>
      </c>
      <c r="N328">
        <f>VLOOKUP(A328,NYSEBP!A$2:G$506,3,0)</f>
        <v>34.76</v>
      </c>
      <c r="O328">
        <f>VLOOKUP(A328,NASDAQYHOO!A$2:G$506,3,0)</f>
        <v>44.85</v>
      </c>
    </row>
    <row r="329" spans="1:15">
      <c r="A329" s="39">
        <v>42620</v>
      </c>
      <c r="B329">
        <v>73.05</v>
      </c>
      <c r="C329">
        <f>VLOOKUP(A329,NYSEARCAVTI!A$2:G$506,3,0)</f>
        <v>112.75</v>
      </c>
      <c r="D329">
        <f>VLOOKUP(A329,NYSEARCAVEU!A$2:G$506,3,0)</f>
        <v>46.48</v>
      </c>
      <c r="E329">
        <f>VLOOKUP(A329,NYSEARCAVWO!A$2:G$506,3,0)</f>
        <v>38.840000000000003</v>
      </c>
      <c r="F329">
        <f>VLOOKUP(A329,NYSEARCABND!A$2:G$506,3,0)</f>
        <v>84.4</v>
      </c>
      <c r="G329">
        <f>VLOOKUP(A329,NYSEARCATIP!A$2:G$506,3,0)</f>
        <v>116.43</v>
      </c>
      <c r="H329">
        <f>VLOOKUP(A329,NYSEARCAMUB!A$2:G$506,3,0)</f>
        <v>113.31</v>
      </c>
      <c r="I329">
        <f>VLOOKUP(A329,NYSEARCAVNQ!A$2:G$506,3,0)</f>
        <v>90.8</v>
      </c>
      <c r="J329">
        <f>VLOOKUP(A329,NYSEARCARWX!A$2:G$506,3,0)</f>
        <v>43.15</v>
      </c>
      <c r="K329">
        <f>VLOOKUP(A329,NYSEARCADBC!A$2:G$506,3,0)</f>
        <v>14.63</v>
      </c>
      <c r="L329">
        <f>VLOOKUP(A329,NYSEARCAGSG!A$2:G$506,3,0)</f>
        <v>14.44</v>
      </c>
      <c r="M329">
        <f>VLOOKUP(A329,NYSEARCAGLD!A$2:G$506,3,0)</f>
        <v>128.86000000000001</v>
      </c>
      <c r="N329">
        <f>VLOOKUP(A329,NYSEBP!A$2:G$506,3,0)</f>
        <v>34.909999999999997</v>
      </c>
      <c r="O329">
        <f>VLOOKUP(A329,NASDAQYHOO!A$2:G$506,3,0)</f>
        <v>44.92</v>
      </c>
    </row>
    <row r="330" spans="1:15">
      <c r="A330" s="39">
        <v>42621</v>
      </c>
      <c r="B330">
        <v>72.319999999999993</v>
      </c>
      <c r="C330">
        <f>VLOOKUP(A330,NYSEARCAVTI!A$2:G$506,3,0)</f>
        <v>112.67</v>
      </c>
      <c r="D330">
        <f>VLOOKUP(A330,NYSEARCAVEU!A$2:G$506,3,0)</f>
        <v>46.4</v>
      </c>
      <c r="E330">
        <f>VLOOKUP(A330,NYSEARCAVWO!A$2:G$506,3,0)</f>
        <v>38.869999999999997</v>
      </c>
      <c r="F330">
        <f>VLOOKUP(A330,NYSEARCABND!A$2:G$506,3,0)</f>
        <v>84.21</v>
      </c>
      <c r="G330">
        <f>VLOOKUP(A330,NYSEARCATIP!A$2:G$506,3,0)</f>
        <v>116.32</v>
      </c>
      <c r="H330">
        <f>VLOOKUP(A330,NYSEARCAMUB!A$2:G$506,3,0)</f>
        <v>113.3</v>
      </c>
      <c r="I330">
        <f>VLOOKUP(A330,NYSEARCAVNQ!A$2:G$506,3,0)</f>
        <v>90.5</v>
      </c>
      <c r="J330">
        <f>VLOOKUP(A330,NYSEARCARWX!A$2:G$506,3,0)</f>
        <v>42.97</v>
      </c>
      <c r="K330">
        <f>VLOOKUP(A330,NYSEARCADBC!A$2:G$506,3,0)</f>
        <v>14.92</v>
      </c>
      <c r="L330">
        <f>VLOOKUP(A330,NYSEARCAGSG!A$2:G$506,3,0)</f>
        <v>14.8</v>
      </c>
      <c r="M330">
        <f>VLOOKUP(A330,NYSEARCAGLD!A$2:G$506,3,0)</f>
        <v>128.52000000000001</v>
      </c>
      <c r="N330">
        <f>VLOOKUP(A330,NYSEBP!A$2:G$506,3,0)</f>
        <v>35.18</v>
      </c>
      <c r="O330">
        <f>VLOOKUP(A330,NASDAQYHOO!A$2:G$506,3,0)</f>
        <v>44.72</v>
      </c>
    </row>
    <row r="331" spans="1:15">
      <c r="A331" s="39">
        <v>42622</v>
      </c>
      <c r="B331">
        <v>71.510000000000005</v>
      </c>
      <c r="C331">
        <f>VLOOKUP(A331,NYSEARCAVTI!A$2:G$506,3,0)</f>
        <v>111.72</v>
      </c>
      <c r="D331">
        <f>VLOOKUP(A331,NYSEARCAVEU!A$2:G$506,3,0)</f>
        <v>45.81</v>
      </c>
      <c r="E331">
        <f>VLOOKUP(A331,NYSEARCAVWO!A$2:G$506,3,0)</f>
        <v>38.119999999999997</v>
      </c>
      <c r="F331">
        <f>VLOOKUP(A331,NYSEARCABND!A$2:G$506,3,0)</f>
        <v>83.81</v>
      </c>
      <c r="G331">
        <f>VLOOKUP(A331,NYSEARCATIP!A$2:G$506,3,0)</f>
        <v>115.35</v>
      </c>
      <c r="H331">
        <f>VLOOKUP(A331,NYSEARCAMUB!A$2:G$506,3,0)</f>
        <v>113.09</v>
      </c>
      <c r="I331">
        <f>VLOOKUP(A331,NYSEARCAVNQ!A$2:G$506,3,0)</f>
        <v>88.87</v>
      </c>
      <c r="J331">
        <f>VLOOKUP(A331,NYSEARCARWX!A$2:G$506,3,0)</f>
        <v>42.21</v>
      </c>
      <c r="K331">
        <f>VLOOKUP(A331,NYSEARCADBC!A$2:G$506,3,0)</f>
        <v>14.78</v>
      </c>
      <c r="L331">
        <f>VLOOKUP(A331,NYSEARCAGSG!A$2:G$506,3,0)</f>
        <v>14.61</v>
      </c>
      <c r="M331">
        <f>VLOOKUP(A331,NYSEARCAGLD!A$2:G$506,3,0)</f>
        <v>127.51</v>
      </c>
      <c r="N331">
        <f>VLOOKUP(A331,NYSEBP!A$2:G$506,3,0)</f>
        <v>34.700000000000003</v>
      </c>
      <c r="O331">
        <f>VLOOKUP(A331,NASDAQYHOO!A$2:G$506,3,0)</f>
        <v>44.15</v>
      </c>
    </row>
    <row r="332" spans="1:15">
      <c r="A332" s="39">
        <v>42625</v>
      </c>
      <c r="B332">
        <v>72.239999999999995</v>
      </c>
      <c r="C332">
        <f>VLOOKUP(A332,NYSEARCAVTI!A$2:G$506,3,0)</f>
        <v>111.4</v>
      </c>
      <c r="D332">
        <f>VLOOKUP(A332,NYSEARCAVEU!A$2:G$506,3,0)</f>
        <v>45.59</v>
      </c>
      <c r="E332">
        <f>VLOOKUP(A332,NYSEARCAVWO!A$2:G$506,3,0)</f>
        <v>37.83</v>
      </c>
      <c r="F332">
        <f>VLOOKUP(A332,NYSEARCABND!A$2:G$506,3,0)</f>
        <v>83.68</v>
      </c>
      <c r="G332">
        <f>VLOOKUP(A332,NYSEARCATIP!A$2:G$506,3,0)</f>
        <v>115.26</v>
      </c>
      <c r="H332">
        <f>VLOOKUP(A332,NYSEARCAMUB!A$2:G$506,3,0)</f>
        <v>112.95</v>
      </c>
      <c r="I332">
        <f>VLOOKUP(A332,NYSEARCAVNQ!A$2:G$506,3,0)</f>
        <v>87.51</v>
      </c>
      <c r="J332">
        <f>VLOOKUP(A332,NYSEARCARWX!A$2:G$506,3,0)</f>
        <v>41.88</v>
      </c>
      <c r="K332">
        <f>VLOOKUP(A332,NYSEARCADBC!A$2:G$506,3,0)</f>
        <v>14.72</v>
      </c>
      <c r="L332">
        <f>VLOOKUP(A332,NYSEARCAGSG!A$2:G$506,3,0)</f>
        <v>14.62</v>
      </c>
      <c r="M332">
        <f>VLOOKUP(A332,NYSEARCAGLD!A$2:G$506,3,0)</f>
        <v>126.92</v>
      </c>
      <c r="N332">
        <f>VLOOKUP(A332,NYSEBP!A$2:G$506,3,0)</f>
        <v>34.74</v>
      </c>
      <c r="O332">
        <f>VLOOKUP(A332,NASDAQYHOO!A$2:G$506,3,0)</f>
        <v>43.65</v>
      </c>
    </row>
    <row r="333" spans="1:15">
      <c r="A333" s="39">
        <v>42626</v>
      </c>
      <c r="B333">
        <v>71.91</v>
      </c>
      <c r="C333">
        <f>VLOOKUP(A333,NYSEARCAVTI!A$2:G$506,3,0)</f>
        <v>110.01</v>
      </c>
      <c r="D333">
        <f>VLOOKUP(A333,NYSEARCAVEU!A$2:G$506,3,0)</f>
        <v>44.71</v>
      </c>
      <c r="E333">
        <f>VLOOKUP(A333,NYSEARCAVWO!A$2:G$506,3,0)</f>
        <v>36.83</v>
      </c>
      <c r="F333">
        <f>VLOOKUP(A333,NYSEARCABND!A$2:G$506,3,0)</f>
        <v>83.77</v>
      </c>
      <c r="G333">
        <f>VLOOKUP(A333,NYSEARCATIP!A$2:G$506,3,0)</f>
        <v>115.24</v>
      </c>
      <c r="H333">
        <f>VLOOKUP(A333,NYSEARCAMUB!A$2:G$506,3,0)</f>
        <v>112.91</v>
      </c>
      <c r="I333">
        <f>VLOOKUP(A333,NYSEARCAVNQ!A$2:G$506,3,0)</f>
        <v>86.11</v>
      </c>
      <c r="J333">
        <f>VLOOKUP(A333,NYSEARCARWX!A$2:G$506,3,0)</f>
        <v>41.36</v>
      </c>
      <c r="K333">
        <f>VLOOKUP(A333,NYSEARCADBC!A$2:G$506,3,0)</f>
        <v>14.63</v>
      </c>
      <c r="L333">
        <f>VLOOKUP(A333,NYSEARCAGSG!A$2:G$506,3,0)</f>
        <v>14.41</v>
      </c>
      <c r="M333">
        <f>VLOOKUP(A333,NYSEARCAGLD!A$2:G$506,3,0)</f>
        <v>126.6</v>
      </c>
      <c r="N333">
        <f>VLOOKUP(A333,NYSEBP!A$2:G$506,3,0)</f>
        <v>33.97</v>
      </c>
      <c r="O333">
        <f>VLOOKUP(A333,NASDAQYHOO!A$2:G$506,3,0)</f>
        <v>43.52</v>
      </c>
    </row>
    <row r="334" spans="1:15">
      <c r="A334" s="39">
        <v>42627</v>
      </c>
      <c r="B334">
        <v>72.06</v>
      </c>
      <c r="C334">
        <f>VLOOKUP(A334,NYSEARCAVTI!A$2:G$506,3,0)</f>
        <v>109.71</v>
      </c>
      <c r="D334">
        <f>VLOOKUP(A334,NYSEARCAVEU!A$2:G$506,3,0)</f>
        <v>44.54</v>
      </c>
      <c r="E334">
        <f>VLOOKUP(A334,NYSEARCAVWO!A$2:G$506,3,0)</f>
        <v>36.81</v>
      </c>
      <c r="F334">
        <f>VLOOKUP(A334,NYSEARCABND!A$2:G$506,3,0)</f>
        <v>83.6</v>
      </c>
      <c r="G334">
        <f>VLOOKUP(A334,NYSEARCATIP!A$2:G$506,3,0)</f>
        <v>114.91</v>
      </c>
      <c r="H334">
        <f>VLOOKUP(A334,NYSEARCAMUB!A$2:G$506,3,0)</f>
        <v>112.71</v>
      </c>
      <c r="I334">
        <f>VLOOKUP(A334,NYSEARCAVNQ!A$2:G$506,3,0)</f>
        <v>85.08</v>
      </c>
      <c r="J334">
        <f>VLOOKUP(A334,NYSEARCARWX!A$2:G$506,3,0)</f>
        <v>41.11</v>
      </c>
      <c r="K334">
        <f>VLOOKUP(A334,NYSEARCADBC!A$2:G$506,3,0)</f>
        <v>14.51</v>
      </c>
      <c r="L334">
        <f>VLOOKUP(A334,NYSEARCAGSG!A$2:G$506,3,0)</f>
        <v>14.32</v>
      </c>
      <c r="M334">
        <f>VLOOKUP(A334,NYSEARCAGLD!A$2:G$506,3,0)</f>
        <v>126.54</v>
      </c>
      <c r="N334">
        <f>VLOOKUP(A334,NYSEBP!A$2:G$506,3,0)</f>
        <v>33.799999999999997</v>
      </c>
      <c r="O334">
        <f>VLOOKUP(A334,NASDAQYHOO!A$2:G$506,3,0)</f>
        <v>43.62</v>
      </c>
    </row>
    <row r="335" spans="1:15">
      <c r="A335" s="39">
        <v>42628</v>
      </c>
      <c r="B335">
        <v>72.56</v>
      </c>
      <c r="C335">
        <f>VLOOKUP(A335,NYSEARCAVTI!A$2:G$506,3,0)</f>
        <v>110.25</v>
      </c>
      <c r="D335">
        <f>VLOOKUP(A335,NYSEARCAVEU!A$2:G$506,3,0)</f>
        <v>44.78</v>
      </c>
      <c r="E335">
        <f>VLOOKUP(A335,NYSEARCAVWO!A$2:G$506,3,0)</f>
        <v>37.17</v>
      </c>
      <c r="F335">
        <f>VLOOKUP(A335,NYSEARCABND!A$2:G$506,3,0)</f>
        <v>83.61</v>
      </c>
      <c r="G335">
        <f>VLOOKUP(A335,NYSEARCATIP!A$2:G$506,3,0)</f>
        <v>114.85</v>
      </c>
      <c r="H335">
        <f>VLOOKUP(A335,NYSEARCAMUB!A$2:G$506,3,0)</f>
        <v>112.63</v>
      </c>
      <c r="I335">
        <f>VLOOKUP(A335,NYSEARCAVNQ!A$2:G$506,3,0)</f>
        <v>85.06</v>
      </c>
      <c r="J335">
        <f>VLOOKUP(A335,NYSEARCARWX!A$2:G$506,3,0)</f>
        <v>41.22</v>
      </c>
      <c r="K335">
        <f>VLOOKUP(A335,NYSEARCADBC!A$2:G$506,3,0)</f>
        <v>14.49</v>
      </c>
      <c r="L335">
        <f>VLOOKUP(A335,NYSEARCAGSG!A$2:G$506,3,0)</f>
        <v>14.26</v>
      </c>
      <c r="M335">
        <f>VLOOKUP(A335,NYSEARCAGLD!A$2:G$506,3,0)</f>
        <v>126.1</v>
      </c>
      <c r="N335">
        <f>VLOOKUP(A335,NYSEBP!A$2:G$506,3,0)</f>
        <v>33.840000000000003</v>
      </c>
      <c r="O335">
        <f>VLOOKUP(A335,NASDAQYHOO!A$2:G$506,3,0)</f>
        <v>44.05</v>
      </c>
    </row>
    <row r="336" spans="1:15">
      <c r="A336" s="39">
        <v>42629</v>
      </c>
      <c r="B336">
        <v>72.959999999999994</v>
      </c>
      <c r="C336">
        <f>VLOOKUP(A336,NYSEARCAVTI!A$2:G$506,3,0)</f>
        <v>109.77</v>
      </c>
      <c r="D336">
        <f>VLOOKUP(A336,NYSEARCAVEU!A$2:G$506,3,0)</f>
        <v>44.28</v>
      </c>
      <c r="E336">
        <f>VLOOKUP(A336,NYSEARCAVWO!A$2:G$506,3,0)</f>
        <v>36.880000000000003</v>
      </c>
      <c r="F336">
        <f>VLOOKUP(A336,NYSEARCABND!A$2:G$506,3,0)</f>
        <v>83.69</v>
      </c>
      <c r="G336">
        <f>VLOOKUP(A336,NYSEARCATIP!A$2:G$506,3,0)</f>
        <v>115.11</v>
      </c>
      <c r="H336">
        <f>VLOOKUP(A336,NYSEARCAMUB!A$2:G$506,3,0)</f>
        <v>112.63</v>
      </c>
      <c r="I336">
        <f>VLOOKUP(A336,NYSEARCAVNQ!A$2:G$506,3,0)</f>
        <v>85.04</v>
      </c>
      <c r="J336">
        <f>VLOOKUP(A336,NYSEARCARWX!A$2:G$506,3,0)</f>
        <v>40.43</v>
      </c>
      <c r="K336">
        <f>VLOOKUP(A336,NYSEARCADBC!A$2:G$506,3,0)</f>
        <v>14.46</v>
      </c>
      <c r="L336">
        <f>VLOOKUP(A336,NYSEARCAGSG!A$2:G$506,3,0)</f>
        <v>14.2</v>
      </c>
      <c r="M336">
        <f>VLOOKUP(A336,NYSEARCAGLD!A$2:G$506,3,0)</f>
        <v>125.24</v>
      </c>
      <c r="N336">
        <f>VLOOKUP(A336,NYSEBP!A$2:G$506,3,0)</f>
        <v>33.42</v>
      </c>
      <c r="O336">
        <f>VLOOKUP(A336,NASDAQYHOO!A$2:G$506,3,0)</f>
        <v>44.02</v>
      </c>
    </row>
    <row r="337" spans="1:15">
      <c r="A337" s="39">
        <v>42632</v>
      </c>
      <c r="B337">
        <v>72.87</v>
      </c>
      <c r="C337">
        <f>VLOOKUP(A337,NYSEARCAVTI!A$2:G$506,3,0)</f>
        <v>110.5</v>
      </c>
      <c r="D337">
        <f>VLOOKUP(A337,NYSEARCAVEU!A$2:G$506,3,0)</f>
        <v>44.74</v>
      </c>
      <c r="E337">
        <f>VLOOKUP(A337,NYSEARCAVWO!A$2:G$506,3,0)</f>
        <v>37.4</v>
      </c>
      <c r="F337">
        <f>VLOOKUP(A337,NYSEARCABND!A$2:G$506,3,0)</f>
        <v>83.67</v>
      </c>
      <c r="G337">
        <f>VLOOKUP(A337,NYSEARCATIP!A$2:G$506,3,0)</f>
        <v>115.05</v>
      </c>
      <c r="H337">
        <f>VLOOKUP(A337,NYSEARCAMUB!A$2:G$506,3,0)</f>
        <v>112.6</v>
      </c>
      <c r="I337">
        <f>VLOOKUP(A337,NYSEARCAVNQ!A$2:G$506,3,0)</f>
        <v>85.84</v>
      </c>
      <c r="J337">
        <f>VLOOKUP(A337,NYSEARCARWX!A$2:G$506,3,0)</f>
        <v>40.82</v>
      </c>
      <c r="K337">
        <f>VLOOKUP(A337,NYSEARCADBC!A$2:G$506,3,0)</f>
        <v>14.58</v>
      </c>
      <c r="L337">
        <f>VLOOKUP(A337,NYSEARCAGSG!A$2:G$506,3,0)</f>
        <v>14.32</v>
      </c>
      <c r="M337">
        <f>VLOOKUP(A337,NYSEARCAGLD!A$2:G$506,3,0)</f>
        <v>125.62</v>
      </c>
      <c r="N337">
        <f>VLOOKUP(A337,NYSEBP!A$2:G$506,3,0)</f>
        <v>33.92</v>
      </c>
      <c r="O337">
        <f>VLOOKUP(A337,NASDAQYHOO!A$2:G$506,3,0)</f>
        <v>43.95</v>
      </c>
    </row>
    <row r="338" spans="1:15">
      <c r="A338" s="39">
        <v>42633</v>
      </c>
      <c r="B338">
        <v>72.55</v>
      </c>
      <c r="C338">
        <f>VLOOKUP(A338,NYSEARCAVTI!A$2:G$506,3,0)</f>
        <v>110.33</v>
      </c>
      <c r="D338">
        <f>VLOOKUP(A338,NYSEARCAVEU!A$2:G$506,3,0)</f>
        <v>44.87</v>
      </c>
      <c r="E338">
        <f>VLOOKUP(A338,NYSEARCAVWO!A$2:G$506,3,0)</f>
        <v>37.380000000000003</v>
      </c>
      <c r="F338">
        <f>VLOOKUP(A338,NYSEARCABND!A$2:G$506,3,0)</f>
        <v>83.76</v>
      </c>
      <c r="G338">
        <f>VLOOKUP(A338,NYSEARCATIP!A$2:G$506,3,0)</f>
        <v>115.04</v>
      </c>
      <c r="H338">
        <f>VLOOKUP(A338,NYSEARCAMUB!A$2:G$506,3,0)</f>
        <v>112.63</v>
      </c>
      <c r="I338">
        <f>VLOOKUP(A338,NYSEARCAVNQ!A$2:G$506,3,0)</f>
        <v>86.25</v>
      </c>
      <c r="J338">
        <f>VLOOKUP(A338,NYSEARCARWX!A$2:G$506,3,0)</f>
        <v>40.96</v>
      </c>
      <c r="K338">
        <f>VLOOKUP(A338,NYSEARCADBC!A$2:G$506,3,0)</f>
        <v>14.55</v>
      </c>
      <c r="L338">
        <f>VLOOKUP(A338,NYSEARCAGSG!A$2:G$506,3,0)</f>
        <v>14.28</v>
      </c>
      <c r="M338">
        <f>VLOOKUP(A338,NYSEARCAGLD!A$2:G$506,3,0)</f>
        <v>125.59</v>
      </c>
      <c r="N338">
        <f>VLOOKUP(A338,NYSEBP!A$2:G$506,3,0)</f>
        <v>33.46</v>
      </c>
      <c r="O338">
        <f>VLOOKUP(A338,NASDAQYHOO!A$2:G$506,3,0)</f>
        <v>43.38</v>
      </c>
    </row>
    <row r="339" spans="1:15">
      <c r="A339" s="39">
        <v>42634</v>
      </c>
      <c r="B339">
        <v>72.540000000000006</v>
      </c>
      <c r="C339">
        <f>VLOOKUP(A339,NYSEARCAVTI!A$2:G$506,3,0)</f>
        <v>111.08</v>
      </c>
      <c r="D339">
        <f>VLOOKUP(A339,NYSEARCAVEU!A$2:G$506,3,0)</f>
        <v>45.6</v>
      </c>
      <c r="E339">
        <f>VLOOKUP(A339,NYSEARCAVWO!A$2:G$506,3,0)</f>
        <v>38.07</v>
      </c>
      <c r="F339">
        <f>VLOOKUP(A339,NYSEARCABND!A$2:G$506,3,0)</f>
        <v>83.85</v>
      </c>
      <c r="G339">
        <f>VLOOKUP(A339,NYSEARCATIP!A$2:G$506,3,0)</f>
        <v>115.36</v>
      </c>
      <c r="H339">
        <f>VLOOKUP(A339,NYSEARCAMUB!A$2:G$506,3,0)</f>
        <v>112.62</v>
      </c>
      <c r="I339">
        <f>VLOOKUP(A339,NYSEARCAVNQ!A$2:G$506,3,0)</f>
        <v>86.84</v>
      </c>
      <c r="J339">
        <f>VLOOKUP(A339,NYSEARCARWX!A$2:G$506,3,0)</f>
        <v>41.26</v>
      </c>
      <c r="K339">
        <f>VLOOKUP(A339,NYSEARCADBC!A$2:G$506,3,0)</f>
        <v>14.67</v>
      </c>
      <c r="L339">
        <f>VLOOKUP(A339,NYSEARCAGSG!A$2:G$506,3,0)</f>
        <v>14.49</v>
      </c>
      <c r="M339">
        <f>VLOOKUP(A339,NYSEARCAGLD!A$2:G$506,3,0)</f>
        <v>127.42</v>
      </c>
      <c r="N339">
        <f>VLOOKUP(A339,NYSEBP!A$2:G$506,3,0)</f>
        <v>33.69</v>
      </c>
      <c r="O339">
        <f>VLOOKUP(A339,NASDAQYHOO!A$2:G$506,3,0)</f>
        <v>44.22</v>
      </c>
    </row>
    <row r="340" spans="1:15">
      <c r="A340" s="39">
        <v>42635</v>
      </c>
      <c r="B340">
        <v>72.540000000000006</v>
      </c>
      <c r="C340">
        <f>VLOOKUP(A340,NYSEARCAVTI!A$2:G$506,3,0)</f>
        <v>111.92</v>
      </c>
      <c r="D340">
        <f>VLOOKUP(A340,NYSEARCAVEU!A$2:G$506,3,0)</f>
        <v>46.24</v>
      </c>
      <c r="E340">
        <f>VLOOKUP(A340,NYSEARCAVWO!A$2:G$506,3,0)</f>
        <v>38.409999999999997</v>
      </c>
      <c r="F340">
        <f>VLOOKUP(A340,NYSEARCABND!A$2:G$506,3,0)</f>
        <v>84.1</v>
      </c>
      <c r="G340">
        <f>VLOOKUP(A340,NYSEARCATIP!A$2:G$506,3,0)</f>
        <v>116</v>
      </c>
      <c r="H340">
        <f>VLOOKUP(A340,NYSEARCAMUB!A$2:G$506,3,0)</f>
        <v>112.74</v>
      </c>
      <c r="I340">
        <f>VLOOKUP(A340,NYSEARCAVNQ!A$2:G$506,3,0)</f>
        <v>88.34</v>
      </c>
      <c r="J340">
        <f>VLOOKUP(A340,NYSEARCARWX!A$2:G$506,3,0)</f>
        <v>41.8</v>
      </c>
      <c r="K340">
        <f>VLOOKUP(A340,NYSEARCADBC!A$2:G$506,3,0)</f>
        <v>14.83</v>
      </c>
      <c r="L340">
        <f>VLOOKUP(A340,NYSEARCAGSG!A$2:G$506,3,0)</f>
        <v>14.66</v>
      </c>
      <c r="M340">
        <f>VLOOKUP(A340,NYSEARCAGLD!A$2:G$506,3,0)</f>
        <v>128.19999999999999</v>
      </c>
      <c r="N340">
        <f>VLOOKUP(A340,NYSEBP!A$2:G$506,3,0)</f>
        <v>34.630000000000003</v>
      </c>
      <c r="O340">
        <f>VLOOKUP(A340,NASDAQYHOO!A$2:G$506,3,0)</f>
        <v>44.87</v>
      </c>
    </row>
    <row r="341" spans="1:15">
      <c r="A341" s="39">
        <v>42636</v>
      </c>
      <c r="B341">
        <v>72.77</v>
      </c>
      <c r="C341">
        <f>VLOOKUP(A341,NYSEARCAVTI!A$2:G$506,3,0)</f>
        <v>111.68</v>
      </c>
      <c r="D341">
        <f>VLOOKUP(A341,NYSEARCAVEU!A$2:G$506,3,0)</f>
        <v>45.68</v>
      </c>
      <c r="E341">
        <f>VLOOKUP(A341,NYSEARCAVWO!A$2:G$506,3,0)</f>
        <v>38</v>
      </c>
      <c r="F341">
        <f>VLOOKUP(A341,NYSEARCABND!A$2:G$506,3,0)</f>
        <v>84.08</v>
      </c>
      <c r="G341">
        <f>VLOOKUP(A341,NYSEARCATIP!A$2:G$506,3,0)</f>
        <v>116.3</v>
      </c>
      <c r="H341">
        <f>VLOOKUP(A341,NYSEARCAMUB!A$2:G$506,3,0)</f>
        <v>112.7</v>
      </c>
      <c r="I341">
        <f>VLOOKUP(A341,NYSEARCAVNQ!A$2:G$506,3,0)</f>
        <v>88.83</v>
      </c>
      <c r="J341">
        <f>VLOOKUP(A341,NYSEARCARWX!A$2:G$506,3,0)</f>
        <v>41.58</v>
      </c>
      <c r="K341">
        <f>VLOOKUP(A341,NYSEARCADBC!A$2:G$506,3,0)</f>
        <v>14.79</v>
      </c>
      <c r="L341">
        <f>VLOOKUP(A341,NYSEARCAGSG!A$2:G$506,3,0)</f>
        <v>14.6</v>
      </c>
      <c r="M341">
        <f>VLOOKUP(A341,NYSEARCAGLD!A$2:G$506,3,0)</f>
        <v>127.86</v>
      </c>
      <c r="N341">
        <f>VLOOKUP(A341,NYSEBP!A$2:G$506,3,0)</f>
        <v>34.36</v>
      </c>
      <c r="O341">
        <f>VLOOKUP(A341,NASDAQYHOO!A$2:G$506,3,0)</f>
        <v>43.76</v>
      </c>
    </row>
    <row r="342" spans="1:15">
      <c r="A342" s="39">
        <v>42639</v>
      </c>
      <c r="B342">
        <v>72.33</v>
      </c>
      <c r="C342">
        <f>VLOOKUP(A342,NYSEARCAVTI!A$2:G$506,3,0)</f>
        <v>110.87</v>
      </c>
      <c r="D342">
        <f>VLOOKUP(A342,NYSEARCAVEU!A$2:G$506,3,0)</f>
        <v>45.19</v>
      </c>
      <c r="E342">
        <f>VLOOKUP(A342,NYSEARCAVWO!A$2:G$506,3,0)</f>
        <v>37.46</v>
      </c>
      <c r="F342">
        <f>VLOOKUP(A342,NYSEARCABND!A$2:G$506,3,0)</f>
        <v>84.17</v>
      </c>
      <c r="G342">
        <f>VLOOKUP(A342,NYSEARCATIP!A$2:G$506,3,0)</f>
        <v>116.41</v>
      </c>
      <c r="H342">
        <f>VLOOKUP(A342,NYSEARCAMUB!A$2:G$506,3,0)</f>
        <v>112.79</v>
      </c>
      <c r="I342">
        <f>VLOOKUP(A342,NYSEARCAVNQ!A$2:G$506,3,0)</f>
        <v>88.94</v>
      </c>
      <c r="J342">
        <f>VLOOKUP(A342,NYSEARCARWX!A$2:G$506,3,0)</f>
        <v>41.55</v>
      </c>
      <c r="K342">
        <f>VLOOKUP(A342,NYSEARCADBC!A$2:G$506,3,0)</f>
        <v>14.79</v>
      </c>
      <c r="L342">
        <f>VLOOKUP(A342,NYSEARCAGSG!A$2:G$506,3,0)</f>
        <v>14.58</v>
      </c>
      <c r="M342">
        <f>VLOOKUP(A342,NYSEARCAGLD!A$2:G$506,3,0)</f>
        <v>128.04</v>
      </c>
      <c r="N342">
        <f>VLOOKUP(A342,NYSEBP!A$2:G$506,3,0)</f>
        <v>33.979999999999997</v>
      </c>
      <c r="O342">
        <f>VLOOKUP(A342,NASDAQYHOO!A$2:G$506,3,0)</f>
        <v>42.74</v>
      </c>
    </row>
    <row r="343" spans="1:15">
      <c r="A343" s="39">
        <v>42640</v>
      </c>
      <c r="B343">
        <v>72.489999999999995</v>
      </c>
      <c r="C343">
        <f>VLOOKUP(A343,NYSEARCAVTI!A$2:G$506,3,0)</f>
        <v>110.95</v>
      </c>
      <c r="D343">
        <f>VLOOKUP(A343,NYSEARCAVEU!A$2:G$506,3,0)</f>
        <v>45.35</v>
      </c>
      <c r="E343">
        <f>VLOOKUP(A343,NYSEARCAVWO!A$2:G$506,3,0)</f>
        <v>37.64</v>
      </c>
      <c r="F343">
        <f>VLOOKUP(A343,NYSEARCABND!A$2:G$506,3,0)</f>
        <v>84.27</v>
      </c>
      <c r="G343">
        <f>VLOOKUP(A343,NYSEARCATIP!A$2:G$506,3,0)</f>
        <v>116.37</v>
      </c>
      <c r="H343">
        <f>VLOOKUP(A343,NYSEARCAMUB!A$2:G$506,3,0)</f>
        <v>112.91</v>
      </c>
      <c r="I343">
        <f>VLOOKUP(A343,NYSEARCAVNQ!A$2:G$506,3,0)</f>
        <v>89.03</v>
      </c>
      <c r="J343">
        <f>VLOOKUP(A343,NYSEARCARWX!A$2:G$506,3,0)</f>
        <v>41.83</v>
      </c>
      <c r="K343">
        <f>VLOOKUP(A343,NYSEARCADBC!A$2:G$506,3,0)</f>
        <v>14.6</v>
      </c>
      <c r="L343">
        <f>VLOOKUP(A343,NYSEARCAGSG!A$2:G$506,3,0)</f>
        <v>14.34</v>
      </c>
      <c r="M343">
        <f>VLOOKUP(A343,NYSEARCAGLD!A$2:G$506,3,0)</f>
        <v>126.9</v>
      </c>
      <c r="N343">
        <f>VLOOKUP(A343,NYSEBP!A$2:G$506,3,0)</f>
        <v>33.82</v>
      </c>
      <c r="O343">
        <f>VLOOKUP(A343,NASDAQYHOO!A$2:G$506,3,0)</f>
        <v>43.41</v>
      </c>
    </row>
    <row r="344" spans="1:15">
      <c r="A344" s="39">
        <v>42641</v>
      </c>
      <c r="B344">
        <v>72.319999999999993</v>
      </c>
      <c r="C344">
        <f>VLOOKUP(A344,NYSEARCAVTI!A$2:G$506,3,0)</f>
        <v>111.6</v>
      </c>
      <c r="D344">
        <f>VLOOKUP(A344,NYSEARCAVEU!A$2:G$506,3,0)</f>
        <v>45.74</v>
      </c>
      <c r="E344">
        <f>VLOOKUP(A344,NYSEARCAVWO!A$2:G$506,3,0)</f>
        <v>38.020000000000003</v>
      </c>
      <c r="F344">
        <f>VLOOKUP(A344,NYSEARCABND!A$2:G$506,3,0)</f>
        <v>84.3</v>
      </c>
      <c r="G344">
        <f>VLOOKUP(A344,NYSEARCATIP!A$2:G$506,3,0)</f>
        <v>116.7</v>
      </c>
      <c r="H344">
        <f>VLOOKUP(A344,NYSEARCAMUB!A$2:G$506,3,0)</f>
        <v>112.93</v>
      </c>
      <c r="I344">
        <f>VLOOKUP(A344,NYSEARCAVNQ!A$2:G$506,3,0)</f>
        <v>88.59</v>
      </c>
      <c r="J344">
        <f>VLOOKUP(A344,NYSEARCARWX!A$2:G$506,3,0)</f>
        <v>41.95</v>
      </c>
      <c r="K344">
        <f>VLOOKUP(A344,NYSEARCADBC!A$2:G$506,3,0)</f>
        <v>14.94</v>
      </c>
      <c r="L344">
        <f>VLOOKUP(A344,NYSEARCAGSG!A$2:G$506,3,0)</f>
        <v>14.73</v>
      </c>
      <c r="M344">
        <f>VLOOKUP(A344,NYSEARCAGLD!A$2:G$506,3,0)</f>
        <v>126.4</v>
      </c>
      <c r="N344">
        <f>VLOOKUP(A344,NYSEBP!A$2:G$506,3,0)</f>
        <v>34.89</v>
      </c>
      <c r="O344">
        <f>VLOOKUP(A344,NASDAQYHOO!A$2:G$506,3,0)</f>
        <v>43.72</v>
      </c>
    </row>
    <row r="345" spans="1:15">
      <c r="A345" s="39">
        <v>42642</v>
      </c>
      <c r="B345">
        <v>71.709999999999994</v>
      </c>
      <c r="C345">
        <f>VLOOKUP(A345,NYSEARCAVTI!A$2:G$506,3,0)</f>
        <v>111.62</v>
      </c>
      <c r="D345">
        <f>VLOOKUP(A345,NYSEARCAVEU!A$2:G$506,3,0)</f>
        <v>45.7</v>
      </c>
      <c r="E345">
        <f>VLOOKUP(A345,NYSEARCAVWO!A$2:G$506,3,0)</f>
        <v>37.89</v>
      </c>
      <c r="F345">
        <f>VLOOKUP(A345,NYSEARCABND!A$2:G$506,3,0)</f>
        <v>84.31</v>
      </c>
      <c r="G345">
        <f>VLOOKUP(A345,NYSEARCATIP!A$2:G$506,3,0)</f>
        <v>116.68</v>
      </c>
      <c r="H345">
        <f>VLOOKUP(A345,NYSEARCAMUB!A$2:G$506,3,0)</f>
        <v>112.9</v>
      </c>
      <c r="I345">
        <f>VLOOKUP(A345,NYSEARCAVNQ!A$2:G$506,3,0)</f>
        <v>88.28</v>
      </c>
      <c r="J345">
        <f>VLOOKUP(A345,NYSEARCARWX!A$2:G$506,3,0)</f>
        <v>41.65</v>
      </c>
      <c r="K345">
        <f>VLOOKUP(A345,NYSEARCADBC!A$2:G$506,3,0)</f>
        <v>15.04</v>
      </c>
      <c r="L345">
        <f>VLOOKUP(A345,NYSEARCAGSG!A$2:G$506,3,0)</f>
        <v>14.85</v>
      </c>
      <c r="M345">
        <f>VLOOKUP(A345,NYSEARCAGLD!A$2:G$506,3,0)</f>
        <v>126.34</v>
      </c>
      <c r="N345">
        <f>VLOOKUP(A345,NYSEBP!A$2:G$506,3,0)</f>
        <v>35.299999999999997</v>
      </c>
      <c r="O345">
        <f>VLOOKUP(A345,NASDAQYHOO!A$2:G$506,3,0)</f>
        <v>43.3</v>
      </c>
    </row>
    <row r="346" spans="1:15">
      <c r="A346" s="39">
        <v>42643</v>
      </c>
      <c r="B346">
        <v>72.459999999999994</v>
      </c>
      <c r="C346">
        <f>VLOOKUP(A346,NYSEARCAVTI!A$2:G$506,3,0)</f>
        <v>111.71</v>
      </c>
      <c r="D346">
        <f>VLOOKUP(A346,NYSEARCAVEU!A$2:G$506,3,0)</f>
        <v>45.55</v>
      </c>
      <c r="E346">
        <f>VLOOKUP(A346,NYSEARCAVWO!A$2:G$506,3,0)</f>
        <v>37.729999999999997</v>
      </c>
      <c r="F346">
        <f>VLOOKUP(A346,NYSEARCABND!A$2:G$506,3,0)</f>
        <v>84.28</v>
      </c>
      <c r="G346">
        <f>VLOOKUP(A346,NYSEARCATIP!A$2:G$506,3,0)</f>
        <v>116.58</v>
      </c>
      <c r="H346">
        <f>VLOOKUP(A346,NYSEARCAMUB!A$2:G$506,3,0)</f>
        <v>112.82</v>
      </c>
      <c r="I346">
        <f>VLOOKUP(A346,NYSEARCAVNQ!A$2:G$506,3,0)</f>
        <v>88.19</v>
      </c>
      <c r="J346">
        <f>VLOOKUP(A346,NYSEARCARWX!A$2:G$506,3,0)</f>
        <v>41.79</v>
      </c>
      <c r="K346">
        <f>VLOOKUP(A346,NYSEARCADBC!A$2:G$506,3,0)</f>
        <v>15.04</v>
      </c>
      <c r="L346">
        <f>VLOOKUP(A346,NYSEARCAGSG!A$2:G$506,3,0)</f>
        <v>14.85</v>
      </c>
      <c r="M346">
        <f>VLOOKUP(A346,NYSEARCAGLD!A$2:G$506,3,0)</f>
        <v>126.55</v>
      </c>
      <c r="N346">
        <f>VLOOKUP(A346,NYSEBP!A$2:G$506,3,0)</f>
        <v>35.39</v>
      </c>
      <c r="O346">
        <f>VLOOKUP(A346,NASDAQYHOO!A$2:G$506,3,0)</f>
        <v>43.25</v>
      </c>
    </row>
    <row r="347" spans="1:15">
      <c r="A347" s="39">
        <v>42646</v>
      </c>
      <c r="B347">
        <v>72.14</v>
      </c>
      <c r="C347">
        <f>VLOOKUP(A347,NYSEARCAVTI!A$2:G$506,3,0)</f>
        <v>111.23</v>
      </c>
      <c r="D347">
        <f>VLOOKUP(A347,NYSEARCAVEU!A$2:G$506,3,0)</f>
        <v>45.48</v>
      </c>
      <c r="E347">
        <f>VLOOKUP(A347,NYSEARCAVWO!A$2:G$506,3,0)</f>
        <v>37.93</v>
      </c>
      <c r="F347">
        <f>VLOOKUP(A347,NYSEARCABND!A$2:G$506,3,0)</f>
        <v>84.01</v>
      </c>
      <c r="G347">
        <f>VLOOKUP(A347,NYSEARCATIP!A$2:G$506,3,0)</f>
        <v>116.63</v>
      </c>
      <c r="H347">
        <f>VLOOKUP(A347,NYSEARCAMUB!A$2:G$506,3,0)</f>
        <v>112.59</v>
      </c>
      <c r="I347">
        <f>VLOOKUP(A347,NYSEARCAVNQ!A$2:G$506,3,0)</f>
        <v>86.29</v>
      </c>
      <c r="J347">
        <f>VLOOKUP(A347,NYSEARCARWX!A$2:G$506,3,0)</f>
        <v>41.56</v>
      </c>
      <c r="K347">
        <f>VLOOKUP(A347,NYSEARCADBC!A$2:G$506,3,0)</f>
        <v>15.16</v>
      </c>
      <c r="L347">
        <f>VLOOKUP(A347,NYSEARCAGSG!A$2:G$506,3,0)</f>
        <v>14.96</v>
      </c>
      <c r="M347">
        <f>VLOOKUP(A347,NYSEARCAGLD!A$2:G$506,3,0)</f>
        <v>125.46</v>
      </c>
      <c r="N347">
        <f>VLOOKUP(A347,NYSEBP!A$2:G$506,3,0)</f>
        <v>35.549999999999997</v>
      </c>
      <c r="O347">
        <f>VLOOKUP(A347,NASDAQYHOO!A$2:G$506,3,0)</f>
        <v>43.18</v>
      </c>
    </row>
    <row r="348" spans="1:15">
      <c r="A348" s="39">
        <v>42647</v>
      </c>
      <c r="B348">
        <v>72.569999999999993</v>
      </c>
      <c r="C348">
        <f>VLOOKUP(A348,NYSEARCAVTI!A$2:G$506,3,0)</f>
        <v>111.22</v>
      </c>
      <c r="D348">
        <f>VLOOKUP(A348,NYSEARCAVEU!A$2:G$506,3,0)</f>
        <v>45.65</v>
      </c>
      <c r="E348">
        <f>VLOOKUP(A348,NYSEARCAVWO!A$2:G$506,3,0)</f>
        <v>38.020000000000003</v>
      </c>
      <c r="F348">
        <f>VLOOKUP(A348,NYSEARCABND!A$2:G$506,3,0)</f>
        <v>83.85</v>
      </c>
      <c r="G348">
        <f>VLOOKUP(A348,NYSEARCATIP!A$2:G$506,3,0)</f>
        <v>116.48</v>
      </c>
      <c r="H348">
        <f>VLOOKUP(A348,NYSEARCAMUB!A$2:G$506,3,0)</f>
        <v>112.49</v>
      </c>
      <c r="I348">
        <f>VLOOKUP(A348,NYSEARCAVNQ!A$2:G$506,3,0)</f>
        <v>85.04</v>
      </c>
      <c r="J348">
        <f>VLOOKUP(A348,NYSEARCARWX!A$2:G$506,3,0)</f>
        <v>41.32</v>
      </c>
      <c r="K348">
        <f>VLOOKUP(A348,NYSEARCADBC!A$2:G$506,3,0)</f>
        <v>15.18</v>
      </c>
      <c r="L348">
        <f>VLOOKUP(A348,NYSEARCAGSG!A$2:G$506,3,0)</f>
        <v>15</v>
      </c>
      <c r="M348">
        <f>VLOOKUP(A348,NYSEARCAGLD!A$2:G$506,3,0)</f>
        <v>123.18</v>
      </c>
      <c r="N348">
        <f>VLOOKUP(A348,NYSEBP!A$2:G$506,3,0)</f>
        <v>36.17</v>
      </c>
      <c r="O348">
        <f>VLOOKUP(A348,NASDAQYHOO!A$2:G$506,3,0)</f>
        <v>43.5</v>
      </c>
    </row>
    <row r="349" spans="1:15">
      <c r="A349" s="39">
        <v>42648</v>
      </c>
      <c r="B349">
        <v>72.260000000000005</v>
      </c>
      <c r="C349">
        <f>VLOOKUP(A349,NYSEARCAVTI!A$2:G$506,3,0)</f>
        <v>111.22</v>
      </c>
      <c r="D349">
        <f>VLOOKUP(A349,NYSEARCAVEU!A$2:G$506,3,0)</f>
        <v>45.64</v>
      </c>
      <c r="E349">
        <f>VLOOKUP(A349,NYSEARCAVWO!A$2:G$506,3,0)</f>
        <v>38.119999999999997</v>
      </c>
      <c r="F349">
        <f>VLOOKUP(A349,NYSEARCABND!A$2:G$506,3,0)</f>
        <v>83.66</v>
      </c>
      <c r="G349">
        <f>VLOOKUP(A349,NYSEARCATIP!A$2:G$506,3,0)</f>
        <v>115.9</v>
      </c>
      <c r="H349">
        <f>VLOOKUP(A349,NYSEARCAMUB!A$2:G$506,3,0)</f>
        <v>112.35</v>
      </c>
      <c r="I349">
        <f>VLOOKUP(A349,NYSEARCAVNQ!A$2:G$506,3,0)</f>
        <v>84.55</v>
      </c>
      <c r="J349">
        <f>VLOOKUP(A349,NYSEARCARWX!A$2:G$506,3,0)</f>
        <v>40.53</v>
      </c>
      <c r="K349">
        <f>VLOOKUP(A349,NYSEARCADBC!A$2:G$506,3,0)</f>
        <v>15.24</v>
      </c>
      <c r="L349">
        <f>VLOOKUP(A349,NYSEARCAGSG!A$2:G$506,3,0)</f>
        <v>15.15</v>
      </c>
      <c r="M349">
        <f>VLOOKUP(A349,NYSEARCAGLD!A$2:G$506,3,0)</f>
        <v>121.59</v>
      </c>
      <c r="N349">
        <f>VLOOKUP(A349,NYSEBP!A$2:G$506,3,0)</f>
        <v>36.22</v>
      </c>
      <c r="O349">
        <f>VLOOKUP(A349,NASDAQYHOO!A$2:G$506,3,0)</f>
        <v>43.87</v>
      </c>
    </row>
    <row r="350" spans="1:15">
      <c r="A350" s="39">
        <v>42649</v>
      </c>
      <c r="B350">
        <v>70.430000000000007</v>
      </c>
      <c r="C350">
        <f>VLOOKUP(A350,NYSEARCAVTI!A$2:G$506,3,0)</f>
        <v>111.09</v>
      </c>
      <c r="D350">
        <f>VLOOKUP(A350,NYSEARCAVEU!A$2:G$506,3,0)</f>
        <v>45.42</v>
      </c>
      <c r="E350">
        <f>VLOOKUP(A350,NYSEARCAVWO!A$2:G$506,3,0)</f>
        <v>38.1</v>
      </c>
      <c r="F350">
        <f>VLOOKUP(A350,NYSEARCABND!A$2:G$506,3,0)</f>
        <v>83.56</v>
      </c>
      <c r="G350">
        <f>VLOOKUP(A350,NYSEARCATIP!A$2:G$506,3,0)</f>
        <v>115.84</v>
      </c>
      <c r="H350">
        <f>VLOOKUP(A350,NYSEARCAMUB!A$2:G$506,3,0)</f>
        <v>112</v>
      </c>
      <c r="I350">
        <f>VLOOKUP(A350,NYSEARCAVNQ!A$2:G$506,3,0)</f>
        <v>82.89</v>
      </c>
      <c r="J350">
        <f>VLOOKUP(A350,NYSEARCARWX!A$2:G$506,3,0)</f>
        <v>40.020000000000003</v>
      </c>
      <c r="K350">
        <f>VLOOKUP(A350,NYSEARCADBC!A$2:G$506,3,0)</f>
        <v>15.23</v>
      </c>
      <c r="L350">
        <f>VLOOKUP(A350,NYSEARCAGSG!A$2:G$506,3,0)</f>
        <v>15.21</v>
      </c>
      <c r="M350">
        <f>VLOOKUP(A350,NYSEARCAGLD!A$2:G$506,3,0)</f>
        <v>119.98</v>
      </c>
      <c r="N350">
        <f>VLOOKUP(A350,NYSEBP!A$2:G$506,3,0)</f>
        <v>36.21</v>
      </c>
      <c r="O350">
        <f>VLOOKUP(A350,NASDAQYHOO!A$2:G$506,3,0)</f>
        <v>43.82</v>
      </c>
    </row>
    <row r="351" spans="1:15">
      <c r="A351" s="39">
        <v>42650</v>
      </c>
      <c r="B351">
        <v>69.47</v>
      </c>
      <c r="C351">
        <f>VLOOKUP(A351,NYSEARCAVTI!A$2:G$506,3,0)</f>
        <v>111.23</v>
      </c>
      <c r="D351">
        <f>VLOOKUP(A351,NYSEARCAVEU!A$2:G$506,3,0)</f>
        <v>45.28</v>
      </c>
      <c r="E351">
        <f>VLOOKUP(A351,NYSEARCAVWO!A$2:G$506,3,0)</f>
        <v>38.14</v>
      </c>
      <c r="F351">
        <f>VLOOKUP(A351,NYSEARCABND!A$2:G$506,3,0)</f>
        <v>83.53</v>
      </c>
      <c r="G351">
        <f>VLOOKUP(A351,NYSEARCATIP!A$2:G$506,3,0)</f>
        <v>115.87</v>
      </c>
      <c r="H351">
        <f>VLOOKUP(A351,NYSEARCAMUB!A$2:G$506,3,0)</f>
        <v>111.99</v>
      </c>
      <c r="I351">
        <f>VLOOKUP(A351,NYSEARCAVNQ!A$2:G$506,3,0)</f>
        <v>83.63</v>
      </c>
      <c r="J351">
        <f>VLOOKUP(A351,NYSEARCARWX!A$2:G$506,3,0)</f>
        <v>39.729999999999997</v>
      </c>
      <c r="K351">
        <f>VLOOKUP(A351,NYSEARCADBC!A$2:G$506,3,0)</f>
        <v>15.29</v>
      </c>
      <c r="L351">
        <f>VLOOKUP(A351,NYSEARCAGSG!A$2:G$506,3,0)</f>
        <v>15.22</v>
      </c>
      <c r="M351">
        <f>VLOOKUP(A351,NYSEARCAGLD!A$2:G$506,3,0)</f>
        <v>120.58</v>
      </c>
      <c r="N351">
        <f>VLOOKUP(A351,NYSEBP!A$2:G$506,3,0)</f>
        <v>36.39</v>
      </c>
      <c r="O351">
        <f>VLOOKUP(A351,NASDAQYHOO!A$2:G$506,3,0)</f>
        <v>43.68</v>
      </c>
    </row>
    <row r="352" spans="1:15">
      <c r="A352" s="39">
        <v>42653</v>
      </c>
      <c r="B352">
        <v>68.959999999999994</v>
      </c>
      <c r="C352">
        <f>VLOOKUP(A352,NYSEARCAVTI!A$2:G$506,3,0)</f>
        <v>111.44</v>
      </c>
      <c r="D352">
        <f>VLOOKUP(A352,NYSEARCAVEU!A$2:G$506,3,0)</f>
        <v>45.47</v>
      </c>
      <c r="E352">
        <f>VLOOKUP(A352,NYSEARCAVWO!A$2:G$506,3,0)</f>
        <v>38.33</v>
      </c>
      <c r="F352">
        <f>VLOOKUP(A352,NYSEARCABND!A$2:G$506,3,0)</f>
        <v>83.43</v>
      </c>
      <c r="G352">
        <f>VLOOKUP(A352,NYSEARCATIP!A$2:G$506,3,0)</f>
        <v>115.58</v>
      </c>
      <c r="H352">
        <f>VLOOKUP(A352,NYSEARCAMUB!A$2:G$506,3,0)</f>
        <v>111.87</v>
      </c>
      <c r="I352">
        <f>VLOOKUP(A352,NYSEARCAVNQ!A$2:G$506,3,0)</f>
        <v>83</v>
      </c>
      <c r="J352">
        <f>VLOOKUP(A352,NYSEARCARWX!A$2:G$506,3,0)</f>
        <v>39.700000000000003</v>
      </c>
      <c r="K352">
        <f>VLOOKUP(A352,NYSEARCADBC!A$2:G$506,3,0)</f>
        <v>15.41</v>
      </c>
      <c r="L352">
        <f>VLOOKUP(A352,NYSEARCAGSG!A$2:G$506,3,0)</f>
        <v>15.43</v>
      </c>
      <c r="M352">
        <f>VLOOKUP(A352,NYSEARCAGLD!A$2:G$506,3,0)</f>
        <v>120.42</v>
      </c>
      <c r="N352">
        <f>VLOOKUP(A352,NYSEBP!A$2:G$506,3,0)</f>
        <v>36.83</v>
      </c>
      <c r="O352">
        <f>VLOOKUP(A352,NASDAQYHOO!A$2:G$506,3,0)</f>
        <v>44.07</v>
      </c>
    </row>
    <row r="353" spans="1:15">
      <c r="A353" s="39">
        <v>42654</v>
      </c>
      <c r="B353">
        <v>67.959999999999994</v>
      </c>
      <c r="C353">
        <f>VLOOKUP(A353,NYSEARCAVTI!A$2:G$506,3,0)</f>
        <v>110.95</v>
      </c>
      <c r="D353">
        <f>VLOOKUP(A353,NYSEARCAVEU!A$2:G$506,3,0)</f>
        <v>45.05</v>
      </c>
      <c r="E353">
        <f>VLOOKUP(A353,NYSEARCAVWO!A$2:G$506,3,0)</f>
        <v>37.72</v>
      </c>
      <c r="F353">
        <f>VLOOKUP(A353,NYSEARCABND!A$2:G$506,3,0)</f>
        <v>83.43</v>
      </c>
      <c r="G353">
        <f>VLOOKUP(A353,NYSEARCATIP!A$2:G$506,3,0)</f>
        <v>115.65</v>
      </c>
      <c r="H353">
        <f>VLOOKUP(A353,NYSEARCAMUB!A$2:G$506,3,0)</f>
        <v>111.84</v>
      </c>
      <c r="I353">
        <f>VLOOKUP(A353,NYSEARCAVNQ!A$2:G$506,3,0)</f>
        <v>82.74</v>
      </c>
      <c r="J353">
        <f>VLOOKUP(A353,NYSEARCARWX!A$2:G$506,3,0)</f>
        <v>39.21</v>
      </c>
      <c r="K353">
        <f>VLOOKUP(A353,NYSEARCADBC!A$2:G$506,3,0)</f>
        <v>15.34</v>
      </c>
      <c r="L353">
        <f>VLOOKUP(A353,NYSEARCAGSG!A$2:G$506,3,0)</f>
        <v>15.31</v>
      </c>
      <c r="M353">
        <f>VLOOKUP(A353,NYSEARCAGLD!A$2:G$506,3,0)</f>
        <v>120.16</v>
      </c>
      <c r="N353">
        <f>VLOOKUP(A353,NYSEBP!A$2:G$506,3,0)</f>
        <v>36.479999999999997</v>
      </c>
      <c r="O353">
        <f>VLOOKUP(A353,NASDAQYHOO!A$2:G$506,3,0)</f>
        <v>44.08</v>
      </c>
    </row>
    <row r="354" spans="1:15">
      <c r="A354" s="39">
        <v>42655</v>
      </c>
      <c r="B354">
        <v>67.91</v>
      </c>
      <c r="C354">
        <f>VLOOKUP(A354,NYSEARCAVTI!A$2:G$506,3,0)</f>
        <v>110.13</v>
      </c>
      <c r="D354">
        <f>VLOOKUP(A354,NYSEARCAVEU!A$2:G$506,3,0)</f>
        <v>44.7</v>
      </c>
      <c r="E354">
        <f>VLOOKUP(A354,NYSEARCAVWO!A$2:G$506,3,0)</f>
        <v>37.58</v>
      </c>
      <c r="F354">
        <f>VLOOKUP(A354,NYSEARCABND!A$2:G$506,3,0)</f>
        <v>83.36</v>
      </c>
      <c r="G354">
        <f>VLOOKUP(A354,NYSEARCATIP!A$2:G$506,3,0)</f>
        <v>115.46</v>
      </c>
      <c r="H354">
        <f>VLOOKUP(A354,NYSEARCAMUB!A$2:G$506,3,0)</f>
        <v>111.64</v>
      </c>
      <c r="I354">
        <f>VLOOKUP(A354,NYSEARCAVNQ!A$2:G$506,3,0)</f>
        <v>82.92</v>
      </c>
      <c r="J354">
        <f>VLOOKUP(A354,NYSEARCARWX!A$2:G$506,3,0)</f>
        <v>38.92</v>
      </c>
      <c r="K354">
        <f>VLOOKUP(A354,NYSEARCADBC!A$2:G$506,3,0)</f>
        <v>15.22</v>
      </c>
      <c r="L354">
        <f>VLOOKUP(A354,NYSEARCAGSG!A$2:G$506,3,0)</f>
        <v>15.18</v>
      </c>
      <c r="M354">
        <f>VLOOKUP(A354,NYSEARCAGLD!A$2:G$506,3,0)</f>
        <v>120.07</v>
      </c>
      <c r="N354">
        <f>VLOOKUP(A354,NYSEBP!A$2:G$506,3,0)</f>
        <v>35.99</v>
      </c>
      <c r="O354">
        <f>VLOOKUP(A354,NASDAQYHOO!A$2:G$506,3,0)</f>
        <v>42.78</v>
      </c>
    </row>
    <row r="355" spans="1:15">
      <c r="A355" s="39">
        <v>42656</v>
      </c>
      <c r="B355">
        <v>68.540000000000006</v>
      </c>
      <c r="C355">
        <f>VLOOKUP(A355,NYSEARCAVTI!A$2:G$506,3,0)</f>
        <v>109.72</v>
      </c>
      <c r="D355">
        <f>VLOOKUP(A355,NYSEARCAVEU!A$2:G$506,3,0)</f>
        <v>44.48</v>
      </c>
      <c r="E355">
        <f>VLOOKUP(A355,NYSEARCAVWO!A$2:G$506,3,0)</f>
        <v>37.36</v>
      </c>
      <c r="F355">
        <f>VLOOKUP(A355,NYSEARCABND!A$2:G$506,3,0)</f>
        <v>83.54</v>
      </c>
      <c r="G355">
        <f>VLOOKUP(A355,NYSEARCATIP!A$2:G$506,3,0)</f>
        <v>115.73</v>
      </c>
      <c r="H355">
        <f>VLOOKUP(A355,NYSEARCAMUB!A$2:G$506,3,0)</f>
        <v>111.69</v>
      </c>
      <c r="I355">
        <f>VLOOKUP(A355,NYSEARCAVNQ!A$2:G$506,3,0)</f>
        <v>83.59</v>
      </c>
      <c r="J355">
        <f>VLOOKUP(A355,NYSEARCARWX!A$2:G$506,3,0)</f>
        <v>39.299999999999997</v>
      </c>
      <c r="K355">
        <f>VLOOKUP(A355,NYSEARCADBC!A$2:G$506,3,0)</f>
        <v>15.28</v>
      </c>
      <c r="L355">
        <f>VLOOKUP(A355,NYSEARCAGSG!A$2:G$506,3,0)</f>
        <v>15.21</v>
      </c>
      <c r="M355">
        <f>VLOOKUP(A355,NYSEARCAGLD!A$2:G$506,3,0)</f>
        <v>120.42</v>
      </c>
      <c r="N355">
        <f>VLOOKUP(A355,NYSEBP!A$2:G$506,3,0)</f>
        <v>35.89</v>
      </c>
      <c r="O355">
        <f>VLOOKUP(A355,NASDAQYHOO!A$2:G$506,3,0)</f>
        <v>42.08</v>
      </c>
    </row>
    <row r="356" spans="1:15">
      <c r="A356" s="39">
        <v>42657</v>
      </c>
      <c r="B356">
        <v>68.81</v>
      </c>
      <c r="C356">
        <f>VLOOKUP(A356,NYSEARCAVTI!A$2:G$506,3,0)</f>
        <v>110.32</v>
      </c>
      <c r="D356">
        <f>VLOOKUP(A356,NYSEARCAVEU!A$2:G$506,3,0)</f>
        <v>44.8</v>
      </c>
      <c r="E356">
        <f>VLOOKUP(A356,NYSEARCAVWO!A$2:G$506,3,0)</f>
        <v>37.64</v>
      </c>
      <c r="F356">
        <f>VLOOKUP(A356,NYSEARCABND!A$2:G$506,3,0)</f>
        <v>83.46</v>
      </c>
      <c r="G356">
        <f>VLOOKUP(A356,NYSEARCATIP!A$2:G$506,3,0)</f>
        <v>115.7</v>
      </c>
      <c r="H356">
        <f>VLOOKUP(A356,NYSEARCAMUB!A$2:G$506,3,0)</f>
        <v>111.55</v>
      </c>
      <c r="I356">
        <f>VLOOKUP(A356,NYSEARCAVNQ!A$2:G$506,3,0)</f>
        <v>83.99</v>
      </c>
      <c r="J356">
        <f>VLOOKUP(A356,NYSEARCARWX!A$2:G$506,3,0)</f>
        <v>39.369999999999997</v>
      </c>
      <c r="K356">
        <f>VLOOKUP(A356,NYSEARCADBC!A$2:G$506,3,0)</f>
        <v>15.28</v>
      </c>
      <c r="L356">
        <f>VLOOKUP(A356,NYSEARCAGSG!A$2:G$506,3,0)</f>
        <v>15.22</v>
      </c>
      <c r="M356">
        <f>VLOOKUP(A356,NYSEARCAGLD!A$2:G$506,3,0)</f>
        <v>120.16</v>
      </c>
      <c r="N356">
        <f>VLOOKUP(A356,NYSEBP!A$2:G$506,3,0)</f>
        <v>36.130000000000003</v>
      </c>
      <c r="O356">
        <f>VLOOKUP(A356,NASDAQYHOO!A$2:G$506,3,0)</f>
        <v>42.25</v>
      </c>
    </row>
    <row r="357" spans="1:15">
      <c r="A357" s="39">
        <v>42660</v>
      </c>
      <c r="B357">
        <v>68.650000000000006</v>
      </c>
      <c r="C357">
        <f>VLOOKUP(A357,NYSEARCAVTI!A$2:G$506,3,0)</f>
        <v>109.54</v>
      </c>
      <c r="D357">
        <f>VLOOKUP(A357,NYSEARCAVEU!A$2:G$506,3,0)</f>
        <v>44.51</v>
      </c>
      <c r="E357">
        <f>VLOOKUP(A357,NYSEARCAVWO!A$2:G$506,3,0)</f>
        <v>37.380000000000003</v>
      </c>
      <c r="F357">
        <f>VLOOKUP(A357,NYSEARCABND!A$2:G$506,3,0)</f>
        <v>83.47</v>
      </c>
      <c r="G357">
        <f>VLOOKUP(A357,NYSEARCATIP!A$2:G$506,3,0)</f>
        <v>115.98</v>
      </c>
      <c r="H357">
        <f>VLOOKUP(A357,NYSEARCAMUB!A$2:G$506,3,0)</f>
        <v>111.5</v>
      </c>
      <c r="I357">
        <f>VLOOKUP(A357,NYSEARCAVNQ!A$2:G$506,3,0)</f>
        <v>83.77</v>
      </c>
      <c r="J357">
        <f>VLOOKUP(A357,NYSEARCARWX!A$2:G$506,3,0)</f>
        <v>39.01</v>
      </c>
      <c r="K357">
        <f>VLOOKUP(A357,NYSEARCADBC!A$2:G$506,3,0)</f>
        <v>15.28</v>
      </c>
      <c r="L357">
        <f>VLOOKUP(A357,NYSEARCAGSG!A$2:G$506,3,0)</f>
        <v>15.17</v>
      </c>
      <c r="M357">
        <f>VLOOKUP(A357,NYSEARCAGLD!A$2:G$506,3,0)</f>
        <v>119.92</v>
      </c>
      <c r="N357">
        <f>VLOOKUP(A357,NYSEBP!A$2:G$506,3,0)</f>
        <v>35.68</v>
      </c>
      <c r="O357">
        <f>VLOOKUP(A357,NASDAQYHOO!A$2:G$506,3,0)</f>
        <v>41.94</v>
      </c>
    </row>
    <row r="358" spans="1:15">
      <c r="A358" s="39">
        <v>42661</v>
      </c>
      <c r="B358">
        <v>68.98</v>
      </c>
      <c r="C358">
        <f>VLOOKUP(A358,NYSEARCAVTI!A$2:G$506,3,0)</f>
        <v>110.02</v>
      </c>
      <c r="D358">
        <f>VLOOKUP(A358,NYSEARCAVEU!A$2:G$506,3,0)</f>
        <v>45</v>
      </c>
      <c r="E358">
        <f>VLOOKUP(A358,NYSEARCAVWO!A$2:G$506,3,0)</f>
        <v>37.950000000000003</v>
      </c>
      <c r="F358">
        <f>VLOOKUP(A358,NYSEARCABND!A$2:G$506,3,0)</f>
        <v>83.57</v>
      </c>
      <c r="G358">
        <f>VLOOKUP(A358,NYSEARCATIP!A$2:G$506,3,0)</f>
        <v>116.08</v>
      </c>
      <c r="H358">
        <f>VLOOKUP(A358,NYSEARCAMUB!A$2:G$506,3,0)</f>
        <v>111.47</v>
      </c>
      <c r="I358">
        <f>VLOOKUP(A358,NYSEARCAVNQ!A$2:G$506,3,0)</f>
        <v>84.28</v>
      </c>
      <c r="J358">
        <f>VLOOKUP(A358,NYSEARCARWX!A$2:G$506,3,0)</f>
        <v>39.5</v>
      </c>
      <c r="K358">
        <f>VLOOKUP(A358,NYSEARCADBC!A$2:G$506,3,0)</f>
        <v>15.36</v>
      </c>
      <c r="L358">
        <f>VLOOKUP(A358,NYSEARCAGSG!A$2:G$506,3,0)</f>
        <v>15.23</v>
      </c>
      <c r="M358">
        <f>VLOOKUP(A358,NYSEARCAGLD!A$2:G$506,3,0)</f>
        <v>120.64</v>
      </c>
      <c r="N358">
        <f>VLOOKUP(A358,NYSEBP!A$2:G$506,3,0)</f>
        <v>36.17</v>
      </c>
      <c r="O358">
        <f>VLOOKUP(A358,NASDAQYHOO!A$2:G$506,3,0)</f>
        <v>42.6</v>
      </c>
    </row>
    <row r="359" spans="1:15">
      <c r="A359" s="39">
        <v>42662</v>
      </c>
      <c r="B359">
        <v>69.34</v>
      </c>
      <c r="C359">
        <f>VLOOKUP(A359,NYSEARCAVTI!A$2:G$506,3,0)</f>
        <v>110.25</v>
      </c>
      <c r="D359">
        <f>VLOOKUP(A359,NYSEARCAVEU!A$2:G$506,3,0)</f>
        <v>45.16</v>
      </c>
      <c r="E359">
        <f>VLOOKUP(A359,NYSEARCAVWO!A$2:G$506,3,0)</f>
        <v>38.19</v>
      </c>
      <c r="F359">
        <f>VLOOKUP(A359,NYSEARCABND!A$2:G$506,3,0)</f>
        <v>83.62</v>
      </c>
      <c r="G359">
        <f>VLOOKUP(A359,NYSEARCATIP!A$2:G$506,3,0)</f>
        <v>116.19</v>
      </c>
      <c r="H359">
        <f>VLOOKUP(A359,NYSEARCAMUB!A$2:G$506,3,0)</f>
        <v>111.47</v>
      </c>
      <c r="I359">
        <f>VLOOKUP(A359,NYSEARCAVNQ!A$2:G$506,3,0)</f>
        <v>84.08</v>
      </c>
      <c r="J359">
        <f>VLOOKUP(A359,NYSEARCARWX!A$2:G$506,3,0)</f>
        <v>39.71</v>
      </c>
      <c r="K359">
        <f>VLOOKUP(A359,NYSEARCADBC!A$2:G$506,3,0)</f>
        <v>15.45</v>
      </c>
      <c r="L359">
        <f>VLOOKUP(A359,NYSEARCAGSG!A$2:G$506,3,0)</f>
        <v>15.4</v>
      </c>
      <c r="M359">
        <f>VLOOKUP(A359,NYSEARCAGLD!A$2:G$506,3,0)</f>
        <v>121.46</v>
      </c>
      <c r="N359">
        <f>VLOOKUP(A359,NYSEBP!A$2:G$506,3,0)</f>
        <v>36.39</v>
      </c>
      <c r="O359">
        <f>VLOOKUP(A359,NASDAQYHOO!A$2:G$506,3,0)</f>
        <v>42.94</v>
      </c>
    </row>
    <row r="360" spans="1:15">
      <c r="A360" s="39">
        <v>42663</v>
      </c>
      <c r="B360">
        <v>69.08</v>
      </c>
      <c r="C360">
        <f>VLOOKUP(A360,NYSEARCAVTI!A$2:G$506,3,0)</f>
        <v>110.17</v>
      </c>
      <c r="D360">
        <f>VLOOKUP(A360,NYSEARCAVEU!A$2:G$506,3,0)</f>
        <v>45.19</v>
      </c>
      <c r="E360">
        <f>VLOOKUP(A360,NYSEARCAVWO!A$2:G$506,3,0)</f>
        <v>38.18</v>
      </c>
      <c r="F360">
        <f>VLOOKUP(A360,NYSEARCABND!A$2:G$506,3,0)</f>
        <v>83.68</v>
      </c>
      <c r="G360">
        <f>VLOOKUP(A360,NYSEARCATIP!A$2:G$506,3,0)</f>
        <v>116.3</v>
      </c>
      <c r="H360">
        <f>VLOOKUP(A360,NYSEARCAMUB!A$2:G$506,3,0)</f>
        <v>111.55</v>
      </c>
      <c r="I360">
        <f>VLOOKUP(A360,NYSEARCAVNQ!A$2:G$506,3,0)</f>
        <v>84.33</v>
      </c>
      <c r="J360">
        <f>VLOOKUP(A360,NYSEARCARWX!A$2:G$506,3,0)</f>
        <v>39.83</v>
      </c>
      <c r="K360">
        <f>VLOOKUP(A360,NYSEARCADBC!A$2:G$506,3,0)</f>
        <v>15.31</v>
      </c>
      <c r="L360">
        <f>VLOOKUP(A360,NYSEARCAGSG!A$2:G$506,3,0)</f>
        <v>15.22</v>
      </c>
      <c r="M360">
        <f>VLOOKUP(A360,NYSEARCAGLD!A$2:G$506,3,0)</f>
        <v>121.59</v>
      </c>
      <c r="N360">
        <f>VLOOKUP(A360,NYSEBP!A$2:G$506,3,0)</f>
        <v>36.21</v>
      </c>
      <c r="O360">
        <f>VLOOKUP(A360,NASDAQYHOO!A$2:G$506,3,0)</f>
        <v>42.69</v>
      </c>
    </row>
    <row r="361" spans="1:15">
      <c r="A361" s="39">
        <v>42664</v>
      </c>
      <c r="B361">
        <v>68.63</v>
      </c>
      <c r="C361">
        <f>VLOOKUP(A361,NYSEARCAVTI!A$2:G$506,3,0)</f>
        <v>109.9</v>
      </c>
      <c r="D361">
        <f>VLOOKUP(A361,NYSEARCAVEU!A$2:G$506,3,0)</f>
        <v>45.01</v>
      </c>
      <c r="E361">
        <f>VLOOKUP(A361,NYSEARCAVWO!A$2:G$506,3,0)</f>
        <v>38.1</v>
      </c>
      <c r="F361">
        <f>VLOOKUP(A361,NYSEARCABND!A$2:G$506,3,0)</f>
        <v>83.65</v>
      </c>
      <c r="G361">
        <f>VLOOKUP(A361,NYSEARCATIP!A$2:G$506,3,0)</f>
        <v>116.21</v>
      </c>
      <c r="H361">
        <f>VLOOKUP(A361,NYSEARCAMUB!A$2:G$506,3,0)</f>
        <v>111.63</v>
      </c>
      <c r="I361">
        <f>VLOOKUP(A361,NYSEARCAVNQ!A$2:G$506,3,0)</f>
        <v>83.68</v>
      </c>
      <c r="J361">
        <f>VLOOKUP(A361,NYSEARCARWX!A$2:G$506,3,0)</f>
        <v>39.64</v>
      </c>
      <c r="K361">
        <f>VLOOKUP(A361,NYSEARCADBC!A$2:G$506,3,0)</f>
        <v>15.33</v>
      </c>
      <c r="L361">
        <f>VLOOKUP(A361,NYSEARCAGSG!A$2:G$506,3,0)</f>
        <v>15.2</v>
      </c>
      <c r="M361">
        <f>VLOOKUP(A361,NYSEARCAGLD!A$2:G$506,3,0)</f>
        <v>120.92</v>
      </c>
      <c r="N361">
        <f>VLOOKUP(A361,NYSEBP!A$2:G$506,3,0)</f>
        <v>36.270000000000003</v>
      </c>
      <c r="O361">
        <f>VLOOKUP(A361,NASDAQYHOO!A$2:G$506,3,0)</f>
        <v>42.2</v>
      </c>
    </row>
    <row r="362" spans="1:15">
      <c r="A362" s="39">
        <v>42667</v>
      </c>
      <c r="B362">
        <v>69.37</v>
      </c>
      <c r="C362">
        <f>VLOOKUP(A362,NYSEARCAVTI!A$2:G$506,3,0)</f>
        <v>110.6</v>
      </c>
      <c r="D362">
        <f>VLOOKUP(A362,NYSEARCAVEU!A$2:G$506,3,0)</f>
        <v>45.19</v>
      </c>
      <c r="E362">
        <f>VLOOKUP(A362,NYSEARCAVWO!A$2:G$506,3,0)</f>
        <v>38.380000000000003</v>
      </c>
      <c r="F362">
        <f>VLOOKUP(A362,NYSEARCABND!A$2:G$506,3,0)</f>
        <v>83.65</v>
      </c>
      <c r="G362">
        <f>VLOOKUP(A362,NYSEARCATIP!A$2:G$506,3,0)</f>
        <v>116.13</v>
      </c>
      <c r="H362">
        <f>VLOOKUP(A362,NYSEARCAMUB!A$2:G$506,3,0)</f>
        <v>111.6</v>
      </c>
      <c r="I362">
        <f>VLOOKUP(A362,NYSEARCAVNQ!A$2:G$506,3,0)</f>
        <v>84.51</v>
      </c>
      <c r="J362">
        <f>VLOOKUP(A362,NYSEARCARWX!A$2:G$506,3,0)</f>
        <v>39.81</v>
      </c>
      <c r="K362">
        <f>VLOOKUP(A362,NYSEARCADBC!A$2:G$506,3,0)</f>
        <v>15.35</v>
      </c>
      <c r="L362">
        <f>VLOOKUP(A362,NYSEARCAGSG!A$2:G$506,3,0)</f>
        <v>15.19</v>
      </c>
      <c r="M362">
        <f>VLOOKUP(A362,NYSEARCAGLD!A$2:G$506,3,0)</f>
        <v>121.3</v>
      </c>
      <c r="N362">
        <f>VLOOKUP(A362,NYSEBP!A$2:G$506,3,0)</f>
        <v>36.25</v>
      </c>
      <c r="O362">
        <f>VLOOKUP(A362,NASDAQYHOO!A$2:G$506,3,0)</f>
        <v>42.68</v>
      </c>
    </row>
    <row r="363" spans="1:15">
      <c r="A363" s="39">
        <v>42668</v>
      </c>
      <c r="B363">
        <v>69.87</v>
      </c>
      <c r="C363">
        <f>VLOOKUP(A363,NYSEARCAVTI!A$2:G$506,3,0)</f>
        <v>110.33</v>
      </c>
      <c r="D363">
        <f>VLOOKUP(A363,NYSEARCAVEU!A$2:G$506,3,0)</f>
        <v>45.06</v>
      </c>
      <c r="E363">
        <f>VLOOKUP(A363,NYSEARCAVWO!A$2:G$506,3,0)</f>
        <v>38.33</v>
      </c>
      <c r="F363">
        <f>VLOOKUP(A363,NYSEARCABND!A$2:G$506,3,0)</f>
        <v>83.6</v>
      </c>
      <c r="G363">
        <f>VLOOKUP(A363,NYSEARCATIP!A$2:G$506,3,0)</f>
        <v>116.16</v>
      </c>
      <c r="H363">
        <f>VLOOKUP(A363,NYSEARCAMUB!A$2:G$506,3,0)</f>
        <v>111.56</v>
      </c>
      <c r="I363">
        <f>VLOOKUP(A363,NYSEARCAVNQ!A$2:G$506,3,0)</f>
        <v>83.62</v>
      </c>
      <c r="J363">
        <f>VLOOKUP(A363,NYSEARCARWX!A$2:G$506,3,0)</f>
        <v>39.799999999999997</v>
      </c>
      <c r="K363">
        <f>VLOOKUP(A363,NYSEARCADBC!A$2:G$506,3,0)</f>
        <v>15.37</v>
      </c>
      <c r="L363">
        <f>VLOOKUP(A363,NYSEARCAGSG!A$2:G$506,3,0)</f>
        <v>15.19</v>
      </c>
      <c r="M363">
        <f>VLOOKUP(A363,NYSEARCAGLD!A$2:G$506,3,0)</f>
        <v>121.76</v>
      </c>
      <c r="N363">
        <f>VLOOKUP(A363,NYSEBP!A$2:G$506,3,0)</f>
        <v>36.25</v>
      </c>
      <c r="O363">
        <f>VLOOKUP(A363,NASDAQYHOO!A$2:G$506,3,0)</f>
        <v>42.75</v>
      </c>
    </row>
    <row r="364" spans="1:15">
      <c r="A364" s="39">
        <v>42669</v>
      </c>
      <c r="B364">
        <v>69.81</v>
      </c>
      <c r="C364">
        <f>VLOOKUP(A364,NYSEARCAVTI!A$2:G$506,3,0)</f>
        <v>109.96</v>
      </c>
      <c r="D364">
        <f>VLOOKUP(A364,NYSEARCAVEU!A$2:G$506,3,0)</f>
        <v>44.9</v>
      </c>
      <c r="E364">
        <f>VLOOKUP(A364,NYSEARCAVWO!A$2:G$506,3,0)</f>
        <v>38.11</v>
      </c>
      <c r="F364">
        <f>VLOOKUP(A364,NYSEARCABND!A$2:G$506,3,0)</f>
        <v>83.45</v>
      </c>
      <c r="G364">
        <f>VLOOKUP(A364,NYSEARCATIP!A$2:G$506,3,0)</f>
        <v>116.11</v>
      </c>
      <c r="H364">
        <f>VLOOKUP(A364,NYSEARCAMUB!A$2:G$506,3,0)</f>
        <v>111.52</v>
      </c>
      <c r="I364">
        <f>VLOOKUP(A364,NYSEARCAVNQ!A$2:G$506,3,0)</f>
        <v>83.31</v>
      </c>
      <c r="J364">
        <f>VLOOKUP(A364,NYSEARCARWX!A$2:G$506,3,0)</f>
        <v>39.5</v>
      </c>
      <c r="K364">
        <f>VLOOKUP(A364,NYSEARCADBC!A$2:G$506,3,0)</f>
        <v>15.27</v>
      </c>
      <c r="L364">
        <f>VLOOKUP(A364,NYSEARCAGSG!A$2:G$506,3,0)</f>
        <v>15.08</v>
      </c>
      <c r="M364">
        <f>VLOOKUP(A364,NYSEARCAGLD!A$2:G$506,3,0)</f>
        <v>121.53</v>
      </c>
      <c r="N364">
        <f>VLOOKUP(A364,NYSEBP!A$2:G$506,3,0)</f>
        <v>35.93</v>
      </c>
      <c r="O364">
        <f>VLOOKUP(A364,NASDAQYHOO!A$2:G$506,3,0)</f>
        <v>42.44</v>
      </c>
    </row>
    <row r="365" spans="1:15">
      <c r="A365" s="39">
        <v>42670</v>
      </c>
      <c r="B365">
        <v>70</v>
      </c>
      <c r="C365">
        <f>VLOOKUP(A365,NYSEARCAVTI!A$2:G$506,3,0)</f>
        <v>110</v>
      </c>
      <c r="D365">
        <f>VLOOKUP(A365,NYSEARCAVEU!A$2:G$506,3,0)</f>
        <v>44.89</v>
      </c>
      <c r="E365">
        <f>VLOOKUP(A365,NYSEARCAVWO!A$2:G$506,3,0)</f>
        <v>37.979999999999997</v>
      </c>
      <c r="F365">
        <f>VLOOKUP(A365,NYSEARCABND!A$2:G$506,3,0)</f>
        <v>83.2</v>
      </c>
      <c r="G365">
        <f>VLOOKUP(A365,NYSEARCATIP!A$2:G$506,3,0)</f>
        <v>115.81</v>
      </c>
      <c r="H365">
        <f>VLOOKUP(A365,NYSEARCAMUB!A$2:G$506,3,0)</f>
        <v>111.46</v>
      </c>
      <c r="I365">
        <f>VLOOKUP(A365,NYSEARCAVNQ!A$2:G$506,3,0)</f>
        <v>82.31</v>
      </c>
      <c r="J365">
        <f>VLOOKUP(A365,NYSEARCARWX!A$2:G$506,3,0)</f>
        <v>39.130000000000003</v>
      </c>
      <c r="K365">
        <f>VLOOKUP(A365,NYSEARCADBC!A$2:G$506,3,0)</f>
        <v>15.3</v>
      </c>
      <c r="L365">
        <f>VLOOKUP(A365,NYSEARCAGSG!A$2:G$506,3,0)</f>
        <v>15.14</v>
      </c>
      <c r="M365">
        <f>VLOOKUP(A365,NYSEARCAGLD!A$2:G$506,3,0)</f>
        <v>121.18</v>
      </c>
      <c r="N365">
        <f>VLOOKUP(A365,NYSEBP!A$2:G$506,3,0)</f>
        <v>36.25</v>
      </c>
      <c r="O365">
        <f>VLOOKUP(A365,NASDAQYHOO!A$2:G$506,3,0)</f>
        <v>42.49</v>
      </c>
    </row>
    <row r="366" spans="1:15">
      <c r="A366" s="39">
        <v>42671</v>
      </c>
      <c r="B366">
        <v>70.209999999999994</v>
      </c>
      <c r="C366">
        <f>VLOOKUP(A366,NYSEARCAVTI!A$2:G$506,3,0)</f>
        <v>109.56</v>
      </c>
      <c r="D366">
        <f>VLOOKUP(A366,NYSEARCAVEU!A$2:G$506,3,0)</f>
        <v>44.75</v>
      </c>
      <c r="E366">
        <f>VLOOKUP(A366,NYSEARCAVWO!A$2:G$506,3,0)</f>
        <v>37.81</v>
      </c>
      <c r="F366">
        <f>VLOOKUP(A366,NYSEARCABND!A$2:G$506,3,0)</f>
        <v>83.18</v>
      </c>
      <c r="G366">
        <f>VLOOKUP(A366,NYSEARCATIP!A$2:G$506,3,0)</f>
        <v>115.74</v>
      </c>
      <c r="H366">
        <f>VLOOKUP(A366,NYSEARCAMUB!A$2:G$506,3,0)</f>
        <v>111.43</v>
      </c>
      <c r="I366">
        <f>VLOOKUP(A366,NYSEARCAVNQ!A$2:G$506,3,0)</f>
        <v>81.14</v>
      </c>
      <c r="J366">
        <f>VLOOKUP(A366,NYSEARCARWX!A$2:G$506,3,0)</f>
        <v>38.79</v>
      </c>
      <c r="K366">
        <f>VLOOKUP(A366,NYSEARCADBC!A$2:G$506,3,0)</f>
        <v>15.28</v>
      </c>
      <c r="L366">
        <f>VLOOKUP(A366,NYSEARCAGSG!A$2:G$506,3,0)</f>
        <v>15.1</v>
      </c>
      <c r="M366">
        <f>VLOOKUP(A366,NYSEARCAGLD!A$2:G$506,3,0)</f>
        <v>122.48</v>
      </c>
      <c r="N366">
        <f>VLOOKUP(A366,NYSEBP!A$2:G$506,3,0)</f>
        <v>36</v>
      </c>
      <c r="O366">
        <f>VLOOKUP(A366,NASDAQYHOO!A$2:G$506,3,0)</f>
        <v>42.22</v>
      </c>
    </row>
    <row r="367" spans="1:15">
      <c r="A367" s="39">
        <v>42674</v>
      </c>
      <c r="B367">
        <v>70.17</v>
      </c>
      <c r="C367">
        <f>VLOOKUP(A367,NYSEARCAVTI!A$2:G$506,3,0)</f>
        <v>109.2</v>
      </c>
      <c r="D367">
        <f>VLOOKUP(A367,NYSEARCAVEU!A$2:G$506,3,0)</f>
        <v>44.74</v>
      </c>
      <c r="E367">
        <f>VLOOKUP(A367,NYSEARCAVWO!A$2:G$506,3,0)</f>
        <v>37.83</v>
      </c>
      <c r="F367">
        <f>VLOOKUP(A367,NYSEARCABND!A$2:G$506,3,0)</f>
        <v>83.25</v>
      </c>
      <c r="G367">
        <f>VLOOKUP(A367,NYSEARCATIP!A$2:G$506,3,0)</f>
        <v>115.86</v>
      </c>
      <c r="H367">
        <f>VLOOKUP(A367,NYSEARCAMUB!A$2:G$506,3,0)</f>
        <v>111.47</v>
      </c>
      <c r="I367">
        <f>VLOOKUP(A367,NYSEARCAVNQ!A$2:G$506,3,0)</f>
        <v>81.91</v>
      </c>
      <c r="J367">
        <f>VLOOKUP(A367,NYSEARCARWX!A$2:G$506,3,0)</f>
        <v>39.049999999999997</v>
      </c>
      <c r="K367">
        <f>VLOOKUP(A367,NYSEARCADBC!A$2:G$506,3,0)</f>
        <v>15.12</v>
      </c>
      <c r="L367">
        <f>VLOOKUP(A367,NYSEARCAGSG!A$2:G$506,3,0)</f>
        <v>14.85</v>
      </c>
      <c r="M367">
        <f>VLOOKUP(A367,NYSEARCAGLD!A$2:G$506,3,0)</f>
        <v>122</v>
      </c>
      <c r="N367">
        <f>VLOOKUP(A367,NYSEBP!A$2:G$506,3,0)</f>
        <v>35.67</v>
      </c>
      <c r="O367">
        <f>VLOOKUP(A367,NASDAQYHOO!A$2:G$506,3,0)</f>
        <v>42.16</v>
      </c>
    </row>
    <row r="368" spans="1:15">
      <c r="A368" s="39">
        <v>42675</v>
      </c>
      <c r="B368">
        <v>70.06</v>
      </c>
      <c r="C368">
        <f>VLOOKUP(A368,NYSEARCAVTI!A$2:G$506,3,0)</f>
        <v>109.19</v>
      </c>
      <c r="D368">
        <f>VLOOKUP(A368,NYSEARCAVEU!A$2:G$506,3,0)</f>
        <v>44.85</v>
      </c>
      <c r="E368">
        <f>VLOOKUP(A368,NYSEARCAVWO!A$2:G$506,3,0)</f>
        <v>37.89</v>
      </c>
      <c r="F368">
        <f>VLOOKUP(A368,NYSEARCABND!A$2:G$506,3,0)</f>
        <v>83.07</v>
      </c>
      <c r="G368">
        <f>VLOOKUP(A368,NYSEARCATIP!A$2:G$506,3,0)</f>
        <v>115.97</v>
      </c>
      <c r="H368">
        <f>VLOOKUP(A368,NYSEARCAMUB!A$2:G$506,3,0)</f>
        <v>111.24</v>
      </c>
      <c r="I368">
        <f>VLOOKUP(A368,NYSEARCAVNQ!A$2:G$506,3,0)</f>
        <v>81.47</v>
      </c>
      <c r="J368">
        <f>VLOOKUP(A368,NYSEARCARWX!A$2:G$506,3,0)</f>
        <v>38.99</v>
      </c>
      <c r="K368">
        <f>VLOOKUP(A368,NYSEARCADBC!A$2:G$506,3,0)</f>
        <v>15.18</v>
      </c>
      <c r="L368">
        <f>VLOOKUP(A368,NYSEARCAGSG!A$2:G$506,3,0)</f>
        <v>14.75</v>
      </c>
      <c r="M368">
        <f>VLOOKUP(A368,NYSEARCAGLD!A$2:G$506,3,0)</f>
        <v>123.21</v>
      </c>
      <c r="N368">
        <f>VLOOKUP(A368,NYSEBP!A$2:G$506,3,0)</f>
        <v>35.03</v>
      </c>
      <c r="O368">
        <f>VLOOKUP(A368,NASDAQYHOO!A$2:G$506,3,0)</f>
        <v>41.34</v>
      </c>
    </row>
    <row r="369" spans="1:15">
      <c r="A369" s="39">
        <v>42676</v>
      </c>
      <c r="B369">
        <v>69.97</v>
      </c>
      <c r="C369">
        <f>VLOOKUP(A369,NYSEARCAVTI!A$2:G$506,3,0)</f>
        <v>108.08</v>
      </c>
      <c r="D369">
        <f>VLOOKUP(A369,NYSEARCAVEU!A$2:G$506,3,0)</f>
        <v>44.45</v>
      </c>
      <c r="E369">
        <f>VLOOKUP(A369,NYSEARCAVWO!A$2:G$506,3,0)</f>
        <v>37.4</v>
      </c>
      <c r="F369">
        <f>VLOOKUP(A369,NYSEARCABND!A$2:G$506,3,0)</f>
        <v>83.2</v>
      </c>
      <c r="G369">
        <f>VLOOKUP(A369,NYSEARCATIP!A$2:G$506,3,0)</f>
        <v>116.05</v>
      </c>
      <c r="H369">
        <f>VLOOKUP(A369,NYSEARCAMUB!A$2:G$506,3,0)</f>
        <v>111.42</v>
      </c>
      <c r="I369">
        <f>VLOOKUP(A369,NYSEARCAVNQ!A$2:G$506,3,0)</f>
        <v>80.08</v>
      </c>
      <c r="J369">
        <f>VLOOKUP(A369,NYSEARCARWX!A$2:G$506,3,0)</f>
        <v>39.1</v>
      </c>
      <c r="K369">
        <f>VLOOKUP(A369,NYSEARCADBC!A$2:G$506,3,0)</f>
        <v>14.94</v>
      </c>
      <c r="L369">
        <f>VLOOKUP(A369,NYSEARCAGSG!A$2:G$506,3,0)</f>
        <v>14.45</v>
      </c>
      <c r="M369">
        <f>VLOOKUP(A369,NYSEARCAGLD!A$2:G$506,3,0)</f>
        <v>124.76</v>
      </c>
      <c r="N369">
        <f>VLOOKUP(A369,NYSEBP!A$2:G$506,3,0)</f>
        <v>34.5</v>
      </c>
      <c r="O369">
        <f>VLOOKUP(A369,NASDAQYHOO!A$2:G$506,3,0)</f>
        <v>42.16</v>
      </c>
    </row>
    <row r="370" spans="1:15">
      <c r="A370" s="39">
        <v>42677</v>
      </c>
      <c r="B370">
        <v>70.08</v>
      </c>
      <c r="C370">
        <f>VLOOKUP(A370,NYSEARCAVTI!A$2:G$506,3,0)</f>
        <v>107.63</v>
      </c>
      <c r="D370">
        <f>VLOOKUP(A370,NYSEARCAVEU!A$2:G$506,3,0)</f>
        <v>44.3</v>
      </c>
      <c r="E370">
        <f>VLOOKUP(A370,NYSEARCAVWO!A$2:G$506,3,0)</f>
        <v>37.17</v>
      </c>
      <c r="F370">
        <f>VLOOKUP(A370,NYSEARCABND!A$2:G$506,3,0)</f>
        <v>83.13</v>
      </c>
      <c r="G370">
        <f>VLOOKUP(A370,NYSEARCATIP!A$2:G$506,3,0)</f>
        <v>115.82</v>
      </c>
      <c r="H370">
        <f>VLOOKUP(A370,NYSEARCAMUB!A$2:G$506,3,0)</f>
        <v>111.44</v>
      </c>
      <c r="I370">
        <f>VLOOKUP(A370,NYSEARCAVNQ!A$2:G$506,3,0)</f>
        <v>79</v>
      </c>
      <c r="J370">
        <f>VLOOKUP(A370,NYSEARCARWX!A$2:G$506,3,0)</f>
        <v>39.18</v>
      </c>
      <c r="K370">
        <f>VLOOKUP(A370,NYSEARCADBC!A$2:G$506,3,0)</f>
        <v>14.9</v>
      </c>
      <c r="L370">
        <f>VLOOKUP(A370,NYSEARCAGSG!A$2:G$506,3,0)</f>
        <v>14.37</v>
      </c>
      <c r="M370">
        <f>VLOOKUP(A370,NYSEARCAGLD!A$2:G$506,3,0)</f>
        <v>124.33</v>
      </c>
      <c r="N370">
        <f>VLOOKUP(A370,NYSEBP!A$2:G$506,3,0)</f>
        <v>34.130000000000003</v>
      </c>
      <c r="O370">
        <f>VLOOKUP(A370,NASDAQYHOO!A$2:G$506,3,0)</f>
        <v>40.75</v>
      </c>
    </row>
    <row r="371" spans="1:15">
      <c r="A371" s="39">
        <v>42678</v>
      </c>
      <c r="B371">
        <v>69.94</v>
      </c>
      <c r="C371">
        <f>VLOOKUP(A371,NYSEARCAVTI!A$2:G$506,3,0)</f>
        <v>107.51</v>
      </c>
      <c r="D371">
        <f>VLOOKUP(A371,NYSEARCAVEU!A$2:G$506,3,0)</f>
        <v>43.9</v>
      </c>
      <c r="E371">
        <f>VLOOKUP(A371,NYSEARCAVWO!A$2:G$506,3,0)</f>
        <v>36.79</v>
      </c>
      <c r="F371">
        <f>VLOOKUP(A371,NYSEARCABND!A$2:G$506,3,0)</f>
        <v>83.24</v>
      </c>
      <c r="G371">
        <f>VLOOKUP(A371,NYSEARCATIP!A$2:G$506,3,0)</f>
        <v>115.91</v>
      </c>
      <c r="H371">
        <f>VLOOKUP(A371,NYSEARCAMUB!A$2:G$506,3,0)</f>
        <v>111.55</v>
      </c>
      <c r="I371">
        <f>VLOOKUP(A371,NYSEARCAVNQ!A$2:G$506,3,0)</f>
        <v>79.08</v>
      </c>
      <c r="J371">
        <f>VLOOKUP(A371,NYSEARCARWX!A$2:G$506,3,0)</f>
        <v>38.82</v>
      </c>
      <c r="K371">
        <f>VLOOKUP(A371,NYSEARCADBC!A$2:G$506,3,0)</f>
        <v>14.77</v>
      </c>
      <c r="L371">
        <f>VLOOKUP(A371,NYSEARCAGSG!A$2:G$506,3,0)</f>
        <v>14.2</v>
      </c>
      <c r="M371">
        <f>VLOOKUP(A371,NYSEARCAGLD!A$2:G$506,3,0)</f>
        <v>124.54</v>
      </c>
      <c r="N371">
        <f>VLOOKUP(A371,NYSEBP!A$2:G$506,3,0)</f>
        <v>33.840000000000003</v>
      </c>
      <c r="O371">
        <f>VLOOKUP(A371,NASDAQYHOO!A$2:G$506,3,0)</f>
        <v>40.67</v>
      </c>
    </row>
    <row r="372" spans="1:15">
      <c r="A372" s="39">
        <v>42681</v>
      </c>
      <c r="B372">
        <v>69.84</v>
      </c>
      <c r="C372">
        <f>VLOOKUP(A372,NYSEARCAVTI!A$2:G$506,3,0)</f>
        <v>109.17</v>
      </c>
      <c r="D372">
        <f>VLOOKUP(A372,NYSEARCAVEU!A$2:G$506,3,0)</f>
        <v>44.48</v>
      </c>
      <c r="E372">
        <f>VLOOKUP(A372,NYSEARCAVWO!A$2:G$506,3,0)</f>
        <v>37.840000000000003</v>
      </c>
      <c r="F372">
        <f>VLOOKUP(A372,NYSEARCABND!A$2:G$506,3,0)</f>
        <v>83.16</v>
      </c>
      <c r="G372">
        <f>VLOOKUP(A372,NYSEARCATIP!A$2:G$506,3,0)</f>
        <v>115.87</v>
      </c>
      <c r="H372">
        <f>VLOOKUP(A372,NYSEARCAMUB!A$2:G$506,3,0)</f>
        <v>111.44</v>
      </c>
      <c r="I372">
        <f>VLOOKUP(A372,NYSEARCAVNQ!A$2:G$506,3,0)</f>
        <v>80.23</v>
      </c>
      <c r="J372">
        <f>VLOOKUP(A372,NYSEARCARWX!A$2:G$506,3,0)</f>
        <v>39.04</v>
      </c>
      <c r="K372">
        <f>VLOOKUP(A372,NYSEARCADBC!A$2:G$506,3,0)</f>
        <v>14.77</v>
      </c>
      <c r="L372">
        <f>VLOOKUP(A372,NYSEARCAGSG!A$2:G$506,3,0)</f>
        <v>14.24</v>
      </c>
      <c r="M372">
        <f>VLOOKUP(A372,NYSEARCAGLD!A$2:G$506,3,0)</f>
        <v>122.71</v>
      </c>
      <c r="N372">
        <f>VLOOKUP(A372,NYSEBP!A$2:G$506,3,0)</f>
        <v>34.049999999999997</v>
      </c>
      <c r="O372">
        <f>VLOOKUP(A372,NASDAQYHOO!A$2:G$506,3,0)</f>
        <v>41.23</v>
      </c>
    </row>
    <row r="373" spans="1:15">
      <c r="A373" s="39">
        <v>42682</v>
      </c>
      <c r="B373">
        <v>70.040000000000006</v>
      </c>
      <c r="C373">
        <f>VLOOKUP(A373,NYSEARCAVTI!A$2:G$506,3,0)</f>
        <v>109.99</v>
      </c>
      <c r="D373">
        <f>VLOOKUP(A373,NYSEARCAVEU!A$2:G$506,3,0)</f>
        <v>44.72</v>
      </c>
      <c r="E373">
        <f>VLOOKUP(A373,NYSEARCAVWO!A$2:G$506,3,0)</f>
        <v>38.19</v>
      </c>
      <c r="F373">
        <f>VLOOKUP(A373,NYSEARCABND!A$2:G$506,3,0)</f>
        <v>83.13</v>
      </c>
      <c r="G373">
        <f>VLOOKUP(A373,NYSEARCATIP!A$2:G$506,3,0)</f>
        <v>115.86</v>
      </c>
      <c r="H373">
        <f>VLOOKUP(A373,NYSEARCAMUB!A$2:G$506,3,0)</f>
        <v>111.49</v>
      </c>
      <c r="I373">
        <f>VLOOKUP(A373,NYSEARCAVNQ!A$2:G$506,3,0)</f>
        <v>80.89</v>
      </c>
      <c r="J373">
        <f>VLOOKUP(A373,NYSEARCARWX!A$2:G$506,3,0)</f>
        <v>39.24</v>
      </c>
      <c r="K373">
        <f>VLOOKUP(A373,NYSEARCADBC!A$2:G$506,3,0)</f>
        <v>14.82</v>
      </c>
      <c r="L373">
        <f>VLOOKUP(A373,NYSEARCAGSG!A$2:G$506,3,0)</f>
        <v>14.29</v>
      </c>
      <c r="M373">
        <f>VLOOKUP(A373,NYSEARCAGLD!A$2:G$506,3,0)</f>
        <v>123.09</v>
      </c>
      <c r="N373">
        <f>VLOOKUP(A373,NYSEBP!A$2:G$506,3,0)</f>
        <v>33.68</v>
      </c>
      <c r="O373">
        <f>VLOOKUP(A373,NASDAQYHOO!A$2:G$506,3,0)</f>
        <v>41.28</v>
      </c>
    </row>
    <row r="374" spans="1:15">
      <c r="A374" s="39">
        <v>42683</v>
      </c>
      <c r="B374">
        <v>71.5</v>
      </c>
      <c r="C374">
        <f>VLOOKUP(A374,NYSEARCAVTI!A$2:G$506,3,0)</f>
        <v>111.33</v>
      </c>
      <c r="D374">
        <f>VLOOKUP(A374,NYSEARCAVEU!A$2:G$506,3,0)</f>
        <v>44.58</v>
      </c>
      <c r="E374">
        <f>VLOOKUP(A374,NYSEARCAVWO!A$2:G$506,3,0)</f>
        <v>37.39</v>
      </c>
      <c r="F374">
        <f>VLOOKUP(A374,NYSEARCABND!A$2:G$506,3,0)</f>
        <v>82.61</v>
      </c>
      <c r="G374">
        <f>VLOOKUP(A374,NYSEARCATIP!A$2:G$506,3,0)</f>
        <v>115.81</v>
      </c>
      <c r="H374">
        <f>VLOOKUP(A374,NYSEARCAMUB!A$2:G$506,3,0)</f>
        <v>111.05</v>
      </c>
      <c r="I374">
        <f>VLOOKUP(A374,NYSEARCAVNQ!A$2:G$506,3,0)</f>
        <v>80</v>
      </c>
      <c r="J374">
        <f>VLOOKUP(A374,NYSEARCARWX!A$2:G$506,3,0)</f>
        <v>39.21</v>
      </c>
      <c r="K374">
        <f>VLOOKUP(A374,NYSEARCADBC!A$2:G$506,3,0)</f>
        <v>14.88</v>
      </c>
      <c r="L374">
        <f>VLOOKUP(A374,NYSEARCAGSG!A$2:G$506,3,0)</f>
        <v>14.35</v>
      </c>
      <c r="M374">
        <f>VLOOKUP(A374,NYSEARCAGLD!A$2:G$506,3,0)</f>
        <v>124.35</v>
      </c>
      <c r="N374">
        <f>VLOOKUP(A374,NYSEBP!A$2:G$506,3,0)</f>
        <v>34.03</v>
      </c>
      <c r="O374">
        <f>VLOOKUP(A374,NASDAQYHOO!A$2:G$506,3,0)</f>
        <v>41.39</v>
      </c>
    </row>
    <row r="375" spans="1:15">
      <c r="A375" s="39">
        <v>42684</v>
      </c>
      <c r="B375">
        <v>72.09</v>
      </c>
      <c r="C375">
        <f>VLOOKUP(A375,NYSEARCAVTI!A$2:G$506,3,0)</f>
        <v>112.13</v>
      </c>
      <c r="D375">
        <f>VLOOKUP(A375,NYSEARCAVEU!A$2:G$506,3,0)</f>
        <v>44.39</v>
      </c>
      <c r="E375">
        <f>VLOOKUP(A375,NYSEARCAVWO!A$2:G$506,3,0)</f>
        <v>36.72</v>
      </c>
      <c r="F375">
        <f>VLOOKUP(A375,NYSEARCABND!A$2:G$506,3,0)</f>
        <v>82.1</v>
      </c>
      <c r="G375">
        <f>VLOOKUP(A375,NYSEARCATIP!A$2:G$506,3,0)</f>
        <v>115.31</v>
      </c>
      <c r="H375">
        <f>VLOOKUP(A375,NYSEARCAMUB!A$2:G$506,3,0)</f>
        <v>110.33</v>
      </c>
      <c r="I375">
        <f>VLOOKUP(A375,NYSEARCAVNQ!A$2:G$506,3,0)</f>
        <v>79.34</v>
      </c>
      <c r="J375">
        <f>VLOOKUP(A375,NYSEARCARWX!A$2:G$506,3,0)</f>
        <v>38.21</v>
      </c>
      <c r="K375">
        <f>VLOOKUP(A375,NYSEARCADBC!A$2:G$506,3,0)</f>
        <v>14.78</v>
      </c>
      <c r="L375">
        <f>VLOOKUP(A375,NYSEARCAGSG!A$2:G$506,3,0)</f>
        <v>14.26</v>
      </c>
      <c r="M375">
        <f>VLOOKUP(A375,NYSEARCAGLD!A$2:G$506,3,0)</f>
        <v>121.54</v>
      </c>
      <c r="N375">
        <f>VLOOKUP(A375,NYSEBP!A$2:G$506,3,0)</f>
        <v>34.31</v>
      </c>
      <c r="O375">
        <f>VLOOKUP(A375,NASDAQYHOO!A$2:G$506,3,0)</f>
        <v>41.65</v>
      </c>
    </row>
    <row r="376" spans="1:15">
      <c r="A376" s="39">
        <v>42685</v>
      </c>
      <c r="B376">
        <v>71.28</v>
      </c>
      <c r="C376">
        <f>VLOOKUP(A376,NYSEARCAVTI!A$2:G$506,3,0)</f>
        <v>111.51</v>
      </c>
      <c r="D376">
        <f>VLOOKUP(A376,NYSEARCAVEU!A$2:G$506,3,0)</f>
        <v>43.75</v>
      </c>
      <c r="E376">
        <f>VLOOKUP(A376,NYSEARCAVWO!A$2:G$506,3,0)</f>
        <v>35.5</v>
      </c>
      <c r="F376">
        <f>VLOOKUP(A376,NYSEARCABND!A$2:G$506,3,0)</f>
        <v>81.83</v>
      </c>
      <c r="G376">
        <f>VLOOKUP(A376,NYSEARCATIP!A$2:G$506,3,0)</f>
        <v>114.74</v>
      </c>
      <c r="H376">
        <f>VLOOKUP(A376,NYSEARCAMUB!A$2:G$506,3,0)</f>
        <v>109.85</v>
      </c>
      <c r="I376">
        <f>VLOOKUP(A376,NYSEARCAVNQ!A$2:G$506,3,0)</f>
        <v>79.510000000000005</v>
      </c>
      <c r="J376">
        <f>VLOOKUP(A376,NYSEARCARWX!A$2:G$506,3,0)</f>
        <v>37.81</v>
      </c>
      <c r="K376">
        <f>VLOOKUP(A376,NYSEARCADBC!A$2:G$506,3,0)</f>
        <v>14.63</v>
      </c>
      <c r="L376">
        <f>VLOOKUP(A376,NYSEARCAGSG!A$2:G$506,3,0)</f>
        <v>14.14</v>
      </c>
      <c r="M376">
        <f>VLOOKUP(A376,NYSEARCAGLD!A$2:G$506,3,0)</f>
        <v>119.69</v>
      </c>
      <c r="N376">
        <f>VLOOKUP(A376,NYSEBP!A$2:G$506,3,0)</f>
        <v>33.58</v>
      </c>
      <c r="O376">
        <f>VLOOKUP(A376,NASDAQYHOO!A$2:G$506,3,0)</f>
        <v>40.520000000000003</v>
      </c>
    </row>
    <row r="377" spans="1:15">
      <c r="A377" s="39">
        <v>42688</v>
      </c>
      <c r="B377">
        <v>71.31</v>
      </c>
      <c r="C377">
        <f>VLOOKUP(A377,NYSEARCAVTI!A$2:G$506,3,0)</f>
        <v>112.05</v>
      </c>
      <c r="D377">
        <f>VLOOKUP(A377,NYSEARCAVEU!A$2:G$506,3,0)</f>
        <v>43.36</v>
      </c>
      <c r="E377">
        <f>VLOOKUP(A377,NYSEARCAVWO!A$2:G$506,3,0)</f>
        <v>35.29</v>
      </c>
      <c r="F377">
        <f>VLOOKUP(A377,NYSEARCABND!A$2:G$506,3,0)</f>
        <v>81.5</v>
      </c>
      <c r="G377">
        <f>VLOOKUP(A377,NYSEARCATIP!A$2:G$506,3,0)</f>
        <v>114.15</v>
      </c>
      <c r="H377">
        <f>VLOOKUP(A377,NYSEARCAMUB!A$2:G$506,3,0)</f>
        <v>109.37</v>
      </c>
      <c r="I377">
        <f>VLOOKUP(A377,NYSEARCAVNQ!A$2:G$506,3,0)</f>
        <v>80.62</v>
      </c>
      <c r="J377">
        <f>VLOOKUP(A377,NYSEARCARWX!A$2:G$506,3,0)</f>
        <v>37.17</v>
      </c>
      <c r="K377">
        <f>VLOOKUP(A377,NYSEARCADBC!A$2:G$506,3,0)</f>
        <v>14.42</v>
      </c>
      <c r="L377">
        <f>VLOOKUP(A377,NYSEARCAGSG!A$2:G$506,3,0)</f>
        <v>13.92</v>
      </c>
      <c r="M377">
        <f>VLOOKUP(A377,NYSEARCAGLD!A$2:G$506,3,0)</f>
        <v>117.14</v>
      </c>
      <c r="N377">
        <f>VLOOKUP(A377,NYSEBP!A$2:G$506,3,0)</f>
        <v>33</v>
      </c>
      <c r="O377">
        <f>VLOOKUP(A377,NASDAQYHOO!A$2:G$506,3,0)</f>
        <v>40.39</v>
      </c>
    </row>
    <row r="378" spans="1:15">
      <c r="A378" s="39">
        <v>42689</v>
      </c>
      <c r="B378">
        <v>71.42</v>
      </c>
      <c r="C378">
        <f>VLOOKUP(A378,NYSEARCAVTI!A$2:G$506,3,0)</f>
        <v>112.6</v>
      </c>
      <c r="D378">
        <f>VLOOKUP(A378,NYSEARCAVEU!A$2:G$506,3,0)</f>
        <v>43.69</v>
      </c>
      <c r="E378">
        <f>VLOOKUP(A378,NYSEARCAVWO!A$2:G$506,3,0)</f>
        <v>35.78</v>
      </c>
      <c r="F378">
        <f>VLOOKUP(A378,NYSEARCABND!A$2:G$506,3,0)</f>
        <v>81.53</v>
      </c>
      <c r="G378">
        <f>VLOOKUP(A378,NYSEARCATIP!A$2:G$506,3,0)</f>
        <v>113.97</v>
      </c>
      <c r="H378">
        <f>VLOOKUP(A378,NYSEARCAMUB!A$2:G$506,3,0)</f>
        <v>108.86</v>
      </c>
      <c r="I378">
        <f>VLOOKUP(A378,NYSEARCAVNQ!A$2:G$506,3,0)</f>
        <v>81.34</v>
      </c>
      <c r="J378">
        <f>VLOOKUP(A378,NYSEARCARWX!A$2:G$506,3,0)</f>
        <v>37.42</v>
      </c>
      <c r="K378">
        <f>VLOOKUP(A378,NYSEARCADBC!A$2:G$506,3,0)</f>
        <v>14.72</v>
      </c>
      <c r="L378">
        <f>VLOOKUP(A378,NYSEARCAGSG!A$2:G$506,3,0)</f>
        <v>14.28</v>
      </c>
      <c r="M378">
        <f>VLOOKUP(A378,NYSEARCAGLD!A$2:G$506,3,0)</f>
        <v>117.24</v>
      </c>
      <c r="N378">
        <f>VLOOKUP(A378,NYSEBP!A$2:G$506,3,0)</f>
        <v>33.68</v>
      </c>
      <c r="O378">
        <f>VLOOKUP(A378,NASDAQYHOO!A$2:G$506,3,0)</f>
        <v>40.450000000000003</v>
      </c>
    </row>
    <row r="379" spans="1:15">
      <c r="A379" s="39">
        <v>42690</v>
      </c>
      <c r="B379">
        <v>72.06</v>
      </c>
      <c r="C379">
        <f>VLOOKUP(A379,NYSEARCAVTI!A$2:G$506,3,0)</f>
        <v>112.53</v>
      </c>
      <c r="D379">
        <f>VLOOKUP(A379,NYSEARCAVEU!A$2:G$506,3,0)</f>
        <v>43.37</v>
      </c>
      <c r="E379">
        <f>VLOOKUP(A379,NYSEARCAVWO!A$2:G$506,3,0)</f>
        <v>35.53</v>
      </c>
      <c r="F379">
        <f>VLOOKUP(A379,NYSEARCABND!A$2:G$506,3,0)</f>
        <v>81.58</v>
      </c>
      <c r="G379">
        <f>VLOOKUP(A379,NYSEARCATIP!A$2:G$506,3,0)</f>
        <v>113.78</v>
      </c>
      <c r="H379">
        <f>VLOOKUP(A379,NYSEARCAMUB!A$2:G$506,3,0)</f>
        <v>108.73</v>
      </c>
      <c r="I379">
        <f>VLOOKUP(A379,NYSEARCAVNQ!A$2:G$506,3,0)</f>
        <v>80</v>
      </c>
      <c r="J379">
        <f>VLOOKUP(A379,NYSEARCARWX!A$2:G$506,3,0)</f>
        <v>36.97</v>
      </c>
      <c r="K379">
        <f>VLOOKUP(A379,NYSEARCADBC!A$2:G$506,3,0)</f>
        <v>14.67</v>
      </c>
      <c r="L379">
        <f>VLOOKUP(A379,NYSEARCAGSG!A$2:G$506,3,0)</f>
        <v>14.29</v>
      </c>
      <c r="M379">
        <f>VLOOKUP(A379,NYSEARCAGLD!A$2:G$506,3,0)</f>
        <v>117.27</v>
      </c>
      <c r="N379">
        <f>VLOOKUP(A379,NYSEBP!A$2:G$506,3,0)</f>
        <v>33.520000000000003</v>
      </c>
      <c r="O379">
        <f>VLOOKUP(A379,NASDAQYHOO!A$2:G$506,3,0)</f>
        <v>41.05</v>
      </c>
    </row>
    <row r="380" spans="1:15">
      <c r="A380" s="39">
        <v>42691</v>
      </c>
      <c r="B380">
        <v>69.52</v>
      </c>
      <c r="C380">
        <f>VLOOKUP(A380,NYSEARCAVTI!A$2:G$506,3,0)</f>
        <v>113.04</v>
      </c>
      <c r="D380">
        <f>VLOOKUP(A380,NYSEARCAVEU!A$2:G$506,3,0)</f>
        <v>43.61</v>
      </c>
      <c r="E380">
        <f>VLOOKUP(A380,NYSEARCAVWO!A$2:G$506,3,0)</f>
        <v>35.78</v>
      </c>
      <c r="F380">
        <f>VLOOKUP(A380,NYSEARCABND!A$2:G$506,3,0)</f>
        <v>81.48</v>
      </c>
      <c r="G380">
        <f>VLOOKUP(A380,NYSEARCATIP!A$2:G$506,3,0)</f>
        <v>113.98</v>
      </c>
      <c r="H380">
        <f>VLOOKUP(A380,NYSEARCAMUB!A$2:G$506,3,0)</f>
        <v>108.55</v>
      </c>
      <c r="I380">
        <f>VLOOKUP(A380,NYSEARCAVNQ!A$2:G$506,3,0)</f>
        <v>80.06</v>
      </c>
      <c r="J380">
        <f>VLOOKUP(A380,NYSEARCARWX!A$2:G$506,3,0)</f>
        <v>37.520000000000003</v>
      </c>
      <c r="K380">
        <f>VLOOKUP(A380,NYSEARCADBC!A$2:G$506,3,0)</f>
        <v>14.7</v>
      </c>
      <c r="L380">
        <f>VLOOKUP(A380,NYSEARCAGSG!A$2:G$506,3,0)</f>
        <v>14.36</v>
      </c>
      <c r="M380">
        <f>VLOOKUP(A380,NYSEARCAGLD!A$2:G$506,3,0)</f>
        <v>117.22</v>
      </c>
      <c r="N380">
        <f>VLOOKUP(A380,NYSEBP!A$2:G$506,3,0)</f>
        <v>33.86</v>
      </c>
      <c r="O380">
        <f>VLOOKUP(A380,NASDAQYHOO!A$2:G$506,3,0)</f>
        <v>41.65</v>
      </c>
    </row>
    <row r="381" spans="1:15">
      <c r="A381" s="39">
        <v>42692</v>
      </c>
      <c r="B381">
        <v>69.400000000000006</v>
      </c>
      <c r="C381">
        <f>VLOOKUP(A381,NYSEARCAVTI!A$2:G$506,3,0)</f>
        <v>113.12</v>
      </c>
      <c r="D381">
        <f>VLOOKUP(A381,NYSEARCAVEU!A$2:G$506,3,0)</f>
        <v>43.26</v>
      </c>
      <c r="E381">
        <f>VLOOKUP(A381,NYSEARCAVWO!A$2:G$506,3,0)</f>
        <v>35.619999999999997</v>
      </c>
      <c r="F381">
        <f>VLOOKUP(A381,NYSEARCABND!A$2:G$506,3,0)</f>
        <v>81.349999999999994</v>
      </c>
      <c r="G381">
        <f>VLOOKUP(A381,NYSEARCATIP!A$2:G$506,3,0)</f>
        <v>113.71</v>
      </c>
      <c r="H381">
        <f>VLOOKUP(A381,NYSEARCAMUB!A$2:G$506,3,0)</f>
        <v>108.52</v>
      </c>
      <c r="I381">
        <f>VLOOKUP(A381,NYSEARCAVNQ!A$2:G$506,3,0)</f>
        <v>79.13</v>
      </c>
      <c r="J381">
        <f>VLOOKUP(A381,NYSEARCARWX!A$2:G$506,3,0)</f>
        <v>37.340000000000003</v>
      </c>
      <c r="K381">
        <f>VLOOKUP(A381,NYSEARCADBC!A$2:G$506,3,0)</f>
        <v>14.67</v>
      </c>
      <c r="L381">
        <f>VLOOKUP(A381,NYSEARCAGSG!A$2:G$506,3,0)</f>
        <v>14.28</v>
      </c>
      <c r="M381">
        <f>VLOOKUP(A381,NYSEARCAGLD!A$2:G$506,3,0)</f>
        <v>115.77</v>
      </c>
      <c r="N381">
        <f>VLOOKUP(A381,NYSEBP!A$2:G$506,3,0)</f>
        <v>33.799999999999997</v>
      </c>
      <c r="O381">
        <f>VLOOKUP(A381,NASDAQYHOO!A$2:G$506,3,0)</f>
        <v>41.65</v>
      </c>
    </row>
    <row r="382" spans="1:15">
      <c r="A382" s="39">
        <v>42695</v>
      </c>
      <c r="B382">
        <v>69.400000000000006</v>
      </c>
      <c r="C382">
        <f>VLOOKUP(A382,NYSEARCAVTI!A$2:G$506,3,0)</f>
        <v>113.63</v>
      </c>
      <c r="D382">
        <f>VLOOKUP(A382,NYSEARCAVEU!A$2:G$506,3,0)</f>
        <v>43.55</v>
      </c>
      <c r="E382">
        <f>VLOOKUP(A382,NYSEARCAVWO!A$2:G$506,3,0)</f>
        <v>35.79</v>
      </c>
      <c r="F382">
        <f>VLOOKUP(A382,NYSEARCABND!A$2:G$506,3,0)</f>
        <v>81.150000000000006</v>
      </c>
      <c r="G382">
        <f>VLOOKUP(A382,NYSEARCATIP!A$2:G$506,3,0)</f>
        <v>113.69</v>
      </c>
      <c r="H382">
        <f>VLOOKUP(A382,NYSEARCAMUB!A$2:G$506,3,0)</f>
        <v>108.6</v>
      </c>
      <c r="I382">
        <f>VLOOKUP(A382,NYSEARCAVNQ!A$2:G$506,3,0)</f>
        <v>79.75</v>
      </c>
      <c r="J382">
        <f>VLOOKUP(A382,NYSEARCARWX!A$2:G$506,3,0)</f>
        <v>37.26</v>
      </c>
      <c r="K382">
        <f>VLOOKUP(A382,NYSEARCADBC!A$2:G$506,3,0)</f>
        <v>15.08</v>
      </c>
      <c r="L382">
        <f>VLOOKUP(A382,NYSEARCAGSG!A$2:G$506,3,0)</f>
        <v>14.74</v>
      </c>
      <c r="M382">
        <f>VLOOKUP(A382,NYSEARCAGLD!A$2:G$506,3,0)</f>
        <v>115.94</v>
      </c>
      <c r="N382">
        <f>VLOOKUP(A382,NYSEBP!A$2:G$506,3,0)</f>
        <v>34.450000000000003</v>
      </c>
      <c r="O382">
        <f>VLOOKUP(A382,NASDAQYHOO!A$2:G$506,3,0)</f>
        <v>41.48</v>
      </c>
    </row>
    <row r="383" spans="1:15">
      <c r="A383" s="39">
        <v>42696</v>
      </c>
      <c r="B383">
        <v>70.42</v>
      </c>
      <c r="C383">
        <f>VLOOKUP(A383,NYSEARCAVTI!A$2:G$506,3,0)</f>
        <v>114.04</v>
      </c>
      <c r="D383">
        <f>VLOOKUP(A383,NYSEARCAVEU!A$2:G$506,3,0)</f>
        <v>43.72</v>
      </c>
      <c r="E383">
        <f>VLOOKUP(A383,NYSEARCAVWO!A$2:G$506,3,0)</f>
        <v>36.22</v>
      </c>
      <c r="F383">
        <f>VLOOKUP(A383,NYSEARCABND!A$2:G$506,3,0)</f>
        <v>81.22</v>
      </c>
      <c r="G383">
        <f>VLOOKUP(A383,NYSEARCATIP!A$2:G$506,3,0)</f>
        <v>113.79</v>
      </c>
      <c r="H383">
        <f>VLOOKUP(A383,NYSEARCAMUB!A$2:G$506,3,0)</f>
        <v>108.38</v>
      </c>
      <c r="I383">
        <f>VLOOKUP(A383,NYSEARCAVNQ!A$2:G$506,3,0)</f>
        <v>80.099999999999994</v>
      </c>
      <c r="J383">
        <f>VLOOKUP(A383,NYSEARCARWX!A$2:G$506,3,0)</f>
        <v>37.43</v>
      </c>
      <c r="K383">
        <f>VLOOKUP(A383,NYSEARCADBC!A$2:G$506,3,0)</f>
        <v>15.16</v>
      </c>
      <c r="L383">
        <f>VLOOKUP(A383,NYSEARCAGSG!A$2:G$506,3,0)</f>
        <v>14.8</v>
      </c>
      <c r="M383">
        <f>VLOOKUP(A383,NYSEARCAGLD!A$2:G$506,3,0)</f>
        <v>115.79</v>
      </c>
      <c r="N383">
        <f>VLOOKUP(A383,NYSEBP!A$2:G$506,3,0)</f>
        <v>34.65</v>
      </c>
      <c r="O383">
        <f>VLOOKUP(A383,NASDAQYHOO!A$2:G$506,3,0)</f>
        <v>41.4</v>
      </c>
    </row>
    <row r="384" spans="1:15">
      <c r="A384" s="39">
        <v>42697</v>
      </c>
      <c r="B384">
        <v>70.88</v>
      </c>
      <c r="C384">
        <f>VLOOKUP(A384,NYSEARCAVTI!A$2:G$506,3,0)</f>
        <v>114.12</v>
      </c>
      <c r="D384">
        <f>VLOOKUP(A384,NYSEARCAVEU!A$2:G$506,3,0)</f>
        <v>43.55</v>
      </c>
      <c r="E384">
        <f>VLOOKUP(A384,NYSEARCAVWO!A$2:G$506,3,0)</f>
        <v>35.82</v>
      </c>
      <c r="F384">
        <f>VLOOKUP(A384,NYSEARCABND!A$2:G$506,3,0)</f>
        <v>81</v>
      </c>
      <c r="G384">
        <f>VLOOKUP(A384,NYSEARCATIP!A$2:G$506,3,0)</f>
        <v>113.46</v>
      </c>
      <c r="H384">
        <f>VLOOKUP(A384,NYSEARCAMUB!A$2:G$506,3,0)</f>
        <v>107.97</v>
      </c>
      <c r="I384">
        <f>VLOOKUP(A384,NYSEARCAVNQ!A$2:G$506,3,0)</f>
        <v>79.8</v>
      </c>
      <c r="J384">
        <f>VLOOKUP(A384,NYSEARCARWX!A$2:G$506,3,0)</f>
        <v>37.369999999999997</v>
      </c>
      <c r="K384">
        <f>VLOOKUP(A384,NYSEARCADBC!A$2:G$506,3,0)</f>
        <v>15.15</v>
      </c>
      <c r="L384">
        <f>VLOOKUP(A384,NYSEARCAGSG!A$2:G$506,3,0)</f>
        <v>14.77</v>
      </c>
      <c r="M384">
        <f>VLOOKUP(A384,NYSEARCAGLD!A$2:G$506,3,0)</f>
        <v>113.88</v>
      </c>
      <c r="N384">
        <f>VLOOKUP(A384,NYSEBP!A$2:G$506,3,0)</f>
        <v>34.590000000000003</v>
      </c>
      <c r="O384">
        <f>VLOOKUP(A384,NASDAQYHOO!A$2:G$506,3,0)</f>
        <v>40.98</v>
      </c>
    </row>
    <row r="385" spans="1:15">
      <c r="A385" s="39">
        <v>42699</v>
      </c>
      <c r="B385">
        <v>71.650000000000006</v>
      </c>
      <c r="C385">
        <f>VLOOKUP(A385,NYSEARCAVTI!A$2:G$506,3,0)</f>
        <v>114.55</v>
      </c>
      <c r="D385">
        <f>VLOOKUP(A385,NYSEARCAVEU!A$2:G$506,3,0)</f>
        <v>43.71</v>
      </c>
      <c r="E385">
        <f>VLOOKUP(A385,NYSEARCAVWO!A$2:G$506,3,0)</f>
        <v>36.03</v>
      </c>
      <c r="F385">
        <f>VLOOKUP(A385,NYSEARCABND!A$2:G$506,3,0)</f>
        <v>80.989999999999995</v>
      </c>
      <c r="G385">
        <f>VLOOKUP(A385,NYSEARCATIP!A$2:G$506,3,0)</f>
        <v>113.45</v>
      </c>
      <c r="H385">
        <f>VLOOKUP(A385,NYSEARCAMUB!A$2:G$506,3,0)</f>
        <v>107.85</v>
      </c>
      <c r="I385">
        <f>VLOOKUP(A385,NYSEARCAVNQ!A$2:G$506,3,0)</f>
        <v>80.63</v>
      </c>
      <c r="J385">
        <f>VLOOKUP(A385,NYSEARCARWX!A$2:G$506,3,0)</f>
        <v>37.450000000000003</v>
      </c>
      <c r="K385">
        <f>VLOOKUP(A385,NYSEARCADBC!A$2:G$506,3,0)</f>
        <v>15.08</v>
      </c>
      <c r="L385">
        <f>VLOOKUP(A385,NYSEARCAGSG!A$2:G$506,3,0)</f>
        <v>14.68</v>
      </c>
      <c r="M385">
        <f>VLOOKUP(A385,NYSEARCAGLD!A$2:G$506,3,0)</f>
        <v>113.51</v>
      </c>
      <c r="N385">
        <f>VLOOKUP(A385,NYSEBP!A$2:G$506,3,0)</f>
        <v>34.46</v>
      </c>
      <c r="O385">
        <f>VLOOKUP(A385,NASDAQYHOO!A$2:G$506,3,0)</f>
        <v>41.08</v>
      </c>
    </row>
    <row r="386" spans="1:15">
      <c r="A386" s="39">
        <v>42702</v>
      </c>
      <c r="B386">
        <v>71.52</v>
      </c>
      <c r="C386">
        <f>VLOOKUP(A386,NYSEARCAVTI!A$2:G$506,3,0)</f>
        <v>114.41</v>
      </c>
      <c r="D386">
        <f>VLOOKUP(A386,NYSEARCAVEU!A$2:G$506,3,0)</f>
        <v>43.67</v>
      </c>
      <c r="E386">
        <f>VLOOKUP(A386,NYSEARCAVWO!A$2:G$506,3,0)</f>
        <v>36.25</v>
      </c>
      <c r="F386">
        <f>VLOOKUP(A386,NYSEARCABND!A$2:G$506,3,0)</f>
        <v>81.14</v>
      </c>
      <c r="G386">
        <f>VLOOKUP(A386,NYSEARCATIP!A$2:G$506,3,0)</f>
        <v>113.58</v>
      </c>
      <c r="H386">
        <f>VLOOKUP(A386,NYSEARCAMUB!A$2:G$506,3,0)</f>
        <v>107.89</v>
      </c>
      <c r="I386">
        <f>VLOOKUP(A386,NYSEARCAVNQ!A$2:G$506,3,0)</f>
        <v>81.08</v>
      </c>
      <c r="J386">
        <f>VLOOKUP(A386,NYSEARCARWX!A$2:G$506,3,0)</f>
        <v>37.729999999999997</v>
      </c>
      <c r="K386">
        <f>VLOOKUP(A386,NYSEARCADBC!A$2:G$506,3,0)</f>
        <v>15.21</v>
      </c>
      <c r="L386">
        <f>VLOOKUP(A386,NYSEARCAGSG!A$2:G$506,3,0)</f>
        <v>14.76</v>
      </c>
      <c r="M386">
        <f>VLOOKUP(A386,NYSEARCAGLD!A$2:G$506,3,0)</f>
        <v>113.84</v>
      </c>
      <c r="N386">
        <f>VLOOKUP(A386,NYSEBP!A$2:G$506,3,0)</f>
        <v>34.130000000000003</v>
      </c>
      <c r="O386">
        <f>VLOOKUP(A386,NASDAQYHOO!A$2:G$506,3,0)</f>
        <v>41.7</v>
      </c>
    </row>
    <row r="387" spans="1:15">
      <c r="A387" s="39">
        <v>42703</v>
      </c>
      <c r="B387">
        <v>71.790000000000006</v>
      </c>
      <c r="C387">
        <f>VLOOKUP(A387,NYSEARCAVTI!A$2:G$506,3,0)</f>
        <v>114.35</v>
      </c>
      <c r="D387">
        <f>VLOOKUP(A387,NYSEARCAVEU!A$2:G$506,3,0)</f>
        <v>43.8</v>
      </c>
      <c r="E387">
        <f>VLOOKUP(A387,NYSEARCAVWO!A$2:G$506,3,0)</f>
        <v>36.24</v>
      </c>
      <c r="F387">
        <f>VLOOKUP(A387,NYSEARCABND!A$2:G$506,3,0)</f>
        <v>81.239999999999995</v>
      </c>
      <c r="G387">
        <f>VLOOKUP(A387,NYSEARCATIP!A$2:G$506,3,0)</f>
        <v>113.46</v>
      </c>
      <c r="H387">
        <f>VLOOKUP(A387,NYSEARCAMUB!A$2:G$506,3,0)</f>
        <v>107.64</v>
      </c>
      <c r="I387">
        <f>VLOOKUP(A387,NYSEARCAVNQ!A$2:G$506,3,0)</f>
        <v>81.73</v>
      </c>
      <c r="J387">
        <f>VLOOKUP(A387,NYSEARCARWX!A$2:G$506,3,0)</f>
        <v>37.89</v>
      </c>
      <c r="K387">
        <f>VLOOKUP(A387,NYSEARCADBC!A$2:G$506,3,0)</f>
        <v>14.86</v>
      </c>
      <c r="L387">
        <f>VLOOKUP(A387,NYSEARCAGSG!A$2:G$506,3,0)</f>
        <v>14.37</v>
      </c>
      <c r="M387">
        <f>VLOOKUP(A387,NYSEARCAGLD!A$2:G$506,3,0)</f>
        <v>113.48</v>
      </c>
      <c r="N387">
        <f>VLOOKUP(A387,NYSEBP!A$2:G$506,3,0)</f>
        <v>33.630000000000003</v>
      </c>
      <c r="O387">
        <f>VLOOKUP(A387,NASDAQYHOO!A$2:G$506,3,0)</f>
        <v>41.83</v>
      </c>
    </row>
    <row r="388" spans="1:15">
      <c r="A388" s="39">
        <v>42704</v>
      </c>
      <c r="B388">
        <v>71.16</v>
      </c>
      <c r="C388">
        <f>VLOOKUP(A388,NYSEARCAVTI!A$2:G$506,3,0)</f>
        <v>114.55</v>
      </c>
      <c r="D388">
        <f>VLOOKUP(A388,NYSEARCAVEU!A$2:G$506,3,0)</f>
        <v>43.88</v>
      </c>
      <c r="E388">
        <f>VLOOKUP(A388,NYSEARCAVWO!A$2:G$506,3,0)</f>
        <v>36.340000000000003</v>
      </c>
      <c r="F388">
        <f>VLOOKUP(A388,NYSEARCABND!A$2:G$506,3,0)</f>
        <v>81.040000000000006</v>
      </c>
      <c r="G388">
        <f>VLOOKUP(A388,NYSEARCATIP!A$2:G$506,3,0)</f>
        <v>113.61</v>
      </c>
      <c r="H388">
        <f>VLOOKUP(A388,NYSEARCAMUB!A$2:G$506,3,0)</f>
        <v>106.84</v>
      </c>
      <c r="I388">
        <f>VLOOKUP(A388,NYSEARCAVNQ!A$2:G$506,3,0)</f>
        <v>81.05</v>
      </c>
      <c r="J388">
        <f>VLOOKUP(A388,NYSEARCARWX!A$2:G$506,3,0)</f>
        <v>37.93</v>
      </c>
      <c r="K388">
        <f>VLOOKUP(A388,NYSEARCADBC!A$2:G$506,3,0)</f>
        <v>15.35</v>
      </c>
      <c r="L388">
        <f>VLOOKUP(A388,NYSEARCAGSG!A$2:G$506,3,0)</f>
        <v>15.04</v>
      </c>
      <c r="M388">
        <f>VLOOKUP(A388,NYSEARCAGLD!A$2:G$506,3,0)</f>
        <v>112.79</v>
      </c>
      <c r="N388">
        <f>VLOOKUP(A388,NYSEBP!A$2:G$506,3,0)</f>
        <v>35.270000000000003</v>
      </c>
      <c r="O388">
        <f>VLOOKUP(A388,NASDAQYHOO!A$2:G$506,3,0)</f>
        <v>41.67</v>
      </c>
    </row>
    <row r="389" spans="1:15">
      <c r="A389" s="39">
        <v>42705</v>
      </c>
      <c r="B389">
        <v>70.73</v>
      </c>
      <c r="C389">
        <f>VLOOKUP(A389,NYSEARCAVTI!A$2:G$506,3,0)</f>
        <v>114.03</v>
      </c>
      <c r="D389">
        <f>VLOOKUP(A389,NYSEARCAVEU!A$2:G$506,3,0)</f>
        <v>43.71</v>
      </c>
      <c r="E389">
        <f>VLOOKUP(A389,NYSEARCAVWO!A$2:G$506,3,0)</f>
        <v>36.15</v>
      </c>
      <c r="F389">
        <f>VLOOKUP(A389,NYSEARCABND!A$2:G$506,3,0)</f>
        <v>80.52</v>
      </c>
      <c r="G389">
        <f>VLOOKUP(A389,NYSEARCATIP!A$2:G$506,3,0)</f>
        <v>113.16</v>
      </c>
      <c r="H389">
        <f>VLOOKUP(A389,NYSEARCAMUB!A$2:G$506,3,0)</f>
        <v>106.66</v>
      </c>
      <c r="I389">
        <f>VLOOKUP(A389,NYSEARCAVNQ!A$2:G$506,3,0)</f>
        <v>80.209999999999994</v>
      </c>
      <c r="J389">
        <f>VLOOKUP(A389,NYSEARCARWX!A$2:G$506,3,0)</f>
        <v>37.54</v>
      </c>
      <c r="K389">
        <f>VLOOKUP(A389,NYSEARCADBC!A$2:G$506,3,0)</f>
        <v>15.6</v>
      </c>
      <c r="L389">
        <f>VLOOKUP(A389,NYSEARCAGSG!A$2:G$506,3,0)</f>
        <v>15.37</v>
      </c>
      <c r="M389">
        <f>VLOOKUP(A389,NYSEARCAGLD!A$2:G$506,3,0)</f>
        <v>111.99</v>
      </c>
      <c r="N389">
        <f>VLOOKUP(A389,NYSEBP!A$2:G$506,3,0)</f>
        <v>35.950000000000003</v>
      </c>
      <c r="O389">
        <f>VLOOKUP(A389,NASDAQYHOO!A$2:G$506,3,0)</f>
        <v>41.04</v>
      </c>
    </row>
    <row r="390" spans="1:15">
      <c r="A390" s="39">
        <v>42706</v>
      </c>
      <c r="B390">
        <v>70.95</v>
      </c>
      <c r="C390">
        <f>VLOOKUP(A390,NYSEARCAVTI!A$2:G$506,3,0)</f>
        <v>113.67</v>
      </c>
      <c r="D390">
        <f>VLOOKUP(A390,NYSEARCAVEU!A$2:G$506,3,0)</f>
        <v>43.74</v>
      </c>
      <c r="E390">
        <f>VLOOKUP(A390,NYSEARCAVWO!A$2:G$506,3,0)</f>
        <v>35.99</v>
      </c>
      <c r="F390">
        <f>VLOOKUP(A390,NYSEARCABND!A$2:G$506,3,0)</f>
        <v>80.87</v>
      </c>
      <c r="G390">
        <f>VLOOKUP(A390,NYSEARCATIP!A$2:G$506,3,0)</f>
        <v>113.45</v>
      </c>
      <c r="H390">
        <f>VLOOKUP(A390,NYSEARCAMUB!A$2:G$506,3,0)</f>
        <v>106.92</v>
      </c>
      <c r="I390">
        <f>VLOOKUP(A390,NYSEARCAVNQ!A$2:G$506,3,0)</f>
        <v>80.83</v>
      </c>
      <c r="J390">
        <f>VLOOKUP(A390,NYSEARCARWX!A$2:G$506,3,0)</f>
        <v>37.72</v>
      </c>
      <c r="K390">
        <f>VLOOKUP(A390,NYSEARCADBC!A$2:G$506,3,0)</f>
        <v>15.63</v>
      </c>
      <c r="L390">
        <f>VLOOKUP(A390,NYSEARCAGSG!A$2:G$506,3,0)</f>
        <v>15.34</v>
      </c>
      <c r="M390">
        <f>VLOOKUP(A390,NYSEARCAGLD!A$2:G$506,3,0)</f>
        <v>112.32</v>
      </c>
      <c r="N390">
        <f>VLOOKUP(A390,NYSEBP!A$2:G$506,3,0)</f>
        <v>35.799999999999997</v>
      </c>
      <c r="O390">
        <f>VLOOKUP(A390,NASDAQYHOO!A$2:G$506,3,0)</f>
        <v>40.32</v>
      </c>
    </row>
    <row r="391" spans="1:15">
      <c r="A391" s="39">
        <v>42709</v>
      </c>
      <c r="B391">
        <v>70.989999999999995</v>
      </c>
      <c r="C391">
        <f>VLOOKUP(A391,NYSEARCAVTI!A$2:G$506,3,0)</f>
        <v>114.37</v>
      </c>
      <c r="D391">
        <f>VLOOKUP(A391,NYSEARCAVEU!A$2:G$506,3,0)</f>
        <v>44.06</v>
      </c>
      <c r="E391">
        <f>VLOOKUP(A391,NYSEARCAVWO!A$2:G$506,3,0)</f>
        <v>36.06</v>
      </c>
      <c r="F391">
        <f>VLOOKUP(A391,NYSEARCABND!A$2:G$506,3,0)</f>
        <v>80.91</v>
      </c>
      <c r="G391">
        <f>VLOOKUP(A391,NYSEARCATIP!A$2:G$506,3,0)</f>
        <v>113.53</v>
      </c>
      <c r="H391">
        <f>VLOOKUP(A391,NYSEARCAMUB!A$2:G$506,3,0)</f>
        <v>106.8</v>
      </c>
      <c r="I391">
        <f>VLOOKUP(A391,NYSEARCAVNQ!A$2:G$506,3,0)</f>
        <v>80.69</v>
      </c>
      <c r="J391">
        <f>VLOOKUP(A391,NYSEARCARWX!A$2:G$506,3,0)</f>
        <v>37.82</v>
      </c>
      <c r="K391">
        <f>VLOOKUP(A391,NYSEARCADBC!A$2:G$506,3,0)</f>
        <v>15.78</v>
      </c>
      <c r="L391">
        <f>VLOOKUP(A391,NYSEARCAGSG!A$2:G$506,3,0)</f>
        <v>15.5</v>
      </c>
      <c r="M391">
        <f>VLOOKUP(A391,NYSEARCAGLD!A$2:G$506,3,0)</f>
        <v>112.11</v>
      </c>
      <c r="N391">
        <f>VLOOKUP(A391,NYSEBP!A$2:G$506,3,0)</f>
        <v>35.78</v>
      </c>
      <c r="O391">
        <f>VLOOKUP(A391,NASDAQYHOO!A$2:G$506,3,0)</f>
        <v>40.39</v>
      </c>
    </row>
    <row r="392" spans="1:15">
      <c r="A392" s="39">
        <v>42710</v>
      </c>
      <c r="B392">
        <v>70.39</v>
      </c>
      <c r="C392">
        <f>VLOOKUP(A392,NYSEARCAVTI!A$2:G$506,3,0)</f>
        <v>114.7</v>
      </c>
      <c r="D392">
        <f>VLOOKUP(A392,NYSEARCAVEU!A$2:G$506,3,0)</f>
        <v>44.3</v>
      </c>
      <c r="E392">
        <f>VLOOKUP(A392,NYSEARCAVWO!A$2:G$506,3,0)</f>
        <v>36.229999999999997</v>
      </c>
      <c r="F392">
        <f>VLOOKUP(A392,NYSEARCABND!A$2:G$506,3,0)</f>
        <v>80.88</v>
      </c>
      <c r="G392">
        <f>VLOOKUP(A392,NYSEARCATIP!A$2:G$506,3,0)</f>
        <v>113.36</v>
      </c>
      <c r="H392">
        <f>VLOOKUP(A392,NYSEARCAMUB!A$2:G$506,3,0)</f>
        <v>107.42</v>
      </c>
      <c r="I392">
        <f>VLOOKUP(A392,NYSEARCAVNQ!A$2:G$506,3,0)</f>
        <v>81.47</v>
      </c>
      <c r="J392">
        <f>VLOOKUP(A392,NYSEARCARWX!A$2:G$506,3,0)</f>
        <v>38.04</v>
      </c>
      <c r="K392">
        <f>VLOOKUP(A392,NYSEARCADBC!A$2:G$506,3,0)</f>
        <v>15.7</v>
      </c>
      <c r="L392">
        <f>VLOOKUP(A392,NYSEARCAGSG!A$2:G$506,3,0)</f>
        <v>15.38</v>
      </c>
      <c r="M392">
        <f>VLOOKUP(A392,NYSEARCAGLD!A$2:G$506,3,0)</f>
        <v>112.03</v>
      </c>
      <c r="N392">
        <f>VLOOKUP(A392,NYSEBP!A$2:G$506,3,0)</f>
        <v>35.700000000000003</v>
      </c>
      <c r="O392">
        <f>VLOOKUP(A392,NASDAQYHOO!A$2:G$506,3,0)</f>
        <v>40.42</v>
      </c>
    </row>
    <row r="393" spans="1:15">
      <c r="A393" s="39">
        <v>42711</v>
      </c>
      <c r="B393">
        <v>70.650000000000006</v>
      </c>
      <c r="C393">
        <f>VLOOKUP(A393,NYSEARCAVTI!A$2:G$506,3,0)</f>
        <v>116.19</v>
      </c>
      <c r="D393">
        <f>VLOOKUP(A393,NYSEARCAVEU!A$2:G$506,3,0)</f>
        <v>44.96</v>
      </c>
      <c r="E393">
        <f>VLOOKUP(A393,NYSEARCAVWO!A$2:G$506,3,0)</f>
        <v>36.770000000000003</v>
      </c>
      <c r="F393">
        <f>VLOOKUP(A393,NYSEARCABND!A$2:G$506,3,0)</f>
        <v>81.06</v>
      </c>
      <c r="G393">
        <f>VLOOKUP(A393,NYSEARCATIP!A$2:G$506,3,0)</f>
        <v>113.67</v>
      </c>
      <c r="H393">
        <f>VLOOKUP(A393,NYSEARCAMUB!A$2:G$506,3,0)</f>
        <v>108.28</v>
      </c>
      <c r="I393">
        <f>VLOOKUP(A393,NYSEARCAVNQ!A$2:G$506,3,0)</f>
        <v>82.86</v>
      </c>
      <c r="J393">
        <f>VLOOKUP(A393,NYSEARCARWX!A$2:G$506,3,0)</f>
        <v>38.6</v>
      </c>
      <c r="K393">
        <f>VLOOKUP(A393,NYSEARCADBC!A$2:G$506,3,0)</f>
        <v>15.64</v>
      </c>
      <c r="L393">
        <f>VLOOKUP(A393,NYSEARCAGSG!A$2:G$506,3,0)</f>
        <v>15.31</v>
      </c>
      <c r="M393">
        <f>VLOOKUP(A393,NYSEARCAGLD!A$2:G$506,3,0)</f>
        <v>112.5</v>
      </c>
      <c r="N393">
        <f>VLOOKUP(A393,NYSEBP!A$2:G$506,3,0)</f>
        <v>35.979999999999997</v>
      </c>
      <c r="O393">
        <f>VLOOKUP(A393,NASDAQYHOO!A$2:G$506,3,0)</f>
        <v>40.57</v>
      </c>
    </row>
    <row r="394" spans="1:15">
      <c r="A394" s="39">
        <v>42712</v>
      </c>
      <c r="B394">
        <v>70.900000000000006</v>
      </c>
      <c r="C394">
        <f>VLOOKUP(A394,NYSEARCAVTI!A$2:G$506,3,0)</f>
        <v>116.85</v>
      </c>
      <c r="D394">
        <f>VLOOKUP(A394,NYSEARCAVEU!A$2:G$506,3,0)</f>
        <v>45</v>
      </c>
      <c r="E394">
        <f>VLOOKUP(A394,NYSEARCAVWO!A$2:G$506,3,0)</f>
        <v>36.880000000000003</v>
      </c>
      <c r="F394">
        <f>VLOOKUP(A394,NYSEARCABND!A$2:G$506,3,0)</f>
        <v>80.900000000000006</v>
      </c>
      <c r="G394">
        <f>VLOOKUP(A394,NYSEARCATIP!A$2:G$506,3,0)</f>
        <v>113.43</v>
      </c>
      <c r="H394">
        <f>VLOOKUP(A394,NYSEARCAMUB!A$2:G$506,3,0)</f>
        <v>108.15</v>
      </c>
      <c r="I394">
        <f>VLOOKUP(A394,NYSEARCAVNQ!A$2:G$506,3,0)</f>
        <v>83.53</v>
      </c>
      <c r="J394">
        <f>VLOOKUP(A394,NYSEARCARWX!A$2:G$506,3,0)</f>
        <v>38.58</v>
      </c>
      <c r="K394">
        <f>VLOOKUP(A394,NYSEARCADBC!A$2:G$506,3,0)</f>
        <v>15.55</v>
      </c>
      <c r="L394">
        <f>VLOOKUP(A394,NYSEARCAGSG!A$2:G$506,3,0)</f>
        <v>15.39</v>
      </c>
      <c r="M394">
        <f>VLOOKUP(A394,NYSEARCAGLD!A$2:G$506,3,0)</f>
        <v>111.87</v>
      </c>
      <c r="N394">
        <f>VLOOKUP(A394,NYSEBP!A$2:G$506,3,0)</f>
        <v>36.229999999999997</v>
      </c>
      <c r="O394">
        <f>VLOOKUP(A394,NASDAQYHOO!A$2:G$506,3,0)</f>
        <v>41.6</v>
      </c>
    </row>
    <row r="395" spans="1:15">
      <c r="A395" s="39">
        <v>42713</v>
      </c>
      <c r="B395">
        <v>70.430000000000007</v>
      </c>
      <c r="C395">
        <f>VLOOKUP(A395,NYSEARCAVTI!A$2:G$506,3,0)</f>
        <v>117.15</v>
      </c>
      <c r="D395">
        <f>VLOOKUP(A395,NYSEARCAVEU!A$2:G$506,3,0)</f>
        <v>45.06</v>
      </c>
      <c r="E395">
        <f>VLOOKUP(A395,NYSEARCAVWO!A$2:G$506,3,0)</f>
        <v>36.75</v>
      </c>
      <c r="F395">
        <f>VLOOKUP(A395,NYSEARCABND!A$2:G$506,3,0)</f>
        <v>80.849999999999994</v>
      </c>
      <c r="G395">
        <f>VLOOKUP(A395,NYSEARCATIP!A$2:G$506,3,0)</f>
        <v>113.34</v>
      </c>
      <c r="H395">
        <f>VLOOKUP(A395,NYSEARCAMUB!A$2:G$506,3,0)</f>
        <v>108.13</v>
      </c>
      <c r="I395">
        <f>VLOOKUP(A395,NYSEARCAVNQ!A$2:G$506,3,0)</f>
        <v>83.99</v>
      </c>
      <c r="J395">
        <f>VLOOKUP(A395,NYSEARCARWX!A$2:G$506,3,0)</f>
        <v>38.58</v>
      </c>
      <c r="K395">
        <f>VLOOKUP(A395,NYSEARCADBC!A$2:G$506,3,0)</f>
        <v>15.61</v>
      </c>
      <c r="L395">
        <f>VLOOKUP(A395,NYSEARCAGSG!A$2:G$506,3,0)</f>
        <v>15.43</v>
      </c>
      <c r="M395">
        <f>VLOOKUP(A395,NYSEARCAGLD!A$2:G$506,3,0)</f>
        <v>111.25</v>
      </c>
      <c r="N395">
        <f>VLOOKUP(A395,NYSEBP!A$2:G$506,3,0)</f>
        <v>36.21</v>
      </c>
      <c r="O395">
        <f>VLOOKUP(A395,NASDAQYHOO!A$2:G$506,3,0)</f>
        <v>41.8</v>
      </c>
    </row>
    <row r="396" spans="1:15">
      <c r="A396" s="39">
        <v>42716</v>
      </c>
      <c r="B396">
        <v>71.78</v>
      </c>
      <c r="C396">
        <f>VLOOKUP(A396,NYSEARCAVTI!A$2:G$506,3,0)</f>
        <v>117.35</v>
      </c>
      <c r="D396">
        <f>VLOOKUP(A396,NYSEARCAVEU!A$2:G$506,3,0)</f>
        <v>45.01</v>
      </c>
      <c r="E396">
        <f>VLOOKUP(A396,NYSEARCAVWO!A$2:G$506,3,0)</f>
        <v>36.549999999999997</v>
      </c>
      <c r="F396">
        <f>VLOOKUP(A396,NYSEARCABND!A$2:G$506,3,0)</f>
        <v>80.59</v>
      </c>
      <c r="G396">
        <f>VLOOKUP(A396,NYSEARCATIP!A$2:G$506,3,0)</f>
        <v>112.91</v>
      </c>
      <c r="H396">
        <f>VLOOKUP(A396,NYSEARCAMUB!A$2:G$506,3,0)</f>
        <v>107.9</v>
      </c>
      <c r="I396">
        <f>VLOOKUP(A396,NYSEARCAVNQ!A$2:G$506,3,0)</f>
        <v>83.81</v>
      </c>
      <c r="J396">
        <f>VLOOKUP(A396,NYSEARCARWX!A$2:G$506,3,0)</f>
        <v>38.369999999999997</v>
      </c>
      <c r="K396">
        <f>VLOOKUP(A396,NYSEARCADBC!A$2:G$506,3,0)</f>
        <v>15.88</v>
      </c>
      <c r="L396">
        <f>VLOOKUP(A396,NYSEARCAGSG!A$2:G$506,3,0)</f>
        <v>15.77</v>
      </c>
      <c r="M396">
        <f>VLOOKUP(A396,NYSEARCAGLD!A$2:G$506,3,0)</f>
        <v>111.11</v>
      </c>
      <c r="N396">
        <f>VLOOKUP(A396,NYSEBP!A$2:G$506,3,0)</f>
        <v>36.81</v>
      </c>
      <c r="O396">
        <f>VLOOKUP(A396,NASDAQYHOO!A$2:G$506,3,0)</f>
        <v>41.53</v>
      </c>
    </row>
    <row r="397" spans="1:15">
      <c r="A397" s="39">
        <v>42717</v>
      </c>
      <c r="B397">
        <v>72.23</v>
      </c>
      <c r="C397">
        <f>VLOOKUP(A397,NYSEARCAVTI!A$2:G$506,3,0)</f>
        <v>117.79</v>
      </c>
      <c r="D397">
        <f>VLOOKUP(A397,NYSEARCAVEU!A$2:G$506,3,0)</f>
        <v>45.4</v>
      </c>
      <c r="E397">
        <f>VLOOKUP(A397,NYSEARCAVWO!A$2:G$506,3,0)</f>
        <v>36.85</v>
      </c>
      <c r="F397">
        <f>VLOOKUP(A397,NYSEARCABND!A$2:G$506,3,0)</f>
        <v>80.7</v>
      </c>
      <c r="G397">
        <f>VLOOKUP(A397,NYSEARCATIP!A$2:G$506,3,0)</f>
        <v>113.03</v>
      </c>
      <c r="H397">
        <f>VLOOKUP(A397,NYSEARCAMUB!A$2:G$506,3,0)</f>
        <v>107.85</v>
      </c>
      <c r="I397">
        <f>VLOOKUP(A397,NYSEARCAVNQ!A$2:G$506,3,0)</f>
        <v>84.19</v>
      </c>
      <c r="J397">
        <f>VLOOKUP(A397,NYSEARCARWX!A$2:G$506,3,0)</f>
        <v>38.74</v>
      </c>
      <c r="K397">
        <f>VLOOKUP(A397,NYSEARCADBC!A$2:G$506,3,0)</f>
        <v>15.81</v>
      </c>
      <c r="L397">
        <f>VLOOKUP(A397,NYSEARCAGSG!A$2:G$506,3,0)</f>
        <v>15.65</v>
      </c>
      <c r="M397">
        <f>VLOOKUP(A397,NYSEARCAGLD!A$2:G$506,3,0)</f>
        <v>110.79</v>
      </c>
      <c r="N397">
        <f>VLOOKUP(A397,NYSEBP!A$2:G$506,3,0)</f>
        <v>36.94</v>
      </c>
      <c r="O397">
        <f>VLOOKUP(A397,NASDAQYHOO!A$2:G$506,3,0)</f>
        <v>41.79</v>
      </c>
    </row>
    <row r="398" spans="1:15">
      <c r="A398" s="39">
        <v>42718</v>
      </c>
      <c r="B398">
        <v>72.48</v>
      </c>
      <c r="C398">
        <f>VLOOKUP(A398,NYSEARCAVTI!A$2:G$506,3,0)</f>
        <v>117.73</v>
      </c>
      <c r="D398">
        <f>VLOOKUP(A398,NYSEARCAVEU!A$2:G$506,3,0)</f>
        <v>45.24</v>
      </c>
      <c r="E398">
        <f>VLOOKUP(A398,NYSEARCAVWO!A$2:G$506,3,0)</f>
        <v>36.53</v>
      </c>
      <c r="F398">
        <f>VLOOKUP(A398,NYSEARCABND!A$2:G$506,3,0)</f>
        <v>80.78</v>
      </c>
      <c r="G398">
        <f>VLOOKUP(A398,NYSEARCATIP!A$2:G$506,3,0)</f>
        <v>113.08</v>
      </c>
      <c r="H398">
        <f>VLOOKUP(A398,NYSEARCAMUB!A$2:G$506,3,0)</f>
        <v>108</v>
      </c>
      <c r="I398">
        <f>VLOOKUP(A398,NYSEARCAVNQ!A$2:G$506,3,0)</f>
        <v>83.83</v>
      </c>
      <c r="J398">
        <f>VLOOKUP(A398,NYSEARCARWX!A$2:G$506,3,0)</f>
        <v>38.6</v>
      </c>
      <c r="K398">
        <f>VLOOKUP(A398,NYSEARCADBC!A$2:G$506,3,0)</f>
        <v>15.81</v>
      </c>
      <c r="L398">
        <f>VLOOKUP(A398,NYSEARCAGSG!A$2:G$506,3,0)</f>
        <v>15.61</v>
      </c>
      <c r="M398">
        <f>VLOOKUP(A398,NYSEARCAGLD!A$2:G$506,3,0)</f>
        <v>110.98</v>
      </c>
      <c r="N398">
        <f>VLOOKUP(A398,NYSEBP!A$2:G$506,3,0)</f>
        <v>36.880000000000003</v>
      </c>
      <c r="O398">
        <f>VLOOKUP(A398,NASDAQYHOO!A$2:G$506,3,0)</f>
        <v>41.53</v>
      </c>
    </row>
    <row r="399" spans="1:15">
      <c r="A399" s="39">
        <v>42719</v>
      </c>
      <c r="B399">
        <v>71.8</v>
      </c>
      <c r="C399">
        <f>VLOOKUP(A399,NYSEARCAVTI!A$2:G$506,3,0)</f>
        <v>117.53</v>
      </c>
      <c r="D399">
        <f>VLOOKUP(A399,NYSEARCAVEU!A$2:G$506,3,0)</f>
        <v>44.51</v>
      </c>
      <c r="E399">
        <f>VLOOKUP(A399,NYSEARCAVWO!A$2:G$506,3,0)</f>
        <v>35.97</v>
      </c>
      <c r="F399">
        <f>VLOOKUP(A399,NYSEARCABND!A$2:G$506,3,0)</f>
        <v>80.260000000000005</v>
      </c>
      <c r="G399">
        <f>VLOOKUP(A399,NYSEARCATIP!A$2:G$506,3,0)</f>
        <v>111.57</v>
      </c>
      <c r="H399">
        <f>VLOOKUP(A399,NYSEARCAMUB!A$2:G$506,3,0)</f>
        <v>107.64</v>
      </c>
      <c r="I399">
        <f>VLOOKUP(A399,NYSEARCAVNQ!A$2:G$506,3,0)</f>
        <v>82.47</v>
      </c>
      <c r="J399">
        <f>VLOOKUP(A399,NYSEARCARWX!A$2:G$506,3,0)</f>
        <v>37.520000000000003</v>
      </c>
      <c r="K399">
        <f>VLOOKUP(A399,NYSEARCADBC!A$2:G$506,3,0)</f>
        <v>15.62</v>
      </c>
      <c r="L399">
        <f>VLOOKUP(A399,NYSEARCAGSG!A$2:G$506,3,0)</f>
        <v>15.39</v>
      </c>
      <c r="M399">
        <f>VLOOKUP(A399,NYSEARCAGLD!A$2:G$506,3,0)</f>
        <v>107.99</v>
      </c>
      <c r="N399">
        <f>VLOOKUP(A399,NYSEBP!A$2:G$506,3,0)</f>
        <v>35.94</v>
      </c>
      <c r="O399">
        <f>VLOOKUP(A399,NASDAQYHOO!A$2:G$506,3,0)</f>
        <v>40</v>
      </c>
    </row>
    <row r="400" spans="1:15">
      <c r="A400" s="39">
        <v>42720</v>
      </c>
      <c r="B400">
        <v>71.64</v>
      </c>
      <c r="C400">
        <f>VLOOKUP(A400,NYSEARCAVTI!A$2:G$506,3,0)</f>
        <v>117.38</v>
      </c>
      <c r="D400">
        <f>VLOOKUP(A400,NYSEARCAVEU!A$2:G$506,3,0)</f>
        <v>44.54</v>
      </c>
      <c r="E400">
        <f>VLOOKUP(A400,NYSEARCAVWO!A$2:G$506,3,0)</f>
        <v>35.9</v>
      </c>
      <c r="F400">
        <f>VLOOKUP(A400,NYSEARCABND!A$2:G$506,3,0)</f>
        <v>80.27</v>
      </c>
      <c r="G400">
        <f>VLOOKUP(A400,NYSEARCATIP!A$2:G$506,3,0)</f>
        <v>111.37</v>
      </c>
      <c r="H400">
        <f>VLOOKUP(A400,NYSEARCAMUB!A$2:G$506,3,0)</f>
        <v>107.39</v>
      </c>
      <c r="I400">
        <f>VLOOKUP(A400,NYSEARCAVNQ!A$2:G$506,3,0)</f>
        <v>83.17</v>
      </c>
      <c r="J400">
        <f>VLOOKUP(A400,NYSEARCARWX!A$2:G$506,3,0)</f>
        <v>35.33</v>
      </c>
      <c r="K400">
        <f>VLOOKUP(A400,NYSEARCADBC!A$2:G$506,3,0)</f>
        <v>15.66</v>
      </c>
      <c r="L400">
        <f>VLOOKUP(A400,NYSEARCAGSG!A$2:G$506,3,0)</f>
        <v>15.49</v>
      </c>
      <c r="M400">
        <f>VLOOKUP(A400,NYSEARCAGLD!A$2:G$506,3,0)</f>
        <v>108.78</v>
      </c>
      <c r="N400">
        <f>VLOOKUP(A400,NYSEBP!A$2:G$506,3,0)</f>
        <v>36.729999999999997</v>
      </c>
      <c r="O400">
        <f>VLOOKUP(A400,NASDAQYHOO!A$2:G$506,3,0)</f>
        <v>39.22</v>
      </c>
    </row>
    <row r="401" spans="1:15">
      <c r="A401" s="39">
        <v>42723</v>
      </c>
      <c r="B401">
        <v>71.75</v>
      </c>
      <c r="C401">
        <f>VLOOKUP(A401,NYSEARCAVTI!A$2:G$506,3,0)</f>
        <v>117.32</v>
      </c>
      <c r="D401">
        <f>VLOOKUP(A401,NYSEARCAVEU!A$2:G$506,3,0)</f>
        <v>44.51</v>
      </c>
      <c r="E401">
        <f>VLOOKUP(A401,NYSEARCAVWO!A$2:G$506,3,0)</f>
        <v>35.68</v>
      </c>
      <c r="F401">
        <f>VLOOKUP(A401,NYSEARCABND!A$2:G$506,3,0)</f>
        <v>80.400000000000006</v>
      </c>
      <c r="G401">
        <f>VLOOKUP(A401,NYSEARCATIP!A$2:G$506,3,0)</f>
        <v>111.58</v>
      </c>
      <c r="H401">
        <f>VLOOKUP(A401,NYSEARCAMUB!A$2:G$506,3,0)</f>
        <v>107.64</v>
      </c>
      <c r="I401">
        <f>VLOOKUP(A401,NYSEARCAVNQ!A$2:G$506,3,0)</f>
        <v>83.88</v>
      </c>
      <c r="J401">
        <f>VLOOKUP(A401,NYSEARCARWX!A$2:G$506,3,0)</f>
        <v>35.4</v>
      </c>
      <c r="K401">
        <f>VLOOKUP(A401,NYSEARCADBC!A$2:G$506,3,0)</f>
        <v>15.73</v>
      </c>
      <c r="L401">
        <f>VLOOKUP(A401,NYSEARCAGSG!A$2:G$506,3,0)</f>
        <v>15.5</v>
      </c>
      <c r="M401">
        <f>VLOOKUP(A401,NYSEARCAGLD!A$2:G$506,3,0)</f>
        <v>108.88</v>
      </c>
      <c r="N401">
        <f>VLOOKUP(A401,NYSEBP!A$2:G$506,3,0)</f>
        <v>36.78</v>
      </c>
      <c r="O401">
        <f>VLOOKUP(A401,NASDAQYHOO!A$2:G$506,3,0)</f>
        <v>38.79</v>
      </c>
    </row>
    <row r="402" spans="1:15">
      <c r="A402" s="39">
        <v>42724</v>
      </c>
      <c r="B402">
        <v>71.930000000000007</v>
      </c>
      <c r="C402">
        <f>VLOOKUP(A402,NYSEARCAVTI!A$2:G$506,3,0)</f>
        <v>116.93</v>
      </c>
      <c r="D402">
        <f>VLOOKUP(A402,NYSEARCAVEU!A$2:G$506,3,0)</f>
        <v>44.13</v>
      </c>
      <c r="E402">
        <f>VLOOKUP(A402,NYSEARCAVWO!A$2:G$506,3,0)</f>
        <v>35.39</v>
      </c>
      <c r="F402">
        <f>VLOOKUP(A402,NYSEARCABND!A$2:G$506,3,0)</f>
        <v>80.37</v>
      </c>
      <c r="G402">
        <f>VLOOKUP(A402,NYSEARCATIP!A$2:G$506,3,0)</f>
        <v>111.79</v>
      </c>
      <c r="H402">
        <f>VLOOKUP(A402,NYSEARCAMUB!A$2:G$506,3,0)</f>
        <v>107.59</v>
      </c>
      <c r="I402">
        <f>VLOOKUP(A402,NYSEARCAVNQ!A$2:G$506,3,0)</f>
        <v>84.08</v>
      </c>
      <c r="J402">
        <f>VLOOKUP(A402,NYSEARCARWX!A$2:G$506,3,0)</f>
        <v>35.46</v>
      </c>
      <c r="K402">
        <f>VLOOKUP(A402,NYSEARCADBC!A$2:G$506,3,0)</f>
        <v>15.63</v>
      </c>
      <c r="L402">
        <f>VLOOKUP(A402,NYSEARCAGSG!A$2:G$506,3,0)</f>
        <v>15.5</v>
      </c>
      <c r="M402">
        <f>VLOOKUP(A402,NYSEARCAGLD!A$2:G$506,3,0)</f>
        <v>108</v>
      </c>
      <c r="N402">
        <f>VLOOKUP(A402,NYSEBP!A$2:G$506,3,0)</f>
        <v>36.799999999999997</v>
      </c>
      <c r="O402">
        <f>VLOOKUP(A402,NASDAQYHOO!A$2:G$506,3,0)</f>
        <v>39.18</v>
      </c>
    </row>
    <row r="403" spans="1:15">
      <c r="A403" s="39">
        <v>42725</v>
      </c>
      <c r="B403">
        <v>72</v>
      </c>
      <c r="C403">
        <f>VLOOKUP(A403,NYSEARCAVTI!A$2:G$506,3,0)</f>
        <v>116.92</v>
      </c>
      <c r="D403">
        <f>VLOOKUP(A403,NYSEARCAVEU!A$2:G$506,3,0)</f>
        <v>44.13</v>
      </c>
      <c r="E403">
        <f>VLOOKUP(A403,NYSEARCAVWO!A$2:G$506,3,0)</f>
        <v>35.44</v>
      </c>
      <c r="F403">
        <f>VLOOKUP(A403,NYSEARCABND!A$2:G$506,3,0)</f>
        <v>80.5</v>
      </c>
      <c r="G403">
        <f>VLOOKUP(A403,NYSEARCATIP!A$2:G$506,3,0)</f>
        <v>112.06</v>
      </c>
      <c r="H403">
        <f>VLOOKUP(A403,NYSEARCAMUB!A$2:G$506,3,0)</f>
        <v>107.71</v>
      </c>
      <c r="I403">
        <f>VLOOKUP(A403,NYSEARCAVNQ!A$2:G$506,3,0)</f>
        <v>84.26</v>
      </c>
      <c r="J403">
        <f>VLOOKUP(A403,NYSEARCARWX!A$2:G$506,3,0)</f>
        <v>35.53</v>
      </c>
      <c r="K403">
        <f>VLOOKUP(A403,NYSEARCADBC!A$2:G$506,3,0)</f>
        <v>15.64</v>
      </c>
      <c r="L403">
        <f>VLOOKUP(A403,NYSEARCAGSG!A$2:G$506,3,0)</f>
        <v>15.49</v>
      </c>
      <c r="M403">
        <f>VLOOKUP(A403,NYSEARCAGLD!A$2:G$506,3,0)</f>
        <v>108.31</v>
      </c>
      <c r="N403">
        <f>VLOOKUP(A403,NYSEBP!A$2:G$506,3,0)</f>
        <v>36.92</v>
      </c>
      <c r="O403">
        <f>VLOOKUP(A403,NASDAQYHOO!A$2:G$506,3,0)</f>
        <v>39.32</v>
      </c>
    </row>
    <row r="404" spans="1:15">
      <c r="A404" s="39">
        <v>42726</v>
      </c>
      <c r="B404">
        <v>71.239999999999995</v>
      </c>
      <c r="C404">
        <f>VLOOKUP(A404,NYSEARCAVTI!A$2:G$506,3,0)</f>
        <v>116.51</v>
      </c>
      <c r="D404">
        <f>VLOOKUP(A404,NYSEARCAVEU!A$2:G$506,3,0)</f>
        <v>43.99</v>
      </c>
      <c r="E404">
        <f>VLOOKUP(A404,NYSEARCAVWO!A$2:G$506,3,0)</f>
        <v>34.909999999999997</v>
      </c>
      <c r="F404">
        <f>VLOOKUP(A404,NYSEARCABND!A$2:G$506,3,0)</f>
        <v>80.28</v>
      </c>
      <c r="G404">
        <f>VLOOKUP(A404,NYSEARCATIP!A$2:G$506,3,0)</f>
        <v>112.31</v>
      </c>
      <c r="H404">
        <f>VLOOKUP(A404,NYSEARCAMUB!A$2:G$506,3,0)</f>
        <v>107.78</v>
      </c>
      <c r="I404">
        <f>VLOOKUP(A404,NYSEARCAVNQ!A$2:G$506,3,0)</f>
        <v>80.88</v>
      </c>
      <c r="J404">
        <f>VLOOKUP(A404,NYSEARCARWX!A$2:G$506,3,0)</f>
        <v>35.409999999999997</v>
      </c>
      <c r="K404">
        <f>VLOOKUP(A404,NYSEARCADBC!A$2:G$506,3,0)</f>
        <v>15.61</v>
      </c>
      <c r="L404">
        <f>VLOOKUP(A404,NYSEARCAGSG!A$2:G$506,3,0)</f>
        <v>15.43</v>
      </c>
      <c r="M404">
        <f>VLOOKUP(A404,NYSEARCAGLD!A$2:G$506,3,0)</f>
        <v>108.1</v>
      </c>
      <c r="N404">
        <f>VLOOKUP(A404,NYSEBP!A$2:G$506,3,0)</f>
        <v>37.17</v>
      </c>
      <c r="O404">
        <f>VLOOKUP(A404,NASDAQYHOO!A$2:G$506,3,0)</f>
        <v>38.79</v>
      </c>
    </row>
    <row r="405" spans="1:15">
      <c r="A405" s="39">
        <v>42727</v>
      </c>
      <c r="B405">
        <v>69.75</v>
      </c>
      <c r="C405">
        <f>VLOOKUP(A405,NYSEARCAVTI!A$2:G$506,3,0)</f>
        <v>116.42</v>
      </c>
      <c r="D405">
        <f>VLOOKUP(A405,NYSEARCAVEU!A$2:G$506,3,0)</f>
        <v>43.98</v>
      </c>
      <c r="E405">
        <f>VLOOKUP(A405,NYSEARCAVWO!A$2:G$506,3,0)</f>
        <v>35.03</v>
      </c>
      <c r="F405">
        <f>VLOOKUP(A405,NYSEARCABND!A$2:G$506,3,0)</f>
        <v>80.36</v>
      </c>
      <c r="G405">
        <f>VLOOKUP(A405,NYSEARCATIP!A$2:G$506,3,0)</f>
        <v>112.57</v>
      </c>
      <c r="H405">
        <f>VLOOKUP(A405,NYSEARCAMUB!A$2:G$506,3,0)</f>
        <v>107.88</v>
      </c>
      <c r="I405">
        <f>VLOOKUP(A405,NYSEARCAVNQ!A$2:G$506,3,0)</f>
        <v>82.28</v>
      </c>
      <c r="J405">
        <f>VLOOKUP(A405,NYSEARCARWX!A$2:G$506,3,0)</f>
        <v>35.520000000000003</v>
      </c>
      <c r="K405">
        <f>VLOOKUP(A405,NYSEARCADBC!A$2:G$506,3,0)</f>
        <v>15.58</v>
      </c>
      <c r="L405">
        <f>VLOOKUP(A405,NYSEARCAGSG!A$2:G$506,3,0)</f>
        <v>15.43</v>
      </c>
      <c r="M405">
        <f>VLOOKUP(A405,NYSEARCAGLD!A$2:G$506,3,0)</f>
        <v>108.25</v>
      </c>
      <c r="N405">
        <f>VLOOKUP(A405,NYSEBP!A$2:G$506,3,0)</f>
        <v>37.049999999999997</v>
      </c>
      <c r="O405">
        <f>VLOOKUP(A405,NASDAQYHOO!A$2:G$506,3,0)</f>
        <v>38.81</v>
      </c>
    </row>
    <row r="406" spans="1:15">
      <c r="A406" s="39">
        <v>42731</v>
      </c>
      <c r="B406">
        <v>69.819999999999993</v>
      </c>
      <c r="C406">
        <f>VLOOKUP(A406,NYSEARCAVTI!A$2:G$506,3,0)</f>
        <v>116.99</v>
      </c>
      <c r="D406">
        <f>VLOOKUP(A406,NYSEARCAVEU!A$2:G$506,3,0)</f>
        <v>44.06</v>
      </c>
      <c r="E406">
        <f>VLOOKUP(A406,NYSEARCAVWO!A$2:G$506,3,0)</f>
        <v>35.22</v>
      </c>
      <c r="F406">
        <f>VLOOKUP(A406,NYSEARCABND!A$2:G$506,3,0)</f>
        <v>80.2</v>
      </c>
      <c r="G406">
        <f>VLOOKUP(A406,NYSEARCATIP!A$2:G$506,3,0)</f>
        <v>112.45</v>
      </c>
      <c r="H406">
        <f>VLOOKUP(A406,NYSEARCAMUB!A$2:G$506,3,0)</f>
        <v>107.83</v>
      </c>
      <c r="I406">
        <f>VLOOKUP(A406,NYSEARCAVNQ!A$2:G$506,3,0)</f>
        <v>81.3</v>
      </c>
      <c r="J406">
        <f>VLOOKUP(A406,NYSEARCARWX!A$2:G$506,3,0)</f>
        <v>35.69</v>
      </c>
      <c r="K406">
        <f>VLOOKUP(A406,NYSEARCADBC!A$2:G$506,3,0)</f>
        <v>15.82</v>
      </c>
      <c r="L406">
        <f>VLOOKUP(A406,NYSEARCAGSG!A$2:G$506,3,0)</f>
        <v>15.67</v>
      </c>
      <c r="M406">
        <f>VLOOKUP(A406,NYSEARCAGLD!A$2:G$506,3,0)</f>
        <v>108.67</v>
      </c>
      <c r="N406">
        <f>VLOOKUP(A406,NYSEBP!A$2:G$506,3,0)</f>
        <v>37.229999999999997</v>
      </c>
      <c r="O406">
        <f>VLOOKUP(A406,NASDAQYHOO!A$2:G$506,3,0)</f>
        <v>39.06</v>
      </c>
    </row>
    <row r="407" spans="1:15">
      <c r="A407" s="39">
        <v>42732</v>
      </c>
      <c r="B407">
        <v>70</v>
      </c>
      <c r="C407">
        <f>VLOOKUP(A407,NYSEARCAVTI!A$2:G$506,3,0)</f>
        <v>116.93</v>
      </c>
      <c r="D407">
        <f>VLOOKUP(A407,NYSEARCAVEU!A$2:G$506,3,0)</f>
        <v>44.05</v>
      </c>
      <c r="E407">
        <f>VLOOKUP(A407,NYSEARCAVWO!A$2:G$506,3,0)</f>
        <v>35.47</v>
      </c>
      <c r="F407">
        <f>VLOOKUP(A407,NYSEARCABND!A$2:G$506,3,0)</f>
        <v>80.47</v>
      </c>
      <c r="G407">
        <f>VLOOKUP(A407,NYSEARCATIP!A$2:G$506,3,0)</f>
        <v>112.74</v>
      </c>
      <c r="H407">
        <f>VLOOKUP(A407,NYSEARCAMUB!A$2:G$506,3,0)</f>
        <v>108.09</v>
      </c>
      <c r="I407">
        <f>VLOOKUP(A407,NYSEARCAVNQ!A$2:G$506,3,0)</f>
        <v>81.180000000000007</v>
      </c>
      <c r="J407">
        <f>VLOOKUP(A407,NYSEARCARWX!A$2:G$506,3,0)</f>
        <v>35.53</v>
      </c>
      <c r="K407">
        <f>VLOOKUP(A407,NYSEARCADBC!A$2:G$506,3,0)</f>
        <v>15.85</v>
      </c>
      <c r="L407">
        <f>VLOOKUP(A407,NYSEARCAGSG!A$2:G$506,3,0)</f>
        <v>15.71</v>
      </c>
      <c r="M407">
        <f>VLOOKUP(A407,NYSEARCAGLD!A$2:G$506,3,0)</f>
        <v>108.91</v>
      </c>
      <c r="N407">
        <f>VLOOKUP(A407,NYSEBP!A$2:G$506,3,0)</f>
        <v>37.47</v>
      </c>
      <c r="O407">
        <f>VLOOKUP(A407,NASDAQYHOO!A$2:G$506,3,0)</f>
        <v>39.22</v>
      </c>
    </row>
    <row r="408" spans="1:15">
      <c r="A408" s="39">
        <v>42733</v>
      </c>
      <c r="B408">
        <v>69.52</v>
      </c>
      <c r="C408">
        <f>VLOOKUP(A408,NYSEARCAVTI!A$2:G$506,3,0)</f>
        <v>116.03</v>
      </c>
      <c r="D408">
        <f>VLOOKUP(A408,NYSEARCAVEU!A$2:G$506,3,0)</f>
        <v>44.22</v>
      </c>
      <c r="E408">
        <f>VLOOKUP(A408,NYSEARCAVWO!A$2:G$506,3,0)</f>
        <v>36.04</v>
      </c>
      <c r="F408">
        <f>VLOOKUP(A408,NYSEARCABND!A$2:G$506,3,0)</f>
        <v>80.650000000000006</v>
      </c>
      <c r="G408">
        <f>VLOOKUP(A408,NYSEARCATIP!A$2:G$506,3,0)</f>
        <v>112.86</v>
      </c>
      <c r="H408">
        <f>VLOOKUP(A408,NYSEARCAMUB!A$2:G$506,3,0)</f>
        <v>108.29</v>
      </c>
      <c r="I408">
        <f>VLOOKUP(A408,NYSEARCAVNQ!A$2:G$506,3,0)</f>
        <v>81.739999999999995</v>
      </c>
      <c r="J408">
        <f>VLOOKUP(A408,NYSEARCARWX!A$2:G$506,3,0)</f>
        <v>35.81</v>
      </c>
      <c r="K408">
        <f>VLOOKUP(A408,NYSEARCADBC!A$2:G$506,3,0)</f>
        <v>15.89</v>
      </c>
      <c r="L408">
        <f>VLOOKUP(A408,NYSEARCAGSG!A$2:G$506,3,0)</f>
        <v>15.78</v>
      </c>
      <c r="M408">
        <f>VLOOKUP(A408,NYSEARCAGLD!A$2:G$506,3,0)</f>
        <v>110.53</v>
      </c>
      <c r="N408">
        <f>VLOOKUP(A408,NYSEBP!A$2:G$506,3,0)</f>
        <v>37.53</v>
      </c>
      <c r="O408">
        <f>VLOOKUP(A408,NASDAQYHOO!A$2:G$506,3,0)</f>
        <v>38.93</v>
      </c>
    </row>
    <row r="409" spans="1:15">
      <c r="A409" s="39">
        <v>42734</v>
      </c>
      <c r="B409">
        <v>69.430000000000007</v>
      </c>
      <c r="C409">
        <f>VLOOKUP(A409,NYSEARCAVTI!A$2:G$506,3,0)</f>
        <v>116</v>
      </c>
      <c r="D409">
        <f>VLOOKUP(A409,NYSEARCAVEU!A$2:G$506,3,0)</f>
        <v>44.43</v>
      </c>
      <c r="E409">
        <f>VLOOKUP(A409,NYSEARCAVWO!A$2:G$506,3,0)</f>
        <v>36</v>
      </c>
      <c r="F409">
        <f>VLOOKUP(A409,NYSEARCABND!A$2:G$506,3,0)</f>
        <v>80.83</v>
      </c>
      <c r="G409">
        <f>VLOOKUP(A409,NYSEARCATIP!A$2:G$506,3,0)</f>
        <v>113.2</v>
      </c>
      <c r="H409">
        <f>VLOOKUP(A409,NYSEARCAMUB!A$2:G$506,3,0)</f>
        <v>108.37</v>
      </c>
      <c r="I409">
        <f>VLOOKUP(A409,NYSEARCAVNQ!A$2:G$506,3,0)</f>
        <v>82.7</v>
      </c>
      <c r="J409">
        <f>VLOOKUP(A409,NYSEARCARWX!A$2:G$506,3,0)</f>
        <v>36.159999999999997</v>
      </c>
      <c r="K409">
        <f>VLOOKUP(A409,NYSEARCADBC!A$2:G$506,3,0)</f>
        <v>15.85</v>
      </c>
      <c r="L409">
        <f>VLOOKUP(A409,NYSEARCAGSG!A$2:G$506,3,0)</f>
        <v>15.71</v>
      </c>
      <c r="M409">
        <f>VLOOKUP(A409,NYSEARCAGLD!A$2:G$506,3,0)</f>
        <v>110.62</v>
      </c>
      <c r="N409">
        <f>VLOOKUP(A409,NYSEBP!A$2:G$506,3,0)</f>
        <v>37.68</v>
      </c>
      <c r="O409">
        <f>VLOOKUP(A409,NASDAQYHOO!A$2:G$506,3,0)</f>
        <v>39</v>
      </c>
    </row>
    <row r="410" spans="1:15">
      <c r="A410" s="39">
        <v>42738</v>
      </c>
      <c r="B410">
        <v>69.239999999999995</v>
      </c>
      <c r="C410">
        <f>VLOOKUP(A410,NYSEARCAVTI!A$2:G$506,3,0)</f>
        <v>116.55</v>
      </c>
      <c r="D410">
        <f>VLOOKUP(A410,NYSEARCAVEU!A$2:G$506,3,0)</f>
        <v>44.54</v>
      </c>
      <c r="E410">
        <f>VLOOKUP(A410,NYSEARCAVWO!A$2:G$506,3,0)</f>
        <v>36.39</v>
      </c>
      <c r="F410">
        <f>VLOOKUP(A410,NYSEARCABND!A$2:G$506,3,0)</f>
        <v>80.84</v>
      </c>
      <c r="G410">
        <f>VLOOKUP(A410,NYSEARCATIP!A$2:G$506,3,0)</f>
        <v>113.4</v>
      </c>
      <c r="H410">
        <f>VLOOKUP(A410,NYSEARCAMUB!A$2:G$506,3,0)</f>
        <v>108.14</v>
      </c>
      <c r="I410">
        <f>VLOOKUP(A410,NYSEARCAVNQ!A$2:G$506,3,0)</f>
        <v>83</v>
      </c>
      <c r="J410">
        <f>VLOOKUP(A410,NYSEARCARWX!A$2:G$506,3,0)</f>
        <v>36.119999999999997</v>
      </c>
      <c r="K410">
        <f>VLOOKUP(A410,NYSEARCADBC!A$2:G$506,3,0)</f>
        <v>15.98</v>
      </c>
      <c r="L410">
        <f>VLOOKUP(A410,NYSEARCAGSG!A$2:G$506,3,0)</f>
        <v>15.89</v>
      </c>
      <c r="M410">
        <f>VLOOKUP(A410,NYSEARCAGLD!A$2:G$506,3,0)</f>
        <v>111</v>
      </c>
      <c r="N410">
        <f>VLOOKUP(A410,NYSEBP!A$2:G$506,3,0)</f>
        <v>38.119999999999997</v>
      </c>
      <c r="O410">
        <f>VLOOKUP(A410,NASDAQYHOO!A$2:G$506,3,0)</f>
        <v>39.18</v>
      </c>
    </row>
    <row r="411" spans="1:15">
      <c r="A411" s="39">
        <v>42739</v>
      </c>
      <c r="B411">
        <v>69.63</v>
      </c>
      <c r="C411">
        <f>VLOOKUP(A411,NYSEARCAVTI!A$2:G$506,3,0)</f>
        <v>117.19</v>
      </c>
      <c r="D411">
        <f>VLOOKUP(A411,NYSEARCAVEU!A$2:G$506,3,0)</f>
        <v>45.01</v>
      </c>
      <c r="E411">
        <f>VLOOKUP(A411,NYSEARCAVWO!A$2:G$506,3,0)</f>
        <v>36.58</v>
      </c>
      <c r="F411">
        <f>VLOOKUP(A411,NYSEARCABND!A$2:G$506,3,0)</f>
        <v>80.88</v>
      </c>
      <c r="G411">
        <f>VLOOKUP(A411,NYSEARCATIP!A$2:G$506,3,0)</f>
        <v>113.54</v>
      </c>
      <c r="H411">
        <f>VLOOKUP(A411,NYSEARCAMUB!A$2:G$506,3,0)</f>
        <v>108.31</v>
      </c>
      <c r="I411">
        <f>VLOOKUP(A411,NYSEARCAVNQ!A$2:G$506,3,0)</f>
        <v>84.19</v>
      </c>
      <c r="J411">
        <f>VLOOKUP(A411,NYSEARCARWX!A$2:G$506,3,0)</f>
        <v>36.49</v>
      </c>
      <c r="K411">
        <f>VLOOKUP(A411,NYSEARCADBC!A$2:G$506,3,0)</f>
        <v>15.8</v>
      </c>
      <c r="L411">
        <f>VLOOKUP(A411,NYSEARCAGSG!A$2:G$506,3,0)</f>
        <v>15.59</v>
      </c>
      <c r="M411">
        <f>VLOOKUP(A411,NYSEARCAGLD!A$2:G$506,3,0)</f>
        <v>111.22</v>
      </c>
      <c r="N411">
        <f>VLOOKUP(A411,NYSEBP!A$2:G$506,3,0)</f>
        <v>38.340000000000003</v>
      </c>
      <c r="O411">
        <f>VLOOKUP(A411,NASDAQYHOO!A$2:G$506,3,0)</f>
        <v>40.25</v>
      </c>
    </row>
    <row r="412" spans="1:15">
      <c r="A412" s="39">
        <v>42740</v>
      </c>
      <c r="B412">
        <v>69.33</v>
      </c>
      <c r="C412">
        <f>VLOOKUP(A412,NYSEARCAVTI!A$2:G$506,3,0)</f>
        <v>117.09</v>
      </c>
      <c r="D412">
        <f>VLOOKUP(A412,NYSEARCAVEU!A$2:G$506,3,0)</f>
        <v>45.46</v>
      </c>
      <c r="E412">
        <f>VLOOKUP(A412,NYSEARCAVWO!A$2:G$506,3,0)</f>
        <v>36.93</v>
      </c>
      <c r="F412">
        <f>VLOOKUP(A412,NYSEARCABND!A$2:G$506,3,0)</f>
        <v>81.28</v>
      </c>
      <c r="G412">
        <f>VLOOKUP(A412,NYSEARCATIP!A$2:G$506,3,0)</f>
        <v>113.92</v>
      </c>
      <c r="H412">
        <f>VLOOKUP(A412,NYSEARCAMUB!A$2:G$506,3,0)</f>
        <v>108.54</v>
      </c>
      <c r="I412">
        <f>VLOOKUP(A412,NYSEARCAVNQ!A$2:G$506,3,0)</f>
        <v>84.38</v>
      </c>
      <c r="J412">
        <f>VLOOKUP(A412,NYSEARCARWX!A$2:G$506,3,0)</f>
        <v>37.049999999999997</v>
      </c>
      <c r="K412">
        <f>VLOOKUP(A412,NYSEARCADBC!A$2:G$506,3,0)</f>
        <v>15.92</v>
      </c>
      <c r="L412">
        <f>VLOOKUP(A412,NYSEARCAGSG!A$2:G$506,3,0)</f>
        <v>15.73</v>
      </c>
      <c r="M412">
        <f>VLOOKUP(A412,NYSEARCAGLD!A$2:G$506,3,0)</f>
        <v>112.94</v>
      </c>
      <c r="N412">
        <f>VLOOKUP(A412,NYSEBP!A$2:G$506,3,0)</f>
        <v>38.68</v>
      </c>
      <c r="O412">
        <f>VLOOKUP(A412,NASDAQYHOO!A$2:G$506,3,0)</f>
        <v>41.37</v>
      </c>
    </row>
    <row r="413" spans="1:15">
      <c r="A413" s="39">
        <v>42741</v>
      </c>
      <c r="B413">
        <v>68.5</v>
      </c>
      <c r="C413">
        <f>VLOOKUP(A413,NYSEARCAVTI!A$2:G$506,3,0)</f>
        <v>117.52</v>
      </c>
      <c r="D413">
        <f>VLOOKUP(A413,NYSEARCAVEU!A$2:G$506,3,0)</f>
        <v>45.31</v>
      </c>
      <c r="E413">
        <f>VLOOKUP(A413,NYSEARCAVWO!A$2:G$506,3,0)</f>
        <v>36.79</v>
      </c>
      <c r="F413">
        <f>VLOOKUP(A413,NYSEARCABND!A$2:G$506,3,0)</f>
        <v>81.13</v>
      </c>
      <c r="G413">
        <f>VLOOKUP(A413,NYSEARCATIP!A$2:G$506,3,0)</f>
        <v>113.7</v>
      </c>
      <c r="H413">
        <f>VLOOKUP(A413,NYSEARCAMUB!A$2:G$506,3,0)</f>
        <v>108.47</v>
      </c>
      <c r="I413">
        <f>VLOOKUP(A413,NYSEARCAVNQ!A$2:G$506,3,0)</f>
        <v>84.7</v>
      </c>
      <c r="J413">
        <f>VLOOKUP(A413,NYSEARCARWX!A$2:G$506,3,0)</f>
        <v>37.15</v>
      </c>
      <c r="K413">
        <f>VLOOKUP(A413,NYSEARCADBC!A$2:G$506,3,0)</f>
        <v>15.89</v>
      </c>
      <c r="L413">
        <f>VLOOKUP(A413,NYSEARCAGSG!A$2:G$506,3,0)</f>
        <v>15.71</v>
      </c>
      <c r="M413">
        <f>VLOOKUP(A413,NYSEARCAGLD!A$2:G$506,3,0)</f>
        <v>112.38</v>
      </c>
      <c r="N413">
        <f>VLOOKUP(A413,NYSEBP!A$2:G$506,3,0)</f>
        <v>38.19</v>
      </c>
      <c r="O413">
        <f>VLOOKUP(A413,NASDAQYHOO!A$2:G$506,3,0)</f>
        <v>41.34</v>
      </c>
    </row>
    <row r="414" spans="1:15">
      <c r="A414" s="39">
        <v>42744</v>
      </c>
      <c r="B414">
        <v>68.8</v>
      </c>
      <c r="C414">
        <f>VLOOKUP(A414,NYSEARCAVTI!A$2:G$506,3,0)</f>
        <v>117.14</v>
      </c>
      <c r="D414">
        <f>VLOOKUP(A414,NYSEARCAVEU!A$2:G$506,3,0)</f>
        <v>45.24</v>
      </c>
      <c r="E414">
        <f>VLOOKUP(A414,NYSEARCAVWO!A$2:G$506,3,0)</f>
        <v>36.770000000000003</v>
      </c>
      <c r="F414">
        <f>VLOOKUP(A414,NYSEARCABND!A$2:G$506,3,0)</f>
        <v>81.180000000000007</v>
      </c>
      <c r="G414">
        <f>VLOOKUP(A414,NYSEARCATIP!A$2:G$506,3,0)</f>
        <v>113.73</v>
      </c>
      <c r="H414">
        <f>VLOOKUP(A414,NYSEARCAMUB!A$2:G$506,3,0)</f>
        <v>108.68</v>
      </c>
      <c r="I414">
        <f>VLOOKUP(A414,NYSEARCAVNQ!A$2:G$506,3,0)</f>
        <v>84.53</v>
      </c>
      <c r="J414">
        <f>VLOOKUP(A414,NYSEARCARWX!A$2:G$506,3,0)</f>
        <v>37</v>
      </c>
      <c r="K414">
        <f>VLOOKUP(A414,NYSEARCADBC!A$2:G$506,3,0)</f>
        <v>15.71</v>
      </c>
      <c r="L414">
        <f>VLOOKUP(A414,NYSEARCAGSG!A$2:G$506,3,0)</f>
        <v>15.45</v>
      </c>
      <c r="M414">
        <f>VLOOKUP(A414,NYSEARCAGLD!A$2:G$506,3,0)</f>
        <v>113.04</v>
      </c>
      <c r="N414">
        <f>VLOOKUP(A414,NYSEBP!A$2:G$506,3,0)</f>
        <v>37.65</v>
      </c>
      <c r="O414">
        <f>VLOOKUP(A414,NASDAQYHOO!A$2:G$506,3,0)</f>
        <v>41.66</v>
      </c>
    </row>
    <row r="415" spans="1:15">
      <c r="A415" s="39">
        <v>42745</v>
      </c>
      <c r="B415">
        <v>69.27</v>
      </c>
      <c r="C415">
        <f>VLOOKUP(A415,NYSEARCAVTI!A$2:G$506,3,0)</f>
        <v>117.36</v>
      </c>
      <c r="D415">
        <f>VLOOKUP(A415,NYSEARCAVEU!A$2:G$506,3,0)</f>
        <v>45.39</v>
      </c>
      <c r="E415">
        <f>VLOOKUP(A415,NYSEARCAVWO!A$2:G$506,3,0)</f>
        <v>37.04</v>
      </c>
      <c r="F415">
        <f>VLOOKUP(A415,NYSEARCABND!A$2:G$506,3,0)</f>
        <v>81.180000000000007</v>
      </c>
      <c r="G415">
        <f>VLOOKUP(A415,NYSEARCATIP!A$2:G$506,3,0)</f>
        <v>113.82</v>
      </c>
      <c r="H415">
        <f>VLOOKUP(A415,NYSEARCAMUB!A$2:G$506,3,0)</f>
        <v>108.65</v>
      </c>
      <c r="I415">
        <f>VLOOKUP(A415,NYSEARCAVNQ!A$2:G$506,3,0)</f>
        <v>83.57</v>
      </c>
      <c r="J415">
        <f>VLOOKUP(A415,NYSEARCARWX!A$2:G$506,3,0)</f>
        <v>37.04</v>
      </c>
      <c r="K415">
        <f>VLOOKUP(A415,NYSEARCADBC!A$2:G$506,3,0)</f>
        <v>15.7</v>
      </c>
      <c r="L415">
        <f>VLOOKUP(A415,NYSEARCAGSG!A$2:G$506,3,0)</f>
        <v>15.47</v>
      </c>
      <c r="M415">
        <f>VLOOKUP(A415,NYSEARCAGLD!A$2:G$506,3,0)</f>
        <v>113.45</v>
      </c>
      <c r="N415">
        <f>VLOOKUP(A415,NYSEBP!A$2:G$506,3,0)</f>
        <v>37.450000000000003</v>
      </c>
      <c r="O415">
        <f>VLOOKUP(A415,NASDAQYHOO!A$2:G$506,3,0)</f>
        <v>42.37</v>
      </c>
    </row>
    <row r="416" spans="1:15">
      <c r="A416" s="39">
        <v>42746</v>
      </c>
      <c r="B416">
        <v>68.62</v>
      </c>
      <c r="C416">
        <f>VLOOKUP(A416,NYSEARCAVTI!A$2:G$506,3,0)</f>
        <v>117.24</v>
      </c>
      <c r="D416">
        <f>VLOOKUP(A416,NYSEARCAVEU!A$2:G$506,3,0)</f>
        <v>45.6</v>
      </c>
      <c r="E416">
        <f>VLOOKUP(A416,NYSEARCAVWO!A$2:G$506,3,0)</f>
        <v>37.21</v>
      </c>
      <c r="F416">
        <f>VLOOKUP(A416,NYSEARCABND!A$2:G$506,3,0)</f>
        <v>81.430000000000007</v>
      </c>
      <c r="G416">
        <f>VLOOKUP(A416,NYSEARCATIP!A$2:G$506,3,0)</f>
        <v>114.5</v>
      </c>
      <c r="H416">
        <f>VLOOKUP(A416,NYSEARCAMUB!A$2:G$506,3,0)</f>
        <v>108.94</v>
      </c>
      <c r="I416">
        <f>VLOOKUP(A416,NYSEARCAVNQ!A$2:G$506,3,0)</f>
        <v>82.96</v>
      </c>
      <c r="J416">
        <f>VLOOKUP(A416,NYSEARCARWX!A$2:G$506,3,0)</f>
        <v>36.93</v>
      </c>
      <c r="K416">
        <f>VLOOKUP(A416,NYSEARCADBC!A$2:G$506,3,0)</f>
        <v>15.77</v>
      </c>
      <c r="L416">
        <f>VLOOKUP(A416,NYSEARCAGSG!A$2:G$506,3,0)</f>
        <v>15.5</v>
      </c>
      <c r="M416">
        <f>VLOOKUP(A416,NYSEARCAGLD!A$2:G$506,3,0)</f>
        <v>114.19</v>
      </c>
      <c r="N416">
        <f>VLOOKUP(A416,NYSEBP!A$2:G$506,3,0)</f>
        <v>37.659999999999997</v>
      </c>
      <c r="O416">
        <f>VLOOKUP(A416,NASDAQYHOO!A$2:G$506,3,0)</f>
        <v>42.59</v>
      </c>
    </row>
    <row r="417" spans="1:15">
      <c r="A417" s="39">
        <v>42747</v>
      </c>
      <c r="B417">
        <v>68.56</v>
      </c>
      <c r="C417">
        <f>VLOOKUP(A417,NYSEARCAVTI!A$2:G$506,3,0)</f>
        <v>117.04</v>
      </c>
      <c r="D417">
        <f>VLOOKUP(A417,NYSEARCAVEU!A$2:G$506,3,0)</f>
        <v>45.69</v>
      </c>
      <c r="E417">
        <f>VLOOKUP(A417,NYSEARCAVWO!A$2:G$506,3,0)</f>
        <v>37.31</v>
      </c>
      <c r="F417">
        <f>VLOOKUP(A417,NYSEARCABND!A$2:G$506,3,0)</f>
        <v>81.42</v>
      </c>
      <c r="G417">
        <f>VLOOKUP(A417,NYSEARCATIP!A$2:G$506,3,0)</f>
        <v>114.62</v>
      </c>
      <c r="H417">
        <f>VLOOKUP(A417,NYSEARCAMUB!A$2:G$506,3,0)</f>
        <v>109.32</v>
      </c>
      <c r="I417">
        <f>VLOOKUP(A417,NYSEARCAVNQ!A$2:G$506,3,0)</f>
        <v>82.77</v>
      </c>
      <c r="J417">
        <f>VLOOKUP(A417,NYSEARCARWX!A$2:G$506,3,0)</f>
        <v>36.770000000000003</v>
      </c>
      <c r="K417">
        <f>VLOOKUP(A417,NYSEARCADBC!A$2:G$506,3,0)</f>
        <v>15.99</v>
      </c>
      <c r="L417">
        <f>VLOOKUP(A417,NYSEARCAGSG!A$2:G$506,3,0)</f>
        <v>15.66</v>
      </c>
      <c r="M417">
        <f>VLOOKUP(A417,NYSEARCAGLD!A$2:G$506,3,0)</f>
        <v>114.93</v>
      </c>
      <c r="N417">
        <f>VLOOKUP(A417,NYSEBP!A$2:G$506,3,0)</f>
        <v>38</v>
      </c>
      <c r="O417">
        <f>VLOOKUP(A417,NASDAQYHOO!A$2:G$506,3,0)</f>
        <v>42.46</v>
      </c>
    </row>
    <row r="418" spans="1:15">
      <c r="A418" s="39">
        <v>42748</v>
      </c>
      <c r="B418">
        <v>68.02</v>
      </c>
      <c r="C418">
        <f>VLOOKUP(A418,NYSEARCAVTI!A$2:G$506,3,0)</f>
        <v>117.4</v>
      </c>
      <c r="D418">
        <f>VLOOKUP(A418,NYSEARCAVEU!A$2:G$506,3,0)</f>
        <v>45.77</v>
      </c>
      <c r="E418">
        <f>VLOOKUP(A418,NYSEARCAVWO!A$2:G$506,3,0)</f>
        <v>37.29</v>
      </c>
      <c r="F418">
        <f>VLOOKUP(A418,NYSEARCABND!A$2:G$506,3,0)</f>
        <v>81.150000000000006</v>
      </c>
      <c r="G418">
        <f>VLOOKUP(A418,NYSEARCATIP!A$2:G$506,3,0)</f>
        <v>114.11</v>
      </c>
      <c r="H418">
        <f>VLOOKUP(A418,NYSEARCAMUB!A$2:G$506,3,0)</f>
        <v>109.19</v>
      </c>
      <c r="I418">
        <f>VLOOKUP(A418,NYSEARCAVNQ!A$2:G$506,3,0)</f>
        <v>83.02</v>
      </c>
      <c r="J418">
        <f>VLOOKUP(A418,NYSEARCARWX!A$2:G$506,3,0)</f>
        <v>36.68</v>
      </c>
      <c r="K418">
        <f>VLOOKUP(A418,NYSEARCADBC!A$2:G$506,3,0)</f>
        <v>15.91</v>
      </c>
      <c r="L418">
        <f>VLOOKUP(A418,NYSEARCAGSG!A$2:G$506,3,0)</f>
        <v>15.63</v>
      </c>
      <c r="M418">
        <f>VLOOKUP(A418,NYSEARCAGLD!A$2:G$506,3,0)</f>
        <v>114.31</v>
      </c>
      <c r="N418">
        <f>VLOOKUP(A418,NYSEBP!A$2:G$506,3,0)</f>
        <v>37.86</v>
      </c>
      <c r="O418">
        <f>VLOOKUP(A418,NASDAQYHOO!A$2:G$506,3,0)</f>
        <v>42.46</v>
      </c>
    </row>
    <row r="419" spans="1:15">
      <c r="A419" s="39">
        <v>42752</v>
      </c>
      <c r="B419">
        <v>69.290000000000006</v>
      </c>
      <c r="C419">
        <f>VLOOKUP(A419,NYSEARCAVTI!A$2:G$506,3,0)</f>
        <v>117.06</v>
      </c>
      <c r="D419">
        <f>VLOOKUP(A419,NYSEARCAVEU!A$2:G$506,3,0)</f>
        <v>45.72</v>
      </c>
      <c r="E419">
        <f>VLOOKUP(A419,NYSEARCAVWO!A$2:G$506,3,0)</f>
        <v>37.26</v>
      </c>
      <c r="F419">
        <f>VLOOKUP(A419,NYSEARCABND!A$2:G$506,3,0)</f>
        <v>81.400000000000006</v>
      </c>
      <c r="G419">
        <f>VLOOKUP(A419,NYSEARCATIP!A$2:G$506,3,0)</f>
        <v>114.54</v>
      </c>
      <c r="H419">
        <f>VLOOKUP(A419,NYSEARCAMUB!A$2:G$506,3,0)</f>
        <v>109.39</v>
      </c>
      <c r="I419">
        <f>VLOOKUP(A419,NYSEARCAVNQ!A$2:G$506,3,0)</f>
        <v>83.32</v>
      </c>
      <c r="J419">
        <f>VLOOKUP(A419,NYSEARCARWX!A$2:G$506,3,0)</f>
        <v>36.71</v>
      </c>
      <c r="K419">
        <f>VLOOKUP(A419,NYSEARCADBC!A$2:G$506,3,0)</f>
        <v>16.079999999999998</v>
      </c>
      <c r="L419">
        <f>VLOOKUP(A419,NYSEARCAGSG!A$2:G$506,3,0)</f>
        <v>15.8</v>
      </c>
      <c r="M419">
        <f>VLOOKUP(A419,NYSEARCAGLD!A$2:G$506,3,0)</f>
        <v>115.96</v>
      </c>
      <c r="N419">
        <f>VLOOKUP(A419,NYSEBP!A$2:G$506,3,0)</f>
        <v>37.630000000000003</v>
      </c>
      <c r="O419">
        <f>VLOOKUP(A419,NASDAQYHOO!A$2:G$506,3,0)</f>
        <v>42.18</v>
      </c>
    </row>
    <row r="420" spans="1:15">
      <c r="A420" s="39">
        <v>42753</v>
      </c>
      <c r="B420">
        <v>68.11</v>
      </c>
      <c r="C420">
        <f>VLOOKUP(A420,NYSEARCAVTI!A$2:G$506,3,0)</f>
        <v>117</v>
      </c>
      <c r="D420">
        <f>VLOOKUP(A420,NYSEARCAVEU!A$2:G$506,3,0)</f>
        <v>45.64</v>
      </c>
      <c r="E420">
        <f>VLOOKUP(A420,NYSEARCAVWO!A$2:G$506,3,0)</f>
        <v>37.270000000000003</v>
      </c>
      <c r="F420">
        <f>VLOOKUP(A420,NYSEARCABND!A$2:G$506,3,0)</f>
        <v>81.209999999999994</v>
      </c>
      <c r="G420">
        <f>VLOOKUP(A420,NYSEARCATIP!A$2:G$506,3,0)</f>
        <v>114.29</v>
      </c>
      <c r="H420">
        <f>VLOOKUP(A420,NYSEARCAMUB!A$2:G$506,3,0)</f>
        <v>109.22</v>
      </c>
      <c r="I420">
        <f>VLOOKUP(A420,NYSEARCAVNQ!A$2:G$506,3,0)</f>
        <v>83.66</v>
      </c>
      <c r="J420">
        <f>VLOOKUP(A420,NYSEARCARWX!A$2:G$506,3,0)</f>
        <v>36.79</v>
      </c>
      <c r="K420">
        <f>VLOOKUP(A420,NYSEARCADBC!A$2:G$506,3,0)</f>
        <v>15.88</v>
      </c>
      <c r="L420">
        <f>VLOOKUP(A420,NYSEARCAGSG!A$2:G$506,3,0)</f>
        <v>15.56</v>
      </c>
      <c r="M420">
        <f>VLOOKUP(A420,NYSEARCAGLD!A$2:G$506,3,0)</f>
        <v>115.92</v>
      </c>
      <c r="N420">
        <f>VLOOKUP(A420,NYSEBP!A$2:G$506,3,0)</f>
        <v>37.39</v>
      </c>
      <c r="O420">
        <f>VLOOKUP(A420,NASDAQYHOO!A$2:G$506,3,0)</f>
        <v>42.15</v>
      </c>
    </row>
    <row r="421" spans="1:15">
      <c r="A421" s="39">
        <v>42754</v>
      </c>
      <c r="B421">
        <v>68.19</v>
      </c>
      <c r="C421">
        <f>VLOOKUP(A421,NYSEARCAVTI!A$2:G$506,3,0)</f>
        <v>117.14</v>
      </c>
      <c r="D421">
        <f>VLOOKUP(A421,NYSEARCAVEU!A$2:G$506,3,0)</f>
        <v>45.48</v>
      </c>
      <c r="E421">
        <f>VLOOKUP(A421,NYSEARCAVWO!A$2:G$506,3,0)</f>
        <v>37.049999999999997</v>
      </c>
      <c r="F421">
        <f>VLOOKUP(A421,NYSEARCABND!A$2:G$506,3,0)</f>
        <v>80.84</v>
      </c>
      <c r="G421">
        <f>VLOOKUP(A421,NYSEARCATIP!A$2:G$506,3,0)</f>
        <v>113.84</v>
      </c>
      <c r="H421">
        <f>VLOOKUP(A421,NYSEARCAMUB!A$2:G$506,3,0)</f>
        <v>108.95</v>
      </c>
      <c r="I421">
        <f>VLOOKUP(A421,NYSEARCAVNQ!A$2:G$506,3,0)</f>
        <v>83.25</v>
      </c>
      <c r="J421">
        <f>VLOOKUP(A421,NYSEARCARWX!A$2:G$506,3,0)</f>
        <v>36.39</v>
      </c>
      <c r="K421">
        <f>VLOOKUP(A421,NYSEARCADBC!A$2:G$506,3,0)</f>
        <v>15.8</v>
      </c>
      <c r="L421">
        <f>VLOOKUP(A421,NYSEARCAGSG!A$2:G$506,3,0)</f>
        <v>15.46</v>
      </c>
      <c r="M421">
        <f>VLOOKUP(A421,NYSEARCAGLD!A$2:G$506,3,0)</f>
        <v>114.96</v>
      </c>
      <c r="N421">
        <f>VLOOKUP(A421,NYSEBP!A$2:G$506,3,0)</f>
        <v>37.130000000000003</v>
      </c>
      <c r="O421">
        <f>VLOOKUP(A421,NASDAQYHOO!A$2:G$506,3,0)</f>
        <v>42.19</v>
      </c>
    </row>
    <row r="422" spans="1:15">
      <c r="A422" s="39">
        <v>42755</v>
      </c>
      <c r="B422">
        <v>67.83</v>
      </c>
      <c r="C422">
        <f>VLOOKUP(A422,NYSEARCAVTI!A$2:G$506,3,0)</f>
        <v>117.23</v>
      </c>
      <c r="D422">
        <f>VLOOKUP(A422,NYSEARCAVEU!A$2:G$506,3,0)</f>
        <v>45.6</v>
      </c>
      <c r="E422">
        <f>VLOOKUP(A422,NYSEARCAVWO!A$2:G$506,3,0)</f>
        <v>37.06</v>
      </c>
      <c r="F422">
        <f>VLOOKUP(A422,NYSEARCABND!A$2:G$506,3,0)</f>
        <v>80.849999999999994</v>
      </c>
      <c r="G422">
        <f>VLOOKUP(A422,NYSEARCATIP!A$2:G$506,3,0)</f>
        <v>113.86</v>
      </c>
      <c r="H422">
        <f>VLOOKUP(A422,NYSEARCAMUB!A$2:G$506,3,0)</f>
        <v>108.48</v>
      </c>
      <c r="I422">
        <f>VLOOKUP(A422,NYSEARCAVNQ!A$2:G$506,3,0)</f>
        <v>83.19</v>
      </c>
      <c r="J422">
        <f>VLOOKUP(A422,NYSEARCARWX!A$2:G$506,3,0)</f>
        <v>36.47</v>
      </c>
      <c r="K422">
        <f>VLOOKUP(A422,NYSEARCADBC!A$2:G$506,3,0)</f>
        <v>15.94</v>
      </c>
      <c r="L422">
        <f>VLOOKUP(A422,NYSEARCAGSG!A$2:G$506,3,0)</f>
        <v>15.63</v>
      </c>
      <c r="M422">
        <f>VLOOKUP(A422,NYSEARCAGLD!A$2:G$506,3,0)</f>
        <v>115.76</v>
      </c>
      <c r="N422">
        <f>VLOOKUP(A422,NYSEBP!A$2:G$506,3,0)</f>
        <v>37.119999999999997</v>
      </c>
      <c r="O422">
        <f>VLOOKUP(A422,NASDAQYHOO!A$2:G$506,3,0)</f>
        <v>42.54</v>
      </c>
    </row>
    <row r="423" spans="1:15">
      <c r="A423" s="39">
        <v>42758</v>
      </c>
      <c r="B423">
        <v>67.180000000000007</v>
      </c>
      <c r="C423">
        <f>VLOOKUP(A423,NYSEARCAVTI!A$2:G$506,3,0)</f>
        <v>116.97</v>
      </c>
      <c r="D423">
        <f>VLOOKUP(A423,NYSEARCAVEU!A$2:G$506,3,0)</f>
        <v>45.78</v>
      </c>
      <c r="E423">
        <f>VLOOKUP(A423,NYSEARCAVWO!A$2:G$506,3,0)</f>
        <v>37.58</v>
      </c>
      <c r="F423">
        <f>VLOOKUP(A423,NYSEARCABND!A$2:G$506,3,0)</f>
        <v>81.19</v>
      </c>
      <c r="G423">
        <f>VLOOKUP(A423,NYSEARCATIP!A$2:G$506,3,0)</f>
        <v>114.28</v>
      </c>
      <c r="H423">
        <f>VLOOKUP(A423,NYSEARCAMUB!A$2:G$506,3,0)</f>
        <v>108.62</v>
      </c>
      <c r="I423">
        <f>VLOOKUP(A423,NYSEARCAVNQ!A$2:G$506,3,0)</f>
        <v>83.97</v>
      </c>
      <c r="J423">
        <f>VLOOKUP(A423,NYSEARCARWX!A$2:G$506,3,0)</f>
        <v>36.81</v>
      </c>
      <c r="K423">
        <f>VLOOKUP(A423,NYSEARCADBC!A$2:G$506,3,0)</f>
        <v>15.91</v>
      </c>
      <c r="L423">
        <f>VLOOKUP(A423,NYSEARCAGSG!A$2:G$506,3,0)</f>
        <v>15.58</v>
      </c>
      <c r="M423">
        <f>VLOOKUP(A423,NYSEARCAGLD!A$2:G$506,3,0)</f>
        <v>116.17</v>
      </c>
      <c r="N423">
        <f>VLOOKUP(A423,NYSEBP!A$2:G$506,3,0)</f>
        <v>36.75</v>
      </c>
      <c r="O423">
        <f>VLOOKUP(A423,NASDAQYHOO!A$2:G$506,3,0)</f>
        <v>42.45</v>
      </c>
    </row>
    <row r="424" spans="1:15">
      <c r="A424" s="39">
        <v>42759</v>
      </c>
      <c r="B424">
        <v>67.41</v>
      </c>
      <c r="C424">
        <f>VLOOKUP(A424,NYSEARCAVTI!A$2:G$506,3,0)</f>
        <v>117.74</v>
      </c>
      <c r="D424">
        <f>VLOOKUP(A424,NYSEARCAVEU!A$2:G$506,3,0)</f>
        <v>46.01</v>
      </c>
      <c r="E424">
        <f>VLOOKUP(A424,NYSEARCAVWO!A$2:G$506,3,0)</f>
        <v>37.93</v>
      </c>
      <c r="F424">
        <f>VLOOKUP(A424,NYSEARCABND!A$2:G$506,3,0)</f>
        <v>81.05</v>
      </c>
      <c r="G424">
        <f>VLOOKUP(A424,NYSEARCATIP!A$2:G$506,3,0)</f>
        <v>114.17</v>
      </c>
      <c r="H424">
        <f>VLOOKUP(A424,NYSEARCAMUB!A$2:G$506,3,0)</f>
        <v>108.52</v>
      </c>
      <c r="I424">
        <f>VLOOKUP(A424,NYSEARCAVNQ!A$2:G$506,3,0)</f>
        <v>84.21</v>
      </c>
      <c r="J424">
        <f>VLOOKUP(A424,NYSEARCARWX!A$2:G$506,3,0)</f>
        <v>36.82</v>
      </c>
      <c r="K424">
        <f>VLOOKUP(A424,NYSEARCADBC!A$2:G$506,3,0)</f>
        <v>15.98</v>
      </c>
      <c r="L424">
        <f>VLOOKUP(A424,NYSEARCAGSG!A$2:G$506,3,0)</f>
        <v>15.65</v>
      </c>
      <c r="M424">
        <f>VLOOKUP(A424,NYSEARCAGLD!A$2:G$506,3,0)</f>
        <v>116.02</v>
      </c>
      <c r="N424">
        <f>VLOOKUP(A424,NYSEBP!A$2:G$506,3,0)</f>
        <v>36.99</v>
      </c>
      <c r="O424">
        <f>VLOOKUP(A424,NASDAQYHOO!A$2:G$506,3,0)</f>
        <v>44.22</v>
      </c>
    </row>
    <row r="425" spans="1:15">
      <c r="A425" s="39">
        <v>42760</v>
      </c>
      <c r="B425">
        <v>67.73</v>
      </c>
      <c r="C425">
        <f>VLOOKUP(A425,NYSEARCAVTI!A$2:G$506,3,0)</f>
        <v>118.56</v>
      </c>
      <c r="D425">
        <f>VLOOKUP(A425,NYSEARCAVEU!A$2:G$506,3,0)</f>
        <v>46.41</v>
      </c>
      <c r="E425">
        <f>VLOOKUP(A425,NYSEARCAVWO!A$2:G$506,3,0)</f>
        <v>38.15</v>
      </c>
      <c r="F425">
        <f>VLOOKUP(A425,NYSEARCABND!A$2:G$506,3,0)</f>
        <v>80.790000000000006</v>
      </c>
      <c r="G425">
        <f>VLOOKUP(A425,NYSEARCATIP!A$2:G$506,3,0)</f>
        <v>113.7</v>
      </c>
      <c r="H425">
        <f>VLOOKUP(A425,NYSEARCAMUB!A$2:G$506,3,0)</f>
        <v>108.38</v>
      </c>
      <c r="I425">
        <f>VLOOKUP(A425,NYSEARCAVNQ!A$2:G$506,3,0)</f>
        <v>84.16</v>
      </c>
      <c r="J425">
        <f>VLOOKUP(A425,NYSEARCARWX!A$2:G$506,3,0)</f>
        <v>36.83</v>
      </c>
      <c r="K425">
        <f>VLOOKUP(A425,NYSEARCADBC!A$2:G$506,3,0)</f>
        <v>15.88</v>
      </c>
      <c r="L425">
        <f>VLOOKUP(A425,NYSEARCAGSG!A$2:G$506,3,0)</f>
        <v>15.61</v>
      </c>
      <c r="M425">
        <f>VLOOKUP(A425,NYSEARCAGLD!A$2:G$506,3,0)</f>
        <v>114.44</v>
      </c>
      <c r="N425">
        <f>VLOOKUP(A425,NYSEBP!A$2:G$506,3,0)</f>
        <v>37.130000000000003</v>
      </c>
      <c r="O425">
        <f>VLOOKUP(A425,NASDAQYHOO!A$2:G$506,3,0)</f>
        <v>45</v>
      </c>
    </row>
    <row r="426" spans="1:15">
      <c r="A426" s="39">
        <v>42761</v>
      </c>
      <c r="B426">
        <v>67.22</v>
      </c>
      <c r="C426">
        <f>VLOOKUP(A426,NYSEARCAVTI!A$2:G$506,3,0)</f>
        <v>118.62</v>
      </c>
      <c r="D426">
        <f>VLOOKUP(A426,NYSEARCAVEU!A$2:G$506,3,0)</f>
        <v>46.37</v>
      </c>
      <c r="E426">
        <f>VLOOKUP(A426,NYSEARCAVWO!A$2:G$506,3,0)</f>
        <v>38.119999999999997</v>
      </c>
      <c r="F426">
        <f>VLOOKUP(A426,NYSEARCABND!A$2:G$506,3,0)</f>
        <v>80.73</v>
      </c>
      <c r="G426">
        <f>VLOOKUP(A426,NYSEARCATIP!A$2:G$506,3,0)</f>
        <v>113.81</v>
      </c>
      <c r="H426">
        <f>VLOOKUP(A426,NYSEARCAMUB!A$2:G$506,3,0)</f>
        <v>108.33</v>
      </c>
      <c r="I426">
        <f>VLOOKUP(A426,NYSEARCAVNQ!A$2:G$506,3,0)</f>
        <v>83.72</v>
      </c>
      <c r="J426">
        <f>VLOOKUP(A426,NYSEARCARWX!A$2:G$506,3,0)</f>
        <v>36.770000000000003</v>
      </c>
      <c r="K426">
        <f>VLOOKUP(A426,NYSEARCADBC!A$2:G$506,3,0)</f>
        <v>15.96</v>
      </c>
      <c r="L426">
        <f>VLOOKUP(A426,NYSEARCAGSG!A$2:G$506,3,0)</f>
        <v>15.69</v>
      </c>
      <c r="M426">
        <f>VLOOKUP(A426,NYSEARCAGLD!A$2:G$506,3,0)</f>
        <v>113.5</v>
      </c>
      <c r="N426">
        <f>VLOOKUP(A426,NYSEBP!A$2:G$506,3,0)</f>
        <v>37.049999999999997</v>
      </c>
      <c r="O426">
        <f>VLOOKUP(A426,NASDAQYHOO!A$2:G$506,3,0)</f>
        <v>45.08</v>
      </c>
    </row>
    <row r="427" spans="1:15">
      <c r="A427" s="39">
        <v>42762</v>
      </c>
      <c r="B427">
        <v>66.97</v>
      </c>
      <c r="C427">
        <f>VLOOKUP(A427,NYSEARCAVTI!A$2:G$506,3,0)</f>
        <v>118.48</v>
      </c>
      <c r="D427">
        <f>VLOOKUP(A427,NYSEARCAVEU!A$2:G$506,3,0)</f>
        <v>46.25</v>
      </c>
      <c r="E427">
        <f>VLOOKUP(A427,NYSEARCAVWO!A$2:G$506,3,0)</f>
        <v>38.090000000000003</v>
      </c>
      <c r="F427">
        <f>VLOOKUP(A427,NYSEARCABND!A$2:G$506,3,0)</f>
        <v>80.84</v>
      </c>
      <c r="G427">
        <f>VLOOKUP(A427,NYSEARCATIP!A$2:G$506,3,0)</f>
        <v>114.05</v>
      </c>
      <c r="H427">
        <f>VLOOKUP(A427,NYSEARCAMUB!A$2:G$506,3,0)</f>
        <v>108.38</v>
      </c>
      <c r="I427">
        <f>VLOOKUP(A427,NYSEARCAVNQ!A$2:G$506,3,0)</f>
        <v>83.5</v>
      </c>
      <c r="J427">
        <f>VLOOKUP(A427,NYSEARCARWX!A$2:G$506,3,0)</f>
        <v>36.69</v>
      </c>
      <c r="K427">
        <f>VLOOKUP(A427,NYSEARCADBC!A$2:G$506,3,0)</f>
        <v>15.9</v>
      </c>
      <c r="L427">
        <f>VLOOKUP(A427,NYSEARCAGSG!A$2:G$506,3,0)</f>
        <v>15.5</v>
      </c>
      <c r="M427">
        <f>VLOOKUP(A427,NYSEARCAGLD!A$2:G$506,3,0)</f>
        <v>113.54</v>
      </c>
      <c r="N427">
        <f>VLOOKUP(A427,NYSEBP!A$2:G$506,3,0)</f>
        <v>36.65</v>
      </c>
      <c r="O427">
        <f>VLOOKUP(A427,NASDAQYHOO!A$2:G$506,3,0)</f>
        <v>44.71</v>
      </c>
    </row>
    <row r="428" spans="1:15">
      <c r="A428" s="39">
        <v>42765</v>
      </c>
      <c r="B428">
        <v>66.48</v>
      </c>
      <c r="C428">
        <f>VLOOKUP(A428,NYSEARCAVTI!A$2:G$506,3,0)</f>
        <v>117.8</v>
      </c>
      <c r="D428">
        <f>VLOOKUP(A428,NYSEARCAVEU!A$2:G$506,3,0)</f>
        <v>45.89</v>
      </c>
      <c r="E428">
        <f>VLOOKUP(A428,NYSEARCAVWO!A$2:G$506,3,0)</f>
        <v>37.86</v>
      </c>
      <c r="F428">
        <f>VLOOKUP(A428,NYSEARCABND!A$2:G$506,3,0)</f>
        <v>80.88</v>
      </c>
      <c r="G428">
        <f>VLOOKUP(A428,NYSEARCATIP!A$2:G$506,3,0)</f>
        <v>114.12</v>
      </c>
      <c r="H428">
        <f>VLOOKUP(A428,NYSEARCAMUB!A$2:G$506,3,0)</f>
        <v>108.46</v>
      </c>
      <c r="I428">
        <f>VLOOKUP(A428,NYSEARCAVNQ!A$2:G$506,3,0)</f>
        <v>82.27</v>
      </c>
      <c r="J428">
        <f>VLOOKUP(A428,NYSEARCARWX!A$2:G$506,3,0)</f>
        <v>36.58</v>
      </c>
      <c r="K428">
        <f>VLOOKUP(A428,NYSEARCADBC!A$2:G$506,3,0)</f>
        <v>15.69</v>
      </c>
      <c r="L428">
        <f>VLOOKUP(A428,NYSEARCAGSG!A$2:G$506,3,0)</f>
        <v>15.37</v>
      </c>
      <c r="M428">
        <f>VLOOKUP(A428,NYSEARCAGLD!A$2:G$506,3,0)</f>
        <v>114.3</v>
      </c>
      <c r="N428">
        <f>VLOOKUP(A428,NYSEBP!A$2:G$506,3,0)</f>
        <v>36.130000000000003</v>
      </c>
      <c r="O428">
        <f>VLOOKUP(A428,NASDAQYHOO!A$2:G$506,3,0)</f>
        <v>44.22</v>
      </c>
    </row>
    <row r="429" spans="1:15">
      <c r="A429" s="39">
        <v>42766</v>
      </c>
      <c r="B429">
        <v>66.89</v>
      </c>
      <c r="C429">
        <f>VLOOKUP(A429,NYSEARCAVTI!A$2:G$506,3,0)</f>
        <v>117.46</v>
      </c>
      <c r="D429">
        <f>VLOOKUP(A429,NYSEARCAVEU!A$2:G$506,3,0)</f>
        <v>46.03</v>
      </c>
      <c r="E429">
        <f>VLOOKUP(A429,NYSEARCAVWO!A$2:G$506,3,0)</f>
        <v>37.93</v>
      </c>
      <c r="F429">
        <f>VLOOKUP(A429,NYSEARCABND!A$2:G$506,3,0)</f>
        <v>81.02</v>
      </c>
      <c r="G429">
        <f>VLOOKUP(A429,NYSEARCATIP!A$2:G$506,3,0)</f>
        <v>114.25</v>
      </c>
      <c r="H429">
        <f>VLOOKUP(A429,NYSEARCAMUB!A$2:G$506,3,0)</f>
        <v>108.54</v>
      </c>
      <c r="I429">
        <f>VLOOKUP(A429,NYSEARCAVNQ!A$2:G$506,3,0)</f>
        <v>82.95</v>
      </c>
      <c r="J429">
        <f>VLOOKUP(A429,NYSEARCARWX!A$2:G$506,3,0)</f>
        <v>36.92</v>
      </c>
      <c r="K429">
        <f>VLOOKUP(A429,NYSEARCADBC!A$2:G$506,3,0)</f>
        <v>15.84</v>
      </c>
      <c r="L429">
        <f>VLOOKUP(A429,NYSEARCAGSG!A$2:G$506,3,0)</f>
        <v>15.54</v>
      </c>
      <c r="M429">
        <f>VLOOKUP(A429,NYSEARCAGLD!A$2:G$506,3,0)</f>
        <v>115.82</v>
      </c>
      <c r="N429">
        <f>VLOOKUP(A429,NYSEBP!A$2:G$506,3,0)</f>
        <v>36.15</v>
      </c>
      <c r="O429">
        <f>VLOOKUP(A429,NASDAQYHOO!A$2:G$506,3,0)</f>
        <v>44.15</v>
      </c>
    </row>
    <row r="430" spans="1:15">
      <c r="A430" s="39">
        <v>42767</v>
      </c>
      <c r="B430">
        <v>66.709999999999994</v>
      </c>
      <c r="C430">
        <f>VLOOKUP(A430,NYSEARCAVTI!A$2:G$506,3,0)</f>
        <v>118.04</v>
      </c>
      <c r="D430">
        <f>VLOOKUP(A430,NYSEARCAVEU!A$2:G$506,3,0)</f>
        <v>46.26</v>
      </c>
      <c r="E430">
        <f>VLOOKUP(A430,NYSEARCAVWO!A$2:G$506,3,0)</f>
        <v>38.1</v>
      </c>
      <c r="F430">
        <f>VLOOKUP(A430,NYSEARCABND!A$2:G$506,3,0)</f>
        <v>80.739999999999995</v>
      </c>
      <c r="G430">
        <f>VLOOKUP(A430,NYSEARCATIP!A$2:G$506,3,0)</f>
        <v>114.17</v>
      </c>
      <c r="H430">
        <f>VLOOKUP(A430,NYSEARCAMUB!A$2:G$506,3,0)</f>
        <v>108.17</v>
      </c>
      <c r="I430">
        <f>VLOOKUP(A430,NYSEARCAVNQ!A$2:G$506,3,0)</f>
        <v>82.89</v>
      </c>
      <c r="J430">
        <f>VLOOKUP(A430,NYSEARCARWX!A$2:G$506,3,0)</f>
        <v>37.06</v>
      </c>
      <c r="K430">
        <f>VLOOKUP(A430,NYSEARCADBC!A$2:G$506,3,0)</f>
        <v>15.95</v>
      </c>
      <c r="L430">
        <f>VLOOKUP(A430,NYSEARCAGSG!A$2:G$506,3,0)</f>
        <v>15.67</v>
      </c>
      <c r="M430">
        <f>VLOOKUP(A430,NYSEARCAGLD!A$2:G$506,3,0)</f>
        <v>115.45</v>
      </c>
      <c r="N430">
        <f>VLOOKUP(A430,NYSEBP!A$2:G$506,3,0)</f>
        <v>36.200000000000003</v>
      </c>
      <c r="O430">
        <f>VLOOKUP(A430,NASDAQYHOO!A$2:G$506,3,0)</f>
        <v>44.26</v>
      </c>
    </row>
    <row r="431" spans="1:15">
      <c r="A431" s="39">
        <v>42768</v>
      </c>
      <c r="B431">
        <v>67.14</v>
      </c>
      <c r="C431">
        <f>VLOOKUP(A431,NYSEARCAVTI!A$2:G$506,3,0)</f>
        <v>117.72</v>
      </c>
      <c r="D431">
        <f>VLOOKUP(A431,NYSEARCAVEU!A$2:G$506,3,0)</f>
        <v>46.26</v>
      </c>
      <c r="E431">
        <f>VLOOKUP(A431,NYSEARCAVWO!A$2:G$506,3,0)</f>
        <v>38.1</v>
      </c>
      <c r="F431">
        <f>VLOOKUP(A431,NYSEARCABND!A$2:G$506,3,0)</f>
        <v>80.849999999999994</v>
      </c>
      <c r="G431">
        <f>VLOOKUP(A431,NYSEARCATIP!A$2:G$506,3,0)</f>
        <v>114.28</v>
      </c>
      <c r="H431">
        <f>VLOOKUP(A431,NYSEARCAMUB!A$2:G$506,3,0)</f>
        <v>108.37</v>
      </c>
      <c r="I431">
        <f>VLOOKUP(A431,NYSEARCAVNQ!A$2:G$506,3,0)</f>
        <v>82.43</v>
      </c>
      <c r="J431">
        <f>VLOOKUP(A431,NYSEARCARWX!A$2:G$506,3,0)</f>
        <v>36.979999999999997</v>
      </c>
      <c r="K431">
        <f>VLOOKUP(A431,NYSEARCADBC!A$2:G$506,3,0)</f>
        <v>15.98</v>
      </c>
      <c r="L431">
        <f>VLOOKUP(A431,NYSEARCAGSG!A$2:G$506,3,0)</f>
        <v>15.69</v>
      </c>
      <c r="M431">
        <f>VLOOKUP(A431,NYSEARCAGLD!A$2:G$506,3,0)</f>
        <v>116.57</v>
      </c>
      <c r="N431">
        <f>VLOOKUP(A431,NYSEBP!A$2:G$506,3,0)</f>
        <v>35.979999999999997</v>
      </c>
      <c r="O431">
        <f>VLOOKUP(A431,NASDAQYHOO!A$2:G$506,3,0)</f>
        <v>44</v>
      </c>
    </row>
    <row r="432" spans="1:15">
      <c r="A432" s="39">
        <v>42769</v>
      </c>
      <c r="B432">
        <v>66.930000000000007</v>
      </c>
      <c r="C432">
        <f>VLOOKUP(A432,NYSEARCAVTI!A$2:G$506,3,0)</f>
        <v>118.52</v>
      </c>
      <c r="D432">
        <f>VLOOKUP(A432,NYSEARCAVEU!A$2:G$506,3,0)</f>
        <v>46.46</v>
      </c>
      <c r="E432">
        <f>VLOOKUP(A432,NYSEARCAVWO!A$2:G$506,3,0)</f>
        <v>38.36</v>
      </c>
      <c r="F432">
        <f>VLOOKUP(A432,NYSEARCABND!A$2:G$506,3,0)</f>
        <v>80.94</v>
      </c>
      <c r="G432">
        <f>VLOOKUP(A432,NYSEARCATIP!A$2:G$506,3,0)</f>
        <v>114.35</v>
      </c>
      <c r="H432">
        <f>VLOOKUP(A432,NYSEARCAMUB!A$2:G$506,3,0)</f>
        <v>108.47</v>
      </c>
      <c r="I432">
        <f>VLOOKUP(A432,NYSEARCAVNQ!A$2:G$506,3,0)</f>
        <v>83.23</v>
      </c>
      <c r="J432">
        <f>VLOOKUP(A432,NYSEARCARWX!A$2:G$506,3,0)</f>
        <v>37.159999999999997</v>
      </c>
      <c r="K432">
        <f>VLOOKUP(A432,NYSEARCADBC!A$2:G$506,3,0)</f>
        <v>15.95</v>
      </c>
      <c r="L432">
        <f>VLOOKUP(A432,NYSEARCAGSG!A$2:G$506,3,0)</f>
        <v>15.67</v>
      </c>
      <c r="M432">
        <f>VLOOKUP(A432,NYSEARCAGLD!A$2:G$506,3,0)</f>
        <v>116.36</v>
      </c>
      <c r="N432">
        <f>VLOOKUP(A432,NYSEBP!A$2:G$506,3,0)</f>
        <v>36.17</v>
      </c>
      <c r="O432">
        <f>VLOOKUP(A432,NASDAQYHOO!A$2:G$506,3,0)</f>
        <v>43.99</v>
      </c>
    </row>
    <row r="433" spans="1:15">
      <c r="A433" s="39">
        <v>42772</v>
      </c>
      <c r="B433">
        <v>66.86</v>
      </c>
      <c r="C433">
        <f>VLOOKUP(A433,NYSEARCAVTI!A$2:G$506,3,0)</f>
        <v>118.41</v>
      </c>
      <c r="D433">
        <f>VLOOKUP(A433,NYSEARCAVEU!A$2:G$506,3,0)</f>
        <v>46.13</v>
      </c>
      <c r="E433">
        <f>VLOOKUP(A433,NYSEARCAVWO!A$2:G$506,3,0)</f>
        <v>38.32</v>
      </c>
      <c r="F433">
        <f>VLOOKUP(A433,NYSEARCABND!A$2:G$506,3,0)</f>
        <v>81.010000000000005</v>
      </c>
      <c r="G433">
        <f>VLOOKUP(A433,NYSEARCATIP!A$2:G$506,3,0)</f>
        <v>114.17</v>
      </c>
      <c r="H433">
        <f>VLOOKUP(A433,NYSEARCAMUB!A$2:G$506,3,0)</f>
        <v>108.5</v>
      </c>
      <c r="I433">
        <f>VLOOKUP(A433,NYSEARCAVNQ!A$2:G$506,3,0)</f>
        <v>83.06</v>
      </c>
      <c r="J433">
        <f>VLOOKUP(A433,NYSEARCARWX!A$2:G$506,3,0)</f>
        <v>37.020000000000003</v>
      </c>
      <c r="K433">
        <f>VLOOKUP(A433,NYSEARCADBC!A$2:G$506,3,0)</f>
        <v>15.94</v>
      </c>
      <c r="L433">
        <f>VLOOKUP(A433,NYSEARCAGSG!A$2:G$506,3,0)</f>
        <v>15.63</v>
      </c>
      <c r="M433">
        <f>VLOOKUP(A433,NYSEARCAGLD!A$2:G$506,3,0)</f>
        <v>117.74</v>
      </c>
      <c r="N433">
        <f>VLOOKUP(A433,NYSEBP!A$2:G$506,3,0)</f>
        <v>35.92</v>
      </c>
      <c r="O433">
        <f>VLOOKUP(A433,NASDAQYHOO!A$2:G$506,3,0)</f>
        <v>44.53</v>
      </c>
    </row>
    <row r="434" spans="1:15">
      <c r="A434" s="39">
        <v>42773</v>
      </c>
      <c r="B434">
        <v>67</v>
      </c>
      <c r="C434">
        <f>VLOOKUP(A434,NYSEARCAVTI!A$2:G$506,3,0)</f>
        <v>118.53</v>
      </c>
      <c r="D434">
        <f>VLOOKUP(A434,NYSEARCAVEU!A$2:G$506,3,0)</f>
        <v>46.07</v>
      </c>
      <c r="E434">
        <f>VLOOKUP(A434,NYSEARCAVWO!A$2:G$506,3,0)</f>
        <v>38.22</v>
      </c>
      <c r="F434">
        <f>VLOOKUP(A434,NYSEARCABND!A$2:G$506,3,0)</f>
        <v>81.150000000000006</v>
      </c>
      <c r="G434">
        <f>VLOOKUP(A434,NYSEARCATIP!A$2:G$506,3,0)</f>
        <v>114.24</v>
      </c>
      <c r="H434">
        <f>VLOOKUP(A434,NYSEARCAMUB!A$2:G$506,3,0)</f>
        <v>108.53</v>
      </c>
      <c r="I434">
        <f>VLOOKUP(A434,NYSEARCAVNQ!A$2:G$506,3,0)</f>
        <v>83.03</v>
      </c>
      <c r="J434">
        <f>VLOOKUP(A434,NYSEARCARWX!A$2:G$506,3,0)</f>
        <v>37.17</v>
      </c>
      <c r="K434">
        <f>VLOOKUP(A434,NYSEARCADBC!A$2:G$506,3,0)</f>
        <v>15.75</v>
      </c>
      <c r="L434">
        <f>VLOOKUP(A434,NYSEARCAGSG!A$2:G$506,3,0)</f>
        <v>15.41</v>
      </c>
      <c r="M434">
        <f>VLOOKUP(A434,NYSEARCAGLD!A$2:G$506,3,0)</f>
        <v>117.74</v>
      </c>
      <c r="N434">
        <f>VLOOKUP(A434,NYSEBP!A$2:G$506,3,0)</f>
        <v>34.89</v>
      </c>
      <c r="O434">
        <f>VLOOKUP(A434,NASDAQYHOO!A$2:G$506,3,0)</f>
        <v>44.59</v>
      </c>
    </row>
    <row r="435" spans="1:15">
      <c r="A435" s="39">
        <v>42774</v>
      </c>
      <c r="B435">
        <v>67.819999999999993</v>
      </c>
      <c r="C435">
        <f>VLOOKUP(A435,NYSEARCAVTI!A$2:G$506,3,0)</f>
        <v>118.32</v>
      </c>
      <c r="D435">
        <f>VLOOKUP(A435,NYSEARCAVEU!A$2:G$506,3,0)</f>
        <v>46.2</v>
      </c>
      <c r="E435">
        <f>VLOOKUP(A435,NYSEARCAVWO!A$2:G$506,3,0)</f>
        <v>38.4</v>
      </c>
      <c r="F435">
        <f>VLOOKUP(A435,NYSEARCABND!A$2:G$506,3,0)</f>
        <v>81.349999999999994</v>
      </c>
      <c r="G435">
        <f>VLOOKUP(A435,NYSEARCATIP!A$2:G$506,3,0)</f>
        <v>114.48</v>
      </c>
      <c r="H435">
        <f>VLOOKUP(A435,NYSEARCAMUB!A$2:G$506,3,0)</f>
        <v>108.75</v>
      </c>
      <c r="I435">
        <f>VLOOKUP(A435,NYSEARCAVNQ!A$2:G$506,3,0)</f>
        <v>83.2</v>
      </c>
      <c r="J435">
        <f>VLOOKUP(A435,NYSEARCARWX!A$2:G$506,3,0)</f>
        <v>37.380000000000003</v>
      </c>
      <c r="K435">
        <f>VLOOKUP(A435,NYSEARCADBC!A$2:G$506,3,0)</f>
        <v>15.84</v>
      </c>
      <c r="L435">
        <f>VLOOKUP(A435,NYSEARCAGSG!A$2:G$506,3,0)</f>
        <v>15.47</v>
      </c>
      <c r="M435">
        <f>VLOOKUP(A435,NYSEARCAGLD!A$2:G$506,3,0)</f>
        <v>118.59</v>
      </c>
      <c r="N435">
        <f>VLOOKUP(A435,NYSEBP!A$2:G$506,3,0)</f>
        <v>34.46</v>
      </c>
      <c r="O435">
        <f>VLOOKUP(A435,NASDAQYHOO!A$2:G$506,3,0)</f>
        <v>45.19</v>
      </c>
    </row>
    <row r="436" spans="1:15">
      <c r="A436" s="39">
        <v>42775</v>
      </c>
      <c r="B436">
        <v>69.14</v>
      </c>
      <c r="C436">
        <f>VLOOKUP(A436,NYSEARCAVTI!A$2:G$506,3,0)</f>
        <v>119.21</v>
      </c>
      <c r="D436">
        <f>VLOOKUP(A436,NYSEARCAVEU!A$2:G$506,3,0)</f>
        <v>46.39</v>
      </c>
      <c r="E436">
        <f>VLOOKUP(A436,NYSEARCAVWO!A$2:G$506,3,0)</f>
        <v>38.619999999999997</v>
      </c>
      <c r="F436">
        <f>VLOOKUP(A436,NYSEARCABND!A$2:G$506,3,0)</f>
        <v>81.22</v>
      </c>
      <c r="G436">
        <f>VLOOKUP(A436,NYSEARCATIP!A$2:G$506,3,0)</f>
        <v>114.3</v>
      </c>
      <c r="H436">
        <f>VLOOKUP(A436,NYSEARCAMUB!A$2:G$506,3,0)</f>
        <v>108.62</v>
      </c>
      <c r="I436">
        <f>VLOOKUP(A436,NYSEARCAVNQ!A$2:G$506,3,0)</f>
        <v>83.38</v>
      </c>
      <c r="J436">
        <f>VLOOKUP(A436,NYSEARCARWX!A$2:G$506,3,0)</f>
        <v>37.58</v>
      </c>
      <c r="K436">
        <f>VLOOKUP(A436,NYSEARCADBC!A$2:G$506,3,0)</f>
        <v>15.91</v>
      </c>
      <c r="L436">
        <f>VLOOKUP(A436,NYSEARCAGSG!A$2:G$506,3,0)</f>
        <v>15.56</v>
      </c>
      <c r="M436">
        <f>VLOOKUP(A436,NYSEARCAGLD!A$2:G$506,3,0)</f>
        <v>118.58</v>
      </c>
      <c r="N436">
        <f>VLOOKUP(A436,NYSEBP!A$2:G$506,3,0)</f>
        <v>34.909999999999997</v>
      </c>
      <c r="O436">
        <f>VLOOKUP(A436,NASDAQYHOO!A$2:G$506,3,0)</f>
        <v>45.24</v>
      </c>
    </row>
    <row r="437" spans="1:15">
      <c r="A437" s="39">
        <v>42776</v>
      </c>
      <c r="B437">
        <v>68.599999999999994</v>
      </c>
      <c r="C437">
        <f>VLOOKUP(A437,NYSEARCAVTI!A$2:G$506,3,0)</f>
        <v>119.7</v>
      </c>
      <c r="D437">
        <f>VLOOKUP(A437,NYSEARCAVEU!A$2:G$506,3,0)</f>
        <v>46.58</v>
      </c>
      <c r="E437">
        <f>VLOOKUP(A437,NYSEARCAVWO!A$2:G$506,3,0)</f>
        <v>38.92</v>
      </c>
      <c r="F437">
        <f>VLOOKUP(A437,NYSEARCABND!A$2:G$506,3,0)</f>
        <v>81.09</v>
      </c>
      <c r="G437">
        <f>VLOOKUP(A437,NYSEARCATIP!A$2:G$506,3,0)</f>
        <v>114.29</v>
      </c>
      <c r="H437">
        <f>VLOOKUP(A437,NYSEARCAMUB!A$2:G$506,3,0)</f>
        <v>108.48</v>
      </c>
      <c r="I437">
        <f>VLOOKUP(A437,NYSEARCAVNQ!A$2:G$506,3,0)</f>
        <v>83.86</v>
      </c>
      <c r="J437">
        <f>VLOOKUP(A437,NYSEARCARWX!A$2:G$506,3,0)</f>
        <v>37.54</v>
      </c>
      <c r="K437">
        <f>VLOOKUP(A437,NYSEARCADBC!A$2:G$506,3,0)</f>
        <v>16.07</v>
      </c>
      <c r="L437">
        <f>VLOOKUP(A437,NYSEARCAGSG!A$2:G$506,3,0)</f>
        <v>15.73</v>
      </c>
      <c r="M437">
        <f>VLOOKUP(A437,NYSEARCAGLD!A$2:G$506,3,0)</f>
        <v>117.86</v>
      </c>
      <c r="N437">
        <f>VLOOKUP(A437,NYSEBP!A$2:G$506,3,0)</f>
        <v>34.71</v>
      </c>
      <c r="O437">
        <f>VLOOKUP(A437,NASDAQYHOO!A$2:G$506,3,0)</f>
        <v>45.23</v>
      </c>
    </row>
    <row r="438" spans="1:15">
      <c r="A438" s="39">
        <v>42779</v>
      </c>
      <c r="B438">
        <v>68.650000000000006</v>
      </c>
      <c r="C438">
        <f>VLOOKUP(A438,NYSEARCAVTI!A$2:G$506,3,0)</f>
        <v>120.33</v>
      </c>
      <c r="D438">
        <f>VLOOKUP(A438,NYSEARCAVEU!A$2:G$506,3,0)</f>
        <v>46.82</v>
      </c>
      <c r="E438">
        <f>VLOOKUP(A438,NYSEARCAVWO!A$2:G$506,3,0)</f>
        <v>39.130000000000003</v>
      </c>
      <c r="F438">
        <f>VLOOKUP(A438,NYSEARCABND!A$2:G$506,3,0)</f>
        <v>81.010000000000005</v>
      </c>
      <c r="G438">
        <f>VLOOKUP(A438,NYSEARCATIP!A$2:G$506,3,0)</f>
        <v>114.14</v>
      </c>
      <c r="H438">
        <f>VLOOKUP(A438,NYSEARCAMUB!A$2:G$506,3,0)</f>
        <v>108.47</v>
      </c>
      <c r="I438">
        <f>VLOOKUP(A438,NYSEARCAVNQ!A$2:G$506,3,0)</f>
        <v>84.2</v>
      </c>
      <c r="J438">
        <f>VLOOKUP(A438,NYSEARCARWX!A$2:G$506,3,0)</f>
        <v>37.43</v>
      </c>
      <c r="K438">
        <f>VLOOKUP(A438,NYSEARCADBC!A$2:G$506,3,0)</f>
        <v>15.91</v>
      </c>
      <c r="L438">
        <f>VLOOKUP(A438,NYSEARCAGSG!A$2:G$506,3,0)</f>
        <v>15.55</v>
      </c>
      <c r="M438">
        <f>VLOOKUP(A438,NYSEARCAGLD!A$2:G$506,3,0)</f>
        <v>116.95</v>
      </c>
      <c r="N438">
        <f>VLOOKUP(A438,NYSEBP!A$2:G$506,3,0)</f>
        <v>34.72</v>
      </c>
      <c r="O438">
        <f>VLOOKUP(A438,NASDAQYHOO!A$2:G$506,3,0)</f>
        <v>45.57</v>
      </c>
    </row>
    <row r="439" spans="1:15">
      <c r="A439" s="39">
        <v>42780</v>
      </c>
      <c r="B439">
        <v>68.680000000000007</v>
      </c>
      <c r="C439">
        <f>VLOOKUP(A439,NYSEARCAVTI!A$2:G$506,3,0)</f>
        <v>120.63</v>
      </c>
      <c r="D439">
        <f>VLOOKUP(A439,NYSEARCAVEU!A$2:G$506,3,0)</f>
        <v>46.72</v>
      </c>
      <c r="E439">
        <f>VLOOKUP(A439,NYSEARCAVWO!A$2:G$506,3,0)</f>
        <v>39.130000000000003</v>
      </c>
      <c r="F439">
        <f>VLOOKUP(A439,NYSEARCABND!A$2:G$506,3,0)</f>
        <v>80.97</v>
      </c>
      <c r="G439">
        <f>VLOOKUP(A439,NYSEARCATIP!A$2:G$506,3,0)</f>
        <v>114.19</v>
      </c>
      <c r="H439">
        <f>VLOOKUP(A439,NYSEARCAMUB!A$2:G$506,3,0)</f>
        <v>108.41</v>
      </c>
      <c r="I439">
        <f>VLOOKUP(A439,NYSEARCAVNQ!A$2:G$506,3,0)</f>
        <v>83.69</v>
      </c>
      <c r="J439">
        <f>VLOOKUP(A439,NYSEARCARWX!A$2:G$506,3,0)</f>
        <v>37.42</v>
      </c>
      <c r="K439">
        <f>VLOOKUP(A439,NYSEARCADBC!A$2:G$506,3,0)</f>
        <v>15.99</v>
      </c>
      <c r="L439">
        <f>VLOOKUP(A439,NYSEARCAGSG!A$2:G$506,3,0)</f>
        <v>15.62</v>
      </c>
      <c r="M439">
        <f>VLOOKUP(A439,NYSEARCAGLD!A$2:G$506,3,0)</f>
        <v>117.56</v>
      </c>
      <c r="N439">
        <f>VLOOKUP(A439,NYSEBP!A$2:G$506,3,0)</f>
        <v>34.61</v>
      </c>
      <c r="O439">
        <f>VLOOKUP(A439,NASDAQYHOO!A$2:G$506,3,0)</f>
        <v>45.58</v>
      </c>
    </row>
    <row r="440" spans="1:15">
      <c r="A440" s="39">
        <v>42781</v>
      </c>
      <c r="B440">
        <v>68.709999999999994</v>
      </c>
      <c r="C440">
        <f>VLOOKUP(A440,NYSEARCAVTI!A$2:G$506,3,0)</f>
        <v>121.35</v>
      </c>
      <c r="D440">
        <f>VLOOKUP(A440,NYSEARCAVEU!A$2:G$506,3,0)</f>
        <v>46.96</v>
      </c>
      <c r="E440">
        <f>VLOOKUP(A440,NYSEARCAVWO!A$2:G$506,3,0)</f>
        <v>39.43</v>
      </c>
      <c r="F440">
        <f>VLOOKUP(A440,NYSEARCABND!A$2:G$506,3,0)</f>
        <v>80.72</v>
      </c>
      <c r="G440">
        <f>VLOOKUP(A440,NYSEARCATIP!A$2:G$506,3,0)</f>
        <v>113.94</v>
      </c>
      <c r="H440">
        <f>VLOOKUP(A440,NYSEARCAMUB!A$2:G$506,3,0)</f>
        <v>108.08</v>
      </c>
      <c r="I440">
        <f>VLOOKUP(A440,NYSEARCAVNQ!A$2:G$506,3,0)</f>
        <v>83.25</v>
      </c>
      <c r="J440">
        <f>VLOOKUP(A440,NYSEARCARWX!A$2:G$506,3,0)</f>
        <v>37.47</v>
      </c>
      <c r="K440">
        <f>VLOOKUP(A440,NYSEARCADBC!A$2:G$506,3,0)</f>
        <v>15.96</v>
      </c>
      <c r="L440">
        <f>VLOOKUP(A440,NYSEARCAGSG!A$2:G$506,3,0)</f>
        <v>15.61</v>
      </c>
      <c r="M440">
        <f>VLOOKUP(A440,NYSEARCAGLD!A$2:G$506,3,0)</f>
        <v>117.48</v>
      </c>
      <c r="N440">
        <f>VLOOKUP(A440,NYSEBP!A$2:G$506,3,0)</f>
        <v>33.9</v>
      </c>
      <c r="O440">
        <f>VLOOKUP(A440,NASDAQYHOO!A$2:G$506,3,0)</f>
        <v>46.72</v>
      </c>
    </row>
    <row r="441" spans="1:15">
      <c r="A441" s="39">
        <v>42782</v>
      </c>
      <c r="B441">
        <v>69.239999999999995</v>
      </c>
      <c r="C441">
        <f>VLOOKUP(A441,NYSEARCAVTI!A$2:G$506,3,0)</f>
        <v>121.37</v>
      </c>
      <c r="D441">
        <f>VLOOKUP(A441,NYSEARCAVEU!A$2:G$506,3,0)</f>
        <v>47.01</v>
      </c>
      <c r="E441">
        <f>VLOOKUP(A441,NYSEARCAVWO!A$2:G$506,3,0)</f>
        <v>39.49</v>
      </c>
      <c r="F441">
        <f>VLOOKUP(A441,NYSEARCABND!A$2:G$506,3,0)</f>
        <v>80.94</v>
      </c>
      <c r="G441">
        <f>VLOOKUP(A441,NYSEARCATIP!A$2:G$506,3,0)</f>
        <v>114.38</v>
      </c>
      <c r="H441">
        <f>VLOOKUP(A441,NYSEARCAMUB!A$2:G$506,3,0)</f>
        <v>108.18</v>
      </c>
      <c r="I441">
        <f>VLOOKUP(A441,NYSEARCAVNQ!A$2:G$506,3,0)</f>
        <v>84.17</v>
      </c>
      <c r="J441">
        <f>VLOOKUP(A441,NYSEARCARWX!A$2:G$506,3,0)</f>
        <v>37.53</v>
      </c>
      <c r="K441">
        <f>VLOOKUP(A441,NYSEARCADBC!A$2:G$506,3,0)</f>
        <v>15.94</v>
      </c>
      <c r="L441">
        <f>VLOOKUP(A441,NYSEARCAGSG!A$2:G$506,3,0)</f>
        <v>15.59</v>
      </c>
      <c r="M441">
        <f>VLOOKUP(A441,NYSEARCAGLD!A$2:G$506,3,0)</f>
        <v>118.35</v>
      </c>
      <c r="N441">
        <f>VLOOKUP(A441,NYSEBP!A$2:G$506,3,0)</f>
        <v>34.1</v>
      </c>
      <c r="O441">
        <f>VLOOKUP(A441,NASDAQYHOO!A$2:G$506,3,0)</f>
        <v>45.69</v>
      </c>
    </row>
    <row r="442" spans="1:15">
      <c r="A442" s="39">
        <v>42783</v>
      </c>
      <c r="B442">
        <v>69.78</v>
      </c>
      <c r="C442">
        <f>VLOOKUP(A442,NYSEARCAVTI!A$2:G$506,3,0)</f>
        <v>121.31</v>
      </c>
      <c r="D442">
        <f>VLOOKUP(A442,NYSEARCAVEU!A$2:G$506,3,0)</f>
        <v>46.87</v>
      </c>
      <c r="E442">
        <f>VLOOKUP(A442,NYSEARCAVWO!A$2:G$506,3,0)</f>
        <v>39.17</v>
      </c>
      <c r="F442">
        <f>VLOOKUP(A442,NYSEARCABND!A$2:G$506,3,0)</f>
        <v>81.05</v>
      </c>
      <c r="G442">
        <f>VLOOKUP(A442,NYSEARCATIP!A$2:G$506,3,0)</f>
        <v>114.26</v>
      </c>
      <c r="H442">
        <f>VLOOKUP(A442,NYSEARCAMUB!A$2:G$506,3,0)</f>
        <v>108.32</v>
      </c>
      <c r="I442">
        <f>VLOOKUP(A442,NYSEARCAVNQ!A$2:G$506,3,0)</f>
        <v>83.9</v>
      </c>
      <c r="J442">
        <f>VLOOKUP(A442,NYSEARCARWX!A$2:G$506,3,0)</f>
        <v>37.47</v>
      </c>
      <c r="K442">
        <f>VLOOKUP(A442,NYSEARCADBC!A$2:G$506,3,0)</f>
        <v>15.78</v>
      </c>
      <c r="L442">
        <f>VLOOKUP(A442,NYSEARCAGSG!A$2:G$506,3,0)</f>
        <v>15.48</v>
      </c>
      <c r="M442">
        <f>VLOOKUP(A442,NYSEARCAGLD!A$2:G$506,3,0)</f>
        <v>118.4</v>
      </c>
      <c r="N442">
        <f>VLOOKUP(A442,NYSEBP!A$2:G$506,3,0)</f>
        <v>33.56</v>
      </c>
      <c r="O442">
        <f>VLOOKUP(A442,NASDAQYHOO!A$2:G$506,3,0)</f>
        <v>45.34</v>
      </c>
    </row>
    <row r="443" spans="1:15">
      <c r="A443" s="39">
        <v>42787</v>
      </c>
      <c r="B443">
        <v>72.28</v>
      </c>
      <c r="C443">
        <f>VLOOKUP(A443,NYSEARCAVTI!A$2:G$506,3,0)</f>
        <v>122.13</v>
      </c>
      <c r="D443">
        <f>VLOOKUP(A443,NYSEARCAVEU!A$2:G$506,3,0)</f>
        <v>47.1</v>
      </c>
      <c r="E443">
        <f>VLOOKUP(A443,NYSEARCAVWO!A$2:G$506,3,0)</f>
        <v>39.520000000000003</v>
      </c>
      <c r="F443">
        <f>VLOOKUP(A443,NYSEARCABND!A$2:G$506,3,0)</f>
        <v>81.08</v>
      </c>
      <c r="G443">
        <f>VLOOKUP(A443,NYSEARCATIP!A$2:G$506,3,0)</f>
        <v>114.28</v>
      </c>
      <c r="H443">
        <f>VLOOKUP(A443,NYSEARCAMUB!A$2:G$506,3,0)</f>
        <v>108.36</v>
      </c>
      <c r="I443">
        <f>VLOOKUP(A443,NYSEARCAVNQ!A$2:G$506,3,0)</f>
        <v>84.93</v>
      </c>
      <c r="J443">
        <f>VLOOKUP(A443,NYSEARCARWX!A$2:G$506,3,0)</f>
        <v>37.39</v>
      </c>
      <c r="K443">
        <f>VLOOKUP(A443,NYSEARCADBC!A$2:G$506,3,0)</f>
        <v>15.88</v>
      </c>
      <c r="L443">
        <f>VLOOKUP(A443,NYSEARCAGSG!A$2:G$506,3,0)</f>
        <v>15.67</v>
      </c>
      <c r="M443">
        <f>VLOOKUP(A443,NYSEARCAGLD!A$2:G$506,3,0)</f>
        <v>118</v>
      </c>
      <c r="N443">
        <f>VLOOKUP(A443,NYSEBP!A$2:G$506,3,0)</f>
        <v>34.11</v>
      </c>
      <c r="O443">
        <f>VLOOKUP(A443,NASDAQYHOO!A$2:G$506,3,0)</f>
        <v>45.61</v>
      </c>
    </row>
    <row r="444" spans="1:15">
      <c r="A444" s="39">
        <v>42788</v>
      </c>
      <c r="B444">
        <v>72.37</v>
      </c>
      <c r="C444">
        <f>VLOOKUP(A444,NYSEARCAVTI!A$2:G$506,3,0)</f>
        <v>122.03</v>
      </c>
      <c r="D444">
        <f>VLOOKUP(A444,NYSEARCAVEU!A$2:G$506,3,0)</f>
        <v>47.12</v>
      </c>
      <c r="E444">
        <f>VLOOKUP(A444,NYSEARCAVWO!A$2:G$506,3,0)</f>
        <v>39.6</v>
      </c>
      <c r="F444">
        <f>VLOOKUP(A444,NYSEARCABND!A$2:G$506,3,0)</f>
        <v>81.17</v>
      </c>
      <c r="G444">
        <f>VLOOKUP(A444,NYSEARCATIP!A$2:G$506,3,0)</f>
        <v>114.37</v>
      </c>
      <c r="H444">
        <f>VLOOKUP(A444,NYSEARCAMUB!A$2:G$506,3,0)</f>
        <v>108.45</v>
      </c>
      <c r="I444">
        <f>VLOOKUP(A444,NYSEARCAVNQ!A$2:G$506,3,0)</f>
        <v>85.25</v>
      </c>
      <c r="J444">
        <f>VLOOKUP(A444,NYSEARCARWX!A$2:G$506,3,0)</f>
        <v>37.47</v>
      </c>
      <c r="K444">
        <f>VLOOKUP(A444,NYSEARCADBC!A$2:G$506,3,0)</f>
        <v>15.7</v>
      </c>
      <c r="L444">
        <f>VLOOKUP(A444,NYSEARCAGSG!A$2:G$506,3,0)</f>
        <v>15.44</v>
      </c>
      <c r="M444">
        <f>VLOOKUP(A444,NYSEARCAGLD!A$2:G$506,3,0)</f>
        <v>118.02</v>
      </c>
      <c r="N444">
        <f>VLOOKUP(A444,NYSEBP!A$2:G$506,3,0)</f>
        <v>33.700000000000003</v>
      </c>
      <c r="O444">
        <f>VLOOKUP(A444,NASDAQYHOO!A$2:G$506,3,0)</f>
        <v>46.34</v>
      </c>
    </row>
    <row r="445" spans="1:15">
      <c r="A445" s="39">
        <v>42789</v>
      </c>
      <c r="B445">
        <v>72.5</v>
      </c>
      <c r="C445">
        <f>VLOOKUP(A445,NYSEARCAVTI!A$2:G$506,3,0)</f>
        <v>122.23</v>
      </c>
      <c r="D445">
        <f>VLOOKUP(A445,NYSEARCAVEU!A$2:G$506,3,0)</f>
        <v>47.3</v>
      </c>
      <c r="E445">
        <f>VLOOKUP(A445,NYSEARCAVWO!A$2:G$506,3,0)</f>
        <v>39.78</v>
      </c>
      <c r="F445">
        <f>VLOOKUP(A445,NYSEARCABND!A$2:G$506,3,0)</f>
        <v>81.2</v>
      </c>
      <c r="G445">
        <f>VLOOKUP(A445,NYSEARCATIP!A$2:G$506,3,0)</f>
        <v>114.65</v>
      </c>
      <c r="H445">
        <f>VLOOKUP(A445,NYSEARCAMUB!A$2:G$506,3,0)</f>
        <v>108.62</v>
      </c>
      <c r="I445">
        <f>VLOOKUP(A445,NYSEARCAVNQ!A$2:G$506,3,0)</f>
        <v>85.07</v>
      </c>
      <c r="J445">
        <f>VLOOKUP(A445,NYSEARCARWX!A$2:G$506,3,0)</f>
        <v>37.700000000000003</v>
      </c>
      <c r="K445">
        <f>VLOOKUP(A445,NYSEARCADBC!A$2:G$506,3,0)</f>
        <v>15.84</v>
      </c>
      <c r="L445">
        <f>VLOOKUP(A445,NYSEARCAGSG!A$2:G$506,3,0)</f>
        <v>15.61</v>
      </c>
      <c r="M445">
        <f>VLOOKUP(A445,NYSEARCAGLD!A$2:G$506,3,0)</f>
        <v>119.16</v>
      </c>
      <c r="N445">
        <f>VLOOKUP(A445,NYSEBP!A$2:G$506,3,0)</f>
        <v>34.090000000000003</v>
      </c>
      <c r="O445">
        <f>VLOOKUP(A445,NASDAQYHOO!A$2:G$506,3,0)</f>
        <v>46.14</v>
      </c>
    </row>
    <row r="446" spans="1:15">
      <c r="A446" s="39">
        <v>42790</v>
      </c>
      <c r="B446">
        <v>72.8</v>
      </c>
      <c r="C446">
        <f>VLOOKUP(A446,NYSEARCAVTI!A$2:G$506,3,0)</f>
        <v>121.99</v>
      </c>
      <c r="D446">
        <f>VLOOKUP(A446,NYSEARCAVEU!A$2:G$506,3,0)</f>
        <v>46.84</v>
      </c>
      <c r="E446">
        <f>VLOOKUP(A446,NYSEARCAVWO!A$2:G$506,3,0)</f>
        <v>39.270000000000003</v>
      </c>
      <c r="F446">
        <f>VLOOKUP(A446,NYSEARCABND!A$2:G$506,3,0)</f>
        <v>81.52</v>
      </c>
      <c r="G446">
        <f>VLOOKUP(A446,NYSEARCATIP!A$2:G$506,3,0)</f>
        <v>115.05</v>
      </c>
      <c r="H446">
        <f>VLOOKUP(A446,NYSEARCAMUB!A$2:G$506,3,0)</f>
        <v>108.88</v>
      </c>
      <c r="I446">
        <f>VLOOKUP(A446,NYSEARCAVNQ!A$2:G$506,3,0)</f>
        <v>85.43</v>
      </c>
      <c r="J446">
        <f>VLOOKUP(A446,NYSEARCARWX!A$2:G$506,3,0)</f>
        <v>37.58</v>
      </c>
      <c r="K446">
        <f>VLOOKUP(A446,NYSEARCADBC!A$2:G$506,3,0)</f>
        <v>15.74</v>
      </c>
      <c r="L446">
        <f>VLOOKUP(A446,NYSEARCAGSG!A$2:G$506,3,0)</f>
        <v>15.47</v>
      </c>
      <c r="M446">
        <f>VLOOKUP(A446,NYSEARCAGLD!A$2:G$506,3,0)</f>
        <v>119.88</v>
      </c>
      <c r="N446">
        <f>VLOOKUP(A446,NYSEBP!A$2:G$506,3,0)</f>
        <v>33.65</v>
      </c>
      <c r="O446">
        <f>VLOOKUP(A446,NASDAQYHOO!A$2:G$506,3,0)</f>
        <v>45.55</v>
      </c>
    </row>
    <row r="447" spans="1:15">
      <c r="A447" s="39">
        <v>42793</v>
      </c>
      <c r="B447">
        <v>72.42</v>
      </c>
      <c r="C447">
        <f>VLOOKUP(A447,NYSEARCAVTI!A$2:G$506,3,0)</f>
        <v>122.36</v>
      </c>
      <c r="D447">
        <f>VLOOKUP(A447,NYSEARCAVEU!A$2:G$506,3,0)</f>
        <v>46.78</v>
      </c>
      <c r="E447">
        <f>VLOOKUP(A447,NYSEARCAVWO!A$2:G$506,3,0)</f>
        <v>39.17</v>
      </c>
      <c r="F447">
        <f>VLOOKUP(A447,NYSEARCABND!A$2:G$506,3,0)</f>
        <v>81.459999999999994</v>
      </c>
      <c r="G447">
        <f>VLOOKUP(A447,NYSEARCATIP!A$2:G$506,3,0)</f>
        <v>114.96</v>
      </c>
      <c r="H447">
        <f>VLOOKUP(A447,NYSEARCAMUB!A$2:G$506,3,0)</f>
        <v>108.9</v>
      </c>
      <c r="I447">
        <f>VLOOKUP(A447,NYSEARCAVNQ!A$2:G$506,3,0)</f>
        <v>86.16</v>
      </c>
      <c r="J447">
        <f>VLOOKUP(A447,NYSEARCARWX!A$2:G$506,3,0)</f>
        <v>37.46</v>
      </c>
      <c r="K447">
        <f>VLOOKUP(A447,NYSEARCADBC!A$2:G$506,3,0)</f>
        <v>15.74</v>
      </c>
      <c r="L447">
        <f>VLOOKUP(A447,NYSEARCAGSG!A$2:G$506,3,0)</f>
        <v>15.54</v>
      </c>
      <c r="M447">
        <f>VLOOKUP(A447,NYSEARCAGLD!A$2:G$506,3,0)</f>
        <v>120.4</v>
      </c>
      <c r="N447">
        <f>VLOOKUP(A447,NYSEBP!A$2:G$506,3,0)</f>
        <v>34.04</v>
      </c>
      <c r="O447">
        <f>VLOOKUP(A447,NASDAQYHOO!A$2:G$506,3,0)</f>
        <v>45.74</v>
      </c>
    </row>
    <row r="448" spans="1:15">
      <c r="A448" s="39">
        <v>42794</v>
      </c>
      <c r="B448">
        <v>71</v>
      </c>
      <c r="C448">
        <f>VLOOKUP(A448,NYSEARCAVTI!A$2:G$506,3,0)</f>
        <v>122.18</v>
      </c>
      <c r="D448">
        <f>VLOOKUP(A448,NYSEARCAVEU!A$2:G$506,3,0)</f>
        <v>46.76</v>
      </c>
      <c r="E448">
        <f>VLOOKUP(A448,NYSEARCAVWO!A$2:G$506,3,0)</f>
        <v>39</v>
      </c>
      <c r="F448">
        <f>VLOOKUP(A448,NYSEARCABND!A$2:G$506,3,0)</f>
        <v>81.400000000000006</v>
      </c>
      <c r="G448">
        <f>VLOOKUP(A448,NYSEARCATIP!A$2:G$506,3,0)</f>
        <v>114.8</v>
      </c>
      <c r="H448">
        <f>VLOOKUP(A448,NYSEARCAMUB!A$2:G$506,3,0)</f>
        <v>108.87</v>
      </c>
      <c r="I448">
        <f>VLOOKUP(A448,NYSEARCAVNQ!A$2:G$506,3,0)</f>
        <v>85.85</v>
      </c>
      <c r="J448">
        <f>VLOOKUP(A448,NYSEARCARWX!A$2:G$506,3,0)</f>
        <v>37.49</v>
      </c>
      <c r="K448">
        <f>VLOOKUP(A448,NYSEARCADBC!A$2:G$506,3,0)</f>
        <v>15.73</v>
      </c>
      <c r="L448">
        <f>VLOOKUP(A448,NYSEARCAGSG!A$2:G$506,3,0)</f>
        <v>15.45</v>
      </c>
      <c r="M448">
        <f>VLOOKUP(A448,NYSEARCAGLD!A$2:G$506,3,0)</f>
        <v>119.84</v>
      </c>
      <c r="N448">
        <f>VLOOKUP(A448,NYSEBP!A$2:G$506,3,0)</f>
        <v>34.04</v>
      </c>
      <c r="O448">
        <f>VLOOKUP(A448,NASDAQYHOO!A$2:G$506,3,0)</f>
        <v>45.75</v>
      </c>
    </row>
    <row r="449" spans="1:15">
      <c r="A449" s="39">
        <v>42795</v>
      </c>
      <c r="B449">
        <v>71.08</v>
      </c>
      <c r="C449">
        <f>VLOOKUP(A449,NYSEARCAVTI!A$2:G$506,3,0)</f>
        <v>123.73</v>
      </c>
      <c r="D449">
        <f>VLOOKUP(A449,NYSEARCAVEU!A$2:G$506,3,0)</f>
        <v>47.19</v>
      </c>
      <c r="E449">
        <f>VLOOKUP(A449,NYSEARCAVWO!A$2:G$506,3,0)</f>
        <v>39.33</v>
      </c>
      <c r="F449">
        <f>VLOOKUP(A449,NYSEARCABND!A$2:G$506,3,0)</f>
        <v>80.81</v>
      </c>
      <c r="G449">
        <f>VLOOKUP(A449,NYSEARCATIP!A$2:G$506,3,0)</f>
        <v>114</v>
      </c>
      <c r="H449">
        <f>VLOOKUP(A449,NYSEARCAMUB!A$2:G$506,3,0)</f>
        <v>108.43</v>
      </c>
      <c r="I449">
        <f>VLOOKUP(A449,NYSEARCAVNQ!A$2:G$506,3,0)</f>
        <v>85.49</v>
      </c>
      <c r="J449">
        <f>VLOOKUP(A449,NYSEARCARWX!A$2:G$506,3,0)</f>
        <v>37.51</v>
      </c>
      <c r="K449">
        <f>VLOOKUP(A449,NYSEARCADBC!A$2:G$506,3,0)</f>
        <v>15.85</v>
      </c>
      <c r="L449">
        <f>VLOOKUP(A449,NYSEARCAGSG!A$2:G$506,3,0)</f>
        <v>15.54</v>
      </c>
      <c r="M449">
        <f>VLOOKUP(A449,NYSEARCAGLD!A$2:G$506,3,0)</f>
        <v>119.12</v>
      </c>
      <c r="N449">
        <f>VLOOKUP(A449,NYSEBP!A$2:G$506,3,0)</f>
        <v>34.46</v>
      </c>
      <c r="O449">
        <f>VLOOKUP(A449,NASDAQYHOO!A$2:G$506,3,0)</f>
        <v>46.41</v>
      </c>
    </row>
    <row r="450" spans="1:15">
      <c r="A450" s="39">
        <v>42796</v>
      </c>
      <c r="B450">
        <v>70.900000000000006</v>
      </c>
      <c r="C450">
        <f>VLOOKUP(A450,NYSEARCAVTI!A$2:G$506,3,0)</f>
        <v>123.42</v>
      </c>
      <c r="D450">
        <f>VLOOKUP(A450,NYSEARCAVEU!A$2:G$506,3,0)</f>
        <v>46.87</v>
      </c>
      <c r="E450">
        <f>VLOOKUP(A450,NYSEARCAVWO!A$2:G$506,3,0)</f>
        <v>38.89</v>
      </c>
      <c r="F450">
        <f>VLOOKUP(A450,NYSEARCABND!A$2:G$506,3,0)</f>
        <v>80.72</v>
      </c>
      <c r="G450">
        <f>VLOOKUP(A450,NYSEARCATIP!A$2:G$506,3,0)</f>
        <v>113.79</v>
      </c>
      <c r="H450">
        <f>VLOOKUP(A450,NYSEARCAMUB!A$2:G$506,3,0)</f>
        <v>108.25</v>
      </c>
      <c r="I450">
        <f>VLOOKUP(A450,NYSEARCAVNQ!A$2:G$506,3,0)</f>
        <v>84.95</v>
      </c>
      <c r="J450">
        <f>VLOOKUP(A450,NYSEARCARWX!A$2:G$506,3,0)</f>
        <v>37.07</v>
      </c>
      <c r="K450">
        <f>VLOOKUP(A450,NYSEARCADBC!A$2:G$506,3,0)</f>
        <v>15.65</v>
      </c>
      <c r="L450">
        <f>VLOOKUP(A450,NYSEARCAGSG!A$2:G$506,3,0)</f>
        <v>15.32</v>
      </c>
      <c r="M450">
        <f>VLOOKUP(A450,NYSEARCAGLD!A$2:G$506,3,0)</f>
        <v>118.34</v>
      </c>
      <c r="N450">
        <f>VLOOKUP(A450,NYSEBP!A$2:G$506,3,0)</f>
        <v>34.369999999999997</v>
      </c>
      <c r="O450">
        <f>VLOOKUP(A450,NASDAQYHOO!A$2:G$506,3,0)</f>
        <v>46.13</v>
      </c>
    </row>
    <row r="451" spans="1:15">
      <c r="A451" s="39">
        <v>42797</v>
      </c>
      <c r="B451">
        <v>71.02</v>
      </c>
      <c r="C451">
        <f>VLOOKUP(A451,NYSEARCAVTI!A$2:G$506,3,0)</f>
        <v>122.8</v>
      </c>
      <c r="D451">
        <f>VLOOKUP(A451,NYSEARCAVEU!A$2:G$506,3,0)</f>
        <v>46.99</v>
      </c>
      <c r="E451">
        <f>VLOOKUP(A451,NYSEARCAVWO!A$2:G$506,3,0)</f>
        <v>38.99</v>
      </c>
      <c r="F451">
        <f>VLOOKUP(A451,NYSEARCABND!A$2:G$506,3,0)</f>
        <v>80.69</v>
      </c>
      <c r="G451">
        <f>VLOOKUP(A451,NYSEARCATIP!A$2:G$506,3,0)</f>
        <v>113.89</v>
      </c>
      <c r="H451">
        <f>VLOOKUP(A451,NYSEARCAMUB!A$2:G$506,3,0)</f>
        <v>108.23</v>
      </c>
      <c r="I451">
        <f>VLOOKUP(A451,NYSEARCAVNQ!A$2:G$506,3,0)</f>
        <v>84.55</v>
      </c>
      <c r="J451">
        <f>VLOOKUP(A451,NYSEARCARWX!A$2:G$506,3,0)</f>
        <v>37.15</v>
      </c>
      <c r="K451">
        <f>VLOOKUP(A451,NYSEARCADBC!A$2:G$506,3,0)</f>
        <v>15.63</v>
      </c>
      <c r="L451">
        <f>VLOOKUP(A451,NYSEARCAGSG!A$2:G$506,3,0)</f>
        <v>15.31</v>
      </c>
      <c r="M451">
        <f>VLOOKUP(A451,NYSEARCAGLD!A$2:G$506,3,0)</f>
        <v>117.73</v>
      </c>
      <c r="N451">
        <f>VLOOKUP(A451,NYSEBP!A$2:G$506,3,0)</f>
        <v>34.24</v>
      </c>
      <c r="O451">
        <f>VLOOKUP(A451,NASDAQYHOO!A$2:G$506,3,0)</f>
        <v>46</v>
      </c>
    </row>
    <row r="452" spans="1:15">
      <c r="A452" s="39">
        <v>42800</v>
      </c>
      <c r="B452">
        <v>70.44</v>
      </c>
      <c r="C452">
        <f>VLOOKUP(A452,NYSEARCAVTI!A$2:G$506,3,0)</f>
        <v>122.48</v>
      </c>
      <c r="D452">
        <f>VLOOKUP(A452,NYSEARCAVEU!A$2:G$506,3,0)</f>
        <v>46.86</v>
      </c>
      <c r="E452">
        <f>VLOOKUP(A452,NYSEARCAVWO!A$2:G$506,3,0)</f>
        <v>39.049999999999997</v>
      </c>
      <c r="F452">
        <f>VLOOKUP(A452,NYSEARCABND!A$2:G$506,3,0)</f>
        <v>80.72</v>
      </c>
      <c r="G452">
        <f>VLOOKUP(A452,NYSEARCATIP!A$2:G$506,3,0)</f>
        <v>113.94</v>
      </c>
      <c r="H452">
        <f>VLOOKUP(A452,NYSEARCAMUB!A$2:G$506,3,0)</f>
        <v>108.11</v>
      </c>
      <c r="I452">
        <f>VLOOKUP(A452,NYSEARCAVNQ!A$2:G$506,3,0)</f>
        <v>84.1</v>
      </c>
      <c r="J452">
        <f>VLOOKUP(A452,NYSEARCARWX!A$2:G$506,3,0)</f>
        <v>37.1</v>
      </c>
      <c r="K452">
        <f>VLOOKUP(A452,NYSEARCADBC!A$2:G$506,3,0)</f>
        <v>15.7</v>
      </c>
      <c r="L452">
        <f>VLOOKUP(A452,NYSEARCAGSG!A$2:G$506,3,0)</f>
        <v>15.38</v>
      </c>
      <c r="M452">
        <f>VLOOKUP(A452,NYSEARCAGLD!A$2:G$506,3,0)</f>
        <v>117.35</v>
      </c>
      <c r="N452">
        <f>VLOOKUP(A452,NYSEBP!A$2:G$506,3,0)</f>
        <v>34.06</v>
      </c>
      <c r="O452">
        <f>VLOOKUP(A452,NASDAQYHOO!A$2:G$506,3,0)</f>
        <v>45.69</v>
      </c>
    </row>
    <row r="453" spans="1:15">
      <c r="A453" s="39">
        <v>42801</v>
      </c>
      <c r="B453">
        <v>70.209999999999994</v>
      </c>
      <c r="C453">
        <f>VLOOKUP(A453,NYSEARCAVTI!A$2:G$506,3,0)</f>
        <v>122.29</v>
      </c>
      <c r="D453">
        <f>VLOOKUP(A453,NYSEARCAVEU!A$2:G$506,3,0)</f>
        <v>46.84</v>
      </c>
      <c r="E453">
        <f>VLOOKUP(A453,NYSEARCAVWO!A$2:G$506,3,0)</f>
        <v>39.14</v>
      </c>
      <c r="F453">
        <f>VLOOKUP(A453,NYSEARCABND!A$2:G$506,3,0)</f>
        <v>80.63</v>
      </c>
      <c r="G453">
        <f>VLOOKUP(A453,NYSEARCATIP!A$2:G$506,3,0)</f>
        <v>113.7</v>
      </c>
      <c r="H453">
        <f>VLOOKUP(A453,NYSEARCAMUB!A$2:G$506,3,0)</f>
        <v>108.04</v>
      </c>
      <c r="I453">
        <f>VLOOKUP(A453,NYSEARCAVNQ!A$2:G$506,3,0)</f>
        <v>83.79</v>
      </c>
      <c r="J453">
        <f>VLOOKUP(A453,NYSEARCARWX!A$2:G$506,3,0)</f>
        <v>36.93</v>
      </c>
      <c r="K453">
        <f>VLOOKUP(A453,NYSEARCADBC!A$2:G$506,3,0)</f>
        <v>15.64</v>
      </c>
      <c r="L453">
        <f>VLOOKUP(A453,NYSEARCAGSG!A$2:G$506,3,0)</f>
        <v>15.38</v>
      </c>
      <c r="M453">
        <f>VLOOKUP(A453,NYSEARCAGLD!A$2:G$506,3,0)</f>
        <v>116.25</v>
      </c>
      <c r="N453">
        <f>VLOOKUP(A453,NYSEBP!A$2:G$506,3,0)</f>
        <v>34.049999999999997</v>
      </c>
      <c r="O453">
        <f>VLOOKUP(A453,NASDAQYHOO!A$2:G$506,3,0)</f>
        <v>45.92</v>
      </c>
    </row>
    <row r="454" spans="1:15">
      <c r="A454" s="39">
        <v>42802</v>
      </c>
      <c r="B454">
        <v>70.03</v>
      </c>
      <c r="C454">
        <f>VLOOKUP(A454,NYSEARCAVTI!A$2:G$506,3,0)</f>
        <v>122.18</v>
      </c>
      <c r="D454">
        <f>VLOOKUP(A454,NYSEARCAVEU!A$2:G$506,3,0)</f>
        <v>46.75</v>
      </c>
      <c r="E454">
        <f>VLOOKUP(A454,NYSEARCAVWO!A$2:G$506,3,0)</f>
        <v>38.94</v>
      </c>
      <c r="F454">
        <f>VLOOKUP(A454,NYSEARCABND!A$2:G$506,3,0)</f>
        <v>80.349999999999994</v>
      </c>
      <c r="G454">
        <f>VLOOKUP(A454,NYSEARCATIP!A$2:G$506,3,0)</f>
        <v>113.27</v>
      </c>
      <c r="H454">
        <f>VLOOKUP(A454,NYSEARCAMUB!A$2:G$506,3,0)</f>
        <v>107.92</v>
      </c>
      <c r="I454">
        <f>VLOOKUP(A454,NYSEARCAVNQ!A$2:G$506,3,0)</f>
        <v>83.04</v>
      </c>
      <c r="J454">
        <f>VLOOKUP(A454,NYSEARCARWX!A$2:G$506,3,0)</f>
        <v>36.75</v>
      </c>
      <c r="K454">
        <f>VLOOKUP(A454,NYSEARCADBC!A$2:G$506,3,0)</f>
        <v>15.54</v>
      </c>
      <c r="L454">
        <f>VLOOKUP(A454,NYSEARCAGSG!A$2:G$506,3,0)</f>
        <v>15.22</v>
      </c>
      <c r="M454">
        <f>VLOOKUP(A454,NYSEARCAGLD!A$2:G$506,3,0)</f>
        <v>115.36</v>
      </c>
      <c r="N454">
        <f>VLOOKUP(A454,NYSEBP!A$2:G$506,3,0)</f>
        <v>33.85</v>
      </c>
      <c r="O454">
        <f>VLOOKUP(A454,NASDAQYHOO!A$2:G$506,3,0)</f>
        <v>46.19</v>
      </c>
    </row>
    <row r="455" spans="1:15">
      <c r="A455" s="39">
        <v>42803</v>
      </c>
      <c r="B455">
        <v>70.040000000000006</v>
      </c>
      <c r="C455">
        <f>VLOOKUP(A455,NYSEARCAVTI!A$2:G$506,3,0)</f>
        <v>121.89</v>
      </c>
      <c r="D455">
        <f>VLOOKUP(A455,NYSEARCAVEU!A$2:G$506,3,0)</f>
        <v>46.59</v>
      </c>
      <c r="E455">
        <f>VLOOKUP(A455,NYSEARCAVWO!A$2:G$506,3,0)</f>
        <v>38.47</v>
      </c>
      <c r="F455">
        <f>VLOOKUP(A455,NYSEARCABND!A$2:G$506,3,0)</f>
        <v>80.180000000000007</v>
      </c>
      <c r="G455">
        <f>VLOOKUP(A455,NYSEARCATIP!A$2:G$506,3,0)</f>
        <v>113.01</v>
      </c>
      <c r="H455">
        <f>VLOOKUP(A455,NYSEARCAMUB!A$2:G$506,3,0)</f>
        <v>107.8</v>
      </c>
      <c r="I455">
        <f>VLOOKUP(A455,NYSEARCAVNQ!A$2:G$506,3,0)</f>
        <v>82.22</v>
      </c>
      <c r="J455">
        <f>VLOOKUP(A455,NYSEARCARWX!A$2:G$506,3,0)</f>
        <v>36.65</v>
      </c>
      <c r="K455">
        <f>VLOOKUP(A455,NYSEARCADBC!A$2:G$506,3,0)</f>
        <v>15.15</v>
      </c>
      <c r="L455">
        <f>VLOOKUP(A455,NYSEARCAGSG!A$2:G$506,3,0)</f>
        <v>14.76</v>
      </c>
      <c r="M455">
        <f>VLOOKUP(A455,NYSEARCAGLD!A$2:G$506,3,0)</f>
        <v>115.02</v>
      </c>
      <c r="N455">
        <f>VLOOKUP(A455,NYSEBP!A$2:G$506,3,0)</f>
        <v>33.5</v>
      </c>
      <c r="O455">
        <f>VLOOKUP(A455,NASDAQYHOO!A$2:G$506,3,0)</f>
        <v>46.12</v>
      </c>
    </row>
    <row r="456" spans="1:15">
      <c r="A456" s="39">
        <v>42804</v>
      </c>
      <c r="B456">
        <v>70.36</v>
      </c>
      <c r="C456">
        <f>VLOOKUP(A456,NYSEARCAVTI!A$2:G$506,3,0)</f>
        <v>122.25</v>
      </c>
      <c r="D456">
        <f>VLOOKUP(A456,NYSEARCAVEU!A$2:G$506,3,0)</f>
        <v>46.96</v>
      </c>
      <c r="E456">
        <f>VLOOKUP(A456,NYSEARCAVWO!A$2:G$506,3,0)</f>
        <v>38.65</v>
      </c>
      <c r="F456">
        <f>VLOOKUP(A456,NYSEARCABND!A$2:G$506,3,0)</f>
        <v>80.23</v>
      </c>
      <c r="G456">
        <f>VLOOKUP(A456,NYSEARCATIP!A$2:G$506,3,0)</f>
        <v>113.11</v>
      </c>
      <c r="H456">
        <f>VLOOKUP(A456,NYSEARCAMUB!A$2:G$506,3,0)</f>
        <v>107.8</v>
      </c>
      <c r="I456">
        <f>VLOOKUP(A456,NYSEARCAVNQ!A$2:G$506,3,0)</f>
        <v>81.709999999999994</v>
      </c>
      <c r="J456">
        <f>VLOOKUP(A456,NYSEARCARWX!A$2:G$506,3,0)</f>
        <v>36.6</v>
      </c>
      <c r="K456">
        <f>VLOOKUP(A456,NYSEARCADBC!A$2:G$506,3,0)</f>
        <v>15.08</v>
      </c>
      <c r="L456">
        <f>VLOOKUP(A456,NYSEARCAGSG!A$2:G$506,3,0)</f>
        <v>14.66</v>
      </c>
      <c r="M456">
        <f>VLOOKUP(A456,NYSEARCAGLD!A$2:G$506,3,0)</f>
        <v>114.73</v>
      </c>
      <c r="N456">
        <f>VLOOKUP(A456,NYSEBP!A$2:G$506,3,0)</f>
        <v>34.549999999999997</v>
      </c>
      <c r="O456">
        <f>VLOOKUP(A456,NASDAQYHOO!A$2:G$506,3,0)</f>
        <v>46.2</v>
      </c>
    </row>
    <row r="457" spans="1:15">
      <c r="A457" s="39">
        <v>42807</v>
      </c>
      <c r="B457">
        <v>70.45</v>
      </c>
      <c r="C457">
        <f>VLOOKUP(A457,NYSEARCAVTI!A$2:G$506,3,0)</f>
        <v>122.16</v>
      </c>
      <c r="D457">
        <f>VLOOKUP(A457,NYSEARCAVEU!A$2:G$506,3,0)</f>
        <v>47.23</v>
      </c>
      <c r="E457">
        <f>VLOOKUP(A457,NYSEARCAVWO!A$2:G$506,3,0)</f>
        <v>39.18</v>
      </c>
      <c r="F457">
        <f>VLOOKUP(A457,NYSEARCABND!A$2:G$506,3,0)</f>
        <v>80.209999999999994</v>
      </c>
      <c r="G457">
        <f>VLOOKUP(A457,NYSEARCATIP!A$2:G$506,3,0)</f>
        <v>113.01</v>
      </c>
      <c r="H457">
        <f>VLOOKUP(A457,NYSEARCAMUB!A$2:G$506,3,0)</f>
        <v>107.86</v>
      </c>
      <c r="I457">
        <f>VLOOKUP(A457,NYSEARCAVNQ!A$2:G$506,3,0)</f>
        <v>81.11</v>
      </c>
      <c r="J457">
        <f>VLOOKUP(A457,NYSEARCARWX!A$2:G$506,3,0)</f>
        <v>36.700000000000003</v>
      </c>
      <c r="K457">
        <f>VLOOKUP(A457,NYSEARCADBC!A$2:G$506,3,0)</f>
        <v>14.96</v>
      </c>
      <c r="L457">
        <f>VLOOKUP(A457,NYSEARCAGSG!A$2:G$506,3,0)</f>
        <v>14.54</v>
      </c>
      <c r="M457">
        <f>VLOOKUP(A457,NYSEARCAGLD!A$2:G$506,3,0)</f>
        <v>114.91</v>
      </c>
      <c r="N457">
        <f>VLOOKUP(A457,NYSEBP!A$2:G$506,3,0)</f>
        <v>34.29</v>
      </c>
      <c r="O457">
        <f>VLOOKUP(A457,NASDAQYHOO!A$2:G$506,3,0)</f>
        <v>47</v>
      </c>
    </row>
    <row r="458" spans="1:15">
      <c r="A458" s="39">
        <v>42808</v>
      </c>
      <c r="B458">
        <v>71.2</v>
      </c>
      <c r="C458">
        <f>VLOOKUP(A458,NYSEARCAVTI!A$2:G$506,3,0)</f>
        <v>121.87</v>
      </c>
      <c r="D458">
        <f>VLOOKUP(A458,NYSEARCAVEU!A$2:G$506,3,0)</f>
        <v>46.97</v>
      </c>
      <c r="E458">
        <f>VLOOKUP(A458,NYSEARCAVWO!A$2:G$506,3,0)</f>
        <v>39.049999999999997</v>
      </c>
      <c r="F458">
        <f>VLOOKUP(A458,NYSEARCABND!A$2:G$506,3,0)</f>
        <v>80.14</v>
      </c>
      <c r="G458">
        <f>VLOOKUP(A458,NYSEARCATIP!A$2:G$506,3,0)</f>
        <v>112.79</v>
      </c>
      <c r="H458">
        <f>VLOOKUP(A458,NYSEARCAMUB!A$2:G$506,3,0)</f>
        <v>107.84</v>
      </c>
      <c r="I458">
        <f>VLOOKUP(A458,NYSEARCAVNQ!A$2:G$506,3,0)</f>
        <v>80.790000000000006</v>
      </c>
      <c r="J458">
        <f>VLOOKUP(A458,NYSEARCARWX!A$2:G$506,3,0)</f>
        <v>36.39</v>
      </c>
      <c r="K458">
        <f>VLOOKUP(A458,NYSEARCADBC!A$2:G$506,3,0)</f>
        <v>14.85</v>
      </c>
      <c r="L458">
        <f>VLOOKUP(A458,NYSEARCAGSG!A$2:G$506,3,0)</f>
        <v>14.42</v>
      </c>
      <c r="M458">
        <f>VLOOKUP(A458,NYSEARCAGLD!A$2:G$506,3,0)</f>
        <v>115.01</v>
      </c>
      <c r="N458">
        <f>VLOOKUP(A458,NYSEBP!A$2:G$506,3,0)</f>
        <v>33.74</v>
      </c>
      <c r="O458">
        <f>VLOOKUP(A458,NASDAQYHOO!A$2:G$506,3,0)</f>
        <v>46.76</v>
      </c>
    </row>
    <row r="459" spans="1:15">
      <c r="A459" s="39">
        <v>42809</v>
      </c>
      <c r="B459">
        <v>70.7</v>
      </c>
      <c r="C459">
        <f>VLOOKUP(A459,NYSEARCAVTI!A$2:G$506,3,0)</f>
        <v>123.04</v>
      </c>
      <c r="D459">
        <f>VLOOKUP(A459,NYSEARCAVEU!A$2:G$506,3,0)</f>
        <v>47.69</v>
      </c>
      <c r="E459">
        <f>VLOOKUP(A459,NYSEARCAVWO!A$2:G$506,3,0)</f>
        <v>39.92</v>
      </c>
      <c r="F459">
        <f>VLOOKUP(A459,NYSEARCABND!A$2:G$506,3,0)</f>
        <v>80.55</v>
      </c>
      <c r="G459">
        <f>VLOOKUP(A459,NYSEARCATIP!A$2:G$506,3,0)</f>
        <v>113.71</v>
      </c>
      <c r="H459">
        <f>VLOOKUP(A459,NYSEARCAMUB!A$2:G$506,3,0)</f>
        <v>108.15</v>
      </c>
      <c r="I459">
        <f>VLOOKUP(A459,NYSEARCAVNQ!A$2:G$506,3,0)</f>
        <v>82.64</v>
      </c>
      <c r="J459">
        <f>VLOOKUP(A459,NYSEARCARWX!A$2:G$506,3,0)</f>
        <v>36.96</v>
      </c>
      <c r="K459">
        <f>VLOOKUP(A459,NYSEARCADBC!A$2:G$506,3,0)</f>
        <v>14.99</v>
      </c>
      <c r="L459">
        <f>VLOOKUP(A459,NYSEARCAGSG!A$2:G$506,3,0)</f>
        <v>14.59</v>
      </c>
      <c r="M459">
        <f>VLOOKUP(A459,NYSEARCAGLD!A$2:G$506,3,0)</f>
        <v>116.25</v>
      </c>
      <c r="N459">
        <f>VLOOKUP(A459,NYSEBP!A$2:G$506,3,0)</f>
        <v>33.86</v>
      </c>
      <c r="O459">
        <f>VLOOKUP(A459,NASDAQYHOO!A$2:G$506,3,0)</f>
        <v>46.55</v>
      </c>
    </row>
    <row r="460" spans="1:15">
      <c r="A460" s="39">
        <v>42810</v>
      </c>
      <c r="B460">
        <v>70.7</v>
      </c>
      <c r="C460">
        <f>VLOOKUP(A460,NYSEARCAVTI!A$2:G$506,3,0)</f>
        <v>123</v>
      </c>
      <c r="D460">
        <f>VLOOKUP(A460,NYSEARCAVEU!A$2:G$506,3,0)</f>
        <v>47.99</v>
      </c>
      <c r="E460">
        <f>VLOOKUP(A460,NYSEARCAVWO!A$2:G$506,3,0)</f>
        <v>40.22</v>
      </c>
      <c r="F460">
        <f>VLOOKUP(A460,NYSEARCABND!A$2:G$506,3,0)</f>
        <v>80.53</v>
      </c>
      <c r="G460">
        <f>VLOOKUP(A460,NYSEARCATIP!A$2:G$506,3,0)</f>
        <v>113.73</v>
      </c>
      <c r="H460">
        <f>VLOOKUP(A460,NYSEARCAMUB!A$2:G$506,3,0)</f>
        <v>108.13</v>
      </c>
      <c r="I460">
        <f>VLOOKUP(A460,NYSEARCAVNQ!A$2:G$506,3,0)</f>
        <v>82.62</v>
      </c>
      <c r="J460">
        <f>VLOOKUP(A460,NYSEARCARWX!A$2:G$506,3,0)</f>
        <v>37.39</v>
      </c>
      <c r="K460">
        <f>VLOOKUP(A460,NYSEARCADBC!A$2:G$506,3,0)</f>
        <v>15.02</v>
      </c>
      <c r="L460">
        <f>VLOOKUP(A460,NYSEARCAGSG!A$2:G$506,3,0)</f>
        <v>14.63</v>
      </c>
      <c r="M460">
        <f>VLOOKUP(A460,NYSEARCAGLD!A$2:G$506,3,0)</f>
        <v>117.29</v>
      </c>
      <c r="N460">
        <f>VLOOKUP(A460,NYSEBP!A$2:G$506,3,0)</f>
        <v>34.14</v>
      </c>
      <c r="O460">
        <f>VLOOKUP(A460,NASDAQYHOO!A$2:G$506,3,0)</f>
        <v>46.62</v>
      </c>
    </row>
    <row r="461" spans="1:15">
      <c r="A461" s="39">
        <v>42811</v>
      </c>
      <c r="B461">
        <v>70.75</v>
      </c>
      <c r="C461">
        <f>VLOOKUP(A461,NYSEARCAVTI!A$2:G$506,3,0)</f>
        <v>122.88</v>
      </c>
      <c r="D461">
        <f>VLOOKUP(A461,NYSEARCAVEU!A$2:G$506,3,0)</f>
        <v>48.07</v>
      </c>
      <c r="E461">
        <f>VLOOKUP(A461,NYSEARCAVWO!A$2:G$506,3,0)</f>
        <v>40.159999999999997</v>
      </c>
      <c r="F461">
        <f>VLOOKUP(A461,NYSEARCABND!A$2:G$506,3,0)</f>
        <v>80.61</v>
      </c>
      <c r="G461">
        <f>VLOOKUP(A461,NYSEARCATIP!A$2:G$506,3,0)</f>
        <v>113.83</v>
      </c>
      <c r="H461">
        <f>VLOOKUP(A461,NYSEARCAMUB!A$2:G$506,3,0)</f>
        <v>108.2</v>
      </c>
      <c r="I461">
        <f>VLOOKUP(A461,NYSEARCAVNQ!A$2:G$506,3,0)</f>
        <v>82.7</v>
      </c>
      <c r="J461">
        <f>VLOOKUP(A461,NYSEARCARWX!A$2:G$506,3,0)</f>
        <v>37.39</v>
      </c>
      <c r="K461">
        <f>VLOOKUP(A461,NYSEARCADBC!A$2:G$506,3,0)</f>
        <v>15.02</v>
      </c>
      <c r="L461">
        <f>VLOOKUP(A461,NYSEARCAGSG!A$2:G$506,3,0)</f>
        <v>14.65</v>
      </c>
      <c r="M461">
        <f>VLOOKUP(A461,NYSEARCAGLD!A$2:G$506,3,0)</f>
        <v>117.27</v>
      </c>
      <c r="N461">
        <f>VLOOKUP(A461,NYSEBP!A$2:G$506,3,0)</f>
        <v>34.39</v>
      </c>
      <c r="O461">
        <f>VLOOKUP(A461,NASDAQYHOO!A$2:G$506,3,0)</f>
        <v>46.9</v>
      </c>
    </row>
    <row r="462" spans="1:15">
      <c r="A462" s="39">
        <v>42814</v>
      </c>
      <c r="B462">
        <v>70.45</v>
      </c>
      <c r="C462">
        <f>VLOOKUP(A462,NYSEARCAVTI!A$2:G$506,3,0)</f>
        <v>122.62</v>
      </c>
      <c r="D462">
        <f>VLOOKUP(A462,NYSEARCAVEU!A$2:G$506,3,0)</f>
        <v>48.15</v>
      </c>
      <c r="E462">
        <f>VLOOKUP(A462,NYSEARCAVWO!A$2:G$506,3,0)</f>
        <v>40.520000000000003</v>
      </c>
      <c r="F462">
        <f>VLOOKUP(A462,NYSEARCABND!A$2:G$506,3,0)</f>
        <v>80.75</v>
      </c>
      <c r="G462">
        <f>VLOOKUP(A462,NYSEARCATIP!A$2:G$506,3,0)</f>
        <v>113.98</v>
      </c>
      <c r="H462">
        <f>VLOOKUP(A462,NYSEARCAMUB!A$2:G$506,3,0)</f>
        <v>108.26</v>
      </c>
      <c r="I462">
        <f>VLOOKUP(A462,NYSEARCAVNQ!A$2:G$506,3,0)</f>
        <v>82.74</v>
      </c>
      <c r="J462">
        <f>VLOOKUP(A462,NYSEARCARWX!A$2:G$506,3,0)</f>
        <v>37.39</v>
      </c>
      <c r="K462">
        <f>VLOOKUP(A462,NYSEARCADBC!A$2:G$506,3,0)</f>
        <v>15.04</v>
      </c>
      <c r="L462">
        <f>VLOOKUP(A462,NYSEARCAGSG!A$2:G$506,3,0)</f>
        <v>14.63</v>
      </c>
      <c r="M462">
        <f>VLOOKUP(A462,NYSEARCAGLD!A$2:G$506,3,0)</f>
        <v>117.6</v>
      </c>
      <c r="N462">
        <f>VLOOKUP(A462,NYSEBP!A$2:G$506,3,0)</f>
        <v>34.24</v>
      </c>
      <c r="O462">
        <f>VLOOKUP(A462,NASDAQYHOO!A$2:G$506,3,0)</f>
        <v>47.16</v>
      </c>
    </row>
    <row r="463" spans="1:15">
      <c r="A463" s="39">
        <v>42815</v>
      </c>
      <c r="B463">
        <v>70.400000000000006</v>
      </c>
      <c r="C463">
        <f>VLOOKUP(A463,NYSEARCAVTI!A$2:G$506,3,0)</f>
        <v>122.72</v>
      </c>
      <c r="D463">
        <f>VLOOKUP(A463,NYSEARCAVEU!A$2:G$506,3,0)</f>
        <v>48.4</v>
      </c>
      <c r="E463">
        <f>VLOOKUP(A463,NYSEARCAVWO!A$2:G$506,3,0)</f>
        <v>40.630000000000003</v>
      </c>
      <c r="F463">
        <f>VLOOKUP(A463,NYSEARCABND!A$2:G$506,3,0)</f>
        <v>80.930000000000007</v>
      </c>
      <c r="G463">
        <f>VLOOKUP(A463,NYSEARCATIP!A$2:G$506,3,0)</f>
        <v>114.22</v>
      </c>
      <c r="H463">
        <f>VLOOKUP(A463,NYSEARCAMUB!A$2:G$506,3,0)</f>
        <v>108.5</v>
      </c>
      <c r="I463">
        <f>VLOOKUP(A463,NYSEARCAVNQ!A$2:G$506,3,0)</f>
        <v>82.72</v>
      </c>
      <c r="J463">
        <f>VLOOKUP(A463,NYSEARCARWX!A$2:G$506,3,0)</f>
        <v>37.35</v>
      </c>
      <c r="K463">
        <f>VLOOKUP(A463,NYSEARCADBC!A$2:G$506,3,0)</f>
        <v>15.06</v>
      </c>
      <c r="L463">
        <f>VLOOKUP(A463,NYSEARCAGSG!A$2:G$506,3,0)</f>
        <v>14.6</v>
      </c>
      <c r="M463">
        <f>VLOOKUP(A463,NYSEARCAGLD!A$2:G$506,3,0)</f>
        <v>118.8</v>
      </c>
      <c r="N463">
        <f>VLOOKUP(A463,NYSEBP!A$2:G$506,3,0)</f>
        <v>34.53</v>
      </c>
      <c r="O463">
        <f>VLOOKUP(A463,NASDAQYHOO!A$2:G$506,3,0)</f>
        <v>47.19</v>
      </c>
    </row>
    <row r="464" spans="1:15">
      <c r="A464" s="39">
        <v>42816</v>
      </c>
      <c r="B464">
        <v>70.34</v>
      </c>
      <c r="C464">
        <f>VLOOKUP(A464,NYSEARCAVTI!A$2:G$506,3,0)</f>
        <v>120.91</v>
      </c>
      <c r="D464">
        <f>VLOOKUP(A464,NYSEARCAVEU!A$2:G$506,3,0)</f>
        <v>47.67</v>
      </c>
      <c r="E464">
        <f>VLOOKUP(A464,NYSEARCAVWO!A$2:G$506,3,0)</f>
        <v>40.18</v>
      </c>
      <c r="F464">
        <f>VLOOKUP(A464,NYSEARCABND!A$2:G$506,3,0)</f>
        <v>81.11</v>
      </c>
      <c r="G464">
        <f>VLOOKUP(A464,NYSEARCATIP!A$2:G$506,3,0)</f>
        <v>114.33</v>
      </c>
      <c r="H464">
        <f>VLOOKUP(A464,NYSEARCAMUB!A$2:G$506,3,0)</f>
        <v>108.67</v>
      </c>
      <c r="I464">
        <f>VLOOKUP(A464,NYSEARCAVNQ!A$2:G$506,3,0)</f>
        <v>81.56</v>
      </c>
      <c r="J464">
        <f>VLOOKUP(A464,NYSEARCARWX!A$2:G$506,3,0)</f>
        <v>37.22</v>
      </c>
      <c r="K464">
        <f>VLOOKUP(A464,NYSEARCADBC!A$2:G$506,3,0)</f>
        <v>14.94</v>
      </c>
      <c r="L464">
        <f>VLOOKUP(A464,NYSEARCAGSG!A$2:G$506,3,0)</f>
        <v>14.46</v>
      </c>
      <c r="M464">
        <f>VLOOKUP(A464,NYSEARCAGLD!A$2:G$506,3,0)</f>
        <v>119.15</v>
      </c>
      <c r="N464">
        <f>VLOOKUP(A464,NYSEBP!A$2:G$506,3,0)</f>
        <v>34.090000000000003</v>
      </c>
      <c r="O464">
        <f>VLOOKUP(A464,NASDAQYHOO!A$2:G$506,3,0)</f>
        <v>46.14</v>
      </c>
    </row>
    <row r="465" spans="1:15">
      <c r="A465" s="39">
        <v>42817</v>
      </c>
      <c r="B465">
        <v>70.31</v>
      </c>
      <c r="C465">
        <f>VLOOKUP(A465,NYSEARCAVTI!A$2:G$506,3,0)</f>
        <v>121.39</v>
      </c>
      <c r="D465">
        <f>VLOOKUP(A465,NYSEARCAVEU!A$2:G$506,3,0)</f>
        <v>47.84</v>
      </c>
      <c r="E465">
        <f>VLOOKUP(A465,NYSEARCAVWO!A$2:G$506,3,0)</f>
        <v>40.229999999999997</v>
      </c>
      <c r="F465">
        <f>VLOOKUP(A465,NYSEARCABND!A$2:G$506,3,0)</f>
        <v>81.099999999999994</v>
      </c>
      <c r="G465">
        <f>VLOOKUP(A465,NYSEARCATIP!A$2:G$506,3,0)</f>
        <v>114.3</v>
      </c>
      <c r="H465">
        <f>VLOOKUP(A465,NYSEARCAMUB!A$2:G$506,3,0)</f>
        <v>108.77</v>
      </c>
      <c r="I465">
        <f>VLOOKUP(A465,NYSEARCAVNQ!A$2:G$506,3,0)</f>
        <v>82.63</v>
      </c>
      <c r="J465">
        <f>VLOOKUP(A465,NYSEARCARWX!A$2:G$506,3,0)</f>
        <v>37.35</v>
      </c>
      <c r="K465">
        <f>VLOOKUP(A465,NYSEARCADBC!A$2:G$506,3,0)</f>
        <v>14.89</v>
      </c>
      <c r="L465">
        <f>VLOOKUP(A465,NYSEARCAGSG!A$2:G$506,3,0)</f>
        <v>14.41</v>
      </c>
      <c r="M465">
        <f>VLOOKUP(A465,NYSEARCAGLD!A$2:G$506,3,0)</f>
        <v>119.25</v>
      </c>
      <c r="N465">
        <f>VLOOKUP(A465,NYSEBP!A$2:G$506,3,0)</f>
        <v>34.270000000000003</v>
      </c>
      <c r="O465">
        <f>VLOOKUP(A465,NASDAQYHOO!A$2:G$506,3,0)</f>
        <v>46.78</v>
      </c>
    </row>
    <row r="466" spans="1:15">
      <c r="A466" s="39">
        <v>42818</v>
      </c>
      <c r="B466">
        <v>70.17</v>
      </c>
      <c r="C466">
        <f>VLOOKUP(A466,NYSEARCAVTI!A$2:G$506,3,0)</f>
        <v>120.74</v>
      </c>
      <c r="D466">
        <f>VLOOKUP(A466,NYSEARCAVEU!A$2:G$506,3,0)</f>
        <v>47.94</v>
      </c>
      <c r="E466">
        <f>VLOOKUP(A466,NYSEARCAVWO!A$2:G$506,3,0)</f>
        <v>40.28</v>
      </c>
      <c r="F466">
        <f>VLOOKUP(A466,NYSEARCABND!A$2:G$506,3,0)</f>
        <v>81.069999999999993</v>
      </c>
      <c r="G466">
        <f>VLOOKUP(A466,NYSEARCATIP!A$2:G$506,3,0)</f>
        <v>114.69</v>
      </c>
      <c r="H466">
        <f>VLOOKUP(A466,NYSEARCAMUB!A$2:G$506,3,0)</f>
        <v>108.8</v>
      </c>
      <c r="I466">
        <f>VLOOKUP(A466,NYSEARCAVNQ!A$2:G$506,3,0)</f>
        <v>82.45</v>
      </c>
      <c r="J466">
        <f>VLOOKUP(A466,NYSEARCARWX!A$2:G$506,3,0)</f>
        <v>37.43</v>
      </c>
      <c r="K466">
        <f>VLOOKUP(A466,NYSEARCADBC!A$2:G$506,3,0)</f>
        <v>14.92</v>
      </c>
      <c r="L466">
        <f>VLOOKUP(A466,NYSEARCAGSG!A$2:G$506,3,0)</f>
        <v>14.44</v>
      </c>
      <c r="M466">
        <f>VLOOKUP(A466,NYSEARCAGLD!A$2:G$506,3,0)</f>
        <v>119.21</v>
      </c>
      <c r="N466">
        <f>VLOOKUP(A466,NYSEBP!A$2:G$506,3,0)</f>
        <v>33.909999999999997</v>
      </c>
      <c r="O466">
        <f>VLOOKUP(A466,NASDAQYHOO!A$2:G$506,3,0)</f>
        <v>46.86</v>
      </c>
    </row>
    <row r="467" spans="1:15">
      <c r="A467" s="39">
        <v>42821</v>
      </c>
      <c r="B467">
        <v>70.069999999999993</v>
      </c>
      <c r="C467">
        <f>VLOOKUP(A467,NYSEARCAVTI!A$2:G$506,3,0)</f>
        <v>120.19</v>
      </c>
      <c r="D467">
        <f>VLOOKUP(A467,NYSEARCAVEU!A$2:G$506,3,0)</f>
        <v>47.98</v>
      </c>
      <c r="E467">
        <f>VLOOKUP(A467,NYSEARCAVWO!A$2:G$506,3,0)</f>
        <v>40.15</v>
      </c>
      <c r="F467">
        <f>VLOOKUP(A467,NYSEARCABND!A$2:G$506,3,0)</f>
        <v>81.22</v>
      </c>
      <c r="G467">
        <f>VLOOKUP(A467,NYSEARCATIP!A$2:G$506,3,0)</f>
        <v>114.78</v>
      </c>
      <c r="H467">
        <f>VLOOKUP(A467,NYSEARCAMUB!A$2:G$506,3,0)</f>
        <v>108.95</v>
      </c>
      <c r="I467">
        <f>VLOOKUP(A467,NYSEARCAVNQ!A$2:G$506,3,0)</f>
        <v>82.12</v>
      </c>
      <c r="J467">
        <f>VLOOKUP(A467,NYSEARCARWX!A$2:G$506,3,0)</f>
        <v>37.46</v>
      </c>
      <c r="K467">
        <f>VLOOKUP(A467,NYSEARCADBC!A$2:G$506,3,0)</f>
        <v>14.9</v>
      </c>
      <c r="L467">
        <f>VLOOKUP(A467,NYSEARCAGSG!A$2:G$506,3,0)</f>
        <v>14.39</v>
      </c>
      <c r="M467">
        <f>VLOOKUP(A467,NYSEARCAGLD!A$2:G$506,3,0)</f>
        <v>120.08</v>
      </c>
      <c r="N467">
        <f>VLOOKUP(A467,NYSEBP!A$2:G$506,3,0)</f>
        <v>33.85</v>
      </c>
      <c r="O467">
        <f>VLOOKUP(A467,NASDAQYHOO!A$2:G$506,3,0)</f>
        <v>46.48</v>
      </c>
    </row>
    <row r="468" spans="1:15">
      <c r="A468" s="39">
        <v>42822</v>
      </c>
      <c r="B468">
        <v>70.37</v>
      </c>
      <c r="C468">
        <f>VLOOKUP(A468,NYSEARCAVTI!A$2:G$506,3,0)</f>
        <v>121.14</v>
      </c>
      <c r="D468">
        <f>VLOOKUP(A468,NYSEARCAVEU!A$2:G$506,3,0)</f>
        <v>48.18</v>
      </c>
      <c r="E468">
        <f>VLOOKUP(A468,NYSEARCAVWO!A$2:G$506,3,0)</f>
        <v>40.28</v>
      </c>
      <c r="F468">
        <f>VLOOKUP(A468,NYSEARCABND!A$2:G$506,3,0)</f>
        <v>81.23</v>
      </c>
      <c r="G468">
        <f>VLOOKUP(A468,NYSEARCATIP!A$2:G$506,3,0)</f>
        <v>114.73</v>
      </c>
      <c r="H468">
        <f>VLOOKUP(A468,NYSEARCAMUB!A$2:G$506,3,0)</f>
        <v>109</v>
      </c>
      <c r="I468">
        <f>VLOOKUP(A468,NYSEARCAVNQ!A$2:G$506,3,0)</f>
        <v>81.61</v>
      </c>
      <c r="J468">
        <f>VLOOKUP(A468,NYSEARCARWX!A$2:G$506,3,0)</f>
        <v>37.4</v>
      </c>
      <c r="K468">
        <f>VLOOKUP(A468,NYSEARCADBC!A$2:G$506,3,0)</f>
        <v>15.06</v>
      </c>
      <c r="L468">
        <f>VLOOKUP(A468,NYSEARCAGSG!A$2:G$506,3,0)</f>
        <v>14.55</v>
      </c>
      <c r="M468">
        <f>VLOOKUP(A468,NYSEARCAGLD!A$2:G$506,3,0)</f>
        <v>119.83</v>
      </c>
      <c r="N468">
        <f>VLOOKUP(A468,NYSEBP!A$2:G$506,3,0)</f>
        <v>34.06</v>
      </c>
      <c r="O468">
        <f>VLOOKUP(A468,NASDAQYHOO!A$2:G$506,3,0)</f>
        <v>46.76</v>
      </c>
    </row>
    <row r="469" spans="1:15">
      <c r="A469" s="39">
        <v>42823</v>
      </c>
      <c r="B469">
        <v>71.180000000000007</v>
      </c>
      <c r="C469">
        <f>VLOOKUP(A469,NYSEARCAVTI!A$2:G$506,3,0)</f>
        <v>121.23</v>
      </c>
      <c r="D469">
        <f>VLOOKUP(A469,NYSEARCAVEU!A$2:G$506,3,0)</f>
        <v>48.18</v>
      </c>
      <c r="E469">
        <f>VLOOKUP(A469,NYSEARCAVWO!A$2:G$506,3,0)</f>
        <v>40.26</v>
      </c>
      <c r="F469">
        <f>VLOOKUP(A469,NYSEARCABND!A$2:G$506,3,0)</f>
        <v>81.16</v>
      </c>
      <c r="G469">
        <f>VLOOKUP(A469,NYSEARCATIP!A$2:G$506,3,0)</f>
        <v>114.67</v>
      </c>
      <c r="H469">
        <f>VLOOKUP(A469,NYSEARCAMUB!A$2:G$506,3,0)</f>
        <v>109.1</v>
      </c>
      <c r="I469">
        <f>VLOOKUP(A469,NYSEARCAVNQ!A$2:G$506,3,0)</f>
        <v>81.96</v>
      </c>
      <c r="J469">
        <f>VLOOKUP(A469,NYSEARCARWX!A$2:G$506,3,0)</f>
        <v>37.44</v>
      </c>
      <c r="K469">
        <f>VLOOKUP(A469,NYSEARCADBC!A$2:G$506,3,0)</f>
        <v>15.14</v>
      </c>
      <c r="L469">
        <f>VLOOKUP(A469,NYSEARCAGSG!A$2:G$506,3,0)</f>
        <v>14.66</v>
      </c>
      <c r="M469">
        <f>VLOOKUP(A469,NYSEARCAGLD!A$2:G$506,3,0)</f>
        <v>119.45</v>
      </c>
      <c r="N469">
        <f>VLOOKUP(A469,NYSEBP!A$2:G$506,3,0)</f>
        <v>34.5</v>
      </c>
      <c r="O469">
        <f>VLOOKUP(A469,NASDAQYHOO!A$2:G$506,3,0)</f>
        <v>46.84</v>
      </c>
    </row>
    <row r="470" spans="1:15">
      <c r="A470" s="39">
        <v>42824</v>
      </c>
      <c r="B470">
        <v>71.72</v>
      </c>
      <c r="C470">
        <f>VLOOKUP(A470,NYSEARCAVTI!A$2:G$506,3,0)</f>
        <v>121.62</v>
      </c>
      <c r="D470">
        <f>VLOOKUP(A470,NYSEARCAVEU!A$2:G$506,3,0)</f>
        <v>48.15</v>
      </c>
      <c r="E470">
        <f>VLOOKUP(A470,NYSEARCAVWO!A$2:G$506,3,0)</f>
        <v>40.19</v>
      </c>
      <c r="F470">
        <f>VLOOKUP(A470,NYSEARCABND!A$2:G$506,3,0)</f>
        <v>81.11</v>
      </c>
      <c r="G470">
        <f>VLOOKUP(A470,NYSEARCATIP!A$2:G$506,3,0)</f>
        <v>114.57</v>
      </c>
      <c r="H470">
        <f>VLOOKUP(A470,NYSEARCAMUB!A$2:G$506,3,0)</f>
        <v>109.06</v>
      </c>
      <c r="I470">
        <f>VLOOKUP(A470,NYSEARCAVNQ!A$2:G$506,3,0)</f>
        <v>82.22</v>
      </c>
      <c r="J470">
        <f>VLOOKUP(A470,NYSEARCARWX!A$2:G$506,3,0)</f>
        <v>37.36</v>
      </c>
      <c r="K470">
        <f>VLOOKUP(A470,NYSEARCADBC!A$2:G$506,3,0)</f>
        <v>15.22</v>
      </c>
      <c r="L470">
        <f>VLOOKUP(A470,NYSEARCAGSG!A$2:G$506,3,0)</f>
        <v>14.78</v>
      </c>
      <c r="M470">
        <f>VLOOKUP(A470,NYSEARCAGLD!A$2:G$506,3,0)</f>
        <v>119.12</v>
      </c>
      <c r="N470">
        <f>VLOOKUP(A470,NYSEBP!A$2:G$506,3,0)</f>
        <v>34.61</v>
      </c>
      <c r="O470">
        <f>VLOOKUP(A470,NASDAQYHOO!A$2:G$506,3,0)</f>
        <v>47.04</v>
      </c>
    </row>
    <row r="471" spans="1:15">
      <c r="A471" s="39">
        <v>42825</v>
      </c>
      <c r="B471">
        <v>72.56</v>
      </c>
      <c r="C471">
        <f>VLOOKUP(A471,NYSEARCAVTI!A$2:G$506,3,0)</f>
        <v>121.72</v>
      </c>
      <c r="D471">
        <f>VLOOKUP(A471,NYSEARCAVEU!A$2:G$506,3,0)</f>
        <v>47.94</v>
      </c>
      <c r="E471">
        <f>VLOOKUP(A471,NYSEARCAVWO!A$2:G$506,3,0)</f>
        <v>39.880000000000003</v>
      </c>
      <c r="F471">
        <f>VLOOKUP(A471,NYSEARCABND!A$2:G$506,3,0)</f>
        <v>81.099999999999994</v>
      </c>
      <c r="G471">
        <f>VLOOKUP(A471,NYSEARCATIP!A$2:G$506,3,0)</f>
        <v>114.65</v>
      </c>
      <c r="H471">
        <f>VLOOKUP(A471,NYSEARCAMUB!A$2:G$506,3,0)</f>
        <v>108.99</v>
      </c>
      <c r="I471">
        <f>VLOOKUP(A471,NYSEARCAVNQ!A$2:G$506,3,0)</f>
        <v>82.89</v>
      </c>
      <c r="J471">
        <f>VLOOKUP(A471,NYSEARCARWX!A$2:G$506,3,0)</f>
        <v>37.43</v>
      </c>
      <c r="K471">
        <f>VLOOKUP(A471,NYSEARCADBC!A$2:G$506,3,0)</f>
        <v>15.25</v>
      </c>
      <c r="L471">
        <f>VLOOKUP(A471,NYSEARCAGSG!A$2:G$506,3,0)</f>
        <v>14.82</v>
      </c>
      <c r="M471">
        <f>VLOOKUP(A471,NYSEARCAGLD!A$2:G$506,3,0)</f>
        <v>119.08</v>
      </c>
      <c r="N471">
        <f>VLOOKUP(A471,NYSEBP!A$2:G$506,3,0)</f>
        <v>34.53</v>
      </c>
      <c r="O471">
        <f>VLOOKUP(A471,NASDAQYHOO!A$2:G$506,3,0)</f>
        <v>46.7</v>
      </c>
    </row>
    <row r="472" spans="1:15">
      <c r="A472" s="39">
        <v>42828</v>
      </c>
      <c r="B472">
        <v>72.53</v>
      </c>
      <c r="C472">
        <f>VLOOKUP(A472,NYSEARCAVTI!A$2:G$506,3,0)</f>
        <v>121.5</v>
      </c>
      <c r="D472">
        <f>VLOOKUP(A472,NYSEARCAVEU!A$2:G$506,3,0)</f>
        <v>47.87</v>
      </c>
      <c r="E472">
        <f>VLOOKUP(A472,NYSEARCAVWO!A$2:G$506,3,0)</f>
        <v>40.04</v>
      </c>
      <c r="F472">
        <f>VLOOKUP(A472,NYSEARCABND!A$2:G$506,3,0)</f>
        <v>81.2</v>
      </c>
      <c r="G472">
        <f>VLOOKUP(A472,NYSEARCATIP!A$2:G$506,3,0)</f>
        <v>114.92</v>
      </c>
      <c r="H472">
        <f>VLOOKUP(A472,NYSEARCAMUB!A$2:G$506,3,0)</f>
        <v>108.82</v>
      </c>
      <c r="I472">
        <f>VLOOKUP(A472,NYSEARCAVNQ!A$2:G$506,3,0)</f>
        <v>82.98</v>
      </c>
      <c r="J472">
        <f>VLOOKUP(A472,NYSEARCARWX!A$2:G$506,3,0)</f>
        <v>37.380000000000003</v>
      </c>
      <c r="K472">
        <f>VLOOKUP(A472,NYSEARCADBC!A$2:G$506,3,0)</f>
        <v>15.27</v>
      </c>
      <c r="L472">
        <f>VLOOKUP(A472,NYSEARCAGSG!A$2:G$506,3,0)</f>
        <v>14.82</v>
      </c>
      <c r="M472">
        <f>VLOOKUP(A472,NYSEARCAGLD!A$2:G$506,3,0)</f>
        <v>119.37</v>
      </c>
      <c r="N472">
        <f>VLOOKUP(A472,NYSEBP!A$2:G$506,3,0)</f>
        <v>34.630000000000003</v>
      </c>
      <c r="O472">
        <f>VLOOKUP(A472,NASDAQYHOO!A$2:G$506,3,0)</f>
        <v>46.85</v>
      </c>
    </row>
    <row r="473" spans="1:15">
      <c r="A473" s="39">
        <v>42829</v>
      </c>
      <c r="B473">
        <v>72.06</v>
      </c>
      <c r="C473">
        <f>VLOOKUP(A473,NYSEARCAVTI!A$2:G$506,3,0)</f>
        <v>121.1</v>
      </c>
      <c r="D473">
        <f>VLOOKUP(A473,NYSEARCAVEU!A$2:G$506,3,0)</f>
        <v>47.89</v>
      </c>
      <c r="E473">
        <f>VLOOKUP(A473,NYSEARCAVWO!A$2:G$506,3,0)</f>
        <v>40.15</v>
      </c>
      <c r="F473">
        <f>VLOOKUP(A473,NYSEARCABND!A$2:G$506,3,0)</f>
        <v>81.180000000000007</v>
      </c>
      <c r="G473">
        <f>VLOOKUP(A473,NYSEARCATIP!A$2:G$506,3,0)</f>
        <v>114.82</v>
      </c>
      <c r="H473">
        <f>VLOOKUP(A473,NYSEARCAMUB!A$2:G$506,3,0)</f>
        <v>108.94</v>
      </c>
      <c r="I473">
        <f>VLOOKUP(A473,NYSEARCAVNQ!A$2:G$506,3,0)</f>
        <v>83.37</v>
      </c>
      <c r="J473">
        <f>VLOOKUP(A473,NYSEARCARWX!A$2:G$506,3,0)</f>
        <v>37.44</v>
      </c>
      <c r="K473">
        <f>VLOOKUP(A473,NYSEARCADBC!A$2:G$506,3,0)</f>
        <v>15.32</v>
      </c>
      <c r="L473">
        <f>VLOOKUP(A473,NYSEARCAGSG!A$2:G$506,3,0)</f>
        <v>14.85</v>
      </c>
      <c r="M473">
        <f>VLOOKUP(A473,NYSEARCAGLD!A$2:G$506,3,0)</f>
        <v>119.77</v>
      </c>
      <c r="N473">
        <f>VLOOKUP(A473,NYSEBP!A$2:G$506,3,0)</f>
        <v>34.799999999999997</v>
      </c>
      <c r="O473">
        <f>VLOOKUP(A473,NASDAQYHOO!A$2:G$506,3,0)</f>
        <v>46.47</v>
      </c>
    </row>
    <row r="474" spans="1:15">
      <c r="A474" s="39">
        <v>42830</v>
      </c>
      <c r="B474">
        <v>72.31</v>
      </c>
      <c r="C474">
        <f>VLOOKUP(A474,NYSEARCAVTI!A$2:G$506,3,0)</f>
        <v>122.02</v>
      </c>
      <c r="D474">
        <f>VLOOKUP(A474,NYSEARCAVEU!A$2:G$506,3,0)</f>
        <v>48.03</v>
      </c>
      <c r="E474">
        <f>VLOOKUP(A474,NYSEARCAVWO!A$2:G$506,3,0)</f>
        <v>40.409999999999997</v>
      </c>
      <c r="F474">
        <f>VLOOKUP(A474,NYSEARCABND!A$2:G$506,3,0)</f>
        <v>81.239999999999995</v>
      </c>
      <c r="G474">
        <f>VLOOKUP(A474,NYSEARCATIP!A$2:G$506,3,0)</f>
        <v>114.97</v>
      </c>
      <c r="H474">
        <f>VLOOKUP(A474,NYSEARCAMUB!A$2:G$506,3,0)</f>
        <v>109.03</v>
      </c>
      <c r="I474">
        <f>VLOOKUP(A474,NYSEARCAVNQ!A$2:G$506,3,0)</f>
        <v>83.41</v>
      </c>
      <c r="J474">
        <f>VLOOKUP(A474,NYSEARCARWX!A$2:G$506,3,0)</f>
        <v>37.549999999999997</v>
      </c>
      <c r="K474">
        <f>VLOOKUP(A474,NYSEARCADBC!A$2:G$506,3,0)</f>
        <v>15.47</v>
      </c>
      <c r="L474">
        <f>VLOOKUP(A474,NYSEARCAGSG!A$2:G$506,3,0)</f>
        <v>14.99</v>
      </c>
      <c r="M474">
        <f>VLOOKUP(A474,NYSEARCAGLD!A$2:G$506,3,0)</f>
        <v>119.63</v>
      </c>
      <c r="N474">
        <f>VLOOKUP(A474,NYSEBP!A$2:G$506,3,0)</f>
        <v>35.270000000000003</v>
      </c>
      <c r="O474">
        <f>VLOOKUP(A474,NASDAQYHOO!A$2:G$506,3,0)</f>
        <v>46.92</v>
      </c>
    </row>
    <row r="475" spans="1:15">
      <c r="A475" s="39">
        <v>42831</v>
      </c>
      <c r="B475">
        <v>72.099999999999994</v>
      </c>
      <c r="C475">
        <f>VLOOKUP(A475,NYSEARCAVTI!A$2:G$506,3,0)</f>
        <v>121.26</v>
      </c>
      <c r="D475">
        <f>VLOOKUP(A475,NYSEARCAVEU!A$2:G$506,3,0)</f>
        <v>47.73</v>
      </c>
      <c r="E475">
        <f>VLOOKUP(A475,NYSEARCAVWO!A$2:G$506,3,0)</f>
        <v>40.07</v>
      </c>
      <c r="F475">
        <f>VLOOKUP(A475,NYSEARCABND!A$2:G$506,3,0)</f>
        <v>81.23</v>
      </c>
      <c r="G475">
        <f>VLOOKUP(A475,NYSEARCATIP!A$2:G$506,3,0)</f>
        <v>114.89</v>
      </c>
      <c r="H475">
        <f>VLOOKUP(A475,NYSEARCAMUB!A$2:G$506,3,0)</f>
        <v>109.09</v>
      </c>
      <c r="I475">
        <f>VLOOKUP(A475,NYSEARCAVNQ!A$2:G$506,3,0)</f>
        <v>83.54</v>
      </c>
      <c r="J475">
        <f>VLOOKUP(A475,NYSEARCARWX!A$2:G$506,3,0)</f>
        <v>37.74</v>
      </c>
      <c r="K475">
        <f>VLOOKUP(A475,NYSEARCADBC!A$2:G$506,3,0)</f>
        <v>15.44</v>
      </c>
      <c r="L475">
        <f>VLOOKUP(A475,NYSEARCAGSG!A$2:G$506,3,0)</f>
        <v>14.98</v>
      </c>
      <c r="M475">
        <f>VLOOKUP(A475,NYSEARCAGLD!A$2:G$506,3,0)</f>
        <v>119.42</v>
      </c>
      <c r="N475">
        <f>VLOOKUP(A475,NYSEBP!A$2:G$506,3,0)</f>
        <v>34.93</v>
      </c>
      <c r="O475">
        <f>VLOOKUP(A475,NASDAQYHOO!A$2:G$506,3,0)</f>
        <v>46.43</v>
      </c>
    </row>
    <row r="476" spans="1:15">
      <c r="A476" s="39">
        <v>42832</v>
      </c>
      <c r="B476">
        <v>72.989999999999995</v>
      </c>
      <c r="C476">
        <f>VLOOKUP(A476,NYSEARCAVTI!A$2:G$506,3,0)</f>
        <v>121.29</v>
      </c>
      <c r="D476">
        <f>VLOOKUP(A476,NYSEARCAVEU!A$2:G$506,3,0)</f>
        <v>47.7</v>
      </c>
      <c r="E476">
        <f>VLOOKUP(A476,NYSEARCAVWO!A$2:G$506,3,0)</f>
        <v>40.14</v>
      </c>
      <c r="F476">
        <f>VLOOKUP(A476,NYSEARCABND!A$2:G$506,3,0)</f>
        <v>81.36</v>
      </c>
      <c r="G476">
        <f>VLOOKUP(A476,NYSEARCATIP!A$2:G$506,3,0)</f>
        <v>115.01</v>
      </c>
      <c r="H476">
        <f>VLOOKUP(A476,NYSEARCAMUB!A$2:G$506,3,0)</f>
        <v>109.23</v>
      </c>
      <c r="I476">
        <f>VLOOKUP(A476,NYSEARCAVNQ!A$2:G$506,3,0)</f>
        <v>83.88</v>
      </c>
      <c r="J476">
        <f>VLOOKUP(A476,NYSEARCARWX!A$2:G$506,3,0)</f>
        <v>37.81</v>
      </c>
      <c r="K476">
        <f>VLOOKUP(A476,NYSEARCADBC!A$2:G$506,3,0)</f>
        <v>15.47</v>
      </c>
      <c r="L476">
        <f>VLOOKUP(A476,NYSEARCAGSG!A$2:G$506,3,0)</f>
        <v>15.05</v>
      </c>
      <c r="M476">
        <f>VLOOKUP(A476,NYSEARCAGLD!A$2:G$506,3,0)</f>
        <v>120.67</v>
      </c>
      <c r="N476">
        <f>VLOOKUP(A476,NYSEBP!A$2:G$506,3,0)</f>
        <v>34.99</v>
      </c>
      <c r="O476">
        <f>VLOOKUP(A476,NASDAQYHOO!A$2:G$506,3,0)</f>
        <v>46.53</v>
      </c>
    </row>
    <row r="477" spans="1:15">
      <c r="A477" s="39">
        <v>42835</v>
      </c>
      <c r="B477">
        <v>73.48</v>
      </c>
      <c r="C477">
        <f>VLOOKUP(A477,NYSEARCAVTI!A$2:G$506,3,0)</f>
        <v>121.51</v>
      </c>
      <c r="D477">
        <f>VLOOKUP(A477,NYSEARCAVEU!A$2:G$506,3,0)</f>
        <v>47.6</v>
      </c>
      <c r="E477">
        <f>VLOOKUP(A477,NYSEARCAVWO!A$2:G$506,3,0)</f>
        <v>39.85</v>
      </c>
      <c r="F477">
        <f>VLOOKUP(A477,NYSEARCABND!A$2:G$506,3,0)</f>
        <v>81.19</v>
      </c>
      <c r="G477">
        <f>VLOOKUP(A477,NYSEARCATIP!A$2:G$506,3,0)</f>
        <v>114.67</v>
      </c>
      <c r="H477">
        <f>VLOOKUP(A477,NYSEARCAMUB!A$2:G$506,3,0)</f>
        <v>109.25</v>
      </c>
      <c r="I477">
        <f>VLOOKUP(A477,NYSEARCAVNQ!A$2:G$506,3,0)</f>
        <v>84.16</v>
      </c>
      <c r="J477">
        <f>VLOOKUP(A477,NYSEARCARWX!A$2:G$506,3,0)</f>
        <v>37.58</v>
      </c>
      <c r="K477">
        <f>VLOOKUP(A477,NYSEARCADBC!A$2:G$506,3,0)</f>
        <v>15.53</v>
      </c>
      <c r="L477">
        <f>VLOOKUP(A477,NYSEARCAGSG!A$2:G$506,3,0)</f>
        <v>15.15</v>
      </c>
      <c r="M477">
        <f>VLOOKUP(A477,NYSEARCAGLD!A$2:G$506,3,0)</f>
        <v>119.69</v>
      </c>
      <c r="N477">
        <f>VLOOKUP(A477,NYSEBP!A$2:G$506,3,0)</f>
        <v>35.1</v>
      </c>
      <c r="O477">
        <f>VLOOKUP(A477,NASDAQYHOO!A$2:G$506,3,0)</f>
        <v>47.42</v>
      </c>
    </row>
    <row r="478" spans="1:15">
      <c r="A478" s="39">
        <v>42836</v>
      </c>
      <c r="B478">
        <v>73.45</v>
      </c>
      <c r="C478">
        <f>VLOOKUP(A478,NYSEARCAVTI!A$2:G$506,3,0)</f>
        <v>121</v>
      </c>
      <c r="D478">
        <f>VLOOKUP(A478,NYSEARCAVEU!A$2:G$506,3,0)</f>
        <v>47.7</v>
      </c>
      <c r="E478">
        <f>VLOOKUP(A478,NYSEARCAVWO!A$2:G$506,3,0)</f>
        <v>39.869999999999997</v>
      </c>
      <c r="F478">
        <f>VLOOKUP(A478,NYSEARCABND!A$2:G$506,3,0)</f>
        <v>81.41</v>
      </c>
      <c r="G478">
        <f>VLOOKUP(A478,NYSEARCATIP!A$2:G$506,3,0)</f>
        <v>114.82</v>
      </c>
      <c r="H478">
        <f>VLOOKUP(A478,NYSEARCAMUB!A$2:G$506,3,0)</f>
        <v>109.42</v>
      </c>
      <c r="I478">
        <f>VLOOKUP(A478,NYSEARCAVNQ!A$2:G$506,3,0)</f>
        <v>84.77</v>
      </c>
      <c r="J478">
        <f>VLOOKUP(A478,NYSEARCARWX!A$2:G$506,3,0)</f>
        <v>37.909999999999997</v>
      </c>
      <c r="K478">
        <f>VLOOKUP(A478,NYSEARCADBC!A$2:G$506,3,0)</f>
        <v>15.59</v>
      </c>
      <c r="L478">
        <f>VLOOKUP(A478,NYSEARCAGSG!A$2:G$506,3,0)</f>
        <v>15.19</v>
      </c>
      <c r="M478">
        <f>VLOOKUP(A478,NYSEARCAGLD!A$2:G$506,3,0)</f>
        <v>121.4</v>
      </c>
      <c r="N478">
        <f>VLOOKUP(A478,NYSEBP!A$2:G$506,3,0)</f>
        <v>35.4</v>
      </c>
      <c r="O478">
        <f>VLOOKUP(A478,NASDAQYHOO!A$2:G$506,3,0)</f>
        <v>47.21</v>
      </c>
    </row>
    <row r="479" spans="1:15">
      <c r="A479" s="39">
        <v>42837</v>
      </c>
      <c r="B479">
        <v>73.83</v>
      </c>
      <c r="C479">
        <f>VLOOKUP(A479,NYSEARCAVTI!A$2:G$506,3,0)</f>
        <v>120.99</v>
      </c>
      <c r="D479">
        <f>VLOOKUP(A479,NYSEARCAVEU!A$2:G$506,3,0)</f>
        <v>47.74</v>
      </c>
      <c r="E479">
        <f>VLOOKUP(A479,NYSEARCAVWO!A$2:G$506,3,0)</f>
        <v>39.96</v>
      </c>
      <c r="F479">
        <f>VLOOKUP(A479,NYSEARCABND!A$2:G$506,3,0)</f>
        <v>81.56</v>
      </c>
      <c r="G479">
        <f>VLOOKUP(A479,NYSEARCATIP!A$2:G$506,3,0)</f>
        <v>115.12</v>
      </c>
      <c r="H479">
        <f>VLOOKUP(A479,NYSEARCAMUB!A$2:G$506,3,0)</f>
        <v>109.57</v>
      </c>
      <c r="I479">
        <f>VLOOKUP(A479,NYSEARCAVNQ!A$2:G$506,3,0)</f>
        <v>84.9</v>
      </c>
      <c r="J479">
        <f>VLOOKUP(A479,NYSEARCARWX!A$2:G$506,3,0)</f>
        <v>38.130000000000003</v>
      </c>
      <c r="K479">
        <f>VLOOKUP(A479,NYSEARCADBC!A$2:G$506,3,0)</f>
        <v>15.64</v>
      </c>
      <c r="L479">
        <f>VLOOKUP(A479,NYSEARCAGSG!A$2:G$506,3,0)</f>
        <v>15.25</v>
      </c>
      <c r="M479">
        <f>VLOOKUP(A479,NYSEARCAGLD!A$2:G$506,3,0)</f>
        <v>122.22</v>
      </c>
      <c r="N479">
        <f>VLOOKUP(A479,NYSEBP!A$2:G$506,3,0)</f>
        <v>35.69</v>
      </c>
      <c r="O479">
        <f>VLOOKUP(A479,NASDAQYHOO!A$2:G$506,3,0)</f>
        <v>47.16</v>
      </c>
    </row>
    <row r="480" spans="1:15">
      <c r="A480" s="39">
        <v>42838</v>
      </c>
      <c r="B480">
        <v>73.66</v>
      </c>
      <c r="C480">
        <f>VLOOKUP(A480,NYSEARCAVTI!A$2:G$506,3,0)</f>
        <v>120.56</v>
      </c>
      <c r="D480">
        <f>VLOOKUP(A480,NYSEARCAVEU!A$2:G$506,3,0)</f>
        <v>47.63</v>
      </c>
      <c r="E480">
        <f>VLOOKUP(A480,NYSEARCAVWO!A$2:G$506,3,0)</f>
        <v>40.08</v>
      </c>
      <c r="F480">
        <f>VLOOKUP(A480,NYSEARCABND!A$2:G$506,3,0)</f>
        <v>81.73</v>
      </c>
      <c r="G480">
        <f>VLOOKUP(A480,NYSEARCATIP!A$2:G$506,3,0)</f>
        <v>115.46</v>
      </c>
      <c r="H480">
        <f>VLOOKUP(A480,NYSEARCAMUB!A$2:G$506,3,0)</f>
        <v>109.67</v>
      </c>
      <c r="I480">
        <f>VLOOKUP(A480,NYSEARCAVNQ!A$2:G$506,3,0)</f>
        <v>84.65</v>
      </c>
      <c r="J480">
        <f>VLOOKUP(A480,NYSEARCARWX!A$2:G$506,3,0)</f>
        <v>38.18</v>
      </c>
      <c r="K480">
        <f>VLOOKUP(A480,NYSEARCADBC!A$2:G$506,3,0)</f>
        <v>15.65</v>
      </c>
      <c r="L480">
        <f>VLOOKUP(A480,NYSEARCAGSG!A$2:G$506,3,0)</f>
        <v>15.21</v>
      </c>
      <c r="M480">
        <f>VLOOKUP(A480,NYSEARCAGLD!A$2:G$506,3,0)</f>
        <v>122.65</v>
      </c>
      <c r="N480">
        <f>VLOOKUP(A480,NYSEBP!A$2:G$506,3,0)</f>
        <v>35.44</v>
      </c>
      <c r="O480">
        <f>VLOOKUP(A480,NASDAQYHOO!A$2:G$506,3,0)</f>
        <v>47.11</v>
      </c>
    </row>
    <row r="481" spans="1:15">
      <c r="A481" s="39">
        <v>42842</v>
      </c>
      <c r="B481">
        <v>73.58</v>
      </c>
      <c r="C481">
        <f>VLOOKUP(A481,NYSEARCAVTI!A$2:G$506,3,0)</f>
        <v>120.61</v>
      </c>
      <c r="D481">
        <f>VLOOKUP(A481,NYSEARCAVEU!A$2:G$506,3,0)</f>
        <v>47.8</v>
      </c>
      <c r="E481">
        <f>VLOOKUP(A481,NYSEARCAVWO!A$2:G$506,3,0)</f>
        <v>40.090000000000003</v>
      </c>
      <c r="F481">
        <f>VLOOKUP(A481,NYSEARCABND!A$2:G$506,3,0)</f>
        <v>81.73</v>
      </c>
      <c r="G481">
        <f>VLOOKUP(A481,NYSEARCATIP!A$2:G$506,3,0)</f>
        <v>115.18</v>
      </c>
      <c r="H481">
        <f>VLOOKUP(A481,NYSEARCAMUB!A$2:G$506,3,0)</f>
        <v>109.65</v>
      </c>
      <c r="I481">
        <f>VLOOKUP(A481,NYSEARCAVNQ!A$2:G$506,3,0)</f>
        <v>85.31</v>
      </c>
      <c r="J481">
        <f>VLOOKUP(A481,NYSEARCARWX!A$2:G$506,3,0)</f>
        <v>38.53</v>
      </c>
      <c r="K481">
        <f>VLOOKUP(A481,NYSEARCADBC!A$2:G$506,3,0)</f>
        <v>15.63</v>
      </c>
      <c r="L481">
        <f>VLOOKUP(A481,NYSEARCAGSG!A$2:G$506,3,0)</f>
        <v>15.19</v>
      </c>
      <c r="M481">
        <f>VLOOKUP(A481,NYSEARCAGLD!A$2:G$506,3,0)</f>
        <v>123.07</v>
      </c>
      <c r="N481">
        <f>VLOOKUP(A481,NYSEBP!A$2:G$506,3,0)</f>
        <v>35.06</v>
      </c>
      <c r="O481">
        <f>VLOOKUP(A481,NASDAQYHOO!A$2:G$506,3,0)</f>
        <v>47.42</v>
      </c>
    </row>
    <row r="482" spans="1:15">
      <c r="A482" s="39">
        <v>42843</v>
      </c>
      <c r="B482">
        <v>74.099999999999994</v>
      </c>
      <c r="C482">
        <f>VLOOKUP(A482,NYSEARCAVTI!A$2:G$506,3,0)</f>
        <v>120.56</v>
      </c>
      <c r="D482">
        <f>VLOOKUP(A482,NYSEARCAVEU!A$2:G$506,3,0)</f>
        <v>47.5</v>
      </c>
      <c r="E482">
        <f>VLOOKUP(A482,NYSEARCAVWO!A$2:G$506,3,0)</f>
        <v>39.79</v>
      </c>
      <c r="F482">
        <f>VLOOKUP(A482,NYSEARCABND!A$2:G$506,3,0)</f>
        <v>81.97</v>
      </c>
      <c r="G482">
        <f>VLOOKUP(A482,NYSEARCATIP!A$2:G$506,3,0)</f>
        <v>115.31</v>
      </c>
      <c r="H482">
        <f>VLOOKUP(A482,NYSEARCAMUB!A$2:G$506,3,0)</f>
        <v>109.96</v>
      </c>
      <c r="I482">
        <f>VLOOKUP(A482,NYSEARCAVNQ!A$2:G$506,3,0)</f>
        <v>85.6</v>
      </c>
      <c r="J482">
        <f>VLOOKUP(A482,NYSEARCARWX!A$2:G$506,3,0)</f>
        <v>38.51</v>
      </c>
      <c r="K482">
        <f>VLOOKUP(A482,NYSEARCADBC!A$2:G$506,3,0)</f>
        <v>15.49</v>
      </c>
      <c r="L482">
        <f>VLOOKUP(A482,NYSEARCAGSG!A$2:G$506,3,0)</f>
        <v>15.07</v>
      </c>
      <c r="M482">
        <f>VLOOKUP(A482,NYSEARCAGLD!A$2:G$506,3,0)</f>
        <v>123.03</v>
      </c>
      <c r="N482">
        <f>VLOOKUP(A482,NYSEBP!A$2:G$506,3,0)</f>
        <v>34.94</v>
      </c>
      <c r="O482">
        <f>VLOOKUP(A482,NASDAQYHOO!A$2:G$506,3,0)</f>
        <v>47.74</v>
      </c>
    </row>
    <row r="483" spans="1:15">
      <c r="A483" s="39">
        <v>42844</v>
      </c>
      <c r="B483">
        <v>74.38</v>
      </c>
      <c r="C483">
        <f>VLOOKUP(A483,NYSEARCAVTI!A$2:G$506,3,0)</f>
        <v>120.92</v>
      </c>
      <c r="D483">
        <f>VLOOKUP(A483,NYSEARCAVEU!A$2:G$506,3,0)</f>
        <v>47.53</v>
      </c>
      <c r="E483">
        <f>VLOOKUP(A483,NYSEARCAVWO!A$2:G$506,3,0)</f>
        <v>39.68</v>
      </c>
      <c r="F483">
        <f>VLOOKUP(A483,NYSEARCABND!A$2:G$506,3,0)</f>
        <v>81.83</v>
      </c>
      <c r="G483">
        <f>VLOOKUP(A483,NYSEARCATIP!A$2:G$506,3,0)</f>
        <v>115.15</v>
      </c>
      <c r="H483">
        <f>VLOOKUP(A483,NYSEARCAMUB!A$2:G$506,3,0)</f>
        <v>109.93</v>
      </c>
      <c r="I483">
        <f>VLOOKUP(A483,NYSEARCAVNQ!A$2:G$506,3,0)</f>
        <v>85.72</v>
      </c>
      <c r="J483">
        <f>VLOOKUP(A483,NYSEARCARWX!A$2:G$506,3,0)</f>
        <v>38.340000000000003</v>
      </c>
      <c r="K483">
        <f>VLOOKUP(A483,NYSEARCADBC!A$2:G$506,3,0)</f>
        <v>15.48</v>
      </c>
      <c r="L483">
        <f>VLOOKUP(A483,NYSEARCAGSG!A$2:G$506,3,0)</f>
        <v>15.05</v>
      </c>
      <c r="M483">
        <f>VLOOKUP(A483,NYSEARCAGLD!A$2:G$506,3,0)</f>
        <v>122.26</v>
      </c>
      <c r="N483">
        <f>VLOOKUP(A483,NYSEBP!A$2:G$506,3,0)</f>
        <v>34.67</v>
      </c>
      <c r="O483">
        <f>VLOOKUP(A483,NASDAQYHOO!A$2:G$506,3,0)</f>
        <v>47.88</v>
      </c>
    </row>
    <row r="484" spans="1:15">
      <c r="A484" s="39">
        <v>42845</v>
      </c>
      <c r="B484">
        <v>75.11</v>
      </c>
      <c r="C484">
        <f>VLOOKUP(A484,NYSEARCAVTI!A$2:G$506,3,0)</f>
        <v>121.43</v>
      </c>
      <c r="D484">
        <f>VLOOKUP(A484,NYSEARCAVEU!A$2:G$506,3,0)</f>
        <v>47.72</v>
      </c>
      <c r="E484">
        <f>VLOOKUP(A484,NYSEARCAVWO!A$2:G$506,3,0)</f>
        <v>39.76</v>
      </c>
      <c r="F484">
        <f>VLOOKUP(A484,NYSEARCABND!A$2:G$506,3,0)</f>
        <v>81.739999999999995</v>
      </c>
      <c r="G484">
        <f>VLOOKUP(A484,NYSEARCATIP!A$2:G$506,3,0)</f>
        <v>114.96</v>
      </c>
      <c r="H484">
        <f>VLOOKUP(A484,NYSEARCAMUB!A$2:G$506,3,0)</f>
        <v>109.88</v>
      </c>
      <c r="I484">
        <f>VLOOKUP(A484,NYSEARCAVNQ!A$2:G$506,3,0)</f>
        <v>85.47</v>
      </c>
      <c r="J484">
        <f>VLOOKUP(A484,NYSEARCARWX!A$2:G$506,3,0)</f>
        <v>38.380000000000003</v>
      </c>
      <c r="K484">
        <f>VLOOKUP(A484,NYSEARCADBC!A$2:G$506,3,0)</f>
        <v>15.24</v>
      </c>
      <c r="L484">
        <f>VLOOKUP(A484,NYSEARCAGSG!A$2:G$506,3,0)</f>
        <v>14.75</v>
      </c>
      <c r="M484">
        <f>VLOOKUP(A484,NYSEARCAGLD!A$2:G$506,3,0)</f>
        <v>122.17</v>
      </c>
      <c r="N484">
        <f>VLOOKUP(A484,NYSEBP!A$2:G$506,3,0)</f>
        <v>34.4</v>
      </c>
      <c r="O484">
        <f>VLOOKUP(A484,NASDAQYHOO!A$2:G$506,3,0)</f>
        <v>47.84</v>
      </c>
    </row>
    <row r="485" spans="1:15">
      <c r="A485" s="39">
        <v>42846</v>
      </c>
      <c r="B485">
        <v>75.11</v>
      </c>
      <c r="C485">
        <f>VLOOKUP(A485,NYSEARCAVTI!A$2:G$506,3,0)</f>
        <v>121.21</v>
      </c>
      <c r="D485">
        <f>VLOOKUP(A485,NYSEARCAVEU!A$2:G$506,3,0)</f>
        <v>47.68</v>
      </c>
      <c r="E485">
        <f>VLOOKUP(A485,NYSEARCAVWO!A$2:G$506,3,0)</f>
        <v>39.74</v>
      </c>
      <c r="F485">
        <f>VLOOKUP(A485,NYSEARCABND!A$2:G$506,3,0)</f>
        <v>81.790000000000006</v>
      </c>
      <c r="G485">
        <f>VLOOKUP(A485,NYSEARCATIP!A$2:G$506,3,0)</f>
        <v>115</v>
      </c>
      <c r="H485">
        <f>VLOOKUP(A485,NYSEARCAMUB!A$2:G$506,3,0)</f>
        <v>109.85</v>
      </c>
      <c r="I485">
        <f>VLOOKUP(A485,NYSEARCAVNQ!A$2:G$506,3,0)</f>
        <v>85.46</v>
      </c>
      <c r="J485">
        <f>VLOOKUP(A485,NYSEARCARWX!A$2:G$506,3,0)</f>
        <v>38.18</v>
      </c>
      <c r="K485">
        <f>VLOOKUP(A485,NYSEARCADBC!A$2:G$506,3,0)</f>
        <v>15.15</v>
      </c>
      <c r="L485">
        <f>VLOOKUP(A485,NYSEARCAGSG!A$2:G$506,3,0)</f>
        <v>14.67</v>
      </c>
      <c r="M485">
        <f>VLOOKUP(A485,NYSEARCAGLD!A$2:G$506,3,0)</f>
        <v>122.61</v>
      </c>
      <c r="N485">
        <f>VLOOKUP(A485,NYSEBP!A$2:G$506,3,0)</f>
        <v>34.11</v>
      </c>
      <c r="O485">
        <f>VLOOKUP(A485,NASDAQYHOO!A$2:G$506,3,0)</f>
        <v>47.77</v>
      </c>
    </row>
    <row r="486" spans="1:15">
      <c r="A486" s="39">
        <v>42849</v>
      </c>
      <c r="B486">
        <v>75.400000000000006</v>
      </c>
      <c r="C486">
        <f>VLOOKUP(A486,NYSEARCAVTI!A$2:G$506,3,0)</f>
        <v>122.28</v>
      </c>
      <c r="D486">
        <f>VLOOKUP(A486,NYSEARCAVEU!A$2:G$506,3,0)</f>
        <v>48.71</v>
      </c>
      <c r="E486">
        <f>VLOOKUP(A486,NYSEARCAVWO!A$2:G$506,3,0)</f>
        <v>40.229999999999997</v>
      </c>
      <c r="F486">
        <f>VLOOKUP(A486,NYSEARCABND!A$2:G$506,3,0)</f>
        <v>81.59</v>
      </c>
      <c r="G486">
        <f>VLOOKUP(A486,NYSEARCATIP!A$2:G$506,3,0)</f>
        <v>114.82</v>
      </c>
      <c r="H486">
        <f>VLOOKUP(A486,NYSEARCAMUB!A$2:G$506,3,0)</f>
        <v>109.58</v>
      </c>
      <c r="I486">
        <f>VLOOKUP(A486,NYSEARCAVNQ!A$2:G$506,3,0)</f>
        <v>85.55</v>
      </c>
      <c r="J486">
        <f>VLOOKUP(A486,NYSEARCARWX!A$2:G$506,3,0)</f>
        <v>38.42</v>
      </c>
      <c r="K486">
        <f>VLOOKUP(A486,NYSEARCADBC!A$2:G$506,3,0)</f>
        <v>14.97</v>
      </c>
      <c r="L486">
        <f>VLOOKUP(A486,NYSEARCAGSG!A$2:G$506,3,0)</f>
        <v>14.45</v>
      </c>
      <c r="M486">
        <f>VLOOKUP(A486,NYSEARCAGLD!A$2:G$506,3,0)</f>
        <v>121.51</v>
      </c>
      <c r="N486">
        <f>VLOOKUP(A486,NYSEBP!A$2:G$506,3,0)</f>
        <v>34.56</v>
      </c>
      <c r="O486">
        <f>VLOOKUP(A486,NASDAQYHOO!A$2:G$506,3,0)</f>
        <v>48.2</v>
      </c>
    </row>
    <row r="487" spans="1:15">
      <c r="A487" s="39">
        <v>42850</v>
      </c>
      <c r="B487">
        <v>75.17</v>
      </c>
      <c r="C487">
        <f>VLOOKUP(A487,NYSEARCAVTI!A$2:G$506,3,0)</f>
        <v>123.09</v>
      </c>
      <c r="D487">
        <f>VLOOKUP(A487,NYSEARCAVEU!A$2:G$506,3,0)</f>
        <v>49.06</v>
      </c>
      <c r="E487">
        <f>VLOOKUP(A487,NYSEARCAVWO!A$2:G$506,3,0)</f>
        <v>40.53</v>
      </c>
      <c r="F487">
        <f>VLOOKUP(A487,NYSEARCABND!A$2:G$506,3,0)</f>
        <v>81.459999999999994</v>
      </c>
      <c r="G487">
        <f>VLOOKUP(A487,NYSEARCATIP!A$2:G$506,3,0)</f>
        <v>114.76</v>
      </c>
      <c r="H487">
        <f>VLOOKUP(A487,NYSEARCAMUB!A$2:G$506,3,0)</f>
        <v>109.49</v>
      </c>
      <c r="I487">
        <f>VLOOKUP(A487,NYSEARCAVNQ!A$2:G$506,3,0)</f>
        <v>84.64</v>
      </c>
      <c r="J487">
        <f>VLOOKUP(A487,NYSEARCARWX!A$2:G$506,3,0)</f>
        <v>38.56</v>
      </c>
      <c r="K487">
        <f>VLOOKUP(A487,NYSEARCADBC!A$2:G$506,3,0)</f>
        <v>15.01</v>
      </c>
      <c r="L487">
        <f>VLOOKUP(A487,NYSEARCAGSG!A$2:G$506,3,0)</f>
        <v>14.54</v>
      </c>
      <c r="M487">
        <f>VLOOKUP(A487,NYSEARCAGLD!A$2:G$506,3,0)</f>
        <v>120.87</v>
      </c>
      <c r="N487">
        <f>VLOOKUP(A487,NYSEBP!A$2:G$506,3,0)</f>
        <v>34.69</v>
      </c>
      <c r="O487">
        <f>VLOOKUP(A487,NASDAQYHOO!A$2:G$506,3,0)</f>
        <v>48.46</v>
      </c>
    </row>
    <row r="488" spans="1:15">
      <c r="A488" s="39">
        <v>42851</v>
      </c>
      <c r="B488">
        <v>75.77</v>
      </c>
      <c r="C488">
        <f>VLOOKUP(A488,NYSEARCAVTI!A$2:G$506,3,0)</f>
        <v>123.45</v>
      </c>
      <c r="D488">
        <f>VLOOKUP(A488,NYSEARCAVEU!A$2:G$506,3,0)</f>
        <v>49.04</v>
      </c>
      <c r="E488">
        <f>VLOOKUP(A488,NYSEARCAVWO!A$2:G$506,3,0)</f>
        <v>40.47</v>
      </c>
      <c r="F488">
        <f>VLOOKUP(A488,NYSEARCABND!A$2:G$506,3,0)</f>
        <v>81.42</v>
      </c>
      <c r="G488">
        <f>VLOOKUP(A488,NYSEARCATIP!A$2:G$506,3,0)</f>
        <v>114.84</v>
      </c>
      <c r="H488">
        <f>VLOOKUP(A488,NYSEARCAMUB!A$2:G$506,3,0)</f>
        <v>109.41</v>
      </c>
      <c r="I488">
        <f>VLOOKUP(A488,NYSEARCAVNQ!A$2:G$506,3,0)</f>
        <v>84.62</v>
      </c>
      <c r="J488">
        <f>VLOOKUP(A488,NYSEARCARWX!A$2:G$506,3,0)</f>
        <v>38.44</v>
      </c>
      <c r="K488">
        <f>VLOOKUP(A488,NYSEARCADBC!A$2:G$506,3,0)</f>
        <v>15.05</v>
      </c>
      <c r="L488">
        <f>VLOOKUP(A488,NYSEARCAGSG!A$2:G$506,3,0)</f>
        <v>14.59</v>
      </c>
      <c r="M488">
        <f>VLOOKUP(A488,NYSEARCAGLD!A$2:G$506,3,0)</f>
        <v>120.96</v>
      </c>
      <c r="N488">
        <f>VLOOKUP(A488,NYSEBP!A$2:G$506,3,0)</f>
        <v>35.01</v>
      </c>
      <c r="O488">
        <f>VLOOKUP(A488,NASDAQYHOO!A$2:G$506,3,0)</f>
        <v>48.47</v>
      </c>
    </row>
    <row r="489" spans="1:15">
      <c r="A489" s="39">
        <v>42852</v>
      </c>
      <c r="B489">
        <v>75.7</v>
      </c>
      <c r="C489">
        <f>VLOOKUP(A489,NYSEARCAVTI!A$2:G$506,3,0)</f>
        <v>123.21</v>
      </c>
      <c r="D489">
        <f>VLOOKUP(A489,NYSEARCAVEU!A$2:G$506,3,0)</f>
        <v>48.93</v>
      </c>
      <c r="E489">
        <f>VLOOKUP(A489,NYSEARCAVWO!A$2:G$506,3,0)</f>
        <v>40.340000000000003</v>
      </c>
      <c r="F489">
        <f>VLOOKUP(A489,NYSEARCABND!A$2:G$506,3,0)</f>
        <v>81.52</v>
      </c>
      <c r="G489">
        <f>VLOOKUP(A489,NYSEARCATIP!A$2:G$506,3,0)</f>
        <v>114.85</v>
      </c>
      <c r="H489">
        <f>VLOOKUP(A489,NYSEARCAMUB!A$2:G$506,3,0)</f>
        <v>109.45</v>
      </c>
      <c r="I489">
        <f>VLOOKUP(A489,NYSEARCAVNQ!A$2:G$506,3,0)</f>
        <v>84.21</v>
      </c>
      <c r="J489">
        <f>VLOOKUP(A489,NYSEARCARWX!A$2:G$506,3,0)</f>
        <v>38.4</v>
      </c>
      <c r="K489">
        <f>VLOOKUP(A489,NYSEARCADBC!A$2:G$506,3,0)</f>
        <v>14.84</v>
      </c>
      <c r="L489">
        <f>VLOOKUP(A489,NYSEARCAGSG!A$2:G$506,3,0)</f>
        <v>14.42</v>
      </c>
      <c r="M489">
        <f>VLOOKUP(A489,NYSEARCAGLD!A$2:G$506,3,0)</f>
        <v>120.6</v>
      </c>
      <c r="N489">
        <f>VLOOKUP(A489,NYSEBP!A$2:G$506,3,0)</f>
        <v>34.53</v>
      </c>
      <c r="O489">
        <f>VLOOKUP(A489,NASDAQYHOO!A$2:G$506,3,0)</f>
        <v>48.47</v>
      </c>
    </row>
    <row r="490" spans="1:15">
      <c r="A490" s="39">
        <v>42853</v>
      </c>
      <c r="B490">
        <v>75.44</v>
      </c>
      <c r="C490">
        <f>VLOOKUP(A490,NYSEARCAVTI!A$2:G$506,3,0)</f>
        <v>123.21</v>
      </c>
      <c r="D490">
        <f>VLOOKUP(A490,NYSEARCAVEU!A$2:G$506,3,0)</f>
        <v>48.88</v>
      </c>
      <c r="E490">
        <f>VLOOKUP(A490,NYSEARCAVWO!A$2:G$506,3,0)</f>
        <v>40.369999999999997</v>
      </c>
      <c r="F490">
        <f>VLOOKUP(A490,NYSEARCABND!A$2:G$506,3,0)</f>
        <v>81.59</v>
      </c>
      <c r="G490">
        <f>VLOOKUP(A490,NYSEARCATIP!A$2:G$506,3,0)</f>
        <v>115.06</v>
      </c>
      <c r="H490">
        <f>VLOOKUP(A490,NYSEARCAMUB!A$2:G$506,3,0)</f>
        <v>109.38</v>
      </c>
      <c r="I490">
        <f>VLOOKUP(A490,NYSEARCAVNQ!A$2:G$506,3,0)</f>
        <v>83.57</v>
      </c>
      <c r="J490">
        <f>VLOOKUP(A490,NYSEARCARWX!A$2:G$506,3,0)</f>
        <v>38.19</v>
      </c>
      <c r="K490">
        <f>VLOOKUP(A490,NYSEARCADBC!A$2:G$506,3,0)</f>
        <v>14.9</v>
      </c>
      <c r="L490">
        <f>VLOOKUP(A490,NYSEARCAGSG!A$2:G$506,3,0)</f>
        <v>14.49</v>
      </c>
      <c r="M490">
        <f>VLOOKUP(A490,NYSEARCAGLD!A$2:G$506,3,0)</f>
        <v>120.77</v>
      </c>
      <c r="N490">
        <f>VLOOKUP(A490,NYSEBP!A$2:G$506,3,0)</f>
        <v>34.5</v>
      </c>
      <c r="O490">
        <f>VLOOKUP(A490,NASDAQYHOO!A$2:G$506,3,0)</f>
        <v>48.5</v>
      </c>
    </row>
    <row r="491" spans="1:15">
      <c r="A491" s="39">
        <v>42856</v>
      </c>
      <c r="B491">
        <v>75.72</v>
      </c>
      <c r="C491">
        <f>VLOOKUP(A491,NYSEARCAVTI!A$2:G$506,3,0)</f>
        <v>123.19</v>
      </c>
      <c r="D491">
        <f>VLOOKUP(A491,NYSEARCAVEU!A$2:G$506,3,0)</f>
        <v>49.09</v>
      </c>
      <c r="E491">
        <f>VLOOKUP(A491,NYSEARCAVWO!A$2:G$506,3,0)</f>
        <v>40.6</v>
      </c>
      <c r="F491">
        <f>VLOOKUP(A491,NYSEARCABND!A$2:G$506,3,0)</f>
        <v>81.41</v>
      </c>
      <c r="G491">
        <f>VLOOKUP(A491,NYSEARCATIP!A$2:G$506,3,0)</f>
        <v>114.7</v>
      </c>
      <c r="H491">
        <f>VLOOKUP(A491,NYSEARCAMUB!A$2:G$506,3,0)</f>
        <v>109.13</v>
      </c>
      <c r="I491">
        <f>VLOOKUP(A491,NYSEARCAVNQ!A$2:G$506,3,0)</f>
        <v>83.53</v>
      </c>
      <c r="J491">
        <f>VLOOKUP(A491,NYSEARCARWX!A$2:G$506,3,0)</f>
        <v>38.32</v>
      </c>
      <c r="K491">
        <f>VLOOKUP(A491,NYSEARCADBC!A$2:G$506,3,0)</f>
        <v>14.89</v>
      </c>
      <c r="L491">
        <f>VLOOKUP(A491,NYSEARCAGSG!A$2:G$506,3,0)</f>
        <v>14.48</v>
      </c>
      <c r="M491">
        <f>VLOOKUP(A491,NYSEARCAGLD!A$2:G$506,3,0)</f>
        <v>120.75</v>
      </c>
      <c r="N491">
        <f>VLOOKUP(A491,NYSEBP!A$2:G$506,3,0)</f>
        <v>34.590000000000003</v>
      </c>
      <c r="O491">
        <f>VLOOKUP(A491,NASDAQYHOO!A$2:G$506,3,0)</f>
        <v>48.78</v>
      </c>
    </row>
    <row r="492" spans="1:15">
      <c r="A492" s="39">
        <v>42857</v>
      </c>
      <c r="B492">
        <v>75.709999999999994</v>
      </c>
      <c r="C492">
        <f>VLOOKUP(A492,NYSEARCAVTI!A$2:G$506,3,0)</f>
        <v>123.25</v>
      </c>
      <c r="D492">
        <f>VLOOKUP(A492,NYSEARCAVEU!A$2:G$506,3,0)</f>
        <v>49.28</v>
      </c>
      <c r="E492">
        <f>VLOOKUP(A492,NYSEARCAVWO!A$2:G$506,3,0)</f>
        <v>40.74</v>
      </c>
      <c r="F492">
        <f>VLOOKUP(A492,NYSEARCABND!A$2:G$506,3,0)</f>
        <v>81.38</v>
      </c>
      <c r="G492">
        <f>VLOOKUP(A492,NYSEARCATIP!A$2:G$506,3,0)</f>
        <v>114.46</v>
      </c>
      <c r="H492">
        <f>VLOOKUP(A492,NYSEARCAMUB!A$2:G$506,3,0)</f>
        <v>109.08</v>
      </c>
      <c r="I492">
        <f>VLOOKUP(A492,NYSEARCAVNQ!A$2:G$506,3,0)</f>
        <v>83.59</v>
      </c>
      <c r="J492">
        <f>VLOOKUP(A492,NYSEARCARWX!A$2:G$506,3,0)</f>
        <v>38.61</v>
      </c>
      <c r="K492">
        <f>VLOOKUP(A492,NYSEARCADBC!A$2:G$506,3,0)</f>
        <v>14.84</v>
      </c>
      <c r="L492">
        <f>VLOOKUP(A492,NYSEARCAGSG!A$2:G$506,3,0)</f>
        <v>14.46</v>
      </c>
      <c r="M492">
        <f>VLOOKUP(A492,NYSEARCAGLD!A$2:G$506,3,0)</f>
        <v>119.65</v>
      </c>
      <c r="N492">
        <f>VLOOKUP(A492,NYSEBP!A$2:G$506,3,0)</f>
        <v>35.18</v>
      </c>
      <c r="O492">
        <f>VLOOKUP(A492,NASDAQYHOO!A$2:G$506,3,0)</f>
        <v>49.3</v>
      </c>
    </row>
    <row r="493" spans="1:15">
      <c r="A493" s="39">
        <v>42858</v>
      </c>
      <c r="B493">
        <v>75.88</v>
      </c>
      <c r="C493">
        <f>VLOOKUP(A493,NYSEARCAVTI!A$2:G$506,3,0)</f>
        <v>122.78</v>
      </c>
      <c r="D493">
        <f>VLOOKUP(A493,NYSEARCAVEU!A$2:G$506,3,0)</f>
        <v>49.19</v>
      </c>
      <c r="E493">
        <f>VLOOKUP(A493,NYSEARCAVWO!A$2:G$506,3,0)</f>
        <v>40.56</v>
      </c>
      <c r="F493">
        <f>VLOOKUP(A493,NYSEARCABND!A$2:G$506,3,0)</f>
        <v>81.45</v>
      </c>
      <c r="G493">
        <f>VLOOKUP(A493,NYSEARCATIP!A$2:G$506,3,0)</f>
        <v>114.37</v>
      </c>
      <c r="H493">
        <f>VLOOKUP(A493,NYSEARCAMUB!A$2:G$506,3,0)</f>
        <v>109.23</v>
      </c>
      <c r="I493">
        <f>VLOOKUP(A493,NYSEARCAVNQ!A$2:G$506,3,0)</f>
        <v>83.2</v>
      </c>
      <c r="J493">
        <f>VLOOKUP(A493,NYSEARCARWX!A$2:G$506,3,0)</f>
        <v>38.49</v>
      </c>
      <c r="K493">
        <f>VLOOKUP(A493,NYSEARCADBC!A$2:G$506,3,0)</f>
        <v>14.7</v>
      </c>
      <c r="L493">
        <f>VLOOKUP(A493,NYSEARCAGSG!A$2:G$506,3,0)</f>
        <v>14.36</v>
      </c>
      <c r="M493">
        <f>VLOOKUP(A493,NYSEARCAGLD!A$2:G$506,3,0)</f>
        <v>119.34</v>
      </c>
      <c r="N493">
        <f>VLOOKUP(A493,NYSEBP!A$2:G$506,3,0)</f>
        <v>34.79</v>
      </c>
      <c r="O493">
        <f>VLOOKUP(A493,NASDAQYHOO!A$2:G$506,3,0)</f>
        <v>49.19</v>
      </c>
    </row>
    <row r="494" spans="1:15">
      <c r="A494" s="39">
        <v>42859</v>
      </c>
      <c r="B494">
        <v>76.400000000000006</v>
      </c>
      <c r="C494">
        <f>VLOOKUP(A494,NYSEARCAVTI!A$2:G$506,3,0)</f>
        <v>122.83</v>
      </c>
      <c r="D494">
        <f>VLOOKUP(A494,NYSEARCAVEU!A$2:G$506,3,0)</f>
        <v>49.31</v>
      </c>
      <c r="E494">
        <f>VLOOKUP(A494,NYSEARCAVWO!A$2:G$506,3,0)</f>
        <v>40.25</v>
      </c>
      <c r="F494">
        <f>VLOOKUP(A494,NYSEARCABND!A$2:G$506,3,0)</f>
        <v>81.2</v>
      </c>
      <c r="G494">
        <f>VLOOKUP(A494,NYSEARCATIP!A$2:G$506,3,0)</f>
        <v>113.71</v>
      </c>
      <c r="H494">
        <f>VLOOKUP(A494,NYSEARCAMUB!A$2:G$506,3,0)</f>
        <v>109.15</v>
      </c>
      <c r="I494">
        <f>VLOOKUP(A494,NYSEARCAVNQ!A$2:G$506,3,0)</f>
        <v>81.760000000000005</v>
      </c>
      <c r="J494">
        <f>VLOOKUP(A494,NYSEARCARWX!A$2:G$506,3,0)</f>
        <v>38.36</v>
      </c>
      <c r="K494">
        <f>VLOOKUP(A494,NYSEARCADBC!A$2:G$506,3,0)</f>
        <v>14.47</v>
      </c>
      <c r="L494">
        <f>VLOOKUP(A494,NYSEARCAGSG!A$2:G$506,3,0)</f>
        <v>14.16</v>
      </c>
      <c r="M494">
        <f>VLOOKUP(A494,NYSEARCAGLD!A$2:G$506,3,0)</f>
        <v>117.28</v>
      </c>
      <c r="N494">
        <f>VLOOKUP(A494,NYSEBP!A$2:G$506,3,0)</f>
        <v>34.479999999999997</v>
      </c>
      <c r="O494">
        <f>VLOOKUP(A494,NASDAQYHOO!A$2:G$506,3,0)</f>
        <v>48.68</v>
      </c>
    </row>
    <row r="495" spans="1:15">
      <c r="A495" s="39">
        <v>42860</v>
      </c>
      <c r="B495">
        <v>76.599999999999994</v>
      </c>
      <c r="C495">
        <f>VLOOKUP(A495,NYSEARCAVTI!A$2:G$506,3,0)</f>
        <v>123.33</v>
      </c>
      <c r="D495">
        <f>VLOOKUP(A495,NYSEARCAVEU!A$2:G$506,3,0)</f>
        <v>49.78</v>
      </c>
      <c r="E495">
        <f>VLOOKUP(A495,NYSEARCAVWO!A$2:G$506,3,0)</f>
        <v>40.229999999999997</v>
      </c>
      <c r="F495">
        <f>VLOOKUP(A495,NYSEARCABND!A$2:G$506,3,0)</f>
        <v>81.239999999999995</v>
      </c>
      <c r="G495">
        <f>VLOOKUP(A495,NYSEARCATIP!A$2:G$506,3,0)</f>
        <v>113.77</v>
      </c>
      <c r="H495">
        <f>VLOOKUP(A495,NYSEARCAMUB!A$2:G$506,3,0)</f>
        <v>109.23</v>
      </c>
      <c r="I495">
        <f>VLOOKUP(A495,NYSEARCAVNQ!A$2:G$506,3,0)</f>
        <v>82.4</v>
      </c>
      <c r="J495">
        <f>VLOOKUP(A495,NYSEARCARWX!A$2:G$506,3,0)</f>
        <v>38.619999999999997</v>
      </c>
      <c r="K495">
        <f>VLOOKUP(A495,NYSEARCADBC!A$2:G$506,3,0)</f>
        <v>14.49</v>
      </c>
      <c r="L495">
        <f>VLOOKUP(A495,NYSEARCAGSG!A$2:G$506,3,0)</f>
        <v>14.1</v>
      </c>
      <c r="M495">
        <f>VLOOKUP(A495,NYSEARCAGLD!A$2:G$506,3,0)</f>
        <v>117.07</v>
      </c>
      <c r="N495">
        <f>VLOOKUP(A495,NYSEBP!A$2:G$506,3,0)</f>
        <v>35.32</v>
      </c>
      <c r="O495">
        <f>VLOOKUP(A495,NASDAQYHOO!A$2:G$506,3,0)</f>
        <v>48.66</v>
      </c>
    </row>
    <row r="496" spans="1:15">
      <c r="A496" s="39">
        <v>42863</v>
      </c>
      <c r="B496">
        <v>76.52</v>
      </c>
      <c r="C496">
        <f>VLOOKUP(A496,NYSEARCAVTI!A$2:G$506,3,0)</f>
        <v>123.45</v>
      </c>
      <c r="D496">
        <f>VLOOKUP(A496,NYSEARCAVEU!A$2:G$506,3,0)</f>
        <v>49.6</v>
      </c>
      <c r="E496">
        <f>VLOOKUP(A496,NYSEARCAVWO!A$2:G$506,3,0)</f>
        <v>40.21</v>
      </c>
      <c r="F496">
        <f>VLOOKUP(A496,NYSEARCABND!A$2:G$506,3,0)</f>
        <v>81.209999999999994</v>
      </c>
      <c r="G496">
        <f>VLOOKUP(A496,NYSEARCATIP!A$2:G$506,3,0)</f>
        <v>113.61</v>
      </c>
      <c r="H496">
        <f>VLOOKUP(A496,NYSEARCAMUB!A$2:G$506,3,0)</f>
        <v>109.2</v>
      </c>
      <c r="I496">
        <f>VLOOKUP(A496,NYSEARCAVNQ!A$2:G$506,3,0)</f>
        <v>82.58</v>
      </c>
      <c r="J496">
        <f>VLOOKUP(A496,NYSEARCARWX!A$2:G$506,3,0)</f>
        <v>38.659999999999997</v>
      </c>
      <c r="K496">
        <f>VLOOKUP(A496,NYSEARCADBC!A$2:G$506,3,0)</f>
        <v>14.46</v>
      </c>
      <c r="L496">
        <f>VLOOKUP(A496,NYSEARCAGSG!A$2:G$506,3,0)</f>
        <v>14.06</v>
      </c>
      <c r="M496">
        <f>VLOOKUP(A496,NYSEARCAGLD!A$2:G$506,3,0)</f>
        <v>117.14</v>
      </c>
      <c r="N496">
        <f>VLOOKUP(A496,NYSEBP!A$2:G$506,3,0)</f>
        <v>35.479999999999997</v>
      </c>
      <c r="O496">
        <f>VLOOKUP(A496,NASDAQYHOO!A$2:G$506,3,0)</f>
        <v>48.96</v>
      </c>
    </row>
    <row r="497" spans="1:15">
      <c r="A497" s="39">
        <v>42864</v>
      </c>
      <c r="B497">
        <v>77.05</v>
      </c>
      <c r="C497">
        <f>VLOOKUP(A497,NYSEARCAVTI!A$2:G$506,3,0)</f>
        <v>123.43</v>
      </c>
      <c r="D497">
        <f>VLOOKUP(A497,NYSEARCAVEU!A$2:G$506,3,0)</f>
        <v>49.61</v>
      </c>
      <c r="E497">
        <f>VLOOKUP(A497,NYSEARCAVWO!A$2:G$506,3,0)</f>
        <v>40.49</v>
      </c>
      <c r="F497">
        <f>VLOOKUP(A497,NYSEARCABND!A$2:G$506,3,0)</f>
        <v>81.099999999999994</v>
      </c>
      <c r="G497">
        <f>VLOOKUP(A497,NYSEARCATIP!A$2:G$506,3,0)</f>
        <v>113.34</v>
      </c>
      <c r="H497">
        <f>VLOOKUP(A497,NYSEARCAMUB!A$2:G$506,3,0)</f>
        <v>109.17</v>
      </c>
      <c r="I497">
        <f>VLOOKUP(A497,NYSEARCAVNQ!A$2:G$506,3,0)</f>
        <v>81.92</v>
      </c>
      <c r="J497">
        <f>VLOOKUP(A497,NYSEARCARWX!A$2:G$506,3,0)</f>
        <v>38.57</v>
      </c>
      <c r="K497">
        <f>VLOOKUP(A497,NYSEARCADBC!A$2:G$506,3,0)</f>
        <v>14.44</v>
      </c>
      <c r="L497">
        <f>VLOOKUP(A497,NYSEARCAGSG!A$2:G$506,3,0)</f>
        <v>14.04</v>
      </c>
      <c r="M497">
        <f>VLOOKUP(A497,NYSEARCAGLD!A$2:G$506,3,0)</f>
        <v>116.24</v>
      </c>
      <c r="N497">
        <f>VLOOKUP(A497,NYSEBP!A$2:G$506,3,0)</f>
        <v>35.5</v>
      </c>
      <c r="O497">
        <f>VLOOKUP(A497,NASDAQYHOO!A$2:G$506,3,0)</f>
        <v>49.67</v>
      </c>
    </row>
    <row r="498" spans="1:15">
      <c r="A498" s="39">
        <v>42865</v>
      </c>
      <c r="B498">
        <v>76.78</v>
      </c>
      <c r="C498">
        <f>VLOOKUP(A498,NYSEARCAVTI!A$2:G$506,3,0)</f>
        <v>123.38</v>
      </c>
      <c r="D498">
        <f>VLOOKUP(A498,NYSEARCAVEU!A$2:G$506,3,0)</f>
        <v>49.66</v>
      </c>
      <c r="E498">
        <f>VLOOKUP(A498,NYSEARCAVWO!A$2:G$506,3,0)</f>
        <v>40.75</v>
      </c>
      <c r="F498">
        <f>VLOOKUP(A498,NYSEARCABND!A$2:G$506,3,0)</f>
        <v>81.2</v>
      </c>
      <c r="G498">
        <f>VLOOKUP(A498,NYSEARCATIP!A$2:G$506,3,0)</f>
        <v>113.48</v>
      </c>
      <c r="H498">
        <f>VLOOKUP(A498,NYSEARCAMUB!A$2:G$506,3,0)</f>
        <v>109.29</v>
      </c>
      <c r="I498">
        <f>VLOOKUP(A498,NYSEARCAVNQ!A$2:G$506,3,0)</f>
        <v>82.3</v>
      </c>
      <c r="J498">
        <f>VLOOKUP(A498,NYSEARCARWX!A$2:G$506,3,0)</f>
        <v>38.6</v>
      </c>
      <c r="K498">
        <f>VLOOKUP(A498,NYSEARCADBC!A$2:G$506,3,0)</f>
        <v>14.6</v>
      </c>
      <c r="L498">
        <f>VLOOKUP(A498,NYSEARCAGSG!A$2:G$506,3,0)</f>
        <v>14.21</v>
      </c>
      <c r="M498">
        <f>VLOOKUP(A498,NYSEARCAGLD!A$2:G$506,3,0)</f>
        <v>116.5</v>
      </c>
      <c r="N498">
        <f>VLOOKUP(A498,NYSEBP!A$2:G$506,3,0)</f>
        <v>35.32</v>
      </c>
      <c r="O498">
        <f>VLOOKUP(A498,NASDAQYHOO!A$2:G$506,3,0)</f>
        <v>49.6</v>
      </c>
    </row>
    <row r="499" spans="1:15">
      <c r="A499" s="39">
        <v>42866</v>
      </c>
      <c r="B499">
        <v>76.72</v>
      </c>
      <c r="C499">
        <f>VLOOKUP(A499,NYSEARCAVTI!A$2:G$506,3,0)</f>
        <v>123.13</v>
      </c>
      <c r="D499">
        <f>VLOOKUP(A499,NYSEARCAVEU!A$2:G$506,3,0)</f>
        <v>49.61</v>
      </c>
      <c r="E499">
        <f>VLOOKUP(A499,NYSEARCAVWO!A$2:G$506,3,0)</f>
        <v>40.76</v>
      </c>
      <c r="F499">
        <f>VLOOKUP(A499,NYSEARCABND!A$2:G$506,3,0)</f>
        <v>81.11</v>
      </c>
      <c r="G499">
        <f>VLOOKUP(A499,NYSEARCATIP!A$2:G$506,3,0)</f>
        <v>113.65</v>
      </c>
      <c r="H499">
        <f>VLOOKUP(A499,NYSEARCAMUB!A$2:G$506,3,0)</f>
        <v>109.37</v>
      </c>
      <c r="I499">
        <f>VLOOKUP(A499,NYSEARCAVNQ!A$2:G$506,3,0)</f>
        <v>81.849999999999994</v>
      </c>
      <c r="J499">
        <f>VLOOKUP(A499,NYSEARCARWX!A$2:G$506,3,0)</f>
        <v>38.590000000000003</v>
      </c>
      <c r="K499">
        <f>VLOOKUP(A499,NYSEARCADBC!A$2:G$506,3,0)</f>
        <v>14.67</v>
      </c>
      <c r="L499">
        <f>VLOOKUP(A499,NYSEARCAGSG!A$2:G$506,3,0)</f>
        <v>14.29</v>
      </c>
      <c r="M499">
        <f>VLOOKUP(A499,NYSEARCAGLD!A$2:G$506,3,0)</f>
        <v>116.84</v>
      </c>
      <c r="N499">
        <f>VLOOKUP(A499,NYSEBP!A$2:G$506,3,0)</f>
        <v>35.29</v>
      </c>
      <c r="O499">
        <f>VLOOKUP(A499,NASDAQYHOO!A$2:G$506,3,0)</f>
        <v>49.71</v>
      </c>
    </row>
    <row r="500" spans="1:15">
      <c r="A500" s="39">
        <v>42867</v>
      </c>
      <c r="B500">
        <v>76.25</v>
      </c>
      <c r="C500">
        <f>VLOOKUP(A500,NYSEARCAVTI!A$2:G$506,3,0)</f>
        <v>122.91</v>
      </c>
      <c r="D500">
        <f>VLOOKUP(A500,NYSEARCAVEU!A$2:G$506,3,0)</f>
        <v>49.84</v>
      </c>
      <c r="E500">
        <f>VLOOKUP(A500,NYSEARCAVWO!A$2:G$506,3,0)</f>
        <v>40.96</v>
      </c>
      <c r="F500">
        <f>VLOOKUP(A500,NYSEARCABND!A$2:G$506,3,0)</f>
        <v>81.38</v>
      </c>
      <c r="G500">
        <f>VLOOKUP(A500,NYSEARCATIP!A$2:G$506,3,0)</f>
        <v>113.85</v>
      </c>
      <c r="H500">
        <f>VLOOKUP(A500,NYSEARCAMUB!A$2:G$506,3,0)</f>
        <v>109.54</v>
      </c>
      <c r="I500">
        <f>VLOOKUP(A500,NYSEARCAVNQ!A$2:G$506,3,0)</f>
        <v>81.78</v>
      </c>
      <c r="J500">
        <f>VLOOKUP(A500,NYSEARCARWX!A$2:G$506,3,0)</f>
        <v>38.659999999999997</v>
      </c>
      <c r="K500">
        <f>VLOOKUP(A500,NYSEARCADBC!A$2:G$506,3,0)</f>
        <v>14.66</v>
      </c>
      <c r="L500">
        <f>VLOOKUP(A500,NYSEARCAGSG!A$2:G$506,3,0)</f>
        <v>14.33</v>
      </c>
      <c r="M500">
        <f>VLOOKUP(A500,NYSEARCAGLD!A$2:G$506,3,0)</f>
        <v>117.16</v>
      </c>
      <c r="N500">
        <f>VLOOKUP(A500,NYSEBP!A$2:G$506,3,0)</f>
        <v>35.5</v>
      </c>
      <c r="O500">
        <f>VLOOKUP(A500,NASDAQYHOO!A$2:G$506,3,0)</f>
        <v>49.75</v>
      </c>
    </row>
    <row r="501" spans="1:15">
      <c r="A501" s="39">
        <v>42870</v>
      </c>
      <c r="B501">
        <v>76.47</v>
      </c>
      <c r="C501">
        <f>VLOOKUP(A501,NYSEARCAVTI!A$2:G$506,3,0)</f>
        <v>123.59</v>
      </c>
      <c r="D501">
        <f>VLOOKUP(A501,NYSEARCAVEU!A$2:G$506,3,0)</f>
        <v>50.16</v>
      </c>
      <c r="E501">
        <f>VLOOKUP(A501,NYSEARCAVWO!A$2:G$506,3,0)</f>
        <v>41.32</v>
      </c>
      <c r="F501">
        <f>VLOOKUP(A501,NYSEARCABND!A$2:G$506,3,0)</f>
        <v>81.39</v>
      </c>
      <c r="G501">
        <f>VLOOKUP(A501,NYSEARCATIP!A$2:G$506,3,0)</f>
        <v>113.79</v>
      </c>
      <c r="H501">
        <f>VLOOKUP(A501,NYSEARCAMUB!A$2:G$506,3,0)</f>
        <v>109.58</v>
      </c>
      <c r="I501">
        <f>VLOOKUP(A501,NYSEARCAVNQ!A$2:G$506,3,0)</f>
        <v>82.22</v>
      </c>
      <c r="J501">
        <f>VLOOKUP(A501,NYSEARCARWX!A$2:G$506,3,0)</f>
        <v>38.880000000000003</v>
      </c>
      <c r="K501">
        <f>VLOOKUP(A501,NYSEARCADBC!A$2:G$506,3,0)</f>
        <v>14.83</v>
      </c>
      <c r="L501">
        <f>VLOOKUP(A501,NYSEARCAGSG!A$2:G$506,3,0)</f>
        <v>14.54</v>
      </c>
      <c r="M501">
        <f>VLOOKUP(A501,NYSEARCAGLD!A$2:G$506,3,0)</f>
        <v>117.54</v>
      </c>
      <c r="N501">
        <f>VLOOKUP(A501,NYSEBP!A$2:G$506,3,0)</f>
        <v>36.1</v>
      </c>
      <c r="O501">
        <f>VLOOKUP(A501,NASDAQYHOO!A$2:G$506,3,0)</f>
        <v>49.94</v>
      </c>
    </row>
    <row r="502" spans="1:15">
      <c r="A502" s="39">
        <v>42871</v>
      </c>
      <c r="B502">
        <v>76.27</v>
      </c>
      <c r="C502">
        <f>VLOOKUP(A502,NYSEARCAVTI!A$2:G$506,3,0)</f>
        <v>123.65</v>
      </c>
      <c r="D502">
        <f>VLOOKUP(A502,NYSEARCAVEU!A$2:G$506,3,0)</f>
        <v>50.41</v>
      </c>
      <c r="E502">
        <f>VLOOKUP(A502,NYSEARCAVWO!A$2:G$506,3,0)</f>
        <v>41.36</v>
      </c>
      <c r="F502">
        <f>VLOOKUP(A502,NYSEARCABND!A$2:G$506,3,0)</f>
        <v>81.510000000000005</v>
      </c>
      <c r="G502">
        <f>VLOOKUP(A502,NYSEARCATIP!A$2:G$506,3,0)</f>
        <v>113.68</v>
      </c>
      <c r="H502">
        <f>VLOOKUP(A502,NYSEARCAMUB!A$2:G$506,3,0)</f>
        <v>109.69</v>
      </c>
      <c r="I502">
        <f>VLOOKUP(A502,NYSEARCAVNQ!A$2:G$506,3,0)</f>
        <v>81.69</v>
      </c>
      <c r="J502">
        <f>VLOOKUP(A502,NYSEARCARWX!A$2:G$506,3,0)</f>
        <v>38.9</v>
      </c>
      <c r="K502">
        <f>VLOOKUP(A502,NYSEARCADBC!A$2:G$506,3,0)</f>
        <v>14.79</v>
      </c>
      <c r="L502">
        <f>VLOOKUP(A502,NYSEARCAGSG!A$2:G$506,3,0)</f>
        <v>14.49</v>
      </c>
      <c r="M502">
        <f>VLOOKUP(A502,NYSEARCAGLD!A$2:G$506,3,0)</f>
        <v>117.91</v>
      </c>
      <c r="N502">
        <f>VLOOKUP(A502,NYSEBP!A$2:G$506,3,0)</f>
        <v>36.479999999999997</v>
      </c>
      <c r="O502">
        <f>VLOOKUP(A502,NASDAQYHOO!A$2:G$506,3,0)</f>
        <v>51.12</v>
      </c>
    </row>
    <row r="503" spans="1:15">
      <c r="A503" s="39">
        <v>42872</v>
      </c>
      <c r="B503">
        <v>75.73</v>
      </c>
      <c r="C503">
        <f>VLOOKUP(A503,NYSEARCAVTI!A$2:G$506,3,0)</f>
        <v>122.56</v>
      </c>
      <c r="D503">
        <f>VLOOKUP(A503,NYSEARCAVEU!A$2:G$506,3,0)</f>
        <v>50.14</v>
      </c>
      <c r="E503">
        <f>VLOOKUP(A503,NYSEARCAVWO!A$2:G$506,3,0)</f>
        <v>41.06</v>
      </c>
      <c r="F503">
        <f>VLOOKUP(A503,NYSEARCABND!A$2:G$506,3,0)</f>
        <v>81.87</v>
      </c>
      <c r="G503">
        <f>VLOOKUP(A503,NYSEARCATIP!A$2:G$506,3,0)</f>
        <v>114.34</v>
      </c>
      <c r="H503">
        <f>VLOOKUP(A503,NYSEARCAMUB!A$2:G$506,3,0)</f>
        <v>110.08</v>
      </c>
      <c r="I503">
        <f>VLOOKUP(A503,NYSEARCAVNQ!A$2:G$506,3,0)</f>
        <v>81.61</v>
      </c>
      <c r="J503">
        <f>VLOOKUP(A503,NYSEARCARWX!A$2:G$506,3,0)</f>
        <v>38.880000000000003</v>
      </c>
      <c r="K503">
        <f>VLOOKUP(A503,NYSEARCADBC!A$2:G$506,3,0)</f>
        <v>14.88</v>
      </c>
      <c r="L503">
        <f>VLOOKUP(A503,NYSEARCAGSG!A$2:G$506,3,0)</f>
        <v>14.52</v>
      </c>
      <c r="M503">
        <f>VLOOKUP(A503,NYSEARCAGLD!A$2:G$506,3,0)</f>
        <v>120.02</v>
      </c>
      <c r="N503">
        <f>VLOOKUP(A503,NYSEBP!A$2:G$506,3,0)</f>
        <v>36.6</v>
      </c>
      <c r="O503">
        <f>VLOOKUP(A503,NASDAQYHOO!A$2:G$506,3,0)</f>
        <v>50.7</v>
      </c>
    </row>
    <row r="504" spans="1:15">
      <c r="A504" s="39">
        <v>42873</v>
      </c>
      <c r="B504">
        <v>77.66</v>
      </c>
      <c r="C504">
        <f>VLOOKUP(A504,NYSEARCAVTI!A$2:G$506,3,0)</f>
        <v>122.02</v>
      </c>
      <c r="D504">
        <f>VLOOKUP(A504,NYSEARCAVEU!A$2:G$506,3,0)</f>
        <v>49.73</v>
      </c>
      <c r="E504">
        <f>VLOOKUP(A504,NYSEARCAVWO!A$2:G$506,3,0)</f>
        <v>40.299999999999997</v>
      </c>
      <c r="F504">
        <f>VLOOKUP(A504,NYSEARCABND!A$2:G$506,3,0)</f>
        <v>81.89</v>
      </c>
      <c r="G504">
        <f>VLOOKUP(A504,NYSEARCATIP!A$2:G$506,3,0)</f>
        <v>114.39</v>
      </c>
      <c r="H504">
        <f>VLOOKUP(A504,NYSEARCAMUB!A$2:G$506,3,0)</f>
        <v>110.16</v>
      </c>
      <c r="I504">
        <f>VLOOKUP(A504,NYSEARCAVNQ!A$2:G$506,3,0)</f>
        <v>81.96</v>
      </c>
      <c r="J504">
        <f>VLOOKUP(A504,NYSEARCARWX!A$2:G$506,3,0)</f>
        <v>38.67</v>
      </c>
      <c r="K504">
        <f>VLOOKUP(A504,NYSEARCADBC!A$2:G$506,3,0)</f>
        <v>14.85</v>
      </c>
      <c r="L504">
        <f>VLOOKUP(A504,NYSEARCAGSG!A$2:G$506,3,0)</f>
        <v>14.49</v>
      </c>
      <c r="M504">
        <f>VLOOKUP(A504,NYSEARCAGLD!A$2:G$506,3,0)</f>
        <v>119.84</v>
      </c>
      <c r="N504">
        <f>VLOOKUP(A504,NYSEBP!A$2:G$506,3,0)</f>
        <v>36.700000000000003</v>
      </c>
      <c r="O504">
        <f>VLOOKUP(A504,NASDAQYHOO!A$2:G$506,3,0)</f>
        <v>50.03</v>
      </c>
    </row>
    <row r="505" spans="1:15">
      <c r="A505" s="39">
        <v>42874</v>
      </c>
      <c r="B505">
        <v>79.44</v>
      </c>
      <c r="C505">
        <f>VLOOKUP(A505,NYSEARCAVTI!A$2:G$506,3,0)</f>
        <v>122.77</v>
      </c>
      <c r="D505">
        <f>VLOOKUP(A505,NYSEARCAVEU!A$2:G$506,3,0)</f>
        <v>50.32</v>
      </c>
      <c r="E505">
        <f>VLOOKUP(A505,NYSEARCAVWO!A$2:G$506,3,0)</f>
        <v>40.799999999999997</v>
      </c>
      <c r="F505">
        <f>VLOOKUP(A505,NYSEARCABND!A$2:G$506,3,0)</f>
        <v>81.83</v>
      </c>
      <c r="G505">
        <f>VLOOKUP(A505,NYSEARCATIP!A$2:G$506,3,0)</f>
        <v>114.59</v>
      </c>
      <c r="H505">
        <f>VLOOKUP(A505,NYSEARCAMUB!A$2:G$506,3,0)</f>
        <v>110.16</v>
      </c>
      <c r="I505">
        <f>VLOOKUP(A505,NYSEARCAVNQ!A$2:G$506,3,0)</f>
        <v>82.68</v>
      </c>
      <c r="J505">
        <f>VLOOKUP(A505,NYSEARCARWX!A$2:G$506,3,0)</f>
        <v>38.83</v>
      </c>
      <c r="K505">
        <f>VLOOKUP(A505,NYSEARCADBC!A$2:G$506,3,0)</f>
        <v>15.07</v>
      </c>
      <c r="L505">
        <f>VLOOKUP(A505,NYSEARCAGSG!A$2:G$506,3,0)</f>
        <v>14.74</v>
      </c>
      <c r="M505">
        <f>VLOOKUP(A505,NYSEARCAGLD!A$2:G$506,3,0)</f>
        <v>119.54</v>
      </c>
      <c r="N505">
        <f>VLOOKUP(A505,NYSEBP!A$2:G$506,3,0)</f>
        <v>37.1</v>
      </c>
      <c r="O505">
        <f>VLOOKUP(A505,NASDAQYHOO!A$2:G$506,3,0)</f>
        <v>51.23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05"/>
  <sheetViews>
    <sheetView workbookViewId="0"/>
  </sheetViews>
  <sheetFormatPr defaultRowHeight="15"/>
  <cols>
    <col min="1" max="1" width="10.42578125" bestFit="1" customWidth="1"/>
  </cols>
  <sheetData>
    <row r="1" spans="1:15">
      <c r="A1" t="s">
        <v>26</v>
      </c>
      <c r="B1" t="s">
        <v>63</v>
      </c>
      <c r="C1" t="s">
        <v>39</v>
      </c>
      <c r="D1" t="s">
        <v>41</v>
      </c>
      <c r="E1" t="s">
        <v>43</v>
      </c>
      <c r="F1" t="s">
        <v>45</v>
      </c>
      <c r="G1" t="s">
        <v>47</v>
      </c>
      <c r="H1" t="s">
        <v>49</v>
      </c>
      <c r="I1" t="s">
        <v>51</v>
      </c>
      <c r="J1" t="s">
        <v>53</v>
      </c>
      <c r="K1" t="s">
        <v>55</v>
      </c>
      <c r="L1" t="s">
        <v>57</v>
      </c>
      <c r="M1" t="s">
        <v>59</v>
      </c>
      <c r="N1" t="s">
        <v>66</v>
      </c>
      <c r="O1" t="s">
        <v>70</v>
      </c>
    </row>
    <row r="2" spans="1:15">
      <c r="A2" s="39">
        <v>42145</v>
      </c>
      <c r="B2">
        <v>75.56</v>
      </c>
      <c r="C2">
        <f>VLOOKUP(A2,NYSEARCAVTI!A$2:G$506,4,0)</f>
        <v>110.07</v>
      </c>
      <c r="D2">
        <f>VLOOKUP(A2,NYSEARCAVEU!A$2:G$506,4,0)</f>
        <v>51.72</v>
      </c>
      <c r="E2">
        <f>VLOOKUP(A2,NYSEARCAVWO!A$2:G$506,4,0)</f>
        <v>43.65</v>
      </c>
      <c r="F2">
        <f>VLOOKUP(A2,NYSEARCABND!A$2:G$506,4,0)</f>
        <v>81.95</v>
      </c>
      <c r="G2">
        <f>VLOOKUP(A2,NYSEARCATIP!A$2:G$506,4,0)</f>
        <v>112.47</v>
      </c>
      <c r="H2">
        <f>VLOOKUP(A2,NYSEARCAMUB!A$2:G$506,4,0)</f>
        <v>108.25</v>
      </c>
      <c r="I2">
        <f>VLOOKUP(A2,NYSEARCAVNQ!A$2:G$506,4,0)</f>
        <v>79.78</v>
      </c>
      <c r="J2">
        <f>VLOOKUP(A2,NYSEARCARWX!A$2:G$506,4,0)</f>
        <v>44.76</v>
      </c>
      <c r="K2">
        <f>VLOOKUP(A2,NYSEARCADBC!A$2:G$506,4,0)</f>
        <v>18.100000000000001</v>
      </c>
      <c r="L2">
        <f>VLOOKUP(A2,NYSEARCAGSG!A$2:G$506,4,0)</f>
        <v>21.48</v>
      </c>
      <c r="M2">
        <f>VLOOKUP(A2,NYSEARCAGLD!A$2:G$506,4,0)</f>
        <v>115.47</v>
      </c>
      <c r="N2">
        <f>VLOOKUP(A2,NYSEBP!A$2:G$506,4,0)</f>
        <v>42.51</v>
      </c>
      <c r="O2">
        <f>VLOOKUP(A2,NASDAQYHOO!A$2:G$506,4,0)</f>
        <v>43.05</v>
      </c>
    </row>
    <row r="3" spans="1:15">
      <c r="A3" s="39">
        <v>42146</v>
      </c>
      <c r="B3">
        <v>75.86</v>
      </c>
      <c r="C3">
        <f>VLOOKUP(A3,NYSEARCAVTI!A$2:G$506,4,0)</f>
        <v>110.22</v>
      </c>
      <c r="D3">
        <f>VLOOKUP(A3,NYSEARCAVEU!A$2:G$506,4,0)</f>
        <v>51.67</v>
      </c>
      <c r="E3">
        <f>VLOOKUP(A3,NYSEARCAVWO!A$2:G$506,4,0)</f>
        <v>43.89</v>
      </c>
      <c r="F3">
        <f>VLOOKUP(A3,NYSEARCABND!A$2:G$506,4,0)</f>
        <v>81.91</v>
      </c>
      <c r="G3">
        <f>VLOOKUP(A3,NYSEARCATIP!A$2:G$506,4,0)</f>
        <v>112.66</v>
      </c>
      <c r="H3">
        <f>VLOOKUP(A3,NYSEARCAMUB!A$2:G$506,4,0)</f>
        <v>108.26</v>
      </c>
      <c r="I3">
        <f>VLOOKUP(A3,NYSEARCAVNQ!A$2:G$506,4,0)</f>
        <v>79.599999999999994</v>
      </c>
      <c r="J3">
        <f>VLOOKUP(A3,NYSEARCARWX!A$2:G$506,4,0)</f>
        <v>44.64</v>
      </c>
      <c r="K3">
        <f>VLOOKUP(A3,NYSEARCADBC!A$2:G$506,4,0)</f>
        <v>17.96</v>
      </c>
      <c r="L3">
        <f>VLOOKUP(A3,NYSEARCAGSG!A$2:G$506,4,0)</f>
        <v>21.33</v>
      </c>
      <c r="M3">
        <f>VLOOKUP(A3,NYSEARCAGLD!A$2:G$506,4,0)</f>
        <v>115.32</v>
      </c>
      <c r="N3">
        <f>VLOOKUP(A3,NYSEBP!A$2:G$506,4,0)</f>
        <v>42.45</v>
      </c>
      <c r="O3">
        <f>VLOOKUP(A3,NASDAQYHOO!A$2:G$506,4,0)</f>
        <v>43.47</v>
      </c>
    </row>
    <row r="4" spans="1:15">
      <c r="A4" s="39">
        <v>42150</v>
      </c>
      <c r="B4">
        <v>74.819999999999993</v>
      </c>
      <c r="C4">
        <f>VLOOKUP(A4,NYSEARCAVTI!A$2:G$506,4,0)</f>
        <v>108.86</v>
      </c>
      <c r="D4">
        <f>VLOOKUP(A4,NYSEARCAVEU!A$2:G$506,4,0)</f>
        <v>50.77</v>
      </c>
      <c r="E4">
        <f>VLOOKUP(A4,NYSEARCAVWO!A$2:G$506,4,0)</f>
        <v>43.17</v>
      </c>
      <c r="F4">
        <f>VLOOKUP(A4,NYSEARCABND!A$2:G$506,4,0)</f>
        <v>82.03</v>
      </c>
      <c r="G4">
        <f>VLOOKUP(A4,NYSEARCATIP!A$2:G$506,4,0)</f>
        <v>112.8</v>
      </c>
      <c r="H4">
        <f>VLOOKUP(A4,NYSEARCAMUB!A$2:G$506,4,0)</f>
        <v>108.37</v>
      </c>
      <c r="I4">
        <f>VLOOKUP(A4,NYSEARCAVNQ!A$2:G$506,4,0)</f>
        <v>79.209999999999994</v>
      </c>
      <c r="J4">
        <f>VLOOKUP(A4,NYSEARCARWX!A$2:G$506,4,0)</f>
        <v>44.01</v>
      </c>
      <c r="K4">
        <f>VLOOKUP(A4,NYSEARCADBC!A$2:G$506,4,0)</f>
        <v>17.579999999999998</v>
      </c>
      <c r="L4">
        <f>VLOOKUP(A4,NYSEARCAGSG!A$2:G$506,4,0)</f>
        <v>20.84</v>
      </c>
      <c r="M4">
        <f>VLOOKUP(A4,NYSEARCAGLD!A$2:G$506,4,0)</f>
        <v>113.7</v>
      </c>
      <c r="N4">
        <f>VLOOKUP(A4,NYSEBP!A$2:G$506,4,0)</f>
        <v>41.45</v>
      </c>
      <c r="O4">
        <f>VLOOKUP(A4,NASDAQYHOO!A$2:G$506,4,0)</f>
        <v>42.58</v>
      </c>
    </row>
    <row r="5" spans="1:15">
      <c r="A5" s="39">
        <v>42151</v>
      </c>
      <c r="B5">
        <v>75</v>
      </c>
      <c r="C5">
        <f>VLOOKUP(A5,NYSEARCAVTI!A$2:G$506,4,0)</f>
        <v>109.2</v>
      </c>
      <c r="D5">
        <f>VLOOKUP(A5,NYSEARCAVEU!A$2:G$506,4,0)</f>
        <v>50.81</v>
      </c>
      <c r="E5">
        <f>VLOOKUP(A5,NYSEARCAVWO!A$2:G$506,4,0)</f>
        <v>42.99</v>
      </c>
      <c r="F5">
        <f>VLOOKUP(A5,NYSEARCABND!A$2:G$506,4,0)</f>
        <v>82.14</v>
      </c>
      <c r="G5">
        <f>VLOOKUP(A5,NYSEARCATIP!A$2:G$506,4,0)</f>
        <v>112.64</v>
      </c>
      <c r="H5">
        <f>VLOOKUP(A5,NYSEARCAMUB!A$2:G$506,4,0)</f>
        <v>108.52</v>
      </c>
      <c r="I5">
        <f>VLOOKUP(A5,NYSEARCAVNQ!A$2:G$506,4,0)</f>
        <v>79.36</v>
      </c>
      <c r="J5">
        <f>VLOOKUP(A5,NYSEARCARWX!A$2:G$506,4,0)</f>
        <v>44.03</v>
      </c>
      <c r="K5">
        <f>VLOOKUP(A5,NYSEARCADBC!A$2:G$506,4,0)</f>
        <v>17.37</v>
      </c>
      <c r="L5">
        <f>VLOOKUP(A5,NYSEARCAGSG!A$2:G$506,4,0)</f>
        <v>20.6</v>
      </c>
      <c r="M5">
        <f>VLOOKUP(A5,NYSEARCAGLD!A$2:G$506,4,0)</f>
        <v>113.63</v>
      </c>
      <c r="N5">
        <f>VLOOKUP(A5,NYSEBP!A$2:G$506,4,0)</f>
        <v>41.58</v>
      </c>
      <c r="O5">
        <f>VLOOKUP(A5,NASDAQYHOO!A$2:G$506,4,0)</f>
        <v>42.28</v>
      </c>
    </row>
    <row r="6" spans="1:15">
      <c r="A6" s="39">
        <v>42152</v>
      </c>
      <c r="B6">
        <v>74.650000000000006</v>
      </c>
      <c r="C6">
        <f>VLOOKUP(A6,NYSEARCAVTI!A$2:G$506,4,0)</f>
        <v>109.57</v>
      </c>
      <c r="D6">
        <f>VLOOKUP(A6,NYSEARCAVEU!A$2:G$506,4,0)</f>
        <v>50.66</v>
      </c>
      <c r="E6">
        <f>VLOOKUP(A6,NYSEARCAVWO!A$2:G$506,4,0)</f>
        <v>42.56</v>
      </c>
      <c r="F6">
        <f>VLOOKUP(A6,NYSEARCABND!A$2:G$506,4,0)</f>
        <v>82.25</v>
      </c>
      <c r="G6">
        <f>VLOOKUP(A6,NYSEARCATIP!A$2:G$506,4,0)</f>
        <v>112.59</v>
      </c>
      <c r="H6">
        <f>VLOOKUP(A6,NYSEARCAMUB!A$2:G$506,4,0)</f>
        <v>108.62</v>
      </c>
      <c r="I6">
        <f>VLOOKUP(A6,NYSEARCAVNQ!A$2:G$506,4,0)</f>
        <v>79.650000000000006</v>
      </c>
      <c r="J6">
        <f>VLOOKUP(A6,NYSEARCARWX!A$2:G$506,4,0)</f>
        <v>43.62</v>
      </c>
      <c r="K6">
        <f>VLOOKUP(A6,NYSEARCADBC!A$2:G$506,4,0)</f>
        <v>17.3</v>
      </c>
      <c r="L6">
        <f>VLOOKUP(A6,NYSEARCAGSG!A$2:G$506,4,0)</f>
        <v>20.47</v>
      </c>
      <c r="M6">
        <f>VLOOKUP(A6,NYSEARCAGLD!A$2:G$506,4,0)</f>
        <v>113.21</v>
      </c>
      <c r="N6">
        <f>VLOOKUP(A6,NYSEBP!A$2:G$506,4,0)</f>
        <v>41.26</v>
      </c>
      <c r="O6">
        <f>VLOOKUP(A6,NASDAQYHOO!A$2:G$506,4,0)</f>
        <v>42.93</v>
      </c>
    </row>
    <row r="7" spans="1:15">
      <c r="A7" s="39">
        <v>42153</v>
      </c>
      <c r="B7">
        <v>74.150000000000006</v>
      </c>
      <c r="C7">
        <f>VLOOKUP(A7,NYSEARCAVTI!A$2:G$506,4,0)</f>
        <v>109.18</v>
      </c>
      <c r="D7">
        <f>VLOOKUP(A7,NYSEARCAVEU!A$2:G$506,4,0)</f>
        <v>50.38</v>
      </c>
      <c r="E7">
        <f>VLOOKUP(A7,NYSEARCAVWO!A$2:G$506,4,0)</f>
        <v>42.33</v>
      </c>
      <c r="F7">
        <f>VLOOKUP(A7,NYSEARCABND!A$2:G$506,4,0)</f>
        <v>82.29</v>
      </c>
      <c r="G7">
        <f>VLOOKUP(A7,NYSEARCATIP!A$2:G$506,4,0)</f>
        <v>113.04</v>
      </c>
      <c r="H7">
        <f>VLOOKUP(A7,NYSEARCAMUB!A$2:G$506,4,0)</f>
        <v>108.71</v>
      </c>
      <c r="I7">
        <f>VLOOKUP(A7,NYSEARCAVNQ!A$2:G$506,4,0)</f>
        <v>79.03</v>
      </c>
      <c r="J7">
        <f>VLOOKUP(A7,NYSEARCARWX!A$2:G$506,4,0)</f>
        <v>43.39</v>
      </c>
      <c r="K7">
        <f>VLOOKUP(A7,NYSEARCADBC!A$2:G$506,4,0)</f>
        <v>17.46</v>
      </c>
      <c r="L7">
        <f>VLOOKUP(A7,NYSEARCAGSG!A$2:G$506,4,0)</f>
        <v>20.79</v>
      </c>
      <c r="M7">
        <f>VLOOKUP(A7,NYSEARCAGLD!A$2:G$506,4,0)</f>
        <v>114</v>
      </c>
      <c r="N7">
        <f>VLOOKUP(A7,NYSEBP!A$2:G$506,4,0)</f>
        <v>41.2</v>
      </c>
      <c r="O7">
        <f>VLOOKUP(A7,NASDAQYHOO!A$2:G$506,4,0)</f>
        <v>42.81</v>
      </c>
    </row>
    <row r="8" spans="1:15">
      <c r="A8" s="39">
        <v>42156</v>
      </c>
      <c r="B8">
        <v>74.41</v>
      </c>
      <c r="C8">
        <f>VLOOKUP(A8,NYSEARCAVTI!A$2:G$506,4,0)</f>
        <v>109.06</v>
      </c>
      <c r="D8">
        <f>VLOOKUP(A8,NYSEARCAVEU!A$2:G$506,4,0)</f>
        <v>50.2</v>
      </c>
      <c r="E8">
        <f>VLOOKUP(A8,NYSEARCAVWO!A$2:G$506,4,0)</f>
        <v>42.16</v>
      </c>
      <c r="F8">
        <f>VLOOKUP(A8,NYSEARCABND!A$2:G$506,4,0)</f>
        <v>81.86</v>
      </c>
      <c r="G8">
        <f>VLOOKUP(A8,NYSEARCATIP!A$2:G$506,4,0)</f>
        <v>112.43</v>
      </c>
      <c r="H8">
        <f>VLOOKUP(A8,NYSEARCAMUB!A$2:G$506,4,0)</f>
        <v>108.39</v>
      </c>
      <c r="I8">
        <f>VLOOKUP(A8,NYSEARCAVNQ!A$2:G$506,4,0)</f>
        <v>79.02</v>
      </c>
      <c r="J8">
        <f>VLOOKUP(A8,NYSEARCARWX!A$2:G$506,4,0)</f>
        <v>43.4</v>
      </c>
      <c r="K8">
        <f>VLOOKUP(A8,NYSEARCADBC!A$2:G$506,4,0)</f>
        <v>17.600000000000001</v>
      </c>
      <c r="L8">
        <f>VLOOKUP(A8,NYSEARCAGSG!A$2:G$506,4,0)</f>
        <v>21.01</v>
      </c>
      <c r="M8">
        <f>VLOOKUP(A8,NYSEARCAGLD!A$2:G$506,4,0)</f>
        <v>113.9</v>
      </c>
      <c r="N8">
        <f>VLOOKUP(A8,NYSEBP!A$2:G$506,4,0)</f>
        <v>40.659999999999997</v>
      </c>
      <c r="O8">
        <f>VLOOKUP(A8,NASDAQYHOO!A$2:G$506,4,0)</f>
        <v>42.91</v>
      </c>
    </row>
    <row r="9" spans="1:15">
      <c r="A9" s="39">
        <v>42157</v>
      </c>
      <c r="B9">
        <v>74.42</v>
      </c>
      <c r="C9">
        <f>VLOOKUP(A9,NYSEARCAVTI!A$2:G$506,4,0)</f>
        <v>108.95</v>
      </c>
      <c r="D9">
        <f>VLOOKUP(A9,NYSEARCAVEU!A$2:G$506,4,0)</f>
        <v>50.43</v>
      </c>
      <c r="E9">
        <f>VLOOKUP(A9,NYSEARCAVWO!A$2:G$506,4,0)</f>
        <v>42.21</v>
      </c>
      <c r="F9">
        <f>VLOOKUP(A9,NYSEARCABND!A$2:G$506,4,0)</f>
        <v>81.599999999999994</v>
      </c>
      <c r="G9">
        <f>VLOOKUP(A9,NYSEARCATIP!A$2:G$506,4,0)</f>
        <v>111.99</v>
      </c>
      <c r="H9">
        <f>VLOOKUP(A9,NYSEARCAMUB!A$2:G$506,4,0)</f>
        <v>108.04</v>
      </c>
      <c r="I9">
        <f>VLOOKUP(A9,NYSEARCAVNQ!A$2:G$506,4,0)</f>
        <v>79.03</v>
      </c>
      <c r="J9">
        <f>VLOOKUP(A9,NYSEARCARWX!A$2:G$506,4,0)</f>
        <v>43.39</v>
      </c>
      <c r="K9">
        <f>VLOOKUP(A9,NYSEARCADBC!A$2:G$506,4,0)</f>
        <v>17.72</v>
      </c>
      <c r="L9">
        <f>VLOOKUP(A9,NYSEARCAGSG!A$2:G$506,4,0)</f>
        <v>21.2</v>
      </c>
      <c r="M9">
        <f>VLOOKUP(A9,NYSEARCAGLD!A$2:G$506,4,0)</f>
        <v>114.17</v>
      </c>
      <c r="N9">
        <f>VLOOKUP(A9,NYSEBP!A$2:G$506,4,0)</f>
        <v>41.24</v>
      </c>
      <c r="O9">
        <f>VLOOKUP(A9,NASDAQYHOO!A$2:G$506,4,0)</f>
        <v>42.92</v>
      </c>
    </row>
    <row r="10" spans="1:15">
      <c r="A10" s="39">
        <v>42158</v>
      </c>
      <c r="B10">
        <v>74.48</v>
      </c>
      <c r="C10">
        <f>VLOOKUP(A10,NYSEARCAVTI!A$2:G$506,4,0)</f>
        <v>109.53</v>
      </c>
      <c r="D10">
        <f>VLOOKUP(A10,NYSEARCAVEU!A$2:G$506,4,0)</f>
        <v>50.67</v>
      </c>
      <c r="E10">
        <f>VLOOKUP(A10,NYSEARCAVWO!A$2:G$506,4,0)</f>
        <v>42.12</v>
      </c>
      <c r="F10">
        <f>VLOOKUP(A10,NYSEARCABND!A$2:G$506,4,0)</f>
        <v>81.22</v>
      </c>
      <c r="G10">
        <f>VLOOKUP(A10,NYSEARCATIP!A$2:G$506,4,0)</f>
        <v>111.13</v>
      </c>
      <c r="H10">
        <f>VLOOKUP(A10,NYSEARCAMUB!A$2:G$506,4,0)</f>
        <v>107.91</v>
      </c>
      <c r="I10">
        <f>VLOOKUP(A10,NYSEARCAVNQ!A$2:G$506,4,0)</f>
        <v>78.14</v>
      </c>
      <c r="J10">
        <f>VLOOKUP(A10,NYSEARCARWX!A$2:G$506,4,0)</f>
        <v>43.21</v>
      </c>
      <c r="K10">
        <f>VLOOKUP(A10,NYSEARCADBC!A$2:G$506,4,0)</f>
        <v>17.62</v>
      </c>
      <c r="L10">
        <f>VLOOKUP(A10,NYSEARCAGSG!A$2:G$506,4,0)</f>
        <v>20.97</v>
      </c>
      <c r="M10">
        <f>VLOOKUP(A10,NYSEARCAGLD!A$2:G$506,4,0)</f>
        <v>113.08</v>
      </c>
      <c r="N10">
        <f>VLOOKUP(A10,NYSEBP!A$2:G$506,4,0)</f>
        <v>41.21</v>
      </c>
      <c r="O10">
        <f>VLOOKUP(A10,NASDAQYHOO!A$2:G$506,4,0)</f>
        <v>42.98</v>
      </c>
    </row>
    <row r="11" spans="1:15">
      <c r="A11" s="39">
        <v>42159</v>
      </c>
      <c r="B11">
        <v>73.95</v>
      </c>
      <c r="C11">
        <f>VLOOKUP(A11,NYSEARCAVTI!A$2:G$506,4,0)</f>
        <v>108.77</v>
      </c>
      <c r="D11">
        <f>VLOOKUP(A11,NYSEARCAVEU!A$2:G$506,4,0)</f>
        <v>50.08</v>
      </c>
      <c r="E11">
        <f>VLOOKUP(A11,NYSEARCAVWO!A$2:G$506,4,0)</f>
        <v>41.58</v>
      </c>
      <c r="F11">
        <f>VLOOKUP(A11,NYSEARCABND!A$2:G$506,4,0)</f>
        <v>81.400000000000006</v>
      </c>
      <c r="G11">
        <f>VLOOKUP(A11,NYSEARCATIP!A$2:G$506,4,0)</f>
        <v>111.49</v>
      </c>
      <c r="H11">
        <f>VLOOKUP(A11,NYSEARCAMUB!A$2:G$506,4,0)</f>
        <v>107.96</v>
      </c>
      <c r="I11">
        <f>VLOOKUP(A11,NYSEARCAVNQ!A$2:G$506,4,0)</f>
        <v>77.83</v>
      </c>
      <c r="J11">
        <f>VLOOKUP(A11,NYSEARCARWX!A$2:G$506,4,0)</f>
        <v>42.74</v>
      </c>
      <c r="K11">
        <f>VLOOKUP(A11,NYSEARCADBC!A$2:G$506,4,0)</f>
        <v>17.420000000000002</v>
      </c>
      <c r="L11">
        <f>VLOOKUP(A11,NYSEARCAGSG!A$2:G$506,4,0)</f>
        <v>20.66</v>
      </c>
      <c r="M11">
        <f>VLOOKUP(A11,NYSEARCAGLD!A$2:G$506,4,0)</f>
        <v>112.48</v>
      </c>
      <c r="N11">
        <f>VLOOKUP(A11,NYSEBP!A$2:G$506,4,0)</f>
        <v>40.5</v>
      </c>
      <c r="O11">
        <f>VLOOKUP(A11,NASDAQYHOO!A$2:G$506,4,0)</f>
        <v>42.76</v>
      </c>
    </row>
    <row r="12" spans="1:15">
      <c r="A12" s="39">
        <v>42160</v>
      </c>
      <c r="B12">
        <v>72.98</v>
      </c>
      <c r="C12">
        <f>VLOOKUP(A12,NYSEARCAVTI!A$2:G$506,4,0)</f>
        <v>108.33</v>
      </c>
      <c r="D12">
        <f>VLOOKUP(A12,NYSEARCAVEU!A$2:G$506,4,0)</f>
        <v>49.42</v>
      </c>
      <c r="E12">
        <f>VLOOKUP(A12,NYSEARCAVWO!A$2:G$506,4,0)</f>
        <v>41.19</v>
      </c>
      <c r="F12">
        <f>VLOOKUP(A12,NYSEARCABND!A$2:G$506,4,0)</f>
        <v>81.099999999999994</v>
      </c>
      <c r="G12">
        <f>VLOOKUP(A12,NYSEARCATIP!A$2:G$506,4,0)</f>
        <v>111.08</v>
      </c>
      <c r="H12">
        <f>VLOOKUP(A12,NYSEARCAMUB!A$2:G$506,4,0)</f>
        <v>107.68</v>
      </c>
      <c r="I12">
        <f>VLOOKUP(A12,NYSEARCAVNQ!A$2:G$506,4,0)</f>
        <v>76.5</v>
      </c>
      <c r="J12">
        <f>VLOOKUP(A12,NYSEARCARWX!A$2:G$506,4,0)</f>
        <v>42.1</v>
      </c>
      <c r="K12">
        <f>VLOOKUP(A12,NYSEARCADBC!A$2:G$506,4,0)</f>
        <v>17.28</v>
      </c>
      <c r="L12">
        <f>VLOOKUP(A12,NYSEARCAGSG!A$2:G$506,4,0)</f>
        <v>20.43</v>
      </c>
      <c r="M12">
        <f>VLOOKUP(A12,NYSEARCAGLD!A$2:G$506,4,0)</f>
        <v>111.57</v>
      </c>
      <c r="N12">
        <f>VLOOKUP(A12,NYSEBP!A$2:G$506,4,0)</f>
        <v>40.049999999999997</v>
      </c>
      <c r="O12">
        <f>VLOOKUP(A12,NASDAQYHOO!A$2:G$506,4,0)</f>
        <v>42.7</v>
      </c>
    </row>
    <row r="13" spans="1:15">
      <c r="A13" s="39">
        <v>42163</v>
      </c>
      <c r="B13">
        <v>72.599999999999994</v>
      </c>
      <c r="C13">
        <f>VLOOKUP(A13,NYSEARCAVTI!A$2:G$506,4,0)</f>
        <v>108.18</v>
      </c>
      <c r="D13">
        <f>VLOOKUP(A13,NYSEARCAVEU!A$2:G$506,4,0)</f>
        <v>49.5</v>
      </c>
      <c r="E13">
        <f>VLOOKUP(A13,NYSEARCAVWO!A$2:G$506,4,0)</f>
        <v>41.38</v>
      </c>
      <c r="F13">
        <f>VLOOKUP(A13,NYSEARCABND!A$2:G$506,4,0)</f>
        <v>81.23</v>
      </c>
      <c r="G13">
        <f>VLOOKUP(A13,NYSEARCATIP!A$2:G$506,4,0)</f>
        <v>111.4</v>
      </c>
      <c r="H13">
        <f>VLOOKUP(A13,NYSEARCAMUB!A$2:G$506,4,0)</f>
        <v>107.81</v>
      </c>
      <c r="I13">
        <f>VLOOKUP(A13,NYSEARCAVNQ!A$2:G$506,4,0)</f>
        <v>76.900000000000006</v>
      </c>
      <c r="J13">
        <f>VLOOKUP(A13,NYSEARCARWX!A$2:G$506,4,0)</f>
        <v>42.05</v>
      </c>
      <c r="K13">
        <f>VLOOKUP(A13,NYSEARCADBC!A$2:G$506,4,0)</f>
        <v>17.52</v>
      </c>
      <c r="L13">
        <f>VLOOKUP(A13,NYSEARCAGSG!A$2:G$506,4,0)</f>
        <v>20.73</v>
      </c>
      <c r="M13">
        <f>VLOOKUP(A13,NYSEARCAGLD!A$2:G$506,4,0)</f>
        <v>112.13</v>
      </c>
      <c r="N13">
        <f>VLOOKUP(A13,NYSEBP!A$2:G$506,4,0)</f>
        <v>40.42</v>
      </c>
      <c r="O13">
        <f>VLOOKUP(A13,NASDAQYHOO!A$2:G$506,4,0)</f>
        <v>42</v>
      </c>
    </row>
    <row r="14" spans="1:15">
      <c r="A14" s="39">
        <v>42164</v>
      </c>
      <c r="B14">
        <v>72.36</v>
      </c>
      <c r="C14">
        <f>VLOOKUP(A14,NYSEARCAVTI!A$2:G$506,4,0)</f>
        <v>107.73</v>
      </c>
      <c r="D14">
        <f>VLOOKUP(A14,NYSEARCAVEU!A$2:G$506,4,0)</f>
        <v>49.23</v>
      </c>
      <c r="E14">
        <f>VLOOKUP(A14,NYSEARCAVWO!A$2:G$506,4,0)</f>
        <v>41.07</v>
      </c>
      <c r="F14">
        <f>VLOOKUP(A14,NYSEARCABND!A$2:G$506,4,0)</f>
        <v>81.010000000000005</v>
      </c>
      <c r="G14">
        <f>VLOOKUP(A14,NYSEARCATIP!A$2:G$506,4,0)</f>
        <v>111.11</v>
      </c>
      <c r="H14">
        <f>VLOOKUP(A14,NYSEARCAMUB!A$2:G$506,4,0)</f>
        <v>107.62</v>
      </c>
      <c r="I14">
        <f>VLOOKUP(A14,NYSEARCAVNQ!A$2:G$506,4,0)</f>
        <v>76.400000000000006</v>
      </c>
      <c r="J14">
        <f>VLOOKUP(A14,NYSEARCARWX!A$2:G$506,4,0)</f>
        <v>42.08</v>
      </c>
      <c r="K14">
        <f>VLOOKUP(A14,NYSEARCADBC!A$2:G$506,4,0)</f>
        <v>17.809999999999999</v>
      </c>
      <c r="L14">
        <f>VLOOKUP(A14,NYSEARCAGSG!A$2:G$506,4,0)</f>
        <v>21.17</v>
      </c>
      <c r="M14">
        <f>VLOOKUP(A14,NYSEARCAGLD!A$2:G$506,4,0)</f>
        <v>112.71</v>
      </c>
      <c r="N14">
        <f>VLOOKUP(A14,NYSEBP!A$2:G$506,4,0)</f>
        <v>40.28</v>
      </c>
      <c r="O14">
        <f>VLOOKUP(A14,NASDAQYHOO!A$2:G$506,4,0)</f>
        <v>41.02</v>
      </c>
    </row>
    <row r="15" spans="1:15">
      <c r="A15" s="39">
        <v>42165</v>
      </c>
      <c r="B15">
        <v>72.34</v>
      </c>
      <c r="C15">
        <f>VLOOKUP(A15,NYSEARCAVTI!A$2:G$506,4,0)</f>
        <v>108.59</v>
      </c>
      <c r="D15">
        <f>VLOOKUP(A15,NYSEARCAVEU!A$2:G$506,4,0)</f>
        <v>50.03</v>
      </c>
      <c r="E15">
        <f>VLOOKUP(A15,NYSEARCAVWO!A$2:G$506,4,0)</f>
        <v>41.51</v>
      </c>
      <c r="F15">
        <f>VLOOKUP(A15,NYSEARCABND!A$2:G$506,4,0)</f>
        <v>80.83</v>
      </c>
      <c r="G15">
        <f>VLOOKUP(A15,NYSEARCATIP!A$2:G$506,4,0)</f>
        <v>110.75</v>
      </c>
      <c r="H15">
        <f>VLOOKUP(A15,NYSEARCAMUB!A$2:G$506,4,0)</f>
        <v>107.58</v>
      </c>
      <c r="I15">
        <f>VLOOKUP(A15,NYSEARCAVNQ!A$2:G$506,4,0)</f>
        <v>76.38</v>
      </c>
      <c r="J15">
        <f>VLOOKUP(A15,NYSEARCARWX!A$2:G$506,4,0)</f>
        <v>42.82</v>
      </c>
      <c r="K15">
        <f>VLOOKUP(A15,NYSEARCADBC!A$2:G$506,4,0)</f>
        <v>17.899999999999999</v>
      </c>
      <c r="L15">
        <f>VLOOKUP(A15,NYSEARCAGSG!A$2:G$506,4,0)</f>
        <v>21.35</v>
      </c>
      <c r="M15">
        <f>VLOOKUP(A15,NYSEARCAGLD!A$2:G$506,4,0)</f>
        <v>113.69</v>
      </c>
      <c r="N15">
        <f>VLOOKUP(A15,NYSEBP!A$2:G$506,4,0)</f>
        <v>41.16</v>
      </c>
      <c r="O15">
        <f>VLOOKUP(A15,NASDAQYHOO!A$2:G$506,4,0)</f>
        <v>41.69</v>
      </c>
    </row>
    <row r="16" spans="1:15">
      <c r="A16" s="39">
        <v>42166</v>
      </c>
      <c r="B16">
        <v>72.84</v>
      </c>
      <c r="C16">
        <f>VLOOKUP(A16,NYSEARCAVTI!A$2:G$506,4,0)</f>
        <v>109.58</v>
      </c>
      <c r="D16">
        <f>VLOOKUP(A16,NYSEARCAVEU!A$2:G$506,4,0)</f>
        <v>50.17</v>
      </c>
      <c r="E16">
        <f>VLOOKUP(A16,NYSEARCAVWO!A$2:G$506,4,0)</f>
        <v>41.39</v>
      </c>
      <c r="F16">
        <f>VLOOKUP(A16,NYSEARCABND!A$2:G$506,4,0)</f>
        <v>80.94</v>
      </c>
      <c r="G16">
        <f>VLOOKUP(A16,NYSEARCATIP!A$2:G$506,4,0)</f>
        <v>110.99</v>
      </c>
      <c r="H16">
        <f>VLOOKUP(A16,NYSEARCAMUB!A$2:G$506,4,0)</f>
        <v>107.67</v>
      </c>
      <c r="I16">
        <f>VLOOKUP(A16,NYSEARCAVNQ!A$2:G$506,4,0)</f>
        <v>77.37</v>
      </c>
      <c r="J16">
        <f>VLOOKUP(A16,NYSEARCARWX!A$2:G$506,4,0)</f>
        <v>43</v>
      </c>
      <c r="K16">
        <f>VLOOKUP(A16,NYSEARCADBC!A$2:G$506,4,0)</f>
        <v>17.73</v>
      </c>
      <c r="L16">
        <f>VLOOKUP(A16,NYSEARCAGSG!A$2:G$506,4,0)</f>
        <v>21.22</v>
      </c>
      <c r="M16">
        <f>VLOOKUP(A16,NYSEARCAGLD!A$2:G$506,4,0)</f>
        <v>112.92</v>
      </c>
      <c r="N16">
        <f>VLOOKUP(A16,NYSEBP!A$2:G$506,4,0)</f>
        <v>41.28</v>
      </c>
      <c r="O16">
        <f>VLOOKUP(A16,NASDAQYHOO!A$2:G$506,4,0)</f>
        <v>40.549999999999997</v>
      </c>
    </row>
    <row r="17" spans="1:15">
      <c r="A17" s="39">
        <v>42167</v>
      </c>
      <c r="B17">
        <v>72.400000000000006</v>
      </c>
      <c r="C17">
        <f>VLOOKUP(A17,NYSEARCAVTI!A$2:G$506,4,0)</f>
        <v>108.88</v>
      </c>
      <c r="D17">
        <f>VLOOKUP(A17,NYSEARCAVEU!A$2:G$506,4,0)</f>
        <v>49.82</v>
      </c>
      <c r="E17">
        <f>VLOOKUP(A17,NYSEARCAVWO!A$2:G$506,4,0)</f>
        <v>41.46</v>
      </c>
      <c r="F17">
        <f>VLOOKUP(A17,NYSEARCABND!A$2:G$506,4,0)</f>
        <v>81.12</v>
      </c>
      <c r="G17">
        <f>VLOOKUP(A17,NYSEARCATIP!A$2:G$506,4,0)</f>
        <v>111.27</v>
      </c>
      <c r="H17">
        <f>VLOOKUP(A17,NYSEARCAMUB!A$2:G$506,4,0)</f>
        <v>107.88</v>
      </c>
      <c r="I17">
        <f>VLOOKUP(A17,NYSEARCAVNQ!A$2:G$506,4,0)</f>
        <v>77.22</v>
      </c>
      <c r="J17">
        <f>VLOOKUP(A17,NYSEARCARWX!A$2:G$506,4,0)</f>
        <v>42.78</v>
      </c>
      <c r="K17">
        <f>VLOOKUP(A17,NYSEARCADBC!A$2:G$506,4,0)</f>
        <v>17.579999999999998</v>
      </c>
      <c r="L17">
        <f>VLOOKUP(A17,NYSEARCAGSG!A$2:G$506,4,0)</f>
        <v>21</v>
      </c>
      <c r="M17">
        <f>VLOOKUP(A17,NYSEARCAGLD!A$2:G$506,4,0)</f>
        <v>112.96</v>
      </c>
      <c r="N17">
        <f>VLOOKUP(A17,NYSEBP!A$2:G$506,4,0)</f>
        <v>40.700000000000003</v>
      </c>
      <c r="O17">
        <f>VLOOKUP(A17,NASDAQYHOO!A$2:G$506,4,0)</f>
        <v>40.46</v>
      </c>
    </row>
    <row r="18" spans="1:15">
      <c r="A18" s="39">
        <v>42170</v>
      </c>
      <c r="B18">
        <v>71.7</v>
      </c>
      <c r="C18">
        <f>VLOOKUP(A18,NYSEARCAVTI!A$2:G$506,4,0)</f>
        <v>107.87</v>
      </c>
      <c r="D18">
        <f>VLOOKUP(A18,NYSEARCAVEU!A$2:G$506,4,0)</f>
        <v>49.4</v>
      </c>
      <c r="E18">
        <f>VLOOKUP(A18,NYSEARCAVWO!A$2:G$506,4,0)</f>
        <v>40.97</v>
      </c>
      <c r="F18">
        <f>VLOOKUP(A18,NYSEARCABND!A$2:G$506,4,0)</f>
        <v>81.19</v>
      </c>
      <c r="G18">
        <f>VLOOKUP(A18,NYSEARCATIP!A$2:G$506,4,0)</f>
        <v>111.51</v>
      </c>
      <c r="H18">
        <f>VLOOKUP(A18,NYSEARCAMUB!A$2:G$506,4,0)</f>
        <v>108.01</v>
      </c>
      <c r="I18">
        <f>VLOOKUP(A18,NYSEARCAVNQ!A$2:G$506,4,0)</f>
        <v>76.849999999999994</v>
      </c>
      <c r="J18">
        <f>VLOOKUP(A18,NYSEARCARWX!A$2:G$506,4,0)</f>
        <v>42.67</v>
      </c>
      <c r="K18">
        <f>VLOOKUP(A18,NYSEARCADBC!A$2:G$506,4,0)</f>
        <v>17.46</v>
      </c>
      <c r="L18">
        <f>VLOOKUP(A18,NYSEARCAGSG!A$2:G$506,4,0)</f>
        <v>20.8</v>
      </c>
      <c r="M18">
        <f>VLOOKUP(A18,NYSEARCAGLD!A$2:G$506,4,0)</f>
        <v>113.21</v>
      </c>
      <c r="N18">
        <f>VLOOKUP(A18,NYSEBP!A$2:G$506,4,0)</f>
        <v>40.340000000000003</v>
      </c>
      <c r="O18">
        <f>VLOOKUP(A18,NASDAQYHOO!A$2:G$506,4,0)</f>
        <v>40.21</v>
      </c>
    </row>
    <row r="19" spans="1:15">
      <c r="A19" s="39">
        <v>42171</v>
      </c>
      <c r="B19">
        <v>71.72</v>
      </c>
      <c r="C19">
        <f>VLOOKUP(A19,NYSEARCAVTI!A$2:G$506,4,0)</f>
        <v>108.4</v>
      </c>
      <c r="D19">
        <f>VLOOKUP(A19,NYSEARCAVEU!A$2:G$506,4,0)</f>
        <v>49.43</v>
      </c>
      <c r="E19">
        <f>VLOOKUP(A19,NYSEARCAVWO!A$2:G$506,4,0)</f>
        <v>40.97</v>
      </c>
      <c r="F19">
        <f>VLOOKUP(A19,NYSEARCABND!A$2:G$506,4,0)</f>
        <v>81.23</v>
      </c>
      <c r="G19">
        <f>VLOOKUP(A19,NYSEARCATIP!A$2:G$506,4,0)</f>
        <v>111.91</v>
      </c>
      <c r="H19">
        <f>VLOOKUP(A19,NYSEARCAMUB!A$2:G$506,4,0)</f>
        <v>108.15</v>
      </c>
      <c r="I19">
        <f>VLOOKUP(A19,NYSEARCAVNQ!A$2:G$506,4,0)</f>
        <v>76.94</v>
      </c>
      <c r="J19">
        <f>VLOOKUP(A19,NYSEARCARWX!A$2:G$506,4,0)</f>
        <v>42.81</v>
      </c>
      <c r="K19">
        <f>VLOOKUP(A19,NYSEARCADBC!A$2:G$506,4,0)</f>
        <v>17.46</v>
      </c>
      <c r="L19">
        <f>VLOOKUP(A19,NYSEARCAGSG!A$2:G$506,4,0)</f>
        <v>20.82</v>
      </c>
      <c r="M19">
        <f>VLOOKUP(A19,NYSEARCAGLD!A$2:G$506,4,0)</f>
        <v>112.79</v>
      </c>
      <c r="N19">
        <f>VLOOKUP(A19,NYSEBP!A$2:G$506,4,0)</f>
        <v>40.369999999999997</v>
      </c>
      <c r="O19">
        <f>VLOOKUP(A19,NASDAQYHOO!A$2:G$506,4,0)</f>
        <v>40.020000000000003</v>
      </c>
    </row>
    <row r="20" spans="1:15">
      <c r="A20" s="39">
        <v>42172</v>
      </c>
      <c r="B20">
        <v>72.34</v>
      </c>
      <c r="C20">
        <f>VLOOKUP(A20,NYSEARCAVTI!A$2:G$506,4,0)</f>
        <v>108.74</v>
      </c>
      <c r="D20">
        <f>VLOOKUP(A20,NYSEARCAVEU!A$2:G$506,4,0)</f>
        <v>49.21</v>
      </c>
      <c r="E20">
        <f>VLOOKUP(A20,NYSEARCAVWO!A$2:G$506,4,0)</f>
        <v>40.98</v>
      </c>
      <c r="F20">
        <f>VLOOKUP(A20,NYSEARCABND!A$2:G$506,4,0)</f>
        <v>81.099999999999994</v>
      </c>
      <c r="G20">
        <f>VLOOKUP(A20,NYSEARCATIP!A$2:G$506,4,0)</f>
        <v>111.79</v>
      </c>
      <c r="H20">
        <f>VLOOKUP(A20,NYSEARCAMUB!A$2:G$506,4,0)</f>
        <v>108.01</v>
      </c>
      <c r="I20">
        <f>VLOOKUP(A20,NYSEARCAVNQ!A$2:G$506,4,0)</f>
        <v>77.12</v>
      </c>
      <c r="J20">
        <f>VLOOKUP(A20,NYSEARCARWX!A$2:G$506,4,0)</f>
        <v>42.38</v>
      </c>
      <c r="K20">
        <f>VLOOKUP(A20,NYSEARCADBC!A$2:G$506,4,0)</f>
        <v>17.45</v>
      </c>
      <c r="L20">
        <f>VLOOKUP(A20,NYSEARCAGSG!A$2:G$506,4,0)</f>
        <v>20.72</v>
      </c>
      <c r="M20">
        <f>VLOOKUP(A20,NYSEARCAGLD!A$2:G$506,4,0)</f>
        <v>112.63</v>
      </c>
      <c r="N20">
        <f>VLOOKUP(A20,NYSEBP!A$2:G$506,4,0)</f>
        <v>40.799999999999997</v>
      </c>
      <c r="O20">
        <f>VLOOKUP(A20,NASDAQYHOO!A$2:G$506,4,0)</f>
        <v>40.78</v>
      </c>
    </row>
    <row r="21" spans="1:15">
      <c r="A21" s="39">
        <v>42173</v>
      </c>
      <c r="B21">
        <v>72.739999999999995</v>
      </c>
      <c r="C21">
        <f>VLOOKUP(A21,NYSEARCAVTI!A$2:G$506,4,0)</f>
        <v>109.58</v>
      </c>
      <c r="D21">
        <f>VLOOKUP(A21,NYSEARCAVEU!A$2:G$506,4,0)</f>
        <v>49.82</v>
      </c>
      <c r="E21">
        <f>VLOOKUP(A21,NYSEARCAVWO!A$2:G$506,4,0)</f>
        <v>41.66</v>
      </c>
      <c r="F21">
        <f>VLOOKUP(A21,NYSEARCABND!A$2:G$506,4,0)</f>
        <v>81.2</v>
      </c>
      <c r="G21">
        <f>VLOOKUP(A21,NYSEARCATIP!A$2:G$506,4,0)</f>
        <v>111.97</v>
      </c>
      <c r="H21">
        <f>VLOOKUP(A21,NYSEARCAMUB!A$2:G$506,4,0)</f>
        <v>108.14</v>
      </c>
      <c r="I21">
        <f>VLOOKUP(A21,NYSEARCAVNQ!A$2:G$506,4,0)</f>
        <v>78.31</v>
      </c>
      <c r="J21">
        <f>VLOOKUP(A21,NYSEARCARWX!A$2:G$506,4,0)</f>
        <v>42.84</v>
      </c>
      <c r="K21">
        <f>VLOOKUP(A21,NYSEARCADBC!A$2:G$506,4,0)</f>
        <v>17.59</v>
      </c>
      <c r="L21">
        <f>VLOOKUP(A21,NYSEARCAGSG!A$2:G$506,4,0)</f>
        <v>20.9</v>
      </c>
      <c r="M21">
        <f>VLOOKUP(A21,NYSEARCAGLD!A$2:G$506,4,0)</f>
        <v>114.89</v>
      </c>
      <c r="N21">
        <f>VLOOKUP(A21,NYSEBP!A$2:G$506,4,0)</f>
        <v>41.17</v>
      </c>
      <c r="O21">
        <f>VLOOKUP(A21,NASDAQYHOO!A$2:G$506,4,0)</f>
        <v>40.79</v>
      </c>
    </row>
    <row r="22" spans="1:15">
      <c r="A22" s="39">
        <v>42174</v>
      </c>
      <c r="B22">
        <v>72.7</v>
      </c>
      <c r="C22">
        <f>VLOOKUP(A22,NYSEARCAVTI!A$2:G$506,4,0)</f>
        <v>109.86</v>
      </c>
      <c r="D22">
        <f>VLOOKUP(A22,NYSEARCAVEU!A$2:G$506,4,0)</f>
        <v>49.88</v>
      </c>
      <c r="E22">
        <f>VLOOKUP(A22,NYSEARCAVWO!A$2:G$506,4,0)</f>
        <v>41.47</v>
      </c>
      <c r="F22">
        <f>VLOOKUP(A22,NYSEARCABND!A$2:G$506,4,0)</f>
        <v>81.510000000000005</v>
      </c>
      <c r="G22">
        <f>VLOOKUP(A22,NYSEARCATIP!A$2:G$506,4,0)</f>
        <v>112.36</v>
      </c>
      <c r="H22">
        <f>VLOOKUP(A22,NYSEARCAMUB!A$2:G$506,4,0)</f>
        <v>108.3</v>
      </c>
      <c r="I22">
        <f>VLOOKUP(A22,NYSEARCAVNQ!A$2:G$506,4,0)</f>
        <v>78.53</v>
      </c>
      <c r="J22">
        <f>VLOOKUP(A22,NYSEARCARWX!A$2:G$506,4,0)</f>
        <v>42.43</v>
      </c>
      <c r="K22">
        <f>VLOOKUP(A22,NYSEARCADBC!A$2:G$506,4,0)</f>
        <v>17.36</v>
      </c>
      <c r="L22">
        <f>VLOOKUP(A22,NYSEARCAGSG!A$2:G$506,4,0)</f>
        <v>20.6</v>
      </c>
      <c r="M22">
        <f>VLOOKUP(A22,NYSEARCAGLD!A$2:G$506,4,0)</f>
        <v>114.95</v>
      </c>
      <c r="N22">
        <f>VLOOKUP(A22,NYSEBP!A$2:G$506,4,0)</f>
        <v>41.02</v>
      </c>
      <c r="O22">
        <f>VLOOKUP(A22,NASDAQYHOO!A$2:G$506,4,0)</f>
        <v>40.369999999999997</v>
      </c>
    </row>
    <row r="23" spans="1:15">
      <c r="A23" s="39">
        <v>42177</v>
      </c>
      <c r="B23">
        <v>72.7</v>
      </c>
      <c r="C23">
        <f>VLOOKUP(A23,NYSEARCAVTI!A$2:G$506,4,0)</f>
        <v>110.45</v>
      </c>
      <c r="D23">
        <f>VLOOKUP(A23,NYSEARCAVEU!A$2:G$506,4,0)</f>
        <v>50.62</v>
      </c>
      <c r="E23">
        <f>VLOOKUP(A23,NYSEARCAVWO!A$2:G$506,4,0)</f>
        <v>41.98</v>
      </c>
      <c r="F23">
        <f>VLOOKUP(A23,NYSEARCABND!A$2:G$506,4,0)</f>
        <v>81.209999999999994</v>
      </c>
      <c r="G23">
        <f>VLOOKUP(A23,NYSEARCATIP!A$2:G$506,4,0)</f>
        <v>112.02</v>
      </c>
      <c r="H23">
        <f>VLOOKUP(A23,NYSEARCAMUB!A$2:G$506,4,0)</f>
        <v>108</v>
      </c>
      <c r="I23">
        <f>VLOOKUP(A23,NYSEARCAVNQ!A$2:G$506,4,0)</f>
        <v>77.89</v>
      </c>
      <c r="J23">
        <f>VLOOKUP(A23,NYSEARCARWX!A$2:G$506,4,0)</f>
        <v>42.87</v>
      </c>
      <c r="K23">
        <f>VLOOKUP(A23,NYSEARCADBC!A$2:G$506,4,0)</f>
        <v>17.34</v>
      </c>
      <c r="L23">
        <f>VLOOKUP(A23,NYSEARCAGSG!A$2:G$506,4,0)</f>
        <v>20.52</v>
      </c>
      <c r="M23">
        <f>VLOOKUP(A23,NYSEARCAGLD!A$2:G$506,4,0)</f>
        <v>113.34</v>
      </c>
      <c r="N23">
        <f>VLOOKUP(A23,NYSEBP!A$2:G$506,4,0)</f>
        <v>41.34</v>
      </c>
      <c r="O23">
        <f>VLOOKUP(A23,NASDAQYHOO!A$2:G$506,4,0)</f>
        <v>40.54</v>
      </c>
    </row>
    <row r="24" spans="1:15">
      <c r="A24" s="39">
        <v>42178</v>
      </c>
      <c r="B24">
        <v>72.34</v>
      </c>
      <c r="C24">
        <f>VLOOKUP(A24,NYSEARCAVTI!A$2:G$506,4,0)</f>
        <v>110.46</v>
      </c>
      <c r="D24">
        <f>VLOOKUP(A24,NYSEARCAVEU!A$2:G$506,4,0)</f>
        <v>50.84</v>
      </c>
      <c r="E24">
        <f>VLOOKUP(A24,NYSEARCAVWO!A$2:G$506,4,0)</f>
        <v>42.19</v>
      </c>
      <c r="F24">
        <f>VLOOKUP(A24,NYSEARCABND!A$2:G$506,4,0)</f>
        <v>81</v>
      </c>
      <c r="G24">
        <f>VLOOKUP(A24,NYSEARCATIP!A$2:G$506,4,0)</f>
        <v>111.66</v>
      </c>
      <c r="H24">
        <f>VLOOKUP(A24,NYSEARCAMUB!A$2:G$506,4,0)</f>
        <v>108</v>
      </c>
      <c r="I24">
        <f>VLOOKUP(A24,NYSEARCAVNQ!A$2:G$506,4,0)</f>
        <v>77.180000000000007</v>
      </c>
      <c r="J24">
        <f>VLOOKUP(A24,NYSEARCARWX!A$2:G$506,4,0)</f>
        <v>42.84</v>
      </c>
      <c r="K24">
        <f>VLOOKUP(A24,NYSEARCADBC!A$2:G$506,4,0)</f>
        <v>17.47</v>
      </c>
      <c r="L24">
        <f>VLOOKUP(A24,NYSEARCAGSG!A$2:G$506,4,0)</f>
        <v>20.75</v>
      </c>
      <c r="M24">
        <f>VLOOKUP(A24,NYSEARCAGLD!A$2:G$506,4,0)</f>
        <v>112.79</v>
      </c>
      <c r="N24">
        <f>VLOOKUP(A24,NYSEBP!A$2:G$506,4,0)</f>
        <v>41.33</v>
      </c>
      <c r="O24">
        <f>VLOOKUP(A24,NASDAQYHOO!A$2:G$506,4,0)</f>
        <v>40.51</v>
      </c>
    </row>
    <row r="25" spans="1:15">
      <c r="A25" s="39">
        <v>42179</v>
      </c>
      <c r="B25">
        <v>72.14</v>
      </c>
      <c r="C25">
        <f>VLOOKUP(A25,NYSEARCAVTI!A$2:G$506,4,0)</f>
        <v>109.86</v>
      </c>
      <c r="D25">
        <f>VLOOKUP(A25,NYSEARCAVEU!A$2:G$506,4,0)</f>
        <v>50.57</v>
      </c>
      <c r="E25">
        <f>VLOOKUP(A25,NYSEARCAVWO!A$2:G$506,4,0)</f>
        <v>42.16</v>
      </c>
      <c r="F25">
        <f>VLOOKUP(A25,NYSEARCABND!A$2:G$506,4,0)</f>
        <v>81.08</v>
      </c>
      <c r="G25">
        <f>VLOOKUP(A25,NYSEARCATIP!A$2:G$506,4,0)</f>
        <v>111.85</v>
      </c>
      <c r="H25">
        <f>VLOOKUP(A25,NYSEARCAMUB!A$2:G$506,4,0)</f>
        <v>108.17</v>
      </c>
      <c r="I25">
        <f>VLOOKUP(A25,NYSEARCAVNQ!A$2:G$506,4,0)</f>
        <v>76.87</v>
      </c>
      <c r="J25">
        <f>VLOOKUP(A25,NYSEARCARWX!A$2:G$506,4,0)</f>
        <v>42.72</v>
      </c>
      <c r="K25">
        <f>VLOOKUP(A25,NYSEARCADBC!A$2:G$506,4,0)</f>
        <v>17.559999999999999</v>
      </c>
      <c r="L25">
        <f>VLOOKUP(A25,NYSEARCAGSG!A$2:G$506,4,0)</f>
        <v>20.82</v>
      </c>
      <c r="M25">
        <f>VLOOKUP(A25,NYSEARCAGLD!A$2:G$506,4,0)</f>
        <v>112.31</v>
      </c>
      <c r="N25">
        <f>VLOOKUP(A25,NYSEBP!A$2:G$506,4,0)</f>
        <v>41.29</v>
      </c>
      <c r="O25">
        <f>VLOOKUP(A25,NASDAQYHOO!A$2:G$506,4,0)</f>
        <v>40.58</v>
      </c>
    </row>
    <row r="26" spans="1:15">
      <c r="A26" s="39">
        <v>42180</v>
      </c>
      <c r="B26">
        <v>71.83</v>
      </c>
      <c r="C26">
        <f>VLOOKUP(A26,NYSEARCAVTI!A$2:G$506,4,0)</f>
        <v>109.45</v>
      </c>
      <c r="D26">
        <f>VLOOKUP(A26,NYSEARCAVEU!A$2:G$506,4,0)</f>
        <v>50.54</v>
      </c>
      <c r="E26">
        <f>VLOOKUP(A26,NYSEARCAVWO!A$2:G$506,4,0)</f>
        <v>41.99</v>
      </c>
      <c r="F26">
        <f>VLOOKUP(A26,NYSEARCABND!A$2:G$506,4,0)</f>
        <v>81.040000000000006</v>
      </c>
      <c r="G26">
        <f>VLOOKUP(A26,NYSEARCATIP!A$2:G$506,4,0)</f>
        <v>111.79</v>
      </c>
      <c r="H26">
        <f>VLOOKUP(A26,NYSEARCAMUB!A$2:G$506,4,0)</f>
        <v>108.17</v>
      </c>
      <c r="I26">
        <f>VLOOKUP(A26,NYSEARCAVNQ!A$2:G$506,4,0)</f>
        <v>76.09</v>
      </c>
      <c r="J26">
        <f>VLOOKUP(A26,NYSEARCARWX!A$2:G$506,4,0)</f>
        <v>42.66</v>
      </c>
      <c r="K26">
        <f>VLOOKUP(A26,NYSEARCADBC!A$2:G$506,4,0)</f>
        <v>17.52</v>
      </c>
      <c r="L26">
        <f>VLOOKUP(A26,NYSEARCAGSG!A$2:G$506,4,0)</f>
        <v>20.74</v>
      </c>
      <c r="M26">
        <f>VLOOKUP(A26,NYSEARCAGLD!A$2:G$506,4,0)</f>
        <v>112.32</v>
      </c>
      <c r="N26">
        <f>VLOOKUP(A26,NYSEBP!A$2:G$506,4,0)</f>
        <v>41.63</v>
      </c>
      <c r="O26">
        <f>VLOOKUP(A26,NASDAQYHOO!A$2:G$506,4,0)</f>
        <v>40.9</v>
      </c>
    </row>
    <row r="27" spans="1:15">
      <c r="A27" s="39">
        <v>42181</v>
      </c>
      <c r="B27">
        <v>71.87</v>
      </c>
      <c r="C27">
        <f>VLOOKUP(A27,NYSEARCAVTI!A$2:G$506,4,0)</f>
        <v>108.65</v>
      </c>
      <c r="D27">
        <f>VLOOKUP(A27,NYSEARCAVEU!A$2:G$506,4,0)</f>
        <v>49.77</v>
      </c>
      <c r="E27">
        <f>VLOOKUP(A27,NYSEARCAVWO!A$2:G$506,4,0)</f>
        <v>41.2</v>
      </c>
      <c r="F27">
        <f>VLOOKUP(A27,NYSEARCABND!A$2:G$506,4,0)</f>
        <v>80.849999999999994</v>
      </c>
      <c r="G27">
        <f>VLOOKUP(A27,NYSEARCATIP!A$2:G$506,4,0)</f>
        <v>111.37</v>
      </c>
      <c r="H27">
        <f>VLOOKUP(A27,NYSEARCAMUB!A$2:G$506,4,0)</f>
        <v>108.1</v>
      </c>
      <c r="I27">
        <f>VLOOKUP(A27,NYSEARCAVNQ!A$2:G$506,4,0)</f>
        <v>75.09</v>
      </c>
      <c r="J27">
        <f>VLOOKUP(A27,NYSEARCARWX!A$2:G$506,4,0)</f>
        <v>42.48</v>
      </c>
      <c r="K27">
        <f>VLOOKUP(A27,NYSEARCADBC!A$2:G$506,4,0)</f>
        <v>17.59</v>
      </c>
      <c r="L27">
        <f>VLOOKUP(A27,NYSEARCAGSG!A$2:G$506,4,0)</f>
        <v>20.77</v>
      </c>
      <c r="M27">
        <f>VLOOKUP(A27,NYSEARCAGLD!A$2:G$506,4,0)</f>
        <v>112.13</v>
      </c>
      <c r="N27">
        <f>VLOOKUP(A27,NYSEBP!A$2:G$506,4,0)</f>
        <v>41.22</v>
      </c>
      <c r="O27">
        <f>VLOOKUP(A27,NASDAQYHOO!A$2:G$506,4,0)</f>
        <v>39.93</v>
      </c>
    </row>
    <row r="28" spans="1:15">
      <c r="A28" s="39">
        <v>42184</v>
      </c>
      <c r="B28">
        <v>71.41</v>
      </c>
      <c r="C28">
        <f>VLOOKUP(A28,NYSEARCAVTI!A$2:G$506,4,0)</f>
        <v>106.65</v>
      </c>
      <c r="D28">
        <f>VLOOKUP(A28,NYSEARCAVEU!A$2:G$506,4,0)</f>
        <v>48.42</v>
      </c>
      <c r="E28">
        <f>VLOOKUP(A28,NYSEARCAVWO!A$2:G$506,4,0)</f>
        <v>40.32</v>
      </c>
      <c r="F28">
        <f>VLOOKUP(A28,NYSEARCABND!A$2:G$506,4,0)</f>
        <v>81.08</v>
      </c>
      <c r="G28">
        <f>VLOOKUP(A28,NYSEARCATIP!A$2:G$506,4,0)</f>
        <v>111.68</v>
      </c>
      <c r="H28">
        <f>VLOOKUP(A28,NYSEARCAMUB!A$2:G$506,4,0)</f>
        <v>108.07</v>
      </c>
      <c r="I28">
        <f>VLOOKUP(A28,NYSEARCAVNQ!A$2:G$506,4,0)</f>
        <v>74.67</v>
      </c>
      <c r="J28">
        <f>VLOOKUP(A28,NYSEARCARWX!A$2:G$506,4,0)</f>
        <v>41.66</v>
      </c>
      <c r="K28">
        <f>VLOOKUP(A28,NYSEARCADBC!A$2:G$506,4,0)</f>
        <v>17.600000000000001</v>
      </c>
      <c r="L28">
        <f>VLOOKUP(A28,NYSEARCAGSG!A$2:G$506,4,0)</f>
        <v>20.68</v>
      </c>
      <c r="M28">
        <f>VLOOKUP(A28,NYSEARCAGLD!A$2:G$506,4,0)</f>
        <v>112.53</v>
      </c>
      <c r="N28">
        <f>VLOOKUP(A28,NYSEBP!A$2:G$506,4,0)</f>
        <v>40.229999999999997</v>
      </c>
      <c r="O28">
        <f>VLOOKUP(A28,NASDAQYHOO!A$2:G$506,4,0)</f>
        <v>38.85</v>
      </c>
    </row>
    <row r="29" spans="1:15">
      <c r="A29" s="39">
        <v>42185</v>
      </c>
      <c r="B29">
        <v>70.78</v>
      </c>
      <c r="C29">
        <f>VLOOKUP(A29,NYSEARCAVTI!A$2:G$506,4,0)</f>
        <v>106.68</v>
      </c>
      <c r="D29">
        <f>VLOOKUP(A29,NYSEARCAVEU!A$2:G$506,4,0)</f>
        <v>48.37</v>
      </c>
      <c r="E29">
        <f>VLOOKUP(A29,NYSEARCAVWO!A$2:G$506,4,0)</f>
        <v>40.75</v>
      </c>
      <c r="F29">
        <f>VLOOKUP(A29,NYSEARCABND!A$2:G$506,4,0)</f>
        <v>81.239999999999995</v>
      </c>
      <c r="G29">
        <f>VLOOKUP(A29,NYSEARCATIP!A$2:G$506,4,0)</f>
        <v>112.05</v>
      </c>
      <c r="H29">
        <f>VLOOKUP(A29,NYSEARCAMUB!A$2:G$506,4,0)</f>
        <v>108.15</v>
      </c>
      <c r="I29">
        <f>VLOOKUP(A29,NYSEARCAVNQ!A$2:G$506,4,0)</f>
        <v>74.5</v>
      </c>
      <c r="J29">
        <f>VLOOKUP(A29,NYSEARCARWX!A$2:G$506,4,0)</f>
        <v>41.64</v>
      </c>
      <c r="K29">
        <f>VLOOKUP(A29,NYSEARCADBC!A$2:G$506,4,0)</f>
        <v>17.649999999999999</v>
      </c>
      <c r="L29">
        <f>VLOOKUP(A29,NYSEARCAGSG!A$2:G$506,4,0)</f>
        <v>20.81</v>
      </c>
      <c r="M29">
        <f>VLOOKUP(A29,NYSEARCAGLD!A$2:G$506,4,0)</f>
        <v>111.84</v>
      </c>
      <c r="N29">
        <f>VLOOKUP(A29,NYSEBP!A$2:G$506,4,0)</f>
        <v>39.700000000000003</v>
      </c>
      <c r="O29">
        <f>VLOOKUP(A29,NASDAQYHOO!A$2:G$506,4,0)</f>
        <v>39.19</v>
      </c>
    </row>
    <row r="30" spans="1:15">
      <c r="A30" s="39">
        <v>42186</v>
      </c>
      <c r="B30">
        <v>70.36</v>
      </c>
      <c r="C30">
        <f>VLOOKUP(A30,NYSEARCAVTI!A$2:G$506,4,0)</f>
        <v>107.28</v>
      </c>
      <c r="D30">
        <f>VLOOKUP(A30,NYSEARCAVEU!A$2:G$506,4,0)</f>
        <v>48.63</v>
      </c>
      <c r="E30">
        <f>VLOOKUP(A30,NYSEARCAVWO!A$2:G$506,4,0)</f>
        <v>40.76</v>
      </c>
      <c r="F30">
        <f>VLOOKUP(A30,NYSEARCABND!A$2:G$506,4,0)</f>
        <v>80.83</v>
      </c>
      <c r="G30">
        <f>VLOOKUP(A30,NYSEARCATIP!A$2:G$506,4,0)</f>
        <v>111.62</v>
      </c>
      <c r="H30">
        <f>VLOOKUP(A30,NYSEARCAMUB!A$2:G$506,4,0)</f>
        <v>107.85</v>
      </c>
      <c r="I30">
        <f>VLOOKUP(A30,NYSEARCAVNQ!A$2:G$506,4,0)</f>
        <v>74.36</v>
      </c>
      <c r="J30">
        <f>VLOOKUP(A30,NYSEARCARWX!A$2:G$506,4,0)</f>
        <v>41.87</v>
      </c>
      <c r="K30">
        <f>VLOOKUP(A30,NYSEARCADBC!A$2:G$506,4,0)</f>
        <v>17.71</v>
      </c>
      <c r="L30">
        <f>VLOOKUP(A30,NYSEARCAGSG!A$2:G$506,4,0)</f>
        <v>20.7</v>
      </c>
      <c r="M30">
        <f>VLOOKUP(A30,NYSEARCAGLD!A$2:G$506,4,0)</f>
        <v>111.94</v>
      </c>
      <c r="N30">
        <f>VLOOKUP(A30,NYSEBP!A$2:G$506,4,0)</f>
        <v>39.130000000000003</v>
      </c>
      <c r="O30">
        <f>VLOOKUP(A30,NASDAQYHOO!A$2:G$506,4,0)</f>
        <v>39.15</v>
      </c>
    </row>
    <row r="31" spans="1:15">
      <c r="A31" s="39">
        <v>42187</v>
      </c>
      <c r="B31">
        <v>71.66</v>
      </c>
      <c r="C31">
        <f>VLOOKUP(A31,NYSEARCAVTI!A$2:G$506,4,0)</f>
        <v>107.34</v>
      </c>
      <c r="D31">
        <f>VLOOKUP(A31,NYSEARCAVEU!A$2:G$506,4,0)</f>
        <v>48.75</v>
      </c>
      <c r="E31">
        <f>VLOOKUP(A31,NYSEARCAVWO!A$2:G$506,4,0)</f>
        <v>41</v>
      </c>
      <c r="F31">
        <f>VLOOKUP(A31,NYSEARCABND!A$2:G$506,4,0)</f>
        <v>81.06</v>
      </c>
      <c r="G31">
        <f>VLOOKUP(A31,NYSEARCATIP!A$2:G$506,4,0)</f>
        <v>111.9</v>
      </c>
      <c r="H31">
        <f>VLOOKUP(A31,NYSEARCAMUB!A$2:G$506,4,0)</f>
        <v>107.97</v>
      </c>
      <c r="I31">
        <f>VLOOKUP(A31,NYSEARCAVNQ!A$2:G$506,4,0)</f>
        <v>75.98</v>
      </c>
      <c r="J31">
        <f>VLOOKUP(A31,NYSEARCARWX!A$2:G$506,4,0)</f>
        <v>41.81</v>
      </c>
      <c r="K31">
        <f>VLOOKUP(A31,NYSEARCADBC!A$2:G$506,4,0)</f>
        <v>17.739999999999998</v>
      </c>
      <c r="L31">
        <f>VLOOKUP(A31,NYSEARCAGSG!A$2:G$506,4,0)</f>
        <v>20.72</v>
      </c>
      <c r="M31">
        <f>VLOOKUP(A31,NYSEARCAGLD!A$2:G$506,4,0)</f>
        <v>111.41</v>
      </c>
      <c r="N31">
        <f>VLOOKUP(A31,NYSEBP!A$2:G$506,4,0)</f>
        <v>40.72</v>
      </c>
      <c r="O31">
        <f>VLOOKUP(A31,NASDAQYHOO!A$2:G$506,4,0)</f>
        <v>39.19</v>
      </c>
    </row>
    <row r="32" spans="1:15">
      <c r="A32" s="39">
        <v>42191</v>
      </c>
      <c r="B32">
        <v>71.38</v>
      </c>
      <c r="C32">
        <f>VLOOKUP(A32,NYSEARCAVTI!A$2:G$506,4,0)</f>
        <v>106.62</v>
      </c>
      <c r="D32">
        <f>VLOOKUP(A32,NYSEARCAVEU!A$2:G$506,4,0)</f>
        <v>47.74</v>
      </c>
      <c r="E32">
        <f>VLOOKUP(A32,NYSEARCAVWO!A$2:G$506,4,0)</f>
        <v>39.75</v>
      </c>
      <c r="F32">
        <f>VLOOKUP(A32,NYSEARCABND!A$2:G$506,4,0)</f>
        <v>81.22</v>
      </c>
      <c r="G32">
        <f>VLOOKUP(A32,NYSEARCATIP!A$2:G$506,4,0)</f>
        <v>112.25</v>
      </c>
      <c r="H32">
        <f>VLOOKUP(A32,NYSEARCAMUB!A$2:G$506,4,0)</f>
        <v>108.23</v>
      </c>
      <c r="I32">
        <f>VLOOKUP(A32,NYSEARCAVNQ!A$2:G$506,4,0)</f>
        <v>75.64</v>
      </c>
      <c r="J32">
        <f>VLOOKUP(A32,NYSEARCARWX!A$2:G$506,4,0)</f>
        <v>41.32</v>
      </c>
      <c r="K32">
        <f>VLOOKUP(A32,NYSEARCADBC!A$2:G$506,4,0)</f>
        <v>17.14</v>
      </c>
      <c r="L32">
        <f>VLOOKUP(A32,NYSEARCAGSG!A$2:G$506,4,0)</f>
        <v>19.73</v>
      </c>
      <c r="M32">
        <f>VLOOKUP(A32,NYSEARCAGLD!A$2:G$506,4,0)</f>
        <v>111.63</v>
      </c>
      <c r="N32">
        <f>VLOOKUP(A32,NYSEBP!A$2:G$506,4,0)</f>
        <v>39.85</v>
      </c>
      <c r="O32">
        <f>VLOOKUP(A32,NASDAQYHOO!A$2:G$506,4,0)</f>
        <v>38.46</v>
      </c>
    </row>
    <row r="33" spans="1:15">
      <c r="A33" s="39">
        <v>42192</v>
      </c>
      <c r="B33">
        <v>72</v>
      </c>
      <c r="C33">
        <f>VLOOKUP(A33,NYSEARCAVTI!A$2:G$506,4,0)</f>
        <v>105.93</v>
      </c>
      <c r="D33">
        <f>VLOOKUP(A33,NYSEARCAVEU!A$2:G$506,4,0)</f>
        <v>46.84</v>
      </c>
      <c r="E33">
        <f>VLOOKUP(A33,NYSEARCAVWO!A$2:G$506,4,0)</f>
        <v>38.54</v>
      </c>
      <c r="F33">
        <f>VLOOKUP(A33,NYSEARCABND!A$2:G$506,4,0)</f>
        <v>81.459999999999994</v>
      </c>
      <c r="G33">
        <f>VLOOKUP(A33,NYSEARCATIP!A$2:G$506,4,0)</f>
        <v>112.82</v>
      </c>
      <c r="H33">
        <f>VLOOKUP(A33,NYSEARCAMUB!A$2:G$506,4,0)</f>
        <v>108.3</v>
      </c>
      <c r="I33">
        <f>VLOOKUP(A33,NYSEARCAVNQ!A$2:G$506,4,0)</f>
        <v>76.81</v>
      </c>
      <c r="J33">
        <f>VLOOKUP(A33,NYSEARCARWX!A$2:G$506,4,0)</f>
        <v>40.85</v>
      </c>
      <c r="K33">
        <f>VLOOKUP(A33,NYSEARCADBC!A$2:G$506,4,0)</f>
        <v>16.72</v>
      </c>
      <c r="L33">
        <f>VLOOKUP(A33,NYSEARCAGSG!A$2:G$506,4,0)</f>
        <v>19.29</v>
      </c>
      <c r="M33">
        <f>VLOOKUP(A33,NYSEARCAGLD!A$2:G$506,4,0)</f>
        <v>110.05</v>
      </c>
      <c r="N33">
        <f>VLOOKUP(A33,NYSEBP!A$2:G$506,4,0)</f>
        <v>38.74</v>
      </c>
      <c r="O33">
        <f>VLOOKUP(A33,NASDAQYHOO!A$2:G$506,4,0)</f>
        <v>36.58</v>
      </c>
    </row>
    <row r="34" spans="1:15">
      <c r="A34" s="39">
        <v>42193</v>
      </c>
      <c r="B34">
        <v>72.900000000000006</v>
      </c>
      <c r="C34">
        <f>VLOOKUP(A34,NYSEARCAVTI!A$2:G$506,4,0)</f>
        <v>105.91</v>
      </c>
      <c r="D34">
        <f>VLOOKUP(A34,NYSEARCAVEU!A$2:G$506,4,0)</f>
        <v>46.45</v>
      </c>
      <c r="E34">
        <f>VLOOKUP(A34,NYSEARCAVWO!A$2:G$506,4,0)</f>
        <v>37.83</v>
      </c>
      <c r="F34">
        <f>VLOOKUP(A34,NYSEARCABND!A$2:G$506,4,0)</f>
        <v>81.56</v>
      </c>
      <c r="G34">
        <f>VLOOKUP(A34,NYSEARCATIP!A$2:G$506,4,0)</f>
        <v>112.85</v>
      </c>
      <c r="H34">
        <f>VLOOKUP(A34,NYSEARCAMUB!A$2:G$506,4,0)</f>
        <v>108.45</v>
      </c>
      <c r="I34">
        <f>VLOOKUP(A34,NYSEARCAVNQ!A$2:G$506,4,0)</f>
        <v>77.25</v>
      </c>
      <c r="J34">
        <f>VLOOKUP(A34,NYSEARCARWX!A$2:G$506,4,0)</f>
        <v>40.450000000000003</v>
      </c>
      <c r="K34">
        <f>VLOOKUP(A34,NYSEARCADBC!A$2:G$506,4,0)</f>
        <v>16.899999999999999</v>
      </c>
      <c r="L34">
        <f>VLOOKUP(A34,NYSEARCAGSG!A$2:G$506,4,0)</f>
        <v>19.52</v>
      </c>
      <c r="M34">
        <f>VLOOKUP(A34,NYSEARCAGLD!A$2:G$506,4,0)</f>
        <v>111.08</v>
      </c>
      <c r="N34">
        <f>VLOOKUP(A34,NYSEBP!A$2:G$506,4,0)</f>
        <v>38.950000000000003</v>
      </c>
      <c r="O34">
        <f>VLOOKUP(A34,NASDAQYHOO!A$2:G$506,4,0)</f>
        <v>36.94</v>
      </c>
    </row>
    <row r="35" spans="1:15">
      <c r="A35" s="39">
        <v>42194</v>
      </c>
      <c r="B35">
        <v>72.709999999999994</v>
      </c>
      <c r="C35">
        <f>VLOOKUP(A35,NYSEARCAVTI!A$2:G$506,4,0)</f>
        <v>106.27</v>
      </c>
      <c r="D35">
        <f>VLOOKUP(A35,NYSEARCAVEU!A$2:G$506,4,0)</f>
        <v>47.19</v>
      </c>
      <c r="E35">
        <f>VLOOKUP(A35,NYSEARCAVWO!A$2:G$506,4,0)</f>
        <v>38.630000000000003</v>
      </c>
      <c r="F35">
        <f>VLOOKUP(A35,NYSEARCABND!A$2:G$506,4,0)</f>
        <v>81.38</v>
      </c>
      <c r="G35">
        <f>VLOOKUP(A35,NYSEARCATIP!A$2:G$506,4,0)</f>
        <v>112.31</v>
      </c>
      <c r="H35">
        <f>VLOOKUP(A35,NYSEARCAMUB!A$2:G$506,4,0)</f>
        <v>108.48</v>
      </c>
      <c r="I35">
        <f>VLOOKUP(A35,NYSEARCAVNQ!A$2:G$506,4,0)</f>
        <v>76.930000000000007</v>
      </c>
      <c r="J35">
        <f>VLOOKUP(A35,NYSEARCARWX!A$2:G$506,4,0)</f>
        <v>40.76</v>
      </c>
      <c r="K35">
        <f>VLOOKUP(A35,NYSEARCADBC!A$2:G$506,4,0)</f>
        <v>17.11</v>
      </c>
      <c r="L35">
        <f>VLOOKUP(A35,NYSEARCAGSG!A$2:G$506,4,0)</f>
        <v>19.88</v>
      </c>
      <c r="M35">
        <f>VLOOKUP(A35,NYSEARCAGLD!A$2:G$506,4,0)</f>
        <v>111.15</v>
      </c>
      <c r="N35">
        <f>VLOOKUP(A35,NYSEBP!A$2:G$506,4,0)</f>
        <v>39.119999999999997</v>
      </c>
      <c r="O35">
        <f>VLOOKUP(A35,NASDAQYHOO!A$2:G$506,4,0)</f>
        <v>37.520000000000003</v>
      </c>
    </row>
    <row r="36" spans="1:15">
      <c r="A36" s="39">
        <v>42195</v>
      </c>
      <c r="B36">
        <v>73.08</v>
      </c>
      <c r="C36">
        <f>VLOOKUP(A36,NYSEARCAVTI!A$2:G$506,4,0)</f>
        <v>107.1</v>
      </c>
      <c r="D36">
        <f>VLOOKUP(A36,NYSEARCAVEU!A$2:G$506,4,0)</f>
        <v>48.28</v>
      </c>
      <c r="E36">
        <f>VLOOKUP(A36,NYSEARCAVWO!A$2:G$506,4,0)</f>
        <v>39.4</v>
      </c>
      <c r="F36">
        <f>VLOOKUP(A36,NYSEARCABND!A$2:G$506,4,0)</f>
        <v>80.95</v>
      </c>
      <c r="G36">
        <f>VLOOKUP(A36,NYSEARCATIP!A$2:G$506,4,0)</f>
        <v>111.65</v>
      </c>
      <c r="H36">
        <f>VLOOKUP(A36,NYSEARCAMUB!A$2:G$506,4,0)</f>
        <v>108.35</v>
      </c>
      <c r="I36">
        <f>VLOOKUP(A36,NYSEARCAVNQ!A$2:G$506,4,0)</f>
        <v>77.260000000000005</v>
      </c>
      <c r="J36">
        <f>VLOOKUP(A36,NYSEARCARWX!A$2:G$506,4,0)</f>
        <v>41.43</v>
      </c>
      <c r="K36">
        <f>VLOOKUP(A36,NYSEARCADBC!A$2:G$506,4,0)</f>
        <v>17.16</v>
      </c>
      <c r="L36">
        <f>VLOOKUP(A36,NYSEARCAGSG!A$2:G$506,4,0)</f>
        <v>19.84</v>
      </c>
      <c r="M36">
        <f>VLOOKUP(A36,NYSEARCAGLD!A$2:G$506,4,0)</f>
        <v>111.03</v>
      </c>
      <c r="N36">
        <f>VLOOKUP(A36,NYSEBP!A$2:G$506,4,0)</f>
        <v>39.479999999999997</v>
      </c>
      <c r="O36">
        <f>VLOOKUP(A36,NASDAQYHOO!A$2:G$506,4,0)</f>
        <v>37.61</v>
      </c>
    </row>
    <row r="37" spans="1:15">
      <c r="A37" s="39">
        <v>42198</v>
      </c>
      <c r="B37">
        <v>73.510000000000005</v>
      </c>
      <c r="C37">
        <f>VLOOKUP(A37,NYSEARCAVTI!A$2:G$506,4,0)</f>
        <v>108.38</v>
      </c>
      <c r="D37">
        <f>VLOOKUP(A37,NYSEARCAVEU!A$2:G$506,4,0)</f>
        <v>48.73</v>
      </c>
      <c r="E37">
        <f>VLOOKUP(A37,NYSEARCAVWO!A$2:G$506,4,0)</f>
        <v>39.880000000000003</v>
      </c>
      <c r="F37">
        <f>VLOOKUP(A37,NYSEARCABND!A$2:G$506,4,0)</f>
        <v>80.84</v>
      </c>
      <c r="G37">
        <f>VLOOKUP(A37,NYSEARCATIP!A$2:G$506,4,0)</f>
        <v>111.42</v>
      </c>
      <c r="H37">
        <f>VLOOKUP(A37,NYSEARCAMUB!A$2:G$506,4,0)</f>
        <v>108.21</v>
      </c>
      <c r="I37">
        <f>VLOOKUP(A37,NYSEARCAVNQ!A$2:G$506,4,0)</f>
        <v>77.459999999999994</v>
      </c>
      <c r="J37">
        <f>VLOOKUP(A37,NYSEARCARWX!A$2:G$506,4,0)</f>
        <v>42</v>
      </c>
      <c r="K37">
        <f>VLOOKUP(A37,NYSEARCADBC!A$2:G$506,4,0)</f>
        <v>17.11</v>
      </c>
      <c r="L37">
        <f>VLOOKUP(A37,NYSEARCAGSG!A$2:G$506,4,0)</f>
        <v>19.7</v>
      </c>
      <c r="M37">
        <f>VLOOKUP(A37,NYSEARCAGLD!A$2:G$506,4,0)</f>
        <v>110.36</v>
      </c>
      <c r="N37">
        <f>VLOOKUP(A37,NYSEBP!A$2:G$506,4,0)</f>
        <v>39.880000000000003</v>
      </c>
      <c r="O37">
        <f>VLOOKUP(A37,NASDAQYHOO!A$2:G$506,4,0)</f>
        <v>38.1</v>
      </c>
    </row>
    <row r="38" spans="1:15">
      <c r="A38" s="39">
        <v>42199</v>
      </c>
      <c r="B38">
        <v>73.48</v>
      </c>
      <c r="C38">
        <f>VLOOKUP(A38,NYSEARCAVTI!A$2:G$506,4,0)</f>
        <v>108.59</v>
      </c>
      <c r="D38">
        <f>VLOOKUP(A38,NYSEARCAVEU!A$2:G$506,4,0)</f>
        <v>48.83</v>
      </c>
      <c r="E38">
        <f>VLOOKUP(A38,NYSEARCAVWO!A$2:G$506,4,0)</f>
        <v>39.79</v>
      </c>
      <c r="F38">
        <f>VLOOKUP(A38,NYSEARCABND!A$2:G$506,4,0)</f>
        <v>80.959999999999994</v>
      </c>
      <c r="G38">
        <f>VLOOKUP(A38,NYSEARCATIP!A$2:G$506,4,0)</f>
        <v>111.46</v>
      </c>
      <c r="H38">
        <f>VLOOKUP(A38,NYSEARCAMUB!A$2:G$506,4,0)</f>
        <v>108.36</v>
      </c>
      <c r="I38">
        <f>VLOOKUP(A38,NYSEARCAVNQ!A$2:G$506,4,0)</f>
        <v>77.569999999999993</v>
      </c>
      <c r="J38">
        <f>VLOOKUP(A38,NYSEARCARWX!A$2:G$506,4,0)</f>
        <v>42.2</v>
      </c>
      <c r="K38">
        <f>VLOOKUP(A38,NYSEARCADBC!A$2:G$506,4,0)</f>
        <v>17.14</v>
      </c>
      <c r="L38">
        <f>VLOOKUP(A38,NYSEARCAGSG!A$2:G$506,4,0)</f>
        <v>19.7</v>
      </c>
      <c r="M38">
        <f>VLOOKUP(A38,NYSEARCAGLD!A$2:G$506,4,0)</f>
        <v>110.63</v>
      </c>
      <c r="N38">
        <f>VLOOKUP(A38,NYSEBP!A$2:G$506,4,0)</f>
        <v>39.909999999999997</v>
      </c>
      <c r="O38">
        <f>VLOOKUP(A38,NASDAQYHOO!A$2:G$506,4,0)</f>
        <v>38.44</v>
      </c>
    </row>
    <row r="39" spans="1:15">
      <c r="A39" s="39">
        <v>42200</v>
      </c>
      <c r="B39">
        <v>73.19</v>
      </c>
      <c r="C39">
        <f>VLOOKUP(A39,NYSEARCAVTI!A$2:G$506,4,0)</f>
        <v>108.91</v>
      </c>
      <c r="D39">
        <f>VLOOKUP(A39,NYSEARCAVEU!A$2:G$506,4,0)</f>
        <v>48.68</v>
      </c>
      <c r="E39">
        <f>VLOOKUP(A39,NYSEARCAVWO!A$2:G$506,4,0)</f>
        <v>39.57</v>
      </c>
      <c r="F39">
        <f>VLOOKUP(A39,NYSEARCABND!A$2:G$506,4,0)</f>
        <v>80.98</v>
      </c>
      <c r="G39">
        <f>VLOOKUP(A39,NYSEARCATIP!A$2:G$506,4,0)</f>
        <v>111.5</v>
      </c>
      <c r="H39">
        <f>VLOOKUP(A39,NYSEARCAMUB!A$2:G$506,4,0)</f>
        <v>108.33</v>
      </c>
      <c r="I39">
        <f>VLOOKUP(A39,NYSEARCAVNQ!A$2:G$506,4,0)</f>
        <v>77.680000000000007</v>
      </c>
      <c r="J39">
        <f>VLOOKUP(A39,NYSEARCARWX!A$2:G$506,4,0)</f>
        <v>42.26</v>
      </c>
      <c r="K39">
        <f>VLOOKUP(A39,NYSEARCADBC!A$2:G$506,4,0)</f>
        <v>17</v>
      </c>
      <c r="L39">
        <f>VLOOKUP(A39,NYSEARCAGSG!A$2:G$506,4,0)</f>
        <v>19.52</v>
      </c>
      <c r="M39">
        <f>VLOOKUP(A39,NYSEARCAGLD!A$2:G$506,4,0)</f>
        <v>109.58</v>
      </c>
      <c r="N39">
        <f>VLOOKUP(A39,NYSEBP!A$2:G$506,4,0)</f>
        <v>39.76</v>
      </c>
      <c r="O39">
        <f>VLOOKUP(A39,NASDAQYHOO!A$2:G$506,4,0)</f>
        <v>38.15</v>
      </c>
    </row>
    <row r="40" spans="1:15">
      <c r="A40" s="39">
        <v>42201</v>
      </c>
      <c r="B40">
        <v>73.760000000000005</v>
      </c>
      <c r="C40">
        <f>VLOOKUP(A40,NYSEARCAVTI!A$2:G$506,4,0)</f>
        <v>109.65</v>
      </c>
      <c r="D40">
        <f>VLOOKUP(A40,NYSEARCAVEU!A$2:G$506,4,0)</f>
        <v>49.15</v>
      </c>
      <c r="E40">
        <f>VLOOKUP(A40,NYSEARCAVWO!A$2:G$506,4,0)</f>
        <v>39.909999999999997</v>
      </c>
      <c r="F40">
        <f>VLOOKUP(A40,NYSEARCABND!A$2:G$506,4,0)</f>
        <v>81.05</v>
      </c>
      <c r="G40">
        <f>VLOOKUP(A40,NYSEARCATIP!A$2:G$506,4,0)</f>
        <v>111.67</v>
      </c>
      <c r="H40">
        <f>VLOOKUP(A40,NYSEARCAMUB!A$2:G$506,4,0)</f>
        <v>108.35</v>
      </c>
      <c r="I40">
        <f>VLOOKUP(A40,NYSEARCAVNQ!A$2:G$506,4,0)</f>
        <v>78.290000000000006</v>
      </c>
      <c r="J40">
        <f>VLOOKUP(A40,NYSEARCARWX!A$2:G$506,4,0)</f>
        <v>42.72</v>
      </c>
      <c r="K40">
        <f>VLOOKUP(A40,NYSEARCADBC!A$2:G$506,4,0)</f>
        <v>16.93</v>
      </c>
      <c r="L40">
        <f>VLOOKUP(A40,NYSEARCAGSG!A$2:G$506,4,0)</f>
        <v>19.47</v>
      </c>
      <c r="M40">
        <f>VLOOKUP(A40,NYSEARCAGLD!A$2:G$506,4,0)</f>
        <v>109.6</v>
      </c>
      <c r="N40">
        <f>VLOOKUP(A40,NYSEBP!A$2:G$506,4,0)</f>
        <v>39.47</v>
      </c>
      <c r="O40">
        <f>VLOOKUP(A40,NASDAQYHOO!A$2:G$506,4,0)</f>
        <v>38.6</v>
      </c>
    </row>
    <row r="41" spans="1:15">
      <c r="A41" s="39">
        <v>42202</v>
      </c>
      <c r="B41">
        <v>73.31</v>
      </c>
      <c r="C41">
        <f>VLOOKUP(A41,NYSEARCAVTI!A$2:G$506,4,0)</f>
        <v>109.65</v>
      </c>
      <c r="D41">
        <f>VLOOKUP(A41,NYSEARCAVEU!A$2:G$506,4,0)</f>
        <v>49.07</v>
      </c>
      <c r="E41">
        <f>VLOOKUP(A41,NYSEARCAVWO!A$2:G$506,4,0)</f>
        <v>40</v>
      </c>
      <c r="F41">
        <f>VLOOKUP(A41,NYSEARCABND!A$2:G$506,4,0)</f>
        <v>81.2</v>
      </c>
      <c r="G41">
        <f>VLOOKUP(A41,NYSEARCATIP!A$2:G$506,4,0)</f>
        <v>111.89</v>
      </c>
      <c r="H41">
        <f>VLOOKUP(A41,NYSEARCAMUB!A$2:G$506,4,0)</f>
        <v>108.42</v>
      </c>
      <c r="I41">
        <f>VLOOKUP(A41,NYSEARCAVNQ!A$2:G$506,4,0)</f>
        <v>78.27</v>
      </c>
      <c r="J41">
        <f>VLOOKUP(A41,NYSEARCARWX!A$2:G$506,4,0)</f>
        <v>42.74</v>
      </c>
      <c r="K41">
        <f>VLOOKUP(A41,NYSEARCADBC!A$2:G$506,4,0)</f>
        <v>16.75</v>
      </c>
      <c r="L41">
        <f>VLOOKUP(A41,NYSEARCAGSG!A$2:G$506,4,0)</f>
        <v>19.32</v>
      </c>
      <c r="M41">
        <f>VLOOKUP(A41,NYSEARCAGLD!A$2:G$506,4,0)</f>
        <v>108.4</v>
      </c>
      <c r="N41">
        <f>VLOOKUP(A41,NYSEBP!A$2:G$506,4,0)</f>
        <v>39</v>
      </c>
      <c r="O41">
        <f>VLOOKUP(A41,NASDAQYHOO!A$2:G$506,4,0)</f>
        <v>38.93</v>
      </c>
    </row>
    <row r="42" spans="1:15">
      <c r="A42" s="39">
        <v>42205</v>
      </c>
      <c r="B42">
        <v>73.06</v>
      </c>
      <c r="C42">
        <f>VLOOKUP(A42,NYSEARCAVTI!A$2:G$506,4,0)</f>
        <v>109.78</v>
      </c>
      <c r="D42">
        <f>VLOOKUP(A42,NYSEARCAVEU!A$2:G$506,4,0)</f>
        <v>49</v>
      </c>
      <c r="E42">
        <f>VLOOKUP(A42,NYSEARCAVWO!A$2:G$506,4,0)</f>
        <v>39.54</v>
      </c>
      <c r="F42">
        <f>VLOOKUP(A42,NYSEARCABND!A$2:G$506,4,0)</f>
        <v>81.08</v>
      </c>
      <c r="G42">
        <f>VLOOKUP(A42,NYSEARCATIP!A$2:G$506,4,0)</f>
        <v>111.58</v>
      </c>
      <c r="H42">
        <f>VLOOKUP(A42,NYSEARCAMUB!A$2:G$506,4,0)</f>
        <v>108.55</v>
      </c>
      <c r="I42">
        <f>VLOOKUP(A42,NYSEARCAVNQ!A$2:G$506,4,0)</f>
        <v>78.08</v>
      </c>
      <c r="J42">
        <f>VLOOKUP(A42,NYSEARCARWX!A$2:G$506,4,0)</f>
        <v>42.69</v>
      </c>
      <c r="K42">
        <f>VLOOKUP(A42,NYSEARCADBC!A$2:G$506,4,0)</f>
        <v>16.579999999999998</v>
      </c>
      <c r="L42">
        <f>VLOOKUP(A42,NYSEARCAGSG!A$2:G$506,4,0)</f>
        <v>19.170000000000002</v>
      </c>
      <c r="M42">
        <f>VLOOKUP(A42,NYSEARCAGLD!A$2:G$506,4,0)</f>
        <v>105.62</v>
      </c>
      <c r="N42">
        <f>VLOOKUP(A42,NYSEBP!A$2:G$506,4,0)</f>
        <v>38.75</v>
      </c>
      <c r="O42">
        <f>VLOOKUP(A42,NASDAQYHOO!A$2:G$506,4,0)</f>
        <v>39.26</v>
      </c>
    </row>
    <row r="43" spans="1:15">
      <c r="A43" s="39">
        <v>42206</v>
      </c>
      <c r="B43">
        <v>72.53</v>
      </c>
      <c r="C43">
        <f>VLOOKUP(A43,NYSEARCAVTI!A$2:G$506,4,0)</f>
        <v>109.3</v>
      </c>
      <c r="D43">
        <f>VLOOKUP(A43,NYSEARCAVEU!A$2:G$506,4,0)</f>
        <v>48.99</v>
      </c>
      <c r="E43">
        <f>VLOOKUP(A43,NYSEARCAVWO!A$2:G$506,4,0)</f>
        <v>39.799999999999997</v>
      </c>
      <c r="F43">
        <f>VLOOKUP(A43,NYSEARCABND!A$2:G$506,4,0)</f>
        <v>81.099999999999994</v>
      </c>
      <c r="G43">
        <f>VLOOKUP(A43,NYSEARCATIP!A$2:G$506,4,0)</f>
        <v>111.59</v>
      </c>
      <c r="H43">
        <f>VLOOKUP(A43,NYSEARCAMUB!A$2:G$506,4,0)</f>
        <v>108.61</v>
      </c>
      <c r="I43">
        <f>VLOOKUP(A43,NYSEARCAVNQ!A$2:G$506,4,0)</f>
        <v>78.37</v>
      </c>
      <c r="J43">
        <f>VLOOKUP(A43,NYSEARCARWX!A$2:G$506,4,0)</f>
        <v>42.5</v>
      </c>
      <c r="K43">
        <f>VLOOKUP(A43,NYSEARCADBC!A$2:G$506,4,0)</f>
        <v>16.600000000000001</v>
      </c>
      <c r="L43">
        <f>VLOOKUP(A43,NYSEARCAGSG!A$2:G$506,4,0)</f>
        <v>19.16</v>
      </c>
      <c r="M43">
        <f>VLOOKUP(A43,NYSEARCAGLD!A$2:G$506,4,0)</f>
        <v>105.25</v>
      </c>
      <c r="N43">
        <f>VLOOKUP(A43,NYSEBP!A$2:G$506,4,0)</f>
        <v>38.67</v>
      </c>
      <c r="O43">
        <f>VLOOKUP(A43,NASDAQYHOO!A$2:G$506,4,0)</f>
        <v>39.36</v>
      </c>
    </row>
    <row r="44" spans="1:15">
      <c r="A44" s="39">
        <v>42207</v>
      </c>
      <c r="B44">
        <v>72.78</v>
      </c>
      <c r="C44">
        <f>VLOOKUP(A44,NYSEARCAVTI!A$2:G$506,4,0)</f>
        <v>109</v>
      </c>
      <c r="D44">
        <f>VLOOKUP(A44,NYSEARCAVEU!A$2:G$506,4,0)</f>
        <v>48.55</v>
      </c>
      <c r="E44">
        <f>VLOOKUP(A44,NYSEARCAVWO!A$2:G$506,4,0)</f>
        <v>39.229999999999997</v>
      </c>
      <c r="F44">
        <f>VLOOKUP(A44,NYSEARCABND!A$2:G$506,4,0)</f>
        <v>81.3</v>
      </c>
      <c r="G44">
        <f>VLOOKUP(A44,NYSEARCATIP!A$2:G$506,4,0)</f>
        <v>111.99</v>
      </c>
      <c r="H44">
        <f>VLOOKUP(A44,NYSEARCAMUB!A$2:G$506,4,0)</f>
        <v>108.71</v>
      </c>
      <c r="I44">
        <f>VLOOKUP(A44,NYSEARCAVNQ!A$2:G$506,4,0)</f>
        <v>78.37</v>
      </c>
      <c r="J44">
        <f>VLOOKUP(A44,NYSEARCARWX!A$2:G$506,4,0)</f>
        <v>42.37</v>
      </c>
      <c r="K44">
        <f>VLOOKUP(A44,NYSEARCADBC!A$2:G$506,4,0)</f>
        <v>16.41</v>
      </c>
      <c r="L44">
        <f>VLOOKUP(A44,NYSEARCAGSG!A$2:G$506,4,0)</f>
        <v>18.93</v>
      </c>
      <c r="M44">
        <f>VLOOKUP(A44,NYSEARCAGLD!A$2:G$506,4,0)</f>
        <v>104.18</v>
      </c>
      <c r="N44">
        <f>VLOOKUP(A44,NYSEBP!A$2:G$506,4,0)</f>
        <v>37.81</v>
      </c>
      <c r="O44">
        <f>VLOOKUP(A44,NASDAQYHOO!A$2:G$506,4,0)</f>
        <v>38.26</v>
      </c>
    </row>
    <row r="45" spans="1:15">
      <c r="A45" s="39">
        <v>42208</v>
      </c>
      <c r="B45">
        <v>72.42</v>
      </c>
      <c r="C45">
        <f>VLOOKUP(A45,NYSEARCAVTI!A$2:G$506,4,0)</f>
        <v>108.52</v>
      </c>
      <c r="D45">
        <f>VLOOKUP(A45,NYSEARCAVEU!A$2:G$506,4,0)</f>
        <v>48.37</v>
      </c>
      <c r="E45">
        <f>VLOOKUP(A45,NYSEARCAVWO!A$2:G$506,4,0)</f>
        <v>38.9</v>
      </c>
      <c r="F45">
        <f>VLOOKUP(A45,NYSEARCABND!A$2:G$506,4,0)</f>
        <v>81.290000000000006</v>
      </c>
      <c r="G45">
        <f>VLOOKUP(A45,NYSEARCATIP!A$2:G$506,4,0)</f>
        <v>111.91</v>
      </c>
      <c r="H45">
        <f>VLOOKUP(A45,NYSEARCAMUB!A$2:G$506,4,0)</f>
        <v>108.85</v>
      </c>
      <c r="I45">
        <f>VLOOKUP(A45,NYSEARCAVNQ!A$2:G$506,4,0)</f>
        <v>77.27</v>
      </c>
      <c r="J45">
        <f>VLOOKUP(A45,NYSEARCARWX!A$2:G$506,4,0)</f>
        <v>41.95</v>
      </c>
      <c r="K45">
        <f>VLOOKUP(A45,NYSEARCADBC!A$2:G$506,4,0)</f>
        <v>16.27</v>
      </c>
      <c r="L45">
        <f>VLOOKUP(A45,NYSEARCAGSG!A$2:G$506,4,0)</f>
        <v>18.72</v>
      </c>
      <c r="M45">
        <f>VLOOKUP(A45,NYSEARCAGLD!A$2:G$506,4,0)</f>
        <v>104.2</v>
      </c>
      <c r="N45">
        <f>VLOOKUP(A45,NYSEBP!A$2:G$506,4,0)</f>
        <v>37.07</v>
      </c>
      <c r="O45">
        <f>VLOOKUP(A45,NASDAQYHOO!A$2:G$506,4,0)</f>
        <v>39.06</v>
      </c>
    </row>
    <row r="46" spans="1:15">
      <c r="A46" s="39">
        <v>42209</v>
      </c>
      <c r="B46">
        <v>71.5</v>
      </c>
      <c r="C46">
        <f>VLOOKUP(A46,NYSEARCAVTI!A$2:G$506,4,0)</f>
        <v>107.39</v>
      </c>
      <c r="D46">
        <f>VLOOKUP(A46,NYSEARCAVEU!A$2:G$506,4,0)</f>
        <v>47.77</v>
      </c>
      <c r="E46">
        <f>VLOOKUP(A46,NYSEARCAVWO!A$2:G$506,4,0)</f>
        <v>38.200000000000003</v>
      </c>
      <c r="F46">
        <f>VLOOKUP(A46,NYSEARCABND!A$2:G$506,4,0)</f>
        <v>81.5</v>
      </c>
      <c r="G46">
        <f>VLOOKUP(A46,NYSEARCATIP!A$2:G$506,4,0)</f>
        <v>111.91</v>
      </c>
      <c r="H46">
        <f>VLOOKUP(A46,NYSEARCAMUB!A$2:G$506,4,0)</f>
        <v>108.89</v>
      </c>
      <c r="I46">
        <f>VLOOKUP(A46,NYSEARCAVNQ!A$2:G$506,4,0)</f>
        <v>77.53</v>
      </c>
      <c r="J46">
        <f>VLOOKUP(A46,NYSEARCARWX!A$2:G$506,4,0)</f>
        <v>41.8</v>
      </c>
      <c r="K46">
        <f>VLOOKUP(A46,NYSEARCADBC!A$2:G$506,4,0)</f>
        <v>16.059999999999999</v>
      </c>
      <c r="L46">
        <f>VLOOKUP(A46,NYSEARCAGSG!A$2:G$506,4,0)</f>
        <v>18.52</v>
      </c>
      <c r="M46">
        <f>VLOOKUP(A46,NYSEARCAGLD!A$2:G$506,4,0)</f>
        <v>103.43</v>
      </c>
      <c r="N46">
        <f>VLOOKUP(A46,NYSEBP!A$2:G$506,4,0)</f>
        <v>36.409999999999997</v>
      </c>
      <c r="O46">
        <f>VLOOKUP(A46,NASDAQYHOO!A$2:G$506,4,0)</f>
        <v>38.67</v>
      </c>
    </row>
    <row r="47" spans="1:15">
      <c r="A47" s="39">
        <v>42212</v>
      </c>
      <c r="B47">
        <v>71.010000000000005</v>
      </c>
      <c r="C47">
        <f>VLOOKUP(A47,NYSEARCAVTI!A$2:G$506,4,0)</f>
        <v>106.6</v>
      </c>
      <c r="D47">
        <f>VLOOKUP(A47,NYSEARCAVEU!A$2:G$506,4,0)</f>
        <v>47.33</v>
      </c>
      <c r="E47">
        <f>VLOOKUP(A47,NYSEARCAVWO!A$2:G$506,4,0)</f>
        <v>37.42</v>
      </c>
      <c r="F47">
        <f>VLOOKUP(A47,NYSEARCABND!A$2:G$506,4,0)</f>
        <v>81.62</v>
      </c>
      <c r="G47">
        <f>VLOOKUP(A47,NYSEARCATIP!A$2:G$506,4,0)</f>
        <v>112.13</v>
      </c>
      <c r="H47">
        <f>VLOOKUP(A47,NYSEARCAMUB!A$2:G$506,4,0)</f>
        <v>109.1</v>
      </c>
      <c r="I47">
        <f>VLOOKUP(A47,NYSEARCAVNQ!A$2:G$506,4,0)</f>
        <v>77.94</v>
      </c>
      <c r="J47">
        <f>VLOOKUP(A47,NYSEARCARWX!A$2:G$506,4,0)</f>
        <v>41.65</v>
      </c>
      <c r="K47">
        <f>VLOOKUP(A47,NYSEARCADBC!A$2:G$506,4,0)</f>
        <v>15.82</v>
      </c>
      <c r="L47">
        <f>VLOOKUP(A47,NYSEARCAGSG!A$2:G$506,4,0)</f>
        <v>18.170000000000002</v>
      </c>
      <c r="M47">
        <f>VLOOKUP(A47,NYSEARCAGLD!A$2:G$506,4,0)</f>
        <v>104.66</v>
      </c>
      <c r="N47">
        <f>VLOOKUP(A47,NYSEBP!A$2:G$506,4,0)</f>
        <v>35.869999999999997</v>
      </c>
      <c r="O47">
        <f>VLOOKUP(A47,NASDAQYHOO!A$2:G$506,4,0)</f>
        <v>37.65</v>
      </c>
    </row>
    <row r="48" spans="1:15">
      <c r="A48" s="39">
        <v>42213</v>
      </c>
      <c r="B48">
        <v>71.23</v>
      </c>
      <c r="C48">
        <f>VLOOKUP(A48,NYSEARCAVTI!A$2:G$506,4,0)</f>
        <v>106.78</v>
      </c>
      <c r="D48">
        <f>VLOOKUP(A48,NYSEARCAVEU!A$2:G$506,4,0)</f>
        <v>47.52</v>
      </c>
      <c r="E48">
        <f>VLOOKUP(A48,NYSEARCAVWO!A$2:G$506,4,0)</f>
        <v>37.520000000000003</v>
      </c>
      <c r="F48">
        <f>VLOOKUP(A48,NYSEARCABND!A$2:G$506,4,0)</f>
        <v>81.56</v>
      </c>
      <c r="G48">
        <f>VLOOKUP(A48,NYSEARCATIP!A$2:G$506,4,0)</f>
        <v>112</v>
      </c>
      <c r="H48">
        <f>VLOOKUP(A48,NYSEARCAMUB!A$2:G$506,4,0)</f>
        <v>109.04</v>
      </c>
      <c r="I48">
        <f>VLOOKUP(A48,NYSEARCAVNQ!A$2:G$506,4,0)</f>
        <v>77.98</v>
      </c>
      <c r="J48">
        <f>VLOOKUP(A48,NYSEARCARWX!A$2:G$506,4,0)</f>
        <v>41.86</v>
      </c>
      <c r="K48">
        <f>VLOOKUP(A48,NYSEARCADBC!A$2:G$506,4,0)</f>
        <v>15.88</v>
      </c>
      <c r="L48">
        <f>VLOOKUP(A48,NYSEARCAGSG!A$2:G$506,4,0)</f>
        <v>18.21</v>
      </c>
      <c r="M48">
        <f>VLOOKUP(A48,NYSEARCAGLD!A$2:G$506,4,0)</f>
        <v>104.83</v>
      </c>
      <c r="N48">
        <f>VLOOKUP(A48,NYSEBP!A$2:G$506,4,0)</f>
        <v>36.590000000000003</v>
      </c>
      <c r="O48">
        <f>VLOOKUP(A48,NASDAQYHOO!A$2:G$506,4,0)</f>
        <v>37.270000000000003</v>
      </c>
    </row>
    <row r="49" spans="1:15">
      <c r="A49" s="39">
        <v>42214</v>
      </c>
      <c r="B49">
        <v>72.09</v>
      </c>
      <c r="C49">
        <f>VLOOKUP(A49,NYSEARCAVTI!A$2:G$506,4,0)</f>
        <v>108.06</v>
      </c>
      <c r="D49">
        <f>VLOOKUP(A49,NYSEARCAVEU!A$2:G$506,4,0)</f>
        <v>47.9</v>
      </c>
      <c r="E49">
        <f>VLOOKUP(A49,NYSEARCAVWO!A$2:G$506,4,0)</f>
        <v>37.82</v>
      </c>
      <c r="F49">
        <f>VLOOKUP(A49,NYSEARCABND!A$2:G$506,4,0)</f>
        <v>81.44</v>
      </c>
      <c r="G49">
        <f>VLOOKUP(A49,NYSEARCATIP!A$2:G$506,4,0)</f>
        <v>111.82</v>
      </c>
      <c r="H49">
        <f>VLOOKUP(A49,NYSEARCAMUB!A$2:G$506,4,0)</f>
        <v>108.91</v>
      </c>
      <c r="I49">
        <f>VLOOKUP(A49,NYSEARCAVNQ!A$2:G$506,4,0)</f>
        <v>77.849999999999994</v>
      </c>
      <c r="J49">
        <f>VLOOKUP(A49,NYSEARCARWX!A$2:G$506,4,0)</f>
        <v>42.05</v>
      </c>
      <c r="K49">
        <f>VLOOKUP(A49,NYSEARCADBC!A$2:G$506,4,0)</f>
        <v>15.92</v>
      </c>
      <c r="L49">
        <f>VLOOKUP(A49,NYSEARCAGSG!A$2:G$506,4,0)</f>
        <v>18.329999999999998</v>
      </c>
      <c r="M49">
        <f>VLOOKUP(A49,NYSEARCAGLD!A$2:G$506,4,0)</f>
        <v>104.49</v>
      </c>
      <c r="N49">
        <f>VLOOKUP(A49,NYSEBP!A$2:G$506,4,0)</f>
        <v>36.869999999999997</v>
      </c>
      <c r="O49">
        <f>VLOOKUP(A49,NASDAQYHOO!A$2:G$506,4,0)</f>
        <v>37.380000000000003</v>
      </c>
    </row>
    <row r="50" spans="1:15">
      <c r="A50" s="39">
        <v>42215</v>
      </c>
      <c r="B50">
        <v>71.78</v>
      </c>
      <c r="C50">
        <f>VLOOKUP(A50,NYSEARCAVTI!A$2:G$506,4,0)</f>
        <v>108.17</v>
      </c>
      <c r="D50">
        <f>VLOOKUP(A50,NYSEARCAVEU!A$2:G$506,4,0)</f>
        <v>47.81</v>
      </c>
      <c r="E50">
        <f>VLOOKUP(A50,NYSEARCAVWO!A$2:G$506,4,0)</f>
        <v>37.75</v>
      </c>
      <c r="F50">
        <f>VLOOKUP(A50,NYSEARCABND!A$2:G$506,4,0)</f>
        <v>81.44</v>
      </c>
      <c r="G50">
        <f>VLOOKUP(A50,NYSEARCATIP!A$2:G$506,4,0)</f>
        <v>112.1</v>
      </c>
      <c r="H50">
        <f>VLOOKUP(A50,NYSEARCAMUB!A$2:G$506,4,0)</f>
        <v>108.91</v>
      </c>
      <c r="I50">
        <f>VLOOKUP(A50,NYSEARCAVNQ!A$2:G$506,4,0)</f>
        <v>78.12</v>
      </c>
      <c r="J50">
        <f>VLOOKUP(A50,NYSEARCARWX!A$2:G$506,4,0)</f>
        <v>41.9</v>
      </c>
      <c r="K50">
        <f>VLOOKUP(A50,NYSEARCADBC!A$2:G$506,4,0)</f>
        <v>15.92</v>
      </c>
      <c r="L50">
        <f>VLOOKUP(A50,NYSEARCAGSG!A$2:G$506,4,0)</f>
        <v>18.39</v>
      </c>
      <c r="M50">
        <f>VLOOKUP(A50,NYSEARCAGLD!A$2:G$506,4,0)</f>
        <v>103.86</v>
      </c>
      <c r="N50">
        <f>VLOOKUP(A50,NYSEBP!A$2:G$506,4,0)</f>
        <v>37.450000000000003</v>
      </c>
      <c r="O50">
        <f>VLOOKUP(A50,NASDAQYHOO!A$2:G$506,4,0)</f>
        <v>37.299999999999997</v>
      </c>
    </row>
    <row r="51" spans="1:15">
      <c r="A51" s="39">
        <v>42216</v>
      </c>
      <c r="B51">
        <v>71.66</v>
      </c>
      <c r="C51">
        <f>VLOOKUP(A51,NYSEARCAVTI!A$2:G$506,4,0)</f>
        <v>108.7</v>
      </c>
      <c r="D51">
        <f>VLOOKUP(A51,NYSEARCAVEU!A$2:G$506,4,0)</f>
        <v>48.3</v>
      </c>
      <c r="E51">
        <f>VLOOKUP(A51,NYSEARCAVWO!A$2:G$506,4,0)</f>
        <v>38.159999999999997</v>
      </c>
      <c r="F51">
        <f>VLOOKUP(A51,NYSEARCABND!A$2:G$506,4,0)</f>
        <v>81.72</v>
      </c>
      <c r="G51">
        <f>VLOOKUP(A51,NYSEARCATIP!A$2:G$506,4,0)</f>
        <v>112.45</v>
      </c>
      <c r="H51">
        <f>VLOOKUP(A51,NYSEARCAMUB!A$2:G$506,4,0)</f>
        <v>109.1</v>
      </c>
      <c r="I51">
        <f>VLOOKUP(A51,NYSEARCAVNQ!A$2:G$506,4,0)</f>
        <v>78.849999999999994</v>
      </c>
      <c r="J51">
        <f>VLOOKUP(A51,NYSEARCARWX!A$2:G$506,4,0)</f>
        <v>42.2</v>
      </c>
      <c r="K51">
        <f>VLOOKUP(A51,NYSEARCADBC!A$2:G$506,4,0)</f>
        <v>15.72</v>
      </c>
      <c r="L51">
        <f>VLOOKUP(A51,NYSEARCAGSG!A$2:G$506,4,0)</f>
        <v>18.079999999999998</v>
      </c>
      <c r="M51">
        <f>VLOOKUP(A51,NYSEARCAGLD!A$2:G$506,4,0)</f>
        <v>104.69</v>
      </c>
      <c r="N51">
        <f>VLOOKUP(A51,NYSEBP!A$2:G$506,4,0)</f>
        <v>36.9</v>
      </c>
      <c r="O51">
        <f>VLOOKUP(A51,NASDAQYHOO!A$2:G$506,4,0)</f>
        <v>36.619999999999997</v>
      </c>
    </row>
    <row r="52" spans="1:15">
      <c r="A52" s="39">
        <v>42219</v>
      </c>
      <c r="B52">
        <v>71.84</v>
      </c>
      <c r="C52">
        <f>VLOOKUP(A52,NYSEARCAVTI!A$2:G$506,4,0)</f>
        <v>107.89</v>
      </c>
      <c r="D52">
        <f>VLOOKUP(A52,NYSEARCAVEU!A$2:G$506,4,0)</f>
        <v>48.01</v>
      </c>
      <c r="E52">
        <f>VLOOKUP(A52,NYSEARCAVWO!A$2:G$506,4,0)</f>
        <v>37.54</v>
      </c>
      <c r="F52">
        <f>VLOOKUP(A52,NYSEARCABND!A$2:G$506,4,0)</f>
        <v>81.64</v>
      </c>
      <c r="G52">
        <f>VLOOKUP(A52,NYSEARCATIP!A$2:G$506,4,0)</f>
        <v>112.42</v>
      </c>
      <c r="H52">
        <f>VLOOKUP(A52,NYSEARCAMUB!A$2:G$506,4,0)</f>
        <v>108.88</v>
      </c>
      <c r="I52">
        <f>VLOOKUP(A52,NYSEARCAVNQ!A$2:G$506,4,0)</f>
        <v>79</v>
      </c>
      <c r="J52">
        <f>VLOOKUP(A52,NYSEARCARWX!A$2:G$506,4,0)</f>
        <v>41.94</v>
      </c>
      <c r="K52">
        <f>VLOOKUP(A52,NYSEARCADBC!A$2:G$506,4,0)</f>
        <v>15.44</v>
      </c>
      <c r="L52">
        <f>VLOOKUP(A52,NYSEARCAGSG!A$2:G$506,4,0)</f>
        <v>17.690000000000001</v>
      </c>
      <c r="M52">
        <f>VLOOKUP(A52,NYSEARCAGLD!A$2:G$506,4,0)</f>
        <v>104.05</v>
      </c>
      <c r="N52">
        <f>VLOOKUP(A52,NYSEBP!A$2:G$506,4,0)</f>
        <v>36.33</v>
      </c>
      <c r="O52">
        <f>VLOOKUP(A52,NASDAQYHOO!A$2:G$506,4,0)</f>
        <v>36.369999999999997</v>
      </c>
    </row>
    <row r="53" spans="1:15">
      <c r="A53" s="39">
        <v>42220</v>
      </c>
      <c r="B53">
        <v>71.930000000000007</v>
      </c>
      <c r="C53">
        <f>VLOOKUP(A53,NYSEARCAVTI!A$2:G$506,4,0)</f>
        <v>108</v>
      </c>
      <c r="D53">
        <f>VLOOKUP(A53,NYSEARCAVEU!A$2:G$506,4,0)</f>
        <v>48.1</v>
      </c>
      <c r="E53">
        <f>VLOOKUP(A53,NYSEARCAVWO!A$2:G$506,4,0)</f>
        <v>37.68</v>
      </c>
      <c r="F53">
        <f>VLOOKUP(A53,NYSEARCABND!A$2:G$506,4,0)</f>
        <v>81.53</v>
      </c>
      <c r="G53">
        <f>VLOOKUP(A53,NYSEARCATIP!A$2:G$506,4,0)</f>
        <v>111.89</v>
      </c>
      <c r="H53">
        <f>VLOOKUP(A53,NYSEARCAMUB!A$2:G$506,4,0)</f>
        <v>108.81</v>
      </c>
      <c r="I53">
        <f>VLOOKUP(A53,NYSEARCAVNQ!A$2:G$506,4,0)</f>
        <v>78.73</v>
      </c>
      <c r="J53">
        <f>VLOOKUP(A53,NYSEARCARWX!A$2:G$506,4,0)</f>
        <v>42.21</v>
      </c>
      <c r="K53">
        <f>VLOOKUP(A53,NYSEARCADBC!A$2:G$506,4,0)</f>
        <v>15.5</v>
      </c>
      <c r="L53">
        <f>VLOOKUP(A53,NYSEARCAGSG!A$2:G$506,4,0)</f>
        <v>17.77</v>
      </c>
      <c r="M53">
        <f>VLOOKUP(A53,NYSEARCAGLD!A$2:G$506,4,0)</f>
        <v>103.95</v>
      </c>
      <c r="N53">
        <f>VLOOKUP(A53,NYSEBP!A$2:G$506,4,0)</f>
        <v>36.42</v>
      </c>
      <c r="O53">
        <f>VLOOKUP(A53,NASDAQYHOO!A$2:G$506,4,0)</f>
        <v>36.6</v>
      </c>
    </row>
    <row r="54" spans="1:15">
      <c r="A54" s="39">
        <v>42221</v>
      </c>
      <c r="B54">
        <v>72.25</v>
      </c>
      <c r="C54">
        <f>VLOOKUP(A54,NYSEARCAVTI!A$2:G$506,4,0)</f>
        <v>108.46</v>
      </c>
      <c r="D54">
        <f>VLOOKUP(A54,NYSEARCAVEU!A$2:G$506,4,0)</f>
        <v>48.35</v>
      </c>
      <c r="E54">
        <f>VLOOKUP(A54,NYSEARCAVWO!A$2:G$506,4,0)</f>
        <v>37.79</v>
      </c>
      <c r="F54">
        <f>VLOOKUP(A54,NYSEARCABND!A$2:G$506,4,0)</f>
        <v>81.31</v>
      </c>
      <c r="G54">
        <f>VLOOKUP(A54,NYSEARCATIP!A$2:G$506,4,0)</f>
        <v>111.54</v>
      </c>
      <c r="H54">
        <f>VLOOKUP(A54,NYSEARCAMUB!A$2:G$506,4,0)</f>
        <v>108.72</v>
      </c>
      <c r="I54">
        <f>VLOOKUP(A54,NYSEARCAVNQ!A$2:G$506,4,0)</f>
        <v>78.08</v>
      </c>
      <c r="J54">
        <f>VLOOKUP(A54,NYSEARCARWX!A$2:G$506,4,0)</f>
        <v>42.48</v>
      </c>
      <c r="K54">
        <f>VLOOKUP(A54,NYSEARCADBC!A$2:G$506,4,0)</f>
        <v>15.43</v>
      </c>
      <c r="L54">
        <f>VLOOKUP(A54,NYSEARCAGSG!A$2:G$506,4,0)</f>
        <v>17.64</v>
      </c>
      <c r="M54">
        <f>VLOOKUP(A54,NYSEARCAGLD!A$2:G$506,4,0)</f>
        <v>103.78</v>
      </c>
      <c r="N54">
        <f>VLOOKUP(A54,NYSEBP!A$2:G$506,4,0)</f>
        <v>35.86</v>
      </c>
      <c r="O54">
        <f>VLOOKUP(A54,NASDAQYHOO!A$2:G$506,4,0)</f>
        <v>37.229999999999997</v>
      </c>
    </row>
    <row r="55" spans="1:15">
      <c r="A55" s="39">
        <v>42222</v>
      </c>
      <c r="B55">
        <v>72.66</v>
      </c>
      <c r="C55">
        <f>VLOOKUP(A55,NYSEARCAVTI!A$2:G$506,4,0)</f>
        <v>107.24</v>
      </c>
      <c r="D55">
        <f>VLOOKUP(A55,NYSEARCAVEU!A$2:G$506,4,0)</f>
        <v>48.05</v>
      </c>
      <c r="E55">
        <f>VLOOKUP(A55,NYSEARCAVWO!A$2:G$506,4,0)</f>
        <v>37.46</v>
      </c>
      <c r="F55">
        <f>VLOOKUP(A55,NYSEARCABND!A$2:G$506,4,0)</f>
        <v>81.42</v>
      </c>
      <c r="G55">
        <f>VLOOKUP(A55,NYSEARCATIP!A$2:G$506,4,0)</f>
        <v>111.48</v>
      </c>
      <c r="H55">
        <f>VLOOKUP(A55,NYSEARCAMUB!A$2:G$506,4,0)</f>
        <v>108.8</v>
      </c>
      <c r="I55">
        <f>VLOOKUP(A55,NYSEARCAVNQ!A$2:G$506,4,0)</f>
        <v>77.19</v>
      </c>
      <c r="J55">
        <f>VLOOKUP(A55,NYSEARCARWX!A$2:G$506,4,0)</f>
        <v>42.17</v>
      </c>
      <c r="K55">
        <f>VLOOKUP(A55,NYSEARCADBC!A$2:G$506,4,0)</f>
        <v>15.39</v>
      </c>
      <c r="L55">
        <f>VLOOKUP(A55,NYSEARCAGSG!A$2:G$506,4,0)</f>
        <v>17.559999999999999</v>
      </c>
      <c r="M55">
        <f>VLOOKUP(A55,NYSEARCAGLD!A$2:G$506,4,0)</f>
        <v>104.14</v>
      </c>
      <c r="N55">
        <f>VLOOKUP(A55,NYSEBP!A$2:G$506,4,0)</f>
        <v>35.44</v>
      </c>
      <c r="O55">
        <f>VLOOKUP(A55,NASDAQYHOO!A$2:G$506,4,0)</f>
        <v>36.299999999999997</v>
      </c>
    </row>
    <row r="56" spans="1:15">
      <c r="A56" s="39">
        <v>42223</v>
      </c>
      <c r="B56">
        <v>71.17</v>
      </c>
      <c r="C56">
        <f>VLOOKUP(A56,NYSEARCAVTI!A$2:G$506,4,0)</f>
        <v>106.89</v>
      </c>
      <c r="D56">
        <f>VLOOKUP(A56,NYSEARCAVEU!A$2:G$506,4,0)</f>
        <v>47.95</v>
      </c>
      <c r="E56">
        <f>VLOOKUP(A56,NYSEARCAVWO!A$2:G$506,4,0)</f>
        <v>37.47</v>
      </c>
      <c r="F56">
        <f>VLOOKUP(A56,NYSEARCABND!A$2:G$506,4,0)</f>
        <v>81.55</v>
      </c>
      <c r="G56">
        <f>VLOOKUP(A56,NYSEARCATIP!A$2:G$506,4,0)</f>
        <v>111.7</v>
      </c>
      <c r="H56">
        <f>VLOOKUP(A56,NYSEARCAMUB!A$2:G$506,4,0)</f>
        <v>108.82</v>
      </c>
      <c r="I56">
        <f>VLOOKUP(A56,NYSEARCAVNQ!A$2:G$506,4,0)</f>
        <v>77.8</v>
      </c>
      <c r="J56">
        <f>VLOOKUP(A56,NYSEARCARWX!A$2:G$506,4,0)</f>
        <v>42.15</v>
      </c>
      <c r="K56">
        <f>VLOOKUP(A56,NYSEARCADBC!A$2:G$506,4,0)</f>
        <v>15.41</v>
      </c>
      <c r="L56">
        <f>VLOOKUP(A56,NYSEARCAGSG!A$2:G$506,4,0)</f>
        <v>17.5</v>
      </c>
      <c r="M56">
        <f>VLOOKUP(A56,NYSEARCAGLD!A$2:G$506,4,0)</f>
        <v>104.55</v>
      </c>
      <c r="N56">
        <f>VLOOKUP(A56,NYSEBP!A$2:G$506,4,0)</f>
        <v>35.65</v>
      </c>
      <c r="O56">
        <f>VLOOKUP(A56,NASDAQYHOO!A$2:G$506,4,0)</f>
        <v>36.15</v>
      </c>
    </row>
    <row r="57" spans="1:15">
      <c r="A57" s="39">
        <v>42226</v>
      </c>
      <c r="B57">
        <v>71.34</v>
      </c>
      <c r="C57">
        <f>VLOOKUP(A57,NYSEARCAVTI!A$2:G$506,4,0)</f>
        <v>108.05</v>
      </c>
      <c r="D57">
        <f>VLOOKUP(A57,NYSEARCAVEU!A$2:G$506,4,0)</f>
        <v>48.23</v>
      </c>
      <c r="E57">
        <f>VLOOKUP(A57,NYSEARCAVWO!A$2:G$506,4,0)</f>
        <v>37.72</v>
      </c>
      <c r="F57">
        <f>VLOOKUP(A57,NYSEARCABND!A$2:G$506,4,0)</f>
        <v>81.42</v>
      </c>
      <c r="G57">
        <f>VLOOKUP(A57,NYSEARCATIP!A$2:G$506,4,0)</f>
        <v>111.83</v>
      </c>
      <c r="H57">
        <f>VLOOKUP(A57,NYSEARCAMUB!A$2:G$506,4,0)</f>
        <v>108.61</v>
      </c>
      <c r="I57">
        <f>VLOOKUP(A57,NYSEARCAVNQ!A$2:G$506,4,0)</f>
        <v>78.180000000000007</v>
      </c>
      <c r="J57">
        <f>VLOOKUP(A57,NYSEARCARWX!A$2:G$506,4,0)</f>
        <v>42.37</v>
      </c>
      <c r="K57">
        <f>VLOOKUP(A57,NYSEARCADBC!A$2:G$506,4,0)</f>
        <v>15.48</v>
      </c>
      <c r="L57">
        <f>VLOOKUP(A57,NYSEARCAGSG!A$2:G$506,4,0)</f>
        <v>17.600000000000001</v>
      </c>
      <c r="M57">
        <f>VLOOKUP(A57,NYSEARCAGLD!A$2:G$506,4,0)</f>
        <v>104.92</v>
      </c>
      <c r="N57">
        <f>VLOOKUP(A57,NYSEBP!A$2:G$506,4,0)</f>
        <v>35.520000000000003</v>
      </c>
      <c r="O57">
        <f>VLOOKUP(A57,NASDAQYHOO!A$2:G$506,4,0)</f>
        <v>36.869999999999997</v>
      </c>
    </row>
    <row r="58" spans="1:15">
      <c r="A58" s="39">
        <v>42227</v>
      </c>
      <c r="B58">
        <v>71.150000000000006</v>
      </c>
      <c r="C58">
        <f>VLOOKUP(A58,NYSEARCAVTI!A$2:G$506,4,0)</f>
        <v>107.37</v>
      </c>
      <c r="D58">
        <f>VLOOKUP(A58,NYSEARCAVEU!A$2:G$506,4,0)</f>
        <v>47.7</v>
      </c>
      <c r="E58">
        <f>VLOOKUP(A58,NYSEARCAVWO!A$2:G$506,4,0)</f>
        <v>37.04</v>
      </c>
      <c r="F58">
        <f>VLOOKUP(A58,NYSEARCABND!A$2:G$506,4,0)</f>
        <v>81.709999999999994</v>
      </c>
      <c r="G58">
        <f>VLOOKUP(A58,NYSEARCATIP!A$2:G$506,4,0)</f>
        <v>112.1</v>
      </c>
      <c r="H58">
        <f>VLOOKUP(A58,NYSEARCAMUB!A$2:G$506,4,0)</f>
        <v>108.86</v>
      </c>
      <c r="I58">
        <f>VLOOKUP(A58,NYSEARCAVNQ!A$2:G$506,4,0)</f>
        <v>78.25</v>
      </c>
      <c r="J58">
        <f>VLOOKUP(A58,NYSEARCARWX!A$2:G$506,4,0)</f>
        <v>41.86</v>
      </c>
      <c r="K58">
        <f>VLOOKUP(A58,NYSEARCADBC!A$2:G$506,4,0)</f>
        <v>15.44</v>
      </c>
      <c r="L58">
        <f>VLOOKUP(A58,NYSEARCAGSG!A$2:G$506,4,0)</f>
        <v>17.52</v>
      </c>
      <c r="M58">
        <f>VLOOKUP(A58,NYSEARCAGLD!A$2:G$506,4,0)</f>
        <v>105.77</v>
      </c>
      <c r="N58">
        <f>VLOOKUP(A58,NYSEBP!A$2:G$506,4,0)</f>
        <v>35.6</v>
      </c>
      <c r="O58">
        <f>VLOOKUP(A58,NASDAQYHOO!A$2:G$506,4,0)</f>
        <v>35.729999999999997</v>
      </c>
    </row>
    <row r="59" spans="1:15">
      <c r="A59" s="39">
        <v>42228</v>
      </c>
      <c r="B59">
        <v>71.27</v>
      </c>
      <c r="C59">
        <f>VLOOKUP(A59,NYSEARCAVTI!A$2:G$506,4,0)</f>
        <v>106.09</v>
      </c>
      <c r="D59">
        <f>VLOOKUP(A59,NYSEARCAVEU!A$2:G$506,4,0)</f>
        <v>47.09</v>
      </c>
      <c r="E59">
        <f>VLOOKUP(A59,NYSEARCAVWO!A$2:G$506,4,0)</f>
        <v>36.479999999999997</v>
      </c>
      <c r="F59">
        <f>VLOOKUP(A59,NYSEARCABND!A$2:G$506,4,0)</f>
        <v>81.73</v>
      </c>
      <c r="G59">
        <f>VLOOKUP(A59,NYSEARCATIP!A$2:G$506,4,0)</f>
        <v>112.05</v>
      </c>
      <c r="H59">
        <f>VLOOKUP(A59,NYSEARCAMUB!A$2:G$506,4,0)</f>
        <v>108.81</v>
      </c>
      <c r="I59">
        <f>VLOOKUP(A59,NYSEARCAVNQ!A$2:G$506,4,0)</f>
        <v>78.36</v>
      </c>
      <c r="J59">
        <f>VLOOKUP(A59,NYSEARCARWX!A$2:G$506,4,0)</f>
        <v>41.62</v>
      </c>
      <c r="K59">
        <f>VLOOKUP(A59,NYSEARCADBC!A$2:G$506,4,0)</f>
        <v>15.39</v>
      </c>
      <c r="L59">
        <f>VLOOKUP(A59,NYSEARCAGSG!A$2:G$506,4,0)</f>
        <v>17.54</v>
      </c>
      <c r="M59">
        <f>VLOOKUP(A59,NYSEARCAGLD!A$2:G$506,4,0)</f>
        <v>106.93</v>
      </c>
      <c r="N59">
        <f>VLOOKUP(A59,NYSEBP!A$2:G$506,4,0)</f>
        <v>35.75</v>
      </c>
      <c r="O59">
        <f>VLOOKUP(A59,NASDAQYHOO!A$2:G$506,4,0)</f>
        <v>33.85</v>
      </c>
    </row>
    <row r="60" spans="1:15">
      <c r="A60" s="39">
        <v>42229</v>
      </c>
      <c r="B60">
        <v>71.97</v>
      </c>
      <c r="C60">
        <f>VLOOKUP(A60,NYSEARCAVTI!A$2:G$506,4,0)</f>
        <v>107.44</v>
      </c>
      <c r="D60">
        <f>VLOOKUP(A60,NYSEARCAVEU!A$2:G$506,4,0)</f>
        <v>47.4</v>
      </c>
      <c r="E60">
        <f>VLOOKUP(A60,NYSEARCAVWO!A$2:G$506,4,0)</f>
        <v>36.64</v>
      </c>
      <c r="F60">
        <f>VLOOKUP(A60,NYSEARCABND!A$2:G$506,4,0)</f>
        <v>81.55</v>
      </c>
      <c r="G60">
        <f>VLOOKUP(A60,NYSEARCATIP!A$2:G$506,4,0)</f>
        <v>111.54</v>
      </c>
      <c r="H60">
        <f>VLOOKUP(A60,NYSEARCAMUB!A$2:G$506,4,0)</f>
        <v>108.81</v>
      </c>
      <c r="I60">
        <f>VLOOKUP(A60,NYSEARCAVNQ!A$2:G$506,4,0)</f>
        <v>78.47</v>
      </c>
      <c r="J60">
        <f>VLOOKUP(A60,NYSEARCARWX!A$2:G$506,4,0)</f>
        <v>41.83</v>
      </c>
      <c r="K60">
        <f>VLOOKUP(A60,NYSEARCADBC!A$2:G$506,4,0)</f>
        <v>15.36</v>
      </c>
      <c r="L60">
        <f>VLOOKUP(A60,NYSEARCAGSG!A$2:G$506,4,0)</f>
        <v>17.45</v>
      </c>
      <c r="M60">
        <f>VLOOKUP(A60,NYSEARCAGLD!A$2:G$506,4,0)</f>
        <v>106.71</v>
      </c>
      <c r="N60">
        <f>VLOOKUP(A60,NYSEBP!A$2:G$506,4,0)</f>
        <v>35.799999999999997</v>
      </c>
      <c r="O60">
        <f>VLOOKUP(A60,NASDAQYHOO!A$2:G$506,4,0)</f>
        <v>34.82</v>
      </c>
    </row>
    <row r="61" spans="1:15">
      <c r="A61" s="39">
        <v>42230</v>
      </c>
      <c r="B61">
        <v>72.040000000000006</v>
      </c>
      <c r="C61">
        <f>VLOOKUP(A61,NYSEARCAVTI!A$2:G$506,4,0)</f>
        <v>107.54</v>
      </c>
      <c r="D61">
        <f>VLOOKUP(A61,NYSEARCAVEU!A$2:G$506,4,0)</f>
        <v>47.38</v>
      </c>
      <c r="E61">
        <f>VLOOKUP(A61,NYSEARCAVWO!A$2:G$506,4,0)</f>
        <v>36.76</v>
      </c>
      <c r="F61">
        <f>VLOOKUP(A61,NYSEARCABND!A$2:G$506,4,0)</f>
        <v>81.510000000000005</v>
      </c>
      <c r="G61">
        <f>VLOOKUP(A61,NYSEARCATIP!A$2:G$506,4,0)</f>
        <v>111.6</v>
      </c>
      <c r="H61">
        <f>VLOOKUP(A61,NYSEARCAMUB!A$2:G$506,4,0)</f>
        <v>108.77</v>
      </c>
      <c r="I61">
        <f>VLOOKUP(A61,NYSEARCAVNQ!A$2:G$506,4,0)</f>
        <v>78.87</v>
      </c>
      <c r="J61">
        <f>VLOOKUP(A61,NYSEARCARWX!A$2:G$506,4,0)</f>
        <v>42.18</v>
      </c>
      <c r="K61">
        <f>VLOOKUP(A61,NYSEARCADBC!A$2:G$506,4,0)</f>
        <v>15.33</v>
      </c>
      <c r="L61">
        <f>VLOOKUP(A61,NYSEARCAGSG!A$2:G$506,4,0)</f>
        <v>17.399999999999999</v>
      </c>
      <c r="M61">
        <f>VLOOKUP(A61,NYSEARCAGLD!A$2:G$506,4,0)</f>
        <v>106.54</v>
      </c>
      <c r="N61">
        <f>VLOOKUP(A61,NYSEBP!A$2:G$506,4,0)</f>
        <v>35.520000000000003</v>
      </c>
      <c r="O61">
        <f>VLOOKUP(A61,NASDAQYHOO!A$2:G$506,4,0)</f>
        <v>35.72</v>
      </c>
    </row>
    <row r="62" spans="1:15">
      <c r="A62" s="39">
        <v>42233</v>
      </c>
      <c r="B62">
        <v>71.760000000000005</v>
      </c>
      <c r="C62">
        <f>VLOOKUP(A62,NYSEARCAVTI!A$2:G$506,4,0)</f>
        <v>107.51</v>
      </c>
      <c r="D62">
        <f>VLOOKUP(A62,NYSEARCAVEU!A$2:G$506,4,0)</f>
        <v>47.09</v>
      </c>
      <c r="E62">
        <f>VLOOKUP(A62,NYSEARCAVWO!A$2:G$506,4,0)</f>
        <v>36.200000000000003</v>
      </c>
      <c r="F62">
        <f>VLOOKUP(A62,NYSEARCABND!A$2:G$506,4,0)</f>
        <v>81.66</v>
      </c>
      <c r="G62">
        <f>VLOOKUP(A62,NYSEARCATIP!A$2:G$506,4,0)</f>
        <v>111.68</v>
      </c>
      <c r="H62">
        <f>VLOOKUP(A62,NYSEARCAMUB!A$2:G$506,4,0)</f>
        <v>108.9</v>
      </c>
      <c r="I62">
        <f>VLOOKUP(A62,NYSEARCAVNQ!A$2:G$506,4,0)</f>
        <v>79.489999999999995</v>
      </c>
      <c r="J62">
        <f>VLOOKUP(A62,NYSEARCARWX!A$2:G$506,4,0)</f>
        <v>41.99</v>
      </c>
      <c r="K62">
        <f>VLOOKUP(A62,NYSEARCADBC!A$2:G$506,4,0)</f>
        <v>15.27</v>
      </c>
      <c r="L62">
        <f>VLOOKUP(A62,NYSEARCAGSG!A$2:G$506,4,0)</f>
        <v>17.309999999999999</v>
      </c>
      <c r="M62">
        <f>VLOOKUP(A62,NYSEARCAGLD!A$2:G$506,4,0)</f>
        <v>107</v>
      </c>
      <c r="N62">
        <f>VLOOKUP(A62,NYSEBP!A$2:G$506,4,0)</f>
        <v>35.15</v>
      </c>
      <c r="O62">
        <f>VLOOKUP(A62,NASDAQYHOO!A$2:G$506,4,0)</f>
        <v>35.76</v>
      </c>
    </row>
    <row r="63" spans="1:15">
      <c r="A63" s="39">
        <v>42234</v>
      </c>
      <c r="B63">
        <v>69.239999999999995</v>
      </c>
      <c r="C63">
        <f>VLOOKUP(A63,NYSEARCAVTI!A$2:G$506,4,0)</f>
        <v>108.37</v>
      </c>
      <c r="D63">
        <f>VLOOKUP(A63,NYSEARCAVEU!A$2:G$506,4,0)</f>
        <v>47.05</v>
      </c>
      <c r="E63">
        <f>VLOOKUP(A63,NYSEARCAVWO!A$2:G$506,4,0)</f>
        <v>35.9</v>
      </c>
      <c r="F63">
        <f>VLOOKUP(A63,NYSEARCABND!A$2:G$506,4,0)</f>
        <v>81.52</v>
      </c>
      <c r="G63">
        <f>VLOOKUP(A63,NYSEARCATIP!A$2:G$506,4,0)</f>
        <v>111.38</v>
      </c>
      <c r="H63">
        <f>VLOOKUP(A63,NYSEARCAMUB!A$2:G$506,4,0)</f>
        <v>108.77</v>
      </c>
      <c r="I63">
        <f>VLOOKUP(A63,NYSEARCAVNQ!A$2:G$506,4,0)</f>
        <v>80.239999999999995</v>
      </c>
      <c r="J63">
        <f>VLOOKUP(A63,NYSEARCARWX!A$2:G$506,4,0)</f>
        <v>42.06</v>
      </c>
      <c r="K63">
        <f>VLOOKUP(A63,NYSEARCADBC!A$2:G$506,4,0)</f>
        <v>15.11</v>
      </c>
      <c r="L63">
        <f>VLOOKUP(A63,NYSEARCAGSG!A$2:G$506,4,0)</f>
        <v>17.21</v>
      </c>
      <c r="M63">
        <f>VLOOKUP(A63,NYSEARCAGLD!A$2:G$506,4,0)</f>
        <v>106.31</v>
      </c>
      <c r="N63">
        <f>VLOOKUP(A63,NYSEBP!A$2:G$506,4,0)</f>
        <v>35.14</v>
      </c>
      <c r="O63">
        <f>VLOOKUP(A63,NASDAQYHOO!A$2:G$506,4,0)</f>
        <v>35.6</v>
      </c>
    </row>
    <row r="64" spans="1:15">
      <c r="A64" s="39">
        <v>42235</v>
      </c>
      <c r="B64">
        <v>67.77</v>
      </c>
      <c r="C64">
        <f>VLOOKUP(A64,NYSEARCAVTI!A$2:G$506,4,0)</f>
        <v>107.08</v>
      </c>
      <c r="D64">
        <f>VLOOKUP(A64,NYSEARCAVEU!A$2:G$506,4,0)</f>
        <v>46.36</v>
      </c>
      <c r="E64">
        <f>VLOOKUP(A64,NYSEARCAVWO!A$2:G$506,4,0)</f>
        <v>35.229999999999997</v>
      </c>
      <c r="F64">
        <f>VLOOKUP(A64,NYSEARCABND!A$2:G$506,4,0)</f>
        <v>81.42</v>
      </c>
      <c r="G64">
        <f>VLOOKUP(A64,NYSEARCATIP!A$2:G$506,4,0)</f>
        <v>111.06</v>
      </c>
      <c r="H64">
        <f>VLOOKUP(A64,NYSEARCAMUB!A$2:G$506,4,0)</f>
        <v>108.73</v>
      </c>
      <c r="I64">
        <f>VLOOKUP(A64,NYSEARCAVNQ!A$2:G$506,4,0)</f>
        <v>79.77</v>
      </c>
      <c r="J64">
        <f>VLOOKUP(A64,NYSEARCARWX!A$2:G$506,4,0)</f>
        <v>41.67</v>
      </c>
      <c r="K64">
        <f>VLOOKUP(A64,NYSEARCADBC!A$2:G$506,4,0)</f>
        <v>14.97</v>
      </c>
      <c r="L64">
        <f>VLOOKUP(A64,NYSEARCAGSG!A$2:G$506,4,0)</f>
        <v>16.91</v>
      </c>
      <c r="M64">
        <f>VLOOKUP(A64,NYSEARCAGLD!A$2:G$506,4,0)</f>
        <v>107.63</v>
      </c>
      <c r="N64">
        <f>VLOOKUP(A64,NYSEBP!A$2:G$506,4,0)</f>
        <v>34.450000000000003</v>
      </c>
      <c r="O64">
        <f>VLOOKUP(A64,NASDAQYHOO!A$2:G$506,4,0)</f>
        <v>35.020000000000003</v>
      </c>
    </row>
    <row r="65" spans="1:15">
      <c r="A65" s="39">
        <v>42236</v>
      </c>
      <c r="B65">
        <v>67.94</v>
      </c>
      <c r="C65">
        <f>VLOOKUP(A65,NYSEARCAVTI!A$2:G$506,4,0)</f>
        <v>105.25</v>
      </c>
      <c r="D65">
        <f>VLOOKUP(A65,NYSEARCAVEU!A$2:G$506,4,0)</f>
        <v>45.58</v>
      </c>
      <c r="E65">
        <f>VLOOKUP(A65,NYSEARCAVWO!A$2:G$506,4,0)</f>
        <v>34.92</v>
      </c>
      <c r="F65">
        <f>VLOOKUP(A65,NYSEARCABND!A$2:G$506,4,0)</f>
        <v>81.84</v>
      </c>
      <c r="G65">
        <f>VLOOKUP(A65,NYSEARCATIP!A$2:G$506,4,0)</f>
        <v>111.61</v>
      </c>
      <c r="H65">
        <f>VLOOKUP(A65,NYSEARCAMUB!A$2:G$506,4,0)</f>
        <v>108.87</v>
      </c>
      <c r="I65">
        <f>VLOOKUP(A65,NYSEARCAVNQ!A$2:G$506,4,0)</f>
        <v>79.42</v>
      </c>
      <c r="J65">
        <f>VLOOKUP(A65,NYSEARCARWX!A$2:G$506,4,0)</f>
        <v>41.18</v>
      </c>
      <c r="K65">
        <f>VLOOKUP(A65,NYSEARCADBC!A$2:G$506,4,0)</f>
        <v>15.02</v>
      </c>
      <c r="L65">
        <f>VLOOKUP(A65,NYSEARCAGSG!A$2:G$506,4,0)</f>
        <v>16.89</v>
      </c>
      <c r="M65">
        <f>VLOOKUP(A65,NYSEARCAGLD!A$2:G$506,4,0)</f>
        <v>109.7</v>
      </c>
      <c r="N65">
        <f>VLOOKUP(A65,NYSEBP!A$2:G$506,4,0)</f>
        <v>34.380000000000003</v>
      </c>
      <c r="O65">
        <f>VLOOKUP(A65,NASDAQYHOO!A$2:G$506,4,0)</f>
        <v>33.869999999999997</v>
      </c>
    </row>
    <row r="66" spans="1:15">
      <c r="A66" s="39">
        <v>42237</v>
      </c>
      <c r="B66">
        <v>66.540000000000006</v>
      </c>
      <c r="C66">
        <f>VLOOKUP(A66,NYSEARCAVTI!A$2:G$506,4,0)</f>
        <v>102.18</v>
      </c>
      <c r="D66">
        <f>VLOOKUP(A66,NYSEARCAVEU!A$2:G$506,4,0)</f>
        <v>44.4</v>
      </c>
      <c r="E66">
        <f>VLOOKUP(A66,NYSEARCAVWO!A$2:G$506,4,0)</f>
        <v>33.86</v>
      </c>
      <c r="F66">
        <f>VLOOKUP(A66,NYSEARCABND!A$2:G$506,4,0)</f>
        <v>81.87</v>
      </c>
      <c r="G66">
        <f>VLOOKUP(A66,NYSEARCATIP!A$2:G$506,4,0)</f>
        <v>111.86</v>
      </c>
      <c r="H66">
        <f>VLOOKUP(A66,NYSEARCAMUB!A$2:G$506,4,0)</f>
        <v>109.02</v>
      </c>
      <c r="I66">
        <f>VLOOKUP(A66,NYSEARCAVNQ!A$2:G$506,4,0)</f>
        <v>78.180000000000007</v>
      </c>
      <c r="J66">
        <f>VLOOKUP(A66,NYSEARCARWX!A$2:G$506,4,0)</f>
        <v>40.299999999999997</v>
      </c>
      <c r="K66">
        <f>VLOOKUP(A66,NYSEARCADBC!A$2:G$506,4,0)</f>
        <v>14.77</v>
      </c>
      <c r="L66">
        <f>VLOOKUP(A66,NYSEARCAGSG!A$2:G$506,4,0)</f>
        <v>16.559999999999999</v>
      </c>
      <c r="M66">
        <f>VLOOKUP(A66,NYSEARCAGLD!A$2:G$506,4,0)</f>
        <v>110.12</v>
      </c>
      <c r="N66">
        <f>VLOOKUP(A66,NYSEBP!A$2:G$506,4,0)</f>
        <v>33.159999999999997</v>
      </c>
      <c r="O66">
        <f>VLOOKUP(A66,NASDAQYHOO!A$2:G$506,4,0)</f>
        <v>32.909999999999997</v>
      </c>
    </row>
    <row r="67" spans="1:15">
      <c r="A67" s="39">
        <v>42240</v>
      </c>
      <c r="B67">
        <v>61.5</v>
      </c>
      <c r="C67">
        <f>VLOOKUP(A67,NYSEARCAVTI!A$2:G$506,4,0)</f>
        <v>93</v>
      </c>
      <c r="D67">
        <f>VLOOKUP(A67,NYSEARCAVEU!A$2:G$506,4,0)</f>
        <v>41.61</v>
      </c>
      <c r="E67">
        <f>VLOOKUP(A67,NYSEARCAVWO!A$2:G$506,4,0)</f>
        <v>30.9</v>
      </c>
      <c r="F67">
        <f>VLOOKUP(A67,NYSEARCABND!A$2:G$506,4,0)</f>
        <v>82.13</v>
      </c>
      <c r="G67">
        <f>VLOOKUP(A67,NYSEARCATIP!A$2:G$506,4,0)</f>
        <v>111.64</v>
      </c>
      <c r="H67">
        <f>VLOOKUP(A67,NYSEARCAMUB!A$2:G$506,4,0)</f>
        <v>108.87</v>
      </c>
      <c r="I67">
        <f>VLOOKUP(A67,NYSEARCAVNQ!A$2:G$506,4,0)</f>
        <v>72.25</v>
      </c>
      <c r="J67">
        <f>VLOOKUP(A67,NYSEARCARWX!A$2:G$506,4,0)</f>
        <v>37.479999999999997</v>
      </c>
      <c r="K67">
        <f>VLOOKUP(A67,NYSEARCADBC!A$2:G$506,4,0)</f>
        <v>14.35</v>
      </c>
      <c r="L67">
        <f>VLOOKUP(A67,NYSEARCAGSG!A$2:G$506,4,0)</f>
        <v>15.9</v>
      </c>
      <c r="M67">
        <f>VLOOKUP(A67,NYSEARCAGLD!A$2:G$506,4,0)</f>
        <v>109.77</v>
      </c>
      <c r="N67">
        <f>VLOOKUP(A67,NYSEBP!A$2:G$506,4,0)</f>
        <v>30.89</v>
      </c>
      <c r="O67">
        <f>VLOOKUP(A67,NASDAQYHOO!A$2:G$506,4,0)</f>
        <v>29</v>
      </c>
    </row>
    <row r="68" spans="1:15">
      <c r="A68" s="39">
        <v>42241</v>
      </c>
      <c r="B68">
        <v>63</v>
      </c>
      <c r="C68">
        <f>VLOOKUP(A68,NYSEARCAVTI!A$2:G$506,4,0)</f>
        <v>96.87</v>
      </c>
      <c r="D68">
        <f>VLOOKUP(A68,NYSEARCAVEU!A$2:G$506,4,0)</f>
        <v>43.11</v>
      </c>
      <c r="E68">
        <f>VLOOKUP(A68,NYSEARCAVWO!A$2:G$506,4,0)</f>
        <v>32.619999999999997</v>
      </c>
      <c r="F68">
        <f>VLOOKUP(A68,NYSEARCABND!A$2:G$506,4,0)</f>
        <v>81.599999999999994</v>
      </c>
      <c r="G68">
        <f>VLOOKUP(A68,NYSEARCATIP!A$2:G$506,4,0)</f>
        <v>111.24</v>
      </c>
      <c r="H68">
        <f>VLOOKUP(A68,NYSEARCAMUB!A$2:G$506,4,0)</f>
        <v>108.65</v>
      </c>
      <c r="I68">
        <f>VLOOKUP(A68,NYSEARCAVNQ!A$2:G$506,4,0)</f>
        <v>72.459999999999994</v>
      </c>
      <c r="J68">
        <f>VLOOKUP(A68,NYSEARCARWX!A$2:G$506,4,0)</f>
        <v>38.770000000000003</v>
      </c>
      <c r="K68">
        <f>VLOOKUP(A68,NYSEARCADBC!A$2:G$506,4,0)</f>
        <v>14.47</v>
      </c>
      <c r="L68">
        <f>VLOOKUP(A68,NYSEARCAGSG!A$2:G$506,4,0)</f>
        <v>16.149999999999999</v>
      </c>
      <c r="M68">
        <f>VLOOKUP(A68,NYSEARCAGLD!A$2:G$506,4,0)</f>
        <v>108.72</v>
      </c>
      <c r="N68">
        <f>VLOOKUP(A68,NYSEBP!A$2:G$506,4,0)</f>
        <v>30.69</v>
      </c>
      <c r="O68">
        <f>VLOOKUP(A68,NASDAQYHOO!A$2:G$506,4,0)</f>
        <v>31.54</v>
      </c>
    </row>
    <row r="69" spans="1:15">
      <c r="A69" s="39">
        <v>42242</v>
      </c>
      <c r="B69">
        <v>63.02</v>
      </c>
      <c r="C69">
        <f>VLOOKUP(A69,NYSEARCAVTI!A$2:G$506,4,0)</f>
        <v>97.39</v>
      </c>
      <c r="D69">
        <f>VLOOKUP(A69,NYSEARCAVEU!A$2:G$506,4,0)</f>
        <v>43.19</v>
      </c>
      <c r="E69">
        <f>VLOOKUP(A69,NYSEARCAVWO!A$2:G$506,4,0)</f>
        <v>32.75</v>
      </c>
      <c r="F69">
        <f>VLOOKUP(A69,NYSEARCABND!A$2:G$506,4,0)</f>
        <v>81.349999999999994</v>
      </c>
      <c r="G69">
        <f>VLOOKUP(A69,NYSEARCATIP!A$2:G$506,4,0)</f>
        <v>110.77</v>
      </c>
      <c r="H69">
        <f>VLOOKUP(A69,NYSEARCAMUB!A$2:G$506,4,0)</f>
        <v>108.33</v>
      </c>
      <c r="I69">
        <f>VLOOKUP(A69,NYSEARCAVNQ!A$2:G$506,4,0)</f>
        <v>72.86</v>
      </c>
      <c r="J69">
        <f>VLOOKUP(A69,NYSEARCARWX!A$2:G$506,4,0)</f>
        <v>38.72</v>
      </c>
      <c r="K69">
        <f>VLOOKUP(A69,NYSEARCADBC!A$2:G$506,4,0)</f>
        <v>14.33</v>
      </c>
      <c r="L69">
        <f>VLOOKUP(A69,NYSEARCAGSG!A$2:G$506,4,0)</f>
        <v>16.04</v>
      </c>
      <c r="M69">
        <f>VLOOKUP(A69,NYSEARCAGLD!A$2:G$506,4,0)</f>
        <v>107.08</v>
      </c>
      <c r="N69">
        <f>VLOOKUP(A69,NYSEBP!A$2:G$506,4,0)</f>
        <v>30.53</v>
      </c>
      <c r="O69">
        <f>VLOOKUP(A69,NASDAQYHOO!A$2:G$506,4,0)</f>
        <v>31.11</v>
      </c>
    </row>
    <row r="70" spans="1:15">
      <c r="A70" s="39">
        <v>42243</v>
      </c>
      <c r="B70">
        <v>64.95</v>
      </c>
      <c r="C70">
        <f>VLOOKUP(A70,NYSEARCAVTI!A$2:G$506,4,0)</f>
        <v>100.92</v>
      </c>
      <c r="D70">
        <f>VLOOKUP(A70,NYSEARCAVEU!A$2:G$506,4,0)</f>
        <v>44.48</v>
      </c>
      <c r="E70">
        <f>VLOOKUP(A70,NYSEARCAVWO!A$2:G$506,4,0)</f>
        <v>34.1</v>
      </c>
      <c r="F70">
        <f>VLOOKUP(A70,NYSEARCABND!A$2:G$506,4,0)</f>
        <v>81.349999999999994</v>
      </c>
      <c r="G70">
        <f>VLOOKUP(A70,NYSEARCATIP!A$2:G$506,4,0)</f>
        <v>111.09</v>
      </c>
      <c r="H70">
        <f>VLOOKUP(A70,NYSEARCAMUB!A$2:G$506,4,0)</f>
        <v>108.7</v>
      </c>
      <c r="I70">
        <f>VLOOKUP(A70,NYSEARCAVNQ!A$2:G$506,4,0)</f>
        <v>74.48</v>
      </c>
      <c r="J70">
        <f>VLOOKUP(A70,NYSEARCARWX!A$2:G$506,4,0)</f>
        <v>39.83</v>
      </c>
      <c r="K70">
        <f>VLOOKUP(A70,NYSEARCADBC!A$2:G$506,4,0)</f>
        <v>14.55</v>
      </c>
      <c r="L70">
        <f>VLOOKUP(A70,NYSEARCAGSG!A$2:G$506,4,0)</f>
        <v>16.37</v>
      </c>
      <c r="M70">
        <f>VLOOKUP(A70,NYSEARCAGLD!A$2:G$506,4,0)</f>
        <v>107.11</v>
      </c>
      <c r="N70">
        <f>VLOOKUP(A70,NYSEBP!A$2:G$506,4,0)</f>
        <v>31.88</v>
      </c>
      <c r="O70">
        <f>VLOOKUP(A70,NASDAQYHOO!A$2:G$506,4,0)</f>
        <v>32.950000000000003</v>
      </c>
    </row>
    <row r="71" spans="1:15">
      <c r="A71" s="39">
        <v>42244</v>
      </c>
      <c r="B71">
        <v>64.45</v>
      </c>
      <c r="C71">
        <f>VLOOKUP(A71,NYSEARCAVTI!A$2:G$506,4,0)</f>
        <v>102.37</v>
      </c>
      <c r="D71">
        <f>VLOOKUP(A71,NYSEARCAVEU!A$2:G$506,4,0)</f>
        <v>44.67</v>
      </c>
      <c r="E71">
        <f>VLOOKUP(A71,NYSEARCAVWO!A$2:G$506,4,0)</f>
        <v>34.44</v>
      </c>
      <c r="F71">
        <f>VLOOKUP(A71,NYSEARCABND!A$2:G$506,4,0)</f>
        <v>81.510000000000005</v>
      </c>
      <c r="G71">
        <f>VLOOKUP(A71,NYSEARCATIP!A$2:G$506,4,0)</f>
        <v>111.62</v>
      </c>
      <c r="H71">
        <f>VLOOKUP(A71,NYSEARCAMUB!A$2:G$506,4,0)</f>
        <v>108.83</v>
      </c>
      <c r="I71">
        <f>VLOOKUP(A71,NYSEARCAVNQ!A$2:G$506,4,0)</f>
        <v>75.22</v>
      </c>
      <c r="J71">
        <f>VLOOKUP(A71,NYSEARCARWX!A$2:G$506,4,0)</f>
        <v>39.729999999999997</v>
      </c>
      <c r="K71">
        <f>VLOOKUP(A71,NYSEARCADBC!A$2:G$506,4,0)</f>
        <v>14.99</v>
      </c>
      <c r="L71">
        <f>VLOOKUP(A71,NYSEARCAGSG!A$2:G$506,4,0)</f>
        <v>16.920000000000002</v>
      </c>
      <c r="M71">
        <f>VLOOKUP(A71,NYSEARCAGLD!A$2:G$506,4,0)</f>
        <v>108.12</v>
      </c>
      <c r="N71">
        <f>VLOOKUP(A71,NYSEBP!A$2:G$506,4,0)</f>
        <v>32.6</v>
      </c>
      <c r="O71">
        <f>VLOOKUP(A71,NASDAQYHOO!A$2:G$506,4,0)</f>
        <v>32.93</v>
      </c>
    </row>
    <row r="72" spans="1:15">
      <c r="A72" s="39">
        <v>42247</v>
      </c>
      <c r="B72">
        <v>64.290000000000006</v>
      </c>
      <c r="C72">
        <f>VLOOKUP(A72,NYSEARCAVTI!A$2:G$506,4,0)</f>
        <v>101.95</v>
      </c>
      <c r="D72">
        <f>VLOOKUP(A72,NYSEARCAVEU!A$2:G$506,4,0)</f>
        <v>44.43</v>
      </c>
      <c r="E72">
        <f>VLOOKUP(A72,NYSEARCAVWO!A$2:G$506,4,0)</f>
        <v>34</v>
      </c>
      <c r="F72">
        <f>VLOOKUP(A72,NYSEARCABND!A$2:G$506,4,0)</f>
        <v>81.430000000000007</v>
      </c>
      <c r="G72">
        <f>VLOOKUP(A72,NYSEARCATIP!A$2:G$506,4,0)</f>
        <v>111.38</v>
      </c>
      <c r="H72">
        <f>VLOOKUP(A72,NYSEARCAMUB!A$2:G$506,4,0)</f>
        <v>108.76</v>
      </c>
      <c r="I72">
        <f>VLOOKUP(A72,NYSEARCAVNQ!A$2:G$506,4,0)</f>
        <v>74.03</v>
      </c>
      <c r="J72">
        <f>VLOOKUP(A72,NYSEARCARWX!A$2:G$506,4,0)</f>
        <v>39.4</v>
      </c>
      <c r="K72">
        <f>VLOOKUP(A72,NYSEARCADBC!A$2:G$506,4,0)</f>
        <v>15</v>
      </c>
      <c r="L72">
        <f>VLOOKUP(A72,NYSEARCAGSG!A$2:G$506,4,0)</f>
        <v>17.100000000000001</v>
      </c>
      <c r="M72">
        <f>VLOOKUP(A72,NYSEARCAGLD!A$2:G$506,4,0)</f>
        <v>108.03</v>
      </c>
      <c r="N72">
        <f>VLOOKUP(A72,NYSEBP!A$2:G$506,4,0)</f>
        <v>32.49</v>
      </c>
      <c r="O72">
        <f>VLOOKUP(A72,NASDAQYHOO!A$2:G$506,4,0)</f>
        <v>32.229999999999997</v>
      </c>
    </row>
    <row r="73" spans="1:15">
      <c r="A73" s="39">
        <v>42248</v>
      </c>
      <c r="B73">
        <v>63.27</v>
      </c>
      <c r="C73">
        <f>VLOOKUP(A73,NYSEARCAVTI!A$2:G$506,4,0)</f>
        <v>98.75</v>
      </c>
      <c r="D73">
        <f>VLOOKUP(A73,NYSEARCAVEU!A$2:G$506,4,0)</f>
        <v>43.05</v>
      </c>
      <c r="E73">
        <f>VLOOKUP(A73,NYSEARCAVWO!A$2:G$506,4,0)</f>
        <v>33.04</v>
      </c>
      <c r="F73">
        <f>VLOOKUP(A73,NYSEARCABND!A$2:G$506,4,0)</f>
        <v>81.34</v>
      </c>
      <c r="G73">
        <f>VLOOKUP(A73,NYSEARCATIP!A$2:G$506,4,0)</f>
        <v>110.9</v>
      </c>
      <c r="H73">
        <f>VLOOKUP(A73,NYSEARCAMUB!A$2:G$506,4,0)</f>
        <v>108.66</v>
      </c>
      <c r="I73">
        <f>VLOOKUP(A73,NYSEARCAVNQ!A$2:G$506,4,0)</f>
        <v>72.099999999999994</v>
      </c>
      <c r="J73">
        <f>VLOOKUP(A73,NYSEARCARWX!A$2:G$506,4,0)</f>
        <v>38.28</v>
      </c>
      <c r="K73">
        <f>VLOOKUP(A73,NYSEARCADBC!A$2:G$506,4,0)</f>
        <v>15.14</v>
      </c>
      <c r="L73">
        <f>VLOOKUP(A73,NYSEARCAGSG!A$2:G$506,4,0)</f>
        <v>17.29</v>
      </c>
      <c r="M73">
        <f>VLOOKUP(A73,NYSEARCAGLD!A$2:G$506,4,0)</f>
        <v>108.94</v>
      </c>
      <c r="N73">
        <f>VLOOKUP(A73,NYSEBP!A$2:G$506,4,0)</f>
        <v>31.93</v>
      </c>
      <c r="O73">
        <f>VLOOKUP(A73,NASDAQYHOO!A$2:G$506,4,0)</f>
        <v>31.23</v>
      </c>
    </row>
    <row r="74" spans="1:15">
      <c r="A74" s="39">
        <v>42249</v>
      </c>
      <c r="B74">
        <v>64.06</v>
      </c>
      <c r="C74">
        <f>VLOOKUP(A74,NYSEARCAVTI!A$2:G$506,4,0)</f>
        <v>99.55</v>
      </c>
      <c r="D74">
        <f>VLOOKUP(A74,NYSEARCAVEU!A$2:G$506,4,0)</f>
        <v>43.36</v>
      </c>
      <c r="E74">
        <f>VLOOKUP(A74,NYSEARCAVWO!A$2:G$506,4,0)</f>
        <v>33.25</v>
      </c>
      <c r="F74">
        <f>VLOOKUP(A74,NYSEARCABND!A$2:G$506,4,0)</f>
        <v>81.33</v>
      </c>
      <c r="G74">
        <f>VLOOKUP(A74,NYSEARCATIP!A$2:G$506,4,0)</f>
        <v>110.72</v>
      </c>
      <c r="H74">
        <f>VLOOKUP(A74,NYSEARCAMUB!A$2:G$506,4,0)</f>
        <v>108.75</v>
      </c>
      <c r="I74">
        <f>VLOOKUP(A74,NYSEARCAVNQ!A$2:G$506,4,0)</f>
        <v>72.72</v>
      </c>
      <c r="J74">
        <f>VLOOKUP(A74,NYSEARCARWX!A$2:G$506,4,0)</f>
        <v>38.67</v>
      </c>
      <c r="K74">
        <f>VLOOKUP(A74,NYSEARCADBC!A$2:G$506,4,0)</f>
        <v>14.98</v>
      </c>
      <c r="L74">
        <f>VLOOKUP(A74,NYSEARCAGSG!A$2:G$506,4,0)</f>
        <v>17.04</v>
      </c>
      <c r="M74">
        <f>VLOOKUP(A74,NYSEARCAGLD!A$2:G$506,4,0)</f>
        <v>108.46</v>
      </c>
      <c r="N74">
        <f>VLOOKUP(A74,NYSEBP!A$2:G$506,4,0)</f>
        <v>31.56</v>
      </c>
      <c r="O74">
        <f>VLOOKUP(A74,NASDAQYHOO!A$2:G$506,4,0)</f>
        <v>31.38</v>
      </c>
    </row>
    <row r="75" spans="1:15">
      <c r="A75" s="39">
        <v>42250</v>
      </c>
      <c r="B75">
        <v>64.39</v>
      </c>
      <c r="C75">
        <f>VLOOKUP(A75,NYSEARCAVTI!A$2:G$506,4,0)</f>
        <v>100.9</v>
      </c>
      <c r="D75">
        <f>VLOOKUP(A75,NYSEARCAVEU!A$2:G$506,4,0)</f>
        <v>43.8</v>
      </c>
      <c r="E75">
        <f>VLOOKUP(A75,NYSEARCAVWO!A$2:G$506,4,0)</f>
        <v>33.71</v>
      </c>
      <c r="F75">
        <f>VLOOKUP(A75,NYSEARCABND!A$2:G$506,4,0)</f>
        <v>81.400000000000006</v>
      </c>
      <c r="G75">
        <f>VLOOKUP(A75,NYSEARCATIP!A$2:G$506,4,0)</f>
        <v>110.69</v>
      </c>
      <c r="H75">
        <f>VLOOKUP(A75,NYSEARCAMUB!A$2:G$506,4,0)</f>
        <v>108.82</v>
      </c>
      <c r="I75">
        <f>VLOOKUP(A75,NYSEARCAVNQ!A$2:G$506,4,0)</f>
        <v>73.400000000000006</v>
      </c>
      <c r="J75">
        <f>VLOOKUP(A75,NYSEARCARWX!A$2:G$506,4,0)</f>
        <v>38.92</v>
      </c>
      <c r="K75">
        <f>VLOOKUP(A75,NYSEARCADBC!A$2:G$506,4,0)</f>
        <v>15.3</v>
      </c>
      <c r="L75">
        <f>VLOOKUP(A75,NYSEARCAGSG!A$2:G$506,4,0)</f>
        <v>17.54</v>
      </c>
      <c r="M75">
        <f>VLOOKUP(A75,NYSEARCAGLD!A$2:G$506,4,0)</f>
        <v>107.56</v>
      </c>
      <c r="N75">
        <f>VLOOKUP(A75,NYSEBP!A$2:G$506,4,0)</f>
        <v>32.08</v>
      </c>
      <c r="O75">
        <f>VLOOKUP(A75,NASDAQYHOO!A$2:G$506,4,0)</f>
        <v>31.8</v>
      </c>
    </row>
    <row r="76" spans="1:15">
      <c r="A76" s="39">
        <v>42251</v>
      </c>
      <c r="B76">
        <v>63.51</v>
      </c>
      <c r="C76">
        <f>VLOOKUP(A76,NYSEARCAVTI!A$2:G$506,4,0)</f>
        <v>99.26</v>
      </c>
      <c r="D76">
        <f>VLOOKUP(A76,NYSEARCAVEU!A$2:G$506,4,0)</f>
        <v>42.72</v>
      </c>
      <c r="E76">
        <f>VLOOKUP(A76,NYSEARCAVWO!A$2:G$506,4,0)</f>
        <v>32.619999999999997</v>
      </c>
      <c r="F76">
        <f>VLOOKUP(A76,NYSEARCABND!A$2:G$506,4,0)</f>
        <v>81.48</v>
      </c>
      <c r="G76">
        <f>VLOOKUP(A76,NYSEARCATIP!A$2:G$506,4,0)</f>
        <v>110.69</v>
      </c>
      <c r="H76">
        <f>VLOOKUP(A76,NYSEARCAMUB!A$2:G$506,4,0)</f>
        <v>108.75</v>
      </c>
      <c r="I76">
        <f>VLOOKUP(A76,NYSEARCAVNQ!A$2:G$506,4,0)</f>
        <v>71.67</v>
      </c>
      <c r="J76">
        <f>VLOOKUP(A76,NYSEARCARWX!A$2:G$506,4,0)</f>
        <v>38.03</v>
      </c>
      <c r="K76">
        <f>VLOOKUP(A76,NYSEARCADBC!A$2:G$506,4,0)</f>
        <v>15.19</v>
      </c>
      <c r="L76">
        <f>VLOOKUP(A76,NYSEARCAGSG!A$2:G$506,4,0)</f>
        <v>17.420000000000002</v>
      </c>
      <c r="M76">
        <f>VLOOKUP(A76,NYSEARCAGLD!A$2:G$506,4,0)</f>
        <v>107.07</v>
      </c>
      <c r="N76">
        <f>VLOOKUP(A76,NYSEBP!A$2:G$506,4,0)</f>
        <v>30.54</v>
      </c>
      <c r="O76">
        <f>VLOOKUP(A76,NASDAQYHOO!A$2:G$506,4,0)</f>
        <v>31.44</v>
      </c>
    </row>
    <row r="77" spans="1:15">
      <c r="A77" s="39">
        <v>42255</v>
      </c>
      <c r="B77">
        <v>65.180000000000007</v>
      </c>
      <c r="C77">
        <f>VLOOKUP(A77,NYSEARCAVTI!A$2:G$506,4,0)</f>
        <v>101.06</v>
      </c>
      <c r="D77">
        <f>VLOOKUP(A77,NYSEARCAVEU!A$2:G$506,4,0)</f>
        <v>43.84</v>
      </c>
      <c r="E77">
        <f>VLOOKUP(A77,NYSEARCAVWO!A$2:G$506,4,0)</f>
        <v>33.58</v>
      </c>
      <c r="F77">
        <f>VLOOKUP(A77,NYSEARCABND!A$2:G$506,4,0)</f>
        <v>81.41</v>
      </c>
      <c r="G77">
        <f>VLOOKUP(A77,NYSEARCATIP!A$2:G$506,4,0)</f>
        <v>110.36</v>
      </c>
      <c r="H77">
        <f>VLOOKUP(A77,NYSEARCAMUB!A$2:G$506,4,0)</f>
        <v>108.64</v>
      </c>
      <c r="I77">
        <f>VLOOKUP(A77,NYSEARCAVNQ!A$2:G$506,4,0)</f>
        <v>72.61</v>
      </c>
      <c r="J77">
        <f>VLOOKUP(A77,NYSEARCARWX!A$2:G$506,4,0)</f>
        <v>38.869999999999997</v>
      </c>
      <c r="K77">
        <f>VLOOKUP(A77,NYSEARCADBC!A$2:G$506,4,0)</f>
        <v>15.11</v>
      </c>
      <c r="L77">
        <f>VLOOKUP(A77,NYSEARCAGSG!A$2:G$506,4,0)</f>
        <v>17.22</v>
      </c>
      <c r="M77">
        <f>VLOOKUP(A77,NYSEARCAGLD!A$2:G$506,4,0)</f>
        <v>107.31</v>
      </c>
      <c r="N77">
        <f>VLOOKUP(A77,NYSEBP!A$2:G$506,4,0)</f>
        <v>31.22</v>
      </c>
      <c r="O77">
        <f>VLOOKUP(A77,NASDAQYHOO!A$2:G$506,4,0)</f>
        <v>30.86</v>
      </c>
    </row>
    <row r="78" spans="1:15">
      <c r="A78" s="39">
        <v>42256</v>
      </c>
      <c r="B78">
        <v>65.010000000000005</v>
      </c>
      <c r="C78">
        <f>VLOOKUP(A78,NYSEARCAVTI!A$2:G$506,4,0)</f>
        <v>100.69</v>
      </c>
      <c r="D78">
        <f>VLOOKUP(A78,NYSEARCAVEU!A$2:G$506,4,0)</f>
        <v>43.82</v>
      </c>
      <c r="E78">
        <f>VLOOKUP(A78,NYSEARCAVWO!A$2:G$506,4,0)</f>
        <v>33.659999999999997</v>
      </c>
      <c r="F78">
        <f>VLOOKUP(A78,NYSEARCABND!A$2:G$506,4,0)</f>
        <v>81.2</v>
      </c>
      <c r="G78">
        <f>VLOOKUP(A78,NYSEARCATIP!A$2:G$506,4,0)</f>
        <v>110.19</v>
      </c>
      <c r="H78">
        <f>VLOOKUP(A78,NYSEARCAMUB!A$2:G$506,4,0)</f>
        <v>108.5</v>
      </c>
      <c r="I78">
        <f>VLOOKUP(A78,NYSEARCAVNQ!A$2:G$506,4,0)</f>
        <v>72.34</v>
      </c>
      <c r="J78">
        <f>VLOOKUP(A78,NYSEARCARWX!A$2:G$506,4,0)</f>
        <v>38.549999999999997</v>
      </c>
      <c r="K78">
        <f>VLOOKUP(A78,NYSEARCADBC!A$2:G$506,4,0)</f>
        <v>15.08</v>
      </c>
      <c r="L78">
        <f>VLOOKUP(A78,NYSEARCAGSG!A$2:G$506,4,0)</f>
        <v>17.170000000000002</v>
      </c>
      <c r="M78">
        <f>VLOOKUP(A78,NYSEARCAGLD!A$2:G$506,4,0)</f>
        <v>105.48</v>
      </c>
      <c r="N78">
        <f>VLOOKUP(A78,NYSEBP!A$2:G$506,4,0)</f>
        <v>30.88</v>
      </c>
      <c r="O78">
        <f>VLOOKUP(A78,NASDAQYHOO!A$2:G$506,4,0)</f>
        <v>30.35</v>
      </c>
    </row>
    <row r="79" spans="1:15">
      <c r="A79" s="39">
        <v>42257</v>
      </c>
      <c r="B79">
        <v>63.83</v>
      </c>
      <c r="C79">
        <f>VLOOKUP(A79,NYSEARCAVTI!A$2:G$506,4,0)</f>
        <v>100.63</v>
      </c>
      <c r="D79">
        <f>VLOOKUP(A79,NYSEARCAVEU!A$2:G$506,4,0)</f>
        <v>43.83</v>
      </c>
      <c r="E79">
        <f>VLOOKUP(A79,NYSEARCAVWO!A$2:G$506,4,0)</f>
        <v>33.61</v>
      </c>
      <c r="F79">
        <f>VLOOKUP(A79,NYSEARCABND!A$2:G$506,4,0)</f>
        <v>81.28</v>
      </c>
      <c r="G79">
        <f>VLOOKUP(A79,NYSEARCATIP!A$2:G$506,4,0)</f>
        <v>110.48</v>
      </c>
      <c r="H79">
        <f>VLOOKUP(A79,NYSEARCAMUB!A$2:G$506,4,0)</f>
        <v>108.54</v>
      </c>
      <c r="I79">
        <f>VLOOKUP(A79,NYSEARCAVNQ!A$2:G$506,4,0)</f>
        <v>72.25</v>
      </c>
      <c r="J79">
        <f>VLOOKUP(A79,NYSEARCARWX!A$2:G$506,4,0)</f>
        <v>38.65</v>
      </c>
      <c r="K79">
        <f>VLOOKUP(A79,NYSEARCADBC!A$2:G$506,4,0)</f>
        <v>15.1</v>
      </c>
      <c r="L79">
        <f>VLOOKUP(A79,NYSEARCAGSG!A$2:G$506,4,0)</f>
        <v>17.16</v>
      </c>
      <c r="M79">
        <f>VLOOKUP(A79,NYSEARCAGLD!A$2:G$506,4,0)</f>
        <v>106.18</v>
      </c>
      <c r="N79">
        <f>VLOOKUP(A79,NYSEBP!A$2:G$506,4,0)</f>
        <v>30.79</v>
      </c>
      <c r="O79">
        <f>VLOOKUP(A79,NASDAQYHOO!A$2:G$506,4,0)</f>
        <v>31.03</v>
      </c>
    </row>
    <row r="80" spans="1:15">
      <c r="A80" s="39">
        <v>42258</v>
      </c>
      <c r="B80">
        <v>63.99</v>
      </c>
      <c r="C80">
        <f>VLOOKUP(A80,NYSEARCAVTI!A$2:G$506,4,0)</f>
        <v>100.7</v>
      </c>
      <c r="D80">
        <f>VLOOKUP(A80,NYSEARCAVEU!A$2:G$506,4,0)</f>
        <v>43.82</v>
      </c>
      <c r="E80">
        <f>VLOOKUP(A80,NYSEARCAVWO!A$2:G$506,4,0)</f>
        <v>33.770000000000003</v>
      </c>
      <c r="F80">
        <f>VLOOKUP(A80,NYSEARCABND!A$2:G$506,4,0)</f>
        <v>81.42</v>
      </c>
      <c r="G80">
        <f>VLOOKUP(A80,NYSEARCATIP!A$2:G$506,4,0)</f>
        <v>110.83</v>
      </c>
      <c r="H80">
        <f>VLOOKUP(A80,NYSEARCAMUB!A$2:G$506,4,0)</f>
        <v>108.57</v>
      </c>
      <c r="I80">
        <f>VLOOKUP(A80,NYSEARCAVNQ!A$2:G$506,4,0)</f>
        <v>72.489999999999995</v>
      </c>
      <c r="J80">
        <f>VLOOKUP(A80,NYSEARCARWX!A$2:G$506,4,0)</f>
        <v>38.72</v>
      </c>
      <c r="K80">
        <f>VLOOKUP(A80,NYSEARCADBC!A$2:G$506,4,0)</f>
        <v>14.99</v>
      </c>
      <c r="L80">
        <f>VLOOKUP(A80,NYSEARCAGSG!A$2:G$506,4,0)</f>
        <v>17.079999999999998</v>
      </c>
      <c r="M80">
        <f>VLOOKUP(A80,NYSEARCAGLD!A$2:G$506,4,0)</f>
        <v>105.27</v>
      </c>
      <c r="N80">
        <f>VLOOKUP(A80,NYSEBP!A$2:G$506,4,0)</f>
        <v>30.78</v>
      </c>
      <c r="O80">
        <f>VLOOKUP(A80,NASDAQYHOO!A$2:G$506,4,0)</f>
        <v>30.63</v>
      </c>
    </row>
    <row r="81" spans="1:15">
      <c r="A81" s="39">
        <v>42261</v>
      </c>
      <c r="B81">
        <v>63.82</v>
      </c>
      <c r="C81">
        <f>VLOOKUP(A81,NYSEARCAVTI!A$2:G$506,4,0)</f>
        <v>101.2</v>
      </c>
      <c r="D81">
        <f>VLOOKUP(A81,NYSEARCAVEU!A$2:G$506,4,0)</f>
        <v>43.71</v>
      </c>
      <c r="E81">
        <f>VLOOKUP(A81,NYSEARCAVWO!A$2:G$506,4,0)</f>
        <v>33.79</v>
      </c>
      <c r="F81">
        <f>VLOOKUP(A81,NYSEARCABND!A$2:G$506,4,0)</f>
        <v>81.44</v>
      </c>
      <c r="G81">
        <f>VLOOKUP(A81,NYSEARCATIP!A$2:G$506,4,0)</f>
        <v>110.76</v>
      </c>
      <c r="H81">
        <f>VLOOKUP(A81,NYSEARCAMUB!A$2:G$506,4,0)</f>
        <v>108.54</v>
      </c>
      <c r="I81">
        <f>VLOOKUP(A81,NYSEARCAVNQ!A$2:G$506,4,0)</f>
        <v>73.819999999999993</v>
      </c>
      <c r="J81">
        <f>VLOOKUP(A81,NYSEARCARWX!A$2:G$506,4,0)</f>
        <v>38.840000000000003</v>
      </c>
      <c r="K81">
        <f>VLOOKUP(A81,NYSEARCADBC!A$2:G$506,4,0)</f>
        <v>15.03</v>
      </c>
      <c r="L81">
        <f>VLOOKUP(A81,NYSEARCAGSG!A$2:G$506,4,0)</f>
        <v>17.02</v>
      </c>
      <c r="M81">
        <f>VLOOKUP(A81,NYSEARCAGLD!A$2:G$506,4,0)</f>
        <v>105.78</v>
      </c>
      <c r="N81">
        <f>VLOOKUP(A81,NYSEBP!A$2:G$506,4,0)</f>
        <v>30.44</v>
      </c>
      <c r="O81">
        <f>VLOOKUP(A81,NASDAQYHOO!A$2:G$506,4,0)</f>
        <v>30</v>
      </c>
    </row>
    <row r="82" spans="1:15">
      <c r="A82" s="39">
        <v>42262</v>
      </c>
      <c r="B82">
        <v>64.05</v>
      </c>
      <c r="C82">
        <f>VLOOKUP(A82,NYSEARCAVTI!A$2:G$506,4,0)</f>
        <v>101.53</v>
      </c>
      <c r="D82">
        <f>VLOOKUP(A82,NYSEARCAVEU!A$2:G$506,4,0)</f>
        <v>43.83</v>
      </c>
      <c r="E82">
        <f>VLOOKUP(A82,NYSEARCAVWO!A$2:G$506,4,0)</f>
        <v>34.01</v>
      </c>
      <c r="F82">
        <f>VLOOKUP(A82,NYSEARCABND!A$2:G$506,4,0)</f>
        <v>81.06</v>
      </c>
      <c r="G82">
        <f>VLOOKUP(A82,NYSEARCATIP!A$2:G$506,4,0)</f>
        <v>109.97</v>
      </c>
      <c r="H82">
        <f>VLOOKUP(A82,NYSEARCAMUB!A$2:G$506,4,0)</f>
        <v>108.18</v>
      </c>
      <c r="I82">
        <f>VLOOKUP(A82,NYSEARCAVNQ!A$2:G$506,4,0)</f>
        <v>73.569999999999993</v>
      </c>
      <c r="J82">
        <f>VLOOKUP(A82,NYSEARCARWX!A$2:G$506,4,0)</f>
        <v>38.74</v>
      </c>
      <c r="K82">
        <f>VLOOKUP(A82,NYSEARCADBC!A$2:G$506,4,0)</f>
        <v>15</v>
      </c>
      <c r="L82">
        <f>VLOOKUP(A82,NYSEARCAGSG!A$2:G$506,4,0)</f>
        <v>17.02</v>
      </c>
      <c r="M82">
        <f>VLOOKUP(A82,NYSEARCAGLD!A$2:G$506,4,0)</f>
        <v>105.68</v>
      </c>
      <c r="N82">
        <f>VLOOKUP(A82,NYSEBP!A$2:G$506,4,0)</f>
        <v>30.9</v>
      </c>
      <c r="O82">
        <f>VLOOKUP(A82,NASDAQYHOO!A$2:G$506,4,0)</f>
        <v>29.41</v>
      </c>
    </row>
    <row r="83" spans="1:15">
      <c r="A83" s="39">
        <v>42263</v>
      </c>
      <c r="B83">
        <v>64.05</v>
      </c>
      <c r="C83">
        <f>VLOOKUP(A83,NYSEARCAVTI!A$2:G$506,4,0)</f>
        <v>102.7</v>
      </c>
      <c r="D83">
        <f>VLOOKUP(A83,NYSEARCAVEU!A$2:G$506,4,0)</f>
        <v>44.6</v>
      </c>
      <c r="E83">
        <f>VLOOKUP(A83,NYSEARCAVWO!A$2:G$506,4,0)</f>
        <v>34.799999999999997</v>
      </c>
      <c r="F83">
        <f>VLOOKUP(A83,NYSEARCABND!A$2:G$506,4,0)</f>
        <v>81</v>
      </c>
      <c r="G83">
        <f>VLOOKUP(A83,NYSEARCATIP!A$2:G$506,4,0)</f>
        <v>109.92</v>
      </c>
      <c r="H83">
        <f>VLOOKUP(A83,NYSEARCAMUB!A$2:G$506,4,0)</f>
        <v>108.17</v>
      </c>
      <c r="I83">
        <f>VLOOKUP(A83,NYSEARCAVNQ!A$2:G$506,4,0)</f>
        <v>74.69</v>
      </c>
      <c r="J83">
        <f>VLOOKUP(A83,NYSEARCARWX!A$2:G$506,4,0)</f>
        <v>39.020000000000003</v>
      </c>
      <c r="K83">
        <f>VLOOKUP(A83,NYSEARCADBC!A$2:G$506,4,0)</f>
        <v>15.19</v>
      </c>
      <c r="L83">
        <f>VLOOKUP(A83,NYSEARCAGSG!A$2:G$506,4,0)</f>
        <v>17.29</v>
      </c>
      <c r="M83">
        <f>VLOOKUP(A83,NYSEARCAGLD!A$2:G$506,4,0)</f>
        <v>106.56</v>
      </c>
      <c r="N83">
        <f>VLOOKUP(A83,NYSEBP!A$2:G$506,4,0)</f>
        <v>31.65</v>
      </c>
      <c r="O83">
        <f>VLOOKUP(A83,NASDAQYHOO!A$2:G$506,4,0)</f>
        <v>30.99</v>
      </c>
    </row>
    <row r="84" spans="1:15">
      <c r="A84" s="39">
        <v>42264</v>
      </c>
      <c r="B84">
        <v>64.16</v>
      </c>
      <c r="C84">
        <f>VLOOKUP(A84,NYSEARCAVTI!A$2:G$506,4,0)</f>
        <v>103.24</v>
      </c>
      <c r="D84">
        <f>VLOOKUP(A84,NYSEARCAVEU!A$2:G$506,4,0)</f>
        <v>44.68</v>
      </c>
      <c r="E84">
        <f>VLOOKUP(A84,NYSEARCAVWO!A$2:G$506,4,0)</f>
        <v>34.82</v>
      </c>
      <c r="F84">
        <f>VLOOKUP(A84,NYSEARCABND!A$2:G$506,4,0)</f>
        <v>81.02</v>
      </c>
      <c r="G84">
        <f>VLOOKUP(A84,NYSEARCATIP!A$2:G$506,4,0)</f>
        <v>109.79</v>
      </c>
      <c r="H84">
        <f>VLOOKUP(A84,NYSEARCAMUB!A$2:G$506,4,0)</f>
        <v>108.23</v>
      </c>
      <c r="I84">
        <f>VLOOKUP(A84,NYSEARCAVNQ!A$2:G$506,4,0)</f>
        <v>75.27</v>
      </c>
      <c r="J84">
        <f>VLOOKUP(A84,NYSEARCARWX!A$2:G$506,4,0)</f>
        <v>39.14</v>
      </c>
      <c r="K84">
        <f>VLOOKUP(A84,NYSEARCADBC!A$2:G$506,4,0)</f>
        <v>15.14</v>
      </c>
      <c r="L84">
        <f>VLOOKUP(A84,NYSEARCAGSG!A$2:G$506,4,0)</f>
        <v>17.260000000000002</v>
      </c>
      <c r="M84">
        <f>VLOOKUP(A84,NYSEARCAGLD!A$2:G$506,4,0)</f>
        <v>106.96</v>
      </c>
      <c r="N84">
        <f>VLOOKUP(A84,NYSEBP!A$2:G$506,4,0)</f>
        <v>31.94</v>
      </c>
      <c r="O84">
        <f>VLOOKUP(A84,NASDAQYHOO!A$2:G$506,4,0)</f>
        <v>30.81</v>
      </c>
    </row>
    <row r="85" spans="1:15">
      <c r="A85" s="39">
        <v>42265</v>
      </c>
      <c r="B85">
        <v>63.26</v>
      </c>
      <c r="C85">
        <f>VLOOKUP(A85,NYSEARCAVTI!A$2:G$506,4,0)</f>
        <v>101.58</v>
      </c>
      <c r="D85">
        <f>VLOOKUP(A85,NYSEARCAVEU!A$2:G$506,4,0)</f>
        <v>44</v>
      </c>
      <c r="E85">
        <f>VLOOKUP(A85,NYSEARCAVWO!A$2:G$506,4,0)</f>
        <v>34.31</v>
      </c>
      <c r="F85">
        <f>VLOOKUP(A85,NYSEARCABND!A$2:G$506,4,0)</f>
        <v>81.59</v>
      </c>
      <c r="G85">
        <f>VLOOKUP(A85,NYSEARCATIP!A$2:G$506,4,0)</f>
        <v>110.8</v>
      </c>
      <c r="H85">
        <f>VLOOKUP(A85,NYSEARCAMUB!A$2:G$506,4,0)</f>
        <v>108.67</v>
      </c>
      <c r="I85">
        <f>VLOOKUP(A85,NYSEARCAVNQ!A$2:G$506,4,0)</f>
        <v>75.540000000000006</v>
      </c>
      <c r="J85">
        <f>VLOOKUP(A85,NYSEARCARWX!A$2:G$506,4,0)</f>
        <v>38.78</v>
      </c>
      <c r="K85">
        <f>VLOOKUP(A85,NYSEARCADBC!A$2:G$506,4,0)</f>
        <v>14.93</v>
      </c>
      <c r="L85">
        <f>VLOOKUP(A85,NYSEARCAGSG!A$2:G$506,4,0)</f>
        <v>16.89</v>
      </c>
      <c r="M85">
        <f>VLOOKUP(A85,NYSEARCAGLD!A$2:G$506,4,0)</f>
        <v>108.82</v>
      </c>
      <c r="N85">
        <f>VLOOKUP(A85,NYSEBP!A$2:G$506,4,0)</f>
        <v>30.97</v>
      </c>
      <c r="O85">
        <f>VLOOKUP(A85,NASDAQYHOO!A$2:G$506,4,0)</f>
        <v>30.41</v>
      </c>
    </row>
    <row r="86" spans="1:15">
      <c r="A86" s="39">
        <v>42268</v>
      </c>
      <c r="B86">
        <v>63.37</v>
      </c>
      <c r="C86">
        <f>VLOOKUP(A86,NYSEARCAVTI!A$2:G$506,4,0)</f>
        <v>101.67</v>
      </c>
      <c r="D86">
        <f>VLOOKUP(A86,NYSEARCAVEU!A$2:G$506,4,0)</f>
        <v>43.88</v>
      </c>
      <c r="E86">
        <f>VLOOKUP(A86,NYSEARCAVWO!A$2:G$506,4,0)</f>
        <v>34.31</v>
      </c>
      <c r="F86">
        <f>VLOOKUP(A86,NYSEARCABND!A$2:G$506,4,0)</f>
        <v>81.41</v>
      </c>
      <c r="G86">
        <f>VLOOKUP(A86,NYSEARCATIP!A$2:G$506,4,0)</f>
        <v>110.45</v>
      </c>
      <c r="H86">
        <f>VLOOKUP(A86,NYSEARCAMUB!A$2:G$506,4,0)</f>
        <v>108.65</v>
      </c>
      <c r="I86">
        <f>VLOOKUP(A86,NYSEARCAVNQ!A$2:G$506,4,0)</f>
        <v>76.3</v>
      </c>
      <c r="J86">
        <f>VLOOKUP(A86,NYSEARCARWX!A$2:G$506,4,0)</f>
        <v>38.81</v>
      </c>
      <c r="K86">
        <f>VLOOKUP(A86,NYSEARCADBC!A$2:G$506,4,0)</f>
        <v>15.05</v>
      </c>
      <c r="L86">
        <f>VLOOKUP(A86,NYSEARCAGSG!A$2:G$506,4,0)</f>
        <v>17.13</v>
      </c>
      <c r="M86">
        <f>VLOOKUP(A86,NYSEARCAGLD!A$2:G$506,4,0)</f>
        <v>108.33</v>
      </c>
      <c r="N86">
        <f>VLOOKUP(A86,NYSEBP!A$2:G$506,4,0)</f>
        <v>30.9</v>
      </c>
      <c r="O86">
        <f>VLOOKUP(A86,NASDAQYHOO!A$2:G$506,4,0)</f>
        <v>30.88</v>
      </c>
    </row>
    <row r="87" spans="1:15">
      <c r="A87" s="39">
        <v>42269</v>
      </c>
      <c r="B87">
        <v>62.92</v>
      </c>
      <c r="C87">
        <f>VLOOKUP(A87,NYSEARCAVTI!A$2:G$506,4,0)</f>
        <v>100.21</v>
      </c>
      <c r="D87">
        <f>VLOOKUP(A87,NYSEARCAVEU!A$2:G$506,4,0)</f>
        <v>42.78</v>
      </c>
      <c r="E87">
        <f>VLOOKUP(A87,NYSEARCAVWO!A$2:G$506,4,0)</f>
        <v>33.520000000000003</v>
      </c>
      <c r="F87">
        <f>VLOOKUP(A87,NYSEARCABND!A$2:G$506,4,0)</f>
        <v>81.58</v>
      </c>
      <c r="G87">
        <f>VLOOKUP(A87,NYSEARCATIP!A$2:G$506,4,0)</f>
        <v>110.44</v>
      </c>
      <c r="H87">
        <f>VLOOKUP(A87,NYSEARCAMUB!A$2:G$506,4,0)</f>
        <v>108.92</v>
      </c>
      <c r="I87">
        <f>VLOOKUP(A87,NYSEARCAVNQ!A$2:G$506,4,0)</f>
        <v>75.81</v>
      </c>
      <c r="J87">
        <f>VLOOKUP(A87,NYSEARCARWX!A$2:G$506,4,0)</f>
        <v>38.22</v>
      </c>
      <c r="K87">
        <f>VLOOKUP(A87,NYSEARCADBC!A$2:G$506,4,0)</f>
        <v>14.92</v>
      </c>
      <c r="L87">
        <f>VLOOKUP(A87,NYSEARCAGSG!A$2:G$506,4,0)</f>
        <v>16.98</v>
      </c>
      <c r="M87">
        <f>VLOOKUP(A87,NYSEARCAGLD!A$2:G$506,4,0)</f>
        <v>107.44</v>
      </c>
      <c r="N87">
        <f>VLOOKUP(A87,NYSEBP!A$2:G$506,4,0)</f>
        <v>30.02</v>
      </c>
      <c r="O87">
        <f>VLOOKUP(A87,NASDAQYHOO!A$2:G$506,4,0)</f>
        <v>30.17</v>
      </c>
    </row>
    <row r="88" spans="1:15">
      <c r="A88" s="39">
        <v>42270</v>
      </c>
      <c r="B88">
        <v>63.12</v>
      </c>
      <c r="C88">
        <f>VLOOKUP(A88,NYSEARCAVTI!A$2:G$506,4,0)</f>
        <v>100.34</v>
      </c>
      <c r="D88">
        <f>VLOOKUP(A88,NYSEARCAVEU!A$2:G$506,4,0)</f>
        <v>42.65</v>
      </c>
      <c r="E88">
        <f>VLOOKUP(A88,NYSEARCAVWO!A$2:G$506,4,0)</f>
        <v>33.24</v>
      </c>
      <c r="F88">
        <f>VLOOKUP(A88,NYSEARCABND!A$2:G$506,4,0)</f>
        <v>81.55</v>
      </c>
      <c r="G88">
        <f>VLOOKUP(A88,NYSEARCATIP!A$2:G$506,4,0)</f>
        <v>110.62</v>
      </c>
      <c r="H88">
        <f>VLOOKUP(A88,NYSEARCAMUB!A$2:G$506,4,0)</f>
        <v>109.02</v>
      </c>
      <c r="I88">
        <f>VLOOKUP(A88,NYSEARCAVNQ!A$2:G$506,4,0)</f>
        <v>75.09</v>
      </c>
      <c r="J88">
        <f>VLOOKUP(A88,NYSEARCARWX!A$2:G$506,4,0)</f>
        <v>38.200000000000003</v>
      </c>
      <c r="K88">
        <f>VLOOKUP(A88,NYSEARCADBC!A$2:G$506,4,0)</f>
        <v>14.96</v>
      </c>
      <c r="L88">
        <f>VLOOKUP(A88,NYSEARCAGSG!A$2:G$506,4,0)</f>
        <v>16.920000000000002</v>
      </c>
      <c r="M88">
        <f>VLOOKUP(A88,NYSEARCAGLD!A$2:G$506,4,0)</f>
        <v>108.2</v>
      </c>
      <c r="N88">
        <f>VLOOKUP(A88,NYSEBP!A$2:G$506,4,0)</f>
        <v>29.88</v>
      </c>
      <c r="O88">
        <f>VLOOKUP(A88,NASDAQYHOO!A$2:G$506,4,0)</f>
        <v>29.63</v>
      </c>
    </row>
    <row r="89" spans="1:15">
      <c r="A89" s="39">
        <v>42271</v>
      </c>
      <c r="B89">
        <v>63.3</v>
      </c>
      <c r="C89">
        <f>VLOOKUP(A89,NYSEARCAVTI!A$2:G$506,4,0)</f>
        <v>99.1</v>
      </c>
      <c r="D89">
        <f>VLOOKUP(A89,NYSEARCAVEU!A$2:G$506,4,0)</f>
        <v>42.12</v>
      </c>
      <c r="E89">
        <f>VLOOKUP(A89,NYSEARCAVWO!A$2:G$506,4,0)</f>
        <v>32.54</v>
      </c>
      <c r="F89">
        <f>VLOOKUP(A89,NYSEARCABND!A$2:G$506,4,0)</f>
        <v>81.63</v>
      </c>
      <c r="G89">
        <f>VLOOKUP(A89,NYSEARCATIP!A$2:G$506,4,0)</f>
        <v>110.69</v>
      </c>
      <c r="H89">
        <f>VLOOKUP(A89,NYSEARCAMUB!A$2:G$506,4,0)</f>
        <v>109.14</v>
      </c>
      <c r="I89">
        <f>VLOOKUP(A89,NYSEARCAVNQ!A$2:G$506,4,0)</f>
        <v>74.53</v>
      </c>
      <c r="J89">
        <f>VLOOKUP(A89,NYSEARCARWX!A$2:G$506,4,0)</f>
        <v>38.25</v>
      </c>
      <c r="K89">
        <f>VLOOKUP(A89,NYSEARCADBC!A$2:G$506,4,0)</f>
        <v>14.92</v>
      </c>
      <c r="L89">
        <f>VLOOKUP(A89,NYSEARCAGSG!A$2:G$506,4,0)</f>
        <v>16.82</v>
      </c>
      <c r="M89">
        <f>VLOOKUP(A89,NYSEARCAGLD!A$2:G$506,4,0)</f>
        <v>109.63</v>
      </c>
      <c r="N89">
        <f>VLOOKUP(A89,NYSEBP!A$2:G$506,4,0)</f>
        <v>29.5</v>
      </c>
      <c r="O89">
        <f>VLOOKUP(A89,NASDAQYHOO!A$2:G$506,4,0)</f>
        <v>28.85</v>
      </c>
    </row>
    <row r="90" spans="1:15">
      <c r="A90" s="39">
        <v>42272</v>
      </c>
      <c r="B90">
        <v>63.62</v>
      </c>
      <c r="C90">
        <f>VLOOKUP(A90,NYSEARCAVTI!A$2:G$506,4,0)</f>
        <v>99.07</v>
      </c>
      <c r="D90">
        <f>VLOOKUP(A90,NYSEARCAVEU!A$2:G$506,4,0)</f>
        <v>42.47</v>
      </c>
      <c r="E90">
        <f>VLOOKUP(A90,NYSEARCAVWO!A$2:G$506,4,0)</f>
        <v>32.6</v>
      </c>
      <c r="F90">
        <f>VLOOKUP(A90,NYSEARCABND!A$2:G$506,4,0)</f>
        <v>81.5</v>
      </c>
      <c r="G90">
        <f>VLOOKUP(A90,NYSEARCATIP!A$2:G$506,4,0)</f>
        <v>110.13</v>
      </c>
      <c r="H90">
        <f>VLOOKUP(A90,NYSEARCAMUB!A$2:G$506,4,0)</f>
        <v>109.1</v>
      </c>
      <c r="I90">
        <f>VLOOKUP(A90,NYSEARCAVNQ!A$2:G$506,4,0)</f>
        <v>74.849999999999994</v>
      </c>
      <c r="J90">
        <f>VLOOKUP(A90,NYSEARCARWX!A$2:G$506,4,0)</f>
        <v>39.049999999999997</v>
      </c>
      <c r="K90">
        <f>VLOOKUP(A90,NYSEARCADBC!A$2:G$506,4,0)</f>
        <v>15.05</v>
      </c>
      <c r="L90">
        <f>VLOOKUP(A90,NYSEARCAGSG!A$2:G$506,4,0)</f>
        <v>17.07</v>
      </c>
      <c r="M90">
        <f>VLOOKUP(A90,NYSEARCAGLD!A$2:G$506,4,0)</f>
        <v>109.55</v>
      </c>
      <c r="N90">
        <f>VLOOKUP(A90,NYSEBP!A$2:G$506,4,0)</f>
        <v>30.25</v>
      </c>
      <c r="O90">
        <f>VLOOKUP(A90,NASDAQYHOO!A$2:G$506,4,0)</f>
        <v>28.9</v>
      </c>
    </row>
    <row r="91" spans="1:15">
      <c r="A91" s="39">
        <v>42275</v>
      </c>
      <c r="B91">
        <v>63.48</v>
      </c>
      <c r="C91">
        <f>VLOOKUP(A91,NYSEARCAVTI!A$2:G$506,4,0)</f>
        <v>96.8</v>
      </c>
      <c r="D91">
        <f>VLOOKUP(A91,NYSEARCAVEU!A$2:G$506,4,0)</f>
        <v>41.68</v>
      </c>
      <c r="E91">
        <f>VLOOKUP(A91,NYSEARCAVWO!A$2:G$506,4,0)</f>
        <v>31.89</v>
      </c>
      <c r="F91">
        <f>VLOOKUP(A91,NYSEARCABND!A$2:G$506,4,0)</f>
        <v>81.540000000000006</v>
      </c>
      <c r="G91">
        <f>VLOOKUP(A91,NYSEARCATIP!A$2:G$506,4,0)</f>
        <v>110.12</v>
      </c>
      <c r="H91">
        <f>VLOOKUP(A91,NYSEARCAMUB!A$2:G$506,4,0)</f>
        <v>109.23</v>
      </c>
      <c r="I91">
        <f>VLOOKUP(A91,NYSEARCAVNQ!A$2:G$506,4,0)</f>
        <v>73.569999999999993</v>
      </c>
      <c r="J91">
        <f>VLOOKUP(A91,NYSEARCARWX!A$2:G$506,4,0)</f>
        <v>38.53</v>
      </c>
      <c r="K91">
        <f>VLOOKUP(A91,NYSEARCADBC!A$2:G$506,4,0)</f>
        <v>14.9</v>
      </c>
      <c r="L91">
        <f>VLOOKUP(A91,NYSEARCAGSG!A$2:G$506,4,0)</f>
        <v>16.87</v>
      </c>
      <c r="M91">
        <f>VLOOKUP(A91,NYSEARCAGLD!A$2:G$506,4,0)</f>
        <v>108.27</v>
      </c>
      <c r="N91">
        <f>VLOOKUP(A91,NYSEBP!A$2:G$506,4,0)</f>
        <v>29.35</v>
      </c>
      <c r="O91">
        <f>VLOOKUP(A91,NASDAQYHOO!A$2:G$506,4,0)</f>
        <v>27.2</v>
      </c>
    </row>
    <row r="92" spans="1:15">
      <c r="A92" s="39">
        <v>42276</v>
      </c>
      <c r="B92">
        <v>63.23</v>
      </c>
      <c r="C92">
        <f>VLOOKUP(A92,NYSEARCAVTI!A$2:G$506,4,0)</f>
        <v>96.37</v>
      </c>
      <c r="D92">
        <f>VLOOKUP(A92,NYSEARCAVEU!A$2:G$506,4,0)</f>
        <v>41.5</v>
      </c>
      <c r="E92">
        <f>VLOOKUP(A92,NYSEARCAVWO!A$2:G$506,4,0)</f>
        <v>31.96</v>
      </c>
      <c r="F92">
        <f>VLOOKUP(A92,NYSEARCABND!A$2:G$506,4,0)</f>
        <v>81.7</v>
      </c>
      <c r="G92">
        <f>VLOOKUP(A92,NYSEARCATIP!A$2:G$506,4,0)</f>
        <v>110.34</v>
      </c>
      <c r="H92">
        <f>VLOOKUP(A92,NYSEARCAMUB!A$2:G$506,4,0)</f>
        <v>109.42</v>
      </c>
      <c r="I92">
        <f>VLOOKUP(A92,NYSEARCAVNQ!A$2:G$506,4,0)</f>
        <v>74.05</v>
      </c>
      <c r="J92">
        <f>VLOOKUP(A92,NYSEARCARWX!A$2:G$506,4,0)</f>
        <v>38.5</v>
      </c>
      <c r="K92">
        <f>VLOOKUP(A92,NYSEARCADBC!A$2:G$506,4,0)</f>
        <v>14.95</v>
      </c>
      <c r="L92">
        <f>VLOOKUP(A92,NYSEARCAGSG!A$2:G$506,4,0)</f>
        <v>16.93</v>
      </c>
      <c r="M92">
        <f>VLOOKUP(A92,NYSEARCAGLD!A$2:G$506,4,0)</f>
        <v>107.88</v>
      </c>
      <c r="N92">
        <f>VLOOKUP(A92,NYSEBP!A$2:G$506,4,0)</f>
        <v>29.46</v>
      </c>
      <c r="O92">
        <f>VLOOKUP(A92,NASDAQYHOO!A$2:G$506,4,0)</f>
        <v>27.85</v>
      </c>
    </row>
    <row r="93" spans="1:15">
      <c r="A93" s="39">
        <v>42277</v>
      </c>
      <c r="B93">
        <v>63.93</v>
      </c>
      <c r="C93">
        <f>VLOOKUP(A93,NYSEARCAVTI!A$2:G$506,4,0)</f>
        <v>97.55</v>
      </c>
      <c r="D93">
        <f>VLOOKUP(A93,NYSEARCAVEU!A$2:G$506,4,0)</f>
        <v>42.2</v>
      </c>
      <c r="E93">
        <f>VLOOKUP(A93,NYSEARCAVWO!A$2:G$506,4,0)</f>
        <v>32.799999999999997</v>
      </c>
      <c r="F93">
        <f>VLOOKUP(A93,NYSEARCABND!A$2:G$506,4,0)</f>
        <v>81.75</v>
      </c>
      <c r="G93">
        <f>VLOOKUP(A93,NYSEARCATIP!A$2:G$506,4,0)</f>
        <v>110.46</v>
      </c>
      <c r="H93">
        <f>VLOOKUP(A93,NYSEARCAMUB!A$2:G$506,4,0)</f>
        <v>109.3</v>
      </c>
      <c r="I93">
        <f>VLOOKUP(A93,NYSEARCAVNQ!A$2:G$506,4,0)</f>
        <v>74.91</v>
      </c>
      <c r="J93">
        <f>VLOOKUP(A93,NYSEARCARWX!A$2:G$506,4,0)</f>
        <v>39</v>
      </c>
      <c r="K93">
        <f>VLOOKUP(A93,NYSEARCADBC!A$2:G$506,4,0)</f>
        <v>15.05</v>
      </c>
      <c r="L93">
        <f>VLOOKUP(A93,NYSEARCAGSG!A$2:G$506,4,0)</f>
        <v>16.91</v>
      </c>
      <c r="M93">
        <f>VLOOKUP(A93,NYSEARCAGLD!A$2:G$506,4,0)</f>
        <v>106.47</v>
      </c>
      <c r="N93">
        <f>VLOOKUP(A93,NYSEBP!A$2:G$506,4,0)</f>
        <v>30.08</v>
      </c>
      <c r="O93">
        <f>VLOOKUP(A93,NASDAQYHOO!A$2:G$506,4,0)</f>
        <v>28.49</v>
      </c>
    </row>
    <row r="94" spans="1:15">
      <c r="A94" s="39">
        <v>42278</v>
      </c>
      <c r="B94">
        <v>63.88</v>
      </c>
      <c r="C94">
        <f>VLOOKUP(A94,NYSEARCAVTI!A$2:G$506,4,0)</f>
        <v>97.71</v>
      </c>
      <c r="D94">
        <f>VLOOKUP(A94,NYSEARCAVEU!A$2:G$506,4,0)</f>
        <v>42.4</v>
      </c>
      <c r="E94">
        <f>VLOOKUP(A94,NYSEARCAVWO!A$2:G$506,4,0)</f>
        <v>32.93</v>
      </c>
      <c r="F94">
        <f>VLOOKUP(A94,NYSEARCABND!A$2:G$506,4,0)</f>
        <v>81.8</v>
      </c>
      <c r="G94">
        <f>VLOOKUP(A94,NYSEARCATIP!A$2:G$506,4,0)</f>
        <v>110.98</v>
      </c>
      <c r="H94">
        <f>VLOOKUP(A94,NYSEARCAMUB!A$2:G$506,4,0)</f>
        <v>109.3</v>
      </c>
      <c r="I94">
        <f>VLOOKUP(A94,NYSEARCAVNQ!A$2:G$506,4,0)</f>
        <v>75.11</v>
      </c>
      <c r="J94">
        <f>VLOOKUP(A94,NYSEARCARWX!A$2:G$506,4,0)</f>
        <v>39.11</v>
      </c>
      <c r="K94">
        <f>VLOOKUP(A94,NYSEARCADBC!A$2:G$506,4,0)</f>
        <v>15.02</v>
      </c>
      <c r="L94">
        <f>VLOOKUP(A94,NYSEARCAGSG!A$2:G$506,4,0)</f>
        <v>16.89</v>
      </c>
      <c r="M94">
        <f>VLOOKUP(A94,NYSEARCAGLD!A$2:G$506,4,0)</f>
        <v>106.63</v>
      </c>
      <c r="N94">
        <f>VLOOKUP(A94,NYSEBP!A$2:G$506,4,0)</f>
        <v>30.78</v>
      </c>
      <c r="O94">
        <f>VLOOKUP(A94,NASDAQYHOO!A$2:G$506,4,0)</f>
        <v>28.44</v>
      </c>
    </row>
    <row r="95" spans="1:15">
      <c r="A95" s="39">
        <v>42279</v>
      </c>
      <c r="B95">
        <v>63.41</v>
      </c>
      <c r="C95">
        <f>VLOOKUP(A95,NYSEARCAVTI!A$2:G$506,4,0)</f>
        <v>97.38</v>
      </c>
      <c r="D95">
        <f>VLOOKUP(A95,NYSEARCAVEU!A$2:G$506,4,0)</f>
        <v>42.49</v>
      </c>
      <c r="E95">
        <f>VLOOKUP(A95,NYSEARCAVWO!A$2:G$506,4,0)</f>
        <v>32.94</v>
      </c>
      <c r="F95">
        <f>VLOOKUP(A95,NYSEARCABND!A$2:G$506,4,0)</f>
        <v>82</v>
      </c>
      <c r="G95">
        <f>VLOOKUP(A95,NYSEARCATIP!A$2:G$506,4,0)</f>
        <v>111.52</v>
      </c>
      <c r="H95">
        <f>VLOOKUP(A95,NYSEARCAMUB!A$2:G$506,4,0)</f>
        <v>109.53</v>
      </c>
      <c r="I95">
        <f>VLOOKUP(A95,NYSEARCAVNQ!A$2:G$506,4,0)</f>
        <v>75.040000000000006</v>
      </c>
      <c r="J95">
        <f>VLOOKUP(A95,NYSEARCARWX!A$2:G$506,4,0)</f>
        <v>39.07</v>
      </c>
      <c r="K95">
        <f>VLOOKUP(A95,NYSEARCADBC!A$2:G$506,4,0)</f>
        <v>14.91</v>
      </c>
      <c r="L95">
        <f>VLOOKUP(A95,NYSEARCAGSG!A$2:G$506,4,0)</f>
        <v>16.75</v>
      </c>
      <c r="M95">
        <f>VLOOKUP(A95,NYSEARCAGLD!A$2:G$506,4,0)</f>
        <v>108.54</v>
      </c>
      <c r="N95">
        <f>VLOOKUP(A95,NYSEBP!A$2:G$506,4,0)</f>
        <v>31.42</v>
      </c>
      <c r="O95">
        <f>VLOOKUP(A95,NASDAQYHOO!A$2:G$506,4,0)</f>
        <v>28.43</v>
      </c>
    </row>
    <row r="96" spans="1:15">
      <c r="A96" s="39">
        <v>42282</v>
      </c>
      <c r="B96">
        <v>65.14</v>
      </c>
      <c r="C96">
        <f>VLOOKUP(A96,NYSEARCAVTI!A$2:G$506,4,0)</f>
        <v>101.04</v>
      </c>
      <c r="D96">
        <f>VLOOKUP(A96,NYSEARCAVEU!A$2:G$506,4,0)</f>
        <v>44</v>
      </c>
      <c r="E96">
        <f>VLOOKUP(A96,NYSEARCAVWO!A$2:G$506,4,0)</f>
        <v>34.409999999999997</v>
      </c>
      <c r="F96">
        <f>VLOOKUP(A96,NYSEARCABND!A$2:G$506,4,0)</f>
        <v>81.8</v>
      </c>
      <c r="G96">
        <f>VLOOKUP(A96,NYSEARCATIP!A$2:G$506,4,0)</f>
        <v>111.32</v>
      </c>
      <c r="H96">
        <f>VLOOKUP(A96,NYSEARCAMUB!A$2:G$506,4,0)</f>
        <v>109.35</v>
      </c>
      <c r="I96">
        <f>VLOOKUP(A96,NYSEARCAVNQ!A$2:G$506,4,0)</f>
        <v>76.75</v>
      </c>
      <c r="J96">
        <f>VLOOKUP(A96,NYSEARCARWX!A$2:G$506,4,0)</f>
        <v>40.44</v>
      </c>
      <c r="K96">
        <f>VLOOKUP(A96,NYSEARCADBC!A$2:G$506,4,0)</f>
        <v>15.28</v>
      </c>
      <c r="L96">
        <f>VLOOKUP(A96,NYSEARCAGSG!A$2:G$506,4,0)</f>
        <v>17.22</v>
      </c>
      <c r="M96">
        <f>VLOOKUP(A96,NYSEARCAGLD!A$2:G$506,4,0)</f>
        <v>108.46</v>
      </c>
      <c r="N96">
        <f>VLOOKUP(A96,NYSEBP!A$2:G$506,4,0)</f>
        <v>33.18</v>
      </c>
      <c r="O96">
        <f>VLOOKUP(A96,NASDAQYHOO!A$2:G$506,4,0)</f>
        <v>30.35</v>
      </c>
    </row>
    <row r="97" spans="1:15">
      <c r="A97" s="39">
        <v>42283</v>
      </c>
      <c r="B97">
        <v>65.180000000000007</v>
      </c>
      <c r="C97">
        <f>VLOOKUP(A97,NYSEARCAVTI!A$2:G$506,4,0)</f>
        <v>101.38</v>
      </c>
      <c r="D97">
        <f>VLOOKUP(A97,NYSEARCAVEU!A$2:G$506,4,0)</f>
        <v>44.32</v>
      </c>
      <c r="E97">
        <f>VLOOKUP(A97,NYSEARCAVWO!A$2:G$506,4,0)</f>
        <v>34.5</v>
      </c>
      <c r="F97">
        <f>VLOOKUP(A97,NYSEARCABND!A$2:G$506,4,0)</f>
        <v>81.8</v>
      </c>
      <c r="G97">
        <f>VLOOKUP(A97,NYSEARCATIP!A$2:G$506,4,0)</f>
        <v>111.31</v>
      </c>
      <c r="H97">
        <f>VLOOKUP(A97,NYSEARCAMUB!A$2:G$506,4,0)</f>
        <v>109.43</v>
      </c>
      <c r="I97">
        <f>VLOOKUP(A97,NYSEARCAVNQ!A$2:G$506,4,0)</f>
        <v>77.349999999999994</v>
      </c>
      <c r="J97">
        <f>VLOOKUP(A97,NYSEARCARWX!A$2:G$506,4,0)</f>
        <v>40.49</v>
      </c>
      <c r="K97">
        <f>VLOOKUP(A97,NYSEARCADBC!A$2:G$506,4,0)</f>
        <v>15.43</v>
      </c>
      <c r="L97">
        <f>VLOOKUP(A97,NYSEARCAGSG!A$2:G$506,4,0)</f>
        <v>17.37</v>
      </c>
      <c r="M97">
        <f>VLOOKUP(A97,NYSEARCAGLD!A$2:G$506,4,0)</f>
        <v>109.63</v>
      </c>
      <c r="N97">
        <f>VLOOKUP(A97,NYSEBP!A$2:G$506,4,0)</f>
        <v>33.76</v>
      </c>
      <c r="O97">
        <f>VLOOKUP(A97,NASDAQYHOO!A$2:G$506,4,0)</f>
        <v>30.66</v>
      </c>
    </row>
    <row r="98" spans="1:15">
      <c r="A98" s="39">
        <v>42284</v>
      </c>
      <c r="B98">
        <v>65.77</v>
      </c>
      <c r="C98">
        <f>VLOOKUP(A98,NYSEARCAVTI!A$2:G$506,4,0)</f>
        <v>101.7</v>
      </c>
      <c r="D98">
        <f>VLOOKUP(A98,NYSEARCAVEU!A$2:G$506,4,0)</f>
        <v>44.81</v>
      </c>
      <c r="E98">
        <f>VLOOKUP(A98,NYSEARCAVWO!A$2:G$506,4,0)</f>
        <v>35.270000000000003</v>
      </c>
      <c r="F98">
        <f>VLOOKUP(A98,NYSEARCABND!A$2:G$506,4,0)</f>
        <v>81.8</v>
      </c>
      <c r="G98">
        <f>VLOOKUP(A98,NYSEARCATIP!A$2:G$506,4,0)</f>
        <v>111.4</v>
      </c>
      <c r="H98">
        <f>VLOOKUP(A98,NYSEARCAMUB!A$2:G$506,4,0)</f>
        <v>109.32</v>
      </c>
      <c r="I98">
        <f>VLOOKUP(A98,NYSEARCAVNQ!A$2:G$506,4,0)</f>
        <v>77.61</v>
      </c>
      <c r="J98">
        <f>VLOOKUP(A98,NYSEARCARWX!A$2:G$506,4,0)</f>
        <v>40.39</v>
      </c>
      <c r="K98">
        <f>VLOOKUP(A98,NYSEARCADBC!A$2:G$506,4,0)</f>
        <v>15.55</v>
      </c>
      <c r="L98">
        <f>VLOOKUP(A98,NYSEARCAGSG!A$2:G$506,4,0)</f>
        <v>17.62</v>
      </c>
      <c r="M98">
        <f>VLOOKUP(A98,NYSEARCAGLD!A$2:G$506,4,0)</f>
        <v>109.34</v>
      </c>
      <c r="N98">
        <f>VLOOKUP(A98,NYSEBP!A$2:G$506,4,0)</f>
        <v>35.33</v>
      </c>
      <c r="O98">
        <f>VLOOKUP(A98,NASDAQYHOO!A$2:G$506,4,0)</f>
        <v>31.21</v>
      </c>
    </row>
    <row r="99" spans="1:15">
      <c r="A99" s="39">
        <v>42285</v>
      </c>
      <c r="B99">
        <v>66.150000000000006</v>
      </c>
      <c r="C99">
        <f>VLOOKUP(A99,NYSEARCAVTI!A$2:G$506,4,0)</f>
        <v>102.38</v>
      </c>
      <c r="D99">
        <f>VLOOKUP(A99,NYSEARCAVEU!A$2:G$506,4,0)</f>
        <v>44.89</v>
      </c>
      <c r="E99">
        <f>VLOOKUP(A99,NYSEARCAVWO!A$2:G$506,4,0)</f>
        <v>35.28</v>
      </c>
      <c r="F99">
        <f>VLOOKUP(A99,NYSEARCABND!A$2:G$506,4,0)</f>
        <v>81.739999999999995</v>
      </c>
      <c r="G99">
        <f>VLOOKUP(A99,NYSEARCATIP!A$2:G$506,4,0)</f>
        <v>111.43</v>
      </c>
      <c r="H99">
        <f>VLOOKUP(A99,NYSEARCAMUB!A$2:G$506,4,0)</f>
        <v>109.23</v>
      </c>
      <c r="I99">
        <f>VLOOKUP(A99,NYSEARCAVNQ!A$2:G$506,4,0)</f>
        <v>78.13</v>
      </c>
      <c r="J99">
        <f>VLOOKUP(A99,NYSEARCARWX!A$2:G$506,4,0)</f>
        <v>40.4</v>
      </c>
      <c r="K99">
        <f>VLOOKUP(A99,NYSEARCADBC!A$2:G$506,4,0)</f>
        <v>15.54</v>
      </c>
      <c r="L99">
        <f>VLOOKUP(A99,NYSEARCAGSG!A$2:G$506,4,0)</f>
        <v>17.649999999999999</v>
      </c>
      <c r="M99">
        <f>VLOOKUP(A99,NYSEARCAGLD!A$2:G$506,4,0)</f>
        <v>109.06</v>
      </c>
      <c r="N99">
        <f>VLOOKUP(A99,NYSEBP!A$2:G$506,4,0)</f>
        <v>35.28</v>
      </c>
      <c r="O99">
        <f>VLOOKUP(A99,NASDAQYHOO!A$2:G$506,4,0)</f>
        <v>31.73</v>
      </c>
    </row>
    <row r="100" spans="1:15">
      <c r="A100" s="39">
        <v>42286</v>
      </c>
      <c r="B100">
        <v>66.5</v>
      </c>
      <c r="C100">
        <f>VLOOKUP(A100,NYSEARCAVTI!A$2:G$506,4,0)</f>
        <v>103.43</v>
      </c>
      <c r="D100">
        <f>VLOOKUP(A100,NYSEARCAVEU!A$2:G$506,4,0)</f>
        <v>45.47</v>
      </c>
      <c r="E100">
        <f>VLOOKUP(A100,NYSEARCAVWO!A$2:G$506,4,0)</f>
        <v>35.909999999999997</v>
      </c>
      <c r="F100">
        <f>VLOOKUP(A100,NYSEARCABND!A$2:G$506,4,0)</f>
        <v>81.680000000000007</v>
      </c>
      <c r="G100">
        <f>VLOOKUP(A100,NYSEARCATIP!A$2:G$506,4,0)</f>
        <v>111.21</v>
      </c>
      <c r="H100">
        <f>VLOOKUP(A100,NYSEARCAMUB!A$2:G$506,4,0)</f>
        <v>109.22</v>
      </c>
      <c r="I100">
        <f>VLOOKUP(A100,NYSEARCAVNQ!A$2:G$506,4,0)</f>
        <v>78.599999999999994</v>
      </c>
      <c r="J100">
        <f>VLOOKUP(A100,NYSEARCARWX!A$2:G$506,4,0)</f>
        <v>40.72</v>
      </c>
      <c r="K100">
        <f>VLOOKUP(A100,NYSEARCADBC!A$2:G$506,4,0)</f>
        <v>15.69</v>
      </c>
      <c r="L100">
        <f>VLOOKUP(A100,NYSEARCAGSG!A$2:G$506,4,0)</f>
        <v>17.850000000000001</v>
      </c>
      <c r="M100">
        <f>VLOOKUP(A100,NYSEARCAGLD!A$2:G$506,4,0)</f>
        <v>110.23</v>
      </c>
      <c r="N100">
        <f>VLOOKUP(A100,NYSEBP!A$2:G$506,4,0)</f>
        <v>35.78</v>
      </c>
      <c r="O100">
        <f>VLOOKUP(A100,NASDAQYHOO!A$2:G$506,4,0)</f>
        <v>31.99</v>
      </c>
    </row>
    <row r="101" spans="1:15">
      <c r="A101" s="39">
        <v>42289</v>
      </c>
      <c r="B101">
        <v>66.58</v>
      </c>
      <c r="C101">
        <f>VLOOKUP(A101,NYSEARCAVTI!A$2:G$506,4,0)</f>
        <v>103.51</v>
      </c>
      <c r="D101">
        <f>VLOOKUP(A101,NYSEARCAVEU!A$2:G$506,4,0)</f>
        <v>45.41</v>
      </c>
      <c r="E101">
        <f>VLOOKUP(A101,NYSEARCAVWO!A$2:G$506,4,0)</f>
        <v>35.770000000000003</v>
      </c>
      <c r="F101">
        <f>VLOOKUP(A101,NYSEARCABND!A$2:G$506,4,0)</f>
        <v>81.8</v>
      </c>
      <c r="G101">
        <f>VLOOKUP(A101,NYSEARCATIP!A$2:G$506,4,0)</f>
        <v>111.35</v>
      </c>
      <c r="H101">
        <f>VLOOKUP(A101,NYSEARCAMUB!A$2:G$506,4,0)</f>
        <v>109.36</v>
      </c>
      <c r="I101">
        <f>VLOOKUP(A101,NYSEARCAVNQ!A$2:G$506,4,0)</f>
        <v>78.989999999999995</v>
      </c>
      <c r="J101">
        <f>VLOOKUP(A101,NYSEARCARWX!A$2:G$506,4,0)</f>
        <v>40.76</v>
      </c>
      <c r="K101">
        <f>VLOOKUP(A101,NYSEARCADBC!A$2:G$506,4,0)</f>
        <v>15.46</v>
      </c>
      <c r="L101">
        <f>VLOOKUP(A101,NYSEARCAGSG!A$2:G$506,4,0)</f>
        <v>17.399999999999999</v>
      </c>
      <c r="M101">
        <f>VLOOKUP(A101,NYSEARCAGLD!A$2:G$506,4,0)</f>
        <v>111.01</v>
      </c>
      <c r="N101">
        <f>VLOOKUP(A101,NYSEBP!A$2:G$506,4,0)</f>
        <v>35.229999999999997</v>
      </c>
      <c r="O101">
        <f>VLOOKUP(A101,NASDAQYHOO!A$2:G$506,4,0)</f>
        <v>32.549999999999997</v>
      </c>
    </row>
    <row r="102" spans="1:15">
      <c r="A102" s="39">
        <v>42290</v>
      </c>
      <c r="B102">
        <v>66.260000000000005</v>
      </c>
      <c r="C102">
        <f>VLOOKUP(A102,NYSEARCAVTI!A$2:G$506,4,0)</f>
        <v>102.99</v>
      </c>
      <c r="D102">
        <f>VLOOKUP(A102,NYSEARCAVEU!A$2:G$506,4,0)</f>
        <v>44.84</v>
      </c>
      <c r="E102">
        <f>VLOOKUP(A102,NYSEARCAVWO!A$2:G$506,4,0)</f>
        <v>35.159999999999997</v>
      </c>
      <c r="F102">
        <f>VLOOKUP(A102,NYSEARCABND!A$2:G$506,4,0)</f>
        <v>81.86</v>
      </c>
      <c r="G102">
        <f>VLOOKUP(A102,NYSEARCATIP!A$2:G$506,4,0)</f>
        <v>111.21</v>
      </c>
      <c r="H102">
        <f>VLOOKUP(A102,NYSEARCAMUB!A$2:G$506,4,0)</f>
        <v>109.4</v>
      </c>
      <c r="I102">
        <f>VLOOKUP(A102,NYSEARCAVNQ!A$2:G$506,4,0)</f>
        <v>78.7</v>
      </c>
      <c r="J102">
        <f>VLOOKUP(A102,NYSEARCARWX!A$2:G$506,4,0)</f>
        <v>40.31</v>
      </c>
      <c r="K102">
        <f>VLOOKUP(A102,NYSEARCADBC!A$2:G$506,4,0)</f>
        <v>15.37</v>
      </c>
      <c r="L102">
        <f>VLOOKUP(A102,NYSEARCAGSG!A$2:G$506,4,0)</f>
        <v>17.260000000000002</v>
      </c>
      <c r="M102">
        <f>VLOOKUP(A102,NYSEARCAGLD!A$2:G$506,4,0)</f>
        <v>111.28</v>
      </c>
      <c r="N102">
        <f>VLOOKUP(A102,NYSEBP!A$2:G$506,4,0)</f>
        <v>34.31</v>
      </c>
      <c r="O102">
        <f>VLOOKUP(A102,NASDAQYHOO!A$2:G$506,4,0)</f>
        <v>32.32</v>
      </c>
    </row>
    <row r="103" spans="1:15">
      <c r="A103" s="39">
        <v>42291</v>
      </c>
      <c r="B103">
        <v>60.02</v>
      </c>
      <c r="C103">
        <f>VLOOKUP(A103,NYSEARCAVTI!A$2:G$506,4,0)</f>
        <v>102.38</v>
      </c>
      <c r="D103">
        <f>VLOOKUP(A103,NYSEARCAVEU!A$2:G$506,4,0)</f>
        <v>44.91</v>
      </c>
      <c r="E103">
        <f>VLOOKUP(A103,NYSEARCAVWO!A$2:G$506,4,0)</f>
        <v>35.36</v>
      </c>
      <c r="F103">
        <f>VLOOKUP(A103,NYSEARCABND!A$2:G$506,4,0)</f>
        <v>82.04</v>
      </c>
      <c r="G103">
        <f>VLOOKUP(A103,NYSEARCATIP!A$2:G$506,4,0)</f>
        <v>111.39</v>
      </c>
      <c r="H103">
        <f>VLOOKUP(A103,NYSEARCAMUB!A$2:G$506,4,0)</f>
        <v>109.46</v>
      </c>
      <c r="I103">
        <f>VLOOKUP(A103,NYSEARCAVNQ!A$2:G$506,4,0)</f>
        <v>78.17</v>
      </c>
      <c r="J103">
        <f>VLOOKUP(A103,NYSEARCARWX!A$2:G$506,4,0)</f>
        <v>40.56</v>
      </c>
      <c r="K103">
        <f>VLOOKUP(A103,NYSEARCADBC!A$2:G$506,4,0)</f>
        <v>15.34</v>
      </c>
      <c r="L103">
        <f>VLOOKUP(A103,NYSEARCAGSG!A$2:G$506,4,0)</f>
        <v>17.21</v>
      </c>
      <c r="M103">
        <f>VLOOKUP(A103,NYSEARCAGLD!A$2:G$506,4,0)</f>
        <v>112.3</v>
      </c>
      <c r="N103">
        <f>VLOOKUP(A103,NYSEBP!A$2:G$506,4,0)</f>
        <v>34.9</v>
      </c>
      <c r="O103">
        <f>VLOOKUP(A103,NASDAQYHOO!A$2:G$506,4,0)</f>
        <v>31.77</v>
      </c>
    </row>
    <row r="104" spans="1:15">
      <c r="A104" s="39">
        <v>42292</v>
      </c>
      <c r="B104">
        <v>58.61</v>
      </c>
      <c r="C104">
        <f>VLOOKUP(A104,NYSEARCAVTI!A$2:G$506,4,0)</f>
        <v>102.63</v>
      </c>
      <c r="D104">
        <f>VLOOKUP(A104,NYSEARCAVEU!A$2:G$506,4,0)</f>
        <v>45.37</v>
      </c>
      <c r="E104">
        <f>VLOOKUP(A104,NYSEARCAVWO!A$2:G$506,4,0)</f>
        <v>35.799999999999997</v>
      </c>
      <c r="F104">
        <f>VLOOKUP(A104,NYSEARCABND!A$2:G$506,4,0)</f>
        <v>82.06</v>
      </c>
      <c r="G104">
        <f>VLOOKUP(A104,NYSEARCATIP!A$2:G$506,4,0)</f>
        <v>111.51</v>
      </c>
      <c r="H104">
        <f>VLOOKUP(A104,NYSEARCAMUB!A$2:G$506,4,0)</f>
        <v>109.38</v>
      </c>
      <c r="I104">
        <f>VLOOKUP(A104,NYSEARCAVNQ!A$2:G$506,4,0)</f>
        <v>78.349999999999994</v>
      </c>
      <c r="J104">
        <f>VLOOKUP(A104,NYSEARCARWX!A$2:G$506,4,0)</f>
        <v>40.92</v>
      </c>
      <c r="K104">
        <f>VLOOKUP(A104,NYSEARCADBC!A$2:G$506,4,0)</f>
        <v>15.25</v>
      </c>
      <c r="L104">
        <f>VLOOKUP(A104,NYSEARCAGSG!A$2:G$506,4,0)</f>
        <v>17.07</v>
      </c>
      <c r="M104">
        <f>VLOOKUP(A104,NYSEARCAGLD!A$2:G$506,4,0)</f>
        <v>112.94</v>
      </c>
      <c r="N104">
        <f>VLOOKUP(A104,NYSEBP!A$2:G$506,4,0)</f>
        <v>35.03</v>
      </c>
      <c r="O104">
        <f>VLOOKUP(A104,NASDAQYHOO!A$2:G$506,4,0)</f>
        <v>32.4</v>
      </c>
    </row>
    <row r="105" spans="1:15">
      <c r="A105" s="39">
        <v>42293</v>
      </c>
      <c r="B105">
        <v>58.37</v>
      </c>
      <c r="C105">
        <f>VLOOKUP(A105,NYSEARCAVTI!A$2:G$506,4,0)</f>
        <v>103.85</v>
      </c>
      <c r="D105">
        <f>VLOOKUP(A105,NYSEARCAVEU!A$2:G$506,4,0)</f>
        <v>45.64</v>
      </c>
      <c r="E105">
        <f>VLOOKUP(A105,NYSEARCAVWO!A$2:G$506,4,0)</f>
        <v>36.020000000000003</v>
      </c>
      <c r="F105">
        <f>VLOOKUP(A105,NYSEARCABND!A$2:G$506,4,0)</f>
        <v>82.04</v>
      </c>
      <c r="G105">
        <f>VLOOKUP(A105,NYSEARCATIP!A$2:G$506,4,0)</f>
        <v>111.25</v>
      </c>
      <c r="H105">
        <f>VLOOKUP(A105,NYSEARCAMUB!A$2:G$506,4,0)</f>
        <v>109.46</v>
      </c>
      <c r="I105">
        <f>VLOOKUP(A105,NYSEARCAVNQ!A$2:G$506,4,0)</f>
        <v>79.430000000000007</v>
      </c>
      <c r="J105">
        <f>VLOOKUP(A105,NYSEARCARWX!A$2:G$506,4,0)</f>
        <v>41.22</v>
      </c>
      <c r="K105">
        <f>VLOOKUP(A105,NYSEARCADBC!A$2:G$506,4,0)</f>
        <v>15.28</v>
      </c>
      <c r="L105">
        <f>VLOOKUP(A105,NYSEARCAGSG!A$2:G$506,4,0)</f>
        <v>17.13</v>
      </c>
      <c r="M105">
        <f>VLOOKUP(A105,NYSEARCAGLD!A$2:G$506,4,0)</f>
        <v>112.43</v>
      </c>
      <c r="N105">
        <f>VLOOKUP(A105,NYSEBP!A$2:G$506,4,0)</f>
        <v>35.36</v>
      </c>
      <c r="O105">
        <f>VLOOKUP(A105,NASDAQYHOO!A$2:G$506,4,0)</f>
        <v>33.159999999999997</v>
      </c>
    </row>
    <row r="106" spans="1:15">
      <c r="A106" s="39">
        <v>42296</v>
      </c>
      <c r="B106">
        <v>58.5</v>
      </c>
      <c r="C106">
        <f>VLOOKUP(A106,NYSEARCAVTI!A$2:G$506,4,0)</f>
        <v>103.97</v>
      </c>
      <c r="D106">
        <f>VLOOKUP(A106,NYSEARCAVEU!A$2:G$506,4,0)</f>
        <v>45.44</v>
      </c>
      <c r="E106">
        <f>VLOOKUP(A106,NYSEARCAVWO!A$2:G$506,4,0)</f>
        <v>35.81</v>
      </c>
      <c r="F106">
        <f>VLOOKUP(A106,NYSEARCABND!A$2:G$506,4,0)</f>
        <v>81.98</v>
      </c>
      <c r="G106">
        <f>VLOOKUP(A106,NYSEARCATIP!A$2:G$506,4,0)</f>
        <v>110.92</v>
      </c>
      <c r="H106">
        <f>VLOOKUP(A106,NYSEARCAMUB!A$2:G$506,4,0)</f>
        <v>109.44</v>
      </c>
      <c r="I106">
        <f>VLOOKUP(A106,NYSEARCAVNQ!A$2:G$506,4,0)</f>
        <v>79.87</v>
      </c>
      <c r="J106">
        <f>VLOOKUP(A106,NYSEARCARWX!A$2:G$506,4,0)</f>
        <v>41.26</v>
      </c>
      <c r="K106">
        <f>VLOOKUP(A106,NYSEARCADBC!A$2:G$506,4,0)</f>
        <v>15.11</v>
      </c>
      <c r="L106">
        <f>VLOOKUP(A106,NYSEARCAGSG!A$2:G$506,4,0)</f>
        <v>17</v>
      </c>
      <c r="M106">
        <f>VLOOKUP(A106,NYSEARCAGLD!A$2:G$506,4,0)</f>
        <v>111.89</v>
      </c>
      <c r="N106">
        <f>VLOOKUP(A106,NYSEBP!A$2:G$506,4,0)</f>
        <v>34.71</v>
      </c>
      <c r="O106">
        <f>VLOOKUP(A106,NASDAQYHOO!A$2:G$506,4,0)</f>
        <v>33.18</v>
      </c>
    </row>
    <row r="107" spans="1:15">
      <c r="A107" s="39">
        <v>42297</v>
      </c>
      <c r="B107">
        <v>58.57</v>
      </c>
      <c r="C107">
        <f>VLOOKUP(A107,NYSEARCAVTI!A$2:G$506,4,0)</f>
        <v>104.19</v>
      </c>
      <c r="D107">
        <f>VLOOKUP(A107,NYSEARCAVEU!A$2:G$506,4,0)</f>
        <v>45.43</v>
      </c>
      <c r="E107">
        <f>VLOOKUP(A107,NYSEARCAVWO!A$2:G$506,4,0)</f>
        <v>35.81</v>
      </c>
      <c r="F107">
        <f>VLOOKUP(A107,NYSEARCABND!A$2:G$506,4,0)</f>
        <v>81.900000000000006</v>
      </c>
      <c r="G107">
        <f>VLOOKUP(A107,NYSEARCATIP!A$2:G$506,4,0)</f>
        <v>110.75</v>
      </c>
      <c r="H107">
        <f>VLOOKUP(A107,NYSEARCAMUB!A$2:G$506,4,0)</f>
        <v>109.46</v>
      </c>
      <c r="I107">
        <f>VLOOKUP(A107,NYSEARCAVNQ!A$2:G$506,4,0)</f>
        <v>80.760000000000005</v>
      </c>
      <c r="J107">
        <f>VLOOKUP(A107,NYSEARCARWX!A$2:G$506,4,0)</f>
        <v>41.31</v>
      </c>
      <c r="K107">
        <f>VLOOKUP(A107,NYSEARCADBC!A$2:G$506,4,0)</f>
        <v>15.08</v>
      </c>
      <c r="L107">
        <f>VLOOKUP(A107,NYSEARCAGSG!A$2:G$506,4,0)</f>
        <v>16.95</v>
      </c>
      <c r="M107">
        <f>VLOOKUP(A107,NYSEARCAGLD!A$2:G$506,4,0)</f>
        <v>112.38</v>
      </c>
      <c r="N107">
        <f>VLOOKUP(A107,NYSEBP!A$2:G$506,4,0)</f>
        <v>34.46</v>
      </c>
      <c r="O107">
        <f>VLOOKUP(A107,NASDAQYHOO!A$2:G$506,4,0)</f>
        <v>32.770000000000003</v>
      </c>
    </row>
    <row r="108" spans="1:15">
      <c r="A108" s="39">
        <v>42298</v>
      </c>
      <c r="B108">
        <v>58.57</v>
      </c>
      <c r="C108">
        <f>VLOOKUP(A108,NYSEARCAVTI!A$2:G$506,4,0)</f>
        <v>103.59</v>
      </c>
      <c r="D108">
        <f>VLOOKUP(A108,NYSEARCAVEU!A$2:G$506,4,0)</f>
        <v>45.31</v>
      </c>
      <c r="E108">
        <f>VLOOKUP(A108,NYSEARCAVWO!A$2:G$506,4,0)</f>
        <v>35.4</v>
      </c>
      <c r="F108">
        <f>VLOOKUP(A108,NYSEARCABND!A$2:G$506,4,0)</f>
        <v>82.03</v>
      </c>
      <c r="G108">
        <f>VLOOKUP(A108,NYSEARCATIP!A$2:G$506,4,0)</f>
        <v>111.04</v>
      </c>
      <c r="H108">
        <f>VLOOKUP(A108,NYSEARCAMUB!A$2:G$506,4,0)</f>
        <v>109.56</v>
      </c>
      <c r="I108">
        <f>VLOOKUP(A108,NYSEARCAVNQ!A$2:G$506,4,0)</f>
        <v>80.739999999999995</v>
      </c>
      <c r="J108">
        <f>VLOOKUP(A108,NYSEARCARWX!A$2:G$506,4,0)</f>
        <v>41.17</v>
      </c>
      <c r="K108">
        <f>VLOOKUP(A108,NYSEARCADBC!A$2:G$506,4,0)</f>
        <v>14.96</v>
      </c>
      <c r="L108">
        <f>VLOOKUP(A108,NYSEARCAGSG!A$2:G$506,4,0)</f>
        <v>16.79</v>
      </c>
      <c r="M108">
        <f>VLOOKUP(A108,NYSEARCAGLD!A$2:G$506,4,0)</f>
        <v>111.41</v>
      </c>
      <c r="N108">
        <f>VLOOKUP(A108,NYSEBP!A$2:G$506,4,0)</f>
        <v>35.049999999999997</v>
      </c>
      <c r="O108">
        <f>VLOOKUP(A108,NASDAQYHOO!A$2:G$506,4,0)</f>
        <v>31.01</v>
      </c>
    </row>
    <row r="109" spans="1:15">
      <c r="A109" s="39">
        <v>42299</v>
      </c>
      <c r="B109">
        <v>58.64</v>
      </c>
      <c r="C109">
        <f>VLOOKUP(A109,NYSEARCAVTI!A$2:G$506,4,0)</f>
        <v>104.12</v>
      </c>
      <c r="D109">
        <f>VLOOKUP(A109,NYSEARCAVEU!A$2:G$506,4,0)</f>
        <v>45.58</v>
      </c>
      <c r="E109">
        <f>VLOOKUP(A109,NYSEARCAVWO!A$2:G$506,4,0)</f>
        <v>35.83</v>
      </c>
      <c r="F109">
        <f>VLOOKUP(A109,NYSEARCABND!A$2:G$506,4,0)</f>
        <v>82.09</v>
      </c>
      <c r="G109">
        <f>VLOOKUP(A109,NYSEARCATIP!A$2:G$506,4,0)</f>
        <v>111.02</v>
      </c>
      <c r="H109">
        <f>VLOOKUP(A109,NYSEARCAMUB!A$2:G$506,4,0)</f>
        <v>109.52</v>
      </c>
      <c r="I109">
        <f>VLOOKUP(A109,NYSEARCAVNQ!A$2:G$506,4,0)</f>
        <v>80.81</v>
      </c>
      <c r="J109">
        <f>VLOOKUP(A109,NYSEARCARWX!A$2:G$506,4,0)</f>
        <v>41.52</v>
      </c>
      <c r="K109">
        <f>VLOOKUP(A109,NYSEARCADBC!A$2:G$506,4,0)</f>
        <v>15.04</v>
      </c>
      <c r="L109">
        <f>VLOOKUP(A109,NYSEARCAGSG!A$2:G$506,4,0)</f>
        <v>16.86</v>
      </c>
      <c r="M109">
        <f>VLOOKUP(A109,NYSEARCAGLD!A$2:G$506,4,0)</f>
        <v>111.43</v>
      </c>
      <c r="N109">
        <f>VLOOKUP(A109,NYSEBP!A$2:G$506,4,0)</f>
        <v>35.56</v>
      </c>
      <c r="O109">
        <f>VLOOKUP(A109,NASDAQYHOO!A$2:G$506,4,0)</f>
        <v>31.21</v>
      </c>
    </row>
    <row r="110" spans="1:15">
      <c r="A110" s="39">
        <v>42300</v>
      </c>
      <c r="B110">
        <v>58.22</v>
      </c>
      <c r="C110">
        <f>VLOOKUP(A110,NYSEARCAVTI!A$2:G$506,4,0)</f>
        <v>105.67</v>
      </c>
      <c r="D110">
        <f>VLOOKUP(A110,NYSEARCAVEU!A$2:G$506,4,0)</f>
        <v>46.15</v>
      </c>
      <c r="E110">
        <f>VLOOKUP(A110,NYSEARCAVWO!A$2:G$506,4,0)</f>
        <v>36.229999999999997</v>
      </c>
      <c r="F110">
        <f>VLOOKUP(A110,NYSEARCABND!A$2:G$506,4,0)</f>
        <v>82</v>
      </c>
      <c r="G110">
        <f>VLOOKUP(A110,NYSEARCATIP!A$2:G$506,4,0)</f>
        <v>111.14</v>
      </c>
      <c r="H110">
        <f>VLOOKUP(A110,NYSEARCAMUB!A$2:G$506,4,0)</f>
        <v>109.47</v>
      </c>
      <c r="I110">
        <f>VLOOKUP(A110,NYSEARCAVNQ!A$2:G$506,4,0)</f>
        <v>80.23</v>
      </c>
      <c r="J110">
        <f>VLOOKUP(A110,NYSEARCARWX!A$2:G$506,4,0)</f>
        <v>41.9</v>
      </c>
      <c r="K110">
        <f>VLOOKUP(A110,NYSEARCADBC!A$2:G$506,4,0)</f>
        <v>14.95</v>
      </c>
      <c r="L110">
        <f>VLOOKUP(A110,NYSEARCAGSG!A$2:G$506,4,0)</f>
        <v>16.72</v>
      </c>
      <c r="M110">
        <f>VLOOKUP(A110,NYSEARCAGLD!A$2:G$506,4,0)</f>
        <v>110.96</v>
      </c>
      <c r="N110">
        <f>VLOOKUP(A110,NYSEBP!A$2:G$506,4,0)</f>
        <v>35.520000000000003</v>
      </c>
      <c r="O110">
        <f>VLOOKUP(A110,NASDAQYHOO!A$2:G$506,4,0)</f>
        <v>32.24</v>
      </c>
    </row>
    <row r="111" spans="1:15">
      <c r="A111" s="39">
        <v>42303</v>
      </c>
      <c r="B111">
        <v>57.97</v>
      </c>
      <c r="C111">
        <f>VLOOKUP(A111,NYSEARCAVTI!A$2:G$506,4,0)</f>
        <v>105.85</v>
      </c>
      <c r="D111">
        <f>VLOOKUP(A111,NYSEARCAVEU!A$2:G$506,4,0)</f>
        <v>46.07</v>
      </c>
      <c r="E111">
        <f>VLOOKUP(A111,NYSEARCAVWO!A$2:G$506,4,0)</f>
        <v>35.97</v>
      </c>
      <c r="F111">
        <f>VLOOKUP(A111,NYSEARCABND!A$2:G$506,4,0)</f>
        <v>82.11</v>
      </c>
      <c r="G111">
        <f>VLOOKUP(A111,NYSEARCATIP!A$2:G$506,4,0)</f>
        <v>111.23</v>
      </c>
      <c r="H111">
        <f>VLOOKUP(A111,NYSEARCAMUB!A$2:G$506,4,0)</f>
        <v>109.6</v>
      </c>
      <c r="I111">
        <f>VLOOKUP(A111,NYSEARCAVNQ!A$2:G$506,4,0)</f>
        <v>80.040000000000006</v>
      </c>
      <c r="J111">
        <f>VLOOKUP(A111,NYSEARCARWX!A$2:G$506,4,0)</f>
        <v>41.85</v>
      </c>
      <c r="K111">
        <f>VLOOKUP(A111,NYSEARCADBC!A$2:G$506,4,0)</f>
        <v>14.95</v>
      </c>
      <c r="L111">
        <f>VLOOKUP(A111,NYSEARCAGSG!A$2:G$506,4,0)</f>
        <v>16.64</v>
      </c>
      <c r="M111">
        <f>VLOOKUP(A111,NYSEARCAGLD!A$2:G$506,4,0)</f>
        <v>111.33</v>
      </c>
      <c r="N111">
        <f>VLOOKUP(A111,NYSEBP!A$2:G$506,4,0)</f>
        <v>35.049999999999997</v>
      </c>
      <c r="O111">
        <f>VLOOKUP(A111,NASDAQYHOO!A$2:G$506,4,0)</f>
        <v>33</v>
      </c>
    </row>
    <row r="112" spans="1:15">
      <c r="A112" s="39">
        <v>42304</v>
      </c>
      <c r="B112">
        <v>57.38</v>
      </c>
      <c r="C112">
        <f>VLOOKUP(A112,NYSEARCAVTI!A$2:G$506,4,0)</f>
        <v>105.26</v>
      </c>
      <c r="D112">
        <f>VLOOKUP(A112,NYSEARCAVEU!A$2:G$506,4,0)</f>
        <v>45.61</v>
      </c>
      <c r="E112">
        <f>VLOOKUP(A112,NYSEARCAVWO!A$2:G$506,4,0)</f>
        <v>35.49</v>
      </c>
      <c r="F112">
        <f>VLOOKUP(A112,NYSEARCABND!A$2:G$506,4,0)</f>
        <v>82.13</v>
      </c>
      <c r="G112">
        <f>VLOOKUP(A112,NYSEARCATIP!A$2:G$506,4,0)</f>
        <v>111.4</v>
      </c>
      <c r="H112">
        <f>VLOOKUP(A112,NYSEARCAMUB!A$2:G$506,4,0)</f>
        <v>109.66</v>
      </c>
      <c r="I112">
        <f>VLOOKUP(A112,NYSEARCAVNQ!A$2:G$506,4,0)</f>
        <v>80.27</v>
      </c>
      <c r="J112">
        <f>VLOOKUP(A112,NYSEARCARWX!A$2:G$506,4,0)</f>
        <v>41.73</v>
      </c>
      <c r="K112">
        <f>VLOOKUP(A112,NYSEARCADBC!A$2:G$506,4,0)</f>
        <v>14.86</v>
      </c>
      <c r="L112">
        <f>VLOOKUP(A112,NYSEARCAGSG!A$2:G$506,4,0)</f>
        <v>16.440000000000001</v>
      </c>
      <c r="M112">
        <f>VLOOKUP(A112,NYSEARCAGLD!A$2:G$506,4,0)</f>
        <v>111.29</v>
      </c>
      <c r="N112">
        <f>VLOOKUP(A112,NYSEBP!A$2:G$506,4,0)</f>
        <v>34.6</v>
      </c>
      <c r="O112">
        <f>VLOOKUP(A112,NASDAQYHOO!A$2:G$506,4,0)</f>
        <v>33.880000000000003</v>
      </c>
    </row>
    <row r="113" spans="1:15">
      <c r="A113" s="39">
        <v>42305</v>
      </c>
      <c r="B113">
        <v>57.16</v>
      </c>
      <c r="C113">
        <f>VLOOKUP(A113,NYSEARCAVTI!A$2:G$506,4,0)</f>
        <v>105.62</v>
      </c>
      <c r="D113">
        <f>VLOOKUP(A113,NYSEARCAVEU!A$2:G$506,4,0)</f>
        <v>45.52</v>
      </c>
      <c r="E113">
        <f>VLOOKUP(A113,NYSEARCAVWO!A$2:G$506,4,0)</f>
        <v>35.03</v>
      </c>
      <c r="F113">
        <f>VLOOKUP(A113,NYSEARCABND!A$2:G$506,4,0)</f>
        <v>81.89</v>
      </c>
      <c r="G113">
        <f>VLOOKUP(A113,NYSEARCATIP!A$2:G$506,4,0)</f>
        <v>110.84</v>
      </c>
      <c r="H113">
        <f>VLOOKUP(A113,NYSEARCAMUB!A$2:G$506,4,0)</f>
        <v>109.56</v>
      </c>
      <c r="I113">
        <f>VLOOKUP(A113,NYSEARCAVNQ!A$2:G$506,4,0)</f>
        <v>79.25</v>
      </c>
      <c r="J113">
        <f>VLOOKUP(A113,NYSEARCARWX!A$2:G$506,4,0)</f>
        <v>41.52</v>
      </c>
      <c r="K113">
        <f>VLOOKUP(A113,NYSEARCADBC!A$2:G$506,4,0)</f>
        <v>14.93</v>
      </c>
      <c r="L113">
        <f>VLOOKUP(A113,NYSEARCAGSG!A$2:G$506,4,0)</f>
        <v>16.579999999999998</v>
      </c>
      <c r="M113">
        <f>VLOOKUP(A113,NYSEARCAGLD!A$2:G$506,4,0)</f>
        <v>110.31</v>
      </c>
      <c r="N113">
        <f>VLOOKUP(A113,NYSEBP!A$2:G$506,4,0)</f>
        <v>35.07</v>
      </c>
      <c r="O113">
        <f>VLOOKUP(A113,NASDAQYHOO!A$2:G$506,4,0)</f>
        <v>34.299999999999997</v>
      </c>
    </row>
    <row r="114" spans="1:15">
      <c r="A114" s="39">
        <v>42306</v>
      </c>
      <c r="B114">
        <v>57.48</v>
      </c>
      <c r="C114">
        <f>VLOOKUP(A114,NYSEARCAVTI!A$2:G$506,4,0)</f>
        <v>106.68</v>
      </c>
      <c r="D114">
        <f>VLOOKUP(A114,NYSEARCAVEU!A$2:G$506,4,0)</f>
        <v>45.35</v>
      </c>
      <c r="E114">
        <f>VLOOKUP(A114,NYSEARCAVWO!A$2:G$506,4,0)</f>
        <v>34.82</v>
      </c>
      <c r="F114">
        <f>VLOOKUP(A114,NYSEARCABND!A$2:G$506,4,0)</f>
        <v>81.569999999999993</v>
      </c>
      <c r="G114">
        <f>VLOOKUP(A114,NYSEARCATIP!A$2:G$506,4,0)</f>
        <v>110.48</v>
      </c>
      <c r="H114">
        <f>VLOOKUP(A114,NYSEARCAMUB!A$2:G$506,4,0)</f>
        <v>109.51</v>
      </c>
      <c r="I114">
        <f>VLOOKUP(A114,NYSEARCAVNQ!A$2:G$506,4,0)</f>
        <v>80.09</v>
      </c>
      <c r="J114">
        <f>VLOOKUP(A114,NYSEARCARWX!A$2:G$506,4,0)</f>
        <v>41.4</v>
      </c>
      <c r="K114">
        <f>VLOOKUP(A114,NYSEARCADBC!A$2:G$506,4,0)</f>
        <v>15.04</v>
      </c>
      <c r="L114">
        <f>VLOOKUP(A114,NYSEARCAGSG!A$2:G$506,4,0)</f>
        <v>16.87</v>
      </c>
      <c r="M114">
        <f>VLOOKUP(A114,NYSEARCAGLD!A$2:G$506,4,0)</f>
        <v>109.66</v>
      </c>
      <c r="N114">
        <f>VLOOKUP(A114,NYSEBP!A$2:G$506,4,0)</f>
        <v>35.340000000000003</v>
      </c>
      <c r="O114">
        <f>VLOOKUP(A114,NASDAQYHOO!A$2:G$506,4,0)</f>
        <v>34.700000000000003</v>
      </c>
    </row>
    <row r="115" spans="1:15">
      <c r="A115" s="39">
        <v>42307</v>
      </c>
      <c r="B115">
        <v>57.24</v>
      </c>
      <c r="C115">
        <f>VLOOKUP(A115,NYSEARCAVTI!A$2:G$506,4,0)</f>
        <v>106.5</v>
      </c>
      <c r="D115">
        <f>VLOOKUP(A115,NYSEARCAVEU!A$2:G$506,4,0)</f>
        <v>45.47</v>
      </c>
      <c r="E115">
        <f>VLOOKUP(A115,NYSEARCAVWO!A$2:G$506,4,0)</f>
        <v>34.840000000000003</v>
      </c>
      <c r="F115">
        <f>VLOOKUP(A115,NYSEARCABND!A$2:G$506,4,0)</f>
        <v>81.59</v>
      </c>
      <c r="G115">
        <f>VLOOKUP(A115,NYSEARCATIP!A$2:G$506,4,0)</f>
        <v>110.71</v>
      </c>
      <c r="H115">
        <f>VLOOKUP(A115,NYSEARCAMUB!A$2:G$506,4,0)</f>
        <v>109.53</v>
      </c>
      <c r="I115">
        <f>VLOOKUP(A115,NYSEARCAVNQ!A$2:G$506,4,0)</f>
        <v>79.819999999999993</v>
      </c>
      <c r="J115">
        <f>VLOOKUP(A115,NYSEARCARWX!A$2:G$506,4,0)</f>
        <v>41.43</v>
      </c>
      <c r="K115">
        <f>VLOOKUP(A115,NYSEARCADBC!A$2:G$506,4,0)</f>
        <v>15.05</v>
      </c>
      <c r="L115">
        <f>VLOOKUP(A115,NYSEARCAGSG!A$2:G$506,4,0)</f>
        <v>16.88</v>
      </c>
      <c r="M115">
        <f>VLOOKUP(A115,NYSEARCAGLD!A$2:G$506,4,0)</f>
        <v>109.06</v>
      </c>
      <c r="N115">
        <f>VLOOKUP(A115,NYSEBP!A$2:G$506,4,0)</f>
        <v>35.33</v>
      </c>
      <c r="O115">
        <f>VLOOKUP(A115,NASDAQYHOO!A$2:G$506,4,0)</f>
        <v>35.049999999999997</v>
      </c>
    </row>
    <row r="116" spans="1:15">
      <c r="A116" s="39">
        <v>42310</v>
      </c>
      <c r="B116">
        <v>56.77</v>
      </c>
      <c r="C116">
        <f>VLOOKUP(A116,NYSEARCAVTI!A$2:G$506,4,0)</f>
        <v>106.68</v>
      </c>
      <c r="D116">
        <f>VLOOKUP(A116,NYSEARCAVEU!A$2:G$506,4,0)</f>
        <v>45.59</v>
      </c>
      <c r="E116">
        <f>VLOOKUP(A116,NYSEARCAVWO!A$2:G$506,4,0)</f>
        <v>35.11</v>
      </c>
      <c r="F116">
        <f>VLOOKUP(A116,NYSEARCABND!A$2:G$506,4,0)</f>
        <v>81.41</v>
      </c>
      <c r="G116">
        <f>VLOOKUP(A116,NYSEARCATIP!A$2:G$506,4,0)</f>
        <v>110.63</v>
      </c>
      <c r="H116">
        <f>VLOOKUP(A116,NYSEARCAMUB!A$2:G$506,4,0)</f>
        <v>109.26</v>
      </c>
      <c r="I116">
        <f>VLOOKUP(A116,NYSEARCAVNQ!A$2:G$506,4,0)</f>
        <v>79.78</v>
      </c>
      <c r="J116">
        <f>VLOOKUP(A116,NYSEARCARWX!A$2:G$506,4,0)</f>
        <v>41.41</v>
      </c>
      <c r="K116">
        <f>VLOOKUP(A116,NYSEARCADBC!A$2:G$506,4,0)</f>
        <v>15.07</v>
      </c>
      <c r="L116">
        <f>VLOOKUP(A116,NYSEARCAGSG!A$2:G$506,4,0)</f>
        <v>16.89</v>
      </c>
      <c r="M116">
        <f>VLOOKUP(A116,NYSEARCAGLD!A$2:G$506,4,0)</f>
        <v>108.46</v>
      </c>
      <c r="N116">
        <f>VLOOKUP(A116,NYSEBP!A$2:G$506,4,0)</f>
        <v>35.54</v>
      </c>
      <c r="O116">
        <f>VLOOKUP(A116,NASDAQYHOO!A$2:G$506,4,0)</f>
        <v>35.07</v>
      </c>
    </row>
    <row r="117" spans="1:15">
      <c r="A117" s="39">
        <v>42311</v>
      </c>
      <c r="B117">
        <v>57.53</v>
      </c>
      <c r="C117">
        <f>VLOOKUP(A117,NYSEARCAVTI!A$2:G$506,4,0)</f>
        <v>107.55</v>
      </c>
      <c r="D117">
        <f>VLOOKUP(A117,NYSEARCAVEU!A$2:G$506,4,0)</f>
        <v>45.63</v>
      </c>
      <c r="E117">
        <f>VLOOKUP(A117,NYSEARCAVWO!A$2:G$506,4,0)</f>
        <v>35.4</v>
      </c>
      <c r="F117">
        <f>VLOOKUP(A117,NYSEARCABND!A$2:G$506,4,0)</f>
        <v>81.260000000000005</v>
      </c>
      <c r="G117">
        <f>VLOOKUP(A117,NYSEARCATIP!A$2:G$506,4,0)</f>
        <v>110.63</v>
      </c>
      <c r="H117">
        <f>VLOOKUP(A117,NYSEARCAMUB!A$2:G$506,4,0)</f>
        <v>109.25</v>
      </c>
      <c r="I117">
        <f>VLOOKUP(A117,NYSEARCAVNQ!A$2:G$506,4,0)</f>
        <v>80.45</v>
      </c>
      <c r="J117">
        <f>VLOOKUP(A117,NYSEARCARWX!A$2:G$506,4,0)</f>
        <v>41.16</v>
      </c>
      <c r="K117">
        <f>VLOOKUP(A117,NYSEARCADBC!A$2:G$506,4,0)</f>
        <v>15.2</v>
      </c>
      <c r="L117">
        <f>VLOOKUP(A117,NYSEARCAGSG!A$2:G$506,4,0)</f>
        <v>17.079999999999998</v>
      </c>
      <c r="M117">
        <f>VLOOKUP(A117,NYSEARCAGLD!A$2:G$506,4,0)</f>
        <v>106.68</v>
      </c>
      <c r="N117">
        <f>VLOOKUP(A117,NYSEBP!A$2:G$506,4,0)</f>
        <v>36.32</v>
      </c>
      <c r="O117">
        <f>VLOOKUP(A117,NASDAQYHOO!A$2:G$506,4,0)</f>
        <v>34.65</v>
      </c>
    </row>
    <row r="118" spans="1:15">
      <c r="A118" s="39">
        <v>42312</v>
      </c>
      <c r="B118">
        <v>58.19</v>
      </c>
      <c r="C118">
        <f>VLOOKUP(A118,NYSEARCAVTI!A$2:G$506,4,0)</f>
        <v>107.57</v>
      </c>
      <c r="D118">
        <f>VLOOKUP(A118,NYSEARCAVEU!A$2:G$506,4,0)</f>
        <v>45.65</v>
      </c>
      <c r="E118">
        <f>VLOOKUP(A118,NYSEARCAVWO!A$2:G$506,4,0)</f>
        <v>35.659999999999997</v>
      </c>
      <c r="F118">
        <f>VLOOKUP(A118,NYSEARCABND!A$2:G$506,4,0)</f>
        <v>81.23</v>
      </c>
      <c r="G118">
        <f>VLOOKUP(A118,NYSEARCATIP!A$2:G$506,4,0)</f>
        <v>110.34</v>
      </c>
      <c r="H118">
        <f>VLOOKUP(A118,NYSEARCAMUB!A$2:G$506,4,0)</f>
        <v>109.23</v>
      </c>
      <c r="I118">
        <f>VLOOKUP(A118,NYSEARCAVNQ!A$2:G$506,4,0)</f>
        <v>80.17</v>
      </c>
      <c r="J118">
        <f>VLOOKUP(A118,NYSEARCARWX!A$2:G$506,4,0)</f>
        <v>40.82</v>
      </c>
      <c r="K118">
        <f>VLOOKUP(A118,NYSEARCADBC!A$2:G$506,4,0)</f>
        <v>15.11</v>
      </c>
      <c r="L118">
        <f>VLOOKUP(A118,NYSEARCAGSG!A$2:G$506,4,0)</f>
        <v>16.899999999999999</v>
      </c>
      <c r="M118">
        <f>VLOOKUP(A118,NYSEARCAGLD!A$2:G$506,4,0)</f>
        <v>105.92</v>
      </c>
      <c r="N118">
        <f>VLOOKUP(A118,NYSEBP!A$2:G$506,4,0)</f>
        <v>36.1</v>
      </c>
      <c r="O118">
        <f>VLOOKUP(A118,NASDAQYHOO!A$2:G$506,4,0)</f>
        <v>34.75</v>
      </c>
    </row>
    <row r="119" spans="1:15">
      <c r="A119" s="39">
        <v>42313</v>
      </c>
      <c r="B119">
        <v>58.42</v>
      </c>
      <c r="C119">
        <f>VLOOKUP(A119,NYSEARCAVTI!A$2:G$506,4,0)</f>
        <v>107.21</v>
      </c>
      <c r="D119">
        <f>VLOOKUP(A119,NYSEARCAVEU!A$2:G$506,4,0)</f>
        <v>45.56</v>
      </c>
      <c r="E119">
        <f>VLOOKUP(A119,NYSEARCAVWO!A$2:G$506,4,0)</f>
        <v>35.6</v>
      </c>
      <c r="F119">
        <f>VLOOKUP(A119,NYSEARCABND!A$2:G$506,4,0)</f>
        <v>81.11</v>
      </c>
      <c r="G119">
        <f>VLOOKUP(A119,NYSEARCATIP!A$2:G$506,4,0)</f>
        <v>110.03</v>
      </c>
      <c r="H119">
        <f>VLOOKUP(A119,NYSEARCAMUB!A$2:G$506,4,0)</f>
        <v>109.23</v>
      </c>
      <c r="I119">
        <f>VLOOKUP(A119,NYSEARCAVNQ!A$2:G$506,4,0)</f>
        <v>79.98</v>
      </c>
      <c r="J119">
        <f>VLOOKUP(A119,NYSEARCARWX!A$2:G$506,4,0)</f>
        <v>40.880000000000003</v>
      </c>
      <c r="K119">
        <f>VLOOKUP(A119,NYSEARCADBC!A$2:G$506,4,0)</f>
        <v>14.96</v>
      </c>
      <c r="L119">
        <f>VLOOKUP(A119,NYSEARCAGSG!A$2:G$506,4,0)</f>
        <v>16.68</v>
      </c>
      <c r="M119">
        <f>VLOOKUP(A119,NYSEARCAGLD!A$2:G$506,4,0)</f>
        <v>105.58</v>
      </c>
      <c r="N119">
        <f>VLOOKUP(A119,NYSEBP!A$2:G$506,4,0)</f>
        <v>35.520000000000003</v>
      </c>
      <c r="O119">
        <f>VLOOKUP(A119,NASDAQYHOO!A$2:G$506,4,0)</f>
        <v>34.159999999999997</v>
      </c>
    </row>
    <row r="120" spans="1:15">
      <c r="A120" s="39">
        <v>42314</v>
      </c>
      <c r="B120">
        <v>58.31</v>
      </c>
      <c r="C120">
        <f>VLOOKUP(A120,NYSEARCAVTI!A$2:G$506,4,0)</f>
        <v>106.92</v>
      </c>
      <c r="D120">
        <f>VLOOKUP(A120,NYSEARCAVEU!A$2:G$506,4,0)</f>
        <v>45.08</v>
      </c>
      <c r="E120">
        <f>VLOOKUP(A120,NYSEARCAVWO!A$2:G$506,4,0)</f>
        <v>34.880000000000003</v>
      </c>
      <c r="F120">
        <f>VLOOKUP(A120,NYSEARCABND!A$2:G$506,4,0)</f>
        <v>80.83</v>
      </c>
      <c r="G120">
        <f>VLOOKUP(A120,NYSEARCATIP!A$2:G$506,4,0)</f>
        <v>109.62</v>
      </c>
      <c r="H120">
        <f>VLOOKUP(A120,NYSEARCAMUB!A$2:G$506,4,0)</f>
        <v>108.9</v>
      </c>
      <c r="I120">
        <f>VLOOKUP(A120,NYSEARCAVNQ!A$2:G$506,4,0)</f>
        <v>77.72</v>
      </c>
      <c r="J120">
        <f>VLOOKUP(A120,NYSEARCARWX!A$2:G$506,4,0)</f>
        <v>40.31</v>
      </c>
      <c r="K120">
        <f>VLOOKUP(A120,NYSEARCADBC!A$2:G$506,4,0)</f>
        <v>14.84</v>
      </c>
      <c r="L120">
        <f>VLOOKUP(A120,NYSEARCAGSG!A$2:G$506,4,0)</f>
        <v>16.510000000000002</v>
      </c>
      <c r="M120">
        <f>VLOOKUP(A120,NYSEARCAGLD!A$2:G$506,4,0)</f>
        <v>104.02</v>
      </c>
      <c r="N120">
        <f>VLOOKUP(A120,NYSEBP!A$2:G$506,4,0)</f>
        <v>34.78</v>
      </c>
      <c r="O120">
        <f>VLOOKUP(A120,NASDAQYHOO!A$2:G$506,4,0)</f>
        <v>33.46</v>
      </c>
    </row>
    <row r="121" spans="1:15">
      <c r="A121" s="39">
        <v>42317</v>
      </c>
      <c r="B121">
        <v>58.02</v>
      </c>
      <c r="C121">
        <f>VLOOKUP(A121,NYSEARCAVTI!A$2:G$506,4,0)</f>
        <v>106.2</v>
      </c>
      <c r="D121">
        <f>VLOOKUP(A121,NYSEARCAVEU!A$2:G$506,4,0)</f>
        <v>44.72</v>
      </c>
      <c r="E121">
        <f>VLOOKUP(A121,NYSEARCAVWO!A$2:G$506,4,0)</f>
        <v>34.43</v>
      </c>
      <c r="F121">
        <f>VLOOKUP(A121,NYSEARCABND!A$2:G$506,4,0)</f>
        <v>80.75</v>
      </c>
      <c r="G121">
        <f>VLOOKUP(A121,NYSEARCATIP!A$2:G$506,4,0)</f>
        <v>109.61</v>
      </c>
      <c r="H121">
        <f>VLOOKUP(A121,NYSEARCAMUB!A$2:G$506,4,0)</f>
        <v>108.81</v>
      </c>
      <c r="I121">
        <f>VLOOKUP(A121,NYSEARCAVNQ!A$2:G$506,4,0)</f>
        <v>76.38</v>
      </c>
      <c r="J121">
        <f>VLOOKUP(A121,NYSEARCARWX!A$2:G$506,4,0)</f>
        <v>39.31</v>
      </c>
      <c r="K121">
        <f>VLOOKUP(A121,NYSEARCADBC!A$2:G$506,4,0)</f>
        <v>14.75</v>
      </c>
      <c r="L121">
        <f>VLOOKUP(A121,NYSEARCAGSG!A$2:G$506,4,0)</f>
        <v>16.350000000000001</v>
      </c>
      <c r="M121">
        <f>VLOOKUP(A121,NYSEARCAGLD!A$2:G$506,4,0)</f>
        <v>104.19</v>
      </c>
      <c r="N121">
        <f>VLOOKUP(A121,NYSEBP!A$2:G$506,4,0)</f>
        <v>34.69</v>
      </c>
      <c r="O121">
        <f>VLOOKUP(A121,NASDAQYHOO!A$2:G$506,4,0)</f>
        <v>33.08</v>
      </c>
    </row>
    <row r="122" spans="1:15">
      <c r="A122" s="39">
        <v>42318</v>
      </c>
      <c r="B122">
        <v>58.31</v>
      </c>
      <c r="C122">
        <f>VLOOKUP(A122,NYSEARCAVTI!A$2:G$506,4,0)</f>
        <v>106.29</v>
      </c>
      <c r="D122">
        <f>VLOOKUP(A122,NYSEARCAVEU!A$2:G$506,4,0)</f>
        <v>44.55</v>
      </c>
      <c r="E122">
        <f>VLOOKUP(A122,NYSEARCAVWO!A$2:G$506,4,0)</f>
        <v>34.270000000000003</v>
      </c>
      <c r="F122">
        <f>VLOOKUP(A122,NYSEARCABND!A$2:G$506,4,0)</f>
        <v>80.84</v>
      </c>
      <c r="G122">
        <f>VLOOKUP(A122,NYSEARCATIP!A$2:G$506,4,0)</f>
        <v>109.66</v>
      </c>
      <c r="H122">
        <f>VLOOKUP(A122,NYSEARCAMUB!A$2:G$506,4,0)</f>
        <v>108.78</v>
      </c>
      <c r="I122">
        <f>VLOOKUP(A122,NYSEARCAVNQ!A$2:G$506,4,0)</f>
        <v>76.849999999999994</v>
      </c>
      <c r="J122">
        <f>VLOOKUP(A122,NYSEARCARWX!A$2:G$506,4,0)</f>
        <v>39.11</v>
      </c>
      <c r="K122">
        <f>VLOOKUP(A122,NYSEARCADBC!A$2:G$506,4,0)</f>
        <v>14.7</v>
      </c>
      <c r="L122">
        <f>VLOOKUP(A122,NYSEARCAGSG!A$2:G$506,4,0)</f>
        <v>16.32</v>
      </c>
      <c r="M122">
        <f>VLOOKUP(A122,NYSEARCAGLD!A$2:G$506,4,0)</f>
        <v>103.87</v>
      </c>
      <c r="N122">
        <f>VLOOKUP(A122,NYSEBP!A$2:G$506,4,0)</f>
        <v>34.53</v>
      </c>
      <c r="O122">
        <f>VLOOKUP(A122,NASDAQYHOO!A$2:G$506,4,0)</f>
        <v>33.26</v>
      </c>
    </row>
    <row r="123" spans="1:15">
      <c r="A123" s="39">
        <v>42319</v>
      </c>
      <c r="B123">
        <v>57.47</v>
      </c>
      <c r="C123">
        <f>VLOOKUP(A123,NYSEARCAVTI!A$2:G$506,4,0)</f>
        <v>106.53</v>
      </c>
      <c r="D123">
        <f>VLOOKUP(A123,NYSEARCAVEU!A$2:G$506,4,0)</f>
        <v>44.91</v>
      </c>
      <c r="E123">
        <f>VLOOKUP(A123,NYSEARCAVWO!A$2:G$506,4,0)</f>
        <v>34.409999999999997</v>
      </c>
      <c r="F123">
        <f>VLOOKUP(A123,NYSEARCABND!A$2:G$506,4,0)</f>
        <v>80.87</v>
      </c>
      <c r="G123">
        <f>VLOOKUP(A123,NYSEARCATIP!A$2:G$506,4,0)</f>
        <v>109.51</v>
      </c>
      <c r="H123">
        <f>VLOOKUP(A123,NYSEARCAMUB!A$2:G$506,4,0)</f>
        <v>108.83</v>
      </c>
      <c r="I123">
        <f>VLOOKUP(A123,NYSEARCAVNQ!A$2:G$506,4,0)</f>
        <v>77.56</v>
      </c>
      <c r="J123">
        <f>VLOOKUP(A123,NYSEARCARWX!A$2:G$506,4,0)</f>
        <v>39.76</v>
      </c>
      <c r="K123">
        <f>VLOOKUP(A123,NYSEARCADBC!A$2:G$506,4,0)</f>
        <v>14.57</v>
      </c>
      <c r="L123">
        <f>VLOOKUP(A123,NYSEARCAGSG!A$2:G$506,4,0)</f>
        <v>16.12</v>
      </c>
      <c r="M123">
        <f>VLOOKUP(A123,NYSEARCAGLD!A$2:G$506,4,0)</f>
        <v>103.78</v>
      </c>
      <c r="N123">
        <f>VLOOKUP(A123,NYSEBP!A$2:G$506,4,0)</f>
        <v>34.35</v>
      </c>
      <c r="O123">
        <f>VLOOKUP(A123,NASDAQYHOO!A$2:G$506,4,0)</f>
        <v>33.020000000000003</v>
      </c>
    </row>
    <row r="124" spans="1:15">
      <c r="A124" s="39">
        <v>42320</v>
      </c>
      <c r="B124">
        <v>56.92</v>
      </c>
      <c r="C124">
        <f>VLOOKUP(A124,NYSEARCAVTI!A$2:G$506,4,0)</f>
        <v>104.95</v>
      </c>
      <c r="D124">
        <f>VLOOKUP(A124,NYSEARCAVEU!A$2:G$506,4,0)</f>
        <v>44.42</v>
      </c>
      <c r="E124">
        <f>VLOOKUP(A124,NYSEARCAVWO!A$2:G$506,4,0)</f>
        <v>34.11</v>
      </c>
      <c r="F124">
        <f>VLOOKUP(A124,NYSEARCABND!A$2:G$506,4,0)</f>
        <v>80.94</v>
      </c>
      <c r="G124">
        <f>VLOOKUP(A124,NYSEARCATIP!A$2:G$506,4,0)</f>
        <v>109.53</v>
      </c>
      <c r="H124">
        <f>VLOOKUP(A124,NYSEARCAMUB!A$2:G$506,4,0)</f>
        <v>108.9</v>
      </c>
      <c r="I124">
        <f>VLOOKUP(A124,NYSEARCAVNQ!A$2:G$506,4,0)</f>
        <v>77.180000000000007</v>
      </c>
      <c r="J124">
        <f>VLOOKUP(A124,NYSEARCARWX!A$2:G$506,4,0)</f>
        <v>39.46</v>
      </c>
      <c r="K124">
        <f>VLOOKUP(A124,NYSEARCADBC!A$2:G$506,4,0)</f>
        <v>14.38</v>
      </c>
      <c r="L124">
        <f>VLOOKUP(A124,NYSEARCAGSG!A$2:G$506,4,0)</f>
        <v>15.88</v>
      </c>
      <c r="M124">
        <f>VLOOKUP(A124,NYSEARCAGLD!A$2:G$506,4,0)</f>
        <v>103.04</v>
      </c>
      <c r="N124">
        <f>VLOOKUP(A124,NYSEBP!A$2:G$506,4,0)</f>
        <v>33.35</v>
      </c>
      <c r="O124">
        <f>VLOOKUP(A124,NASDAQYHOO!A$2:G$506,4,0)</f>
        <v>33.130000000000003</v>
      </c>
    </row>
    <row r="125" spans="1:15">
      <c r="A125" s="39">
        <v>42321</v>
      </c>
      <c r="B125">
        <v>56.3</v>
      </c>
      <c r="C125">
        <f>VLOOKUP(A125,NYSEARCAVTI!A$2:G$506,4,0)</f>
        <v>103.81</v>
      </c>
      <c r="D125">
        <f>VLOOKUP(A125,NYSEARCAVEU!A$2:G$506,4,0)</f>
        <v>43.95</v>
      </c>
      <c r="E125">
        <f>VLOOKUP(A125,NYSEARCAVWO!A$2:G$506,4,0)</f>
        <v>33.590000000000003</v>
      </c>
      <c r="F125">
        <f>VLOOKUP(A125,NYSEARCABND!A$2:G$506,4,0)</f>
        <v>81.010000000000005</v>
      </c>
      <c r="G125">
        <f>VLOOKUP(A125,NYSEARCATIP!A$2:G$506,4,0)</f>
        <v>109.76</v>
      </c>
      <c r="H125">
        <f>VLOOKUP(A125,NYSEARCAMUB!A$2:G$506,4,0)</f>
        <v>108.96</v>
      </c>
      <c r="I125">
        <f>VLOOKUP(A125,NYSEARCAVNQ!A$2:G$506,4,0)</f>
        <v>76.38</v>
      </c>
      <c r="J125">
        <f>VLOOKUP(A125,NYSEARCARWX!A$2:G$506,4,0)</f>
        <v>39.24</v>
      </c>
      <c r="K125">
        <f>VLOOKUP(A125,NYSEARCADBC!A$2:G$506,4,0)</f>
        <v>14.25</v>
      </c>
      <c r="L125">
        <f>VLOOKUP(A125,NYSEARCAGSG!A$2:G$506,4,0)</f>
        <v>15.64</v>
      </c>
      <c r="M125">
        <f>VLOOKUP(A125,NYSEARCAGLD!A$2:G$506,4,0)</f>
        <v>103.45</v>
      </c>
      <c r="N125">
        <f>VLOOKUP(A125,NYSEBP!A$2:G$506,4,0)</f>
        <v>32.89</v>
      </c>
      <c r="O125">
        <f>VLOOKUP(A125,NASDAQYHOO!A$2:G$506,4,0)</f>
        <v>32.17</v>
      </c>
    </row>
    <row r="126" spans="1:15">
      <c r="A126" s="39">
        <v>42324</v>
      </c>
      <c r="B126">
        <v>56.36</v>
      </c>
      <c r="C126">
        <f>VLOOKUP(A126,NYSEARCAVTI!A$2:G$506,4,0)</f>
        <v>103.69</v>
      </c>
      <c r="D126">
        <f>VLOOKUP(A126,NYSEARCAVEU!A$2:G$506,4,0)</f>
        <v>44.05</v>
      </c>
      <c r="E126">
        <f>VLOOKUP(A126,NYSEARCAVWO!A$2:G$506,4,0)</f>
        <v>33.81</v>
      </c>
      <c r="F126">
        <f>VLOOKUP(A126,NYSEARCABND!A$2:G$506,4,0)</f>
        <v>81.05</v>
      </c>
      <c r="G126">
        <f>VLOOKUP(A126,NYSEARCATIP!A$2:G$506,4,0)</f>
        <v>109.66</v>
      </c>
      <c r="H126">
        <f>VLOOKUP(A126,NYSEARCAMUB!A$2:G$506,4,0)</f>
        <v>109.06</v>
      </c>
      <c r="I126">
        <f>VLOOKUP(A126,NYSEARCAVNQ!A$2:G$506,4,0)</f>
        <v>76.12</v>
      </c>
      <c r="J126">
        <f>VLOOKUP(A126,NYSEARCARWX!A$2:G$506,4,0)</f>
        <v>39.33</v>
      </c>
      <c r="K126">
        <f>VLOOKUP(A126,NYSEARCADBC!A$2:G$506,4,0)</f>
        <v>14.12</v>
      </c>
      <c r="L126">
        <f>VLOOKUP(A126,NYSEARCAGSG!A$2:G$506,4,0)</f>
        <v>15.47</v>
      </c>
      <c r="M126">
        <f>VLOOKUP(A126,NYSEARCAGLD!A$2:G$506,4,0)</f>
        <v>103.52</v>
      </c>
      <c r="N126">
        <f>VLOOKUP(A126,NYSEBP!A$2:G$506,4,0)</f>
        <v>33.39</v>
      </c>
      <c r="O126">
        <f>VLOOKUP(A126,NASDAQYHOO!A$2:G$506,4,0)</f>
        <v>32.119999999999997</v>
      </c>
    </row>
    <row r="127" spans="1:15">
      <c r="A127" s="39">
        <v>42325</v>
      </c>
      <c r="B127">
        <v>59.2</v>
      </c>
      <c r="C127">
        <f>VLOOKUP(A127,NYSEARCAVTI!A$2:G$506,4,0)</f>
        <v>104.97</v>
      </c>
      <c r="D127">
        <f>VLOOKUP(A127,NYSEARCAVEU!A$2:G$506,4,0)</f>
        <v>44.58</v>
      </c>
      <c r="E127">
        <f>VLOOKUP(A127,NYSEARCAVWO!A$2:G$506,4,0)</f>
        <v>34.270000000000003</v>
      </c>
      <c r="F127">
        <f>VLOOKUP(A127,NYSEARCABND!A$2:G$506,4,0)</f>
        <v>80.959999999999994</v>
      </c>
      <c r="G127">
        <f>VLOOKUP(A127,NYSEARCATIP!A$2:G$506,4,0)</f>
        <v>109.68</v>
      </c>
      <c r="H127">
        <f>VLOOKUP(A127,NYSEARCAMUB!A$2:G$506,4,0)</f>
        <v>109.06</v>
      </c>
      <c r="I127">
        <f>VLOOKUP(A127,NYSEARCAVNQ!A$2:G$506,4,0)</f>
        <v>77.03</v>
      </c>
      <c r="J127">
        <f>VLOOKUP(A127,NYSEARCARWX!A$2:G$506,4,0)</f>
        <v>39.89</v>
      </c>
      <c r="K127">
        <f>VLOOKUP(A127,NYSEARCADBC!A$2:G$506,4,0)</f>
        <v>14.14</v>
      </c>
      <c r="L127">
        <f>VLOOKUP(A127,NYSEARCAGSG!A$2:G$506,4,0)</f>
        <v>15.52</v>
      </c>
      <c r="M127">
        <f>VLOOKUP(A127,NYSEARCAGLD!A$2:G$506,4,0)</f>
        <v>101.98</v>
      </c>
      <c r="N127">
        <f>VLOOKUP(A127,NYSEBP!A$2:G$506,4,0)</f>
        <v>34.08</v>
      </c>
      <c r="O127">
        <f>VLOOKUP(A127,NASDAQYHOO!A$2:G$506,4,0)</f>
        <v>32.619999999999997</v>
      </c>
    </row>
    <row r="128" spans="1:15">
      <c r="A128" s="39">
        <v>42326</v>
      </c>
      <c r="B128">
        <v>59.55</v>
      </c>
      <c r="C128">
        <f>VLOOKUP(A128,NYSEARCAVTI!A$2:G$506,4,0)</f>
        <v>105.54</v>
      </c>
      <c r="D128">
        <f>VLOOKUP(A128,NYSEARCAVEU!A$2:G$506,4,0)</f>
        <v>44.72</v>
      </c>
      <c r="E128">
        <f>VLOOKUP(A128,NYSEARCAVWO!A$2:G$506,4,0)</f>
        <v>34.24</v>
      </c>
      <c r="F128">
        <f>VLOOKUP(A128,NYSEARCABND!A$2:G$506,4,0)</f>
        <v>81.069999999999993</v>
      </c>
      <c r="G128">
        <f>VLOOKUP(A128,NYSEARCATIP!A$2:G$506,4,0)</f>
        <v>109.81</v>
      </c>
      <c r="H128">
        <f>VLOOKUP(A128,NYSEARCAMUB!A$2:G$506,4,0)</f>
        <v>109.2</v>
      </c>
      <c r="I128">
        <f>VLOOKUP(A128,NYSEARCAVNQ!A$2:G$506,4,0)</f>
        <v>76.92</v>
      </c>
      <c r="J128">
        <f>VLOOKUP(A128,NYSEARCARWX!A$2:G$506,4,0)</f>
        <v>39.89</v>
      </c>
      <c r="K128">
        <f>VLOOKUP(A128,NYSEARCADBC!A$2:G$506,4,0)</f>
        <v>14.05</v>
      </c>
      <c r="L128">
        <f>VLOOKUP(A128,NYSEARCAGSG!A$2:G$506,4,0)</f>
        <v>15.44</v>
      </c>
      <c r="M128">
        <f>VLOOKUP(A128,NYSEARCAGLD!A$2:G$506,4,0)</f>
        <v>102.04</v>
      </c>
      <c r="N128">
        <f>VLOOKUP(A128,NYSEBP!A$2:G$506,4,0)</f>
        <v>34.57</v>
      </c>
      <c r="O128">
        <f>VLOOKUP(A128,NASDAQYHOO!A$2:G$506,4,0)</f>
        <v>32.32</v>
      </c>
    </row>
    <row r="129" spans="1:15">
      <c r="A129" s="39">
        <v>42327</v>
      </c>
      <c r="B129">
        <v>60.43</v>
      </c>
      <c r="C129">
        <f>VLOOKUP(A129,NYSEARCAVTI!A$2:G$506,4,0)</f>
        <v>106.62</v>
      </c>
      <c r="D129">
        <f>VLOOKUP(A129,NYSEARCAVEU!A$2:G$506,4,0)</f>
        <v>45.28</v>
      </c>
      <c r="E129">
        <f>VLOOKUP(A129,NYSEARCAVWO!A$2:G$506,4,0)</f>
        <v>34.76</v>
      </c>
      <c r="F129">
        <f>VLOOKUP(A129,NYSEARCABND!A$2:G$506,4,0)</f>
        <v>81.23</v>
      </c>
      <c r="G129">
        <f>VLOOKUP(A129,NYSEARCATIP!A$2:G$506,4,0)</f>
        <v>110.25</v>
      </c>
      <c r="H129">
        <f>VLOOKUP(A129,NYSEARCAMUB!A$2:G$506,4,0)</f>
        <v>109.45</v>
      </c>
      <c r="I129">
        <f>VLOOKUP(A129,NYSEARCAVNQ!A$2:G$506,4,0)</f>
        <v>77.89</v>
      </c>
      <c r="J129">
        <f>VLOOKUP(A129,NYSEARCARWX!A$2:G$506,4,0)</f>
        <v>40.46</v>
      </c>
      <c r="K129">
        <f>VLOOKUP(A129,NYSEARCADBC!A$2:G$506,4,0)</f>
        <v>14.18</v>
      </c>
      <c r="L129">
        <f>VLOOKUP(A129,NYSEARCAGSG!A$2:G$506,4,0)</f>
        <v>15.57</v>
      </c>
      <c r="M129">
        <f>VLOOKUP(A129,NYSEARCAGLD!A$2:G$506,4,0)</f>
        <v>103.07</v>
      </c>
      <c r="N129">
        <f>VLOOKUP(A129,NYSEBP!A$2:G$506,4,0)</f>
        <v>34.99</v>
      </c>
      <c r="O129">
        <f>VLOOKUP(A129,NASDAQYHOO!A$2:G$506,4,0)</f>
        <v>32.58</v>
      </c>
    </row>
    <row r="130" spans="1:15">
      <c r="A130" s="39">
        <v>42328</v>
      </c>
      <c r="B130">
        <v>60.02</v>
      </c>
      <c r="C130">
        <f>VLOOKUP(A130,NYSEARCAVTI!A$2:G$506,4,0)</f>
        <v>106.98</v>
      </c>
      <c r="D130">
        <f>VLOOKUP(A130,NYSEARCAVEU!A$2:G$506,4,0)</f>
        <v>45.32</v>
      </c>
      <c r="E130">
        <f>VLOOKUP(A130,NYSEARCAVWO!A$2:G$506,4,0)</f>
        <v>35.14</v>
      </c>
      <c r="F130">
        <f>VLOOKUP(A130,NYSEARCABND!A$2:G$506,4,0)</f>
        <v>81.2</v>
      </c>
      <c r="G130">
        <f>VLOOKUP(A130,NYSEARCATIP!A$2:G$506,4,0)</f>
        <v>110.49</v>
      </c>
      <c r="H130">
        <f>VLOOKUP(A130,NYSEARCAMUB!A$2:G$506,4,0)</f>
        <v>109.66</v>
      </c>
      <c r="I130">
        <f>VLOOKUP(A130,NYSEARCAVNQ!A$2:G$506,4,0)</f>
        <v>78.5</v>
      </c>
      <c r="J130">
        <f>VLOOKUP(A130,NYSEARCARWX!A$2:G$506,4,0)</f>
        <v>40.67</v>
      </c>
      <c r="K130">
        <f>VLOOKUP(A130,NYSEARCADBC!A$2:G$506,4,0)</f>
        <v>14.18</v>
      </c>
      <c r="L130">
        <f>VLOOKUP(A130,NYSEARCAGSG!A$2:G$506,4,0)</f>
        <v>15.55</v>
      </c>
      <c r="M130">
        <f>VLOOKUP(A130,NYSEARCAGLD!A$2:G$506,4,0)</f>
        <v>102.97</v>
      </c>
      <c r="N130">
        <f>VLOOKUP(A130,NYSEBP!A$2:G$506,4,0)</f>
        <v>34.42</v>
      </c>
      <c r="O130">
        <f>VLOOKUP(A130,NASDAQYHOO!A$2:G$506,4,0)</f>
        <v>32.69</v>
      </c>
    </row>
    <row r="131" spans="1:15">
      <c r="A131" s="39">
        <v>42331</v>
      </c>
      <c r="B131">
        <v>59.88</v>
      </c>
      <c r="C131">
        <f>VLOOKUP(A131,NYSEARCAVTI!A$2:G$506,4,0)</f>
        <v>106.88</v>
      </c>
      <c r="D131">
        <f>VLOOKUP(A131,NYSEARCAVEU!A$2:G$506,4,0)</f>
        <v>44.96</v>
      </c>
      <c r="E131">
        <f>VLOOKUP(A131,NYSEARCAVWO!A$2:G$506,4,0)</f>
        <v>34.85</v>
      </c>
      <c r="F131">
        <f>VLOOKUP(A131,NYSEARCABND!A$2:G$506,4,0)</f>
        <v>81.150000000000006</v>
      </c>
      <c r="G131">
        <f>VLOOKUP(A131,NYSEARCATIP!A$2:G$506,4,0)</f>
        <v>110.45</v>
      </c>
      <c r="H131">
        <f>VLOOKUP(A131,NYSEARCAMUB!A$2:G$506,4,0)</f>
        <v>109.7</v>
      </c>
      <c r="I131">
        <f>VLOOKUP(A131,NYSEARCAVNQ!A$2:G$506,4,0)</f>
        <v>79.11</v>
      </c>
      <c r="J131">
        <f>VLOOKUP(A131,NYSEARCARWX!A$2:G$506,4,0)</f>
        <v>40.22</v>
      </c>
      <c r="K131">
        <f>VLOOKUP(A131,NYSEARCADBC!A$2:G$506,4,0)</f>
        <v>14.16</v>
      </c>
      <c r="L131">
        <f>VLOOKUP(A131,NYSEARCAGSG!A$2:G$506,4,0)</f>
        <v>15.51</v>
      </c>
      <c r="M131">
        <f>VLOOKUP(A131,NYSEARCAGLD!A$2:G$506,4,0)</f>
        <v>102.16</v>
      </c>
      <c r="N131">
        <f>VLOOKUP(A131,NYSEBP!A$2:G$506,4,0)</f>
        <v>34.28</v>
      </c>
      <c r="O131">
        <f>VLOOKUP(A131,NASDAQYHOO!A$2:G$506,4,0)</f>
        <v>32.869999999999997</v>
      </c>
    </row>
    <row r="132" spans="1:15">
      <c r="A132" s="39">
        <v>42332</v>
      </c>
      <c r="B132">
        <v>59.86</v>
      </c>
      <c r="C132">
        <f>VLOOKUP(A132,NYSEARCAVTI!A$2:G$506,4,0)</f>
        <v>106.31</v>
      </c>
      <c r="D132">
        <f>VLOOKUP(A132,NYSEARCAVEU!A$2:G$506,4,0)</f>
        <v>44.72</v>
      </c>
      <c r="E132">
        <f>VLOOKUP(A132,NYSEARCAVWO!A$2:G$506,4,0)</f>
        <v>34.58</v>
      </c>
      <c r="F132">
        <f>VLOOKUP(A132,NYSEARCABND!A$2:G$506,4,0)</f>
        <v>81.25</v>
      </c>
      <c r="G132">
        <f>VLOOKUP(A132,NYSEARCATIP!A$2:G$506,4,0)</f>
        <v>110.73</v>
      </c>
      <c r="H132">
        <f>VLOOKUP(A132,NYSEARCAMUB!A$2:G$506,4,0)</f>
        <v>109.77</v>
      </c>
      <c r="I132">
        <f>VLOOKUP(A132,NYSEARCAVNQ!A$2:G$506,4,0)</f>
        <v>78.319999999999993</v>
      </c>
      <c r="J132">
        <f>VLOOKUP(A132,NYSEARCARWX!A$2:G$506,4,0)</f>
        <v>39.89</v>
      </c>
      <c r="K132">
        <f>VLOOKUP(A132,NYSEARCADBC!A$2:G$506,4,0)</f>
        <v>14.29</v>
      </c>
      <c r="L132">
        <f>VLOOKUP(A132,NYSEARCAGSG!A$2:G$506,4,0)</f>
        <v>15.78</v>
      </c>
      <c r="M132">
        <f>VLOOKUP(A132,NYSEARCAGLD!A$2:G$506,4,0)</f>
        <v>102.69</v>
      </c>
      <c r="N132">
        <f>VLOOKUP(A132,NYSEBP!A$2:G$506,4,0)</f>
        <v>34.47</v>
      </c>
      <c r="O132">
        <f>VLOOKUP(A132,NASDAQYHOO!A$2:G$506,4,0)</f>
        <v>32.61</v>
      </c>
    </row>
    <row r="133" spans="1:15">
      <c r="A133" s="39">
        <v>42333</v>
      </c>
      <c r="B133">
        <v>59.88</v>
      </c>
      <c r="C133">
        <f>VLOOKUP(A133,NYSEARCAVTI!A$2:G$506,4,0)</f>
        <v>107.25</v>
      </c>
      <c r="D133">
        <f>VLOOKUP(A133,NYSEARCAVEU!A$2:G$506,4,0)</f>
        <v>44.96</v>
      </c>
      <c r="E133">
        <f>VLOOKUP(A133,NYSEARCAVWO!A$2:G$506,4,0)</f>
        <v>34.6</v>
      </c>
      <c r="F133">
        <f>VLOOKUP(A133,NYSEARCABND!A$2:G$506,4,0)</f>
        <v>81.27</v>
      </c>
      <c r="G133">
        <f>VLOOKUP(A133,NYSEARCATIP!A$2:G$506,4,0)</f>
        <v>110.6</v>
      </c>
      <c r="H133">
        <f>VLOOKUP(A133,NYSEARCAMUB!A$2:G$506,4,0)</f>
        <v>109.8</v>
      </c>
      <c r="I133">
        <f>VLOOKUP(A133,NYSEARCAVNQ!A$2:G$506,4,0)</f>
        <v>78.930000000000007</v>
      </c>
      <c r="J133">
        <f>VLOOKUP(A133,NYSEARCARWX!A$2:G$506,4,0)</f>
        <v>40.14</v>
      </c>
      <c r="K133">
        <f>VLOOKUP(A133,NYSEARCADBC!A$2:G$506,4,0)</f>
        <v>14.32</v>
      </c>
      <c r="L133">
        <f>VLOOKUP(A133,NYSEARCAGSG!A$2:G$506,4,0)</f>
        <v>15.65</v>
      </c>
      <c r="M133">
        <f>VLOOKUP(A133,NYSEARCAGLD!A$2:G$506,4,0)</f>
        <v>102.21</v>
      </c>
      <c r="N133">
        <f>VLOOKUP(A133,NYSEBP!A$2:G$506,4,0)</f>
        <v>34.56</v>
      </c>
      <c r="O133">
        <f>VLOOKUP(A133,NASDAQYHOO!A$2:G$506,4,0)</f>
        <v>32.75</v>
      </c>
    </row>
    <row r="134" spans="1:15">
      <c r="A134" s="39">
        <v>42335</v>
      </c>
      <c r="B134">
        <v>59.87</v>
      </c>
      <c r="C134">
        <f>VLOOKUP(A134,NYSEARCAVTI!A$2:G$506,4,0)</f>
        <v>107.22</v>
      </c>
      <c r="D134">
        <f>VLOOKUP(A134,NYSEARCAVEU!A$2:G$506,4,0)</f>
        <v>44.92</v>
      </c>
      <c r="E134">
        <f>VLOOKUP(A134,NYSEARCAVWO!A$2:G$506,4,0)</f>
        <v>33.94</v>
      </c>
      <c r="F134">
        <f>VLOOKUP(A134,NYSEARCABND!A$2:G$506,4,0)</f>
        <v>81.31</v>
      </c>
      <c r="G134">
        <f>VLOOKUP(A134,NYSEARCATIP!A$2:G$506,4,0)</f>
        <v>110.79</v>
      </c>
      <c r="H134">
        <f>VLOOKUP(A134,NYSEARCAMUB!A$2:G$506,4,0)</f>
        <v>109.86</v>
      </c>
      <c r="I134">
        <f>VLOOKUP(A134,NYSEARCAVNQ!A$2:G$506,4,0)</f>
        <v>79.239999999999995</v>
      </c>
      <c r="J134">
        <f>VLOOKUP(A134,NYSEARCARWX!A$2:G$506,4,0)</f>
        <v>39.99</v>
      </c>
      <c r="K134">
        <f>VLOOKUP(A134,NYSEARCADBC!A$2:G$506,4,0)</f>
        <v>14.23</v>
      </c>
      <c r="L134">
        <f>VLOOKUP(A134,NYSEARCAGSG!A$2:G$506,4,0)</f>
        <v>15.6</v>
      </c>
      <c r="M134">
        <f>VLOOKUP(A134,NYSEARCAGLD!A$2:G$506,4,0)</f>
        <v>100.99</v>
      </c>
      <c r="N134">
        <f>VLOOKUP(A134,NYSEBP!A$2:G$506,4,0)</f>
        <v>34.74</v>
      </c>
      <c r="O134">
        <f>VLOOKUP(A134,NASDAQYHOO!A$2:G$506,4,0)</f>
        <v>32.44</v>
      </c>
    </row>
    <row r="135" spans="1:15">
      <c r="A135" s="39">
        <v>42338</v>
      </c>
      <c r="B135">
        <v>58.73</v>
      </c>
      <c r="C135">
        <f>VLOOKUP(A135,NYSEARCAVTI!A$2:G$506,4,0)</f>
        <v>107.11</v>
      </c>
      <c r="D135">
        <f>VLOOKUP(A135,NYSEARCAVEU!A$2:G$506,4,0)</f>
        <v>44.86</v>
      </c>
      <c r="E135">
        <f>VLOOKUP(A135,NYSEARCAVWO!A$2:G$506,4,0)</f>
        <v>33.840000000000003</v>
      </c>
      <c r="F135">
        <f>VLOOKUP(A135,NYSEARCABND!A$2:G$506,4,0)</f>
        <v>81.260000000000005</v>
      </c>
      <c r="G135">
        <f>VLOOKUP(A135,NYSEARCATIP!A$2:G$506,4,0)</f>
        <v>110.67</v>
      </c>
      <c r="H135">
        <f>VLOOKUP(A135,NYSEARCAMUB!A$2:G$506,4,0)</f>
        <v>109.88</v>
      </c>
      <c r="I135">
        <f>VLOOKUP(A135,NYSEARCAVNQ!A$2:G$506,4,0)</f>
        <v>79.180000000000007</v>
      </c>
      <c r="J135">
        <f>VLOOKUP(A135,NYSEARCARWX!A$2:G$506,4,0)</f>
        <v>39.86</v>
      </c>
      <c r="K135">
        <f>VLOOKUP(A135,NYSEARCADBC!A$2:G$506,4,0)</f>
        <v>14.18</v>
      </c>
      <c r="L135">
        <f>VLOOKUP(A135,NYSEARCAGSG!A$2:G$506,4,0)</f>
        <v>15.5</v>
      </c>
      <c r="M135">
        <f>VLOOKUP(A135,NYSEARCAGLD!A$2:G$506,4,0)</f>
        <v>101.52</v>
      </c>
      <c r="N135">
        <f>VLOOKUP(A135,NYSEBP!A$2:G$506,4,0)</f>
        <v>34.56</v>
      </c>
      <c r="O135">
        <f>VLOOKUP(A135,NASDAQYHOO!A$2:G$506,4,0)</f>
        <v>32.85</v>
      </c>
    </row>
    <row r="136" spans="1:15">
      <c r="A136" s="39">
        <v>42339</v>
      </c>
      <c r="B136">
        <v>58.65</v>
      </c>
      <c r="C136">
        <f>VLOOKUP(A136,NYSEARCAVTI!A$2:G$506,4,0)</f>
        <v>107.37</v>
      </c>
      <c r="D136">
        <f>VLOOKUP(A136,NYSEARCAVEU!A$2:G$506,4,0)</f>
        <v>45.14</v>
      </c>
      <c r="E136">
        <f>VLOOKUP(A136,NYSEARCAVWO!A$2:G$506,4,0)</f>
        <v>34.1</v>
      </c>
      <c r="F136">
        <f>VLOOKUP(A136,NYSEARCABND!A$2:G$506,4,0)</f>
        <v>81.14</v>
      </c>
      <c r="G136">
        <f>VLOOKUP(A136,NYSEARCATIP!A$2:G$506,4,0)</f>
        <v>110.79</v>
      </c>
      <c r="H136">
        <f>VLOOKUP(A136,NYSEARCAMUB!A$2:G$506,4,0)</f>
        <v>109.78</v>
      </c>
      <c r="I136">
        <f>VLOOKUP(A136,NYSEARCAVNQ!A$2:G$506,4,0)</f>
        <v>79.42</v>
      </c>
      <c r="J136">
        <f>VLOOKUP(A136,NYSEARCARWX!A$2:G$506,4,0)</f>
        <v>40.51</v>
      </c>
      <c r="K136">
        <f>VLOOKUP(A136,NYSEARCADBC!A$2:G$506,4,0)</f>
        <v>14.25</v>
      </c>
      <c r="L136">
        <f>VLOOKUP(A136,NYSEARCAGSG!A$2:G$506,4,0)</f>
        <v>15.5</v>
      </c>
      <c r="M136">
        <f>VLOOKUP(A136,NYSEARCAGLD!A$2:G$506,4,0)</f>
        <v>101.81</v>
      </c>
      <c r="N136">
        <f>VLOOKUP(A136,NYSEBP!A$2:G$506,4,0)</f>
        <v>34.57</v>
      </c>
      <c r="O136">
        <f>VLOOKUP(A136,NASDAQYHOO!A$2:G$506,4,0)</f>
        <v>33.47</v>
      </c>
    </row>
    <row r="137" spans="1:15">
      <c r="A137" s="39">
        <v>42340</v>
      </c>
      <c r="B137">
        <v>58.32</v>
      </c>
      <c r="C137">
        <f>VLOOKUP(A137,NYSEARCAVTI!A$2:G$506,4,0)</f>
        <v>106.88</v>
      </c>
      <c r="D137">
        <f>VLOOKUP(A137,NYSEARCAVEU!A$2:G$506,4,0)</f>
        <v>44.76</v>
      </c>
      <c r="E137">
        <f>VLOOKUP(A137,NYSEARCAVWO!A$2:G$506,4,0)</f>
        <v>33.76</v>
      </c>
      <c r="F137">
        <f>VLOOKUP(A137,NYSEARCABND!A$2:G$506,4,0)</f>
        <v>81.28</v>
      </c>
      <c r="G137">
        <f>VLOOKUP(A137,NYSEARCATIP!A$2:G$506,4,0)</f>
        <v>110.73</v>
      </c>
      <c r="H137">
        <f>VLOOKUP(A137,NYSEARCAMUB!A$2:G$506,4,0)</f>
        <v>109.89</v>
      </c>
      <c r="I137">
        <f>VLOOKUP(A137,NYSEARCAVNQ!A$2:G$506,4,0)</f>
        <v>78.73</v>
      </c>
      <c r="J137">
        <f>VLOOKUP(A137,NYSEARCARWX!A$2:G$506,4,0)</f>
        <v>40.159999999999997</v>
      </c>
      <c r="K137">
        <f>VLOOKUP(A137,NYSEARCADBC!A$2:G$506,4,0)</f>
        <v>14.02</v>
      </c>
      <c r="L137">
        <f>VLOOKUP(A137,NYSEARCAGSG!A$2:G$506,4,0)</f>
        <v>15.17</v>
      </c>
      <c r="M137">
        <f>VLOOKUP(A137,NYSEARCAGLD!A$2:G$506,4,0)</f>
        <v>100.53</v>
      </c>
      <c r="N137">
        <f>VLOOKUP(A137,NYSEBP!A$2:G$506,4,0)</f>
        <v>33.69</v>
      </c>
      <c r="O137">
        <f>VLOOKUP(A137,NASDAQYHOO!A$2:G$506,4,0)</f>
        <v>34.770000000000003</v>
      </c>
    </row>
    <row r="138" spans="1:15">
      <c r="A138" s="39">
        <v>42341</v>
      </c>
      <c r="B138">
        <v>58.6</v>
      </c>
      <c r="C138">
        <f>VLOOKUP(A138,NYSEARCAVTI!A$2:G$506,4,0)</f>
        <v>105.06</v>
      </c>
      <c r="D138">
        <f>VLOOKUP(A138,NYSEARCAVEU!A$2:G$506,4,0)</f>
        <v>44.44</v>
      </c>
      <c r="E138">
        <f>VLOOKUP(A138,NYSEARCAVWO!A$2:G$506,4,0)</f>
        <v>33.64</v>
      </c>
      <c r="F138">
        <f>VLOOKUP(A138,NYSEARCABND!A$2:G$506,4,0)</f>
        <v>80.680000000000007</v>
      </c>
      <c r="G138">
        <f>VLOOKUP(A138,NYSEARCATIP!A$2:G$506,4,0)</f>
        <v>110.02</v>
      </c>
      <c r="H138">
        <f>VLOOKUP(A138,NYSEARCAMUB!A$2:G$506,4,0)</f>
        <v>109.53</v>
      </c>
      <c r="I138">
        <f>VLOOKUP(A138,NYSEARCAVNQ!A$2:G$506,4,0)</f>
        <v>77.400000000000006</v>
      </c>
      <c r="J138">
        <f>VLOOKUP(A138,NYSEARCARWX!A$2:G$506,4,0)</f>
        <v>39.86</v>
      </c>
      <c r="K138">
        <f>VLOOKUP(A138,NYSEARCADBC!A$2:G$506,4,0)</f>
        <v>14.06</v>
      </c>
      <c r="L138">
        <f>VLOOKUP(A138,NYSEARCAGSG!A$2:G$506,4,0)</f>
        <v>15.2</v>
      </c>
      <c r="M138">
        <f>VLOOKUP(A138,NYSEARCAGLD!A$2:G$506,4,0)</f>
        <v>100.84</v>
      </c>
      <c r="N138">
        <f>VLOOKUP(A138,NYSEBP!A$2:G$506,4,0)</f>
        <v>33.159999999999997</v>
      </c>
      <c r="O138">
        <f>VLOOKUP(A138,NASDAQYHOO!A$2:G$506,4,0)</f>
        <v>34.1</v>
      </c>
    </row>
    <row r="139" spans="1:15">
      <c r="A139" s="39">
        <v>42342</v>
      </c>
      <c r="B139">
        <v>59.03</v>
      </c>
      <c r="C139">
        <f>VLOOKUP(A139,NYSEARCAVTI!A$2:G$506,4,0)</f>
        <v>105.62</v>
      </c>
      <c r="D139">
        <f>VLOOKUP(A139,NYSEARCAVEU!A$2:G$506,4,0)</f>
        <v>44.44</v>
      </c>
      <c r="E139">
        <f>VLOOKUP(A139,NYSEARCAVWO!A$2:G$506,4,0)</f>
        <v>33.5</v>
      </c>
      <c r="F139">
        <f>VLOOKUP(A139,NYSEARCABND!A$2:G$506,4,0)</f>
        <v>80.790000000000006</v>
      </c>
      <c r="G139">
        <f>VLOOKUP(A139,NYSEARCATIP!A$2:G$506,4,0)</f>
        <v>110.22</v>
      </c>
      <c r="H139">
        <f>VLOOKUP(A139,NYSEARCAMUB!A$2:G$506,4,0)</f>
        <v>109.65</v>
      </c>
      <c r="I139">
        <f>VLOOKUP(A139,NYSEARCAVNQ!A$2:G$506,4,0)</f>
        <v>77.650000000000006</v>
      </c>
      <c r="J139">
        <f>VLOOKUP(A139,NYSEARCARWX!A$2:G$506,4,0)</f>
        <v>39.81</v>
      </c>
      <c r="K139">
        <f>VLOOKUP(A139,NYSEARCADBC!A$2:G$506,4,0)</f>
        <v>14.11</v>
      </c>
      <c r="L139">
        <f>VLOOKUP(A139,NYSEARCAGSG!A$2:G$506,4,0)</f>
        <v>15.26</v>
      </c>
      <c r="M139">
        <f>VLOOKUP(A139,NYSEARCAGLD!A$2:G$506,4,0)</f>
        <v>102.65</v>
      </c>
      <c r="N139">
        <f>VLOOKUP(A139,NYSEBP!A$2:G$506,4,0)</f>
        <v>32.270000000000003</v>
      </c>
      <c r="O139">
        <f>VLOOKUP(A139,NASDAQYHOO!A$2:G$506,4,0)</f>
        <v>34.18</v>
      </c>
    </row>
    <row r="140" spans="1:15">
      <c r="A140" s="39">
        <v>42345</v>
      </c>
      <c r="B140">
        <v>59.57</v>
      </c>
      <c r="C140">
        <f>VLOOKUP(A140,NYSEARCAVTI!A$2:G$506,4,0)</f>
        <v>106.06</v>
      </c>
      <c r="D140">
        <f>VLOOKUP(A140,NYSEARCAVEU!A$2:G$506,4,0)</f>
        <v>44.32</v>
      </c>
      <c r="E140">
        <f>VLOOKUP(A140,NYSEARCAVWO!A$2:G$506,4,0)</f>
        <v>33.35</v>
      </c>
      <c r="F140">
        <f>VLOOKUP(A140,NYSEARCABND!A$2:G$506,4,0)</f>
        <v>81.040000000000006</v>
      </c>
      <c r="G140">
        <f>VLOOKUP(A140,NYSEARCATIP!A$2:G$506,4,0)</f>
        <v>110.2</v>
      </c>
      <c r="H140">
        <f>VLOOKUP(A140,NYSEARCAMUB!A$2:G$506,4,0)</f>
        <v>109.75</v>
      </c>
      <c r="I140">
        <f>VLOOKUP(A140,NYSEARCAVNQ!A$2:G$506,4,0)</f>
        <v>78.52</v>
      </c>
      <c r="J140">
        <f>VLOOKUP(A140,NYSEARCARWX!A$2:G$506,4,0)</f>
        <v>39.85</v>
      </c>
      <c r="K140">
        <f>VLOOKUP(A140,NYSEARCADBC!A$2:G$506,4,0)</f>
        <v>13.76</v>
      </c>
      <c r="L140">
        <f>VLOOKUP(A140,NYSEARCAGSG!A$2:G$506,4,0)</f>
        <v>14.7</v>
      </c>
      <c r="M140">
        <f>VLOOKUP(A140,NYSEARCAGLD!A$2:G$506,4,0)</f>
        <v>102.5</v>
      </c>
      <c r="N140">
        <f>VLOOKUP(A140,NYSEBP!A$2:G$506,4,0)</f>
        <v>31.09</v>
      </c>
      <c r="O140">
        <f>VLOOKUP(A140,NASDAQYHOO!A$2:G$506,4,0)</f>
        <v>34.47</v>
      </c>
    </row>
    <row r="141" spans="1:15">
      <c r="A141" s="39">
        <v>42346</v>
      </c>
      <c r="B141">
        <v>59.5</v>
      </c>
      <c r="C141">
        <f>VLOOKUP(A141,NYSEARCAVTI!A$2:G$506,4,0)</f>
        <v>105.27</v>
      </c>
      <c r="D141">
        <f>VLOOKUP(A141,NYSEARCAVEU!A$2:G$506,4,0)</f>
        <v>43.6</v>
      </c>
      <c r="E141">
        <f>VLOOKUP(A141,NYSEARCAVWO!A$2:G$506,4,0)</f>
        <v>32.67</v>
      </c>
      <c r="F141">
        <f>VLOOKUP(A141,NYSEARCABND!A$2:G$506,4,0)</f>
        <v>81.11</v>
      </c>
      <c r="G141">
        <f>VLOOKUP(A141,NYSEARCATIP!A$2:G$506,4,0)</f>
        <v>110.24</v>
      </c>
      <c r="H141">
        <f>VLOOKUP(A141,NYSEARCAMUB!A$2:G$506,4,0)</f>
        <v>109.93</v>
      </c>
      <c r="I141">
        <f>VLOOKUP(A141,NYSEARCAVNQ!A$2:G$506,4,0)</f>
        <v>78.36</v>
      </c>
      <c r="J141">
        <f>VLOOKUP(A141,NYSEARCARWX!A$2:G$506,4,0)</f>
        <v>39.54</v>
      </c>
      <c r="K141">
        <f>VLOOKUP(A141,NYSEARCADBC!A$2:G$506,4,0)</f>
        <v>13.65</v>
      </c>
      <c r="L141">
        <f>VLOOKUP(A141,NYSEARCAGSG!A$2:G$506,4,0)</f>
        <v>14.57</v>
      </c>
      <c r="M141">
        <f>VLOOKUP(A141,NYSEARCAGLD!A$2:G$506,4,0)</f>
        <v>102.53</v>
      </c>
      <c r="N141">
        <f>VLOOKUP(A141,NYSEBP!A$2:G$506,4,0)</f>
        <v>30.65</v>
      </c>
      <c r="O141">
        <f>VLOOKUP(A141,NASDAQYHOO!A$2:G$506,4,0)</f>
        <v>34.03</v>
      </c>
    </row>
    <row r="142" spans="1:15">
      <c r="A142" s="39">
        <v>42347</v>
      </c>
      <c r="B142">
        <v>58.9</v>
      </c>
      <c r="C142">
        <f>VLOOKUP(A142,NYSEARCAVTI!A$2:G$506,4,0)</f>
        <v>104.48</v>
      </c>
      <c r="D142">
        <f>VLOOKUP(A142,NYSEARCAVEU!A$2:G$506,4,0)</f>
        <v>43.49</v>
      </c>
      <c r="E142">
        <f>VLOOKUP(A142,NYSEARCAVWO!A$2:G$506,4,0)</f>
        <v>32.71</v>
      </c>
      <c r="F142">
        <f>VLOOKUP(A142,NYSEARCABND!A$2:G$506,4,0)</f>
        <v>80.97</v>
      </c>
      <c r="G142">
        <f>VLOOKUP(A142,NYSEARCATIP!A$2:G$506,4,0)</f>
        <v>110.11</v>
      </c>
      <c r="H142">
        <f>VLOOKUP(A142,NYSEARCAMUB!A$2:G$506,4,0)</f>
        <v>109.94</v>
      </c>
      <c r="I142">
        <f>VLOOKUP(A142,NYSEARCAVNQ!A$2:G$506,4,0)</f>
        <v>77.959999999999994</v>
      </c>
      <c r="J142">
        <f>VLOOKUP(A142,NYSEARCARWX!A$2:G$506,4,0)</f>
        <v>39.31</v>
      </c>
      <c r="K142">
        <f>VLOOKUP(A142,NYSEARCADBC!A$2:G$506,4,0)</f>
        <v>13.62</v>
      </c>
      <c r="L142">
        <f>VLOOKUP(A142,NYSEARCAGSG!A$2:G$506,4,0)</f>
        <v>14.49</v>
      </c>
      <c r="M142">
        <f>VLOOKUP(A142,NYSEARCAGLD!A$2:G$506,4,0)</f>
        <v>102.32</v>
      </c>
      <c r="N142">
        <f>VLOOKUP(A142,NYSEBP!A$2:G$506,4,0)</f>
        <v>31.54</v>
      </c>
      <c r="O142">
        <f>VLOOKUP(A142,NASDAQYHOO!A$2:G$506,4,0)</f>
        <v>33.15</v>
      </c>
    </row>
    <row r="143" spans="1:15">
      <c r="A143" s="39">
        <v>42348</v>
      </c>
      <c r="B143">
        <v>59.09</v>
      </c>
      <c r="C143">
        <f>VLOOKUP(A143,NYSEARCAVTI!A$2:G$506,4,0)</f>
        <v>104.92</v>
      </c>
      <c r="D143">
        <f>VLOOKUP(A143,NYSEARCAVEU!A$2:G$506,4,0)</f>
        <v>43.57</v>
      </c>
      <c r="E143">
        <f>VLOOKUP(A143,NYSEARCAVWO!A$2:G$506,4,0)</f>
        <v>32.42</v>
      </c>
      <c r="F143">
        <f>VLOOKUP(A143,NYSEARCABND!A$2:G$506,4,0)</f>
        <v>81.13</v>
      </c>
      <c r="G143">
        <f>VLOOKUP(A143,NYSEARCATIP!A$2:G$506,4,0)</f>
        <v>109.9</v>
      </c>
      <c r="H143">
        <f>VLOOKUP(A143,NYSEARCAMUB!A$2:G$506,4,0)</f>
        <v>110.06</v>
      </c>
      <c r="I143">
        <f>VLOOKUP(A143,NYSEARCAVNQ!A$2:G$506,4,0)</f>
        <v>77.73</v>
      </c>
      <c r="J143">
        <f>VLOOKUP(A143,NYSEARCARWX!A$2:G$506,4,0)</f>
        <v>39.28</v>
      </c>
      <c r="K143">
        <f>VLOOKUP(A143,NYSEARCADBC!A$2:G$506,4,0)</f>
        <v>13.66</v>
      </c>
      <c r="L143">
        <f>VLOOKUP(A143,NYSEARCAGSG!A$2:G$506,4,0)</f>
        <v>14.53</v>
      </c>
      <c r="M143">
        <f>VLOOKUP(A143,NYSEARCAGLD!A$2:G$506,4,0)</f>
        <v>102.34</v>
      </c>
      <c r="N143">
        <f>VLOOKUP(A143,NYSEBP!A$2:G$506,4,0)</f>
        <v>31.67</v>
      </c>
      <c r="O143">
        <f>VLOOKUP(A143,NASDAQYHOO!A$2:G$506,4,0)</f>
        <v>33.909999999999997</v>
      </c>
    </row>
    <row r="144" spans="1:15">
      <c r="A144" s="39">
        <v>42349</v>
      </c>
      <c r="B144">
        <v>58.81</v>
      </c>
      <c r="C144">
        <f>VLOOKUP(A144,NYSEARCAVTI!A$2:G$506,4,0)</f>
        <v>103.07</v>
      </c>
      <c r="D144">
        <f>VLOOKUP(A144,NYSEARCAVEU!A$2:G$506,4,0)</f>
        <v>42.67</v>
      </c>
      <c r="E144">
        <f>VLOOKUP(A144,NYSEARCAVWO!A$2:G$506,4,0)</f>
        <v>31.51</v>
      </c>
      <c r="F144">
        <f>VLOOKUP(A144,NYSEARCABND!A$2:G$506,4,0)</f>
        <v>81.27</v>
      </c>
      <c r="G144">
        <f>VLOOKUP(A144,NYSEARCATIP!A$2:G$506,4,0)</f>
        <v>110.1</v>
      </c>
      <c r="H144">
        <f>VLOOKUP(A144,NYSEARCAMUB!A$2:G$506,4,0)</f>
        <v>110.24</v>
      </c>
      <c r="I144">
        <f>VLOOKUP(A144,NYSEARCAVNQ!A$2:G$506,4,0)</f>
        <v>77.17</v>
      </c>
      <c r="J144">
        <f>VLOOKUP(A144,NYSEARCARWX!A$2:G$506,4,0)</f>
        <v>38.54</v>
      </c>
      <c r="K144">
        <f>VLOOKUP(A144,NYSEARCADBC!A$2:G$506,4,0)</f>
        <v>13.49</v>
      </c>
      <c r="L144">
        <f>VLOOKUP(A144,NYSEARCAGSG!A$2:G$506,4,0)</f>
        <v>14.28</v>
      </c>
      <c r="M144">
        <f>VLOOKUP(A144,NYSEARCAGLD!A$2:G$506,4,0)</f>
        <v>101.85</v>
      </c>
      <c r="N144">
        <f>VLOOKUP(A144,NYSEBP!A$2:G$506,4,0)</f>
        <v>30.75</v>
      </c>
      <c r="O144">
        <f>VLOOKUP(A144,NASDAQYHOO!A$2:G$506,4,0)</f>
        <v>32.82</v>
      </c>
    </row>
    <row r="145" spans="1:15">
      <c r="A145" s="39">
        <v>42352</v>
      </c>
      <c r="B145">
        <v>59.07</v>
      </c>
      <c r="C145">
        <f>VLOOKUP(A145,NYSEARCAVTI!A$2:G$506,4,0)</f>
        <v>102.18</v>
      </c>
      <c r="D145">
        <f>VLOOKUP(A145,NYSEARCAVEU!A$2:G$506,4,0)</f>
        <v>42.45</v>
      </c>
      <c r="E145">
        <f>VLOOKUP(A145,NYSEARCAVWO!A$2:G$506,4,0)</f>
        <v>31.63</v>
      </c>
      <c r="F145">
        <f>VLOOKUP(A145,NYSEARCABND!A$2:G$506,4,0)</f>
        <v>80.98</v>
      </c>
      <c r="G145">
        <f>VLOOKUP(A145,NYSEARCATIP!A$2:G$506,4,0)</f>
        <v>109.48</v>
      </c>
      <c r="H145">
        <f>VLOOKUP(A145,NYSEARCAMUB!A$2:G$506,4,0)</f>
        <v>110</v>
      </c>
      <c r="I145">
        <f>VLOOKUP(A145,NYSEARCAVNQ!A$2:G$506,4,0)</f>
        <v>77.06</v>
      </c>
      <c r="J145">
        <f>VLOOKUP(A145,NYSEARCARWX!A$2:G$506,4,0)</f>
        <v>38.5</v>
      </c>
      <c r="K145">
        <f>VLOOKUP(A145,NYSEARCADBC!A$2:G$506,4,0)</f>
        <v>13.36</v>
      </c>
      <c r="L145">
        <f>VLOOKUP(A145,NYSEARCAGSG!A$2:G$506,4,0)</f>
        <v>14.06</v>
      </c>
      <c r="M145">
        <f>VLOOKUP(A145,NYSEARCAGLD!A$2:G$506,4,0)</f>
        <v>101.74</v>
      </c>
      <c r="N145">
        <f>VLOOKUP(A145,NYSEBP!A$2:G$506,4,0)</f>
        <v>29.9</v>
      </c>
      <c r="O145">
        <f>VLOOKUP(A145,NASDAQYHOO!A$2:G$506,4,0)</f>
        <v>32.21</v>
      </c>
    </row>
    <row r="146" spans="1:15">
      <c r="A146" s="39">
        <v>42353</v>
      </c>
      <c r="B146">
        <v>59.57</v>
      </c>
      <c r="C146">
        <f>VLOOKUP(A146,NYSEARCAVTI!A$2:G$506,4,0)</f>
        <v>104.36</v>
      </c>
      <c r="D146">
        <f>VLOOKUP(A146,NYSEARCAVEU!A$2:G$506,4,0)</f>
        <v>43.13</v>
      </c>
      <c r="E146">
        <f>VLOOKUP(A146,NYSEARCAVWO!A$2:G$506,4,0)</f>
        <v>32.450000000000003</v>
      </c>
      <c r="F146">
        <f>VLOOKUP(A146,NYSEARCABND!A$2:G$506,4,0)</f>
        <v>80.819999999999993</v>
      </c>
      <c r="G146">
        <f>VLOOKUP(A146,NYSEARCATIP!A$2:G$506,4,0)</f>
        <v>109.39</v>
      </c>
      <c r="H146">
        <f>VLOOKUP(A146,NYSEARCAMUB!A$2:G$506,4,0)</f>
        <v>110</v>
      </c>
      <c r="I146">
        <f>VLOOKUP(A146,NYSEARCAVNQ!A$2:G$506,4,0)</f>
        <v>78.37</v>
      </c>
      <c r="J146">
        <f>VLOOKUP(A146,NYSEARCARWX!A$2:G$506,4,0)</f>
        <v>38.880000000000003</v>
      </c>
      <c r="K146">
        <f>VLOOKUP(A146,NYSEARCADBC!A$2:G$506,4,0)</f>
        <v>13.41</v>
      </c>
      <c r="L146">
        <f>VLOOKUP(A146,NYSEARCAGSG!A$2:G$506,4,0)</f>
        <v>14.2</v>
      </c>
      <c r="M146">
        <f>VLOOKUP(A146,NYSEARCAGLD!A$2:G$506,4,0)</f>
        <v>101.41</v>
      </c>
      <c r="N146">
        <f>VLOOKUP(A146,NYSEBP!A$2:G$506,4,0)</f>
        <v>30.5</v>
      </c>
      <c r="O146">
        <f>VLOOKUP(A146,NASDAQYHOO!A$2:G$506,4,0)</f>
        <v>32.5</v>
      </c>
    </row>
    <row r="147" spans="1:15">
      <c r="A147" s="39">
        <v>42354</v>
      </c>
      <c r="B147">
        <v>59.7</v>
      </c>
      <c r="C147">
        <f>VLOOKUP(A147,NYSEARCAVTI!A$2:G$506,4,0)</f>
        <v>104.7</v>
      </c>
      <c r="D147">
        <f>VLOOKUP(A147,NYSEARCAVEU!A$2:G$506,4,0)</f>
        <v>43.44</v>
      </c>
      <c r="E147">
        <f>VLOOKUP(A147,NYSEARCAVWO!A$2:G$506,4,0)</f>
        <v>32.6</v>
      </c>
      <c r="F147">
        <f>VLOOKUP(A147,NYSEARCABND!A$2:G$506,4,0)</f>
        <v>80.69</v>
      </c>
      <c r="G147">
        <f>VLOOKUP(A147,NYSEARCATIP!A$2:G$506,4,0)</f>
        <v>108.98</v>
      </c>
      <c r="H147">
        <f>VLOOKUP(A147,NYSEARCAMUB!A$2:G$506,4,0)</f>
        <v>109.85</v>
      </c>
      <c r="I147">
        <f>VLOOKUP(A147,NYSEARCAVNQ!A$2:G$506,4,0)</f>
        <v>79.010000000000005</v>
      </c>
      <c r="J147">
        <f>VLOOKUP(A147,NYSEARCARWX!A$2:G$506,4,0)</f>
        <v>39.32</v>
      </c>
      <c r="K147">
        <f>VLOOKUP(A147,NYSEARCADBC!A$2:G$506,4,0)</f>
        <v>13.28</v>
      </c>
      <c r="L147">
        <f>VLOOKUP(A147,NYSEARCAGSG!A$2:G$506,4,0)</f>
        <v>14</v>
      </c>
      <c r="M147">
        <f>VLOOKUP(A147,NYSEARCAGLD!A$2:G$506,4,0)</f>
        <v>101.66</v>
      </c>
      <c r="N147">
        <f>VLOOKUP(A147,NYSEBP!A$2:G$506,4,0)</f>
        <v>30.56</v>
      </c>
      <c r="O147">
        <f>VLOOKUP(A147,NASDAQYHOO!A$2:G$506,4,0)</f>
        <v>32.909999999999997</v>
      </c>
    </row>
    <row r="148" spans="1:15">
      <c r="A148" s="39">
        <v>42355</v>
      </c>
      <c r="B148">
        <v>58.97</v>
      </c>
      <c r="C148">
        <f>VLOOKUP(A148,NYSEARCAVTI!A$2:G$506,4,0)</f>
        <v>104.68</v>
      </c>
      <c r="D148">
        <f>VLOOKUP(A148,NYSEARCAVEU!A$2:G$506,4,0)</f>
        <v>43.45</v>
      </c>
      <c r="E148">
        <f>VLOOKUP(A148,NYSEARCAVWO!A$2:G$506,4,0)</f>
        <v>32.81</v>
      </c>
      <c r="F148">
        <f>VLOOKUP(A148,NYSEARCABND!A$2:G$506,4,0)</f>
        <v>80.89</v>
      </c>
      <c r="G148">
        <f>VLOOKUP(A148,NYSEARCATIP!A$2:G$506,4,0)</f>
        <v>109.12</v>
      </c>
      <c r="H148">
        <f>VLOOKUP(A148,NYSEARCAMUB!A$2:G$506,4,0)</f>
        <v>110.07</v>
      </c>
      <c r="I148">
        <f>VLOOKUP(A148,NYSEARCAVNQ!A$2:G$506,4,0)</f>
        <v>79.78</v>
      </c>
      <c r="J148">
        <f>VLOOKUP(A148,NYSEARCARWX!A$2:G$506,4,0)</f>
        <v>39.159999999999997</v>
      </c>
      <c r="K148">
        <f>VLOOKUP(A148,NYSEARCADBC!A$2:G$506,4,0)</f>
        <v>13.18</v>
      </c>
      <c r="L148">
        <f>VLOOKUP(A148,NYSEARCAGSG!A$2:G$506,4,0)</f>
        <v>13.86</v>
      </c>
      <c r="M148">
        <f>VLOOKUP(A148,NYSEARCAGLD!A$2:G$506,4,0)</f>
        <v>100.23</v>
      </c>
      <c r="N148">
        <f>VLOOKUP(A148,NYSEBP!A$2:G$506,4,0)</f>
        <v>30.34</v>
      </c>
      <c r="O148">
        <f>VLOOKUP(A148,NASDAQYHOO!A$2:G$506,4,0)</f>
        <v>33.11</v>
      </c>
    </row>
    <row r="149" spans="1:15">
      <c r="A149" s="39">
        <v>42356</v>
      </c>
      <c r="B149">
        <v>58.75</v>
      </c>
      <c r="C149">
        <f>VLOOKUP(A149,NYSEARCAVTI!A$2:G$506,4,0)</f>
        <v>102.9</v>
      </c>
      <c r="D149">
        <f>VLOOKUP(A149,NYSEARCAVEU!A$2:G$506,4,0)</f>
        <v>43.1</v>
      </c>
      <c r="E149">
        <f>VLOOKUP(A149,NYSEARCAVWO!A$2:G$506,4,0)</f>
        <v>32.630000000000003</v>
      </c>
      <c r="F149">
        <f>VLOOKUP(A149,NYSEARCABND!A$2:G$506,4,0)</f>
        <v>81.02</v>
      </c>
      <c r="G149">
        <f>VLOOKUP(A149,NYSEARCATIP!A$2:G$506,4,0)</f>
        <v>109.61</v>
      </c>
      <c r="H149">
        <f>VLOOKUP(A149,NYSEARCAMUB!A$2:G$506,4,0)</f>
        <v>110.26</v>
      </c>
      <c r="I149">
        <f>VLOOKUP(A149,NYSEARCAVNQ!A$2:G$506,4,0)</f>
        <v>79.08</v>
      </c>
      <c r="J149">
        <f>VLOOKUP(A149,NYSEARCARWX!A$2:G$506,4,0)</f>
        <v>38.85</v>
      </c>
      <c r="K149">
        <f>VLOOKUP(A149,NYSEARCADBC!A$2:G$506,4,0)</f>
        <v>13.26</v>
      </c>
      <c r="L149">
        <f>VLOOKUP(A149,NYSEARCAGSG!A$2:G$506,4,0)</f>
        <v>13.95</v>
      </c>
      <c r="M149">
        <f>VLOOKUP(A149,NYSEARCAGLD!A$2:G$506,4,0)</f>
        <v>101.3</v>
      </c>
      <c r="N149">
        <f>VLOOKUP(A149,NYSEBP!A$2:G$506,4,0)</f>
        <v>30.15</v>
      </c>
      <c r="O149">
        <f>VLOOKUP(A149,NASDAQYHOO!A$2:G$506,4,0)</f>
        <v>32.869999999999997</v>
      </c>
    </row>
    <row r="150" spans="1:15">
      <c r="A150" s="39">
        <v>42359</v>
      </c>
      <c r="B150">
        <v>58.67</v>
      </c>
      <c r="C150">
        <f>VLOOKUP(A150,NYSEARCAVTI!A$2:G$506,4,0)</f>
        <v>102.37</v>
      </c>
      <c r="D150">
        <f>VLOOKUP(A150,NYSEARCAVEU!A$2:G$506,4,0)</f>
        <v>42.78</v>
      </c>
      <c r="E150">
        <f>VLOOKUP(A150,NYSEARCAVWO!A$2:G$506,4,0)</f>
        <v>32.49</v>
      </c>
      <c r="F150">
        <f>VLOOKUP(A150,NYSEARCABND!A$2:G$506,4,0)</f>
        <v>81.040000000000006</v>
      </c>
      <c r="G150">
        <f>VLOOKUP(A150,NYSEARCATIP!A$2:G$506,4,0)</f>
        <v>109.55</v>
      </c>
      <c r="H150">
        <f>VLOOKUP(A150,NYSEARCAMUB!A$2:G$506,4,0)</f>
        <v>110.37</v>
      </c>
      <c r="I150">
        <f>VLOOKUP(A150,NYSEARCAVNQ!A$2:G$506,4,0)</f>
        <v>78.959999999999994</v>
      </c>
      <c r="J150">
        <f>VLOOKUP(A150,NYSEARCARWX!A$2:G$506,4,0)</f>
        <v>38.83</v>
      </c>
      <c r="K150">
        <f>VLOOKUP(A150,NYSEARCADBC!A$2:G$506,4,0)</f>
        <v>13.16</v>
      </c>
      <c r="L150">
        <f>VLOOKUP(A150,NYSEARCAGSG!A$2:G$506,4,0)</f>
        <v>13.84</v>
      </c>
      <c r="M150">
        <f>VLOOKUP(A150,NYSEARCAGLD!A$2:G$506,4,0)</f>
        <v>102.83</v>
      </c>
      <c r="N150">
        <f>VLOOKUP(A150,NYSEBP!A$2:G$506,4,0)</f>
        <v>29.92</v>
      </c>
      <c r="O150">
        <f>VLOOKUP(A150,NASDAQYHOO!A$2:G$506,4,0)</f>
        <v>32.69</v>
      </c>
    </row>
    <row r="151" spans="1:15">
      <c r="A151" s="39">
        <v>42360</v>
      </c>
      <c r="B151">
        <v>59.61</v>
      </c>
      <c r="C151">
        <f>VLOOKUP(A151,NYSEARCAVTI!A$2:G$506,4,0)</f>
        <v>103.04</v>
      </c>
      <c r="D151">
        <f>VLOOKUP(A151,NYSEARCAVEU!A$2:G$506,4,0)</f>
        <v>42.96</v>
      </c>
      <c r="E151">
        <f>VLOOKUP(A151,NYSEARCAVWO!A$2:G$506,4,0)</f>
        <v>32.68</v>
      </c>
      <c r="F151">
        <f>VLOOKUP(A151,NYSEARCABND!A$2:G$506,4,0)</f>
        <v>80.94</v>
      </c>
      <c r="G151">
        <f>VLOOKUP(A151,NYSEARCATIP!A$2:G$506,4,0)</f>
        <v>109.34</v>
      </c>
      <c r="H151">
        <f>VLOOKUP(A151,NYSEARCAMUB!A$2:G$506,4,0)</f>
        <v>110.47</v>
      </c>
      <c r="I151">
        <f>VLOOKUP(A151,NYSEARCAVNQ!A$2:G$506,4,0)</f>
        <v>79.56</v>
      </c>
      <c r="J151">
        <f>VLOOKUP(A151,NYSEARCARWX!A$2:G$506,4,0)</f>
        <v>38.99</v>
      </c>
      <c r="K151">
        <f>VLOOKUP(A151,NYSEARCADBC!A$2:G$506,4,0)</f>
        <v>13.13</v>
      </c>
      <c r="L151">
        <f>VLOOKUP(A151,NYSEARCAGSG!A$2:G$506,4,0)</f>
        <v>13.87</v>
      </c>
      <c r="M151">
        <f>VLOOKUP(A151,NYSEARCAGLD!A$2:G$506,4,0)</f>
        <v>102.56</v>
      </c>
      <c r="N151">
        <f>VLOOKUP(A151,NYSEBP!A$2:G$506,4,0)</f>
        <v>30.24</v>
      </c>
      <c r="O151">
        <f>VLOOKUP(A151,NASDAQYHOO!A$2:G$506,4,0)</f>
        <v>32.97</v>
      </c>
    </row>
    <row r="152" spans="1:15">
      <c r="A152" s="39">
        <v>42361</v>
      </c>
      <c r="B152">
        <v>60.44</v>
      </c>
      <c r="C152">
        <f>VLOOKUP(A152,NYSEARCAVTI!A$2:G$506,4,0)</f>
        <v>104.51</v>
      </c>
      <c r="D152">
        <f>VLOOKUP(A152,NYSEARCAVEU!A$2:G$506,4,0)</f>
        <v>43.63</v>
      </c>
      <c r="E152">
        <f>VLOOKUP(A152,NYSEARCAVWO!A$2:G$506,4,0)</f>
        <v>33.200000000000003</v>
      </c>
      <c r="F152">
        <f>VLOOKUP(A152,NYSEARCABND!A$2:G$506,4,0)</f>
        <v>80.59</v>
      </c>
      <c r="G152">
        <f>VLOOKUP(A152,NYSEARCATIP!A$2:G$506,4,0)</f>
        <v>109.23</v>
      </c>
      <c r="H152">
        <f>VLOOKUP(A152,NYSEARCAMUB!A$2:G$506,4,0)</f>
        <v>110.43</v>
      </c>
      <c r="I152">
        <f>VLOOKUP(A152,NYSEARCAVNQ!A$2:G$506,4,0)</f>
        <v>78.709999999999994</v>
      </c>
      <c r="J152">
        <f>VLOOKUP(A152,NYSEARCARWX!A$2:G$506,4,0)</f>
        <v>39.31</v>
      </c>
      <c r="K152">
        <f>VLOOKUP(A152,NYSEARCADBC!A$2:G$506,4,0)</f>
        <v>13.25</v>
      </c>
      <c r="L152">
        <f>VLOOKUP(A152,NYSEARCAGSG!A$2:G$506,4,0)</f>
        <v>14.04</v>
      </c>
      <c r="M152">
        <f>VLOOKUP(A152,NYSEARCAGLD!A$2:G$506,4,0)</f>
        <v>102.21</v>
      </c>
      <c r="N152">
        <f>VLOOKUP(A152,NYSEBP!A$2:G$506,4,0)</f>
        <v>31.86</v>
      </c>
      <c r="O152">
        <f>VLOOKUP(A152,NASDAQYHOO!A$2:G$506,4,0)</f>
        <v>33.99</v>
      </c>
    </row>
    <row r="153" spans="1:15">
      <c r="A153" s="39">
        <v>42362</v>
      </c>
      <c r="B153">
        <v>60.68</v>
      </c>
      <c r="C153">
        <f>VLOOKUP(A153,NYSEARCAVTI!A$2:G$506,4,0)</f>
        <v>105.08</v>
      </c>
      <c r="D153">
        <f>VLOOKUP(A153,NYSEARCAVEU!A$2:G$506,4,0)</f>
        <v>43.9</v>
      </c>
      <c r="E153">
        <f>VLOOKUP(A153,NYSEARCAVWO!A$2:G$506,4,0)</f>
        <v>33.28</v>
      </c>
      <c r="F153">
        <f>VLOOKUP(A153,NYSEARCABND!A$2:G$506,4,0)</f>
        <v>80.7</v>
      </c>
      <c r="G153">
        <f>VLOOKUP(A153,NYSEARCATIP!A$2:G$506,4,0)</f>
        <v>109.61</v>
      </c>
      <c r="H153">
        <f>VLOOKUP(A153,NYSEARCAMUB!A$2:G$506,4,0)</f>
        <v>110.29</v>
      </c>
      <c r="I153">
        <f>VLOOKUP(A153,NYSEARCAVNQ!A$2:G$506,4,0)</f>
        <v>78.98</v>
      </c>
      <c r="J153">
        <f>VLOOKUP(A153,NYSEARCARWX!A$2:G$506,4,0)</f>
        <v>39.42</v>
      </c>
      <c r="K153">
        <f>VLOOKUP(A153,NYSEARCADBC!A$2:G$506,4,0)</f>
        <v>13.39</v>
      </c>
      <c r="L153">
        <f>VLOOKUP(A153,NYSEARCAGSG!A$2:G$506,4,0)</f>
        <v>14.24</v>
      </c>
      <c r="M153">
        <f>VLOOKUP(A153,NYSEARCAGLD!A$2:G$506,4,0)</f>
        <v>102.77</v>
      </c>
      <c r="N153">
        <f>VLOOKUP(A153,NYSEBP!A$2:G$506,4,0)</f>
        <v>32.08</v>
      </c>
      <c r="O153">
        <f>VLOOKUP(A153,NASDAQYHOO!A$2:G$506,4,0)</f>
        <v>34.1</v>
      </c>
    </row>
    <row r="154" spans="1:15">
      <c r="A154" s="39">
        <v>42366</v>
      </c>
      <c r="B154">
        <v>60.5</v>
      </c>
      <c r="C154">
        <f>VLOOKUP(A154,NYSEARCAVTI!A$2:G$506,4,0)</f>
        <v>104.32</v>
      </c>
      <c r="D154">
        <f>VLOOKUP(A154,NYSEARCAVEU!A$2:G$506,4,0)</f>
        <v>43.65</v>
      </c>
      <c r="E154">
        <f>VLOOKUP(A154,NYSEARCAVWO!A$2:G$506,4,0)</f>
        <v>33.01</v>
      </c>
      <c r="F154">
        <f>VLOOKUP(A154,NYSEARCABND!A$2:G$506,4,0)</f>
        <v>80.709999999999994</v>
      </c>
      <c r="G154">
        <f>VLOOKUP(A154,NYSEARCATIP!A$2:G$506,4,0)</f>
        <v>109.64</v>
      </c>
      <c r="H154">
        <f>VLOOKUP(A154,NYSEARCAMUB!A$2:G$506,4,0)</f>
        <v>110.35</v>
      </c>
      <c r="I154">
        <f>VLOOKUP(A154,NYSEARCAVNQ!A$2:G$506,4,0)</f>
        <v>79.010000000000005</v>
      </c>
      <c r="J154">
        <f>VLOOKUP(A154,NYSEARCARWX!A$2:G$506,4,0)</f>
        <v>39.22</v>
      </c>
      <c r="K154">
        <f>VLOOKUP(A154,NYSEARCADBC!A$2:G$506,4,0)</f>
        <v>13.18</v>
      </c>
      <c r="L154">
        <f>VLOOKUP(A154,NYSEARCAGSG!A$2:G$506,4,0)</f>
        <v>14.04</v>
      </c>
      <c r="M154">
        <f>VLOOKUP(A154,NYSEARCAGLD!A$2:G$506,4,0)</f>
        <v>102.03</v>
      </c>
      <c r="N154">
        <f>VLOOKUP(A154,NYSEBP!A$2:G$506,4,0)</f>
        <v>31.5</v>
      </c>
      <c r="O154">
        <f>VLOOKUP(A154,NASDAQYHOO!A$2:G$506,4,0)</f>
        <v>33.35</v>
      </c>
    </row>
    <row r="155" spans="1:15">
      <c r="A155" s="39">
        <v>42367</v>
      </c>
      <c r="B155">
        <v>60.98</v>
      </c>
      <c r="C155">
        <f>VLOOKUP(A155,NYSEARCAVTI!A$2:G$506,4,0)</f>
        <v>105.54</v>
      </c>
      <c r="D155">
        <f>VLOOKUP(A155,NYSEARCAVEU!A$2:G$506,4,0)</f>
        <v>44.04</v>
      </c>
      <c r="E155">
        <f>VLOOKUP(A155,NYSEARCAVWO!A$2:G$506,4,0)</f>
        <v>33.130000000000003</v>
      </c>
      <c r="F155">
        <f>VLOOKUP(A155,NYSEARCABND!A$2:G$506,4,0)</f>
        <v>80.510000000000005</v>
      </c>
      <c r="G155">
        <f>VLOOKUP(A155,NYSEARCATIP!A$2:G$506,4,0)</f>
        <v>109.3</v>
      </c>
      <c r="H155">
        <f>VLOOKUP(A155,NYSEARCAMUB!A$2:G$506,4,0)</f>
        <v>110.4</v>
      </c>
      <c r="I155">
        <f>VLOOKUP(A155,NYSEARCAVNQ!A$2:G$506,4,0)</f>
        <v>79.87</v>
      </c>
      <c r="J155">
        <f>VLOOKUP(A155,NYSEARCARWX!A$2:G$506,4,0)</f>
        <v>39.619999999999997</v>
      </c>
      <c r="K155">
        <f>VLOOKUP(A155,NYSEARCADBC!A$2:G$506,4,0)</f>
        <v>13.37</v>
      </c>
      <c r="L155">
        <f>VLOOKUP(A155,NYSEARCAGSG!A$2:G$506,4,0)</f>
        <v>14.25</v>
      </c>
      <c r="M155">
        <f>VLOOKUP(A155,NYSEARCAGLD!A$2:G$506,4,0)</f>
        <v>102.11</v>
      </c>
      <c r="N155">
        <f>VLOOKUP(A155,NYSEBP!A$2:G$506,4,0)</f>
        <v>31.76</v>
      </c>
      <c r="O155">
        <f>VLOOKUP(A155,NASDAQYHOO!A$2:G$506,4,0)</f>
        <v>33.6</v>
      </c>
    </row>
    <row r="156" spans="1:15">
      <c r="A156" s="39">
        <v>42368</v>
      </c>
      <c r="B156">
        <v>61.49</v>
      </c>
      <c r="C156">
        <f>VLOOKUP(A156,NYSEARCAVTI!A$2:G$506,4,0)</f>
        <v>105.25</v>
      </c>
      <c r="D156">
        <f>VLOOKUP(A156,NYSEARCAVEU!A$2:G$506,4,0)</f>
        <v>43.8</v>
      </c>
      <c r="E156">
        <f>VLOOKUP(A156,NYSEARCAVWO!A$2:G$506,4,0)</f>
        <v>32.68</v>
      </c>
      <c r="F156">
        <f>VLOOKUP(A156,NYSEARCABND!A$2:G$506,4,0)</f>
        <v>80.47</v>
      </c>
      <c r="G156">
        <f>VLOOKUP(A156,NYSEARCATIP!A$2:G$506,4,0)</f>
        <v>109.21</v>
      </c>
      <c r="H156">
        <f>VLOOKUP(A156,NYSEARCAMUB!A$2:G$506,4,0)</f>
        <v>110.43</v>
      </c>
      <c r="I156">
        <f>VLOOKUP(A156,NYSEARCAVNQ!A$2:G$506,4,0)</f>
        <v>80.37</v>
      </c>
      <c r="J156">
        <f>VLOOKUP(A156,NYSEARCARWX!A$2:G$506,4,0)</f>
        <v>39.49</v>
      </c>
      <c r="K156">
        <f>VLOOKUP(A156,NYSEARCADBC!A$2:G$506,4,0)</f>
        <v>13.24</v>
      </c>
      <c r="L156">
        <f>VLOOKUP(A156,NYSEARCAGSG!A$2:G$506,4,0)</f>
        <v>14.04</v>
      </c>
      <c r="M156">
        <f>VLOOKUP(A156,NYSEARCAGLD!A$2:G$506,4,0)</f>
        <v>101.34</v>
      </c>
      <c r="N156">
        <f>VLOOKUP(A156,NYSEBP!A$2:G$506,4,0)</f>
        <v>31.26</v>
      </c>
      <c r="O156">
        <f>VLOOKUP(A156,NASDAQYHOO!A$2:G$506,4,0)</f>
        <v>33.35</v>
      </c>
    </row>
    <row r="157" spans="1:15">
      <c r="A157" s="39">
        <v>42369</v>
      </c>
      <c r="B157">
        <v>61.17</v>
      </c>
      <c r="C157">
        <f>VLOOKUP(A157,NYSEARCAVTI!A$2:G$506,4,0)</f>
        <v>104.3</v>
      </c>
      <c r="D157">
        <f>VLOOKUP(A157,NYSEARCAVEU!A$2:G$506,4,0)</f>
        <v>43.4</v>
      </c>
      <c r="E157">
        <f>VLOOKUP(A157,NYSEARCAVWO!A$2:G$506,4,0)</f>
        <v>32.659999999999997</v>
      </c>
      <c r="F157">
        <f>VLOOKUP(A157,NYSEARCABND!A$2:G$506,4,0)</f>
        <v>80.64</v>
      </c>
      <c r="G157">
        <f>VLOOKUP(A157,NYSEARCATIP!A$2:G$506,4,0)</f>
        <v>109.59</v>
      </c>
      <c r="H157">
        <f>VLOOKUP(A157,NYSEARCAMUB!A$2:G$506,4,0)</f>
        <v>110.53</v>
      </c>
      <c r="I157">
        <f>VLOOKUP(A157,NYSEARCAVNQ!A$2:G$506,4,0)</f>
        <v>79.72</v>
      </c>
      <c r="J157">
        <f>VLOOKUP(A157,NYSEARCARWX!A$2:G$506,4,0)</f>
        <v>39.049999999999997</v>
      </c>
      <c r="K157">
        <f>VLOOKUP(A157,NYSEARCADBC!A$2:G$506,4,0)</f>
        <v>13.22</v>
      </c>
      <c r="L157">
        <f>VLOOKUP(A157,NYSEARCAGSG!A$2:G$506,4,0)</f>
        <v>14.04</v>
      </c>
      <c r="M157">
        <f>VLOOKUP(A157,NYSEARCAGLD!A$2:G$506,4,0)</f>
        <v>101.31</v>
      </c>
      <c r="N157">
        <f>VLOOKUP(A157,NYSEBP!A$2:G$506,4,0)</f>
        <v>31.05</v>
      </c>
      <c r="O157">
        <f>VLOOKUP(A157,NASDAQYHOO!A$2:G$506,4,0)</f>
        <v>33.18</v>
      </c>
    </row>
    <row r="158" spans="1:15">
      <c r="A158" s="39">
        <v>42373</v>
      </c>
      <c r="B158">
        <v>60.36</v>
      </c>
      <c r="C158">
        <f>VLOOKUP(A158,NYSEARCAVTI!A$2:G$506,4,0)</f>
        <v>101.58</v>
      </c>
      <c r="D158">
        <f>VLOOKUP(A158,NYSEARCAVEU!A$2:G$506,4,0)</f>
        <v>42.18</v>
      </c>
      <c r="E158">
        <f>VLOOKUP(A158,NYSEARCAVWO!A$2:G$506,4,0)</f>
        <v>31.52</v>
      </c>
      <c r="F158">
        <f>VLOOKUP(A158,NYSEARCABND!A$2:G$506,4,0)</f>
        <v>80.7</v>
      </c>
      <c r="G158">
        <f>VLOOKUP(A158,NYSEARCATIP!A$2:G$506,4,0)</f>
        <v>109.99</v>
      </c>
      <c r="H158">
        <f>VLOOKUP(A158,NYSEARCAMUB!A$2:G$506,4,0)</f>
        <v>110.47</v>
      </c>
      <c r="I158">
        <f>VLOOKUP(A158,NYSEARCAVNQ!A$2:G$506,4,0)</f>
        <v>78.040000000000006</v>
      </c>
      <c r="J158">
        <f>VLOOKUP(A158,NYSEARCARWX!A$2:G$506,4,0)</f>
        <v>38.29</v>
      </c>
      <c r="K158">
        <f>VLOOKUP(A158,NYSEARCADBC!A$2:G$506,4,0)</f>
        <v>13.19</v>
      </c>
      <c r="L158">
        <f>VLOOKUP(A158,NYSEARCAGSG!A$2:G$506,4,0)</f>
        <v>14.04</v>
      </c>
      <c r="M158">
        <f>VLOOKUP(A158,NYSEARCAGLD!A$2:G$506,4,0)</f>
        <v>102.48</v>
      </c>
      <c r="N158">
        <f>VLOOKUP(A158,NYSEBP!A$2:G$506,4,0)</f>
        <v>30.51</v>
      </c>
      <c r="O158">
        <f>VLOOKUP(A158,NASDAQYHOO!A$2:G$506,4,0)</f>
        <v>31.14</v>
      </c>
    </row>
    <row r="159" spans="1:15">
      <c r="A159" s="39">
        <v>42374</v>
      </c>
      <c r="B159">
        <v>61.85</v>
      </c>
      <c r="C159">
        <f>VLOOKUP(A159,NYSEARCAVTI!A$2:G$506,4,0)</f>
        <v>102.3</v>
      </c>
      <c r="D159">
        <f>VLOOKUP(A159,NYSEARCAVEU!A$2:G$506,4,0)</f>
        <v>42.32</v>
      </c>
      <c r="E159">
        <f>VLOOKUP(A159,NYSEARCAVWO!A$2:G$506,4,0)</f>
        <v>31.77</v>
      </c>
      <c r="F159">
        <f>VLOOKUP(A159,NYSEARCABND!A$2:G$506,4,0)</f>
        <v>80.7</v>
      </c>
      <c r="G159">
        <f>VLOOKUP(A159,NYSEARCATIP!A$2:G$506,4,0)</f>
        <v>109.82</v>
      </c>
      <c r="H159">
        <f>VLOOKUP(A159,NYSEARCAMUB!A$2:G$506,4,0)</f>
        <v>110.51</v>
      </c>
      <c r="I159">
        <f>VLOOKUP(A159,NYSEARCAVNQ!A$2:G$506,4,0)</f>
        <v>78.73</v>
      </c>
      <c r="J159">
        <f>VLOOKUP(A159,NYSEARCARWX!A$2:G$506,4,0)</f>
        <v>38.590000000000003</v>
      </c>
      <c r="K159">
        <f>VLOOKUP(A159,NYSEARCADBC!A$2:G$506,4,0)</f>
        <v>13.13</v>
      </c>
      <c r="L159">
        <f>VLOOKUP(A159,NYSEARCAGSG!A$2:G$506,4,0)</f>
        <v>13.96</v>
      </c>
      <c r="M159">
        <f>VLOOKUP(A159,NYSEARCAGLD!A$2:G$506,4,0)</f>
        <v>102.93</v>
      </c>
      <c r="N159">
        <f>VLOOKUP(A159,NYSEBP!A$2:G$506,4,0)</f>
        <v>30.38</v>
      </c>
      <c r="O159">
        <f>VLOOKUP(A159,NASDAQYHOO!A$2:G$506,4,0)</f>
        <v>31.53</v>
      </c>
    </row>
    <row r="160" spans="1:15">
      <c r="A160" s="39">
        <v>42375</v>
      </c>
      <c r="B160">
        <v>62.47</v>
      </c>
      <c r="C160">
        <f>VLOOKUP(A160,NYSEARCAVTI!A$2:G$506,4,0)</f>
        <v>100.95</v>
      </c>
      <c r="D160">
        <f>VLOOKUP(A160,NYSEARCAVEU!A$2:G$506,4,0)</f>
        <v>41.64</v>
      </c>
      <c r="E160">
        <f>VLOOKUP(A160,NYSEARCAVWO!A$2:G$506,4,0)</f>
        <v>31.15</v>
      </c>
      <c r="F160">
        <f>VLOOKUP(A160,NYSEARCABND!A$2:G$506,4,0)</f>
        <v>80.98</v>
      </c>
      <c r="G160">
        <f>VLOOKUP(A160,NYSEARCATIP!A$2:G$506,4,0)</f>
        <v>110.06</v>
      </c>
      <c r="H160">
        <f>VLOOKUP(A160,NYSEARCAMUB!A$2:G$506,4,0)</f>
        <v>110.77</v>
      </c>
      <c r="I160">
        <f>VLOOKUP(A160,NYSEARCAVNQ!A$2:G$506,4,0)</f>
        <v>79.53</v>
      </c>
      <c r="J160">
        <f>VLOOKUP(A160,NYSEARCARWX!A$2:G$506,4,0)</f>
        <v>38.229999999999997</v>
      </c>
      <c r="K160">
        <f>VLOOKUP(A160,NYSEARCADBC!A$2:G$506,4,0)</f>
        <v>12.88</v>
      </c>
      <c r="L160">
        <f>VLOOKUP(A160,NYSEARCAGSG!A$2:G$506,4,0)</f>
        <v>13.55</v>
      </c>
      <c r="M160">
        <f>VLOOKUP(A160,NYSEARCAGLD!A$2:G$506,4,0)</f>
        <v>103.93</v>
      </c>
      <c r="N160">
        <f>VLOOKUP(A160,NYSEBP!A$2:G$506,4,0)</f>
        <v>29.93</v>
      </c>
      <c r="O160">
        <f>VLOOKUP(A160,NASDAQYHOO!A$2:G$506,4,0)</f>
        <v>31.6</v>
      </c>
    </row>
    <row r="161" spans="1:15">
      <c r="A161" s="39">
        <v>42376</v>
      </c>
      <c r="B161">
        <v>62.92</v>
      </c>
      <c r="C161">
        <f>VLOOKUP(A161,NYSEARCAVTI!A$2:G$506,4,0)</f>
        <v>98.87</v>
      </c>
      <c r="D161">
        <f>VLOOKUP(A161,NYSEARCAVEU!A$2:G$506,4,0)</f>
        <v>40.89</v>
      </c>
      <c r="E161">
        <f>VLOOKUP(A161,NYSEARCAVWO!A$2:G$506,4,0)</f>
        <v>30.25</v>
      </c>
      <c r="F161">
        <f>VLOOKUP(A161,NYSEARCABND!A$2:G$506,4,0)</f>
        <v>80.97</v>
      </c>
      <c r="G161">
        <f>VLOOKUP(A161,NYSEARCATIP!A$2:G$506,4,0)</f>
        <v>110.13</v>
      </c>
      <c r="H161">
        <f>VLOOKUP(A161,NYSEARCAMUB!A$2:G$506,4,0)</f>
        <v>111.05</v>
      </c>
      <c r="I161">
        <f>VLOOKUP(A161,NYSEARCAVNQ!A$2:G$506,4,0)</f>
        <v>78.430000000000007</v>
      </c>
      <c r="J161">
        <f>VLOOKUP(A161,NYSEARCARWX!A$2:G$506,4,0)</f>
        <v>37.56</v>
      </c>
      <c r="K161">
        <f>VLOOKUP(A161,NYSEARCADBC!A$2:G$506,4,0)</f>
        <v>12.76</v>
      </c>
      <c r="L161">
        <f>VLOOKUP(A161,NYSEARCAGSG!A$2:G$506,4,0)</f>
        <v>13.37</v>
      </c>
      <c r="M161">
        <f>VLOOKUP(A161,NYSEARCAGLD!A$2:G$506,4,0)</f>
        <v>105.19</v>
      </c>
      <c r="N161">
        <f>VLOOKUP(A161,NYSEBP!A$2:G$506,4,0)</f>
        <v>29</v>
      </c>
      <c r="O161">
        <f>VLOOKUP(A161,NASDAQYHOO!A$2:G$506,4,0)</f>
        <v>30.02</v>
      </c>
    </row>
    <row r="162" spans="1:15">
      <c r="A162" s="39">
        <v>42377</v>
      </c>
      <c r="B162">
        <v>63.41</v>
      </c>
      <c r="C162">
        <f>VLOOKUP(A162,NYSEARCAVTI!A$2:G$506,4,0)</f>
        <v>97.78</v>
      </c>
      <c r="D162">
        <f>VLOOKUP(A162,NYSEARCAVEU!A$2:G$506,4,0)</f>
        <v>40.380000000000003</v>
      </c>
      <c r="E162">
        <f>VLOOKUP(A162,NYSEARCAVWO!A$2:G$506,4,0)</f>
        <v>29.96</v>
      </c>
      <c r="F162">
        <f>VLOOKUP(A162,NYSEARCABND!A$2:G$506,4,0)</f>
        <v>81.099999999999994</v>
      </c>
      <c r="G162">
        <f>VLOOKUP(A162,NYSEARCATIP!A$2:G$506,4,0)</f>
        <v>110.11</v>
      </c>
      <c r="H162">
        <f>VLOOKUP(A162,NYSEARCAMUB!A$2:G$506,4,0)</f>
        <v>111</v>
      </c>
      <c r="I162">
        <f>VLOOKUP(A162,NYSEARCAVNQ!A$2:G$506,4,0)</f>
        <v>77.33</v>
      </c>
      <c r="J162">
        <f>VLOOKUP(A162,NYSEARCARWX!A$2:G$506,4,0)</f>
        <v>36.979999999999997</v>
      </c>
      <c r="K162">
        <f>VLOOKUP(A162,NYSEARCADBC!A$2:G$506,4,0)</f>
        <v>12.76</v>
      </c>
      <c r="L162">
        <f>VLOOKUP(A162,NYSEARCAGSG!A$2:G$506,4,0)</f>
        <v>13.36</v>
      </c>
      <c r="M162">
        <f>VLOOKUP(A162,NYSEARCAGLD!A$2:G$506,4,0)</f>
        <v>105.04</v>
      </c>
      <c r="N162">
        <f>VLOOKUP(A162,NYSEBP!A$2:G$506,4,0)</f>
        <v>28.84</v>
      </c>
      <c r="O162">
        <f>VLOOKUP(A162,NASDAQYHOO!A$2:G$506,4,0)</f>
        <v>30</v>
      </c>
    </row>
    <row r="163" spans="1:15">
      <c r="A163" s="39">
        <v>42380</v>
      </c>
      <c r="B163">
        <v>63.62</v>
      </c>
      <c r="C163">
        <f>VLOOKUP(A163,NYSEARCAVTI!A$2:G$506,4,0)</f>
        <v>96.78</v>
      </c>
      <c r="D163">
        <f>VLOOKUP(A163,NYSEARCAVEU!A$2:G$506,4,0)</f>
        <v>40.18</v>
      </c>
      <c r="E163">
        <f>VLOOKUP(A163,NYSEARCAVWO!A$2:G$506,4,0)</f>
        <v>29.61</v>
      </c>
      <c r="F163">
        <f>VLOOKUP(A163,NYSEARCABND!A$2:G$506,4,0)</f>
        <v>80.95</v>
      </c>
      <c r="G163">
        <f>VLOOKUP(A163,NYSEARCATIP!A$2:G$506,4,0)</f>
        <v>109.78</v>
      </c>
      <c r="H163">
        <f>VLOOKUP(A163,NYSEARCAMUB!A$2:G$506,4,0)</f>
        <v>111.1</v>
      </c>
      <c r="I163">
        <f>VLOOKUP(A163,NYSEARCAVNQ!A$2:G$506,4,0)</f>
        <v>77.5</v>
      </c>
      <c r="J163">
        <f>VLOOKUP(A163,NYSEARCARWX!A$2:G$506,4,0)</f>
        <v>36.89</v>
      </c>
      <c r="K163">
        <f>VLOOKUP(A163,NYSEARCADBC!A$2:G$506,4,0)</f>
        <v>12.44</v>
      </c>
      <c r="L163">
        <f>VLOOKUP(A163,NYSEARCAGSG!A$2:G$506,4,0)</f>
        <v>12.95</v>
      </c>
      <c r="M163">
        <f>VLOOKUP(A163,NYSEARCAGLD!A$2:G$506,4,0)</f>
        <v>104.71</v>
      </c>
      <c r="N163">
        <f>VLOOKUP(A163,NYSEBP!A$2:G$506,4,0)</f>
        <v>28.52</v>
      </c>
      <c r="O163">
        <f>VLOOKUP(A163,NASDAQYHOO!A$2:G$506,4,0)</f>
        <v>29.74</v>
      </c>
    </row>
    <row r="164" spans="1:15">
      <c r="A164" s="39">
        <v>42381</v>
      </c>
      <c r="B164">
        <v>63.43</v>
      </c>
      <c r="C164">
        <f>VLOOKUP(A164,NYSEARCAVTI!A$2:G$506,4,0)</f>
        <v>97.28</v>
      </c>
      <c r="D164">
        <f>VLOOKUP(A164,NYSEARCAVEU!A$2:G$506,4,0)</f>
        <v>40.33</v>
      </c>
      <c r="E164">
        <f>VLOOKUP(A164,NYSEARCAVWO!A$2:G$506,4,0)</f>
        <v>29.74</v>
      </c>
      <c r="F164">
        <f>VLOOKUP(A164,NYSEARCABND!A$2:G$506,4,0)</f>
        <v>81</v>
      </c>
      <c r="G164">
        <f>VLOOKUP(A164,NYSEARCATIP!A$2:G$506,4,0)</f>
        <v>109.84</v>
      </c>
      <c r="H164">
        <f>VLOOKUP(A164,NYSEARCAMUB!A$2:G$506,4,0)</f>
        <v>111.1</v>
      </c>
      <c r="I164">
        <f>VLOOKUP(A164,NYSEARCAVNQ!A$2:G$506,4,0)</f>
        <v>76.98</v>
      </c>
      <c r="J164">
        <f>VLOOKUP(A164,NYSEARCARWX!A$2:G$506,4,0)</f>
        <v>37.090000000000003</v>
      </c>
      <c r="K164">
        <f>VLOOKUP(A164,NYSEARCADBC!A$2:G$506,4,0)</f>
        <v>12.26</v>
      </c>
      <c r="L164">
        <f>VLOOKUP(A164,NYSEARCAGSG!A$2:G$506,4,0)</f>
        <v>12.76</v>
      </c>
      <c r="M164">
        <f>VLOOKUP(A164,NYSEARCAGLD!A$2:G$506,4,0)</f>
        <v>103.65</v>
      </c>
      <c r="N164">
        <f>VLOOKUP(A164,NYSEBP!A$2:G$506,4,0)</f>
        <v>28</v>
      </c>
      <c r="O164">
        <f>VLOOKUP(A164,NASDAQYHOO!A$2:G$506,4,0)</f>
        <v>30.21</v>
      </c>
    </row>
    <row r="165" spans="1:15">
      <c r="A165" s="39">
        <v>42382</v>
      </c>
      <c r="B165">
        <v>61.83</v>
      </c>
      <c r="C165">
        <f>VLOOKUP(A165,NYSEARCAVTI!A$2:G$506,4,0)</f>
        <v>95.78</v>
      </c>
      <c r="D165">
        <f>VLOOKUP(A165,NYSEARCAVEU!A$2:G$506,4,0)</f>
        <v>39.96</v>
      </c>
      <c r="E165">
        <f>VLOOKUP(A165,NYSEARCAVWO!A$2:G$506,4,0)</f>
        <v>29.55</v>
      </c>
      <c r="F165">
        <f>VLOOKUP(A165,NYSEARCABND!A$2:G$506,4,0)</f>
        <v>81.16</v>
      </c>
      <c r="G165">
        <f>VLOOKUP(A165,NYSEARCATIP!A$2:G$506,4,0)</f>
        <v>110</v>
      </c>
      <c r="H165">
        <f>VLOOKUP(A165,NYSEARCAMUB!A$2:G$506,4,0)</f>
        <v>111.03</v>
      </c>
      <c r="I165">
        <f>VLOOKUP(A165,NYSEARCAVNQ!A$2:G$506,4,0)</f>
        <v>76.099999999999994</v>
      </c>
      <c r="J165">
        <f>VLOOKUP(A165,NYSEARCARWX!A$2:G$506,4,0)</f>
        <v>36.840000000000003</v>
      </c>
      <c r="K165">
        <f>VLOOKUP(A165,NYSEARCADBC!A$2:G$506,4,0)</f>
        <v>12.24</v>
      </c>
      <c r="L165">
        <f>VLOOKUP(A165,NYSEARCAGSG!A$2:G$506,4,0)</f>
        <v>12.76</v>
      </c>
      <c r="M165">
        <f>VLOOKUP(A165,NYSEARCAGLD!A$2:G$506,4,0)</f>
        <v>103.78</v>
      </c>
      <c r="N165">
        <f>VLOOKUP(A165,NYSEBP!A$2:G$506,4,0)</f>
        <v>28.56</v>
      </c>
      <c r="O165">
        <f>VLOOKUP(A165,NASDAQYHOO!A$2:G$506,4,0)</f>
        <v>29.32</v>
      </c>
    </row>
    <row r="166" spans="1:15">
      <c r="A166" s="39">
        <v>42383</v>
      </c>
      <c r="B166">
        <v>61.82</v>
      </c>
      <c r="C166">
        <f>VLOOKUP(A166,NYSEARCAVTI!A$2:G$506,4,0)</f>
        <v>95.33</v>
      </c>
      <c r="D166">
        <f>VLOOKUP(A166,NYSEARCAVEU!A$2:G$506,4,0)</f>
        <v>39.909999999999997</v>
      </c>
      <c r="E166">
        <f>VLOOKUP(A166,NYSEARCAVWO!A$2:G$506,4,0)</f>
        <v>29.43</v>
      </c>
      <c r="F166">
        <f>VLOOKUP(A166,NYSEARCABND!A$2:G$506,4,0)</f>
        <v>81.22</v>
      </c>
      <c r="G166">
        <f>VLOOKUP(A166,NYSEARCATIP!A$2:G$506,4,0)</f>
        <v>110.12</v>
      </c>
      <c r="H166">
        <f>VLOOKUP(A166,NYSEARCAMUB!A$2:G$506,4,0)</f>
        <v>110.92</v>
      </c>
      <c r="I166">
        <f>VLOOKUP(A166,NYSEARCAVNQ!A$2:G$506,4,0)</f>
        <v>75.52</v>
      </c>
      <c r="J166">
        <f>VLOOKUP(A166,NYSEARCARWX!A$2:G$506,4,0)</f>
        <v>36.880000000000003</v>
      </c>
      <c r="K166">
        <f>VLOOKUP(A166,NYSEARCADBC!A$2:G$506,4,0)</f>
        <v>12.21</v>
      </c>
      <c r="L166">
        <f>VLOOKUP(A166,NYSEARCAGSG!A$2:G$506,4,0)</f>
        <v>12.73</v>
      </c>
      <c r="M166">
        <f>VLOOKUP(A166,NYSEARCAGLD!A$2:G$506,4,0)</f>
        <v>102.5</v>
      </c>
      <c r="N166">
        <f>VLOOKUP(A166,NYSEBP!A$2:G$506,4,0)</f>
        <v>29.44</v>
      </c>
      <c r="O166">
        <f>VLOOKUP(A166,NASDAQYHOO!A$2:G$506,4,0)</f>
        <v>28.71</v>
      </c>
    </row>
    <row r="167" spans="1:15">
      <c r="A167" s="39">
        <v>42384</v>
      </c>
      <c r="B167">
        <v>61.26</v>
      </c>
      <c r="C167">
        <f>VLOOKUP(A167,NYSEARCAVTI!A$2:G$506,4,0)</f>
        <v>94.22</v>
      </c>
      <c r="D167">
        <f>VLOOKUP(A167,NYSEARCAVEU!A$2:G$506,4,0)</f>
        <v>38.82</v>
      </c>
      <c r="E167">
        <f>VLOOKUP(A167,NYSEARCAVWO!A$2:G$506,4,0)</f>
        <v>28.44</v>
      </c>
      <c r="F167">
        <f>VLOOKUP(A167,NYSEARCABND!A$2:G$506,4,0)</f>
        <v>81.36</v>
      </c>
      <c r="G167">
        <f>VLOOKUP(A167,NYSEARCATIP!A$2:G$506,4,0)</f>
        <v>110.21</v>
      </c>
      <c r="H167">
        <f>VLOOKUP(A167,NYSEARCAMUB!A$2:G$506,4,0)</f>
        <v>111.11</v>
      </c>
      <c r="I167">
        <f>VLOOKUP(A167,NYSEARCAVNQ!A$2:G$506,4,0)</f>
        <v>74.55</v>
      </c>
      <c r="J167">
        <f>VLOOKUP(A167,NYSEARCARWX!A$2:G$506,4,0)</f>
        <v>35.94</v>
      </c>
      <c r="K167">
        <f>VLOOKUP(A167,NYSEARCADBC!A$2:G$506,4,0)</f>
        <v>12.03</v>
      </c>
      <c r="L167">
        <f>VLOOKUP(A167,NYSEARCAGSG!A$2:G$506,4,0)</f>
        <v>12.45</v>
      </c>
      <c r="M167">
        <f>VLOOKUP(A167,NYSEARCAGLD!A$2:G$506,4,0)</f>
        <v>103.96</v>
      </c>
      <c r="N167">
        <f>VLOOKUP(A167,NYSEBP!A$2:G$506,4,0)</f>
        <v>28.84</v>
      </c>
      <c r="O167">
        <f>VLOOKUP(A167,NASDAQYHOO!A$2:G$506,4,0)</f>
        <v>28.58</v>
      </c>
    </row>
    <row r="168" spans="1:15">
      <c r="A168" s="39">
        <v>42388</v>
      </c>
      <c r="B168">
        <v>62.01</v>
      </c>
      <c r="C168">
        <f>VLOOKUP(A168,NYSEARCAVTI!A$2:G$506,4,0)</f>
        <v>94.5</v>
      </c>
      <c r="D168">
        <f>VLOOKUP(A168,NYSEARCAVEU!A$2:G$506,4,0)</f>
        <v>39.159999999999997</v>
      </c>
      <c r="E168">
        <f>VLOOKUP(A168,NYSEARCAVWO!A$2:G$506,4,0)</f>
        <v>28.93</v>
      </c>
      <c r="F168">
        <f>VLOOKUP(A168,NYSEARCABND!A$2:G$506,4,0)</f>
        <v>81.23</v>
      </c>
      <c r="G168">
        <f>VLOOKUP(A168,NYSEARCATIP!A$2:G$506,4,0)</f>
        <v>110.05</v>
      </c>
      <c r="H168">
        <f>VLOOKUP(A168,NYSEARCAMUB!A$2:G$506,4,0)</f>
        <v>111.16</v>
      </c>
      <c r="I168">
        <f>VLOOKUP(A168,NYSEARCAVNQ!A$2:G$506,4,0)</f>
        <v>75.569999999999993</v>
      </c>
      <c r="J168">
        <f>VLOOKUP(A168,NYSEARCARWX!A$2:G$506,4,0)</f>
        <v>36.06</v>
      </c>
      <c r="K168">
        <f>VLOOKUP(A168,NYSEARCADBC!A$2:G$506,4,0)</f>
        <v>11.95</v>
      </c>
      <c r="L168">
        <f>VLOOKUP(A168,NYSEARCAGSG!A$2:G$506,4,0)</f>
        <v>12.41</v>
      </c>
      <c r="M168">
        <f>VLOOKUP(A168,NYSEARCAGLD!A$2:G$506,4,0)</f>
        <v>103.65</v>
      </c>
      <c r="N168">
        <f>VLOOKUP(A168,NYSEBP!A$2:G$506,4,0)</f>
        <v>28.52</v>
      </c>
      <c r="O168">
        <f>VLOOKUP(A168,NASDAQYHOO!A$2:G$506,4,0)</f>
        <v>29.31</v>
      </c>
    </row>
    <row r="169" spans="1:15">
      <c r="A169" s="39">
        <v>42389</v>
      </c>
      <c r="B169">
        <v>60.2</v>
      </c>
      <c r="C169">
        <f>VLOOKUP(A169,NYSEARCAVTI!A$2:G$506,4,0)</f>
        <v>91.79</v>
      </c>
      <c r="D169">
        <f>VLOOKUP(A169,NYSEARCAVEU!A$2:G$506,4,0)</f>
        <v>37.799999999999997</v>
      </c>
      <c r="E169">
        <f>VLOOKUP(A169,NYSEARCAVWO!A$2:G$506,4,0)</f>
        <v>27.98</v>
      </c>
      <c r="F169">
        <f>VLOOKUP(A169,NYSEARCABND!A$2:G$506,4,0)</f>
        <v>81.3</v>
      </c>
      <c r="G169">
        <f>VLOOKUP(A169,NYSEARCATIP!A$2:G$506,4,0)</f>
        <v>110.09</v>
      </c>
      <c r="H169">
        <f>VLOOKUP(A169,NYSEARCAMUB!A$2:G$506,4,0)</f>
        <v>111.38</v>
      </c>
      <c r="I169">
        <f>VLOOKUP(A169,NYSEARCAVNQ!A$2:G$506,4,0)</f>
        <v>72.33</v>
      </c>
      <c r="J169">
        <f>VLOOKUP(A169,NYSEARCARWX!A$2:G$506,4,0)</f>
        <v>34.549999999999997</v>
      </c>
      <c r="K169">
        <f>VLOOKUP(A169,NYSEARCADBC!A$2:G$506,4,0)</f>
        <v>11.7</v>
      </c>
      <c r="L169">
        <f>VLOOKUP(A169,NYSEARCAGSG!A$2:G$506,4,0)</f>
        <v>12.03</v>
      </c>
      <c r="M169">
        <f>VLOOKUP(A169,NYSEARCAGLD!A$2:G$506,4,0)</f>
        <v>104.94</v>
      </c>
      <c r="N169">
        <f>VLOOKUP(A169,NYSEBP!A$2:G$506,4,0)</f>
        <v>27.56</v>
      </c>
      <c r="O169">
        <f>VLOOKUP(A169,NASDAQYHOO!A$2:G$506,4,0)</f>
        <v>27.44</v>
      </c>
    </row>
    <row r="170" spans="1:15">
      <c r="A170" s="39">
        <v>42390</v>
      </c>
      <c r="B170">
        <v>60.91</v>
      </c>
      <c r="C170">
        <f>VLOOKUP(A170,NYSEARCAVTI!A$2:G$506,4,0)</f>
        <v>93.82</v>
      </c>
      <c r="D170">
        <f>VLOOKUP(A170,NYSEARCAVEU!A$2:G$506,4,0)</f>
        <v>38.130000000000003</v>
      </c>
      <c r="E170">
        <f>VLOOKUP(A170,NYSEARCAVWO!A$2:G$506,4,0)</f>
        <v>28.29</v>
      </c>
      <c r="F170">
        <f>VLOOKUP(A170,NYSEARCABND!A$2:G$506,4,0)</f>
        <v>81.33</v>
      </c>
      <c r="G170">
        <f>VLOOKUP(A170,NYSEARCATIP!A$2:G$506,4,0)</f>
        <v>109.79</v>
      </c>
      <c r="H170">
        <f>VLOOKUP(A170,NYSEARCAMUB!A$2:G$506,4,0)</f>
        <v>111.35</v>
      </c>
      <c r="I170">
        <f>VLOOKUP(A170,NYSEARCAVNQ!A$2:G$506,4,0)</f>
        <v>73.680000000000007</v>
      </c>
      <c r="J170">
        <f>VLOOKUP(A170,NYSEARCARWX!A$2:G$506,4,0)</f>
        <v>35.18</v>
      </c>
      <c r="K170">
        <f>VLOOKUP(A170,NYSEARCADBC!A$2:G$506,4,0)</f>
        <v>11.78</v>
      </c>
      <c r="L170">
        <f>VLOOKUP(A170,NYSEARCAGSG!A$2:G$506,4,0)</f>
        <v>12.17</v>
      </c>
      <c r="M170">
        <f>VLOOKUP(A170,NYSEARCAGLD!A$2:G$506,4,0)</f>
        <v>104.52</v>
      </c>
      <c r="N170">
        <f>VLOOKUP(A170,NYSEBP!A$2:G$506,4,0)</f>
        <v>28.32</v>
      </c>
      <c r="O170">
        <f>VLOOKUP(A170,NASDAQYHOO!A$2:G$506,4,0)</f>
        <v>28.19</v>
      </c>
    </row>
    <row r="171" spans="1:15">
      <c r="A171" s="39">
        <v>42391</v>
      </c>
      <c r="B171">
        <v>62.13</v>
      </c>
      <c r="C171">
        <f>VLOOKUP(A171,NYSEARCAVTI!A$2:G$506,4,0)</f>
        <v>95.95</v>
      </c>
      <c r="D171">
        <f>VLOOKUP(A171,NYSEARCAVEU!A$2:G$506,4,0)</f>
        <v>39.74</v>
      </c>
      <c r="E171">
        <f>VLOOKUP(A171,NYSEARCAVWO!A$2:G$506,4,0)</f>
        <v>29.28</v>
      </c>
      <c r="F171">
        <f>VLOOKUP(A171,NYSEARCABND!A$2:G$506,4,0)</f>
        <v>81.2</v>
      </c>
      <c r="G171">
        <f>VLOOKUP(A171,NYSEARCATIP!A$2:G$506,4,0)</f>
        <v>109.77</v>
      </c>
      <c r="H171">
        <f>VLOOKUP(A171,NYSEARCAMUB!A$2:G$506,4,0)</f>
        <v>111.22</v>
      </c>
      <c r="I171">
        <f>VLOOKUP(A171,NYSEARCAVNQ!A$2:G$506,4,0)</f>
        <v>74.94</v>
      </c>
      <c r="J171">
        <f>VLOOKUP(A171,NYSEARCARWX!A$2:G$506,4,0)</f>
        <v>36.22</v>
      </c>
      <c r="K171">
        <f>VLOOKUP(A171,NYSEARCADBC!A$2:G$506,4,0)</f>
        <v>12.25</v>
      </c>
      <c r="L171">
        <f>VLOOKUP(A171,NYSEARCAGSG!A$2:G$506,4,0)</f>
        <v>12.81</v>
      </c>
      <c r="M171">
        <f>VLOOKUP(A171,NYSEARCAGLD!A$2:G$506,4,0)</f>
        <v>104.76</v>
      </c>
      <c r="N171">
        <f>VLOOKUP(A171,NYSEBP!A$2:G$506,4,0)</f>
        <v>30.06</v>
      </c>
      <c r="O171">
        <f>VLOOKUP(A171,NASDAQYHOO!A$2:G$506,4,0)</f>
        <v>29.31</v>
      </c>
    </row>
    <row r="172" spans="1:15">
      <c r="A172" s="39">
        <v>42394</v>
      </c>
      <c r="B172">
        <v>62.55</v>
      </c>
      <c r="C172">
        <f>VLOOKUP(A172,NYSEARCAVTI!A$2:G$506,4,0)</f>
        <v>95.11</v>
      </c>
      <c r="D172">
        <f>VLOOKUP(A172,NYSEARCAVEU!A$2:G$506,4,0)</f>
        <v>39.409999999999997</v>
      </c>
      <c r="E172">
        <f>VLOOKUP(A172,NYSEARCAVWO!A$2:G$506,4,0)</f>
        <v>29.05</v>
      </c>
      <c r="F172">
        <f>VLOOKUP(A172,NYSEARCABND!A$2:G$506,4,0)</f>
        <v>81.3</v>
      </c>
      <c r="G172">
        <f>VLOOKUP(A172,NYSEARCATIP!A$2:G$506,4,0)</f>
        <v>110.05</v>
      </c>
      <c r="H172">
        <f>VLOOKUP(A172,NYSEARCAMUB!A$2:G$506,4,0)</f>
        <v>111.22</v>
      </c>
      <c r="I172">
        <f>VLOOKUP(A172,NYSEARCAVNQ!A$2:G$506,4,0)</f>
        <v>75.73</v>
      </c>
      <c r="J172">
        <f>VLOOKUP(A172,NYSEARCARWX!A$2:G$506,4,0)</f>
        <v>36.200000000000003</v>
      </c>
      <c r="K172">
        <f>VLOOKUP(A172,NYSEARCADBC!A$2:G$506,4,0)</f>
        <v>12.12</v>
      </c>
      <c r="L172">
        <f>VLOOKUP(A172,NYSEARCAGSG!A$2:G$506,4,0)</f>
        <v>12.57</v>
      </c>
      <c r="M172">
        <f>VLOOKUP(A172,NYSEARCAGLD!A$2:G$506,4,0)</f>
        <v>105.6</v>
      </c>
      <c r="N172">
        <f>VLOOKUP(A172,NYSEBP!A$2:G$506,4,0)</f>
        <v>29.45</v>
      </c>
      <c r="O172">
        <f>VLOOKUP(A172,NASDAQYHOO!A$2:G$506,4,0)</f>
        <v>29.66</v>
      </c>
    </row>
    <row r="173" spans="1:15">
      <c r="A173" s="39">
        <v>42395</v>
      </c>
      <c r="B173">
        <v>63.26</v>
      </c>
      <c r="C173">
        <f>VLOOKUP(A173,NYSEARCAVTI!A$2:G$506,4,0)</f>
        <v>95.44</v>
      </c>
      <c r="D173">
        <f>VLOOKUP(A173,NYSEARCAVEU!A$2:G$506,4,0)</f>
        <v>39.630000000000003</v>
      </c>
      <c r="E173">
        <f>VLOOKUP(A173,NYSEARCAVWO!A$2:G$506,4,0)</f>
        <v>29.18</v>
      </c>
      <c r="F173">
        <f>VLOOKUP(A173,NYSEARCABND!A$2:G$506,4,0)</f>
        <v>81.319999999999993</v>
      </c>
      <c r="G173">
        <f>VLOOKUP(A173,NYSEARCATIP!A$2:G$506,4,0)</f>
        <v>110.23</v>
      </c>
      <c r="H173">
        <f>VLOOKUP(A173,NYSEARCAMUB!A$2:G$506,4,0)</f>
        <v>111.22</v>
      </c>
      <c r="I173">
        <f>VLOOKUP(A173,NYSEARCAVNQ!A$2:G$506,4,0)</f>
        <v>76.13</v>
      </c>
      <c r="J173">
        <f>VLOOKUP(A173,NYSEARCARWX!A$2:G$506,4,0)</f>
        <v>36.36</v>
      </c>
      <c r="K173">
        <f>VLOOKUP(A173,NYSEARCADBC!A$2:G$506,4,0)</f>
        <v>12.24</v>
      </c>
      <c r="L173">
        <f>VLOOKUP(A173,NYSEARCAGSG!A$2:G$506,4,0)</f>
        <v>12.76</v>
      </c>
      <c r="M173">
        <f>VLOOKUP(A173,NYSEARCAGLD!A$2:G$506,4,0)</f>
        <v>106.26</v>
      </c>
      <c r="N173">
        <f>VLOOKUP(A173,NYSEBP!A$2:G$506,4,0)</f>
        <v>30.12</v>
      </c>
      <c r="O173">
        <f>VLOOKUP(A173,NASDAQYHOO!A$2:G$506,4,0)</f>
        <v>29.62</v>
      </c>
    </row>
    <row r="174" spans="1:15">
      <c r="A174" s="39">
        <v>42396</v>
      </c>
      <c r="B174">
        <v>63.89</v>
      </c>
      <c r="C174">
        <f>VLOOKUP(A174,NYSEARCAVTI!A$2:G$506,4,0)</f>
        <v>95.05</v>
      </c>
      <c r="D174">
        <f>VLOOKUP(A174,NYSEARCAVEU!A$2:G$506,4,0)</f>
        <v>39.74</v>
      </c>
      <c r="E174">
        <f>VLOOKUP(A174,NYSEARCAVWO!A$2:G$506,4,0)</f>
        <v>29.18</v>
      </c>
      <c r="F174">
        <f>VLOOKUP(A174,NYSEARCABND!A$2:G$506,4,0)</f>
        <v>81.25</v>
      </c>
      <c r="G174">
        <f>VLOOKUP(A174,NYSEARCATIP!A$2:G$506,4,0)</f>
        <v>109.9</v>
      </c>
      <c r="H174">
        <f>VLOOKUP(A174,NYSEARCAMUB!A$2:G$506,4,0)</f>
        <v>111.25</v>
      </c>
      <c r="I174">
        <f>VLOOKUP(A174,NYSEARCAVNQ!A$2:G$506,4,0)</f>
        <v>75.540000000000006</v>
      </c>
      <c r="J174">
        <f>VLOOKUP(A174,NYSEARCARWX!A$2:G$506,4,0)</f>
        <v>36.44</v>
      </c>
      <c r="K174">
        <f>VLOOKUP(A174,NYSEARCADBC!A$2:G$506,4,0)</f>
        <v>12.29</v>
      </c>
      <c r="L174">
        <f>VLOOKUP(A174,NYSEARCAGSG!A$2:G$506,4,0)</f>
        <v>12.81</v>
      </c>
      <c r="M174">
        <f>VLOOKUP(A174,NYSEARCAGLD!A$2:G$506,4,0)</f>
        <v>106.65</v>
      </c>
      <c r="N174">
        <f>VLOOKUP(A174,NYSEBP!A$2:G$506,4,0)</f>
        <v>30.16</v>
      </c>
      <c r="O174">
        <f>VLOOKUP(A174,NASDAQYHOO!A$2:G$506,4,0)</f>
        <v>29.44</v>
      </c>
    </row>
    <row r="175" spans="1:15">
      <c r="A175" s="39">
        <v>42397</v>
      </c>
      <c r="B175">
        <v>63.43</v>
      </c>
      <c r="C175">
        <f>VLOOKUP(A175,NYSEARCAVTI!A$2:G$506,4,0)</f>
        <v>95.05</v>
      </c>
      <c r="D175">
        <f>VLOOKUP(A175,NYSEARCAVEU!A$2:G$506,4,0)</f>
        <v>39.81</v>
      </c>
      <c r="E175">
        <f>VLOOKUP(A175,NYSEARCAVWO!A$2:G$506,4,0)</f>
        <v>29.54</v>
      </c>
      <c r="F175">
        <f>VLOOKUP(A175,NYSEARCABND!A$2:G$506,4,0)</f>
        <v>81.37</v>
      </c>
      <c r="G175">
        <f>VLOOKUP(A175,NYSEARCATIP!A$2:G$506,4,0)</f>
        <v>110.68</v>
      </c>
      <c r="H175">
        <f>VLOOKUP(A175,NYSEARCAMUB!A$2:G$506,4,0)</f>
        <v>111.25</v>
      </c>
      <c r="I175">
        <f>VLOOKUP(A175,NYSEARCAVNQ!A$2:G$506,4,0)</f>
        <v>75.150000000000006</v>
      </c>
      <c r="J175">
        <f>VLOOKUP(A175,NYSEARCARWX!A$2:G$506,4,0)</f>
        <v>36.700000000000003</v>
      </c>
      <c r="K175">
        <f>VLOOKUP(A175,NYSEARCADBC!A$2:G$506,4,0)</f>
        <v>12.55</v>
      </c>
      <c r="L175">
        <f>VLOOKUP(A175,NYSEARCAGSG!A$2:G$506,4,0)</f>
        <v>13.2</v>
      </c>
      <c r="M175">
        <f>VLOOKUP(A175,NYSEARCAGLD!A$2:G$506,4,0)</f>
        <v>106.48</v>
      </c>
      <c r="N175">
        <f>VLOOKUP(A175,NYSEBP!A$2:G$506,4,0)</f>
        <v>31.29</v>
      </c>
      <c r="O175">
        <f>VLOOKUP(A175,NASDAQYHOO!A$2:G$506,4,0)</f>
        <v>28.6</v>
      </c>
    </row>
    <row r="176" spans="1:15">
      <c r="A176" s="39">
        <v>42398</v>
      </c>
      <c r="B176">
        <v>64.739999999999995</v>
      </c>
      <c r="C176">
        <f>VLOOKUP(A176,NYSEARCAVTI!A$2:G$506,4,0)</f>
        <v>96.35</v>
      </c>
      <c r="D176">
        <f>VLOOKUP(A176,NYSEARCAVEU!A$2:G$506,4,0)</f>
        <v>40.39</v>
      </c>
      <c r="E176">
        <f>VLOOKUP(A176,NYSEARCAVWO!A$2:G$506,4,0)</f>
        <v>30.34</v>
      </c>
      <c r="F176">
        <f>VLOOKUP(A176,NYSEARCABND!A$2:G$506,4,0)</f>
        <v>81.650000000000006</v>
      </c>
      <c r="G176">
        <f>VLOOKUP(A176,NYSEARCATIP!A$2:G$506,4,0)</f>
        <v>111.22</v>
      </c>
      <c r="H176">
        <f>VLOOKUP(A176,NYSEARCAMUB!A$2:G$506,4,0)</f>
        <v>111.38</v>
      </c>
      <c r="I176">
        <f>VLOOKUP(A176,NYSEARCAVNQ!A$2:G$506,4,0)</f>
        <v>75.33</v>
      </c>
      <c r="J176">
        <f>VLOOKUP(A176,NYSEARCARWX!A$2:G$506,4,0)</f>
        <v>37.53</v>
      </c>
      <c r="K176">
        <f>VLOOKUP(A176,NYSEARCADBC!A$2:G$506,4,0)</f>
        <v>12.61</v>
      </c>
      <c r="L176">
        <f>VLOOKUP(A176,NYSEARCAGSG!A$2:G$506,4,0)</f>
        <v>13.24</v>
      </c>
      <c r="M176">
        <f>VLOOKUP(A176,NYSEARCAGLD!A$2:G$506,4,0)</f>
        <v>106.26</v>
      </c>
      <c r="N176">
        <f>VLOOKUP(A176,NYSEBP!A$2:G$506,4,0)</f>
        <v>31.54</v>
      </c>
      <c r="O176">
        <f>VLOOKUP(A176,NASDAQYHOO!A$2:G$506,4,0)</f>
        <v>28.51</v>
      </c>
    </row>
    <row r="177" spans="1:15">
      <c r="A177" s="39">
        <v>42401</v>
      </c>
      <c r="B177">
        <v>65.89</v>
      </c>
      <c r="C177">
        <f>VLOOKUP(A177,NYSEARCAVTI!A$2:G$506,4,0)</f>
        <v>97.37</v>
      </c>
      <c r="D177">
        <f>VLOOKUP(A177,NYSEARCAVEU!A$2:G$506,4,0)</f>
        <v>40.44</v>
      </c>
      <c r="E177">
        <f>VLOOKUP(A177,NYSEARCAVWO!A$2:G$506,4,0)</f>
        <v>30.22</v>
      </c>
      <c r="F177">
        <f>VLOOKUP(A177,NYSEARCABND!A$2:G$506,4,0)</f>
        <v>81.34</v>
      </c>
      <c r="G177">
        <f>VLOOKUP(A177,NYSEARCATIP!A$2:G$506,4,0)</f>
        <v>111.04</v>
      </c>
      <c r="H177">
        <f>VLOOKUP(A177,NYSEARCAMUB!A$2:G$506,4,0)</f>
        <v>111.08</v>
      </c>
      <c r="I177">
        <f>VLOOKUP(A177,NYSEARCAVNQ!A$2:G$506,4,0)</f>
        <v>76.27</v>
      </c>
      <c r="J177">
        <f>VLOOKUP(A177,NYSEARCARWX!A$2:G$506,4,0)</f>
        <v>37.86</v>
      </c>
      <c r="K177">
        <f>VLOOKUP(A177,NYSEARCADBC!A$2:G$506,4,0)</f>
        <v>12.5</v>
      </c>
      <c r="L177">
        <f>VLOOKUP(A177,NYSEARCAGSG!A$2:G$506,4,0)</f>
        <v>13.02</v>
      </c>
      <c r="M177">
        <f>VLOOKUP(A177,NYSEARCAGLD!A$2:G$506,4,0)</f>
        <v>107.53</v>
      </c>
      <c r="N177">
        <f>VLOOKUP(A177,NYSEBP!A$2:G$506,4,0)</f>
        <v>30.9</v>
      </c>
      <c r="O177">
        <f>VLOOKUP(A177,NASDAQYHOO!A$2:G$506,4,0)</f>
        <v>28.79</v>
      </c>
    </row>
    <row r="178" spans="1:15">
      <c r="A178" s="39">
        <v>42402</v>
      </c>
      <c r="B178">
        <v>66.28</v>
      </c>
      <c r="C178">
        <f>VLOOKUP(A178,NYSEARCAVTI!A$2:G$506,4,0)</f>
        <v>96.16</v>
      </c>
      <c r="D178">
        <f>VLOOKUP(A178,NYSEARCAVEU!A$2:G$506,4,0)</f>
        <v>39.76</v>
      </c>
      <c r="E178">
        <f>VLOOKUP(A178,NYSEARCAVWO!A$2:G$506,4,0)</f>
        <v>29.52</v>
      </c>
      <c r="F178">
        <f>VLOOKUP(A178,NYSEARCABND!A$2:G$506,4,0)</f>
        <v>81.58</v>
      </c>
      <c r="G178">
        <f>VLOOKUP(A178,NYSEARCATIP!A$2:G$506,4,0)</f>
        <v>111.43</v>
      </c>
      <c r="H178">
        <f>VLOOKUP(A178,NYSEARCAMUB!A$2:G$506,4,0)</f>
        <v>111.21</v>
      </c>
      <c r="I178">
        <f>VLOOKUP(A178,NYSEARCAVNQ!A$2:G$506,4,0)</f>
        <v>75.989999999999995</v>
      </c>
      <c r="J178">
        <f>VLOOKUP(A178,NYSEARCARWX!A$2:G$506,4,0)</f>
        <v>37.22</v>
      </c>
      <c r="K178">
        <f>VLOOKUP(A178,NYSEARCADBC!A$2:G$506,4,0)</f>
        <v>12.23</v>
      </c>
      <c r="L178">
        <f>VLOOKUP(A178,NYSEARCAGSG!A$2:G$506,4,0)</f>
        <v>12.7</v>
      </c>
      <c r="M178">
        <f>VLOOKUP(A178,NYSEARCAGLD!A$2:G$506,4,0)</f>
        <v>107.35</v>
      </c>
      <c r="N178">
        <f>VLOOKUP(A178,NYSEBP!A$2:G$506,4,0)</f>
        <v>28.62</v>
      </c>
      <c r="O178">
        <f>VLOOKUP(A178,NASDAQYHOO!A$2:G$506,4,0)</f>
        <v>28.13</v>
      </c>
    </row>
    <row r="179" spans="1:15">
      <c r="A179" s="39">
        <v>42403</v>
      </c>
      <c r="B179">
        <v>65.069999999999993</v>
      </c>
      <c r="C179">
        <f>VLOOKUP(A179,NYSEARCAVTI!A$2:G$506,4,0)</f>
        <v>94.89</v>
      </c>
      <c r="D179">
        <f>VLOOKUP(A179,NYSEARCAVEU!A$2:G$506,4,0)</f>
        <v>39.43</v>
      </c>
      <c r="E179">
        <f>VLOOKUP(A179,NYSEARCAVWO!A$2:G$506,4,0)</f>
        <v>29.44</v>
      </c>
      <c r="F179">
        <f>VLOOKUP(A179,NYSEARCABND!A$2:G$506,4,0)</f>
        <v>81.56</v>
      </c>
      <c r="G179">
        <f>VLOOKUP(A179,NYSEARCATIP!A$2:G$506,4,0)</f>
        <v>111.58</v>
      </c>
      <c r="H179">
        <f>VLOOKUP(A179,NYSEARCAMUB!A$2:G$506,4,0)</f>
        <v>111.4</v>
      </c>
      <c r="I179">
        <f>VLOOKUP(A179,NYSEARCAVNQ!A$2:G$506,4,0)</f>
        <v>75.98</v>
      </c>
      <c r="J179">
        <f>VLOOKUP(A179,NYSEARCARWX!A$2:G$506,4,0)</f>
        <v>37.369999999999997</v>
      </c>
      <c r="K179">
        <f>VLOOKUP(A179,NYSEARCADBC!A$2:G$506,4,0)</f>
        <v>12.31</v>
      </c>
      <c r="L179">
        <f>VLOOKUP(A179,NYSEARCAGSG!A$2:G$506,4,0)</f>
        <v>12.79</v>
      </c>
      <c r="M179">
        <f>VLOOKUP(A179,NYSEARCAGLD!A$2:G$506,4,0)</f>
        <v>107.9</v>
      </c>
      <c r="N179">
        <f>VLOOKUP(A179,NYSEBP!A$2:G$506,4,0)</f>
        <v>28.44</v>
      </c>
      <c r="O179">
        <f>VLOOKUP(A179,NASDAQYHOO!A$2:G$506,4,0)</f>
        <v>26.57</v>
      </c>
    </row>
    <row r="180" spans="1:15">
      <c r="A180" s="39">
        <v>42404</v>
      </c>
      <c r="B180">
        <v>65.010000000000005</v>
      </c>
      <c r="C180">
        <f>VLOOKUP(A180,NYSEARCAVTI!A$2:G$506,4,0)</f>
        <v>96.47</v>
      </c>
      <c r="D180">
        <f>VLOOKUP(A180,NYSEARCAVEU!A$2:G$506,4,0)</f>
        <v>40.19</v>
      </c>
      <c r="E180">
        <f>VLOOKUP(A180,NYSEARCAVWO!A$2:G$506,4,0)</f>
        <v>30.4</v>
      </c>
      <c r="F180">
        <f>VLOOKUP(A180,NYSEARCABND!A$2:G$506,4,0)</f>
        <v>81.69</v>
      </c>
      <c r="G180">
        <f>VLOOKUP(A180,NYSEARCATIP!A$2:G$506,4,0)</f>
        <v>111.57</v>
      </c>
      <c r="H180">
        <f>VLOOKUP(A180,NYSEARCAMUB!A$2:G$506,4,0)</f>
        <v>111.49</v>
      </c>
      <c r="I180">
        <f>VLOOKUP(A180,NYSEARCAVNQ!A$2:G$506,4,0)</f>
        <v>76.180000000000007</v>
      </c>
      <c r="J180">
        <f>VLOOKUP(A180,NYSEARCARWX!A$2:G$506,4,0)</f>
        <v>37.96</v>
      </c>
      <c r="K180">
        <f>VLOOKUP(A180,NYSEARCADBC!A$2:G$506,4,0)</f>
        <v>12.56</v>
      </c>
      <c r="L180">
        <f>VLOOKUP(A180,NYSEARCAGSG!A$2:G$506,4,0)</f>
        <v>13.1</v>
      </c>
      <c r="M180">
        <f>VLOOKUP(A180,NYSEARCAGLD!A$2:G$506,4,0)</f>
        <v>109.92</v>
      </c>
      <c r="N180">
        <f>VLOOKUP(A180,NYSEBP!A$2:G$506,4,0)</f>
        <v>30.18</v>
      </c>
      <c r="O180">
        <f>VLOOKUP(A180,NASDAQYHOO!A$2:G$506,4,0)</f>
        <v>27.71</v>
      </c>
    </row>
    <row r="181" spans="1:15">
      <c r="A181" s="39">
        <v>42405</v>
      </c>
      <c r="B181">
        <v>65.88</v>
      </c>
      <c r="C181">
        <f>VLOOKUP(A181,NYSEARCAVTI!A$2:G$506,4,0)</f>
        <v>94.95</v>
      </c>
      <c r="D181">
        <f>VLOOKUP(A181,NYSEARCAVEU!A$2:G$506,4,0)</f>
        <v>39.799999999999997</v>
      </c>
      <c r="E181">
        <f>VLOOKUP(A181,NYSEARCAVWO!A$2:G$506,4,0)</f>
        <v>30.18</v>
      </c>
      <c r="F181">
        <f>VLOOKUP(A181,NYSEARCABND!A$2:G$506,4,0)</f>
        <v>81.599999999999994</v>
      </c>
      <c r="G181">
        <f>VLOOKUP(A181,NYSEARCATIP!A$2:G$506,4,0)</f>
        <v>111.32</v>
      </c>
      <c r="H181">
        <f>VLOOKUP(A181,NYSEARCAMUB!A$2:G$506,4,0)</f>
        <v>111.45</v>
      </c>
      <c r="I181">
        <f>VLOOKUP(A181,NYSEARCAVNQ!A$2:G$506,4,0)</f>
        <v>75.44</v>
      </c>
      <c r="J181">
        <f>VLOOKUP(A181,NYSEARCARWX!A$2:G$506,4,0)</f>
        <v>37.39</v>
      </c>
      <c r="K181">
        <f>VLOOKUP(A181,NYSEARCADBC!A$2:G$506,4,0)</f>
        <v>12.48</v>
      </c>
      <c r="L181">
        <f>VLOOKUP(A181,NYSEARCAGSG!A$2:G$506,4,0)</f>
        <v>12.9</v>
      </c>
      <c r="M181">
        <f>VLOOKUP(A181,NYSEARCAGLD!A$2:G$506,4,0)</f>
        <v>109.58</v>
      </c>
      <c r="N181">
        <f>VLOOKUP(A181,NYSEBP!A$2:G$506,4,0)</f>
        <v>30.24</v>
      </c>
      <c r="O181">
        <f>VLOOKUP(A181,NASDAQYHOO!A$2:G$506,4,0)</f>
        <v>27.72</v>
      </c>
    </row>
    <row r="182" spans="1:15">
      <c r="A182" s="39">
        <v>42408</v>
      </c>
      <c r="B182">
        <v>65.16</v>
      </c>
      <c r="C182">
        <f>VLOOKUP(A182,NYSEARCAVTI!A$2:G$506,4,0)</f>
        <v>92.5</v>
      </c>
      <c r="D182">
        <f>VLOOKUP(A182,NYSEARCAVEU!A$2:G$506,4,0)</f>
        <v>38.840000000000003</v>
      </c>
      <c r="E182">
        <f>VLOOKUP(A182,NYSEARCAVWO!A$2:G$506,4,0)</f>
        <v>29.54</v>
      </c>
      <c r="F182">
        <f>VLOOKUP(A182,NYSEARCABND!A$2:G$506,4,0)</f>
        <v>81.84</v>
      </c>
      <c r="G182">
        <f>VLOOKUP(A182,NYSEARCATIP!A$2:G$506,4,0)</f>
        <v>111.4</v>
      </c>
      <c r="H182">
        <f>VLOOKUP(A182,NYSEARCAMUB!A$2:G$506,4,0)</f>
        <v>111.73</v>
      </c>
      <c r="I182">
        <f>VLOOKUP(A182,NYSEARCAVNQ!A$2:G$506,4,0)</f>
        <v>72.19</v>
      </c>
      <c r="J182">
        <f>VLOOKUP(A182,NYSEARCARWX!A$2:G$506,4,0)</f>
        <v>36.64</v>
      </c>
      <c r="K182">
        <f>VLOOKUP(A182,NYSEARCADBC!A$2:G$506,4,0)</f>
        <v>12.46</v>
      </c>
      <c r="L182">
        <f>VLOOKUP(A182,NYSEARCAGSG!A$2:G$506,4,0)</f>
        <v>12.74</v>
      </c>
      <c r="M182">
        <f>VLOOKUP(A182,NYSEARCAGLD!A$2:G$506,4,0)</f>
        <v>113.39</v>
      </c>
      <c r="N182">
        <f>VLOOKUP(A182,NYSEBP!A$2:G$506,4,0)</f>
        <v>29.31</v>
      </c>
      <c r="O182">
        <f>VLOOKUP(A182,NASDAQYHOO!A$2:G$506,4,0)</f>
        <v>26.48</v>
      </c>
    </row>
    <row r="183" spans="1:15">
      <c r="A183" s="39">
        <v>42409</v>
      </c>
      <c r="B183">
        <v>64.680000000000007</v>
      </c>
      <c r="C183">
        <f>VLOOKUP(A183,NYSEARCAVTI!A$2:G$506,4,0)</f>
        <v>92.7</v>
      </c>
      <c r="D183">
        <f>VLOOKUP(A183,NYSEARCAVEU!A$2:G$506,4,0)</f>
        <v>38.4</v>
      </c>
      <c r="E183">
        <f>VLOOKUP(A183,NYSEARCAVWO!A$2:G$506,4,0)</f>
        <v>29.21</v>
      </c>
      <c r="F183">
        <f>VLOOKUP(A183,NYSEARCABND!A$2:G$506,4,0)</f>
        <v>81.97</v>
      </c>
      <c r="G183">
        <f>VLOOKUP(A183,NYSEARCATIP!A$2:G$506,4,0)</f>
        <v>110.92</v>
      </c>
      <c r="H183">
        <f>VLOOKUP(A183,NYSEARCAMUB!A$2:G$506,4,0)</f>
        <v>111.8</v>
      </c>
      <c r="I183">
        <f>VLOOKUP(A183,NYSEARCAVNQ!A$2:G$506,4,0)</f>
        <v>71.44</v>
      </c>
      <c r="J183">
        <f>VLOOKUP(A183,NYSEARCARWX!A$2:G$506,4,0)</f>
        <v>36.32</v>
      </c>
      <c r="K183">
        <f>VLOOKUP(A183,NYSEARCADBC!A$2:G$506,4,0)</f>
        <v>12.1</v>
      </c>
      <c r="L183">
        <f>VLOOKUP(A183,NYSEARCAGSG!A$2:G$506,4,0)</f>
        <v>12.31</v>
      </c>
      <c r="M183">
        <f>VLOOKUP(A183,NYSEARCAGLD!A$2:G$506,4,0)</f>
        <v>113.55</v>
      </c>
      <c r="N183">
        <f>VLOOKUP(A183,NYSEBP!A$2:G$506,4,0)</f>
        <v>28.75</v>
      </c>
      <c r="O183">
        <f>VLOOKUP(A183,NASDAQYHOO!A$2:G$506,4,0)</f>
        <v>26.51</v>
      </c>
    </row>
    <row r="184" spans="1:15">
      <c r="A184" s="39">
        <v>42410</v>
      </c>
      <c r="B184">
        <v>65.64</v>
      </c>
      <c r="C184">
        <f>VLOOKUP(A184,NYSEARCAVTI!A$2:G$506,4,0)</f>
        <v>93.62</v>
      </c>
      <c r="D184">
        <f>VLOOKUP(A184,NYSEARCAVEU!A$2:G$506,4,0)</f>
        <v>38.68</v>
      </c>
      <c r="E184">
        <f>VLOOKUP(A184,NYSEARCAVWO!A$2:G$506,4,0)</f>
        <v>29.58</v>
      </c>
      <c r="F184">
        <f>VLOOKUP(A184,NYSEARCABND!A$2:G$506,4,0)</f>
        <v>81.92</v>
      </c>
      <c r="G184">
        <f>VLOOKUP(A184,NYSEARCATIP!A$2:G$506,4,0)</f>
        <v>111.35</v>
      </c>
      <c r="H184">
        <f>VLOOKUP(A184,NYSEARCAMUB!A$2:G$506,4,0)</f>
        <v>111.83</v>
      </c>
      <c r="I184">
        <f>VLOOKUP(A184,NYSEARCAVNQ!A$2:G$506,4,0)</f>
        <v>72.180000000000007</v>
      </c>
      <c r="J184">
        <f>VLOOKUP(A184,NYSEARCARWX!A$2:G$506,4,0)</f>
        <v>36.74</v>
      </c>
      <c r="K184">
        <f>VLOOKUP(A184,NYSEARCADBC!A$2:G$506,4,0)</f>
        <v>12.1</v>
      </c>
      <c r="L184">
        <f>VLOOKUP(A184,NYSEARCAGSG!A$2:G$506,4,0)</f>
        <v>12.3</v>
      </c>
      <c r="M184">
        <f>VLOOKUP(A184,NYSEARCAGLD!A$2:G$506,4,0)</f>
        <v>112.98</v>
      </c>
      <c r="N184">
        <f>VLOOKUP(A184,NYSEBP!A$2:G$506,4,0)</f>
        <v>27.85</v>
      </c>
      <c r="O184">
        <f>VLOOKUP(A184,NASDAQYHOO!A$2:G$506,4,0)</f>
        <v>26.84</v>
      </c>
    </row>
    <row r="185" spans="1:15">
      <c r="A185" s="39">
        <v>42411</v>
      </c>
      <c r="B185">
        <v>64.78</v>
      </c>
      <c r="C185">
        <f>VLOOKUP(A185,NYSEARCAVTI!A$2:G$506,4,0)</f>
        <v>91.58</v>
      </c>
      <c r="D185">
        <f>VLOOKUP(A185,NYSEARCAVEU!A$2:G$506,4,0)</f>
        <v>37.82</v>
      </c>
      <c r="E185">
        <f>VLOOKUP(A185,NYSEARCAVWO!A$2:G$506,4,0)</f>
        <v>28.9</v>
      </c>
      <c r="F185">
        <f>VLOOKUP(A185,NYSEARCABND!A$2:G$506,4,0)</f>
        <v>82.22</v>
      </c>
      <c r="G185">
        <f>VLOOKUP(A185,NYSEARCATIP!A$2:G$506,4,0)</f>
        <v>111.66</v>
      </c>
      <c r="H185">
        <f>VLOOKUP(A185,NYSEARCAMUB!A$2:G$506,4,0)</f>
        <v>112.05</v>
      </c>
      <c r="I185">
        <f>VLOOKUP(A185,NYSEARCAVNQ!A$2:G$506,4,0)</f>
        <v>70.89</v>
      </c>
      <c r="J185">
        <f>VLOOKUP(A185,NYSEARCARWX!A$2:G$506,4,0)</f>
        <v>36.159999999999997</v>
      </c>
      <c r="K185">
        <f>VLOOKUP(A185,NYSEARCADBC!A$2:G$506,4,0)</f>
        <v>12.15</v>
      </c>
      <c r="L185">
        <f>VLOOKUP(A185,NYSEARCAGSG!A$2:G$506,4,0)</f>
        <v>12.2</v>
      </c>
      <c r="M185">
        <f>VLOOKUP(A185,NYSEARCAGLD!A$2:G$506,4,0)</f>
        <v>117.77</v>
      </c>
      <c r="N185">
        <f>VLOOKUP(A185,NYSEBP!A$2:G$506,4,0)</f>
        <v>27.01</v>
      </c>
      <c r="O185">
        <f>VLOOKUP(A185,NASDAQYHOO!A$2:G$506,4,0)</f>
        <v>26.15</v>
      </c>
    </row>
    <row r="186" spans="1:15">
      <c r="A186" s="39">
        <v>42412</v>
      </c>
      <c r="B186">
        <v>64.87</v>
      </c>
      <c r="C186">
        <f>VLOOKUP(A186,NYSEARCAVTI!A$2:G$506,4,0)</f>
        <v>93.01</v>
      </c>
      <c r="D186">
        <f>VLOOKUP(A186,NYSEARCAVEU!A$2:G$506,4,0)</f>
        <v>38.159999999999997</v>
      </c>
      <c r="E186">
        <f>VLOOKUP(A186,NYSEARCAVWO!A$2:G$506,4,0)</f>
        <v>29.22</v>
      </c>
      <c r="F186">
        <f>VLOOKUP(A186,NYSEARCABND!A$2:G$506,4,0)</f>
        <v>81.89</v>
      </c>
      <c r="G186">
        <f>VLOOKUP(A186,NYSEARCATIP!A$2:G$506,4,0)</f>
        <v>111.45</v>
      </c>
      <c r="H186">
        <f>VLOOKUP(A186,NYSEARCAMUB!A$2:G$506,4,0)</f>
        <v>111.8</v>
      </c>
      <c r="I186">
        <f>VLOOKUP(A186,NYSEARCAVNQ!A$2:G$506,4,0)</f>
        <v>71.55</v>
      </c>
      <c r="J186">
        <f>VLOOKUP(A186,NYSEARCARWX!A$2:G$506,4,0)</f>
        <v>36.270000000000003</v>
      </c>
      <c r="K186">
        <f>VLOOKUP(A186,NYSEARCADBC!A$2:G$506,4,0)</f>
        <v>12.34</v>
      </c>
      <c r="L186">
        <f>VLOOKUP(A186,NYSEARCAGSG!A$2:G$506,4,0)</f>
        <v>12.46</v>
      </c>
      <c r="M186">
        <f>VLOOKUP(A186,NYSEARCAGLD!A$2:G$506,4,0)</f>
        <v>117.88</v>
      </c>
      <c r="N186">
        <f>VLOOKUP(A186,NYSEBP!A$2:G$506,4,0)</f>
        <v>28.08</v>
      </c>
      <c r="O186">
        <f>VLOOKUP(A186,NASDAQYHOO!A$2:G$506,4,0)</f>
        <v>26.72</v>
      </c>
    </row>
    <row r="187" spans="1:15">
      <c r="A187" s="39">
        <v>42416</v>
      </c>
      <c r="B187">
        <v>65.5</v>
      </c>
      <c r="C187">
        <f>VLOOKUP(A187,NYSEARCAVTI!A$2:G$506,4,0)</f>
        <v>94.96</v>
      </c>
      <c r="D187">
        <f>VLOOKUP(A187,NYSEARCAVEU!A$2:G$506,4,0)</f>
        <v>39.21</v>
      </c>
      <c r="E187">
        <f>VLOOKUP(A187,NYSEARCAVWO!A$2:G$506,4,0)</f>
        <v>30.12</v>
      </c>
      <c r="F187">
        <f>VLOOKUP(A187,NYSEARCABND!A$2:G$506,4,0)</f>
        <v>81.8</v>
      </c>
      <c r="G187">
        <f>VLOOKUP(A187,NYSEARCATIP!A$2:G$506,4,0)</f>
        <v>111.09</v>
      </c>
      <c r="H187">
        <f>VLOOKUP(A187,NYSEARCAMUB!A$2:G$506,4,0)</f>
        <v>111.84</v>
      </c>
      <c r="I187">
        <f>VLOOKUP(A187,NYSEARCAVNQ!A$2:G$506,4,0)</f>
        <v>72.510000000000005</v>
      </c>
      <c r="J187">
        <f>VLOOKUP(A187,NYSEARCARWX!A$2:G$506,4,0)</f>
        <v>37.43</v>
      </c>
      <c r="K187">
        <f>VLOOKUP(A187,NYSEARCADBC!A$2:G$506,4,0)</f>
        <v>12.32</v>
      </c>
      <c r="L187">
        <f>VLOOKUP(A187,NYSEARCAGSG!A$2:G$506,4,0)</f>
        <v>12.58</v>
      </c>
      <c r="M187">
        <f>VLOOKUP(A187,NYSEARCAGLD!A$2:G$506,4,0)</f>
        <v>114.74</v>
      </c>
      <c r="N187">
        <f>VLOOKUP(A187,NYSEBP!A$2:G$506,4,0)</f>
        <v>28.84</v>
      </c>
      <c r="O187">
        <f>VLOOKUP(A187,NASDAQYHOO!A$2:G$506,4,0)</f>
        <v>27.94</v>
      </c>
    </row>
    <row r="188" spans="1:15">
      <c r="A188" s="39">
        <v>42417</v>
      </c>
      <c r="B188">
        <v>65.81</v>
      </c>
      <c r="C188">
        <f>VLOOKUP(A188,NYSEARCAVTI!A$2:G$506,4,0)</f>
        <v>96.59</v>
      </c>
      <c r="D188">
        <f>VLOOKUP(A188,NYSEARCAVEU!A$2:G$506,4,0)</f>
        <v>39.9</v>
      </c>
      <c r="E188">
        <f>VLOOKUP(A188,NYSEARCAVWO!A$2:G$506,4,0)</f>
        <v>30.59</v>
      </c>
      <c r="F188">
        <f>VLOOKUP(A188,NYSEARCABND!A$2:G$506,4,0)</f>
        <v>81.66</v>
      </c>
      <c r="G188">
        <f>VLOOKUP(A188,NYSEARCATIP!A$2:G$506,4,0)</f>
        <v>110.94</v>
      </c>
      <c r="H188">
        <f>VLOOKUP(A188,NYSEARCAMUB!A$2:G$506,4,0)</f>
        <v>111.65</v>
      </c>
      <c r="I188">
        <f>VLOOKUP(A188,NYSEARCAVNQ!A$2:G$506,4,0)</f>
        <v>73.69</v>
      </c>
      <c r="J188">
        <f>VLOOKUP(A188,NYSEARCARWX!A$2:G$506,4,0)</f>
        <v>37.9</v>
      </c>
      <c r="K188">
        <f>VLOOKUP(A188,NYSEARCADBC!A$2:G$506,4,0)</f>
        <v>12.39</v>
      </c>
      <c r="L188">
        <f>VLOOKUP(A188,NYSEARCAGSG!A$2:G$506,4,0)</f>
        <v>12.72</v>
      </c>
      <c r="M188">
        <f>VLOOKUP(A188,NYSEARCAGLD!A$2:G$506,4,0)</f>
        <v>114.89</v>
      </c>
      <c r="N188">
        <f>VLOOKUP(A188,NYSEBP!A$2:G$506,4,0)</f>
        <v>29.23</v>
      </c>
      <c r="O188">
        <f>VLOOKUP(A188,NASDAQYHOO!A$2:G$506,4,0)</f>
        <v>29.06</v>
      </c>
    </row>
    <row r="189" spans="1:15">
      <c r="A189" s="39">
        <v>42418</v>
      </c>
      <c r="B189">
        <v>62.35</v>
      </c>
      <c r="C189">
        <f>VLOOKUP(A189,NYSEARCAVTI!A$2:G$506,4,0)</f>
        <v>97.09</v>
      </c>
      <c r="D189">
        <f>VLOOKUP(A189,NYSEARCAVEU!A$2:G$506,4,0)</f>
        <v>40.130000000000003</v>
      </c>
      <c r="E189">
        <f>VLOOKUP(A189,NYSEARCAVWO!A$2:G$506,4,0)</f>
        <v>30.78</v>
      </c>
      <c r="F189">
        <f>VLOOKUP(A189,NYSEARCABND!A$2:G$506,4,0)</f>
        <v>81.86</v>
      </c>
      <c r="G189">
        <f>VLOOKUP(A189,NYSEARCATIP!A$2:G$506,4,0)</f>
        <v>110.8</v>
      </c>
      <c r="H189">
        <f>VLOOKUP(A189,NYSEARCAMUB!A$2:G$506,4,0)</f>
        <v>111.59</v>
      </c>
      <c r="I189">
        <f>VLOOKUP(A189,NYSEARCAVNQ!A$2:G$506,4,0)</f>
        <v>73.95</v>
      </c>
      <c r="J189">
        <f>VLOOKUP(A189,NYSEARCARWX!A$2:G$506,4,0)</f>
        <v>38</v>
      </c>
      <c r="K189">
        <f>VLOOKUP(A189,NYSEARCADBC!A$2:G$506,4,0)</f>
        <v>12.52</v>
      </c>
      <c r="L189">
        <f>VLOOKUP(A189,NYSEARCAGSG!A$2:G$506,4,0)</f>
        <v>12.92</v>
      </c>
      <c r="M189">
        <f>VLOOKUP(A189,NYSEARCAGLD!A$2:G$506,4,0)</f>
        <v>115.29</v>
      </c>
      <c r="N189">
        <f>VLOOKUP(A189,NYSEBP!A$2:G$506,4,0)</f>
        <v>29.61</v>
      </c>
      <c r="O189">
        <f>VLOOKUP(A189,NASDAQYHOO!A$2:G$506,4,0)</f>
        <v>29.39</v>
      </c>
    </row>
    <row r="190" spans="1:15">
      <c r="A190" s="39">
        <v>42419</v>
      </c>
      <c r="B190">
        <v>63.44</v>
      </c>
      <c r="C190">
        <f>VLOOKUP(A190,NYSEARCAVTI!A$2:G$506,4,0)</f>
        <v>96.43</v>
      </c>
      <c r="D190">
        <f>VLOOKUP(A190,NYSEARCAVEU!A$2:G$506,4,0)</f>
        <v>39.729999999999997</v>
      </c>
      <c r="E190">
        <f>VLOOKUP(A190,NYSEARCAVWO!A$2:G$506,4,0)</f>
        <v>30.51</v>
      </c>
      <c r="F190">
        <f>VLOOKUP(A190,NYSEARCABND!A$2:G$506,4,0)</f>
        <v>82</v>
      </c>
      <c r="G190">
        <f>VLOOKUP(A190,NYSEARCATIP!A$2:G$506,4,0)</f>
        <v>111.18</v>
      </c>
      <c r="H190">
        <f>VLOOKUP(A190,NYSEARCAMUB!A$2:G$506,4,0)</f>
        <v>111.61</v>
      </c>
      <c r="I190">
        <f>VLOOKUP(A190,NYSEARCAVNQ!A$2:G$506,4,0)</f>
        <v>74.489999999999995</v>
      </c>
      <c r="J190">
        <f>VLOOKUP(A190,NYSEARCARWX!A$2:G$506,4,0)</f>
        <v>38.04</v>
      </c>
      <c r="K190">
        <f>VLOOKUP(A190,NYSEARCADBC!A$2:G$506,4,0)</f>
        <v>12.38</v>
      </c>
      <c r="L190">
        <f>VLOOKUP(A190,NYSEARCAGSG!A$2:G$506,4,0)</f>
        <v>12.68</v>
      </c>
      <c r="M190">
        <f>VLOOKUP(A190,NYSEARCAGLD!A$2:G$506,4,0)</f>
        <v>117.1</v>
      </c>
      <c r="N190">
        <f>VLOOKUP(A190,NYSEBP!A$2:G$506,4,0)</f>
        <v>29.31</v>
      </c>
      <c r="O190">
        <f>VLOOKUP(A190,NASDAQYHOO!A$2:G$506,4,0)</f>
        <v>29.7</v>
      </c>
    </row>
    <row r="191" spans="1:15">
      <c r="A191" s="39">
        <v>42422</v>
      </c>
      <c r="B191">
        <v>64.959999999999994</v>
      </c>
      <c r="C191">
        <f>VLOOKUP(A191,NYSEARCAVTI!A$2:G$506,4,0)</f>
        <v>98.11</v>
      </c>
      <c r="D191">
        <f>VLOOKUP(A191,NYSEARCAVEU!A$2:G$506,4,0)</f>
        <v>40.380000000000003</v>
      </c>
      <c r="E191">
        <f>VLOOKUP(A191,NYSEARCAVWO!A$2:G$506,4,0)</f>
        <v>31.15</v>
      </c>
      <c r="F191">
        <f>VLOOKUP(A191,NYSEARCABND!A$2:G$506,4,0)</f>
        <v>81.97</v>
      </c>
      <c r="G191">
        <f>VLOOKUP(A191,NYSEARCATIP!A$2:G$506,4,0)</f>
        <v>111.36</v>
      </c>
      <c r="H191">
        <f>VLOOKUP(A191,NYSEARCAMUB!A$2:G$506,4,0)</f>
        <v>111.58</v>
      </c>
      <c r="I191">
        <f>VLOOKUP(A191,NYSEARCAVNQ!A$2:G$506,4,0)</f>
        <v>76</v>
      </c>
      <c r="J191">
        <f>VLOOKUP(A191,NYSEARCARWX!A$2:G$506,4,0)</f>
        <v>38.56</v>
      </c>
      <c r="K191">
        <f>VLOOKUP(A191,NYSEARCADBC!A$2:G$506,4,0)</f>
        <v>12.57</v>
      </c>
      <c r="L191">
        <f>VLOOKUP(A191,NYSEARCAGSG!A$2:G$506,4,0)</f>
        <v>13</v>
      </c>
      <c r="M191">
        <f>VLOOKUP(A191,NYSEARCAGLD!A$2:G$506,4,0)</f>
        <v>115.41</v>
      </c>
      <c r="N191">
        <f>VLOOKUP(A191,NYSEBP!A$2:G$506,4,0)</f>
        <v>30.1</v>
      </c>
      <c r="O191">
        <f>VLOOKUP(A191,NASDAQYHOO!A$2:G$506,4,0)</f>
        <v>30.39</v>
      </c>
    </row>
    <row r="192" spans="1:15">
      <c r="A192" s="39">
        <v>42423</v>
      </c>
      <c r="B192">
        <v>65.28</v>
      </c>
      <c r="C192">
        <f>VLOOKUP(A192,NYSEARCAVTI!A$2:G$506,4,0)</f>
        <v>97.47</v>
      </c>
      <c r="D192">
        <f>VLOOKUP(A192,NYSEARCAVEU!A$2:G$506,4,0)</f>
        <v>39.840000000000003</v>
      </c>
      <c r="E192">
        <f>VLOOKUP(A192,NYSEARCAVWO!A$2:G$506,4,0)</f>
        <v>30.76</v>
      </c>
      <c r="F192">
        <f>VLOOKUP(A192,NYSEARCABND!A$2:G$506,4,0)</f>
        <v>81.900000000000006</v>
      </c>
      <c r="G192">
        <f>VLOOKUP(A192,NYSEARCATIP!A$2:G$506,4,0)</f>
        <v>111.27</v>
      </c>
      <c r="H192">
        <f>VLOOKUP(A192,NYSEARCAMUB!A$2:G$506,4,0)</f>
        <v>111.47</v>
      </c>
      <c r="I192">
        <f>VLOOKUP(A192,NYSEARCAVNQ!A$2:G$506,4,0)</f>
        <v>75.83</v>
      </c>
      <c r="J192">
        <f>VLOOKUP(A192,NYSEARCARWX!A$2:G$506,4,0)</f>
        <v>38.08</v>
      </c>
      <c r="K192">
        <f>VLOOKUP(A192,NYSEARCADBC!A$2:G$506,4,0)</f>
        <v>12.4</v>
      </c>
      <c r="L192">
        <f>VLOOKUP(A192,NYSEARCAGSG!A$2:G$506,4,0)</f>
        <v>12.74</v>
      </c>
      <c r="M192">
        <f>VLOOKUP(A192,NYSEARCAGLD!A$2:G$506,4,0)</f>
        <v>116.52</v>
      </c>
      <c r="N192">
        <f>VLOOKUP(A192,NYSEBP!A$2:G$506,4,0)</f>
        <v>28.95</v>
      </c>
      <c r="O192">
        <f>VLOOKUP(A192,NASDAQYHOO!A$2:G$506,4,0)</f>
        <v>30.5</v>
      </c>
    </row>
    <row r="193" spans="1:15">
      <c r="A193" s="39">
        <v>42424</v>
      </c>
      <c r="B193">
        <v>65.72</v>
      </c>
      <c r="C193">
        <f>VLOOKUP(A193,NYSEARCAVTI!A$2:G$506,4,0)</f>
        <v>95.99</v>
      </c>
      <c r="D193">
        <f>VLOOKUP(A193,NYSEARCAVEU!A$2:G$506,4,0)</f>
        <v>39.06</v>
      </c>
      <c r="E193">
        <f>VLOOKUP(A193,NYSEARCAVWO!A$2:G$506,4,0)</f>
        <v>30.12</v>
      </c>
      <c r="F193">
        <f>VLOOKUP(A193,NYSEARCABND!A$2:G$506,4,0)</f>
        <v>82.11</v>
      </c>
      <c r="G193">
        <f>VLOOKUP(A193,NYSEARCATIP!A$2:G$506,4,0)</f>
        <v>112.08</v>
      </c>
      <c r="H193">
        <f>VLOOKUP(A193,NYSEARCAMUB!A$2:G$506,4,0)</f>
        <v>111.42</v>
      </c>
      <c r="I193">
        <f>VLOOKUP(A193,NYSEARCAVNQ!A$2:G$506,4,0)</f>
        <v>75.08</v>
      </c>
      <c r="J193">
        <f>VLOOKUP(A193,NYSEARCARWX!A$2:G$506,4,0)</f>
        <v>37.659999999999997</v>
      </c>
      <c r="K193">
        <f>VLOOKUP(A193,NYSEARCADBC!A$2:G$506,4,0)</f>
        <v>12.36</v>
      </c>
      <c r="L193">
        <f>VLOOKUP(A193,NYSEARCAGSG!A$2:G$506,4,0)</f>
        <v>12.6</v>
      </c>
      <c r="M193">
        <f>VLOOKUP(A193,NYSEARCAGLD!A$2:G$506,4,0)</f>
        <v>117.35</v>
      </c>
      <c r="N193">
        <f>VLOOKUP(A193,NYSEBP!A$2:G$506,4,0)</f>
        <v>28.01</v>
      </c>
      <c r="O193">
        <f>VLOOKUP(A193,NASDAQYHOO!A$2:G$506,4,0)</f>
        <v>29.8</v>
      </c>
    </row>
    <row r="194" spans="1:15">
      <c r="A194" s="39">
        <v>42425</v>
      </c>
      <c r="B194">
        <v>67.33</v>
      </c>
      <c r="C194">
        <f>VLOOKUP(A194,NYSEARCAVTI!A$2:G$506,4,0)</f>
        <v>97.82</v>
      </c>
      <c r="D194">
        <f>VLOOKUP(A194,NYSEARCAVEU!A$2:G$506,4,0)</f>
        <v>39.770000000000003</v>
      </c>
      <c r="E194">
        <f>VLOOKUP(A194,NYSEARCAVWO!A$2:G$506,4,0)</f>
        <v>30.46</v>
      </c>
      <c r="F194">
        <f>VLOOKUP(A194,NYSEARCABND!A$2:G$506,4,0)</f>
        <v>82.23</v>
      </c>
      <c r="G194">
        <f>VLOOKUP(A194,NYSEARCATIP!A$2:G$506,4,0)</f>
        <v>112.26</v>
      </c>
      <c r="H194">
        <f>VLOOKUP(A194,NYSEARCAMUB!A$2:G$506,4,0)</f>
        <v>111.5</v>
      </c>
      <c r="I194">
        <f>VLOOKUP(A194,NYSEARCAVNQ!A$2:G$506,4,0)</f>
        <v>76.2</v>
      </c>
      <c r="J194">
        <f>VLOOKUP(A194,NYSEARCARWX!A$2:G$506,4,0)</f>
        <v>38.36</v>
      </c>
      <c r="K194">
        <f>VLOOKUP(A194,NYSEARCADBC!A$2:G$506,4,0)</f>
        <v>12.44</v>
      </c>
      <c r="L194">
        <f>VLOOKUP(A194,NYSEARCAGSG!A$2:G$506,4,0)</f>
        <v>12.72</v>
      </c>
      <c r="M194">
        <f>VLOOKUP(A194,NYSEARCAGLD!A$2:G$506,4,0)</f>
        <v>117.54</v>
      </c>
      <c r="N194">
        <f>VLOOKUP(A194,NYSEBP!A$2:G$506,4,0)</f>
        <v>28.12</v>
      </c>
      <c r="O194">
        <f>VLOOKUP(A194,NASDAQYHOO!A$2:G$506,4,0)</f>
        <v>30.24</v>
      </c>
    </row>
    <row r="195" spans="1:15">
      <c r="A195" s="39">
        <v>42426</v>
      </c>
      <c r="B195">
        <v>66.3</v>
      </c>
      <c r="C195">
        <f>VLOOKUP(A195,NYSEARCAVTI!A$2:G$506,4,0)</f>
        <v>98.96</v>
      </c>
      <c r="D195">
        <f>VLOOKUP(A195,NYSEARCAVEU!A$2:G$506,4,0)</f>
        <v>40.020000000000003</v>
      </c>
      <c r="E195">
        <f>VLOOKUP(A195,NYSEARCAVWO!A$2:G$506,4,0)</f>
        <v>30.48</v>
      </c>
      <c r="F195">
        <f>VLOOKUP(A195,NYSEARCABND!A$2:G$506,4,0)</f>
        <v>82.03</v>
      </c>
      <c r="G195">
        <f>VLOOKUP(A195,NYSEARCATIP!A$2:G$506,4,0)</f>
        <v>112.17</v>
      </c>
      <c r="H195">
        <f>VLOOKUP(A195,NYSEARCAMUB!A$2:G$506,4,0)</f>
        <v>111.31</v>
      </c>
      <c r="I195">
        <f>VLOOKUP(A195,NYSEARCAVNQ!A$2:G$506,4,0)</f>
        <v>76.98</v>
      </c>
      <c r="J195">
        <f>VLOOKUP(A195,NYSEARCARWX!A$2:G$506,4,0)</f>
        <v>38.369999999999997</v>
      </c>
      <c r="K195">
        <f>VLOOKUP(A195,NYSEARCADBC!A$2:G$506,4,0)</f>
        <v>12.55</v>
      </c>
      <c r="L195">
        <f>VLOOKUP(A195,NYSEARCAGSG!A$2:G$506,4,0)</f>
        <v>12.97</v>
      </c>
      <c r="M195">
        <f>VLOOKUP(A195,NYSEARCAGLD!A$2:G$506,4,0)</f>
        <v>115.86</v>
      </c>
      <c r="N195">
        <f>VLOOKUP(A195,NYSEBP!A$2:G$506,4,0)</f>
        <v>28.91</v>
      </c>
      <c r="O195">
        <f>VLOOKUP(A195,NASDAQYHOO!A$2:G$506,4,0)</f>
        <v>31.22</v>
      </c>
    </row>
    <row r="196" spans="1:15">
      <c r="A196" s="39">
        <v>42429</v>
      </c>
      <c r="B196">
        <v>66.22</v>
      </c>
      <c r="C196">
        <f>VLOOKUP(A196,NYSEARCAVTI!A$2:G$506,4,0)</f>
        <v>98.32</v>
      </c>
      <c r="D196">
        <f>VLOOKUP(A196,NYSEARCAVEU!A$2:G$506,4,0)</f>
        <v>39.96</v>
      </c>
      <c r="E196">
        <f>VLOOKUP(A196,NYSEARCAVWO!A$2:G$506,4,0)</f>
        <v>30.71</v>
      </c>
      <c r="F196">
        <f>VLOOKUP(A196,NYSEARCABND!A$2:G$506,4,0)</f>
        <v>82.13</v>
      </c>
      <c r="G196">
        <f>VLOOKUP(A196,NYSEARCATIP!A$2:G$506,4,0)</f>
        <v>112.36</v>
      </c>
      <c r="H196">
        <f>VLOOKUP(A196,NYSEARCAMUB!A$2:G$506,4,0)</f>
        <v>111.32</v>
      </c>
      <c r="I196">
        <f>VLOOKUP(A196,NYSEARCAVNQ!A$2:G$506,4,0)</f>
        <v>76.59</v>
      </c>
      <c r="J196">
        <f>VLOOKUP(A196,NYSEARCARWX!A$2:G$506,4,0)</f>
        <v>38.369999999999997</v>
      </c>
      <c r="K196">
        <f>VLOOKUP(A196,NYSEARCADBC!A$2:G$506,4,0)</f>
        <v>12.62</v>
      </c>
      <c r="L196">
        <f>VLOOKUP(A196,NYSEARCAGSG!A$2:G$506,4,0)</f>
        <v>13.07</v>
      </c>
      <c r="M196">
        <f>VLOOKUP(A196,NYSEARCAGLD!A$2:G$506,4,0)</f>
        <v>117.53</v>
      </c>
      <c r="N196">
        <f>VLOOKUP(A196,NYSEBP!A$2:G$506,4,0)</f>
        <v>29</v>
      </c>
      <c r="O196">
        <f>VLOOKUP(A196,NASDAQYHOO!A$2:G$506,4,0)</f>
        <v>31.31</v>
      </c>
    </row>
    <row r="197" spans="1:15">
      <c r="A197" s="39">
        <v>42430</v>
      </c>
      <c r="B197">
        <v>66</v>
      </c>
      <c r="C197">
        <f>VLOOKUP(A197,NYSEARCAVTI!A$2:G$506,4,0)</f>
        <v>98.84</v>
      </c>
      <c r="D197">
        <f>VLOOKUP(A197,NYSEARCAVEU!A$2:G$506,4,0)</f>
        <v>40.5</v>
      </c>
      <c r="E197">
        <f>VLOOKUP(A197,NYSEARCAVWO!A$2:G$506,4,0)</f>
        <v>31.33</v>
      </c>
      <c r="F197">
        <f>VLOOKUP(A197,NYSEARCABND!A$2:G$506,4,0)</f>
        <v>81.73</v>
      </c>
      <c r="G197">
        <f>VLOOKUP(A197,NYSEARCATIP!A$2:G$506,4,0)</f>
        <v>112.23</v>
      </c>
      <c r="H197">
        <f>VLOOKUP(A197,NYSEARCAMUB!A$2:G$506,4,0)</f>
        <v>110.95</v>
      </c>
      <c r="I197">
        <f>VLOOKUP(A197,NYSEARCAVNQ!A$2:G$506,4,0)</f>
        <v>76.64</v>
      </c>
      <c r="J197">
        <f>VLOOKUP(A197,NYSEARCARWX!A$2:G$506,4,0)</f>
        <v>38.83</v>
      </c>
      <c r="K197">
        <f>VLOOKUP(A197,NYSEARCADBC!A$2:G$506,4,0)</f>
        <v>12.64</v>
      </c>
      <c r="L197">
        <f>VLOOKUP(A197,NYSEARCAGSG!A$2:G$506,4,0)</f>
        <v>13.07</v>
      </c>
      <c r="M197">
        <f>VLOOKUP(A197,NYSEARCAGLD!A$2:G$506,4,0)</f>
        <v>117.34</v>
      </c>
      <c r="N197">
        <f>VLOOKUP(A197,NYSEBP!A$2:G$506,4,0)</f>
        <v>29.1</v>
      </c>
      <c r="O197">
        <f>VLOOKUP(A197,NASDAQYHOO!A$2:G$506,4,0)</f>
        <v>32.04</v>
      </c>
    </row>
    <row r="198" spans="1:15">
      <c r="A198" s="39">
        <v>42431</v>
      </c>
      <c r="B198">
        <v>66</v>
      </c>
      <c r="C198">
        <f>VLOOKUP(A198,NYSEARCAVTI!A$2:G$506,4,0)</f>
        <v>100.26</v>
      </c>
      <c r="D198">
        <f>VLOOKUP(A198,NYSEARCAVEU!A$2:G$506,4,0)</f>
        <v>40.950000000000003</v>
      </c>
      <c r="E198">
        <f>VLOOKUP(A198,NYSEARCAVWO!A$2:G$506,4,0)</f>
        <v>31.88</v>
      </c>
      <c r="F198">
        <f>VLOOKUP(A198,NYSEARCABND!A$2:G$506,4,0)</f>
        <v>81.650000000000006</v>
      </c>
      <c r="G198">
        <f>VLOOKUP(A198,NYSEARCATIP!A$2:G$506,4,0)</f>
        <v>112.22</v>
      </c>
      <c r="H198">
        <f>VLOOKUP(A198,NYSEARCAMUB!A$2:G$506,4,0)</f>
        <v>110.83</v>
      </c>
      <c r="I198">
        <f>VLOOKUP(A198,NYSEARCAVNQ!A$2:G$506,4,0)</f>
        <v>78.41</v>
      </c>
      <c r="J198">
        <f>VLOOKUP(A198,NYSEARCARWX!A$2:G$506,4,0)</f>
        <v>39.11</v>
      </c>
      <c r="K198">
        <f>VLOOKUP(A198,NYSEARCADBC!A$2:G$506,4,0)</f>
        <v>12.7</v>
      </c>
      <c r="L198">
        <f>VLOOKUP(A198,NYSEARCAGSG!A$2:G$506,4,0)</f>
        <v>13.12</v>
      </c>
      <c r="M198">
        <f>VLOOKUP(A198,NYSEARCAGLD!A$2:G$506,4,0)</f>
        <v>118.07</v>
      </c>
      <c r="N198">
        <f>VLOOKUP(A198,NYSEBP!A$2:G$506,4,0)</f>
        <v>29.34</v>
      </c>
      <c r="O198">
        <f>VLOOKUP(A198,NASDAQYHOO!A$2:G$506,4,0)</f>
        <v>32.770000000000003</v>
      </c>
    </row>
    <row r="199" spans="1:15">
      <c r="A199" s="39">
        <v>42432</v>
      </c>
      <c r="B199">
        <v>64.88</v>
      </c>
      <c r="C199">
        <f>VLOOKUP(A199,NYSEARCAVTI!A$2:G$506,4,0)</f>
        <v>100.85</v>
      </c>
      <c r="D199">
        <f>VLOOKUP(A199,NYSEARCAVEU!A$2:G$506,4,0)</f>
        <v>41.46</v>
      </c>
      <c r="E199">
        <f>VLOOKUP(A199,NYSEARCAVWO!A$2:G$506,4,0)</f>
        <v>32.299999999999997</v>
      </c>
      <c r="F199">
        <f>VLOOKUP(A199,NYSEARCABND!A$2:G$506,4,0)</f>
        <v>81.739999999999995</v>
      </c>
      <c r="G199">
        <f>VLOOKUP(A199,NYSEARCATIP!A$2:G$506,4,0)</f>
        <v>112.63</v>
      </c>
      <c r="H199">
        <f>VLOOKUP(A199,NYSEARCAMUB!A$2:G$506,4,0)</f>
        <v>110.83</v>
      </c>
      <c r="I199">
        <f>VLOOKUP(A199,NYSEARCAVNQ!A$2:G$506,4,0)</f>
        <v>79.06</v>
      </c>
      <c r="J199">
        <f>VLOOKUP(A199,NYSEARCARWX!A$2:G$506,4,0)</f>
        <v>39.44</v>
      </c>
      <c r="K199">
        <f>VLOOKUP(A199,NYSEARCADBC!A$2:G$506,4,0)</f>
        <v>12.76</v>
      </c>
      <c r="L199">
        <f>VLOOKUP(A199,NYSEARCAGSG!A$2:G$506,4,0)</f>
        <v>13.21</v>
      </c>
      <c r="M199">
        <f>VLOOKUP(A199,NYSEARCAGLD!A$2:G$506,4,0)</f>
        <v>118.81</v>
      </c>
      <c r="N199">
        <f>VLOOKUP(A199,NYSEBP!A$2:G$506,4,0)</f>
        <v>30.2</v>
      </c>
      <c r="O199">
        <f>VLOOKUP(A199,NASDAQYHOO!A$2:G$506,4,0)</f>
        <v>32.42</v>
      </c>
    </row>
    <row r="200" spans="1:15">
      <c r="A200" s="39">
        <v>42433</v>
      </c>
      <c r="B200">
        <v>66.09</v>
      </c>
      <c r="C200">
        <f>VLOOKUP(A200,NYSEARCAVTI!A$2:G$506,4,0)</f>
        <v>101.4</v>
      </c>
      <c r="D200">
        <f>VLOOKUP(A200,NYSEARCAVEU!A$2:G$506,4,0)</f>
        <v>42.05</v>
      </c>
      <c r="E200">
        <f>VLOOKUP(A200,NYSEARCAVWO!A$2:G$506,4,0)</f>
        <v>32.97</v>
      </c>
      <c r="F200">
        <f>VLOOKUP(A200,NYSEARCABND!A$2:G$506,4,0)</f>
        <v>81.650000000000006</v>
      </c>
      <c r="G200">
        <f>VLOOKUP(A200,NYSEARCATIP!A$2:G$506,4,0)</f>
        <v>112.37</v>
      </c>
      <c r="H200">
        <f>VLOOKUP(A200,NYSEARCAMUB!A$2:G$506,4,0)</f>
        <v>110.62</v>
      </c>
      <c r="I200">
        <f>VLOOKUP(A200,NYSEARCAVNQ!A$2:G$506,4,0)</f>
        <v>79.290000000000006</v>
      </c>
      <c r="J200">
        <f>VLOOKUP(A200,NYSEARCARWX!A$2:G$506,4,0)</f>
        <v>39.700000000000003</v>
      </c>
      <c r="K200">
        <f>VLOOKUP(A200,NYSEARCADBC!A$2:G$506,4,0)</f>
        <v>12.94</v>
      </c>
      <c r="L200">
        <f>VLOOKUP(A200,NYSEARCAGSG!A$2:G$506,4,0)</f>
        <v>13.37</v>
      </c>
      <c r="M200">
        <f>VLOOKUP(A200,NYSEARCAGLD!A$2:G$506,4,0)</f>
        <v>120.22</v>
      </c>
      <c r="N200">
        <f>VLOOKUP(A200,NYSEBP!A$2:G$506,4,0)</f>
        <v>30.83</v>
      </c>
      <c r="O200">
        <f>VLOOKUP(A200,NASDAQYHOO!A$2:G$506,4,0)</f>
        <v>32.76</v>
      </c>
    </row>
    <row r="201" spans="1:15">
      <c r="A201" s="39">
        <v>42436</v>
      </c>
      <c r="B201">
        <v>66.27</v>
      </c>
      <c r="C201">
        <f>VLOOKUP(A201,NYSEARCAVTI!A$2:G$506,4,0)</f>
        <v>101.56</v>
      </c>
      <c r="D201">
        <f>VLOOKUP(A201,NYSEARCAVEU!A$2:G$506,4,0)</f>
        <v>41.82</v>
      </c>
      <c r="E201">
        <f>VLOOKUP(A201,NYSEARCAVWO!A$2:G$506,4,0)</f>
        <v>33.03</v>
      </c>
      <c r="F201">
        <f>VLOOKUP(A201,NYSEARCABND!A$2:G$506,4,0)</f>
        <v>81.67</v>
      </c>
      <c r="G201">
        <f>VLOOKUP(A201,NYSEARCATIP!A$2:G$506,4,0)</f>
        <v>112.04</v>
      </c>
      <c r="H201">
        <f>VLOOKUP(A201,NYSEARCAMUB!A$2:G$506,4,0)</f>
        <v>110.6</v>
      </c>
      <c r="I201">
        <f>VLOOKUP(A201,NYSEARCAVNQ!A$2:G$506,4,0)</f>
        <v>79.319999999999993</v>
      </c>
      <c r="J201">
        <f>VLOOKUP(A201,NYSEARCARWX!A$2:G$506,4,0)</f>
        <v>39.22</v>
      </c>
      <c r="K201">
        <f>VLOOKUP(A201,NYSEARCADBC!A$2:G$506,4,0)</f>
        <v>13.17</v>
      </c>
      <c r="L201">
        <f>VLOOKUP(A201,NYSEARCAGSG!A$2:G$506,4,0)</f>
        <v>13.73</v>
      </c>
      <c r="M201">
        <f>VLOOKUP(A201,NYSEARCAGLD!A$2:G$506,4,0)</f>
        <v>120.41</v>
      </c>
      <c r="N201">
        <f>VLOOKUP(A201,NYSEBP!A$2:G$506,4,0)</f>
        <v>30.54</v>
      </c>
      <c r="O201">
        <f>VLOOKUP(A201,NASDAQYHOO!A$2:G$506,4,0)</f>
        <v>33.590000000000003</v>
      </c>
    </row>
    <row r="202" spans="1:15">
      <c r="A202" s="39">
        <v>42437</v>
      </c>
      <c r="B202">
        <v>67.48</v>
      </c>
      <c r="C202">
        <f>VLOOKUP(A202,NYSEARCAVTI!A$2:G$506,4,0)</f>
        <v>100.91</v>
      </c>
      <c r="D202">
        <f>VLOOKUP(A202,NYSEARCAVEU!A$2:G$506,4,0)</f>
        <v>41.7</v>
      </c>
      <c r="E202">
        <f>VLOOKUP(A202,NYSEARCAVWO!A$2:G$506,4,0)</f>
        <v>32.67</v>
      </c>
      <c r="F202">
        <f>VLOOKUP(A202,NYSEARCABND!A$2:G$506,4,0)</f>
        <v>82</v>
      </c>
      <c r="G202">
        <f>VLOOKUP(A202,NYSEARCATIP!A$2:G$506,4,0)</f>
        <v>112.37</v>
      </c>
      <c r="H202">
        <f>VLOOKUP(A202,NYSEARCAMUB!A$2:G$506,4,0)</f>
        <v>110.75</v>
      </c>
      <c r="I202">
        <f>VLOOKUP(A202,NYSEARCAVNQ!A$2:G$506,4,0)</f>
        <v>79.16</v>
      </c>
      <c r="J202">
        <f>VLOOKUP(A202,NYSEARCARWX!A$2:G$506,4,0)</f>
        <v>39.32</v>
      </c>
      <c r="K202">
        <f>VLOOKUP(A202,NYSEARCADBC!A$2:G$506,4,0)</f>
        <v>13.21</v>
      </c>
      <c r="L202">
        <f>VLOOKUP(A202,NYSEARCAGSG!A$2:G$506,4,0)</f>
        <v>13.76</v>
      </c>
      <c r="M202">
        <f>VLOOKUP(A202,NYSEARCAGLD!A$2:G$506,4,0)</f>
        <v>120.47</v>
      </c>
      <c r="N202">
        <f>VLOOKUP(A202,NYSEBP!A$2:G$506,4,0)</f>
        <v>30</v>
      </c>
      <c r="O202">
        <f>VLOOKUP(A202,NASDAQYHOO!A$2:G$506,4,0)</f>
        <v>32.840000000000003</v>
      </c>
    </row>
    <row r="203" spans="1:15">
      <c r="A203" s="39">
        <v>42438</v>
      </c>
      <c r="B203">
        <v>67.12</v>
      </c>
      <c r="C203">
        <f>VLOOKUP(A203,NYSEARCAVTI!A$2:G$506,4,0)</f>
        <v>100.98</v>
      </c>
      <c r="D203">
        <f>VLOOKUP(A203,NYSEARCAVEU!A$2:G$506,4,0)</f>
        <v>41.87</v>
      </c>
      <c r="E203">
        <f>VLOOKUP(A203,NYSEARCAVWO!A$2:G$506,4,0)</f>
        <v>32.9</v>
      </c>
      <c r="F203">
        <f>VLOOKUP(A203,NYSEARCABND!A$2:G$506,4,0)</f>
        <v>81.84</v>
      </c>
      <c r="G203">
        <f>VLOOKUP(A203,NYSEARCATIP!A$2:G$506,4,0)</f>
        <v>112.24</v>
      </c>
      <c r="H203">
        <f>VLOOKUP(A203,NYSEARCAMUB!A$2:G$506,4,0)</f>
        <v>110.77</v>
      </c>
      <c r="I203">
        <f>VLOOKUP(A203,NYSEARCAVNQ!A$2:G$506,4,0)</f>
        <v>79.33</v>
      </c>
      <c r="J203">
        <f>VLOOKUP(A203,NYSEARCARWX!A$2:G$506,4,0)</f>
        <v>39.46</v>
      </c>
      <c r="K203">
        <f>VLOOKUP(A203,NYSEARCADBC!A$2:G$506,4,0)</f>
        <v>13.27</v>
      </c>
      <c r="L203">
        <f>VLOOKUP(A203,NYSEARCAGSG!A$2:G$506,4,0)</f>
        <v>13.91</v>
      </c>
      <c r="M203">
        <f>VLOOKUP(A203,NYSEARCAGLD!A$2:G$506,4,0)</f>
        <v>118.84</v>
      </c>
      <c r="N203">
        <f>VLOOKUP(A203,NYSEBP!A$2:G$506,4,0)</f>
        <v>29.94</v>
      </c>
      <c r="O203">
        <f>VLOOKUP(A203,NASDAQYHOO!A$2:G$506,4,0)</f>
        <v>32.78</v>
      </c>
    </row>
    <row r="204" spans="1:15">
      <c r="A204" s="39">
        <v>42439</v>
      </c>
      <c r="B204">
        <v>66.400000000000006</v>
      </c>
      <c r="C204">
        <f>VLOOKUP(A204,NYSEARCAVTI!A$2:G$506,4,0)</f>
        <v>100.4</v>
      </c>
      <c r="D204">
        <f>VLOOKUP(A204,NYSEARCAVEU!A$2:G$506,4,0)</f>
        <v>41.55</v>
      </c>
      <c r="E204">
        <f>VLOOKUP(A204,NYSEARCAVWO!A$2:G$506,4,0)</f>
        <v>32.44</v>
      </c>
      <c r="F204">
        <f>VLOOKUP(A204,NYSEARCABND!A$2:G$506,4,0)</f>
        <v>81.760000000000005</v>
      </c>
      <c r="G204">
        <f>VLOOKUP(A204,NYSEARCATIP!A$2:G$506,4,0)</f>
        <v>111.94</v>
      </c>
      <c r="H204">
        <f>VLOOKUP(A204,NYSEARCAMUB!A$2:G$506,4,0)</f>
        <v>110.76</v>
      </c>
      <c r="I204">
        <f>VLOOKUP(A204,NYSEARCAVNQ!A$2:G$506,4,0)</f>
        <v>78.53</v>
      </c>
      <c r="J204">
        <f>VLOOKUP(A204,NYSEARCARWX!A$2:G$506,4,0)</f>
        <v>39.31</v>
      </c>
      <c r="K204">
        <f>VLOOKUP(A204,NYSEARCADBC!A$2:G$506,4,0)</f>
        <v>13.28</v>
      </c>
      <c r="L204">
        <f>VLOOKUP(A204,NYSEARCAGSG!A$2:G$506,4,0)</f>
        <v>13.91</v>
      </c>
      <c r="M204">
        <f>VLOOKUP(A204,NYSEARCAGLD!A$2:G$506,4,0)</f>
        <v>120.42</v>
      </c>
      <c r="N204">
        <f>VLOOKUP(A204,NYSEBP!A$2:G$506,4,0)</f>
        <v>29.54</v>
      </c>
      <c r="O204">
        <f>VLOOKUP(A204,NASDAQYHOO!A$2:G$506,4,0)</f>
        <v>32.090000000000003</v>
      </c>
    </row>
    <row r="205" spans="1:15">
      <c r="A205" s="39">
        <v>42440</v>
      </c>
      <c r="B205">
        <v>66.8</v>
      </c>
      <c r="C205">
        <f>VLOOKUP(A205,NYSEARCAVTI!A$2:G$506,4,0)</f>
        <v>102.33</v>
      </c>
      <c r="D205">
        <f>VLOOKUP(A205,NYSEARCAVEU!A$2:G$506,4,0)</f>
        <v>42.65</v>
      </c>
      <c r="E205">
        <f>VLOOKUP(A205,NYSEARCAVWO!A$2:G$506,4,0)</f>
        <v>33.36</v>
      </c>
      <c r="F205">
        <f>VLOOKUP(A205,NYSEARCABND!A$2:G$506,4,0)</f>
        <v>81.72</v>
      </c>
      <c r="G205">
        <f>VLOOKUP(A205,NYSEARCATIP!A$2:G$506,4,0)</f>
        <v>111.84</v>
      </c>
      <c r="H205">
        <f>VLOOKUP(A205,NYSEARCAMUB!A$2:G$506,4,0)</f>
        <v>110.75</v>
      </c>
      <c r="I205">
        <f>VLOOKUP(A205,NYSEARCAVNQ!A$2:G$506,4,0)</f>
        <v>80.03</v>
      </c>
      <c r="J205">
        <f>VLOOKUP(A205,NYSEARCARWX!A$2:G$506,4,0)</f>
        <v>40.19</v>
      </c>
      <c r="K205">
        <f>VLOOKUP(A205,NYSEARCADBC!A$2:G$506,4,0)</f>
        <v>13.4</v>
      </c>
      <c r="L205">
        <f>VLOOKUP(A205,NYSEARCAGSG!A$2:G$506,4,0)</f>
        <v>14.11</v>
      </c>
      <c r="M205">
        <f>VLOOKUP(A205,NYSEARCAGLD!A$2:G$506,4,0)</f>
        <v>119.36</v>
      </c>
      <c r="N205">
        <f>VLOOKUP(A205,NYSEBP!A$2:G$506,4,0)</f>
        <v>30.05</v>
      </c>
      <c r="O205">
        <f>VLOOKUP(A205,NASDAQYHOO!A$2:G$506,4,0)</f>
        <v>32.840000000000003</v>
      </c>
    </row>
    <row r="206" spans="1:15">
      <c r="A206" s="39">
        <v>42443</v>
      </c>
      <c r="B206">
        <v>66.959999999999994</v>
      </c>
      <c r="C206">
        <f>VLOOKUP(A206,NYSEARCAVTI!A$2:G$506,4,0)</f>
        <v>102.69</v>
      </c>
      <c r="D206">
        <f>VLOOKUP(A206,NYSEARCAVEU!A$2:G$506,4,0)</f>
        <v>42.74</v>
      </c>
      <c r="E206">
        <f>VLOOKUP(A206,NYSEARCAVWO!A$2:G$506,4,0)</f>
        <v>33.299999999999997</v>
      </c>
      <c r="F206">
        <f>VLOOKUP(A206,NYSEARCABND!A$2:G$506,4,0)</f>
        <v>81.8</v>
      </c>
      <c r="G206">
        <f>VLOOKUP(A206,NYSEARCATIP!A$2:G$506,4,0)</f>
        <v>111.9</v>
      </c>
      <c r="H206">
        <f>VLOOKUP(A206,NYSEARCAMUB!A$2:G$506,4,0)</f>
        <v>110.78</v>
      </c>
      <c r="I206">
        <f>VLOOKUP(A206,NYSEARCAVNQ!A$2:G$506,4,0)</f>
        <v>80.75</v>
      </c>
      <c r="J206">
        <f>VLOOKUP(A206,NYSEARCARWX!A$2:G$506,4,0)</f>
        <v>40.28</v>
      </c>
      <c r="K206">
        <f>VLOOKUP(A206,NYSEARCADBC!A$2:G$506,4,0)</f>
        <v>13.23</v>
      </c>
      <c r="L206">
        <f>VLOOKUP(A206,NYSEARCAGSG!A$2:G$506,4,0)</f>
        <v>13.85</v>
      </c>
      <c r="M206">
        <f>VLOOKUP(A206,NYSEARCAGLD!A$2:G$506,4,0)</f>
        <v>117.5</v>
      </c>
      <c r="N206">
        <f>VLOOKUP(A206,NYSEBP!A$2:G$506,4,0)</f>
        <v>29.63</v>
      </c>
      <c r="O206">
        <f>VLOOKUP(A206,NASDAQYHOO!A$2:G$506,4,0)</f>
        <v>33.51</v>
      </c>
    </row>
    <row r="207" spans="1:15">
      <c r="A207" s="39">
        <v>42444</v>
      </c>
      <c r="B207">
        <v>67</v>
      </c>
      <c r="C207">
        <f>VLOOKUP(A207,NYSEARCAVTI!A$2:G$506,4,0)</f>
        <v>101.76</v>
      </c>
      <c r="D207">
        <f>VLOOKUP(A207,NYSEARCAVEU!A$2:G$506,4,0)</f>
        <v>42.06</v>
      </c>
      <c r="E207">
        <f>VLOOKUP(A207,NYSEARCAVWO!A$2:G$506,4,0)</f>
        <v>32.65</v>
      </c>
      <c r="F207">
        <f>VLOOKUP(A207,NYSEARCABND!A$2:G$506,4,0)</f>
        <v>81.790000000000006</v>
      </c>
      <c r="G207">
        <f>VLOOKUP(A207,NYSEARCATIP!A$2:G$506,4,0)</f>
        <v>111.66</v>
      </c>
      <c r="H207">
        <f>VLOOKUP(A207,NYSEARCAMUB!A$2:G$506,4,0)</f>
        <v>110.76</v>
      </c>
      <c r="I207">
        <f>VLOOKUP(A207,NYSEARCAVNQ!A$2:G$506,4,0)</f>
        <v>80.7</v>
      </c>
      <c r="J207">
        <f>VLOOKUP(A207,NYSEARCARWX!A$2:G$506,4,0)</f>
        <v>40.08</v>
      </c>
      <c r="K207">
        <f>VLOOKUP(A207,NYSEARCADBC!A$2:G$506,4,0)</f>
        <v>13.13</v>
      </c>
      <c r="L207">
        <f>VLOOKUP(A207,NYSEARCAGSG!A$2:G$506,4,0)</f>
        <v>13.79</v>
      </c>
      <c r="M207">
        <f>VLOOKUP(A207,NYSEARCAGLD!A$2:G$506,4,0)</f>
        <v>117.36</v>
      </c>
      <c r="N207">
        <f>VLOOKUP(A207,NYSEBP!A$2:G$506,4,0)</f>
        <v>29.25</v>
      </c>
      <c r="O207">
        <f>VLOOKUP(A207,NASDAQYHOO!A$2:G$506,4,0)</f>
        <v>33.11</v>
      </c>
    </row>
    <row r="208" spans="1:15">
      <c r="A208" s="39">
        <v>42445</v>
      </c>
      <c r="B208">
        <v>67.25</v>
      </c>
      <c r="C208">
        <f>VLOOKUP(A208,NYSEARCAVTI!A$2:G$506,4,0)</f>
        <v>101.91</v>
      </c>
      <c r="D208">
        <f>VLOOKUP(A208,NYSEARCAVEU!A$2:G$506,4,0)</f>
        <v>41.94</v>
      </c>
      <c r="E208">
        <f>VLOOKUP(A208,NYSEARCAVWO!A$2:G$506,4,0)</f>
        <v>32.54</v>
      </c>
      <c r="F208">
        <f>VLOOKUP(A208,NYSEARCABND!A$2:G$506,4,0)</f>
        <v>81.709999999999994</v>
      </c>
      <c r="G208">
        <f>VLOOKUP(A208,NYSEARCATIP!A$2:G$506,4,0)</f>
        <v>111.92</v>
      </c>
      <c r="H208">
        <f>VLOOKUP(A208,NYSEARCAMUB!A$2:G$506,4,0)</f>
        <v>110.77</v>
      </c>
      <c r="I208">
        <f>VLOOKUP(A208,NYSEARCAVNQ!A$2:G$506,4,0)</f>
        <v>80.72</v>
      </c>
      <c r="J208">
        <f>VLOOKUP(A208,NYSEARCARWX!A$2:G$506,4,0)</f>
        <v>40.1</v>
      </c>
      <c r="K208">
        <f>VLOOKUP(A208,NYSEARCADBC!A$2:G$506,4,0)</f>
        <v>13.24</v>
      </c>
      <c r="L208">
        <f>VLOOKUP(A208,NYSEARCAGSG!A$2:G$506,4,0)</f>
        <v>13.94</v>
      </c>
      <c r="M208">
        <f>VLOOKUP(A208,NYSEARCAGLD!A$2:G$506,4,0)</f>
        <v>117.34</v>
      </c>
      <c r="N208">
        <f>VLOOKUP(A208,NYSEBP!A$2:G$506,4,0)</f>
        <v>29.77</v>
      </c>
      <c r="O208">
        <f>VLOOKUP(A208,NASDAQYHOO!A$2:G$506,4,0)</f>
        <v>33</v>
      </c>
    </row>
    <row r="209" spans="1:15">
      <c r="A209" s="39">
        <v>42446</v>
      </c>
      <c r="B209">
        <v>67.260000000000005</v>
      </c>
      <c r="C209">
        <f>VLOOKUP(A209,NYSEARCAVTI!A$2:G$506,4,0)</f>
        <v>102.6</v>
      </c>
      <c r="D209">
        <f>VLOOKUP(A209,NYSEARCAVEU!A$2:G$506,4,0)</f>
        <v>42.74</v>
      </c>
      <c r="E209">
        <f>VLOOKUP(A209,NYSEARCAVWO!A$2:G$506,4,0)</f>
        <v>33.74</v>
      </c>
      <c r="F209">
        <f>VLOOKUP(A209,NYSEARCABND!A$2:G$506,4,0)</f>
        <v>82.18</v>
      </c>
      <c r="G209">
        <f>VLOOKUP(A209,NYSEARCATIP!A$2:G$506,4,0)</f>
        <v>113</v>
      </c>
      <c r="H209">
        <f>VLOOKUP(A209,NYSEARCAMUB!A$2:G$506,4,0)</f>
        <v>110.87</v>
      </c>
      <c r="I209">
        <f>VLOOKUP(A209,NYSEARCAVNQ!A$2:G$506,4,0)</f>
        <v>81.98</v>
      </c>
      <c r="J209">
        <f>VLOOKUP(A209,NYSEARCARWX!A$2:G$506,4,0)</f>
        <v>41.1</v>
      </c>
      <c r="K209">
        <f>VLOOKUP(A209,NYSEARCADBC!A$2:G$506,4,0)</f>
        <v>13.48</v>
      </c>
      <c r="L209">
        <f>VLOOKUP(A209,NYSEARCAGSG!A$2:G$506,4,0)</f>
        <v>14.19</v>
      </c>
      <c r="M209">
        <f>VLOOKUP(A209,NYSEARCAGLD!A$2:G$506,4,0)</f>
        <v>120.03</v>
      </c>
      <c r="N209">
        <f>VLOOKUP(A209,NYSEBP!A$2:G$506,4,0)</f>
        <v>30.7</v>
      </c>
      <c r="O209">
        <f>VLOOKUP(A209,NASDAQYHOO!A$2:G$506,4,0)</f>
        <v>33.869999999999997</v>
      </c>
    </row>
    <row r="210" spans="1:15">
      <c r="A210" s="39">
        <v>42447</v>
      </c>
      <c r="B210">
        <v>66.75</v>
      </c>
      <c r="C210">
        <f>VLOOKUP(A210,NYSEARCAVTI!A$2:G$506,4,0)</f>
        <v>103.8</v>
      </c>
      <c r="D210">
        <f>VLOOKUP(A210,NYSEARCAVEU!A$2:G$506,4,0)</f>
        <v>43.16</v>
      </c>
      <c r="E210">
        <f>VLOOKUP(A210,NYSEARCAVWO!A$2:G$506,4,0)</f>
        <v>34.36</v>
      </c>
      <c r="F210">
        <f>VLOOKUP(A210,NYSEARCABND!A$2:G$506,4,0)</f>
        <v>82.32</v>
      </c>
      <c r="G210">
        <f>VLOOKUP(A210,NYSEARCATIP!A$2:G$506,4,0)</f>
        <v>113.18</v>
      </c>
      <c r="H210">
        <f>VLOOKUP(A210,NYSEARCAMUB!A$2:G$506,4,0)</f>
        <v>111.01</v>
      </c>
      <c r="I210">
        <f>VLOOKUP(A210,NYSEARCAVNQ!A$2:G$506,4,0)</f>
        <v>83.02</v>
      </c>
      <c r="J210">
        <f>VLOOKUP(A210,NYSEARCARWX!A$2:G$506,4,0)</f>
        <v>41.28</v>
      </c>
      <c r="K210">
        <f>VLOOKUP(A210,NYSEARCADBC!A$2:G$506,4,0)</f>
        <v>13.52</v>
      </c>
      <c r="L210">
        <f>VLOOKUP(A210,NYSEARCAGSG!A$2:G$506,4,0)</f>
        <v>14.28</v>
      </c>
      <c r="M210">
        <f>VLOOKUP(A210,NYSEARCAGLD!A$2:G$506,4,0)</f>
        <v>119.51</v>
      </c>
      <c r="N210">
        <f>VLOOKUP(A210,NYSEBP!A$2:G$506,4,0)</f>
        <v>31.11</v>
      </c>
      <c r="O210">
        <f>VLOOKUP(A210,NASDAQYHOO!A$2:G$506,4,0)</f>
        <v>34.380000000000003</v>
      </c>
    </row>
    <row r="211" spans="1:15">
      <c r="A211" s="39">
        <v>42450</v>
      </c>
      <c r="B211">
        <v>66.97</v>
      </c>
      <c r="C211">
        <f>VLOOKUP(A211,NYSEARCAVTI!A$2:G$506,4,0)</f>
        <v>103.8</v>
      </c>
      <c r="D211">
        <f>VLOOKUP(A211,NYSEARCAVEU!A$2:G$506,4,0)</f>
        <v>43.05</v>
      </c>
      <c r="E211">
        <f>VLOOKUP(A211,NYSEARCAVWO!A$2:G$506,4,0)</f>
        <v>34.380000000000003</v>
      </c>
      <c r="F211">
        <f>VLOOKUP(A211,NYSEARCABND!A$2:G$506,4,0)</f>
        <v>82.21</v>
      </c>
      <c r="G211">
        <f>VLOOKUP(A211,NYSEARCATIP!A$2:G$506,4,0)</f>
        <v>113.23</v>
      </c>
      <c r="H211">
        <f>VLOOKUP(A211,NYSEARCAMUB!A$2:G$506,4,0)</f>
        <v>111.03</v>
      </c>
      <c r="I211">
        <f>VLOOKUP(A211,NYSEARCAVNQ!A$2:G$506,4,0)</f>
        <v>81.22</v>
      </c>
      <c r="J211">
        <f>VLOOKUP(A211,NYSEARCARWX!A$2:G$506,4,0)</f>
        <v>41.02</v>
      </c>
      <c r="K211">
        <f>VLOOKUP(A211,NYSEARCADBC!A$2:G$506,4,0)</f>
        <v>13.51</v>
      </c>
      <c r="L211">
        <f>VLOOKUP(A211,NYSEARCAGSG!A$2:G$506,4,0)</f>
        <v>14.22</v>
      </c>
      <c r="M211">
        <f>VLOOKUP(A211,NYSEARCAGLD!A$2:G$506,4,0)</f>
        <v>118.73</v>
      </c>
      <c r="N211">
        <f>VLOOKUP(A211,NYSEBP!A$2:G$506,4,0)</f>
        <v>30.73</v>
      </c>
      <c r="O211">
        <f>VLOOKUP(A211,NASDAQYHOO!A$2:G$506,4,0)</f>
        <v>35</v>
      </c>
    </row>
    <row r="212" spans="1:15">
      <c r="A212" s="39">
        <v>42451</v>
      </c>
      <c r="B212">
        <v>67.790000000000006</v>
      </c>
      <c r="C212">
        <f>VLOOKUP(A212,NYSEARCAVTI!A$2:G$506,4,0)</f>
        <v>103.61</v>
      </c>
      <c r="D212">
        <f>VLOOKUP(A212,NYSEARCAVEU!A$2:G$506,4,0)</f>
        <v>42.84</v>
      </c>
      <c r="E212">
        <f>VLOOKUP(A212,NYSEARCAVWO!A$2:G$506,4,0)</f>
        <v>34.200000000000003</v>
      </c>
      <c r="F212">
        <f>VLOOKUP(A212,NYSEARCABND!A$2:G$506,4,0)</f>
        <v>82.19</v>
      </c>
      <c r="G212">
        <f>VLOOKUP(A212,NYSEARCATIP!A$2:G$506,4,0)</f>
        <v>113.23</v>
      </c>
      <c r="H212">
        <f>VLOOKUP(A212,NYSEARCAMUB!A$2:G$506,4,0)</f>
        <v>111.07</v>
      </c>
      <c r="I212">
        <f>VLOOKUP(A212,NYSEARCAVNQ!A$2:G$506,4,0)</f>
        <v>80.88</v>
      </c>
      <c r="J212">
        <f>VLOOKUP(A212,NYSEARCARWX!A$2:G$506,4,0)</f>
        <v>41</v>
      </c>
      <c r="K212">
        <f>VLOOKUP(A212,NYSEARCADBC!A$2:G$506,4,0)</f>
        <v>13.59</v>
      </c>
      <c r="L212">
        <f>VLOOKUP(A212,NYSEARCAGSG!A$2:G$506,4,0)</f>
        <v>14.28</v>
      </c>
      <c r="M212">
        <f>VLOOKUP(A212,NYSEARCAGLD!A$2:G$506,4,0)</f>
        <v>118.96</v>
      </c>
      <c r="N212">
        <f>VLOOKUP(A212,NYSEBP!A$2:G$506,4,0)</f>
        <v>30.73</v>
      </c>
      <c r="O212">
        <f>VLOOKUP(A212,NASDAQYHOO!A$2:G$506,4,0)</f>
        <v>34.68</v>
      </c>
    </row>
    <row r="213" spans="1:15">
      <c r="A213" s="39">
        <v>42452</v>
      </c>
      <c r="B213">
        <v>67.44</v>
      </c>
      <c r="C213">
        <f>VLOOKUP(A213,NYSEARCAVTI!A$2:G$506,4,0)</f>
        <v>103.28</v>
      </c>
      <c r="D213">
        <f>VLOOKUP(A213,NYSEARCAVEU!A$2:G$506,4,0)</f>
        <v>42.6</v>
      </c>
      <c r="E213">
        <f>VLOOKUP(A213,NYSEARCAVWO!A$2:G$506,4,0)</f>
        <v>33.799999999999997</v>
      </c>
      <c r="F213">
        <f>VLOOKUP(A213,NYSEARCABND!A$2:G$506,4,0)</f>
        <v>82.23</v>
      </c>
      <c r="G213">
        <f>VLOOKUP(A213,NYSEARCATIP!A$2:G$506,4,0)</f>
        <v>113.25</v>
      </c>
      <c r="H213">
        <f>VLOOKUP(A213,NYSEARCAMUB!A$2:G$506,4,0)</f>
        <v>111.06</v>
      </c>
      <c r="I213">
        <f>VLOOKUP(A213,NYSEARCAVNQ!A$2:G$506,4,0)</f>
        <v>80.87</v>
      </c>
      <c r="J213">
        <f>VLOOKUP(A213,NYSEARCARWX!A$2:G$506,4,0)</f>
        <v>40.74</v>
      </c>
      <c r="K213">
        <f>VLOOKUP(A213,NYSEARCADBC!A$2:G$506,4,0)</f>
        <v>13.41</v>
      </c>
      <c r="L213">
        <f>VLOOKUP(A213,NYSEARCAGSG!A$2:G$506,4,0)</f>
        <v>14.01</v>
      </c>
      <c r="M213">
        <f>VLOOKUP(A213,NYSEARCAGLD!A$2:G$506,4,0)</f>
        <v>116.16</v>
      </c>
      <c r="N213">
        <f>VLOOKUP(A213,NYSEBP!A$2:G$506,4,0)</f>
        <v>30.17</v>
      </c>
      <c r="O213">
        <f>VLOOKUP(A213,NASDAQYHOO!A$2:G$506,4,0)</f>
        <v>34.71</v>
      </c>
    </row>
    <row r="214" spans="1:15">
      <c r="A214" s="39">
        <v>42453</v>
      </c>
      <c r="B214">
        <v>67.38</v>
      </c>
      <c r="C214">
        <f>VLOOKUP(A214,NYSEARCAVTI!A$2:G$506,4,0)</f>
        <v>102.53</v>
      </c>
      <c r="D214">
        <f>VLOOKUP(A214,NYSEARCAVEU!A$2:G$506,4,0)</f>
        <v>42.08</v>
      </c>
      <c r="E214">
        <f>VLOOKUP(A214,NYSEARCAVWO!A$2:G$506,4,0)</f>
        <v>33.380000000000003</v>
      </c>
      <c r="F214">
        <f>VLOOKUP(A214,NYSEARCABND!A$2:G$506,4,0)</f>
        <v>82.21</v>
      </c>
      <c r="G214">
        <f>VLOOKUP(A214,NYSEARCATIP!A$2:G$506,4,0)</f>
        <v>113.12</v>
      </c>
      <c r="H214">
        <f>VLOOKUP(A214,NYSEARCAMUB!A$2:G$506,4,0)</f>
        <v>111.06</v>
      </c>
      <c r="I214">
        <f>VLOOKUP(A214,NYSEARCAVNQ!A$2:G$506,4,0)</f>
        <v>80.23</v>
      </c>
      <c r="J214">
        <f>VLOOKUP(A214,NYSEARCARWX!A$2:G$506,4,0)</f>
        <v>40.29</v>
      </c>
      <c r="K214">
        <f>VLOOKUP(A214,NYSEARCADBC!A$2:G$506,4,0)</f>
        <v>13.23</v>
      </c>
      <c r="L214">
        <f>VLOOKUP(A214,NYSEARCAGSG!A$2:G$506,4,0)</f>
        <v>13.77</v>
      </c>
      <c r="M214">
        <f>VLOOKUP(A214,NYSEARCAGLD!A$2:G$506,4,0)</f>
        <v>116.3</v>
      </c>
      <c r="N214">
        <f>VLOOKUP(A214,NYSEBP!A$2:G$506,4,0)</f>
        <v>29.69</v>
      </c>
      <c r="O214">
        <f>VLOOKUP(A214,NASDAQYHOO!A$2:G$506,4,0)</f>
        <v>33.93</v>
      </c>
    </row>
    <row r="215" spans="1:15">
      <c r="A215" s="39">
        <v>42457</v>
      </c>
      <c r="B215">
        <v>67.930000000000007</v>
      </c>
      <c r="C215">
        <f>VLOOKUP(A215,NYSEARCAVTI!A$2:G$506,4,0)</f>
        <v>103.07</v>
      </c>
      <c r="D215">
        <f>VLOOKUP(A215,NYSEARCAVEU!A$2:G$506,4,0)</f>
        <v>42.53</v>
      </c>
      <c r="E215">
        <f>VLOOKUP(A215,NYSEARCAVWO!A$2:G$506,4,0)</f>
        <v>33.74</v>
      </c>
      <c r="F215">
        <f>VLOOKUP(A215,NYSEARCABND!A$2:G$506,4,0)</f>
        <v>82.28</v>
      </c>
      <c r="G215">
        <f>VLOOKUP(A215,NYSEARCATIP!A$2:G$506,4,0)</f>
        <v>113.08</v>
      </c>
      <c r="H215">
        <f>VLOOKUP(A215,NYSEARCAMUB!A$2:G$506,4,0)</f>
        <v>111.09</v>
      </c>
      <c r="I215">
        <f>VLOOKUP(A215,NYSEARCAVNQ!A$2:G$506,4,0)</f>
        <v>80.91</v>
      </c>
      <c r="J215">
        <f>VLOOKUP(A215,NYSEARCARWX!A$2:G$506,4,0)</f>
        <v>40.53</v>
      </c>
      <c r="K215">
        <f>VLOOKUP(A215,NYSEARCADBC!A$2:G$506,4,0)</f>
        <v>13.3</v>
      </c>
      <c r="L215">
        <f>VLOOKUP(A215,NYSEARCAGSG!A$2:G$506,4,0)</f>
        <v>13.88</v>
      </c>
      <c r="M215">
        <f>VLOOKUP(A215,NYSEARCAGLD!A$2:G$506,4,0)</f>
        <v>116.27</v>
      </c>
      <c r="N215">
        <f>VLOOKUP(A215,NYSEBP!A$2:G$506,4,0)</f>
        <v>30.19</v>
      </c>
      <c r="O215">
        <f>VLOOKUP(A215,NASDAQYHOO!A$2:G$506,4,0)</f>
        <v>34.619999999999997</v>
      </c>
    </row>
    <row r="216" spans="1:15">
      <c r="A216" s="39">
        <v>42458</v>
      </c>
      <c r="B216">
        <v>67.430000000000007</v>
      </c>
      <c r="C216">
        <f>VLOOKUP(A216,NYSEARCAVTI!A$2:G$506,4,0)</f>
        <v>102.96</v>
      </c>
      <c r="D216">
        <f>VLOOKUP(A216,NYSEARCAVEU!A$2:G$506,4,0)</f>
        <v>42.34</v>
      </c>
      <c r="E216">
        <f>VLOOKUP(A216,NYSEARCAVWO!A$2:G$506,4,0)</f>
        <v>33.549999999999997</v>
      </c>
      <c r="F216">
        <f>VLOOKUP(A216,NYSEARCABND!A$2:G$506,4,0)</f>
        <v>82.42</v>
      </c>
      <c r="G216">
        <f>VLOOKUP(A216,NYSEARCATIP!A$2:G$506,4,0)</f>
        <v>113.46</v>
      </c>
      <c r="H216">
        <f>VLOOKUP(A216,NYSEARCAMUB!A$2:G$506,4,0)</f>
        <v>111.2</v>
      </c>
      <c r="I216">
        <f>VLOOKUP(A216,NYSEARCAVNQ!A$2:G$506,4,0)</f>
        <v>81.53</v>
      </c>
      <c r="J216">
        <f>VLOOKUP(A216,NYSEARCARWX!A$2:G$506,4,0)</f>
        <v>40.56</v>
      </c>
      <c r="K216">
        <f>VLOOKUP(A216,NYSEARCADBC!A$2:G$506,4,0)</f>
        <v>13.21</v>
      </c>
      <c r="L216">
        <f>VLOOKUP(A216,NYSEARCAGSG!A$2:G$506,4,0)</f>
        <v>13.72</v>
      </c>
      <c r="M216">
        <f>VLOOKUP(A216,NYSEARCAGLD!A$2:G$506,4,0)</f>
        <v>116.8</v>
      </c>
      <c r="N216">
        <f>VLOOKUP(A216,NYSEBP!A$2:G$506,4,0)</f>
        <v>29.69</v>
      </c>
      <c r="O216">
        <f>VLOOKUP(A216,NASDAQYHOO!A$2:G$506,4,0)</f>
        <v>35.01</v>
      </c>
    </row>
    <row r="217" spans="1:15">
      <c r="A217" s="39">
        <v>42459</v>
      </c>
      <c r="B217">
        <v>68.290000000000006</v>
      </c>
      <c r="C217">
        <f>VLOOKUP(A217,NYSEARCAVTI!A$2:G$506,4,0)</f>
        <v>104.73</v>
      </c>
      <c r="D217">
        <f>VLOOKUP(A217,NYSEARCAVEU!A$2:G$506,4,0)</f>
        <v>43.43</v>
      </c>
      <c r="E217">
        <f>VLOOKUP(A217,NYSEARCAVWO!A$2:G$506,4,0)</f>
        <v>34.619999999999997</v>
      </c>
      <c r="F217">
        <f>VLOOKUP(A217,NYSEARCABND!A$2:G$506,4,0)</f>
        <v>82.54</v>
      </c>
      <c r="G217">
        <f>VLOOKUP(A217,NYSEARCATIP!A$2:G$506,4,0)</f>
        <v>114.2</v>
      </c>
      <c r="H217">
        <f>VLOOKUP(A217,NYSEARCAMUB!A$2:G$506,4,0)</f>
        <v>111.3</v>
      </c>
      <c r="I217">
        <f>VLOOKUP(A217,NYSEARCAVNQ!A$2:G$506,4,0)</f>
        <v>83.22</v>
      </c>
      <c r="J217">
        <f>VLOOKUP(A217,NYSEARCARWX!A$2:G$506,4,0)</f>
        <v>41.48</v>
      </c>
      <c r="K217">
        <f>VLOOKUP(A217,NYSEARCADBC!A$2:G$506,4,0)</f>
        <v>13.3</v>
      </c>
      <c r="L217">
        <f>VLOOKUP(A217,NYSEARCAGSG!A$2:G$506,4,0)</f>
        <v>13.76</v>
      </c>
      <c r="M217">
        <f>VLOOKUP(A217,NYSEARCAGLD!A$2:G$506,4,0)</f>
        <v>116.91</v>
      </c>
      <c r="N217">
        <f>VLOOKUP(A217,NYSEBP!A$2:G$506,4,0)</f>
        <v>30.72</v>
      </c>
      <c r="O217">
        <f>VLOOKUP(A217,NASDAQYHOO!A$2:G$506,4,0)</f>
        <v>36.44</v>
      </c>
    </row>
    <row r="218" spans="1:15">
      <c r="A218" s="39">
        <v>42460</v>
      </c>
      <c r="B218">
        <v>68.47</v>
      </c>
      <c r="C218">
        <f>VLOOKUP(A218,NYSEARCAVTI!A$2:G$506,4,0)</f>
        <v>104.7</v>
      </c>
      <c r="D218">
        <f>VLOOKUP(A218,NYSEARCAVEU!A$2:G$506,4,0)</f>
        <v>43.15</v>
      </c>
      <c r="E218">
        <f>VLOOKUP(A218,NYSEARCAVWO!A$2:G$506,4,0)</f>
        <v>34.549999999999997</v>
      </c>
      <c r="F218">
        <f>VLOOKUP(A218,NYSEARCABND!A$2:G$506,4,0)</f>
        <v>82.69</v>
      </c>
      <c r="G218">
        <f>VLOOKUP(A218,NYSEARCATIP!A$2:G$506,4,0)</f>
        <v>114.46</v>
      </c>
      <c r="H218">
        <f>VLOOKUP(A218,NYSEARCAMUB!A$2:G$506,4,0)</f>
        <v>111.48</v>
      </c>
      <c r="I218">
        <f>VLOOKUP(A218,NYSEARCAVNQ!A$2:G$506,4,0)</f>
        <v>83.11</v>
      </c>
      <c r="J218">
        <f>VLOOKUP(A218,NYSEARCARWX!A$2:G$506,4,0)</f>
        <v>41.41</v>
      </c>
      <c r="K218">
        <f>VLOOKUP(A218,NYSEARCADBC!A$2:G$506,4,0)</f>
        <v>13.27</v>
      </c>
      <c r="L218">
        <f>VLOOKUP(A218,NYSEARCAGSG!A$2:G$506,4,0)</f>
        <v>13.71</v>
      </c>
      <c r="M218">
        <f>VLOOKUP(A218,NYSEARCAGLD!A$2:G$506,4,0)</f>
        <v>117.6</v>
      </c>
      <c r="N218">
        <f>VLOOKUP(A218,NYSEBP!A$2:G$506,4,0)</f>
        <v>30.16</v>
      </c>
      <c r="O218">
        <f>VLOOKUP(A218,NASDAQYHOO!A$2:G$506,4,0)</f>
        <v>36.5</v>
      </c>
    </row>
    <row r="219" spans="1:15">
      <c r="A219" s="39">
        <v>42461</v>
      </c>
      <c r="B219">
        <v>68.02</v>
      </c>
      <c r="C219">
        <f>VLOOKUP(A219,NYSEARCAVTI!A$2:G$506,4,0)</f>
        <v>103.95</v>
      </c>
      <c r="D219">
        <f>VLOOKUP(A219,NYSEARCAVEU!A$2:G$506,4,0)</f>
        <v>42.25</v>
      </c>
      <c r="E219">
        <f>VLOOKUP(A219,NYSEARCAVWO!A$2:G$506,4,0)</f>
        <v>33.880000000000003</v>
      </c>
      <c r="F219">
        <f>VLOOKUP(A219,NYSEARCABND!A$2:G$506,4,0)</f>
        <v>82.53</v>
      </c>
      <c r="G219">
        <f>VLOOKUP(A219,NYSEARCATIP!A$2:G$506,4,0)</f>
        <v>114.41</v>
      </c>
      <c r="H219">
        <f>VLOOKUP(A219,NYSEARCAMUB!A$2:G$506,4,0)</f>
        <v>111.27</v>
      </c>
      <c r="I219">
        <f>VLOOKUP(A219,NYSEARCAVNQ!A$2:G$506,4,0)</f>
        <v>83.17</v>
      </c>
      <c r="J219">
        <f>VLOOKUP(A219,NYSEARCARWX!A$2:G$506,4,0)</f>
        <v>40.619999999999997</v>
      </c>
      <c r="K219">
        <f>VLOOKUP(A219,NYSEARCADBC!A$2:G$506,4,0)</f>
        <v>13.02</v>
      </c>
      <c r="L219">
        <f>VLOOKUP(A219,NYSEARCAGSG!A$2:G$506,4,0)</f>
        <v>13.47</v>
      </c>
      <c r="M219">
        <f>VLOOKUP(A219,NYSEARCAGLD!A$2:G$506,4,0)</f>
        <v>115.55</v>
      </c>
      <c r="N219">
        <f>VLOOKUP(A219,NYSEBP!A$2:G$506,4,0)</f>
        <v>29.23</v>
      </c>
      <c r="O219">
        <f>VLOOKUP(A219,NASDAQYHOO!A$2:G$506,4,0)</f>
        <v>36.31</v>
      </c>
    </row>
    <row r="220" spans="1:15">
      <c r="A220" s="39">
        <v>42464</v>
      </c>
      <c r="B220">
        <v>68.92</v>
      </c>
      <c r="C220">
        <f>VLOOKUP(A220,NYSEARCAVTI!A$2:G$506,4,0)</f>
        <v>104.89</v>
      </c>
      <c r="D220">
        <f>VLOOKUP(A220,NYSEARCAVEU!A$2:G$506,4,0)</f>
        <v>42.56</v>
      </c>
      <c r="E220">
        <f>VLOOKUP(A220,NYSEARCAVWO!A$2:G$506,4,0)</f>
        <v>34.200000000000003</v>
      </c>
      <c r="F220">
        <f>VLOOKUP(A220,NYSEARCABND!A$2:G$506,4,0)</f>
        <v>82.7</v>
      </c>
      <c r="G220">
        <f>VLOOKUP(A220,NYSEARCATIP!A$2:G$506,4,0)</f>
        <v>114.74</v>
      </c>
      <c r="H220">
        <f>VLOOKUP(A220,NYSEARCAMUB!A$2:G$506,4,0)</f>
        <v>111.42</v>
      </c>
      <c r="I220">
        <f>VLOOKUP(A220,NYSEARCAVNQ!A$2:G$506,4,0)</f>
        <v>83.28</v>
      </c>
      <c r="J220">
        <f>VLOOKUP(A220,NYSEARCARWX!A$2:G$506,4,0)</f>
        <v>40.950000000000003</v>
      </c>
      <c r="K220">
        <f>VLOOKUP(A220,NYSEARCADBC!A$2:G$506,4,0)</f>
        <v>12.86</v>
      </c>
      <c r="L220">
        <f>VLOOKUP(A220,NYSEARCAGSG!A$2:G$506,4,0)</f>
        <v>13.25</v>
      </c>
      <c r="M220">
        <f>VLOOKUP(A220,NYSEARCAGLD!A$2:G$506,4,0)</f>
        <v>116.07</v>
      </c>
      <c r="N220">
        <f>VLOOKUP(A220,NYSEBP!A$2:G$506,4,0)</f>
        <v>29.56</v>
      </c>
      <c r="O220">
        <f>VLOOKUP(A220,NASDAQYHOO!A$2:G$506,4,0)</f>
        <v>36.54</v>
      </c>
    </row>
    <row r="221" spans="1:15">
      <c r="A221" s="39">
        <v>42465</v>
      </c>
      <c r="B221">
        <v>68.27</v>
      </c>
      <c r="C221">
        <f>VLOOKUP(A221,NYSEARCAVTI!A$2:G$506,4,0)</f>
        <v>103.87</v>
      </c>
      <c r="D221">
        <f>VLOOKUP(A221,NYSEARCAVEU!A$2:G$506,4,0)</f>
        <v>41.76</v>
      </c>
      <c r="E221">
        <f>VLOOKUP(A221,NYSEARCAVWO!A$2:G$506,4,0)</f>
        <v>33.53</v>
      </c>
      <c r="F221">
        <f>VLOOKUP(A221,NYSEARCABND!A$2:G$506,4,0)</f>
        <v>82.88</v>
      </c>
      <c r="G221">
        <f>VLOOKUP(A221,NYSEARCATIP!A$2:G$506,4,0)</f>
        <v>114.79</v>
      </c>
      <c r="H221">
        <f>VLOOKUP(A221,NYSEARCAMUB!A$2:G$506,4,0)</f>
        <v>111.63</v>
      </c>
      <c r="I221">
        <f>VLOOKUP(A221,NYSEARCAVNQ!A$2:G$506,4,0)</f>
        <v>82.81</v>
      </c>
      <c r="J221">
        <f>VLOOKUP(A221,NYSEARCARWX!A$2:G$506,4,0)</f>
        <v>40.57</v>
      </c>
      <c r="K221">
        <f>VLOOKUP(A221,NYSEARCADBC!A$2:G$506,4,0)</f>
        <v>12.78</v>
      </c>
      <c r="L221">
        <f>VLOOKUP(A221,NYSEARCAGSG!A$2:G$506,4,0)</f>
        <v>13.19</v>
      </c>
      <c r="M221">
        <f>VLOOKUP(A221,NYSEARCAGLD!A$2:G$506,4,0)</f>
        <v>117.15</v>
      </c>
      <c r="N221">
        <f>VLOOKUP(A221,NYSEBP!A$2:G$506,4,0)</f>
        <v>28.86</v>
      </c>
      <c r="O221">
        <f>VLOOKUP(A221,NASDAQYHOO!A$2:G$506,4,0)</f>
        <v>36.22</v>
      </c>
    </row>
    <row r="222" spans="1:15">
      <c r="A222" s="39">
        <v>42466</v>
      </c>
      <c r="B222">
        <v>68.52</v>
      </c>
      <c r="C222">
        <f>VLOOKUP(A222,NYSEARCAVTI!A$2:G$506,4,0)</f>
        <v>103.9</v>
      </c>
      <c r="D222">
        <f>VLOOKUP(A222,NYSEARCAVEU!A$2:G$506,4,0)</f>
        <v>41.84</v>
      </c>
      <c r="E222">
        <f>VLOOKUP(A222,NYSEARCAVWO!A$2:G$506,4,0)</f>
        <v>33.39</v>
      </c>
      <c r="F222">
        <f>VLOOKUP(A222,NYSEARCABND!A$2:G$506,4,0)</f>
        <v>82.8</v>
      </c>
      <c r="G222">
        <f>VLOOKUP(A222,NYSEARCATIP!A$2:G$506,4,0)</f>
        <v>114.39</v>
      </c>
      <c r="H222">
        <f>VLOOKUP(A222,NYSEARCAMUB!A$2:G$506,4,0)</f>
        <v>111.72</v>
      </c>
      <c r="I222">
        <f>VLOOKUP(A222,NYSEARCAVNQ!A$2:G$506,4,0)</f>
        <v>82.59</v>
      </c>
      <c r="J222">
        <f>VLOOKUP(A222,NYSEARCARWX!A$2:G$506,4,0)</f>
        <v>40.76</v>
      </c>
      <c r="K222">
        <f>VLOOKUP(A222,NYSEARCADBC!A$2:G$506,4,0)</f>
        <v>12.82</v>
      </c>
      <c r="L222">
        <f>VLOOKUP(A222,NYSEARCAGSG!A$2:G$506,4,0)</f>
        <v>13.33</v>
      </c>
      <c r="M222">
        <f>VLOOKUP(A222,NYSEARCAGLD!A$2:G$506,4,0)</f>
        <v>116.26</v>
      </c>
      <c r="N222">
        <f>VLOOKUP(A222,NYSEBP!A$2:G$506,4,0)</f>
        <v>28.67</v>
      </c>
      <c r="O222">
        <f>VLOOKUP(A222,NASDAQYHOO!A$2:G$506,4,0)</f>
        <v>36.31</v>
      </c>
    </row>
    <row r="223" spans="1:15">
      <c r="A223" s="39">
        <v>42467</v>
      </c>
      <c r="B223">
        <v>67.94</v>
      </c>
      <c r="C223">
        <f>VLOOKUP(A223,NYSEARCAVTI!A$2:G$506,4,0)</f>
        <v>103.44</v>
      </c>
      <c r="D223">
        <f>VLOOKUP(A223,NYSEARCAVEU!A$2:G$506,4,0)</f>
        <v>41.66</v>
      </c>
      <c r="E223">
        <f>VLOOKUP(A223,NYSEARCAVWO!A$2:G$506,4,0)</f>
        <v>33.200000000000003</v>
      </c>
      <c r="F223">
        <f>VLOOKUP(A223,NYSEARCABND!A$2:G$506,4,0)</f>
        <v>83</v>
      </c>
      <c r="G223">
        <f>VLOOKUP(A223,NYSEARCATIP!A$2:G$506,4,0)</f>
        <v>114.9</v>
      </c>
      <c r="H223">
        <f>VLOOKUP(A223,NYSEARCAMUB!A$2:G$506,4,0)</f>
        <v>111.89</v>
      </c>
      <c r="I223">
        <f>VLOOKUP(A223,NYSEARCAVNQ!A$2:G$506,4,0)</f>
        <v>82.33</v>
      </c>
      <c r="J223">
        <f>VLOOKUP(A223,NYSEARCARWX!A$2:G$506,4,0)</f>
        <v>40.590000000000003</v>
      </c>
      <c r="K223">
        <f>VLOOKUP(A223,NYSEARCADBC!A$2:G$506,4,0)</f>
        <v>12.86</v>
      </c>
      <c r="L223">
        <f>VLOOKUP(A223,NYSEARCAGSG!A$2:G$506,4,0)</f>
        <v>13.36</v>
      </c>
      <c r="M223">
        <f>VLOOKUP(A223,NYSEARCAGLD!A$2:G$506,4,0)</f>
        <v>115</v>
      </c>
      <c r="N223">
        <f>VLOOKUP(A223,NYSEBP!A$2:G$506,4,0)</f>
        <v>28.9</v>
      </c>
      <c r="O223">
        <f>VLOOKUP(A223,NASDAQYHOO!A$2:G$506,4,0)</f>
        <v>35.72</v>
      </c>
    </row>
    <row r="224" spans="1:15">
      <c r="A224" s="39">
        <v>42468</v>
      </c>
      <c r="B224">
        <v>67.86</v>
      </c>
      <c r="C224">
        <f>VLOOKUP(A224,NYSEARCAVTI!A$2:G$506,4,0)</f>
        <v>103.91</v>
      </c>
      <c r="D224">
        <f>VLOOKUP(A224,NYSEARCAVEU!A$2:G$506,4,0)</f>
        <v>42.47</v>
      </c>
      <c r="E224">
        <f>VLOOKUP(A224,NYSEARCAVWO!A$2:G$506,4,0)</f>
        <v>33.78</v>
      </c>
      <c r="F224">
        <f>VLOOKUP(A224,NYSEARCABND!A$2:G$506,4,0)</f>
        <v>82.97</v>
      </c>
      <c r="G224">
        <f>VLOOKUP(A224,NYSEARCATIP!A$2:G$506,4,0)</f>
        <v>114.73</v>
      </c>
      <c r="H224">
        <f>VLOOKUP(A224,NYSEARCAMUB!A$2:G$506,4,0)</f>
        <v>112.06</v>
      </c>
      <c r="I224">
        <f>VLOOKUP(A224,NYSEARCAVNQ!A$2:G$506,4,0)</f>
        <v>82.95</v>
      </c>
      <c r="J224">
        <f>VLOOKUP(A224,NYSEARCARWX!A$2:G$506,4,0)</f>
        <v>41.22</v>
      </c>
      <c r="K224">
        <f>VLOOKUP(A224,NYSEARCADBC!A$2:G$506,4,0)</f>
        <v>13.14</v>
      </c>
      <c r="L224">
        <f>VLOOKUP(A224,NYSEARCAGSG!A$2:G$506,4,0)</f>
        <v>13.81</v>
      </c>
      <c r="M224">
        <f>VLOOKUP(A224,NYSEARCAGLD!A$2:G$506,4,0)</f>
        <v>117.98</v>
      </c>
      <c r="N224">
        <f>VLOOKUP(A224,NYSEBP!A$2:G$506,4,0)</f>
        <v>29.73</v>
      </c>
      <c r="O224">
        <f>VLOOKUP(A224,NASDAQYHOO!A$2:G$506,4,0)</f>
        <v>35.619999999999997</v>
      </c>
    </row>
    <row r="225" spans="1:15">
      <c r="A225" s="39">
        <v>42471</v>
      </c>
      <c r="B225">
        <v>67.38</v>
      </c>
      <c r="C225">
        <f>VLOOKUP(A225,NYSEARCAVTI!A$2:G$506,4,0)</f>
        <v>103.91</v>
      </c>
      <c r="D225">
        <f>VLOOKUP(A225,NYSEARCAVEU!A$2:G$506,4,0)</f>
        <v>42.71</v>
      </c>
      <c r="E225">
        <f>VLOOKUP(A225,NYSEARCAVWO!A$2:G$506,4,0)</f>
        <v>34.299999999999997</v>
      </c>
      <c r="F225">
        <f>VLOOKUP(A225,NYSEARCABND!A$2:G$506,4,0)</f>
        <v>82.93</v>
      </c>
      <c r="G225">
        <f>VLOOKUP(A225,NYSEARCATIP!A$2:G$506,4,0)</f>
        <v>114.47</v>
      </c>
      <c r="H225">
        <f>VLOOKUP(A225,NYSEARCAMUB!A$2:G$506,4,0)</f>
        <v>112.11</v>
      </c>
      <c r="I225">
        <f>VLOOKUP(A225,NYSEARCAVNQ!A$2:G$506,4,0)</f>
        <v>82.97</v>
      </c>
      <c r="J225">
        <f>VLOOKUP(A225,NYSEARCARWX!A$2:G$506,4,0)</f>
        <v>41.47</v>
      </c>
      <c r="K225">
        <f>VLOOKUP(A225,NYSEARCADBC!A$2:G$506,4,0)</f>
        <v>13.29</v>
      </c>
      <c r="L225">
        <f>VLOOKUP(A225,NYSEARCAGSG!A$2:G$506,4,0)</f>
        <v>13.98</v>
      </c>
      <c r="M225">
        <f>VLOOKUP(A225,NYSEARCAGLD!A$2:G$506,4,0)</f>
        <v>119.42</v>
      </c>
      <c r="N225">
        <f>VLOOKUP(A225,NYSEBP!A$2:G$506,4,0)</f>
        <v>30.3</v>
      </c>
      <c r="O225">
        <f>VLOOKUP(A225,NASDAQYHOO!A$2:G$506,4,0)</f>
        <v>36.32</v>
      </c>
    </row>
    <row r="226" spans="1:15">
      <c r="A226" s="39">
        <v>42472</v>
      </c>
      <c r="B226">
        <v>67.45</v>
      </c>
      <c r="C226">
        <f>VLOOKUP(A226,NYSEARCAVTI!A$2:G$506,4,0)</f>
        <v>103.78</v>
      </c>
      <c r="D226">
        <f>VLOOKUP(A226,NYSEARCAVEU!A$2:G$506,4,0)</f>
        <v>42.82</v>
      </c>
      <c r="E226">
        <f>VLOOKUP(A226,NYSEARCAVWO!A$2:G$506,4,0)</f>
        <v>34.31</v>
      </c>
      <c r="F226">
        <f>VLOOKUP(A226,NYSEARCABND!A$2:G$506,4,0)</f>
        <v>82.82</v>
      </c>
      <c r="G226">
        <f>VLOOKUP(A226,NYSEARCATIP!A$2:G$506,4,0)</f>
        <v>114.03</v>
      </c>
      <c r="H226">
        <f>VLOOKUP(A226,NYSEARCAMUB!A$2:G$506,4,0)</f>
        <v>112.09</v>
      </c>
      <c r="I226">
        <f>VLOOKUP(A226,NYSEARCAVNQ!A$2:G$506,4,0)</f>
        <v>82.96</v>
      </c>
      <c r="J226">
        <f>VLOOKUP(A226,NYSEARCARWX!A$2:G$506,4,0)</f>
        <v>41.43</v>
      </c>
      <c r="K226">
        <f>VLOOKUP(A226,NYSEARCADBC!A$2:G$506,4,0)</f>
        <v>13.46</v>
      </c>
      <c r="L226">
        <f>VLOOKUP(A226,NYSEARCAGSG!A$2:G$506,4,0)</f>
        <v>14.16</v>
      </c>
      <c r="M226">
        <f>VLOOKUP(A226,NYSEARCAGLD!A$2:G$506,4,0)</f>
        <v>119.55</v>
      </c>
      <c r="N226">
        <f>VLOOKUP(A226,NYSEBP!A$2:G$506,4,0)</f>
        <v>30.33</v>
      </c>
      <c r="O226">
        <f>VLOOKUP(A226,NASDAQYHOO!A$2:G$506,4,0)</f>
        <v>36.28</v>
      </c>
    </row>
    <row r="227" spans="1:15">
      <c r="A227" s="39">
        <v>42473</v>
      </c>
      <c r="B227">
        <v>68.87</v>
      </c>
      <c r="C227">
        <f>VLOOKUP(A227,NYSEARCAVTI!A$2:G$506,4,0)</f>
        <v>105.43</v>
      </c>
      <c r="D227">
        <f>VLOOKUP(A227,NYSEARCAVEU!A$2:G$506,4,0)</f>
        <v>43.89</v>
      </c>
      <c r="E227">
        <f>VLOOKUP(A227,NYSEARCAVWO!A$2:G$506,4,0)</f>
        <v>35.28</v>
      </c>
      <c r="F227">
        <f>VLOOKUP(A227,NYSEARCABND!A$2:G$506,4,0)</f>
        <v>82.8</v>
      </c>
      <c r="G227">
        <f>VLOOKUP(A227,NYSEARCATIP!A$2:G$506,4,0)</f>
        <v>113.91</v>
      </c>
      <c r="H227">
        <f>VLOOKUP(A227,NYSEARCAMUB!A$2:G$506,4,0)</f>
        <v>112.07</v>
      </c>
      <c r="I227">
        <f>VLOOKUP(A227,NYSEARCAVNQ!A$2:G$506,4,0)</f>
        <v>82.94</v>
      </c>
      <c r="J227">
        <f>VLOOKUP(A227,NYSEARCARWX!A$2:G$506,4,0)</f>
        <v>41.96</v>
      </c>
      <c r="K227">
        <f>VLOOKUP(A227,NYSEARCADBC!A$2:G$506,4,0)</f>
        <v>13.64</v>
      </c>
      <c r="L227">
        <f>VLOOKUP(A227,NYSEARCAGSG!A$2:G$506,4,0)</f>
        <v>14.36</v>
      </c>
      <c r="M227">
        <f>VLOOKUP(A227,NYSEARCAGLD!A$2:G$506,4,0)</f>
        <v>118.56</v>
      </c>
      <c r="N227">
        <f>VLOOKUP(A227,NYSEBP!A$2:G$506,4,0)</f>
        <v>31.21</v>
      </c>
      <c r="O227">
        <f>VLOOKUP(A227,NASDAQYHOO!A$2:G$506,4,0)</f>
        <v>36.9</v>
      </c>
    </row>
    <row r="228" spans="1:15">
      <c r="A228" s="39">
        <v>42474</v>
      </c>
      <c r="B228">
        <v>68.150000000000006</v>
      </c>
      <c r="C228">
        <f>VLOOKUP(A228,NYSEARCAVTI!A$2:G$506,4,0)</f>
        <v>105.9</v>
      </c>
      <c r="D228">
        <f>VLOOKUP(A228,NYSEARCAVEU!A$2:G$506,4,0)</f>
        <v>44.04</v>
      </c>
      <c r="E228">
        <f>VLOOKUP(A228,NYSEARCAVWO!A$2:G$506,4,0)</f>
        <v>35.26</v>
      </c>
      <c r="F228">
        <f>VLOOKUP(A228,NYSEARCABND!A$2:G$506,4,0)</f>
        <v>82.85</v>
      </c>
      <c r="G228">
        <f>VLOOKUP(A228,NYSEARCATIP!A$2:G$506,4,0)</f>
        <v>113.82</v>
      </c>
      <c r="H228">
        <f>VLOOKUP(A228,NYSEARCAMUB!A$2:G$506,4,0)</f>
        <v>112.08</v>
      </c>
      <c r="I228">
        <f>VLOOKUP(A228,NYSEARCAVNQ!A$2:G$506,4,0)</f>
        <v>82.54</v>
      </c>
      <c r="J228">
        <f>VLOOKUP(A228,NYSEARCARWX!A$2:G$506,4,0)</f>
        <v>41.93</v>
      </c>
      <c r="K228">
        <f>VLOOKUP(A228,NYSEARCADBC!A$2:G$506,4,0)</f>
        <v>13.59</v>
      </c>
      <c r="L228">
        <f>VLOOKUP(A228,NYSEARCAGSG!A$2:G$506,4,0)</f>
        <v>14.25</v>
      </c>
      <c r="M228">
        <f>VLOOKUP(A228,NYSEARCAGLD!A$2:G$506,4,0)</f>
        <v>116.95</v>
      </c>
      <c r="N228">
        <f>VLOOKUP(A228,NYSEBP!A$2:G$506,4,0)</f>
        <v>30.68</v>
      </c>
      <c r="O228">
        <f>VLOOKUP(A228,NASDAQYHOO!A$2:G$506,4,0)</f>
        <v>36.85</v>
      </c>
    </row>
    <row r="229" spans="1:15">
      <c r="A229" s="39">
        <v>42475</v>
      </c>
      <c r="B229">
        <v>68.94</v>
      </c>
      <c r="C229">
        <f>VLOOKUP(A229,NYSEARCAVTI!A$2:G$506,4,0)</f>
        <v>105.87</v>
      </c>
      <c r="D229">
        <f>VLOOKUP(A229,NYSEARCAVEU!A$2:G$506,4,0)</f>
        <v>43.96</v>
      </c>
      <c r="E229">
        <f>VLOOKUP(A229,NYSEARCAVWO!A$2:G$506,4,0)</f>
        <v>35.08</v>
      </c>
      <c r="F229">
        <f>VLOOKUP(A229,NYSEARCABND!A$2:G$506,4,0)</f>
        <v>82.96</v>
      </c>
      <c r="G229">
        <f>VLOOKUP(A229,NYSEARCATIP!A$2:G$506,4,0)</f>
        <v>113.88</v>
      </c>
      <c r="H229">
        <f>VLOOKUP(A229,NYSEARCAMUB!A$2:G$506,4,0)</f>
        <v>112.18</v>
      </c>
      <c r="I229">
        <f>VLOOKUP(A229,NYSEARCAVNQ!A$2:G$506,4,0)</f>
        <v>82.5</v>
      </c>
      <c r="J229">
        <f>VLOOKUP(A229,NYSEARCARWX!A$2:G$506,4,0)</f>
        <v>41.82</v>
      </c>
      <c r="K229">
        <f>VLOOKUP(A229,NYSEARCADBC!A$2:G$506,4,0)</f>
        <v>13.41</v>
      </c>
      <c r="L229">
        <f>VLOOKUP(A229,NYSEARCAGSG!A$2:G$506,4,0)</f>
        <v>14.05</v>
      </c>
      <c r="M229">
        <f>VLOOKUP(A229,NYSEARCAGLD!A$2:G$506,4,0)</f>
        <v>117.19</v>
      </c>
      <c r="N229">
        <f>VLOOKUP(A229,NYSEBP!A$2:G$506,4,0)</f>
        <v>30.23</v>
      </c>
      <c r="O229">
        <f>VLOOKUP(A229,NASDAQYHOO!A$2:G$506,4,0)</f>
        <v>36.42</v>
      </c>
    </row>
    <row r="230" spans="1:15">
      <c r="A230" s="39">
        <v>42478</v>
      </c>
      <c r="B230">
        <v>68.849999999999994</v>
      </c>
      <c r="C230">
        <f>VLOOKUP(A230,NYSEARCAVTI!A$2:G$506,4,0)</f>
        <v>105.61</v>
      </c>
      <c r="D230">
        <f>VLOOKUP(A230,NYSEARCAVEU!A$2:G$506,4,0)</f>
        <v>43.81</v>
      </c>
      <c r="E230">
        <f>VLOOKUP(A230,NYSEARCAVWO!A$2:G$506,4,0)</f>
        <v>34.89</v>
      </c>
      <c r="F230">
        <f>VLOOKUP(A230,NYSEARCABND!A$2:G$506,4,0)</f>
        <v>82.96</v>
      </c>
      <c r="G230">
        <f>VLOOKUP(A230,NYSEARCATIP!A$2:G$506,4,0)</f>
        <v>114.03</v>
      </c>
      <c r="H230">
        <f>VLOOKUP(A230,NYSEARCAMUB!A$2:G$506,4,0)</f>
        <v>112.17</v>
      </c>
      <c r="I230">
        <f>VLOOKUP(A230,NYSEARCAVNQ!A$2:G$506,4,0)</f>
        <v>83.14</v>
      </c>
      <c r="J230">
        <f>VLOOKUP(A230,NYSEARCARWX!A$2:G$506,4,0)</f>
        <v>41.8</v>
      </c>
      <c r="K230">
        <f>VLOOKUP(A230,NYSEARCADBC!A$2:G$506,4,0)</f>
        <v>13.38</v>
      </c>
      <c r="L230">
        <f>VLOOKUP(A230,NYSEARCAGSG!A$2:G$506,4,0)</f>
        <v>13.9</v>
      </c>
      <c r="M230">
        <f>VLOOKUP(A230,NYSEARCAGLD!A$2:G$506,4,0)</f>
        <v>117.63</v>
      </c>
      <c r="N230">
        <f>VLOOKUP(A230,NYSEBP!A$2:G$506,4,0)</f>
        <v>29.98</v>
      </c>
      <c r="O230">
        <f>VLOOKUP(A230,NASDAQYHOO!A$2:G$506,4,0)</f>
        <v>35.880000000000003</v>
      </c>
    </row>
    <row r="231" spans="1:15">
      <c r="A231" s="39">
        <v>42479</v>
      </c>
      <c r="B231">
        <v>69.5</v>
      </c>
      <c r="C231">
        <f>VLOOKUP(A231,NYSEARCAVTI!A$2:G$506,4,0)</f>
        <v>106.61</v>
      </c>
      <c r="D231">
        <f>VLOOKUP(A231,NYSEARCAVEU!A$2:G$506,4,0)</f>
        <v>44.85</v>
      </c>
      <c r="E231">
        <f>VLOOKUP(A231,NYSEARCAVWO!A$2:G$506,4,0)</f>
        <v>35.49</v>
      </c>
      <c r="F231">
        <f>VLOOKUP(A231,NYSEARCABND!A$2:G$506,4,0)</f>
        <v>82.94</v>
      </c>
      <c r="G231">
        <f>VLOOKUP(A231,NYSEARCATIP!A$2:G$506,4,0)</f>
        <v>114.32</v>
      </c>
      <c r="H231">
        <f>VLOOKUP(A231,NYSEARCAMUB!A$2:G$506,4,0)</f>
        <v>112.07</v>
      </c>
      <c r="I231">
        <f>VLOOKUP(A231,NYSEARCAVNQ!A$2:G$506,4,0)</f>
        <v>83.48</v>
      </c>
      <c r="J231">
        <f>VLOOKUP(A231,NYSEARCARWX!A$2:G$506,4,0)</f>
        <v>42.3</v>
      </c>
      <c r="K231">
        <f>VLOOKUP(A231,NYSEARCADBC!A$2:G$506,4,0)</f>
        <v>13.74</v>
      </c>
      <c r="L231">
        <f>VLOOKUP(A231,NYSEARCAGSG!A$2:G$506,4,0)</f>
        <v>14.32</v>
      </c>
      <c r="M231">
        <f>VLOOKUP(A231,NYSEARCAGLD!A$2:G$506,4,0)</f>
        <v>119.37</v>
      </c>
      <c r="N231">
        <f>VLOOKUP(A231,NYSEBP!A$2:G$506,4,0)</f>
        <v>31.1</v>
      </c>
      <c r="O231">
        <f>VLOOKUP(A231,NASDAQYHOO!A$2:G$506,4,0)</f>
        <v>36.11</v>
      </c>
    </row>
    <row r="232" spans="1:15">
      <c r="A232" s="39">
        <v>42480</v>
      </c>
      <c r="B232">
        <v>69.13</v>
      </c>
      <c r="C232">
        <f>VLOOKUP(A232,NYSEARCAVTI!A$2:G$506,4,0)</f>
        <v>106.83</v>
      </c>
      <c r="D232">
        <f>VLOOKUP(A232,NYSEARCAVEU!A$2:G$506,4,0)</f>
        <v>44.86</v>
      </c>
      <c r="E232">
        <f>VLOOKUP(A232,NYSEARCAVWO!A$2:G$506,4,0)</f>
        <v>35.299999999999997</v>
      </c>
      <c r="F232">
        <f>VLOOKUP(A232,NYSEARCABND!A$2:G$506,4,0)</f>
        <v>82.86</v>
      </c>
      <c r="G232">
        <f>VLOOKUP(A232,NYSEARCATIP!A$2:G$506,4,0)</f>
        <v>114.01</v>
      </c>
      <c r="H232">
        <f>VLOOKUP(A232,NYSEARCAMUB!A$2:G$506,4,0)</f>
        <v>112.1</v>
      </c>
      <c r="I232">
        <f>VLOOKUP(A232,NYSEARCAVNQ!A$2:G$506,4,0)</f>
        <v>82.33</v>
      </c>
      <c r="J232">
        <f>VLOOKUP(A232,NYSEARCARWX!A$2:G$506,4,0)</f>
        <v>42.35</v>
      </c>
      <c r="K232">
        <f>VLOOKUP(A232,NYSEARCADBC!A$2:G$506,4,0)</f>
        <v>13.82</v>
      </c>
      <c r="L232">
        <f>VLOOKUP(A232,NYSEARCAGSG!A$2:G$506,4,0)</f>
        <v>14.33</v>
      </c>
      <c r="M232">
        <f>VLOOKUP(A232,NYSEARCAGLD!A$2:G$506,4,0)</f>
        <v>118.72</v>
      </c>
      <c r="N232">
        <f>VLOOKUP(A232,NYSEBP!A$2:G$506,4,0)</f>
        <v>31.2</v>
      </c>
      <c r="O232">
        <f>VLOOKUP(A232,NASDAQYHOO!A$2:G$506,4,0)</f>
        <v>37</v>
      </c>
    </row>
    <row r="233" spans="1:15">
      <c r="A233" s="39">
        <v>42481</v>
      </c>
      <c r="B233">
        <v>68.239999999999995</v>
      </c>
      <c r="C233">
        <f>VLOOKUP(A233,NYSEARCAVTI!A$2:G$506,4,0)</f>
        <v>106.48</v>
      </c>
      <c r="D233">
        <f>VLOOKUP(A233,NYSEARCAVEU!A$2:G$506,4,0)</f>
        <v>44.63</v>
      </c>
      <c r="E233">
        <f>VLOOKUP(A233,NYSEARCAVWO!A$2:G$506,4,0)</f>
        <v>35.07</v>
      </c>
      <c r="F233">
        <f>VLOOKUP(A233,NYSEARCABND!A$2:G$506,4,0)</f>
        <v>82.68</v>
      </c>
      <c r="G233">
        <f>VLOOKUP(A233,NYSEARCATIP!A$2:G$506,4,0)</f>
        <v>113.67</v>
      </c>
      <c r="H233">
        <f>VLOOKUP(A233,NYSEARCAMUB!A$2:G$506,4,0)</f>
        <v>112.05</v>
      </c>
      <c r="I233">
        <f>VLOOKUP(A233,NYSEARCAVNQ!A$2:G$506,4,0)</f>
        <v>80.680000000000007</v>
      </c>
      <c r="J233">
        <f>VLOOKUP(A233,NYSEARCARWX!A$2:G$506,4,0)</f>
        <v>41.9</v>
      </c>
      <c r="K233">
        <f>VLOOKUP(A233,NYSEARCADBC!A$2:G$506,4,0)</f>
        <v>14.04</v>
      </c>
      <c r="L233">
        <f>VLOOKUP(A233,NYSEARCAGSG!A$2:G$506,4,0)</f>
        <v>14.66</v>
      </c>
      <c r="M233">
        <f>VLOOKUP(A233,NYSEARCAGLD!A$2:G$506,4,0)</f>
        <v>119.13</v>
      </c>
      <c r="N233">
        <f>VLOOKUP(A233,NYSEBP!A$2:G$506,4,0)</f>
        <v>31.67</v>
      </c>
      <c r="O233">
        <f>VLOOKUP(A233,NASDAQYHOO!A$2:G$506,4,0)</f>
        <v>37.35</v>
      </c>
    </row>
    <row r="234" spans="1:15">
      <c r="A234" s="39">
        <v>42482</v>
      </c>
      <c r="B234">
        <v>68.28</v>
      </c>
      <c r="C234">
        <f>VLOOKUP(A234,NYSEARCAVTI!A$2:G$506,4,0)</f>
        <v>106.24</v>
      </c>
      <c r="D234">
        <f>VLOOKUP(A234,NYSEARCAVEU!A$2:G$506,4,0)</f>
        <v>44.54</v>
      </c>
      <c r="E234">
        <f>VLOOKUP(A234,NYSEARCAVWO!A$2:G$506,4,0)</f>
        <v>34.950000000000003</v>
      </c>
      <c r="F234">
        <f>VLOOKUP(A234,NYSEARCABND!A$2:G$506,4,0)</f>
        <v>82.71</v>
      </c>
      <c r="G234">
        <f>VLOOKUP(A234,NYSEARCATIP!A$2:G$506,4,0)</f>
        <v>113.82</v>
      </c>
      <c r="H234">
        <f>VLOOKUP(A234,NYSEARCAMUB!A$2:G$506,4,0)</f>
        <v>112</v>
      </c>
      <c r="I234">
        <f>VLOOKUP(A234,NYSEARCAVNQ!A$2:G$506,4,0)</f>
        <v>80.81</v>
      </c>
      <c r="J234">
        <f>VLOOKUP(A234,NYSEARCARWX!A$2:G$506,4,0)</f>
        <v>41.84</v>
      </c>
      <c r="K234">
        <f>VLOOKUP(A234,NYSEARCADBC!A$2:G$506,4,0)</f>
        <v>14.02</v>
      </c>
      <c r="L234">
        <f>VLOOKUP(A234,NYSEARCAGSG!A$2:G$506,4,0)</f>
        <v>14.64</v>
      </c>
      <c r="M234">
        <f>VLOOKUP(A234,NYSEARCAGLD!A$2:G$506,4,0)</f>
        <v>117.28</v>
      </c>
      <c r="N234">
        <f>VLOOKUP(A234,NYSEBP!A$2:G$506,4,0)</f>
        <v>31.63</v>
      </c>
      <c r="O234">
        <f>VLOOKUP(A234,NASDAQYHOO!A$2:G$506,4,0)</f>
        <v>37.159999999999997</v>
      </c>
    </row>
    <row r="235" spans="1:15">
      <c r="A235" s="39">
        <v>42485</v>
      </c>
      <c r="B235">
        <v>68.06</v>
      </c>
      <c r="C235">
        <f>VLOOKUP(A235,NYSEARCAVTI!A$2:G$506,4,0)</f>
        <v>106.06</v>
      </c>
      <c r="D235">
        <f>VLOOKUP(A235,NYSEARCAVEU!A$2:G$506,4,0)</f>
        <v>44.32</v>
      </c>
      <c r="E235">
        <f>VLOOKUP(A235,NYSEARCAVWO!A$2:G$506,4,0)</f>
        <v>34.700000000000003</v>
      </c>
      <c r="F235">
        <f>VLOOKUP(A235,NYSEARCABND!A$2:G$506,4,0)</f>
        <v>82.62</v>
      </c>
      <c r="G235">
        <f>VLOOKUP(A235,NYSEARCATIP!A$2:G$506,4,0)</f>
        <v>113.69</v>
      </c>
      <c r="H235">
        <f>VLOOKUP(A235,NYSEARCAMUB!A$2:G$506,4,0)</f>
        <v>112</v>
      </c>
      <c r="I235">
        <f>VLOOKUP(A235,NYSEARCAVNQ!A$2:G$506,4,0)</f>
        <v>81.53</v>
      </c>
      <c r="J235">
        <f>VLOOKUP(A235,NYSEARCARWX!A$2:G$506,4,0)</f>
        <v>42.2</v>
      </c>
      <c r="K235">
        <f>VLOOKUP(A235,NYSEARCADBC!A$2:G$506,4,0)</f>
        <v>14.01</v>
      </c>
      <c r="L235">
        <f>VLOOKUP(A235,NYSEARCAGSG!A$2:G$506,4,0)</f>
        <v>14.55</v>
      </c>
      <c r="M235">
        <f>VLOOKUP(A235,NYSEARCAGLD!A$2:G$506,4,0)</f>
        <v>118.11</v>
      </c>
      <c r="N235">
        <f>VLOOKUP(A235,NYSEBP!A$2:G$506,4,0)</f>
        <v>31.44</v>
      </c>
      <c r="O235">
        <f>VLOOKUP(A235,NASDAQYHOO!A$2:G$506,4,0)</f>
        <v>37.18</v>
      </c>
    </row>
    <row r="236" spans="1:15">
      <c r="A236" s="39">
        <v>42486</v>
      </c>
      <c r="B236">
        <v>69.099999999999994</v>
      </c>
      <c r="C236">
        <f>VLOOKUP(A236,NYSEARCAVTI!A$2:G$506,4,0)</f>
        <v>106.44</v>
      </c>
      <c r="D236">
        <f>VLOOKUP(A236,NYSEARCAVEU!A$2:G$506,4,0)</f>
        <v>44.51</v>
      </c>
      <c r="E236">
        <f>VLOOKUP(A236,NYSEARCAVWO!A$2:G$506,4,0)</f>
        <v>34.909999999999997</v>
      </c>
      <c r="F236">
        <f>VLOOKUP(A236,NYSEARCABND!A$2:G$506,4,0)</f>
        <v>82.44</v>
      </c>
      <c r="G236">
        <f>VLOOKUP(A236,NYSEARCATIP!A$2:G$506,4,0)</f>
        <v>113.59</v>
      </c>
      <c r="H236">
        <f>VLOOKUP(A236,NYSEARCAMUB!A$2:G$506,4,0)</f>
        <v>111.94</v>
      </c>
      <c r="I236">
        <f>VLOOKUP(A236,NYSEARCAVNQ!A$2:G$506,4,0)</f>
        <v>82.51</v>
      </c>
      <c r="J236">
        <f>VLOOKUP(A236,NYSEARCARWX!A$2:G$506,4,0)</f>
        <v>42.67</v>
      </c>
      <c r="K236">
        <f>VLOOKUP(A236,NYSEARCADBC!A$2:G$506,4,0)</f>
        <v>14.07</v>
      </c>
      <c r="L236">
        <f>VLOOKUP(A236,NYSEARCAGSG!A$2:G$506,4,0)</f>
        <v>14.66</v>
      </c>
      <c r="M236">
        <f>VLOOKUP(A236,NYSEARCAGLD!A$2:G$506,4,0)</f>
        <v>118.45</v>
      </c>
      <c r="N236">
        <f>VLOOKUP(A236,NYSEBP!A$2:G$506,4,0)</f>
        <v>33.08</v>
      </c>
      <c r="O236">
        <f>VLOOKUP(A236,NASDAQYHOO!A$2:G$506,4,0)</f>
        <v>36.909999999999997</v>
      </c>
    </row>
    <row r="237" spans="1:15">
      <c r="A237" s="39">
        <v>42487</v>
      </c>
      <c r="B237">
        <v>68.989999999999995</v>
      </c>
      <c r="C237">
        <f>VLOOKUP(A237,NYSEARCAVTI!A$2:G$506,4,0)</f>
        <v>106.42</v>
      </c>
      <c r="D237">
        <f>VLOOKUP(A237,NYSEARCAVEU!A$2:G$506,4,0)</f>
        <v>44.45</v>
      </c>
      <c r="E237">
        <f>VLOOKUP(A237,NYSEARCAVWO!A$2:G$506,4,0)</f>
        <v>34.93</v>
      </c>
      <c r="F237">
        <f>VLOOKUP(A237,NYSEARCABND!A$2:G$506,4,0)</f>
        <v>82.55</v>
      </c>
      <c r="G237">
        <f>VLOOKUP(A237,NYSEARCATIP!A$2:G$506,4,0)</f>
        <v>113.74</v>
      </c>
      <c r="H237">
        <f>VLOOKUP(A237,NYSEARCAMUB!A$2:G$506,4,0)</f>
        <v>111.98</v>
      </c>
      <c r="I237">
        <f>VLOOKUP(A237,NYSEARCAVNQ!A$2:G$506,4,0)</f>
        <v>81.86</v>
      </c>
      <c r="J237">
        <f>VLOOKUP(A237,NYSEARCARWX!A$2:G$506,4,0)</f>
        <v>42.4</v>
      </c>
      <c r="K237">
        <f>VLOOKUP(A237,NYSEARCADBC!A$2:G$506,4,0)</f>
        <v>14.13</v>
      </c>
      <c r="L237">
        <f>VLOOKUP(A237,NYSEARCAGSG!A$2:G$506,4,0)</f>
        <v>14.75</v>
      </c>
      <c r="M237">
        <f>VLOOKUP(A237,NYSEARCAGLD!A$2:G$506,4,0)</f>
        <v>118.43</v>
      </c>
      <c r="N237">
        <f>VLOOKUP(A237,NYSEBP!A$2:G$506,4,0)</f>
        <v>33.42</v>
      </c>
      <c r="O237">
        <f>VLOOKUP(A237,NASDAQYHOO!A$2:G$506,4,0)</f>
        <v>36.630000000000003</v>
      </c>
    </row>
    <row r="238" spans="1:15">
      <c r="A238" s="39">
        <v>42488</v>
      </c>
      <c r="B238">
        <v>68.75</v>
      </c>
      <c r="C238">
        <f>VLOOKUP(A238,NYSEARCAVTI!A$2:G$506,4,0)</f>
        <v>105.87</v>
      </c>
      <c r="D238">
        <f>VLOOKUP(A238,NYSEARCAVEU!A$2:G$506,4,0)</f>
        <v>44.11</v>
      </c>
      <c r="E238">
        <f>VLOOKUP(A238,NYSEARCAVWO!A$2:G$506,4,0)</f>
        <v>34.96</v>
      </c>
      <c r="F238">
        <f>VLOOKUP(A238,NYSEARCABND!A$2:G$506,4,0)</f>
        <v>82.74</v>
      </c>
      <c r="G238">
        <f>VLOOKUP(A238,NYSEARCATIP!A$2:G$506,4,0)</f>
        <v>114.42</v>
      </c>
      <c r="H238">
        <f>VLOOKUP(A238,NYSEARCAMUB!A$2:G$506,4,0)</f>
        <v>112.06</v>
      </c>
      <c r="I238">
        <f>VLOOKUP(A238,NYSEARCAVNQ!A$2:G$506,4,0)</f>
        <v>81.94</v>
      </c>
      <c r="J238">
        <f>VLOOKUP(A238,NYSEARCARWX!A$2:G$506,4,0)</f>
        <v>42.23</v>
      </c>
      <c r="K238">
        <f>VLOOKUP(A238,NYSEARCADBC!A$2:G$506,4,0)</f>
        <v>14.34</v>
      </c>
      <c r="L238">
        <f>VLOOKUP(A238,NYSEARCAGSG!A$2:G$506,4,0)</f>
        <v>15.02</v>
      </c>
      <c r="M238">
        <f>VLOOKUP(A238,NYSEARCAGLD!A$2:G$506,4,0)</f>
        <v>119.73</v>
      </c>
      <c r="N238">
        <f>VLOOKUP(A238,NYSEBP!A$2:G$506,4,0)</f>
        <v>33.33</v>
      </c>
      <c r="O238">
        <f>VLOOKUP(A238,NASDAQYHOO!A$2:G$506,4,0)</f>
        <v>36.51</v>
      </c>
    </row>
    <row r="239" spans="1:15">
      <c r="A239" s="39">
        <v>42489</v>
      </c>
      <c r="B239">
        <v>66.36</v>
      </c>
      <c r="C239">
        <f>VLOOKUP(A239,NYSEARCAVTI!A$2:G$506,4,0)</f>
        <v>104.8</v>
      </c>
      <c r="D239">
        <f>VLOOKUP(A239,NYSEARCAVEU!A$2:G$506,4,0)</f>
        <v>43.86</v>
      </c>
      <c r="E239">
        <f>VLOOKUP(A239,NYSEARCAVWO!A$2:G$506,4,0)</f>
        <v>34.65</v>
      </c>
      <c r="F239">
        <f>VLOOKUP(A239,NYSEARCABND!A$2:G$506,4,0)</f>
        <v>82.82</v>
      </c>
      <c r="G239">
        <f>VLOOKUP(A239,NYSEARCATIP!A$2:G$506,4,0)</f>
        <v>114.54</v>
      </c>
      <c r="H239">
        <f>VLOOKUP(A239,NYSEARCAMUB!A$2:G$506,4,0)</f>
        <v>112.06</v>
      </c>
      <c r="I239">
        <f>VLOOKUP(A239,NYSEARCAVNQ!A$2:G$506,4,0)</f>
        <v>81.03</v>
      </c>
      <c r="J239">
        <f>VLOOKUP(A239,NYSEARCARWX!A$2:G$506,4,0)</f>
        <v>42.14</v>
      </c>
      <c r="K239">
        <f>VLOOKUP(A239,NYSEARCADBC!A$2:G$506,4,0)</f>
        <v>14.48</v>
      </c>
      <c r="L239">
        <f>VLOOKUP(A239,NYSEARCAGSG!A$2:G$506,4,0)</f>
        <v>15.07</v>
      </c>
      <c r="M239">
        <f>VLOOKUP(A239,NYSEARCAGLD!A$2:G$506,4,0)</f>
        <v>122.34</v>
      </c>
      <c r="N239">
        <f>VLOOKUP(A239,NYSEBP!A$2:G$506,4,0)</f>
        <v>33.130000000000003</v>
      </c>
      <c r="O239">
        <f>VLOOKUP(A239,NASDAQYHOO!A$2:G$506,4,0)</f>
        <v>36.15</v>
      </c>
    </row>
    <row r="240" spans="1:15">
      <c r="A240" s="39">
        <v>42492</v>
      </c>
      <c r="B240">
        <v>66.53</v>
      </c>
      <c r="C240">
        <f>VLOOKUP(A240,NYSEARCAVTI!A$2:G$506,4,0)</f>
        <v>105.47</v>
      </c>
      <c r="D240">
        <f>VLOOKUP(A240,NYSEARCAVEU!A$2:G$506,4,0)</f>
        <v>44.16</v>
      </c>
      <c r="E240">
        <f>VLOOKUP(A240,NYSEARCAVWO!A$2:G$506,4,0)</f>
        <v>34.659999999999997</v>
      </c>
      <c r="F240">
        <f>VLOOKUP(A240,NYSEARCABND!A$2:G$506,4,0)</f>
        <v>82.63</v>
      </c>
      <c r="G240">
        <f>VLOOKUP(A240,NYSEARCATIP!A$2:G$506,4,0)</f>
        <v>114.3</v>
      </c>
      <c r="H240">
        <f>VLOOKUP(A240,NYSEARCAMUB!A$2:G$506,4,0)</f>
        <v>111.94</v>
      </c>
      <c r="I240">
        <f>VLOOKUP(A240,NYSEARCAVNQ!A$2:G$506,4,0)</f>
        <v>81.78</v>
      </c>
      <c r="J240">
        <f>VLOOKUP(A240,NYSEARCARWX!A$2:G$506,4,0)</f>
        <v>42.54</v>
      </c>
      <c r="K240">
        <f>VLOOKUP(A240,NYSEARCADBC!A$2:G$506,4,0)</f>
        <v>14.35</v>
      </c>
      <c r="L240">
        <f>VLOOKUP(A240,NYSEARCAGSG!A$2:G$506,4,0)</f>
        <v>14.93</v>
      </c>
      <c r="M240">
        <f>VLOOKUP(A240,NYSEARCAGLD!A$2:G$506,4,0)</f>
        <v>123.04</v>
      </c>
      <c r="N240">
        <f>VLOOKUP(A240,NYSEBP!A$2:G$506,4,0)</f>
        <v>33.299999999999997</v>
      </c>
      <c r="O240">
        <f>VLOOKUP(A240,NASDAQYHOO!A$2:G$506,4,0)</f>
        <v>36.32</v>
      </c>
    </row>
    <row r="241" spans="1:15">
      <c r="A241" s="39">
        <v>42493</v>
      </c>
      <c r="B241">
        <v>66.75</v>
      </c>
      <c r="C241">
        <f>VLOOKUP(A241,NYSEARCAVTI!A$2:G$506,4,0)</f>
        <v>104.82</v>
      </c>
      <c r="D241">
        <f>VLOOKUP(A241,NYSEARCAVEU!A$2:G$506,4,0)</f>
        <v>43.46</v>
      </c>
      <c r="E241">
        <f>VLOOKUP(A241,NYSEARCAVWO!A$2:G$506,4,0)</f>
        <v>33.85</v>
      </c>
      <c r="F241">
        <f>VLOOKUP(A241,NYSEARCABND!A$2:G$506,4,0)</f>
        <v>82.84</v>
      </c>
      <c r="G241">
        <f>VLOOKUP(A241,NYSEARCATIP!A$2:G$506,4,0)</f>
        <v>114.55</v>
      </c>
      <c r="H241">
        <f>VLOOKUP(A241,NYSEARCAMUB!A$2:G$506,4,0)</f>
        <v>112.13</v>
      </c>
      <c r="I241">
        <f>VLOOKUP(A241,NYSEARCAVNQ!A$2:G$506,4,0)</f>
        <v>82.59</v>
      </c>
      <c r="J241">
        <f>VLOOKUP(A241,NYSEARCARWX!A$2:G$506,4,0)</f>
        <v>42.2</v>
      </c>
      <c r="K241">
        <f>VLOOKUP(A241,NYSEARCADBC!A$2:G$506,4,0)</f>
        <v>14.09</v>
      </c>
      <c r="L241">
        <f>VLOOKUP(A241,NYSEARCAGSG!A$2:G$506,4,0)</f>
        <v>14.64</v>
      </c>
      <c r="M241">
        <f>VLOOKUP(A241,NYSEARCAGLD!A$2:G$506,4,0)</f>
        <v>122.51</v>
      </c>
      <c r="N241">
        <f>VLOOKUP(A241,NYSEBP!A$2:G$506,4,0)</f>
        <v>32.47</v>
      </c>
      <c r="O241">
        <f>VLOOKUP(A241,NASDAQYHOO!A$2:G$506,4,0)</f>
        <v>35.909999999999997</v>
      </c>
    </row>
    <row r="242" spans="1:15">
      <c r="A242" s="39">
        <v>42494</v>
      </c>
      <c r="B242">
        <v>66.44</v>
      </c>
      <c r="C242">
        <f>VLOOKUP(A242,NYSEARCAVTI!A$2:G$506,4,0)</f>
        <v>104.37</v>
      </c>
      <c r="D242">
        <f>VLOOKUP(A242,NYSEARCAVEU!A$2:G$506,4,0)</f>
        <v>42.9</v>
      </c>
      <c r="E242">
        <f>VLOOKUP(A242,NYSEARCAVWO!A$2:G$506,4,0)</f>
        <v>33.35</v>
      </c>
      <c r="F242">
        <f>VLOOKUP(A242,NYSEARCABND!A$2:G$506,4,0)</f>
        <v>82.83</v>
      </c>
      <c r="G242">
        <f>VLOOKUP(A242,NYSEARCATIP!A$2:G$506,4,0)</f>
        <v>114.44</v>
      </c>
      <c r="H242">
        <f>VLOOKUP(A242,NYSEARCAMUB!A$2:G$506,4,0)</f>
        <v>112.18</v>
      </c>
      <c r="I242">
        <f>VLOOKUP(A242,NYSEARCAVNQ!A$2:G$506,4,0)</f>
        <v>82.71</v>
      </c>
      <c r="J242">
        <f>VLOOKUP(A242,NYSEARCARWX!A$2:G$506,4,0)</f>
        <v>41.9</v>
      </c>
      <c r="K242">
        <f>VLOOKUP(A242,NYSEARCADBC!A$2:G$506,4,0)</f>
        <v>14.06</v>
      </c>
      <c r="L242">
        <f>VLOOKUP(A242,NYSEARCAGSG!A$2:G$506,4,0)</f>
        <v>14.57</v>
      </c>
      <c r="M242">
        <f>VLOOKUP(A242,NYSEARCAGLD!A$2:G$506,4,0)</f>
        <v>121.51</v>
      </c>
      <c r="N242">
        <f>VLOOKUP(A242,NYSEBP!A$2:G$506,4,0)</f>
        <v>31.26</v>
      </c>
      <c r="O242">
        <f>VLOOKUP(A242,NASDAQYHOO!A$2:G$506,4,0)</f>
        <v>35.74</v>
      </c>
    </row>
    <row r="243" spans="1:15">
      <c r="A243" s="39">
        <v>42495</v>
      </c>
      <c r="B243">
        <v>66.58</v>
      </c>
      <c r="C243">
        <f>VLOOKUP(A243,NYSEARCAVTI!A$2:G$506,4,0)</f>
        <v>104.37</v>
      </c>
      <c r="D243">
        <f>VLOOKUP(A243,NYSEARCAVEU!A$2:G$506,4,0)</f>
        <v>42.82</v>
      </c>
      <c r="E243">
        <f>VLOOKUP(A243,NYSEARCAVWO!A$2:G$506,4,0)</f>
        <v>33.299999999999997</v>
      </c>
      <c r="F243">
        <f>VLOOKUP(A243,NYSEARCABND!A$2:G$506,4,0)</f>
        <v>82.87</v>
      </c>
      <c r="G243">
        <f>VLOOKUP(A243,NYSEARCATIP!A$2:G$506,4,0)</f>
        <v>114.56</v>
      </c>
      <c r="H243">
        <f>VLOOKUP(A243,NYSEARCAMUB!A$2:G$506,4,0)</f>
        <v>112.27</v>
      </c>
      <c r="I243">
        <f>VLOOKUP(A243,NYSEARCAVNQ!A$2:G$506,4,0)</f>
        <v>84.13</v>
      </c>
      <c r="J243">
        <f>VLOOKUP(A243,NYSEARCARWX!A$2:G$506,4,0)</f>
        <v>41.9</v>
      </c>
      <c r="K243">
        <f>VLOOKUP(A243,NYSEARCADBC!A$2:G$506,4,0)</f>
        <v>13.96</v>
      </c>
      <c r="L243">
        <f>VLOOKUP(A243,NYSEARCAGSG!A$2:G$506,4,0)</f>
        <v>14.61</v>
      </c>
      <c r="M243">
        <f>VLOOKUP(A243,NYSEARCAGLD!A$2:G$506,4,0)</f>
        <v>121.25</v>
      </c>
      <c r="N243">
        <f>VLOOKUP(A243,NYSEBP!A$2:G$506,4,0)</f>
        <v>31.35</v>
      </c>
      <c r="O243">
        <f>VLOOKUP(A243,NASDAQYHOO!A$2:G$506,4,0)</f>
        <v>36.86</v>
      </c>
    </row>
    <row r="244" spans="1:15">
      <c r="A244" s="39">
        <v>42496</v>
      </c>
      <c r="B244">
        <v>66.8</v>
      </c>
      <c r="C244">
        <f>VLOOKUP(A244,NYSEARCAVTI!A$2:G$506,4,0)</f>
        <v>104</v>
      </c>
      <c r="D244">
        <f>VLOOKUP(A244,NYSEARCAVEU!A$2:G$506,4,0)</f>
        <v>42.69</v>
      </c>
      <c r="E244">
        <f>VLOOKUP(A244,NYSEARCAVWO!A$2:G$506,4,0)</f>
        <v>33.24</v>
      </c>
      <c r="F244">
        <f>VLOOKUP(A244,NYSEARCABND!A$2:G$506,4,0)</f>
        <v>82.97</v>
      </c>
      <c r="G244">
        <f>VLOOKUP(A244,NYSEARCATIP!A$2:G$506,4,0)</f>
        <v>114.58</v>
      </c>
      <c r="H244">
        <f>VLOOKUP(A244,NYSEARCAMUB!A$2:G$506,4,0)</f>
        <v>112.28</v>
      </c>
      <c r="I244">
        <f>VLOOKUP(A244,NYSEARCAVNQ!A$2:G$506,4,0)</f>
        <v>84.26</v>
      </c>
      <c r="J244">
        <f>VLOOKUP(A244,NYSEARCARWX!A$2:G$506,4,0)</f>
        <v>41.76</v>
      </c>
      <c r="K244">
        <f>VLOOKUP(A244,NYSEARCADBC!A$2:G$506,4,0)</f>
        <v>13.97</v>
      </c>
      <c r="L244">
        <f>VLOOKUP(A244,NYSEARCAGSG!A$2:G$506,4,0)</f>
        <v>14.6</v>
      </c>
      <c r="M244">
        <f>VLOOKUP(A244,NYSEARCAGLD!A$2:G$506,4,0)</f>
        <v>122.59</v>
      </c>
      <c r="N244">
        <f>VLOOKUP(A244,NYSEBP!A$2:G$506,4,0)</f>
        <v>31.18</v>
      </c>
      <c r="O244">
        <f>VLOOKUP(A244,NASDAQYHOO!A$2:G$506,4,0)</f>
        <v>36.49</v>
      </c>
    </row>
    <row r="245" spans="1:15">
      <c r="A245" s="39">
        <v>42499</v>
      </c>
      <c r="B245">
        <v>68.16</v>
      </c>
      <c r="C245">
        <f>VLOOKUP(A245,NYSEARCAVTI!A$2:G$506,4,0)</f>
        <v>104.77</v>
      </c>
      <c r="D245">
        <f>VLOOKUP(A245,NYSEARCAVEU!A$2:G$506,4,0)</f>
        <v>42.77</v>
      </c>
      <c r="E245">
        <f>VLOOKUP(A245,NYSEARCAVWO!A$2:G$506,4,0)</f>
        <v>32.86</v>
      </c>
      <c r="F245">
        <f>VLOOKUP(A245,NYSEARCABND!A$2:G$506,4,0)</f>
        <v>83.03</v>
      </c>
      <c r="G245">
        <f>VLOOKUP(A245,NYSEARCATIP!A$2:G$506,4,0)</f>
        <v>114.55</v>
      </c>
      <c r="H245">
        <f>VLOOKUP(A245,NYSEARCAMUB!A$2:G$506,4,0)</f>
        <v>112.36</v>
      </c>
      <c r="I245">
        <f>VLOOKUP(A245,NYSEARCAVNQ!A$2:G$506,4,0)</f>
        <v>85.62</v>
      </c>
      <c r="J245">
        <f>VLOOKUP(A245,NYSEARCARWX!A$2:G$506,4,0)</f>
        <v>42.05</v>
      </c>
      <c r="K245">
        <f>VLOOKUP(A245,NYSEARCADBC!A$2:G$506,4,0)</f>
        <v>13.8</v>
      </c>
      <c r="L245">
        <f>VLOOKUP(A245,NYSEARCAGSG!A$2:G$506,4,0)</f>
        <v>14.39</v>
      </c>
      <c r="M245">
        <f>VLOOKUP(A245,NYSEARCAGLD!A$2:G$506,4,0)</f>
        <v>120.59</v>
      </c>
      <c r="N245">
        <f>VLOOKUP(A245,NYSEBP!A$2:G$506,4,0)</f>
        <v>30.76</v>
      </c>
      <c r="O245">
        <f>VLOOKUP(A245,NASDAQYHOO!A$2:G$506,4,0)</f>
        <v>36.92</v>
      </c>
    </row>
    <row r="246" spans="1:15">
      <c r="A246" s="39">
        <v>42500</v>
      </c>
      <c r="B246">
        <v>68.45</v>
      </c>
      <c r="C246">
        <f>VLOOKUP(A246,NYSEARCAVTI!A$2:G$506,4,0)</f>
        <v>105.41</v>
      </c>
      <c r="D246">
        <f>VLOOKUP(A246,NYSEARCAVEU!A$2:G$506,4,0)</f>
        <v>43.17</v>
      </c>
      <c r="E246">
        <f>VLOOKUP(A246,NYSEARCAVWO!A$2:G$506,4,0)</f>
        <v>33.25</v>
      </c>
      <c r="F246">
        <f>VLOOKUP(A246,NYSEARCABND!A$2:G$506,4,0)</f>
        <v>83.03</v>
      </c>
      <c r="G246">
        <f>VLOOKUP(A246,NYSEARCATIP!A$2:G$506,4,0)</f>
        <v>114.68</v>
      </c>
      <c r="H246">
        <f>VLOOKUP(A246,NYSEARCAMUB!A$2:G$506,4,0)</f>
        <v>112.38</v>
      </c>
      <c r="I246">
        <f>VLOOKUP(A246,NYSEARCAVNQ!A$2:G$506,4,0)</f>
        <v>86.22</v>
      </c>
      <c r="J246">
        <f>VLOOKUP(A246,NYSEARCARWX!A$2:G$506,4,0)</f>
        <v>42.36</v>
      </c>
      <c r="K246">
        <f>VLOOKUP(A246,NYSEARCADBC!A$2:G$506,4,0)</f>
        <v>13.92</v>
      </c>
      <c r="L246">
        <f>VLOOKUP(A246,NYSEARCAGSG!A$2:G$506,4,0)</f>
        <v>14.5</v>
      </c>
      <c r="M246">
        <f>VLOOKUP(A246,NYSEARCAGLD!A$2:G$506,4,0)</f>
        <v>120.08</v>
      </c>
      <c r="N246">
        <f>VLOOKUP(A246,NYSEBP!A$2:G$506,4,0)</f>
        <v>31.17</v>
      </c>
      <c r="O246">
        <f>VLOOKUP(A246,NASDAQYHOO!A$2:G$506,4,0)</f>
        <v>37.14</v>
      </c>
    </row>
    <row r="247" spans="1:15">
      <c r="A247" s="39">
        <v>42501</v>
      </c>
      <c r="B247">
        <v>65.61</v>
      </c>
      <c r="C247">
        <f>VLOOKUP(A247,NYSEARCAVTI!A$2:G$506,4,0)</f>
        <v>105.34</v>
      </c>
      <c r="D247">
        <f>VLOOKUP(A247,NYSEARCAVEU!A$2:G$506,4,0)</f>
        <v>43.21</v>
      </c>
      <c r="E247">
        <f>VLOOKUP(A247,NYSEARCAVWO!A$2:G$506,4,0)</f>
        <v>33.450000000000003</v>
      </c>
      <c r="F247">
        <f>VLOOKUP(A247,NYSEARCABND!A$2:G$506,4,0)</f>
        <v>83.07</v>
      </c>
      <c r="G247">
        <f>VLOOKUP(A247,NYSEARCATIP!A$2:G$506,4,0)</f>
        <v>114.95</v>
      </c>
      <c r="H247">
        <f>VLOOKUP(A247,NYSEARCAMUB!A$2:G$506,4,0)</f>
        <v>112.51</v>
      </c>
      <c r="I247">
        <f>VLOOKUP(A247,NYSEARCAVNQ!A$2:G$506,4,0)</f>
        <v>84.34</v>
      </c>
      <c r="J247">
        <f>VLOOKUP(A247,NYSEARCARWX!A$2:G$506,4,0)</f>
        <v>42.1</v>
      </c>
      <c r="K247">
        <f>VLOOKUP(A247,NYSEARCADBC!A$2:G$506,4,0)</f>
        <v>14.16</v>
      </c>
      <c r="L247">
        <f>VLOOKUP(A247,NYSEARCAGSG!A$2:G$506,4,0)</f>
        <v>14.73</v>
      </c>
      <c r="M247">
        <f>VLOOKUP(A247,NYSEARCAGLD!A$2:G$506,4,0)</f>
        <v>121.38</v>
      </c>
      <c r="N247">
        <f>VLOOKUP(A247,NYSEBP!A$2:G$506,4,0)</f>
        <v>31.25</v>
      </c>
      <c r="O247">
        <f>VLOOKUP(A247,NASDAQYHOO!A$2:G$506,4,0)</f>
        <v>37.200000000000003</v>
      </c>
    </row>
    <row r="248" spans="1:15">
      <c r="A248" s="39">
        <v>42502</v>
      </c>
      <c r="B248">
        <v>66.38</v>
      </c>
      <c r="C248">
        <f>VLOOKUP(A248,NYSEARCAVTI!A$2:G$506,4,0)</f>
        <v>104.72</v>
      </c>
      <c r="D248">
        <f>VLOOKUP(A248,NYSEARCAVEU!A$2:G$506,4,0)</f>
        <v>42.99</v>
      </c>
      <c r="E248">
        <f>VLOOKUP(A248,NYSEARCAVWO!A$2:G$506,4,0)</f>
        <v>33.32</v>
      </c>
      <c r="F248">
        <f>VLOOKUP(A248,NYSEARCABND!A$2:G$506,4,0)</f>
        <v>83.06</v>
      </c>
      <c r="G248">
        <f>VLOOKUP(A248,NYSEARCATIP!A$2:G$506,4,0)</f>
        <v>114.72</v>
      </c>
      <c r="H248">
        <f>VLOOKUP(A248,NYSEARCAMUB!A$2:G$506,4,0)</f>
        <v>112.58</v>
      </c>
      <c r="I248">
        <f>VLOOKUP(A248,NYSEARCAVNQ!A$2:G$506,4,0)</f>
        <v>84.08</v>
      </c>
      <c r="J248">
        <f>VLOOKUP(A248,NYSEARCARWX!A$2:G$506,4,0)</f>
        <v>41.72</v>
      </c>
      <c r="K248">
        <f>VLOOKUP(A248,NYSEARCADBC!A$2:G$506,4,0)</f>
        <v>14.32</v>
      </c>
      <c r="L248">
        <f>VLOOKUP(A248,NYSEARCAGSG!A$2:G$506,4,0)</f>
        <v>15</v>
      </c>
      <c r="M248">
        <f>VLOOKUP(A248,NYSEARCAGLD!A$2:G$506,4,0)</f>
        <v>121</v>
      </c>
      <c r="N248">
        <f>VLOOKUP(A248,NYSEBP!A$2:G$506,4,0)</f>
        <v>31.67</v>
      </c>
      <c r="O248">
        <f>VLOOKUP(A248,NASDAQYHOO!A$2:G$506,4,0)</f>
        <v>36.79</v>
      </c>
    </row>
    <row r="249" spans="1:15">
      <c r="A249" s="39">
        <v>42503</v>
      </c>
      <c r="B249">
        <v>64.650000000000006</v>
      </c>
      <c r="C249">
        <f>VLOOKUP(A249,NYSEARCAVTI!A$2:G$506,4,0)</f>
        <v>104.22</v>
      </c>
      <c r="D249">
        <f>VLOOKUP(A249,NYSEARCAVEU!A$2:G$506,4,0)</f>
        <v>42.56</v>
      </c>
      <c r="E249">
        <f>VLOOKUP(A249,NYSEARCAVWO!A$2:G$506,4,0)</f>
        <v>32.770000000000003</v>
      </c>
      <c r="F249">
        <f>VLOOKUP(A249,NYSEARCABND!A$2:G$506,4,0)</f>
        <v>83.08</v>
      </c>
      <c r="G249">
        <f>VLOOKUP(A249,NYSEARCATIP!A$2:G$506,4,0)</f>
        <v>114.96</v>
      </c>
      <c r="H249">
        <f>VLOOKUP(A249,NYSEARCAMUB!A$2:G$506,4,0)</f>
        <v>112.7</v>
      </c>
      <c r="I249">
        <f>VLOOKUP(A249,NYSEARCAVNQ!A$2:G$506,4,0)</f>
        <v>83.81</v>
      </c>
      <c r="J249">
        <f>VLOOKUP(A249,NYSEARCARWX!A$2:G$506,4,0)</f>
        <v>41.36</v>
      </c>
      <c r="K249">
        <f>VLOOKUP(A249,NYSEARCADBC!A$2:G$506,4,0)</f>
        <v>14.38</v>
      </c>
      <c r="L249">
        <f>VLOOKUP(A249,NYSEARCAGSG!A$2:G$506,4,0)</f>
        <v>15.03</v>
      </c>
      <c r="M249">
        <f>VLOOKUP(A249,NYSEARCAGLD!A$2:G$506,4,0)</f>
        <v>120.66</v>
      </c>
      <c r="N249">
        <f>VLOOKUP(A249,NYSEBP!A$2:G$506,4,0)</f>
        <v>31.35</v>
      </c>
      <c r="O249">
        <f>VLOOKUP(A249,NASDAQYHOO!A$2:G$506,4,0)</f>
        <v>36.380000000000003</v>
      </c>
    </row>
    <row r="250" spans="1:15">
      <c r="A250" s="39">
        <v>42506</v>
      </c>
      <c r="B250">
        <v>64.680000000000007</v>
      </c>
      <c r="C250">
        <f>VLOOKUP(A250,NYSEARCAVTI!A$2:G$506,4,0)</f>
        <v>104.41</v>
      </c>
      <c r="D250">
        <f>VLOOKUP(A250,NYSEARCAVEU!A$2:G$506,4,0)</f>
        <v>42.86</v>
      </c>
      <c r="E250">
        <f>VLOOKUP(A250,NYSEARCAVWO!A$2:G$506,4,0)</f>
        <v>33.14</v>
      </c>
      <c r="F250">
        <f>VLOOKUP(A250,NYSEARCABND!A$2:G$506,4,0)</f>
        <v>83.02</v>
      </c>
      <c r="G250">
        <f>VLOOKUP(A250,NYSEARCATIP!A$2:G$506,4,0)</f>
        <v>115.06</v>
      </c>
      <c r="H250">
        <f>VLOOKUP(A250,NYSEARCAMUB!A$2:G$506,4,0)</f>
        <v>112.61</v>
      </c>
      <c r="I250">
        <f>VLOOKUP(A250,NYSEARCAVNQ!A$2:G$506,4,0)</f>
        <v>84.32</v>
      </c>
      <c r="J250">
        <f>VLOOKUP(A250,NYSEARCARWX!A$2:G$506,4,0)</f>
        <v>41.46</v>
      </c>
      <c r="K250">
        <f>VLOOKUP(A250,NYSEARCADBC!A$2:G$506,4,0)</f>
        <v>14.58</v>
      </c>
      <c r="L250">
        <f>VLOOKUP(A250,NYSEARCAGSG!A$2:G$506,4,0)</f>
        <v>15.34</v>
      </c>
      <c r="M250">
        <f>VLOOKUP(A250,NYSEARCAGLD!A$2:G$506,4,0)</f>
        <v>121.38</v>
      </c>
      <c r="N250">
        <f>VLOOKUP(A250,NYSEBP!A$2:G$506,4,0)</f>
        <v>31.97</v>
      </c>
      <c r="O250">
        <f>VLOOKUP(A250,NASDAQYHOO!A$2:G$506,4,0)</f>
        <v>36.880000000000003</v>
      </c>
    </row>
    <row r="251" spans="1:15">
      <c r="A251" s="39">
        <v>42507</v>
      </c>
      <c r="B251">
        <v>64.88</v>
      </c>
      <c r="C251">
        <f>VLOOKUP(A251,NYSEARCAVTI!A$2:G$506,4,0)</f>
        <v>104.16</v>
      </c>
      <c r="D251">
        <f>VLOOKUP(A251,NYSEARCAVEU!A$2:G$506,4,0)</f>
        <v>42.82</v>
      </c>
      <c r="E251">
        <f>VLOOKUP(A251,NYSEARCAVWO!A$2:G$506,4,0)</f>
        <v>32.979999999999997</v>
      </c>
      <c r="F251">
        <f>VLOOKUP(A251,NYSEARCABND!A$2:G$506,4,0)</f>
        <v>82.94</v>
      </c>
      <c r="G251">
        <f>VLOOKUP(A251,NYSEARCATIP!A$2:G$506,4,0)</f>
        <v>115.13</v>
      </c>
      <c r="H251">
        <f>VLOOKUP(A251,NYSEARCAMUB!A$2:G$506,4,0)</f>
        <v>112.73</v>
      </c>
      <c r="I251">
        <f>VLOOKUP(A251,NYSEARCAVNQ!A$2:G$506,4,0)</f>
        <v>83.16</v>
      </c>
      <c r="J251">
        <f>VLOOKUP(A251,NYSEARCARWX!A$2:G$506,4,0)</f>
        <v>41.79</v>
      </c>
      <c r="K251">
        <f>VLOOKUP(A251,NYSEARCADBC!A$2:G$506,4,0)</f>
        <v>14.62</v>
      </c>
      <c r="L251">
        <f>VLOOKUP(A251,NYSEARCAGSG!A$2:G$506,4,0)</f>
        <v>15.39</v>
      </c>
      <c r="M251">
        <f>VLOOKUP(A251,NYSEARCAGLD!A$2:G$506,4,0)</f>
        <v>121.48</v>
      </c>
      <c r="N251">
        <f>VLOOKUP(A251,NYSEBP!A$2:G$506,4,0)</f>
        <v>31.98</v>
      </c>
      <c r="O251">
        <f>VLOOKUP(A251,NASDAQYHOO!A$2:G$506,4,0)</f>
        <v>37.25</v>
      </c>
    </row>
    <row r="252" spans="1:15">
      <c r="A252" s="39">
        <v>42508</v>
      </c>
      <c r="B252">
        <v>62.72</v>
      </c>
      <c r="C252">
        <f>VLOOKUP(A252,NYSEARCAVTI!A$2:G$506,4,0)</f>
        <v>103.82</v>
      </c>
      <c r="D252">
        <f>VLOOKUP(A252,NYSEARCAVEU!A$2:G$506,4,0)</f>
        <v>42.68</v>
      </c>
      <c r="E252">
        <f>VLOOKUP(A252,NYSEARCAVWO!A$2:G$506,4,0)</f>
        <v>32.65</v>
      </c>
      <c r="F252">
        <f>VLOOKUP(A252,NYSEARCABND!A$2:G$506,4,0)</f>
        <v>82.52</v>
      </c>
      <c r="G252">
        <f>VLOOKUP(A252,NYSEARCATIP!A$2:G$506,4,0)</f>
        <v>114.02</v>
      </c>
      <c r="H252">
        <f>VLOOKUP(A252,NYSEARCAMUB!A$2:G$506,4,0)</f>
        <v>112.48</v>
      </c>
      <c r="I252">
        <f>VLOOKUP(A252,NYSEARCAVNQ!A$2:G$506,4,0)</f>
        <v>81.37</v>
      </c>
      <c r="J252">
        <f>VLOOKUP(A252,NYSEARCARWX!A$2:G$506,4,0)</f>
        <v>41.56</v>
      </c>
      <c r="K252">
        <f>VLOOKUP(A252,NYSEARCADBC!A$2:G$506,4,0)</f>
        <v>14.62</v>
      </c>
      <c r="L252">
        <f>VLOOKUP(A252,NYSEARCAGSG!A$2:G$506,4,0)</f>
        <v>15.37</v>
      </c>
      <c r="M252">
        <f>VLOOKUP(A252,NYSEARCAGLD!A$2:G$506,4,0)</f>
        <v>119.88</v>
      </c>
      <c r="N252">
        <f>VLOOKUP(A252,NYSEBP!A$2:G$506,4,0)</f>
        <v>31.92</v>
      </c>
      <c r="O252">
        <f>VLOOKUP(A252,NASDAQYHOO!A$2:G$506,4,0)</f>
        <v>36.89</v>
      </c>
    </row>
    <row r="253" spans="1:15">
      <c r="A253" s="39">
        <v>42509</v>
      </c>
      <c r="B253">
        <v>67.5</v>
      </c>
      <c r="C253">
        <f>VLOOKUP(A253,NYSEARCAVTI!A$2:G$506,4,0)</f>
        <v>103.37</v>
      </c>
      <c r="D253">
        <f>VLOOKUP(A253,NYSEARCAVEU!A$2:G$506,4,0)</f>
        <v>42.33</v>
      </c>
      <c r="E253">
        <f>VLOOKUP(A253,NYSEARCAVWO!A$2:G$506,4,0)</f>
        <v>32.25</v>
      </c>
      <c r="F253">
        <f>VLOOKUP(A253,NYSEARCABND!A$2:G$506,4,0)</f>
        <v>82.59</v>
      </c>
      <c r="G253">
        <f>VLOOKUP(A253,NYSEARCATIP!A$2:G$506,4,0)</f>
        <v>114.08</v>
      </c>
      <c r="H253">
        <f>VLOOKUP(A253,NYSEARCAMUB!A$2:G$506,4,0)</f>
        <v>112.48</v>
      </c>
      <c r="I253">
        <f>VLOOKUP(A253,NYSEARCAVNQ!A$2:G$506,4,0)</f>
        <v>80.959999999999994</v>
      </c>
      <c r="J253">
        <f>VLOOKUP(A253,NYSEARCARWX!A$2:G$506,4,0)</f>
        <v>41.08</v>
      </c>
      <c r="K253">
        <f>VLOOKUP(A253,NYSEARCADBC!A$2:G$506,4,0)</f>
        <v>14.4</v>
      </c>
      <c r="L253">
        <f>VLOOKUP(A253,NYSEARCAGSG!A$2:G$506,4,0)</f>
        <v>15.12</v>
      </c>
      <c r="M253">
        <f>VLOOKUP(A253,NYSEARCAGLD!A$2:G$506,4,0)</f>
        <v>118.92</v>
      </c>
      <c r="N253">
        <f>VLOOKUP(A253,NYSEBP!A$2:G$506,4,0)</f>
        <v>31.5</v>
      </c>
      <c r="O253">
        <f>VLOOKUP(A253,NASDAQYHOO!A$2:G$506,4,0)</f>
        <v>36.67</v>
      </c>
    </row>
    <row r="254" spans="1:15">
      <c r="A254" s="39">
        <v>42510</v>
      </c>
      <c r="B254">
        <v>68.849999999999994</v>
      </c>
      <c r="C254">
        <f>VLOOKUP(A254,NYSEARCAVTI!A$2:G$506,4,0)</f>
        <v>104.45</v>
      </c>
      <c r="D254">
        <f>VLOOKUP(A254,NYSEARCAVEU!A$2:G$506,4,0)</f>
        <v>42.78</v>
      </c>
      <c r="E254">
        <f>VLOOKUP(A254,NYSEARCAVWO!A$2:G$506,4,0)</f>
        <v>32.700000000000003</v>
      </c>
      <c r="F254">
        <f>VLOOKUP(A254,NYSEARCABND!A$2:G$506,4,0)</f>
        <v>82.62</v>
      </c>
      <c r="G254">
        <f>VLOOKUP(A254,NYSEARCATIP!A$2:G$506,4,0)</f>
        <v>114.09</v>
      </c>
      <c r="H254">
        <f>VLOOKUP(A254,NYSEARCAMUB!A$2:G$506,4,0)</f>
        <v>112.4</v>
      </c>
      <c r="I254">
        <f>VLOOKUP(A254,NYSEARCAVNQ!A$2:G$506,4,0)</f>
        <v>81.55</v>
      </c>
      <c r="J254">
        <f>VLOOKUP(A254,NYSEARCARWX!A$2:G$506,4,0)</f>
        <v>41.45</v>
      </c>
      <c r="K254">
        <f>VLOOKUP(A254,NYSEARCADBC!A$2:G$506,4,0)</f>
        <v>14.57</v>
      </c>
      <c r="L254">
        <f>VLOOKUP(A254,NYSEARCAGSG!A$2:G$506,4,0)</f>
        <v>15.3</v>
      </c>
      <c r="M254">
        <f>VLOOKUP(A254,NYSEARCAGLD!A$2:G$506,4,0)</f>
        <v>119.31</v>
      </c>
      <c r="N254">
        <f>VLOOKUP(A254,NYSEBP!A$2:G$506,4,0)</f>
        <v>31.73</v>
      </c>
      <c r="O254">
        <f>VLOOKUP(A254,NASDAQYHOO!A$2:G$506,4,0)</f>
        <v>35.880000000000003</v>
      </c>
    </row>
    <row r="255" spans="1:15">
      <c r="A255" s="39">
        <v>42513</v>
      </c>
      <c r="B255">
        <v>69.44</v>
      </c>
      <c r="C255">
        <f>VLOOKUP(A255,NYSEARCAVTI!A$2:G$506,4,0)</f>
        <v>104.66</v>
      </c>
      <c r="D255">
        <f>VLOOKUP(A255,NYSEARCAVEU!A$2:G$506,4,0)</f>
        <v>42.66</v>
      </c>
      <c r="E255">
        <f>VLOOKUP(A255,NYSEARCAVWO!A$2:G$506,4,0)</f>
        <v>32.68</v>
      </c>
      <c r="F255">
        <f>VLOOKUP(A255,NYSEARCABND!A$2:G$506,4,0)</f>
        <v>82.63</v>
      </c>
      <c r="G255">
        <f>VLOOKUP(A255,NYSEARCATIP!A$2:G$506,4,0)</f>
        <v>113.36</v>
      </c>
      <c r="H255">
        <f>VLOOKUP(A255,NYSEARCAMUB!A$2:G$506,4,0)</f>
        <v>112.36</v>
      </c>
      <c r="I255">
        <f>VLOOKUP(A255,NYSEARCAVNQ!A$2:G$506,4,0)</f>
        <v>81.849999999999994</v>
      </c>
      <c r="J255">
        <f>VLOOKUP(A255,NYSEARCARWX!A$2:G$506,4,0)</f>
        <v>41.35</v>
      </c>
      <c r="K255">
        <f>VLOOKUP(A255,NYSEARCADBC!A$2:G$506,4,0)</f>
        <v>14.48</v>
      </c>
      <c r="L255">
        <f>VLOOKUP(A255,NYSEARCAGSG!A$2:G$506,4,0)</f>
        <v>15.13</v>
      </c>
      <c r="M255">
        <f>VLOOKUP(A255,NYSEARCAGLD!A$2:G$506,4,0)</f>
        <v>118.75</v>
      </c>
      <c r="N255">
        <f>VLOOKUP(A255,NYSEBP!A$2:G$506,4,0)</f>
        <v>31.39</v>
      </c>
      <c r="O255">
        <f>VLOOKUP(A255,NASDAQYHOO!A$2:G$506,4,0)</f>
        <v>36.43</v>
      </c>
    </row>
    <row r="256" spans="1:15">
      <c r="A256" s="39">
        <v>42514</v>
      </c>
      <c r="B256">
        <v>69.55</v>
      </c>
      <c r="C256">
        <f>VLOOKUP(A256,NYSEARCAVTI!A$2:G$506,4,0)</f>
        <v>105.22</v>
      </c>
      <c r="D256">
        <f>VLOOKUP(A256,NYSEARCAVEU!A$2:G$506,4,0)</f>
        <v>42.98</v>
      </c>
      <c r="E256">
        <f>VLOOKUP(A256,NYSEARCAVWO!A$2:G$506,4,0)</f>
        <v>32.94</v>
      </c>
      <c r="F256">
        <f>VLOOKUP(A256,NYSEARCABND!A$2:G$506,4,0)</f>
        <v>82.56</v>
      </c>
      <c r="G256">
        <f>VLOOKUP(A256,NYSEARCATIP!A$2:G$506,4,0)</f>
        <v>113.84</v>
      </c>
      <c r="H256">
        <f>VLOOKUP(A256,NYSEARCAMUB!A$2:G$506,4,0)</f>
        <v>112.3</v>
      </c>
      <c r="I256">
        <f>VLOOKUP(A256,NYSEARCAVNQ!A$2:G$506,4,0)</f>
        <v>82.26</v>
      </c>
      <c r="J256">
        <f>VLOOKUP(A256,NYSEARCARWX!A$2:G$506,4,0)</f>
        <v>41.67</v>
      </c>
      <c r="K256">
        <f>VLOOKUP(A256,NYSEARCADBC!A$2:G$506,4,0)</f>
        <v>14.53</v>
      </c>
      <c r="L256">
        <f>VLOOKUP(A256,NYSEARCAGSG!A$2:G$506,4,0)</f>
        <v>15.25</v>
      </c>
      <c r="M256">
        <f>VLOOKUP(A256,NYSEARCAGLD!A$2:G$506,4,0)</f>
        <v>117.25</v>
      </c>
      <c r="N256">
        <f>VLOOKUP(A256,NYSEBP!A$2:G$506,4,0)</f>
        <v>31.64</v>
      </c>
      <c r="O256">
        <f>VLOOKUP(A256,NASDAQYHOO!A$2:G$506,4,0)</f>
        <v>36.770000000000003</v>
      </c>
    </row>
    <row r="257" spans="1:15">
      <c r="A257" s="39">
        <v>42515</v>
      </c>
      <c r="B257">
        <v>70.239999999999995</v>
      </c>
      <c r="C257">
        <f>VLOOKUP(A257,NYSEARCAVTI!A$2:G$506,4,0)</f>
        <v>106.51</v>
      </c>
      <c r="D257">
        <f>VLOOKUP(A257,NYSEARCAVEU!A$2:G$506,4,0)</f>
        <v>43.57</v>
      </c>
      <c r="E257">
        <f>VLOOKUP(A257,NYSEARCAVWO!A$2:G$506,4,0)</f>
        <v>33.380000000000003</v>
      </c>
      <c r="F257">
        <f>VLOOKUP(A257,NYSEARCABND!A$2:G$506,4,0)</f>
        <v>82.59</v>
      </c>
      <c r="G257">
        <f>VLOOKUP(A257,NYSEARCATIP!A$2:G$506,4,0)</f>
        <v>114</v>
      </c>
      <c r="H257">
        <f>VLOOKUP(A257,NYSEARCAMUB!A$2:G$506,4,0)</f>
        <v>112.3</v>
      </c>
      <c r="I257">
        <f>VLOOKUP(A257,NYSEARCAVNQ!A$2:G$506,4,0)</f>
        <v>82.25</v>
      </c>
      <c r="J257">
        <f>VLOOKUP(A257,NYSEARCARWX!A$2:G$506,4,0)</f>
        <v>41.85</v>
      </c>
      <c r="K257">
        <f>VLOOKUP(A257,NYSEARCADBC!A$2:G$506,4,0)</f>
        <v>14.6</v>
      </c>
      <c r="L257">
        <f>VLOOKUP(A257,NYSEARCAGSG!A$2:G$506,4,0)</f>
        <v>15.34</v>
      </c>
      <c r="M257">
        <f>VLOOKUP(A257,NYSEARCAGLD!A$2:G$506,4,0)</f>
        <v>116.32</v>
      </c>
      <c r="N257">
        <f>VLOOKUP(A257,NYSEBP!A$2:G$506,4,0)</f>
        <v>32.369999999999997</v>
      </c>
      <c r="O257">
        <f>VLOOKUP(A257,NASDAQYHOO!A$2:G$506,4,0)</f>
        <v>35.47</v>
      </c>
    </row>
    <row r="258" spans="1:15">
      <c r="A258" s="39">
        <v>42516</v>
      </c>
      <c r="B258">
        <v>70.599999999999994</v>
      </c>
      <c r="C258">
        <f>VLOOKUP(A258,NYSEARCAVTI!A$2:G$506,4,0)</f>
        <v>106.73</v>
      </c>
      <c r="D258">
        <f>VLOOKUP(A258,NYSEARCAVEU!A$2:G$506,4,0)</f>
        <v>43.79</v>
      </c>
      <c r="E258">
        <f>VLOOKUP(A258,NYSEARCAVWO!A$2:G$506,4,0)</f>
        <v>33.56</v>
      </c>
      <c r="F258">
        <f>VLOOKUP(A258,NYSEARCABND!A$2:G$506,4,0)</f>
        <v>82.67</v>
      </c>
      <c r="G258">
        <f>VLOOKUP(A258,NYSEARCATIP!A$2:G$506,4,0)</f>
        <v>114.34</v>
      </c>
      <c r="H258">
        <f>VLOOKUP(A258,NYSEARCAMUB!A$2:G$506,4,0)</f>
        <v>112.34</v>
      </c>
      <c r="I258">
        <f>VLOOKUP(A258,NYSEARCAVNQ!A$2:G$506,4,0)</f>
        <v>82.72</v>
      </c>
      <c r="J258">
        <f>VLOOKUP(A258,NYSEARCARWX!A$2:G$506,4,0)</f>
        <v>42.02</v>
      </c>
      <c r="K258">
        <f>VLOOKUP(A258,NYSEARCADBC!A$2:G$506,4,0)</f>
        <v>14.67</v>
      </c>
      <c r="L258">
        <f>VLOOKUP(A258,NYSEARCAGSG!A$2:G$506,4,0)</f>
        <v>15.44</v>
      </c>
      <c r="M258">
        <f>VLOOKUP(A258,NYSEARCAGLD!A$2:G$506,4,0)</f>
        <v>116.39</v>
      </c>
      <c r="N258">
        <f>VLOOKUP(A258,NYSEBP!A$2:G$506,4,0)</f>
        <v>32.42</v>
      </c>
      <c r="O258">
        <f>VLOOKUP(A258,NASDAQYHOO!A$2:G$506,4,0)</f>
        <v>36.07</v>
      </c>
    </row>
    <row r="259" spans="1:15">
      <c r="A259" s="39">
        <v>42517</v>
      </c>
      <c r="B259">
        <v>70.489999999999995</v>
      </c>
      <c r="C259">
        <f>VLOOKUP(A259,NYSEARCAVTI!A$2:G$506,4,0)</f>
        <v>106.95</v>
      </c>
      <c r="D259">
        <f>VLOOKUP(A259,NYSEARCAVEU!A$2:G$506,4,0)</f>
        <v>43.74</v>
      </c>
      <c r="E259">
        <f>VLOOKUP(A259,NYSEARCAVWO!A$2:G$506,4,0)</f>
        <v>33.6</v>
      </c>
      <c r="F259">
        <f>VLOOKUP(A259,NYSEARCABND!A$2:G$506,4,0)</f>
        <v>82.65</v>
      </c>
      <c r="G259">
        <f>VLOOKUP(A259,NYSEARCATIP!A$2:G$506,4,0)</f>
        <v>114.24</v>
      </c>
      <c r="H259">
        <f>VLOOKUP(A259,NYSEARCAMUB!A$2:G$506,4,0)</f>
        <v>112.23</v>
      </c>
      <c r="I259">
        <f>VLOOKUP(A259,NYSEARCAVNQ!A$2:G$506,4,0)</f>
        <v>83.29</v>
      </c>
      <c r="J259">
        <f>VLOOKUP(A259,NYSEARCARWX!A$2:G$506,4,0)</f>
        <v>41.99</v>
      </c>
      <c r="K259">
        <f>VLOOKUP(A259,NYSEARCADBC!A$2:G$506,4,0)</f>
        <v>14.67</v>
      </c>
      <c r="L259">
        <f>VLOOKUP(A259,NYSEARCAGSG!A$2:G$506,4,0)</f>
        <v>15.39</v>
      </c>
      <c r="M259">
        <f>VLOOKUP(A259,NYSEARCAGLD!A$2:G$506,4,0)</f>
        <v>115.29</v>
      </c>
      <c r="N259">
        <f>VLOOKUP(A259,NYSEBP!A$2:G$506,4,0)</f>
        <v>32.07</v>
      </c>
      <c r="O259">
        <f>VLOOKUP(A259,NASDAQYHOO!A$2:G$506,4,0)</f>
        <v>36.840000000000003</v>
      </c>
    </row>
    <row r="260" spans="1:15">
      <c r="A260" s="39">
        <v>42521</v>
      </c>
      <c r="B260">
        <v>70.48</v>
      </c>
      <c r="C260">
        <f>VLOOKUP(A260,NYSEARCAVTI!A$2:G$506,4,0)</f>
        <v>106.96</v>
      </c>
      <c r="D260">
        <f>VLOOKUP(A260,NYSEARCAVEU!A$2:G$506,4,0)</f>
        <v>43.59</v>
      </c>
      <c r="E260">
        <f>VLOOKUP(A260,NYSEARCAVWO!A$2:G$506,4,0)</f>
        <v>33.659999999999997</v>
      </c>
      <c r="F260">
        <f>VLOOKUP(A260,NYSEARCABND!A$2:G$506,4,0)</f>
        <v>82.6</v>
      </c>
      <c r="G260">
        <f>VLOOKUP(A260,NYSEARCATIP!A$2:G$506,4,0)</f>
        <v>114</v>
      </c>
      <c r="H260">
        <f>VLOOKUP(A260,NYSEARCAMUB!A$2:G$506,4,0)</f>
        <v>112.17</v>
      </c>
      <c r="I260">
        <f>VLOOKUP(A260,NYSEARCAVNQ!A$2:G$506,4,0)</f>
        <v>83.16</v>
      </c>
      <c r="J260">
        <f>VLOOKUP(A260,NYSEARCARWX!A$2:G$506,4,0)</f>
        <v>41.64</v>
      </c>
      <c r="K260">
        <f>VLOOKUP(A260,NYSEARCADBC!A$2:G$506,4,0)</f>
        <v>14.7</v>
      </c>
      <c r="L260">
        <f>VLOOKUP(A260,NYSEARCAGSG!A$2:G$506,4,0)</f>
        <v>15.4</v>
      </c>
      <c r="M260">
        <f>VLOOKUP(A260,NYSEARCAGLD!A$2:G$506,4,0)</f>
        <v>115.5</v>
      </c>
      <c r="N260">
        <f>VLOOKUP(A260,NYSEBP!A$2:G$506,4,0)</f>
        <v>31.3</v>
      </c>
      <c r="O260">
        <f>VLOOKUP(A260,NASDAQYHOO!A$2:G$506,4,0)</f>
        <v>37.5</v>
      </c>
    </row>
    <row r="261" spans="1:15">
      <c r="A261" s="39">
        <v>42522</v>
      </c>
      <c r="B261">
        <v>70.41</v>
      </c>
      <c r="C261">
        <f>VLOOKUP(A261,NYSEARCAVTI!A$2:G$506,4,0)</f>
        <v>106.8</v>
      </c>
      <c r="D261">
        <f>VLOOKUP(A261,NYSEARCAVEU!A$2:G$506,4,0)</f>
        <v>43.39</v>
      </c>
      <c r="E261">
        <f>VLOOKUP(A261,NYSEARCAVWO!A$2:G$506,4,0)</f>
        <v>33.549999999999997</v>
      </c>
      <c r="F261">
        <f>VLOOKUP(A261,NYSEARCABND!A$2:G$506,4,0)</f>
        <v>82.6</v>
      </c>
      <c r="G261">
        <f>VLOOKUP(A261,NYSEARCATIP!A$2:G$506,4,0)</f>
        <v>113.92</v>
      </c>
      <c r="H261">
        <f>VLOOKUP(A261,NYSEARCAMUB!A$2:G$506,4,0)</f>
        <v>112.12</v>
      </c>
      <c r="I261">
        <f>VLOOKUP(A261,NYSEARCAVNQ!A$2:G$506,4,0)</f>
        <v>83.3</v>
      </c>
      <c r="J261">
        <f>VLOOKUP(A261,NYSEARCARWX!A$2:G$506,4,0)</f>
        <v>41.55</v>
      </c>
      <c r="K261">
        <f>VLOOKUP(A261,NYSEARCADBC!A$2:G$506,4,0)</f>
        <v>14.58</v>
      </c>
      <c r="L261">
        <f>VLOOKUP(A261,NYSEARCAGSG!A$2:G$506,4,0)</f>
        <v>15.25</v>
      </c>
      <c r="M261">
        <f>VLOOKUP(A261,NYSEARCAGLD!A$2:G$506,4,0)</f>
        <v>115.2</v>
      </c>
      <c r="N261">
        <f>VLOOKUP(A261,NYSEBP!A$2:G$506,4,0)</f>
        <v>30.76</v>
      </c>
      <c r="O261">
        <f>VLOOKUP(A261,NASDAQYHOO!A$2:G$506,4,0)</f>
        <v>36.56</v>
      </c>
    </row>
    <row r="262" spans="1:15">
      <c r="A262" s="39">
        <v>42523</v>
      </c>
      <c r="B262">
        <v>70.14</v>
      </c>
      <c r="C262">
        <f>VLOOKUP(A262,NYSEARCAVTI!A$2:G$506,4,0)</f>
        <v>107.11</v>
      </c>
      <c r="D262">
        <f>VLOOKUP(A262,NYSEARCAVEU!A$2:G$506,4,0)</f>
        <v>43.4</v>
      </c>
      <c r="E262">
        <f>VLOOKUP(A262,NYSEARCAVWO!A$2:G$506,4,0)</f>
        <v>33.69</v>
      </c>
      <c r="F262">
        <f>VLOOKUP(A262,NYSEARCABND!A$2:G$506,4,0)</f>
        <v>82.73</v>
      </c>
      <c r="G262">
        <f>VLOOKUP(A262,NYSEARCATIP!A$2:G$506,4,0)</f>
        <v>113.97</v>
      </c>
      <c r="H262">
        <f>VLOOKUP(A262,NYSEARCAMUB!A$2:G$506,4,0)</f>
        <v>112.17</v>
      </c>
      <c r="I262">
        <f>VLOOKUP(A262,NYSEARCAVNQ!A$2:G$506,4,0)</f>
        <v>83.29</v>
      </c>
      <c r="J262">
        <f>VLOOKUP(A262,NYSEARCARWX!A$2:G$506,4,0)</f>
        <v>41.49</v>
      </c>
      <c r="K262">
        <f>VLOOKUP(A262,NYSEARCADBC!A$2:G$506,4,0)</f>
        <v>14.76</v>
      </c>
      <c r="L262">
        <f>VLOOKUP(A262,NYSEARCAGSG!A$2:G$506,4,0)</f>
        <v>15.41</v>
      </c>
      <c r="M262">
        <f>VLOOKUP(A262,NYSEARCAGLD!A$2:G$506,4,0)</f>
        <v>115.58</v>
      </c>
      <c r="N262">
        <f>VLOOKUP(A262,NYSEBP!A$2:G$506,4,0)</f>
        <v>30.99</v>
      </c>
      <c r="O262">
        <f>VLOOKUP(A262,NASDAQYHOO!A$2:G$506,4,0)</f>
        <v>36.58</v>
      </c>
    </row>
    <row r="263" spans="1:15">
      <c r="A263" s="39">
        <v>42524</v>
      </c>
      <c r="B263">
        <v>70.52</v>
      </c>
      <c r="C263">
        <f>VLOOKUP(A263,NYSEARCAVTI!A$2:G$506,4,0)</f>
        <v>106.94</v>
      </c>
      <c r="D263">
        <f>VLOOKUP(A263,NYSEARCAVEU!A$2:G$506,4,0)</f>
        <v>43.74</v>
      </c>
      <c r="E263">
        <f>VLOOKUP(A263,NYSEARCAVWO!A$2:G$506,4,0)</f>
        <v>34.21</v>
      </c>
      <c r="F263">
        <f>VLOOKUP(A263,NYSEARCABND!A$2:G$506,4,0)</f>
        <v>83.17</v>
      </c>
      <c r="G263">
        <f>VLOOKUP(A263,NYSEARCATIP!A$2:G$506,4,0)</f>
        <v>115</v>
      </c>
      <c r="H263">
        <f>VLOOKUP(A263,NYSEARCAMUB!A$2:G$506,4,0)</f>
        <v>112.35</v>
      </c>
      <c r="I263">
        <f>VLOOKUP(A263,NYSEARCAVNQ!A$2:G$506,4,0)</f>
        <v>84.1</v>
      </c>
      <c r="J263">
        <f>VLOOKUP(A263,NYSEARCARWX!A$2:G$506,4,0)</f>
        <v>42.07</v>
      </c>
      <c r="K263">
        <f>VLOOKUP(A263,NYSEARCADBC!A$2:G$506,4,0)</f>
        <v>14.91</v>
      </c>
      <c r="L263">
        <f>VLOOKUP(A263,NYSEARCAGSG!A$2:G$506,4,0)</f>
        <v>15.55</v>
      </c>
      <c r="M263">
        <f>VLOOKUP(A263,NYSEARCAGLD!A$2:G$506,4,0)</f>
        <v>118.23</v>
      </c>
      <c r="N263">
        <f>VLOOKUP(A263,NYSEBP!A$2:G$506,4,0)</f>
        <v>31.52</v>
      </c>
      <c r="O263">
        <f>VLOOKUP(A263,NASDAQYHOO!A$2:G$506,4,0)</f>
        <v>36.5</v>
      </c>
    </row>
    <row r="264" spans="1:15">
      <c r="A264" s="39">
        <v>42527</v>
      </c>
      <c r="B264">
        <v>71</v>
      </c>
      <c r="C264">
        <f>VLOOKUP(A264,NYSEARCAVTI!A$2:G$506,4,0)</f>
        <v>107.8</v>
      </c>
      <c r="D264">
        <f>VLOOKUP(A264,NYSEARCAVEU!A$2:G$506,4,0)</f>
        <v>44.25</v>
      </c>
      <c r="E264">
        <f>VLOOKUP(A264,NYSEARCAVWO!A$2:G$506,4,0)</f>
        <v>34.659999999999997</v>
      </c>
      <c r="F264">
        <f>VLOOKUP(A264,NYSEARCABND!A$2:G$506,4,0)</f>
        <v>83.13</v>
      </c>
      <c r="G264">
        <f>VLOOKUP(A264,NYSEARCATIP!A$2:G$506,4,0)</f>
        <v>114.87</v>
      </c>
      <c r="H264">
        <f>VLOOKUP(A264,NYSEARCAMUB!A$2:G$506,4,0)</f>
        <v>112.36</v>
      </c>
      <c r="I264">
        <f>VLOOKUP(A264,NYSEARCAVNQ!A$2:G$506,4,0)</f>
        <v>83.42</v>
      </c>
      <c r="J264">
        <f>VLOOKUP(A264,NYSEARCARWX!A$2:G$506,4,0)</f>
        <v>42.56</v>
      </c>
      <c r="K264">
        <f>VLOOKUP(A264,NYSEARCADBC!A$2:G$506,4,0)</f>
        <v>15.09</v>
      </c>
      <c r="L264">
        <f>VLOOKUP(A264,NYSEARCAGSG!A$2:G$506,4,0)</f>
        <v>15.72</v>
      </c>
      <c r="M264">
        <f>VLOOKUP(A264,NYSEARCAGLD!A$2:G$506,4,0)</f>
        <v>118.46</v>
      </c>
      <c r="N264">
        <f>VLOOKUP(A264,NYSEBP!A$2:G$506,4,0)</f>
        <v>32.21</v>
      </c>
      <c r="O264">
        <f>VLOOKUP(A264,NASDAQYHOO!A$2:G$506,4,0)</f>
        <v>36.520000000000003</v>
      </c>
    </row>
    <row r="265" spans="1:15">
      <c r="A265" s="39">
        <v>42528</v>
      </c>
      <c r="B265">
        <v>70.849999999999994</v>
      </c>
      <c r="C265">
        <f>VLOOKUP(A265,NYSEARCAVTI!A$2:G$506,4,0)</f>
        <v>108.32</v>
      </c>
      <c r="D265">
        <f>VLOOKUP(A265,NYSEARCAVEU!A$2:G$506,4,0)</f>
        <v>44.74</v>
      </c>
      <c r="E265">
        <f>VLOOKUP(A265,NYSEARCAVWO!A$2:G$506,4,0)</f>
        <v>35.03</v>
      </c>
      <c r="F265">
        <f>VLOOKUP(A265,NYSEARCABND!A$2:G$506,4,0)</f>
        <v>83.2</v>
      </c>
      <c r="G265">
        <f>VLOOKUP(A265,NYSEARCATIP!A$2:G$506,4,0)</f>
        <v>115.34</v>
      </c>
      <c r="H265">
        <f>VLOOKUP(A265,NYSEARCAMUB!A$2:G$506,4,0)</f>
        <v>112.45</v>
      </c>
      <c r="I265">
        <f>VLOOKUP(A265,NYSEARCAVNQ!A$2:G$506,4,0)</f>
        <v>83.99</v>
      </c>
      <c r="J265">
        <f>VLOOKUP(A265,NYSEARCARWX!A$2:G$506,4,0)</f>
        <v>42.79</v>
      </c>
      <c r="K265">
        <f>VLOOKUP(A265,NYSEARCADBC!A$2:G$506,4,0)</f>
        <v>15.18</v>
      </c>
      <c r="L265">
        <f>VLOOKUP(A265,NYSEARCAGSG!A$2:G$506,4,0)</f>
        <v>15.85</v>
      </c>
      <c r="M265">
        <f>VLOOKUP(A265,NYSEARCAGLD!A$2:G$506,4,0)</f>
        <v>118.41</v>
      </c>
      <c r="N265">
        <f>VLOOKUP(A265,NYSEBP!A$2:G$506,4,0)</f>
        <v>32.79</v>
      </c>
      <c r="O265">
        <f>VLOOKUP(A265,NASDAQYHOO!A$2:G$506,4,0)</f>
        <v>36.619999999999997</v>
      </c>
    </row>
    <row r="266" spans="1:15">
      <c r="A266" s="39">
        <v>42529</v>
      </c>
      <c r="B266">
        <v>70.8</v>
      </c>
      <c r="C266">
        <f>VLOOKUP(A266,NYSEARCAVTI!A$2:G$506,4,0)</f>
        <v>108.5</v>
      </c>
      <c r="D266">
        <f>VLOOKUP(A266,NYSEARCAVEU!A$2:G$506,4,0)</f>
        <v>44.91</v>
      </c>
      <c r="E266">
        <f>VLOOKUP(A266,NYSEARCAVWO!A$2:G$506,4,0)</f>
        <v>35.35</v>
      </c>
      <c r="F266">
        <f>VLOOKUP(A266,NYSEARCABND!A$2:G$506,4,0)</f>
        <v>83.25</v>
      </c>
      <c r="G266">
        <f>VLOOKUP(A266,NYSEARCATIP!A$2:G$506,4,0)</f>
        <v>115.61</v>
      </c>
      <c r="H266">
        <f>VLOOKUP(A266,NYSEARCAMUB!A$2:G$506,4,0)</f>
        <v>112.54</v>
      </c>
      <c r="I266">
        <f>VLOOKUP(A266,NYSEARCAVNQ!A$2:G$506,4,0)</f>
        <v>84.05</v>
      </c>
      <c r="J266">
        <f>VLOOKUP(A266,NYSEARCARWX!A$2:G$506,4,0)</f>
        <v>43.01</v>
      </c>
      <c r="K266">
        <f>VLOOKUP(A266,NYSEARCADBC!A$2:G$506,4,0)</f>
        <v>15.47</v>
      </c>
      <c r="L266">
        <f>VLOOKUP(A266,NYSEARCAGSG!A$2:G$506,4,0)</f>
        <v>16.11</v>
      </c>
      <c r="M266">
        <f>VLOOKUP(A266,NYSEARCAGLD!A$2:G$506,4,0)</f>
        <v>120.23</v>
      </c>
      <c r="N266">
        <f>VLOOKUP(A266,NYSEBP!A$2:G$506,4,0)</f>
        <v>33.25</v>
      </c>
      <c r="O266">
        <f>VLOOKUP(A266,NASDAQYHOO!A$2:G$506,4,0)</f>
        <v>36.840000000000003</v>
      </c>
    </row>
    <row r="267" spans="1:15">
      <c r="A267" s="39">
        <v>42530</v>
      </c>
      <c r="B267">
        <v>70.849999999999994</v>
      </c>
      <c r="C267">
        <f>VLOOKUP(A267,NYSEARCAVTI!A$2:G$506,4,0)</f>
        <v>108.22</v>
      </c>
      <c r="D267">
        <f>VLOOKUP(A267,NYSEARCAVEU!A$2:G$506,4,0)</f>
        <v>44.27</v>
      </c>
      <c r="E267">
        <f>VLOOKUP(A267,NYSEARCAVWO!A$2:G$506,4,0)</f>
        <v>34.950000000000003</v>
      </c>
      <c r="F267">
        <f>VLOOKUP(A267,NYSEARCABND!A$2:G$506,4,0)</f>
        <v>83.37</v>
      </c>
      <c r="G267">
        <f>VLOOKUP(A267,NYSEARCATIP!A$2:G$506,4,0)</f>
        <v>115.71</v>
      </c>
      <c r="H267">
        <f>VLOOKUP(A267,NYSEARCAMUB!A$2:G$506,4,0)</f>
        <v>112.64</v>
      </c>
      <c r="I267">
        <f>VLOOKUP(A267,NYSEARCAVNQ!A$2:G$506,4,0)</f>
        <v>84.61</v>
      </c>
      <c r="J267">
        <f>VLOOKUP(A267,NYSEARCARWX!A$2:G$506,4,0)</f>
        <v>42.8</v>
      </c>
      <c r="K267">
        <f>VLOOKUP(A267,NYSEARCADBC!A$2:G$506,4,0)</f>
        <v>15.42</v>
      </c>
      <c r="L267">
        <f>VLOOKUP(A267,NYSEARCAGSG!A$2:G$506,4,0)</f>
        <v>16.05</v>
      </c>
      <c r="M267">
        <f>VLOOKUP(A267,NYSEARCAGLD!A$2:G$506,4,0)</f>
        <v>120.55</v>
      </c>
      <c r="N267">
        <f>VLOOKUP(A267,NYSEBP!A$2:G$506,4,0)</f>
        <v>32.68</v>
      </c>
      <c r="O267">
        <f>VLOOKUP(A267,NASDAQYHOO!A$2:G$506,4,0)</f>
        <v>36.71</v>
      </c>
    </row>
    <row r="268" spans="1:15">
      <c r="A268" s="39">
        <v>42531</v>
      </c>
      <c r="B268">
        <v>70.680000000000007</v>
      </c>
      <c r="C268">
        <f>VLOOKUP(A268,NYSEARCAVTI!A$2:G$506,4,0)</f>
        <v>107.16</v>
      </c>
      <c r="D268">
        <f>VLOOKUP(A268,NYSEARCAVEU!A$2:G$506,4,0)</f>
        <v>43.1</v>
      </c>
      <c r="E268">
        <f>VLOOKUP(A268,NYSEARCAVWO!A$2:G$506,4,0)</f>
        <v>34.11</v>
      </c>
      <c r="F268">
        <f>VLOOKUP(A268,NYSEARCABND!A$2:G$506,4,0)</f>
        <v>83.43</v>
      </c>
      <c r="G268">
        <f>VLOOKUP(A268,NYSEARCATIP!A$2:G$506,4,0)</f>
        <v>115.74</v>
      </c>
      <c r="H268">
        <f>VLOOKUP(A268,NYSEARCAMUB!A$2:G$506,4,0)</f>
        <v>112.82</v>
      </c>
      <c r="I268">
        <f>VLOOKUP(A268,NYSEARCAVNQ!A$2:G$506,4,0)</f>
        <v>84.34</v>
      </c>
      <c r="J268">
        <f>VLOOKUP(A268,NYSEARCARWX!A$2:G$506,4,0)</f>
        <v>42.03</v>
      </c>
      <c r="K268">
        <f>VLOOKUP(A268,NYSEARCADBC!A$2:G$506,4,0)</f>
        <v>15.34</v>
      </c>
      <c r="L268">
        <f>VLOOKUP(A268,NYSEARCAGSG!A$2:G$506,4,0)</f>
        <v>15.81</v>
      </c>
      <c r="M268">
        <f>VLOOKUP(A268,NYSEARCAGLD!A$2:G$506,4,0)</f>
        <v>121.18</v>
      </c>
      <c r="N268">
        <f>VLOOKUP(A268,NYSEBP!A$2:G$506,4,0)</f>
        <v>32.119999999999997</v>
      </c>
      <c r="O268">
        <f>VLOOKUP(A268,NASDAQYHOO!A$2:G$506,4,0)</f>
        <v>36.590000000000003</v>
      </c>
    </row>
    <row r="269" spans="1:15">
      <c r="A269" s="39">
        <v>42534</v>
      </c>
      <c r="B269">
        <v>70.48</v>
      </c>
      <c r="C269">
        <f>VLOOKUP(A269,NYSEARCAVTI!A$2:G$506,4,0)</f>
        <v>106.59</v>
      </c>
      <c r="D269">
        <f>VLOOKUP(A269,NYSEARCAVEU!A$2:G$506,4,0)</f>
        <v>42.53</v>
      </c>
      <c r="E269">
        <f>VLOOKUP(A269,NYSEARCAVWO!A$2:G$506,4,0)</f>
        <v>33.729999999999997</v>
      </c>
      <c r="F269">
        <f>VLOOKUP(A269,NYSEARCABND!A$2:G$506,4,0)</f>
        <v>83.48</v>
      </c>
      <c r="G269">
        <f>VLOOKUP(A269,NYSEARCATIP!A$2:G$506,4,0)</f>
        <v>115.57</v>
      </c>
      <c r="H269">
        <f>VLOOKUP(A269,NYSEARCAMUB!A$2:G$506,4,0)</f>
        <v>112.98</v>
      </c>
      <c r="I269">
        <f>VLOOKUP(A269,NYSEARCAVNQ!A$2:G$506,4,0)</f>
        <v>84.62</v>
      </c>
      <c r="J269">
        <f>VLOOKUP(A269,NYSEARCARWX!A$2:G$506,4,0)</f>
        <v>41.67</v>
      </c>
      <c r="K269">
        <f>VLOOKUP(A269,NYSEARCADBC!A$2:G$506,4,0)</f>
        <v>15.32</v>
      </c>
      <c r="L269">
        <f>VLOOKUP(A269,NYSEARCAGSG!A$2:G$506,4,0)</f>
        <v>15.74</v>
      </c>
      <c r="M269">
        <f>VLOOKUP(A269,NYSEARCAGLD!A$2:G$506,4,0)</f>
        <v>122.03</v>
      </c>
      <c r="N269">
        <f>VLOOKUP(A269,NYSEBP!A$2:G$506,4,0)</f>
        <v>31.72</v>
      </c>
      <c r="O269">
        <f>VLOOKUP(A269,NASDAQYHOO!A$2:G$506,4,0)</f>
        <v>36.42</v>
      </c>
    </row>
    <row r="270" spans="1:15">
      <c r="A270" s="39">
        <v>42535</v>
      </c>
      <c r="B270">
        <v>70.2</v>
      </c>
      <c r="C270">
        <f>VLOOKUP(A270,NYSEARCAVTI!A$2:G$506,4,0)</f>
        <v>105.36</v>
      </c>
      <c r="D270">
        <f>VLOOKUP(A270,NYSEARCAVEU!A$2:G$506,4,0)</f>
        <v>41.34</v>
      </c>
      <c r="E270">
        <f>VLOOKUP(A270,NYSEARCAVWO!A$2:G$506,4,0)</f>
        <v>33.159999999999997</v>
      </c>
      <c r="F270">
        <f>VLOOKUP(A270,NYSEARCABND!A$2:G$506,4,0)</f>
        <v>83.47</v>
      </c>
      <c r="G270">
        <f>VLOOKUP(A270,NYSEARCATIP!A$2:G$506,4,0)</f>
        <v>115.37</v>
      </c>
      <c r="H270">
        <f>VLOOKUP(A270,NYSEARCAMUB!A$2:G$506,4,0)</f>
        <v>113.12</v>
      </c>
      <c r="I270">
        <f>VLOOKUP(A270,NYSEARCAVNQ!A$2:G$506,4,0)</f>
        <v>84.19</v>
      </c>
      <c r="J270">
        <f>VLOOKUP(A270,NYSEARCARWX!A$2:G$506,4,0)</f>
        <v>41.04</v>
      </c>
      <c r="K270">
        <f>VLOOKUP(A270,NYSEARCADBC!A$2:G$506,4,0)</f>
        <v>15.18</v>
      </c>
      <c r="L270">
        <f>VLOOKUP(A270,NYSEARCAGSG!A$2:G$506,4,0)</f>
        <v>15.6</v>
      </c>
      <c r="M270">
        <f>VLOOKUP(A270,NYSEARCAGLD!A$2:G$506,4,0)</f>
        <v>122.3</v>
      </c>
      <c r="N270">
        <f>VLOOKUP(A270,NYSEBP!A$2:G$506,4,0)</f>
        <v>30.66</v>
      </c>
      <c r="O270">
        <f>VLOOKUP(A270,NASDAQYHOO!A$2:G$506,4,0)</f>
        <v>36.630000000000003</v>
      </c>
    </row>
    <row r="271" spans="1:15">
      <c r="A271" s="39">
        <v>42536</v>
      </c>
      <c r="B271">
        <v>71</v>
      </c>
      <c r="C271">
        <f>VLOOKUP(A271,NYSEARCAVTI!A$2:G$506,4,0)</f>
        <v>105.74</v>
      </c>
      <c r="D271">
        <f>VLOOKUP(A271,NYSEARCAVEU!A$2:G$506,4,0)</f>
        <v>41.78</v>
      </c>
      <c r="E271">
        <f>VLOOKUP(A271,NYSEARCAVWO!A$2:G$506,4,0)</f>
        <v>33.69</v>
      </c>
      <c r="F271">
        <f>VLOOKUP(A271,NYSEARCABND!A$2:G$506,4,0)</f>
        <v>83.54</v>
      </c>
      <c r="G271">
        <f>VLOOKUP(A271,NYSEARCATIP!A$2:G$506,4,0)</f>
        <v>115.13</v>
      </c>
      <c r="H271">
        <f>VLOOKUP(A271,NYSEARCAMUB!A$2:G$506,4,0)</f>
        <v>113.17</v>
      </c>
      <c r="I271">
        <f>VLOOKUP(A271,NYSEARCAVNQ!A$2:G$506,4,0)</f>
        <v>84.57</v>
      </c>
      <c r="J271">
        <f>VLOOKUP(A271,NYSEARCARWX!A$2:G$506,4,0)</f>
        <v>41.31</v>
      </c>
      <c r="K271">
        <f>VLOOKUP(A271,NYSEARCADBC!A$2:G$506,4,0)</f>
        <v>15.14</v>
      </c>
      <c r="L271">
        <f>VLOOKUP(A271,NYSEARCAGSG!A$2:G$506,4,0)</f>
        <v>15.46</v>
      </c>
      <c r="M271">
        <f>VLOOKUP(A271,NYSEARCAGLD!A$2:G$506,4,0)</f>
        <v>122.38</v>
      </c>
      <c r="N271">
        <f>VLOOKUP(A271,NYSEBP!A$2:G$506,4,0)</f>
        <v>30.83</v>
      </c>
      <c r="O271">
        <f>VLOOKUP(A271,NASDAQYHOO!A$2:G$506,4,0)</f>
        <v>37.1</v>
      </c>
    </row>
    <row r="272" spans="1:15">
      <c r="A272" s="39">
        <v>42537</v>
      </c>
      <c r="B272">
        <v>70.8</v>
      </c>
      <c r="C272">
        <f>VLOOKUP(A272,NYSEARCAVTI!A$2:G$506,4,0)</f>
        <v>104.7</v>
      </c>
      <c r="D272">
        <f>VLOOKUP(A272,NYSEARCAVEU!A$2:G$506,4,0)</f>
        <v>40.93</v>
      </c>
      <c r="E272">
        <f>VLOOKUP(A272,NYSEARCAVWO!A$2:G$506,4,0)</f>
        <v>33.01</v>
      </c>
      <c r="F272">
        <f>VLOOKUP(A272,NYSEARCABND!A$2:G$506,4,0)</f>
        <v>83.69</v>
      </c>
      <c r="G272">
        <f>VLOOKUP(A272,NYSEARCATIP!A$2:G$506,4,0)</f>
        <v>115.63</v>
      </c>
      <c r="H272">
        <f>VLOOKUP(A272,NYSEARCAMUB!A$2:G$506,4,0)</f>
        <v>113.32</v>
      </c>
      <c r="I272">
        <f>VLOOKUP(A272,NYSEARCAVNQ!A$2:G$506,4,0)</f>
        <v>84.76</v>
      </c>
      <c r="J272">
        <f>VLOOKUP(A272,NYSEARCARWX!A$2:G$506,4,0)</f>
        <v>40.6</v>
      </c>
      <c r="K272">
        <f>VLOOKUP(A272,NYSEARCADBC!A$2:G$506,4,0)</f>
        <v>14.89</v>
      </c>
      <c r="L272">
        <f>VLOOKUP(A272,NYSEARCAGSG!A$2:G$506,4,0)</f>
        <v>15.18</v>
      </c>
      <c r="M272">
        <f>VLOOKUP(A272,NYSEARCAGLD!A$2:G$506,4,0)</f>
        <v>122.23</v>
      </c>
      <c r="N272">
        <f>VLOOKUP(A272,NYSEBP!A$2:G$506,4,0)</f>
        <v>30.81</v>
      </c>
      <c r="O272">
        <f>VLOOKUP(A272,NASDAQYHOO!A$2:G$506,4,0)</f>
        <v>36.54</v>
      </c>
    </row>
    <row r="273" spans="1:15">
      <c r="A273" s="39">
        <v>42538</v>
      </c>
      <c r="B273">
        <v>70.400000000000006</v>
      </c>
      <c r="C273">
        <f>VLOOKUP(A273,NYSEARCAVTI!A$2:G$506,4,0)</f>
        <v>105.39</v>
      </c>
      <c r="D273">
        <f>VLOOKUP(A273,NYSEARCAVEU!A$2:G$506,4,0)</f>
        <v>41.81</v>
      </c>
      <c r="E273">
        <f>VLOOKUP(A273,NYSEARCAVWO!A$2:G$506,4,0)</f>
        <v>33.58</v>
      </c>
      <c r="F273">
        <f>VLOOKUP(A273,NYSEARCABND!A$2:G$506,4,0)</f>
        <v>83.59</v>
      </c>
      <c r="G273">
        <f>VLOOKUP(A273,NYSEARCATIP!A$2:G$506,4,0)</f>
        <v>115.24</v>
      </c>
      <c r="H273">
        <f>VLOOKUP(A273,NYSEARCAMUB!A$2:G$506,4,0)</f>
        <v>113.44</v>
      </c>
      <c r="I273">
        <f>VLOOKUP(A273,NYSEARCAVNQ!A$2:G$506,4,0)</f>
        <v>84.98</v>
      </c>
      <c r="J273">
        <f>VLOOKUP(A273,NYSEARCARWX!A$2:G$506,4,0)</f>
        <v>40.840000000000003</v>
      </c>
      <c r="K273">
        <f>VLOOKUP(A273,NYSEARCADBC!A$2:G$506,4,0)</f>
        <v>15.11</v>
      </c>
      <c r="L273">
        <f>VLOOKUP(A273,NYSEARCAGSG!A$2:G$506,4,0)</f>
        <v>15.46</v>
      </c>
      <c r="M273">
        <f>VLOOKUP(A273,NYSEARCAGLD!A$2:G$506,4,0)</f>
        <v>122.69</v>
      </c>
      <c r="N273">
        <f>VLOOKUP(A273,NYSEBP!A$2:G$506,4,0)</f>
        <v>32.24</v>
      </c>
      <c r="O273">
        <f>VLOOKUP(A273,NASDAQYHOO!A$2:G$506,4,0)</f>
        <v>36.81</v>
      </c>
    </row>
    <row r="274" spans="1:15">
      <c r="A274" s="39">
        <v>42541</v>
      </c>
      <c r="B274">
        <v>71.05</v>
      </c>
      <c r="C274">
        <f>VLOOKUP(A274,NYSEARCAVTI!A$2:G$506,4,0)</f>
        <v>106.46</v>
      </c>
      <c r="D274">
        <f>VLOOKUP(A274,NYSEARCAVEU!A$2:G$506,4,0)</f>
        <v>43.13</v>
      </c>
      <c r="E274">
        <f>VLOOKUP(A274,NYSEARCAVWO!A$2:G$506,4,0)</f>
        <v>34.29</v>
      </c>
      <c r="F274">
        <f>VLOOKUP(A274,NYSEARCABND!A$2:G$506,4,0)</f>
        <v>83.44</v>
      </c>
      <c r="G274">
        <f>VLOOKUP(A274,NYSEARCATIP!A$2:G$506,4,0)</f>
        <v>114.94</v>
      </c>
      <c r="H274">
        <f>VLOOKUP(A274,NYSEARCAMUB!A$2:G$506,4,0)</f>
        <v>113.25</v>
      </c>
      <c r="I274">
        <f>VLOOKUP(A274,NYSEARCAVNQ!A$2:G$506,4,0)</f>
        <v>85.65</v>
      </c>
      <c r="J274">
        <f>VLOOKUP(A274,NYSEARCARWX!A$2:G$506,4,0)</f>
        <v>42.11</v>
      </c>
      <c r="K274">
        <f>VLOOKUP(A274,NYSEARCADBC!A$2:G$506,4,0)</f>
        <v>15.29</v>
      </c>
      <c r="L274">
        <f>VLOOKUP(A274,NYSEARCAGSG!A$2:G$506,4,0)</f>
        <v>15.71</v>
      </c>
      <c r="M274">
        <f>VLOOKUP(A274,NYSEARCAGLD!A$2:G$506,4,0)</f>
        <v>122.13</v>
      </c>
      <c r="N274">
        <f>VLOOKUP(A274,NYSEBP!A$2:G$506,4,0)</f>
        <v>33.39</v>
      </c>
      <c r="O274">
        <f>VLOOKUP(A274,NASDAQYHOO!A$2:G$506,4,0)</f>
        <v>37.24</v>
      </c>
    </row>
    <row r="275" spans="1:15">
      <c r="A275" s="39">
        <v>42542</v>
      </c>
      <c r="B275">
        <v>70.95</v>
      </c>
      <c r="C275">
        <f>VLOOKUP(A275,NYSEARCAVTI!A$2:G$506,4,0)</f>
        <v>106.39</v>
      </c>
      <c r="D275">
        <f>VLOOKUP(A275,NYSEARCAVEU!A$2:G$506,4,0)</f>
        <v>43.27</v>
      </c>
      <c r="E275">
        <f>VLOOKUP(A275,NYSEARCAVWO!A$2:G$506,4,0)</f>
        <v>34.29</v>
      </c>
      <c r="F275">
        <f>VLOOKUP(A275,NYSEARCABND!A$2:G$506,4,0)</f>
        <v>83.33</v>
      </c>
      <c r="G275">
        <f>VLOOKUP(A275,NYSEARCATIP!A$2:G$506,4,0)</f>
        <v>114.68</v>
      </c>
      <c r="H275">
        <f>VLOOKUP(A275,NYSEARCAMUB!A$2:G$506,4,0)</f>
        <v>113.18</v>
      </c>
      <c r="I275">
        <f>VLOOKUP(A275,NYSEARCAVNQ!A$2:G$506,4,0)</f>
        <v>84.93</v>
      </c>
      <c r="J275">
        <f>VLOOKUP(A275,NYSEARCARWX!A$2:G$506,4,0)</f>
        <v>42.34</v>
      </c>
      <c r="K275">
        <f>VLOOKUP(A275,NYSEARCADBC!A$2:G$506,4,0)</f>
        <v>15.2</v>
      </c>
      <c r="L275">
        <f>VLOOKUP(A275,NYSEARCAGSG!A$2:G$506,4,0)</f>
        <v>15.58</v>
      </c>
      <c r="M275">
        <f>VLOOKUP(A275,NYSEARCAGLD!A$2:G$506,4,0)</f>
        <v>120.77</v>
      </c>
      <c r="N275">
        <f>VLOOKUP(A275,NYSEBP!A$2:G$506,4,0)</f>
        <v>33.54</v>
      </c>
      <c r="O275">
        <f>VLOOKUP(A275,NASDAQYHOO!A$2:G$506,4,0)</f>
        <v>37.200000000000003</v>
      </c>
    </row>
    <row r="276" spans="1:15">
      <c r="A276" s="39">
        <v>42543</v>
      </c>
      <c r="B276">
        <v>71.56</v>
      </c>
      <c r="C276">
        <f>VLOOKUP(A276,NYSEARCAVTI!A$2:G$506,4,0)</f>
        <v>106.44</v>
      </c>
      <c r="D276">
        <f>VLOOKUP(A276,NYSEARCAVEU!A$2:G$506,4,0)</f>
        <v>43.5</v>
      </c>
      <c r="E276">
        <f>VLOOKUP(A276,NYSEARCAVWO!A$2:G$506,4,0)</f>
        <v>34.57</v>
      </c>
      <c r="F276">
        <f>VLOOKUP(A276,NYSEARCABND!A$2:G$506,4,0)</f>
        <v>83.32</v>
      </c>
      <c r="G276">
        <f>VLOOKUP(A276,NYSEARCATIP!A$2:G$506,4,0)</f>
        <v>114.53</v>
      </c>
      <c r="H276">
        <f>VLOOKUP(A276,NYSEARCAMUB!A$2:G$506,4,0)</f>
        <v>113.14</v>
      </c>
      <c r="I276">
        <f>VLOOKUP(A276,NYSEARCAVNQ!A$2:G$506,4,0)</f>
        <v>84.98</v>
      </c>
      <c r="J276">
        <f>VLOOKUP(A276,NYSEARCARWX!A$2:G$506,4,0)</f>
        <v>42.31</v>
      </c>
      <c r="K276">
        <f>VLOOKUP(A276,NYSEARCADBC!A$2:G$506,4,0)</f>
        <v>15.14</v>
      </c>
      <c r="L276">
        <f>VLOOKUP(A276,NYSEARCAGSG!A$2:G$506,4,0)</f>
        <v>15.51</v>
      </c>
      <c r="M276">
        <f>VLOOKUP(A276,NYSEARCAGLD!A$2:G$506,4,0)</f>
        <v>120.68</v>
      </c>
      <c r="N276">
        <f>VLOOKUP(A276,NYSEBP!A$2:G$506,4,0)</f>
        <v>33.89</v>
      </c>
      <c r="O276">
        <f>VLOOKUP(A276,NASDAQYHOO!A$2:G$506,4,0)</f>
        <v>37.17</v>
      </c>
    </row>
    <row r="277" spans="1:15">
      <c r="A277" s="39">
        <v>42544</v>
      </c>
      <c r="B277">
        <v>71.78</v>
      </c>
      <c r="C277">
        <f>VLOOKUP(A277,NYSEARCAVTI!A$2:G$506,4,0)</f>
        <v>107.14</v>
      </c>
      <c r="D277">
        <f>VLOOKUP(A277,NYSEARCAVEU!A$2:G$506,4,0)</f>
        <v>44.09</v>
      </c>
      <c r="E277">
        <f>VLOOKUP(A277,NYSEARCAVWO!A$2:G$506,4,0)</f>
        <v>34.979999999999997</v>
      </c>
      <c r="F277">
        <f>VLOOKUP(A277,NYSEARCABND!A$2:G$506,4,0)</f>
        <v>83.22</v>
      </c>
      <c r="G277">
        <f>VLOOKUP(A277,NYSEARCATIP!A$2:G$506,4,0)</f>
        <v>114.99</v>
      </c>
      <c r="H277">
        <f>VLOOKUP(A277,NYSEARCAMUB!A$2:G$506,4,0)</f>
        <v>112.9</v>
      </c>
      <c r="I277">
        <f>VLOOKUP(A277,NYSEARCAVNQ!A$2:G$506,4,0)</f>
        <v>85.44</v>
      </c>
      <c r="J277">
        <f>VLOOKUP(A277,NYSEARCARWX!A$2:G$506,4,0)</f>
        <v>42.68</v>
      </c>
      <c r="K277">
        <f>VLOOKUP(A277,NYSEARCADBC!A$2:G$506,4,0)</f>
        <v>15.17</v>
      </c>
      <c r="L277">
        <f>VLOOKUP(A277,NYSEARCAGSG!A$2:G$506,4,0)</f>
        <v>15.63</v>
      </c>
      <c r="M277">
        <f>VLOOKUP(A277,NYSEARCAGLD!A$2:G$506,4,0)</f>
        <v>120.06</v>
      </c>
      <c r="N277">
        <f>VLOOKUP(A277,NYSEBP!A$2:G$506,4,0)</f>
        <v>34.24</v>
      </c>
      <c r="O277">
        <f>VLOOKUP(A277,NASDAQYHOO!A$2:G$506,4,0)</f>
        <v>37.409999999999997</v>
      </c>
    </row>
    <row r="278" spans="1:15">
      <c r="A278" s="39">
        <v>42545</v>
      </c>
      <c r="B278">
        <v>70.510000000000005</v>
      </c>
      <c r="C278">
        <f>VLOOKUP(A278,NYSEARCAVTI!A$2:G$506,4,0)</f>
        <v>103.86</v>
      </c>
      <c r="D278">
        <f>VLOOKUP(A278,NYSEARCAVEU!A$2:G$506,4,0)</f>
        <v>41.2</v>
      </c>
      <c r="E278">
        <f>VLOOKUP(A278,NYSEARCAVWO!A$2:G$506,4,0)</f>
        <v>33.36</v>
      </c>
      <c r="F278">
        <f>VLOOKUP(A278,NYSEARCABND!A$2:G$506,4,0)</f>
        <v>83.67</v>
      </c>
      <c r="G278">
        <f>VLOOKUP(A278,NYSEARCATIP!A$2:G$506,4,0)</f>
        <v>115.62</v>
      </c>
      <c r="H278">
        <f>VLOOKUP(A278,NYSEARCAMUB!A$2:G$506,4,0)</f>
        <v>113.66</v>
      </c>
      <c r="I278">
        <f>VLOOKUP(A278,NYSEARCAVNQ!A$2:G$506,4,0)</f>
        <v>83.54</v>
      </c>
      <c r="J278">
        <f>VLOOKUP(A278,NYSEARCARWX!A$2:G$506,4,0)</f>
        <v>39.79</v>
      </c>
      <c r="K278">
        <f>VLOOKUP(A278,NYSEARCADBC!A$2:G$506,4,0)</f>
        <v>14.93</v>
      </c>
      <c r="L278">
        <f>VLOOKUP(A278,NYSEARCAGSG!A$2:G$506,4,0)</f>
        <v>15.19</v>
      </c>
      <c r="M278">
        <f>VLOOKUP(A278,NYSEARCAGLD!A$2:G$506,4,0)</f>
        <v>125</v>
      </c>
      <c r="N278">
        <f>VLOOKUP(A278,NYSEBP!A$2:G$506,4,0)</f>
        <v>32.020000000000003</v>
      </c>
      <c r="O278">
        <f>VLOOKUP(A278,NASDAQYHOO!A$2:G$506,4,0)</f>
        <v>36.08</v>
      </c>
    </row>
    <row r="279" spans="1:15">
      <c r="A279" s="39">
        <v>42548</v>
      </c>
      <c r="B279">
        <v>70.88</v>
      </c>
      <c r="C279">
        <f>VLOOKUP(A279,NYSEARCAVTI!A$2:G$506,4,0)</f>
        <v>101.51</v>
      </c>
      <c r="D279">
        <f>VLOOKUP(A279,NYSEARCAVEU!A$2:G$506,4,0)</f>
        <v>39.96</v>
      </c>
      <c r="E279">
        <f>VLOOKUP(A279,NYSEARCAVWO!A$2:G$506,4,0)</f>
        <v>32.78</v>
      </c>
      <c r="F279">
        <f>VLOOKUP(A279,NYSEARCABND!A$2:G$506,4,0)</f>
        <v>84.01</v>
      </c>
      <c r="G279">
        <f>VLOOKUP(A279,NYSEARCATIP!A$2:G$506,4,0)</f>
        <v>115.84</v>
      </c>
      <c r="H279">
        <f>VLOOKUP(A279,NYSEARCAMUB!A$2:G$506,4,0)</f>
        <v>114</v>
      </c>
      <c r="I279">
        <f>VLOOKUP(A279,NYSEARCAVNQ!A$2:G$506,4,0)</f>
        <v>83.71</v>
      </c>
      <c r="J279">
        <f>VLOOKUP(A279,NYSEARCARWX!A$2:G$506,4,0)</f>
        <v>38.67</v>
      </c>
      <c r="K279">
        <f>VLOOKUP(A279,NYSEARCADBC!A$2:G$506,4,0)</f>
        <v>14.85</v>
      </c>
      <c r="L279">
        <f>VLOOKUP(A279,NYSEARCAGSG!A$2:G$506,4,0)</f>
        <v>15.02</v>
      </c>
      <c r="M279">
        <f>VLOOKUP(A279,NYSEARCAGLD!A$2:G$506,4,0)</f>
        <v>125.83</v>
      </c>
      <c r="N279">
        <f>VLOOKUP(A279,NYSEBP!A$2:G$506,4,0)</f>
        <v>31.56</v>
      </c>
      <c r="O279">
        <f>VLOOKUP(A279,NASDAQYHOO!A$2:G$506,4,0)</f>
        <v>35.049999999999997</v>
      </c>
    </row>
    <row r="280" spans="1:15">
      <c r="A280" s="39">
        <v>42549</v>
      </c>
      <c r="B280">
        <v>70.67</v>
      </c>
      <c r="C280">
        <f>VLOOKUP(A280,NYSEARCAVTI!A$2:G$506,4,0)</f>
        <v>102.83</v>
      </c>
      <c r="D280">
        <f>VLOOKUP(A280,NYSEARCAVEU!A$2:G$506,4,0)</f>
        <v>41.05</v>
      </c>
      <c r="E280">
        <f>VLOOKUP(A280,NYSEARCAVWO!A$2:G$506,4,0)</f>
        <v>33.74</v>
      </c>
      <c r="F280">
        <f>VLOOKUP(A280,NYSEARCABND!A$2:G$506,4,0)</f>
        <v>84.12</v>
      </c>
      <c r="G280">
        <f>VLOOKUP(A280,NYSEARCATIP!A$2:G$506,4,0)</f>
        <v>116.09</v>
      </c>
      <c r="H280">
        <f>VLOOKUP(A280,NYSEARCAMUB!A$2:G$506,4,0)</f>
        <v>114.02</v>
      </c>
      <c r="I280">
        <f>VLOOKUP(A280,NYSEARCAVNQ!A$2:G$506,4,0)</f>
        <v>85.15</v>
      </c>
      <c r="J280">
        <f>VLOOKUP(A280,NYSEARCARWX!A$2:G$506,4,0)</f>
        <v>40.03</v>
      </c>
      <c r="K280">
        <f>VLOOKUP(A280,NYSEARCADBC!A$2:G$506,4,0)</f>
        <v>15.07</v>
      </c>
      <c r="L280">
        <f>VLOOKUP(A280,NYSEARCAGSG!A$2:G$506,4,0)</f>
        <v>15.28</v>
      </c>
      <c r="M280">
        <f>VLOOKUP(A280,NYSEARCAGLD!A$2:G$506,4,0)</f>
        <v>125.06</v>
      </c>
      <c r="N280">
        <f>VLOOKUP(A280,NYSEBP!A$2:G$506,4,0)</f>
        <v>32.75</v>
      </c>
      <c r="O280">
        <f>VLOOKUP(A280,NASDAQYHOO!A$2:G$506,4,0)</f>
        <v>35.5</v>
      </c>
    </row>
    <row r="281" spans="1:15">
      <c r="A281" s="39">
        <v>42550</v>
      </c>
      <c r="B281">
        <v>71.56</v>
      </c>
      <c r="C281">
        <f>VLOOKUP(A281,NYSEARCAVTI!A$2:G$506,4,0)</f>
        <v>104.65</v>
      </c>
      <c r="D281">
        <f>VLOOKUP(A281,NYSEARCAVEU!A$2:G$506,4,0)</f>
        <v>42.06</v>
      </c>
      <c r="E281">
        <f>VLOOKUP(A281,NYSEARCAVWO!A$2:G$506,4,0)</f>
        <v>34.630000000000003</v>
      </c>
      <c r="F281">
        <f>VLOOKUP(A281,NYSEARCABND!A$2:G$506,4,0)</f>
        <v>84.13</v>
      </c>
      <c r="G281">
        <f>VLOOKUP(A281,NYSEARCATIP!A$2:G$506,4,0)</f>
        <v>116.35</v>
      </c>
      <c r="H281">
        <f>VLOOKUP(A281,NYSEARCAMUB!A$2:G$506,4,0)</f>
        <v>113.81</v>
      </c>
      <c r="I281">
        <f>VLOOKUP(A281,NYSEARCAVNQ!A$2:G$506,4,0)</f>
        <v>87.01</v>
      </c>
      <c r="J281">
        <f>VLOOKUP(A281,NYSEARCARWX!A$2:G$506,4,0)</f>
        <v>40.92</v>
      </c>
      <c r="K281">
        <f>VLOOKUP(A281,NYSEARCADBC!A$2:G$506,4,0)</f>
        <v>15.28</v>
      </c>
      <c r="L281">
        <f>VLOOKUP(A281,NYSEARCAGSG!A$2:G$506,4,0)</f>
        <v>15.51</v>
      </c>
      <c r="M281">
        <f>VLOOKUP(A281,NYSEARCAGLD!A$2:G$506,4,0)</f>
        <v>125.7</v>
      </c>
      <c r="N281">
        <f>VLOOKUP(A281,NYSEBP!A$2:G$506,4,0)</f>
        <v>33.85</v>
      </c>
      <c r="O281">
        <f>VLOOKUP(A281,NASDAQYHOO!A$2:G$506,4,0)</f>
        <v>36.25</v>
      </c>
    </row>
    <row r="282" spans="1:15">
      <c r="A282" s="39">
        <v>42551</v>
      </c>
      <c r="B282">
        <v>72.319999999999993</v>
      </c>
      <c r="C282">
        <f>VLOOKUP(A282,NYSEARCAVTI!A$2:G$506,4,0)</f>
        <v>105.62</v>
      </c>
      <c r="D282">
        <f>VLOOKUP(A282,NYSEARCAVEU!A$2:G$506,4,0)</f>
        <v>42.29</v>
      </c>
      <c r="E282">
        <f>VLOOKUP(A282,NYSEARCAVWO!A$2:G$506,4,0)</f>
        <v>34.83</v>
      </c>
      <c r="F282">
        <f>VLOOKUP(A282,NYSEARCABND!A$2:G$506,4,0)</f>
        <v>84.19</v>
      </c>
      <c r="G282">
        <f>VLOOKUP(A282,NYSEARCATIP!A$2:G$506,4,0)</f>
        <v>116.47</v>
      </c>
      <c r="H282">
        <f>VLOOKUP(A282,NYSEARCAMUB!A$2:G$506,4,0)</f>
        <v>113.85</v>
      </c>
      <c r="I282">
        <f>VLOOKUP(A282,NYSEARCAVNQ!A$2:G$506,4,0)</f>
        <v>87.27</v>
      </c>
      <c r="J282">
        <f>VLOOKUP(A282,NYSEARCARWX!A$2:G$506,4,0)</f>
        <v>41.06</v>
      </c>
      <c r="K282">
        <f>VLOOKUP(A282,NYSEARCADBC!A$2:G$506,4,0)</f>
        <v>15.26</v>
      </c>
      <c r="L282">
        <f>VLOOKUP(A282,NYSEARCAGSG!A$2:G$506,4,0)</f>
        <v>15.48</v>
      </c>
      <c r="M282">
        <f>VLOOKUP(A282,NYSEARCAGLD!A$2:G$506,4,0)</f>
        <v>125.5</v>
      </c>
      <c r="N282">
        <f>VLOOKUP(A282,NYSEBP!A$2:G$506,4,0)</f>
        <v>34.799999999999997</v>
      </c>
      <c r="O282">
        <f>VLOOKUP(A282,NASDAQYHOO!A$2:G$506,4,0)</f>
        <v>36.89</v>
      </c>
    </row>
    <row r="283" spans="1:15">
      <c r="A283" s="39">
        <v>42552</v>
      </c>
      <c r="B283">
        <v>72.42</v>
      </c>
      <c r="C283">
        <f>VLOOKUP(A283,NYSEARCAVTI!A$2:G$506,4,0)</f>
        <v>107.07</v>
      </c>
      <c r="D283">
        <f>VLOOKUP(A283,NYSEARCAVEU!A$2:G$506,4,0)</f>
        <v>42.88</v>
      </c>
      <c r="E283">
        <f>VLOOKUP(A283,NYSEARCAVWO!A$2:G$506,4,0)</f>
        <v>35.35</v>
      </c>
      <c r="F283">
        <f>VLOOKUP(A283,NYSEARCABND!A$2:G$506,4,0)</f>
        <v>84.24</v>
      </c>
      <c r="G283">
        <f>VLOOKUP(A283,NYSEARCATIP!A$2:G$506,4,0)</f>
        <v>116.65</v>
      </c>
      <c r="H283">
        <f>VLOOKUP(A283,NYSEARCAMUB!A$2:G$506,4,0)</f>
        <v>113.71</v>
      </c>
      <c r="I283">
        <f>VLOOKUP(A283,NYSEARCAVNQ!A$2:G$506,4,0)</f>
        <v>88.44</v>
      </c>
      <c r="J283">
        <f>VLOOKUP(A283,NYSEARCARWX!A$2:G$506,4,0)</f>
        <v>41.22</v>
      </c>
      <c r="K283">
        <f>VLOOKUP(A283,NYSEARCADBC!A$2:G$506,4,0)</f>
        <v>15.33</v>
      </c>
      <c r="L283">
        <f>VLOOKUP(A283,NYSEARCAGSG!A$2:G$506,4,0)</f>
        <v>15.48</v>
      </c>
      <c r="M283">
        <f>VLOOKUP(A283,NYSEARCAGLD!A$2:G$506,4,0)</f>
        <v>127.44</v>
      </c>
      <c r="N283">
        <f>VLOOKUP(A283,NYSEBP!A$2:G$506,4,0)</f>
        <v>35.75</v>
      </c>
      <c r="O283">
        <f>VLOOKUP(A283,NASDAQYHOO!A$2:G$506,4,0)</f>
        <v>37.43</v>
      </c>
    </row>
    <row r="284" spans="1:15">
      <c r="A284" s="39">
        <v>42556</v>
      </c>
      <c r="B284">
        <v>72.680000000000007</v>
      </c>
      <c r="C284">
        <f>VLOOKUP(A284,NYSEARCAVTI!A$2:G$506,4,0)</f>
        <v>106.14</v>
      </c>
      <c r="D284">
        <f>VLOOKUP(A284,NYSEARCAVEU!A$2:G$506,4,0)</f>
        <v>42.06</v>
      </c>
      <c r="E284">
        <f>VLOOKUP(A284,NYSEARCAVWO!A$2:G$506,4,0)</f>
        <v>34.700000000000003</v>
      </c>
      <c r="F284">
        <f>VLOOKUP(A284,NYSEARCABND!A$2:G$506,4,0)</f>
        <v>84.49</v>
      </c>
      <c r="G284">
        <f>VLOOKUP(A284,NYSEARCATIP!A$2:G$506,4,0)</f>
        <v>117.02</v>
      </c>
      <c r="H284">
        <f>VLOOKUP(A284,NYSEARCAMUB!A$2:G$506,4,0)</f>
        <v>113.96</v>
      </c>
      <c r="I284">
        <f>VLOOKUP(A284,NYSEARCAVNQ!A$2:G$506,4,0)</f>
        <v>88.6</v>
      </c>
      <c r="J284">
        <f>VLOOKUP(A284,NYSEARCARWX!A$2:G$506,4,0)</f>
        <v>40.49</v>
      </c>
      <c r="K284">
        <f>VLOOKUP(A284,NYSEARCADBC!A$2:G$506,4,0)</f>
        <v>15</v>
      </c>
      <c r="L284">
        <f>VLOOKUP(A284,NYSEARCAGSG!A$2:G$506,4,0)</f>
        <v>15.07</v>
      </c>
      <c r="M284">
        <f>VLOOKUP(A284,NYSEARCAGLD!A$2:G$506,4,0)</f>
        <v>128.16999999999999</v>
      </c>
      <c r="N284">
        <f>VLOOKUP(A284,NYSEBP!A$2:G$506,4,0)</f>
        <v>35.700000000000003</v>
      </c>
      <c r="O284">
        <f>VLOOKUP(A284,NASDAQYHOO!A$2:G$506,4,0)</f>
        <v>37.17</v>
      </c>
    </row>
    <row r="285" spans="1:15">
      <c r="A285" s="39">
        <v>42557</v>
      </c>
      <c r="B285">
        <v>73.17</v>
      </c>
      <c r="C285">
        <f>VLOOKUP(A285,NYSEARCAVTI!A$2:G$506,4,0)</f>
        <v>105.88</v>
      </c>
      <c r="D285">
        <f>VLOOKUP(A285,NYSEARCAVEU!A$2:G$506,4,0)</f>
        <v>41.46</v>
      </c>
      <c r="E285">
        <f>VLOOKUP(A285,NYSEARCAVWO!A$2:G$506,4,0)</f>
        <v>34.25</v>
      </c>
      <c r="F285">
        <f>VLOOKUP(A285,NYSEARCABND!A$2:G$506,4,0)</f>
        <v>84.63</v>
      </c>
      <c r="G285">
        <f>VLOOKUP(A285,NYSEARCATIP!A$2:G$506,4,0)</f>
        <v>117.22</v>
      </c>
      <c r="H285">
        <f>VLOOKUP(A285,NYSEARCAMUB!A$2:G$506,4,0)</f>
        <v>114.02</v>
      </c>
      <c r="I285">
        <f>VLOOKUP(A285,NYSEARCAVNQ!A$2:G$506,4,0)</f>
        <v>88.85</v>
      </c>
      <c r="J285">
        <f>VLOOKUP(A285,NYSEARCARWX!A$2:G$506,4,0)</f>
        <v>40.03</v>
      </c>
      <c r="K285">
        <f>VLOOKUP(A285,NYSEARCADBC!A$2:G$506,4,0)</f>
        <v>14.9</v>
      </c>
      <c r="L285">
        <f>VLOOKUP(A285,NYSEARCAGSG!A$2:G$506,4,0)</f>
        <v>14.91</v>
      </c>
      <c r="M285">
        <f>VLOOKUP(A285,NYSEARCAGLD!A$2:G$506,4,0)</f>
        <v>129.82</v>
      </c>
      <c r="N285">
        <f>VLOOKUP(A285,NYSEBP!A$2:G$506,4,0)</f>
        <v>34.909999999999997</v>
      </c>
      <c r="O285">
        <f>VLOOKUP(A285,NASDAQYHOO!A$2:G$506,4,0)</f>
        <v>37.130000000000003</v>
      </c>
    </row>
    <row r="286" spans="1:15">
      <c r="A286" s="39">
        <v>42558</v>
      </c>
      <c r="B286">
        <v>73.150000000000006</v>
      </c>
      <c r="C286">
        <f>VLOOKUP(A286,NYSEARCAVTI!A$2:G$506,4,0)</f>
        <v>106.75</v>
      </c>
      <c r="D286">
        <f>VLOOKUP(A286,NYSEARCAVEU!A$2:G$506,4,0)</f>
        <v>41.8</v>
      </c>
      <c r="E286">
        <f>VLOOKUP(A286,NYSEARCAVWO!A$2:G$506,4,0)</f>
        <v>34.54</v>
      </c>
      <c r="F286">
        <f>VLOOKUP(A286,NYSEARCABND!A$2:G$506,4,0)</f>
        <v>84.58</v>
      </c>
      <c r="G286">
        <f>VLOOKUP(A286,NYSEARCATIP!A$2:G$506,4,0)</f>
        <v>117.22</v>
      </c>
      <c r="H286">
        <f>VLOOKUP(A286,NYSEARCAMUB!A$2:G$506,4,0)</f>
        <v>113.97</v>
      </c>
      <c r="I286">
        <f>VLOOKUP(A286,NYSEARCAVNQ!A$2:G$506,4,0)</f>
        <v>87.88</v>
      </c>
      <c r="J286">
        <f>VLOOKUP(A286,NYSEARCARWX!A$2:G$506,4,0)</f>
        <v>40.36</v>
      </c>
      <c r="K286">
        <f>VLOOKUP(A286,NYSEARCADBC!A$2:G$506,4,0)</f>
        <v>14.69</v>
      </c>
      <c r="L286">
        <f>VLOOKUP(A286,NYSEARCAGSG!A$2:G$506,4,0)</f>
        <v>14.7</v>
      </c>
      <c r="M286">
        <f>VLOOKUP(A286,NYSEARCAGLD!A$2:G$506,4,0)</f>
        <v>128.97999999999999</v>
      </c>
      <c r="N286">
        <f>VLOOKUP(A286,NYSEBP!A$2:G$506,4,0)</f>
        <v>35.159999999999997</v>
      </c>
      <c r="O286">
        <f>VLOOKUP(A286,NASDAQYHOO!A$2:G$506,4,0)</f>
        <v>37.29</v>
      </c>
    </row>
    <row r="287" spans="1:15">
      <c r="A287" s="39">
        <v>42559</v>
      </c>
      <c r="B287">
        <v>73.239999999999995</v>
      </c>
      <c r="C287">
        <f>VLOOKUP(A287,NYSEARCAVTI!A$2:G$506,4,0)</f>
        <v>107.86</v>
      </c>
      <c r="D287">
        <f>VLOOKUP(A287,NYSEARCAVEU!A$2:G$506,4,0)</f>
        <v>42.33</v>
      </c>
      <c r="E287">
        <f>VLOOKUP(A287,NYSEARCAVWO!A$2:G$506,4,0)</f>
        <v>35.020000000000003</v>
      </c>
      <c r="F287">
        <f>VLOOKUP(A287,NYSEARCABND!A$2:G$506,4,0)</f>
        <v>84.68</v>
      </c>
      <c r="G287">
        <f>VLOOKUP(A287,NYSEARCATIP!A$2:G$506,4,0)</f>
        <v>117.17</v>
      </c>
      <c r="H287">
        <f>VLOOKUP(A287,NYSEARCAMUB!A$2:G$506,4,0)</f>
        <v>113.9</v>
      </c>
      <c r="I287">
        <f>VLOOKUP(A287,NYSEARCAVNQ!A$2:G$506,4,0)</f>
        <v>88.75</v>
      </c>
      <c r="J287">
        <f>VLOOKUP(A287,NYSEARCARWX!A$2:G$506,4,0)</f>
        <v>40.79</v>
      </c>
      <c r="K287">
        <f>VLOOKUP(A287,NYSEARCADBC!A$2:G$506,4,0)</f>
        <v>14.76</v>
      </c>
      <c r="L287">
        <f>VLOOKUP(A287,NYSEARCAGSG!A$2:G$506,4,0)</f>
        <v>14.72</v>
      </c>
      <c r="M287">
        <f>VLOOKUP(A287,NYSEARCAGLD!A$2:G$506,4,0)</f>
        <v>128.97</v>
      </c>
      <c r="N287">
        <f>VLOOKUP(A287,NYSEBP!A$2:G$506,4,0)</f>
        <v>35.65</v>
      </c>
      <c r="O287">
        <f>VLOOKUP(A287,NASDAQYHOO!A$2:G$506,4,0)</f>
        <v>37.06</v>
      </c>
    </row>
    <row r="288" spans="1:15">
      <c r="A288" s="39">
        <v>42562</v>
      </c>
      <c r="B288">
        <v>73.5</v>
      </c>
      <c r="C288">
        <f>VLOOKUP(A288,NYSEARCAVTI!A$2:G$506,4,0)</f>
        <v>109</v>
      </c>
      <c r="D288">
        <f>VLOOKUP(A288,NYSEARCAVEU!A$2:G$506,4,0)</f>
        <v>43.06</v>
      </c>
      <c r="E288">
        <f>VLOOKUP(A288,NYSEARCAVWO!A$2:G$506,4,0)</f>
        <v>35.61</v>
      </c>
      <c r="F288">
        <f>VLOOKUP(A288,NYSEARCABND!A$2:G$506,4,0)</f>
        <v>84.61</v>
      </c>
      <c r="G288">
        <f>VLOOKUP(A288,NYSEARCATIP!A$2:G$506,4,0)</f>
        <v>116.96</v>
      </c>
      <c r="H288">
        <f>VLOOKUP(A288,NYSEARCAMUB!A$2:G$506,4,0)</f>
        <v>113.8</v>
      </c>
      <c r="I288">
        <f>VLOOKUP(A288,NYSEARCAVNQ!A$2:G$506,4,0)</f>
        <v>89.33</v>
      </c>
      <c r="J288">
        <f>VLOOKUP(A288,NYSEARCARWX!A$2:G$506,4,0)</f>
        <v>41.53</v>
      </c>
      <c r="K288">
        <f>VLOOKUP(A288,NYSEARCADBC!A$2:G$506,4,0)</f>
        <v>14.82</v>
      </c>
      <c r="L288">
        <f>VLOOKUP(A288,NYSEARCAGSG!A$2:G$506,4,0)</f>
        <v>14.68</v>
      </c>
      <c r="M288">
        <f>VLOOKUP(A288,NYSEARCAGLD!A$2:G$506,4,0)</f>
        <v>129.16</v>
      </c>
      <c r="N288">
        <f>VLOOKUP(A288,NYSEBP!A$2:G$506,4,0)</f>
        <v>35.979999999999997</v>
      </c>
      <c r="O288">
        <f>VLOOKUP(A288,NASDAQYHOO!A$2:G$506,4,0)</f>
        <v>37.369999999999997</v>
      </c>
    </row>
    <row r="289" spans="1:15">
      <c r="A289" s="39">
        <v>42563</v>
      </c>
      <c r="B289">
        <v>73</v>
      </c>
      <c r="C289">
        <f>VLOOKUP(A289,NYSEARCAVTI!A$2:G$506,4,0)</f>
        <v>109.68</v>
      </c>
      <c r="D289">
        <f>VLOOKUP(A289,NYSEARCAVEU!A$2:G$506,4,0)</f>
        <v>43.68</v>
      </c>
      <c r="E289">
        <f>VLOOKUP(A289,NYSEARCAVWO!A$2:G$506,4,0)</f>
        <v>36.08</v>
      </c>
      <c r="F289">
        <f>VLOOKUP(A289,NYSEARCABND!A$2:G$506,4,0)</f>
        <v>84.23</v>
      </c>
      <c r="G289">
        <f>VLOOKUP(A289,NYSEARCATIP!A$2:G$506,4,0)</f>
        <v>116.54</v>
      </c>
      <c r="H289">
        <f>VLOOKUP(A289,NYSEARCAMUB!A$2:G$506,4,0)</f>
        <v>113.63</v>
      </c>
      <c r="I289">
        <f>VLOOKUP(A289,NYSEARCAVNQ!A$2:G$506,4,0)</f>
        <v>89.68</v>
      </c>
      <c r="J289">
        <f>VLOOKUP(A289,NYSEARCARWX!A$2:G$506,4,0)</f>
        <v>41.94</v>
      </c>
      <c r="K289">
        <f>VLOOKUP(A289,NYSEARCADBC!A$2:G$506,4,0)</f>
        <v>14.94</v>
      </c>
      <c r="L289">
        <f>VLOOKUP(A289,NYSEARCAGSG!A$2:G$506,4,0)</f>
        <v>14.87</v>
      </c>
      <c r="M289">
        <f>VLOOKUP(A289,NYSEARCAGLD!A$2:G$506,4,0)</f>
        <v>126.99</v>
      </c>
      <c r="N289">
        <f>VLOOKUP(A289,NYSEBP!A$2:G$506,4,0)</f>
        <v>36.58</v>
      </c>
      <c r="O289">
        <f>VLOOKUP(A289,NASDAQYHOO!A$2:G$506,4,0)</f>
        <v>37.869999999999997</v>
      </c>
    </row>
    <row r="290" spans="1:15">
      <c r="A290" s="39">
        <v>42564</v>
      </c>
      <c r="B290">
        <v>72.94</v>
      </c>
      <c r="C290">
        <f>VLOOKUP(A290,NYSEARCAVTI!A$2:G$506,4,0)</f>
        <v>109.81</v>
      </c>
      <c r="D290">
        <f>VLOOKUP(A290,NYSEARCAVEU!A$2:G$506,4,0)</f>
        <v>43.61</v>
      </c>
      <c r="E290">
        <f>VLOOKUP(A290,NYSEARCAVWO!A$2:G$506,4,0)</f>
        <v>35.96</v>
      </c>
      <c r="F290">
        <f>VLOOKUP(A290,NYSEARCABND!A$2:G$506,4,0)</f>
        <v>84.43</v>
      </c>
      <c r="G290">
        <f>VLOOKUP(A290,NYSEARCATIP!A$2:G$506,4,0)</f>
        <v>116.74</v>
      </c>
      <c r="H290">
        <f>VLOOKUP(A290,NYSEARCAMUB!A$2:G$506,4,0)</f>
        <v>113.61</v>
      </c>
      <c r="I290">
        <f>VLOOKUP(A290,NYSEARCAVNQ!A$2:G$506,4,0)</f>
        <v>90.19</v>
      </c>
      <c r="J290">
        <f>VLOOKUP(A290,NYSEARCARWX!A$2:G$506,4,0)</f>
        <v>41.87</v>
      </c>
      <c r="K290">
        <f>VLOOKUP(A290,NYSEARCADBC!A$2:G$506,4,0)</f>
        <v>14.85</v>
      </c>
      <c r="L290">
        <f>VLOOKUP(A290,NYSEARCAGSG!A$2:G$506,4,0)</f>
        <v>14.79</v>
      </c>
      <c r="M290">
        <f>VLOOKUP(A290,NYSEARCAGLD!A$2:G$506,4,0)</f>
        <v>127.61</v>
      </c>
      <c r="N290">
        <f>VLOOKUP(A290,NYSEBP!A$2:G$506,4,0)</f>
        <v>36.270000000000003</v>
      </c>
      <c r="O290">
        <f>VLOOKUP(A290,NASDAQYHOO!A$2:G$506,4,0)</f>
        <v>37.46</v>
      </c>
    </row>
    <row r="291" spans="1:15">
      <c r="A291" s="39">
        <v>42565</v>
      </c>
      <c r="B291">
        <v>73.61</v>
      </c>
      <c r="C291">
        <f>VLOOKUP(A291,NYSEARCAVTI!A$2:G$506,4,0)</f>
        <v>110.46</v>
      </c>
      <c r="D291">
        <f>VLOOKUP(A291,NYSEARCAVEU!A$2:G$506,4,0)</f>
        <v>44.03</v>
      </c>
      <c r="E291">
        <f>VLOOKUP(A291,NYSEARCAVWO!A$2:G$506,4,0)</f>
        <v>36.46</v>
      </c>
      <c r="F291">
        <f>VLOOKUP(A291,NYSEARCABND!A$2:G$506,4,0)</f>
        <v>84.24</v>
      </c>
      <c r="G291">
        <f>VLOOKUP(A291,NYSEARCATIP!A$2:G$506,4,0)</f>
        <v>116.33</v>
      </c>
      <c r="H291">
        <f>VLOOKUP(A291,NYSEARCAMUB!A$2:G$506,4,0)</f>
        <v>113.5</v>
      </c>
      <c r="I291">
        <f>VLOOKUP(A291,NYSEARCAVNQ!A$2:G$506,4,0)</f>
        <v>89.87</v>
      </c>
      <c r="J291">
        <f>VLOOKUP(A291,NYSEARCARWX!A$2:G$506,4,0)</f>
        <v>42.06</v>
      </c>
      <c r="K291">
        <f>VLOOKUP(A291,NYSEARCADBC!A$2:G$506,4,0)</f>
        <v>14.94</v>
      </c>
      <c r="L291">
        <f>VLOOKUP(A291,NYSEARCAGSG!A$2:G$506,4,0)</f>
        <v>14.91</v>
      </c>
      <c r="M291">
        <f>VLOOKUP(A291,NYSEARCAGLD!A$2:G$506,4,0)</f>
        <v>126.03</v>
      </c>
      <c r="N291">
        <f>VLOOKUP(A291,NYSEBP!A$2:G$506,4,0)</f>
        <v>36.549999999999997</v>
      </c>
      <c r="O291">
        <f>VLOOKUP(A291,NASDAQYHOO!A$2:G$506,4,0)</f>
        <v>37.85</v>
      </c>
    </row>
    <row r="292" spans="1:15">
      <c r="A292" s="39">
        <v>42566</v>
      </c>
      <c r="B292">
        <v>73.44</v>
      </c>
      <c r="C292">
        <f>VLOOKUP(A292,NYSEARCAVTI!A$2:G$506,4,0)</f>
        <v>110.29</v>
      </c>
      <c r="D292">
        <f>VLOOKUP(A292,NYSEARCAVEU!A$2:G$506,4,0)</f>
        <v>43.83</v>
      </c>
      <c r="E292">
        <f>VLOOKUP(A292,NYSEARCAVWO!A$2:G$506,4,0)</f>
        <v>36.450000000000003</v>
      </c>
      <c r="F292">
        <f>VLOOKUP(A292,NYSEARCABND!A$2:G$506,4,0)</f>
        <v>84</v>
      </c>
      <c r="G292">
        <f>VLOOKUP(A292,NYSEARCATIP!A$2:G$506,4,0)</f>
        <v>116.22</v>
      </c>
      <c r="H292">
        <f>VLOOKUP(A292,NYSEARCAMUB!A$2:G$506,4,0)</f>
        <v>113.34</v>
      </c>
      <c r="I292">
        <f>VLOOKUP(A292,NYSEARCAVNQ!A$2:G$506,4,0)</f>
        <v>89.46</v>
      </c>
      <c r="J292">
        <f>VLOOKUP(A292,NYSEARCARWX!A$2:G$506,4,0)</f>
        <v>41.6</v>
      </c>
      <c r="K292">
        <f>VLOOKUP(A292,NYSEARCADBC!A$2:G$506,4,0)</f>
        <v>14.91</v>
      </c>
      <c r="L292">
        <f>VLOOKUP(A292,NYSEARCAGSG!A$2:G$506,4,0)</f>
        <v>14.9</v>
      </c>
      <c r="M292">
        <f>VLOOKUP(A292,NYSEARCAGLD!A$2:G$506,4,0)</f>
        <v>126.33</v>
      </c>
      <c r="N292">
        <f>VLOOKUP(A292,NYSEBP!A$2:G$506,4,0)</f>
        <v>36.42</v>
      </c>
      <c r="O292">
        <f>VLOOKUP(A292,NASDAQYHOO!A$2:G$506,4,0)</f>
        <v>37.68</v>
      </c>
    </row>
    <row r="293" spans="1:15">
      <c r="A293" s="39">
        <v>42569</v>
      </c>
      <c r="B293">
        <v>73.53</v>
      </c>
      <c r="C293">
        <f>VLOOKUP(A293,NYSEARCAVTI!A$2:G$506,4,0)</f>
        <v>110.44</v>
      </c>
      <c r="D293">
        <f>VLOOKUP(A293,NYSEARCAVEU!A$2:G$506,4,0)</f>
        <v>43.83</v>
      </c>
      <c r="E293">
        <f>VLOOKUP(A293,NYSEARCAVWO!A$2:G$506,4,0)</f>
        <v>36.43</v>
      </c>
      <c r="F293">
        <f>VLOOKUP(A293,NYSEARCABND!A$2:G$506,4,0)</f>
        <v>84</v>
      </c>
      <c r="G293">
        <f>VLOOKUP(A293,NYSEARCATIP!A$2:G$506,4,0)</f>
        <v>116.22</v>
      </c>
      <c r="H293">
        <f>VLOOKUP(A293,NYSEARCAMUB!A$2:G$506,4,0)</f>
        <v>113.32</v>
      </c>
      <c r="I293">
        <f>VLOOKUP(A293,NYSEARCAVNQ!A$2:G$506,4,0)</f>
        <v>90</v>
      </c>
      <c r="J293">
        <f>VLOOKUP(A293,NYSEARCARWX!A$2:G$506,4,0)</f>
        <v>41.7</v>
      </c>
      <c r="K293">
        <f>VLOOKUP(A293,NYSEARCADBC!A$2:G$506,4,0)</f>
        <v>14.75</v>
      </c>
      <c r="L293">
        <f>VLOOKUP(A293,NYSEARCAGSG!A$2:G$506,4,0)</f>
        <v>14.4</v>
      </c>
      <c r="M293">
        <f>VLOOKUP(A293,NYSEARCAGLD!A$2:G$506,4,0)</f>
        <v>126.63</v>
      </c>
      <c r="N293">
        <f>VLOOKUP(A293,NYSEBP!A$2:G$506,4,0)</f>
        <v>36.03</v>
      </c>
      <c r="O293">
        <f>VLOOKUP(A293,NASDAQYHOO!A$2:G$506,4,0)</f>
        <v>37.5</v>
      </c>
    </row>
    <row r="294" spans="1:15">
      <c r="A294" s="39">
        <v>42570</v>
      </c>
      <c r="B294">
        <v>73.58</v>
      </c>
      <c r="C294">
        <f>VLOOKUP(A294,NYSEARCAVTI!A$2:G$506,4,0)</f>
        <v>110.4</v>
      </c>
      <c r="D294">
        <f>VLOOKUP(A294,NYSEARCAVEU!A$2:G$506,4,0)</f>
        <v>43.62</v>
      </c>
      <c r="E294">
        <f>VLOOKUP(A294,NYSEARCAVWO!A$2:G$506,4,0)</f>
        <v>36.43</v>
      </c>
      <c r="F294">
        <f>VLOOKUP(A294,NYSEARCABND!A$2:G$506,4,0)</f>
        <v>84.11</v>
      </c>
      <c r="G294">
        <f>VLOOKUP(A294,NYSEARCATIP!A$2:G$506,4,0)</f>
        <v>116.27</v>
      </c>
      <c r="H294">
        <f>VLOOKUP(A294,NYSEARCAMUB!A$2:G$506,4,0)</f>
        <v>113.31</v>
      </c>
      <c r="I294">
        <f>VLOOKUP(A294,NYSEARCAVNQ!A$2:G$506,4,0)</f>
        <v>89.92</v>
      </c>
      <c r="J294">
        <f>VLOOKUP(A294,NYSEARCARWX!A$2:G$506,4,0)</f>
        <v>41.62</v>
      </c>
      <c r="K294">
        <f>VLOOKUP(A294,NYSEARCADBC!A$2:G$506,4,0)</f>
        <v>14.75</v>
      </c>
      <c r="L294">
        <f>VLOOKUP(A294,NYSEARCAGSG!A$2:G$506,4,0)</f>
        <v>14.67</v>
      </c>
      <c r="M294">
        <f>VLOOKUP(A294,NYSEARCAGLD!A$2:G$506,4,0)</f>
        <v>126.82</v>
      </c>
      <c r="N294">
        <f>VLOOKUP(A294,NYSEBP!A$2:G$506,4,0)</f>
        <v>35.83</v>
      </c>
      <c r="O294">
        <f>VLOOKUP(A294,NASDAQYHOO!A$2:G$506,4,0)</f>
        <v>37.65</v>
      </c>
    </row>
    <row r="295" spans="1:15">
      <c r="A295" s="39">
        <v>42571</v>
      </c>
      <c r="B295">
        <v>73.63</v>
      </c>
      <c r="C295">
        <f>VLOOKUP(A295,NYSEARCAVTI!A$2:G$506,4,0)</f>
        <v>110.66</v>
      </c>
      <c r="D295">
        <f>VLOOKUP(A295,NYSEARCAVEU!A$2:G$506,4,0)</f>
        <v>43.86</v>
      </c>
      <c r="E295">
        <f>VLOOKUP(A295,NYSEARCAVWO!A$2:G$506,4,0)</f>
        <v>36.54</v>
      </c>
      <c r="F295">
        <f>VLOOKUP(A295,NYSEARCABND!A$2:G$506,4,0)</f>
        <v>84.05</v>
      </c>
      <c r="G295">
        <f>VLOOKUP(A295,NYSEARCATIP!A$2:G$506,4,0)</f>
        <v>115.86</v>
      </c>
      <c r="H295">
        <f>VLOOKUP(A295,NYSEARCAMUB!A$2:G$506,4,0)</f>
        <v>113.26</v>
      </c>
      <c r="I295">
        <f>VLOOKUP(A295,NYSEARCAVNQ!A$2:G$506,4,0)</f>
        <v>90.51</v>
      </c>
      <c r="J295">
        <f>VLOOKUP(A295,NYSEARCARWX!A$2:G$506,4,0)</f>
        <v>42.07</v>
      </c>
      <c r="K295">
        <f>VLOOKUP(A295,NYSEARCADBC!A$2:G$506,4,0)</f>
        <v>14.58</v>
      </c>
      <c r="L295">
        <f>VLOOKUP(A295,NYSEARCAGSG!A$2:G$506,4,0)</f>
        <v>14.52</v>
      </c>
      <c r="M295">
        <f>VLOOKUP(A295,NYSEARCAGLD!A$2:G$506,4,0)</f>
        <v>125.31</v>
      </c>
      <c r="N295">
        <f>VLOOKUP(A295,NYSEBP!A$2:G$506,4,0)</f>
        <v>35.700000000000003</v>
      </c>
      <c r="O295">
        <f>VLOOKUP(A295,NASDAQYHOO!A$2:G$506,4,0)</f>
        <v>38.26</v>
      </c>
    </row>
    <row r="296" spans="1:15">
      <c r="A296" s="39">
        <v>42572</v>
      </c>
      <c r="B296">
        <v>73.14</v>
      </c>
      <c r="C296">
        <f>VLOOKUP(A296,NYSEARCAVTI!A$2:G$506,4,0)</f>
        <v>110.52</v>
      </c>
      <c r="D296">
        <f>VLOOKUP(A296,NYSEARCAVEU!A$2:G$506,4,0)</f>
        <v>43.85</v>
      </c>
      <c r="E296">
        <f>VLOOKUP(A296,NYSEARCAVWO!A$2:G$506,4,0)</f>
        <v>36.54</v>
      </c>
      <c r="F296">
        <f>VLOOKUP(A296,NYSEARCABND!A$2:G$506,4,0)</f>
        <v>83.95</v>
      </c>
      <c r="G296">
        <f>VLOOKUP(A296,NYSEARCATIP!A$2:G$506,4,0)</f>
        <v>115.78</v>
      </c>
      <c r="H296">
        <f>VLOOKUP(A296,NYSEARCAMUB!A$2:G$506,4,0)</f>
        <v>113.16</v>
      </c>
      <c r="I296">
        <f>VLOOKUP(A296,NYSEARCAVNQ!A$2:G$506,4,0)</f>
        <v>90.2</v>
      </c>
      <c r="J296">
        <f>VLOOKUP(A296,NYSEARCARWX!A$2:G$506,4,0)</f>
        <v>41.96</v>
      </c>
      <c r="K296">
        <f>VLOOKUP(A296,NYSEARCADBC!A$2:G$506,4,0)</f>
        <v>14.59</v>
      </c>
      <c r="L296">
        <f>VLOOKUP(A296,NYSEARCAGSG!A$2:G$506,4,0)</f>
        <v>14.46</v>
      </c>
      <c r="M296">
        <f>VLOOKUP(A296,NYSEARCAGLD!A$2:G$506,4,0)</f>
        <v>125.6</v>
      </c>
      <c r="N296">
        <f>VLOOKUP(A296,NYSEBP!A$2:G$506,4,0)</f>
        <v>35.770000000000003</v>
      </c>
      <c r="O296">
        <f>VLOOKUP(A296,NASDAQYHOO!A$2:G$506,4,0)</f>
        <v>38.72</v>
      </c>
    </row>
    <row r="297" spans="1:15">
      <c r="A297" s="39">
        <v>42573</v>
      </c>
      <c r="B297">
        <v>73.42</v>
      </c>
      <c r="C297">
        <f>VLOOKUP(A297,NYSEARCAVTI!A$2:G$506,4,0)</f>
        <v>110.71</v>
      </c>
      <c r="D297">
        <f>VLOOKUP(A297,NYSEARCAVEU!A$2:G$506,4,0)</f>
        <v>43.88</v>
      </c>
      <c r="E297">
        <f>VLOOKUP(A297,NYSEARCAVWO!A$2:G$506,4,0)</f>
        <v>36.659999999999997</v>
      </c>
      <c r="F297">
        <f>VLOOKUP(A297,NYSEARCABND!A$2:G$506,4,0)</f>
        <v>84.09</v>
      </c>
      <c r="G297">
        <f>VLOOKUP(A297,NYSEARCATIP!A$2:G$506,4,0)</f>
        <v>115.66</v>
      </c>
      <c r="H297">
        <f>VLOOKUP(A297,NYSEARCAMUB!A$2:G$506,4,0)</f>
        <v>113.2</v>
      </c>
      <c r="I297">
        <f>VLOOKUP(A297,NYSEARCAVNQ!A$2:G$506,4,0)</f>
        <v>90.7</v>
      </c>
      <c r="J297">
        <f>VLOOKUP(A297,NYSEARCARWX!A$2:G$506,4,0)</f>
        <v>41.99</v>
      </c>
      <c r="K297">
        <f>VLOOKUP(A297,NYSEARCADBC!A$2:G$506,4,0)</f>
        <v>14.45</v>
      </c>
      <c r="L297">
        <f>VLOOKUP(A297,NYSEARCAGSG!A$2:G$506,4,0)</f>
        <v>14.31</v>
      </c>
      <c r="M297">
        <f>VLOOKUP(A297,NYSEARCAGLD!A$2:G$506,4,0)</f>
        <v>126.01</v>
      </c>
      <c r="N297">
        <f>VLOOKUP(A297,NYSEBP!A$2:G$506,4,0)</f>
        <v>35.659999999999997</v>
      </c>
      <c r="O297">
        <f>VLOOKUP(A297,NASDAQYHOO!A$2:G$506,4,0)</f>
        <v>38.78</v>
      </c>
    </row>
    <row r="298" spans="1:15">
      <c r="A298" s="39">
        <v>42576</v>
      </c>
      <c r="B298">
        <v>73.41</v>
      </c>
      <c r="C298">
        <f>VLOOKUP(A298,NYSEARCAVTI!A$2:G$506,4,0)</f>
        <v>110.69</v>
      </c>
      <c r="D298">
        <f>VLOOKUP(A298,NYSEARCAVEU!A$2:G$506,4,0)</f>
        <v>43.81</v>
      </c>
      <c r="E298">
        <f>VLOOKUP(A298,NYSEARCAVWO!A$2:G$506,4,0)</f>
        <v>36.53</v>
      </c>
      <c r="F298">
        <f>VLOOKUP(A298,NYSEARCABND!A$2:G$506,4,0)</f>
        <v>84.14</v>
      </c>
      <c r="G298">
        <f>VLOOKUP(A298,NYSEARCATIP!A$2:G$506,4,0)</f>
        <v>115.83</v>
      </c>
      <c r="H298">
        <f>VLOOKUP(A298,NYSEARCAMUB!A$2:G$506,4,0)</f>
        <v>113.24</v>
      </c>
      <c r="I298">
        <f>VLOOKUP(A298,NYSEARCAVNQ!A$2:G$506,4,0)</f>
        <v>91.3</v>
      </c>
      <c r="J298">
        <f>VLOOKUP(A298,NYSEARCARWX!A$2:G$506,4,0)</f>
        <v>42.06</v>
      </c>
      <c r="K298">
        <f>VLOOKUP(A298,NYSEARCADBC!A$2:G$506,4,0)</f>
        <v>14.38</v>
      </c>
      <c r="L298">
        <f>VLOOKUP(A298,NYSEARCAGSG!A$2:G$506,4,0)</f>
        <v>14.21</v>
      </c>
      <c r="M298">
        <f>VLOOKUP(A298,NYSEARCAGLD!A$2:G$506,4,0)</f>
        <v>125.11</v>
      </c>
      <c r="N298">
        <f>VLOOKUP(A298,NYSEBP!A$2:G$506,4,0)</f>
        <v>34.729999999999997</v>
      </c>
      <c r="O298">
        <f>VLOOKUP(A298,NASDAQYHOO!A$2:G$506,4,0)</f>
        <v>38.22</v>
      </c>
    </row>
    <row r="299" spans="1:15">
      <c r="A299" s="39">
        <v>42577</v>
      </c>
      <c r="B299">
        <v>73.41</v>
      </c>
      <c r="C299">
        <f>VLOOKUP(A299,NYSEARCAVTI!A$2:G$506,4,0)</f>
        <v>110.63</v>
      </c>
      <c r="D299">
        <f>VLOOKUP(A299,NYSEARCAVEU!A$2:G$506,4,0)</f>
        <v>43.92</v>
      </c>
      <c r="E299">
        <f>VLOOKUP(A299,NYSEARCAVWO!A$2:G$506,4,0)</f>
        <v>36.65</v>
      </c>
      <c r="F299">
        <f>VLOOKUP(A299,NYSEARCABND!A$2:G$506,4,0)</f>
        <v>84.11</v>
      </c>
      <c r="G299">
        <f>VLOOKUP(A299,NYSEARCATIP!A$2:G$506,4,0)</f>
        <v>115.73</v>
      </c>
      <c r="H299">
        <f>VLOOKUP(A299,NYSEARCAMUB!A$2:G$506,4,0)</f>
        <v>113.22</v>
      </c>
      <c r="I299">
        <f>VLOOKUP(A299,NYSEARCAVNQ!A$2:G$506,4,0)</f>
        <v>90.94</v>
      </c>
      <c r="J299">
        <f>VLOOKUP(A299,NYSEARCARWX!A$2:G$506,4,0)</f>
        <v>42.33</v>
      </c>
      <c r="K299">
        <f>VLOOKUP(A299,NYSEARCADBC!A$2:G$506,4,0)</f>
        <v>14.32</v>
      </c>
      <c r="L299">
        <f>VLOOKUP(A299,NYSEARCAGSG!A$2:G$506,4,0)</f>
        <v>14.14</v>
      </c>
      <c r="M299">
        <f>VLOOKUP(A299,NYSEARCAGLD!A$2:G$506,4,0)</f>
        <v>125.74</v>
      </c>
      <c r="N299">
        <f>VLOOKUP(A299,NYSEBP!A$2:G$506,4,0)</f>
        <v>34.07</v>
      </c>
      <c r="O299">
        <f>VLOOKUP(A299,NASDAQYHOO!A$2:G$506,4,0)</f>
        <v>37.9</v>
      </c>
    </row>
    <row r="300" spans="1:15">
      <c r="A300" s="39">
        <v>42578</v>
      </c>
      <c r="B300">
        <v>73.14</v>
      </c>
      <c r="C300">
        <f>VLOOKUP(A300,NYSEARCAVTI!A$2:G$506,4,0)</f>
        <v>110.56</v>
      </c>
      <c r="D300">
        <f>VLOOKUP(A300,NYSEARCAVEU!A$2:G$506,4,0)</f>
        <v>43.91</v>
      </c>
      <c r="E300">
        <f>VLOOKUP(A300,NYSEARCAVWO!A$2:G$506,4,0)</f>
        <v>36.520000000000003</v>
      </c>
      <c r="F300">
        <f>VLOOKUP(A300,NYSEARCABND!A$2:G$506,4,0)</f>
        <v>84.2</v>
      </c>
      <c r="G300">
        <f>VLOOKUP(A300,NYSEARCATIP!A$2:G$506,4,0)</f>
        <v>115.98</v>
      </c>
      <c r="H300">
        <f>VLOOKUP(A300,NYSEARCAMUB!A$2:G$506,4,0)</f>
        <v>113.34</v>
      </c>
      <c r="I300">
        <f>VLOOKUP(A300,NYSEARCAVNQ!A$2:G$506,4,0)</f>
        <v>89.7</v>
      </c>
      <c r="J300">
        <f>VLOOKUP(A300,NYSEARCARWX!A$2:G$506,4,0)</f>
        <v>42.06</v>
      </c>
      <c r="K300">
        <f>VLOOKUP(A300,NYSEARCADBC!A$2:G$506,4,0)</f>
        <v>14.15</v>
      </c>
      <c r="L300">
        <f>VLOOKUP(A300,NYSEARCAGSG!A$2:G$506,4,0)</f>
        <v>13.97</v>
      </c>
      <c r="M300">
        <f>VLOOKUP(A300,NYSEARCAGLD!A$2:G$506,4,0)</f>
        <v>126.04</v>
      </c>
      <c r="N300">
        <f>VLOOKUP(A300,NYSEBP!A$2:G$506,4,0)</f>
        <v>34.42</v>
      </c>
      <c r="O300">
        <f>VLOOKUP(A300,NASDAQYHOO!A$2:G$506,4,0)</f>
        <v>38.43</v>
      </c>
    </row>
    <row r="301" spans="1:15">
      <c r="A301" s="39">
        <v>42579</v>
      </c>
      <c r="B301">
        <v>72.47</v>
      </c>
      <c r="C301">
        <f>VLOOKUP(A301,NYSEARCAVTI!A$2:G$506,4,0)</f>
        <v>110.66</v>
      </c>
      <c r="D301">
        <f>VLOOKUP(A301,NYSEARCAVEU!A$2:G$506,4,0)</f>
        <v>44</v>
      </c>
      <c r="E301">
        <f>VLOOKUP(A301,NYSEARCAVWO!A$2:G$506,4,0)</f>
        <v>36.64</v>
      </c>
      <c r="F301">
        <f>VLOOKUP(A301,NYSEARCABND!A$2:G$506,4,0)</f>
        <v>84.27</v>
      </c>
      <c r="G301">
        <f>VLOOKUP(A301,NYSEARCATIP!A$2:G$506,4,0)</f>
        <v>116.27</v>
      </c>
      <c r="H301">
        <f>VLOOKUP(A301,NYSEARCAMUB!A$2:G$506,4,0)</f>
        <v>113.43</v>
      </c>
      <c r="I301">
        <f>VLOOKUP(A301,NYSEARCAVNQ!A$2:G$506,4,0)</f>
        <v>90.1</v>
      </c>
      <c r="J301">
        <f>VLOOKUP(A301,NYSEARCARWX!A$2:G$506,4,0)</f>
        <v>42.5</v>
      </c>
      <c r="K301">
        <f>VLOOKUP(A301,NYSEARCADBC!A$2:G$506,4,0)</f>
        <v>14.13</v>
      </c>
      <c r="L301">
        <f>VLOOKUP(A301,NYSEARCAGSG!A$2:G$506,4,0)</f>
        <v>13.86</v>
      </c>
      <c r="M301">
        <f>VLOOKUP(A301,NYSEARCAGLD!A$2:G$506,4,0)</f>
        <v>127.2</v>
      </c>
      <c r="N301">
        <f>VLOOKUP(A301,NYSEBP!A$2:G$506,4,0)</f>
        <v>33.909999999999997</v>
      </c>
      <c r="O301">
        <f>VLOOKUP(A301,NASDAQYHOO!A$2:G$506,4,0)</f>
        <v>38.229999999999997</v>
      </c>
    </row>
    <row r="302" spans="1:15">
      <c r="A302" s="39">
        <v>42580</v>
      </c>
      <c r="B302">
        <v>72.760000000000005</v>
      </c>
      <c r="C302">
        <f>VLOOKUP(A302,NYSEARCAVTI!A$2:G$506,4,0)</f>
        <v>110.82</v>
      </c>
      <c r="D302">
        <f>VLOOKUP(A302,NYSEARCAVEU!A$2:G$506,4,0)</f>
        <v>44.38</v>
      </c>
      <c r="E302">
        <f>VLOOKUP(A302,NYSEARCAVWO!A$2:G$506,4,0)</f>
        <v>36.700000000000003</v>
      </c>
      <c r="F302">
        <f>VLOOKUP(A302,NYSEARCABND!A$2:G$506,4,0)</f>
        <v>84.44</v>
      </c>
      <c r="G302">
        <f>VLOOKUP(A302,NYSEARCATIP!A$2:G$506,4,0)</f>
        <v>116.83</v>
      </c>
      <c r="H302">
        <f>VLOOKUP(A302,NYSEARCAMUB!A$2:G$506,4,0)</f>
        <v>113.53</v>
      </c>
      <c r="I302">
        <f>VLOOKUP(A302,NYSEARCAVNQ!A$2:G$506,4,0)</f>
        <v>91.2</v>
      </c>
      <c r="J302">
        <f>VLOOKUP(A302,NYSEARCARWX!A$2:G$506,4,0)</f>
        <v>42.64</v>
      </c>
      <c r="K302">
        <f>VLOOKUP(A302,NYSEARCADBC!A$2:G$506,4,0)</f>
        <v>14.1</v>
      </c>
      <c r="L302">
        <f>VLOOKUP(A302,NYSEARCAGSG!A$2:G$506,4,0)</f>
        <v>13.77</v>
      </c>
      <c r="M302">
        <f>VLOOKUP(A302,NYSEARCAGLD!A$2:G$506,4,0)</f>
        <v>127.88</v>
      </c>
      <c r="N302">
        <f>VLOOKUP(A302,NYSEBP!A$2:G$506,4,0)</f>
        <v>33.869999999999997</v>
      </c>
      <c r="O302">
        <f>VLOOKUP(A302,NASDAQYHOO!A$2:G$506,4,0)</f>
        <v>38.08</v>
      </c>
    </row>
    <row r="303" spans="1:15">
      <c r="A303" s="39">
        <v>42583</v>
      </c>
      <c r="B303">
        <v>72.81</v>
      </c>
      <c r="C303">
        <f>VLOOKUP(A303,NYSEARCAVTI!A$2:G$506,4,0)</f>
        <v>111</v>
      </c>
      <c r="D303">
        <f>VLOOKUP(A303,NYSEARCAVEU!A$2:G$506,4,0)</f>
        <v>44.38</v>
      </c>
      <c r="E303">
        <f>VLOOKUP(A303,NYSEARCAVWO!A$2:G$506,4,0)</f>
        <v>36.840000000000003</v>
      </c>
      <c r="F303">
        <f>VLOOKUP(A303,NYSEARCABND!A$2:G$506,4,0)</f>
        <v>84.2</v>
      </c>
      <c r="G303">
        <f>VLOOKUP(A303,NYSEARCATIP!A$2:G$506,4,0)</f>
        <v>115.73</v>
      </c>
      <c r="H303">
        <f>VLOOKUP(A303,NYSEARCAMUB!A$2:G$506,4,0)</f>
        <v>113.19</v>
      </c>
      <c r="I303">
        <f>VLOOKUP(A303,NYSEARCAVNQ!A$2:G$506,4,0)</f>
        <v>92.26</v>
      </c>
      <c r="J303">
        <f>VLOOKUP(A303,NYSEARCARWX!A$2:G$506,4,0)</f>
        <v>42.63</v>
      </c>
      <c r="K303">
        <f>VLOOKUP(A303,NYSEARCADBC!A$2:G$506,4,0)</f>
        <v>14</v>
      </c>
      <c r="L303">
        <f>VLOOKUP(A303,NYSEARCAGSG!A$2:G$506,4,0)</f>
        <v>13.64</v>
      </c>
      <c r="M303">
        <f>VLOOKUP(A303,NYSEARCAGLD!A$2:G$506,4,0)</f>
        <v>128.56</v>
      </c>
      <c r="N303">
        <f>VLOOKUP(A303,NYSEBP!A$2:G$506,4,0)</f>
        <v>33.1</v>
      </c>
      <c r="O303">
        <f>VLOOKUP(A303,NASDAQYHOO!A$2:G$506,4,0)</f>
        <v>38.1</v>
      </c>
    </row>
    <row r="304" spans="1:15">
      <c r="A304" s="39">
        <v>42584</v>
      </c>
      <c r="B304">
        <v>72.63</v>
      </c>
      <c r="C304">
        <f>VLOOKUP(A304,NYSEARCAVTI!A$2:G$506,4,0)</f>
        <v>109.95</v>
      </c>
      <c r="D304">
        <f>VLOOKUP(A304,NYSEARCAVEU!A$2:G$506,4,0)</f>
        <v>44.02</v>
      </c>
      <c r="E304">
        <f>VLOOKUP(A304,NYSEARCAVWO!A$2:G$506,4,0)</f>
        <v>36.42</v>
      </c>
      <c r="F304">
        <f>VLOOKUP(A304,NYSEARCABND!A$2:G$506,4,0)</f>
        <v>84.05</v>
      </c>
      <c r="G304">
        <f>VLOOKUP(A304,NYSEARCATIP!A$2:G$506,4,0)</f>
        <v>115.18</v>
      </c>
      <c r="H304">
        <f>VLOOKUP(A304,NYSEARCAMUB!A$2:G$506,4,0)</f>
        <v>113.12</v>
      </c>
      <c r="I304">
        <f>VLOOKUP(A304,NYSEARCAVNQ!A$2:G$506,4,0)</f>
        <v>91</v>
      </c>
      <c r="J304">
        <f>VLOOKUP(A304,NYSEARCARWX!A$2:G$506,4,0)</f>
        <v>42.47</v>
      </c>
      <c r="K304">
        <f>VLOOKUP(A304,NYSEARCADBC!A$2:G$506,4,0)</f>
        <v>13.96</v>
      </c>
      <c r="L304">
        <f>VLOOKUP(A304,NYSEARCAGSG!A$2:G$506,4,0)</f>
        <v>13.56</v>
      </c>
      <c r="M304">
        <f>VLOOKUP(A304,NYSEARCAGLD!A$2:G$506,4,0)</f>
        <v>129.94</v>
      </c>
      <c r="N304">
        <f>VLOOKUP(A304,NYSEBP!A$2:G$506,4,0)</f>
        <v>33.14</v>
      </c>
      <c r="O304">
        <f>VLOOKUP(A304,NASDAQYHOO!A$2:G$506,4,0)</f>
        <v>38.26</v>
      </c>
    </row>
    <row r="305" spans="1:15">
      <c r="A305" s="39">
        <v>42585</v>
      </c>
      <c r="B305">
        <v>72.510000000000005</v>
      </c>
      <c r="C305">
        <f>VLOOKUP(A305,NYSEARCAVTI!A$2:G$506,4,0)</f>
        <v>110.21</v>
      </c>
      <c r="D305">
        <f>VLOOKUP(A305,NYSEARCAVEU!A$2:G$506,4,0)</f>
        <v>43.82</v>
      </c>
      <c r="E305">
        <f>VLOOKUP(A305,NYSEARCAVWO!A$2:G$506,4,0)</f>
        <v>36.409999999999997</v>
      </c>
      <c r="F305">
        <f>VLOOKUP(A305,NYSEARCABND!A$2:G$506,4,0)</f>
        <v>83.98</v>
      </c>
      <c r="G305">
        <f>VLOOKUP(A305,NYSEARCATIP!A$2:G$506,4,0)</f>
        <v>115.11</v>
      </c>
      <c r="H305">
        <f>VLOOKUP(A305,NYSEARCAMUB!A$2:G$506,4,0)</f>
        <v>113.07</v>
      </c>
      <c r="I305">
        <f>VLOOKUP(A305,NYSEARCAVNQ!A$2:G$506,4,0)</f>
        <v>90.15</v>
      </c>
      <c r="J305">
        <f>VLOOKUP(A305,NYSEARCARWX!A$2:G$506,4,0)</f>
        <v>42.08</v>
      </c>
      <c r="K305">
        <f>VLOOKUP(A305,NYSEARCADBC!A$2:G$506,4,0)</f>
        <v>13.98</v>
      </c>
      <c r="L305">
        <f>VLOOKUP(A305,NYSEARCAGSG!A$2:G$506,4,0)</f>
        <v>13.65</v>
      </c>
      <c r="M305">
        <f>VLOOKUP(A305,NYSEARCAGLD!A$2:G$506,4,0)</f>
        <v>129.27000000000001</v>
      </c>
      <c r="N305">
        <f>VLOOKUP(A305,NYSEBP!A$2:G$506,4,0)</f>
        <v>32.5</v>
      </c>
      <c r="O305">
        <f>VLOOKUP(A305,NASDAQYHOO!A$2:G$506,4,0)</f>
        <v>38.28</v>
      </c>
    </row>
    <row r="306" spans="1:15">
      <c r="A306" s="39">
        <v>42586</v>
      </c>
      <c r="B306">
        <v>72.59</v>
      </c>
      <c r="C306">
        <f>VLOOKUP(A306,NYSEARCAVTI!A$2:G$506,4,0)</f>
        <v>110.69</v>
      </c>
      <c r="D306">
        <f>VLOOKUP(A306,NYSEARCAVEU!A$2:G$506,4,0)</f>
        <v>44.16</v>
      </c>
      <c r="E306">
        <f>VLOOKUP(A306,NYSEARCAVWO!A$2:G$506,4,0)</f>
        <v>36.909999999999997</v>
      </c>
      <c r="F306">
        <f>VLOOKUP(A306,NYSEARCABND!A$2:G$506,4,0)</f>
        <v>84.24</v>
      </c>
      <c r="G306">
        <f>VLOOKUP(A306,NYSEARCATIP!A$2:G$506,4,0)</f>
        <v>115.93</v>
      </c>
      <c r="H306">
        <f>VLOOKUP(A306,NYSEARCAMUB!A$2:G$506,4,0)</f>
        <v>113.26</v>
      </c>
      <c r="I306">
        <f>VLOOKUP(A306,NYSEARCAVNQ!A$2:G$506,4,0)</f>
        <v>90.11</v>
      </c>
      <c r="J306">
        <f>VLOOKUP(A306,NYSEARCARWX!A$2:G$506,4,0)</f>
        <v>42.43</v>
      </c>
      <c r="K306">
        <f>VLOOKUP(A306,NYSEARCADBC!A$2:G$506,4,0)</f>
        <v>14.09</v>
      </c>
      <c r="L306">
        <f>VLOOKUP(A306,NYSEARCAGSG!A$2:G$506,4,0)</f>
        <v>13.79</v>
      </c>
      <c r="M306">
        <f>VLOOKUP(A306,NYSEARCAGLD!A$2:G$506,4,0)</f>
        <v>129.82</v>
      </c>
      <c r="N306">
        <f>VLOOKUP(A306,NYSEBP!A$2:G$506,4,0)</f>
        <v>32.93</v>
      </c>
      <c r="O306">
        <f>VLOOKUP(A306,NASDAQYHOO!A$2:G$506,4,0)</f>
        <v>38.43</v>
      </c>
    </row>
    <row r="307" spans="1:15">
      <c r="A307" s="39">
        <v>42587</v>
      </c>
      <c r="B307">
        <v>73.459999999999994</v>
      </c>
      <c r="C307">
        <f>VLOOKUP(A307,NYSEARCAVTI!A$2:G$506,4,0)</f>
        <v>111.32</v>
      </c>
      <c r="D307">
        <f>VLOOKUP(A307,NYSEARCAVEU!A$2:G$506,4,0)</f>
        <v>44.39</v>
      </c>
      <c r="E307">
        <f>VLOOKUP(A307,NYSEARCAVWO!A$2:G$506,4,0)</f>
        <v>37.24</v>
      </c>
      <c r="F307">
        <f>VLOOKUP(A307,NYSEARCABND!A$2:G$506,4,0)</f>
        <v>83.98</v>
      </c>
      <c r="G307">
        <f>VLOOKUP(A307,NYSEARCATIP!A$2:G$506,4,0)</f>
        <v>115.64</v>
      </c>
      <c r="H307">
        <f>VLOOKUP(A307,NYSEARCAMUB!A$2:G$506,4,0)</f>
        <v>113.09</v>
      </c>
      <c r="I307">
        <f>VLOOKUP(A307,NYSEARCAVNQ!A$2:G$506,4,0)</f>
        <v>90.01</v>
      </c>
      <c r="J307">
        <f>VLOOKUP(A307,NYSEARCARWX!A$2:G$506,4,0)</f>
        <v>42.56</v>
      </c>
      <c r="K307">
        <f>VLOOKUP(A307,NYSEARCADBC!A$2:G$506,4,0)</f>
        <v>14.23</v>
      </c>
      <c r="L307">
        <f>VLOOKUP(A307,NYSEARCAGSG!A$2:G$506,4,0)</f>
        <v>13.97</v>
      </c>
      <c r="M307">
        <f>VLOOKUP(A307,NYSEARCAGLD!A$2:G$506,4,0)</f>
        <v>127.39</v>
      </c>
      <c r="N307">
        <f>VLOOKUP(A307,NYSEBP!A$2:G$506,4,0)</f>
        <v>32.96</v>
      </c>
      <c r="O307">
        <f>VLOOKUP(A307,NASDAQYHOO!A$2:G$506,4,0)</f>
        <v>38.9</v>
      </c>
    </row>
    <row r="308" spans="1:15">
      <c r="A308" s="39">
        <v>42590</v>
      </c>
      <c r="B308">
        <v>73.040000000000006</v>
      </c>
      <c r="C308">
        <f>VLOOKUP(A308,NYSEARCAVTI!A$2:G$506,4,0)</f>
        <v>111.69</v>
      </c>
      <c r="D308">
        <f>VLOOKUP(A308,NYSEARCAVEU!A$2:G$506,4,0)</f>
        <v>44.69</v>
      </c>
      <c r="E308">
        <f>VLOOKUP(A308,NYSEARCAVWO!A$2:G$506,4,0)</f>
        <v>37.67</v>
      </c>
      <c r="F308">
        <f>VLOOKUP(A308,NYSEARCABND!A$2:G$506,4,0)</f>
        <v>83.88</v>
      </c>
      <c r="G308">
        <f>VLOOKUP(A308,NYSEARCATIP!A$2:G$506,4,0)</f>
        <v>115.63</v>
      </c>
      <c r="H308">
        <f>VLOOKUP(A308,NYSEARCAMUB!A$2:G$506,4,0)</f>
        <v>113.13</v>
      </c>
      <c r="I308">
        <f>VLOOKUP(A308,NYSEARCAVNQ!A$2:G$506,4,0)</f>
        <v>90.11</v>
      </c>
      <c r="J308">
        <f>VLOOKUP(A308,NYSEARCARWX!A$2:G$506,4,0)</f>
        <v>42.61</v>
      </c>
      <c r="K308">
        <f>VLOOKUP(A308,NYSEARCADBC!A$2:G$506,4,0)</f>
        <v>14.43</v>
      </c>
      <c r="L308">
        <f>VLOOKUP(A308,NYSEARCAGSG!A$2:G$506,4,0)</f>
        <v>14.21</v>
      </c>
      <c r="M308">
        <f>VLOOKUP(A308,NYSEARCAGLD!A$2:G$506,4,0)</f>
        <v>127.27</v>
      </c>
      <c r="N308">
        <f>VLOOKUP(A308,NYSEBP!A$2:G$506,4,0)</f>
        <v>33.08</v>
      </c>
      <c r="O308">
        <f>VLOOKUP(A308,NASDAQYHOO!A$2:G$506,4,0)</f>
        <v>38.86</v>
      </c>
    </row>
    <row r="309" spans="1:15">
      <c r="A309" s="39">
        <v>42591</v>
      </c>
      <c r="B309">
        <v>73.08</v>
      </c>
      <c r="C309">
        <f>VLOOKUP(A309,NYSEARCAVTI!A$2:G$506,4,0)</f>
        <v>111.75</v>
      </c>
      <c r="D309">
        <f>VLOOKUP(A309,NYSEARCAVEU!A$2:G$506,4,0)</f>
        <v>44.95</v>
      </c>
      <c r="E309">
        <f>VLOOKUP(A309,NYSEARCAVWO!A$2:G$506,4,0)</f>
        <v>37.85</v>
      </c>
      <c r="F309">
        <f>VLOOKUP(A309,NYSEARCABND!A$2:G$506,4,0)</f>
        <v>84.05</v>
      </c>
      <c r="G309">
        <f>VLOOKUP(A309,NYSEARCATIP!A$2:G$506,4,0)</f>
        <v>115.72</v>
      </c>
      <c r="H309">
        <f>VLOOKUP(A309,NYSEARCAMUB!A$2:G$506,4,0)</f>
        <v>113.22</v>
      </c>
      <c r="I309">
        <f>VLOOKUP(A309,NYSEARCAVNQ!A$2:G$506,4,0)</f>
        <v>89.94</v>
      </c>
      <c r="J309">
        <f>VLOOKUP(A309,NYSEARCARWX!A$2:G$506,4,0)</f>
        <v>42.55</v>
      </c>
      <c r="K309">
        <f>VLOOKUP(A309,NYSEARCADBC!A$2:G$506,4,0)</f>
        <v>14.38</v>
      </c>
      <c r="L309">
        <f>VLOOKUP(A309,NYSEARCAGSG!A$2:G$506,4,0)</f>
        <v>14.15</v>
      </c>
      <c r="M309">
        <f>VLOOKUP(A309,NYSEARCAGLD!A$2:G$506,4,0)</f>
        <v>127.75</v>
      </c>
      <c r="N309">
        <f>VLOOKUP(A309,NYSEBP!A$2:G$506,4,0)</f>
        <v>33.25</v>
      </c>
      <c r="O309">
        <f>VLOOKUP(A309,NASDAQYHOO!A$2:G$506,4,0)</f>
        <v>39.1</v>
      </c>
    </row>
    <row r="310" spans="1:15">
      <c r="A310" s="39">
        <v>42592</v>
      </c>
      <c r="B310">
        <v>73.39</v>
      </c>
      <c r="C310">
        <f>VLOOKUP(A310,NYSEARCAVTI!A$2:G$506,4,0)</f>
        <v>111.42</v>
      </c>
      <c r="D310">
        <f>VLOOKUP(A310,NYSEARCAVEU!A$2:G$506,4,0)</f>
        <v>45.2</v>
      </c>
      <c r="E310">
        <f>VLOOKUP(A310,NYSEARCAVWO!A$2:G$506,4,0)</f>
        <v>37.81</v>
      </c>
      <c r="F310">
        <f>VLOOKUP(A310,NYSEARCABND!A$2:G$506,4,0)</f>
        <v>84.25</v>
      </c>
      <c r="G310">
        <f>VLOOKUP(A310,NYSEARCATIP!A$2:G$506,4,0)</f>
        <v>116.04</v>
      </c>
      <c r="H310">
        <f>VLOOKUP(A310,NYSEARCAMUB!A$2:G$506,4,0)</f>
        <v>113.28</v>
      </c>
      <c r="I310">
        <f>VLOOKUP(A310,NYSEARCAVNQ!A$2:G$506,4,0)</f>
        <v>90.59</v>
      </c>
      <c r="J310">
        <f>VLOOKUP(A310,NYSEARCARWX!A$2:G$506,4,0)</f>
        <v>42.86</v>
      </c>
      <c r="K310">
        <f>VLOOKUP(A310,NYSEARCADBC!A$2:G$506,4,0)</f>
        <v>14.23</v>
      </c>
      <c r="L310">
        <f>VLOOKUP(A310,NYSEARCAGSG!A$2:G$506,4,0)</f>
        <v>13.96</v>
      </c>
      <c r="M310">
        <f>VLOOKUP(A310,NYSEARCAGLD!A$2:G$506,4,0)</f>
        <v>128.15</v>
      </c>
      <c r="N310">
        <f>VLOOKUP(A310,NYSEBP!A$2:G$506,4,0)</f>
        <v>32.97</v>
      </c>
      <c r="O310">
        <f>VLOOKUP(A310,NASDAQYHOO!A$2:G$506,4,0)</f>
        <v>39.299999999999997</v>
      </c>
    </row>
    <row r="311" spans="1:15">
      <c r="A311" s="39">
        <v>42593</v>
      </c>
      <c r="B311">
        <v>73.53</v>
      </c>
      <c r="C311">
        <f>VLOOKUP(A311,NYSEARCAVTI!A$2:G$506,4,0)</f>
        <v>111.73</v>
      </c>
      <c r="D311">
        <f>VLOOKUP(A311,NYSEARCAVEU!A$2:G$506,4,0)</f>
        <v>45.42</v>
      </c>
      <c r="E311">
        <f>VLOOKUP(A311,NYSEARCAVWO!A$2:G$506,4,0)</f>
        <v>37.99</v>
      </c>
      <c r="F311">
        <f>VLOOKUP(A311,NYSEARCABND!A$2:G$506,4,0)</f>
        <v>84.08</v>
      </c>
      <c r="G311">
        <f>VLOOKUP(A311,NYSEARCATIP!A$2:G$506,4,0)</f>
        <v>115.71</v>
      </c>
      <c r="H311">
        <f>VLOOKUP(A311,NYSEARCAMUB!A$2:G$506,4,0)</f>
        <v>113.17</v>
      </c>
      <c r="I311">
        <f>VLOOKUP(A311,NYSEARCAVNQ!A$2:G$506,4,0)</f>
        <v>89.37</v>
      </c>
      <c r="J311">
        <f>VLOOKUP(A311,NYSEARCARWX!A$2:G$506,4,0)</f>
        <v>42.83</v>
      </c>
      <c r="K311">
        <f>VLOOKUP(A311,NYSEARCADBC!A$2:G$506,4,0)</f>
        <v>14.29</v>
      </c>
      <c r="L311">
        <f>VLOOKUP(A311,NYSEARCAGSG!A$2:G$506,4,0)</f>
        <v>14.04</v>
      </c>
      <c r="M311">
        <f>VLOOKUP(A311,NYSEARCAGLD!A$2:G$506,4,0)</f>
        <v>127.48</v>
      </c>
      <c r="N311">
        <f>VLOOKUP(A311,NYSEBP!A$2:G$506,4,0)</f>
        <v>33.119999999999997</v>
      </c>
      <c r="O311">
        <f>VLOOKUP(A311,NASDAQYHOO!A$2:G$506,4,0)</f>
        <v>40.93</v>
      </c>
    </row>
    <row r="312" spans="1:15">
      <c r="A312" s="39">
        <v>42594</v>
      </c>
      <c r="B312">
        <v>73.56</v>
      </c>
      <c r="C312">
        <f>VLOOKUP(A312,NYSEARCAVTI!A$2:G$506,4,0)</f>
        <v>111.76</v>
      </c>
      <c r="D312">
        <f>VLOOKUP(A312,NYSEARCAVEU!A$2:G$506,4,0)</f>
        <v>45.44</v>
      </c>
      <c r="E312">
        <f>VLOOKUP(A312,NYSEARCAVWO!A$2:G$506,4,0)</f>
        <v>38.049999999999997</v>
      </c>
      <c r="F312">
        <f>VLOOKUP(A312,NYSEARCABND!A$2:G$506,4,0)</f>
        <v>84.31</v>
      </c>
      <c r="G312">
        <f>VLOOKUP(A312,NYSEARCATIP!A$2:G$506,4,0)</f>
        <v>116.08</v>
      </c>
      <c r="H312">
        <f>VLOOKUP(A312,NYSEARCAMUB!A$2:G$506,4,0)</f>
        <v>113.39</v>
      </c>
      <c r="I312">
        <f>VLOOKUP(A312,NYSEARCAVNQ!A$2:G$506,4,0)</f>
        <v>89.78</v>
      </c>
      <c r="J312">
        <f>VLOOKUP(A312,NYSEARCARWX!A$2:G$506,4,0)</f>
        <v>42.71</v>
      </c>
      <c r="K312">
        <f>VLOOKUP(A312,NYSEARCADBC!A$2:G$506,4,0)</f>
        <v>14.46</v>
      </c>
      <c r="L312">
        <f>VLOOKUP(A312,NYSEARCAGSG!A$2:G$506,4,0)</f>
        <v>14.32</v>
      </c>
      <c r="M312">
        <f>VLOOKUP(A312,NYSEARCAGLD!A$2:G$506,4,0)</f>
        <v>127.2</v>
      </c>
      <c r="N312">
        <f>VLOOKUP(A312,NYSEBP!A$2:G$506,4,0)</f>
        <v>33.6</v>
      </c>
      <c r="O312">
        <f>VLOOKUP(A312,NASDAQYHOO!A$2:G$506,4,0)</f>
        <v>41.28</v>
      </c>
    </row>
    <row r="313" spans="1:15">
      <c r="A313" s="39">
        <v>42597</v>
      </c>
      <c r="B313">
        <v>73.11</v>
      </c>
      <c r="C313">
        <f>VLOOKUP(A313,NYSEARCAVTI!A$2:G$506,4,0)</f>
        <v>112.07</v>
      </c>
      <c r="D313">
        <f>VLOOKUP(A313,NYSEARCAVEU!A$2:G$506,4,0)</f>
        <v>45.65</v>
      </c>
      <c r="E313">
        <f>VLOOKUP(A313,NYSEARCAVWO!A$2:G$506,4,0)</f>
        <v>38.409999999999997</v>
      </c>
      <c r="F313">
        <f>VLOOKUP(A313,NYSEARCABND!A$2:G$506,4,0)</f>
        <v>84.18</v>
      </c>
      <c r="G313">
        <f>VLOOKUP(A313,NYSEARCATIP!A$2:G$506,4,0)</f>
        <v>115.79</v>
      </c>
      <c r="H313">
        <f>VLOOKUP(A313,NYSEARCAMUB!A$2:G$506,4,0)</f>
        <v>113.33</v>
      </c>
      <c r="I313">
        <f>VLOOKUP(A313,NYSEARCAVNQ!A$2:G$506,4,0)</f>
        <v>90.1</v>
      </c>
      <c r="J313">
        <f>VLOOKUP(A313,NYSEARCARWX!A$2:G$506,4,0)</f>
        <v>42.95</v>
      </c>
      <c r="K313">
        <f>VLOOKUP(A313,NYSEARCADBC!A$2:G$506,4,0)</f>
        <v>14.64</v>
      </c>
      <c r="L313">
        <f>VLOOKUP(A313,NYSEARCAGSG!A$2:G$506,4,0)</f>
        <v>14.59</v>
      </c>
      <c r="M313">
        <f>VLOOKUP(A313,NYSEARCAGLD!A$2:G$506,4,0)</f>
        <v>127.6</v>
      </c>
      <c r="N313">
        <f>VLOOKUP(A313,NYSEBP!A$2:G$506,4,0)</f>
        <v>33.79</v>
      </c>
      <c r="O313">
        <f>VLOOKUP(A313,NASDAQYHOO!A$2:G$506,4,0)</f>
        <v>42.43</v>
      </c>
    </row>
    <row r="314" spans="1:15">
      <c r="A314" s="39">
        <v>42598</v>
      </c>
      <c r="B314">
        <v>72.209999999999994</v>
      </c>
      <c r="C314">
        <f>VLOOKUP(A314,NYSEARCAVTI!A$2:G$506,4,0)</f>
        <v>111.81</v>
      </c>
      <c r="D314">
        <f>VLOOKUP(A314,NYSEARCAVEU!A$2:G$506,4,0)</f>
        <v>45.58</v>
      </c>
      <c r="E314">
        <f>VLOOKUP(A314,NYSEARCAVWO!A$2:G$506,4,0)</f>
        <v>38.299999999999997</v>
      </c>
      <c r="F314">
        <f>VLOOKUP(A314,NYSEARCABND!A$2:G$506,4,0)</f>
        <v>84.11</v>
      </c>
      <c r="G314">
        <f>VLOOKUP(A314,NYSEARCATIP!A$2:G$506,4,0)</f>
        <v>115.46</v>
      </c>
      <c r="H314">
        <f>VLOOKUP(A314,NYSEARCAMUB!A$2:G$506,4,0)</f>
        <v>113.34</v>
      </c>
      <c r="I314">
        <f>VLOOKUP(A314,NYSEARCAVNQ!A$2:G$506,4,0)</f>
        <v>88.94</v>
      </c>
      <c r="J314">
        <f>VLOOKUP(A314,NYSEARCARWX!A$2:G$506,4,0)</f>
        <v>42.78</v>
      </c>
      <c r="K314">
        <f>VLOOKUP(A314,NYSEARCADBC!A$2:G$506,4,0)</f>
        <v>14.76</v>
      </c>
      <c r="L314">
        <f>VLOOKUP(A314,NYSEARCAGSG!A$2:G$506,4,0)</f>
        <v>14.68</v>
      </c>
      <c r="M314">
        <f>VLOOKUP(A314,NYSEARCAGLD!A$2:G$506,4,0)</f>
        <v>128</v>
      </c>
      <c r="N314">
        <f>VLOOKUP(A314,NYSEBP!A$2:G$506,4,0)</f>
        <v>33.97</v>
      </c>
      <c r="O314">
        <f>VLOOKUP(A314,NASDAQYHOO!A$2:G$506,4,0)</f>
        <v>41.95</v>
      </c>
    </row>
    <row r="315" spans="1:15">
      <c r="A315" s="39">
        <v>42599</v>
      </c>
      <c r="B315">
        <v>71.989999999999995</v>
      </c>
      <c r="C315">
        <f>VLOOKUP(A315,NYSEARCAVTI!A$2:G$506,4,0)</f>
        <v>111.27</v>
      </c>
      <c r="D315">
        <f>VLOOKUP(A315,NYSEARCAVEU!A$2:G$506,4,0)</f>
        <v>45.28</v>
      </c>
      <c r="E315">
        <f>VLOOKUP(A315,NYSEARCAVWO!A$2:G$506,4,0)</f>
        <v>37.86</v>
      </c>
      <c r="F315">
        <f>VLOOKUP(A315,NYSEARCABND!A$2:G$506,4,0)</f>
        <v>84.15</v>
      </c>
      <c r="G315">
        <f>VLOOKUP(A315,NYSEARCATIP!A$2:G$506,4,0)</f>
        <v>115.62</v>
      </c>
      <c r="H315">
        <f>VLOOKUP(A315,NYSEARCAMUB!A$2:G$506,4,0)</f>
        <v>113.41</v>
      </c>
      <c r="I315">
        <f>VLOOKUP(A315,NYSEARCAVNQ!A$2:G$506,4,0)</f>
        <v>88.37</v>
      </c>
      <c r="J315">
        <f>VLOOKUP(A315,NYSEARCARWX!A$2:G$506,4,0)</f>
        <v>42.56</v>
      </c>
      <c r="K315">
        <f>VLOOKUP(A315,NYSEARCADBC!A$2:G$506,4,0)</f>
        <v>14.82</v>
      </c>
      <c r="L315">
        <f>VLOOKUP(A315,NYSEARCAGSG!A$2:G$506,4,0)</f>
        <v>14.75</v>
      </c>
      <c r="M315">
        <f>VLOOKUP(A315,NYSEARCAGLD!A$2:G$506,4,0)</f>
        <v>127.46</v>
      </c>
      <c r="N315">
        <f>VLOOKUP(A315,NYSEBP!A$2:G$506,4,0)</f>
        <v>33.799999999999997</v>
      </c>
      <c r="O315">
        <f>VLOOKUP(A315,NASDAQYHOO!A$2:G$506,4,0)</f>
        <v>42.39</v>
      </c>
    </row>
    <row r="316" spans="1:15">
      <c r="A316" s="39">
        <v>42600</v>
      </c>
      <c r="B316">
        <v>73.87</v>
      </c>
      <c r="C316">
        <f>VLOOKUP(A316,NYSEARCAVTI!A$2:G$506,4,0)</f>
        <v>111.71</v>
      </c>
      <c r="D316">
        <f>VLOOKUP(A316,NYSEARCAVEU!A$2:G$506,4,0)</f>
        <v>45.59</v>
      </c>
      <c r="E316">
        <f>VLOOKUP(A316,NYSEARCAVWO!A$2:G$506,4,0)</f>
        <v>38.369999999999997</v>
      </c>
      <c r="F316">
        <f>VLOOKUP(A316,NYSEARCABND!A$2:G$506,4,0)</f>
        <v>84.24</v>
      </c>
      <c r="G316">
        <f>VLOOKUP(A316,NYSEARCATIP!A$2:G$506,4,0)</f>
        <v>116.03</v>
      </c>
      <c r="H316">
        <f>VLOOKUP(A316,NYSEARCAMUB!A$2:G$506,4,0)</f>
        <v>113.49</v>
      </c>
      <c r="I316">
        <f>VLOOKUP(A316,NYSEARCAVNQ!A$2:G$506,4,0)</f>
        <v>88.67</v>
      </c>
      <c r="J316">
        <f>VLOOKUP(A316,NYSEARCARWX!A$2:G$506,4,0)</f>
        <v>42.81</v>
      </c>
      <c r="K316">
        <f>VLOOKUP(A316,NYSEARCADBC!A$2:G$506,4,0)</f>
        <v>15.04</v>
      </c>
      <c r="L316">
        <f>VLOOKUP(A316,NYSEARCAGSG!A$2:G$506,4,0)</f>
        <v>15.04</v>
      </c>
      <c r="M316">
        <f>VLOOKUP(A316,NYSEARCAGLD!A$2:G$506,4,0)</f>
        <v>128.58000000000001</v>
      </c>
      <c r="N316">
        <f>VLOOKUP(A316,NYSEBP!A$2:G$506,4,0)</f>
        <v>34.22</v>
      </c>
      <c r="O316">
        <f>VLOOKUP(A316,NASDAQYHOO!A$2:G$506,4,0)</f>
        <v>42.58</v>
      </c>
    </row>
    <row r="317" spans="1:15">
      <c r="A317" s="39">
        <v>42601</v>
      </c>
      <c r="B317">
        <v>72.67</v>
      </c>
      <c r="C317">
        <f>VLOOKUP(A317,NYSEARCAVTI!A$2:G$506,4,0)</f>
        <v>111.72</v>
      </c>
      <c r="D317">
        <f>VLOOKUP(A317,NYSEARCAVEU!A$2:G$506,4,0)</f>
        <v>45.26</v>
      </c>
      <c r="E317">
        <f>VLOOKUP(A317,NYSEARCAVWO!A$2:G$506,4,0)</f>
        <v>37.979999999999997</v>
      </c>
      <c r="F317">
        <f>VLOOKUP(A317,NYSEARCABND!A$2:G$506,4,0)</f>
        <v>84.08</v>
      </c>
      <c r="G317">
        <f>VLOOKUP(A317,NYSEARCATIP!A$2:G$506,4,0)</f>
        <v>115.76</v>
      </c>
      <c r="H317">
        <f>VLOOKUP(A317,NYSEARCAMUB!A$2:G$506,4,0)</f>
        <v>113.47</v>
      </c>
      <c r="I317">
        <f>VLOOKUP(A317,NYSEARCAVNQ!A$2:G$506,4,0)</f>
        <v>88.26</v>
      </c>
      <c r="J317">
        <f>VLOOKUP(A317,NYSEARCARWX!A$2:G$506,4,0)</f>
        <v>42.47</v>
      </c>
      <c r="K317">
        <f>VLOOKUP(A317,NYSEARCADBC!A$2:G$506,4,0)</f>
        <v>15.04</v>
      </c>
      <c r="L317">
        <f>VLOOKUP(A317,NYSEARCAGSG!A$2:G$506,4,0)</f>
        <v>15.06</v>
      </c>
      <c r="M317">
        <f>VLOOKUP(A317,NYSEARCAGLD!A$2:G$506,4,0)</f>
        <v>127.86</v>
      </c>
      <c r="N317">
        <f>VLOOKUP(A317,NYSEBP!A$2:G$506,4,0)</f>
        <v>34.159999999999997</v>
      </c>
      <c r="O317">
        <f>VLOOKUP(A317,NASDAQYHOO!A$2:G$506,4,0)</f>
        <v>42.64</v>
      </c>
    </row>
    <row r="318" spans="1:15">
      <c r="A318" s="39">
        <v>42604</v>
      </c>
      <c r="B318">
        <v>72.45</v>
      </c>
      <c r="C318">
        <f>VLOOKUP(A318,NYSEARCAVTI!A$2:G$506,4,0)</f>
        <v>111.77</v>
      </c>
      <c r="D318">
        <f>VLOOKUP(A318,NYSEARCAVEU!A$2:G$506,4,0)</f>
        <v>45.25</v>
      </c>
      <c r="E318">
        <f>VLOOKUP(A318,NYSEARCAVWO!A$2:G$506,4,0)</f>
        <v>37.75</v>
      </c>
      <c r="F318">
        <f>VLOOKUP(A318,NYSEARCABND!A$2:G$506,4,0)</f>
        <v>84.23</v>
      </c>
      <c r="G318">
        <f>VLOOKUP(A318,NYSEARCATIP!A$2:G$506,4,0)</f>
        <v>116.05</v>
      </c>
      <c r="H318">
        <f>VLOOKUP(A318,NYSEARCAMUB!A$2:G$506,4,0)</f>
        <v>113.61</v>
      </c>
      <c r="I318">
        <f>VLOOKUP(A318,NYSEARCAVNQ!A$2:G$506,4,0)</f>
        <v>88.54</v>
      </c>
      <c r="J318">
        <f>VLOOKUP(A318,NYSEARCARWX!A$2:G$506,4,0)</f>
        <v>42.41</v>
      </c>
      <c r="K318">
        <f>VLOOKUP(A318,NYSEARCADBC!A$2:G$506,4,0)</f>
        <v>14.94</v>
      </c>
      <c r="L318">
        <f>VLOOKUP(A318,NYSEARCAGSG!A$2:G$506,4,0)</f>
        <v>14.89</v>
      </c>
      <c r="M318">
        <f>VLOOKUP(A318,NYSEARCAGLD!A$2:G$506,4,0)</f>
        <v>127.45</v>
      </c>
      <c r="N318">
        <f>VLOOKUP(A318,NYSEBP!A$2:G$506,4,0)</f>
        <v>33.700000000000003</v>
      </c>
      <c r="O318">
        <f>VLOOKUP(A318,NASDAQYHOO!A$2:G$506,4,0)</f>
        <v>42.33</v>
      </c>
    </row>
    <row r="319" spans="1:15">
      <c r="A319" s="39">
        <v>42605</v>
      </c>
      <c r="B319">
        <v>71.959999999999994</v>
      </c>
      <c r="C319">
        <f>VLOOKUP(A319,NYSEARCAVTI!A$2:G$506,4,0)</f>
        <v>112.44</v>
      </c>
      <c r="D319">
        <f>VLOOKUP(A319,NYSEARCAVEU!A$2:G$506,4,0)</f>
        <v>45.57</v>
      </c>
      <c r="E319">
        <f>VLOOKUP(A319,NYSEARCAVWO!A$2:G$506,4,0)</f>
        <v>37.65</v>
      </c>
      <c r="F319">
        <f>VLOOKUP(A319,NYSEARCABND!A$2:G$506,4,0)</f>
        <v>84.32</v>
      </c>
      <c r="G319">
        <f>VLOOKUP(A319,NYSEARCATIP!A$2:G$506,4,0)</f>
        <v>116.22</v>
      </c>
      <c r="H319">
        <f>VLOOKUP(A319,NYSEARCAMUB!A$2:G$506,4,0)</f>
        <v>113.6</v>
      </c>
      <c r="I319">
        <f>VLOOKUP(A319,NYSEARCAVNQ!A$2:G$506,4,0)</f>
        <v>89.01</v>
      </c>
      <c r="J319">
        <f>VLOOKUP(A319,NYSEARCARWX!A$2:G$506,4,0)</f>
        <v>42.89</v>
      </c>
      <c r="K319">
        <f>VLOOKUP(A319,NYSEARCADBC!A$2:G$506,4,0)</f>
        <v>14.86</v>
      </c>
      <c r="L319">
        <f>VLOOKUP(A319,NYSEARCAGSG!A$2:G$506,4,0)</f>
        <v>14.75</v>
      </c>
      <c r="M319">
        <f>VLOOKUP(A319,NYSEARCAGLD!A$2:G$506,4,0)</f>
        <v>127.61</v>
      </c>
      <c r="N319">
        <f>VLOOKUP(A319,NYSEBP!A$2:G$506,4,0)</f>
        <v>33.950000000000003</v>
      </c>
      <c r="O319">
        <f>VLOOKUP(A319,NASDAQYHOO!A$2:G$506,4,0)</f>
        <v>42.45</v>
      </c>
    </row>
    <row r="320" spans="1:15">
      <c r="A320" s="39">
        <v>42606</v>
      </c>
      <c r="B320">
        <v>71.760000000000005</v>
      </c>
      <c r="C320">
        <f>VLOOKUP(A320,NYSEARCAVTI!A$2:G$506,4,0)</f>
        <v>111.59</v>
      </c>
      <c r="D320">
        <f>VLOOKUP(A320,NYSEARCAVEU!A$2:G$506,4,0)</f>
        <v>45.41</v>
      </c>
      <c r="E320">
        <f>VLOOKUP(A320,NYSEARCAVWO!A$2:G$506,4,0)</f>
        <v>37.54</v>
      </c>
      <c r="F320">
        <f>VLOOKUP(A320,NYSEARCABND!A$2:G$506,4,0)</f>
        <v>84.32</v>
      </c>
      <c r="G320">
        <f>VLOOKUP(A320,NYSEARCATIP!A$2:G$506,4,0)</f>
        <v>116.21</v>
      </c>
      <c r="H320">
        <f>VLOOKUP(A320,NYSEARCAMUB!A$2:G$506,4,0)</f>
        <v>113.6</v>
      </c>
      <c r="I320">
        <f>VLOOKUP(A320,NYSEARCAVNQ!A$2:G$506,4,0)</f>
        <v>88.16</v>
      </c>
      <c r="J320">
        <f>VLOOKUP(A320,NYSEARCARWX!A$2:G$506,4,0)</f>
        <v>42.71</v>
      </c>
      <c r="K320">
        <f>VLOOKUP(A320,NYSEARCADBC!A$2:G$506,4,0)</f>
        <v>14.82</v>
      </c>
      <c r="L320">
        <f>VLOOKUP(A320,NYSEARCAGSG!A$2:G$506,4,0)</f>
        <v>14.73</v>
      </c>
      <c r="M320">
        <f>VLOOKUP(A320,NYSEARCAGLD!A$2:G$506,4,0)</f>
        <v>126.3</v>
      </c>
      <c r="N320">
        <f>VLOOKUP(A320,NYSEBP!A$2:G$506,4,0)</f>
        <v>34.119999999999997</v>
      </c>
      <c r="O320">
        <f>VLOOKUP(A320,NASDAQYHOO!A$2:G$506,4,0)</f>
        <v>41.79</v>
      </c>
    </row>
    <row r="321" spans="1:15">
      <c r="A321" s="39">
        <v>42607</v>
      </c>
      <c r="B321">
        <v>71.05</v>
      </c>
      <c r="C321">
        <f>VLOOKUP(A321,NYSEARCAVTI!A$2:G$506,4,0)</f>
        <v>111.55</v>
      </c>
      <c r="D321">
        <f>VLOOKUP(A321,NYSEARCAVEU!A$2:G$506,4,0)</f>
        <v>45.31</v>
      </c>
      <c r="E321">
        <f>VLOOKUP(A321,NYSEARCAVWO!A$2:G$506,4,0)</f>
        <v>37.619999999999997</v>
      </c>
      <c r="F321">
        <f>VLOOKUP(A321,NYSEARCABND!A$2:G$506,4,0)</f>
        <v>84.25</v>
      </c>
      <c r="G321">
        <f>VLOOKUP(A321,NYSEARCATIP!A$2:G$506,4,0)</f>
        <v>116.01</v>
      </c>
      <c r="H321">
        <f>VLOOKUP(A321,NYSEARCAMUB!A$2:G$506,4,0)</f>
        <v>113.59</v>
      </c>
      <c r="I321">
        <f>VLOOKUP(A321,NYSEARCAVNQ!A$2:G$506,4,0)</f>
        <v>88.62</v>
      </c>
      <c r="J321">
        <f>VLOOKUP(A321,NYSEARCARWX!A$2:G$506,4,0)</f>
        <v>42.71</v>
      </c>
      <c r="K321">
        <f>VLOOKUP(A321,NYSEARCADBC!A$2:G$506,4,0)</f>
        <v>14.84</v>
      </c>
      <c r="L321">
        <f>VLOOKUP(A321,NYSEARCAGSG!A$2:G$506,4,0)</f>
        <v>14.75</v>
      </c>
      <c r="M321">
        <f>VLOOKUP(A321,NYSEARCAGLD!A$2:G$506,4,0)</f>
        <v>125.96</v>
      </c>
      <c r="N321">
        <f>VLOOKUP(A321,NYSEBP!A$2:G$506,4,0)</f>
        <v>34.17</v>
      </c>
      <c r="O321">
        <f>VLOOKUP(A321,NASDAQYHOO!A$2:G$506,4,0)</f>
        <v>41.73</v>
      </c>
    </row>
    <row r="322" spans="1:15">
      <c r="A322" s="39">
        <v>42608</v>
      </c>
      <c r="B322">
        <v>70.89</v>
      </c>
      <c r="C322">
        <f>VLOOKUP(A322,NYSEARCAVTI!A$2:G$506,4,0)</f>
        <v>111.05</v>
      </c>
      <c r="D322">
        <f>VLOOKUP(A322,NYSEARCAVEU!A$2:G$506,4,0)</f>
        <v>44.85</v>
      </c>
      <c r="E322">
        <f>VLOOKUP(A322,NYSEARCAVWO!A$2:G$506,4,0)</f>
        <v>37.18</v>
      </c>
      <c r="F322">
        <f>VLOOKUP(A322,NYSEARCABND!A$2:G$506,4,0)</f>
        <v>84.05</v>
      </c>
      <c r="G322">
        <f>VLOOKUP(A322,NYSEARCATIP!A$2:G$506,4,0)</f>
        <v>115.62</v>
      </c>
      <c r="H322">
        <f>VLOOKUP(A322,NYSEARCAMUB!A$2:G$506,4,0)</f>
        <v>113.48</v>
      </c>
      <c r="I322">
        <f>VLOOKUP(A322,NYSEARCAVNQ!A$2:G$506,4,0)</f>
        <v>87.59</v>
      </c>
      <c r="J322">
        <f>VLOOKUP(A322,NYSEARCARWX!A$2:G$506,4,0)</f>
        <v>42.14</v>
      </c>
      <c r="K322">
        <f>VLOOKUP(A322,NYSEARCADBC!A$2:G$506,4,0)</f>
        <v>14.82</v>
      </c>
      <c r="L322">
        <f>VLOOKUP(A322,NYSEARCAGSG!A$2:G$506,4,0)</f>
        <v>14.77</v>
      </c>
      <c r="M322">
        <f>VLOOKUP(A322,NYSEARCAGLD!A$2:G$506,4,0)</f>
        <v>125.82</v>
      </c>
      <c r="N322">
        <f>VLOOKUP(A322,NYSEBP!A$2:G$506,4,0)</f>
        <v>34.01</v>
      </c>
      <c r="O322">
        <f>VLOOKUP(A322,NASDAQYHOO!A$2:G$506,4,0)</f>
        <v>41.94</v>
      </c>
    </row>
    <row r="323" spans="1:15">
      <c r="A323" s="39">
        <v>42611</v>
      </c>
      <c r="B323">
        <v>71.099999999999994</v>
      </c>
      <c r="C323">
        <f>VLOOKUP(A323,NYSEARCAVTI!A$2:G$506,4,0)</f>
        <v>111.7</v>
      </c>
      <c r="D323">
        <f>VLOOKUP(A323,NYSEARCAVEU!A$2:G$506,4,0)</f>
        <v>45</v>
      </c>
      <c r="E323">
        <f>VLOOKUP(A323,NYSEARCAVWO!A$2:G$506,4,0)</f>
        <v>37.450000000000003</v>
      </c>
      <c r="F323">
        <f>VLOOKUP(A323,NYSEARCABND!A$2:G$506,4,0)</f>
        <v>84.18</v>
      </c>
      <c r="G323">
        <f>VLOOKUP(A323,NYSEARCATIP!A$2:G$506,4,0)</f>
        <v>115.83</v>
      </c>
      <c r="H323">
        <f>VLOOKUP(A323,NYSEARCAMUB!A$2:G$506,4,0)</f>
        <v>113.58</v>
      </c>
      <c r="I323">
        <f>VLOOKUP(A323,NYSEARCAVNQ!A$2:G$506,4,0)</f>
        <v>88.36</v>
      </c>
      <c r="J323">
        <f>VLOOKUP(A323,NYSEARCARWX!A$2:G$506,4,0)</f>
        <v>42.13</v>
      </c>
      <c r="K323">
        <f>VLOOKUP(A323,NYSEARCADBC!A$2:G$506,4,0)</f>
        <v>14.78</v>
      </c>
      <c r="L323">
        <f>VLOOKUP(A323,NYSEARCAGSG!A$2:G$506,4,0)</f>
        <v>14.65</v>
      </c>
      <c r="M323">
        <f>VLOOKUP(A323,NYSEARCAGLD!A$2:G$506,4,0)</f>
        <v>125.93</v>
      </c>
      <c r="N323">
        <f>VLOOKUP(A323,NYSEBP!A$2:G$506,4,0)</f>
        <v>33.9</v>
      </c>
      <c r="O323">
        <f>VLOOKUP(A323,NASDAQYHOO!A$2:G$506,4,0)</f>
        <v>42.08</v>
      </c>
    </row>
    <row r="324" spans="1:15">
      <c r="A324" s="39">
        <v>42612</v>
      </c>
      <c r="B324">
        <v>71.150000000000006</v>
      </c>
      <c r="C324">
        <f>VLOOKUP(A324,NYSEARCAVTI!A$2:G$506,4,0)</f>
        <v>111.66</v>
      </c>
      <c r="D324">
        <f>VLOOKUP(A324,NYSEARCAVEU!A$2:G$506,4,0)</f>
        <v>45.1</v>
      </c>
      <c r="E324">
        <f>VLOOKUP(A324,NYSEARCAVWO!A$2:G$506,4,0)</f>
        <v>37.58</v>
      </c>
      <c r="F324">
        <f>VLOOKUP(A324,NYSEARCABND!A$2:G$506,4,0)</f>
        <v>84.23</v>
      </c>
      <c r="G324">
        <f>VLOOKUP(A324,NYSEARCATIP!A$2:G$506,4,0)</f>
        <v>115.95</v>
      </c>
      <c r="H324">
        <f>VLOOKUP(A324,NYSEARCAMUB!A$2:G$506,4,0)</f>
        <v>113.55</v>
      </c>
      <c r="I324">
        <f>VLOOKUP(A324,NYSEARCAVNQ!A$2:G$506,4,0)</f>
        <v>88.1</v>
      </c>
      <c r="J324">
        <f>VLOOKUP(A324,NYSEARCARWX!A$2:G$506,4,0)</f>
        <v>42.04</v>
      </c>
      <c r="K324">
        <f>VLOOKUP(A324,NYSEARCADBC!A$2:G$506,4,0)</f>
        <v>14.64</v>
      </c>
      <c r="L324">
        <f>VLOOKUP(A324,NYSEARCAGSG!A$2:G$506,4,0)</f>
        <v>14.5</v>
      </c>
      <c r="M324">
        <f>VLOOKUP(A324,NYSEARCAGLD!A$2:G$506,4,0)</f>
        <v>124.88</v>
      </c>
      <c r="N324">
        <f>VLOOKUP(A324,NYSEBP!A$2:G$506,4,0)</f>
        <v>34.049999999999997</v>
      </c>
      <c r="O324">
        <f>VLOOKUP(A324,NASDAQYHOO!A$2:G$506,4,0)</f>
        <v>42.28</v>
      </c>
    </row>
    <row r="325" spans="1:15">
      <c r="A325" s="39">
        <v>42613</v>
      </c>
      <c r="B325">
        <v>71.150000000000006</v>
      </c>
      <c r="C325">
        <f>VLOOKUP(A325,NYSEARCAVTI!A$2:G$506,4,0)</f>
        <v>111.2</v>
      </c>
      <c r="D325">
        <f>VLOOKUP(A325,NYSEARCAVEU!A$2:G$506,4,0)</f>
        <v>44.83</v>
      </c>
      <c r="E325">
        <f>VLOOKUP(A325,NYSEARCAVWO!A$2:G$506,4,0)</f>
        <v>37.159999999999997</v>
      </c>
      <c r="F325">
        <f>VLOOKUP(A325,NYSEARCABND!A$2:G$506,4,0)</f>
        <v>84.21</v>
      </c>
      <c r="G325">
        <f>VLOOKUP(A325,NYSEARCATIP!A$2:G$506,4,0)</f>
        <v>115.85</v>
      </c>
      <c r="H325">
        <f>VLOOKUP(A325,NYSEARCAMUB!A$2:G$506,4,0)</f>
        <v>113.58</v>
      </c>
      <c r="I325">
        <f>VLOOKUP(A325,NYSEARCAVNQ!A$2:G$506,4,0)</f>
        <v>88.47</v>
      </c>
      <c r="J325">
        <f>VLOOKUP(A325,NYSEARCARWX!A$2:G$506,4,0)</f>
        <v>41.9</v>
      </c>
      <c r="K325">
        <f>VLOOKUP(A325,NYSEARCADBC!A$2:G$506,4,0)</f>
        <v>14.35</v>
      </c>
      <c r="L325">
        <f>VLOOKUP(A325,NYSEARCAGSG!A$2:G$506,4,0)</f>
        <v>14.18</v>
      </c>
      <c r="M325">
        <f>VLOOKUP(A325,NYSEARCAGLD!A$2:G$506,4,0)</f>
        <v>124.64</v>
      </c>
      <c r="N325">
        <f>VLOOKUP(A325,NYSEBP!A$2:G$506,4,0)</f>
        <v>33.75</v>
      </c>
      <c r="O325">
        <f>VLOOKUP(A325,NASDAQYHOO!A$2:G$506,4,0)</f>
        <v>42.46</v>
      </c>
    </row>
    <row r="326" spans="1:15">
      <c r="A326" s="39">
        <v>42614</v>
      </c>
      <c r="B326">
        <v>71.41</v>
      </c>
      <c r="C326">
        <f>VLOOKUP(A326,NYSEARCAVTI!A$2:G$506,4,0)</f>
        <v>110.97</v>
      </c>
      <c r="D326">
        <f>VLOOKUP(A326,NYSEARCAVEU!A$2:G$506,4,0)</f>
        <v>45.02</v>
      </c>
      <c r="E326">
        <f>VLOOKUP(A326,NYSEARCAVWO!A$2:G$506,4,0)</f>
        <v>37.21</v>
      </c>
      <c r="F326">
        <f>VLOOKUP(A326,NYSEARCABND!A$2:G$506,4,0)</f>
        <v>83.9</v>
      </c>
      <c r="G326">
        <f>VLOOKUP(A326,NYSEARCATIP!A$2:G$506,4,0)</f>
        <v>115.33</v>
      </c>
      <c r="H326">
        <f>VLOOKUP(A326,NYSEARCAMUB!A$2:G$506,4,0)</f>
        <v>113.28</v>
      </c>
      <c r="I326">
        <f>VLOOKUP(A326,NYSEARCAVNQ!A$2:G$506,4,0)</f>
        <v>88.3</v>
      </c>
      <c r="J326">
        <f>VLOOKUP(A326,NYSEARCARWX!A$2:G$506,4,0)</f>
        <v>42.15</v>
      </c>
      <c r="K326">
        <f>VLOOKUP(A326,NYSEARCADBC!A$2:G$506,4,0)</f>
        <v>14.18</v>
      </c>
      <c r="L326">
        <f>VLOOKUP(A326,NYSEARCAGSG!A$2:G$506,4,0)</f>
        <v>13.95</v>
      </c>
      <c r="M326">
        <f>VLOOKUP(A326,NYSEARCAGLD!A$2:G$506,4,0)</f>
        <v>124.55</v>
      </c>
      <c r="N326">
        <f>VLOOKUP(A326,NYSEBP!A$2:G$506,4,0)</f>
        <v>33.43</v>
      </c>
      <c r="O326">
        <f>VLOOKUP(A326,NASDAQYHOO!A$2:G$506,4,0)</f>
        <v>42.72</v>
      </c>
    </row>
    <row r="327" spans="1:15">
      <c r="A327" s="39">
        <v>42615</v>
      </c>
      <c r="B327">
        <v>72.42</v>
      </c>
      <c r="C327">
        <f>VLOOKUP(A327,NYSEARCAVTI!A$2:G$506,4,0)</f>
        <v>111.92</v>
      </c>
      <c r="D327">
        <f>VLOOKUP(A327,NYSEARCAVEU!A$2:G$506,4,0)</f>
        <v>45.6</v>
      </c>
      <c r="E327">
        <f>VLOOKUP(A327,NYSEARCAVWO!A$2:G$506,4,0)</f>
        <v>37.86</v>
      </c>
      <c r="F327">
        <f>VLOOKUP(A327,NYSEARCABND!A$2:G$506,4,0)</f>
        <v>83.94</v>
      </c>
      <c r="G327">
        <f>VLOOKUP(A327,NYSEARCATIP!A$2:G$506,4,0)</f>
        <v>115.34</v>
      </c>
      <c r="H327">
        <f>VLOOKUP(A327,NYSEARCAMUB!A$2:G$506,4,0)</f>
        <v>113.18</v>
      </c>
      <c r="I327">
        <f>VLOOKUP(A327,NYSEARCAVNQ!A$2:G$506,4,0)</f>
        <v>89.13</v>
      </c>
      <c r="J327">
        <f>VLOOKUP(A327,NYSEARCARWX!A$2:G$506,4,0)</f>
        <v>42.37</v>
      </c>
      <c r="K327">
        <f>VLOOKUP(A327,NYSEARCADBC!A$2:G$506,4,0)</f>
        <v>14.35</v>
      </c>
      <c r="L327">
        <f>VLOOKUP(A327,NYSEARCAGSG!A$2:G$506,4,0)</f>
        <v>14.15</v>
      </c>
      <c r="M327">
        <f>VLOOKUP(A327,NYSEARCAGLD!A$2:G$506,4,0)</f>
        <v>125.58</v>
      </c>
      <c r="N327">
        <f>VLOOKUP(A327,NYSEBP!A$2:G$506,4,0)</f>
        <v>34.159999999999997</v>
      </c>
      <c r="O327">
        <f>VLOOKUP(A327,NASDAQYHOO!A$2:G$506,4,0)</f>
        <v>43.08</v>
      </c>
    </row>
    <row r="328" spans="1:15">
      <c r="A328" s="39">
        <v>42619</v>
      </c>
      <c r="B328">
        <v>72.2</v>
      </c>
      <c r="C328">
        <f>VLOOKUP(A328,NYSEARCAVTI!A$2:G$506,4,0)</f>
        <v>112.02</v>
      </c>
      <c r="D328">
        <f>VLOOKUP(A328,NYSEARCAVEU!A$2:G$506,4,0)</f>
        <v>46.02</v>
      </c>
      <c r="E328">
        <f>VLOOKUP(A328,NYSEARCAVWO!A$2:G$506,4,0)</f>
        <v>38.46</v>
      </c>
      <c r="F328">
        <f>VLOOKUP(A328,NYSEARCABND!A$2:G$506,4,0)</f>
        <v>84.02</v>
      </c>
      <c r="G328">
        <f>VLOOKUP(A328,NYSEARCATIP!A$2:G$506,4,0)</f>
        <v>115.53</v>
      </c>
      <c r="H328">
        <f>VLOOKUP(A328,NYSEARCAMUB!A$2:G$506,4,0)</f>
        <v>113.2</v>
      </c>
      <c r="I328">
        <f>VLOOKUP(A328,NYSEARCAVNQ!A$2:G$506,4,0)</f>
        <v>89.12</v>
      </c>
      <c r="J328">
        <f>VLOOKUP(A328,NYSEARCARWX!A$2:G$506,4,0)</f>
        <v>42.67</v>
      </c>
      <c r="K328">
        <f>VLOOKUP(A328,NYSEARCADBC!A$2:G$506,4,0)</f>
        <v>14.32</v>
      </c>
      <c r="L328">
        <f>VLOOKUP(A328,NYSEARCAGSG!A$2:G$506,4,0)</f>
        <v>14.11</v>
      </c>
      <c r="M328">
        <f>VLOOKUP(A328,NYSEARCAGLD!A$2:G$506,4,0)</f>
        <v>127.27</v>
      </c>
      <c r="N328">
        <f>VLOOKUP(A328,NYSEBP!A$2:G$506,4,0)</f>
        <v>34.380000000000003</v>
      </c>
      <c r="O328">
        <f>VLOOKUP(A328,NASDAQYHOO!A$2:G$506,4,0)</f>
        <v>43.5</v>
      </c>
    </row>
    <row r="329" spans="1:15">
      <c r="A329" s="39">
        <v>42620</v>
      </c>
      <c r="B329">
        <v>72.010000000000005</v>
      </c>
      <c r="C329">
        <f>VLOOKUP(A329,NYSEARCAVTI!A$2:G$506,4,0)</f>
        <v>112.29</v>
      </c>
      <c r="D329">
        <f>VLOOKUP(A329,NYSEARCAVEU!A$2:G$506,4,0)</f>
        <v>46.22</v>
      </c>
      <c r="E329">
        <f>VLOOKUP(A329,NYSEARCAVWO!A$2:G$506,4,0)</f>
        <v>38.6</v>
      </c>
      <c r="F329">
        <f>VLOOKUP(A329,NYSEARCABND!A$2:G$506,4,0)</f>
        <v>84.28</v>
      </c>
      <c r="G329">
        <f>VLOOKUP(A329,NYSEARCATIP!A$2:G$506,4,0)</f>
        <v>116.21</v>
      </c>
      <c r="H329">
        <f>VLOOKUP(A329,NYSEARCAMUB!A$2:G$506,4,0)</f>
        <v>113.22</v>
      </c>
      <c r="I329">
        <f>VLOOKUP(A329,NYSEARCAVNQ!A$2:G$506,4,0)</f>
        <v>89.79</v>
      </c>
      <c r="J329">
        <f>VLOOKUP(A329,NYSEARCARWX!A$2:G$506,4,0)</f>
        <v>42.78</v>
      </c>
      <c r="K329">
        <f>VLOOKUP(A329,NYSEARCADBC!A$2:G$506,4,0)</f>
        <v>14.5</v>
      </c>
      <c r="L329">
        <f>VLOOKUP(A329,NYSEARCAGSG!A$2:G$506,4,0)</f>
        <v>14.24</v>
      </c>
      <c r="M329">
        <f>VLOOKUP(A329,NYSEARCAGLD!A$2:G$506,4,0)</f>
        <v>128.12</v>
      </c>
      <c r="N329">
        <f>VLOOKUP(A329,NYSEBP!A$2:G$506,4,0)</f>
        <v>34.65</v>
      </c>
      <c r="O329">
        <f>VLOOKUP(A329,NASDAQYHOO!A$2:G$506,4,0)</f>
        <v>44.19</v>
      </c>
    </row>
    <row r="330" spans="1:15">
      <c r="A330" s="39">
        <v>42621</v>
      </c>
      <c r="B330">
        <v>71.709999999999994</v>
      </c>
      <c r="C330">
        <f>VLOOKUP(A330,NYSEARCAVTI!A$2:G$506,4,0)</f>
        <v>112.26</v>
      </c>
      <c r="D330">
        <f>VLOOKUP(A330,NYSEARCAVEU!A$2:G$506,4,0)</f>
        <v>46.15</v>
      </c>
      <c r="E330">
        <f>VLOOKUP(A330,NYSEARCAVWO!A$2:G$506,4,0)</f>
        <v>38.549999999999997</v>
      </c>
      <c r="F330">
        <f>VLOOKUP(A330,NYSEARCABND!A$2:G$506,4,0)</f>
        <v>83.87</v>
      </c>
      <c r="G330">
        <f>VLOOKUP(A330,NYSEARCATIP!A$2:G$506,4,0)</f>
        <v>115.79</v>
      </c>
      <c r="H330">
        <f>VLOOKUP(A330,NYSEARCAMUB!A$2:G$506,4,0)</f>
        <v>113.14</v>
      </c>
      <c r="I330">
        <f>VLOOKUP(A330,NYSEARCAVNQ!A$2:G$506,4,0)</f>
        <v>89.55</v>
      </c>
      <c r="J330">
        <f>VLOOKUP(A330,NYSEARCARWX!A$2:G$506,4,0)</f>
        <v>42.72</v>
      </c>
      <c r="K330">
        <f>VLOOKUP(A330,NYSEARCADBC!A$2:G$506,4,0)</f>
        <v>14.64</v>
      </c>
      <c r="L330">
        <f>VLOOKUP(A330,NYSEARCAGSG!A$2:G$506,4,0)</f>
        <v>14.44</v>
      </c>
      <c r="M330">
        <f>VLOOKUP(A330,NYSEARCAGLD!A$2:G$506,4,0)</f>
        <v>127.4</v>
      </c>
      <c r="N330">
        <f>VLOOKUP(A330,NYSEBP!A$2:G$506,4,0)</f>
        <v>34.659999999999997</v>
      </c>
      <c r="O330">
        <f>VLOOKUP(A330,NASDAQYHOO!A$2:G$506,4,0)</f>
        <v>44.03</v>
      </c>
    </row>
    <row r="331" spans="1:15">
      <c r="A331" s="39">
        <v>42622</v>
      </c>
      <c r="B331">
        <v>70.3</v>
      </c>
      <c r="C331">
        <f>VLOOKUP(A331,NYSEARCAVTI!A$2:G$506,4,0)</f>
        <v>109.65</v>
      </c>
      <c r="D331">
        <f>VLOOKUP(A331,NYSEARCAVEU!A$2:G$506,4,0)</f>
        <v>45.17</v>
      </c>
      <c r="E331">
        <f>VLOOKUP(A331,NYSEARCAVWO!A$2:G$506,4,0)</f>
        <v>37.409999999999997</v>
      </c>
      <c r="F331">
        <f>VLOOKUP(A331,NYSEARCABND!A$2:G$506,4,0)</f>
        <v>83.57</v>
      </c>
      <c r="G331">
        <f>VLOOKUP(A331,NYSEARCATIP!A$2:G$506,4,0)</f>
        <v>115.08</v>
      </c>
      <c r="H331">
        <f>VLOOKUP(A331,NYSEARCAMUB!A$2:G$506,4,0)</f>
        <v>112.92</v>
      </c>
      <c r="I331">
        <f>VLOOKUP(A331,NYSEARCAVNQ!A$2:G$506,4,0)</f>
        <v>86.07</v>
      </c>
      <c r="J331">
        <f>VLOOKUP(A331,NYSEARCARWX!A$2:G$506,4,0)</f>
        <v>41.63</v>
      </c>
      <c r="K331">
        <f>VLOOKUP(A331,NYSEARCADBC!A$2:G$506,4,0)</f>
        <v>14.62</v>
      </c>
      <c r="L331">
        <f>VLOOKUP(A331,NYSEARCAGSG!A$2:G$506,4,0)</f>
        <v>14.44</v>
      </c>
      <c r="M331">
        <f>VLOOKUP(A331,NYSEARCAGLD!A$2:G$506,4,0)</f>
        <v>126.7</v>
      </c>
      <c r="N331">
        <f>VLOOKUP(A331,NYSEBP!A$2:G$506,4,0)</f>
        <v>34.24</v>
      </c>
      <c r="O331">
        <f>VLOOKUP(A331,NASDAQYHOO!A$2:G$506,4,0)</f>
        <v>42.82</v>
      </c>
    </row>
    <row r="332" spans="1:15">
      <c r="A332" s="39">
        <v>42625</v>
      </c>
      <c r="B332">
        <v>70.72</v>
      </c>
      <c r="C332">
        <f>VLOOKUP(A332,NYSEARCAVTI!A$2:G$506,4,0)</f>
        <v>109.05</v>
      </c>
      <c r="D332">
        <f>VLOOKUP(A332,NYSEARCAVEU!A$2:G$506,4,0)</f>
        <v>44.75</v>
      </c>
      <c r="E332">
        <f>VLOOKUP(A332,NYSEARCAVWO!A$2:G$506,4,0)</f>
        <v>36.89</v>
      </c>
      <c r="F332">
        <f>VLOOKUP(A332,NYSEARCABND!A$2:G$506,4,0)</f>
        <v>83.51</v>
      </c>
      <c r="G332">
        <f>VLOOKUP(A332,NYSEARCATIP!A$2:G$506,4,0)</f>
        <v>114.84</v>
      </c>
      <c r="H332">
        <f>VLOOKUP(A332,NYSEARCAMUB!A$2:G$506,4,0)</f>
        <v>112.83</v>
      </c>
      <c r="I332">
        <f>VLOOKUP(A332,NYSEARCAVNQ!A$2:G$506,4,0)</f>
        <v>85.66</v>
      </c>
      <c r="J332">
        <f>VLOOKUP(A332,NYSEARCARWX!A$2:G$506,4,0)</f>
        <v>41.25</v>
      </c>
      <c r="K332">
        <f>VLOOKUP(A332,NYSEARCADBC!A$2:G$506,4,0)</f>
        <v>14.49</v>
      </c>
      <c r="L332">
        <f>VLOOKUP(A332,NYSEARCAGSG!A$2:G$506,4,0)</f>
        <v>14.31</v>
      </c>
      <c r="M332">
        <f>VLOOKUP(A332,NYSEARCAGLD!A$2:G$506,4,0)</f>
        <v>125.97</v>
      </c>
      <c r="N332">
        <f>VLOOKUP(A332,NYSEBP!A$2:G$506,4,0)</f>
        <v>34</v>
      </c>
      <c r="O332">
        <f>VLOOKUP(A332,NASDAQYHOO!A$2:G$506,4,0)</f>
        <v>42.18</v>
      </c>
    </row>
    <row r="333" spans="1:15">
      <c r="A333" s="39">
        <v>42626</v>
      </c>
      <c r="B333">
        <v>71.150000000000006</v>
      </c>
      <c r="C333">
        <f>VLOOKUP(A333,NYSEARCAVTI!A$2:G$506,4,0)</f>
        <v>108.57</v>
      </c>
      <c r="D333">
        <f>VLOOKUP(A333,NYSEARCAVEU!A$2:G$506,4,0)</f>
        <v>44.08</v>
      </c>
      <c r="E333">
        <f>VLOOKUP(A333,NYSEARCAVWO!A$2:G$506,4,0)</f>
        <v>36.130000000000003</v>
      </c>
      <c r="F333">
        <f>VLOOKUP(A333,NYSEARCABND!A$2:G$506,4,0)</f>
        <v>83.29</v>
      </c>
      <c r="G333">
        <f>VLOOKUP(A333,NYSEARCATIP!A$2:G$506,4,0)</f>
        <v>114.37</v>
      </c>
      <c r="H333">
        <f>VLOOKUP(A333,NYSEARCAMUB!A$2:G$506,4,0)</f>
        <v>112.59</v>
      </c>
      <c r="I333">
        <f>VLOOKUP(A333,NYSEARCAVNQ!A$2:G$506,4,0)</f>
        <v>84.15</v>
      </c>
      <c r="J333">
        <f>VLOOKUP(A333,NYSEARCARWX!A$2:G$506,4,0)</f>
        <v>40.83</v>
      </c>
      <c r="K333">
        <f>VLOOKUP(A333,NYSEARCADBC!A$2:G$506,4,0)</f>
        <v>14.44</v>
      </c>
      <c r="L333">
        <f>VLOOKUP(A333,NYSEARCAGSG!A$2:G$506,4,0)</f>
        <v>14.26</v>
      </c>
      <c r="M333">
        <f>VLOOKUP(A333,NYSEARCAGLD!A$2:G$506,4,0)</f>
        <v>125.53</v>
      </c>
      <c r="N333">
        <f>VLOOKUP(A333,NYSEBP!A$2:G$506,4,0)</f>
        <v>33.36</v>
      </c>
      <c r="O333">
        <f>VLOOKUP(A333,NASDAQYHOO!A$2:G$506,4,0)</f>
        <v>42.69</v>
      </c>
    </row>
    <row r="334" spans="1:15">
      <c r="A334" s="39">
        <v>42627</v>
      </c>
      <c r="B334">
        <v>71.400000000000006</v>
      </c>
      <c r="C334">
        <f>VLOOKUP(A334,NYSEARCAVTI!A$2:G$506,4,0)</f>
        <v>108.61</v>
      </c>
      <c r="D334">
        <f>VLOOKUP(A334,NYSEARCAVEU!A$2:G$506,4,0)</f>
        <v>44.2</v>
      </c>
      <c r="E334">
        <f>VLOOKUP(A334,NYSEARCAVWO!A$2:G$506,4,0)</f>
        <v>36.43</v>
      </c>
      <c r="F334">
        <f>VLOOKUP(A334,NYSEARCABND!A$2:G$506,4,0)</f>
        <v>83.4</v>
      </c>
      <c r="G334">
        <f>VLOOKUP(A334,NYSEARCATIP!A$2:G$506,4,0)</f>
        <v>114.6</v>
      </c>
      <c r="H334">
        <f>VLOOKUP(A334,NYSEARCAMUB!A$2:G$506,4,0)</f>
        <v>112.44</v>
      </c>
      <c r="I334">
        <f>VLOOKUP(A334,NYSEARCAVNQ!A$2:G$506,4,0)</f>
        <v>84.27</v>
      </c>
      <c r="J334">
        <f>VLOOKUP(A334,NYSEARCARWX!A$2:G$506,4,0)</f>
        <v>40.85</v>
      </c>
      <c r="K334">
        <f>VLOOKUP(A334,NYSEARCADBC!A$2:G$506,4,0)</f>
        <v>14.34</v>
      </c>
      <c r="L334">
        <f>VLOOKUP(A334,NYSEARCAGSG!A$2:G$506,4,0)</f>
        <v>14.07</v>
      </c>
      <c r="M334">
        <f>VLOOKUP(A334,NYSEARCAGLD!A$2:G$506,4,0)</f>
        <v>126.03</v>
      </c>
      <c r="N334">
        <f>VLOOKUP(A334,NYSEBP!A$2:G$506,4,0)</f>
        <v>33.22</v>
      </c>
      <c r="O334">
        <f>VLOOKUP(A334,NASDAQYHOO!A$2:G$506,4,0)</f>
        <v>42.86</v>
      </c>
    </row>
    <row r="335" spans="1:15">
      <c r="A335" s="39">
        <v>42628</v>
      </c>
      <c r="B335">
        <v>71.260000000000005</v>
      </c>
      <c r="C335">
        <f>VLOOKUP(A335,NYSEARCAVTI!A$2:G$506,4,0)</f>
        <v>108.74</v>
      </c>
      <c r="D335">
        <f>VLOOKUP(A335,NYSEARCAVEU!A$2:G$506,4,0)</f>
        <v>44.22</v>
      </c>
      <c r="E335">
        <f>VLOOKUP(A335,NYSEARCAVWO!A$2:G$506,4,0)</f>
        <v>36.56</v>
      </c>
      <c r="F335">
        <f>VLOOKUP(A335,NYSEARCABND!A$2:G$506,4,0)</f>
        <v>83.4</v>
      </c>
      <c r="G335">
        <f>VLOOKUP(A335,NYSEARCATIP!A$2:G$506,4,0)</f>
        <v>114.47</v>
      </c>
      <c r="H335">
        <f>VLOOKUP(A335,NYSEARCAMUB!A$2:G$506,4,0)</f>
        <v>112.51</v>
      </c>
      <c r="I335">
        <f>VLOOKUP(A335,NYSEARCAVNQ!A$2:G$506,4,0)</f>
        <v>84.13</v>
      </c>
      <c r="J335">
        <f>VLOOKUP(A335,NYSEARCARWX!A$2:G$506,4,0)</f>
        <v>40.78</v>
      </c>
      <c r="K335">
        <f>VLOOKUP(A335,NYSEARCADBC!A$2:G$506,4,0)</f>
        <v>14.33</v>
      </c>
      <c r="L335">
        <f>VLOOKUP(A335,NYSEARCAGSG!A$2:G$506,4,0)</f>
        <v>14.09</v>
      </c>
      <c r="M335">
        <f>VLOOKUP(A335,NYSEARCAGLD!A$2:G$506,4,0)</f>
        <v>124.91</v>
      </c>
      <c r="N335">
        <f>VLOOKUP(A335,NYSEBP!A$2:G$506,4,0)</f>
        <v>33.200000000000003</v>
      </c>
      <c r="O335">
        <f>VLOOKUP(A335,NASDAQYHOO!A$2:G$506,4,0)</f>
        <v>43.22</v>
      </c>
    </row>
    <row r="336" spans="1:15">
      <c r="A336" s="39">
        <v>42629</v>
      </c>
      <c r="B336">
        <v>72.22</v>
      </c>
      <c r="C336">
        <f>VLOOKUP(A336,NYSEARCAVTI!A$2:G$506,4,0)</f>
        <v>109.22</v>
      </c>
      <c r="D336">
        <f>VLOOKUP(A336,NYSEARCAVEU!A$2:G$506,4,0)</f>
        <v>44.06</v>
      </c>
      <c r="E336">
        <f>VLOOKUP(A336,NYSEARCAVWO!A$2:G$506,4,0)</f>
        <v>36.5</v>
      </c>
      <c r="F336">
        <f>VLOOKUP(A336,NYSEARCABND!A$2:G$506,4,0)</f>
        <v>83.55</v>
      </c>
      <c r="G336">
        <f>VLOOKUP(A336,NYSEARCATIP!A$2:G$506,4,0)</f>
        <v>114.84</v>
      </c>
      <c r="H336">
        <f>VLOOKUP(A336,NYSEARCAMUB!A$2:G$506,4,0)</f>
        <v>112.5</v>
      </c>
      <c r="I336">
        <f>VLOOKUP(A336,NYSEARCAVNQ!A$2:G$506,4,0)</f>
        <v>84.35</v>
      </c>
      <c r="J336">
        <f>VLOOKUP(A336,NYSEARCARWX!A$2:G$506,4,0)</f>
        <v>40.25</v>
      </c>
      <c r="K336">
        <f>VLOOKUP(A336,NYSEARCADBC!A$2:G$506,4,0)</f>
        <v>14.33</v>
      </c>
      <c r="L336">
        <f>VLOOKUP(A336,NYSEARCAGSG!A$2:G$506,4,0)</f>
        <v>14.03</v>
      </c>
      <c r="M336">
        <f>VLOOKUP(A336,NYSEARCAGLD!A$2:G$506,4,0)</f>
        <v>124.67</v>
      </c>
      <c r="N336">
        <f>VLOOKUP(A336,NYSEBP!A$2:G$506,4,0)</f>
        <v>33.06</v>
      </c>
      <c r="O336">
        <f>VLOOKUP(A336,NASDAQYHOO!A$2:G$506,4,0)</f>
        <v>43.47</v>
      </c>
    </row>
    <row r="337" spans="1:15">
      <c r="A337" s="39">
        <v>42632</v>
      </c>
      <c r="B337">
        <v>72.09</v>
      </c>
      <c r="C337">
        <f>VLOOKUP(A337,NYSEARCAVTI!A$2:G$506,4,0)</f>
        <v>109.52</v>
      </c>
      <c r="D337">
        <f>VLOOKUP(A337,NYSEARCAVEU!A$2:G$506,4,0)</f>
        <v>44.43</v>
      </c>
      <c r="E337">
        <f>VLOOKUP(A337,NYSEARCAVWO!A$2:G$506,4,0)</f>
        <v>37.06</v>
      </c>
      <c r="F337">
        <f>VLOOKUP(A337,NYSEARCABND!A$2:G$506,4,0)</f>
        <v>83.56</v>
      </c>
      <c r="G337">
        <f>VLOOKUP(A337,NYSEARCATIP!A$2:G$506,4,0)</f>
        <v>114.76</v>
      </c>
      <c r="H337">
        <f>VLOOKUP(A337,NYSEARCAMUB!A$2:G$506,4,0)</f>
        <v>112.49</v>
      </c>
      <c r="I337">
        <f>VLOOKUP(A337,NYSEARCAVNQ!A$2:G$506,4,0)</f>
        <v>85.16</v>
      </c>
      <c r="J337">
        <f>VLOOKUP(A337,NYSEARCARWX!A$2:G$506,4,0)</f>
        <v>40.6</v>
      </c>
      <c r="K337">
        <f>VLOOKUP(A337,NYSEARCADBC!A$2:G$506,4,0)</f>
        <v>14.43</v>
      </c>
      <c r="L337">
        <f>VLOOKUP(A337,NYSEARCAGSG!A$2:G$506,4,0)</f>
        <v>14.15</v>
      </c>
      <c r="M337">
        <f>VLOOKUP(A337,NYSEARCAGLD!A$2:G$506,4,0)</f>
        <v>125.25</v>
      </c>
      <c r="N337">
        <f>VLOOKUP(A337,NYSEBP!A$2:G$506,4,0)</f>
        <v>33.42</v>
      </c>
      <c r="O337">
        <f>VLOOKUP(A337,NASDAQYHOO!A$2:G$506,4,0)</f>
        <v>43</v>
      </c>
    </row>
    <row r="338" spans="1:15">
      <c r="A338" s="39">
        <v>42633</v>
      </c>
      <c r="B338">
        <v>71.900000000000006</v>
      </c>
      <c r="C338">
        <f>VLOOKUP(A338,NYSEARCAVTI!A$2:G$506,4,0)</f>
        <v>109.69</v>
      </c>
      <c r="D338">
        <f>VLOOKUP(A338,NYSEARCAVEU!A$2:G$506,4,0)</f>
        <v>44.63</v>
      </c>
      <c r="E338">
        <f>VLOOKUP(A338,NYSEARCAVWO!A$2:G$506,4,0)</f>
        <v>37.119999999999997</v>
      </c>
      <c r="F338">
        <f>VLOOKUP(A338,NYSEARCABND!A$2:G$506,4,0)</f>
        <v>83.6</v>
      </c>
      <c r="G338">
        <f>VLOOKUP(A338,NYSEARCATIP!A$2:G$506,4,0)</f>
        <v>114.74</v>
      </c>
      <c r="H338">
        <f>VLOOKUP(A338,NYSEARCAMUB!A$2:G$506,4,0)</f>
        <v>112.56</v>
      </c>
      <c r="I338">
        <f>VLOOKUP(A338,NYSEARCAVNQ!A$2:G$506,4,0)</f>
        <v>85.61</v>
      </c>
      <c r="J338">
        <f>VLOOKUP(A338,NYSEARCARWX!A$2:G$506,4,0)</f>
        <v>40.78</v>
      </c>
      <c r="K338">
        <f>VLOOKUP(A338,NYSEARCADBC!A$2:G$506,4,0)</f>
        <v>14.36</v>
      </c>
      <c r="L338">
        <f>VLOOKUP(A338,NYSEARCAGSG!A$2:G$506,4,0)</f>
        <v>14.08</v>
      </c>
      <c r="M338">
        <f>VLOOKUP(A338,NYSEARCAGLD!A$2:G$506,4,0)</f>
        <v>125.17</v>
      </c>
      <c r="N338">
        <f>VLOOKUP(A338,NYSEBP!A$2:G$506,4,0)</f>
        <v>33.06</v>
      </c>
      <c r="O338">
        <f>VLOOKUP(A338,NASDAQYHOO!A$2:G$506,4,0)</f>
        <v>42.66</v>
      </c>
    </row>
    <row r="339" spans="1:15">
      <c r="A339" s="39">
        <v>42634</v>
      </c>
      <c r="B339">
        <v>71.510000000000005</v>
      </c>
      <c r="C339">
        <f>VLOOKUP(A339,NYSEARCAVTI!A$2:G$506,4,0)</f>
        <v>109.71</v>
      </c>
      <c r="D339">
        <f>VLOOKUP(A339,NYSEARCAVEU!A$2:G$506,4,0)</f>
        <v>44.96</v>
      </c>
      <c r="E339">
        <f>VLOOKUP(A339,NYSEARCAVWO!A$2:G$506,4,0)</f>
        <v>37.32</v>
      </c>
      <c r="F339">
        <f>VLOOKUP(A339,NYSEARCABND!A$2:G$506,4,0)</f>
        <v>83.53</v>
      </c>
      <c r="G339">
        <f>VLOOKUP(A339,NYSEARCATIP!A$2:G$506,4,0)</f>
        <v>114.72</v>
      </c>
      <c r="H339">
        <f>VLOOKUP(A339,NYSEARCAMUB!A$2:G$506,4,0)</f>
        <v>112.47</v>
      </c>
      <c r="I339">
        <f>VLOOKUP(A339,NYSEARCAVNQ!A$2:G$506,4,0)</f>
        <v>84.6</v>
      </c>
      <c r="J339">
        <f>VLOOKUP(A339,NYSEARCARWX!A$2:G$506,4,0)</f>
        <v>40.76</v>
      </c>
      <c r="K339">
        <f>VLOOKUP(A339,NYSEARCADBC!A$2:G$506,4,0)</f>
        <v>14.55</v>
      </c>
      <c r="L339">
        <f>VLOOKUP(A339,NYSEARCAGSG!A$2:G$506,4,0)</f>
        <v>14.35</v>
      </c>
      <c r="M339">
        <f>VLOOKUP(A339,NYSEARCAGLD!A$2:G$506,4,0)</f>
        <v>125.96</v>
      </c>
      <c r="N339">
        <f>VLOOKUP(A339,NYSEBP!A$2:G$506,4,0)</f>
        <v>33.21</v>
      </c>
      <c r="O339">
        <f>VLOOKUP(A339,NASDAQYHOO!A$2:G$506,4,0)</f>
        <v>42.89</v>
      </c>
    </row>
    <row r="340" spans="1:15">
      <c r="A340" s="39">
        <v>42635</v>
      </c>
      <c r="B340">
        <v>71.989999999999995</v>
      </c>
      <c r="C340">
        <f>VLOOKUP(A340,NYSEARCAVTI!A$2:G$506,4,0)</f>
        <v>111.53</v>
      </c>
      <c r="D340">
        <f>VLOOKUP(A340,NYSEARCAVEU!A$2:G$506,4,0)</f>
        <v>45.89</v>
      </c>
      <c r="E340">
        <f>VLOOKUP(A340,NYSEARCAVWO!A$2:G$506,4,0)</f>
        <v>38.08</v>
      </c>
      <c r="F340">
        <f>VLOOKUP(A340,NYSEARCABND!A$2:G$506,4,0)</f>
        <v>83.91</v>
      </c>
      <c r="G340">
        <f>VLOOKUP(A340,NYSEARCATIP!A$2:G$506,4,0)</f>
        <v>115.55</v>
      </c>
      <c r="H340">
        <f>VLOOKUP(A340,NYSEARCAMUB!A$2:G$506,4,0)</f>
        <v>112.61</v>
      </c>
      <c r="I340">
        <f>VLOOKUP(A340,NYSEARCAVNQ!A$2:G$506,4,0)</f>
        <v>87.29</v>
      </c>
      <c r="J340">
        <f>VLOOKUP(A340,NYSEARCARWX!A$2:G$506,4,0)</f>
        <v>41.58</v>
      </c>
      <c r="K340">
        <f>VLOOKUP(A340,NYSEARCADBC!A$2:G$506,4,0)</f>
        <v>14.71</v>
      </c>
      <c r="L340">
        <f>VLOOKUP(A340,NYSEARCAGSG!A$2:G$506,4,0)</f>
        <v>14.55</v>
      </c>
      <c r="M340">
        <f>VLOOKUP(A340,NYSEARCAGLD!A$2:G$506,4,0)</f>
        <v>127.5</v>
      </c>
      <c r="N340">
        <f>VLOOKUP(A340,NYSEBP!A$2:G$506,4,0)</f>
        <v>34.19</v>
      </c>
      <c r="O340">
        <f>VLOOKUP(A340,NASDAQYHOO!A$2:G$506,4,0)</f>
        <v>43.74</v>
      </c>
    </row>
    <row r="341" spans="1:15">
      <c r="A341" s="39">
        <v>42636</v>
      </c>
      <c r="B341">
        <v>72.34</v>
      </c>
      <c r="C341">
        <f>VLOOKUP(A341,NYSEARCAVTI!A$2:G$506,4,0)</f>
        <v>111.11</v>
      </c>
      <c r="D341">
        <f>VLOOKUP(A341,NYSEARCAVEU!A$2:G$506,4,0)</f>
        <v>45.47</v>
      </c>
      <c r="E341">
        <f>VLOOKUP(A341,NYSEARCAVWO!A$2:G$506,4,0)</f>
        <v>37.68</v>
      </c>
      <c r="F341">
        <f>VLOOKUP(A341,NYSEARCABND!A$2:G$506,4,0)</f>
        <v>83.98</v>
      </c>
      <c r="G341">
        <f>VLOOKUP(A341,NYSEARCATIP!A$2:G$506,4,0)</f>
        <v>115.98</v>
      </c>
      <c r="H341">
        <f>VLOOKUP(A341,NYSEARCAMUB!A$2:G$506,4,0)</f>
        <v>112.59</v>
      </c>
      <c r="I341">
        <f>VLOOKUP(A341,NYSEARCAVNQ!A$2:G$506,4,0)</f>
        <v>87.29</v>
      </c>
      <c r="J341">
        <f>VLOOKUP(A341,NYSEARCARWX!A$2:G$506,4,0)</f>
        <v>41.44</v>
      </c>
      <c r="K341">
        <f>VLOOKUP(A341,NYSEARCADBC!A$2:G$506,4,0)</f>
        <v>14.52</v>
      </c>
      <c r="L341">
        <f>VLOOKUP(A341,NYSEARCAGSG!A$2:G$506,4,0)</f>
        <v>14.24</v>
      </c>
      <c r="M341">
        <f>VLOOKUP(A341,NYSEARCAGLD!A$2:G$506,4,0)</f>
        <v>127.43</v>
      </c>
      <c r="N341">
        <f>VLOOKUP(A341,NYSEBP!A$2:G$506,4,0)</f>
        <v>33.82</v>
      </c>
      <c r="O341">
        <f>VLOOKUP(A341,NASDAQYHOO!A$2:G$506,4,0)</f>
        <v>42.54</v>
      </c>
    </row>
    <row r="342" spans="1:15">
      <c r="A342" s="39">
        <v>42639</v>
      </c>
      <c r="B342">
        <v>71.52</v>
      </c>
      <c r="C342">
        <f>VLOOKUP(A342,NYSEARCAVTI!A$2:G$506,4,0)</f>
        <v>110.21</v>
      </c>
      <c r="D342">
        <f>VLOOKUP(A342,NYSEARCAVEU!A$2:G$506,4,0)</f>
        <v>45.02</v>
      </c>
      <c r="E342">
        <f>VLOOKUP(A342,NYSEARCAVWO!A$2:G$506,4,0)</f>
        <v>37.200000000000003</v>
      </c>
      <c r="F342">
        <f>VLOOKUP(A342,NYSEARCABND!A$2:G$506,4,0)</f>
        <v>84.05</v>
      </c>
      <c r="G342">
        <f>VLOOKUP(A342,NYSEARCATIP!A$2:G$506,4,0)</f>
        <v>116.18</v>
      </c>
      <c r="H342">
        <f>VLOOKUP(A342,NYSEARCAMUB!A$2:G$506,4,0)</f>
        <v>112.7</v>
      </c>
      <c r="I342">
        <f>VLOOKUP(A342,NYSEARCAVNQ!A$2:G$506,4,0)</f>
        <v>88</v>
      </c>
      <c r="J342">
        <f>VLOOKUP(A342,NYSEARCARWX!A$2:G$506,4,0)</f>
        <v>41.42</v>
      </c>
      <c r="K342">
        <f>VLOOKUP(A342,NYSEARCADBC!A$2:G$506,4,0)</f>
        <v>14.63</v>
      </c>
      <c r="L342">
        <f>VLOOKUP(A342,NYSEARCAGSG!A$2:G$506,4,0)</f>
        <v>14.42</v>
      </c>
      <c r="M342">
        <f>VLOOKUP(A342,NYSEARCAGLD!A$2:G$506,4,0)</f>
        <v>127.42</v>
      </c>
      <c r="N342">
        <f>VLOOKUP(A342,NYSEBP!A$2:G$506,4,0)</f>
        <v>33.619999999999997</v>
      </c>
      <c r="O342">
        <f>VLOOKUP(A342,NASDAQYHOO!A$2:G$506,4,0)</f>
        <v>41.85</v>
      </c>
    </row>
    <row r="343" spans="1:15">
      <c r="A343" s="39">
        <v>42640</v>
      </c>
      <c r="B343">
        <v>71.58</v>
      </c>
      <c r="C343">
        <f>VLOOKUP(A343,NYSEARCAVTI!A$2:G$506,4,0)</f>
        <v>109.99</v>
      </c>
      <c r="D343">
        <f>VLOOKUP(A343,NYSEARCAVEU!A$2:G$506,4,0)</f>
        <v>44.92</v>
      </c>
      <c r="E343">
        <f>VLOOKUP(A343,NYSEARCAVWO!A$2:G$506,4,0)</f>
        <v>37.24</v>
      </c>
      <c r="F343">
        <f>VLOOKUP(A343,NYSEARCABND!A$2:G$506,4,0)</f>
        <v>84.13</v>
      </c>
      <c r="G343">
        <f>VLOOKUP(A343,NYSEARCATIP!A$2:G$506,4,0)</f>
        <v>116.08</v>
      </c>
      <c r="H343">
        <f>VLOOKUP(A343,NYSEARCAMUB!A$2:G$506,4,0)</f>
        <v>112.75</v>
      </c>
      <c r="I343">
        <f>VLOOKUP(A343,NYSEARCAVNQ!A$2:G$506,4,0)</f>
        <v>87.65</v>
      </c>
      <c r="J343">
        <f>VLOOKUP(A343,NYSEARCARWX!A$2:G$506,4,0)</f>
        <v>41.51</v>
      </c>
      <c r="K343">
        <f>VLOOKUP(A343,NYSEARCADBC!A$2:G$506,4,0)</f>
        <v>14.47</v>
      </c>
      <c r="L343">
        <f>VLOOKUP(A343,NYSEARCAGSG!A$2:G$506,4,0)</f>
        <v>14.19</v>
      </c>
      <c r="M343">
        <f>VLOOKUP(A343,NYSEARCAGLD!A$2:G$506,4,0)</f>
        <v>126.34</v>
      </c>
      <c r="N343">
        <f>VLOOKUP(A343,NYSEBP!A$2:G$506,4,0)</f>
        <v>33.32</v>
      </c>
      <c r="O343">
        <f>VLOOKUP(A343,NASDAQYHOO!A$2:G$506,4,0)</f>
        <v>42.32</v>
      </c>
    </row>
    <row r="344" spans="1:15">
      <c r="A344" s="39">
        <v>42641</v>
      </c>
      <c r="B344">
        <v>71.38</v>
      </c>
      <c r="C344">
        <f>VLOOKUP(A344,NYSEARCAVTI!A$2:G$506,4,0)</f>
        <v>110.46</v>
      </c>
      <c r="D344">
        <f>VLOOKUP(A344,NYSEARCAVEU!A$2:G$506,4,0)</f>
        <v>45.18</v>
      </c>
      <c r="E344">
        <f>VLOOKUP(A344,NYSEARCAVWO!A$2:G$506,4,0)</f>
        <v>37.409999999999997</v>
      </c>
      <c r="F344">
        <f>VLOOKUP(A344,NYSEARCABND!A$2:G$506,4,0)</f>
        <v>84.18</v>
      </c>
      <c r="G344">
        <f>VLOOKUP(A344,NYSEARCATIP!A$2:G$506,4,0)</f>
        <v>116.46</v>
      </c>
      <c r="H344">
        <f>VLOOKUP(A344,NYSEARCAMUB!A$2:G$506,4,0)</f>
        <v>112.85</v>
      </c>
      <c r="I344">
        <f>VLOOKUP(A344,NYSEARCAVNQ!A$2:G$506,4,0)</f>
        <v>87.67</v>
      </c>
      <c r="J344">
        <f>VLOOKUP(A344,NYSEARCARWX!A$2:G$506,4,0)</f>
        <v>41.53</v>
      </c>
      <c r="K344">
        <f>VLOOKUP(A344,NYSEARCADBC!A$2:G$506,4,0)</f>
        <v>14.52</v>
      </c>
      <c r="L344">
        <f>VLOOKUP(A344,NYSEARCAGSG!A$2:G$506,4,0)</f>
        <v>14.21</v>
      </c>
      <c r="M344">
        <f>VLOOKUP(A344,NYSEARCAGLD!A$2:G$506,4,0)</f>
        <v>125.73</v>
      </c>
      <c r="N344">
        <f>VLOOKUP(A344,NYSEBP!A$2:G$506,4,0)</f>
        <v>33.700000000000003</v>
      </c>
      <c r="O344">
        <f>VLOOKUP(A344,NASDAQYHOO!A$2:G$506,4,0)</f>
        <v>43.25</v>
      </c>
    </row>
    <row r="345" spans="1:15">
      <c r="A345" s="39">
        <v>42642</v>
      </c>
      <c r="B345">
        <v>70.62</v>
      </c>
      <c r="C345">
        <f>VLOOKUP(A345,NYSEARCAVTI!A$2:G$506,4,0)</f>
        <v>110.16</v>
      </c>
      <c r="D345">
        <f>VLOOKUP(A345,NYSEARCAVEU!A$2:G$506,4,0)</f>
        <v>45.02</v>
      </c>
      <c r="E345">
        <f>VLOOKUP(A345,NYSEARCAVWO!A$2:G$506,4,0)</f>
        <v>37.25</v>
      </c>
      <c r="F345">
        <f>VLOOKUP(A345,NYSEARCABND!A$2:G$506,4,0)</f>
        <v>84.11</v>
      </c>
      <c r="G345">
        <f>VLOOKUP(A345,NYSEARCATIP!A$2:G$506,4,0)</f>
        <v>116.25</v>
      </c>
      <c r="H345">
        <f>VLOOKUP(A345,NYSEARCAMUB!A$2:G$506,4,0)</f>
        <v>112.8</v>
      </c>
      <c r="I345">
        <f>VLOOKUP(A345,NYSEARCAVNQ!A$2:G$506,4,0)</f>
        <v>87.08</v>
      </c>
      <c r="J345">
        <f>VLOOKUP(A345,NYSEARCARWX!A$2:G$506,4,0)</f>
        <v>41.13</v>
      </c>
      <c r="K345">
        <f>VLOOKUP(A345,NYSEARCADBC!A$2:G$506,4,0)</f>
        <v>14.87</v>
      </c>
      <c r="L345">
        <f>VLOOKUP(A345,NYSEARCAGSG!A$2:G$506,4,0)</f>
        <v>14.64</v>
      </c>
      <c r="M345">
        <f>VLOOKUP(A345,NYSEARCAGLD!A$2:G$506,4,0)</f>
        <v>125.54</v>
      </c>
      <c r="N345">
        <f>VLOOKUP(A345,NYSEBP!A$2:G$506,4,0)</f>
        <v>34.85</v>
      </c>
      <c r="O345">
        <f>VLOOKUP(A345,NASDAQYHOO!A$2:G$506,4,0)</f>
        <v>42.43</v>
      </c>
    </row>
    <row r="346" spans="1:15">
      <c r="A346" s="39">
        <v>42643</v>
      </c>
      <c r="B346">
        <v>71.400000000000006</v>
      </c>
      <c r="C346">
        <f>VLOOKUP(A346,NYSEARCAVTI!A$2:G$506,4,0)</f>
        <v>110.75</v>
      </c>
      <c r="D346">
        <f>VLOOKUP(A346,NYSEARCAVEU!A$2:G$506,4,0)</f>
        <v>45.18</v>
      </c>
      <c r="E346">
        <f>VLOOKUP(A346,NYSEARCAVWO!A$2:G$506,4,0)</f>
        <v>37.4</v>
      </c>
      <c r="F346">
        <f>VLOOKUP(A346,NYSEARCABND!A$2:G$506,4,0)</f>
        <v>84.02</v>
      </c>
      <c r="G346">
        <f>VLOOKUP(A346,NYSEARCATIP!A$2:G$506,4,0)</f>
        <v>116.24</v>
      </c>
      <c r="H346">
        <f>VLOOKUP(A346,NYSEARCAMUB!A$2:G$506,4,0)</f>
        <v>112.7</v>
      </c>
      <c r="I346">
        <f>VLOOKUP(A346,NYSEARCAVNQ!A$2:G$506,4,0)</f>
        <v>86.73</v>
      </c>
      <c r="J346">
        <f>VLOOKUP(A346,NYSEARCARWX!A$2:G$506,4,0)</f>
        <v>41.49</v>
      </c>
      <c r="K346">
        <f>VLOOKUP(A346,NYSEARCADBC!A$2:G$506,4,0)</f>
        <v>14.95</v>
      </c>
      <c r="L346">
        <f>VLOOKUP(A346,NYSEARCAGSG!A$2:G$506,4,0)</f>
        <v>14.76</v>
      </c>
      <c r="M346">
        <f>VLOOKUP(A346,NYSEARCAGLD!A$2:G$506,4,0)</f>
        <v>125.24</v>
      </c>
      <c r="N346">
        <f>VLOOKUP(A346,NYSEBP!A$2:G$506,4,0)</f>
        <v>35.03</v>
      </c>
      <c r="O346">
        <f>VLOOKUP(A346,NASDAQYHOO!A$2:G$506,4,0)</f>
        <v>42.72</v>
      </c>
    </row>
    <row r="347" spans="1:15">
      <c r="A347" s="39">
        <v>42646</v>
      </c>
      <c r="B347">
        <v>71.599999999999994</v>
      </c>
      <c r="C347">
        <f>VLOOKUP(A347,NYSEARCAVTI!A$2:G$506,4,0)</f>
        <v>110.63</v>
      </c>
      <c r="D347">
        <f>VLOOKUP(A347,NYSEARCAVEU!A$2:G$506,4,0)</f>
        <v>45.27</v>
      </c>
      <c r="E347">
        <f>VLOOKUP(A347,NYSEARCAVWO!A$2:G$506,4,0)</f>
        <v>37.56</v>
      </c>
      <c r="F347">
        <f>VLOOKUP(A347,NYSEARCABND!A$2:G$506,4,0)</f>
        <v>83.84</v>
      </c>
      <c r="G347">
        <f>VLOOKUP(A347,NYSEARCATIP!A$2:G$506,4,0)</f>
        <v>116.34</v>
      </c>
      <c r="H347">
        <f>VLOOKUP(A347,NYSEARCAMUB!A$2:G$506,4,0)</f>
        <v>112.47</v>
      </c>
      <c r="I347">
        <f>VLOOKUP(A347,NYSEARCAVNQ!A$2:G$506,4,0)</f>
        <v>84.94</v>
      </c>
      <c r="J347">
        <f>VLOOKUP(A347,NYSEARCARWX!A$2:G$506,4,0)</f>
        <v>41.38</v>
      </c>
      <c r="K347">
        <f>VLOOKUP(A347,NYSEARCADBC!A$2:G$506,4,0)</f>
        <v>14.94</v>
      </c>
      <c r="L347">
        <f>VLOOKUP(A347,NYSEARCAGSG!A$2:G$506,4,0)</f>
        <v>14.72</v>
      </c>
      <c r="M347">
        <f>VLOOKUP(A347,NYSEARCAGLD!A$2:G$506,4,0)</f>
        <v>124.9</v>
      </c>
      <c r="N347">
        <f>VLOOKUP(A347,NYSEBP!A$2:G$506,4,0)</f>
        <v>35.21</v>
      </c>
      <c r="O347">
        <f>VLOOKUP(A347,NASDAQYHOO!A$2:G$506,4,0)</f>
        <v>42.82</v>
      </c>
    </row>
    <row r="348" spans="1:15">
      <c r="A348" s="39">
        <v>42647</v>
      </c>
      <c r="B348">
        <v>71.55</v>
      </c>
      <c r="C348">
        <f>VLOOKUP(A348,NYSEARCAVTI!A$2:G$506,4,0)</f>
        <v>110.1</v>
      </c>
      <c r="D348">
        <f>VLOOKUP(A348,NYSEARCAVEU!A$2:G$506,4,0)</f>
        <v>45.12</v>
      </c>
      <c r="E348">
        <f>VLOOKUP(A348,NYSEARCAVWO!A$2:G$506,4,0)</f>
        <v>37.409999999999997</v>
      </c>
      <c r="F348">
        <f>VLOOKUP(A348,NYSEARCABND!A$2:G$506,4,0)</f>
        <v>83.6</v>
      </c>
      <c r="G348">
        <f>VLOOKUP(A348,NYSEARCATIP!A$2:G$506,4,0)</f>
        <v>115.79</v>
      </c>
      <c r="H348">
        <f>VLOOKUP(A348,NYSEARCAMUB!A$2:G$506,4,0)</f>
        <v>112.23</v>
      </c>
      <c r="I348">
        <f>VLOOKUP(A348,NYSEARCAVNQ!A$2:G$506,4,0)</f>
        <v>83.46</v>
      </c>
      <c r="J348">
        <f>VLOOKUP(A348,NYSEARCARWX!A$2:G$506,4,0)</f>
        <v>40.85</v>
      </c>
      <c r="K348">
        <f>VLOOKUP(A348,NYSEARCADBC!A$2:G$506,4,0)</f>
        <v>15.08</v>
      </c>
      <c r="L348">
        <f>VLOOKUP(A348,NYSEARCAGSG!A$2:G$506,4,0)</f>
        <v>14.9</v>
      </c>
      <c r="M348">
        <f>VLOOKUP(A348,NYSEARCAGLD!A$2:G$506,4,0)</f>
        <v>120.86</v>
      </c>
      <c r="N348">
        <f>VLOOKUP(A348,NYSEBP!A$2:G$506,4,0)</f>
        <v>35.57</v>
      </c>
      <c r="O348">
        <f>VLOOKUP(A348,NASDAQYHOO!A$2:G$506,4,0)</f>
        <v>42.96</v>
      </c>
    </row>
    <row r="349" spans="1:15">
      <c r="A349" s="39">
        <v>42648</v>
      </c>
      <c r="B349">
        <v>71.599999999999994</v>
      </c>
      <c r="C349">
        <f>VLOOKUP(A349,NYSEARCAVTI!A$2:G$506,4,0)</f>
        <v>110.59</v>
      </c>
      <c r="D349">
        <f>VLOOKUP(A349,NYSEARCAVEU!A$2:G$506,4,0)</f>
        <v>45.42</v>
      </c>
      <c r="E349">
        <f>VLOOKUP(A349,NYSEARCAVWO!A$2:G$506,4,0)</f>
        <v>37.79</v>
      </c>
      <c r="F349">
        <f>VLOOKUP(A349,NYSEARCABND!A$2:G$506,4,0)</f>
        <v>83.44</v>
      </c>
      <c r="G349">
        <f>VLOOKUP(A349,NYSEARCATIP!A$2:G$506,4,0)</f>
        <v>115.58</v>
      </c>
      <c r="H349">
        <f>VLOOKUP(A349,NYSEARCAMUB!A$2:G$506,4,0)</f>
        <v>112.04</v>
      </c>
      <c r="I349">
        <f>VLOOKUP(A349,NYSEARCAVNQ!A$2:G$506,4,0)</f>
        <v>82.17</v>
      </c>
      <c r="J349">
        <f>VLOOKUP(A349,NYSEARCARWX!A$2:G$506,4,0)</f>
        <v>40.36</v>
      </c>
      <c r="K349">
        <f>VLOOKUP(A349,NYSEARCADBC!A$2:G$506,4,0)</f>
        <v>15.12</v>
      </c>
      <c r="L349">
        <f>VLOOKUP(A349,NYSEARCAGSG!A$2:G$506,4,0)</f>
        <v>15.02</v>
      </c>
      <c r="M349">
        <f>VLOOKUP(A349,NYSEARCAGLD!A$2:G$506,4,0)</f>
        <v>120.4</v>
      </c>
      <c r="N349">
        <f>VLOOKUP(A349,NYSEBP!A$2:G$506,4,0)</f>
        <v>35.75</v>
      </c>
      <c r="O349">
        <f>VLOOKUP(A349,NASDAQYHOO!A$2:G$506,4,0)</f>
        <v>43.22</v>
      </c>
    </row>
    <row r="350" spans="1:15">
      <c r="A350" s="39">
        <v>42649</v>
      </c>
      <c r="B350">
        <v>68.89</v>
      </c>
      <c r="C350">
        <f>VLOOKUP(A350,NYSEARCAVTI!A$2:G$506,4,0)</f>
        <v>110.39</v>
      </c>
      <c r="D350">
        <f>VLOOKUP(A350,NYSEARCAVEU!A$2:G$506,4,0)</f>
        <v>45.22</v>
      </c>
      <c r="E350">
        <f>VLOOKUP(A350,NYSEARCAVWO!A$2:G$506,4,0)</f>
        <v>37.770000000000003</v>
      </c>
      <c r="F350">
        <f>VLOOKUP(A350,NYSEARCABND!A$2:G$506,4,0)</f>
        <v>83.38</v>
      </c>
      <c r="G350">
        <f>VLOOKUP(A350,NYSEARCATIP!A$2:G$506,4,0)</f>
        <v>115.56</v>
      </c>
      <c r="H350">
        <f>VLOOKUP(A350,NYSEARCAMUB!A$2:G$506,4,0)</f>
        <v>111.8</v>
      </c>
      <c r="I350">
        <f>VLOOKUP(A350,NYSEARCAVNQ!A$2:G$506,4,0)</f>
        <v>81.11</v>
      </c>
      <c r="J350">
        <f>VLOOKUP(A350,NYSEARCARWX!A$2:G$506,4,0)</f>
        <v>39.85</v>
      </c>
      <c r="K350">
        <f>VLOOKUP(A350,NYSEARCADBC!A$2:G$506,4,0)</f>
        <v>15.14</v>
      </c>
      <c r="L350">
        <f>VLOOKUP(A350,NYSEARCAGSG!A$2:G$506,4,0)</f>
        <v>15.09</v>
      </c>
      <c r="M350">
        <f>VLOOKUP(A350,NYSEARCAGLD!A$2:G$506,4,0)</f>
        <v>119.24</v>
      </c>
      <c r="N350">
        <f>VLOOKUP(A350,NYSEBP!A$2:G$506,4,0)</f>
        <v>35.83</v>
      </c>
      <c r="O350">
        <f>VLOOKUP(A350,NASDAQYHOO!A$2:G$506,4,0)</f>
        <v>43.37</v>
      </c>
    </row>
    <row r="351" spans="1:15">
      <c r="A351" s="39">
        <v>42650</v>
      </c>
      <c r="B351">
        <v>68.17</v>
      </c>
      <c r="C351">
        <f>VLOOKUP(A351,NYSEARCAVTI!A$2:G$506,4,0)</f>
        <v>110.06</v>
      </c>
      <c r="D351">
        <f>VLOOKUP(A351,NYSEARCAVEU!A$2:G$506,4,0)</f>
        <v>44.82</v>
      </c>
      <c r="E351">
        <f>VLOOKUP(A351,NYSEARCAVWO!A$2:G$506,4,0)</f>
        <v>37.630000000000003</v>
      </c>
      <c r="F351">
        <f>VLOOKUP(A351,NYSEARCABND!A$2:G$506,4,0)</f>
        <v>83.31</v>
      </c>
      <c r="G351">
        <f>VLOOKUP(A351,NYSEARCATIP!A$2:G$506,4,0)</f>
        <v>115.45</v>
      </c>
      <c r="H351">
        <f>VLOOKUP(A351,NYSEARCAMUB!A$2:G$506,4,0)</f>
        <v>111.83</v>
      </c>
      <c r="I351">
        <f>VLOOKUP(A351,NYSEARCAVNQ!A$2:G$506,4,0)</f>
        <v>81.77</v>
      </c>
      <c r="J351">
        <f>VLOOKUP(A351,NYSEARCARWX!A$2:G$506,4,0)</f>
        <v>39.32</v>
      </c>
      <c r="K351">
        <f>VLOOKUP(A351,NYSEARCADBC!A$2:G$506,4,0)</f>
        <v>15.12</v>
      </c>
      <c r="L351">
        <f>VLOOKUP(A351,NYSEARCAGSG!A$2:G$506,4,0)</f>
        <v>15.02</v>
      </c>
      <c r="M351">
        <f>VLOOKUP(A351,NYSEARCAGLD!A$2:G$506,4,0)</f>
        <v>118.42</v>
      </c>
      <c r="N351">
        <f>VLOOKUP(A351,NYSEBP!A$2:G$506,4,0)</f>
        <v>35.92</v>
      </c>
      <c r="O351">
        <f>VLOOKUP(A351,NASDAQYHOO!A$2:G$506,4,0)</f>
        <v>43.12</v>
      </c>
    </row>
    <row r="352" spans="1:15">
      <c r="A352" s="39">
        <v>42653</v>
      </c>
      <c r="B352">
        <v>67.75</v>
      </c>
      <c r="C352">
        <f>VLOOKUP(A352,NYSEARCAVTI!A$2:G$506,4,0)</f>
        <v>111</v>
      </c>
      <c r="D352">
        <f>VLOOKUP(A352,NYSEARCAVEU!A$2:G$506,4,0)</f>
        <v>45.24</v>
      </c>
      <c r="E352">
        <f>VLOOKUP(A352,NYSEARCAVWO!A$2:G$506,4,0)</f>
        <v>38.07</v>
      </c>
      <c r="F352">
        <f>VLOOKUP(A352,NYSEARCABND!A$2:G$506,4,0)</f>
        <v>83.31</v>
      </c>
      <c r="G352">
        <f>VLOOKUP(A352,NYSEARCATIP!A$2:G$506,4,0)</f>
        <v>115.38</v>
      </c>
      <c r="H352">
        <f>VLOOKUP(A352,NYSEARCAMUB!A$2:G$506,4,0)</f>
        <v>111.77</v>
      </c>
      <c r="I352">
        <f>VLOOKUP(A352,NYSEARCAVNQ!A$2:G$506,4,0)</f>
        <v>82.22</v>
      </c>
      <c r="J352">
        <f>VLOOKUP(A352,NYSEARCARWX!A$2:G$506,4,0)</f>
        <v>39.51</v>
      </c>
      <c r="K352">
        <f>VLOOKUP(A352,NYSEARCADBC!A$2:G$506,4,0)</f>
        <v>15.27</v>
      </c>
      <c r="L352">
        <f>VLOOKUP(A352,NYSEARCAGSG!A$2:G$506,4,0)</f>
        <v>15.18</v>
      </c>
      <c r="M352">
        <f>VLOOKUP(A352,NYSEARCAGLD!A$2:G$506,4,0)</f>
        <v>119.92</v>
      </c>
      <c r="N352">
        <f>VLOOKUP(A352,NYSEBP!A$2:G$506,4,0)</f>
        <v>36.42</v>
      </c>
      <c r="O352">
        <f>VLOOKUP(A352,NASDAQYHOO!A$2:G$506,4,0)</f>
        <v>43.25</v>
      </c>
    </row>
    <row r="353" spans="1:15">
      <c r="A353" s="39">
        <v>42654</v>
      </c>
      <c r="B353">
        <v>67.3</v>
      </c>
      <c r="C353">
        <f>VLOOKUP(A353,NYSEARCAVTI!A$2:G$506,4,0)</f>
        <v>109.24</v>
      </c>
      <c r="D353">
        <f>VLOOKUP(A353,NYSEARCAVEU!A$2:G$506,4,0)</f>
        <v>44.5</v>
      </c>
      <c r="E353">
        <f>VLOOKUP(A353,NYSEARCAVWO!A$2:G$506,4,0)</f>
        <v>37.32</v>
      </c>
      <c r="F353">
        <f>VLOOKUP(A353,NYSEARCABND!A$2:G$506,4,0)</f>
        <v>83.28</v>
      </c>
      <c r="G353">
        <f>VLOOKUP(A353,NYSEARCATIP!A$2:G$506,4,0)</f>
        <v>115.37</v>
      </c>
      <c r="H353">
        <f>VLOOKUP(A353,NYSEARCAMUB!A$2:G$506,4,0)</f>
        <v>111.7</v>
      </c>
      <c r="I353">
        <f>VLOOKUP(A353,NYSEARCAVNQ!A$2:G$506,4,0)</f>
        <v>81.64</v>
      </c>
      <c r="J353">
        <f>VLOOKUP(A353,NYSEARCARWX!A$2:G$506,4,0)</f>
        <v>38.799999999999997</v>
      </c>
      <c r="K353">
        <f>VLOOKUP(A353,NYSEARCADBC!A$2:G$506,4,0)</f>
        <v>15.2</v>
      </c>
      <c r="L353">
        <f>VLOOKUP(A353,NYSEARCAGSG!A$2:G$506,4,0)</f>
        <v>15.16</v>
      </c>
      <c r="M353">
        <f>VLOOKUP(A353,NYSEARCAGLD!A$2:G$506,4,0)</f>
        <v>119.53</v>
      </c>
      <c r="N353">
        <f>VLOOKUP(A353,NYSEBP!A$2:G$506,4,0)</f>
        <v>35.619999999999997</v>
      </c>
      <c r="O353">
        <f>VLOOKUP(A353,NASDAQYHOO!A$2:G$506,4,0)</f>
        <v>42.49</v>
      </c>
    </row>
    <row r="354" spans="1:15">
      <c r="A354" s="39">
        <v>42655</v>
      </c>
      <c r="B354">
        <v>67.37</v>
      </c>
      <c r="C354">
        <f>VLOOKUP(A354,NYSEARCAVTI!A$2:G$506,4,0)</f>
        <v>109.46</v>
      </c>
      <c r="D354">
        <f>VLOOKUP(A354,NYSEARCAVEU!A$2:G$506,4,0)</f>
        <v>44.46</v>
      </c>
      <c r="E354">
        <f>VLOOKUP(A354,NYSEARCAVWO!A$2:G$506,4,0)</f>
        <v>37.26</v>
      </c>
      <c r="F354">
        <f>VLOOKUP(A354,NYSEARCABND!A$2:G$506,4,0)</f>
        <v>83.23</v>
      </c>
      <c r="G354">
        <f>VLOOKUP(A354,NYSEARCATIP!A$2:G$506,4,0)</f>
        <v>115.23</v>
      </c>
      <c r="H354">
        <f>VLOOKUP(A354,NYSEARCAMUB!A$2:G$506,4,0)</f>
        <v>111.54</v>
      </c>
      <c r="I354">
        <f>VLOOKUP(A354,NYSEARCAVNQ!A$2:G$506,4,0)</f>
        <v>81.86</v>
      </c>
      <c r="J354">
        <f>VLOOKUP(A354,NYSEARCARWX!A$2:G$506,4,0)</f>
        <v>38.729999999999997</v>
      </c>
      <c r="K354">
        <f>VLOOKUP(A354,NYSEARCADBC!A$2:G$506,4,0)</f>
        <v>15.14</v>
      </c>
      <c r="L354">
        <f>VLOOKUP(A354,NYSEARCAGSG!A$2:G$506,4,0)</f>
        <v>15.07</v>
      </c>
      <c r="M354">
        <f>VLOOKUP(A354,NYSEARCAGLD!A$2:G$506,4,0)</f>
        <v>119.29</v>
      </c>
      <c r="N354">
        <f>VLOOKUP(A354,NYSEBP!A$2:G$506,4,0)</f>
        <v>35.6</v>
      </c>
      <c r="O354">
        <f>VLOOKUP(A354,NASDAQYHOO!A$2:G$506,4,0)</f>
        <v>42.05</v>
      </c>
    </row>
    <row r="355" spans="1:15">
      <c r="A355" s="39">
        <v>42656</v>
      </c>
      <c r="B355">
        <v>67.069999999999993</v>
      </c>
      <c r="C355">
        <f>VLOOKUP(A355,NYSEARCAVTI!A$2:G$506,4,0)</f>
        <v>108.48</v>
      </c>
      <c r="D355">
        <f>VLOOKUP(A355,NYSEARCAVEU!A$2:G$506,4,0)</f>
        <v>43.92</v>
      </c>
      <c r="E355">
        <f>VLOOKUP(A355,NYSEARCAVWO!A$2:G$506,4,0)</f>
        <v>36.75</v>
      </c>
      <c r="F355">
        <f>VLOOKUP(A355,NYSEARCABND!A$2:G$506,4,0)</f>
        <v>83.43</v>
      </c>
      <c r="G355">
        <f>VLOOKUP(A355,NYSEARCATIP!A$2:G$506,4,0)</f>
        <v>115.36</v>
      </c>
      <c r="H355">
        <f>VLOOKUP(A355,NYSEARCAMUB!A$2:G$506,4,0)</f>
        <v>111.55</v>
      </c>
      <c r="I355">
        <f>VLOOKUP(A355,NYSEARCAVNQ!A$2:G$506,4,0)</f>
        <v>82.22</v>
      </c>
      <c r="J355">
        <f>VLOOKUP(A355,NYSEARCARWX!A$2:G$506,4,0)</f>
        <v>38.880000000000003</v>
      </c>
      <c r="K355">
        <f>VLOOKUP(A355,NYSEARCADBC!A$2:G$506,4,0)</f>
        <v>15.07</v>
      </c>
      <c r="L355">
        <f>VLOOKUP(A355,NYSEARCAGSG!A$2:G$506,4,0)</f>
        <v>15.02</v>
      </c>
      <c r="M355">
        <f>VLOOKUP(A355,NYSEARCAGLD!A$2:G$506,4,0)</f>
        <v>119.8</v>
      </c>
      <c r="N355">
        <f>VLOOKUP(A355,NYSEBP!A$2:G$506,4,0)</f>
        <v>35.29</v>
      </c>
      <c r="O355">
        <f>VLOOKUP(A355,NASDAQYHOO!A$2:G$506,4,0)</f>
        <v>41.17</v>
      </c>
    </row>
    <row r="356" spans="1:15">
      <c r="A356" s="39">
        <v>42657</v>
      </c>
      <c r="B356">
        <v>68.209999999999994</v>
      </c>
      <c r="C356">
        <f>VLOOKUP(A356,NYSEARCAVTI!A$2:G$506,4,0)</f>
        <v>109.36</v>
      </c>
      <c r="D356">
        <f>VLOOKUP(A356,NYSEARCAVEU!A$2:G$506,4,0)</f>
        <v>44.46</v>
      </c>
      <c r="E356">
        <f>VLOOKUP(A356,NYSEARCAVWO!A$2:G$506,4,0)</f>
        <v>37.26</v>
      </c>
      <c r="F356">
        <f>VLOOKUP(A356,NYSEARCABND!A$2:G$506,4,0)</f>
        <v>83.26</v>
      </c>
      <c r="G356">
        <f>VLOOKUP(A356,NYSEARCATIP!A$2:G$506,4,0)</f>
        <v>115.4</v>
      </c>
      <c r="H356">
        <f>VLOOKUP(A356,NYSEARCAMUB!A$2:G$506,4,0)</f>
        <v>111.41</v>
      </c>
      <c r="I356">
        <f>VLOOKUP(A356,NYSEARCAVNQ!A$2:G$506,4,0)</f>
        <v>82.91</v>
      </c>
      <c r="J356">
        <f>VLOOKUP(A356,NYSEARCARWX!A$2:G$506,4,0)</f>
        <v>39.119999999999997</v>
      </c>
      <c r="K356">
        <f>VLOOKUP(A356,NYSEARCADBC!A$2:G$506,4,0)</f>
        <v>15.21</v>
      </c>
      <c r="L356">
        <f>VLOOKUP(A356,NYSEARCAGSG!A$2:G$506,4,0)</f>
        <v>15.11</v>
      </c>
      <c r="M356">
        <f>VLOOKUP(A356,NYSEARCAGLD!A$2:G$506,4,0)</f>
        <v>119.29</v>
      </c>
      <c r="N356">
        <f>VLOOKUP(A356,NYSEBP!A$2:G$506,4,0)</f>
        <v>35.78</v>
      </c>
      <c r="O356">
        <f>VLOOKUP(A356,NASDAQYHOO!A$2:G$506,4,0)</f>
        <v>41.4</v>
      </c>
    </row>
    <row r="357" spans="1:15">
      <c r="A357" s="39">
        <v>42660</v>
      </c>
      <c r="B357">
        <v>67.8</v>
      </c>
      <c r="C357">
        <f>VLOOKUP(A357,NYSEARCAVTI!A$2:G$506,4,0)</f>
        <v>108.94</v>
      </c>
      <c r="D357">
        <f>VLOOKUP(A357,NYSEARCAVEU!A$2:G$506,4,0)</f>
        <v>44.34</v>
      </c>
      <c r="E357">
        <f>VLOOKUP(A357,NYSEARCAVWO!A$2:G$506,4,0)</f>
        <v>37.19</v>
      </c>
      <c r="F357">
        <f>VLOOKUP(A357,NYSEARCABND!A$2:G$506,4,0)</f>
        <v>83.28</v>
      </c>
      <c r="G357">
        <f>VLOOKUP(A357,NYSEARCATIP!A$2:G$506,4,0)</f>
        <v>115.72</v>
      </c>
      <c r="H357">
        <f>VLOOKUP(A357,NYSEARCAMUB!A$2:G$506,4,0)</f>
        <v>111.41</v>
      </c>
      <c r="I357">
        <f>VLOOKUP(A357,NYSEARCAVNQ!A$2:G$506,4,0)</f>
        <v>83.08</v>
      </c>
      <c r="J357">
        <f>VLOOKUP(A357,NYSEARCARWX!A$2:G$506,4,0)</f>
        <v>38.869999999999997</v>
      </c>
      <c r="K357">
        <f>VLOOKUP(A357,NYSEARCADBC!A$2:G$506,4,0)</f>
        <v>15.16</v>
      </c>
      <c r="L357">
        <f>VLOOKUP(A357,NYSEARCAGSG!A$2:G$506,4,0)</f>
        <v>15.04</v>
      </c>
      <c r="M357">
        <f>VLOOKUP(A357,NYSEARCAGLD!A$2:G$506,4,0)</f>
        <v>119.58</v>
      </c>
      <c r="N357">
        <f>VLOOKUP(A357,NYSEBP!A$2:G$506,4,0)</f>
        <v>35.380000000000003</v>
      </c>
      <c r="O357">
        <f>VLOOKUP(A357,NASDAQYHOO!A$2:G$506,4,0)</f>
        <v>41.24</v>
      </c>
    </row>
    <row r="358" spans="1:15">
      <c r="A358" s="39">
        <v>42661</v>
      </c>
      <c r="B358">
        <v>68.23</v>
      </c>
      <c r="C358">
        <f>VLOOKUP(A358,NYSEARCAVTI!A$2:G$506,4,0)</f>
        <v>109.5</v>
      </c>
      <c r="D358">
        <f>VLOOKUP(A358,NYSEARCAVEU!A$2:G$506,4,0)</f>
        <v>44.81</v>
      </c>
      <c r="E358">
        <f>VLOOKUP(A358,NYSEARCAVWO!A$2:G$506,4,0)</f>
        <v>37.71</v>
      </c>
      <c r="F358">
        <f>VLOOKUP(A358,NYSEARCABND!A$2:G$506,4,0)</f>
        <v>83.37</v>
      </c>
      <c r="G358">
        <f>VLOOKUP(A358,NYSEARCATIP!A$2:G$506,4,0)</f>
        <v>115.8</v>
      </c>
      <c r="H358">
        <f>VLOOKUP(A358,NYSEARCAMUB!A$2:G$506,4,0)</f>
        <v>111.35</v>
      </c>
      <c r="I358">
        <f>VLOOKUP(A358,NYSEARCAVNQ!A$2:G$506,4,0)</f>
        <v>83.5</v>
      </c>
      <c r="J358">
        <f>VLOOKUP(A358,NYSEARCARWX!A$2:G$506,4,0)</f>
        <v>39.380000000000003</v>
      </c>
      <c r="K358">
        <f>VLOOKUP(A358,NYSEARCADBC!A$2:G$506,4,0)</f>
        <v>15.25</v>
      </c>
      <c r="L358">
        <f>VLOOKUP(A358,NYSEARCAGSG!A$2:G$506,4,0)</f>
        <v>15.11</v>
      </c>
      <c r="M358">
        <f>VLOOKUP(A358,NYSEARCAGLD!A$2:G$506,4,0)</f>
        <v>119.82</v>
      </c>
      <c r="N358">
        <f>VLOOKUP(A358,NYSEBP!A$2:G$506,4,0)</f>
        <v>35.880000000000003</v>
      </c>
      <c r="O358">
        <f>VLOOKUP(A358,NASDAQYHOO!A$2:G$506,4,0)</f>
        <v>41.63</v>
      </c>
    </row>
    <row r="359" spans="1:15">
      <c r="A359" s="39">
        <v>42662</v>
      </c>
      <c r="B359">
        <v>68.7</v>
      </c>
      <c r="C359">
        <f>VLOOKUP(A359,NYSEARCAVTI!A$2:G$506,4,0)</f>
        <v>109.62</v>
      </c>
      <c r="D359">
        <f>VLOOKUP(A359,NYSEARCAVEU!A$2:G$506,4,0)</f>
        <v>44.96</v>
      </c>
      <c r="E359">
        <f>VLOOKUP(A359,NYSEARCAVWO!A$2:G$506,4,0)</f>
        <v>37.909999999999997</v>
      </c>
      <c r="F359">
        <f>VLOOKUP(A359,NYSEARCABND!A$2:G$506,4,0)</f>
        <v>83.5</v>
      </c>
      <c r="G359">
        <f>VLOOKUP(A359,NYSEARCATIP!A$2:G$506,4,0)</f>
        <v>115.86</v>
      </c>
      <c r="H359">
        <f>VLOOKUP(A359,NYSEARCAMUB!A$2:G$506,4,0)</f>
        <v>111.33</v>
      </c>
      <c r="I359">
        <f>VLOOKUP(A359,NYSEARCAVNQ!A$2:G$506,4,0)</f>
        <v>83.34</v>
      </c>
      <c r="J359">
        <f>VLOOKUP(A359,NYSEARCARWX!A$2:G$506,4,0)</f>
        <v>39.49</v>
      </c>
      <c r="K359">
        <f>VLOOKUP(A359,NYSEARCADBC!A$2:G$506,4,0)</f>
        <v>15.33</v>
      </c>
      <c r="L359">
        <f>VLOOKUP(A359,NYSEARCAGSG!A$2:G$506,4,0)</f>
        <v>15.19</v>
      </c>
      <c r="M359">
        <f>VLOOKUP(A359,NYSEARCAGLD!A$2:G$506,4,0)</f>
        <v>120.89</v>
      </c>
      <c r="N359">
        <f>VLOOKUP(A359,NYSEBP!A$2:G$506,4,0)</f>
        <v>36.03</v>
      </c>
      <c r="O359">
        <f>VLOOKUP(A359,NASDAQYHOO!A$2:G$506,4,0)</f>
        <v>42.26</v>
      </c>
    </row>
    <row r="360" spans="1:15">
      <c r="A360" s="39">
        <v>42663</v>
      </c>
      <c r="B360">
        <v>68.569999999999993</v>
      </c>
      <c r="C360">
        <f>VLOOKUP(A360,NYSEARCAVTI!A$2:G$506,4,0)</f>
        <v>109.42</v>
      </c>
      <c r="D360">
        <f>VLOOKUP(A360,NYSEARCAVEU!A$2:G$506,4,0)</f>
        <v>44.93</v>
      </c>
      <c r="E360">
        <f>VLOOKUP(A360,NYSEARCAVWO!A$2:G$506,4,0)</f>
        <v>37.9</v>
      </c>
      <c r="F360">
        <f>VLOOKUP(A360,NYSEARCABND!A$2:G$506,4,0)</f>
        <v>83.53</v>
      </c>
      <c r="G360">
        <f>VLOOKUP(A360,NYSEARCATIP!A$2:G$506,4,0)</f>
        <v>116</v>
      </c>
      <c r="H360">
        <f>VLOOKUP(A360,NYSEARCAMUB!A$2:G$506,4,0)</f>
        <v>111.42</v>
      </c>
      <c r="I360">
        <f>VLOOKUP(A360,NYSEARCAVNQ!A$2:G$506,4,0)</f>
        <v>83.32</v>
      </c>
      <c r="J360">
        <f>VLOOKUP(A360,NYSEARCARWX!A$2:G$506,4,0)</f>
        <v>39.64</v>
      </c>
      <c r="K360">
        <f>VLOOKUP(A360,NYSEARCADBC!A$2:G$506,4,0)</f>
        <v>15.19</v>
      </c>
      <c r="L360">
        <f>VLOOKUP(A360,NYSEARCAGSG!A$2:G$506,4,0)</f>
        <v>15.08</v>
      </c>
      <c r="M360">
        <f>VLOOKUP(A360,NYSEARCAGLD!A$2:G$506,4,0)</f>
        <v>120.63</v>
      </c>
      <c r="N360">
        <f>VLOOKUP(A360,NYSEBP!A$2:G$506,4,0)</f>
        <v>35.79</v>
      </c>
      <c r="O360">
        <f>VLOOKUP(A360,NASDAQYHOO!A$2:G$506,4,0)</f>
        <v>42.07</v>
      </c>
    </row>
    <row r="361" spans="1:15">
      <c r="A361" s="39">
        <v>42664</v>
      </c>
      <c r="B361">
        <v>67.989999999999995</v>
      </c>
      <c r="C361">
        <f>VLOOKUP(A361,NYSEARCAVTI!A$2:G$506,4,0)</f>
        <v>109.2</v>
      </c>
      <c r="D361">
        <f>VLOOKUP(A361,NYSEARCAVEU!A$2:G$506,4,0)</f>
        <v>44.73</v>
      </c>
      <c r="E361">
        <f>VLOOKUP(A361,NYSEARCAVWO!A$2:G$506,4,0)</f>
        <v>37.82</v>
      </c>
      <c r="F361">
        <f>VLOOKUP(A361,NYSEARCABND!A$2:G$506,4,0)</f>
        <v>83.53</v>
      </c>
      <c r="G361">
        <f>VLOOKUP(A361,NYSEARCATIP!A$2:G$506,4,0)</f>
        <v>115.97</v>
      </c>
      <c r="H361">
        <f>VLOOKUP(A361,NYSEARCAMUB!A$2:G$506,4,0)</f>
        <v>111.53</v>
      </c>
      <c r="I361">
        <f>VLOOKUP(A361,NYSEARCAVNQ!A$2:G$506,4,0)</f>
        <v>83.1</v>
      </c>
      <c r="J361">
        <f>VLOOKUP(A361,NYSEARCARWX!A$2:G$506,4,0)</f>
        <v>39.4</v>
      </c>
      <c r="K361">
        <f>VLOOKUP(A361,NYSEARCADBC!A$2:G$506,4,0)</f>
        <v>15.21</v>
      </c>
      <c r="L361">
        <f>VLOOKUP(A361,NYSEARCAGSG!A$2:G$506,4,0)</f>
        <v>15.1</v>
      </c>
      <c r="M361">
        <f>VLOOKUP(A361,NYSEARCAGLD!A$2:G$506,4,0)</f>
        <v>120.55</v>
      </c>
      <c r="N361">
        <f>VLOOKUP(A361,NYSEBP!A$2:G$506,4,0)</f>
        <v>35.909999999999997</v>
      </c>
      <c r="O361">
        <f>VLOOKUP(A361,NASDAQYHOO!A$2:G$506,4,0)</f>
        <v>41.73</v>
      </c>
    </row>
    <row r="362" spans="1:15">
      <c r="A362" s="39">
        <v>42667</v>
      </c>
      <c r="B362">
        <v>68.39</v>
      </c>
      <c r="C362">
        <f>VLOOKUP(A362,NYSEARCAVTI!A$2:G$506,4,0)</f>
        <v>110.13</v>
      </c>
      <c r="D362">
        <f>VLOOKUP(A362,NYSEARCAVEU!A$2:G$506,4,0)</f>
        <v>44.94</v>
      </c>
      <c r="E362">
        <f>VLOOKUP(A362,NYSEARCAVWO!A$2:G$506,4,0)</f>
        <v>38.14</v>
      </c>
      <c r="F362">
        <f>VLOOKUP(A362,NYSEARCABND!A$2:G$506,4,0)</f>
        <v>83.45</v>
      </c>
      <c r="G362">
        <f>VLOOKUP(A362,NYSEARCATIP!A$2:G$506,4,0)</f>
        <v>115.79</v>
      </c>
      <c r="H362">
        <f>VLOOKUP(A362,NYSEARCAMUB!A$2:G$506,4,0)</f>
        <v>111.36</v>
      </c>
      <c r="I362">
        <f>VLOOKUP(A362,NYSEARCAVNQ!A$2:G$506,4,0)</f>
        <v>83.33</v>
      </c>
      <c r="J362">
        <f>VLOOKUP(A362,NYSEARCARWX!A$2:G$506,4,0)</f>
        <v>39.65</v>
      </c>
      <c r="K362">
        <f>VLOOKUP(A362,NYSEARCADBC!A$2:G$506,4,0)</f>
        <v>15.19</v>
      </c>
      <c r="L362">
        <f>VLOOKUP(A362,NYSEARCAGSG!A$2:G$506,4,0)</f>
        <v>15.01</v>
      </c>
      <c r="M362">
        <f>VLOOKUP(A362,NYSEARCAGLD!A$2:G$506,4,0)</f>
        <v>120.16</v>
      </c>
      <c r="N362">
        <f>VLOOKUP(A362,NYSEBP!A$2:G$506,4,0)</f>
        <v>35.58</v>
      </c>
      <c r="O362">
        <f>VLOOKUP(A362,NASDAQYHOO!A$2:G$506,4,0)</f>
        <v>42.38</v>
      </c>
    </row>
    <row r="363" spans="1:15">
      <c r="A363" s="39">
        <v>42668</v>
      </c>
      <c r="B363">
        <v>69</v>
      </c>
      <c r="C363">
        <f>VLOOKUP(A363,NYSEARCAVTI!A$2:G$506,4,0)</f>
        <v>109.79</v>
      </c>
      <c r="D363">
        <f>VLOOKUP(A363,NYSEARCAVEU!A$2:G$506,4,0)</f>
        <v>44.86</v>
      </c>
      <c r="E363">
        <f>VLOOKUP(A363,NYSEARCAVWO!A$2:G$506,4,0)</f>
        <v>38.14</v>
      </c>
      <c r="F363">
        <f>VLOOKUP(A363,NYSEARCABND!A$2:G$506,4,0)</f>
        <v>83.46</v>
      </c>
      <c r="G363">
        <f>VLOOKUP(A363,NYSEARCATIP!A$2:G$506,4,0)</f>
        <v>115.87</v>
      </c>
      <c r="H363">
        <f>VLOOKUP(A363,NYSEARCAMUB!A$2:G$506,4,0)</f>
        <v>111.42</v>
      </c>
      <c r="I363">
        <f>VLOOKUP(A363,NYSEARCAVNQ!A$2:G$506,4,0)</f>
        <v>83.06</v>
      </c>
      <c r="J363">
        <f>VLOOKUP(A363,NYSEARCARWX!A$2:G$506,4,0)</f>
        <v>39.56</v>
      </c>
      <c r="K363">
        <f>VLOOKUP(A363,NYSEARCADBC!A$2:G$506,4,0)</f>
        <v>15.26</v>
      </c>
      <c r="L363">
        <f>VLOOKUP(A363,NYSEARCAGSG!A$2:G$506,4,0)</f>
        <v>15.03</v>
      </c>
      <c r="M363">
        <f>VLOOKUP(A363,NYSEARCAGLD!A$2:G$506,4,0)</f>
        <v>120.86</v>
      </c>
      <c r="N363">
        <f>VLOOKUP(A363,NYSEBP!A$2:G$506,4,0)</f>
        <v>35.92</v>
      </c>
      <c r="O363">
        <f>VLOOKUP(A363,NASDAQYHOO!A$2:G$506,4,0)</f>
        <v>42.43</v>
      </c>
    </row>
    <row r="364" spans="1:15">
      <c r="A364" s="39">
        <v>42669</v>
      </c>
      <c r="B364">
        <v>69.14</v>
      </c>
      <c r="C364">
        <f>VLOOKUP(A364,NYSEARCAVTI!A$2:G$506,4,0)</f>
        <v>109.26</v>
      </c>
      <c r="D364">
        <f>VLOOKUP(A364,NYSEARCAVEU!A$2:G$506,4,0)</f>
        <v>44.65</v>
      </c>
      <c r="E364">
        <f>VLOOKUP(A364,NYSEARCAVWO!A$2:G$506,4,0)</f>
        <v>37.81</v>
      </c>
      <c r="F364">
        <f>VLOOKUP(A364,NYSEARCABND!A$2:G$506,4,0)</f>
        <v>83.34</v>
      </c>
      <c r="G364">
        <f>VLOOKUP(A364,NYSEARCATIP!A$2:G$506,4,0)</f>
        <v>115.78</v>
      </c>
      <c r="H364">
        <f>VLOOKUP(A364,NYSEARCAMUB!A$2:G$506,4,0)</f>
        <v>111.45</v>
      </c>
      <c r="I364">
        <f>VLOOKUP(A364,NYSEARCAVNQ!A$2:G$506,4,0)</f>
        <v>81.849999999999994</v>
      </c>
      <c r="J364">
        <f>VLOOKUP(A364,NYSEARCARWX!A$2:G$506,4,0)</f>
        <v>39.33</v>
      </c>
      <c r="K364">
        <f>VLOOKUP(A364,NYSEARCADBC!A$2:G$506,4,0)</f>
        <v>15.13</v>
      </c>
      <c r="L364">
        <f>VLOOKUP(A364,NYSEARCAGSG!A$2:G$506,4,0)</f>
        <v>14.89</v>
      </c>
      <c r="M364">
        <f>VLOOKUP(A364,NYSEARCAGLD!A$2:G$506,4,0)</f>
        <v>120.61</v>
      </c>
      <c r="N364">
        <f>VLOOKUP(A364,NYSEBP!A$2:G$506,4,0)</f>
        <v>35.47</v>
      </c>
      <c r="O364">
        <f>VLOOKUP(A364,NASDAQYHOO!A$2:G$506,4,0)</f>
        <v>41.95</v>
      </c>
    </row>
    <row r="365" spans="1:15">
      <c r="A365" s="39">
        <v>42670</v>
      </c>
      <c r="B365">
        <v>69.39</v>
      </c>
      <c r="C365">
        <f>VLOOKUP(A365,NYSEARCAVTI!A$2:G$506,4,0)</f>
        <v>109.08</v>
      </c>
      <c r="D365">
        <f>VLOOKUP(A365,NYSEARCAVEU!A$2:G$506,4,0)</f>
        <v>44.65</v>
      </c>
      <c r="E365">
        <f>VLOOKUP(A365,NYSEARCAVWO!A$2:G$506,4,0)</f>
        <v>37.630000000000003</v>
      </c>
      <c r="F365">
        <f>VLOOKUP(A365,NYSEARCABND!A$2:G$506,4,0)</f>
        <v>83.02</v>
      </c>
      <c r="G365">
        <f>VLOOKUP(A365,NYSEARCATIP!A$2:G$506,4,0)</f>
        <v>115.45</v>
      </c>
      <c r="H365">
        <f>VLOOKUP(A365,NYSEARCAMUB!A$2:G$506,4,0)</f>
        <v>111.24</v>
      </c>
      <c r="I365">
        <f>VLOOKUP(A365,NYSEARCAVNQ!A$2:G$506,4,0)</f>
        <v>80.040000000000006</v>
      </c>
      <c r="J365">
        <f>VLOOKUP(A365,NYSEARCARWX!A$2:G$506,4,0)</f>
        <v>38.93</v>
      </c>
      <c r="K365">
        <f>VLOOKUP(A365,NYSEARCADBC!A$2:G$506,4,0)</f>
        <v>15.18</v>
      </c>
      <c r="L365">
        <f>VLOOKUP(A365,NYSEARCAGSG!A$2:G$506,4,0)</f>
        <v>14.98</v>
      </c>
      <c r="M365">
        <f>VLOOKUP(A365,NYSEARCAGLD!A$2:G$506,4,0)</f>
        <v>120.75</v>
      </c>
      <c r="N365">
        <f>VLOOKUP(A365,NYSEBP!A$2:G$506,4,0)</f>
        <v>35.85</v>
      </c>
      <c r="O365">
        <f>VLOOKUP(A365,NASDAQYHOO!A$2:G$506,4,0)</f>
        <v>41.81</v>
      </c>
    </row>
    <row r="366" spans="1:15">
      <c r="A366" s="39">
        <v>42671</v>
      </c>
      <c r="B366">
        <v>69.73</v>
      </c>
      <c r="C366">
        <f>VLOOKUP(A366,NYSEARCAVTI!A$2:G$506,4,0)</f>
        <v>108.47</v>
      </c>
      <c r="D366">
        <f>VLOOKUP(A366,NYSEARCAVEU!A$2:G$506,4,0)</f>
        <v>44.48</v>
      </c>
      <c r="E366">
        <f>VLOOKUP(A366,NYSEARCAVWO!A$2:G$506,4,0)</f>
        <v>37.299999999999997</v>
      </c>
      <c r="F366">
        <f>VLOOKUP(A366,NYSEARCABND!A$2:G$506,4,0)</f>
        <v>83.07</v>
      </c>
      <c r="G366">
        <f>VLOOKUP(A366,NYSEARCATIP!A$2:G$506,4,0)</f>
        <v>115.47</v>
      </c>
      <c r="H366">
        <f>VLOOKUP(A366,NYSEARCAMUB!A$2:G$506,4,0)</f>
        <v>111.25</v>
      </c>
      <c r="I366">
        <f>VLOOKUP(A366,NYSEARCAVNQ!A$2:G$506,4,0)</f>
        <v>80.150000000000006</v>
      </c>
      <c r="J366">
        <f>VLOOKUP(A366,NYSEARCARWX!A$2:G$506,4,0)</f>
        <v>38.619999999999997</v>
      </c>
      <c r="K366">
        <f>VLOOKUP(A366,NYSEARCADBC!A$2:G$506,4,0)</f>
        <v>15.12</v>
      </c>
      <c r="L366">
        <f>VLOOKUP(A366,NYSEARCAGSG!A$2:G$506,4,0)</f>
        <v>14.91</v>
      </c>
      <c r="M366">
        <f>VLOOKUP(A366,NYSEARCAGLD!A$2:G$506,4,0)</f>
        <v>120.81</v>
      </c>
      <c r="N366">
        <f>VLOOKUP(A366,NYSEBP!A$2:G$506,4,0)</f>
        <v>35.54</v>
      </c>
      <c r="O366">
        <f>VLOOKUP(A366,NASDAQYHOO!A$2:G$506,4,0)</f>
        <v>41.71</v>
      </c>
    </row>
    <row r="367" spans="1:15">
      <c r="A367" s="39">
        <v>42674</v>
      </c>
      <c r="B367">
        <v>69.849999999999994</v>
      </c>
      <c r="C367">
        <f>VLOOKUP(A367,NYSEARCAVTI!A$2:G$506,4,0)</f>
        <v>108.8</v>
      </c>
      <c r="D367">
        <f>VLOOKUP(A367,NYSEARCAVEU!A$2:G$506,4,0)</f>
        <v>44.53</v>
      </c>
      <c r="E367">
        <f>VLOOKUP(A367,NYSEARCAVWO!A$2:G$506,4,0)</f>
        <v>37.57</v>
      </c>
      <c r="F367">
        <f>VLOOKUP(A367,NYSEARCABND!A$2:G$506,4,0)</f>
        <v>83.14</v>
      </c>
      <c r="G367">
        <f>VLOOKUP(A367,NYSEARCATIP!A$2:G$506,4,0)</f>
        <v>115.67</v>
      </c>
      <c r="H367">
        <f>VLOOKUP(A367,NYSEARCAMUB!A$2:G$506,4,0)</f>
        <v>111.38</v>
      </c>
      <c r="I367">
        <f>VLOOKUP(A367,NYSEARCAVNQ!A$2:G$506,4,0)</f>
        <v>80.47</v>
      </c>
      <c r="J367">
        <f>VLOOKUP(A367,NYSEARCARWX!A$2:G$506,4,0)</f>
        <v>38.840000000000003</v>
      </c>
      <c r="K367">
        <f>VLOOKUP(A367,NYSEARCADBC!A$2:G$506,4,0)</f>
        <v>14.94</v>
      </c>
      <c r="L367">
        <f>VLOOKUP(A367,NYSEARCAGSG!A$2:G$506,4,0)</f>
        <v>14.56</v>
      </c>
      <c r="M367">
        <f>VLOOKUP(A367,NYSEARCAGLD!A$2:G$506,4,0)</f>
        <v>121.23</v>
      </c>
      <c r="N367">
        <f>VLOOKUP(A367,NYSEBP!A$2:G$506,4,0)</f>
        <v>35.31</v>
      </c>
      <c r="O367">
        <f>VLOOKUP(A367,NASDAQYHOO!A$2:G$506,4,0)</f>
        <v>41.55</v>
      </c>
    </row>
    <row r="368" spans="1:15">
      <c r="A368" s="39">
        <v>42675</v>
      </c>
      <c r="B368">
        <v>69.14</v>
      </c>
      <c r="C368">
        <f>VLOOKUP(A368,NYSEARCAVTI!A$2:G$506,4,0)</f>
        <v>107.39</v>
      </c>
      <c r="D368">
        <f>VLOOKUP(A368,NYSEARCAVEU!A$2:G$506,4,0)</f>
        <v>44.28</v>
      </c>
      <c r="E368">
        <f>VLOOKUP(A368,NYSEARCAVWO!A$2:G$506,4,0)</f>
        <v>37.15</v>
      </c>
      <c r="F368">
        <f>VLOOKUP(A368,NYSEARCABND!A$2:G$506,4,0)</f>
        <v>82.83</v>
      </c>
      <c r="G368">
        <f>VLOOKUP(A368,NYSEARCATIP!A$2:G$506,4,0)</f>
        <v>115.5</v>
      </c>
      <c r="H368">
        <f>VLOOKUP(A368,NYSEARCAMUB!A$2:G$506,4,0)</f>
        <v>111.09</v>
      </c>
      <c r="I368">
        <f>VLOOKUP(A368,NYSEARCAVNQ!A$2:G$506,4,0)</f>
        <v>79.7</v>
      </c>
      <c r="J368">
        <f>VLOOKUP(A368,NYSEARCARWX!A$2:G$506,4,0)</f>
        <v>38.68</v>
      </c>
      <c r="K368">
        <f>VLOOKUP(A368,NYSEARCADBC!A$2:G$506,4,0)</f>
        <v>14.96</v>
      </c>
      <c r="L368">
        <f>VLOOKUP(A368,NYSEARCAGSG!A$2:G$506,4,0)</f>
        <v>14.49</v>
      </c>
      <c r="M368">
        <f>VLOOKUP(A368,NYSEARCAGLD!A$2:G$506,4,0)</f>
        <v>122.57</v>
      </c>
      <c r="N368">
        <f>VLOOKUP(A368,NYSEBP!A$2:G$506,4,0)</f>
        <v>33.83</v>
      </c>
      <c r="O368">
        <f>VLOOKUP(A368,NASDAQYHOO!A$2:G$506,4,0)</f>
        <v>40.69</v>
      </c>
    </row>
    <row r="369" spans="1:15">
      <c r="A369" s="39">
        <v>42676</v>
      </c>
      <c r="B369">
        <v>69.2</v>
      </c>
      <c r="C369">
        <f>VLOOKUP(A369,NYSEARCAVTI!A$2:G$506,4,0)</f>
        <v>107.11</v>
      </c>
      <c r="D369">
        <f>VLOOKUP(A369,NYSEARCAVEU!A$2:G$506,4,0)</f>
        <v>44.04</v>
      </c>
      <c r="E369">
        <f>VLOOKUP(A369,NYSEARCAVWO!A$2:G$506,4,0)</f>
        <v>36.869999999999997</v>
      </c>
      <c r="F369">
        <f>VLOOKUP(A369,NYSEARCABND!A$2:G$506,4,0)</f>
        <v>83</v>
      </c>
      <c r="G369">
        <f>VLOOKUP(A369,NYSEARCATIP!A$2:G$506,4,0)</f>
        <v>115.8</v>
      </c>
      <c r="H369">
        <f>VLOOKUP(A369,NYSEARCAMUB!A$2:G$506,4,0)</f>
        <v>111.27</v>
      </c>
      <c r="I369">
        <f>VLOOKUP(A369,NYSEARCAVNQ!A$2:G$506,4,0)</f>
        <v>78.790000000000006</v>
      </c>
      <c r="J369">
        <f>VLOOKUP(A369,NYSEARCARWX!A$2:G$506,4,0)</f>
        <v>38.840000000000003</v>
      </c>
      <c r="K369">
        <f>VLOOKUP(A369,NYSEARCADBC!A$2:G$506,4,0)</f>
        <v>14.3</v>
      </c>
      <c r="L369">
        <f>VLOOKUP(A369,NYSEARCAGSG!A$2:G$506,4,0)</f>
        <v>14.24</v>
      </c>
      <c r="M369">
        <f>VLOOKUP(A369,NYSEARCAGLD!A$2:G$506,4,0)</f>
        <v>123.56</v>
      </c>
      <c r="N369">
        <f>VLOOKUP(A369,NYSEBP!A$2:G$506,4,0)</f>
        <v>33.76</v>
      </c>
      <c r="O369">
        <f>VLOOKUP(A369,NASDAQYHOO!A$2:G$506,4,0)</f>
        <v>40.36</v>
      </c>
    </row>
    <row r="370" spans="1:15">
      <c r="A370" s="39">
        <v>42677</v>
      </c>
      <c r="B370">
        <v>69.349999999999994</v>
      </c>
      <c r="C370">
        <f>VLOOKUP(A370,NYSEARCAVTI!A$2:G$506,4,0)</f>
        <v>106.71</v>
      </c>
      <c r="D370">
        <f>VLOOKUP(A370,NYSEARCAVEU!A$2:G$506,4,0)</f>
        <v>43.99</v>
      </c>
      <c r="E370">
        <f>VLOOKUP(A370,NYSEARCAVWO!A$2:G$506,4,0)</f>
        <v>36.82</v>
      </c>
      <c r="F370">
        <f>VLOOKUP(A370,NYSEARCABND!A$2:G$506,4,0)</f>
        <v>83.01</v>
      </c>
      <c r="G370">
        <f>VLOOKUP(A370,NYSEARCATIP!A$2:G$506,4,0)</f>
        <v>115.53</v>
      </c>
      <c r="H370">
        <f>VLOOKUP(A370,NYSEARCAMUB!A$2:G$506,4,0)</f>
        <v>111.32</v>
      </c>
      <c r="I370">
        <f>VLOOKUP(A370,NYSEARCAVNQ!A$2:G$506,4,0)</f>
        <v>78.180000000000007</v>
      </c>
      <c r="J370">
        <f>VLOOKUP(A370,NYSEARCARWX!A$2:G$506,4,0)</f>
        <v>38.9</v>
      </c>
      <c r="K370">
        <f>VLOOKUP(A370,NYSEARCADBC!A$2:G$506,4,0)</f>
        <v>14.76</v>
      </c>
      <c r="L370">
        <f>VLOOKUP(A370,NYSEARCAGSG!A$2:G$506,4,0)</f>
        <v>14.17</v>
      </c>
      <c r="M370">
        <f>VLOOKUP(A370,NYSEARCAGLD!A$2:G$506,4,0)</f>
        <v>123.35</v>
      </c>
      <c r="N370">
        <f>VLOOKUP(A370,NYSEBP!A$2:G$506,4,0)</f>
        <v>33.700000000000003</v>
      </c>
      <c r="O370">
        <f>VLOOKUP(A370,NASDAQYHOO!A$2:G$506,4,0)</f>
        <v>40.18</v>
      </c>
    </row>
    <row r="371" spans="1:15">
      <c r="A371" s="39">
        <v>42678</v>
      </c>
      <c r="B371">
        <v>69.13</v>
      </c>
      <c r="C371">
        <f>VLOOKUP(A371,NYSEARCAVTI!A$2:G$506,4,0)</f>
        <v>106.69</v>
      </c>
      <c r="D371">
        <f>VLOOKUP(A371,NYSEARCAVEU!A$2:G$506,4,0)</f>
        <v>43.63</v>
      </c>
      <c r="E371">
        <f>VLOOKUP(A371,NYSEARCAVWO!A$2:G$506,4,0)</f>
        <v>36.479999999999997</v>
      </c>
      <c r="F371">
        <f>VLOOKUP(A371,NYSEARCABND!A$2:G$506,4,0)</f>
        <v>83.08</v>
      </c>
      <c r="G371">
        <f>VLOOKUP(A371,NYSEARCATIP!A$2:G$506,4,0)</f>
        <v>115.63</v>
      </c>
      <c r="H371">
        <f>VLOOKUP(A371,NYSEARCAMUB!A$2:G$506,4,0)</f>
        <v>111.42</v>
      </c>
      <c r="I371">
        <f>VLOOKUP(A371,NYSEARCAVNQ!A$2:G$506,4,0)</f>
        <v>78.06</v>
      </c>
      <c r="J371">
        <f>VLOOKUP(A371,NYSEARCARWX!A$2:G$506,4,0)</f>
        <v>38.659999999999997</v>
      </c>
      <c r="K371">
        <f>VLOOKUP(A371,NYSEARCADBC!A$2:G$506,4,0)</f>
        <v>14.62</v>
      </c>
      <c r="L371">
        <f>VLOOKUP(A371,NYSEARCAGSG!A$2:G$506,4,0)</f>
        <v>14.02</v>
      </c>
      <c r="M371">
        <f>VLOOKUP(A371,NYSEARCAGLD!A$2:G$506,4,0)</f>
        <v>124.04</v>
      </c>
      <c r="N371">
        <f>VLOOKUP(A371,NYSEBP!A$2:G$506,4,0)</f>
        <v>33.479999999999997</v>
      </c>
      <c r="O371">
        <f>VLOOKUP(A371,NASDAQYHOO!A$2:G$506,4,0)</f>
        <v>39.799999999999997</v>
      </c>
    </row>
    <row r="372" spans="1:15">
      <c r="A372" s="39">
        <v>42681</v>
      </c>
      <c r="B372">
        <v>69.16</v>
      </c>
      <c r="C372">
        <f>VLOOKUP(A372,NYSEARCAVTI!A$2:G$506,4,0)</f>
        <v>108.21</v>
      </c>
      <c r="D372">
        <f>VLOOKUP(A372,NYSEARCAVEU!A$2:G$506,4,0)</f>
        <v>44.24</v>
      </c>
      <c r="E372">
        <f>VLOOKUP(A372,NYSEARCAVWO!A$2:G$506,4,0)</f>
        <v>37.39</v>
      </c>
      <c r="F372">
        <f>VLOOKUP(A372,NYSEARCABND!A$2:G$506,4,0)</f>
        <v>83.06</v>
      </c>
      <c r="G372">
        <f>VLOOKUP(A372,NYSEARCATIP!A$2:G$506,4,0)</f>
        <v>115.65</v>
      </c>
      <c r="H372">
        <f>VLOOKUP(A372,NYSEARCAMUB!A$2:G$506,4,0)</f>
        <v>111.3</v>
      </c>
      <c r="I372">
        <f>VLOOKUP(A372,NYSEARCAVNQ!A$2:G$506,4,0)</f>
        <v>79.41</v>
      </c>
      <c r="J372">
        <f>VLOOKUP(A372,NYSEARCARWX!A$2:G$506,4,0)</f>
        <v>38.85</v>
      </c>
      <c r="K372">
        <f>VLOOKUP(A372,NYSEARCADBC!A$2:G$506,4,0)</f>
        <v>14.64</v>
      </c>
      <c r="L372">
        <f>VLOOKUP(A372,NYSEARCAGSG!A$2:G$506,4,0)</f>
        <v>14.05</v>
      </c>
      <c r="M372">
        <f>VLOOKUP(A372,NYSEARCAGLD!A$2:G$506,4,0)</f>
        <v>121.88</v>
      </c>
      <c r="N372">
        <f>VLOOKUP(A372,NYSEBP!A$2:G$506,4,0)</f>
        <v>33.700000000000003</v>
      </c>
      <c r="O372">
        <f>VLOOKUP(A372,NASDAQYHOO!A$2:G$506,4,0)</f>
        <v>40.86</v>
      </c>
    </row>
    <row r="373" spans="1:15">
      <c r="A373" s="39">
        <v>42682</v>
      </c>
      <c r="B373">
        <v>69.47</v>
      </c>
      <c r="C373">
        <f>VLOOKUP(A373,NYSEARCAVTI!A$2:G$506,4,0)</f>
        <v>108.73</v>
      </c>
      <c r="D373">
        <f>VLOOKUP(A373,NYSEARCAVEU!A$2:G$506,4,0)</f>
        <v>44.23</v>
      </c>
      <c r="E373">
        <f>VLOOKUP(A373,NYSEARCAVWO!A$2:G$506,4,0)</f>
        <v>37.54</v>
      </c>
      <c r="F373">
        <f>VLOOKUP(A373,NYSEARCABND!A$2:G$506,4,0)</f>
        <v>82.9</v>
      </c>
      <c r="G373">
        <f>VLOOKUP(A373,NYSEARCATIP!A$2:G$506,4,0)</f>
        <v>115.54</v>
      </c>
      <c r="H373">
        <f>VLOOKUP(A373,NYSEARCAMUB!A$2:G$506,4,0)</f>
        <v>111.32</v>
      </c>
      <c r="I373">
        <f>VLOOKUP(A373,NYSEARCAVNQ!A$2:G$506,4,0)</f>
        <v>79.8</v>
      </c>
      <c r="J373">
        <f>VLOOKUP(A373,NYSEARCARWX!A$2:G$506,4,0)</f>
        <v>38.92</v>
      </c>
      <c r="K373">
        <f>VLOOKUP(A373,NYSEARCADBC!A$2:G$506,4,0)</f>
        <v>14.65</v>
      </c>
      <c r="L373">
        <f>VLOOKUP(A373,NYSEARCAGSG!A$2:G$506,4,0)</f>
        <v>14.09</v>
      </c>
      <c r="M373">
        <f>VLOOKUP(A373,NYSEARCAGLD!A$2:G$506,4,0)</f>
        <v>121.36</v>
      </c>
      <c r="N373">
        <f>VLOOKUP(A373,NYSEBP!A$2:G$506,4,0)</f>
        <v>33.32</v>
      </c>
      <c r="O373">
        <f>VLOOKUP(A373,NASDAQYHOO!A$2:G$506,4,0)</f>
        <v>40.68</v>
      </c>
    </row>
    <row r="374" spans="1:15">
      <c r="A374" s="39">
        <v>42683</v>
      </c>
      <c r="B374">
        <v>69.290000000000006</v>
      </c>
      <c r="C374">
        <f>VLOOKUP(A374,NYSEARCAVTI!A$2:G$506,4,0)</f>
        <v>108.5</v>
      </c>
      <c r="D374">
        <f>VLOOKUP(A374,NYSEARCAVEU!A$2:G$506,4,0)</f>
        <v>44.01</v>
      </c>
      <c r="E374">
        <f>VLOOKUP(A374,NYSEARCAVWO!A$2:G$506,4,0)</f>
        <v>36.700000000000003</v>
      </c>
      <c r="F374">
        <f>VLOOKUP(A374,NYSEARCABND!A$2:G$506,4,0)</f>
        <v>82.02</v>
      </c>
      <c r="G374">
        <f>VLOOKUP(A374,NYSEARCATIP!A$2:G$506,4,0)</f>
        <v>114.72</v>
      </c>
      <c r="H374">
        <f>VLOOKUP(A374,NYSEARCAMUB!A$2:G$506,4,0)</f>
        <v>110.34</v>
      </c>
      <c r="I374">
        <f>VLOOKUP(A374,NYSEARCAVNQ!A$2:G$506,4,0)</f>
        <v>77.77</v>
      </c>
      <c r="J374">
        <f>VLOOKUP(A374,NYSEARCARWX!A$2:G$506,4,0)</f>
        <v>38.659999999999997</v>
      </c>
      <c r="K374">
        <f>VLOOKUP(A374,NYSEARCADBC!A$2:G$506,4,0)</f>
        <v>14.68</v>
      </c>
      <c r="L374">
        <f>VLOOKUP(A374,NYSEARCAGSG!A$2:G$506,4,0)</f>
        <v>14.12</v>
      </c>
      <c r="M374">
        <f>VLOOKUP(A374,NYSEARCAGLD!A$2:G$506,4,0)</f>
        <v>121.1</v>
      </c>
      <c r="N374">
        <f>VLOOKUP(A374,NYSEBP!A$2:G$506,4,0)</f>
        <v>33.19</v>
      </c>
      <c r="O374">
        <f>VLOOKUP(A374,NASDAQYHOO!A$2:G$506,4,0)</f>
        <v>40.22</v>
      </c>
    </row>
    <row r="375" spans="1:15">
      <c r="A375" s="39">
        <v>42684</v>
      </c>
      <c r="B375">
        <v>71</v>
      </c>
      <c r="C375">
        <f>VLOOKUP(A375,NYSEARCAVTI!A$2:G$506,4,0)</f>
        <v>110.48</v>
      </c>
      <c r="D375">
        <f>VLOOKUP(A375,NYSEARCAVEU!A$2:G$506,4,0)</f>
        <v>43.77</v>
      </c>
      <c r="E375">
        <f>VLOOKUP(A375,NYSEARCAVWO!A$2:G$506,4,0)</f>
        <v>35.74</v>
      </c>
      <c r="F375">
        <f>VLOOKUP(A375,NYSEARCABND!A$2:G$506,4,0)</f>
        <v>81.739999999999995</v>
      </c>
      <c r="G375">
        <f>VLOOKUP(A375,NYSEARCATIP!A$2:G$506,4,0)</f>
        <v>114.57</v>
      </c>
      <c r="H375">
        <f>VLOOKUP(A375,NYSEARCAMUB!A$2:G$506,4,0)</f>
        <v>109.59</v>
      </c>
      <c r="I375">
        <f>VLOOKUP(A375,NYSEARCAVNQ!A$2:G$506,4,0)</f>
        <v>76.98</v>
      </c>
      <c r="J375">
        <f>VLOOKUP(A375,NYSEARCARWX!A$2:G$506,4,0)</f>
        <v>37.770000000000003</v>
      </c>
      <c r="K375">
        <f>VLOOKUP(A375,NYSEARCADBC!A$2:G$506,4,0)</f>
        <v>14.68</v>
      </c>
      <c r="L375">
        <f>VLOOKUP(A375,NYSEARCAGSG!A$2:G$506,4,0)</f>
        <v>14.12</v>
      </c>
      <c r="M375">
        <f>VLOOKUP(A375,NYSEARCAGLD!A$2:G$506,4,0)</f>
        <v>119.38</v>
      </c>
      <c r="N375">
        <f>VLOOKUP(A375,NYSEBP!A$2:G$506,4,0)</f>
        <v>33.840000000000003</v>
      </c>
      <c r="O375">
        <f>VLOOKUP(A375,NASDAQYHOO!A$2:G$506,4,0)</f>
        <v>39.54</v>
      </c>
    </row>
    <row r="376" spans="1:15">
      <c r="A376" s="39">
        <v>42685</v>
      </c>
      <c r="B376">
        <v>70.599999999999994</v>
      </c>
      <c r="C376">
        <f>VLOOKUP(A376,NYSEARCAVTI!A$2:G$506,4,0)</f>
        <v>110.69</v>
      </c>
      <c r="D376">
        <f>VLOOKUP(A376,NYSEARCAVEU!A$2:G$506,4,0)</f>
        <v>43.34</v>
      </c>
      <c r="E376">
        <f>VLOOKUP(A376,NYSEARCAVWO!A$2:G$506,4,0)</f>
        <v>34.78</v>
      </c>
      <c r="F376">
        <f>VLOOKUP(A376,NYSEARCABND!A$2:G$506,4,0)</f>
        <v>81.569999999999993</v>
      </c>
      <c r="G376">
        <f>VLOOKUP(A376,NYSEARCATIP!A$2:G$506,4,0)</f>
        <v>114.2</v>
      </c>
      <c r="H376">
        <f>VLOOKUP(A376,NYSEARCAMUB!A$2:G$506,4,0)</f>
        <v>109.6</v>
      </c>
      <c r="I376">
        <f>VLOOKUP(A376,NYSEARCAVNQ!A$2:G$506,4,0)</f>
        <v>77.95</v>
      </c>
      <c r="J376">
        <f>VLOOKUP(A376,NYSEARCARWX!A$2:G$506,4,0)</f>
        <v>37.46</v>
      </c>
      <c r="K376">
        <f>VLOOKUP(A376,NYSEARCADBC!A$2:G$506,4,0)</f>
        <v>14.4</v>
      </c>
      <c r="L376">
        <f>VLOOKUP(A376,NYSEARCAGSG!A$2:G$506,4,0)</f>
        <v>13.87</v>
      </c>
      <c r="M376">
        <f>VLOOKUP(A376,NYSEARCAGLD!A$2:G$506,4,0)</f>
        <v>116.23</v>
      </c>
      <c r="N376">
        <f>VLOOKUP(A376,NYSEBP!A$2:G$506,4,0)</f>
        <v>32.93</v>
      </c>
      <c r="O376">
        <f>VLOOKUP(A376,NASDAQYHOO!A$2:G$506,4,0)</f>
        <v>39.369999999999997</v>
      </c>
    </row>
    <row r="377" spans="1:15">
      <c r="A377" s="39">
        <v>42688</v>
      </c>
      <c r="B377">
        <v>70.19</v>
      </c>
      <c r="C377">
        <f>VLOOKUP(A377,NYSEARCAVTI!A$2:G$506,4,0)</f>
        <v>111.29</v>
      </c>
      <c r="D377">
        <f>VLOOKUP(A377,NYSEARCAVEU!A$2:G$506,4,0)</f>
        <v>43.13</v>
      </c>
      <c r="E377">
        <f>VLOOKUP(A377,NYSEARCAVWO!A$2:G$506,4,0)</f>
        <v>34.81</v>
      </c>
      <c r="F377">
        <f>VLOOKUP(A377,NYSEARCABND!A$2:G$506,4,0)</f>
        <v>81.209999999999994</v>
      </c>
      <c r="G377">
        <f>VLOOKUP(A377,NYSEARCATIP!A$2:G$506,4,0)</f>
        <v>113.31</v>
      </c>
      <c r="H377">
        <f>VLOOKUP(A377,NYSEARCAMUB!A$2:G$506,4,0)</f>
        <v>108.16</v>
      </c>
      <c r="I377">
        <f>VLOOKUP(A377,NYSEARCAVNQ!A$2:G$506,4,0)</f>
        <v>78.02</v>
      </c>
      <c r="J377">
        <f>VLOOKUP(A377,NYSEARCARWX!A$2:G$506,4,0)</f>
        <v>36.950000000000003</v>
      </c>
      <c r="K377">
        <f>VLOOKUP(A377,NYSEARCADBC!A$2:G$506,4,0)</f>
        <v>14.27</v>
      </c>
      <c r="L377">
        <f>VLOOKUP(A377,NYSEARCAGSG!A$2:G$506,4,0)</f>
        <v>13.7</v>
      </c>
      <c r="M377">
        <f>VLOOKUP(A377,NYSEARCAGLD!A$2:G$506,4,0)</f>
        <v>115.49</v>
      </c>
      <c r="N377">
        <f>VLOOKUP(A377,NYSEBP!A$2:G$506,4,0)</f>
        <v>32.53</v>
      </c>
      <c r="O377">
        <f>VLOOKUP(A377,NASDAQYHOO!A$2:G$506,4,0)</f>
        <v>38.869999999999997</v>
      </c>
    </row>
    <row r="378" spans="1:15">
      <c r="A378" s="39">
        <v>42689</v>
      </c>
      <c r="B378">
        <v>70.349999999999994</v>
      </c>
      <c r="C378">
        <f>VLOOKUP(A378,NYSEARCAVTI!A$2:G$506,4,0)</f>
        <v>111.76</v>
      </c>
      <c r="D378">
        <f>VLOOKUP(A378,NYSEARCAVEU!A$2:G$506,4,0)</f>
        <v>43.3</v>
      </c>
      <c r="E378">
        <f>VLOOKUP(A378,NYSEARCAVWO!A$2:G$506,4,0)</f>
        <v>35.29</v>
      </c>
      <c r="F378">
        <f>VLOOKUP(A378,NYSEARCABND!A$2:G$506,4,0)</f>
        <v>81.37</v>
      </c>
      <c r="G378">
        <f>VLOOKUP(A378,NYSEARCATIP!A$2:G$506,4,0)</f>
        <v>113.44</v>
      </c>
      <c r="H378">
        <f>VLOOKUP(A378,NYSEARCAMUB!A$2:G$506,4,0)</f>
        <v>108.58</v>
      </c>
      <c r="I378">
        <f>VLOOKUP(A378,NYSEARCAVNQ!A$2:G$506,4,0)</f>
        <v>79.180000000000007</v>
      </c>
      <c r="J378">
        <f>VLOOKUP(A378,NYSEARCARWX!A$2:G$506,4,0)</f>
        <v>37.18</v>
      </c>
      <c r="K378">
        <f>VLOOKUP(A378,NYSEARCADBC!A$2:G$506,4,0)</f>
        <v>14.49</v>
      </c>
      <c r="L378">
        <f>VLOOKUP(A378,NYSEARCAGSG!A$2:G$506,4,0)</f>
        <v>14.05</v>
      </c>
      <c r="M378">
        <f>VLOOKUP(A378,NYSEARCAGLD!A$2:G$506,4,0)</f>
        <v>116.29</v>
      </c>
      <c r="N378">
        <f>VLOOKUP(A378,NYSEBP!A$2:G$506,4,0)</f>
        <v>33.22</v>
      </c>
      <c r="O378">
        <f>VLOOKUP(A378,NASDAQYHOO!A$2:G$506,4,0)</f>
        <v>39.58</v>
      </c>
    </row>
    <row r="379" spans="1:15">
      <c r="A379" s="39">
        <v>42690</v>
      </c>
      <c r="B379">
        <v>71.33</v>
      </c>
      <c r="C379">
        <f>VLOOKUP(A379,NYSEARCAVTI!A$2:G$506,4,0)</f>
        <v>112.14</v>
      </c>
      <c r="D379">
        <f>VLOOKUP(A379,NYSEARCAVEU!A$2:G$506,4,0)</f>
        <v>43.19</v>
      </c>
      <c r="E379">
        <f>VLOOKUP(A379,NYSEARCAVWO!A$2:G$506,4,0)</f>
        <v>35.26</v>
      </c>
      <c r="F379">
        <f>VLOOKUP(A379,NYSEARCABND!A$2:G$506,4,0)</f>
        <v>81.42</v>
      </c>
      <c r="G379">
        <f>VLOOKUP(A379,NYSEARCATIP!A$2:G$506,4,0)</f>
        <v>113.25</v>
      </c>
      <c r="H379">
        <f>VLOOKUP(A379,NYSEARCAMUB!A$2:G$506,4,0)</f>
        <v>108.54</v>
      </c>
      <c r="I379">
        <f>VLOOKUP(A379,NYSEARCAVNQ!A$2:G$506,4,0)</f>
        <v>78.900000000000006</v>
      </c>
      <c r="J379">
        <f>VLOOKUP(A379,NYSEARCARWX!A$2:G$506,4,0)</f>
        <v>36.81</v>
      </c>
      <c r="K379">
        <f>VLOOKUP(A379,NYSEARCADBC!A$2:G$506,4,0)</f>
        <v>14.51</v>
      </c>
      <c r="L379">
        <f>VLOOKUP(A379,NYSEARCAGSG!A$2:G$506,4,0)</f>
        <v>14.08</v>
      </c>
      <c r="M379">
        <f>VLOOKUP(A379,NYSEARCAGLD!A$2:G$506,4,0)</f>
        <v>116.58</v>
      </c>
      <c r="N379">
        <f>VLOOKUP(A379,NYSEBP!A$2:G$506,4,0)</f>
        <v>33.15</v>
      </c>
      <c r="O379">
        <f>VLOOKUP(A379,NASDAQYHOO!A$2:G$506,4,0)</f>
        <v>40.1</v>
      </c>
    </row>
    <row r="380" spans="1:15">
      <c r="A380" s="39">
        <v>42691</v>
      </c>
      <c r="B380">
        <v>68.12</v>
      </c>
      <c r="C380">
        <f>VLOOKUP(A380,NYSEARCAVTI!A$2:G$506,4,0)</f>
        <v>112.35</v>
      </c>
      <c r="D380">
        <f>VLOOKUP(A380,NYSEARCAVEU!A$2:G$506,4,0)</f>
        <v>43.4</v>
      </c>
      <c r="E380">
        <f>VLOOKUP(A380,NYSEARCAVWO!A$2:G$506,4,0)</f>
        <v>35.42</v>
      </c>
      <c r="F380">
        <f>VLOOKUP(A380,NYSEARCABND!A$2:G$506,4,0)</f>
        <v>81.22</v>
      </c>
      <c r="G380">
        <f>VLOOKUP(A380,NYSEARCATIP!A$2:G$506,4,0)</f>
        <v>113.45</v>
      </c>
      <c r="H380">
        <f>VLOOKUP(A380,NYSEARCAMUB!A$2:G$506,4,0)</f>
        <v>108.32</v>
      </c>
      <c r="I380">
        <f>VLOOKUP(A380,NYSEARCAVNQ!A$2:G$506,4,0)</f>
        <v>78.58</v>
      </c>
      <c r="J380">
        <f>VLOOKUP(A380,NYSEARCARWX!A$2:G$506,4,0)</f>
        <v>37.340000000000003</v>
      </c>
      <c r="K380">
        <f>VLOOKUP(A380,NYSEARCADBC!A$2:G$506,4,0)</f>
        <v>14.53</v>
      </c>
      <c r="L380">
        <f>VLOOKUP(A380,NYSEARCAGSG!A$2:G$506,4,0)</f>
        <v>14.1</v>
      </c>
      <c r="M380">
        <f>VLOOKUP(A380,NYSEARCAGLD!A$2:G$506,4,0)</f>
        <v>115.44</v>
      </c>
      <c r="N380">
        <f>VLOOKUP(A380,NYSEBP!A$2:G$506,4,0)</f>
        <v>33.450000000000003</v>
      </c>
      <c r="O380">
        <f>VLOOKUP(A380,NASDAQYHOO!A$2:G$506,4,0)</f>
        <v>41.2</v>
      </c>
    </row>
    <row r="381" spans="1:15">
      <c r="A381" s="39">
        <v>42692</v>
      </c>
      <c r="B381">
        <v>68.44</v>
      </c>
      <c r="C381">
        <f>VLOOKUP(A381,NYSEARCAVTI!A$2:G$506,4,0)</f>
        <v>112.67</v>
      </c>
      <c r="D381">
        <f>VLOOKUP(A381,NYSEARCAVEU!A$2:G$506,4,0)</f>
        <v>43.05</v>
      </c>
      <c r="E381">
        <f>VLOOKUP(A381,NYSEARCAVWO!A$2:G$506,4,0)</f>
        <v>35.32</v>
      </c>
      <c r="F381">
        <f>VLOOKUP(A381,NYSEARCABND!A$2:G$506,4,0)</f>
        <v>81</v>
      </c>
      <c r="G381">
        <f>VLOOKUP(A381,NYSEARCATIP!A$2:G$506,4,0)</f>
        <v>113.13</v>
      </c>
      <c r="H381">
        <f>VLOOKUP(A381,NYSEARCAMUB!A$2:G$506,4,0)</f>
        <v>108.33</v>
      </c>
      <c r="I381">
        <f>VLOOKUP(A381,NYSEARCAVNQ!A$2:G$506,4,0)</f>
        <v>78.42</v>
      </c>
      <c r="J381">
        <f>VLOOKUP(A381,NYSEARCARWX!A$2:G$506,4,0)</f>
        <v>37.11</v>
      </c>
      <c r="K381">
        <f>VLOOKUP(A381,NYSEARCADBC!A$2:G$506,4,0)</f>
        <v>14.52</v>
      </c>
      <c r="L381">
        <f>VLOOKUP(A381,NYSEARCAGSG!A$2:G$506,4,0)</f>
        <v>14.09</v>
      </c>
      <c r="M381">
        <f>VLOOKUP(A381,NYSEARCAGLD!A$2:G$506,4,0)</f>
        <v>114.96</v>
      </c>
      <c r="N381">
        <f>VLOOKUP(A381,NYSEBP!A$2:G$506,4,0)</f>
        <v>33.270000000000003</v>
      </c>
      <c r="O381">
        <f>VLOOKUP(A381,NASDAQYHOO!A$2:G$506,4,0)</f>
        <v>40.9</v>
      </c>
    </row>
    <row r="382" spans="1:15">
      <c r="A382" s="39">
        <v>42695</v>
      </c>
      <c r="B382">
        <v>68.42</v>
      </c>
      <c r="C382">
        <f>VLOOKUP(A382,NYSEARCAVTI!A$2:G$506,4,0)</f>
        <v>112.87</v>
      </c>
      <c r="D382">
        <f>VLOOKUP(A382,NYSEARCAVEU!A$2:G$506,4,0)</f>
        <v>43.32</v>
      </c>
      <c r="E382">
        <f>VLOOKUP(A382,NYSEARCAVWO!A$2:G$506,4,0)</f>
        <v>35.61</v>
      </c>
      <c r="F382">
        <f>VLOOKUP(A382,NYSEARCABND!A$2:G$506,4,0)</f>
        <v>81</v>
      </c>
      <c r="G382">
        <f>VLOOKUP(A382,NYSEARCATIP!A$2:G$506,4,0)</f>
        <v>113.46</v>
      </c>
      <c r="H382">
        <f>VLOOKUP(A382,NYSEARCAMUB!A$2:G$506,4,0)</f>
        <v>108.22</v>
      </c>
      <c r="I382">
        <f>VLOOKUP(A382,NYSEARCAVNQ!A$2:G$506,4,0)</f>
        <v>78.59</v>
      </c>
      <c r="J382">
        <f>VLOOKUP(A382,NYSEARCARWX!A$2:G$506,4,0)</f>
        <v>37.130000000000003</v>
      </c>
      <c r="K382">
        <f>VLOOKUP(A382,NYSEARCADBC!A$2:G$506,4,0)</f>
        <v>14.89</v>
      </c>
      <c r="L382">
        <f>VLOOKUP(A382,NYSEARCAGSG!A$2:G$506,4,0)</f>
        <v>14.52</v>
      </c>
      <c r="M382">
        <f>VLOOKUP(A382,NYSEARCAGLD!A$2:G$506,4,0)</f>
        <v>115.29</v>
      </c>
      <c r="N382">
        <f>VLOOKUP(A382,NYSEBP!A$2:G$506,4,0)</f>
        <v>34.24</v>
      </c>
      <c r="O382">
        <f>VLOOKUP(A382,NASDAQYHOO!A$2:G$506,4,0)</f>
        <v>40.94</v>
      </c>
    </row>
    <row r="383" spans="1:15">
      <c r="A383" s="39">
        <v>42696</v>
      </c>
      <c r="B383">
        <v>69.73</v>
      </c>
      <c r="C383">
        <f>VLOOKUP(A383,NYSEARCAVTI!A$2:G$506,4,0)</f>
        <v>113.44</v>
      </c>
      <c r="D383">
        <f>VLOOKUP(A383,NYSEARCAVEU!A$2:G$506,4,0)</f>
        <v>43.52</v>
      </c>
      <c r="E383">
        <f>VLOOKUP(A383,NYSEARCAVWO!A$2:G$506,4,0)</f>
        <v>35.94</v>
      </c>
      <c r="F383">
        <f>VLOOKUP(A383,NYSEARCABND!A$2:G$506,4,0)</f>
        <v>81.069999999999993</v>
      </c>
      <c r="G383">
        <f>VLOOKUP(A383,NYSEARCATIP!A$2:G$506,4,0)</f>
        <v>113.53</v>
      </c>
      <c r="H383">
        <f>VLOOKUP(A383,NYSEARCAMUB!A$2:G$506,4,0)</f>
        <v>108.04</v>
      </c>
      <c r="I383">
        <f>VLOOKUP(A383,NYSEARCAVNQ!A$2:G$506,4,0)</f>
        <v>78.83</v>
      </c>
      <c r="J383">
        <f>VLOOKUP(A383,NYSEARCARWX!A$2:G$506,4,0)</f>
        <v>37.270000000000003</v>
      </c>
      <c r="K383">
        <f>VLOOKUP(A383,NYSEARCADBC!A$2:G$506,4,0)</f>
        <v>14.97</v>
      </c>
      <c r="L383">
        <f>VLOOKUP(A383,NYSEARCAGSG!A$2:G$506,4,0)</f>
        <v>14.56</v>
      </c>
      <c r="M383">
        <f>VLOOKUP(A383,NYSEARCAGLD!A$2:G$506,4,0)</f>
        <v>114.98</v>
      </c>
      <c r="N383">
        <f>VLOOKUP(A383,NYSEBP!A$2:G$506,4,0)</f>
        <v>34.26</v>
      </c>
      <c r="O383">
        <f>VLOOKUP(A383,NASDAQYHOO!A$2:G$506,4,0)</f>
        <v>40.83</v>
      </c>
    </row>
    <row r="384" spans="1:15">
      <c r="A384" s="39">
        <v>42697</v>
      </c>
      <c r="B384">
        <v>70.180000000000007</v>
      </c>
      <c r="C384">
        <f>VLOOKUP(A384,NYSEARCAVTI!A$2:G$506,4,0)</f>
        <v>113.49</v>
      </c>
      <c r="D384">
        <f>VLOOKUP(A384,NYSEARCAVEU!A$2:G$506,4,0)</f>
        <v>43.24</v>
      </c>
      <c r="E384">
        <f>VLOOKUP(A384,NYSEARCAVWO!A$2:G$506,4,0)</f>
        <v>35.590000000000003</v>
      </c>
      <c r="F384">
        <f>VLOOKUP(A384,NYSEARCABND!A$2:G$506,4,0)</f>
        <v>80.7</v>
      </c>
      <c r="G384">
        <f>VLOOKUP(A384,NYSEARCATIP!A$2:G$506,4,0)</f>
        <v>112.91</v>
      </c>
      <c r="H384">
        <f>VLOOKUP(A384,NYSEARCAMUB!A$2:G$506,4,0)</f>
        <v>107.62</v>
      </c>
      <c r="I384">
        <f>VLOOKUP(A384,NYSEARCAVNQ!A$2:G$506,4,0)</f>
        <v>79.040000000000006</v>
      </c>
      <c r="J384">
        <f>VLOOKUP(A384,NYSEARCARWX!A$2:G$506,4,0)</f>
        <v>37.19</v>
      </c>
      <c r="K384">
        <f>VLOOKUP(A384,NYSEARCADBC!A$2:G$506,4,0)</f>
        <v>14.98</v>
      </c>
      <c r="L384">
        <f>VLOOKUP(A384,NYSEARCAGSG!A$2:G$506,4,0)</f>
        <v>14.6</v>
      </c>
      <c r="M384">
        <f>VLOOKUP(A384,NYSEARCAGLD!A$2:G$506,4,0)</f>
        <v>112.65</v>
      </c>
      <c r="N384">
        <f>VLOOKUP(A384,NYSEBP!A$2:G$506,4,0)</f>
        <v>34.119999999999997</v>
      </c>
      <c r="O384">
        <f>VLOOKUP(A384,NASDAQYHOO!A$2:G$506,4,0)</f>
        <v>40.54</v>
      </c>
    </row>
    <row r="385" spans="1:15">
      <c r="A385" s="39">
        <v>42699</v>
      </c>
      <c r="B385">
        <v>70.98</v>
      </c>
      <c r="C385">
        <f>VLOOKUP(A385,NYSEARCAVTI!A$2:G$506,4,0)</f>
        <v>114.21</v>
      </c>
      <c r="D385">
        <f>VLOOKUP(A385,NYSEARCAVEU!A$2:G$506,4,0)</f>
        <v>43.59</v>
      </c>
      <c r="E385">
        <f>VLOOKUP(A385,NYSEARCAVWO!A$2:G$506,4,0)</f>
        <v>35.92</v>
      </c>
      <c r="F385">
        <f>VLOOKUP(A385,NYSEARCABND!A$2:G$506,4,0)</f>
        <v>80.819999999999993</v>
      </c>
      <c r="G385">
        <f>VLOOKUP(A385,NYSEARCATIP!A$2:G$506,4,0)</f>
        <v>113</v>
      </c>
      <c r="H385">
        <f>VLOOKUP(A385,NYSEARCAMUB!A$2:G$506,4,0)</f>
        <v>107.69</v>
      </c>
      <c r="I385">
        <f>VLOOKUP(A385,NYSEARCAVNQ!A$2:G$506,4,0)</f>
        <v>79.739999999999995</v>
      </c>
      <c r="J385">
        <f>VLOOKUP(A385,NYSEARCARWX!A$2:G$506,4,0)</f>
        <v>37.33</v>
      </c>
      <c r="K385">
        <f>VLOOKUP(A385,NYSEARCADBC!A$2:G$506,4,0)</f>
        <v>14.94</v>
      </c>
      <c r="L385">
        <f>VLOOKUP(A385,NYSEARCAGSG!A$2:G$506,4,0)</f>
        <v>14.47</v>
      </c>
      <c r="M385">
        <f>VLOOKUP(A385,NYSEARCAGLD!A$2:G$506,4,0)</f>
        <v>112.35</v>
      </c>
      <c r="N385">
        <f>VLOOKUP(A385,NYSEBP!A$2:G$506,4,0)</f>
        <v>34.18</v>
      </c>
      <c r="O385">
        <f>VLOOKUP(A385,NASDAQYHOO!A$2:G$506,4,0)</f>
        <v>40.71</v>
      </c>
    </row>
    <row r="386" spans="1:15">
      <c r="A386" s="39">
        <v>42702</v>
      </c>
      <c r="B386">
        <v>70.8</v>
      </c>
      <c r="C386">
        <f>VLOOKUP(A386,NYSEARCAVTI!A$2:G$506,4,0)</f>
        <v>113.8</v>
      </c>
      <c r="D386">
        <f>VLOOKUP(A386,NYSEARCAVEU!A$2:G$506,4,0)</f>
        <v>43.5</v>
      </c>
      <c r="E386">
        <f>VLOOKUP(A386,NYSEARCAVWO!A$2:G$506,4,0)</f>
        <v>36.06</v>
      </c>
      <c r="F386">
        <f>VLOOKUP(A386,NYSEARCABND!A$2:G$506,4,0)</f>
        <v>81</v>
      </c>
      <c r="G386">
        <f>VLOOKUP(A386,NYSEARCATIP!A$2:G$506,4,0)</f>
        <v>113.19</v>
      </c>
      <c r="H386">
        <f>VLOOKUP(A386,NYSEARCAMUB!A$2:G$506,4,0)</f>
        <v>107.58</v>
      </c>
      <c r="I386">
        <f>VLOOKUP(A386,NYSEARCAVNQ!A$2:G$506,4,0)</f>
        <v>80.13</v>
      </c>
      <c r="J386">
        <f>VLOOKUP(A386,NYSEARCARWX!A$2:G$506,4,0)</f>
        <v>37.53</v>
      </c>
      <c r="K386">
        <f>VLOOKUP(A386,NYSEARCADBC!A$2:G$506,4,0)</f>
        <v>15.06</v>
      </c>
      <c r="L386">
        <f>VLOOKUP(A386,NYSEARCAGSG!A$2:G$506,4,0)</f>
        <v>14.6</v>
      </c>
      <c r="M386">
        <f>VLOOKUP(A386,NYSEARCAGLD!A$2:G$506,4,0)</f>
        <v>112.77</v>
      </c>
      <c r="N386">
        <f>VLOOKUP(A386,NYSEBP!A$2:G$506,4,0)</f>
        <v>33.72</v>
      </c>
      <c r="O386">
        <f>VLOOKUP(A386,NASDAQYHOO!A$2:G$506,4,0)</f>
        <v>40.74</v>
      </c>
    </row>
    <row r="387" spans="1:15">
      <c r="A387" s="39">
        <v>42703</v>
      </c>
      <c r="B387">
        <v>71.2</v>
      </c>
      <c r="C387">
        <f>VLOOKUP(A387,NYSEARCAVTI!A$2:G$506,4,0)</f>
        <v>113.68</v>
      </c>
      <c r="D387">
        <f>VLOOKUP(A387,NYSEARCAVEU!A$2:G$506,4,0)</f>
        <v>43.45</v>
      </c>
      <c r="E387">
        <f>VLOOKUP(A387,NYSEARCAVWO!A$2:G$506,4,0)</f>
        <v>35.979999999999997</v>
      </c>
      <c r="F387">
        <f>VLOOKUP(A387,NYSEARCABND!A$2:G$506,4,0)</f>
        <v>81</v>
      </c>
      <c r="G387">
        <f>VLOOKUP(A387,NYSEARCATIP!A$2:G$506,4,0)</f>
        <v>112.83</v>
      </c>
      <c r="H387">
        <f>VLOOKUP(A387,NYSEARCAMUB!A$2:G$506,4,0)</f>
        <v>106.99</v>
      </c>
      <c r="I387">
        <f>VLOOKUP(A387,NYSEARCAVNQ!A$2:G$506,4,0)</f>
        <v>80.569999999999993</v>
      </c>
      <c r="J387">
        <f>VLOOKUP(A387,NYSEARCARWX!A$2:G$506,4,0)</f>
        <v>37.58</v>
      </c>
      <c r="K387">
        <f>VLOOKUP(A387,NYSEARCADBC!A$2:G$506,4,0)</f>
        <v>14.71</v>
      </c>
      <c r="L387">
        <f>VLOOKUP(A387,NYSEARCAGSG!A$2:G$506,4,0)</f>
        <v>14.22</v>
      </c>
      <c r="M387">
        <f>VLOOKUP(A387,NYSEARCAGLD!A$2:G$506,4,0)</f>
        <v>112.69</v>
      </c>
      <c r="N387">
        <f>VLOOKUP(A387,NYSEBP!A$2:G$506,4,0)</f>
        <v>33.24</v>
      </c>
      <c r="O387">
        <f>VLOOKUP(A387,NASDAQYHOO!A$2:G$506,4,0)</f>
        <v>41.12</v>
      </c>
    </row>
    <row r="388" spans="1:15">
      <c r="A388" s="39">
        <v>42704</v>
      </c>
      <c r="B388">
        <v>70.16</v>
      </c>
      <c r="C388">
        <f>VLOOKUP(A388,NYSEARCAVTI!A$2:G$506,4,0)</f>
        <v>113.78</v>
      </c>
      <c r="D388">
        <f>VLOOKUP(A388,NYSEARCAVEU!A$2:G$506,4,0)</f>
        <v>43.68</v>
      </c>
      <c r="E388">
        <f>VLOOKUP(A388,NYSEARCAVWO!A$2:G$506,4,0)</f>
        <v>36.19</v>
      </c>
      <c r="F388">
        <f>VLOOKUP(A388,NYSEARCABND!A$2:G$506,4,0)</f>
        <v>80.8</v>
      </c>
      <c r="G388">
        <f>VLOOKUP(A388,NYSEARCATIP!A$2:G$506,4,0)</f>
        <v>112.99</v>
      </c>
      <c r="H388">
        <f>VLOOKUP(A388,NYSEARCAMUB!A$2:G$506,4,0)</f>
        <v>106.35</v>
      </c>
      <c r="I388">
        <f>VLOOKUP(A388,NYSEARCAVNQ!A$2:G$506,4,0)</f>
        <v>80</v>
      </c>
      <c r="J388">
        <f>VLOOKUP(A388,NYSEARCARWX!A$2:G$506,4,0)</f>
        <v>37.71</v>
      </c>
      <c r="K388">
        <f>VLOOKUP(A388,NYSEARCADBC!A$2:G$506,4,0)</f>
        <v>15.03</v>
      </c>
      <c r="L388">
        <f>VLOOKUP(A388,NYSEARCAGSG!A$2:G$506,4,0)</f>
        <v>14.74</v>
      </c>
      <c r="M388">
        <f>VLOOKUP(A388,NYSEARCAGLD!A$2:G$506,4,0)</f>
        <v>111.5</v>
      </c>
      <c r="N388">
        <f>VLOOKUP(A388,NYSEBP!A$2:G$506,4,0)</f>
        <v>34.54</v>
      </c>
      <c r="O388">
        <f>VLOOKUP(A388,NASDAQYHOO!A$2:G$506,4,0)</f>
        <v>40.880000000000003</v>
      </c>
    </row>
    <row r="389" spans="1:15">
      <c r="A389" s="39">
        <v>42705</v>
      </c>
      <c r="B389">
        <v>70.05</v>
      </c>
      <c r="C389">
        <f>VLOOKUP(A389,NYSEARCAVTI!A$2:G$506,4,0)</f>
        <v>113.07</v>
      </c>
      <c r="D389">
        <f>VLOOKUP(A389,NYSEARCAVEU!A$2:G$506,4,0)</f>
        <v>43.48</v>
      </c>
      <c r="E389">
        <f>VLOOKUP(A389,NYSEARCAVWO!A$2:G$506,4,0)</f>
        <v>35.76</v>
      </c>
      <c r="F389">
        <f>VLOOKUP(A389,NYSEARCABND!A$2:G$506,4,0)</f>
        <v>80.27</v>
      </c>
      <c r="G389">
        <f>VLOOKUP(A389,NYSEARCATIP!A$2:G$506,4,0)</f>
        <v>112.63</v>
      </c>
      <c r="H389">
        <f>VLOOKUP(A389,NYSEARCAMUB!A$2:G$506,4,0)</f>
        <v>106.3</v>
      </c>
      <c r="I389">
        <f>VLOOKUP(A389,NYSEARCAVNQ!A$2:G$506,4,0)</f>
        <v>78.760000000000005</v>
      </c>
      <c r="J389">
        <f>VLOOKUP(A389,NYSEARCARWX!A$2:G$506,4,0)</f>
        <v>37.25</v>
      </c>
      <c r="K389">
        <f>VLOOKUP(A389,NYSEARCADBC!A$2:G$506,4,0)</f>
        <v>15.42</v>
      </c>
      <c r="L389">
        <f>VLOOKUP(A389,NYSEARCAGSG!A$2:G$506,4,0)</f>
        <v>15.17</v>
      </c>
      <c r="M389">
        <f>VLOOKUP(A389,NYSEARCAGLD!A$2:G$506,4,0)</f>
        <v>110.63</v>
      </c>
      <c r="N389">
        <f>VLOOKUP(A389,NYSEBP!A$2:G$506,4,0)</f>
        <v>35.369999999999997</v>
      </c>
      <c r="O389">
        <f>VLOOKUP(A389,NASDAQYHOO!A$2:G$506,4,0)</f>
        <v>39.53</v>
      </c>
    </row>
    <row r="390" spans="1:15">
      <c r="A390" s="39">
        <v>42706</v>
      </c>
      <c r="B390">
        <v>70.45</v>
      </c>
      <c r="C390">
        <f>VLOOKUP(A390,NYSEARCAVTI!A$2:G$506,4,0)</f>
        <v>113.15</v>
      </c>
      <c r="D390">
        <f>VLOOKUP(A390,NYSEARCAVEU!A$2:G$506,4,0)</f>
        <v>43.45</v>
      </c>
      <c r="E390">
        <f>VLOOKUP(A390,NYSEARCAVWO!A$2:G$506,4,0)</f>
        <v>35.76</v>
      </c>
      <c r="F390">
        <f>VLOOKUP(A390,NYSEARCABND!A$2:G$506,4,0)</f>
        <v>80.61</v>
      </c>
      <c r="G390">
        <f>VLOOKUP(A390,NYSEARCATIP!A$2:G$506,4,0)</f>
        <v>112.91</v>
      </c>
      <c r="H390">
        <f>VLOOKUP(A390,NYSEARCAMUB!A$2:G$506,4,0)</f>
        <v>106.42</v>
      </c>
      <c r="I390">
        <f>VLOOKUP(A390,NYSEARCAVNQ!A$2:G$506,4,0)</f>
        <v>79.430000000000007</v>
      </c>
      <c r="J390">
        <f>VLOOKUP(A390,NYSEARCARWX!A$2:G$506,4,0)</f>
        <v>37.479999999999997</v>
      </c>
      <c r="K390">
        <f>VLOOKUP(A390,NYSEARCADBC!A$2:G$506,4,0)</f>
        <v>15.52</v>
      </c>
      <c r="L390">
        <f>VLOOKUP(A390,NYSEARCAGSG!A$2:G$506,4,0)</f>
        <v>15.23</v>
      </c>
      <c r="M390">
        <f>VLOOKUP(A390,NYSEARCAGLD!A$2:G$506,4,0)</f>
        <v>111.78</v>
      </c>
      <c r="N390">
        <f>VLOOKUP(A390,NYSEBP!A$2:G$506,4,0)</f>
        <v>35.29</v>
      </c>
      <c r="O390">
        <f>VLOOKUP(A390,NASDAQYHOO!A$2:G$506,4,0)</f>
        <v>39.58</v>
      </c>
    </row>
    <row r="391" spans="1:15">
      <c r="A391" s="39">
        <v>42709</v>
      </c>
      <c r="B391">
        <v>69.81</v>
      </c>
      <c r="C391">
        <f>VLOOKUP(A391,NYSEARCAVTI!A$2:G$506,4,0)</f>
        <v>113.77</v>
      </c>
      <c r="D391">
        <f>VLOOKUP(A391,NYSEARCAVEU!A$2:G$506,4,0)</f>
        <v>43.79</v>
      </c>
      <c r="E391">
        <f>VLOOKUP(A391,NYSEARCAVWO!A$2:G$506,4,0)</f>
        <v>35.869999999999997</v>
      </c>
      <c r="F391">
        <f>VLOOKUP(A391,NYSEARCABND!A$2:G$506,4,0)</f>
        <v>80.540000000000006</v>
      </c>
      <c r="G391">
        <f>VLOOKUP(A391,NYSEARCATIP!A$2:G$506,4,0)</f>
        <v>112.78</v>
      </c>
      <c r="H391">
        <f>VLOOKUP(A391,NYSEARCAMUB!A$2:G$506,4,0)</f>
        <v>106.57</v>
      </c>
      <c r="I391">
        <f>VLOOKUP(A391,NYSEARCAVNQ!A$2:G$506,4,0)</f>
        <v>79.73</v>
      </c>
      <c r="J391">
        <f>VLOOKUP(A391,NYSEARCARWX!A$2:G$506,4,0)</f>
        <v>37.619999999999997</v>
      </c>
      <c r="K391">
        <f>VLOOKUP(A391,NYSEARCADBC!A$2:G$506,4,0)</f>
        <v>15.67</v>
      </c>
      <c r="L391">
        <f>VLOOKUP(A391,NYSEARCAGSG!A$2:G$506,4,0)</f>
        <v>15.35</v>
      </c>
      <c r="M391">
        <f>VLOOKUP(A391,NYSEARCAGLD!A$2:G$506,4,0)</f>
        <v>110.31</v>
      </c>
      <c r="N391">
        <f>VLOOKUP(A391,NYSEBP!A$2:G$506,4,0)</f>
        <v>35.479999999999997</v>
      </c>
      <c r="O391">
        <f>VLOOKUP(A391,NASDAQYHOO!A$2:G$506,4,0)</f>
        <v>39.85</v>
      </c>
    </row>
    <row r="392" spans="1:15">
      <c r="A392" s="39">
        <v>42710</v>
      </c>
      <c r="B392">
        <v>69.5</v>
      </c>
      <c r="C392">
        <f>VLOOKUP(A392,NYSEARCAVTI!A$2:G$506,4,0)</f>
        <v>114.02</v>
      </c>
      <c r="D392">
        <f>VLOOKUP(A392,NYSEARCAVEU!A$2:G$506,4,0)</f>
        <v>44</v>
      </c>
      <c r="E392">
        <f>VLOOKUP(A392,NYSEARCAVWO!A$2:G$506,4,0)</f>
        <v>36.04</v>
      </c>
      <c r="F392">
        <f>VLOOKUP(A392,NYSEARCABND!A$2:G$506,4,0)</f>
        <v>80.77</v>
      </c>
      <c r="G392">
        <f>VLOOKUP(A392,NYSEARCATIP!A$2:G$506,4,0)</f>
        <v>113.03</v>
      </c>
      <c r="H392">
        <f>VLOOKUP(A392,NYSEARCAMUB!A$2:G$506,4,0)</f>
        <v>106.9</v>
      </c>
      <c r="I392">
        <f>VLOOKUP(A392,NYSEARCAVNQ!A$2:G$506,4,0)</f>
        <v>80.5</v>
      </c>
      <c r="J392">
        <f>VLOOKUP(A392,NYSEARCARWX!A$2:G$506,4,0)</f>
        <v>37.92</v>
      </c>
      <c r="K392">
        <f>VLOOKUP(A392,NYSEARCADBC!A$2:G$506,4,0)</f>
        <v>15.59</v>
      </c>
      <c r="L392">
        <f>VLOOKUP(A392,NYSEARCAGSG!A$2:G$506,4,0)</f>
        <v>15.25</v>
      </c>
      <c r="M392">
        <f>VLOOKUP(A392,NYSEARCAGLD!A$2:G$506,4,0)</f>
        <v>111.19</v>
      </c>
      <c r="N392">
        <f>VLOOKUP(A392,NYSEBP!A$2:G$506,4,0)</f>
        <v>35.340000000000003</v>
      </c>
      <c r="O392">
        <f>VLOOKUP(A392,NASDAQYHOO!A$2:G$506,4,0)</f>
        <v>39.880000000000003</v>
      </c>
    </row>
    <row r="393" spans="1:15">
      <c r="A393" s="39">
        <v>42711</v>
      </c>
      <c r="B393">
        <v>69.900000000000006</v>
      </c>
      <c r="C393">
        <f>VLOOKUP(A393,NYSEARCAVTI!A$2:G$506,4,0)</f>
        <v>114.51</v>
      </c>
      <c r="D393">
        <f>VLOOKUP(A393,NYSEARCAVEU!A$2:G$506,4,0)</f>
        <v>44.39</v>
      </c>
      <c r="E393">
        <f>VLOOKUP(A393,NYSEARCAVWO!A$2:G$506,4,0)</f>
        <v>36.35</v>
      </c>
      <c r="F393">
        <f>VLOOKUP(A393,NYSEARCABND!A$2:G$506,4,0)</f>
        <v>80.900000000000006</v>
      </c>
      <c r="G393">
        <f>VLOOKUP(A393,NYSEARCATIP!A$2:G$506,4,0)</f>
        <v>113.38</v>
      </c>
      <c r="H393">
        <f>VLOOKUP(A393,NYSEARCAMUB!A$2:G$506,4,0)</f>
        <v>107.54</v>
      </c>
      <c r="I393">
        <f>VLOOKUP(A393,NYSEARCAVNQ!A$2:G$506,4,0)</f>
        <v>81.069999999999993</v>
      </c>
      <c r="J393">
        <f>VLOOKUP(A393,NYSEARCARWX!A$2:G$506,4,0)</f>
        <v>38.200000000000003</v>
      </c>
      <c r="K393">
        <f>VLOOKUP(A393,NYSEARCADBC!A$2:G$506,4,0)</f>
        <v>15.49</v>
      </c>
      <c r="L393">
        <f>VLOOKUP(A393,NYSEARCAGSG!A$2:G$506,4,0)</f>
        <v>15.17</v>
      </c>
      <c r="M393">
        <f>VLOOKUP(A393,NYSEARCAGLD!A$2:G$506,4,0)</f>
        <v>111.77</v>
      </c>
      <c r="N393">
        <f>VLOOKUP(A393,NYSEBP!A$2:G$506,4,0)</f>
        <v>35.67</v>
      </c>
      <c r="O393">
        <f>VLOOKUP(A393,NASDAQYHOO!A$2:G$506,4,0)</f>
        <v>39.75</v>
      </c>
    </row>
    <row r="394" spans="1:15">
      <c r="A394" s="39">
        <v>42712</v>
      </c>
      <c r="B394">
        <v>70.319999999999993</v>
      </c>
      <c r="C394">
        <f>VLOOKUP(A394,NYSEARCAVTI!A$2:G$506,4,0)</f>
        <v>115.97</v>
      </c>
      <c r="D394">
        <f>VLOOKUP(A394,NYSEARCAVEU!A$2:G$506,4,0)</f>
        <v>44.76</v>
      </c>
      <c r="E394">
        <f>VLOOKUP(A394,NYSEARCAVWO!A$2:G$506,4,0)</f>
        <v>36.6</v>
      </c>
      <c r="F394">
        <f>VLOOKUP(A394,NYSEARCABND!A$2:G$506,4,0)</f>
        <v>80.78</v>
      </c>
      <c r="G394">
        <f>VLOOKUP(A394,NYSEARCATIP!A$2:G$506,4,0)</f>
        <v>113.14</v>
      </c>
      <c r="H394">
        <f>VLOOKUP(A394,NYSEARCAMUB!A$2:G$506,4,0)</f>
        <v>107.84</v>
      </c>
      <c r="I394">
        <f>VLOOKUP(A394,NYSEARCAVNQ!A$2:G$506,4,0)</f>
        <v>82.01</v>
      </c>
      <c r="J394">
        <f>VLOOKUP(A394,NYSEARCARWX!A$2:G$506,4,0)</f>
        <v>38.39</v>
      </c>
      <c r="K394">
        <f>VLOOKUP(A394,NYSEARCADBC!A$2:G$506,4,0)</f>
        <v>15.4</v>
      </c>
      <c r="L394">
        <f>VLOOKUP(A394,NYSEARCAGSG!A$2:G$506,4,0)</f>
        <v>15.13</v>
      </c>
      <c r="M394">
        <f>VLOOKUP(A394,NYSEARCAGLD!A$2:G$506,4,0)</f>
        <v>111.46</v>
      </c>
      <c r="N394">
        <f>VLOOKUP(A394,NYSEBP!A$2:G$506,4,0)</f>
        <v>35.86</v>
      </c>
      <c r="O394">
        <f>VLOOKUP(A394,NASDAQYHOO!A$2:G$506,4,0)</f>
        <v>40.42</v>
      </c>
    </row>
    <row r="395" spans="1:15">
      <c r="A395" s="39">
        <v>42713</v>
      </c>
      <c r="B395">
        <v>69.739999999999995</v>
      </c>
      <c r="C395">
        <f>VLOOKUP(A395,NYSEARCAVTI!A$2:G$506,4,0)</f>
        <v>116.62</v>
      </c>
      <c r="D395">
        <f>VLOOKUP(A395,NYSEARCAVEU!A$2:G$506,4,0)</f>
        <v>44.88</v>
      </c>
      <c r="E395">
        <f>VLOOKUP(A395,NYSEARCAVWO!A$2:G$506,4,0)</f>
        <v>36.56</v>
      </c>
      <c r="F395">
        <f>VLOOKUP(A395,NYSEARCABND!A$2:G$506,4,0)</f>
        <v>80.53</v>
      </c>
      <c r="G395">
        <f>VLOOKUP(A395,NYSEARCATIP!A$2:G$506,4,0)</f>
        <v>112.69</v>
      </c>
      <c r="H395">
        <f>VLOOKUP(A395,NYSEARCAMUB!A$2:G$506,4,0)</f>
        <v>107.82</v>
      </c>
      <c r="I395">
        <f>VLOOKUP(A395,NYSEARCAVNQ!A$2:G$506,4,0)</f>
        <v>83.02</v>
      </c>
      <c r="J395">
        <f>VLOOKUP(A395,NYSEARCARWX!A$2:G$506,4,0)</f>
        <v>38.44</v>
      </c>
      <c r="K395">
        <f>VLOOKUP(A395,NYSEARCADBC!A$2:G$506,4,0)</f>
        <v>15.53</v>
      </c>
      <c r="L395">
        <f>VLOOKUP(A395,NYSEARCAGSG!A$2:G$506,4,0)</f>
        <v>15.34</v>
      </c>
      <c r="M395">
        <f>VLOOKUP(A395,NYSEARCAGLD!A$2:G$506,4,0)</f>
        <v>110.19</v>
      </c>
      <c r="N395">
        <f>VLOOKUP(A395,NYSEBP!A$2:G$506,4,0)</f>
        <v>36</v>
      </c>
      <c r="O395">
        <f>VLOOKUP(A395,NASDAQYHOO!A$2:G$506,4,0)</f>
        <v>41.44</v>
      </c>
    </row>
    <row r="396" spans="1:15">
      <c r="A396" s="39">
        <v>42716</v>
      </c>
      <c r="B396">
        <v>70.02</v>
      </c>
      <c r="C396">
        <f>VLOOKUP(A396,NYSEARCAVTI!A$2:G$506,4,0)</f>
        <v>116.59</v>
      </c>
      <c r="D396">
        <f>VLOOKUP(A396,NYSEARCAVEU!A$2:G$506,4,0)</f>
        <v>44.78</v>
      </c>
      <c r="E396">
        <f>VLOOKUP(A396,NYSEARCAVWO!A$2:G$506,4,0)</f>
        <v>36.28</v>
      </c>
      <c r="F396">
        <f>VLOOKUP(A396,NYSEARCABND!A$2:G$506,4,0)</f>
        <v>80.430000000000007</v>
      </c>
      <c r="G396">
        <f>VLOOKUP(A396,NYSEARCATIP!A$2:G$506,4,0)</f>
        <v>112.65</v>
      </c>
      <c r="H396">
        <f>VLOOKUP(A396,NYSEARCAMUB!A$2:G$506,4,0)</f>
        <v>107.5</v>
      </c>
      <c r="I396">
        <f>VLOOKUP(A396,NYSEARCAVNQ!A$2:G$506,4,0)</f>
        <v>82.83</v>
      </c>
      <c r="J396">
        <f>VLOOKUP(A396,NYSEARCARWX!A$2:G$506,4,0)</f>
        <v>38.229999999999997</v>
      </c>
      <c r="K396">
        <f>VLOOKUP(A396,NYSEARCADBC!A$2:G$506,4,0)</f>
        <v>15.68</v>
      </c>
      <c r="L396">
        <f>VLOOKUP(A396,NYSEARCAGSG!A$2:G$506,4,0)</f>
        <v>15.52</v>
      </c>
      <c r="M396">
        <f>VLOOKUP(A396,NYSEARCAGLD!A$2:G$506,4,0)</f>
        <v>110.27</v>
      </c>
      <c r="N396">
        <f>VLOOKUP(A396,NYSEBP!A$2:G$506,4,0)</f>
        <v>36.43</v>
      </c>
      <c r="O396">
        <f>VLOOKUP(A396,NASDAQYHOO!A$2:G$506,4,0)</f>
        <v>41.12</v>
      </c>
    </row>
    <row r="397" spans="1:15">
      <c r="A397" s="39">
        <v>42717</v>
      </c>
      <c r="B397">
        <v>71.61</v>
      </c>
      <c r="C397">
        <f>VLOOKUP(A397,NYSEARCAVTI!A$2:G$506,4,0)</f>
        <v>117.13</v>
      </c>
      <c r="D397">
        <f>VLOOKUP(A397,NYSEARCAVEU!A$2:G$506,4,0)</f>
        <v>45.17</v>
      </c>
      <c r="E397">
        <f>VLOOKUP(A397,NYSEARCAVWO!A$2:G$506,4,0)</f>
        <v>36.6</v>
      </c>
      <c r="F397">
        <f>VLOOKUP(A397,NYSEARCABND!A$2:G$506,4,0)</f>
        <v>80.48</v>
      </c>
      <c r="G397">
        <f>VLOOKUP(A397,NYSEARCATIP!A$2:G$506,4,0)</f>
        <v>112.54</v>
      </c>
      <c r="H397">
        <f>VLOOKUP(A397,NYSEARCAMUB!A$2:G$506,4,0)</f>
        <v>107.68</v>
      </c>
      <c r="I397">
        <f>VLOOKUP(A397,NYSEARCAVNQ!A$2:G$506,4,0)</f>
        <v>83.14</v>
      </c>
      <c r="J397">
        <f>VLOOKUP(A397,NYSEARCARWX!A$2:G$506,4,0)</f>
        <v>38.549999999999997</v>
      </c>
      <c r="K397">
        <f>VLOOKUP(A397,NYSEARCADBC!A$2:G$506,4,0)</f>
        <v>15.66</v>
      </c>
      <c r="L397">
        <f>VLOOKUP(A397,NYSEARCAGSG!A$2:G$506,4,0)</f>
        <v>15.51</v>
      </c>
      <c r="M397">
        <f>VLOOKUP(A397,NYSEARCAGLD!A$2:G$506,4,0)</f>
        <v>110.06</v>
      </c>
      <c r="N397">
        <f>VLOOKUP(A397,NYSEBP!A$2:G$506,4,0)</f>
        <v>36.4</v>
      </c>
      <c r="O397">
        <f>VLOOKUP(A397,NASDAQYHOO!A$2:G$506,4,0)</f>
        <v>41.14</v>
      </c>
    </row>
    <row r="398" spans="1:15">
      <c r="A398" s="39">
        <v>42718</v>
      </c>
      <c r="B398">
        <v>71.180000000000007</v>
      </c>
      <c r="C398">
        <f>VLOOKUP(A398,NYSEARCAVTI!A$2:G$506,4,0)</f>
        <v>116.23</v>
      </c>
      <c r="D398">
        <f>VLOOKUP(A398,NYSEARCAVEU!A$2:G$506,4,0)</f>
        <v>44.47</v>
      </c>
      <c r="E398">
        <f>VLOOKUP(A398,NYSEARCAVWO!A$2:G$506,4,0)</f>
        <v>35.68</v>
      </c>
      <c r="F398">
        <f>VLOOKUP(A398,NYSEARCABND!A$2:G$506,4,0)</f>
        <v>80.180000000000007</v>
      </c>
      <c r="G398">
        <f>VLOOKUP(A398,NYSEARCATIP!A$2:G$506,4,0)</f>
        <v>111.81</v>
      </c>
      <c r="H398">
        <f>VLOOKUP(A398,NYSEARCAMUB!A$2:G$506,4,0)</f>
        <v>107.58</v>
      </c>
      <c r="I398">
        <f>VLOOKUP(A398,NYSEARCAVNQ!A$2:G$506,4,0)</f>
        <v>81.75</v>
      </c>
      <c r="J398">
        <f>VLOOKUP(A398,NYSEARCARWX!A$2:G$506,4,0)</f>
        <v>37.950000000000003</v>
      </c>
      <c r="K398">
        <f>VLOOKUP(A398,NYSEARCADBC!A$2:G$506,4,0)</f>
        <v>15.57</v>
      </c>
      <c r="L398">
        <f>VLOOKUP(A398,NYSEARCAGSG!A$2:G$506,4,0)</f>
        <v>15.32</v>
      </c>
      <c r="M398">
        <f>VLOOKUP(A398,NYSEARCAGLD!A$2:G$506,4,0)</f>
        <v>108.52</v>
      </c>
      <c r="N398">
        <f>VLOOKUP(A398,NYSEBP!A$2:G$506,4,0)</f>
        <v>36.01</v>
      </c>
      <c r="O398">
        <f>VLOOKUP(A398,NASDAQYHOO!A$2:G$506,4,0)</f>
        <v>40.83</v>
      </c>
    </row>
    <row r="399" spans="1:15">
      <c r="A399" s="39">
        <v>42719</v>
      </c>
      <c r="B399">
        <v>71.03</v>
      </c>
      <c r="C399">
        <f>VLOOKUP(A399,NYSEARCAVTI!A$2:G$506,4,0)</f>
        <v>116.5</v>
      </c>
      <c r="D399">
        <f>VLOOKUP(A399,NYSEARCAVEU!A$2:G$506,4,0)</f>
        <v>44.3</v>
      </c>
      <c r="E399">
        <f>VLOOKUP(A399,NYSEARCAVWO!A$2:G$506,4,0)</f>
        <v>35.67</v>
      </c>
      <c r="F399">
        <f>VLOOKUP(A399,NYSEARCABND!A$2:G$506,4,0)</f>
        <v>80.06</v>
      </c>
      <c r="G399">
        <f>VLOOKUP(A399,NYSEARCATIP!A$2:G$506,4,0)</f>
        <v>111.12</v>
      </c>
      <c r="H399">
        <f>VLOOKUP(A399,NYSEARCAMUB!A$2:G$506,4,0)</f>
        <v>107.22</v>
      </c>
      <c r="I399">
        <f>VLOOKUP(A399,NYSEARCAVNQ!A$2:G$506,4,0)</f>
        <v>81.16</v>
      </c>
      <c r="J399">
        <f>VLOOKUP(A399,NYSEARCARWX!A$2:G$506,4,0)</f>
        <v>37.35</v>
      </c>
      <c r="K399">
        <f>VLOOKUP(A399,NYSEARCADBC!A$2:G$506,4,0)</f>
        <v>15.43</v>
      </c>
      <c r="L399">
        <f>VLOOKUP(A399,NYSEARCAGSG!A$2:G$506,4,0)</f>
        <v>15.2</v>
      </c>
      <c r="M399">
        <f>VLOOKUP(A399,NYSEARCAGLD!A$2:G$506,4,0)</f>
        <v>107</v>
      </c>
      <c r="N399">
        <f>VLOOKUP(A399,NYSEBP!A$2:G$506,4,0)</f>
        <v>35.31</v>
      </c>
      <c r="O399">
        <f>VLOOKUP(A399,NASDAQYHOO!A$2:G$506,4,0)</f>
        <v>38.25</v>
      </c>
    </row>
    <row r="400" spans="1:15">
      <c r="A400" s="39">
        <v>42720</v>
      </c>
      <c r="B400">
        <v>70.599999999999994</v>
      </c>
      <c r="C400">
        <f>VLOOKUP(A400,NYSEARCAVTI!A$2:G$506,4,0)</f>
        <v>116.59</v>
      </c>
      <c r="D400">
        <f>VLOOKUP(A400,NYSEARCAVEU!A$2:G$506,4,0)</f>
        <v>44.34</v>
      </c>
      <c r="E400">
        <f>VLOOKUP(A400,NYSEARCAVWO!A$2:G$506,4,0)</f>
        <v>35.58</v>
      </c>
      <c r="F400">
        <f>VLOOKUP(A400,NYSEARCABND!A$2:G$506,4,0)</f>
        <v>80.03</v>
      </c>
      <c r="G400">
        <f>VLOOKUP(A400,NYSEARCATIP!A$2:G$506,4,0)</f>
        <v>110.9</v>
      </c>
      <c r="H400">
        <f>VLOOKUP(A400,NYSEARCAMUB!A$2:G$506,4,0)</f>
        <v>107.18</v>
      </c>
      <c r="I400">
        <f>VLOOKUP(A400,NYSEARCAVNQ!A$2:G$506,4,0)</f>
        <v>81.45</v>
      </c>
      <c r="J400">
        <f>VLOOKUP(A400,NYSEARCARWX!A$2:G$506,4,0)</f>
        <v>35.119999999999997</v>
      </c>
      <c r="K400">
        <f>VLOOKUP(A400,NYSEARCADBC!A$2:G$506,4,0)</f>
        <v>15.55</v>
      </c>
      <c r="L400">
        <f>VLOOKUP(A400,NYSEARCAGSG!A$2:G$506,4,0)</f>
        <v>15.32</v>
      </c>
      <c r="M400">
        <f>VLOOKUP(A400,NYSEARCAGLD!A$2:G$506,4,0)</f>
        <v>107.48</v>
      </c>
      <c r="N400">
        <f>VLOOKUP(A400,NYSEBP!A$2:G$506,4,0)</f>
        <v>36.14</v>
      </c>
      <c r="O400">
        <f>VLOOKUP(A400,NASDAQYHOO!A$2:G$506,4,0)</f>
        <v>38.42</v>
      </c>
    </row>
    <row r="401" spans="1:15">
      <c r="A401" s="39">
        <v>42723</v>
      </c>
      <c r="B401">
        <v>70.84</v>
      </c>
      <c r="C401">
        <f>VLOOKUP(A401,NYSEARCAVTI!A$2:G$506,4,0)</f>
        <v>116.8</v>
      </c>
      <c r="D401">
        <f>VLOOKUP(A401,NYSEARCAVEU!A$2:G$506,4,0)</f>
        <v>44.33</v>
      </c>
      <c r="E401">
        <f>VLOOKUP(A401,NYSEARCAVWO!A$2:G$506,4,0)</f>
        <v>35.4</v>
      </c>
      <c r="F401">
        <f>VLOOKUP(A401,NYSEARCABND!A$2:G$506,4,0)</f>
        <v>80.239999999999995</v>
      </c>
      <c r="G401">
        <f>VLOOKUP(A401,NYSEARCATIP!A$2:G$506,4,0)</f>
        <v>111.3</v>
      </c>
      <c r="H401">
        <f>VLOOKUP(A401,NYSEARCAMUB!A$2:G$506,4,0)</f>
        <v>107.31</v>
      </c>
      <c r="I401">
        <f>VLOOKUP(A401,NYSEARCAVNQ!A$2:G$506,4,0)</f>
        <v>82.9</v>
      </c>
      <c r="J401">
        <f>VLOOKUP(A401,NYSEARCARWX!A$2:G$506,4,0)</f>
        <v>35.200000000000003</v>
      </c>
      <c r="K401">
        <f>VLOOKUP(A401,NYSEARCADBC!A$2:G$506,4,0)</f>
        <v>15.52</v>
      </c>
      <c r="L401">
        <f>VLOOKUP(A401,NYSEARCAGSG!A$2:G$506,4,0)</f>
        <v>15.34</v>
      </c>
      <c r="M401">
        <f>VLOOKUP(A401,NYSEARCAGLD!A$2:G$506,4,0)</f>
        <v>108.34</v>
      </c>
      <c r="N401">
        <f>VLOOKUP(A401,NYSEBP!A$2:G$506,4,0)</f>
        <v>36.549999999999997</v>
      </c>
      <c r="O401">
        <f>VLOOKUP(A401,NASDAQYHOO!A$2:G$506,4,0)</f>
        <v>38.270000000000003</v>
      </c>
    </row>
    <row r="402" spans="1:15">
      <c r="A402" s="39">
        <v>42724</v>
      </c>
      <c r="B402">
        <v>71.510000000000005</v>
      </c>
      <c r="C402">
        <f>VLOOKUP(A402,NYSEARCAVTI!A$2:G$506,4,0)</f>
        <v>116.6</v>
      </c>
      <c r="D402">
        <f>VLOOKUP(A402,NYSEARCAVEU!A$2:G$506,4,0)</f>
        <v>43.99</v>
      </c>
      <c r="E402">
        <f>VLOOKUP(A402,NYSEARCAVWO!A$2:G$506,4,0)</f>
        <v>35.270000000000003</v>
      </c>
      <c r="F402">
        <f>VLOOKUP(A402,NYSEARCABND!A$2:G$506,4,0)</f>
        <v>80.2</v>
      </c>
      <c r="G402">
        <f>VLOOKUP(A402,NYSEARCATIP!A$2:G$506,4,0)</f>
        <v>111.33</v>
      </c>
      <c r="H402">
        <f>VLOOKUP(A402,NYSEARCAMUB!A$2:G$506,4,0)</f>
        <v>107.45</v>
      </c>
      <c r="I402">
        <f>VLOOKUP(A402,NYSEARCAVNQ!A$2:G$506,4,0)</f>
        <v>83.18</v>
      </c>
      <c r="J402">
        <f>VLOOKUP(A402,NYSEARCARWX!A$2:G$506,4,0)</f>
        <v>35.369999999999997</v>
      </c>
      <c r="K402">
        <f>VLOOKUP(A402,NYSEARCADBC!A$2:G$506,4,0)</f>
        <v>15.54</v>
      </c>
      <c r="L402">
        <f>VLOOKUP(A402,NYSEARCAGSG!A$2:G$506,4,0)</f>
        <v>15.37</v>
      </c>
      <c r="M402">
        <f>VLOOKUP(A402,NYSEARCAGLD!A$2:G$506,4,0)</f>
        <v>107.29</v>
      </c>
      <c r="N402">
        <f>VLOOKUP(A402,NYSEBP!A$2:G$506,4,0)</f>
        <v>36.479999999999997</v>
      </c>
      <c r="O402">
        <f>VLOOKUP(A402,NASDAQYHOO!A$2:G$506,4,0)</f>
        <v>38.24</v>
      </c>
    </row>
    <row r="403" spans="1:15">
      <c r="A403" s="39">
        <v>42725</v>
      </c>
      <c r="B403">
        <v>71.239999999999995</v>
      </c>
      <c r="C403">
        <f>VLOOKUP(A403,NYSEARCAVTI!A$2:G$506,4,0)</f>
        <v>116.54</v>
      </c>
      <c r="D403">
        <f>VLOOKUP(A403,NYSEARCAVEU!A$2:G$506,4,0)</f>
        <v>44.04</v>
      </c>
      <c r="E403">
        <f>VLOOKUP(A403,NYSEARCAVWO!A$2:G$506,4,0)</f>
        <v>35.19</v>
      </c>
      <c r="F403">
        <f>VLOOKUP(A403,NYSEARCABND!A$2:G$506,4,0)</f>
        <v>80.39</v>
      </c>
      <c r="G403">
        <f>VLOOKUP(A403,NYSEARCATIP!A$2:G$506,4,0)</f>
        <v>111.84</v>
      </c>
      <c r="H403">
        <f>VLOOKUP(A403,NYSEARCAMUB!A$2:G$506,4,0)</f>
        <v>107.55</v>
      </c>
      <c r="I403">
        <f>VLOOKUP(A403,NYSEARCAVNQ!A$2:G$506,4,0)</f>
        <v>82.42</v>
      </c>
      <c r="J403">
        <f>VLOOKUP(A403,NYSEARCARWX!A$2:G$506,4,0)</f>
        <v>35.409999999999997</v>
      </c>
      <c r="K403">
        <f>VLOOKUP(A403,NYSEARCADBC!A$2:G$506,4,0)</f>
        <v>15.5</v>
      </c>
      <c r="L403">
        <f>VLOOKUP(A403,NYSEARCAGSG!A$2:G$506,4,0)</f>
        <v>15.29</v>
      </c>
      <c r="M403">
        <f>VLOOKUP(A403,NYSEARCAGLD!A$2:G$506,4,0)</f>
        <v>107.68</v>
      </c>
      <c r="N403">
        <f>VLOOKUP(A403,NYSEBP!A$2:G$506,4,0)</f>
        <v>36.67</v>
      </c>
      <c r="O403">
        <f>VLOOKUP(A403,NASDAQYHOO!A$2:G$506,4,0)</f>
        <v>38.97</v>
      </c>
    </row>
    <row r="404" spans="1:15">
      <c r="A404" s="39">
        <v>42726</v>
      </c>
      <c r="B404">
        <v>69.209999999999994</v>
      </c>
      <c r="C404">
        <f>VLOOKUP(A404,NYSEARCAVTI!A$2:G$506,4,0)</f>
        <v>115.98</v>
      </c>
      <c r="D404">
        <f>VLOOKUP(A404,NYSEARCAVEU!A$2:G$506,4,0)</f>
        <v>43.85</v>
      </c>
      <c r="E404">
        <f>VLOOKUP(A404,NYSEARCAVWO!A$2:G$506,4,0)</f>
        <v>34.71</v>
      </c>
      <c r="F404">
        <f>VLOOKUP(A404,NYSEARCABND!A$2:G$506,4,0)</f>
        <v>80.17</v>
      </c>
      <c r="G404">
        <f>VLOOKUP(A404,NYSEARCATIP!A$2:G$506,4,0)</f>
        <v>111.8</v>
      </c>
      <c r="H404">
        <f>VLOOKUP(A404,NYSEARCAMUB!A$2:G$506,4,0)</f>
        <v>107.47</v>
      </c>
      <c r="I404">
        <f>VLOOKUP(A404,NYSEARCAVNQ!A$2:G$506,4,0)</f>
        <v>79.91</v>
      </c>
      <c r="J404">
        <f>VLOOKUP(A404,NYSEARCARWX!A$2:G$506,4,0)</f>
        <v>35.28</v>
      </c>
      <c r="K404">
        <f>VLOOKUP(A404,NYSEARCADBC!A$2:G$506,4,0)</f>
        <v>15.51</v>
      </c>
      <c r="L404">
        <f>VLOOKUP(A404,NYSEARCAGSG!A$2:G$506,4,0)</f>
        <v>15.33</v>
      </c>
      <c r="M404">
        <f>VLOOKUP(A404,NYSEARCAGLD!A$2:G$506,4,0)</f>
        <v>107.49</v>
      </c>
      <c r="N404">
        <f>VLOOKUP(A404,NYSEBP!A$2:G$506,4,0)</f>
        <v>36.880000000000003</v>
      </c>
      <c r="O404">
        <f>VLOOKUP(A404,NASDAQYHOO!A$2:G$506,4,0)</f>
        <v>38.26</v>
      </c>
    </row>
    <row r="405" spans="1:15">
      <c r="A405" s="39">
        <v>42727</v>
      </c>
      <c r="B405">
        <v>69.36</v>
      </c>
      <c r="C405">
        <f>VLOOKUP(A405,NYSEARCAVTI!A$2:G$506,4,0)</f>
        <v>116.13</v>
      </c>
      <c r="D405">
        <f>VLOOKUP(A405,NYSEARCAVEU!A$2:G$506,4,0)</f>
        <v>43.88</v>
      </c>
      <c r="E405">
        <f>VLOOKUP(A405,NYSEARCAVWO!A$2:G$506,4,0)</f>
        <v>34.880000000000003</v>
      </c>
      <c r="F405">
        <f>VLOOKUP(A405,NYSEARCABND!A$2:G$506,4,0)</f>
        <v>80.260000000000005</v>
      </c>
      <c r="G405">
        <f>VLOOKUP(A405,NYSEARCATIP!A$2:G$506,4,0)</f>
        <v>112.34</v>
      </c>
      <c r="H405">
        <f>VLOOKUP(A405,NYSEARCAMUB!A$2:G$506,4,0)</f>
        <v>107.67</v>
      </c>
      <c r="I405">
        <f>VLOOKUP(A405,NYSEARCAVNQ!A$2:G$506,4,0)</f>
        <v>80.489999999999995</v>
      </c>
      <c r="J405">
        <f>VLOOKUP(A405,NYSEARCARWX!A$2:G$506,4,0)</f>
        <v>35.43</v>
      </c>
      <c r="K405">
        <f>VLOOKUP(A405,NYSEARCADBC!A$2:G$506,4,0)</f>
        <v>15.5</v>
      </c>
      <c r="L405">
        <f>VLOOKUP(A405,NYSEARCAGSG!A$2:G$506,4,0)</f>
        <v>15.32</v>
      </c>
      <c r="M405">
        <f>VLOOKUP(A405,NYSEARCAGLD!A$2:G$506,4,0)</f>
        <v>107.8</v>
      </c>
      <c r="N405">
        <f>VLOOKUP(A405,NYSEBP!A$2:G$506,4,0)</f>
        <v>36.78</v>
      </c>
      <c r="O405">
        <f>VLOOKUP(A405,NASDAQYHOO!A$2:G$506,4,0)</f>
        <v>38.369999999999997</v>
      </c>
    </row>
    <row r="406" spans="1:15">
      <c r="A406" s="39">
        <v>42731</v>
      </c>
      <c r="B406">
        <v>69.25</v>
      </c>
      <c r="C406">
        <f>VLOOKUP(A406,NYSEARCAVTI!A$2:G$506,4,0)</f>
        <v>116.5</v>
      </c>
      <c r="D406">
        <f>VLOOKUP(A406,NYSEARCAVEU!A$2:G$506,4,0)</f>
        <v>43.98</v>
      </c>
      <c r="E406">
        <f>VLOOKUP(A406,NYSEARCAVWO!A$2:G$506,4,0)</f>
        <v>35.119999999999997</v>
      </c>
      <c r="F406">
        <f>VLOOKUP(A406,NYSEARCABND!A$2:G$506,4,0)</f>
        <v>80.12</v>
      </c>
      <c r="G406">
        <f>VLOOKUP(A406,NYSEARCATIP!A$2:G$506,4,0)</f>
        <v>112.2</v>
      </c>
      <c r="H406">
        <f>VLOOKUP(A406,NYSEARCAMUB!A$2:G$506,4,0)</f>
        <v>107.7</v>
      </c>
      <c r="I406">
        <f>VLOOKUP(A406,NYSEARCAVNQ!A$2:G$506,4,0)</f>
        <v>80.61</v>
      </c>
      <c r="J406">
        <f>VLOOKUP(A406,NYSEARCARWX!A$2:G$506,4,0)</f>
        <v>35.6</v>
      </c>
      <c r="K406">
        <f>VLOOKUP(A406,NYSEARCADBC!A$2:G$506,4,0)</f>
        <v>15.66</v>
      </c>
      <c r="L406">
        <f>VLOOKUP(A406,NYSEARCAGSG!A$2:G$506,4,0)</f>
        <v>15.49</v>
      </c>
      <c r="M406">
        <f>VLOOKUP(A406,NYSEARCAGLD!A$2:G$506,4,0)</f>
        <v>108.24</v>
      </c>
      <c r="N406">
        <f>VLOOKUP(A406,NYSEBP!A$2:G$506,4,0)</f>
        <v>37.090000000000003</v>
      </c>
      <c r="O406">
        <f>VLOOKUP(A406,NASDAQYHOO!A$2:G$506,4,0)</f>
        <v>38.5</v>
      </c>
    </row>
    <row r="407" spans="1:15">
      <c r="A407" s="39">
        <v>42732</v>
      </c>
      <c r="B407">
        <v>69.260000000000005</v>
      </c>
      <c r="C407">
        <f>VLOOKUP(A407,NYSEARCAVTI!A$2:G$506,4,0)</f>
        <v>115.66</v>
      </c>
      <c r="D407">
        <f>VLOOKUP(A407,NYSEARCAVEU!A$2:G$506,4,0)</f>
        <v>43.85</v>
      </c>
      <c r="E407">
        <f>VLOOKUP(A407,NYSEARCAVWO!A$2:G$506,4,0)</f>
        <v>35.33</v>
      </c>
      <c r="F407">
        <f>VLOOKUP(A407,NYSEARCABND!A$2:G$506,4,0)</f>
        <v>80.180000000000007</v>
      </c>
      <c r="G407">
        <f>VLOOKUP(A407,NYSEARCATIP!A$2:G$506,4,0)</f>
        <v>112.39</v>
      </c>
      <c r="H407">
        <f>VLOOKUP(A407,NYSEARCAMUB!A$2:G$506,4,0)</f>
        <v>107.79</v>
      </c>
      <c r="I407">
        <f>VLOOKUP(A407,NYSEARCAVNQ!A$2:G$506,4,0)</f>
        <v>80.239999999999995</v>
      </c>
      <c r="J407">
        <f>VLOOKUP(A407,NYSEARCARWX!A$2:G$506,4,0)</f>
        <v>35.36</v>
      </c>
      <c r="K407">
        <f>VLOOKUP(A407,NYSEARCADBC!A$2:G$506,4,0)</f>
        <v>15.77</v>
      </c>
      <c r="L407">
        <f>VLOOKUP(A407,NYSEARCAGSG!A$2:G$506,4,0)</f>
        <v>15.63</v>
      </c>
      <c r="M407">
        <f>VLOOKUP(A407,NYSEARCAGLD!A$2:G$506,4,0)</f>
        <v>108.29</v>
      </c>
      <c r="N407">
        <f>VLOOKUP(A407,NYSEBP!A$2:G$506,4,0)</f>
        <v>37.18</v>
      </c>
      <c r="O407">
        <f>VLOOKUP(A407,NASDAQYHOO!A$2:G$506,4,0)</f>
        <v>38.71</v>
      </c>
    </row>
    <row r="408" spans="1:15">
      <c r="A408" s="39">
        <v>42733</v>
      </c>
      <c r="B408">
        <v>69.12</v>
      </c>
      <c r="C408">
        <f>VLOOKUP(A408,NYSEARCAVTI!A$2:G$506,4,0)</f>
        <v>115.47</v>
      </c>
      <c r="D408">
        <f>VLOOKUP(A408,NYSEARCAVEU!A$2:G$506,4,0)</f>
        <v>44.08</v>
      </c>
      <c r="E408">
        <f>VLOOKUP(A408,NYSEARCAVWO!A$2:G$506,4,0)</f>
        <v>35.75</v>
      </c>
      <c r="F408">
        <f>VLOOKUP(A408,NYSEARCABND!A$2:G$506,4,0)</f>
        <v>80.48</v>
      </c>
      <c r="G408">
        <f>VLOOKUP(A408,NYSEARCATIP!A$2:G$506,4,0)</f>
        <v>112.62</v>
      </c>
      <c r="H408">
        <f>VLOOKUP(A408,NYSEARCAMUB!A$2:G$506,4,0)</f>
        <v>107.98</v>
      </c>
      <c r="I408">
        <f>VLOOKUP(A408,NYSEARCAVNQ!A$2:G$506,4,0)</f>
        <v>80.45</v>
      </c>
      <c r="J408">
        <f>VLOOKUP(A408,NYSEARCARWX!A$2:G$506,4,0)</f>
        <v>35.56</v>
      </c>
      <c r="K408">
        <f>VLOOKUP(A408,NYSEARCADBC!A$2:G$506,4,0)</f>
        <v>15.78</v>
      </c>
      <c r="L408">
        <f>VLOOKUP(A408,NYSEARCAGSG!A$2:G$506,4,0)</f>
        <v>15.65</v>
      </c>
      <c r="M408">
        <f>VLOOKUP(A408,NYSEARCAGLD!A$2:G$506,4,0)</f>
        <v>109.16</v>
      </c>
      <c r="N408">
        <f>VLOOKUP(A408,NYSEBP!A$2:G$506,4,0)</f>
        <v>37.340000000000003</v>
      </c>
      <c r="O408">
        <f>VLOOKUP(A408,NASDAQYHOO!A$2:G$506,4,0)</f>
        <v>38.479999999999997</v>
      </c>
    </row>
    <row r="409" spans="1:15">
      <c r="A409" s="39">
        <v>42734</v>
      </c>
      <c r="B409">
        <v>68.83</v>
      </c>
      <c r="C409">
        <f>VLOOKUP(A409,NYSEARCAVTI!A$2:G$506,4,0)</f>
        <v>114.96</v>
      </c>
      <c r="D409">
        <f>VLOOKUP(A409,NYSEARCAVEU!A$2:G$506,4,0)</f>
        <v>44.12</v>
      </c>
      <c r="E409">
        <f>VLOOKUP(A409,NYSEARCAVWO!A$2:G$506,4,0)</f>
        <v>35.700000000000003</v>
      </c>
      <c r="F409">
        <f>VLOOKUP(A409,NYSEARCABND!A$2:G$506,4,0)</f>
        <v>80.62</v>
      </c>
      <c r="G409">
        <f>VLOOKUP(A409,NYSEARCATIP!A$2:G$506,4,0)</f>
        <v>112.75</v>
      </c>
      <c r="H409">
        <f>VLOOKUP(A409,NYSEARCAMUB!A$2:G$506,4,0)</f>
        <v>108.09</v>
      </c>
      <c r="I409">
        <f>VLOOKUP(A409,NYSEARCAVNQ!A$2:G$506,4,0)</f>
        <v>81.2</v>
      </c>
      <c r="J409">
        <f>VLOOKUP(A409,NYSEARCARWX!A$2:G$506,4,0)</f>
        <v>35.97</v>
      </c>
      <c r="K409">
        <f>VLOOKUP(A409,NYSEARCADBC!A$2:G$506,4,0)</f>
        <v>15.79</v>
      </c>
      <c r="L409">
        <f>VLOOKUP(A409,NYSEARCAGSG!A$2:G$506,4,0)</f>
        <v>15.63</v>
      </c>
      <c r="M409">
        <f>VLOOKUP(A409,NYSEARCAGLD!A$2:G$506,4,0)</f>
        <v>109.53</v>
      </c>
      <c r="N409">
        <f>VLOOKUP(A409,NYSEBP!A$2:G$506,4,0)</f>
        <v>37.33</v>
      </c>
      <c r="O409">
        <f>VLOOKUP(A409,NASDAQYHOO!A$2:G$506,4,0)</f>
        <v>38.43</v>
      </c>
    </row>
    <row r="410" spans="1:15">
      <c r="A410" s="39">
        <v>42738</v>
      </c>
      <c r="B410">
        <v>68.05</v>
      </c>
      <c r="C410">
        <f>VLOOKUP(A410,NYSEARCAVTI!A$2:G$506,4,0)</f>
        <v>115.49</v>
      </c>
      <c r="D410">
        <f>VLOOKUP(A410,NYSEARCAVEU!A$2:G$506,4,0)</f>
        <v>44.39</v>
      </c>
      <c r="E410">
        <f>VLOOKUP(A410,NYSEARCAVWO!A$2:G$506,4,0)</f>
        <v>36.03</v>
      </c>
      <c r="F410">
        <f>VLOOKUP(A410,NYSEARCABND!A$2:G$506,4,0)</f>
        <v>80.5</v>
      </c>
      <c r="G410">
        <f>VLOOKUP(A410,NYSEARCATIP!A$2:G$506,4,0)</f>
        <v>112.94</v>
      </c>
      <c r="H410">
        <f>VLOOKUP(A410,NYSEARCAMUB!A$2:G$506,4,0)</f>
        <v>107.84</v>
      </c>
      <c r="I410">
        <f>VLOOKUP(A410,NYSEARCAVNQ!A$2:G$506,4,0)</f>
        <v>82.14</v>
      </c>
      <c r="J410">
        <f>VLOOKUP(A410,NYSEARCARWX!A$2:G$506,4,0)</f>
        <v>35.840000000000003</v>
      </c>
      <c r="K410">
        <f>VLOOKUP(A410,NYSEARCADBC!A$2:G$506,4,0)</f>
        <v>15.58</v>
      </c>
      <c r="L410">
        <f>VLOOKUP(A410,NYSEARCAGSG!A$2:G$506,4,0)</f>
        <v>15.36</v>
      </c>
      <c r="M410">
        <f>VLOOKUP(A410,NYSEARCAGLD!A$2:G$506,4,0)</f>
        <v>109.37</v>
      </c>
      <c r="N410">
        <f>VLOOKUP(A410,NYSEBP!A$2:G$506,4,0)</f>
        <v>37.79</v>
      </c>
      <c r="O410">
        <f>VLOOKUP(A410,NASDAQYHOO!A$2:G$506,4,0)</f>
        <v>38.64</v>
      </c>
    </row>
    <row r="411" spans="1:15">
      <c r="A411" s="39">
        <v>42739</v>
      </c>
      <c r="B411">
        <v>68.599999999999994</v>
      </c>
      <c r="C411">
        <f>VLOOKUP(A411,NYSEARCAVTI!A$2:G$506,4,0)</f>
        <v>116.42</v>
      </c>
      <c r="D411">
        <f>VLOOKUP(A411,NYSEARCAVEU!A$2:G$506,4,0)</f>
        <v>44.75</v>
      </c>
      <c r="E411">
        <f>VLOOKUP(A411,NYSEARCAVWO!A$2:G$506,4,0)</f>
        <v>36.36</v>
      </c>
      <c r="F411">
        <f>VLOOKUP(A411,NYSEARCABND!A$2:G$506,4,0)</f>
        <v>80.75</v>
      </c>
      <c r="G411">
        <f>VLOOKUP(A411,NYSEARCATIP!A$2:G$506,4,0)</f>
        <v>113.19</v>
      </c>
      <c r="H411">
        <f>VLOOKUP(A411,NYSEARCAMUB!A$2:G$506,4,0)</f>
        <v>108.11</v>
      </c>
      <c r="I411">
        <f>VLOOKUP(A411,NYSEARCAVNQ!A$2:G$506,4,0)</f>
        <v>82.83</v>
      </c>
      <c r="J411">
        <f>VLOOKUP(A411,NYSEARCARWX!A$2:G$506,4,0)</f>
        <v>36.28</v>
      </c>
      <c r="K411">
        <f>VLOOKUP(A411,NYSEARCADBC!A$2:G$506,4,0)</f>
        <v>15.61</v>
      </c>
      <c r="L411">
        <f>VLOOKUP(A411,NYSEARCAGSG!A$2:G$506,4,0)</f>
        <v>15.34</v>
      </c>
      <c r="M411">
        <f>VLOOKUP(A411,NYSEARCAGLD!A$2:G$506,4,0)</f>
        <v>110.61</v>
      </c>
      <c r="N411">
        <f>VLOOKUP(A411,NYSEBP!A$2:G$506,4,0)</f>
        <v>37.94</v>
      </c>
      <c r="O411">
        <f>VLOOKUP(A411,NASDAQYHOO!A$2:G$506,4,0)</f>
        <v>38.92</v>
      </c>
    </row>
    <row r="412" spans="1:15">
      <c r="A412" s="39">
        <v>42740</v>
      </c>
      <c r="B412">
        <v>68.12</v>
      </c>
      <c r="C412">
        <f>VLOOKUP(A412,NYSEARCAVTI!A$2:G$506,4,0)</f>
        <v>116.4</v>
      </c>
      <c r="D412">
        <f>VLOOKUP(A412,NYSEARCAVEU!A$2:G$506,4,0)</f>
        <v>45.16</v>
      </c>
      <c r="E412">
        <f>VLOOKUP(A412,NYSEARCAVWO!A$2:G$506,4,0)</f>
        <v>36.74</v>
      </c>
      <c r="F412">
        <f>VLOOKUP(A412,NYSEARCABND!A$2:G$506,4,0)</f>
        <v>80.900000000000006</v>
      </c>
      <c r="G412">
        <f>VLOOKUP(A412,NYSEARCATIP!A$2:G$506,4,0)</f>
        <v>113.37</v>
      </c>
      <c r="H412">
        <f>VLOOKUP(A412,NYSEARCAMUB!A$2:G$506,4,0)</f>
        <v>108.36</v>
      </c>
      <c r="I412">
        <f>VLOOKUP(A412,NYSEARCAVNQ!A$2:G$506,4,0)</f>
        <v>82.92</v>
      </c>
      <c r="J412">
        <f>VLOOKUP(A412,NYSEARCARWX!A$2:G$506,4,0)</f>
        <v>36.630000000000003</v>
      </c>
      <c r="K412">
        <f>VLOOKUP(A412,NYSEARCADBC!A$2:G$506,4,0)</f>
        <v>15.7</v>
      </c>
      <c r="L412">
        <f>VLOOKUP(A412,NYSEARCAGSG!A$2:G$506,4,0)</f>
        <v>15.51</v>
      </c>
      <c r="M412">
        <f>VLOOKUP(A412,NYSEARCAGLD!A$2:G$506,4,0)</f>
        <v>112.07</v>
      </c>
      <c r="N412">
        <f>VLOOKUP(A412,NYSEBP!A$2:G$506,4,0)</f>
        <v>38.14</v>
      </c>
      <c r="O412">
        <f>VLOOKUP(A412,NASDAQYHOO!A$2:G$506,4,0)</f>
        <v>40.24</v>
      </c>
    </row>
    <row r="413" spans="1:15">
      <c r="A413" s="39">
        <v>42741</v>
      </c>
      <c r="B413">
        <v>68.010000000000005</v>
      </c>
      <c r="C413">
        <f>VLOOKUP(A413,NYSEARCAVTI!A$2:G$506,4,0)</f>
        <v>116.64</v>
      </c>
      <c r="D413">
        <f>VLOOKUP(A413,NYSEARCAVEU!A$2:G$506,4,0)</f>
        <v>45.19</v>
      </c>
      <c r="E413">
        <f>VLOOKUP(A413,NYSEARCAVWO!A$2:G$506,4,0)</f>
        <v>36.590000000000003</v>
      </c>
      <c r="F413">
        <f>VLOOKUP(A413,NYSEARCABND!A$2:G$506,4,0)</f>
        <v>80.95</v>
      </c>
      <c r="G413">
        <f>VLOOKUP(A413,NYSEARCATIP!A$2:G$506,4,0)</f>
        <v>113.42</v>
      </c>
      <c r="H413">
        <f>VLOOKUP(A413,NYSEARCAMUB!A$2:G$506,4,0)</f>
        <v>108.34</v>
      </c>
      <c r="I413">
        <f>VLOOKUP(A413,NYSEARCAVNQ!A$2:G$506,4,0)</f>
        <v>83.82</v>
      </c>
      <c r="J413">
        <f>VLOOKUP(A413,NYSEARCARWX!A$2:G$506,4,0)</f>
        <v>37</v>
      </c>
      <c r="K413">
        <f>VLOOKUP(A413,NYSEARCADBC!A$2:G$506,4,0)</f>
        <v>15.75</v>
      </c>
      <c r="L413">
        <f>VLOOKUP(A413,NYSEARCAGSG!A$2:G$506,4,0)</f>
        <v>15.54</v>
      </c>
      <c r="M413">
        <f>VLOOKUP(A413,NYSEARCAGLD!A$2:G$506,4,0)</f>
        <v>111.57</v>
      </c>
      <c r="N413">
        <f>VLOOKUP(A413,NYSEBP!A$2:G$506,4,0)</f>
        <v>37.85</v>
      </c>
      <c r="O413">
        <f>VLOOKUP(A413,NASDAQYHOO!A$2:G$506,4,0)</f>
        <v>40.85</v>
      </c>
    </row>
    <row r="414" spans="1:15">
      <c r="A414" s="39">
        <v>42744</v>
      </c>
      <c r="B414">
        <v>68.319999999999993</v>
      </c>
      <c r="C414">
        <f>VLOOKUP(A414,NYSEARCAVTI!A$2:G$506,4,0)</f>
        <v>116.74</v>
      </c>
      <c r="D414">
        <f>VLOOKUP(A414,NYSEARCAVEU!A$2:G$506,4,0)</f>
        <v>45.06</v>
      </c>
      <c r="E414">
        <f>VLOOKUP(A414,NYSEARCAVWO!A$2:G$506,4,0)</f>
        <v>36.65</v>
      </c>
      <c r="F414">
        <f>VLOOKUP(A414,NYSEARCABND!A$2:G$506,4,0)</f>
        <v>81.09</v>
      </c>
      <c r="G414">
        <f>VLOOKUP(A414,NYSEARCATIP!A$2:G$506,4,0)</f>
        <v>113.5</v>
      </c>
      <c r="H414">
        <f>VLOOKUP(A414,NYSEARCAMUB!A$2:G$506,4,0)</f>
        <v>108.43</v>
      </c>
      <c r="I414">
        <f>VLOOKUP(A414,NYSEARCAVNQ!A$2:G$506,4,0)</f>
        <v>83.5</v>
      </c>
      <c r="J414">
        <f>VLOOKUP(A414,NYSEARCARWX!A$2:G$506,4,0)</f>
        <v>36.89</v>
      </c>
      <c r="K414">
        <f>VLOOKUP(A414,NYSEARCADBC!A$2:G$506,4,0)</f>
        <v>15.56</v>
      </c>
      <c r="L414">
        <f>VLOOKUP(A414,NYSEARCAGSG!A$2:G$506,4,0)</f>
        <v>15.29</v>
      </c>
      <c r="M414">
        <f>VLOOKUP(A414,NYSEARCAGLD!A$2:G$506,4,0)</f>
        <v>112.18</v>
      </c>
      <c r="N414">
        <f>VLOOKUP(A414,NYSEBP!A$2:G$506,4,0)</f>
        <v>37.31</v>
      </c>
      <c r="O414">
        <f>VLOOKUP(A414,NASDAQYHOO!A$2:G$506,4,0)</f>
        <v>41.12</v>
      </c>
    </row>
    <row r="415" spans="1:15">
      <c r="A415" s="39">
        <v>42745</v>
      </c>
      <c r="B415">
        <v>68.22</v>
      </c>
      <c r="C415">
        <f>VLOOKUP(A415,NYSEARCAVTI!A$2:G$506,4,0)</f>
        <v>116.62</v>
      </c>
      <c r="D415">
        <f>VLOOKUP(A415,NYSEARCAVEU!A$2:G$506,4,0)</f>
        <v>45.23</v>
      </c>
      <c r="E415">
        <f>VLOOKUP(A415,NYSEARCAVWO!A$2:G$506,4,0)</f>
        <v>36.82</v>
      </c>
      <c r="F415">
        <f>VLOOKUP(A415,NYSEARCABND!A$2:G$506,4,0)</f>
        <v>81.06</v>
      </c>
      <c r="G415">
        <f>VLOOKUP(A415,NYSEARCATIP!A$2:G$506,4,0)</f>
        <v>113.47</v>
      </c>
      <c r="H415">
        <f>VLOOKUP(A415,NYSEARCAMUB!A$2:G$506,4,0)</f>
        <v>108.56</v>
      </c>
      <c r="I415">
        <f>VLOOKUP(A415,NYSEARCAVNQ!A$2:G$506,4,0)</f>
        <v>82.78</v>
      </c>
      <c r="J415">
        <f>VLOOKUP(A415,NYSEARCARWX!A$2:G$506,4,0)</f>
        <v>36.9</v>
      </c>
      <c r="K415">
        <f>VLOOKUP(A415,NYSEARCADBC!A$2:G$506,4,0)</f>
        <v>15.51</v>
      </c>
      <c r="L415">
        <f>VLOOKUP(A415,NYSEARCAGSG!A$2:G$506,4,0)</f>
        <v>15.17</v>
      </c>
      <c r="M415">
        <f>VLOOKUP(A415,NYSEARCAGLD!A$2:G$506,4,0)</f>
        <v>112.64</v>
      </c>
      <c r="N415">
        <f>VLOOKUP(A415,NYSEBP!A$2:G$506,4,0)</f>
        <v>37.11</v>
      </c>
      <c r="O415">
        <f>VLOOKUP(A415,NASDAQYHOO!A$2:G$506,4,0)</f>
        <v>41.54</v>
      </c>
    </row>
    <row r="416" spans="1:15">
      <c r="A416" s="39">
        <v>42746</v>
      </c>
      <c r="B416">
        <v>68.19</v>
      </c>
      <c r="C416">
        <f>VLOOKUP(A416,NYSEARCAVTI!A$2:G$506,4,0)</f>
        <v>116.49</v>
      </c>
      <c r="D416">
        <f>VLOOKUP(A416,NYSEARCAVEU!A$2:G$506,4,0)</f>
        <v>45.14</v>
      </c>
      <c r="E416">
        <f>VLOOKUP(A416,NYSEARCAVWO!A$2:G$506,4,0)</f>
        <v>36.72</v>
      </c>
      <c r="F416">
        <f>VLOOKUP(A416,NYSEARCABND!A$2:G$506,4,0)</f>
        <v>81.06</v>
      </c>
      <c r="G416">
        <f>VLOOKUP(A416,NYSEARCATIP!A$2:G$506,4,0)</f>
        <v>113.86</v>
      </c>
      <c r="H416">
        <f>VLOOKUP(A416,NYSEARCAMUB!A$2:G$506,4,0)</f>
        <v>108.69</v>
      </c>
      <c r="I416">
        <f>VLOOKUP(A416,NYSEARCAVNQ!A$2:G$506,4,0)</f>
        <v>82.23</v>
      </c>
      <c r="J416">
        <f>VLOOKUP(A416,NYSEARCARWX!A$2:G$506,4,0)</f>
        <v>36.54</v>
      </c>
      <c r="K416">
        <f>VLOOKUP(A416,NYSEARCADBC!A$2:G$506,4,0)</f>
        <v>15.49</v>
      </c>
      <c r="L416">
        <f>VLOOKUP(A416,NYSEARCAGSG!A$2:G$506,4,0)</f>
        <v>15.09</v>
      </c>
      <c r="M416">
        <f>VLOOKUP(A416,NYSEARCAGLD!A$2:G$506,4,0)</f>
        <v>112.17</v>
      </c>
      <c r="N416">
        <f>VLOOKUP(A416,NYSEBP!A$2:G$506,4,0)</f>
        <v>37.06</v>
      </c>
      <c r="O416">
        <f>VLOOKUP(A416,NASDAQYHOO!A$2:G$506,4,0)</f>
        <v>42.07</v>
      </c>
    </row>
    <row r="417" spans="1:15">
      <c r="A417" s="39">
        <v>42747</v>
      </c>
      <c r="B417">
        <v>67.92</v>
      </c>
      <c r="C417">
        <f>VLOOKUP(A417,NYSEARCAVTI!A$2:G$506,4,0)</f>
        <v>116.01</v>
      </c>
      <c r="D417">
        <f>VLOOKUP(A417,NYSEARCAVEU!A$2:G$506,4,0)</f>
        <v>45.46</v>
      </c>
      <c r="E417">
        <f>VLOOKUP(A417,NYSEARCAVWO!A$2:G$506,4,0)</f>
        <v>37.119999999999997</v>
      </c>
      <c r="F417">
        <f>VLOOKUP(A417,NYSEARCABND!A$2:G$506,4,0)</f>
        <v>81.150000000000006</v>
      </c>
      <c r="G417">
        <f>VLOOKUP(A417,NYSEARCATIP!A$2:G$506,4,0)</f>
        <v>114.13</v>
      </c>
      <c r="H417">
        <f>VLOOKUP(A417,NYSEARCAMUB!A$2:G$506,4,0)</f>
        <v>109.09</v>
      </c>
      <c r="I417">
        <f>VLOOKUP(A417,NYSEARCAVNQ!A$2:G$506,4,0)</f>
        <v>81.599999999999994</v>
      </c>
      <c r="J417">
        <f>VLOOKUP(A417,NYSEARCARWX!A$2:G$506,4,0)</f>
        <v>36.65</v>
      </c>
      <c r="K417">
        <f>VLOOKUP(A417,NYSEARCADBC!A$2:G$506,4,0)</f>
        <v>15.83</v>
      </c>
      <c r="L417">
        <f>VLOOKUP(A417,NYSEARCAGSG!A$2:G$506,4,0)</f>
        <v>15.52</v>
      </c>
      <c r="M417">
        <f>VLOOKUP(A417,NYSEARCAGLD!A$2:G$506,4,0)</f>
        <v>113.8</v>
      </c>
      <c r="N417">
        <f>VLOOKUP(A417,NYSEBP!A$2:G$506,4,0)</f>
        <v>37.659999999999997</v>
      </c>
      <c r="O417">
        <f>VLOOKUP(A417,NASDAQYHOO!A$2:G$506,4,0)</f>
        <v>41.7</v>
      </c>
    </row>
    <row r="418" spans="1:15">
      <c r="A418" s="39">
        <v>42748</v>
      </c>
      <c r="B418">
        <v>67.08</v>
      </c>
      <c r="C418">
        <f>VLOOKUP(A418,NYSEARCAVTI!A$2:G$506,4,0)</f>
        <v>116.98</v>
      </c>
      <c r="D418">
        <f>VLOOKUP(A418,NYSEARCAVEU!A$2:G$506,4,0)</f>
        <v>45.61</v>
      </c>
      <c r="E418">
        <f>VLOOKUP(A418,NYSEARCAVWO!A$2:G$506,4,0)</f>
        <v>37.15</v>
      </c>
      <c r="F418">
        <f>VLOOKUP(A418,NYSEARCABND!A$2:G$506,4,0)</f>
        <v>80.91</v>
      </c>
      <c r="G418">
        <f>VLOOKUP(A418,NYSEARCATIP!A$2:G$506,4,0)</f>
        <v>113.66</v>
      </c>
      <c r="H418">
        <f>VLOOKUP(A418,NYSEARCAMUB!A$2:G$506,4,0)</f>
        <v>109.03</v>
      </c>
      <c r="I418">
        <f>VLOOKUP(A418,NYSEARCAVNQ!A$2:G$506,4,0)</f>
        <v>82.33</v>
      </c>
      <c r="J418">
        <f>VLOOKUP(A418,NYSEARCARWX!A$2:G$506,4,0)</f>
        <v>36.51</v>
      </c>
      <c r="K418">
        <f>VLOOKUP(A418,NYSEARCADBC!A$2:G$506,4,0)</f>
        <v>15.82</v>
      </c>
      <c r="L418">
        <f>VLOOKUP(A418,NYSEARCAGSG!A$2:G$506,4,0)</f>
        <v>15.54</v>
      </c>
      <c r="M418">
        <f>VLOOKUP(A418,NYSEARCAGLD!A$2:G$506,4,0)</f>
        <v>113.19</v>
      </c>
      <c r="N418">
        <f>VLOOKUP(A418,NYSEBP!A$2:G$506,4,0)</f>
        <v>37.56</v>
      </c>
      <c r="O418">
        <f>VLOOKUP(A418,NASDAQYHOO!A$2:G$506,4,0)</f>
        <v>42.02</v>
      </c>
    </row>
    <row r="419" spans="1:15">
      <c r="A419" s="39">
        <v>42752</v>
      </c>
      <c r="B419">
        <v>68.06</v>
      </c>
      <c r="C419">
        <f>VLOOKUP(A419,NYSEARCAVTI!A$2:G$506,4,0)</f>
        <v>116.47</v>
      </c>
      <c r="D419">
        <f>VLOOKUP(A419,NYSEARCAVEU!A$2:G$506,4,0)</f>
        <v>45.58</v>
      </c>
      <c r="E419">
        <f>VLOOKUP(A419,NYSEARCAVWO!A$2:G$506,4,0)</f>
        <v>37.11</v>
      </c>
      <c r="F419">
        <f>VLOOKUP(A419,NYSEARCABND!A$2:G$506,4,0)</f>
        <v>81.209999999999994</v>
      </c>
      <c r="G419">
        <f>VLOOKUP(A419,NYSEARCATIP!A$2:G$506,4,0)</f>
        <v>114.07</v>
      </c>
      <c r="H419">
        <f>VLOOKUP(A419,NYSEARCAMUB!A$2:G$506,4,0)</f>
        <v>109.08</v>
      </c>
      <c r="I419">
        <f>VLOOKUP(A419,NYSEARCAVNQ!A$2:G$506,4,0)</f>
        <v>82.76</v>
      </c>
      <c r="J419">
        <f>VLOOKUP(A419,NYSEARCARWX!A$2:G$506,4,0)</f>
        <v>36.57</v>
      </c>
      <c r="K419">
        <f>VLOOKUP(A419,NYSEARCADBC!A$2:G$506,4,0)</f>
        <v>15.88</v>
      </c>
      <c r="L419">
        <f>VLOOKUP(A419,NYSEARCAGSG!A$2:G$506,4,0)</f>
        <v>15.6</v>
      </c>
      <c r="M419">
        <f>VLOOKUP(A419,NYSEARCAGLD!A$2:G$506,4,0)</f>
        <v>115.5</v>
      </c>
      <c r="N419">
        <f>VLOOKUP(A419,NYSEBP!A$2:G$506,4,0)</f>
        <v>37.24</v>
      </c>
      <c r="O419">
        <f>VLOOKUP(A419,NASDAQYHOO!A$2:G$506,4,0)</f>
        <v>41.84</v>
      </c>
    </row>
    <row r="420" spans="1:15">
      <c r="A420" s="39">
        <v>42753</v>
      </c>
      <c r="B420">
        <v>67.540000000000006</v>
      </c>
      <c r="C420">
        <f>VLOOKUP(A420,NYSEARCAVTI!A$2:G$506,4,0)</f>
        <v>116.48</v>
      </c>
      <c r="D420">
        <f>VLOOKUP(A420,NYSEARCAVEU!A$2:G$506,4,0)</f>
        <v>45.38</v>
      </c>
      <c r="E420">
        <f>VLOOKUP(A420,NYSEARCAVWO!A$2:G$506,4,0)</f>
        <v>37</v>
      </c>
      <c r="F420">
        <f>VLOOKUP(A420,NYSEARCABND!A$2:G$506,4,0)</f>
        <v>80.88</v>
      </c>
      <c r="G420">
        <f>VLOOKUP(A420,NYSEARCATIP!A$2:G$506,4,0)</f>
        <v>113.74</v>
      </c>
      <c r="H420">
        <f>VLOOKUP(A420,NYSEARCAMUB!A$2:G$506,4,0)</f>
        <v>108.97</v>
      </c>
      <c r="I420">
        <f>VLOOKUP(A420,NYSEARCAVNQ!A$2:G$506,4,0)</f>
        <v>83.03</v>
      </c>
      <c r="J420">
        <f>VLOOKUP(A420,NYSEARCARWX!A$2:G$506,4,0)</f>
        <v>36.6</v>
      </c>
      <c r="K420">
        <f>VLOOKUP(A420,NYSEARCADBC!A$2:G$506,4,0)</f>
        <v>15.67</v>
      </c>
      <c r="L420">
        <f>VLOOKUP(A420,NYSEARCAGSG!A$2:G$506,4,0)</f>
        <v>15.3</v>
      </c>
      <c r="M420">
        <f>VLOOKUP(A420,NYSEARCAGLD!A$2:G$506,4,0)</f>
        <v>114.56</v>
      </c>
      <c r="N420">
        <f>VLOOKUP(A420,NYSEBP!A$2:G$506,4,0)</f>
        <v>37.01</v>
      </c>
      <c r="O420">
        <f>VLOOKUP(A420,NASDAQYHOO!A$2:G$506,4,0)</f>
        <v>41.8</v>
      </c>
    </row>
    <row r="421" spans="1:15">
      <c r="A421" s="39">
        <v>42754</v>
      </c>
      <c r="B421">
        <v>67.48</v>
      </c>
      <c r="C421">
        <f>VLOOKUP(A421,NYSEARCAVTI!A$2:G$506,4,0)</f>
        <v>116.24</v>
      </c>
      <c r="D421">
        <f>VLOOKUP(A421,NYSEARCAVEU!A$2:G$506,4,0)</f>
        <v>45.23</v>
      </c>
      <c r="E421">
        <f>VLOOKUP(A421,NYSEARCAVWO!A$2:G$506,4,0)</f>
        <v>36.799999999999997</v>
      </c>
      <c r="F421">
        <f>VLOOKUP(A421,NYSEARCABND!A$2:G$506,4,0)</f>
        <v>80.64</v>
      </c>
      <c r="G421">
        <f>VLOOKUP(A421,NYSEARCATIP!A$2:G$506,4,0)</f>
        <v>113.35</v>
      </c>
      <c r="H421">
        <f>VLOOKUP(A421,NYSEARCAMUB!A$2:G$506,4,0)</f>
        <v>108.5</v>
      </c>
      <c r="I421">
        <f>VLOOKUP(A421,NYSEARCAVNQ!A$2:G$506,4,0)</f>
        <v>82.34</v>
      </c>
      <c r="J421">
        <f>VLOOKUP(A421,NYSEARCARWX!A$2:G$506,4,0)</f>
        <v>36.229999999999997</v>
      </c>
      <c r="K421">
        <f>VLOOKUP(A421,NYSEARCADBC!A$2:G$506,4,0)</f>
        <v>15.69</v>
      </c>
      <c r="L421">
        <f>VLOOKUP(A421,NYSEARCAGSG!A$2:G$506,4,0)</f>
        <v>15.34</v>
      </c>
      <c r="M421">
        <f>VLOOKUP(A421,NYSEARCAGLD!A$2:G$506,4,0)</f>
        <v>113.94</v>
      </c>
      <c r="N421">
        <f>VLOOKUP(A421,NYSEBP!A$2:G$506,4,0)</f>
        <v>36.75</v>
      </c>
      <c r="O421">
        <f>VLOOKUP(A421,NASDAQYHOO!A$2:G$506,4,0)</f>
        <v>41.9</v>
      </c>
    </row>
    <row r="422" spans="1:15">
      <c r="A422" s="39">
        <v>42755</v>
      </c>
      <c r="B422">
        <v>67.02</v>
      </c>
      <c r="C422">
        <f>VLOOKUP(A422,NYSEARCAVTI!A$2:G$506,4,0)</f>
        <v>116.59</v>
      </c>
      <c r="D422">
        <f>VLOOKUP(A422,NYSEARCAVEU!A$2:G$506,4,0)</f>
        <v>45.44</v>
      </c>
      <c r="E422">
        <f>VLOOKUP(A422,NYSEARCAVWO!A$2:G$506,4,0)</f>
        <v>36.85</v>
      </c>
      <c r="F422">
        <f>VLOOKUP(A422,NYSEARCABND!A$2:G$506,4,0)</f>
        <v>80.62</v>
      </c>
      <c r="G422">
        <f>VLOOKUP(A422,NYSEARCATIP!A$2:G$506,4,0)</f>
        <v>113.49</v>
      </c>
      <c r="H422">
        <f>VLOOKUP(A422,NYSEARCAMUB!A$2:G$506,4,0)</f>
        <v>108.12</v>
      </c>
      <c r="I422">
        <f>VLOOKUP(A422,NYSEARCAVNQ!A$2:G$506,4,0)</f>
        <v>82.38</v>
      </c>
      <c r="J422">
        <f>VLOOKUP(A422,NYSEARCARWX!A$2:G$506,4,0)</f>
        <v>36.32</v>
      </c>
      <c r="K422">
        <f>VLOOKUP(A422,NYSEARCADBC!A$2:G$506,4,0)</f>
        <v>15.71</v>
      </c>
      <c r="L422">
        <f>VLOOKUP(A422,NYSEARCAGSG!A$2:G$506,4,0)</f>
        <v>15.54</v>
      </c>
      <c r="M422">
        <f>VLOOKUP(A422,NYSEARCAGLD!A$2:G$506,4,0)</f>
        <v>114.32</v>
      </c>
      <c r="N422">
        <f>VLOOKUP(A422,NYSEBP!A$2:G$506,4,0)</f>
        <v>36.76</v>
      </c>
      <c r="O422">
        <f>VLOOKUP(A422,NASDAQYHOO!A$2:G$506,4,0)</f>
        <v>41.86</v>
      </c>
    </row>
    <row r="423" spans="1:15">
      <c r="A423" s="39">
        <v>42758</v>
      </c>
      <c r="B423">
        <v>66.56</v>
      </c>
      <c r="C423">
        <f>VLOOKUP(A423,NYSEARCAVTI!A$2:G$506,4,0)</f>
        <v>116.17</v>
      </c>
      <c r="D423">
        <f>VLOOKUP(A423,NYSEARCAVEU!A$2:G$506,4,0)</f>
        <v>45.54</v>
      </c>
      <c r="E423">
        <f>VLOOKUP(A423,NYSEARCAVWO!A$2:G$506,4,0)</f>
        <v>37.28</v>
      </c>
      <c r="F423">
        <f>VLOOKUP(A423,NYSEARCABND!A$2:G$506,4,0)</f>
        <v>80.819999999999993</v>
      </c>
      <c r="G423">
        <f>VLOOKUP(A423,NYSEARCATIP!A$2:G$506,4,0)</f>
        <v>113.7</v>
      </c>
      <c r="H423">
        <f>VLOOKUP(A423,NYSEARCAMUB!A$2:G$506,4,0)</f>
        <v>108.22</v>
      </c>
      <c r="I423">
        <f>VLOOKUP(A423,NYSEARCAVNQ!A$2:G$506,4,0)</f>
        <v>83</v>
      </c>
      <c r="J423">
        <f>VLOOKUP(A423,NYSEARCARWX!A$2:G$506,4,0)</f>
        <v>36.590000000000003</v>
      </c>
      <c r="K423">
        <f>VLOOKUP(A423,NYSEARCADBC!A$2:G$506,4,0)</f>
        <v>15.76</v>
      </c>
      <c r="L423">
        <f>VLOOKUP(A423,NYSEARCAGSG!A$2:G$506,4,0)</f>
        <v>15.42</v>
      </c>
      <c r="M423">
        <f>VLOOKUP(A423,NYSEARCAGLD!A$2:G$506,4,0)</f>
        <v>115.2</v>
      </c>
      <c r="N423">
        <f>VLOOKUP(A423,NYSEBP!A$2:G$506,4,0)</f>
        <v>36.32</v>
      </c>
      <c r="O423">
        <f>VLOOKUP(A423,NASDAQYHOO!A$2:G$506,4,0)</f>
        <v>41.84</v>
      </c>
    </row>
    <row r="424" spans="1:15">
      <c r="A424" s="39">
        <v>42759</v>
      </c>
      <c r="B424">
        <v>66.66</v>
      </c>
      <c r="C424">
        <f>VLOOKUP(A424,NYSEARCAVTI!A$2:G$506,4,0)</f>
        <v>116.74</v>
      </c>
      <c r="D424">
        <f>VLOOKUP(A424,NYSEARCAVEU!A$2:G$506,4,0)</f>
        <v>45.75</v>
      </c>
      <c r="E424">
        <f>VLOOKUP(A424,NYSEARCAVWO!A$2:G$506,4,0)</f>
        <v>37.69</v>
      </c>
      <c r="F424">
        <f>VLOOKUP(A424,NYSEARCABND!A$2:G$506,4,0)</f>
        <v>80.819999999999993</v>
      </c>
      <c r="G424">
        <f>VLOOKUP(A424,NYSEARCATIP!A$2:G$506,4,0)</f>
        <v>113.82</v>
      </c>
      <c r="H424">
        <f>VLOOKUP(A424,NYSEARCAMUB!A$2:G$506,4,0)</f>
        <v>108.28</v>
      </c>
      <c r="I424">
        <f>VLOOKUP(A424,NYSEARCAVNQ!A$2:G$506,4,0)</f>
        <v>83.5</v>
      </c>
      <c r="J424">
        <f>VLOOKUP(A424,NYSEARCARWX!A$2:G$506,4,0)</f>
        <v>36.700000000000003</v>
      </c>
      <c r="K424">
        <f>VLOOKUP(A424,NYSEARCADBC!A$2:G$506,4,0)</f>
        <v>15.89</v>
      </c>
      <c r="L424">
        <f>VLOOKUP(A424,NYSEARCAGSG!A$2:G$506,4,0)</f>
        <v>15.55</v>
      </c>
      <c r="M424">
        <f>VLOOKUP(A424,NYSEARCAGLD!A$2:G$506,4,0)</f>
        <v>114.94</v>
      </c>
      <c r="N424">
        <f>VLOOKUP(A424,NYSEBP!A$2:G$506,4,0)</f>
        <v>36.54</v>
      </c>
      <c r="O424">
        <f>VLOOKUP(A424,NASDAQYHOO!A$2:G$506,4,0)</f>
        <v>43.43</v>
      </c>
    </row>
    <row r="425" spans="1:15">
      <c r="A425" s="39">
        <v>42760</v>
      </c>
      <c r="B425">
        <v>66.790000000000006</v>
      </c>
      <c r="C425">
        <f>VLOOKUP(A425,NYSEARCAVTI!A$2:G$506,4,0)</f>
        <v>117.94</v>
      </c>
      <c r="D425">
        <f>VLOOKUP(A425,NYSEARCAVEU!A$2:G$506,4,0)</f>
        <v>46.18</v>
      </c>
      <c r="E425">
        <f>VLOOKUP(A425,NYSEARCAVWO!A$2:G$506,4,0)</f>
        <v>37.93</v>
      </c>
      <c r="F425">
        <f>VLOOKUP(A425,NYSEARCABND!A$2:G$506,4,0)</f>
        <v>80.62</v>
      </c>
      <c r="G425">
        <f>VLOOKUP(A425,NYSEARCATIP!A$2:G$506,4,0)</f>
        <v>113.2</v>
      </c>
      <c r="H425">
        <f>VLOOKUP(A425,NYSEARCAMUB!A$2:G$506,4,0)</f>
        <v>108.09</v>
      </c>
      <c r="I425">
        <f>VLOOKUP(A425,NYSEARCAVNQ!A$2:G$506,4,0)</f>
        <v>83.06</v>
      </c>
      <c r="J425">
        <f>VLOOKUP(A425,NYSEARCARWX!A$2:G$506,4,0)</f>
        <v>36.619999999999997</v>
      </c>
      <c r="K425">
        <f>VLOOKUP(A425,NYSEARCADBC!A$2:G$506,4,0)</f>
        <v>15.76</v>
      </c>
      <c r="L425">
        <f>VLOOKUP(A425,NYSEARCAGSG!A$2:G$506,4,0)</f>
        <v>15.47</v>
      </c>
      <c r="M425">
        <f>VLOOKUP(A425,NYSEARCAGLD!A$2:G$506,4,0)</f>
        <v>113.68</v>
      </c>
      <c r="N425">
        <f>VLOOKUP(A425,NYSEBP!A$2:G$506,4,0)</f>
        <v>36.89</v>
      </c>
      <c r="O425">
        <f>VLOOKUP(A425,NASDAQYHOO!A$2:G$506,4,0)</f>
        <v>44.09</v>
      </c>
    </row>
    <row r="426" spans="1:15">
      <c r="A426" s="39">
        <v>42761</v>
      </c>
      <c r="B426">
        <v>66.62</v>
      </c>
      <c r="C426">
        <f>VLOOKUP(A426,NYSEARCAVTI!A$2:G$506,4,0)</f>
        <v>118.23</v>
      </c>
      <c r="D426">
        <f>VLOOKUP(A426,NYSEARCAVEU!A$2:G$506,4,0)</f>
        <v>46.2</v>
      </c>
      <c r="E426">
        <f>VLOOKUP(A426,NYSEARCAVWO!A$2:G$506,4,0)</f>
        <v>37.950000000000003</v>
      </c>
      <c r="F426">
        <f>VLOOKUP(A426,NYSEARCABND!A$2:G$506,4,0)</f>
        <v>80.52</v>
      </c>
      <c r="G426">
        <f>VLOOKUP(A426,NYSEARCATIP!A$2:G$506,4,0)</f>
        <v>113.41</v>
      </c>
      <c r="H426">
        <f>VLOOKUP(A426,NYSEARCAMUB!A$2:G$506,4,0)</f>
        <v>108.07</v>
      </c>
      <c r="I426">
        <f>VLOOKUP(A426,NYSEARCAVNQ!A$2:G$506,4,0)</f>
        <v>83.03</v>
      </c>
      <c r="J426">
        <f>VLOOKUP(A426,NYSEARCARWX!A$2:G$506,4,0)</f>
        <v>36.65</v>
      </c>
      <c r="K426">
        <f>VLOOKUP(A426,NYSEARCADBC!A$2:G$506,4,0)</f>
        <v>15.87</v>
      </c>
      <c r="L426">
        <f>VLOOKUP(A426,NYSEARCAGSG!A$2:G$506,4,0)</f>
        <v>15.58</v>
      </c>
      <c r="M426">
        <f>VLOOKUP(A426,NYSEARCAGLD!A$2:G$506,4,0)</f>
        <v>112.83</v>
      </c>
      <c r="N426">
        <f>VLOOKUP(A426,NYSEBP!A$2:G$506,4,0)</f>
        <v>36.590000000000003</v>
      </c>
      <c r="O426">
        <f>VLOOKUP(A426,NASDAQYHOO!A$2:G$506,4,0)</f>
        <v>44.4</v>
      </c>
    </row>
    <row r="427" spans="1:15">
      <c r="A427" s="39">
        <v>42762</v>
      </c>
      <c r="B427">
        <v>65.28</v>
      </c>
      <c r="C427">
        <f>VLOOKUP(A427,NYSEARCAVTI!A$2:G$506,4,0)</f>
        <v>118.02</v>
      </c>
      <c r="D427">
        <f>VLOOKUP(A427,NYSEARCAVEU!A$2:G$506,4,0)</f>
        <v>46.09</v>
      </c>
      <c r="E427">
        <f>VLOOKUP(A427,NYSEARCAVWO!A$2:G$506,4,0)</f>
        <v>37.909999999999997</v>
      </c>
      <c r="F427">
        <f>VLOOKUP(A427,NYSEARCABND!A$2:G$506,4,0)</f>
        <v>80.739999999999995</v>
      </c>
      <c r="G427">
        <f>VLOOKUP(A427,NYSEARCATIP!A$2:G$506,4,0)</f>
        <v>113.85</v>
      </c>
      <c r="H427">
        <f>VLOOKUP(A427,NYSEARCAMUB!A$2:G$506,4,0)</f>
        <v>108.23</v>
      </c>
      <c r="I427">
        <f>VLOOKUP(A427,NYSEARCAVNQ!A$2:G$506,4,0)</f>
        <v>82.02</v>
      </c>
      <c r="J427">
        <f>VLOOKUP(A427,NYSEARCARWX!A$2:G$506,4,0)</f>
        <v>36.58</v>
      </c>
      <c r="K427">
        <f>VLOOKUP(A427,NYSEARCADBC!A$2:G$506,4,0)</f>
        <v>15.69</v>
      </c>
      <c r="L427">
        <f>VLOOKUP(A427,NYSEARCAGSG!A$2:G$506,4,0)</f>
        <v>15.38</v>
      </c>
      <c r="M427">
        <f>VLOOKUP(A427,NYSEARCAGLD!A$2:G$506,4,0)</f>
        <v>112.81</v>
      </c>
      <c r="N427">
        <f>VLOOKUP(A427,NYSEBP!A$2:G$506,4,0)</f>
        <v>36.450000000000003</v>
      </c>
      <c r="O427">
        <f>VLOOKUP(A427,NASDAQYHOO!A$2:G$506,4,0)</f>
        <v>44.23</v>
      </c>
    </row>
    <row r="428" spans="1:15">
      <c r="A428" s="39">
        <v>42765</v>
      </c>
      <c r="B428">
        <v>65.63</v>
      </c>
      <c r="C428">
        <f>VLOOKUP(A428,NYSEARCAVTI!A$2:G$506,4,0)</f>
        <v>116.68</v>
      </c>
      <c r="D428">
        <f>VLOOKUP(A428,NYSEARCAVEU!A$2:G$506,4,0)</f>
        <v>45.68</v>
      </c>
      <c r="E428">
        <f>VLOOKUP(A428,NYSEARCAVWO!A$2:G$506,4,0)</f>
        <v>37.71</v>
      </c>
      <c r="F428">
        <f>VLOOKUP(A428,NYSEARCABND!A$2:G$506,4,0)</f>
        <v>80.75</v>
      </c>
      <c r="G428">
        <f>VLOOKUP(A428,NYSEARCATIP!A$2:G$506,4,0)</f>
        <v>113.85</v>
      </c>
      <c r="H428">
        <f>VLOOKUP(A428,NYSEARCAMUB!A$2:G$506,4,0)</f>
        <v>108.31</v>
      </c>
      <c r="I428">
        <f>VLOOKUP(A428,NYSEARCAVNQ!A$2:G$506,4,0)</f>
        <v>81.569999999999993</v>
      </c>
      <c r="J428">
        <f>VLOOKUP(A428,NYSEARCARWX!A$2:G$506,4,0)</f>
        <v>36.369999999999997</v>
      </c>
      <c r="K428">
        <f>VLOOKUP(A428,NYSEARCADBC!A$2:G$506,4,0)</f>
        <v>15.62</v>
      </c>
      <c r="L428">
        <f>VLOOKUP(A428,NYSEARCAGSG!A$2:G$506,4,0)</f>
        <v>15.3</v>
      </c>
      <c r="M428">
        <f>VLOOKUP(A428,NYSEARCAGLD!A$2:G$506,4,0)</f>
        <v>113.54</v>
      </c>
      <c r="N428">
        <f>VLOOKUP(A428,NYSEBP!A$2:G$506,4,0)</f>
        <v>35.729999999999997</v>
      </c>
      <c r="O428">
        <f>VLOOKUP(A428,NASDAQYHOO!A$2:G$506,4,0)</f>
        <v>43.7</v>
      </c>
    </row>
    <row r="429" spans="1:15">
      <c r="A429" s="39">
        <v>42766</v>
      </c>
      <c r="B429">
        <v>65.88</v>
      </c>
      <c r="C429">
        <f>VLOOKUP(A429,NYSEARCAVTI!A$2:G$506,4,0)</f>
        <v>116.73</v>
      </c>
      <c r="D429">
        <f>VLOOKUP(A429,NYSEARCAVEU!A$2:G$506,4,0)</f>
        <v>45.79</v>
      </c>
      <c r="E429">
        <f>VLOOKUP(A429,NYSEARCAVWO!A$2:G$506,4,0)</f>
        <v>37.71</v>
      </c>
      <c r="F429">
        <f>VLOOKUP(A429,NYSEARCABND!A$2:G$506,4,0)</f>
        <v>80.8</v>
      </c>
      <c r="G429">
        <f>VLOOKUP(A429,NYSEARCATIP!A$2:G$506,4,0)</f>
        <v>113.94</v>
      </c>
      <c r="H429">
        <f>VLOOKUP(A429,NYSEARCAMUB!A$2:G$506,4,0)</f>
        <v>108.39</v>
      </c>
      <c r="I429">
        <f>VLOOKUP(A429,NYSEARCAVNQ!A$2:G$506,4,0)</f>
        <v>81.8</v>
      </c>
      <c r="J429">
        <f>VLOOKUP(A429,NYSEARCARWX!A$2:G$506,4,0)</f>
        <v>36.72</v>
      </c>
      <c r="K429">
        <f>VLOOKUP(A429,NYSEARCADBC!A$2:G$506,4,0)</f>
        <v>15.7</v>
      </c>
      <c r="L429">
        <f>VLOOKUP(A429,NYSEARCAGSG!A$2:G$506,4,0)</f>
        <v>15.37</v>
      </c>
      <c r="M429">
        <f>VLOOKUP(A429,NYSEARCAGLD!A$2:G$506,4,0)</f>
        <v>115.18</v>
      </c>
      <c r="N429">
        <f>VLOOKUP(A429,NYSEBP!A$2:G$506,4,0)</f>
        <v>35.72</v>
      </c>
      <c r="O429">
        <f>VLOOKUP(A429,NASDAQYHOO!A$2:G$506,4,0)</f>
        <v>43.67</v>
      </c>
    </row>
    <row r="430" spans="1:15">
      <c r="A430" s="39">
        <v>42767</v>
      </c>
      <c r="B430">
        <v>66.040000000000006</v>
      </c>
      <c r="C430">
        <f>VLOOKUP(A430,NYSEARCAVTI!A$2:G$506,4,0)</f>
        <v>117.07</v>
      </c>
      <c r="D430">
        <f>VLOOKUP(A430,NYSEARCAVEU!A$2:G$506,4,0)</f>
        <v>46</v>
      </c>
      <c r="E430">
        <f>VLOOKUP(A430,NYSEARCAVWO!A$2:G$506,4,0)</f>
        <v>37.840000000000003</v>
      </c>
      <c r="F430">
        <f>VLOOKUP(A430,NYSEARCABND!A$2:G$506,4,0)</f>
        <v>80.5</v>
      </c>
      <c r="G430">
        <f>VLOOKUP(A430,NYSEARCATIP!A$2:G$506,4,0)</f>
        <v>113.77</v>
      </c>
      <c r="H430">
        <f>VLOOKUP(A430,NYSEARCAMUB!A$2:G$506,4,0)</f>
        <v>107.94</v>
      </c>
      <c r="I430">
        <f>VLOOKUP(A430,NYSEARCAVNQ!A$2:G$506,4,0)</f>
        <v>81.319999999999993</v>
      </c>
      <c r="J430">
        <f>VLOOKUP(A430,NYSEARCARWX!A$2:G$506,4,0)</f>
        <v>36.880000000000003</v>
      </c>
      <c r="K430">
        <f>VLOOKUP(A430,NYSEARCADBC!A$2:G$506,4,0)</f>
        <v>15.76</v>
      </c>
      <c r="L430">
        <f>VLOOKUP(A430,NYSEARCAGSG!A$2:G$506,4,0)</f>
        <v>15.47</v>
      </c>
      <c r="M430">
        <f>VLOOKUP(A430,NYSEARCAGLD!A$2:G$506,4,0)</f>
        <v>114.14</v>
      </c>
      <c r="N430">
        <f>VLOOKUP(A430,NYSEBP!A$2:G$506,4,0)</f>
        <v>35.81</v>
      </c>
      <c r="O430">
        <f>VLOOKUP(A430,NASDAQYHOO!A$2:G$506,4,0)</f>
        <v>43.71</v>
      </c>
    </row>
    <row r="431" spans="1:15">
      <c r="A431" s="39">
        <v>42768</v>
      </c>
      <c r="B431">
        <v>66.34</v>
      </c>
      <c r="C431">
        <f>VLOOKUP(A431,NYSEARCAVTI!A$2:G$506,4,0)</f>
        <v>117.02</v>
      </c>
      <c r="D431">
        <f>VLOOKUP(A431,NYSEARCAVEU!A$2:G$506,4,0)</f>
        <v>46.09</v>
      </c>
      <c r="E431">
        <f>VLOOKUP(A431,NYSEARCAVWO!A$2:G$506,4,0)</f>
        <v>37.979999999999997</v>
      </c>
      <c r="F431">
        <f>VLOOKUP(A431,NYSEARCABND!A$2:G$506,4,0)</f>
        <v>80.67</v>
      </c>
      <c r="G431">
        <f>VLOOKUP(A431,NYSEARCATIP!A$2:G$506,4,0)</f>
        <v>113.9</v>
      </c>
      <c r="H431">
        <f>VLOOKUP(A431,NYSEARCAMUB!A$2:G$506,4,0)</f>
        <v>108.16</v>
      </c>
      <c r="I431">
        <f>VLOOKUP(A431,NYSEARCAVNQ!A$2:G$506,4,0)</f>
        <v>81.42</v>
      </c>
      <c r="J431">
        <f>VLOOKUP(A431,NYSEARCARWX!A$2:G$506,4,0)</f>
        <v>36.83</v>
      </c>
      <c r="K431">
        <f>VLOOKUP(A431,NYSEARCADBC!A$2:G$506,4,0)</f>
        <v>15.87</v>
      </c>
      <c r="L431">
        <f>VLOOKUP(A431,NYSEARCAGSG!A$2:G$506,4,0)</f>
        <v>15.56</v>
      </c>
      <c r="M431">
        <f>VLOOKUP(A431,NYSEARCAGLD!A$2:G$506,4,0)</f>
        <v>115.62</v>
      </c>
      <c r="N431">
        <f>VLOOKUP(A431,NYSEBP!A$2:G$506,4,0)</f>
        <v>35.54</v>
      </c>
      <c r="O431">
        <f>VLOOKUP(A431,NASDAQYHOO!A$2:G$506,4,0)</f>
        <v>43.58</v>
      </c>
    </row>
    <row r="432" spans="1:15">
      <c r="A432" s="39">
        <v>42769</v>
      </c>
      <c r="B432">
        <v>66.44</v>
      </c>
      <c r="C432">
        <f>VLOOKUP(A432,NYSEARCAVTI!A$2:G$506,4,0)</f>
        <v>117.92</v>
      </c>
      <c r="D432">
        <f>VLOOKUP(A432,NYSEARCAVEU!A$2:G$506,4,0)</f>
        <v>46.24</v>
      </c>
      <c r="E432">
        <f>VLOOKUP(A432,NYSEARCAVWO!A$2:G$506,4,0)</f>
        <v>38.14</v>
      </c>
      <c r="F432">
        <f>VLOOKUP(A432,NYSEARCABND!A$2:G$506,4,0)</f>
        <v>80.61</v>
      </c>
      <c r="G432">
        <f>VLOOKUP(A432,NYSEARCATIP!A$2:G$506,4,0)</f>
        <v>113.65</v>
      </c>
      <c r="H432">
        <f>VLOOKUP(A432,NYSEARCAMUB!A$2:G$506,4,0)</f>
        <v>108.14</v>
      </c>
      <c r="I432">
        <f>VLOOKUP(A432,NYSEARCAVNQ!A$2:G$506,4,0)</f>
        <v>82.46</v>
      </c>
      <c r="J432">
        <f>VLOOKUP(A432,NYSEARCARWX!A$2:G$506,4,0)</f>
        <v>36.99</v>
      </c>
      <c r="K432">
        <f>VLOOKUP(A432,NYSEARCADBC!A$2:G$506,4,0)</f>
        <v>15.82</v>
      </c>
      <c r="L432">
        <f>VLOOKUP(A432,NYSEARCAGSG!A$2:G$506,4,0)</f>
        <v>15.53</v>
      </c>
      <c r="M432">
        <f>VLOOKUP(A432,NYSEARCAGLD!A$2:G$506,4,0)</f>
        <v>115.71</v>
      </c>
      <c r="N432">
        <f>VLOOKUP(A432,NYSEBP!A$2:G$506,4,0)</f>
        <v>35.799999999999997</v>
      </c>
      <c r="O432">
        <f>VLOOKUP(A432,NASDAQYHOO!A$2:G$506,4,0)</f>
        <v>43.66</v>
      </c>
    </row>
    <row r="433" spans="1:15">
      <c r="A433" s="39">
        <v>42772</v>
      </c>
      <c r="B433">
        <v>66.37</v>
      </c>
      <c r="C433">
        <f>VLOOKUP(A433,NYSEARCAVTI!A$2:G$506,4,0)</f>
        <v>117.94</v>
      </c>
      <c r="D433">
        <f>VLOOKUP(A433,NYSEARCAVEU!A$2:G$506,4,0)</f>
        <v>45.98</v>
      </c>
      <c r="E433">
        <f>VLOOKUP(A433,NYSEARCAVWO!A$2:G$506,4,0)</f>
        <v>38.159999999999997</v>
      </c>
      <c r="F433">
        <f>VLOOKUP(A433,NYSEARCABND!A$2:G$506,4,0)</f>
        <v>80.8</v>
      </c>
      <c r="G433">
        <f>VLOOKUP(A433,NYSEARCATIP!A$2:G$506,4,0)</f>
        <v>113.85</v>
      </c>
      <c r="H433">
        <f>VLOOKUP(A433,NYSEARCAMUB!A$2:G$506,4,0)</f>
        <v>108.21</v>
      </c>
      <c r="I433">
        <f>VLOOKUP(A433,NYSEARCAVNQ!A$2:G$506,4,0)</f>
        <v>82.49</v>
      </c>
      <c r="J433">
        <f>VLOOKUP(A433,NYSEARCARWX!A$2:G$506,4,0)</f>
        <v>36.869999999999997</v>
      </c>
      <c r="K433">
        <f>VLOOKUP(A433,NYSEARCADBC!A$2:G$506,4,0)</f>
        <v>15.78</v>
      </c>
      <c r="L433">
        <f>VLOOKUP(A433,NYSEARCAGSG!A$2:G$506,4,0)</f>
        <v>15.44</v>
      </c>
      <c r="M433">
        <f>VLOOKUP(A433,NYSEARCAGLD!A$2:G$506,4,0)</f>
        <v>116.74</v>
      </c>
      <c r="N433">
        <f>VLOOKUP(A433,NYSEBP!A$2:G$506,4,0)</f>
        <v>35.659999999999997</v>
      </c>
      <c r="O433">
        <f>VLOOKUP(A433,NASDAQYHOO!A$2:G$506,4,0)</f>
        <v>43.56</v>
      </c>
    </row>
    <row r="434" spans="1:15">
      <c r="A434" s="39">
        <v>42773</v>
      </c>
      <c r="B434">
        <v>66.510000000000005</v>
      </c>
      <c r="C434">
        <f>VLOOKUP(A434,NYSEARCAVTI!A$2:G$506,4,0)</f>
        <v>117.96</v>
      </c>
      <c r="D434">
        <f>VLOOKUP(A434,NYSEARCAVEU!A$2:G$506,4,0)</f>
        <v>45.98</v>
      </c>
      <c r="E434">
        <f>VLOOKUP(A434,NYSEARCAVWO!A$2:G$506,4,0)</f>
        <v>38.020000000000003</v>
      </c>
      <c r="F434">
        <f>VLOOKUP(A434,NYSEARCABND!A$2:G$506,4,0)</f>
        <v>80.900000000000006</v>
      </c>
      <c r="G434">
        <f>VLOOKUP(A434,NYSEARCATIP!A$2:G$506,4,0)</f>
        <v>113.98</v>
      </c>
      <c r="H434">
        <f>VLOOKUP(A434,NYSEARCAMUB!A$2:G$506,4,0)</f>
        <v>108.34</v>
      </c>
      <c r="I434">
        <f>VLOOKUP(A434,NYSEARCAVNQ!A$2:G$506,4,0)</f>
        <v>82.24</v>
      </c>
      <c r="J434">
        <f>VLOOKUP(A434,NYSEARCARWX!A$2:G$506,4,0)</f>
        <v>37.020000000000003</v>
      </c>
      <c r="K434">
        <f>VLOOKUP(A434,NYSEARCADBC!A$2:G$506,4,0)</f>
        <v>15.67</v>
      </c>
      <c r="L434">
        <f>VLOOKUP(A434,NYSEARCAGSG!A$2:G$506,4,0)</f>
        <v>15.28</v>
      </c>
      <c r="M434">
        <f>VLOOKUP(A434,NYSEARCAGLD!A$2:G$506,4,0)</f>
        <v>117.2</v>
      </c>
      <c r="N434">
        <f>VLOOKUP(A434,NYSEBP!A$2:G$506,4,0)</f>
        <v>34.15</v>
      </c>
      <c r="O434">
        <f>VLOOKUP(A434,NASDAQYHOO!A$2:G$506,4,0)</f>
        <v>44.19</v>
      </c>
    </row>
    <row r="435" spans="1:15">
      <c r="A435" s="39">
        <v>42774</v>
      </c>
      <c r="B435">
        <v>66.89</v>
      </c>
      <c r="C435">
        <f>VLOOKUP(A435,NYSEARCAVTI!A$2:G$506,4,0)</f>
        <v>117.69</v>
      </c>
      <c r="D435">
        <f>VLOOKUP(A435,NYSEARCAVEU!A$2:G$506,4,0)</f>
        <v>45.96</v>
      </c>
      <c r="E435">
        <f>VLOOKUP(A435,NYSEARCAVWO!A$2:G$506,4,0)</f>
        <v>38.14</v>
      </c>
      <c r="F435">
        <f>VLOOKUP(A435,NYSEARCABND!A$2:G$506,4,0)</f>
        <v>81.16</v>
      </c>
      <c r="G435">
        <f>VLOOKUP(A435,NYSEARCATIP!A$2:G$506,4,0)</f>
        <v>114.13</v>
      </c>
      <c r="H435">
        <f>VLOOKUP(A435,NYSEARCAMUB!A$2:G$506,4,0)</f>
        <v>108.57</v>
      </c>
      <c r="I435">
        <f>VLOOKUP(A435,NYSEARCAVNQ!A$2:G$506,4,0)</f>
        <v>82.3</v>
      </c>
      <c r="J435">
        <f>VLOOKUP(A435,NYSEARCARWX!A$2:G$506,4,0)</f>
        <v>37.29</v>
      </c>
      <c r="K435">
        <f>VLOOKUP(A435,NYSEARCADBC!A$2:G$506,4,0)</f>
        <v>15.68</v>
      </c>
      <c r="L435">
        <f>VLOOKUP(A435,NYSEARCAGSG!A$2:G$506,4,0)</f>
        <v>15.29</v>
      </c>
      <c r="M435">
        <f>VLOOKUP(A435,NYSEARCAGLD!A$2:G$506,4,0)</f>
        <v>117.81</v>
      </c>
      <c r="N435">
        <f>VLOOKUP(A435,NYSEBP!A$2:G$506,4,0)</f>
        <v>34</v>
      </c>
      <c r="O435">
        <f>VLOOKUP(A435,NASDAQYHOO!A$2:G$506,4,0)</f>
        <v>44.34</v>
      </c>
    </row>
    <row r="436" spans="1:15">
      <c r="A436" s="39">
        <v>42775</v>
      </c>
      <c r="B436">
        <v>67.75</v>
      </c>
      <c r="C436">
        <f>VLOOKUP(A436,NYSEARCAVTI!A$2:G$506,4,0)</f>
        <v>118.38</v>
      </c>
      <c r="D436">
        <f>VLOOKUP(A436,NYSEARCAVEU!A$2:G$506,4,0)</f>
        <v>46.22</v>
      </c>
      <c r="E436">
        <f>VLOOKUP(A436,NYSEARCAVWO!A$2:G$506,4,0)</f>
        <v>38.5</v>
      </c>
      <c r="F436">
        <f>VLOOKUP(A436,NYSEARCABND!A$2:G$506,4,0)</f>
        <v>81.03</v>
      </c>
      <c r="G436">
        <f>VLOOKUP(A436,NYSEARCATIP!A$2:G$506,4,0)</f>
        <v>114.08</v>
      </c>
      <c r="H436">
        <f>VLOOKUP(A436,NYSEARCAMUB!A$2:G$506,4,0)</f>
        <v>108.4</v>
      </c>
      <c r="I436">
        <f>VLOOKUP(A436,NYSEARCAVNQ!A$2:G$506,4,0)</f>
        <v>82.92</v>
      </c>
      <c r="J436">
        <f>VLOOKUP(A436,NYSEARCARWX!A$2:G$506,4,0)</f>
        <v>37.42</v>
      </c>
      <c r="K436">
        <f>VLOOKUP(A436,NYSEARCADBC!A$2:G$506,4,0)</f>
        <v>15.82</v>
      </c>
      <c r="L436">
        <f>VLOOKUP(A436,NYSEARCAGSG!A$2:G$506,4,0)</f>
        <v>15.45</v>
      </c>
      <c r="M436">
        <f>VLOOKUP(A436,NYSEARCAGLD!A$2:G$506,4,0)</f>
        <v>117.2</v>
      </c>
      <c r="N436">
        <f>VLOOKUP(A436,NYSEBP!A$2:G$506,4,0)</f>
        <v>34.409999999999997</v>
      </c>
      <c r="O436">
        <f>VLOOKUP(A436,NASDAQYHOO!A$2:G$506,4,0)</f>
        <v>44.82</v>
      </c>
    </row>
    <row r="437" spans="1:15">
      <c r="A437" s="39">
        <v>42776</v>
      </c>
      <c r="B437">
        <v>67.760000000000005</v>
      </c>
      <c r="C437">
        <f>VLOOKUP(A437,NYSEARCAVTI!A$2:G$506,4,0)</f>
        <v>119.21</v>
      </c>
      <c r="D437">
        <f>VLOOKUP(A437,NYSEARCAVEU!A$2:G$506,4,0)</f>
        <v>46.35</v>
      </c>
      <c r="E437">
        <f>VLOOKUP(A437,NYSEARCAVWO!A$2:G$506,4,0)</f>
        <v>38.619999999999997</v>
      </c>
      <c r="F437">
        <f>VLOOKUP(A437,NYSEARCABND!A$2:G$506,4,0)</f>
        <v>80.94</v>
      </c>
      <c r="G437">
        <f>VLOOKUP(A437,NYSEARCATIP!A$2:G$506,4,0)</f>
        <v>114.07</v>
      </c>
      <c r="H437">
        <f>VLOOKUP(A437,NYSEARCAMUB!A$2:G$506,4,0)</f>
        <v>108.34</v>
      </c>
      <c r="I437">
        <f>VLOOKUP(A437,NYSEARCAVNQ!A$2:G$506,4,0)</f>
        <v>83.03</v>
      </c>
      <c r="J437">
        <f>VLOOKUP(A437,NYSEARCARWX!A$2:G$506,4,0)</f>
        <v>37.299999999999997</v>
      </c>
      <c r="K437">
        <f>VLOOKUP(A437,NYSEARCADBC!A$2:G$506,4,0)</f>
        <v>15.98</v>
      </c>
      <c r="L437">
        <f>VLOOKUP(A437,NYSEARCAGSG!A$2:G$506,4,0)</f>
        <v>15.66</v>
      </c>
      <c r="M437">
        <f>VLOOKUP(A437,NYSEARCAGLD!A$2:G$506,4,0)</f>
        <v>116.67</v>
      </c>
      <c r="N437">
        <f>VLOOKUP(A437,NYSEBP!A$2:G$506,4,0)</f>
        <v>34.44</v>
      </c>
      <c r="O437">
        <f>VLOOKUP(A437,NASDAQYHOO!A$2:G$506,4,0)</f>
        <v>44.96</v>
      </c>
    </row>
    <row r="438" spans="1:15">
      <c r="A438" s="39">
        <v>42779</v>
      </c>
      <c r="B438">
        <v>67.56</v>
      </c>
      <c r="C438">
        <f>VLOOKUP(A438,NYSEARCAVTI!A$2:G$506,4,0)</f>
        <v>119.87</v>
      </c>
      <c r="D438">
        <f>VLOOKUP(A438,NYSEARCAVEU!A$2:G$506,4,0)</f>
        <v>46.68</v>
      </c>
      <c r="E438">
        <f>VLOOKUP(A438,NYSEARCAVWO!A$2:G$506,4,0)</f>
        <v>38.96</v>
      </c>
      <c r="F438">
        <f>VLOOKUP(A438,NYSEARCABND!A$2:G$506,4,0)</f>
        <v>80.88</v>
      </c>
      <c r="G438">
        <f>VLOOKUP(A438,NYSEARCATIP!A$2:G$506,4,0)</f>
        <v>114</v>
      </c>
      <c r="H438">
        <f>VLOOKUP(A438,NYSEARCAMUB!A$2:G$506,4,0)</f>
        <v>108.26</v>
      </c>
      <c r="I438">
        <f>VLOOKUP(A438,NYSEARCAVNQ!A$2:G$506,4,0)</f>
        <v>83.38</v>
      </c>
      <c r="J438">
        <f>VLOOKUP(A438,NYSEARCARWX!A$2:G$506,4,0)</f>
        <v>37.31</v>
      </c>
      <c r="K438">
        <f>VLOOKUP(A438,NYSEARCADBC!A$2:G$506,4,0)</f>
        <v>15.84</v>
      </c>
      <c r="L438">
        <f>VLOOKUP(A438,NYSEARCAGSG!A$2:G$506,4,0)</f>
        <v>15.47</v>
      </c>
      <c r="M438">
        <f>VLOOKUP(A438,NYSEARCAGLD!A$2:G$506,4,0)</f>
        <v>116.15</v>
      </c>
      <c r="N438">
        <f>VLOOKUP(A438,NYSEBP!A$2:G$506,4,0)</f>
        <v>34.520000000000003</v>
      </c>
      <c r="O438">
        <f>VLOOKUP(A438,NASDAQYHOO!A$2:G$506,4,0)</f>
        <v>44.94</v>
      </c>
    </row>
    <row r="439" spans="1:15">
      <c r="A439" s="39">
        <v>42780</v>
      </c>
      <c r="B439">
        <v>67.709999999999994</v>
      </c>
      <c r="C439">
        <f>VLOOKUP(A439,NYSEARCAVTI!A$2:G$506,4,0)</f>
        <v>119.85</v>
      </c>
      <c r="D439">
        <f>VLOOKUP(A439,NYSEARCAVEU!A$2:G$506,4,0)</f>
        <v>46.43</v>
      </c>
      <c r="E439">
        <f>VLOOKUP(A439,NYSEARCAVWO!A$2:G$506,4,0)</f>
        <v>38.78</v>
      </c>
      <c r="F439">
        <f>VLOOKUP(A439,NYSEARCABND!A$2:G$506,4,0)</f>
        <v>80.66</v>
      </c>
      <c r="G439">
        <f>VLOOKUP(A439,NYSEARCATIP!A$2:G$506,4,0)</f>
        <v>113.52</v>
      </c>
      <c r="H439">
        <f>VLOOKUP(A439,NYSEARCAMUB!A$2:G$506,4,0)</f>
        <v>108.06</v>
      </c>
      <c r="I439">
        <f>VLOOKUP(A439,NYSEARCAVNQ!A$2:G$506,4,0)</f>
        <v>82.75</v>
      </c>
      <c r="J439">
        <f>VLOOKUP(A439,NYSEARCARWX!A$2:G$506,4,0)</f>
        <v>37.17</v>
      </c>
      <c r="K439">
        <f>VLOOKUP(A439,NYSEARCADBC!A$2:G$506,4,0)</f>
        <v>15.84</v>
      </c>
      <c r="L439">
        <f>VLOOKUP(A439,NYSEARCAGSG!A$2:G$506,4,0)</f>
        <v>15.49</v>
      </c>
      <c r="M439">
        <f>VLOOKUP(A439,NYSEARCAGLD!A$2:G$506,4,0)</f>
        <v>116.38</v>
      </c>
      <c r="N439">
        <f>VLOOKUP(A439,NYSEBP!A$2:G$506,4,0)</f>
        <v>34.369999999999997</v>
      </c>
      <c r="O439">
        <f>VLOOKUP(A439,NASDAQYHOO!A$2:G$506,4,0)</f>
        <v>44.9</v>
      </c>
    </row>
    <row r="440" spans="1:15">
      <c r="A440" s="39">
        <v>42781</v>
      </c>
      <c r="B440">
        <v>67.760000000000005</v>
      </c>
      <c r="C440">
        <f>VLOOKUP(A440,NYSEARCAVTI!A$2:G$506,4,0)</f>
        <v>120.45</v>
      </c>
      <c r="D440">
        <f>VLOOKUP(A440,NYSEARCAVEU!A$2:G$506,4,0)</f>
        <v>46.57</v>
      </c>
      <c r="E440">
        <f>VLOOKUP(A440,NYSEARCAVWO!A$2:G$506,4,0)</f>
        <v>39.1</v>
      </c>
      <c r="F440">
        <f>VLOOKUP(A440,NYSEARCABND!A$2:G$506,4,0)</f>
        <v>80.599999999999994</v>
      </c>
      <c r="G440">
        <f>VLOOKUP(A440,NYSEARCATIP!A$2:G$506,4,0)</f>
        <v>113.66</v>
      </c>
      <c r="H440">
        <f>VLOOKUP(A440,NYSEARCAMUB!A$2:G$506,4,0)</f>
        <v>107.81</v>
      </c>
      <c r="I440">
        <f>VLOOKUP(A440,NYSEARCAVNQ!A$2:G$506,4,0)</f>
        <v>82.34</v>
      </c>
      <c r="J440">
        <f>VLOOKUP(A440,NYSEARCARWX!A$2:G$506,4,0)</f>
        <v>37.200000000000003</v>
      </c>
      <c r="K440">
        <f>VLOOKUP(A440,NYSEARCADBC!A$2:G$506,4,0)</f>
        <v>15.84</v>
      </c>
      <c r="L440">
        <f>VLOOKUP(A440,NYSEARCAGSG!A$2:G$506,4,0)</f>
        <v>15.51</v>
      </c>
      <c r="M440">
        <f>VLOOKUP(A440,NYSEARCAGLD!A$2:G$506,4,0)</f>
        <v>116.25</v>
      </c>
      <c r="N440">
        <f>VLOOKUP(A440,NYSEBP!A$2:G$506,4,0)</f>
        <v>33.71</v>
      </c>
      <c r="O440">
        <f>VLOOKUP(A440,NASDAQYHOO!A$2:G$506,4,0)</f>
        <v>44.64</v>
      </c>
    </row>
    <row r="441" spans="1:15">
      <c r="A441" s="39">
        <v>42782</v>
      </c>
      <c r="B441">
        <v>68.61</v>
      </c>
      <c r="C441">
        <f>VLOOKUP(A441,NYSEARCAVTI!A$2:G$506,4,0)</f>
        <v>120.64</v>
      </c>
      <c r="D441">
        <f>VLOOKUP(A441,NYSEARCAVEU!A$2:G$506,4,0)</f>
        <v>46.9</v>
      </c>
      <c r="E441">
        <f>VLOOKUP(A441,NYSEARCAVWO!A$2:G$506,4,0)</f>
        <v>39.270000000000003</v>
      </c>
      <c r="F441">
        <f>VLOOKUP(A441,NYSEARCABND!A$2:G$506,4,0)</f>
        <v>80.73</v>
      </c>
      <c r="G441">
        <f>VLOOKUP(A441,NYSEARCATIP!A$2:G$506,4,0)</f>
        <v>113.9</v>
      </c>
      <c r="H441">
        <f>VLOOKUP(A441,NYSEARCAMUB!A$2:G$506,4,0)</f>
        <v>107.96</v>
      </c>
      <c r="I441">
        <f>VLOOKUP(A441,NYSEARCAVNQ!A$2:G$506,4,0)</f>
        <v>83.12</v>
      </c>
      <c r="J441">
        <f>VLOOKUP(A441,NYSEARCARWX!A$2:G$506,4,0)</f>
        <v>37.340000000000003</v>
      </c>
      <c r="K441">
        <f>VLOOKUP(A441,NYSEARCADBC!A$2:G$506,4,0)</f>
        <v>15.79</v>
      </c>
      <c r="L441">
        <f>VLOOKUP(A441,NYSEARCAGSG!A$2:G$506,4,0)</f>
        <v>15.43</v>
      </c>
      <c r="M441">
        <f>VLOOKUP(A441,NYSEARCAGLD!A$2:G$506,4,0)</f>
        <v>117.83</v>
      </c>
      <c r="N441">
        <f>VLOOKUP(A441,NYSEBP!A$2:G$506,4,0)</f>
        <v>33.64</v>
      </c>
      <c r="O441">
        <f>VLOOKUP(A441,NASDAQYHOO!A$2:G$506,4,0)</f>
        <v>45.01</v>
      </c>
    </row>
    <row r="442" spans="1:15">
      <c r="A442" s="39">
        <v>42783</v>
      </c>
      <c r="B442">
        <v>68.7</v>
      </c>
      <c r="C442">
        <f>VLOOKUP(A442,NYSEARCAVTI!A$2:G$506,4,0)</f>
        <v>120.66</v>
      </c>
      <c r="D442">
        <f>VLOOKUP(A442,NYSEARCAVEU!A$2:G$506,4,0)</f>
        <v>46.69</v>
      </c>
      <c r="E442">
        <f>VLOOKUP(A442,NYSEARCAVWO!A$2:G$506,4,0)</f>
        <v>38.979999999999997</v>
      </c>
      <c r="F442">
        <f>VLOOKUP(A442,NYSEARCABND!A$2:G$506,4,0)</f>
        <v>80.959999999999994</v>
      </c>
      <c r="G442">
        <f>VLOOKUP(A442,NYSEARCATIP!A$2:G$506,4,0)</f>
        <v>114.11</v>
      </c>
      <c r="H442">
        <f>VLOOKUP(A442,NYSEARCAMUB!A$2:G$506,4,0)</f>
        <v>108.19</v>
      </c>
      <c r="I442">
        <f>VLOOKUP(A442,NYSEARCAVNQ!A$2:G$506,4,0)</f>
        <v>83.07</v>
      </c>
      <c r="J442">
        <f>VLOOKUP(A442,NYSEARCARWX!A$2:G$506,4,0)</f>
        <v>37.36</v>
      </c>
      <c r="K442">
        <f>VLOOKUP(A442,NYSEARCADBC!A$2:G$506,4,0)</f>
        <v>15.69</v>
      </c>
      <c r="L442">
        <f>VLOOKUP(A442,NYSEARCAGSG!A$2:G$506,4,0)</f>
        <v>15.39</v>
      </c>
      <c r="M442">
        <f>VLOOKUP(A442,NYSEARCAGLD!A$2:G$506,4,0)</f>
        <v>117.62</v>
      </c>
      <c r="N442">
        <f>VLOOKUP(A442,NYSEBP!A$2:G$506,4,0)</f>
        <v>33.33</v>
      </c>
      <c r="O442">
        <f>VLOOKUP(A442,NASDAQYHOO!A$2:G$506,4,0)</f>
        <v>44.79</v>
      </c>
    </row>
    <row r="443" spans="1:15">
      <c r="A443" s="39">
        <v>42787</v>
      </c>
      <c r="B443">
        <v>70.7</v>
      </c>
      <c r="C443">
        <f>VLOOKUP(A443,NYSEARCAVTI!A$2:G$506,4,0)</f>
        <v>121.39</v>
      </c>
      <c r="D443">
        <f>VLOOKUP(A443,NYSEARCAVEU!A$2:G$506,4,0)</f>
        <v>46.87</v>
      </c>
      <c r="E443">
        <f>VLOOKUP(A443,NYSEARCAVWO!A$2:G$506,4,0)</f>
        <v>39.33</v>
      </c>
      <c r="F443">
        <f>VLOOKUP(A443,NYSEARCABND!A$2:G$506,4,0)</f>
        <v>80.900000000000006</v>
      </c>
      <c r="G443">
        <f>VLOOKUP(A443,NYSEARCATIP!A$2:G$506,4,0)</f>
        <v>114.05</v>
      </c>
      <c r="H443">
        <f>VLOOKUP(A443,NYSEARCAMUB!A$2:G$506,4,0)</f>
        <v>108.13</v>
      </c>
      <c r="I443">
        <f>VLOOKUP(A443,NYSEARCAVNQ!A$2:G$506,4,0)</f>
        <v>83.57</v>
      </c>
      <c r="J443">
        <f>VLOOKUP(A443,NYSEARCARWX!A$2:G$506,4,0)</f>
        <v>37.28</v>
      </c>
      <c r="K443">
        <f>VLOOKUP(A443,NYSEARCADBC!A$2:G$506,4,0)</f>
        <v>15.73</v>
      </c>
      <c r="L443">
        <f>VLOOKUP(A443,NYSEARCAGSG!A$2:G$506,4,0)</f>
        <v>15.5</v>
      </c>
      <c r="M443">
        <f>VLOOKUP(A443,NYSEARCAGLD!A$2:G$506,4,0)</f>
        <v>116.77</v>
      </c>
      <c r="N443">
        <f>VLOOKUP(A443,NYSEBP!A$2:G$506,4,0)</f>
        <v>33.74</v>
      </c>
      <c r="O443">
        <f>VLOOKUP(A443,NASDAQYHOO!A$2:G$506,4,0)</f>
        <v>45.1</v>
      </c>
    </row>
    <row r="444" spans="1:15">
      <c r="A444" s="39">
        <v>42788</v>
      </c>
      <c r="B444">
        <v>71.48</v>
      </c>
      <c r="C444">
        <f>VLOOKUP(A444,NYSEARCAVTI!A$2:G$506,4,0)</f>
        <v>121.68</v>
      </c>
      <c r="D444">
        <f>VLOOKUP(A444,NYSEARCAVEU!A$2:G$506,4,0)</f>
        <v>46.88</v>
      </c>
      <c r="E444">
        <f>VLOOKUP(A444,NYSEARCAVWO!A$2:G$506,4,0)</f>
        <v>39.44</v>
      </c>
      <c r="F444">
        <f>VLOOKUP(A444,NYSEARCABND!A$2:G$506,4,0)</f>
        <v>80.88</v>
      </c>
      <c r="G444">
        <f>VLOOKUP(A444,NYSEARCATIP!A$2:G$506,4,0)</f>
        <v>113.98</v>
      </c>
      <c r="H444">
        <f>VLOOKUP(A444,NYSEARCAMUB!A$2:G$506,4,0)</f>
        <v>108.36</v>
      </c>
      <c r="I444">
        <f>VLOOKUP(A444,NYSEARCAVNQ!A$2:G$506,4,0)</f>
        <v>84.13</v>
      </c>
      <c r="J444">
        <f>VLOOKUP(A444,NYSEARCARWX!A$2:G$506,4,0)</f>
        <v>37.24</v>
      </c>
      <c r="K444">
        <f>VLOOKUP(A444,NYSEARCADBC!A$2:G$506,4,0)</f>
        <v>15.65</v>
      </c>
      <c r="L444">
        <f>VLOOKUP(A444,NYSEARCAGSG!A$2:G$506,4,0)</f>
        <v>15.38</v>
      </c>
      <c r="M444">
        <f>VLOOKUP(A444,NYSEARCAGLD!A$2:G$506,4,0)</f>
        <v>117.24</v>
      </c>
      <c r="N444">
        <f>VLOOKUP(A444,NYSEBP!A$2:G$506,4,0)</f>
        <v>33.380000000000003</v>
      </c>
      <c r="O444">
        <f>VLOOKUP(A444,NASDAQYHOO!A$2:G$506,4,0)</f>
        <v>45.45</v>
      </c>
    </row>
    <row r="445" spans="1:15">
      <c r="A445" s="39">
        <v>42789</v>
      </c>
      <c r="B445">
        <v>71.16</v>
      </c>
      <c r="C445">
        <f>VLOOKUP(A445,NYSEARCAVTI!A$2:G$506,4,0)</f>
        <v>121.32</v>
      </c>
      <c r="D445">
        <f>VLOOKUP(A445,NYSEARCAVEU!A$2:G$506,4,0)</f>
        <v>47.09</v>
      </c>
      <c r="E445">
        <f>VLOOKUP(A445,NYSEARCAVWO!A$2:G$506,4,0)</f>
        <v>39.57</v>
      </c>
      <c r="F445">
        <f>VLOOKUP(A445,NYSEARCABND!A$2:G$506,4,0)</f>
        <v>81.13</v>
      </c>
      <c r="G445">
        <f>VLOOKUP(A445,NYSEARCATIP!A$2:G$506,4,0)</f>
        <v>114.5</v>
      </c>
      <c r="H445">
        <f>VLOOKUP(A445,NYSEARCAMUB!A$2:G$506,4,0)</f>
        <v>108.43</v>
      </c>
      <c r="I445">
        <f>VLOOKUP(A445,NYSEARCAVNQ!A$2:G$506,4,0)</f>
        <v>84.22</v>
      </c>
      <c r="J445">
        <f>VLOOKUP(A445,NYSEARCARWX!A$2:G$506,4,0)</f>
        <v>37.56</v>
      </c>
      <c r="K445">
        <f>VLOOKUP(A445,NYSEARCADBC!A$2:G$506,4,0)</f>
        <v>15.69</v>
      </c>
      <c r="L445">
        <f>VLOOKUP(A445,NYSEARCAGSG!A$2:G$506,4,0)</f>
        <v>15.45</v>
      </c>
      <c r="M445">
        <f>VLOOKUP(A445,NYSEARCAGLD!A$2:G$506,4,0)</f>
        <v>118.68</v>
      </c>
      <c r="N445">
        <f>VLOOKUP(A445,NYSEBP!A$2:G$506,4,0)</f>
        <v>33.78</v>
      </c>
      <c r="O445">
        <f>VLOOKUP(A445,NASDAQYHOO!A$2:G$506,4,0)</f>
        <v>45.29</v>
      </c>
    </row>
    <row r="446" spans="1:15">
      <c r="A446" s="39">
        <v>42790</v>
      </c>
      <c r="B446">
        <v>71.3</v>
      </c>
      <c r="C446">
        <f>VLOOKUP(A446,NYSEARCAVTI!A$2:G$506,4,0)</f>
        <v>121.24</v>
      </c>
      <c r="D446">
        <f>VLOOKUP(A446,NYSEARCAVEU!A$2:G$506,4,0)</f>
        <v>46.66</v>
      </c>
      <c r="E446">
        <f>VLOOKUP(A446,NYSEARCAVWO!A$2:G$506,4,0)</f>
        <v>39.130000000000003</v>
      </c>
      <c r="F446">
        <f>VLOOKUP(A446,NYSEARCABND!A$2:G$506,4,0)</f>
        <v>81.319999999999993</v>
      </c>
      <c r="G446">
        <f>VLOOKUP(A446,NYSEARCATIP!A$2:G$506,4,0)</f>
        <v>114.76</v>
      </c>
      <c r="H446">
        <f>VLOOKUP(A446,NYSEARCAMUB!A$2:G$506,4,0)</f>
        <v>108.7</v>
      </c>
      <c r="I446">
        <f>VLOOKUP(A446,NYSEARCAVNQ!A$2:G$506,4,0)</f>
        <v>84.52</v>
      </c>
      <c r="J446">
        <f>VLOOKUP(A446,NYSEARCARWX!A$2:G$506,4,0)</f>
        <v>37.4</v>
      </c>
      <c r="K446">
        <f>VLOOKUP(A446,NYSEARCADBC!A$2:G$506,4,0)</f>
        <v>15.66</v>
      </c>
      <c r="L446">
        <f>VLOOKUP(A446,NYSEARCAGSG!A$2:G$506,4,0)</f>
        <v>15.39</v>
      </c>
      <c r="M446">
        <f>VLOOKUP(A446,NYSEARCAGLD!A$2:G$506,4,0)</f>
        <v>119.25</v>
      </c>
      <c r="N446">
        <f>VLOOKUP(A446,NYSEBP!A$2:G$506,4,0)</f>
        <v>33.42</v>
      </c>
      <c r="O446">
        <f>VLOOKUP(A446,NASDAQYHOO!A$2:G$506,4,0)</f>
        <v>44.95</v>
      </c>
    </row>
    <row r="447" spans="1:15">
      <c r="A447" s="39">
        <v>42793</v>
      </c>
      <c r="B447">
        <v>71.52</v>
      </c>
      <c r="C447">
        <f>VLOOKUP(A447,NYSEARCAVTI!A$2:G$506,4,0)</f>
        <v>121.74</v>
      </c>
      <c r="D447">
        <f>VLOOKUP(A447,NYSEARCAVEU!A$2:G$506,4,0)</f>
        <v>46.6</v>
      </c>
      <c r="E447">
        <f>VLOOKUP(A447,NYSEARCAVWO!A$2:G$506,4,0)</f>
        <v>38.979999999999997</v>
      </c>
      <c r="F447">
        <f>VLOOKUP(A447,NYSEARCABND!A$2:G$506,4,0)</f>
        <v>81.290000000000006</v>
      </c>
      <c r="G447">
        <f>VLOOKUP(A447,NYSEARCATIP!A$2:G$506,4,0)</f>
        <v>114.6</v>
      </c>
      <c r="H447">
        <f>VLOOKUP(A447,NYSEARCAMUB!A$2:G$506,4,0)</f>
        <v>108.69</v>
      </c>
      <c r="I447">
        <f>VLOOKUP(A447,NYSEARCAVNQ!A$2:G$506,4,0)</f>
        <v>85.32</v>
      </c>
      <c r="J447">
        <f>VLOOKUP(A447,NYSEARCARWX!A$2:G$506,4,0)</f>
        <v>37.299999999999997</v>
      </c>
      <c r="K447">
        <f>VLOOKUP(A447,NYSEARCADBC!A$2:G$506,4,0)</f>
        <v>15.65</v>
      </c>
      <c r="L447">
        <f>VLOOKUP(A447,NYSEARCAGSG!A$2:G$506,4,0)</f>
        <v>15.38</v>
      </c>
      <c r="M447">
        <f>VLOOKUP(A447,NYSEARCAGLD!A$2:G$506,4,0)</f>
        <v>119.12</v>
      </c>
      <c r="N447">
        <f>VLOOKUP(A447,NYSEBP!A$2:G$506,4,0)</f>
        <v>33.619999999999997</v>
      </c>
      <c r="O447">
        <f>VLOOKUP(A447,NASDAQYHOO!A$2:G$506,4,0)</f>
        <v>45.24</v>
      </c>
    </row>
    <row r="448" spans="1:15">
      <c r="A448" s="39">
        <v>42794</v>
      </c>
      <c r="B448">
        <v>70</v>
      </c>
      <c r="C448">
        <f>VLOOKUP(A448,NYSEARCAVTI!A$2:G$506,4,0)</f>
        <v>121.61</v>
      </c>
      <c r="D448">
        <f>VLOOKUP(A448,NYSEARCAVEU!A$2:G$506,4,0)</f>
        <v>46.52</v>
      </c>
      <c r="E448">
        <f>VLOOKUP(A448,NYSEARCAVWO!A$2:G$506,4,0)</f>
        <v>38.69</v>
      </c>
      <c r="F448">
        <f>VLOOKUP(A448,NYSEARCABND!A$2:G$506,4,0)</f>
        <v>81.260000000000005</v>
      </c>
      <c r="G448">
        <f>VLOOKUP(A448,NYSEARCATIP!A$2:G$506,4,0)</f>
        <v>114.51</v>
      </c>
      <c r="H448">
        <f>VLOOKUP(A448,NYSEARCAMUB!A$2:G$506,4,0)</f>
        <v>108.76</v>
      </c>
      <c r="I448">
        <f>VLOOKUP(A448,NYSEARCAVNQ!A$2:G$506,4,0)</f>
        <v>85.06</v>
      </c>
      <c r="J448">
        <f>VLOOKUP(A448,NYSEARCARWX!A$2:G$506,4,0)</f>
        <v>37.340000000000003</v>
      </c>
      <c r="K448">
        <f>VLOOKUP(A448,NYSEARCADBC!A$2:G$506,4,0)</f>
        <v>15.6</v>
      </c>
      <c r="L448">
        <f>VLOOKUP(A448,NYSEARCAGSG!A$2:G$506,4,0)</f>
        <v>15.32</v>
      </c>
      <c r="M448">
        <f>VLOOKUP(A448,NYSEARCAGLD!A$2:G$506,4,0)</f>
        <v>118.82</v>
      </c>
      <c r="N448">
        <f>VLOOKUP(A448,NYSEBP!A$2:G$506,4,0)</f>
        <v>33.840000000000003</v>
      </c>
      <c r="O448">
        <f>VLOOKUP(A448,NASDAQYHOO!A$2:G$506,4,0)</f>
        <v>45.25</v>
      </c>
    </row>
    <row r="449" spans="1:15">
      <c r="A449" s="39">
        <v>42795</v>
      </c>
      <c r="B449">
        <v>70.150000000000006</v>
      </c>
      <c r="C449">
        <f>VLOOKUP(A449,NYSEARCAVTI!A$2:G$506,4,0)</f>
        <v>122.65</v>
      </c>
      <c r="D449">
        <f>VLOOKUP(A449,NYSEARCAVEU!A$2:G$506,4,0)</f>
        <v>46.89</v>
      </c>
      <c r="E449">
        <f>VLOOKUP(A449,NYSEARCAVWO!A$2:G$506,4,0)</f>
        <v>39</v>
      </c>
      <c r="F449">
        <f>VLOOKUP(A449,NYSEARCABND!A$2:G$506,4,0)</f>
        <v>80.709999999999994</v>
      </c>
      <c r="G449">
        <f>VLOOKUP(A449,NYSEARCATIP!A$2:G$506,4,0)</f>
        <v>113.76</v>
      </c>
      <c r="H449">
        <f>VLOOKUP(A449,NYSEARCAMUB!A$2:G$506,4,0)</f>
        <v>108.12</v>
      </c>
      <c r="I449">
        <f>VLOOKUP(A449,NYSEARCAVNQ!A$2:G$506,4,0)</f>
        <v>84.7</v>
      </c>
      <c r="J449">
        <f>VLOOKUP(A449,NYSEARCARWX!A$2:G$506,4,0)</f>
        <v>37.299999999999997</v>
      </c>
      <c r="K449">
        <f>VLOOKUP(A449,NYSEARCADBC!A$2:G$506,4,0)</f>
        <v>15.75</v>
      </c>
      <c r="L449">
        <f>VLOOKUP(A449,NYSEARCAGSG!A$2:G$506,4,0)</f>
        <v>15.43</v>
      </c>
      <c r="M449">
        <f>VLOOKUP(A449,NYSEARCAGLD!A$2:G$506,4,0)</f>
        <v>117.95</v>
      </c>
      <c r="N449">
        <f>VLOOKUP(A449,NYSEBP!A$2:G$506,4,0)</f>
        <v>34.200000000000003</v>
      </c>
      <c r="O449">
        <f>VLOOKUP(A449,NASDAQYHOO!A$2:G$506,4,0)</f>
        <v>45.89</v>
      </c>
    </row>
    <row r="450" spans="1:15">
      <c r="A450" s="39">
        <v>42796</v>
      </c>
      <c r="B450">
        <v>70.17</v>
      </c>
      <c r="C450">
        <f>VLOOKUP(A450,NYSEARCAVTI!A$2:G$506,4,0)</f>
        <v>122.61</v>
      </c>
      <c r="D450">
        <f>VLOOKUP(A450,NYSEARCAVEU!A$2:G$506,4,0)</f>
        <v>46.68</v>
      </c>
      <c r="E450">
        <f>VLOOKUP(A450,NYSEARCAVWO!A$2:G$506,4,0)</f>
        <v>38.6</v>
      </c>
      <c r="F450">
        <f>VLOOKUP(A450,NYSEARCABND!A$2:G$506,4,0)</f>
        <v>80.540000000000006</v>
      </c>
      <c r="G450">
        <f>VLOOKUP(A450,NYSEARCATIP!A$2:G$506,4,0)</f>
        <v>113.51</v>
      </c>
      <c r="H450">
        <f>VLOOKUP(A450,NYSEARCAMUB!A$2:G$506,4,0)</f>
        <v>108.08</v>
      </c>
      <c r="I450">
        <f>VLOOKUP(A450,NYSEARCAVNQ!A$2:G$506,4,0)</f>
        <v>84.25</v>
      </c>
      <c r="J450">
        <f>VLOOKUP(A450,NYSEARCARWX!A$2:G$506,4,0)</f>
        <v>36.93</v>
      </c>
      <c r="K450">
        <f>VLOOKUP(A450,NYSEARCADBC!A$2:G$506,4,0)</f>
        <v>15.53</v>
      </c>
      <c r="L450">
        <f>VLOOKUP(A450,NYSEARCAGSG!A$2:G$506,4,0)</f>
        <v>15.18</v>
      </c>
      <c r="M450">
        <f>VLOOKUP(A450,NYSEARCAGLD!A$2:G$506,4,0)</f>
        <v>117.22</v>
      </c>
      <c r="N450">
        <f>VLOOKUP(A450,NYSEBP!A$2:G$506,4,0)</f>
        <v>34.090000000000003</v>
      </c>
      <c r="O450">
        <f>VLOOKUP(A450,NASDAQYHOO!A$2:G$506,4,0)</f>
        <v>45.62</v>
      </c>
    </row>
    <row r="451" spans="1:15">
      <c r="A451" s="39">
        <v>42797</v>
      </c>
      <c r="B451">
        <v>69.88</v>
      </c>
      <c r="C451">
        <f>VLOOKUP(A451,NYSEARCAVTI!A$2:G$506,4,0)</f>
        <v>122.33</v>
      </c>
      <c r="D451">
        <f>VLOOKUP(A451,NYSEARCAVEU!A$2:G$506,4,0)</f>
        <v>46.7</v>
      </c>
      <c r="E451">
        <f>VLOOKUP(A451,NYSEARCAVWO!A$2:G$506,4,0)</f>
        <v>38.729999999999997</v>
      </c>
      <c r="F451">
        <f>VLOOKUP(A451,NYSEARCABND!A$2:G$506,4,0)</f>
        <v>80.53</v>
      </c>
      <c r="G451">
        <f>VLOOKUP(A451,NYSEARCATIP!A$2:G$506,4,0)</f>
        <v>113.44</v>
      </c>
      <c r="H451">
        <f>VLOOKUP(A451,NYSEARCAMUB!A$2:G$506,4,0)</f>
        <v>107.98</v>
      </c>
      <c r="I451">
        <f>VLOOKUP(A451,NYSEARCAVNQ!A$2:G$506,4,0)</f>
        <v>83.35</v>
      </c>
      <c r="J451">
        <f>VLOOKUP(A451,NYSEARCARWX!A$2:G$506,4,0)</f>
        <v>36.93</v>
      </c>
      <c r="K451">
        <f>VLOOKUP(A451,NYSEARCADBC!A$2:G$506,4,0)</f>
        <v>15.53</v>
      </c>
      <c r="L451">
        <f>VLOOKUP(A451,NYSEARCAGSG!A$2:G$506,4,0)</f>
        <v>15.21</v>
      </c>
      <c r="M451">
        <f>VLOOKUP(A451,NYSEARCAGLD!A$2:G$506,4,0)</f>
        <v>116.44</v>
      </c>
      <c r="N451">
        <f>VLOOKUP(A451,NYSEBP!A$2:G$506,4,0)</f>
        <v>34.04</v>
      </c>
      <c r="O451">
        <f>VLOOKUP(A451,NASDAQYHOO!A$2:G$506,4,0)</f>
        <v>45.6</v>
      </c>
    </row>
    <row r="452" spans="1:15">
      <c r="A452" s="39">
        <v>42800</v>
      </c>
      <c r="B452">
        <v>69.78</v>
      </c>
      <c r="C452">
        <f>VLOOKUP(A452,NYSEARCAVTI!A$2:G$506,4,0)</f>
        <v>121.9</v>
      </c>
      <c r="D452">
        <f>VLOOKUP(A452,NYSEARCAVEU!A$2:G$506,4,0)</f>
        <v>46.74</v>
      </c>
      <c r="E452">
        <f>VLOOKUP(A452,NYSEARCAVWO!A$2:G$506,4,0)</f>
        <v>38.880000000000003</v>
      </c>
      <c r="F452">
        <f>VLOOKUP(A452,NYSEARCABND!A$2:G$506,4,0)</f>
        <v>80.569999999999993</v>
      </c>
      <c r="G452">
        <f>VLOOKUP(A452,NYSEARCATIP!A$2:G$506,4,0)</f>
        <v>113.67</v>
      </c>
      <c r="H452">
        <f>VLOOKUP(A452,NYSEARCAMUB!A$2:G$506,4,0)</f>
        <v>107.98</v>
      </c>
      <c r="I452">
        <f>VLOOKUP(A452,NYSEARCAVNQ!A$2:G$506,4,0)</f>
        <v>83.43</v>
      </c>
      <c r="J452">
        <f>VLOOKUP(A452,NYSEARCARWX!A$2:G$506,4,0)</f>
        <v>36.97</v>
      </c>
      <c r="K452">
        <f>VLOOKUP(A452,NYSEARCADBC!A$2:G$506,4,0)</f>
        <v>15.6</v>
      </c>
      <c r="L452">
        <f>VLOOKUP(A452,NYSEARCAGSG!A$2:G$506,4,0)</f>
        <v>15.27</v>
      </c>
      <c r="M452">
        <f>VLOOKUP(A452,NYSEARCAGLD!A$2:G$506,4,0)</f>
        <v>116.63</v>
      </c>
      <c r="N452">
        <f>VLOOKUP(A452,NYSEBP!A$2:G$506,4,0)</f>
        <v>33.85</v>
      </c>
      <c r="O452">
        <f>VLOOKUP(A452,NASDAQYHOO!A$2:G$506,4,0)</f>
        <v>45.39</v>
      </c>
    </row>
    <row r="453" spans="1:15">
      <c r="A453" s="39">
        <v>42801</v>
      </c>
      <c r="B453">
        <v>69.86</v>
      </c>
      <c r="C453">
        <f>VLOOKUP(A453,NYSEARCAVTI!A$2:G$506,4,0)</f>
        <v>121.75</v>
      </c>
      <c r="D453">
        <f>VLOOKUP(A453,NYSEARCAVEU!A$2:G$506,4,0)</f>
        <v>46.66</v>
      </c>
      <c r="E453">
        <f>VLOOKUP(A453,NYSEARCAVWO!A$2:G$506,4,0)</f>
        <v>38.979999999999997</v>
      </c>
      <c r="F453">
        <f>VLOOKUP(A453,NYSEARCABND!A$2:G$506,4,0)</f>
        <v>80.489999999999995</v>
      </c>
      <c r="G453">
        <f>VLOOKUP(A453,NYSEARCATIP!A$2:G$506,4,0)</f>
        <v>113.47</v>
      </c>
      <c r="H453">
        <f>VLOOKUP(A453,NYSEARCAMUB!A$2:G$506,4,0)</f>
        <v>107.97</v>
      </c>
      <c r="I453">
        <f>VLOOKUP(A453,NYSEARCAVNQ!A$2:G$506,4,0)</f>
        <v>83.03</v>
      </c>
      <c r="J453">
        <f>VLOOKUP(A453,NYSEARCARWX!A$2:G$506,4,0)</f>
        <v>36.840000000000003</v>
      </c>
      <c r="K453">
        <f>VLOOKUP(A453,NYSEARCADBC!A$2:G$506,4,0)</f>
        <v>15.52</v>
      </c>
      <c r="L453">
        <f>VLOOKUP(A453,NYSEARCAGSG!A$2:G$506,4,0)</f>
        <v>15.22</v>
      </c>
      <c r="M453">
        <f>VLOOKUP(A453,NYSEARCAGLD!A$2:G$506,4,0)</f>
        <v>115.62</v>
      </c>
      <c r="N453">
        <f>VLOOKUP(A453,NYSEBP!A$2:G$506,4,0)</f>
        <v>33.840000000000003</v>
      </c>
      <c r="O453">
        <f>VLOOKUP(A453,NASDAQYHOO!A$2:G$506,4,0)</f>
        <v>45.49</v>
      </c>
    </row>
    <row r="454" spans="1:15">
      <c r="A454" s="39">
        <v>42802</v>
      </c>
      <c r="B454">
        <v>69.540000000000006</v>
      </c>
      <c r="C454">
        <f>VLOOKUP(A454,NYSEARCAVTI!A$2:G$506,4,0)</f>
        <v>121.47</v>
      </c>
      <c r="D454">
        <f>VLOOKUP(A454,NYSEARCAVEU!A$2:G$506,4,0)</f>
        <v>46.48</v>
      </c>
      <c r="E454">
        <f>VLOOKUP(A454,NYSEARCAVWO!A$2:G$506,4,0)</f>
        <v>38.61</v>
      </c>
      <c r="F454">
        <f>VLOOKUP(A454,NYSEARCABND!A$2:G$506,4,0)</f>
        <v>80.209999999999994</v>
      </c>
      <c r="G454">
        <f>VLOOKUP(A454,NYSEARCATIP!A$2:G$506,4,0)</f>
        <v>113.01</v>
      </c>
      <c r="H454">
        <f>VLOOKUP(A454,NYSEARCAMUB!A$2:G$506,4,0)</f>
        <v>107.73</v>
      </c>
      <c r="I454">
        <f>VLOOKUP(A454,NYSEARCAVNQ!A$2:G$506,4,0)</f>
        <v>81.83</v>
      </c>
      <c r="J454">
        <f>VLOOKUP(A454,NYSEARCARWX!A$2:G$506,4,0)</f>
        <v>36.54</v>
      </c>
      <c r="K454">
        <f>VLOOKUP(A454,NYSEARCADBC!A$2:G$506,4,0)</f>
        <v>15.15</v>
      </c>
      <c r="L454">
        <f>VLOOKUP(A454,NYSEARCAGSG!A$2:G$506,4,0)</f>
        <v>14.77</v>
      </c>
      <c r="M454">
        <f>VLOOKUP(A454,NYSEARCAGLD!A$2:G$506,4,0)</f>
        <v>114.94</v>
      </c>
      <c r="N454">
        <f>VLOOKUP(A454,NYSEBP!A$2:G$506,4,0)</f>
        <v>33.26</v>
      </c>
      <c r="O454">
        <f>VLOOKUP(A454,NASDAQYHOO!A$2:G$506,4,0)</f>
        <v>45.73</v>
      </c>
    </row>
    <row r="455" spans="1:15">
      <c r="A455" s="39">
        <v>42803</v>
      </c>
      <c r="B455">
        <v>69.56</v>
      </c>
      <c r="C455">
        <f>VLOOKUP(A455,NYSEARCAVTI!A$2:G$506,4,0)</f>
        <v>121.02</v>
      </c>
      <c r="D455">
        <f>VLOOKUP(A455,NYSEARCAVEU!A$2:G$506,4,0)</f>
        <v>46.4</v>
      </c>
      <c r="E455">
        <f>VLOOKUP(A455,NYSEARCAVWO!A$2:G$506,4,0)</f>
        <v>38.119999999999997</v>
      </c>
      <c r="F455">
        <f>VLOOKUP(A455,NYSEARCABND!A$2:G$506,4,0)</f>
        <v>80.02</v>
      </c>
      <c r="G455">
        <f>VLOOKUP(A455,NYSEARCATIP!A$2:G$506,4,0)</f>
        <v>112.7</v>
      </c>
      <c r="H455">
        <f>VLOOKUP(A455,NYSEARCAMUB!A$2:G$506,4,0)</f>
        <v>107.62</v>
      </c>
      <c r="I455">
        <f>VLOOKUP(A455,NYSEARCAVNQ!A$2:G$506,4,0)</f>
        <v>80.48</v>
      </c>
      <c r="J455">
        <f>VLOOKUP(A455,NYSEARCARWX!A$2:G$506,4,0)</f>
        <v>36.520000000000003</v>
      </c>
      <c r="K455">
        <f>VLOOKUP(A455,NYSEARCADBC!A$2:G$506,4,0)</f>
        <v>14.93</v>
      </c>
      <c r="L455">
        <f>VLOOKUP(A455,NYSEARCAGSG!A$2:G$506,4,0)</f>
        <v>14.52</v>
      </c>
      <c r="M455">
        <f>VLOOKUP(A455,NYSEARCAGLD!A$2:G$506,4,0)</f>
        <v>114.4</v>
      </c>
      <c r="N455">
        <f>VLOOKUP(A455,NYSEBP!A$2:G$506,4,0)</f>
        <v>33.1</v>
      </c>
      <c r="O455">
        <f>VLOOKUP(A455,NASDAQYHOO!A$2:G$506,4,0)</f>
        <v>45.68</v>
      </c>
    </row>
    <row r="456" spans="1:15">
      <c r="A456" s="39">
        <v>42804</v>
      </c>
      <c r="B456">
        <v>69.8</v>
      </c>
      <c r="C456">
        <f>VLOOKUP(A456,NYSEARCAVTI!A$2:G$506,4,0)</f>
        <v>121.46</v>
      </c>
      <c r="D456">
        <f>VLOOKUP(A456,NYSEARCAVEU!A$2:G$506,4,0)</f>
        <v>46.77</v>
      </c>
      <c r="E456">
        <f>VLOOKUP(A456,NYSEARCAVWO!A$2:G$506,4,0)</f>
        <v>38.46</v>
      </c>
      <c r="F456">
        <f>VLOOKUP(A456,NYSEARCABND!A$2:G$506,4,0)</f>
        <v>80.099999999999994</v>
      </c>
      <c r="G456">
        <f>VLOOKUP(A456,NYSEARCATIP!A$2:G$506,4,0)</f>
        <v>112.7</v>
      </c>
      <c r="H456">
        <f>VLOOKUP(A456,NYSEARCAMUB!A$2:G$506,4,0)</f>
        <v>107.7</v>
      </c>
      <c r="I456">
        <f>VLOOKUP(A456,NYSEARCAVNQ!A$2:G$506,4,0)</f>
        <v>79.98</v>
      </c>
      <c r="J456">
        <f>VLOOKUP(A456,NYSEARCARWX!A$2:G$506,4,0)</f>
        <v>36.46</v>
      </c>
      <c r="K456">
        <f>VLOOKUP(A456,NYSEARCADBC!A$2:G$506,4,0)</f>
        <v>14.87</v>
      </c>
      <c r="L456">
        <f>VLOOKUP(A456,NYSEARCAGSG!A$2:G$506,4,0)</f>
        <v>14.47</v>
      </c>
      <c r="M456">
        <f>VLOOKUP(A456,NYSEARCAGLD!A$2:G$506,4,0)</f>
        <v>114.13</v>
      </c>
      <c r="N456">
        <f>VLOOKUP(A456,NYSEBP!A$2:G$506,4,0)</f>
        <v>34.18</v>
      </c>
      <c r="O456">
        <f>VLOOKUP(A456,NASDAQYHOO!A$2:G$506,4,0)</f>
        <v>45.75</v>
      </c>
    </row>
    <row r="457" spans="1:15">
      <c r="A457" s="39">
        <v>42807</v>
      </c>
      <c r="B457">
        <v>69.709999999999994</v>
      </c>
      <c r="C457">
        <f>VLOOKUP(A457,NYSEARCAVTI!A$2:G$506,4,0)</f>
        <v>121.86</v>
      </c>
      <c r="D457">
        <f>VLOOKUP(A457,NYSEARCAVEU!A$2:G$506,4,0)</f>
        <v>47.1</v>
      </c>
      <c r="E457">
        <f>VLOOKUP(A457,NYSEARCAVWO!A$2:G$506,4,0)</f>
        <v>38.97</v>
      </c>
      <c r="F457">
        <f>VLOOKUP(A457,NYSEARCABND!A$2:G$506,4,0)</f>
        <v>80.03</v>
      </c>
      <c r="G457">
        <f>VLOOKUP(A457,NYSEARCATIP!A$2:G$506,4,0)</f>
        <v>112.7</v>
      </c>
      <c r="H457">
        <f>VLOOKUP(A457,NYSEARCAMUB!A$2:G$506,4,0)</f>
        <v>107.69</v>
      </c>
      <c r="I457">
        <f>VLOOKUP(A457,NYSEARCAVNQ!A$2:G$506,4,0)</f>
        <v>80.34</v>
      </c>
      <c r="J457">
        <f>VLOOKUP(A457,NYSEARCARWX!A$2:G$506,4,0)</f>
        <v>36.6</v>
      </c>
      <c r="K457">
        <f>VLOOKUP(A457,NYSEARCADBC!A$2:G$506,4,0)</f>
        <v>14.86</v>
      </c>
      <c r="L457">
        <f>VLOOKUP(A457,NYSEARCAGSG!A$2:G$506,4,0)</f>
        <v>14.45</v>
      </c>
      <c r="M457">
        <f>VLOOKUP(A457,NYSEARCAGLD!A$2:G$506,4,0)</f>
        <v>114.5</v>
      </c>
      <c r="N457">
        <f>VLOOKUP(A457,NYSEBP!A$2:G$506,4,0)</f>
        <v>33.950000000000003</v>
      </c>
      <c r="O457">
        <f>VLOOKUP(A457,NASDAQYHOO!A$2:G$506,4,0)</f>
        <v>46.1</v>
      </c>
    </row>
    <row r="458" spans="1:15">
      <c r="A458" s="39">
        <v>42808</v>
      </c>
      <c r="B458">
        <v>70.72</v>
      </c>
      <c r="C458">
        <f>VLOOKUP(A458,NYSEARCAVTI!A$2:G$506,4,0)</f>
        <v>121.24</v>
      </c>
      <c r="D458">
        <f>VLOOKUP(A458,NYSEARCAVEU!A$2:G$506,4,0)</f>
        <v>46.83</v>
      </c>
      <c r="E458">
        <f>VLOOKUP(A458,NYSEARCAVWO!A$2:G$506,4,0)</f>
        <v>38.880000000000003</v>
      </c>
      <c r="F458">
        <f>VLOOKUP(A458,NYSEARCABND!A$2:G$506,4,0)</f>
        <v>80.02</v>
      </c>
      <c r="G458">
        <f>VLOOKUP(A458,NYSEARCATIP!A$2:G$506,4,0)</f>
        <v>112.61</v>
      </c>
      <c r="H458">
        <f>VLOOKUP(A458,NYSEARCAMUB!A$2:G$506,4,0)</f>
        <v>107.7</v>
      </c>
      <c r="I458">
        <f>VLOOKUP(A458,NYSEARCAVNQ!A$2:G$506,4,0)</f>
        <v>80.069999999999993</v>
      </c>
      <c r="J458">
        <f>VLOOKUP(A458,NYSEARCARWX!A$2:G$506,4,0)</f>
        <v>36.28</v>
      </c>
      <c r="K458">
        <f>VLOOKUP(A458,NYSEARCADBC!A$2:G$506,4,0)</f>
        <v>14.7</v>
      </c>
      <c r="L458">
        <f>VLOOKUP(A458,NYSEARCAGSG!A$2:G$506,4,0)</f>
        <v>14.29</v>
      </c>
      <c r="M458">
        <f>VLOOKUP(A458,NYSEARCAGLD!A$2:G$506,4,0)</f>
        <v>114.02</v>
      </c>
      <c r="N458">
        <f>VLOOKUP(A458,NYSEBP!A$2:G$506,4,0)</f>
        <v>33.28</v>
      </c>
      <c r="O458">
        <f>VLOOKUP(A458,NASDAQYHOO!A$2:G$506,4,0)</f>
        <v>46.19</v>
      </c>
    </row>
    <row r="459" spans="1:15">
      <c r="A459" s="39">
        <v>42809</v>
      </c>
      <c r="B459">
        <v>70.02</v>
      </c>
      <c r="C459">
        <f>VLOOKUP(A459,NYSEARCAVTI!A$2:G$506,4,0)</f>
        <v>121.89</v>
      </c>
      <c r="D459">
        <f>VLOOKUP(A459,NYSEARCAVEU!A$2:G$506,4,0)</f>
        <v>47</v>
      </c>
      <c r="E459">
        <f>VLOOKUP(A459,NYSEARCAVWO!A$2:G$506,4,0)</f>
        <v>38.979999999999997</v>
      </c>
      <c r="F459">
        <f>VLOOKUP(A459,NYSEARCABND!A$2:G$506,4,0)</f>
        <v>80.13</v>
      </c>
      <c r="G459">
        <f>VLOOKUP(A459,NYSEARCATIP!A$2:G$506,4,0)</f>
        <v>112.75</v>
      </c>
      <c r="H459">
        <f>VLOOKUP(A459,NYSEARCAMUB!A$2:G$506,4,0)</f>
        <v>107.77</v>
      </c>
      <c r="I459">
        <f>VLOOKUP(A459,NYSEARCAVNQ!A$2:G$506,4,0)</f>
        <v>80.78</v>
      </c>
      <c r="J459">
        <f>VLOOKUP(A459,NYSEARCARWX!A$2:G$506,4,0)</f>
        <v>36.39</v>
      </c>
      <c r="K459">
        <f>VLOOKUP(A459,NYSEARCADBC!A$2:G$506,4,0)</f>
        <v>14.87</v>
      </c>
      <c r="L459">
        <f>VLOOKUP(A459,NYSEARCAGSG!A$2:G$506,4,0)</f>
        <v>14.46</v>
      </c>
      <c r="M459">
        <f>VLOOKUP(A459,NYSEARCAGLD!A$2:G$506,4,0)</f>
        <v>114.02</v>
      </c>
      <c r="N459">
        <f>VLOOKUP(A459,NYSEBP!A$2:G$506,4,0)</f>
        <v>33.47</v>
      </c>
      <c r="O459">
        <f>VLOOKUP(A459,NASDAQYHOO!A$2:G$506,4,0)</f>
        <v>45.9</v>
      </c>
    </row>
    <row r="460" spans="1:15">
      <c r="A460" s="39">
        <v>42810</v>
      </c>
      <c r="B460">
        <v>70.069999999999993</v>
      </c>
      <c r="C460">
        <f>VLOOKUP(A460,NYSEARCAVTI!A$2:G$506,4,0)</f>
        <v>122.43</v>
      </c>
      <c r="D460">
        <f>VLOOKUP(A460,NYSEARCAVEU!A$2:G$506,4,0)</f>
        <v>47.84</v>
      </c>
      <c r="E460">
        <f>VLOOKUP(A460,NYSEARCAVWO!A$2:G$506,4,0)</f>
        <v>40.04</v>
      </c>
      <c r="F460">
        <f>VLOOKUP(A460,NYSEARCABND!A$2:G$506,4,0)</f>
        <v>80.41</v>
      </c>
      <c r="G460">
        <f>VLOOKUP(A460,NYSEARCATIP!A$2:G$506,4,0)</f>
        <v>113.48</v>
      </c>
      <c r="H460">
        <f>VLOOKUP(A460,NYSEARCAMUB!A$2:G$506,4,0)</f>
        <v>108.03</v>
      </c>
      <c r="I460">
        <f>VLOOKUP(A460,NYSEARCAVNQ!A$2:G$506,4,0)</f>
        <v>81.91</v>
      </c>
      <c r="J460">
        <f>VLOOKUP(A460,NYSEARCARWX!A$2:G$506,4,0)</f>
        <v>37.270000000000003</v>
      </c>
      <c r="K460">
        <f>VLOOKUP(A460,NYSEARCADBC!A$2:G$506,4,0)</f>
        <v>14.93</v>
      </c>
      <c r="L460">
        <f>VLOOKUP(A460,NYSEARCAGSG!A$2:G$506,4,0)</f>
        <v>14.54</v>
      </c>
      <c r="M460">
        <f>VLOOKUP(A460,NYSEARCAGLD!A$2:G$506,4,0)</f>
        <v>116.69</v>
      </c>
      <c r="N460">
        <f>VLOOKUP(A460,NYSEBP!A$2:G$506,4,0)</f>
        <v>33.85</v>
      </c>
      <c r="O460">
        <f>VLOOKUP(A460,NASDAQYHOO!A$2:G$506,4,0)</f>
        <v>46.3</v>
      </c>
    </row>
    <row r="461" spans="1:15">
      <c r="A461" s="39">
        <v>42811</v>
      </c>
      <c r="B461">
        <v>69.81</v>
      </c>
      <c r="C461">
        <f>VLOOKUP(A461,NYSEARCAVTI!A$2:G$506,4,0)</f>
        <v>122.45</v>
      </c>
      <c r="D461">
        <f>VLOOKUP(A461,NYSEARCAVEU!A$2:G$506,4,0)</f>
        <v>47.89</v>
      </c>
      <c r="E461">
        <f>VLOOKUP(A461,NYSEARCAVWO!A$2:G$506,4,0)</f>
        <v>39.97</v>
      </c>
      <c r="F461">
        <f>VLOOKUP(A461,NYSEARCABND!A$2:G$506,4,0)</f>
        <v>80.47</v>
      </c>
      <c r="G461">
        <f>VLOOKUP(A461,NYSEARCATIP!A$2:G$506,4,0)</f>
        <v>113.68</v>
      </c>
      <c r="H461">
        <f>VLOOKUP(A461,NYSEARCAMUB!A$2:G$506,4,0)</f>
        <v>108</v>
      </c>
      <c r="I461">
        <f>VLOOKUP(A461,NYSEARCAVNQ!A$2:G$506,4,0)</f>
        <v>82</v>
      </c>
      <c r="J461">
        <f>VLOOKUP(A461,NYSEARCARWX!A$2:G$506,4,0)</f>
        <v>37.22</v>
      </c>
      <c r="K461">
        <f>VLOOKUP(A461,NYSEARCADBC!A$2:G$506,4,0)</f>
        <v>14.94</v>
      </c>
      <c r="L461">
        <f>VLOOKUP(A461,NYSEARCAGSG!A$2:G$506,4,0)</f>
        <v>14.55</v>
      </c>
      <c r="M461">
        <f>VLOOKUP(A461,NYSEARCAGLD!A$2:G$506,4,0)</f>
        <v>116.91</v>
      </c>
      <c r="N461">
        <f>VLOOKUP(A461,NYSEBP!A$2:G$506,4,0)</f>
        <v>34.17</v>
      </c>
      <c r="O461">
        <f>VLOOKUP(A461,NASDAQYHOO!A$2:G$506,4,0)</f>
        <v>46.5</v>
      </c>
    </row>
    <row r="462" spans="1:15">
      <c r="A462" s="39">
        <v>42814</v>
      </c>
      <c r="B462">
        <v>69.709999999999994</v>
      </c>
      <c r="C462">
        <f>VLOOKUP(A462,NYSEARCAVTI!A$2:G$506,4,0)</f>
        <v>122.07</v>
      </c>
      <c r="D462">
        <f>VLOOKUP(A462,NYSEARCAVEU!A$2:G$506,4,0)</f>
        <v>47.95</v>
      </c>
      <c r="E462">
        <f>VLOOKUP(A462,NYSEARCAVWO!A$2:G$506,4,0)</f>
        <v>40.18</v>
      </c>
      <c r="F462">
        <f>VLOOKUP(A462,NYSEARCABND!A$2:G$506,4,0)</f>
        <v>80.569999999999993</v>
      </c>
      <c r="G462">
        <f>VLOOKUP(A462,NYSEARCATIP!A$2:G$506,4,0)</f>
        <v>113.7</v>
      </c>
      <c r="H462">
        <f>VLOOKUP(A462,NYSEARCAMUB!A$2:G$506,4,0)</f>
        <v>108.1</v>
      </c>
      <c r="I462">
        <f>VLOOKUP(A462,NYSEARCAVNQ!A$2:G$506,4,0)</f>
        <v>82.16</v>
      </c>
      <c r="J462">
        <f>VLOOKUP(A462,NYSEARCARWX!A$2:G$506,4,0)</f>
        <v>37.24</v>
      </c>
      <c r="K462">
        <f>VLOOKUP(A462,NYSEARCADBC!A$2:G$506,4,0)</f>
        <v>14.94</v>
      </c>
      <c r="L462">
        <f>VLOOKUP(A462,NYSEARCAGSG!A$2:G$506,4,0)</f>
        <v>14.53</v>
      </c>
      <c r="M462">
        <f>VLOOKUP(A462,NYSEARCAGLD!A$2:G$506,4,0)</f>
        <v>117.2</v>
      </c>
      <c r="N462">
        <f>VLOOKUP(A462,NYSEBP!A$2:G$506,4,0)</f>
        <v>34.06</v>
      </c>
      <c r="O462">
        <f>VLOOKUP(A462,NASDAQYHOO!A$2:G$506,4,0)</f>
        <v>46.52</v>
      </c>
    </row>
    <row r="463" spans="1:15">
      <c r="A463" s="39">
        <v>42815</v>
      </c>
      <c r="B463">
        <v>69.69</v>
      </c>
      <c r="C463">
        <f>VLOOKUP(A463,NYSEARCAVTI!A$2:G$506,4,0)</f>
        <v>120.44</v>
      </c>
      <c r="D463">
        <f>VLOOKUP(A463,NYSEARCAVEU!A$2:G$506,4,0)</f>
        <v>47.68</v>
      </c>
      <c r="E463">
        <f>VLOOKUP(A463,NYSEARCAVWO!A$2:G$506,4,0)</f>
        <v>39.93</v>
      </c>
      <c r="F463">
        <f>VLOOKUP(A463,NYSEARCABND!A$2:G$506,4,0)</f>
        <v>80.66</v>
      </c>
      <c r="G463">
        <f>VLOOKUP(A463,NYSEARCATIP!A$2:G$506,4,0)</f>
        <v>113.98</v>
      </c>
      <c r="H463">
        <f>VLOOKUP(A463,NYSEARCAMUB!A$2:G$506,4,0)</f>
        <v>108.19</v>
      </c>
      <c r="I463">
        <f>VLOOKUP(A463,NYSEARCAVNQ!A$2:G$506,4,0)</f>
        <v>81.88</v>
      </c>
      <c r="J463">
        <f>VLOOKUP(A463,NYSEARCARWX!A$2:G$506,4,0)</f>
        <v>37.01</v>
      </c>
      <c r="K463">
        <f>VLOOKUP(A463,NYSEARCADBC!A$2:G$506,4,0)</f>
        <v>14.89</v>
      </c>
      <c r="L463">
        <f>VLOOKUP(A463,NYSEARCAGSG!A$2:G$506,4,0)</f>
        <v>14.42</v>
      </c>
      <c r="M463">
        <f>VLOOKUP(A463,NYSEARCAGLD!A$2:G$506,4,0)</f>
        <v>117.76</v>
      </c>
      <c r="N463">
        <f>VLOOKUP(A463,NYSEBP!A$2:G$506,4,0)</f>
        <v>34.090000000000003</v>
      </c>
      <c r="O463">
        <f>VLOOKUP(A463,NASDAQYHOO!A$2:G$506,4,0)</f>
        <v>45.68</v>
      </c>
    </row>
    <row r="464" spans="1:15">
      <c r="A464" s="39">
        <v>42816</v>
      </c>
      <c r="B464">
        <v>69.72</v>
      </c>
      <c r="C464">
        <f>VLOOKUP(A464,NYSEARCAVTI!A$2:G$506,4,0)</f>
        <v>120.1</v>
      </c>
      <c r="D464">
        <f>VLOOKUP(A464,NYSEARCAVEU!A$2:G$506,4,0)</f>
        <v>47.38</v>
      </c>
      <c r="E464">
        <f>VLOOKUP(A464,NYSEARCAVWO!A$2:G$506,4,0)</f>
        <v>39.799999999999997</v>
      </c>
      <c r="F464">
        <f>VLOOKUP(A464,NYSEARCABND!A$2:G$506,4,0)</f>
        <v>80.95</v>
      </c>
      <c r="G464">
        <f>VLOOKUP(A464,NYSEARCATIP!A$2:G$506,4,0)</f>
        <v>114</v>
      </c>
      <c r="H464">
        <f>VLOOKUP(A464,NYSEARCAMUB!A$2:G$506,4,0)</f>
        <v>108.5</v>
      </c>
      <c r="I464">
        <f>VLOOKUP(A464,NYSEARCAVNQ!A$2:G$506,4,0)</f>
        <v>80.55</v>
      </c>
      <c r="J464">
        <f>VLOOKUP(A464,NYSEARCARWX!A$2:G$506,4,0)</f>
        <v>37.08</v>
      </c>
      <c r="K464">
        <f>VLOOKUP(A464,NYSEARCADBC!A$2:G$506,4,0)</f>
        <v>14.77</v>
      </c>
      <c r="L464">
        <f>VLOOKUP(A464,NYSEARCAGSG!A$2:G$506,4,0)</f>
        <v>14.26</v>
      </c>
      <c r="M464">
        <f>VLOOKUP(A464,NYSEARCAGLD!A$2:G$506,4,0)</f>
        <v>118.68</v>
      </c>
      <c r="N464">
        <f>VLOOKUP(A464,NYSEBP!A$2:G$506,4,0)</f>
        <v>33.799999999999997</v>
      </c>
      <c r="O464">
        <f>VLOOKUP(A464,NASDAQYHOO!A$2:G$506,4,0)</f>
        <v>45.6</v>
      </c>
    </row>
    <row r="465" spans="1:15">
      <c r="A465" s="39">
        <v>42817</v>
      </c>
      <c r="B465">
        <v>69.739999999999995</v>
      </c>
      <c r="C465">
        <f>VLOOKUP(A465,NYSEARCAVTI!A$2:G$506,4,0)</f>
        <v>120.47</v>
      </c>
      <c r="D465">
        <f>VLOOKUP(A465,NYSEARCAVEU!A$2:G$506,4,0)</f>
        <v>47.53</v>
      </c>
      <c r="E465">
        <f>VLOOKUP(A465,NYSEARCAVWO!A$2:G$506,4,0)</f>
        <v>39.94</v>
      </c>
      <c r="F465">
        <f>VLOOKUP(A465,NYSEARCABND!A$2:G$506,4,0)</f>
        <v>80.89</v>
      </c>
      <c r="G465">
        <f>VLOOKUP(A465,NYSEARCATIP!A$2:G$506,4,0)</f>
        <v>114.02</v>
      </c>
      <c r="H465">
        <f>VLOOKUP(A465,NYSEARCAMUB!A$2:G$506,4,0)</f>
        <v>108.63</v>
      </c>
      <c r="I465">
        <f>VLOOKUP(A465,NYSEARCAVNQ!A$2:G$506,4,0)</f>
        <v>81.260000000000005</v>
      </c>
      <c r="J465">
        <f>VLOOKUP(A465,NYSEARCARWX!A$2:G$506,4,0)</f>
        <v>37.14</v>
      </c>
      <c r="K465">
        <f>VLOOKUP(A465,NYSEARCADBC!A$2:G$506,4,0)</f>
        <v>14.82</v>
      </c>
      <c r="L465">
        <f>VLOOKUP(A465,NYSEARCAGSG!A$2:G$506,4,0)</f>
        <v>14.34</v>
      </c>
      <c r="M465">
        <f>VLOOKUP(A465,NYSEARCAGLD!A$2:G$506,4,0)</f>
        <v>118.32</v>
      </c>
      <c r="N465">
        <f>VLOOKUP(A465,NYSEBP!A$2:G$506,4,0)</f>
        <v>33.86</v>
      </c>
      <c r="O465">
        <f>VLOOKUP(A465,NASDAQYHOO!A$2:G$506,4,0)</f>
        <v>46.09</v>
      </c>
    </row>
    <row r="466" spans="1:15">
      <c r="A466" s="39">
        <v>42818</v>
      </c>
      <c r="B466">
        <v>69.53</v>
      </c>
      <c r="C466">
        <f>VLOOKUP(A466,NYSEARCAVTI!A$2:G$506,4,0)</f>
        <v>119.66</v>
      </c>
      <c r="D466">
        <f>VLOOKUP(A466,NYSEARCAVEU!A$2:G$506,4,0)</f>
        <v>47.77</v>
      </c>
      <c r="E466">
        <f>VLOOKUP(A466,NYSEARCAVWO!A$2:G$506,4,0)</f>
        <v>40.090000000000003</v>
      </c>
      <c r="F466">
        <f>VLOOKUP(A466,NYSEARCABND!A$2:G$506,4,0)</f>
        <v>80.930000000000007</v>
      </c>
      <c r="G466">
        <f>VLOOKUP(A466,NYSEARCATIP!A$2:G$506,4,0)</f>
        <v>114.11</v>
      </c>
      <c r="H466">
        <f>VLOOKUP(A466,NYSEARCAMUB!A$2:G$506,4,0)</f>
        <v>108.67</v>
      </c>
      <c r="I466">
        <f>VLOOKUP(A466,NYSEARCAVNQ!A$2:G$506,4,0)</f>
        <v>81.78</v>
      </c>
      <c r="J466">
        <f>VLOOKUP(A466,NYSEARCARWX!A$2:G$506,4,0)</f>
        <v>37.28</v>
      </c>
      <c r="K466">
        <f>VLOOKUP(A466,NYSEARCADBC!A$2:G$506,4,0)</f>
        <v>14.86</v>
      </c>
      <c r="L466">
        <f>VLOOKUP(A466,NYSEARCAGSG!A$2:G$506,4,0)</f>
        <v>14.37</v>
      </c>
      <c r="M466">
        <f>VLOOKUP(A466,NYSEARCAGLD!A$2:G$506,4,0)</f>
        <v>118.39</v>
      </c>
      <c r="N466">
        <f>VLOOKUP(A466,NYSEBP!A$2:G$506,4,0)</f>
        <v>33.74</v>
      </c>
      <c r="O466">
        <f>VLOOKUP(A466,NASDAQYHOO!A$2:G$506,4,0)</f>
        <v>46.14</v>
      </c>
    </row>
    <row r="467" spans="1:15">
      <c r="A467" s="39">
        <v>42821</v>
      </c>
      <c r="B467">
        <v>69.36</v>
      </c>
      <c r="C467">
        <f>VLOOKUP(A467,NYSEARCAVTI!A$2:G$506,4,0)</f>
        <v>118.89</v>
      </c>
      <c r="D467">
        <f>VLOOKUP(A467,NYSEARCAVEU!A$2:G$506,4,0)</f>
        <v>47.66</v>
      </c>
      <c r="E467">
        <f>VLOOKUP(A467,NYSEARCAVWO!A$2:G$506,4,0)</f>
        <v>39.799999999999997</v>
      </c>
      <c r="F467">
        <f>VLOOKUP(A467,NYSEARCABND!A$2:G$506,4,0)</f>
        <v>81.09</v>
      </c>
      <c r="G467">
        <f>VLOOKUP(A467,NYSEARCATIP!A$2:G$506,4,0)</f>
        <v>114.54</v>
      </c>
      <c r="H467">
        <f>VLOOKUP(A467,NYSEARCAMUB!A$2:G$506,4,0)</f>
        <v>108.87</v>
      </c>
      <c r="I467">
        <f>VLOOKUP(A467,NYSEARCAVNQ!A$2:G$506,4,0)</f>
        <v>80.88</v>
      </c>
      <c r="J467">
        <f>VLOOKUP(A467,NYSEARCARWX!A$2:G$506,4,0)</f>
        <v>37.36</v>
      </c>
      <c r="K467">
        <f>VLOOKUP(A467,NYSEARCADBC!A$2:G$506,4,0)</f>
        <v>14.77</v>
      </c>
      <c r="L467">
        <f>VLOOKUP(A467,NYSEARCAGSG!A$2:G$506,4,0)</f>
        <v>14.24</v>
      </c>
      <c r="M467">
        <f>VLOOKUP(A467,NYSEARCAGLD!A$2:G$506,4,0)</f>
        <v>119.27</v>
      </c>
      <c r="N467">
        <f>VLOOKUP(A467,NYSEBP!A$2:G$506,4,0)</f>
        <v>33.57</v>
      </c>
      <c r="O467">
        <f>VLOOKUP(A467,NASDAQYHOO!A$2:G$506,4,0)</f>
        <v>45.74</v>
      </c>
    </row>
    <row r="468" spans="1:15">
      <c r="A468" s="39">
        <v>42822</v>
      </c>
      <c r="B468">
        <v>69.33</v>
      </c>
      <c r="C468">
        <f>VLOOKUP(A468,NYSEARCAVTI!A$2:G$506,4,0)</f>
        <v>119.78</v>
      </c>
      <c r="D468">
        <f>VLOOKUP(A468,NYSEARCAVEU!A$2:G$506,4,0)</f>
        <v>47.95</v>
      </c>
      <c r="E468">
        <f>VLOOKUP(A468,NYSEARCAVWO!A$2:G$506,4,0)</f>
        <v>40.06</v>
      </c>
      <c r="F468">
        <f>VLOOKUP(A468,NYSEARCABND!A$2:G$506,4,0)</f>
        <v>80.959999999999994</v>
      </c>
      <c r="G468">
        <f>VLOOKUP(A468,NYSEARCATIP!A$2:G$506,4,0)</f>
        <v>114.18</v>
      </c>
      <c r="H468">
        <f>VLOOKUP(A468,NYSEARCAMUB!A$2:G$506,4,0)</f>
        <v>108.86</v>
      </c>
      <c r="I468">
        <f>VLOOKUP(A468,NYSEARCAVNQ!A$2:G$506,4,0)</f>
        <v>80.569999999999993</v>
      </c>
      <c r="J468">
        <f>VLOOKUP(A468,NYSEARCARWX!A$2:G$506,4,0)</f>
        <v>37.299999999999997</v>
      </c>
      <c r="K468">
        <f>VLOOKUP(A468,NYSEARCADBC!A$2:G$506,4,0)</f>
        <v>14.95</v>
      </c>
      <c r="L468">
        <f>VLOOKUP(A468,NYSEARCAGSG!A$2:G$506,4,0)</f>
        <v>14.43</v>
      </c>
      <c r="M468">
        <f>VLOOKUP(A468,NYSEARCAGLD!A$2:G$506,4,0)</f>
        <v>118.78</v>
      </c>
      <c r="N468">
        <f>VLOOKUP(A468,NYSEBP!A$2:G$506,4,0)</f>
        <v>33.71</v>
      </c>
      <c r="O468">
        <f>VLOOKUP(A468,NASDAQYHOO!A$2:G$506,4,0)</f>
        <v>46.24</v>
      </c>
    </row>
    <row r="469" spans="1:15">
      <c r="A469" s="39">
        <v>42823</v>
      </c>
      <c r="B469">
        <v>70.31</v>
      </c>
      <c r="C469">
        <f>VLOOKUP(A469,NYSEARCAVTI!A$2:G$506,4,0)</f>
        <v>120.58</v>
      </c>
      <c r="D469">
        <f>VLOOKUP(A469,NYSEARCAVEU!A$2:G$506,4,0)</f>
        <v>47.94</v>
      </c>
      <c r="E469">
        <f>VLOOKUP(A469,NYSEARCAVWO!A$2:G$506,4,0)</f>
        <v>40.06</v>
      </c>
      <c r="F469">
        <f>VLOOKUP(A469,NYSEARCABND!A$2:G$506,4,0)</f>
        <v>81.02</v>
      </c>
      <c r="G469">
        <f>VLOOKUP(A469,NYSEARCATIP!A$2:G$506,4,0)</f>
        <v>114.39</v>
      </c>
      <c r="H469">
        <f>VLOOKUP(A469,NYSEARCAMUB!A$2:G$506,4,0)</f>
        <v>109.04</v>
      </c>
      <c r="I469">
        <f>VLOOKUP(A469,NYSEARCAVNQ!A$2:G$506,4,0)</f>
        <v>81.209999999999994</v>
      </c>
      <c r="J469">
        <f>VLOOKUP(A469,NYSEARCARWX!A$2:G$506,4,0)</f>
        <v>37.299999999999997</v>
      </c>
      <c r="K469">
        <f>VLOOKUP(A469,NYSEARCADBC!A$2:G$506,4,0)</f>
        <v>15.02</v>
      </c>
      <c r="L469">
        <f>VLOOKUP(A469,NYSEARCAGSG!A$2:G$506,4,0)</f>
        <v>14.51</v>
      </c>
      <c r="M469">
        <f>VLOOKUP(A469,NYSEARCAGLD!A$2:G$506,4,0)</f>
        <v>119.05</v>
      </c>
      <c r="N469">
        <f>VLOOKUP(A469,NYSEBP!A$2:G$506,4,0)</f>
        <v>33.86</v>
      </c>
      <c r="O469">
        <f>VLOOKUP(A469,NASDAQYHOO!A$2:G$506,4,0)</f>
        <v>46.3</v>
      </c>
    </row>
    <row r="470" spans="1:15">
      <c r="A470" s="39">
        <v>42824</v>
      </c>
      <c r="B470">
        <v>70.64</v>
      </c>
      <c r="C470">
        <f>VLOOKUP(A470,NYSEARCAVTI!A$2:G$506,4,0)</f>
        <v>120.99</v>
      </c>
      <c r="D470">
        <f>VLOOKUP(A470,NYSEARCAVEU!A$2:G$506,4,0)</f>
        <v>47.96</v>
      </c>
      <c r="E470">
        <f>VLOOKUP(A470,NYSEARCAVWO!A$2:G$506,4,0)</f>
        <v>40</v>
      </c>
      <c r="F470">
        <f>VLOOKUP(A470,NYSEARCABND!A$2:G$506,4,0)</f>
        <v>80.97</v>
      </c>
      <c r="G470">
        <f>VLOOKUP(A470,NYSEARCATIP!A$2:G$506,4,0)</f>
        <v>114.23</v>
      </c>
      <c r="H470">
        <f>VLOOKUP(A470,NYSEARCAMUB!A$2:G$506,4,0)</f>
        <v>108.91</v>
      </c>
      <c r="I470">
        <f>VLOOKUP(A470,NYSEARCAVNQ!A$2:G$506,4,0)</f>
        <v>81.28</v>
      </c>
      <c r="J470">
        <f>VLOOKUP(A470,NYSEARCARWX!A$2:G$506,4,0)</f>
        <v>37.229999999999997</v>
      </c>
      <c r="K470">
        <f>VLOOKUP(A470,NYSEARCADBC!A$2:G$506,4,0)</f>
        <v>15.12</v>
      </c>
      <c r="L470">
        <f>VLOOKUP(A470,NYSEARCAGSG!A$2:G$506,4,0)</f>
        <v>14.66</v>
      </c>
      <c r="M470">
        <f>VLOOKUP(A470,NYSEARCAGLD!A$2:G$506,4,0)</f>
        <v>118.32</v>
      </c>
      <c r="N470">
        <f>VLOOKUP(A470,NYSEBP!A$2:G$506,4,0)</f>
        <v>34.340000000000003</v>
      </c>
      <c r="O470">
        <f>VLOOKUP(A470,NASDAQYHOO!A$2:G$506,4,0)</f>
        <v>46.6</v>
      </c>
    </row>
    <row r="471" spans="1:15">
      <c r="A471" s="39">
        <v>42825</v>
      </c>
      <c r="B471">
        <v>71.23</v>
      </c>
      <c r="C471">
        <f>VLOOKUP(A471,NYSEARCAVTI!A$2:G$506,4,0)</f>
        <v>121.26</v>
      </c>
      <c r="D471">
        <f>VLOOKUP(A471,NYSEARCAVEU!A$2:G$506,4,0)</f>
        <v>47.72</v>
      </c>
      <c r="E471">
        <f>VLOOKUP(A471,NYSEARCAVWO!A$2:G$506,4,0)</f>
        <v>39.72</v>
      </c>
      <c r="F471">
        <f>VLOOKUP(A471,NYSEARCABND!A$2:G$506,4,0)</f>
        <v>81.010000000000005</v>
      </c>
      <c r="G471">
        <f>VLOOKUP(A471,NYSEARCATIP!A$2:G$506,4,0)</f>
        <v>114.3</v>
      </c>
      <c r="H471">
        <f>VLOOKUP(A471,NYSEARCAMUB!A$2:G$506,4,0)</f>
        <v>108.87</v>
      </c>
      <c r="I471">
        <f>VLOOKUP(A471,NYSEARCAVNQ!A$2:G$506,4,0)</f>
        <v>81.99</v>
      </c>
      <c r="J471">
        <f>VLOOKUP(A471,NYSEARCARWX!A$2:G$506,4,0)</f>
        <v>37.200000000000003</v>
      </c>
      <c r="K471">
        <f>VLOOKUP(A471,NYSEARCADBC!A$2:G$506,4,0)</f>
        <v>15.14</v>
      </c>
      <c r="L471">
        <f>VLOOKUP(A471,NYSEARCAGSG!A$2:G$506,4,0)</f>
        <v>14.67</v>
      </c>
      <c r="M471">
        <f>VLOOKUP(A471,NYSEARCAGLD!A$2:G$506,4,0)</f>
        <v>118.46</v>
      </c>
      <c r="N471">
        <f>VLOOKUP(A471,NYSEBP!A$2:G$506,4,0)</f>
        <v>34.33</v>
      </c>
      <c r="O471">
        <f>VLOOKUP(A471,NASDAQYHOO!A$2:G$506,4,0)</f>
        <v>46.27</v>
      </c>
    </row>
    <row r="472" spans="1:15">
      <c r="A472" s="39">
        <v>42828</v>
      </c>
      <c r="B472">
        <v>71.78</v>
      </c>
      <c r="C472">
        <f>VLOOKUP(A472,NYSEARCAVTI!A$2:G$506,4,0)</f>
        <v>120.33</v>
      </c>
      <c r="D472">
        <f>VLOOKUP(A472,NYSEARCAVEU!A$2:G$506,4,0)</f>
        <v>47.51</v>
      </c>
      <c r="E472">
        <f>VLOOKUP(A472,NYSEARCAVWO!A$2:G$506,4,0)</f>
        <v>39.76</v>
      </c>
      <c r="F472">
        <f>VLOOKUP(A472,NYSEARCABND!A$2:G$506,4,0)</f>
        <v>80.91</v>
      </c>
      <c r="G472">
        <f>VLOOKUP(A472,NYSEARCATIP!A$2:G$506,4,0)</f>
        <v>114.52</v>
      </c>
      <c r="H472">
        <f>VLOOKUP(A472,NYSEARCAMUB!A$2:G$506,4,0)</f>
        <v>108.7</v>
      </c>
      <c r="I472">
        <f>VLOOKUP(A472,NYSEARCAVNQ!A$2:G$506,4,0)</f>
        <v>82.32</v>
      </c>
      <c r="J472">
        <f>VLOOKUP(A472,NYSEARCARWX!A$2:G$506,4,0)</f>
        <v>37.119999999999997</v>
      </c>
      <c r="K472">
        <f>VLOOKUP(A472,NYSEARCADBC!A$2:G$506,4,0)</f>
        <v>15.14</v>
      </c>
      <c r="L472">
        <f>VLOOKUP(A472,NYSEARCAGSG!A$2:G$506,4,0)</f>
        <v>14.66</v>
      </c>
      <c r="M472">
        <f>VLOOKUP(A472,NYSEARCAGLD!A$2:G$506,4,0)</f>
        <v>118.67</v>
      </c>
      <c r="N472">
        <f>VLOOKUP(A472,NYSEBP!A$2:G$506,4,0)</f>
        <v>34.020000000000003</v>
      </c>
      <c r="O472">
        <f>VLOOKUP(A472,NASDAQYHOO!A$2:G$506,4,0)</f>
        <v>46.16</v>
      </c>
    </row>
    <row r="473" spans="1:15">
      <c r="A473" s="39">
        <v>42829</v>
      </c>
      <c r="B473">
        <v>71.53</v>
      </c>
      <c r="C473">
        <f>VLOOKUP(A473,NYSEARCAVTI!A$2:G$506,4,0)</f>
        <v>120.64</v>
      </c>
      <c r="D473">
        <f>VLOOKUP(A473,NYSEARCAVEU!A$2:G$506,4,0)</f>
        <v>47.62</v>
      </c>
      <c r="E473">
        <f>VLOOKUP(A473,NYSEARCAVWO!A$2:G$506,4,0)</f>
        <v>39.92</v>
      </c>
      <c r="F473">
        <f>VLOOKUP(A473,NYSEARCABND!A$2:G$506,4,0)</f>
        <v>81.08</v>
      </c>
      <c r="G473">
        <f>VLOOKUP(A473,NYSEARCATIP!A$2:G$506,4,0)</f>
        <v>114.58</v>
      </c>
      <c r="H473">
        <f>VLOOKUP(A473,NYSEARCAMUB!A$2:G$506,4,0)</f>
        <v>108.84</v>
      </c>
      <c r="I473">
        <f>VLOOKUP(A473,NYSEARCAVNQ!A$2:G$506,4,0)</f>
        <v>82.6</v>
      </c>
      <c r="J473">
        <f>VLOOKUP(A473,NYSEARCARWX!A$2:G$506,4,0)</f>
        <v>37.299999999999997</v>
      </c>
      <c r="K473">
        <f>VLOOKUP(A473,NYSEARCADBC!A$2:G$506,4,0)</f>
        <v>15.15</v>
      </c>
      <c r="L473">
        <f>VLOOKUP(A473,NYSEARCAGSG!A$2:G$506,4,0)</f>
        <v>14.74</v>
      </c>
      <c r="M473">
        <f>VLOOKUP(A473,NYSEARCAGLD!A$2:G$506,4,0)</f>
        <v>119.38</v>
      </c>
      <c r="N473">
        <f>VLOOKUP(A473,NYSEBP!A$2:G$506,4,0)</f>
        <v>34.32</v>
      </c>
      <c r="O473">
        <f>VLOOKUP(A473,NASDAQYHOO!A$2:G$506,4,0)</f>
        <v>46.12</v>
      </c>
    </row>
    <row r="474" spans="1:15">
      <c r="A474" s="39">
        <v>42830</v>
      </c>
      <c r="B474">
        <v>71.56</v>
      </c>
      <c r="C474">
        <f>VLOOKUP(A474,NYSEARCAVTI!A$2:G$506,4,0)</f>
        <v>120.44</v>
      </c>
      <c r="D474">
        <f>VLOOKUP(A474,NYSEARCAVEU!A$2:G$506,4,0)</f>
        <v>47.64</v>
      </c>
      <c r="E474">
        <f>VLOOKUP(A474,NYSEARCAVWO!A$2:G$506,4,0)</f>
        <v>40.020000000000003</v>
      </c>
      <c r="F474">
        <f>VLOOKUP(A474,NYSEARCABND!A$2:G$506,4,0)</f>
        <v>81.02</v>
      </c>
      <c r="G474">
        <f>VLOOKUP(A474,NYSEARCATIP!A$2:G$506,4,0)</f>
        <v>114.56</v>
      </c>
      <c r="H474">
        <f>VLOOKUP(A474,NYSEARCAMUB!A$2:G$506,4,0)</f>
        <v>108.86</v>
      </c>
      <c r="I474">
        <f>VLOOKUP(A474,NYSEARCAVNQ!A$2:G$506,4,0)</f>
        <v>82.82</v>
      </c>
      <c r="J474">
        <f>VLOOKUP(A474,NYSEARCARWX!A$2:G$506,4,0)</f>
        <v>37.380000000000003</v>
      </c>
      <c r="K474">
        <f>VLOOKUP(A474,NYSEARCADBC!A$2:G$506,4,0)</f>
        <v>15.31</v>
      </c>
      <c r="L474">
        <f>VLOOKUP(A474,NYSEARCAGSG!A$2:G$506,4,0)</f>
        <v>14.82</v>
      </c>
      <c r="M474">
        <f>VLOOKUP(A474,NYSEARCAGLD!A$2:G$506,4,0)</f>
        <v>118.4</v>
      </c>
      <c r="N474">
        <f>VLOOKUP(A474,NYSEBP!A$2:G$506,4,0)</f>
        <v>34.57</v>
      </c>
      <c r="O474">
        <f>VLOOKUP(A474,NASDAQYHOO!A$2:G$506,4,0)</f>
        <v>46.24</v>
      </c>
    </row>
    <row r="475" spans="1:15">
      <c r="A475" s="39">
        <v>42831</v>
      </c>
      <c r="B475">
        <v>71.38</v>
      </c>
      <c r="C475">
        <f>VLOOKUP(A475,NYSEARCAVTI!A$2:G$506,4,0)</f>
        <v>120.38</v>
      </c>
      <c r="D475">
        <f>VLOOKUP(A475,NYSEARCAVEU!A$2:G$506,4,0)</f>
        <v>47.56</v>
      </c>
      <c r="E475">
        <f>VLOOKUP(A475,NYSEARCAVWO!A$2:G$506,4,0)</f>
        <v>39.86</v>
      </c>
      <c r="F475">
        <f>VLOOKUP(A475,NYSEARCABND!A$2:G$506,4,0)</f>
        <v>81.06</v>
      </c>
      <c r="G475">
        <f>VLOOKUP(A475,NYSEARCATIP!A$2:G$506,4,0)</f>
        <v>114.58</v>
      </c>
      <c r="H475">
        <f>VLOOKUP(A475,NYSEARCAMUB!A$2:G$506,4,0)</f>
        <v>109</v>
      </c>
      <c r="I475">
        <f>VLOOKUP(A475,NYSEARCAVNQ!A$2:G$506,4,0)</f>
        <v>82.43</v>
      </c>
      <c r="J475">
        <f>VLOOKUP(A475,NYSEARCARWX!A$2:G$506,4,0)</f>
        <v>37.619999999999997</v>
      </c>
      <c r="K475">
        <f>VLOOKUP(A475,NYSEARCADBC!A$2:G$506,4,0)</f>
        <v>15.37</v>
      </c>
      <c r="L475">
        <f>VLOOKUP(A475,NYSEARCAGSG!A$2:G$506,4,0)</f>
        <v>14.91</v>
      </c>
      <c r="M475">
        <f>VLOOKUP(A475,NYSEARCAGLD!A$2:G$506,4,0)</f>
        <v>118.98</v>
      </c>
      <c r="N475">
        <f>VLOOKUP(A475,NYSEBP!A$2:G$506,4,0)</f>
        <v>34.53</v>
      </c>
      <c r="O475">
        <f>VLOOKUP(A475,NASDAQYHOO!A$2:G$506,4,0)</f>
        <v>46.04</v>
      </c>
    </row>
    <row r="476" spans="1:15">
      <c r="A476" s="39">
        <v>42832</v>
      </c>
      <c r="B476">
        <v>71.8</v>
      </c>
      <c r="C476">
        <f>VLOOKUP(A476,NYSEARCAVTI!A$2:G$506,4,0)</f>
        <v>120.59</v>
      </c>
      <c r="D476">
        <f>VLOOKUP(A476,NYSEARCAVEU!A$2:G$506,4,0)</f>
        <v>47.54</v>
      </c>
      <c r="E476">
        <f>VLOOKUP(A476,NYSEARCAVWO!A$2:G$506,4,0)</f>
        <v>39.9</v>
      </c>
      <c r="F476">
        <f>VLOOKUP(A476,NYSEARCABND!A$2:G$506,4,0)</f>
        <v>81.010000000000005</v>
      </c>
      <c r="G476">
        <f>VLOOKUP(A476,NYSEARCATIP!A$2:G$506,4,0)</f>
        <v>114.35</v>
      </c>
      <c r="H476">
        <f>VLOOKUP(A476,NYSEARCAMUB!A$2:G$506,4,0)</f>
        <v>109.1</v>
      </c>
      <c r="I476">
        <f>VLOOKUP(A476,NYSEARCAVNQ!A$2:G$506,4,0)</f>
        <v>83.27</v>
      </c>
      <c r="J476">
        <f>VLOOKUP(A476,NYSEARCARWX!A$2:G$506,4,0)</f>
        <v>37.69</v>
      </c>
      <c r="K476">
        <f>VLOOKUP(A476,NYSEARCADBC!A$2:G$506,4,0)</f>
        <v>15.39</v>
      </c>
      <c r="L476">
        <f>VLOOKUP(A476,NYSEARCAGSG!A$2:G$506,4,0)</f>
        <v>14.94</v>
      </c>
      <c r="M476">
        <f>VLOOKUP(A476,NYSEARCAGLD!A$2:G$506,4,0)</f>
        <v>119.14</v>
      </c>
      <c r="N476">
        <f>VLOOKUP(A476,NYSEBP!A$2:G$506,4,0)</f>
        <v>34.76</v>
      </c>
      <c r="O476">
        <f>VLOOKUP(A476,NASDAQYHOO!A$2:G$506,4,0)</f>
        <v>45.96</v>
      </c>
    </row>
    <row r="477" spans="1:15">
      <c r="A477" s="39">
        <v>42835</v>
      </c>
      <c r="B477">
        <v>72.73</v>
      </c>
      <c r="C477">
        <f>VLOOKUP(A477,NYSEARCAVTI!A$2:G$506,4,0)</f>
        <v>120.7</v>
      </c>
      <c r="D477">
        <f>VLOOKUP(A477,NYSEARCAVEU!A$2:G$506,4,0)</f>
        <v>47.46</v>
      </c>
      <c r="E477">
        <f>VLOOKUP(A477,NYSEARCAVWO!A$2:G$506,4,0)</f>
        <v>39.68</v>
      </c>
      <c r="F477">
        <f>VLOOKUP(A477,NYSEARCABND!A$2:G$506,4,0)</f>
        <v>81.069999999999993</v>
      </c>
      <c r="G477">
        <f>VLOOKUP(A477,NYSEARCATIP!A$2:G$506,4,0)</f>
        <v>114.41</v>
      </c>
      <c r="H477">
        <f>VLOOKUP(A477,NYSEARCAMUB!A$2:G$506,4,0)</f>
        <v>109.14</v>
      </c>
      <c r="I477">
        <f>VLOOKUP(A477,NYSEARCAVNQ!A$2:G$506,4,0)</f>
        <v>83.36</v>
      </c>
      <c r="J477">
        <f>VLOOKUP(A477,NYSEARCARWX!A$2:G$506,4,0)</f>
        <v>37.49</v>
      </c>
      <c r="K477">
        <f>VLOOKUP(A477,NYSEARCADBC!A$2:G$506,4,0)</f>
        <v>15.45</v>
      </c>
      <c r="L477">
        <f>VLOOKUP(A477,NYSEARCAGSG!A$2:G$506,4,0)</f>
        <v>15.07</v>
      </c>
      <c r="M477">
        <f>VLOOKUP(A477,NYSEARCAGLD!A$2:G$506,4,0)</f>
        <v>118.85</v>
      </c>
      <c r="N477">
        <f>VLOOKUP(A477,NYSEBP!A$2:G$506,4,0)</f>
        <v>34.799999999999997</v>
      </c>
      <c r="O477">
        <f>VLOOKUP(A477,NASDAQYHOO!A$2:G$506,4,0)</f>
        <v>46.4</v>
      </c>
    </row>
    <row r="478" spans="1:15">
      <c r="A478" s="39">
        <v>42836</v>
      </c>
      <c r="B478">
        <v>72.930000000000007</v>
      </c>
      <c r="C478">
        <f>VLOOKUP(A478,NYSEARCAVTI!A$2:G$506,4,0)</f>
        <v>120.06</v>
      </c>
      <c r="D478">
        <f>VLOOKUP(A478,NYSEARCAVEU!A$2:G$506,4,0)</f>
        <v>47.36</v>
      </c>
      <c r="E478">
        <f>VLOOKUP(A478,NYSEARCAVWO!A$2:G$506,4,0)</f>
        <v>39.520000000000003</v>
      </c>
      <c r="F478">
        <f>VLOOKUP(A478,NYSEARCABND!A$2:G$506,4,0)</f>
        <v>81.23</v>
      </c>
      <c r="G478">
        <f>VLOOKUP(A478,NYSEARCATIP!A$2:G$506,4,0)</f>
        <v>114.53</v>
      </c>
      <c r="H478">
        <f>VLOOKUP(A478,NYSEARCAMUB!A$2:G$506,4,0)</f>
        <v>109.28</v>
      </c>
      <c r="I478">
        <f>VLOOKUP(A478,NYSEARCAVNQ!A$2:G$506,4,0)</f>
        <v>83.94</v>
      </c>
      <c r="J478">
        <f>VLOOKUP(A478,NYSEARCARWX!A$2:G$506,4,0)</f>
        <v>37.67</v>
      </c>
      <c r="K478">
        <f>VLOOKUP(A478,NYSEARCADBC!A$2:G$506,4,0)</f>
        <v>15.44</v>
      </c>
      <c r="L478">
        <f>VLOOKUP(A478,NYSEARCAGSG!A$2:G$506,4,0)</f>
        <v>15.06</v>
      </c>
      <c r="M478">
        <f>VLOOKUP(A478,NYSEARCAGLD!A$2:G$506,4,0)</f>
        <v>120.29</v>
      </c>
      <c r="N478">
        <f>VLOOKUP(A478,NYSEBP!A$2:G$506,4,0)</f>
        <v>34.92</v>
      </c>
      <c r="O478">
        <f>VLOOKUP(A478,NASDAQYHOO!A$2:G$506,4,0)</f>
        <v>46.42</v>
      </c>
    </row>
    <row r="479" spans="1:15">
      <c r="A479" s="39">
        <v>42837</v>
      </c>
      <c r="B479">
        <v>73.25</v>
      </c>
      <c r="C479">
        <f>VLOOKUP(A479,NYSEARCAVTI!A$2:G$506,4,0)</f>
        <v>120.23</v>
      </c>
      <c r="D479">
        <f>VLOOKUP(A479,NYSEARCAVEU!A$2:G$506,4,0)</f>
        <v>47.51</v>
      </c>
      <c r="E479">
        <f>VLOOKUP(A479,NYSEARCAVWO!A$2:G$506,4,0)</f>
        <v>39.68</v>
      </c>
      <c r="F479">
        <f>VLOOKUP(A479,NYSEARCABND!A$2:G$506,4,0)</f>
        <v>81.33</v>
      </c>
      <c r="G479">
        <f>VLOOKUP(A479,NYSEARCATIP!A$2:G$506,4,0)</f>
        <v>114.75</v>
      </c>
      <c r="H479">
        <f>VLOOKUP(A479,NYSEARCAMUB!A$2:G$506,4,0)</f>
        <v>109.39</v>
      </c>
      <c r="I479">
        <f>VLOOKUP(A479,NYSEARCAVNQ!A$2:G$506,4,0)</f>
        <v>84.31</v>
      </c>
      <c r="J479">
        <f>VLOOKUP(A479,NYSEARCARWX!A$2:G$506,4,0)</f>
        <v>37.92</v>
      </c>
      <c r="K479">
        <f>VLOOKUP(A479,NYSEARCADBC!A$2:G$506,4,0)</f>
        <v>15.52</v>
      </c>
      <c r="L479">
        <f>VLOOKUP(A479,NYSEARCAGSG!A$2:G$506,4,0)</f>
        <v>15.09</v>
      </c>
      <c r="M479">
        <f>VLOOKUP(A479,NYSEARCAGLD!A$2:G$506,4,0)</f>
        <v>121.14</v>
      </c>
      <c r="N479">
        <f>VLOOKUP(A479,NYSEBP!A$2:G$506,4,0)</f>
        <v>35.299999999999997</v>
      </c>
      <c r="O479">
        <f>VLOOKUP(A479,NASDAQYHOO!A$2:G$506,4,0)</f>
        <v>46.67</v>
      </c>
    </row>
    <row r="480" spans="1:15">
      <c r="A480" s="39">
        <v>42838</v>
      </c>
      <c r="B480">
        <v>73.150000000000006</v>
      </c>
      <c r="C480">
        <f>VLOOKUP(A480,NYSEARCAVTI!A$2:G$506,4,0)</f>
        <v>119.55</v>
      </c>
      <c r="D480">
        <f>VLOOKUP(A480,NYSEARCAVEU!A$2:G$506,4,0)</f>
        <v>47.39</v>
      </c>
      <c r="E480">
        <f>VLOOKUP(A480,NYSEARCAVWO!A$2:G$506,4,0)</f>
        <v>39.74</v>
      </c>
      <c r="F480">
        <f>VLOOKUP(A480,NYSEARCABND!A$2:G$506,4,0)</f>
        <v>81.52</v>
      </c>
      <c r="G480">
        <f>VLOOKUP(A480,NYSEARCATIP!A$2:G$506,4,0)</f>
        <v>115.17</v>
      </c>
      <c r="H480">
        <f>VLOOKUP(A480,NYSEARCAMUB!A$2:G$506,4,0)</f>
        <v>109.52</v>
      </c>
      <c r="I480">
        <f>VLOOKUP(A480,NYSEARCAVNQ!A$2:G$506,4,0)</f>
        <v>84.16</v>
      </c>
      <c r="J480">
        <f>VLOOKUP(A480,NYSEARCARWX!A$2:G$506,4,0)</f>
        <v>38.049999999999997</v>
      </c>
      <c r="K480">
        <f>VLOOKUP(A480,NYSEARCADBC!A$2:G$506,4,0)</f>
        <v>15.56</v>
      </c>
      <c r="L480">
        <f>VLOOKUP(A480,NYSEARCAGSG!A$2:G$506,4,0)</f>
        <v>15.13</v>
      </c>
      <c r="M480">
        <f>VLOOKUP(A480,NYSEARCAGLD!A$2:G$506,4,0)</f>
        <v>122.03</v>
      </c>
      <c r="N480">
        <f>VLOOKUP(A480,NYSEBP!A$2:G$506,4,0)</f>
        <v>34.93</v>
      </c>
      <c r="O480">
        <f>VLOOKUP(A480,NASDAQYHOO!A$2:G$506,4,0)</f>
        <v>46.61</v>
      </c>
    </row>
    <row r="481" spans="1:15">
      <c r="A481" s="39">
        <v>42842</v>
      </c>
      <c r="B481">
        <v>73.150000000000006</v>
      </c>
      <c r="C481">
        <f>VLOOKUP(A481,NYSEARCAVTI!A$2:G$506,4,0)</f>
        <v>119.68</v>
      </c>
      <c r="D481">
        <f>VLOOKUP(A481,NYSEARCAVEU!A$2:G$506,4,0)</f>
        <v>47.61</v>
      </c>
      <c r="E481">
        <f>VLOOKUP(A481,NYSEARCAVWO!A$2:G$506,4,0)</f>
        <v>39.82</v>
      </c>
      <c r="F481">
        <f>VLOOKUP(A481,NYSEARCABND!A$2:G$506,4,0)</f>
        <v>81.540000000000006</v>
      </c>
      <c r="G481">
        <f>VLOOKUP(A481,NYSEARCATIP!A$2:G$506,4,0)</f>
        <v>114.86</v>
      </c>
      <c r="H481">
        <f>VLOOKUP(A481,NYSEARCAMUB!A$2:G$506,4,0)</f>
        <v>109.55</v>
      </c>
      <c r="I481">
        <f>VLOOKUP(A481,NYSEARCAVNQ!A$2:G$506,4,0)</f>
        <v>84.31</v>
      </c>
      <c r="J481">
        <f>VLOOKUP(A481,NYSEARCARWX!A$2:G$506,4,0)</f>
        <v>38.42</v>
      </c>
      <c r="K481">
        <f>VLOOKUP(A481,NYSEARCADBC!A$2:G$506,4,0)</f>
        <v>15.52</v>
      </c>
      <c r="L481">
        <f>VLOOKUP(A481,NYSEARCAGSG!A$2:G$506,4,0)</f>
        <v>15.08</v>
      </c>
      <c r="M481">
        <f>VLOOKUP(A481,NYSEARCAGLD!A$2:G$506,4,0)</f>
        <v>121.99</v>
      </c>
      <c r="N481">
        <f>VLOOKUP(A481,NYSEBP!A$2:G$506,4,0)</f>
        <v>34.71</v>
      </c>
      <c r="O481">
        <f>VLOOKUP(A481,NASDAQYHOO!A$2:G$506,4,0)</f>
        <v>46.92</v>
      </c>
    </row>
    <row r="482" spans="1:15">
      <c r="A482" s="39">
        <v>42843</v>
      </c>
      <c r="B482">
        <v>73.48</v>
      </c>
      <c r="C482">
        <f>VLOOKUP(A482,NYSEARCAVTI!A$2:G$506,4,0)</f>
        <v>119.85</v>
      </c>
      <c r="D482">
        <f>VLOOKUP(A482,NYSEARCAVEU!A$2:G$506,4,0)</f>
        <v>47.26</v>
      </c>
      <c r="E482">
        <f>VLOOKUP(A482,NYSEARCAVWO!A$2:G$506,4,0)</f>
        <v>39.53</v>
      </c>
      <c r="F482">
        <f>VLOOKUP(A482,NYSEARCABND!A$2:G$506,4,0)</f>
        <v>81.72</v>
      </c>
      <c r="G482">
        <f>VLOOKUP(A482,NYSEARCATIP!A$2:G$506,4,0)</f>
        <v>115.02</v>
      </c>
      <c r="H482">
        <f>VLOOKUP(A482,NYSEARCAMUB!A$2:G$506,4,0)</f>
        <v>109.74</v>
      </c>
      <c r="I482">
        <f>VLOOKUP(A482,NYSEARCAVNQ!A$2:G$506,4,0)</f>
        <v>85.16</v>
      </c>
      <c r="J482">
        <f>VLOOKUP(A482,NYSEARCARWX!A$2:G$506,4,0)</f>
        <v>38.270000000000003</v>
      </c>
      <c r="K482">
        <f>VLOOKUP(A482,NYSEARCADBC!A$2:G$506,4,0)</f>
        <v>15.35</v>
      </c>
      <c r="L482">
        <f>VLOOKUP(A482,NYSEARCAGSG!A$2:G$506,4,0)</f>
        <v>14.92</v>
      </c>
      <c r="M482">
        <f>VLOOKUP(A482,NYSEARCAGLD!A$2:G$506,4,0)</f>
        <v>121.73</v>
      </c>
      <c r="N482">
        <f>VLOOKUP(A482,NYSEBP!A$2:G$506,4,0)</f>
        <v>34.450000000000003</v>
      </c>
      <c r="O482">
        <f>VLOOKUP(A482,NASDAQYHOO!A$2:G$506,4,0)</f>
        <v>47.14</v>
      </c>
    </row>
    <row r="483" spans="1:15">
      <c r="A483" s="39">
        <v>42844</v>
      </c>
      <c r="B483">
        <v>73.86</v>
      </c>
      <c r="C483">
        <f>VLOOKUP(A483,NYSEARCAVTI!A$2:G$506,4,0)</f>
        <v>120.08</v>
      </c>
      <c r="D483">
        <f>VLOOKUP(A483,NYSEARCAVEU!A$2:G$506,4,0)</f>
        <v>47.18</v>
      </c>
      <c r="E483">
        <f>VLOOKUP(A483,NYSEARCAVWO!A$2:G$506,4,0)</f>
        <v>39.26</v>
      </c>
      <c r="F483">
        <f>VLOOKUP(A483,NYSEARCABND!A$2:G$506,4,0)</f>
        <v>81.72</v>
      </c>
      <c r="G483">
        <f>VLOOKUP(A483,NYSEARCATIP!A$2:G$506,4,0)</f>
        <v>114.9</v>
      </c>
      <c r="H483">
        <f>VLOOKUP(A483,NYSEARCAMUB!A$2:G$506,4,0)</f>
        <v>109.81</v>
      </c>
      <c r="I483">
        <f>VLOOKUP(A483,NYSEARCAVNQ!A$2:G$506,4,0)</f>
        <v>85.25</v>
      </c>
      <c r="J483">
        <f>VLOOKUP(A483,NYSEARCARWX!A$2:G$506,4,0)</f>
        <v>38.119999999999997</v>
      </c>
      <c r="K483">
        <f>VLOOKUP(A483,NYSEARCADBC!A$2:G$506,4,0)</f>
        <v>15.13</v>
      </c>
      <c r="L483">
        <f>VLOOKUP(A483,NYSEARCAGSG!A$2:G$506,4,0)</f>
        <v>14.63</v>
      </c>
      <c r="M483">
        <f>VLOOKUP(A483,NYSEARCAGLD!A$2:G$506,4,0)</f>
        <v>121.28</v>
      </c>
      <c r="N483">
        <f>VLOOKUP(A483,NYSEBP!A$2:G$506,4,0)</f>
        <v>34.049999999999997</v>
      </c>
      <c r="O483">
        <f>VLOOKUP(A483,NASDAQYHOO!A$2:G$506,4,0)</f>
        <v>46.92</v>
      </c>
    </row>
    <row r="484" spans="1:15">
      <c r="A484" s="39">
        <v>42845</v>
      </c>
      <c r="B484">
        <v>74.11</v>
      </c>
      <c r="C484">
        <f>VLOOKUP(A484,NYSEARCAVTI!A$2:G$506,4,0)</f>
        <v>120.37</v>
      </c>
      <c r="D484">
        <f>VLOOKUP(A484,NYSEARCAVEU!A$2:G$506,4,0)</f>
        <v>47.6</v>
      </c>
      <c r="E484">
        <f>VLOOKUP(A484,NYSEARCAVWO!A$2:G$506,4,0)</f>
        <v>39.57</v>
      </c>
      <c r="F484">
        <f>VLOOKUP(A484,NYSEARCABND!A$2:G$506,4,0)</f>
        <v>81.58</v>
      </c>
      <c r="G484">
        <f>VLOOKUP(A484,NYSEARCATIP!A$2:G$506,4,0)</f>
        <v>114.78</v>
      </c>
      <c r="H484">
        <f>VLOOKUP(A484,NYSEARCAMUB!A$2:G$506,4,0)</f>
        <v>109.7</v>
      </c>
      <c r="I484">
        <f>VLOOKUP(A484,NYSEARCAVNQ!A$2:G$506,4,0)</f>
        <v>84.8</v>
      </c>
      <c r="J484">
        <f>VLOOKUP(A484,NYSEARCARWX!A$2:G$506,4,0)</f>
        <v>38.28</v>
      </c>
      <c r="K484">
        <f>VLOOKUP(A484,NYSEARCADBC!A$2:G$506,4,0)</f>
        <v>15.11</v>
      </c>
      <c r="L484">
        <f>VLOOKUP(A484,NYSEARCAGSG!A$2:G$506,4,0)</f>
        <v>14.61</v>
      </c>
      <c r="M484">
        <f>VLOOKUP(A484,NYSEARCAGLD!A$2:G$506,4,0)</f>
        <v>121.5</v>
      </c>
      <c r="N484">
        <f>VLOOKUP(A484,NYSEBP!A$2:G$506,4,0)</f>
        <v>34.14</v>
      </c>
      <c r="O484">
        <f>VLOOKUP(A484,NASDAQYHOO!A$2:G$506,4,0)</f>
        <v>47.07</v>
      </c>
    </row>
    <row r="485" spans="1:15">
      <c r="A485" s="39">
        <v>42846</v>
      </c>
      <c r="B485">
        <v>74.599999999999994</v>
      </c>
      <c r="C485">
        <f>VLOOKUP(A485,NYSEARCAVTI!A$2:G$506,4,0)</f>
        <v>120.61</v>
      </c>
      <c r="D485">
        <f>VLOOKUP(A485,NYSEARCAVEU!A$2:G$506,4,0)</f>
        <v>47.56</v>
      </c>
      <c r="E485">
        <f>VLOOKUP(A485,NYSEARCAVWO!A$2:G$506,4,0)</f>
        <v>39.619999999999997</v>
      </c>
      <c r="F485">
        <f>VLOOKUP(A485,NYSEARCABND!A$2:G$506,4,0)</f>
        <v>81.66</v>
      </c>
      <c r="G485">
        <f>VLOOKUP(A485,NYSEARCATIP!A$2:G$506,4,0)</f>
        <v>114.67</v>
      </c>
      <c r="H485">
        <f>VLOOKUP(A485,NYSEARCAMUB!A$2:G$506,4,0)</f>
        <v>108.98</v>
      </c>
      <c r="I485">
        <f>VLOOKUP(A485,NYSEARCAVNQ!A$2:G$506,4,0)</f>
        <v>84.96</v>
      </c>
      <c r="J485">
        <f>VLOOKUP(A485,NYSEARCARWX!A$2:G$506,4,0)</f>
        <v>38.08</v>
      </c>
      <c r="K485">
        <f>VLOOKUP(A485,NYSEARCADBC!A$2:G$506,4,0)</f>
        <v>14.95</v>
      </c>
      <c r="L485">
        <f>VLOOKUP(A485,NYSEARCAGSG!A$2:G$506,4,0)</f>
        <v>14.42</v>
      </c>
      <c r="M485">
        <f>VLOOKUP(A485,NYSEARCAGLD!A$2:G$506,4,0)</f>
        <v>121.73</v>
      </c>
      <c r="N485">
        <f>VLOOKUP(A485,NYSEBP!A$2:G$506,4,0)</f>
        <v>33.83</v>
      </c>
      <c r="O485">
        <f>VLOOKUP(A485,NASDAQYHOO!A$2:G$506,4,0)</f>
        <v>47.37</v>
      </c>
    </row>
    <row r="486" spans="1:15">
      <c r="A486" s="39">
        <v>42849</v>
      </c>
      <c r="B486">
        <v>74.42</v>
      </c>
      <c r="C486">
        <f>VLOOKUP(A486,NYSEARCAVTI!A$2:G$506,4,0)</f>
        <v>121.88</v>
      </c>
      <c r="D486">
        <f>VLOOKUP(A486,NYSEARCAVEU!A$2:G$506,4,0)</f>
        <v>48.54</v>
      </c>
      <c r="E486">
        <f>VLOOKUP(A486,NYSEARCAVWO!A$2:G$506,4,0)</f>
        <v>40.1</v>
      </c>
      <c r="F486">
        <f>VLOOKUP(A486,NYSEARCABND!A$2:G$506,4,0)</f>
        <v>81.430000000000007</v>
      </c>
      <c r="G486">
        <f>VLOOKUP(A486,NYSEARCATIP!A$2:G$506,4,0)</f>
        <v>114.57</v>
      </c>
      <c r="H486">
        <f>VLOOKUP(A486,NYSEARCAMUB!A$2:G$506,4,0)</f>
        <v>109.42</v>
      </c>
      <c r="I486">
        <f>VLOOKUP(A486,NYSEARCAVNQ!A$2:G$506,4,0)</f>
        <v>83.39</v>
      </c>
      <c r="J486">
        <f>VLOOKUP(A486,NYSEARCARWX!A$2:G$506,4,0)</f>
        <v>38.26</v>
      </c>
      <c r="K486">
        <f>VLOOKUP(A486,NYSEARCADBC!A$2:G$506,4,0)</f>
        <v>14.89</v>
      </c>
      <c r="L486">
        <f>VLOOKUP(A486,NYSEARCAGSG!A$2:G$506,4,0)</f>
        <v>14.36</v>
      </c>
      <c r="M486">
        <f>VLOOKUP(A486,NYSEARCAGLD!A$2:G$506,4,0)</f>
        <v>120.66</v>
      </c>
      <c r="N486">
        <f>VLOOKUP(A486,NYSEBP!A$2:G$506,4,0)</f>
        <v>34.32</v>
      </c>
      <c r="O486">
        <f>VLOOKUP(A486,NASDAQYHOO!A$2:G$506,4,0)</f>
        <v>47.75</v>
      </c>
    </row>
    <row r="487" spans="1:15">
      <c r="A487" s="39">
        <v>42850</v>
      </c>
      <c r="B487">
        <v>74.86</v>
      </c>
      <c r="C487">
        <f>VLOOKUP(A487,NYSEARCAVTI!A$2:G$506,4,0)</f>
        <v>122.52</v>
      </c>
      <c r="D487">
        <f>VLOOKUP(A487,NYSEARCAVEU!A$2:G$506,4,0)</f>
        <v>48.87</v>
      </c>
      <c r="E487">
        <f>VLOOKUP(A487,NYSEARCAVWO!A$2:G$506,4,0)</f>
        <v>40.340000000000003</v>
      </c>
      <c r="F487">
        <f>VLOOKUP(A487,NYSEARCABND!A$2:G$506,4,0)</f>
        <v>81.27</v>
      </c>
      <c r="G487">
        <f>VLOOKUP(A487,NYSEARCATIP!A$2:G$506,4,0)</f>
        <v>114.46</v>
      </c>
      <c r="H487">
        <f>VLOOKUP(A487,NYSEARCAMUB!A$2:G$506,4,0)</f>
        <v>109.2</v>
      </c>
      <c r="I487">
        <f>VLOOKUP(A487,NYSEARCAVNQ!A$2:G$506,4,0)</f>
        <v>84.02</v>
      </c>
      <c r="J487">
        <f>VLOOKUP(A487,NYSEARCARWX!A$2:G$506,4,0)</f>
        <v>38.46</v>
      </c>
      <c r="K487">
        <f>VLOOKUP(A487,NYSEARCADBC!A$2:G$506,4,0)</f>
        <v>14.86</v>
      </c>
      <c r="L487">
        <f>VLOOKUP(A487,NYSEARCAGSG!A$2:G$506,4,0)</f>
        <v>14.34</v>
      </c>
      <c r="M487">
        <f>VLOOKUP(A487,NYSEARCAGLD!A$2:G$506,4,0)</f>
        <v>120.05</v>
      </c>
      <c r="N487">
        <f>VLOOKUP(A487,NYSEBP!A$2:G$506,4,0)</f>
        <v>34.49</v>
      </c>
      <c r="O487">
        <f>VLOOKUP(A487,NASDAQYHOO!A$2:G$506,4,0)</f>
        <v>48.16</v>
      </c>
    </row>
    <row r="488" spans="1:15">
      <c r="A488" s="39">
        <v>42851</v>
      </c>
      <c r="B488">
        <v>75.17</v>
      </c>
      <c r="C488">
        <f>VLOOKUP(A488,NYSEARCAVTI!A$2:G$506,4,0)</f>
        <v>122.85</v>
      </c>
      <c r="D488">
        <f>VLOOKUP(A488,NYSEARCAVEU!A$2:G$506,4,0)</f>
        <v>48.85</v>
      </c>
      <c r="E488">
        <f>VLOOKUP(A488,NYSEARCAVWO!A$2:G$506,4,0)</f>
        <v>40.26</v>
      </c>
      <c r="F488">
        <f>VLOOKUP(A488,NYSEARCABND!A$2:G$506,4,0)</f>
        <v>81.260000000000005</v>
      </c>
      <c r="G488">
        <f>VLOOKUP(A488,NYSEARCATIP!A$2:G$506,4,0)</f>
        <v>114.51</v>
      </c>
      <c r="H488">
        <f>VLOOKUP(A488,NYSEARCAMUB!A$2:G$506,4,0)</f>
        <v>109.24</v>
      </c>
      <c r="I488">
        <f>VLOOKUP(A488,NYSEARCAVNQ!A$2:G$506,4,0)</f>
        <v>83.67</v>
      </c>
      <c r="J488">
        <f>VLOOKUP(A488,NYSEARCARWX!A$2:G$506,4,0)</f>
        <v>38.299999999999997</v>
      </c>
      <c r="K488">
        <f>VLOOKUP(A488,NYSEARCADBC!A$2:G$506,4,0)</f>
        <v>14.9</v>
      </c>
      <c r="L488">
        <f>VLOOKUP(A488,NYSEARCAGSG!A$2:G$506,4,0)</f>
        <v>14.38</v>
      </c>
      <c r="M488">
        <f>VLOOKUP(A488,NYSEARCAGLD!A$2:G$506,4,0)</f>
        <v>119.87</v>
      </c>
      <c r="N488">
        <f>VLOOKUP(A488,NYSEBP!A$2:G$506,4,0)</f>
        <v>34.520000000000003</v>
      </c>
      <c r="O488">
        <f>VLOOKUP(A488,NASDAQYHOO!A$2:G$506,4,0)</f>
        <v>48.17</v>
      </c>
    </row>
    <row r="489" spans="1:15">
      <c r="A489" s="39">
        <v>42852</v>
      </c>
      <c r="B489">
        <v>75.02</v>
      </c>
      <c r="C489">
        <f>VLOOKUP(A489,NYSEARCAVTI!A$2:G$506,4,0)</f>
        <v>122.69</v>
      </c>
      <c r="D489">
        <f>VLOOKUP(A489,NYSEARCAVEU!A$2:G$506,4,0)</f>
        <v>48.72</v>
      </c>
      <c r="E489">
        <f>VLOOKUP(A489,NYSEARCAVWO!A$2:G$506,4,0)</f>
        <v>40.07</v>
      </c>
      <c r="F489">
        <f>VLOOKUP(A489,NYSEARCABND!A$2:G$506,4,0)</f>
        <v>81.37</v>
      </c>
      <c r="G489">
        <f>VLOOKUP(A489,NYSEARCATIP!A$2:G$506,4,0)</f>
        <v>114.64</v>
      </c>
      <c r="H489">
        <f>VLOOKUP(A489,NYSEARCAMUB!A$2:G$506,4,0)</f>
        <v>109.3</v>
      </c>
      <c r="I489">
        <f>VLOOKUP(A489,NYSEARCAVNQ!A$2:G$506,4,0)</f>
        <v>83.5</v>
      </c>
      <c r="J489">
        <f>VLOOKUP(A489,NYSEARCARWX!A$2:G$506,4,0)</f>
        <v>38.25</v>
      </c>
      <c r="K489">
        <f>VLOOKUP(A489,NYSEARCADBC!A$2:G$506,4,0)</f>
        <v>14.71</v>
      </c>
      <c r="L489">
        <f>VLOOKUP(A489,NYSEARCAGSG!A$2:G$506,4,0)</f>
        <v>14.25</v>
      </c>
      <c r="M489">
        <f>VLOOKUP(A489,NYSEARCAGLD!A$2:G$506,4,0)</f>
        <v>119.97</v>
      </c>
      <c r="N489">
        <f>VLOOKUP(A489,NYSEBP!A$2:G$506,4,0)</f>
        <v>34.1</v>
      </c>
      <c r="O489">
        <f>VLOOKUP(A489,NASDAQYHOO!A$2:G$506,4,0)</f>
        <v>48.02</v>
      </c>
    </row>
    <row r="490" spans="1:15">
      <c r="A490" s="39">
        <v>42853</v>
      </c>
      <c r="B490">
        <v>74.930000000000007</v>
      </c>
      <c r="C490">
        <f>VLOOKUP(A490,NYSEARCAVTI!A$2:G$506,4,0)</f>
        <v>122.55</v>
      </c>
      <c r="D490">
        <f>VLOOKUP(A490,NYSEARCAVEU!A$2:G$506,4,0)</f>
        <v>48.8</v>
      </c>
      <c r="E490">
        <f>VLOOKUP(A490,NYSEARCAVWO!A$2:G$506,4,0)</f>
        <v>40.200000000000003</v>
      </c>
      <c r="F490">
        <f>VLOOKUP(A490,NYSEARCABND!A$2:G$506,4,0)</f>
        <v>81.36</v>
      </c>
      <c r="G490">
        <f>VLOOKUP(A490,NYSEARCATIP!A$2:G$506,4,0)</f>
        <v>114.76</v>
      </c>
      <c r="H490">
        <f>VLOOKUP(A490,NYSEARCAMUB!A$2:G$506,4,0)</f>
        <v>109.25</v>
      </c>
      <c r="I490">
        <f>VLOOKUP(A490,NYSEARCAVNQ!A$2:G$506,4,0)</f>
        <v>82.49</v>
      </c>
      <c r="J490">
        <f>VLOOKUP(A490,NYSEARCARWX!A$2:G$506,4,0)</f>
        <v>38.1</v>
      </c>
      <c r="K490">
        <f>VLOOKUP(A490,NYSEARCADBC!A$2:G$506,4,0)</f>
        <v>14.78</v>
      </c>
      <c r="L490">
        <f>VLOOKUP(A490,NYSEARCAGSG!A$2:G$506,4,0)</f>
        <v>14.38</v>
      </c>
      <c r="M490">
        <f>VLOOKUP(A490,NYSEARCAGLD!A$2:G$506,4,0)</f>
        <v>120.27</v>
      </c>
      <c r="N490">
        <f>VLOOKUP(A490,NYSEBP!A$2:G$506,4,0)</f>
        <v>34.26</v>
      </c>
      <c r="O490">
        <f>VLOOKUP(A490,NASDAQYHOO!A$2:G$506,4,0)</f>
        <v>48.16</v>
      </c>
    </row>
    <row r="491" spans="1:15">
      <c r="A491" s="39">
        <v>42856</v>
      </c>
      <c r="B491">
        <v>75.09</v>
      </c>
      <c r="C491">
        <f>VLOOKUP(A491,NYSEARCAVTI!A$2:G$506,4,0)</f>
        <v>122.62</v>
      </c>
      <c r="D491">
        <f>VLOOKUP(A491,NYSEARCAVEU!A$2:G$506,4,0)</f>
        <v>48.93</v>
      </c>
      <c r="E491">
        <f>VLOOKUP(A491,NYSEARCAVWO!A$2:G$506,4,0)</f>
        <v>40.39</v>
      </c>
      <c r="F491">
        <f>VLOOKUP(A491,NYSEARCABND!A$2:G$506,4,0)</f>
        <v>81.14</v>
      </c>
      <c r="G491">
        <f>VLOOKUP(A491,NYSEARCATIP!A$2:G$506,4,0)</f>
        <v>114.21</v>
      </c>
      <c r="H491">
        <f>VLOOKUP(A491,NYSEARCAMUB!A$2:G$506,4,0)</f>
        <v>108.91</v>
      </c>
      <c r="I491">
        <f>VLOOKUP(A491,NYSEARCAVNQ!A$2:G$506,4,0)</f>
        <v>82.46</v>
      </c>
      <c r="J491">
        <f>VLOOKUP(A491,NYSEARCARWX!A$2:G$506,4,0)</f>
        <v>38.18</v>
      </c>
      <c r="K491">
        <f>VLOOKUP(A491,NYSEARCADBC!A$2:G$506,4,0)</f>
        <v>14.8</v>
      </c>
      <c r="L491">
        <f>VLOOKUP(A491,NYSEARCAGSG!A$2:G$506,4,0)</f>
        <v>14.41</v>
      </c>
      <c r="M491">
        <f>VLOOKUP(A491,NYSEARCAGLD!A$2:G$506,4,0)</f>
        <v>119.35</v>
      </c>
      <c r="N491">
        <f>VLOOKUP(A491,NYSEBP!A$2:G$506,4,0)</f>
        <v>34.26</v>
      </c>
      <c r="O491">
        <f>VLOOKUP(A491,NASDAQYHOO!A$2:G$506,4,0)</f>
        <v>48.12</v>
      </c>
    </row>
    <row r="492" spans="1:15">
      <c r="A492" s="39">
        <v>42857</v>
      </c>
      <c r="B492">
        <v>75.25</v>
      </c>
      <c r="C492">
        <f>VLOOKUP(A492,NYSEARCAVTI!A$2:G$506,4,0)</f>
        <v>122.7</v>
      </c>
      <c r="D492">
        <f>VLOOKUP(A492,NYSEARCAVEU!A$2:G$506,4,0)</f>
        <v>49.11</v>
      </c>
      <c r="E492">
        <f>VLOOKUP(A492,NYSEARCAVWO!A$2:G$506,4,0)</f>
        <v>40.57</v>
      </c>
      <c r="F492">
        <f>VLOOKUP(A492,NYSEARCABND!A$2:G$506,4,0)</f>
        <v>81.2</v>
      </c>
      <c r="G492">
        <f>VLOOKUP(A492,NYSEARCATIP!A$2:G$506,4,0)</f>
        <v>114.25</v>
      </c>
      <c r="H492">
        <f>VLOOKUP(A492,NYSEARCAMUB!A$2:G$506,4,0)</f>
        <v>108.95</v>
      </c>
      <c r="I492">
        <f>VLOOKUP(A492,NYSEARCAVNQ!A$2:G$506,4,0)</f>
        <v>82.83</v>
      </c>
      <c r="J492">
        <f>VLOOKUP(A492,NYSEARCARWX!A$2:G$506,4,0)</f>
        <v>38.49</v>
      </c>
      <c r="K492">
        <f>VLOOKUP(A492,NYSEARCADBC!A$2:G$506,4,0)</f>
        <v>14.63</v>
      </c>
      <c r="L492">
        <f>VLOOKUP(A492,NYSEARCAGSG!A$2:G$506,4,0)</f>
        <v>14.25</v>
      </c>
      <c r="M492">
        <f>VLOOKUP(A492,NYSEARCAGLD!A$2:G$506,4,0)</f>
        <v>119.24</v>
      </c>
      <c r="N492">
        <f>VLOOKUP(A492,NYSEBP!A$2:G$506,4,0)</f>
        <v>34.67</v>
      </c>
      <c r="O492">
        <f>VLOOKUP(A492,NASDAQYHOO!A$2:G$506,4,0)</f>
        <v>48.72</v>
      </c>
    </row>
    <row r="493" spans="1:15">
      <c r="A493" s="39">
        <v>42858</v>
      </c>
      <c r="B493">
        <v>75.180000000000007</v>
      </c>
      <c r="C493">
        <f>VLOOKUP(A493,NYSEARCAVTI!A$2:G$506,4,0)</f>
        <v>122.28</v>
      </c>
      <c r="D493">
        <f>VLOOKUP(A493,NYSEARCAVEU!A$2:G$506,4,0)</f>
        <v>49.01</v>
      </c>
      <c r="E493">
        <f>VLOOKUP(A493,NYSEARCAVWO!A$2:G$506,4,0)</f>
        <v>40.36</v>
      </c>
      <c r="F493">
        <f>VLOOKUP(A493,NYSEARCABND!A$2:G$506,4,0)</f>
        <v>81.22</v>
      </c>
      <c r="G493">
        <f>VLOOKUP(A493,NYSEARCATIP!A$2:G$506,4,0)</f>
        <v>113.96</v>
      </c>
      <c r="H493">
        <f>VLOOKUP(A493,NYSEARCAMUB!A$2:G$506,4,0)</f>
        <v>109.11</v>
      </c>
      <c r="I493">
        <f>VLOOKUP(A493,NYSEARCAVNQ!A$2:G$506,4,0)</f>
        <v>81.760000000000005</v>
      </c>
      <c r="J493">
        <f>VLOOKUP(A493,NYSEARCARWX!A$2:G$506,4,0)</f>
        <v>38.39</v>
      </c>
      <c r="K493">
        <f>VLOOKUP(A493,NYSEARCADBC!A$2:G$506,4,0)</f>
        <v>14.57</v>
      </c>
      <c r="L493">
        <f>VLOOKUP(A493,NYSEARCAGSG!A$2:G$506,4,0)</f>
        <v>14.24</v>
      </c>
      <c r="M493">
        <f>VLOOKUP(A493,NYSEARCAGLD!A$2:G$506,4,0)</f>
        <v>117.92</v>
      </c>
      <c r="N493">
        <f>VLOOKUP(A493,NYSEBP!A$2:G$506,4,0)</f>
        <v>34.44</v>
      </c>
      <c r="O493">
        <f>VLOOKUP(A493,NASDAQYHOO!A$2:G$506,4,0)</f>
        <v>48.17</v>
      </c>
    </row>
    <row r="494" spans="1:15">
      <c r="A494" s="39">
        <v>42859</v>
      </c>
      <c r="B494">
        <v>75.83</v>
      </c>
      <c r="C494">
        <f>VLOOKUP(A494,NYSEARCAVTI!A$2:G$506,4,0)</f>
        <v>122.16</v>
      </c>
      <c r="D494">
        <f>VLOOKUP(A494,NYSEARCAVEU!A$2:G$506,4,0)</f>
        <v>49.1</v>
      </c>
      <c r="E494">
        <f>VLOOKUP(A494,NYSEARCAVWO!A$2:G$506,4,0)</f>
        <v>39.94</v>
      </c>
      <c r="F494">
        <f>VLOOKUP(A494,NYSEARCABND!A$2:G$506,4,0)</f>
        <v>81.09</v>
      </c>
      <c r="G494">
        <f>VLOOKUP(A494,NYSEARCATIP!A$2:G$506,4,0)</f>
        <v>113.41</v>
      </c>
      <c r="H494">
        <f>VLOOKUP(A494,NYSEARCAMUB!A$2:G$506,4,0)</f>
        <v>109.05</v>
      </c>
      <c r="I494">
        <f>VLOOKUP(A494,NYSEARCAVNQ!A$2:G$506,4,0)</f>
        <v>80.7</v>
      </c>
      <c r="J494">
        <f>VLOOKUP(A494,NYSEARCARWX!A$2:G$506,4,0)</f>
        <v>38.26</v>
      </c>
      <c r="K494">
        <f>VLOOKUP(A494,NYSEARCADBC!A$2:G$506,4,0)</f>
        <v>14.24</v>
      </c>
      <c r="L494">
        <f>VLOOKUP(A494,NYSEARCAGSG!A$2:G$506,4,0)</f>
        <v>13.83</v>
      </c>
      <c r="M494">
        <f>VLOOKUP(A494,NYSEARCAGLD!A$2:G$506,4,0)</f>
        <v>116.63</v>
      </c>
      <c r="N494">
        <f>VLOOKUP(A494,NYSEBP!A$2:G$506,4,0)</f>
        <v>34.21</v>
      </c>
      <c r="O494">
        <f>VLOOKUP(A494,NASDAQYHOO!A$2:G$506,4,0)</f>
        <v>48.16</v>
      </c>
    </row>
    <row r="495" spans="1:15">
      <c r="A495" s="39">
        <v>42860</v>
      </c>
      <c r="B495">
        <v>76.180000000000007</v>
      </c>
      <c r="C495">
        <f>VLOOKUP(A495,NYSEARCAVTI!A$2:G$506,4,0)</f>
        <v>122.68</v>
      </c>
      <c r="D495">
        <f>VLOOKUP(A495,NYSEARCAVEU!A$2:G$506,4,0)</f>
        <v>49.3</v>
      </c>
      <c r="E495">
        <f>VLOOKUP(A495,NYSEARCAVWO!A$2:G$506,4,0)</f>
        <v>39.9</v>
      </c>
      <c r="F495">
        <f>VLOOKUP(A495,NYSEARCABND!A$2:G$506,4,0)</f>
        <v>81.099999999999994</v>
      </c>
      <c r="G495">
        <f>VLOOKUP(A495,NYSEARCATIP!A$2:G$506,4,0)</f>
        <v>113.54</v>
      </c>
      <c r="H495">
        <f>VLOOKUP(A495,NYSEARCAMUB!A$2:G$506,4,0)</f>
        <v>109.14</v>
      </c>
      <c r="I495">
        <f>VLOOKUP(A495,NYSEARCAVNQ!A$2:G$506,4,0)</f>
        <v>81.77</v>
      </c>
      <c r="J495">
        <f>VLOOKUP(A495,NYSEARCARWX!A$2:G$506,4,0)</f>
        <v>38.299999999999997</v>
      </c>
      <c r="K495">
        <f>VLOOKUP(A495,NYSEARCADBC!A$2:G$506,4,0)</f>
        <v>14.31</v>
      </c>
      <c r="L495">
        <f>VLOOKUP(A495,NYSEARCAGSG!A$2:G$506,4,0)</f>
        <v>13.92</v>
      </c>
      <c r="M495">
        <f>VLOOKUP(A495,NYSEARCAGLD!A$2:G$506,4,0)</f>
        <v>116.68</v>
      </c>
      <c r="N495">
        <f>VLOOKUP(A495,NYSEBP!A$2:G$506,4,0)</f>
        <v>34.619999999999997</v>
      </c>
      <c r="O495">
        <f>VLOOKUP(A495,NASDAQYHOO!A$2:G$506,4,0)</f>
        <v>48.27</v>
      </c>
    </row>
    <row r="496" spans="1:15">
      <c r="A496" s="39">
        <v>42863</v>
      </c>
      <c r="B496">
        <v>76.069999999999993</v>
      </c>
      <c r="C496">
        <f>VLOOKUP(A496,NYSEARCAVTI!A$2:G$506,4,0)</f>
        <v>122.9</v>
      </c>
      <c r="D496">
        <f>VLOOKUP(A496,NYSEARCAVEU!A$2:G$506,4,0)</f>
        <v>49.47</v>
      </c>
      <c r="E496">
        <f>VLOOKUP(A496,NYSEARCAVWO!A$2:G$506,4,0)</f>
        <v>39.96</v>
      </c>
      <c r="F496">
        <f>VLOOKUP(A496,NYSEARCABND!A$2:G$506,4,0)</f>
        <v>81.06</v>
      </c>
      <c r="G496">
        <f>VLOOKUP(A496,NYSEARCATIP!A$2:G$506,4,0)</f>
        <v>113.24</v>
      </c>
      <c r="H496">
        <f>VLOOKUP(A496,NYSEARCAMUB!A$2:G$506,4,0)</f>
        <v>109.14</v>
      </c>
      <c r="I496">
        <f>VLOOKUP(A496,NYSEARCAVNQ!A$2:G$506,4,0)</f>
        <v>81.36</v>
      </c>
      <c r="J496">
        <f>VLOOKUP(A496,NYSEARCARWX!A$2:G$506,4,0)</f>
        <v>38.479999999999997</v>
      </c>
      <c r="K496">
        <f>VLOOKUP(A496,NYSEARCADBC!A$2:G$506,4,0)</f>
        <v>14.32</v>
      </c>
      <c r="L496">
        <f>VLOOKUP(A496,NYSEARCAGSG!A$2:G$506,4,0)</f>
        <v>13.9</v>
      </c>
      <c r="M496">
        <f>VLOOKUP(A496,NYSEARCAGLD!A$2:G$506,4,0)</f>
        <v>116.68</v>
      </c>
      <c r="N496">
        <f>VLOOKUP(A496,NYSEBP!A$2:G$506,4,0)</f>
        <v>35.17</v>
      </c>
      <c r="O496">
        <f>VLOOKUP(A496,NASDAQYHOO!A$2:G$506,4,0)</f>
        <v>48.51</v>
      </c>
    </row>
    <row r="497" spans="1:15">
      <c r="A497" s="39">
        <v>42864</v>
      </c>
      <c r="B497">
        <v>76.33</v>
      </c>
      <c r="C497">
        <f>VLOOKUP(A497,NYSEARCAVTI!A$2:G$506,4,0)</f>
        <v>122.85</v>
      </c>
      <c r="D497">
        <f>VLOOKUP(A497,NYSEARCAVEU!A$2:G$506,4,0)</f>
        <v>49.45</v>
      </c>
      <c r="E497">
        <f>VLOOKUP(A497,NYSEARCAVWO!A$2:G$506,4,0)</f>
        <v>40.25</v>
      </c>
      <c r="F497">
        <f>VLOOKUP(A497,NYSEARCABND!A$2:G$506,4,0)</f>
        <v>81</v>
      </c>
      <c r="G497">
        <f>VLOOKUP(A497,NYSEARCATIP!A$2:G$506,4,0)</f>
        <v>113.14</v>
      </c>
      <c r="H497">
        <f>VLOOKUP(A497,NYSEARCAMUB!A$2:G$506,4,0)</f>
        <v>109.11</v>
      </c>
      <c r="I497">
        <f>VLOOKUP(A497,NYSEARCAVNQ!A$2:G$506,4,0)</f>
        <v>81.06</v>
      </c>
      <c r="J497">
        <f>VLOOKUP(A497,NYSEARCARWX!A$2:G$506,4,0)</f>
        <v>38.47</v>
      </c>
      <c r="K497">
        <f>VLOOKUP(A497,NYSEARCADBC!A$2:G$506,4,0)</f>
        <v>14.31</v>
      </c>
      <c r="L497">
        <f>VLOOKUP(A497,NYSEARCAGSG!A$2:G$506,4,0)</f>
        <v>13.89</v>
      </c>
      <c r="M497">
        <f>VLOOKUP(A497,NYSEARCAGLD!A$2:G$506,4,0)</f>
        <v>115.56</v>
      </c>
      <c r="N497">
        <f>VLOOKUP(A497,NYSEBP!A$2:G$506,4,0)</f>
        <v>35.26</v>
      </c>
      <c r="O497">
        <f>VLOOKUP(A497,NASDAQYHOO!A$2:G$506,4,0)</f>
        <v>48.94</v>
      </c>
    </row>
    <row r="498" spans="1:15">
      <c r="A498" s="39">
        <v>42865</v>
      </c>
      <c r="B498">
        <v>76.19</v>
      </c>
      <c r="C498">
        <f>VLOOKUP(A498,NYSEARCAVTI!A$2:G$506,4,0)</f>
        <v>122.93</v>
      </c>
      <c r="D498">
        <f>VLOOKUP(A498,NYSEARCAVEU!A$2:G$506,4,0)</f>
        <v>49.53</v>
      </c>
      <c r="E498">
        <f>VLOOKUP(A498,NYSEARCAVWO!A$2:G$506,4,0)</f>
        <v>40.590000000000003</v>
      </c>
      <c r="F498">
        <f>VLOOKUP(A498,NYSEARCABND!A$2:G$506,4,0)</f>
        <v>81.010000000000005</v>
      </c>
      <c r="G498">
        <f>VLOOKUP(A498,NYSEARCATIP!A$2:G$506,4,0)</f>
        <v>113.18</v>
      </c>
      <c r="H498">
        <f>VLOOKUP(A498,NYSEARCAMUB!A$2:G$506,4,0)</f>
        <v>109.19</v>
      </c>
      <c r="I498">
        <f>VLOOKUP(A498,NYSEARCAVNQ!A$2:G$506,4,0)</f>
        <v>81.17</v>
      </c>
      <c r="J498">
        <f>VLOOKUP(A498,NYSEARCARWX!A$2:G$506,4,0)</f>
        <v>38.5</v>
      </c>
      <c r="K498">
        <f>VLOOKUP(A498,NYSEARCADBC!A$2:G$506,4,0)</f>
        <v>14.42</v>
      </c>
      <c r="L498">
        <f>VLOOKUP(A498,NYSEARCAGSG!A$2:G$506,4,0)</f>
        <v>13.99</v>
      </c>
      <c r="M498">
        <f>VLOOKUP(A498,NYSEARCAGLD!A$2:G$506,4,0)</f>
        <v>115.86</v>
      </c>
      <c r="N498">
        <f>VLOOKUP(A498,NYSEBP!A$2:G$506,4,0)</f>
        <v>35</v>
      </c>
      <c r="O498">
        <f>VLOOKUP(A498,NASDAQYHOO!A$2:G$506,4,0)</f>
        <v>49.14</v>
      </c>
    </row>
    <row r="499" spans="1:15">
      <c r="A499" s="39">
        <v>42866</v>
      </c>
      <c r="B499">
        <v>75.92</v>
      </c>
      <c r="C499">
        <f>VLOOKUP(A499,NYSEARCAVTI!A$2:G$506,4,0)</f>
        <v>122.33</v>
      </c>
      <c r="D499">
        <f>VLOOKUP(A499,NYSEARCAVEU!A$2:G$506,4,0)</f>
        <v>49.4</v>
      </c>
      <c r="E499">
        <f>VLOOKUP(A499,NYSEARCAVWO!A$2:G$506,4,0)</f>
        <v>40.5</v>
      </c>
      <c r="F499">
        <f>VLOOKUP(A499,NYSEARCABND!A$2:G$506,4,0)</f>
        <v>80.930000000000007</v>
      </c>
      <c r="G499">
        <f>VLOOKUP(A499,NYSEARCATIP!A$2:G$506,4,0)</f>
        <v>113.26</v>
      </c>
      <c r="H499">
        <f>VLOOKUP(A499,NYSEARCAMUB!A$2:G$506,4,0)</f>
        <v>109.26</v>
      </c>
      <c r="I499">
        <f>VLOOKUP(A499,NYSEARCAVNQ!A$2:G$506,4,0)</f>
        <v>80.900000000000006</v>
      </c>
      <c r="J499">
        <f>VLOOKUP(A499,NYSEARCARWX!A$2:G$506,4,0)</f>
        <v>38.42</v>
      </c>
      <c r="K499">
        <f>VLOOKUP(A499,NYSEARCADBC!A$2:G$506,4,0)</f>
        <v>14.59</v>
      </c>
      <c r="L499">
        <f>VLOOKUP(A499,NYSEARCAGSG!A$2:G$506,4,0)</f>
        <v>14.2</v>
      </c>
      <c r="M499">
        <f>VLOOKUP(A499,NYSEARCAGLD!A$2:G$506,4,0)</f>
        <v>116.18</v>
      </c>
      <c r="N499">
        <f>VLOOKUP(A499,NYSEBP!A$2:G$506,4,0)</f>
        <v>35.020000000000003</v>
      </c>
      <c r="O499">
        <f>VLOOKUP(A499,NASDAQYHOO!A$2:G$506,4,0)</f>
        <v>49.14</v>
      </c>
    </row>
    <row r="500" spans="1:15">
      <c r="A500" s="39">
        <v>42867</v>
      </c>
      <c r="B500">
        <v>75.37</v>
      </c>
      <c r="C500">
        <f>VLOOKUP(A500,NYSEARCAVTI!A$2:G$506,4,0)</f>
        <v>122.6</v>
      </c>
      <c r="D500">
        <f>VLOOKUP(A500,NYSEARCAVEU!A$2:G$506,4,0)</f>
        <v>49.64</v>
      </c>
      <c r="E500">
        <f>VLOOKUP(A500,NYSEARCAVWO!A$2:G$506,4,0)</f>
        <v>40.770000000000003</v>
      </c>
      <c r="F500">
        <f>VLOOKUP(A500,NYSEARCABND!A$2:G$506,4,0)</f>
        <v>81.25</v>
      </c>
      <c r="G500">
        <f>VLOOKUP(A500,NYSEARCATIP!A$2:G$506,4,0)</f>
        <v>113.58</v>
      </c>
      <c r="H500">
        <f>VLOOKUP(A500,NYSEARCAMUB!A$2:G$506,4,0)</f>
        <v>109.44</v>
      </c>
      <c r="I500">
        <f>VLOOKUP(A500,NYSEARCAVNQ!A$2:G$506,4,0)</f>
        <v>81.209999999999994</v>
      </c>
      <c r="J500">
        <f>VLOOKUP(A500,NYSEARCARWX!A$2:G$506,4,0)</f>
        <v>38.520000000000003</v>
      </c>
      <c r="K500">
        <f>VLOOKUP(A500,NYSEARCADBC!A$2:G$506,4,0)</f>
        <v>14.58</v>
      </c>
      <c r="L500">
        <f>VLOOKUP(A500,NYSEARCAGSG!A$2:G$506,4,0)</f>
        <v>14.23</v>
      </c>
      <c r="M500">
        <f>VLOOKUP(A500,NYSEARCAGLD!A$2:G$506,4,0)</f>
        <v>116.73</v>
      </c>
      <c r="N500">
        <f>VLOOKUP(A500,NYSEBP!A$2:G$506,4,0)</f>
        <v>35.22</v>
      </c>
      <c r="O500">
        <f>VLOOKUP(A500,NASDAQYHOO!A$2:G$506,4,0)</f>
        <v>49.44</v>
      </c>
    </row>
    <row r="501" spans="1:15">
      <c r="A501" s="39">
        <v>42870</v>
      </c>
      <c r="B501">
        <v>75.8</v>
      </c>
      <c r="C501">
        <f>VLOOKUP(A501,NYSEARCAVTI!A$2:G$506,4,0)</f>
        <v>123.04</v>
      </c>
      <c r="D501">
        <f>VLOOKUP(A501,NYSEARCAVEU!A$2:G$506,4,0)</f>
        <v>50.01</v>
      </c>
      <c r="E501">
        <f>VLOOKUP(A501,NYSEARCAVWO!A$2:G$506,4,0)</f>
        <v>41.09</v>
      </c>
      <c r="F501">
        <f>VLOOKUP(A501,NYSEARCABND!A$2:G$506,4,0)</f>
        <v>81.3</v>
      </c>
      <c r="G501">
        <f>VLOOKUP(A501,NYSEARCATIP!A$2:G$506,4,0)</f>
        <v>113.47</v>
      </c>
      <c r="H501">
        <f>VLOOKUP(A501,NYSEARCAMUB!A$2:G$506,4,0)</f>
        <v>109.52</v>
      </c>
      <c r="I501">
        <f>VLOOKUP(A501,NYSEARCAVNQ!A$2:G$506,4,0)</f>
        <v>81.3</v>
      </c>
      <c r="J501">
        <f>VLOOKUP(A501,NYSEARCARWX!A$2:G$506,4,0)</f>
        <v>38.78</v>
      </c>
      <c r="K501">
        <f>VLOOKUP(A501,NYSEARCADBC!A$2:G$506,4,0)</f>
        <v>14.69</v>
      </c>
      <c r="L501">
        <f>VLOOKUP(A501,NYSEARCAGSG!A$2:G$506,4,0)</f>
        <v>14.39</v>
      </c>
      <c r="M501">
        <f>VLOOKUP(A501,NYSEARCAGLD!A$2:G$506,4,0)</f>
        <v>116.99</v>
      </c>
      <c r="N501">
        <f>VLOOKUP(A501,NYSEBP!A$2:G$506,4,0)</f>
        <v>35.65</v>
      </c>
      <c r="O501">
        <f>VLOOKUP(A501,NASDAQYHOO!A$2:G$506,4,0)</f>
        <v>49.48</v>
      </c>
    </row>
    <row r="502" spans="1:15">
      <c r="A502" s="39">
        <v>42871</v>
      </c>
      <c r="B502">
        <v>75.08</v>
      </c>
      <c r="C502">
        <f>VLOOKUP(A502,NYSEARCAVTI!A$2:G$506,4,0)</f>
        <v>123.07</v>
      </c>
      <c r="D502">
        <f>VLOOKUP(A502,NYSEARCAVEU!A$2:G$506,4,0)</f>
        <v>50.3</v>
      </c>
      <c r="E502">
        <f>VLOOKUP(A502,NYSEARCAVWO!A$2:G$506,4,0)</f>
        <v>41.2</v>
      </c>
      <c r="F502">
        <f>VLOOKUP(A502,NYSEARCABND!A$2:G$506,4,0)</f>
        <v>81.36</v>
      </c>
      <c r="G502">
        <f>VLOOKUP(A502,NYSEARCATIP!A$2:G$506,4,0)</f>
        <v>113.44</v>
      </c>
      <c r="H502">
        <f>VLOOKUP(A502,NYSEARCAMUB!A$2:G$506,4,0)</f>
        <v>109.56</v>
      </c>
      <c r="I502">
        <f>VLOOKUP(A502,NYSEARCAVNQ!A$2:G$506,4,0)</f>
        <v>80.709999999999994</v>
      </c>
      <c r="J502">
        <f>VLOOKUP(A502,NYSEARCARWX!A$2:G$506,4,0)</f>
        <v>38.78</v>
      </c>
      <c r="K502">
        <f>VLOOKUP(A502,NYSEARCADBC!A$2:G$506,4,0)</f>
        <v>14.72</v>
      </c>
      <c r="L502">
        <f>VLOOKUP(A502,NYSEARCAGSG!A$2:G$506,4,0)</f>
        <v>14.35</v>
      </c>
      <c r="M502">
        <f>VLOOKUP(A502,NYSEARCAGLD!A$2:G$506,4,0)</f>
        <v>117.4</v>
      </c>
      <c r="N502">
        <f>VLOOKUP(A502,NYSEBP!A$2:G$506,4,0)</f>
        <v>36.18</v>
      </c>
      <c r="O502">
        <f>VLOOKUP(A502,NASDAQYHOO!A$2:G$506,4,0)</f>
        <v>50.03</v>
      </c>
    </row>
    <row r="503" spans="1:15">
      <c r="A503" s="39">
        <v>42872</v>
      </c>
      <c r="B503">
        <v>74.959999999999994</v>
      </c>
      <c r="C503">
        <f>VLOOKUP(A503,NYSEARCAVTI!A$2:G$506,4,0)</f>
        <v>121.07</v>
      </c>
      <c r="D503">
        <f>VLOOKUP(A503,NYSEARCAVEU!A$2:G$506,4,0)</f>
        <v>49.74</v>
      </c>
      <c r="E503">
        <f>VLOOKUP(A503,NYSEARCAVWO!A$2:G$506,4,0)</f>
        <v>40.69</v>
      </c>
      <c r="F503">
        <f>VLOOKUP(A503,NYSEARCABND!A$2:G$506,4,0)</f>
        <v>81.63</v>
      </c>
      <c r="G503">
        <f>VLOOKUP(A503,NYSEARCATIP!A$2:G$506,4,0)</f>
        <v>113.88</v>
      </c>
      <c r="H503">
        <f>VLOOKUP(A503,NYSEARCAMUB!A$2:G$506,4,0)</f>
        <v>109.89</v>
      </c>
      <c r="I503">
        <f>VLOOKUP(A503,NYSEARCAVNQ!A$2:G$506,4,0)</f>
        <v>80.75</v>
      </c>
      <c r="J503">
        <f>VLOOKUP(A503,NYSEARCARWX!A$2:G$506,4,0)</f>
        <v>38.729999999999997</v>
      </c>
      <c r="K503">
        <f>VLOOKUP(A503,NYSEARCADBC!A$2:G$506,4,0)</f>
        <v>14.75</v>
      </c>
      <c r="L503">
        <f>VLOOKUP(A503,NYSEARCAGSG!A$2:G$506,4,0)</f>
        <v>14.37</v>
      </c>
      <c r="M503">
        <f>VLOOKUP(A503,NYSEARCAGLD!A$2:G$506,4,0)</f>
        <v>119.27</v>
      </c>
      <c r="N503">
        <f>VLOOKUP(A503,NYSEBP!A$2:G$506,4,0)</f>
        <v>36.17</v>
      </c>
      <c r="O503">
        <f>VLOOKUP(A503,NASDAQYHOO!A$2:G$506,4,0)</f>
        <v>49.44</v>
      </c>
    </row>
    <row r="504" spans="1:15">
      <c r="A504" s="39">
        <v>42873</v>
      </c>
      <c r="B504">
        <v>76.13</v>
      </c>
      <c r="C504">
        <f>VLOOKUP(A504,NYSEARCAVTI!A$2:G$506,4,0)</f>
        <v>120.85</v>
      </c>
      <c r="D504">
        <f>VLOOKUP(A504,NYSEARCAVEU!A$2:G$506,4,0)</f>
        <v>49.35</v>
      </c>
      <c r="E504">
        <f>VLOOKUP(A504,NYSEARCAVWO!A$2:G$506,4,0)</f>
        <v>39.619999999999997</v>
      </c>
      <c r="F504">
        <f>VLOOKUP(A504,NYSEARCABND!A$2:G$506,4,0)</f>
        <v>81.739999999999995</v>
      </c>
      <c r="G504">
        <f>VLOOKUP(A504,NYSEARCATIP!A$2:G$506,4,0)</f>
        <v>114.04</v>
      </c>
      <c r="H504">
        <f>VLOOKUP(A504,NYSEARCAMUB!A$2:G$506,4,0)</f>
        <v>110.05</v>
      </c>
      <c r="I504">
        <f>VLOOKUP(A504,NYSEARCAVNQ!A$2:G$506,4,0)</f>
        <v>80.73</v>
      </c>
      <c r="J504">
        <f>VLOOKUP(A504,NYSEARCARWX!A$2:G$506,4,0)</f>
        <v>38.54</v>
      </c>
      <c r="K504">
        <f>VLOOKUP(A504,NYSEARCADBC!A$2:G$506,4,0)</f>
        <v>14.68</v>
      </c>
      <c r="L504">
        <f>VLOOKUP(A504,NYSEARCAGSG!A$2:G$506,4,0)</f>
        <v>14.31</v>
      </c>
      <c r="M504">
        <f>VLOOKUP(A504,NYSEARCAGLD!A$2:G$506,4,0)</f>
        <v>118.56</v>
      </c>
      <c r="N504">
        <f>VLOOKUP(A504,NYSEBP!A$2:G$506,4,0)</f>
        <v>36.1</v>
      </c>
      <c r="O504">
        <f>VLOOKUP(A504,NASDAQYHOO!A$2:G$506,4,0)</f>
        <v>47.74</v>
      </c>
    </row>
    <row r="505" spans="1:15">
      <c r="A505" s="39">
        <v>42874</v>
      </c>
      <c r="B505">
        <v>77.77</v>
      </c>
      <c r="C505">
        <f>VLOOKUP(A505,NYSEARCAVTI!A$2:G$506,4,0)</f>
        <v>121.82</v>
      </c>
      <c r="D505">
        <f>VLOOKUP(A505,NYSEARCAVEU!A$2:G$506,4,0)</f>
        <v>50.03</v>
      </c>
      <c r="E505">
        <f>VLOOKUP(A505,NYSEARCAVWO!A$2:G$506,4,0)</f>
        <v>40.47</v>
      </c>
      <c r="F505">
        <f>VLOOKUP(A505,NYSEARCABND!A$2:G$506,4,0)</f>
        <v>81.7</v>
      </c>
      <c r="G505">
        <f>VLOOKUP(A505,NYSEARCATIP!A$2:G$506,4,0)</f>
        <v>114.31</v>
      </c>
      <c r="H505">
        <f>VLOOKUP(A505,NYSEARCAMUB!A$2:G$506,4,0)</f>
        <v>110.07</v>
      </c>
      <c r="I505">
        <f>VLOOKUP(A505,NYSEARCAVNQ!A$2:G$506,4,0)</f>
        <v>81.34</v>
      </c>
      <c r="J505">
        <f>VLOOKUP(A505,NYSEARCARWX!A$2:G$506,4,0)</f>
        <v>38.71</v>
      </c>
      <c r="K505">
        <f>VLOOKUP(A505,NYSEARCADBC!A$2:G$506,4,0)</f>
        <v>14.95</v>
      </c>
      <c r="L505">
        <f>VLOOKUP(A505,NYSEARCAGSG!A$2:G$506,4,0)</f>
        <v>14.61</v>
      </c>
      <c r="M505">
        <f>VLOOKUP(A505,NYSEARCAGLD!A$2:G$506,4,0)</f>
        <v>118.88</v>
      </c>
      <c r="N505">
        <f>VLOOKUP(A505,NYSEBP!A$2:G$506,4,0)</f>
        <v>36.83</v>
      </c>
      <c r="O505">
        <f>VLOOKUP(A505,NASDAQYHOO!A$2:G$506,4,0)</f>
        <v>50.01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05"/>
  <sheetViews>
    <sheetView workbookViewId="0"/>
  </sheetViews>
  <sheetFormatPr defaultRowHeight="15"/>
  <cols>
    <col min="1" max="1" width="10.42578125" bestFit="1" customWidth="1"/>
  </cols>
  <sheetData>
    <row r="1" spans="1:15">
      <c r="A1" t="s">
        <v>26</v>
      </c>
      <c r="B1" t="s">
        <v>63</v>
      </c>
      <c r="C1" t="s">
        <v>39</v>
      </c>
      <c r="D1" t="s">
        <v>41</v>
      </c>
      <c r="E1" t="s">
        <v>43</v>
      </c>
      <c r="F1" t="s">
        <v>45</v>
      </c>
      <c r="G1" t="s">
        <v>47</v>
      </c>
      <c r="H1" t="s">
        <v>49</v>
      </c>
      <c r="I1" t="s">
        <v>51</v>
      </c>
      <c r="J1" t="s">
        <v>53</v>
      </c>
      <c r="K1" t="s">
        <v>55</v>
      </c>
      <c r="L1" t="s">
        <v>57</v>
      </c>
      <c r="M1" t="s">
        <v>59</v>
      </c>
      <c r="N1" t="s">
        <v>66</v>
      </c>
      <c r="O1" t="s">
        <v>70</v>
      </c>
    </row>
    <row r="2" spans="1:15">
      <c r="A2" s="39">
        <v>42145</v>
      </c>
      <c r="B2">
        <v>76.11</v>
      </c>
      <c r="C2">
        <f>VLOOKUP(A2,NYSEARCAVTI!A$2:G$506,5,0)</f>
        <v>110.51</v>
      </c>
      <c r="D2">
        <f>VLOOKUP(A2,NYSEARCAVEU!A$2:G$506,5,0)</f>
        <v>51.93</v>
      </c>
      <c r="E2">
        <f>VLOOKUP(A2,NYSEARCAVWO!A$2:G$506,5,0)</f>
        <v>43.85</v>
      </c>
      <c r="F2">
        <f>VLOOKUP(A2,NYSEARCABND!A$2:G$506,5,0)</f>
        <v>82.11</v>
      </c>
      <c r="G2">
        <f>VLOOKUP(A2,NYSEARCATIP!A$2:G$506,5,0)</f>
        <v>112.74</v>
      </c>
      <c r="H2">
        <f>VLOOKUP(A2,NYSEARCAMUB!A$2:G$506,5,0)</f>
        <v>108.6</v>
      </c>
      <c r="I2">
        <f>VLOOKUP(A2,NYSEARCAVNQ!A$2:G$506,5,0)</f>
        <v>80.150000000000006</v>
      </c>
      <c r="J2">
        <f>VLOOKUP(A2,NYSEARCARWX!A$2:G$506,5,0)</f>
        <v>44.96</v>
      </c>
      <c r="K2">
        <f>VLOOKUP(A2,NYSEARCADBC!A$2:G$506,5,0)</f>
        <v>18.190000000000001</v>
      </c>
      <c r="L2">
        <f>VLOOKUP(A2,NYSEARCAGSG!A$2:G$506,5,0)</f>
        <v>21.67</v>
      </c>
      <c r="M2">
        <f>VLOOKUP(A2,NYSEARCAGLD!A$2:G$506,5,0)</f>
        <v>115.69</v>
      </c>
      <c r="N2">
        <f>VLOOKUP(A2,NYSEBP!A$2:G$506,5,0)</f>
        <v>42.9</v>
      </c>
      <c r="O2">
        <f>VLOOKUP(A2,NASDAQYHOO!A$2:G$506,5,0)</f>
        <v>43.68</v>
      </c>
    </row>
    <row r="3" spans="1:15">
      <c r="A3" s="39">
        <v>42146</v>
      </c>
      <c r="B3">
        <v>75.86</v>
      </c>
      <c r="C3">
        <f>VLOOKUP(A3,NYSEARCAVTI!A$2:G$506,5,0)</f>
        <v>110.3</v>
      </c>
      <c r="D3">
        <f>VLOOKUP(A3,NYSEARCAVEU!A$2:G$506,5,0)</f>
        <v>51.7</v>
      </c>
      <c r="E3">
        <f>VLOOKUP(A3,NYSEARCAVWO!A$2:G$506,5,0)</f>
        <v>43.96</v>
      </c>
      <c r="F3">
        <f>VLOOKUP(A3,NYSEARCABND!A$2:G$506,5,0)</f>
        <v>82.06</v>
      </c>
      <c r="G3">
        <f>VLOOKUP(A3,NYSEARCATIP!A$2:G$506,5,0)</f>
        <v>112.93</v>
      </c>
      <c r="H3">
        <f>VLOOKUP(A3,NYSEARCAMUB!A$2:G$506,5,0)</f>
        <v>108.42</v>
      </c>
      <c r="I3">
        <f>VLOOKUP(A3,NYSEARCAVNQ!A$2:G$506,5,0)</f>
        <v>80.05</v>
      </c>
      <c r="J3">
        <f>VLOOKUP(A3,NYSEARCARWX!A$2:G$506,5,0)</f>
        <v>44.71</v>
      </c>
      <c r="K3">
        <f>VLOOKUP(A3,NYSEARCADBC!A$2:G$506,5,0)</f>
        <v>17.989999999999998</v>
      </c>
      <c r="L3">
        <f>VLOOKUP(A3,NYSEARCAGSG!A$2:G$506,5,0)</f>
        <v>21.38</v>
      </c>
      <c r="M3">
        <f>VLOOKUP(A3,NYSEARCAGLD!A$2:G$506,5,0)</f>
        <v>115.6</v>
      </c>
      <c r="N3">
        <f>VLOOKUP(A3,NYSEBP!A$2:G$506,5,0)</f>
        <v>42.5</v>
      </c>
      <c r="O3">
        <f>VLOOKUP(A3,NASDAQYHOO!A$2:G$506,5,0)</f>
        <v>43.48</v>
      </c>
    </row>
    <row r="4" spans="1:15">
      <c r="A4" s="39">
        <v>42150</v>
      </c>
      <c r="B4">
        <v>74.900000000000006</v>
      </c>
      <c r="C4">
        <f>VLOOKUP(A4,NYSEARCAVTI!A$2:G$506,5,0)</f>
        <v>109.15</v>
      </c>
      <c r="D4">
        <f>VLOOKUP(A4,NYSEARCAVEU!A$2:G$506,5,0)</f>
        <v>50.88</v>
      </c>
      <c r="E4">
        <f>VLOOKUP(A4,NYSEARCAVWO!A$2:G$506,5,0)</f>
        <v>43.31</v>
      </c>
      <c r="F4">
        <f>VLOOKUP(A4,NYSEARCABND!A$2:G$506,5,0)</f>
        <v>82.26</v>
      </c>
      <c r="G4">
        <f>VLOOKUP(A4,NYSEARCATIP!A$2:G$506,5,0)</f>
        <v>113.02</v>
      </c>
      <c r="H4">
        <f>VLOOKUP(A4,NYSEARCAMUB!A$2:G$506,5,0)</f>
        <v>108.58</v>
      </c>
      <c r="I4">
        <f>VLOOKUP(A4,NYSEARCAVNQ!A$2:G$506,5,0)</f>
        <v>79.44</v>
      </c>
      <c r="J4">
        <f>VLOOKUP(A4,NYSEARCARWX!A$2:G$506,5,0)</f>
        <v>44.09</v>
      </c>
      <c r="K4">
        <f>VLOOKUP(A4,NYSEARCADBC!A$2:G$506,5,0)</f>
        <v>17.64</v>
      </c>
      <c r="L4">
        <f>VLOOKUP(A4,NYSEARCAGSG!A$2:G$506,5,0)</f>
        <v>20.93</v>
      </c>
      <c r="M4">
        <f>VLOOKUP(A4,NYSEARCAGLD!A$2:G$506,5,0)</f>
        <v>113.91</v>
      </c>
      <c r="N4">
        <f>VLOOKUP(A4,NYSEBP!A$2:G$506,5,0)</f>
        <v>41.63</v>
      </c>
      <c r="O4">
        <f>VLOOKUP(A4,NASDAQYHOO!A$2:G$506,5,0)</f>
        <v>42.85</v>
      </c>
    </row>
    <row r="5" spans="1:15">
      <c r="A5" s="39">
        <v>42151</v>
      </c>
      <c r="B5">
        <v>75.19</v>
      </c>
      <c r="C5">
        <f>VLOOKUP(A5,NYSEARCAVTI!A$2:G$506,5,0)</f>
        <v>110.15</v>
      </c>
      <c r="D5">
        <f>VLOOKUP(A5,NYSEARCAVEU!A$2:G$506,5,0)</f>
        <v>51.24</v>
      </c>
      <c r="E5">
        <f>VLOOKUP(A5,NYSEARCAVWO!A$2:G$506,5,0)</f>
        <v>43.42</v>
      </c>
      <c r="F5">
        <f>VLOOKUP(A5,NYSEARCABND!A$2:G$506,5,0)</f>
        <v>82.3</v>
      </c>
      <c r="G5">
        <f>VLOOKUP(A5,NYSEARCATIP!A$2:G$506,5,0)</f>
        <v>112.92</v>
      </c>
      <c r="H5">
        <f>VLOOKUP(A5,NYSEARCAMUB!A$2:G$506,5,0)</f>
        <v>108.66</v>
      </c>
      <c r="I5">
        <f>VLOOKUP(A5,NYSEARCAVNQ!A$2:G$506,5,0)</f>
        <v>80.22</v>
      </c>
      <c r="J5">
        <f>VLOOKUP(A5,NYSEARCARWX!A$2:G$506,5,0)</f>
        <v>44.2</v>
      </c>
      <c r="K5">
        <f>VLOOKUP(A5,NYSEARCADBC!A$2:G$506,5,0)</f>
        <v>17.399999999999999</v>
      </c>
      <c r="L5">
        <f>VLOOKUP(A5,NYSEARCAGSG!A$2:G$506,5,0)</f>
        <v>20.64</v>
      </c>
      <c r="M5">
        <f>VLOOKUP(A5,NYSEARCAGLD!A$2:G$506,5,0)</f>
        <v>113.89</v>
      </c>
      <c r="N5">
        <f>VLOOKUP(A5,NYSEBP!A$2:G$506,5,0)</f>
        <v>41.79</v>
      </c>
      <c r="O5">
        <f>VLOOKUP(A5,NASDAQYHOO!A$2:G$506,5,0)</f>
        <v>43.38</v>
      </c>
    </row>
    <row r="6" spans="1:15">
      <c r="A6" s="39">
        <v>42152</v>
      </c>
      <c r="B6">
        <v>74.84</v>
      </c>
      <c r="C6">
        <f>VLOOKUP(A6,NYSEARCAVTI!A$2:G$506,5,0)</f>
        <v>110.05</v>
      </c>
      <c r="D6">
        <f>VLOOKUP(A6,NYSEARCAVEU!A$2:G$506,5,0)</f>
        <v>51.05</v>
      </c>
      <c r="E6">
        <f>VLOOKUP(A6,NYSEARCAVWO!A$2:G$506,5,0)</f>
        <v>42.81</v>
      </c>
      <c r="F6">
        <f>VLOOKUP(A6,NYSEARCABND!A$2:G$506,5,0)</f>
        <v>82.31</v>
      </c>
      <c r="G6">
        <f>VLOOKUP(A6,NYSEARCATIP!A$2:G$506,5,0)</f>
        <v>112.85</v>
      </c>
      <c r="H6">
        <f>VLOOKUP(A6,NYSEARCAMUB!A$2:G$506,5,0)</f>
        <v>108.65</v>
      </c>
      <c r="I6">
        <f>VLOOKUP(A6,NYSEARCAVNQ!A$2:G$506,5,0)</f>
        <v>80.06</v>
      </c>
      <c r="J6">
        <f>VLOOKUP(A6,NYSEARCARWX!A$2:G$506,5,0)</f>
        <v>43.93</v>
      </c>
      <c r="K6">
        <f>VLOOKUP(A6,NYSEARCADBC!A$2:G$506,5,0)</f>
        <v>17.489999999999998</v>
      </c>
      <c r="L6">
        <f>VLOOKUP(A6,NYSEARCAGSG!A$2:G$506,5,0)</f>
        <v>20.77</v>
      </c>
      <c r="M6">
        <f>VLOOKUP(A6,NYSEARCAGLD!A$2:G$506,5,0)</f>
        <v>114.02</v>
      </c>
      <c r="N6">
        <f>VLOOKUP(A6,NYSEBP!A$2:G$506,5,0)</f>
        <v>41.55</v>
      </c>
      <c r="O6">
        <f>VLOOKUP(A6,NASDAQYHOO!A$2:G$506,5,0)</f>
        <v>43.07</v>
      </c>
    </row>
    <row r="7" spans="1:15">
      <c r="A7" s="39">
        <v>42153</v>
      </c>
      <c r="B7">
        <v>74.27</v>
      </c>
      <c r="C7">
        <f>VLOOKUP(A7,NYSEARCAVTI!A$2:G$506,5,0)</f>
        <v>109.31</v>
      </c>
      <c r="D7">
        <f>VLOOKUP(A7,NYSEARCAVEU!A$2:G$506,5,0)</f>
        <v>50.51</v>
      </c>
      <c r="E7">
        <f>VLOOKUP(A7,NYSEARCAVWO!A$2:G$506,5,0)</f>
        <v>42.34</v>
      </c>
      <c r="F7">
        <f>VLOOKUP(A7,NYSEARCABND!A$2:G$506,5,0)</f>
        <v>82.34</v>
      </c>
      <c r="G7">
        <f>VLOOKUP(A7,NYSEARCATIP!A$2:G$506,5,0)</f>
        <v>113.21</v>
      </c>
      <c r="H7">
        <f>VLOOKUP(A7,NYSEARCAMUB!A$2:G$506,5,0)</f>
        <v>108.81</v>
      </c>
      <c r="I7">
        <f>VLOOKUP(A7,NYSEARCAVNQ!A$2:G$506,5,0)</f>
        <v>79.14</v>
      </c>
      <c r="J7">
        <f>VLOOKUP(A7,NYSEARCARWX!A$2:G$506,5,0)</f>
        <v>43.48</v>
      </c>
      <c r="K7">
        <f>VLOOKUP(A7,NYSEARCADBC!A$2:G$506,5,0)</f>
        <v>17.71</v>
      </c>
      <c r="L7">
        <f>VLOOKUP(A7,NYSEARCAGSG!A$2:G$506,5,0)</f>
        <v>21.16</v>
      </c>
      <c r="M7">
        <f>VLOOKUP(A7,NYSEARCAGLD!A$2:G$506,5,0)</f>
        <v>114.1</v>
      </c>
      <c r="N7">
        <f>VLOOKUP(A7,NYSEBP!A$2:G$506,5,0)</f>
        <v>41.46</v>
      </c>
      <c r="O7">
        <f>VLOOKUP(A7,NASDAQYHOO!A$2:G$506,5,0)</f>
        <v>42.94</v>
      </c>
    </row>
    <row r="8" spans="1:15">
      <c r="A8" s="39">
        <v>42156</v>
      </c>
      <c r="B8">
        <v>74.73</v>
      </c>
      <c r="C8">
        <f>VLOOKUP(A8,NYSEARCAVTI!A$2:G$506,5,0)</f>
        <v>109.58</v>
      </c>
      <c r="D8">
        <f>VLOOKUP(A8,NYSEARCAVEU!A$2:G$506,5,0)</f>
        <v>50.4</v>
      </c>
      <c r="E8">
        <f>VLOOKUP(A8,NYSEARCAVWO!A$2:G$506,5,0)</f>
        <v>42.31</v>
      </c>
      <c r="F8">
        <f>VLOOKUP(A8,NYSEARCABND!A$2:G$506,5,0)</f>
        <v>81.900000000000006</v>
      </c>
      <c r="G8">
        <f>VLOOKUP(A8,NYSEARCATIP!A$2:G$506,5,0)</f>
        <v>112.51</v>
      </c>
      <c r="H8">
        <f>VLOOKUP(A8,NYSEARCAMUB!A$2:G$506,5,0)</f>
        <v>108.44</v>
      </c>
      <c r="I8">
        <f>VLOOKUP(A8,NYSEARCAVNQ!A$2:G$506,5,0)</f>
        <v>80.11</v>
      </c>
      <c r="J8">
        <f>VLOOKUP(A8,NYSEARCARWX!A$2:G$506,5,0)</f>
        <v>43.56</v>
      </c>
      <c r="K8">
        <f>VLOOKUP(A8,NYSEARCADBC!A$2:G$506,5,0)</f>
        <v>17.670000000000002</v>
      </c>
      <c r="L8">
        <f>VLOOKUP(A8,NYSEARCAGSG!A$2:G$506,5,0)</f>
        <v>21.18</v>
      </c>
      <c r="M8">
        <f>VLOOKUP(A8,NYSEARCAGLD!A$2:G$506,5,0)</f>
        <v>114</v>
      </c>
      <c r="N8">
        <f>VLOOKUP(A8,NYSEBP!A$2:G$506,5,0)</f>
        <v>40.950000000000003</v>
      </c>
      <c r="O8">
        <f>VLOOKUP(A8,NASDAQYHOO!A$2:G$506,5,0)</f>
        <v>43.35</v>
      </c>
    </row>
    <row r="9" spans="1:15">
      <c r="A9" s="39">
        <v>42157</v>
      </c>
      <c r="B9">
        <v>74.53</v>
      </c>
      <c r="C9">
        <f>VLOOKUP(A9,NYSEARCAVTI!A$2:G$506,5,0)</f>
        <v>109.5</v>
      </c>
      <c r="D9">
        <f>VLOOKUP(A9,NYSEARCAVEU!A$2:G$506,5,0)</f>
        <v>50.6</v>
      </c>
      <c r="E9">
        <f>VLOOKUP(A9,NYSEARCAVWO!A$2:G$506,5,0)</f>
        <v>42.46</v>
      </c>
      <c r="F9">
        <f>VLOOKUP(A9,NYSEARCABND!A$2:G$506,5,0)</f>
        <v>81.67</v>
      </c>
      <c r="G9">
        <f>VLOOKUP(A9,NYSEARCATIP!A$2:G$506,5,0)</f>
        <v>112.05</v>
      </c>
      <c r="H9">
        <f>VLOOKUP(A9,NYSEARCAMUB!A$2:G$506,5,0)</f>
        <v>108.06</v>
      </c>
      <c r="I9">
        <f>VLOOKUP(A9,NYSEARCAVNQ!A$2:G$506,5,0)</f>
        <v>79.37</v>
      </c>
      <c r="J9">
        <f>VLOOKUP(A9,NYSEARCARWX!A$2:G$506,5,0)</f>
        <v>43.51</v>
      </c>
      <c r="K9">
        <f>VLOOKUP(A9,NYSEARCADBC!A$2:G$506,5,0)</f>
        <v>17.88</v>
      </c>
      <c r="L9">
        <f>VLOOKUP(A9,NYSEARCAGSG!A$2:G$506,5,0)</f>
        <v>21.44</v>
      </c>
      <c r="M9">
        <f>VLOOKUP(A9,NYSEARCAGLD!A$2:G$506,5,0)</f>
        <v>114.46</v>
      </c>
      <c r="N9">
        <f>VLOOKUP(A9,NYSEBP!A$2:G$506,5,0)</f>
        <v>41.5</v>
      </c>
      <c r="O9">
        <f>VLOOKUP(A9,NASDAQYHOO!A$2:G$506,5,0)</f>
        <v>43.15</v>
      </c>
    </row>
    <row r="10" spans="1:15">
      <c r="A10" s="39">
        <v>42158</v>
      </c>
      <c r="B10">
        <v>74.89</v>
      </c>
      <c r="C10">
        <f>VLOOKUP(A10,NYSEARCAVTI!A$2:G$506,5,0)</f>
        <v>109.88</v>
      </c>
      <c r="D10">
        <f>VLOOKUP(A10,NYSEARCAVEU!A$2:G$506,5,0)</f>
        <v>50.77</v>
      </c>
      <c r="E10">
        <f>VLOOKUP(A10,NYSEARCAVWO!A$2:G$506,5,0)</f>
        <v>42.25</v>
      </c>
      <c r="F10">
        <f>VLOOKUP(A10,NYSEARCABND!A$2:G$506,5,0)</f>
        <v>81.31</v>
      </c>
      <c r="G10">
        <f>VLOOKUP(A10,NYSEARCATIP!A$2:G$506,5,0)</f>
        <v>111.36</v>
      </c>
      <c r="H10">
        <f>VLOOKUP(A10,NYSEARCAMUB!A$2:G$506,5,0)</f>
        <v>107.96</v>
      </c>
      <c r="I10">
        <f>VLOOKUP(A10,NYSEARCAVNQ!A$2:G$506,5,0)</f>
        <v>78.23</v>
      </c>
      <c r="J10">
        <f>VLOOKUP(A10,NYSEARCARWX!A$2:G$506,5,0)</f>
        <v>43.31</v>
      </c>
      <c r="K10">
        <f>VLOOKUP(A10,NYSEARCADBC!A$2:G$506,5,0)</f>
        <v>17.649999999999999</v>
      </c>
      <c r="L10">
        <f>VLOOKUP(A10,NYSEARCAGSG!A$2:G$506,5,0)</f>
        <v>21.03</v>
      </c>
      <c r="M10">
        <f>VLOOKUP(A10,NYSEARCAGLD!A$2:G$506,5,0)</f>
        <v>113.64</v>
      </c>
      <c r="N10">
        <f>VLOOKUP(A10,NYSEBP!A$2:G$506,5,0)</f>
        <v>41.23</v>
      </c>
      <c r="O10">
        <f>VLOOKUP(A10,NASDAQYHOO!A$2:G$506,5,0)</f>
        <v>43.21</v>
      </c>
    </row>
    <row r="11" spans="1:15">
      <c r="A11" s="39">
        <v>42159</v>
      </c>
      <c r="B11">
        <v>74.150000000000006</v>
      </c>
      <c r="C11">
        <f>VLOOKUP(A11,NYSEARCAVTI!A$2:G$506,5,0)</f>
        <v>109</v>
      </c>
      <c r="D11">
        <f>VLOOKUP(A11,NYSEARCAVEU!A$2:G$506,5,0)</f>
        <v>50.2</v>
      </c>
      <c r="E11">
        <f>VLOOKUP(A11,NYSEARCAVWO!A$2:G$506,5,0)</f>
        <v>41.63</v>
      </c>
      <c r="F11">
        <f>VLOOKUP(A11,NYSEARCABND!A$2:G$506,5,0)</f>
        <v>81.510000000000005</v>
      </c>
      <c r="G11">
        <f>VLOOKUP(A11,NYSEARCATIP!A$2:G$506,5,0)</f>
        <v>111.67</v>
      </c>
      <c r="H11">
        <f>VLOOKUP(A11,NYSEARCAMUB!A$2:G$506,5,0)</f>
        <v>108.18</v>
      </c>
      <c r="I11">
        <f>VLOOKUP(A11,NYSEARCAVNQ!A$2:G$506,5,0)</f>
        <v>78.08</v>
      </c>
      <c r="J11">
        <f>VLOOKUP(A11,NYSEARCARWX!A$2:G$506,5,0)</f>
        <v>42.91</v>
      </c>
      <c r="K11">
        <f>VLOOKUP(A11,NYSEARCADBC!A$2:G$506,5,0)</f>
        <v>17.489999999999998</v>
      </c>
      <c r="L11">
        <f>VLOOKUP(A11,NYSEARCAGSG!A$2:G$506,5,0)</f>
        <v>20.75</v>
      </c>
      <c r="M11">
        <f>VLOOKUP(A11,NYSEARCAGLD!A$2:G$506,5,0)</f>
        <v>112.84</v>
      </c>
      <c r="N11">
        <f>VLOOKUP(A11,NYSEBP!A$2:G$506,5,0)</f>
        <v>40.619999999999997</v>
      </c>
      <c r="O11">
        <f>VLOOKUP(A11,NASDAQYHOO!A$2:G$506,5,0)</f>
        <v>42.88</v>
      </c>
    </row>
    <row r="12" spans="1:15">
      <c r="A12" s="39">
        <v>42160</v>
      </c>
      <c r="B12">
        <v>73.06</v>
      </c>
      <c r="C12">
        <f>VLOOKUP(A12,NYSEARCAVTI!A$2:G$506,5,0)</f>
        <v>108.91</v>
      </c>
      <c r="D12">
        <f>VLOOKUP(A12,NYSEARCAVEU!A$2:G$506,5,0)</f>
        <v>49.76</v>
      </c>
      <c r="E12">
        <f>VLOOKUP(A12,NYSEARCAVWO!A$2:G$506,5,0)</f>
        <v>41.43</v>
      </c>
      <c r="F12">
        <f>VLOOKUP(A12,NYSEARCABND!A$2:G$506,5,0)</f>
        <v>81.19</v>
      </c>
      <c r="G12">
        <f>VLOOKUP(A12,NYSEARCATIP!A$2:G$506,5,0)</f>
        <v>111.36</v>
      </c>
      <c r="H12">
        <f>VLOOKUP(A12,NYSEARCAMUB!A$2:G$506,5,0)</f>
        <v>107.89</v>
      </c>
      <c r="I12">
        <f>VLOOKUP(A12,NYSEARCAVNQ!A$2:G$506,5,0)</f>
        <v>77.209999999999994</v>
      </c>
      <c r="J12">
        <f>VLOOKUP(A12,NYSEARCARWX!A$2:G$506,5,0)</f>
        <v>42.28</v>
      </c>
      <c r="K12">
        <f>VLOOKUP(A12,NYSEARCADBC!A$2:G$506,5,0)</f>
        <v>17.57</v>
      </c>
      <c r="L12">
        <f>VLOOKUP(A12,NYSEARCAGSG!A$2:G$506,5,0)</f>
        <v>20.88</v>
      </c>
      <c r="M12">
        <f>VLOOKUP(A12,NYSEARCAGLD!A$2:G$506,5,0)</f>
        <v>112.24</v>
      </c>
      <c r="N12">
        <f>VLOOKUP(A12,NYSEBP!A$2:G$506,5,0)</f>
        <v>40.56</v>
      </c>
      <c r="O12">
        <f>VLOOKUP(A12,NASDAQYHOO!A$2:G$506,5,0)</f>
        <v>42.81</v>
      </c>
    </row>
    <row r="13" spans="1:15">
      <c r="A13" s="39">
        <v>42163</v>
      </c>
      <c r="B13">
        <v>72.61</v>
      </c>
      <c r="C13">
        <f>VLOOKUP(A13,NYSEARCAVTI!A$2:G$506,5,0)</f>
        <v>108.24</v>
      </c>
      <c r="D13">
        <f>VLOOKUP(A13,NYSEARCAVEU!A$2:G$506,5,0)</f>
        <v>49.64</v>
      </c>
      <c r="E13">
        <f>VLOOKUP(A13,NYSEARCAVWO!A$2:G$506,5,0)</f>
        <v>41.41</v>
      </c>
      <c r="F13">
        <f>VLOOKUP(A13,NYSEARCABND!A$2:G$506,5,0)</f>
        <v>81.290000000000006</v>
      </c>
      <c r="G13">
        <f>VLOOKUP(A13,NYSEARCATIP!A$2:G$506,5,0)</f>
        <v>111.51</v>
      </c>
      <c r="H13">
        <f>VLOOKUP(A13,NYSEARCAMUB!A$2:G$506,5,0)</f>
        <v>107.88</v>
      </c>
      <c r="I13">
        <f>VLOOKUP(A13,NYSEARCAVNQ!A$2:G$506,5,0)</f>
        <v>77.069999999999993</v>
      </c>
      <c r="J13">
        <f>VLOOKUP(A13,NYSEARCARWX!A$2:G$506,5,0)</f>
        <v>42.11</v>
      </c>
      <c r="K13">
        <f>VLOOKUP(A13,NYSEARCADBC!A$2:G$506,5,0)</f>
        <v>17.579999999999998</v>
      </c>
      <c r="L13">
        <f>VLOOKUP(A13,NYSEARCAGSG!A$2:G$506,5,0)</f>
        <v>20.82</v>
      </c>
      <c r="M13">
        <f>VLOOKUP(A13,NYSEARCAGLD!A$2:G$506,5,0)</f>
        <v>112.57</v>
      </c>
      <c r="N13">
        <f>VLOOKUP(A13,NYSEBP!A$2:G$506,5,0)</f>
        <v>40.53</v>
      </c>
      <c r="O13">
        <f>VLOOKUP(A13,NASDAQYHOO!A$2:G$506,5,0)</f>
        <v>42.01</v>
      </c>
    </row>
    <row r="14" spans="1:15">
      <c r="A14" s="39">
        <v>42164</v>
      </c>
      <c r="B14">
        <v>72.47</v>
      </c>
      <c r="C14">
        <f>VLOOKUP(A14,NYSEARCAVTI!A$2:G$506,5,0)</f>
        <v>108.15</v>
      </c>
      <c r="D14">
        <f>VLOOKUP(A14,NYSEARCAVEU!A$2:G$506,5,0)</f>
        <v>49.41</v>
      </c>
      <c r="E14">
        <f>VLOOKUP(A14,NYSEARCAVWO!A$2:G$506,5,0)</f>
        <v>41.11</v>
      </c>
      <c r="F14">
        <f>VLOOKUP(A14,NYSEARCABND!A$2:G$506,5,0)</f>
        <v>81.05</v>
      </c>
      <c r="G14">
        <f>VLOOKUP(A14,NYSEARCATIP!A$2:G$506,5,0)</f>
        <v>111.26</v>
      </c>
      <c r="H14">
        <f>VLOOKUP(A14,NYSEARCAMUB!A$2:G$506,5,0)</f>
        <v>107.64</v>
      </c>
      <c r="I14">
        <f>VLOOKUP(A14,NYSEARCAVNQ!A$2:G$506,5,0)</f>
        <v>76.510000000000005</v>
      </c>
      <c r="J14">
        <f>VLOOKUP(A14,NYSEARCARWX!A$2:G$506,5,0)</f>
        <v>42.33</v>
      </c>
      <c r="K14">
        <f>VLOOKUP(A14,NYSEARCADBC!A$2:G$506,5,0)</f>
        <v>17.86</v>
      </c>
      <c r="L14">
        <f>VLOOKUP(A14,NYSEARCAGSG!A$2:G$506,5,0)</f>
        <v>21.25</v>
      </c>
      <c r="M14">
        <f>VLOOKUP(A14,NYSEARCAGLD!A$2:G$506,5,0)</f>
        <v>112.82</v>
      </c>
      <c r="N14">
        <f>VLOOKUP(A14,NYSEBP!A$2:G$506,5,0)</f>
        <v>40.549999999999997</v>
      </c>
      <c r="O14">
        <f>VLOOKUP(A14,NASDAQYHOO!A$2:G$506,5,0)</f>
        <v>41.63</v>
      </c>
    </row>
    <row r="15" spans="1:15">
      <c r="A15" s="39">
        <v>42165</v>
      </c>
      <c r="B15">
        <v>72.930000000000007</v>
      </c>
      <c r="C15">
        <f>VLOOKUP(A15,NYSEARCAVTI!A$2:G$506,5,0)</f>
        <v>109.47</v>
      </c>
      <c r="D15">
        <f>VLOOKUP(A15,NYSEARCAVEU!A$2:G$506,5,0)</f>
        <v>50.32</v>
      </c>
      <c r="E15">
        <f>VLOOKUP(A15,NYSEARCAVWO!A$2:G$506,5,0)</f>
        <v>41.71</v>
      </c>
      <c r="F15">
        <f>VLOOKUP(A15,NYSEARCABND!A$2:G$506,5,0)</f>
        <v>80.88</v>
      </c>
      <c r="G15">
        <f>VLOOKUP(A15,NYSEARCATIP!A$2:G$506,5,0)</f>
        <v>110.86</v>
      </c>
      <c r="H15">
        <f>VLOOKUP(A15,NYSEARCAMUB!A$2:G$506,5,0)</f>
        <v>107.67</v>
      </c>
      <c r="I15">
        <f>VLOOKUP(A15,NYSEARCAVNQ!A$2:G$506,5,0)</f>
        <v>77.05</v>
      </c>
      <c r="J15">
        <f>VLOOKUP(A15,NYSEARCARWX!A$2:G$506,5,0)</f>
        <v>43.1</v>
      </c>
      <c r="K15">
        <f>VLOOKUP(A15,NYSEARCADBC!A$2:G$506,5,0)</f>
        <v>17.93</v>
      </c>
      <c r="L15">
        <f>VLOOKUP(A15,NYSEARCAGSG!A$2:G$506,5,0)</f>
        <v>21.49</v>
      </c>
      <c r="M15">
        <f>VLOOKUP(A15,NYSEARCAGLD!A$2:G$506,5,0)</f>
        <v>113.78</v>
      </c>
      <c r="N15">
        <f>VLOOKUP(A15,NYSEBP!A$2:G$506,5,0)</f>
        <v>41.28</v>
      </c>
      <c r="O15">
        <f>VLOOKUP(A15,NASDAQYHOO!A$2:G$506,5,0)</f>
        <v>42.06</v>
      </c>
    </row>
    <row r="16" spans="1:15">
      <c r="A16" s="39">
        <v>42166</v>
      </c>
      <c r="B16">
        <v>72.94</v>
      </c>
      <c r="C16">
        <f>VLOOKUP(A16,NYSEARCAVTI!A$2:G$506,5,0)</f>
        <v>109.78</v>
      </c>
      <c r="D16">
        <f>VLOOKUP(A16,NYSEARCAVEU!A$2:G$506,5,0)</f>
        <v>50.35</v>
      </c>
      <c r="E16">
        <f>VLOOKUP(A16,NYSEARCAVWO!A$2:G$506,5,0)</f>
        <v>41.54</v>
      </c>
      <c r="F16">
        <f>VLOOKUP(A16,NYSEARCABND!A$2:G$506,5,0)</f>
        <v>81.260000000000005</v>
      </c>
      <c r="G16">
        <f>VLOOKUP(A16,NYSEARCATIP!A$2:G$506,5,0)</f>
        <v>111.41</v>
      </c>
      <c r="H16">
        <f>VLOOKUP(A16,NYSEARCAMUB!A$2:G$506,5,0)</f>
        <v>107.93</v>
      </c>
      <c r="I16">
        <f>VLOOKUP(A16,NYSEARCAVNQ!A$2:G$506,5,0)</f>
        <v>77.52</v>
      </c>
      <c r="J16">
        <f>VLOOKUP(A16,NYSEARCARWX!A$2:G$506,5,0)</f>
        <v>43.21</v>
      </c>
      <c r="K16">
        <f>VLOOKUP(A16,NYSEARCADBC!A$2:G$506,5,0)</f>
        <v>17.77</v>
      </c>
      <c r="L16">
        <f>VLOOKUP(A16,NYSEARCAGSG!A$2:G$506,5,0)</f>
        <v>21.28</v>
      </c>
      <c r="M16">
        <f>VLOOKUP(A16,NYSEARCAGLD!A$2:G$506,5,0)</f>
        <v>113.26</v>
      </c>
      <c r="N16">
        <f>VLOOKUP(A16,NYSEBP!A$2:G$506,5,0)</f>
        <v>41.42</v>
      </c>
      <c r="O16">
        <f>VLOOKUP(A16,NASDAQYHOO!A$2:G$506,5,0)</f>
        <v>40.94</v>
      </c>
    </row>
    <row r="17" spans="1:15">
      <c r="A17" s="39">
        <v>42167</v>
      </c>
      <c r="B17">
        <v>72.430000000000007</v>
      </c>
      <c r="C17">
        <f>VLOOKUP(A17,NYSEARCAVTI!A$2:G$506,5,0)</f>
        <v>109.06</v>
      </c>
      <c r="D17">
        <f>VLOOKUP(A17,NYSEARCAVEU!A$2:G$506,5,0)</f>
        <v>50.03</v>
      </c>
      <c r="E17">
        <f>VLOOKUP(A17,NYSEARCAVWO!A$2:G$506,5,0)</f>
        <v>41.55</v>
      </c>
      <c r="F17">
        <f>VLOOKUP(A17,NYSEARCABND!A$2:G$506,5,0)</f>
        <v>81.2</v>
      </c>
      <c r="G17">
        <f>VLOOKUP(A17,NYSEARCATIP!A$2:G$506,5,0)</f>
        <v>111.47</v>
      </c>
      <c r="H17">
        <f>VLOOKUP(A17,NYSEARCAMUB!A$2:G$506,5,0)</f>
        <v>108.09</v>
      </c>
      <c r="I17">
        <f>VLOOKUP(A17,NYSEARCAVNQ!A$2:G$506,5,0)</f>
        <v>77.45</v>
      </c>
      <c r="J17">
        <f>VLOOKUP(A17,NYSEARCARWX!A$2:G$506,5,0)</f>
        <v>43</v>
      </c>
      <c r="K17">
        <f>VLOOKUP(A17,NYSEARCADBC!A$2:G$506,5,0)</f>
        <v>17.59</v>
      </c>
      <c r="L17">
        <f>VLOOKUP(A17,NYSEARCAGSG!A$2:G$506,5,0)</f>
        <v>21.04</v>
      </c>
      <c r="M17">
        <f>VLOOKUP(A17,NYSEARCAGLD!A$2:G$506,5,0)</f>
        <v>113.23</v>
      </c>
      <c r="N17">
        <f>VLOOKUP(A17,NYSEBP!A$2:G$506,5,0)</f>
        <v>40.799999999999997</v>
      </c>
      <c r="O17">
        <f>VLOOKUP(A17,NASDAQYHOO!A$2:G$506,5,0)</f>
        <v>40.520000000000003</v>
      </c>
    </row>
    <row r="18" spans="1:15">
      <c r="A18" s="39">
        <v>42170</v>
      </c>
      <c r="B18">
        <v>71.930000000000007</v>
      </c>
      <c r="C18">
        <f>VLOOKUP(A18,NYSEARCAVTI!A$2:G$506,5,0)</f>
        <v>108.56</v>
      </c>
      <c r="D18">
        <f>VLOOKUP(A18,NYSEARCAVEU!A$2:G$506,5,0)</f>
        <v>49.67</v>
      </c>
      <c r="E18">
        <f>VLOOKUP(A18,NYSEARCAVWO!A$2:G$506,5,0)</f>
        <v>41.13</v>
      </c>
      <c r="F18">
        <f>VLOOKUP(A18,NYSEARCABND!A$2:G$506,5,0)</f>
        <v>81.209999999999994</v>
      </c>
      <c r="G18">
        <f>VLOOKUP(A18,NYSEARCATIP!A$2:G$506,5,0)</f>
        <v>111.83</v>
      </c>
      <c r="H18">
        <f>VLOOKUP(A18,NYSEARCAMUB!A$2:G$506,5,0)</f>
        <v>108.13</v>
      </c>
      <c r="I18">
        <f>VLOOKUP(A18,NYSEARCAVNQ!A$2:G$506,5,0)</f>
        <v>77.03</v>
      </c>
      <c r="J18">
        <f>VLOOKUP(A18,NYSEARCARWX!A$2:G$506,5,0)</f>
        <v>42.97</v>
      </c>
      <c r="K18">
        <f>VLOOKUP(A18,NYSEARCADBC!A$2:G$506,5,0)</f>
        <v>17.510000000000002</v>
      </c>
      <c r="L18">
        <f>VLOOKUP(A18,NYSEARCAGSG!A$2:G$506,5,0)</f>
        <v>20.87</v>
      </c>
      <c r="M18">
        <f>VLOOKUP(A18,NYSEARCAGLD!A$2:G$506,5,0)</f>
        <v>113.73</v>
      </c>
      <c r="N18">
        <f>VLOOKUP(A18,NYSEBP!A$2:G$506,5,0)</f>
        <v>40.92</v>
      </c>
      <c r="O18">
        <f>VLOOKUP(A18,NASDAQYHOO!A$2:G$506,5,0)</f>
        <v>40.47</v>
      </c>
    </row>
    <row r="19" spans="1:15">
      <c r="A19" s="39">
        <v>42171</v>
      </c>
      <c r="B19">
        <v>72.349999999999994</v>
      </c>
      <c r="C19">
        <f>VLOOKUP(A19,NYSEARCAVTI!A$2:G$506,5,0)</f>
        <v>109.16</v>
      </c>
      <c r="D19">
        <f>VLOOKUP(A19,NYSEARCAVEU!A$2:G$506,5,0)</f>
        <v>49.66</v>
      </c>
      <c r="E19">
        <f>VLOOKUP(A19,NYSEARCAVWO!A$2:G$506,5,0)</f>
        <v>41.22</v>
      </c>
      <c r="F19">
        <f>VLOOKUP(A19,NYSEARCABND!A$2:G$506,5,0)</f>
        <v>81.42</v>
      </c>
      <c r="G19">
        <f>VLOOKUP(A19,NYSEARCATIP!A$2:G$506,5,0)</f>
        <v>112.49</v>
      </c>
      <c r="H19">
        <f>VLOOKUP(A19,NYSEARCAMUB!A$2:G$506,5,0)</f>
        <v>108.32</v>
      </c>
      <c r="I19">
        <f>VLOOKUP(A19,NYSEARCAVNQ!A$2:G$506,5,0)</f>
        <v>77.650000000000006</v>
      </c>
      <c r="J19">
        <f>VLOOKUP(A19,NYSEARCARWX!A$2:G$506,5,0)</f>
        <v>42.98</v>
      </c>
      <c r="K19">
        <f>VLOOKUP(A19,NYSEARCADBC!A$2:G$506,5,0)</f>
        <v>17.559999999999999</v>
      </c>
      <c r="L19">
        <f>VLOOKUP(A19,NYSEARCAGSG!A$2:G$506,5,0)</f>
        <v>20.95</v>
      </c>
      <c r="M19">
        <f>VLOOKUP(A19,NYSEARCAGLD!A$2:G$506,5,0)</f>
        <v>113.32</v>
      </c>
      <c r="N19">
        <f>VLOOKUP(A19,NYSEBP!A$2:G$506,5,0)</f>
        <v>40.909999999999997</v>
      </c>
      <c r="O19">
        <f>VLOOKUP(A19,NASDAQYHOO!A$2:G$506,5,0)</f>
        <v>40.64</v>
      </c>
    </row>
    <row r="20" spans="1:15">
      <c r="A20" s="39">
        <v>42172</v>
      </c>
      <c r="B20">
        <v>72.73</v>
      </c>
      <c r="C20">
        <f>VLOOKUP(A20,NYSEARCAVTI!A$2:G$506,5,0)</f>
        <v>109.34</v>
      </c>
      <c r="D20">
        <f>VLOOKUP(A20,NYSEARCAVEU!A$2:G$506,5,0)</f>
        <v>49.69</v>
      </c>
      <c r="E20">
        <f>VLOOKUP(A20,NYSEARCAVWO!A$2:G$506,5,0)</f>
        <v>41.48</v>
      </c>
      <c r="F20">
        <f>VLOOKUP(A20,NYSEARCABND!A$2:G$506,5,0)</f>
        <v>81.45</v>
      </c>
      <c r="G20">
        <f>VLOOKUP(A20,NYSEARCATIP!A$2:G$506,5,0)</f>
        <v>112.62</v>
      </c>
      <c r="H20">
        <f>VLOOKUP(A20,NYSEARCAMUB!A$2:G$506,5,0)</f>
        <v>108.29</v>
      </c>
      <c r="I20">
        <f>VLOOKUP(A20,NYSEARCAVNQ!A$2:G$506,5,0)</f>
        <v>78.31</v>
      </c>
      <c r="J20">
        <f>VLOOKUP(A20,NYSEARCARWX!A$2:G$506,5,0)</f>
        <v>42.85</v>
      </c>
      <c r="K20">
        <f>VLOOKUP(A20,NYSEARCADBC!A$2:G$506,5,0)</f>
        <v>17.61</v>
      </c>
      <c r="L20">
        <f>VLOOKUP(A20,NYSEARCAGSG!A$2:G$506,5,0)</f>
        <v>20.96</v>
      </c>
      <c r="M20">
        <f>VLOOKUP(A20,NYSEARCAGLD!A$2:G$506,5,0)</f>
        <v>113.85</v>
      </c>
      <c r="N20">
        <f>VLOOKUP(A20,NYSEBP!A$2:G$506,5,0)</f>
        <v>41.21</v>
      </c>
      <c r="O20">
        <f>VLOOKUP(A20,NASDAQYHOO!A$2:G$506,5,0)</f>
        <v>40.96</v>
      </c>
    </row>
    <row r="21" spans="1:15">
      <c r="A21" s="39">
        <v>42173</v>
      </c>
      <c r="B21">
        <v>72.98</v>
      </c>
      <c r="C21">
        <f>VLOOKUP(A21,NYSEARCAVTI!A$2:G$506,5,0)</f>
        <v>110.42</v>
      </c>
      <c r="D21">
        <f>VLOOKUP(A21,NYSEARCAVEU!A$2:G$506,5,0)</f>
        <v>50.12</v>
      </c>
      <c r="E21">
        <f>VLOOKUP(A21,NYSEARCAVWO!A$2:G$506,5,0)</f>
        <v>41.85</v>
      </c>
      <c r="F21">
        <f>VLOOKUP(A21,NYSEARCABND!A$2:G$506,5,0)</f>
        <v>81.39</v>
      </c>
      <c r="G21">
        <f>VLOOKUP(A21,NYSEARCATIP!A$2:G$506,5,0)</f>
        <v>112.35</v>
      </c>
      <c r="H21">
        <f>VLOOKUP(A21,NYSEARCAMUB!A$2:G$506,5,0)</f>
        <v>108.26</v>
      </c>
      <c r="I21">
        <f>VLOOKUP(A21,NYSEARCAVNQ!A$2:G$506,5,0)</f>
        <v>79.39</v>
      </c>
      <c r="J21">
        <f>VLOOKUP(A21,NYSEARCARWX!A$2:G$506,5,0)</f>
        <v>43.09</v>
      </c>
      <c r="K21">
        <f>VLOOKUP(A21,NYSEARCADBC!A$2:G$506,5,0)</f>
        <v>17.61</v>
      </c>
      <c r="L21">
        <f>VLOOKUP(A21,NYSEARCAGSG!A$2:G$506,5,0)</f>
        <v>20.98</v>
      </c>
      <c r="M21">
        <f>VLOOKUP(A21,NYSEARCAGLD!A$2:G$506,5,0)</f>
        <v>115.32</v>
      </c>
      <c r="N21">
        <f>VLOOKUP(A21,NYSEBP!A$2:G$506,5,0)</f>
        <v>41.26</v>
      </c>
      <c r="O21">
        <f>VLOOKUP(A21,NASDAQYHOO!A$2:G$506,5,0)</f>
        <v>40.909999999999997</v>
      </c>
    </row>
    <row r="22" spans="1:15">
      <c r="A22" s="39">
        <v>42174</v>
      </c>
      <c r="B22">
        <v>72.739999999999995</v>
      </c>
      <c r="C22">
        <f>VLOOKUP(A22,NYSEARCAVTI!A$2:G$506,5,0)</f>
        <v>109.94</v>
      </c>
      <c r="D22">
        <f>VLOOKUP(A22,NYSEARCAVEU!A$2:G$506,5,0)</f>
        <v>49.89</v>
      </c>
      <c r="E22">
        <f>VLOOKUP(A22,NYSEARCAVWO!A$2:G$506,5,0)</f>
        <v>41.47</v>
      </c>
      <c r="F22">
        <f>VLOOKUP(A22,NYSEARCABND!A$2:G$506,5,0)</f>
        <v>81.62</v>
      </c>
      <c r="G22">
        <f>VLOOKUP(A22,NYSEARCATIP!A$2:G$506,5,0)</f>
        <v>112.61</v>
      </c>
      <c r="H22">
        <f>VLOOKUP(A22,NYSEARCAMUB!A$2:G$506,5,0)</f>
        <v>108.45</v>
      </c>
      <c r="I22">
        <f>VLOOKUP(A22,NYSEARCAVNQ!A$2:G$506,5,0)</f>
        <v>78.78</v>
      </c>
      <c r="J22">
        <f>VLOOKUP(A22,NYSEARCARWX!A$2:G$506,5,0)</f>
        <v>42.46</v>
      </c>
      <c r="K22">
        <f>VLOOKUP(A22,NYSEARCADBC!A$2:G$506,5,0)</f>
        <v>17.45</v>
      </c>
      <c r="L22">
        <f>VLOOKUP(A22,NYSEARCAGSG!A$2:G$506,5,0)</f>
        <v>20.72</v>
      </c>
      <c r="M22">
        <f>VLOOKUP(A22,NYSEARCAGLD!A$2:G$506,5,0)</f>
        <v>115.12</v>
      </c>
      <c r="N22">
        <f>VLOOKUP(A22,NYSEBP!A$2:G$506,5,0)</f>
        <v>41.15</v>
      </c>
      <c r="O22">
        <f>VLOOKUP(A22,NASDAQYHOO!A$2:G$506,5,0)</f>
        <v>40.51</v>
      </c>
    </row>
    <row r="23" spans="1:15">
      <c r="A23" s="39">
        <v>42177</v>
      </c>
      <c r="B23">
        <v>72.790000000000006</v>
      </c>
      <c r="C23">
        <f>VLOOKUP(A23,NYSEARCAVTI!A$2:G$506,5,0)</f>
        <v>110.61</v>
      </c>
      <c r="D23">
        <f>VLOOKUP(A23,NYSEARCAVEU!A$2:G$506,5,0)</f>
        <v>50.77</v>
      </c>
      <c r="E23">
        <f>VLOOKUP(A23,NYSEARCAVWO!A$2:G$506,5,0)</f>
        <v>42.01</v>
      </c>
      <c r="F23">
        <f>VLOOKUP(A23,NYSEARCABND!A$2:G$506,5,0)</f>
        <v>81.23</v>
      </c>
      <c r="G23">
        <f>VLOOKUP(A23,NYSEARCATIP!A$2:G$506,5,0)</f>
        <v>112.11</v>
      </c>
      <c r="H23">
        <f>VLOOKUP(A23,NYSEARCAMUB!A$2:G$506,5,0)</f>
        <v>108.12</v>
      </c>
      <c r="I23">
        <f>VLOOKUP(A23,NYSEARCAVNQ!A$2:G$506,5,0)</f>
        <v>77.97</v>
      </c>
      <c r="J23">
        <f>VLOOKUP(A23,NYSEARCARWX!A$2:G$506,5,0)</f>
        <v>42.89</v>
      </c>
      <c r="K23">
        <f>VLOOKUP(A23,NYSEARCADBC!A$2:G$506,5,0)</f>
        <v>17.510000000000002</v>
      </c>
      <c r="L23">
        <f>VLOOKUP(A23,NYSEARCAGSG!A$2:G$506,5,0)</f>
        <v>20.79</v>
      </c>
      <c r="M23">
        <f>VLOOKUP(A23,NYSEARCAGLD!A$2:G$506,5,0)</f>
        <v>113.64</v>
      </c>
      <c r="N23">
        <f>VLOOKUP(A23,NYSEBP!A$2:G$506,5,0)</f>
        <v>41.52</v>
      </c>
      <c r="O23">
        <f>VLOOKUP(A23,NASDAQYHOO!A$2:G$506,5,0)</f>
        <v>40.729999999999997</v>
      </c>
    </row>
    <row r="24" spans="1:15">
      <c r="A24" s="39">
        <v>42178</v>
      </c>
      <c r="B24">
        <v>72.569999999999993</v>
      </c>
      <c r="C24">
        <f>VLOOKUP(A24,NYSEARCAVTI!A$2:G$506,5,0)</f>
        <v>110.72</v>
      </c>
      <c r="D24">
        <f>VLOOKUP(A24,NYSEARCAVEU!A$2:G$506,5,0)</f>
        <v>51</v>
      </c>
      <c r="E24">
        <f>VLOOKUP(A24,NYSEARCAVWO!A$2:G$506,5,0)</f>
        <v>42.39</v>
      </c>
      <c r="F24">
        <f>VLOOKUP(A24,NYSEARCABND!A$2:G$506,5,0)</f>
        <v>81.040000000000006</v>
      </c>
      <c r="G24">
        <f>VLOOKUP(A24,NYSEARCATIP!A$2:G$506,5,0)</f>
        <v>111.86</v>
      </c>
      <c r="H24">
        <f>VLOOKUP(A24,NYSEARCAMUB!A$2:G$506,5,0)</f>
        <v>108.09</v>
      </c>
      <c r="I24">
        <f>VLOOKUP(A24,NYSEARCAVNQ!A$2:G$506,5,0)</f>
        <v>77.319999999999993</v>
      </c>
      <c r="J24">
        <f>VLOOKUP(A24,NYSEARCARWX!A$2:G$506,5,0)</f>
        <v>43.05</v>
      </c>
      <c r="K24">
        <f>VLOOKUP(A24,NYSEARCADBC!A$2:G$506,5,0)</f>
        <v>17.72</v>
      </c>
      <c r="L24">
        <f>VLOOKUP(A24,NYSEARCAGSG!A$2:G$506,5,0)</f>
        <v>21.1</v>
      </c>
      <c r="M24">
        <f>VLOOKUP(A24,NYSEARCAGLD!A$2:G$506,5,0)</f>
        <v>112.89</v>
      </c>
      <c r="N24">
        <f>VLOOKUP(A24,NYSEBP!A$2:G$506,5,0)</f>
        <v>41.54</v>
      </c>
      <c r="O24">
        <f>VLOOKUP(A24,NASDAQYHOO!A$2:G$506,5,0)</f>
        <v>40.65</v>
      </c>
    </row>
    <row r="25" spans="1:15">
      <c r="A25" s="39">
        <v>42179</v>
      </c>
      <c r="B25">
        <v>72.38</v>
      </c>
      <c r="C25">
        <f>VLOOKUP(A25,NYSEARCAVTI!A$2:G$506,5,0)</f>
        <v>109.88</v>
      </c>
      <c r="D25">
        <f>VLOOKUP(A25,NYSEARCAVEU!A$2:G$506,5,0)</f>
        <v>50.58</v>
      </c>
      <c r="E25">
        <f>VLOOKUP(A25,NYSEARCAVWO!A$2:G$506,5,0)</f>
        <v>42.17</v>
      </c>
      <c r="F25">
        <f>VLOOKUP(A25,NYSEARCABND!A$2:G$506,5,0)</f>
        <v>81.19</v>
      </c>
      <c r="G25">
        <f>VLOOKUP(A25,NYSEARCATIP!A$2:G$506,5,0)</f>
        <v>112.06</v>
      </c>
      <c r="H25">
        <f>VLOOKUP(A25,NYSEARCAMUB!A$2:G$506,5,0)</f>
        <v>108.38</v>
      </c>
      <c r="I25">
        <f>VLOOKUP(A25,NYSEARCAVNQ!A$2:G$506,5,0)</f>
        <v>76.900000000000006</v>
      </c>
      <c r="J25">
        <f>VLOOKUP(A25,NYSEARCARWX!A$2:G$506,5,0)</f>
        <v>42.72</v>
      </c>
      <c r="K25">
        <f>VLOOKUP(A25,NYSEARCADBC!A$2:G$506,5,0)</f>
        <v>17.600000000000001</v>
      </c>
      <c r="L25">
        <f>VLOOKUP(A25,NYSEARCAGSG!A$2:G$506,5,0)</f>
        <v>20.87</v>
      </c>
      <c r="M25">
        <f>VLOOKUP(A25,NYSEARCAGLD!A$2:G$506,5,0)</f>
        <v>112.59</v>
      </c>
      <c r="N25">
        <f>VLOOKUP(A25,NYSEBP!A$2:G$506,5,0)</f>
        <v>41.83</v>
      </c>
      <c r="O25">
        <f>VLOOKUP(A25,NASDAQYHOO!A$2:G$506,5,0)</f>
        <v>40.94</v>
      </c>
    </row>
    <row r="26" spans="1:15">
      <c r="A26" s="39">
        <v>42180</v>
      </c>
      <c r="B26">
        <v>71.86</v>
      </c>
      <c r="C26">
        <f>VLOOKUP(A26,NYSEARCAVTI!A$2:G$506,5,0)</f>
        <v>109.54</v>
      </c>
      <c r="D26">
        <f>VLOOKUP(A26,NYSEARCAVEU!A$2:G$506,5,0)</f>
        <v>50.54</v>
      </c>
      <c r="E26">
        <f>VLOOKUP(A26,NYSEARCAVWO!A$2:G$506,5,0)</f>
        <v>42.02</v>
      </c>
      <c r="F26">
        <f>VLOOKUP(A26,NYSEARCABND!A$2:G$506,5,0)</f>
        <v>81.08</v>
      </c>
      <c r="G26">
        <f>VLOOKUP(A26,NYSEARCATIP!A$2:G$506,5,0)</f>
        <v>111.94</v>
      </c>
      <c r="H26">
        <f>VLOOKUP(A26,NYSEARCAMUB!A$2:G$506,5,0)</f>
        <v>108.26</v>
      </c>
      <c r="I26">
        <f>VLOOKUP(A26,NYSEARCAVNQ!A$2:G$506,5,0)</f>
        <v>76.12</v>
      </c>
      <c r="J26">
        <f>VLOOKUP(A26,NYSEARCARWX!A$2:G$506,5,0)</f>
        <v>42.75</v>
      </c>
      <c r="K26">
        <f>VLOOKUP(A26,NYSEARCADBC!A$2:G$506,5,0)</f>
        <v>17.62</v>
      </c>
      <c r="L26">
        <f>VLOOKUP(A26,NYSEARCAGSG!A$2:G$506,5,0)</f>
        <v>20.82</v>
      </c>
      <c r="M26">
        <f>VLOOKUP(A26,NYSEARCAGLD!A$2:G$506,5,0)</f>
        <v>112.44</v>
      </c>
      <c r="N26">
        <f>VLOOKUP(A26,NYSEBP!A$2:G$506,5,0)</f>
        <v>41.89</v>
      </c>
      <c r="O26">
        <f>VLOOKUP(A26,NASDAQYHOO!A$2:G$506,5,0)</f>
        <v>41.06</v>
      </c>
    </row>
    <row r="27" spans="1:15">
      <c r="A27" s="39">
        <v>42181</v>
      </c>
      <c r="B27">
        <v>72.12</v>
      </c>
      <c r="C27">
        <f>VLOOKUP(A27,NYSEARCAVTI!A$2:G$506,5,0)</f>
        <v>109.01</v>
      </c>
      <c r="D27">
        <f>VLOOKUP(A27,NYSEARCAVEU!A$2:G$506,5,0)</f>
        <v>49.89</v>
      </c>
      <c r="E27">
        <f>VLOOKUP(A27,NYSEARCAVWO!A$2:G$506,5,0)</f>
        <v>41.25</v>
      </c>
      <c r="F27">
        <f>VLOOKUP(A27,NYSEARCABND!A$2:G$506,5,0)</f>
        <v>80.930000000000007</v>
      </c>
      <c r="G27">
        <f>VLOOKUP(A27,NYSEARCATIP!A$2:G$506,5,0)</f>
        <v>111.44</v>
      </c>
      <c r="H27">
        <f>VLOOKUP(A27,NYSEARCAMUB!A$2:G$506,5,0)</f>
        <v>108.13</v>
      </c>
      <c r="I27">
        <f>VLOOKUP(A27,NYSEARCAVNQ!A$2:G$506,5,0)</f>
        <v>75.900000000000006</v>
      </c>
      <c r="J27">
        <f>VLOOKUP(A27,NYSEARCARWX!A$2:G$506,5,0)</f>
        <v>42.76</v>
      </c>
      <c r="K27">
        <f>VLOOKUP(A27,NYSEARCADBC!A$2:G$506,5,0)</f>
        <v>17.7</v>
      </c>
      <c r="L27">
        <f>VLOOKUP(A27,NYSEARCAGSG!A$2:G$506,5,0)</f>
        <v>20.91</v>
      </c>
      <c r="M27">
        <f>VLOOKUP(A27,NYSEARCAGLD!A$2:G$506,5,0)</f>
        <v>112.56</v>
      </c>
      <c r="N27">
        <f>VLOOKUP(A27,NYSEBP!A$2:G$506,5,0)</f>
        <v>41.35</v>
      </c>
      <c r="O27">
        <f>VLOOKUP(A27,NASDAQYHOO!A$2:G$506,5,0)</f>
        <v>40.06</v>
      </c>
    </row>
    <row r="28" spans="1:15">
      <c r="A28" s="39">
        <v>42184</v>
      </c>
      <c r="B28">
        <v>71.42</v>
      </c>
      <c r="C28">
        <f>VLOOKUP(A28,NYSEARCAVTI!A$2:G$506,5,0)</f>
        <v>106.73</v>
      </c>
      <c r="D28">
        <f>VLOOKUP(A28,NYSEARCAVEU!A$2:G$506,5,0)</f>
        <v>48.5</v>
      </c>
      <c r="E28">
        <f>VLOOKUP(A28,NYSEARCAVWO!A$2:G$506,5,0)</f>
        <v>40.340000000000003</v>
      </c>
      <c r="F28">
        <f>VLOOKUP(A28,NYSEARCABND!A$2:G$506,5,0)</f>
        <v>81.34</v>
      </c>
      <c r="G28">
        <f>VLOOKUP(A28,NYSEARCATIP!A$2:G$506,5,0)</f>
        <v>112.26</v>
      </c>
      <c r="H28">
        <f>VLOOKUP(A28,NYSEARCAMUB!A$2:G$506,5,0)</f>
        <v>108.59</v>
      </c>
      <c r="I28">
        <f>VLOOKUP(A28,NYSEARCAVNQ!A$2:G$506,5,0)</f>
        <v>74.72</v>
      </c>
      <c r="J28">
        <f>VLOOKUP(A28,NYSEARCARWX!A$2:G$506,5,0)</f>
        <v>41.73</v>
      </c>
      <c r="K28">
        <f>VLOOKUP(A28,NYSEARCADBC!A$2:G$506,5,0)</f>
        <v>17.62</v>
      </c>
      <c r="L28">
        <f>VLOOKUP(A28,NYSEARCAGSG!A$2:G$506,5,0)</f>
        <v>20.71</v>
      </c>
      <c r="M28">
        <f>VLOOKUP(A28,NYSEARCAGLD!A$2:G$506,5,0)</f>
        <v>113.07</v>
      </c>
      <c r="N28">
        <f>VLOOKUP(A28,NYSEBP!A$2:G$506,5,0)</f>
        <v>40.31</v>
      </c>
      <c r="O28">
        <f>VLOOKUP(A28,NASDAQYHOO!A$2:G$506,5,0)</f>
        <v>38.909999999999997</v>
      </c>
    </row>
    <row r="29" spans="1:15">
      <c r="A29" s="39">
        <v>42185</v>
      </c>
      <c r="B29">
        <v>70.930000000000007</v>
      </c>
      <c r="C29">
        <f>VLOOKUP(A29,NYSEARCAVTI!A$2:G$506,5,0)</f>
        <v>107.02</v>
      </c>
      <c r="D29">
        <f>VLOOKUP(A29,NYSEARCAVEU!A$2:G$506,5,0)</f>
        <v>48.55</v>
      </c>
      <c r="E29">
        <f>VLOOKUP(A29,NYSEARCAVWO!A$2:G$506,5,0)</f>
        <v>40.880000000000003</v>
      </c>
      <c r="F29">
        <f>VLOOKUP(A29,NYSEARCABND!A$2:G$506,5,0)</f>
        <v>81.260000000000005</v>
      </c>
      <c r="G29">
        <f>VLOOKUP(A29,NYSEARCATIP!A$2:G$506,5,0)</f>
        <v>112.05</v>
      </c>
      <c r="H29">
        <f>VLOOKUP(A29,NYSEARCAMUB!A$2:G$506,5,0)</f>
        <v>108.21</v>
      </c>
      <c r="I29">
        <f>VLOOKUP(A29,NYSEARCAVNQ!A$2:G$506,5,0)</f>
        <v>74.69</v>
      </c>
      <c r="J29">
        <f>VLOOKUP(A29,NYSEARCARWX!A$2:G$506,5,0)</f>
        <v>41.86</v>
      </c>
      <c r="K29">
        <f>VLOOKUP(A29,NYSEARCADBC!A$2:G$506,5,0)</f>
        <v>18</v>
      </c>
      <c r="L29">
        <f>VLOOKUP(A29,NYSEARCAGSG!A$2:G$506,5,0)</f>
        <v>21.11</v>
      </c>
      <c r="M29">
        <f>VLOOKUP(A29,NYSEARCAGLD!A$2:G$506,5,0)</f>
        <v>112.37</v>
      </c>
      <c r="N29">
        <f>VLOOKUP(A29,NYSEBP!A$2:G$506,5,0)</f>
        <v>39.96</v>
      </c>
      <c r="O29">
        <f>VLOOKUP(A29,NASDAQYHOO!A$2:G$506,5,0)</f>
        <v>39.29</v>
      </c>
    </row>
    <row r="30" spans="1:15">
      <c r="A30" s="39">
        <v>42186</v>
      </c>
      <c r="B30">
        <v>71.88</v>
      </c>
      <c r="C30">
        <f>VLOOKUP(A30,NYSEARCAVTI!A$2:G$506,5,0)</f>
        <v>107.72</v>
      </c>
      <c r="D30">
        <f>VLOOKUP(A30,NYSEARCAVEU!A$2:G$506,5,0)</f>
        <v>48.79</v>
      </c>
      <c r="E30">
        <f>VLOOKUP(A30,NYSEARCAVWO!A$2:G$506,5,0)</f>
        <v>40.880000000000003</v>
      </c>
      <c r="F30">
        <f>VLOOKUP(A30,NYSEARCABND!A$2:G$506,5,0)</f>
        <v>80.900000000000006</v>
      </c>
      <c r="G30">
        <f>VLOOKUP(A30,NYSEARCATIP!A$2:G$506,5,0)</f>
        <v>111.64</v>
      </c>
      <c r="H30">
        <f>VLOOKUP(A30,NYSEARCAMUB!A$2:G$506,5,0)</f>
        <v>107.99</v>
      </c>
      <c r="I30">
        <f>VLOOKUP(A30,NYSEARCAVNQ!A$2:G$506,5,0)</f>
        <v>75.92</v>
      </c>
      <c r="J30">
        <f>VLOOKUP(A30,NYSEARCARWX!A$2:G$506,5,0)</f>
        <v>42</v>
      </c>
      <c r="K30">
        <f>VLOOKUP(A30,NYSEARCADBC!A$2:G$506,5,0)</f>
        <v>17.78</v>
      </c>
      <c r="L30">
        <f>VLOOKUP(A30,NYSEARCAGSG!A$2:G$506,5,0)</f>
        <v>20.77</v>
      </c>
      <c r="M30">
        <f>VLOOKUP(A30,NYSEARCAGLD!A$2:G$506,5,0)</f>
        <v>111.98</v>
      </c>
      <c r="N30">
        <f>VLOOKUP(A30,NYSEBP!A$2:G$506,5,0)</f>
        <v>39.270000000000003</v>
      </c>
      <c r="O30">
        <f>VLOOKUP(A30,NASDAQYHOO!A$2:G$506,5,0)</f>
        <v>39.33</v>
      </c>
    </row>
    <row r="31" spans="1:15">
      <c r="A31" s="39">
        <v>42187</v>
      </c>
      <c r="B31">
        <v>71.86</v>
      </c>
      <c r="C31">
        <f>VLOOKUP(A31,NYSEARCAVTI!A$2:G$506,5,0)</f>
        <v>107.58</v>
      </c>
      <c r="D31">
        <f>VLOOKUP(A31,NYSEARCAVEU!A$2:G$506,5,0)</f>
        <v>48.85</v>
      </c>
      <c r="E31">
        <f>VLOOKUP(A31,NYSEARCAVWO!A$2:G$506,5,0)</f>
        <v>41.07</v>
      </c>
      <c r="F31">
        <f>VLOOKUP(A31,NYSEARCABND!A$2:G$506,5,0)</f>
        <v>81.099999999999994</v>
      </c>
      <c r="G31">
        <f>VLOOKUP(A31,NYSEARCATIP!A$2:G$506,5,0)</f>
        <v>112.13</v>
      </c>
      <c r="H31">
        <f>VLOOKUP(A31,NYSEARCAMUB!A$2:G$506,5,0)</f>
        <v>108.15</v>
      </c>
      <c r="I31">
        <f>VLOOKUP(A31,NYSEARCAVNQ!A$2:G$506,5,0)</f>
        <v>76.11</v>
      </c>
      <c r="J31">
        <f>VLOOKUP(A31,NYSEARCARWX!A$2:G$506,5,0)</f>
        <v>41.91</v>
      </c>
      <c r="K31">
        <f>VLOOKUP(A31,NYSEARCADBC!A$2:G$506,5,0)</f>
        <v>17.75</v>
      </c>
      <c r="L31">
        <f>VLOOKUP(A31,NYSEARCAGSG!A$2:G$506,5,0)</f>
        <v>20.75</v>
      </c>
      <c r="M31">
        <f>VLOOKUP(A31,NYSEARCAGLD!A$2:G$506,5,0)</f>
        <v>111.76</v>
      </c>
      <c r="N31">
        <f>VLOOKUP(A31,NYSEBP!A$2:G$506,5,0)</f>
        <v>41.29</v>
      </c>
      <c r="O31">
        <f>VLOOKUP(A31,NASDAQYHOO!A$2:G$506,5,0)</f>
        <v>39.380000000000003</v>
      </c>
    </row>
    <row r="32" spans="1:15">
      <c r="A32" s="39">
        <v>42191</v>
      </c>
      <c r="B32">
        <v>72.53</v>
      </c>
      <c r="C32">
        <f>VLOOKUP(A32,NYSEARCAVTI!A$2:G$506,5,0)</f>
        <v>107.3</v>
      </c>
      <c r="D32">
        <f>VLOOKUP(A32,NYSEARCAVEU!A$2:G$506,5,0)</f>
        <v>47.91</v>
      </c>
      <c r="E32">
        <f>VLOOKUP(A32,NYSEARCAVWO!A$2:G$506,5,0)</f>
        <v>39.93</v>
      </c>
      <c r="F32">
        <f>VLOOKUP(A32,NYSEARCABND!A$2:G$506,5,0)</f>
        <v>81.38</v>
      </c>
      <c r="G32">
        <f>VLOOKUP(A32,NYSEARCATIP!A$2:G$506,5,0)</f>
        <v>112.57</v>
      </c>
      <c r="H32">
        <f>VLOOKUP(A32,NYSEARCAMUB!A$2:G$506,5,0)</f>
        <v>108.32</v>
      </c>
      <c r="I32">
        <f>VLOOKUP(A32,NYSEARCAVNQ!A$2:G$506,5,0)</f>
        <v>76.59</v>
      </c>
      <c r="J32">
        <f>VLOOKUP(A32,NYSEARCARWX!A$2:G$506,5,0)</f>
        <v>41.5</v>
      </c>
      <c r="K32">
        <f>VLOOKUP(A32,NYSEARCADBC!A$2:G$506,5,0)</f>
        <v>17.170000000000002</v>
      </c>
      <c r="L32">
        <f>VLOOKUP(A32,NYSEARCAGSG!A$2:G$506,5,0)</f>
        <v>19.84</v>
      </c>
      <c r="M32">
        <f>VLOOKUP(A32,NYSEARCAGLD!A$2:G$506,5,0)</f>
        <v>112.06</v>
      </c>
      <c r="N32">
        <f>VLOOKUP(A32,NYSEBP!A$2:G$506,5,0)</f>
        <v>39.909999999999997</v>
      </c>
      <c r="O32">
        <f>VLOOKUP(A32,NASDAQYHOO!A$2:G$506,5,0)</f>
        <v>38.61</v>
      </c>
    </row>
    <row r="33" spans="1:15">
      <c r="A33" s="39">
        <v>42192</v>
      </c>
      <c r="B33">
        <v>73.790000000000006</v>
      </c>
      <c r="C33">
        <f>VLOOKUP(A33,NYSEARCAVTI!A$2:G$506,5,0)</f>
        <v>107.89</v>
      </c>
      <c r="D33">
        <f>VLOOKUP(A33,NYSEARCAVEU!A$2:G$506,5,0)</f>
        <v>47.77</v>
      </c>
      <c r="E33">
        <f>VLOOKUP(A33,NYSEARCAVWO!A$2:G$506,5,0)</f>
        <v>39.32</v>
      </c>
      <c r="F33">
        <f>VLOOKUP(A33,NYSEARCABND!A$2:G$506,5,0)</f>
        <v>81.459999999999994</v>
      </c>
      <c r="G33">
        <f>VLOOKUP(A33,NYSEARCATIP!A$2:G$506,5,0)</f>
        <v>112.94</v>
      </c>
      <c r="H33">
        <f>VLOOKUP(A33,NYSEARCAMUB!A$2:G$506,5,0)</f>
        <v>108.3</v>
      </c>
      <c r="I33">
        <f>VLOOKUP(A33,NYSEARCAVNQ!A$2:G$506,5,0)</f>
        <v>77.790000000000006</v>
      </c>
      <c r="J33">
        <f>VLOOKUP(A33,NYSEARCARWX!A$2:G$506,5,0)</f>
        <v>41.58</v>
      </c>
      <c r="K33">
        <f>VLOOKUP(A33,NYSEARCADBC!A$2:G$506,5,0)</f>
        <v>17.07</v>
      </c>
      <c r="L33">
        <f>VLOOKUP(A33,NYSEARCAGSG!A$2:G$506,5,0)</f>
        <v>19.8</v>
      </c>
      <c r="M33">
        <f>VLOOKUP(A33,NYSEARCAGLD!A$2:G$506,5,0)</f>
        <v>110.76</v>
      </c>
      <c r="N33">
        <f>VLOOKUP(A33,NYSEBP!A$2:G$506,5,0)</f>
        <v>39.71</v>
      </c>
      <c r="O33">
        <f>VLOOKUP(A33,NASDAQYHOO!A$2:G$506,5,0)</f>
        <v>38.229999999999997</v>
      </c>
    </row>
    <row r="34" spans="1:15">
      <c r="A34" s="39">
        <v>42193</v>
      </c>
      <c r="B34">
        <v>73.06</v>
      </c>
      <c r="C34">
        <f>VLOOKUP(A34,NYSEARCAVTI!A$2:G$506,5,0)</f>
        <v>106.09</v>
      </c>
      <c r="D34">
        <f>VLOOKUP(A34,NYSEARCAVEU!A$2:G$506,5,0)</f>
        <v>46.52</v>
      </c>
      <c r="E34">
        <f>VLOOKUP(A34,NYSEARCAVWO!A$2:G$506,5,0)</f>
        <v>37.869999999999997</v>
      </c>
      <c r="F34">
        <f>VLOOKUP(A34,NYSEARCABND!A$2:G$506,5,0)</f>
        <v>81.69</v>
      </c>
      <c r="G34">
        <f>VLOOKUP(A34,NYSEARCATIP!A$2:G$506,5,0)</f>
        <v>113.08</v>
      </c>
      <c r="H34">
        <f>VLOOKUP(A34,NYSEARCAMUB!A$2:G$506,5,0)</f>
        <v>108.7</v>
      </c>
      <c r="I34">
        <f>VLOOKUP(A34,NYSEARCAVNQ!A$2:G$506,5,0)</f>
        <v>77.489999999999995</v>
      </c>
      <c r="J34">
        <f>VLOOKUP(A34,NYSEARCARWX!A$2:G$506,5,0)</f>
        <v>40.479999999999997</v>
      </c>
      <c r="K34">
        <f>VLOOKUP(A34,NYSEARCADBC!A$2:G$506,5,0)</f>
        <v>16.989999999999998</v>
      </c>
      <c r="L34">
        <f>VLOOKUP(A34,NYSEARCAGSG!A$2:G$506,5,0)</f>
        <v>19.690000000000001</v>
      </c>
      <c r="M34">
        <f>VLOOKUP(A34,NYSEARCAGLD!A$2:G$506,5,0)</f>
        <v>111.09</v>
      </c>
      <c r="N34">
        <f>VLOOKUP(A34,NYSEBP!A$2:G$506,5,0)</f>
        <v>39.15</v>
      </c>
      <c r="O34">
        <f>VLOOKUP(A34,NASDAQYHOO!A$2:G$506,5,0)</f>
        <v>37.229999999999997</v>
      </c>
    </row>
    <row r="35" spans="1:15">
      <c r="A35" s="39">
        <v>42194</v>
      </c>
      <c r="B35">
        <v>72.78</v>
      </c>
      <c r="C35">
        <f>VLOOKUP(A35,NYSEARCAVTI!A$2:G$506,5,0)</f>
        <v>106.31</v>
      </c>
      <c r="D35">
        <f>VLOOKUP(A35,NYSEARCAVEU!A$2:G$506,5,0)</f>
        <v>47.25</v>
      </c>
      <c r="E35">
        <f>VLOOKUP(A35,NYSEARCAVWO!A$2:G$506,5,0)</f>
        <v>38.64</v>
      </c>
      <c r="F35">
        <f>VLOOKUP(A35,NYSEARCABND!A$2:G$506,5,0)</f>
        <v>81.42</v>
      </c>
      <c r="G35">
        <f>VLOOKUP(A35,NYSEARCATIP!A$2:G$506,5,0)</f>
        <v>112.35</v>
      </c>
      <c r="H35">
        <f>VLOOKUP(A35,NYSEARCAMUB!A$2:G$506,5,0)</f>
        <v>108.53</v>
      </c>
      <c r="I35">
        <f>VLOOKUP(A35,NYSEARCAVNQ!A$2:G$506,5,0)</f>
        <v>77.12</v>
      </c>
      <c r="J35">
        <f>VLOOKUP(A35,NYSEARCARWX!A$2:G$506,5,0)</f>
        <v>40.869999999999997</v>
      </c>
      <c r="K35">
        <f>VLOOKUP(A35,NYSEARCADBC!A$2:G$506,5,0)</f>
        <v>17.190000000000001</v>
      </c>
      <c r="L35">
        <f>VLOOKUP(A35,NYSEARCAGSG!A$2:G$506,5,0)</f>
        <v>19.98</v>
      </c>
      <c r="M35">
        <f>VLOOKUP(A35,NYSEARCAGLD!A$2:G$506,5,0)</f>
        <v>111.36</v>
      </c>
      <c r="N35">
        <f>VLOOKUP(A35,NYSEBP!A$2:G$506,5,0)</f>
        <v>39.130000000000003</v>
      </c>
      <c r="O35">
        <f>VLOOKUP(A35,NASDAQYHOO!A$2:G$506,5,0)</f>
        <v>37.61</v>
      </c>
    </row>
    <row r="36" spans="1:15">
      <c r="A36" s="39">
        <v>42195</v>
      </c>
      <c r="B36">
        <v>73.12</v>
      </c>
      <c r="C36">
        <f>VLOOKUP(A36,NYSEARCAVTI!A$2:G$506,5,0)</f>
        <v>107.6</v>
      </c>
      <c r="D36">
        <f>VLOOKUP(A36,NYSEARCAVEU!A$2:G$506,5,0)</f>
        <v>48.58</v>
      </c>
      <c r="E36">
        <f>VLOOKUP(A36,NYSEARCAVWO!A$2:G$506,5,0)</f>
        <v>39.729999999999997</v>
      </c>
      <c r="F36">
        <f>VLOOKUP(A36,NYSEARCABND!A$2:G$506,5,0)</f>
        <v>81.040000000000006</v>
      </c>
      <c r="G36">
        <f>VLOOKUP(A36,NYSEARCATIP!A$2:G$506,5,0)</f>
        <v>111.82</v>
      </c>
      <c r="H36">
        <f>VLOOKUP(A36,NYSEARCAMUB!A$2:G$506,5,0)</f>
        <v>108.41</v>
      </c>
      <c r="I36">
        <f>VLOOKUP(A36,NYSEARCAVNQ!A$2:G$506,5,0)</f>
        <v>77.760000000000005</v>
      </c>
      <c r="J36">
        <f>VLOOKUP(A36,NYSEARCARWX!A$2:G$506,5,0)</f>
        <v>41.69</v>
      </c>
      <c r="K36">
        <f>VLOOKUP(A36,NYSEARCADBC!A$2:G$506,5,0)</f>
        <v>17.27</v>
      </c>
      <c r="L36">
        <f>VLOOKUP(A36,NYSEARCAGSG!A$2:G$506,5,0)</f>
        <v>19.989999999999998</v>
      </c>
      <c r="M36">
        <f>VLOOKUP(A36,NYSEARCAGLD!A$2:G$506,5,0)</f>
        <v>111.49</v>
      </c>
      <c r="N36">
        <f>VLOOKUP(A36,NYSEBP!A$2:G$506,5,0)</f>
        <v>39.9</v>
      </c>
      <c r="O36">
        <f>VLOOKUP(A36,NASDAQYHOO!A$2:G$506,5,0)</f>
        <v>37.92</v>
      </c>
    </row>
    <row r="37" spans="1:15">
      <c r="A37" s="39">
        <v>42198</v>
      </c>
      <c r="B37">
        <v>73.88</v>
      </c>
      <c r="C37">
        <f>VLOOKUP(A37,NYSEARCAVTI!A$2:G$506,5,0)</f>
        <v>108.82</v>
      </c>
      <c r="D37">
        <f>VLOOKUP(A37,NYSEARCAVEU!A$2:G$506,5,0)</f>
        <v>48.81</v>
      </c>
      <c r="E37">
        <f>VLOOKUP(A37,NYSEARCAVWO!A$2:G$506,5,0)</f>
        <v>39.979999999999997</v>
      </c>
      <c r="F37">
        <f>VLOOKUP(A37,NYSEARCABND!A$2:G$506,5,0)</f>
        <v>80.849999999999994</v>
      </c>
      <c r="G37">
        <f>VLOOKUP(A37,NYSEARCATIP!A$2:G$506,5,0)</f>
        <v>111.43</v>
      </c>
      <c r="H37">
        <f>VLOOKUP(A37,NYSEARCAMUB!A$2:G$506,5,0)</f>
        <v>108.36</v>
      </c>
      <c r="I37">
        <f>VLOOKUP(A37,NYSEARCAVNQ!A$2:G$506,5,0)</f>
        <v>77.87</v>
      </c>
      <c r="J37">
        <f>VLOOKUP(A37,NYSEARCARWX!A$2:G$506,5,0)</f>
        <v>42.17</v>
      </c>
      <c r="K37">
        <f>VLOOKUP(A37,NYSEARCADBC!A$2:G$506,5,0)</f>
        <v>17.28</v>
      </c>
      <c r="L37">
        <f>VLOOKUP(A37,NYSEARCAGSG!A$2:G$506,5,0)</f>
        <v>19.88</v>
      </c>
      <c r="M37">
        <f>VLOOKUP(A37,NYSEARCAGLD!A$2:G$506,5,0)</f>
        <v>110.99</v>
      </c>
      <c r="N37">
        <f>VLOOKUP(A37,NYSEBP!A$2:G$506,5,0)</f>
        <v>39.96</v>
      </c>
      <c r="O37">
        <f>VLOOKUP(A37,NASDAQYHOO!A$2:G$506,5,0)</f>
        <v>38.76</v>
      </c>
    </row>
    <row r="38" spans="1:15">
      <c r="A38" s="39">
        <v>42199</v>
      </c>
      <c r="B38">
        <v>73.790000000000006</v>
      </c>
      <c r="C38">
        <f>VLOOKUP(A38,NYSEARCAVTI!A$2:G$506,5,0)</f>
        <v>109.31</v>
      </c>
      <c r="D38">
        <f>VLOOKUP(A38,NYSEARCAVEU!A$2:G$506,5,0)</f>
        <v>49.1</v>
      </c>
      <c r="E38">
        <f>VLOOKUP(A38,NYSEARCAVWO!A$2:G$506,5,0)</f>
        <v>40.08</v>
      </c>
      <c r="F38">
        <f>VLOOKUP(A38,NYSEARCABND!A$2:G$506,5,0)</f>
        <v>81</v>
      </c>
      <c r="G38">
        <f>VLOOKUP(A38,NYSEARCATIP!A$2:G$506,5,0)</f>
        <v>111.61</v>
      </c>
      <c r="H38">
        <f>VLOOKUP(A38,NYSEARCAMUB!A$2:G$506,5,0)</f>
        <v>108.46</v>
      </c>
      <c r="I38">
        <f>VLOOKUP(A38,NYSEARCAVNQ!A$2:G$506,5,0)</f>
        <v>78.03</v>
      </c>
      <c r="J38">
        <f>VLOOKUP(A38,NYSEARCARWX!A$2:G$506,5,0)</f>
        <v>42.49</v>
      </c>
      <c r="K38">
        <f>VLOOKUP(A38,NYSEARCADBC!A$2:G$506,5,0)</f>
        <v>17.22</v>
      </c>
      <c r="L38">
        <f>VLOOKUP(A38,NYSEARCAGSG!A$2:G$506,5,0)</f>
        <v>19.920000000000002</v>
      </c>
      <c r="M38">
        <f>VLOOKUP(A38,NYSEARCAGLD!A$2:G$506,5,0)</f>
        <v>110.74</v>
      </c>
      <c r="N38">
        <f>VLOOKUP(A38,NYSEBP!A$2:G$506,5,0)</f>
        <v>40.33</v>
      </c>
      <c r="O38">
        <f>VLOOKUP(A38,NASDAQYHOO!A$2:G$506,5,0)</f>
        <v>38.630000000000003</v>
      </c>
    </row>
    <row r="39" spans="1:15">
      <c r="A39" s="39">
        <v>42200</v>
      </c>
      <c r="B39">
        <v>73.650000000000006</v>
      </c>
      <c r="C39">
        <f>VLOOKUP(A39,NYSEARCAVTI!A$2:G$506,5,0)</f>
        <v>109.17</v>
      </c>
      <c r="D39">
        <f>VLOOKUP(A39,NYSEARCAVEU!A$2:G$506,5,0)</f>
        <v>48.8</v>
      </c>
      <c r="E39">
        <f>VLOOKUP(A39,NYSEARCAVWO!A$2:G$506,5,0)</f>
        <v>39.590000000000003</v>
      </c>
      <c r="F39">
        <f>VLOOKUP(A39,NYSEARCABND!A$2:G$506,5,0)</f>
        <v>81.23</v>
      </c>
      <c r="G39">
        <f>VLOOKUP(A39,NYSEARCATIP!A$2:G$506,5,0)</f>
        <v>111.92</v>
      </c>
      <c r="H39">
        <f>VLOOKUP(A39,NYSEARCAMUB!A$2:G$506,5,0)</f>
        <v>108.4</v>
      </c>
      <c r="I39">
        <f>VLOOKUP(A39,NYSEARCAVNQ!A$2:G$506,5,0)</f>
        <v>78.16</v>
      </c>
      <c r="J39">
        <f>VLOOKUP(A39,NYSEARCARWX!A$2:G$506,5,0)</f>
        <v>42.37</v>
      </c>
      <c r="K39">
        <f>VLOOKUP(A39,NYSEARCADBC!A$2:G$506,5,0)</f>
        <v>17.02</v>
      </c>
      <c r="L39">
        <f>VLOOKUP(A39,NYSEARCAGSG!A$2:G$506,5,0)</f>
        <v>19.579999999999998</v>
      </c>
      <c r="M39">
        <f>VLOOKUP(A39,NYSEARCAGLD!A$2:G$506,5,0)</f>
        <v>110.16</v>
      </c>
      <c r="N39">
        <f>VLOOKUP(A39,NYSEBP!A$2:G$506,5,0)</f>
        <v>40.04</v>
      </c>
      <c r="O39">
        <f>VLOOKUP(A39,NASDAQYHOO!A$2:G$506,5,0)</f>
        <v>38.380000000000003</v>
      </c>
    </row>
    <row r="40" spans="1:15">
      <c r="A40" s="39">
        <v>42201</v>
      </c>
      <c r="B40">
        <v>73.83</v>
      </c>
      <c r="C40">
        <f>VLOOKUP(A40,NYSEARCAVTI!A$2:G$506,5,0)</f>
        <v>109.93</v>
      </c>
      <c r="D40">
        <f>VLOOKUP(A40,NYSEARCAVEU!A$2:G$506,5,0)</f>
        <v>49.25</v>
      </c>
      <c r="E40">
        <f>VLOOKUP(A40,NYSEARCAVWO!A$2:G$506,5,0)</f>
        <v>40.06</v>
      </c>
      <c r="F40">
        <f>VLOOKUP(A40,NYSEARCABND!A$2:G$506,5,0)</f>
        <v>81.23</v>
      </c>
      <c r="G40">
        <f>VLOOKUP(A40,NYSEARCATIP!A$2:G$506,5,0)</f>
        <v>112.06</v>
      </c>
      <c r="H40">
        <f>VLOOKUP(A40,NYSEARCAMUB!A$2:G$506,5,0)</f>
        <v>108.49</v>
      </c>
      <c r="I40">
        <f>VLOOKUP(A40,NYSEARCAVNQ!A$2:G$506,5,0)</f>
        <v>78.790000000000006</v>
      </c>
      <c r="J40">
        <f>VLOOKUP(A40,NYSEARCARWX!A$2:G$506,5,0)</f>
        <v>42.79</v>
      </c>
      <c r="K40">
        <f>VLOOKUP(A40,NYSEARCADBC!A$2:G$506,5,0)</f>
        <v>16.940000000000001</v>
      </c>
      <c r="L40">
        <f>VLOOKUP(A40,NYSEARCAGSG!A$2:G$506,5,0)</f>
        <v>19.510000000000002</v>
      </c>
      <c r="M40">
        <f>VLOOKUP(A40,NYSEARCAGLD!A$2:G$506,5,0)</f>
        <v>109.76</v>
      </c>
      <c r="N40">
        <f>VLOOKUP(A40,NYSEBP!A$2:G$506,5,0)</f>
        <v>39.54</v>
      </c>
      <c r="O40">
        <f>VLOOKUP(A40,NASDAQYHOO!A$2:G$506,5,0)</f>
        <v>38.909999999999997</v>
      </c>
    </row>
    <row r="41" spans="1:15">
      <c r="A41" s="39">
        <v>42202</v>
      </c>
      <c r="B41">
        <v>73.39</v>
      </c>
      <c r="C41">
        <f>VLOOKUP(A41,NYSEARCAVTI!A$2:G$506,5,0)</f>
        <v>109.96</v>
      </c>
      <c r="D41">
        <f>VLOOKUP(A41,NYSEARCAVEU!A$2:G$506,5,0)</f>
        <v>49.12</v>
      </c>
      <c r="E41">
        <f>VLOOKUP(A41,NYSEARCAVWO!A$2:G$506,5,0)</f>
        <v>40.049999999999997</v>
      </c>
      <c r="F41">
        <f>VLOOKUP(A41,NYSEARCABND!A$2:G$506,5,0)</f>
        <v>81.239999999999995</v>
      </c>
      <c r="G41">
        <f>VLOOKUP(A41,NYSEARCATIP!A$2:G$506,5,0)</f>
        <v>112.02</v>
      </c>
      <c r="H41">
        <f>VLOOKUP(A41,NYSEARCAMUB!A$2:G$506,5,0)</f>
        <v>108.68</v>
      </c>
      <c r="I41">
        <f>VLOOKUP(A41,NYSEARCAVNQ!A$2:G$506,5,0)</f>
        <v>78.510000000000005</v>
      </c>
      <c r="J41">
        <f>VLOOKUP(A41,NYSEARCARWX!A$2:G$506,5,0)</f>
        <v>42.81</v>
      </c>
      <c r="K41">
        <f>VLOOKUP(A41,NYSEARCADBC!A$2:G$506,5,0)</f>
        <v>16.850000000000001</v>
      </c>
      <c r="L41">
        <f>VLOOKUP(A41,NYSEARCAGSG!A$2:G$506,5,0)</f>
        <v>19.46</v>
      </c>
      <c r="M41">
        <f>VLOOKUP(A41,NYSEARCAGLD!A$2:G$506,5,0)</f>
        <v>108.65</v>
      </c>
      <c r="N41">
        <f>VLOOKUP(A41,NYSEBP!A$2:G$506,5,0)</f>
        <v>39.119999999999997</v>
      </c>
      <c r="O41">
        <f>VLOOKUP(A41,NASDAQYHOO!A$2:G$506,5,0)</f>
        <v>39.68</v>
      </c>
    </row>
    <row r="42" spans="1:15">
      <c r="A42" s="39">
        <v>42205</v>
      </c>
      <c r="B42">
        <v>73.099999999999994</v>
      </c>
      <c r="C42">
        <f>VLOOKUP(A42,NYSEARCAVTI!A$2:G$506,5,0)</f>
        <v>109.97</v>
      </c>
      <c r="D42">
        <f>VLOOKUP(A42,NYSEARCAVEU!A$2:G$506,5,0)</f>
        <v>49.11</v>
      </c>
      <c r="E42">
        <f>VLOOKUP(A42,NYSEARCAVWO!A$2:G$506,5,0)</f>
        <v>39.799999999999997</v>
      </c>
      <c r="F42">
        <f>VLOOKUP(A42,NYSEARCABND!A$2:G$506,5,0)</f>
        <v>81.13</v>
      </c>
      <c r="G42">
        <f>VLOOKUP(A42,NYSEARCATIP!A$2:G$506,5,0)</f>
        <v>111.72</v>
      </c>
      <c r="H42">
        <f>VLOOKUP(A42,NYSEARCAMUB!A$2:G$506,5,0)</f>
        <v>108.7</v>
      </c>
      <c r="I42">
        <f>VLOOKUP(A42,NYSEARCAVNQ!A$2:G$506,5,0)</f>
        <v>78.599999999999994</v>
      </c>
      <c r="J42">
        <f>VLOOKUP(A42,NYSEARCARWX!A$2:G$506,5,0)</f>
        <v>42.73</v>
      </c>
      <c r="K42">
        <f>VLOOKUP(A42,NYSEARCADBC!A$2:G$506,5,0)</f>
        <v>16.579999999999998</v>
      </c>
      <c r="L42">
        <f>VLOOKUP(A42,NYSEARCAGSG!A$2:G$506,5,0)</f>
        <v>19.190000000000001</v>
      </c>
      <c r="M42">
        <f>VLOOKUP(A42,NYSEARCAGLD!A$2:G$506,5,0)</f>
        <v>105.7</v>
      </c>
      <c r="N42">
        <f>VLOOKUP(A42,NYSEBP!A$2:G$506,5,0)</f>
        <v>38.75</v>
      </c>
      <c r="O42">
        <f>VLOOKUP(A42,NASDAQYHOO!A$2:G$506,5,0)</f>
        <v>39.54</v>
      </c>
    </row>
    <row r="43" spans="1:15">
      <c r="A43" s="39">
        <v>42206</v>
      </c>
      <c r="B43">
        <v>72.739999999999995</v>
      </c>
      <c r="C43">
        <f>VLOOKUP(A43,NYSEARCAVTI!A$2:G$506,5,0)</f>
        <v>109.49</v>
      </c>
      <c r="D43">
        <f>VLOOKUP(A43,NYSEARCAVEU!A$2:G$506,5,0)</f>
        <v>49.04</v>
      </c>
      <c r="E43">
        <f>VLOOKUP(A43,NYSEARCAVWO!A$2:G$506,5,0)</f>
        <v>39.81</v>
      </c>
      <c r="F43">
        <f>VLOOKUP(A43,NYSEARCABND!A$2:G$506,5,0)</f>
        <v>81.28</v>
      </c>
      <c r="G43">
        <f>VLOOKUP(A43,NYSEARCATIP!A$2:G$506,5,0)</f>
        <v>111.98</v>
      </c>
      <c r="H43">
        <f>VLOOKUP(A43,NYSEARCAMUB!A$2:G$506,5,0)</f>
        <v>108.79</v>
      </c>
      <c r="I43">
        <f>VLOOKUP(A43,NYSEARCAVNQ!A$2:G$506,5,0)</f>
        <v>78.38</v>
      </c>
      <c r="J43">
        <f>VLOOKUP(A43,NYSEARCARWX!A$2:G$506,5,0)</f>
        <v>42.56</v>
      </c>
      <c r="K43">
        <f>VLOOKUP(A43,NYSEARCADBC!A$2:G$506,5,0)</f>
        <v>16.649999999999999</v>
      </c>
      <c r="L43">
        <f>VLOOKUP(A43,NYSEARCAGSG!A$2:G$506,5,0)</f>
        <v>19.28</v>
      </c>
      <c r="M43">
        <f>VLOOKUP(A43,NYSEARCAGLD!A$2:G$506,5,0)</f>
        <v>105.37</v>
      </c>
      <c r="N43">
        <f>VLOOKUP(A43,NYSEBP!A$2:G$506,5,0)</f>
        <v>38.729999999999997</v>
      </c>
      <c r="O43">
        <f>VLOOKUP(A43,NASDAQYHOO!A$2:G$506,5,0)</f>
        <v>39.729999999999997</v>
      </c>
    </row>
    <row r="44" spans="1:15">
      <c r="A44" s="39">
        <v>42207</v>
      </c>
      <c r="B44">
        <v>73.16</v>
      </c>
      <c r="C44">
        <f>VLOOKUP(A44,NYSEARCAVTI!A$2:G$506,5,0)</f>
        <v>109.33</v>
      </c>
      <c r="D44">
        <f>VLOOKUP(A44,NYSEARCAVEU!A$2:G$506,5,0)</f>
        <v>48.62</v>
      </c>
      <c r="E44">
        <f>VLOOKUP(A44,NYSEARCAVWO!A$2:G$506,5,0)</f>
        <v>39.28</v>
      </c>
      <c r="F44">
        <f>VLOOKUP(A44,NYSEARCABND!A$2:G$506,5,0)</f>
        <v>81.31</v>
      </c>
      <c r="G44">
        <f>VLOOKUP(A44,NYSEARCATIP!A$2:G$506,5,0)</f>
        <v>112.03</v>
      </c>
      <c r="H44">
        <f>VLOOKUP(A44,NYSEARCAMUB!A$2:G$506,5,0)</f>
        <v>108.87</v>
      </c>
      <c r="I44">
        <f>VLOOKUP(A44,NYSEARCAVNQ!A$2:G$506,5,0)</f>
        <v>78.72</v>
      </c>
      <c r="J44">
        <f>VLOOKUP(A44,NYSEARCARWX!A$2:G$506,5,0)</f>
        <v>42.45</v>
      </c>
      <c r="K44">
        <f>VLOOKUP(A44,NYSEARCADBC!A$2:G$506,5,0)</f>
        <v>16.41</v>
      </c>
      <c r="L44">
        <f>VLOOKUP(A44,NYSEARCAGSG!A$2:G$506,5,0)</f>
        <v>18.95</v>
      </c>
      <c r="M44">
        <f>VLOOKUP(A44,NYSEARCAGLD!A$2:G$506,5,0)</f>
        <v>104.8</v>
      </c>
      <c r="N44">
        <f>VLOOKUP(A44,NYSEBP!A$2:G$506,5,0)</f>
        <v>37.909999999999997</v>
      </c>
      <c r="O44">
        <f>VLOOKUP(A44,NASDAQYHOO!A$2:G$506,5,0)</f>
        <v>39.24</v>
      </c>
    </row>
    <row r="45" spans="1:15">
      <c r="A45" s="39">
        <v>42208</v>
      </c>
      <c r="B45">
        <v>72.510000000000005</v>
      </c>
      <c r="C45">
        <f>VLOOKUP(A45,NYSEARCAVTI!A$2:G$506,5,0)</f>
        <v>108.7</v>
      </c>
      <c r="D45">
        <f>VLOOKUP(A45,NYSEARCAVEU!A$2:G$506,5,0)</f>
        <v>48.44</v>
      </c>
      <c r="E45">
        <f>VLOOKUP(A45,NYSEARCAVWO!A$2:G$506,5,0)</f>
        <v>38.950000000000003</v>
      </c>
      <c r="F45">
        <f>VLOOKUP(A45,NYSEARCABND!A$2:G$506,5,0)</f>
        <v>81.5</v>
      </c>
      <c r="G45">
        <f>VLOOKUP(A45,NYSEARCATIP!A$2:G$506,5,0)</f>
        <v>112.22</v>
      </c>
      <c r="H45">
        <f>VLOOKUP(A45,NYSEARCAMUB!A$2:G$506,5,0)</f>
        <v>109</v>
      </c>
      <c r="I45">
        <f>VLOOKUP(A45,NYSEARCAVNQ!A$2:G$506,5,0)</f>
        <v>77.739999999999995</v>
      </c>
      <c r="J45">
        <f>VLOOKUP(A45,NYSEARCARWX!A$2:G$506,5,0)</f>
        <v>41.98</v>
      </c>
      <c r="K45">
        <f>VLOOKUP(A45,NYSEARCADBC!A$2:G$506,5,0)</f>
        <v>16.27</v>
      </c>
      <c r="L45">
        <f>VLOOKUP(A45,NYSEARCAGSG!A$2:G$506,5,0)</f>
        <v>18.79</v>
      </c>
      <c r="M45">
        <f>VLOOKUP(A45,NYSEARCAGLD!A$2:G$506,5,0)</f>
        <v>104.33</v>
      </c>
      <c r="N45">
        <f>VLOOKUP(A45,NYSEBP!A$2:G$506,5,0)</f>
        <v>37.299999999999997</v>
      </c>
      <c r="O45">
        <f>VLOOKUP(A45,NASDAQYHOO!A$2:G$506,5,0)</f>
        <v>39.21</v>
      </c>
    </row>
    <row r="46" spans="1:15">
      <c r="A46" s="39">
        <v>42209</v>
      </c>
      <c r="B46">
        <v>71.58</v>
      </c>
      <c r="C46">
        <f>VLOOKUP(A46,NYSEARCAVTI!A$2:G$506,5,0)</f>
        <v>107.56</v>
      </c>
      <c r="D46">
        <f>VLOOKUP(A46,NYSEARCAVEU!A$2:G$506,5,0)</f>
        <v>47.82</v>
      </c>
      <c r="E46">
        <f>VLOOKUP(A46,NYSEARCAVWO!A$2:G$506,5,0)</f>
        <v>38.39</v>
      </c>
      <c r="F46">
        <f>VLOOKUP(A46,NYSEARCABND!A$2:G$506,5,0)</f>
        <v>81.55</v>
      </c>
      <c r="G46">
        <f>VLOOKUP(A46,NYSEARCATIP!A$2:G$506,5,0)</f>
        <v>112.1</v>
      </c>
      <c r="H46">
        <f>VLOOKUP(A46,NYSEARCAMUB!A$2:G$506,5,0)</f>
        <v>109.09</v>
      </c>
      <c r="I46">
        <f>VLOOKUP(A46,NYSEARCAVNQ!A$2:G$506,5,0)</f>
        <v>78.069999999999993</v>
      </c>
      <c r="J46">
        <f>VLOOKUP(A46,NYSEARCARWX!A$2:G$506,5,0)</f>
        <v>41.87</v>
      </c>
      <c r="K46">
        <f>VLOOKUP(A46,NYSEARCADBC!A$2:G$506,5,0)</f>
        <v>16.14</v>
      </c>
      <c r="L46">
        <f>VLOOKUP(A46,NYSEARCAGSG!A$2:G$506,5,0)</f>
        <v>18.600000000000001</v>
      </c>
      <c r="M46">
        <f>VLOOKUP(A46,NYSEARCAGLD!A$2:G$506,5,0)</f>
        <v>105.35</v>
      </c>
      <c r="N46">
        <f>VLOOKUP(A46,NYSEBP!A$2:G$506,5,0)</f>
        <v>36.57</v>
      </c>
      <c r="O46">
        <f>VLOOKUP(A46,NASDAQYHOO!A$2:G$506,5,0)</f>
        <v>38.85</v>
      </c>
    </row>
    <row r="47" spans="1:15">
      <c r="A47" s="39">
        <v>42212</v>
      </c>
      <c r="B47">
        <v>71.38</v>
      </c>
      <c r="C47">
        <f>VLOOKUP(A47,NYSEARCAVTI!A$2:G$506,5,0)</f>
        <v>106.85</v>
      </c>
      <c r="D47">
        <f>VLOOKUP(A47,NYSEARCAVEU!A$2:G$506,5,0)</f>
        <v>47.42</v>
      </c>
      <c r="E47">
        <f>VLOOKUP(A47,NYSEARCAVWO!A$2:G$506,5,0)</f>
        <v>37.53</v>
      </c>
      <c r="F47">
        <f>VLOOKUP(A47,NYSEARCABND!A$2:G$506,5,0)</f>
        <v>81.709999999999994</v>
      </c>
      <c r="G47">
        <f>VLOOKUP(A47,NYSEARCATIP!A$2:G$506,5,0)</f>
        <v>112.33</v>
      </c>
      <c r="H47">
        <f>VLOOKUP(A47,NYSEARCAMUB!A$2:G$506,5,0)</f>
        <v>109.17</v>
      </c>
      <c r="I47">
        <f>VLOOKUP(A47,NYSEARCAVNQ!A$2:G$506,5,0)</f>
        <v>78.209999999999994</v>
      </c>
      <c r="J47">
        <f>VLOOKUP(A47,NYSEARCARWX!A$2:G$506,5,0)</f>
        <v>41.75</v>
      </c>
      <c r="K47">
        <f>VLOOKUP(A47,NYSEARCADBC!A$2:G$506,5,0)</f>
        <v>15.83</v>
      </c>
      <c r="L47">
        <f>VLOOKUP(A47,NYSEARCAGSG!A$2:G$506,5,0)</f>
        <v>18.2</v>
      </c>
      <c r="M47">
        <f>VLOOKUP(A47,NYSEARCAGLD!A$2:G$506,5,0)</f>
        <v>104.86</v>
      </c>
      <c r="N47">
        <f>VLOOKUP(A47,NYSEBP!A$2:G$506,5,0)</f>
        <v>36.049999999999997</v>
      </c>
      <c r="O47">
        <f>VLOOKUP(A47,NASDAQYHOO!A$2:G$506,5,0)</f>
        <v>37.840000000000003</v>
      </c>
    </row>
    <row r="48" spans="1:15">
      <c r="A48" s="39">
        <v>42213</v>
      </c>
      <c r="B48">
        <v>72.099999999999994</v>
      </c>
      <c r="C48">
        <f>VLOOKUP(A48,NYSEARCAVTI!A$2:G$506,5,0)</f>
        <v>108.12</v>
      </c>
      <c r="D48">
        <f>VLOOKUP(A48,NYSEARCAVEU!A$2:G$506,5,0)</f>
        <v>48.01</v>
      </c>
      <c r="E48">
        <f>VLOOKUP(A48,NYSEARCAVWO!A$2:G$506,5,0)</f>
        <v>37.89</v>
      </c>
      <c r="F48">
        <f>VLOOKUP(A48,NYSEARCABND!A$2:G$506,5,0)</f>
        <v>81.569999999999993</v>
      </c>
      <c r="G48">
        <f>VLOOKUP(A48,NYSEARCATIP!A$2:G$506,5,0)</f>
        <v>112.06</v>
      </c>
      <c r="H48">
        <f>VLOOKUP(A48,NYSEARCAMUB!A$2:G$506,5,0)</f>
        <v>109.07</v>
      </c>
      <c r="I48">
        <f>VLOOKUP(A48,NYSEARCAVNQ!A$2:G$506,5,0)</f>
        <v>78.260000000000005</v>
      </c>
      <c r="J48">
        <f>VLOOKUP(A48,NYSEARCARWX!A$2:G$506,5,0)</f>
        <v>42.27</v>
      </c>
      <c r="K48">
        <f>VLOOKUP(A48,NYSEARCADBC!A$2:G$506,5,0)</f>
        <v>15.96</v>
      </c>
      <c r="L48">
        <f>VLOOKUP(A48,NYSEARCAGSG!A$2:G$506,5,0)</f>
        <v>18.38</v>
      </c>
      <c r="M48">
        <f>VLOOKUP(A48,NYSEARCAGLD!A$2:G$506,5,0)</f>
        <v>105.02</v>
      </c>
      <c r="N48">
        <f>VLOOKUP(A48,NYSEBP!A$2:G$506,5,0)</f>
        <v>37.29</v>
      </c>
      <c r="O48">
        <f>VLOOKUP(A48,NASDAQYHOO!A$2:G$506,5,0)</f>
        <v>37.72</v>
      </c>
    </row>
    <row r="49" spans="1:15">
      <c r="A49" s="39">
        <v>42214</v>
      </c>
      <c r="B49">
        <v>72.23</v>
      </c>
      <c r="C49">
        <f>VLOOKUP(A49,NYSEARCAVTI!A$2:G$506,5,0)</f>
        <v>108.86</v>
      </c>
      <c r="D49">
        <f>VLOOKUP(A49,NYSEARCAVEU!A$2:G$506,5,0)</f>
        <v>48.16</v>
      </c>
      <c r="E49">
        <f>VLOOKUP(A49,NYSEARCAVWO!A$2:G$506,5,0)</f>
        <v>38.24</v>
      </c>
      <c r="F49">
        <f>VLOOKUP(A49,NYSEARCABND!A$2:G$506,5,0)</f>
        <v>81.5</v>
      </c>
      <c r="G49">
        <f>VLOOKUP(A49,NYSEARCATIP!A$2:G$506,5,0)</f>
        <v>112.05</v>
      </c>
      <c r="H49">
        <f>VLOOKUP(A49,NYSEARCAMUB!A$2:G$506,5,0)</f>
        <v>108.96</v>
      </c>
      <c r="I49">
        <f>VLOOKUP(A49,NYSEARCAVNQ!A$2:G$506,5,0)</f>
        <v>78.77</v>
      </c>
      <c r="J49">
        <f>VLOOKUP(A49,NYSEARCARWX!A$2:G$506,5,0)</f>
        <v>42.27</v>
      </c>
      <c r="K49">
        <f>VLOOKUP(A49,NYSEARCADBC!A$2:G$506,5,0)</f>
        <v>16.010000000000002</v>
      </c>
      <c r="L49">
        <f>VLOOKUP(A49,NYSEARCAGSG!A$2:G$506,5,0)</f>
        <v>18.489999999999998</v>
      </c>
      <c r="M49">
        <f>VLOOKUP(A49,NYSEARCAGLD!A$2:G$506,5,0)</f>
        <v>105.17</v>
      </c>
      <c r="N49">
        <f>VLOOKUP(A49,NYSEBP!A$2:G$506,5,0)</f>
        <v>37.39</v>
      </c>
      <c r="O49">
        <f>VLOOKUP(A49,NASDAQYHOO!A$2:G$506,5,0)</f>
        <v>37.67</v>
      </c>
    </row>
    <row r="50" spans="1:15">
      <c r="A50" s="39">
        <v>42215</v>
      </c>
      <c r="B50">
        <v>72.16</v>
      </c>
      <c r="C50">
        <f>VLOOKUP(A50,NYSEARCAVTI!A$2:G$506,5,0)</f>
        <v>108.95</v>
      </c>
      <c r="D50">
        <f>VLOOKUP(A50,NYSEARCAVEU!A$2:G$506,5,0)</f>
        <v>48.14</v>
      </c>
      <c r="E50">
        <f>VLOOKUP(A50,NYSEARCAVWO!A$2:G$506,5,0)</f>
        <v>38</v>
      </c>
      <c r="F50">
        <f>VLOOKUP(A50,NYSEARCABND!A$2:G$506,5,0)</f>
        <v>81.53</v>
      </c>
      <c r="G50">
        <f>VLOOKUP(A50,NYSEARCATIP!A$2:G$506,5,0)</f>
        <v>112.21</v>
      </c>
      <c r="H50">
        <f>VLOOKUP(A50,NYSEARCAMUB!A$2:G$506,5,0)</f>
        <v>108.97</v>
      </c>
      <c r="I50">
        <f>VLOOKUP(A50,NYSEARCAVNQ!A$2:G$506,5,0)</f>
        <v>78.38</v>
      </c>
      <c r="J50">
        <f>VLOOKUP(A50,NYSEARCARWX!A$2:G$506,5,0)</f>
        <v>42.16</v>
      </c>
      <c r="K50">
        <f>VLOOKUP(A50,NYSEARCADBC!A$2:G$506,5,0)</f>
        <v>15.95</v>
      </c>
      <c r="L50">
        <f>VLOOKUP(A50,NYSEARCAGSG!A$2:G$506,5,0)</f>
        <v>18.43</v>
      </c>
      <c r="M50">
        <f>VLOOKUP(A50,NYSEARCAGLD!A$2:G$506,5,0)</f>
        <v>104.27</v>
      </c>
      <c r="N50">
        <f>VLOOKUP(A50,NYSEBP!A$2:G$506,5,0)</f>
        <v>37.68</v>
      </c>
      <c r="O50">
        <f>VLOOKUP(A50,NASDAQYHOO!A$2:G$506,5,0)</f>
        <v>37.42</v>
      </c>
    </row>
    <row r="51" spans="1:15">
      <c r="A51" s="39">
        <v>42216</v>
      </c>
      <c r="B51">
        <v>71.98</v>
      </c>
      <c r="C51">
        <f>VLOOKUP(A51,NYSEARCAVTI!A$2:G$506,5,0)</f>
        <v>108.84</v>
      </c>
      <c r="D51">
        <f>VLOOKUP(A51,NYSEARCAVEU!A$2:G$506,5,0)</f>
        <v>48.41</v>
      </c>
      <c r="E51">
        <f>VLOOKUP(A51,NYSEARCAVWO!A$2:G$506,5,0)</f>
        <v>38.32</v>
      </c>
      <c r="F51">
        <f>VLOOKUP(A51,NYSEARCABND!A$2:G$506,5,0)</f>
        <v>81.81</v>
      </c>
      <c r="G51">
        <f>VLOOKUP(A51,NYSEARCATIP!A$2:G$506,5,0)</f>
        <v>112.65</v>
      </c>
      <c r="H51">
        <f>VLOOKUP(A51,NYSEARCAMUB!A$2:G$506,5,0)</f>
        <v>109.19</v>
      </c>
      <c r="I51">
        <f>VLOOKUP(A51,NYSEARCAVNQ!A$2:G$506,5,0)</f>
        <v>79</v>
      </c>
      <c r="J51">
        <f>VLOOKUP(A51,NYSEARCARWX!A$2:G$506,5,0)</f>
        <v>42.29</v>
      </c>
      <c r="K51">
        <f>VLOOKUP(A51,NYSEARCADBC!A$2:G$506,5,0)</f>
        <v>15.73</v>
      </c>
      <c r="L51">
        <f>VLOOKUP(A51,NYSEARCAGSG!A$2:G$506,5,0)</f>
        <v>18.12</v>
      </c>
      <c r="M51">
        <f>VLOOKUP(A51,NYSEARCAGLD!A$2:G$506,5,0)</f>
        <v>104.93</v>
      </c>
      <c r="N51">
        <f>VLOOKUP(A51,NYSEBP!A$2:G$506,5,0)</f>
        <v>36.97</v>
      </c>
      <c r="O51">
        <f>VLOOKUP(A51,NASDAQYHOO!A$2:G$506,5,0)</f>
        <v>36.67</v>
      </c>
    </row>
    <row r="52" spans="1:15">
      <c r="A52" s="39">
        <v>42219</v>
      </c>
      <c r="B52">
        <v>72.180000000000007</v>
      </c>
      <c r="C52">
        <f>VLOOKUP(A52,NYSEARCAVTI!A$2:G$506,5,0)</f>
        <v>108.45</v>
      </c>
      <c r="D52">
        <f>VLOOKUP(A52,NYSEARCAVEU!A$2:G$506,5,0)</f>
        <v>48.19</v>
      </c>
      <c r="E52">
        <f>VLOOKUP(A52,NYSEARCAVWO!A$2:G$506,5,0)</f>
        <v>37.69</v>
      </c>
      <c r="F52">
        <f>VLOOKUP(A52,NYSEARCABND!A$2:G$506,5,0)</f>
        <v>81.83</v>
      </c>
      <c r="G52">
        <f>VLOOKUP(A52,NYSEARCATIP!A$2:G$506,5,0)</f>
        <v>112.55</v>
      </c>
      <c r="H52">
        <f>VLOOKUP(A52,NYSEARCAMUB!A$2:G$506,5,0)</f>
        <v>109.1</v>
      </c>
      <c r="I52">
        <f>VLOOKUP(A52,NYSEARCAVNQ!A$2:G$506,5,0)</f>
        <v>79.489999999999995</v>
      </c>
      <c r="J52">
        <f>VLOOKUP(A52,NYSEARCARWX!A$2:G$506,5,0)</f>
        <v>42.11</v>
      </c>
      <c r="K52">
        <f>VLOOKUP(A52,NYSEARCADBC!A$2:G$506,5,0)</f>
        <v>15.47</v>
      </c>
      <c r="L52">
        <f>VLOOKUP(A52,NYSEARCAGSG!A$2:G$506,5,0)</f>
        <v>17.72</v>
      </c>
      <c r="M52">
        <f>VLOOKUP(A52,NYSEARCAGLD!A$2:G$506,5,0)</f>
        <v>104.1</v>
      </c>
      <c r="N52">
        <f>VLOOKUP(A52,NYSEBP!A$2:G$506,5,0)</f>
        <v>36.479999999999997</v>
      </c>
      <c r="O52">
        <f>VLOOKUP(A52,NASDAQYHOO!A$2:G$506,5,0)</f>
        <v>36.69</v>
      </c>
    </row>
    <row r="53" spans="1:15">
      <c r="A53" s="39">
        <v>42220</v>
      </c>
      <c r="B53">
        <v>72.25</v>
      </c>
      <c r="C53">
        <f>VLOOKUP(A53,NYSEARCAVTI!A$2:G$506,5,0)</f>
        <v>108.27</v>
      </c>
      <c r="D53">
        <f>VLOOKUP(A53,NYSEARCAVEU!A$2:G$506,5,0)</f>
        <v>48.22</v>
      </c>
      <c r="E53">
        <f>VLOOKUP(A53,NYSEARCAVWO!A$2:G$506,5,0)</f>
        <v>37.81</v>
      </c>
      <c r="F53">
        <f>VLOOKUP(A53,NYSEARCABND!A$2:G$506,5,0)</f>
        <v>81.55</v>
      </c>
      <c r="G53">
        <f>VLOOKUP(A53,NYSEARCATIP!A$2:G$506,5,0)</f>
        <v>111.92</v>
      </c>
      <c r="H53">
        <f>VLOOKUP(A53,NYSEARCAMUB!A$2:G$506,5,0)</f>
        <v>108.87</v>
      </c>
      <c r="I53">
        <f>VLOOKUP(A53,NYSEARCAVNQ!A$2:G$506,5,0)</f>
        <v>78.91</v>
      </c>
      <c r="J53">
        <f>VLOOKUP(A53,NYSEARCARWX!A$2:G$506,5,0)</f>
        <v>42.28</v>
      </c>
      <c r="K53">
        <f>VLOOKUP(A53,NYSEARCADBC!A$2:G$506,5,0)</f>
        <v>15.56</v>
      </c>
      <c r="L53">
        <f>VLOOKUP(A53,NYSEARCAGSG!A$2:G$506,5,0)</f>
        <v>17.86</v>
      </c>
      <c r="M53">
        <f>VLOOKUP(A53,NYSEARCAGLD!A$2:G$506,5,0)</f>
        <v>104.31</v>
      </c>
      <c r="N53">
        <f>VLOOKUP(A53,NYSEBP!A$2:G$506,5,0)</f>
        <v>36.54</v>
      </c>
      <c r="O53">
        <f>VLOOKUP(A53,NASDAQYHOO!A$2:G$506,5,0)</f>
        <v>37.119999999999997</v>
      </c>
    </row>
    <row r="54" spans="1:15">
      <c r="A54" s="39">
        <v>42221</v>
      </c>
      <c r="B54">
        <v>73.510000000000005</v>
      </c>
      <c r="C54">
        <f>VLOOKUP(A54,NYSEARCAVTI!A$2:G$506,5,0)</f>
        <v>108.63</v>
      </c>
      <c r="D54">
        <f>VLOOKUP(A54,NYSEARCAVEU!A$2:G$506,5,0)</f>
        <v>48.39</v>
      </c>
      <c r="E54">
        <f>VLOOKUP(A54,NYSEARCAVWO!A$2:G$506,5,0)</f>
        <v>37.85</v>
      </c>
      <c r="F54">
        <f>VLOOKUP(A54,NYSEARCABND!A$2:G$506,5,0)</f>
        <v>81.42</v>
      </c>
      <c r="G54">
        <f>VLOOKUP(A54,NYSEARCATIP!A$2:G$506,5,0)</f>
        <v>111.57</v>
      </c>
      <c r="H54">
        <f>VLOOKUP(A54,NYSEARCAMUB!A$2:G$506,5,0)</f>
        <v>108.82</v>
      </c>
      <c r="I54">
        <f>VLOOKUP(A54,NYSEARCAVNQ!A$2:G$506,5,0)</f>
        <v>78.39</v>
      </c>
      <c r="J54">
        <f>VLOOKUP(A54,NYSEARCARWX!A$2:G$506,5,0)</f>
        <v>42.49</v>
      </c>
      <c r="K54">
        <f>VLOOKUP(A54,NYSEARCADBC!A$2:G$506,5,0)</f>
        <v>15.5</v>
      </c>
      <c r="L54">
        <f>VLOOKUP(A54,NYSEARCAGSG!A$2:G$506,5,0)</f>
        <v>17.760000000000002</v>
      </c>
      <c r="M54">
        <f>VLOOKUP(A54,NYSEARCAGLD!A$2:G$506,5,0)</f>
        <v>103.93</v>
      </c>
      <c r="N54">
        <f>VLOOKUP(A54,NYSEBP!A$2:G$506,5,0)</f>
        <v>35.869999999999997</v>
      </c>
      <c r="O54">
        <f>VLOOKUP(A54,NASDAQYHOO!A$2:G$506,5,0)</f>
        <v>37.25</v>
      </c>
    </row>
    <row r="55" spans="1:15">
      <c r="A55" s="39">
        <v>42222</v>
      </c>
      <c r="B55">
        <v>72.790000000000006</v>
      </c>
      <c r="C55">
        <f>VLOOKUP(A55,NYSEARCAVTI!A$2:G$506,5,0)</f>
        <v>107.74</v>
      </c>
      <c r="D55">
        <f>VLOOKUP(A55,NYSEARCAVEU!A$2:G$506,5,0)</f>
        <v>48.17</v>
      </c>
      <c r="E55">
        <f>VLOOKUP(A55,NYSEARCAVWO!A$2:G$506,5,0)</f>
        <v>37.58</v>
      </c>
      <c r="F55">
        <f>VLOOKUP(A55,NYSEARCABND!A$2:G$506,5,0)</f>
        <v>81.47</v>
      </c>
      <c r="G55">
        <f>VLOOKUP(A55,NYSEARCATIP!A$2:G$506,5,0)</f>
        <v>111.77</v>
      </c>
      <c r="H55">
        <f>VLOOKUP(A55,NYSEARCAMUB!A$2:G$506,5,0)</f>
        <v>108.87</v>
      </c>
      <c r="I55">
        <f>VLOOKUP(A55,NYSEARCAVNQ!A$2:G$506,5,0)</f>
        <v>78.5</v>
      </c>
      <c r="J55">
        <f>VLOOKUP(A55,NYSEARCARWX!A$2:G$506,5,0)</f>
        <v>42.44</v>
      </c>
      <c r="K55">
        <f>VLOOKUP(A55,NYSEARCADBC!A$2:G$506,5,0)</f>
        <v>15.49</v>
      </c>
      <c r="L55">
        <f>VLOOKUP(A55,NYSEARCAGSG!A$2:G$506,5,0)</f>
        <v>17.690000000000001</v>
      </c>
      <c r="M55">
        <f>VLOOKUP(A55,NYSEARCAGLD!A$2:G$506,5,0)</f>
        <v>104.39</v>
      </c>
      <c r="N55">
        <f>VLOOKUP(A55,NYSEBP!A$2:G$506,5,0)</f>
        <v>35.880000000000003</v>
      </c>
      <c r="O55">
        <f>VLOOKUP(A55,NASDAQYHOO!A$2:G$506,5,0)</f>
        <v>36.46</v>
      </c>
    </row>
    <row r="56" spans="1:15">
      <c r="A56" s="39">
        <v>42223</v>
      </c>
      <c r="B56">
        <v>71.25</v>
      </c>
      <c r="C56">
        <f>VLOOKUP(A56,NYSEARCAVTI!A$2:G$506,5,0)</f>
        <v>107.43</v>
      </c>
      <c r="D56">
        <f>VLOOKUP(A56,NYSEARCAVEU!A$2:G$506,5,0)</f>
        <v>48.1</v>
      </c>
      <c r="E56">
        <f>VLOOKUP(A56,NYSEARCAVWO!A$2:G$506,5,0)</f>
        <v>37.54</v>
      </c>
      <c r="F56">
        <f>VLOOKUP(A56,NYSEARCABND!A$2:G$506,5,0)</f>
        <v>81.64</v>
      </c>
      <c r="G56">
        <f>VLOOKUP(A56,NYSEARCATIP!A$2:G$506,5,0)</f>
        <v>112.08</v>
      </c>
      <c r="H56">
        <f>VLOOKUP(A56,NYSEARCAMUB!A$2:G$506,5,0)</f>
        <v>108.89</v>
      </c>
      <c r="I56">
        <f>VLOOKUP(A56,NYSEARCAVNQ!A$2:G$506,5,0)</f>
        <v>78.790000000000006</v>
      </c>
      <c r="J56">
        <f>VLOOKUP(A56,NYSEARCARWX!A$2:G$506,5,0)</f>
        <v>42.4</v>
      </c>
      <c r="K56">
        <f>VLOOKUP(A56,NYSEARCADBC!A$2:G$506,5,0)</f>
        <v>15.43</v>
      </c>
      <c r="L56">
        <f>VLOOKUP(A56,NYSEARCAGSG!A$2:G$506,5,0)</f>
        <v>17.55</v>
      </c>
      <c r="M56">
        <f>VLOOKUP(A56,NYSEARCAGLD!A$2:G$506,5,0)</f>
        <v>104.65</v>
      </c>
      <c r="N56">
        <f>VLOOKUP(A56,NYSEBP!A$2:G$506,5,0)</f>
        <v>35.68</v>
      </c>
      <c r="O56">
        <f>VLOOKUP(A56,NASDAQYHOO!A$2:G$506,5,0)</f>
        <v>36.67</v>
      </c>
    </row>
    <row r="57" spans="1:15">
      <c r="A57" s="39">
        <v>42226</v>
      </c>
      <c r="B57">
        <v>71.48</v>
      </c>
      <c r="C57">
        <f>VLOOKUP(A57,NYSEARCAVTI!A$2:G$506,5,0)</f>
        <v>108.77</v>
      </c>
      <c r="D57">
        <f>VLOOKUP(A57,NYSEARCAVEU!A$2:G$506,5,0)</f>
        <v>48.77</v>
      </c>
      <c r="E57">
        <f>VLOOKUP(A57,NYSEARCAVWO!A$2:G$506,5,0)</f>
        <v>38.18</v>
      </c>
      <c r="F57">
        <f>VLOOKUP(A57,NYSEARCABND!A$2:G$506,5,0)</f>
        <v>81.47</v>
      </c>
      <c r="G57">
        <f>VLOOKUP(A57,NYSEARCATIP!A$2:G$506,5,0)</f>
        <v>111.92</v>
      </c>
      <c r="H57">
        <f>VLOOKUP(A57,NYSEARCAMUB!A$2:G$506,5,0)</f>
        <v>108.61</v>
      </c>
      <c r="I57">
        <f>VLOOKUP(A57,NYSEARCAVNQ!A$2:G$506,5,0)</f>
        <v>78.540000000000006</v>
      </c>
      <c r="J57">
        <f>VLOOKUP(A57,NYSEARCARWX!A$2:G$506,5,0)</f>
        <v>42.73</v>
      </c>
      <c r="K57">
        <f>VLOOKUP(A57,NYSEARCADBC!A$2:G$506,5,0)</f>
        <v>15.76</v>
      </c>
      <c r="L57">
        <f>VLOOKUP(A57,NYSEARCAGSG!A$2:G$506,5,0)</f>
        <v>17.95</v>
      </c>
      <c r="M57">
        <f>VLOOKUP(A57,NYSEARCAGLD!A$2:G$506,5,0)</f>
        <v>105.72</v>
      </c>
      <c r="N57">
        <f>VLOOKUP(A57,NYSEBP!A$2:G$506,5,0)</f>
        <v>36.28</v>
      </c>
      <c r="O57">
        <f>VLOOKUP(A57,NASDAQYHOO!A$2:G$506,5,0)</f>
        <v>37.15</v>
      </c>
    </row>
    <row r="58" spans="1:15">
      <c r="A58" s="39">
        <v>42227</v>
      </c>
      <c r="B58">
        <v>71.930000000000007</v>
      </c>
      <c r="C58">
        <f>VLOOKUP(A58,NYSEARCAVTI!A$2:G$506,5,0)</f>
        <v>107.79</v>
      </c>
      <c r="D58">
        <f>VLOOKUP(A58,NYSEARCAVEU!A$2:G$506,5,0)</f>
        <v>47.94</v>
      </c>
      <c r="E58">
        <f>VLOOKUP(A58,NYSEARCAVWO!A$2:G$506,5,0)</f>
        <v>37.36</v>
      </c>
      <c r="F58">
        <f>VLOOKUP(A58,NYSEARCABND!A$2:G$506,5,0)</f>
        <v>81.78</v>
      </c>
      <c r="G58">
        <f>VLOOKUP(A58,NYSEARCATIP!A$2:G$506,5,0)</f>
        <v>112.38</v>
      </c>
      <c r="H58">
        <f>VLOOKUP(A58,NYSEARCAMUB!A$2:G$506,5,0)</f>
        <v>109.09</v>
      </c>
      <c r="I58">
        <f>VLOOKUP(A58,NYSEARCAVNQ!A$2:G$506,5,0)</f>
        <v>79.06</v>
      </c>
      <c r="J58">
        <f>VLOOKUP(A58,NYSEARCARWX!A$2:G$506,5,0)</f>
        <v>42.12</v>
      </c>
      <c r="K58">
        <f>VLOOKUP(A58,NYSEARCADBC!A$2:G$506,5,0)</f>
        <v>15.55</v>
      </c>
      <c r="L58">
        <f>VLOOKUP(A58,NYSEARCAGSG!A$2:G$506,5,0)</f>
        <v>17.68</v>
      </c>
      <c r="M58">
        <f>VLOOKUP(A58,NYSEARCAGLD!A$2:G$506,5,0)</f>
        <v>106.26</v>
      </c>
      <c r="N58">
        <f>VLOOKUP(A58,NYSEBP!A$2:G$506,5,0)</f>
        <v>36.049999999999997</v>
      </c>
      <c r="O58">
        <f>VLOOKUP(A58,NASDAQYHOO!A$2:G$506,5,0)</f>
        <v>36.03</v>
      </c>
    </row>
    <row r="59" spans="1:15">
      <c r="A59" s="39">
        <v>42228</v>
      </c>
      <c r="B59">
        <v>72.58</v>
      </c>
      <c r="C59">
        <f>VLOOKUP(A59,NYSEARCAVTI!A$2:G$506,5,0)</f>
        <v>107.9</v>
      </c>
      <c r="D59">
        <f>VLOOKUP(A59,NYSEARCAVEU!A$2:G$506,5,0)</f>
        <v>47.63</v>
      </c>
      <c r="E59">
        <f>VLOOKUP(A59,NYSEARCAVWO!A$2:G$506,5,0)</f>
        <v>36.78</v>
      </c>
      <c r="F59">
        <f>VLOOKUP(A59,NYSEARCABND!A$2:G$506,5,0)</f>
        <v>81.75</v>
      </c>
      <c r="G59">
        <f>VLOOKUP(A59,NYSEARCATIP!A$2:G$506,5,0)</f>
        <v>112.12</v>
      </c>
      <c r="H59">
        <f>VLOOKUP(A59,NYSEARCAMUB!A$2:G$506,5,0)</f>
        <v>108.81</v>
      </c>
      <c r="I59">
        <f>VLOOKUP(A59,NYSEARCAVNQ!A$2:G$506,5,0)</f>
        <v>79.31</v>
      </c>
      <c r="J59">
        <f>VLOOKUP(A59,NYSEARCARWX!A$2:G$506,5,0)</f>
        <v>42.01</v>
      </c>
      <c r="K59">
        <f>VLOOKUP(A59,NYSEARCADBC!A$2:G$506,5,0)</f>
        <v>15.5</v>
      </c>
      <c r="L59">
        <f>VLOOKUP(A59,NYSEARCAGSG!A$2:G$506,5,0)</f>
        <v>17.670000000000002</v>
      </c>
      <c r="M59">
        <f>VLOOKUP(A59,NYSEARCAGLD!A$2:G$506,5,0)</f>
        <v>107.75</v>
      </c>
      <c r="N59">
        <f>VLOOKUP(A59,NYSEBP!A$2:G$506,5,0)</f>
        <v>36.44</v>
      </c>
      <c r="O59">
        <f>VLOOKUP(A59,NASDAQYHOO!A$2:G$506,5,0)</f>
        <v>34.49</v>
      </c>
    </row>
    <row r="60" spans="1:15">
      <c r="A60" s="39">
        <v>42229</v>
      </c>
      <c r="B60">
        <v>72.11</v>
      </c>
      <c r="C60">
        <f>VLOOKUP(A60,NYSEARCAVTI!A$2:G$506,5,0)</f>
        <v>107.75</v>
      </c>
      <c r="D60">
        <f>VLOOKUP(A60,NYSEARCAVEU!A$2:G$506,5,0)</f>
        <v>47.52</v>
      </c>
      <c r="E60">
        <f>VLOOKUP(A60,NYSEARCAVWO!A$2:G$506,5,0)</f>
        <v>36.71</v>
      </c>
      <c r="F60">
        <f>VLOOKUP(A60,NYSEARCABND!A$2:G$506,5,0)</f>
        <v>81.58</v>
      </c>
      <c r="G60">
        <f>VLOOKUP(A60,NYSEARCATIP!A$2:G$506,5,0)</f>
        <v>111.82</v>
      </c>
      <c r="H60">
        <f>VLOOKUP(A60,NYSEARCAMUB!A$2:G$506,5,0)</f>
        <v>108.92</v>
      </c>
      <c r="I60">
        <f>VLOOKUP(A60,NYSEARCAVNQ!A$2:G$506,5,0)</f>
        <v>79.400000000000006</v>
      </c>
      <c r="J60">
        <f>VLOOKUP(A60,NYSEARCARWX!A$2:G$506,5,0)</f>
        <v>42.08</v>
      </c>
      <c r="K60">
        <f>VLOOKUP(A60,NYSEARCADBC!A$2:G$506,5,0)</f>
        <v>15.43</v>
      </c>
      <c r="L60">
        <f>VLOOKUP(A60,NYSEARCAGSG!A$2:G$506,5,0)</f>
        <v>17.52</v>
      </c>
      <c r="M60">
        <f>VLOOKUP(A60,NYSEARCAGLD!A$2:G$506,5,0)</f>
        <v>106.86</v>
      </c>
      <c r="N60">
        <f>VLOOKUP(A60,NYSEBP!A$2:G$506,5,0)</f>
        <v>35.92</v>
      </c>
      <c r="O60">
        <f>VLOOKUP(A60,NASDAQYHOO!A$2:G$506,5,0)</f>
        <v>35.93</v>
      </c>
    </row>
    <row r="61" spans="1:15">
      <c r="A61" s="39">
        <v>42230</v>
      </c>
      <c r="B61">
        <v>72.38</v>
      </c>
      <c r="C61">
        <f>VLOOKUP(A61,NYSEARCAVTI!A$2:G$506,5,0)</f>
        <v>108.16</v>
      </c>
      <c r="D61">
        <f>VLOOKUP(A61,NYSEARCAVEU!A$2:G$506,5,0)</f>
        <v>47.57</v>
      </c>
      <c r="E61">
        <f>VLOOKUP(A61,NYSEARCAVWO!A$2:G$506,5,0)</f>
        <v>36.82</v>
      </c>
      <c r="F61">
        <f>VLOOKUP(A61,NYSEARCABND!A$2:G$506,5,0)</f>
        <v>81.55</v>
      </c>
      <c r="G61">
        <f>VLOOKUP(A61,NYSEARCATIP!A$2:G$506,5,0)</f>
        <v>111.7</v>
      </c>
      <c r="H61">
        <f>VLOOKUP(A61,NYSEARCAMUB!A$2:G$506,5,0)</f>
        <v>108.93</v>
      </c>
      <c r="I61">
        <f>VLOOKUP(A61,NYSEARCAVNQ!A$2:G$506,5,0)</f>
        <v>79.83</v>
      </c>
      <c r="J61">
        <f>VLOOKUP(A61,NYSEARCARWX!A$2:G$506,5,0)</f>
        <v>42.34</v>
      </c>
      <c r="K61">
        <f>VLOOKUP(A61,NYSEARCADBC!A$2:G$506,5,0)</f>
        <v>15.33</v>
      </c>
      <c r="L61">
        <f>VLOOKUP(A61,NYSEARCAGSG!A$2:G$506,5,0)</f>
        <v>17.41</v>
      </c>
      <c r="M61">
        <f>VLOOKUP(A61,NYSEARCAGLD!A$2:G$506,5,0)</f>
        <v>106.85</v>
      </c>
      <c r="N61">
        <f>VLOOKUP(A61,NYSEBP!A$2:G$506,5,0)</f>
        <v>35.770000000000003</v>
      </c>
      <c r="O61">
        <f>VLOOKUP(A61,NASDAQYHOO!A$2:G$506,5,0)</f>
        <v>36.24</v>
      </c>
    </row>
    <row r="62" spans="1:15">
      <c r="A62" s="39">
        <v>42233</v>
      </c>
      <c r="B62">
        <v>71.91</v>
      </c>
      <c r="C62">
        <f>VLOOKUP(A62,NYSEARCAVTI!A$2:G$506,5,0)</f>
        <v>108.85</v>
      </c>
      <c r="D62">
        <f>VLOOKUP(A62,NYSEARCAVEU!A$2:G$506,5,0)</f>
        <v>47.43</v>
      </c>
      <c r="E62">
        <f>VLOOKUP(A62,NYSEARCAVWO!A$2:G$506,5,0)</f>
        <v>36.43</v>
      </c>
      <c r="F62">
        <f>VLOOKUP(A62,NYSEARCABND!A$2:G$506,5,0)</f>
        <v>81.7</v>
      </c>
      <c r="G62">
        <f>VLOOKUP(A62,NYSEARCATIP!A$2:G$506,5,0)</f>
        <v>111.69</v>
      </c>
      <c r="H62">
        <f>VLOOKUP(A62,NYSEARCAMUB!A$2:G$506,5,0)</f>
        <v>108.94</v>
      </c>
      <c r="I62">
        <f>VLOOKUP(A62,NYSEARCAVNQ!A$2:G$506,5,0)</f>
        <v>80.510000000000005</v>
      </c>
      <c r="J62">
        <f>VLOOKUP(A62,NYSEARCARWX!A$2:G$506,5,0)</f>
        <v>42.33</v>
      </c>
      <c r="K62">
        <f>VLOOKUP(A62,NYSEARCADBC!A$2:G$506,5,0)</f>
        <v>15.27</v>
      </c>
      <c r="L62">
        <f>VLOOKUP(A62,NYSEARCAGSG!A$2:G$506,5,0)</f>
        <v>17.350000000000001</v>
      </c>
      <c r="M62">
        <f>VLOOKUP(A62,NYSEARCAGLD!A$2:G$506,5,0)</f>
        <v>107.13</v>
      </c>
      <c r="N62">
        <f>VLOOKUP(A62,NYSEBP!A$2:G$506,5,0)</f>
        <v>35.53</v>
      </c>
      <c r="O62">
        <f>VLOOKUP(A62,NASDAQYHOO!A$2:G$506,5,0)</f>
        <v>36.1</v>
      </c>
    </row>
    <row r="63" spans="1:15">
      <c r="A63" s="39">
        <v>42234</v>
      </c>
      <c r="B63">
        <v>69.48</v>
      </c>
      <c r="C63">
        <f>VLOOKUP(A63,NYSEARCAVTI!A$2:G$506,5,0)</f>
        <v>108.57</v>
      </c>
      <c r="D63">
        <f>VLOOKUP(A63,NYSEARCAVEU!A$2:G$506,5,0)</f>
        <v>47.13</v>
      </c>
      <c r="E63">
        <f>VLOOKUP(A63,NYSEARCAVWO!A$2:G$506,5,0)</f>
        <v>36.01</v>
      </c>
      <c r="F63">
        <f>VLOOKUP(A63,NYSEARCABND!A$2:G$506,5,0)</f>
        <v>81.55</v>
      </c>
      <c r="G63">
        <f>VLOOKUP(A63,NYSEARCATIP!A$2:G$506,5,0)</f>
        <v>111.42</v>
      </c>
      <c r="H63">
        <f>VLOOKUP(A63,NYSEARCAMUB!A$2:G$506,5,0)</f>
        <v>108.78</v>
      </c>
      <c r="I63">
        <f>VLOOKUP(A63,NYSEARCAVNQ!A$2:G$506,5,0)</f>
        <v>80.73</v>
      </c>
      <c r="J63">
        <f>VLOOKUP(A63,NYSEARCARWX!A$2:G$506,5,0)</f>
        <v>42.11</v>
      </c>
      <c r="K63">
        <f>VLOOKUP(A63,NYSEARCADBC!A$2:G$506,5,0)</f>
        <v>15.19</v>
      </c>
      <c r="L63">
        <f>VLOOKUP(A63,NYSEARCAGSG!A$2:G$506,5,0)</f>
        <v>17.309999999999999</v>
      </c>
      <c r="M63">
        <f>VLOOKUP(A63,NYSEARCAGLD!A$2:G$506,5,0)</f>
        <v>107.11</v>
      </c>
      <c r="N63">
        <f>VLOOKUP(A63,NYSEBP!A$2:G$506,5,0)</f>
        <v>35.25</v>
      </c>
      <c r="O63">
        <f>VLOOKUP(A63,NASDAQYHOO!A$2:G$506,5,0)</f>
        <v>35.69</v>
      </c>
    </row>
    <row r="64" spans="1:15">
      <c r="A64" s="39">
        <v>42235</v>
      </c>
      <c r="B64">
        <v>68.569999999999993</v>
      </c>
      <c r="C64">
        <f>VLOOKUP(A64,NYSEARCAVTI!A$2:G$506,5,0)</f>
        <v>107.6</v>
      </c>
      <c r="D64">
        <f>VLOOKUP(A64,NYSEARCAVEU!A$2:G$506,5,0)</f>
        <v>46.65</v>
      </c>
      <c r="E64">
        <f>VLOOKUP(A64,NYSEARCAVWO!A$2:G$506,5,0)</f>
        <v>35.520000000000003</v>
      </c>
      <c r="F64">
        <f>VLOOKUP(A64,NYSEARCABND!A$2:G$506,5,0)</f>
        <v>81.84</v>
      </c>
      <c r="G64">
        <f>VLOOKUP(A64,NYSEARCATIP!A$2:G$506,5,0)</f>
        <v>111.8</v>
      </c>
      <c r="H64">
        <f>VLOOKUP(A64,NYSEARCAMUB!A$2:G$506,5,0)</f>
        <v>109.03</v>
      </c>
      <c r="I64">
        <f>VLOOKUP(A64,NYSEARCAVNQ!A$2:G$506,5,0)</f>
        <v>80.25</v>
      </c>
      <c r="J64">
        <f>VLOOKUP(A64,NYSEARCARWX!A$2:G$506,5,0)</f>
        <v>41.91</v>
      </c>
      <c r="K64">
        <f>VLOOKUP(A64,NYSEARCADBC!A$2:G$506,5,0)</f>
        <v>15.02</v>
      </c>
      <c r="L64">
        <f>VLOOKUP(A64,NYSEARCAGSG!A$2:G$506,5,0)</f>
        <v>16.95</v>
      </c>
      <c r="M64">
        <f>VLOOKUP(A64,NYSEARCAGLD!A$2:G$506,5,0)</f>
        <v>108.55</v>
      </c>
      <c r="N64">
        <f>VLOOKUP(A64,NYSEBP!A$2:G$506,5,0)</f>
        <v>34.659999999999997</v>
      </c>
      <c r="O64">
        <f>VLOOKUP(A64,NASDAQYHOO!A$2:G$506,5,0)</f>
        <v>35.19</v>
      </c>
    </row>
    <row r="65" spans="1:15">
      <c r="A65" s="39">
        <v>42236</v>
      </c>
      <c r="B65">
        <v>68.430000000000007</v>
      </c>
      <c r="C65">
        <f>VLOOKUP(A65,NYSEARCAVTI!A$2:G$506,5,0)</f>
        <v>105.26</v>
      </c>
      <c r="D65">
        <f>VLOOKUP(A65,NYSEARCAVEU!A$2:G$506,5,0)</f>
        <v>45.58</v>
      </c>
      <c r="E65">
        <f>VLOOKUP(A65,NYSEARCAVWO!A$2:G$506,5,0)</f>
        <v>34.950000000000003</v>
      </c>
      <c r="F65">
        <f>VLOOKUP(A65,NYSEARCABND!A$2:G$506,5,0)</f>
        <v>81.91</v>
      </c>
      <c r="G65">
        <f>VLOOKUP(A65,NYSEARCATIP!A$2:G$506,5,0)</f>
        <v>112.11</v>
      </c>
      <c r="H65">
        <f>VLOOKUP(A65,NYSEARCAMUB!A$2:G$506,5,0)</f>
        <v>109</v>
      </c>
      <c r="I65">
        <f>VLOOKUP(A65,NYSEARCAVNQ!A$2:G$506,5,0)</f>
        <v>79.66</v>
      </c>
      <c r="J65">
        <f>VLOOKUP(A65,NYSEARCARWX!A$2:G$506,5,0)</f>
        <v>41.18</v>
      </c>
      <c r="K65">
        <f>VLOOKUP(A65,NYSEARCADBC!A$2:G$506,5,0)</f>
        <v>15.06</v>
      </c>
      <c r="L65">
        <f>VLOOKUP(A65,NYSEARCAGSG!A$2:G$506,5,0)</f>
        <v>16.91</v>
      </c>
      <c r="M65">
        <f>VLOOKUP(A65,NYSEARCAGLD!A$2:G$506,5,0)</f>
        <v>110.44</v>
      </c>
      <c r="N65">
        <f>VLOOKUP(A65,NYSEBP!A$2:G$506,5,0)</f>
        <v>34.380000000000003</v>
      </c>
      <c r="O65">
        <f>VLOOKUP(A65,NASDAQYHOO!A$2:G$506,5,0)</f>
        <v>34.1</v>
      </c>
    </row>
    <row r="66" spans="1:15">
      <c r="A66" s="39">
        <v>42237</v>
      </c>
      <c r="B66">
        <v>66.540000000000006</v>
      </c>
      <c r="C66">
        <f>VLOOKUP(A66,NYSEARCAVTI!A$2:G$506,5,0)</f>
        <v>102.23</v>
      </c>
      <c r="D66">
        <f>VLOOKUP(A66,NYSEARCAVEU!A$2:G$506,5,0)</f>
        <v>44.45</v>
      </c>
      <c r="E66">
        <f>VLOOKUP(A66,NYSEARCAVWO!A$2:G$506,5,0)</f>
        <v>33.86</v>
      </c>
      <c r="F66">
        <f>VLOOKUP(A66,NYSEARCABND!A$2:G$506,5,0)</f>
        <v>82.04</v>
      </c>
      <c r="G66">
        <f>VLOOKUP(A66,NYSEARCATIP!A$2:G$506,5,0)</f>
        <v>112.15</v>
      </c>
      <c r="H66">
        <f>VLOOKUP(A66,NYSEARCAMUB!A$2:G$506,5,0)</f>
        <v>109.24</v>
      </c>
      <c r="I66">
        <f>VLOOKUP(A66,NYSEARCAVNQ!A$2:G$506,5,0)</f>
        <v>78.180000000000007</v>
      </c>
      <c r="J66">
        <f>VLOOKUP(A66,NYSEARCARWX!A$2:G$506,5,0)</f>
        <v>40.33</v>
      </c>
      <c r="K66">
        <f>VLOOKUP(A66,NYSEARCADBC!A$2:G$506,5,0)</f>
        <v>14.81</v>
      </c>
      <c r="L66">
        <f>VLOOKUP(A66,NYSEARCAGSG!A$2:G$506,5,0)</f>
        <v>16.649999999999999</v>
      </c>
      <c r="M66">
        <f>VLOOKUP(A66,NYSEARCAGLD!A$2:G$506,5,0)</f>
        <v>111.13</v>
      </c>
      <c r="N66">
        <f>VLOOKUP(A66,NYSEBP!A$2:G$506,5,0)</f>
        <v>33.17</v>
      </c>
      <c r="O66">
        <f>VLOOKUP(A66,NASDAQYHOO!A$2:G$506,5,0)</f>
        <v>32.93</v>
      </c>
    </row>
    <row r="67" spans="1:15">
      <c r="A67" s="39">
        <v>42240</v>
      </c>
      <c r="B67">
        <v>63.95</v>
      </c>
      <c r="C67">
        <f>VLOOKUP(A67,NYSEARCAVTI!A$2:G$506,5,0)</f>
        <v>98.12</v>
      </c>
      <c r="D67">
        <f>VLOOKUP(A67,NYSEARCAVEU!A$2:G$506,5,0)</f>
        <v>42.71</v>
      </c>
      <c r="E67">
        <f>VLOOKUP(A67,NYSEARCAVWO!A$2:G$506,5,0)</f>
        <v>32.17</v>
      </c>
      <c r="F67">
        <f>VLOOKUP(A67,NYSEARCABND!A$2:G$506,5,0)</f>
        <v>82.02</v>
      </c>
      <c r="G67">
        <f>VLOOKUP(A67,NYSEARCATIP!A$2:G$506,5,0)</f>
        <v>111.76</v>
      </c>
      <c r="H67">
        <f>VLOOKUP(A67,NYSEARCAMUB!A$2:G$506,5,0)</f>
        <v>108.91</v>
      </c>
      <c r="I67">
        <f>VLOOKUP(A67,NYSEARCAVNQ!A$2:G$506,5,0)</f>
        <v>74.52</v>
      </c>
      <c r="J67">
        <f>VLOOKUP(A67,NYSEARCARWX!A$2:G$506,5,0)</f>
        <v>38.619999999999997</v>
      </c>
      <c r="K67">
        <f>VLOOKUP(A67,NYSEARCADBC!A$2:G$506,5,0)</f>
        <v>14.44</v>
      </c>
      <c r="L67">
        <f>VLOOKUP(A67,NYSEARCAGSG!A$2:G$506,5,0)</f>
        <v>16.11</v>
      </c>
      <c r="M67">
        <f>VLOOKUP(A67,NYSEARCAGLD!A$2:G$506,5,0)</f>
        <v>110.53</v>
      </c>
      <c r="N67">
        <f>VLOOKUP(A67,NYSEBP!A$2:G$506,5,0)</f>
        <v>31.19</v>
      </c>
      <c r="O67">
        <f>VLOOKUP(A67,NASDAQYHOO!A$2:G$506,5,0)</f>
        <v>31.31</v>
      </c>
    </row>
    <row r="68" spans="1:15">
      <c r="A68" s="39">
        <v>42241</v>
      </c>
      <c r="B68">
        <v>63.1</v>
      </c>
      <c r="C68">
        <f>VLOOKUP(A68,NYSEARCAVTI!A$2:G$506,5,0)</f>
        <v>96.95</v>
      </c>
      <c r="D68">
        <f>VLOOKUP(A68,NYSEARCAVEU!A$2:G$506,5,0)</f>
        <v>43.11</v>
      </c>
      <c r="E68">
        <f>VLOOKUP(A68,NYSEARCAVWO!A$2:G$506,5,0)</f>
        <v>32.630000000000003</v>
      </c>
      <c r="F68">
        <f>VLOOKUP(A68,NYSEARCABND!A$2:G$506,5,0)</f>
        <v>81.75</v>
      </c>
      <c r="G68">
        <f>VLOOKUP(A68,NYSEARCATIP!A$2:G$506,5,0)</f>
        <v>111.49</v>
      </c>
      <c r="H68">
        <f>VLOOKUP(A68,NYSEARCAMUB!A$2:G$506,5,0)</f>
        <v>108.73</v>
      </c>
      <c r="I68">
        <f>VLOOKUP(A68,NYSEARCAVNQ!A$2:G$506,5,0)</f>
        <v>72.47</v>
      </c>
      <c r="J68">
        <f>VLOOKUP(A68,NYSEARCARWX!A$2:G$506,5,0)</f>
        <v>38.770000000000003</v>
      </c>
      <c r="K68">
        <f>VLOOKUP(A68,NYSEARCADBC!A$2:G$506,5,0)</f>
        <v>14.5</v>
      </c>
      <c r="L68">
        <f>VLOOKUP(A68,NYSEARCAGSG!A$2:G$506,5,0)</f>
        <v>16.16</v>
      </c>
      <c r="M68">
        <f>VLOOKUP(A68,NYSEARCAGLD!A$2:G$506,5,0)</f>
        <v>109.16</v>
      </c>
      <c r="N68">
        <f>VLOOKUP(A68,NYSEBP!A$2:G$506,5,0)</f>
        <v>30.71</v>
      </c>
      <c r="O68">
        <f>VLOOKUP(A68,NASDAQYHOO!A$2:G$506,5,0)</f>
        <v>31.74</v>
      </c>
    </row>
    <row r="69" spans="1:15">
      <c r="A69" s="39">
        <v>42242</v>
      </c>
      <c r="B69">
        <v>64.83</v>
      </c>
      <c r="C69">
        <f>VLOOKUP(A69,NYSEARCAVTI!A$2:G$506,5,0)</f>
        <v>100.47</v>
      </c>
      <c r="D69">
        <f>VLOOKUP(A69,NYSEARCAVEU!A$2:G$506,5,0)</f>
        <v>44.23</v>
      </c>
      <c r="E69">
        <f>VLOOKUP(A69,NYSEARCAVWO!A$2:G$506,5,0)</f>
        <v>33.76</v>
      </c>
      <c r="F69">
        <f>VLOOKUP(A69,NYSEARCABND!A$2:G$506,5,0)</f>
        <v>81.400000000000006</v>
      </c>
      <c r="G69">
        <f>VLOOKUP(A69,NYSEARCATIP!A$2:G$506,5,0)</f>
        <v>110.82</v>
      </c>
      <c r="H69">
        <f>VLOOKUP(A69,NYSEARCAMUB!A$2:G$506,5,0)</f>
        <v>108.63</v>
      </c>
      <c r="I69">
        <f>VLOOKUP(A69,NYSEARCAVNQ!A$2:G$506,5,0)</f>
        <v>74.430000000000007</v>
      </c>
      <c r="J69">
        <f>VLOOKUP(A69,NYSEARCARWX!A$2:G$506,5,0)</f>
        <v>39.549999999999997</v>
      </c>
      <c r="K69">
        <f>VLOOKUP(A69,NYSEARCADBC!A$2:G$506,5,0)</f>
        <v>14.41</v>
      </c>
      <c r="L69">
        <f>VLOOKUP(A69,NYSEARCAGSG!A$2:G$506,5,0)</f>
        <v>16.149999999999999</v>
      </c>
      <c r="M69">
        <f>VLOOKUP(A69,NYSEARCAGLD!A$2:G$506,5,0)</f>
        <v>107.67</v>
      </c>
      <c r="N69">
        <f>VLOOKUP(A69,NYSEBP!A$2:G$506,5,0)</f>
        <v>31.1</v>
      </c>
      <c r="O69">
        <f>VLOOKUP(A69,NASDAQYHOO!A$2:G$506,5,0)</f>
        <v>32.520000000000003</v>
      </c>
    </row>
    <row r="70" spans="1:15">
      <c r="A70" s="39">
        <v>42243</v>
      </c>
      <c r="B70">
        <v>66.08</v>
      </c>
      <c r="C70">
        <f>VLOOKUP(A70,NYSEARCAVTI!A$2:G$506,5,0)</f>
        <v>102.9</v>
      </c>
      <c r="D70">
        <f>VLOOKUP(A70,NYSEARCAVEU!A$2:G$506,5,0)</f>
        <v>45.08</v>
      </c>
      <c r="E70">
        <f>VLOOKUP(A70,NYSEARCAVWO!A$2:G$506,5,0)</f>
        <v>35.119999999999997</v>
      </c>
      <c r="F70">
        <f>VLOOKUP(A70,NYSEARCABND!A$2:G$506,5,0)</f>
        <v>81.510000000000005</v>
      </c>
      <c r="G70">
        <f>VLOOKUP(A70,NYSEARCATIP!A$2:G$506,5,0)</f>
        <v>111.36</v>
      </c>
      <c r="H70">
        <f>VLOOKUP(A70,NYSEARCAMUB!A$2:G$506,5,0)</f>
        <v>108.9</v>
      </c>
      <c r="I70">
        <f>VLOOKUP(A70,NYSEARCAVNQ!A$2:G$506,5,0)</f>
        <v>75.87</v>
      </c>
      <c r="J70">
        <f>VLOOKUP(A70,NYSEARCARWX!A$2:G$506,5,0)</f>
        <v>40.340000000000003</v>
      </c>
      <c r="K70">
        <f>VLOOKUP(A70,NYSEARCADBC!A$2:G$506,5,0)</f>
        <v>14.93</v>
      </c>
      <c r="L70">
        <f>VLOOKUP(A70,NYSEARCAGSG!A$2:G$506,5,0)</f>
        <v>16.91</v>
      </c>
      <c r="M70">
        <f>VLOOKUP(A70,NYSEARCAGLD!A$2:G$506,5,0)</f>
        <v>107.73</v>
      </c>
      <c r="N70">
        <f>VLOOKUP(A70,NYSEBP!A$2:G$506,5,0)</f>
        <v>33.03</v>
      </c>
      <c r="O70">
        <f>VLOOKUP(A70,NASDAQYHOO!A$2:G$506,5,0)</f>
        <v>33.69</v>
      </c>
    </row>
    <row r="71" spans="1:15">
      <c r="A71" s="39">
        <v>42244</v>
      </c>
      <c r="B71">
        <v>64.94</v>
      </c>
      <c r="C71">
        <f>VLOOKUP(A71,NYSEARCAVTI!A$2:G$506,5,0)</f>
        <v>102.98</v>
      </c>
      <c r="D71">
        <f>VLOOKUP(A71,NYSEARCAVEU!A$2:G$506,5,0)</f>
        <v>44.94</v>
      </c>
      <c r="E71">
        <f>VLOOKUP(A71,NYSEARCAVWO!A$2:G$506,5,0)</f>
        <v>34.61</v>
      </c>
      <c r="F71">
        <f>VLOOKUP(A71,NYSEARCABND!A$2:G$506,5,0)</f>
        <v>81.55</v>
      </c>
      <c r="G71">
        <f>VLOOKUP(A71,NYSEARCATIP!A$2:G$506,5,0)</f>
        <v>111.68</v>
      </c>
      <c r="H71">
        <f>VLOOKUP(A71,NYSEARCAMUB!A$2:G$506,5,0)</f>
        <v>108.92</v>
      </c>
      <c r="I71">
        <f>VLOOKUP(A71,NYSEARCAVNQ!A$2:G$506,5,0)</f>
        <v>75.760000000000005</v>
      </c>
      <c r="J71">
        <f>VLOOKUP(A71,NYSEARCARWX!A$2:G$506,5,0)</f>
        <v>39.93</v>
      </c>
      <c r="K71">
        <f>VLOOKUP(A71,NYSEARCADBC!A$2:G$506,5,0)</f>
        <v>15.32</v>
      </c>
      <c r="L71">
        <f>VLOOKUP(A71,NYSEARCAGSG!A$2:G$506,5,0)</f>
        <v>17.52</v>
      </c>
      <c r="M71">
        <f>VLOOKUP(A71,NYSEARCAGLD!A$2:G$506,5,0)</f>
        <v>108.7</v>
      </c>
      <c r="N71">
        <f>VLOOKUP(A71,NYSEBP!A$2:G$506,5,0)</f>
        <v>33.26</v>
      </c>
      <c r="O71">
        <f>VLOOKUP(A71,NASDAQYHOO!A$2:G$506,5,0)</f>
        <v>33.14</v>
      </c>
    </row>
    <row r="72" spans="1:15">
      <c r="A72" s="39">
        <v>42247</v>
      </c>
      <c r="B72">
        <v>64.73</v>
      </c>
      <c r="C72">
        <f>VLOOKUP(A72,NYSEARCAVTI!A$2:G$506,5,0)</f>
        <v>102.21</v>
      </c>
      <c r="D72">
        <f>VLOOKUP(A72,NYSEARCAVEU!A$2:G$506,5,0)</f>
        <v>44.66</v>
      </c>
      <c r="E72">
        <f>VLOOKUP(A72,NYSEARCAVWO!A$2:G$506,5,0)</f>
        <v>34.54</v>
      </c>
      <c r="F72">
        <f>VLOOKUP(A72,NYSEARCABND!A$2:G$506,5,0)</f>
        <v>81.44</v>
      </c>
      <c r="G72">
        <f>VLOOKUP(A72,NYSEARCATIP!A$2:G$506,5,0)</f>
        <v>111.58</v>
      </c>
      <c r="H72">
        <f>VLOOKUP(A72,NYSEARCAMUB!A$2:G$506,5,0)</f>
        <v>108.84</v>
      </c>
      <c r="I72">
        <f>VLOOKUP(A72,NYSEARCAVNQ!A$2:G$506,5,0)</f>
        <v>74.03</v>
      </c>
      <c r="J72">
        <f>VLOOKUP(A72,NYSEARCARWX!A$2:G$506,5,0)</f>
        <v>39.450000000000003</v>
      </c>
      <c r="K72">
        <f>VLOOKUP(A72,NYSEARCADBC!A$2:G$506,5,0)</f>
        <v>15.69</v>
      </c>
      <c r="L72">
        <f>VLOOKUP(A72,NYSEARCAGSG!A$2:G$506,5,0)</f>
        <v>18.170000000000002</v>
      </c>
      <c r="M72">
        <f>VLOOKUP(A72,NYSEARCAGLD!A$2:G$506,5,0)</f>
        <v>108.82</v>
      </c>
      <c r="N72">
        <f>VLOOKUP(A72,NYSEBP!A$2:G$506,5,0)</f>
        <v>33.54</v>
      </c>
      <c r="O72">
        <f>VLOOKUP(A72,NASDAQYHOO!A$2:G$506,5,0)</f>
        <v>32.24</v>
      </c>
    </row>
    <row r="73" spans="1:15">
      <c r="A73" s="39">
        <v>42248</v>
      </c>
      <c r="B73">
        <v>63.82</v>
      </c>
      <c r="C73">
        <f>VLOOKUP(A73,NYSEARCAVTI!A$2:G$506,5,0)</f>
        <v>99.21</v>
      </c>
      <c r="D73">
        <f>VLOOKUP(A73,NYSEARCAVEU!A$2:G$506,5,0)</f>
        <v>43.16</v>
      </c>
      <c r="E73">
        <f>VLOOKUP(A73,NYSEARCAVWO!A$2:G$506,5,0)</f>
        <v>33.19</v>
      </c>
      <c r="F73">
        <f>VLOOKUP(A73,NYSEARCABND!A$2:G$506,5,0)</f>
        <v>81.47</v>
      </c>
      <c r="G73">
        <f>VLOOKUP(A73,NYSEARCATIP!A$2:G$506,5,0)</f>
        <v>111.07</v>
      </c>
      <c r="H73">
        <f>VLOOKUP(A73,NYSEARCAMUB!A$2:G$506,5,0)</f>
        <v>108.95</v>
      </c>
      <c r="I73">
        <f>VLOOKUP(A73,NYSEARCAVNQ!A$2:G$506,5,0)</f>
        <v>72.61</v>
      </c>
      <c r="J73">
        <f>VLOOKUP(A73,NYSEARCARWX!A$2:G$506,5,0)</f>
        <v>38.409999999999997</v>
      </c>
      <c r="K73">
        <f>VLOOKUP(A73,NYSEARCADBC!A$2:G$506,5,0)</f>
        <v>15.17</v>
      </c>
      <c r="L73">
        <f>VLOOKUP(A73,NYSEARCAGSG!A$2:G$506,5,0)</f>
        <v>17.32</v>
      </c>
      <c r="M73">
        <f>VLOOKUP(A73,NYSEARCAGLD!A$2:G$506,5,0)</f>
        <v>109.2</v>
      </c>
      <c r="N73">
        <f>VLOOKUP(A73,NYSEBP!A$2:G$506,5,0)</f>
        <v>32.14</v>
      </c>
      <c r="O73">
        <f>VLOOKUP(A73,NASDAQYHOO!A$2:G$506,5,0)</f>
        <v>31.6</v>
      </c>
    </row>
    <row r="74" spans="1:15">
      <c r="A74" s="39">
        <v>42249</v>
      </c>
      <c r="B74">
        <v>64.44</v>
      </c>
      <c r="C74">
        <f>VLOOKUP(A74,NYSEARCAVTI!A$2:G$506,5,0)</f>
        <v>101.07</v>
      </c>
      <c r="D74">
        <f>VLOOKUP(A74,NYSEARCAVEU!A$2:G$506,5,0)</f>
        <v>43.81</v>
      </c>
      <c r="E74">
        <f>VLOOKUP(A74,NYSEARCAVWO!A$2:G$506,5,0)</f>
        <v>33.69</v>
      </c>
      <c r="F74">
        <f>VLOOKUP(A74,NYSEARCABND!A$2:G$506,5,0)</f>
        <v>81.41</v>
      </c>
      <c r="G74">
        <f>VLOOKUP(A74,NYSEARCATIP!A$2:G$506,5,0)</f>
        <v>110.72</v>
      </c>
      <c r="H74">
        <f>VLOOKUP(A74,NYSEARCAMUB!A$2:G$506,5,0)</f>
        <v>108.79</v>
      </c>
      <c r="I74">
        <f>VLOOKUP(A74,NYSEARCAVNQ!A$2:G$506,5,0)</f>
        <v>73.37</v>
      </c>
      <c r="J74">
        <f>VLOOKUP(A74,NYSEARCARWX!A$2:G$506,5,0)</f>
        <v>39.1</v>
      </c>
      <c r="K74">
        <f>VLOOKUP(A74,NYSEARCADBC!A$2:G$506,5,0)</f>
        <v>15.3</v>
      </c>
      <c r="L74">
        <f>VLOOKUP(A74,NYSEARCAGSG!A$2:G$506,5,0)</f>
        <v>17.57</v>
      </c>
      <c r="M74">
        <f>VLOOKUP(A74,NYSEARCAGLD!A$2:G$506,5,0)</f>
        <v>108.62</v>
      </c>
      <c r="N74">
        <f>VLOOKUP(A74,NYSEBP!A$2:G$506,5,0)</f>
        <v>32.200000000000003</v>
      </c>
      <c r="O74">
        <f>VLOOKUP(A74,NASDAQYHOO!A$2:G$506,5,0)</f>
        <v>31.77</v>
      </c>
    </row>
    <row r="75" spans="1:15">
      <c r="A75" s="39">
        <v>42250</v>
      </c>
      <c r="B75">
        <v>64.86</v>
      </c>
      <c r="C75">
        <f>VLOOKUP(A75,NYSEARCAVTI!A$2:G$506,5,0)</f>
        <v>101.2</v>
      </c>
      <c r="D75">
        <f>VLOOKUP(A75,NYSEARCAVEU!A$2:G$506,5,0)</f>
        <v>43.9</v>
      </c>
      <c r="E75">
        <f>VLOOKUP(A75,NYSEARCAVWO!A$2:G$506,5,0)</f>
        <v>33.840000000000003</v>
      </c>
      <c r="F75">
        <f>VLOOKUP(A75,NYSEARCABND!A$2:G$506,5,0)</f>
        <v>81.47</v>
      </c>
      <c r="G75">
        <f>VLOOKUP(A75,NYSEARCATIP!A$2:G$506,5,0)</f>
        <v>110.73</v>
      </c>
      <c r="H75">
        <f>VLOOKUP(A75,NYSEARCAMUB!A$2:G$506,5,0)</f>
        <v>108.88</v>
      </c>
      <c r="I75">
        <f>VLOOKUP(A75,NYSEARCAVNQ!A$2:G$506,5,0)</f>
        <v>73.569999999999993</v>
      </c>
      <c r="J75">
        <f>VLOOKUP(A75,NYSEARCARWX!A$2:G$506,5,0)</f>
        <v>38.979999999999997</v>
      </c>
      <c r="K75">
        <f>VLOOKUP(A75,NYSEARCADBC!A$2:G$506,5,0)</f>
        <v>15.4</v>
      </c>
      <c r="L75">
        <f>VLOOKUP(A75,NYSEARCAGSG!A$2:G$506,5,0)</f>
        <v>17.7</v>
      </c>
      <c r="M75">
        <f>VLOOKUP(A75,NYSEARCAGLD!A$2:G$506,5,0)</f>
        <v>107.84</v>
      </c>
      <c r="N75">
        <f>VLOOKUP(A75,NYSEBP!A$2:G$506,5,0)</f>
        <v>32.409999999999997</v>
      </c>
      <c r="O75">
        <f>VLOOKUP(A75,NASDAQYHOO!A$2:G$506,5,0)</f>
        <v>32.54</v>
      </c>
    </row>
    <row r="76" spans="1:15">
      <c r="A76" s="39">
        <v>42251</v>
      </c>
      <c r="B76">
        <v>63.89</v>
      </c>
      <c r="C76">
        <f>VLOOKUP(A76,NYSEARCAVTI!A$2:G$506,5,0)</f>
        <v>99.76</v>
      </c>
      <c r="D76">
        <f>VLOOKUP(A76,NYSEARCAVEU!A$2:G$506,5,0)</f>
        <v>42.91</v>
      </c>
      <c r="E76">
        <f>VLOOKUP(A76,NYSEARCAVWO!A$2:G$506,5,0)</f>
        <v>32.78</v>
      </c>
      <c r="F76">
        <f>VLOOKUP(A76,NYSEARCABND!A$2:G$506,5,0)</f>
        <v>81.67</v>
      </c>
      <c r="G76">
        <f>VLOOKUP(A76,NYSEARCATIP!A$2:G$506,5,0)</f>
        <v>110.91</v>
      </c>
      <c r="H76">
        <f>VLOOKUP(A76,NYSEARCAMUB!A$2:G$506,5,0)</f>
        <v>109</v>
      </c>
      <c r="I76">
        <f>VLOOKUP(A76,NYSEARCAVNQ!A$2:G$506,5,0)</f>
        <v>72.150000000000006</v>
      </c>
      <c r="J76">
        <f>VLOOKUP(A76,NYSEARCARWX!A$2:G$506,5,0)</f>
        <v>38.130000000000003</v>
      </c>
      <c r="K76">
        <f>VLOOKUP(A76,NYSEARCADBC!A$2:G$506,5,0)</f>
        <v>15.21</v>
      </c>
      <c r="L76">
        <f>VLOOKUP(A76,NYSEARCAGSG!A$2:G$506,5,0)</f>
        <v>17.46</v>
      </c>
      <c r="M76">
        <f>VLOOKUP(A76,NYSEARCAGLD!A$2:G$506,5,0)</f>
        <v>107.49</v>
      </c>
      <c r="N76">
        <f>VLOOKUP(A76,NYSEBP!A$2:G$506,5,0)</f>
        <v>30.7</v>
      </c>
      <c r="O76">
        <f>VLOOKUP(A76,NASDAQYHOO!A$2:G$506,5,0)</f>
        <v>31.58</v>
      </c>
    </row>
    <row r="77" spans="1:15">
      <c r="A77" s="39">
        <v>42255</v>
      </c>
      <c r="B77">
        <v>66.38</v>
      </c>
      <c r="C77">
        <f>VLOOKUP(A77,NYSEARCAVTI!A$2:G$506,5,0)</f>
        <v>102.27</v>
      </c>
      <c r="D77">
        <f>VLOOKUP(A77,NYSEARCAVEU!A$2:G$506,5,0)</f>
        <v>44.13</v>
      </c>
      <c r="E77">
        <f>VLOOKUP(A77,NYSEARCAVWO!A$2:G$506,5,0)</f>
        <v>33.880000000000003</v>
      </c>
      <c r="F77">
        <f>VLOOKUP(A77,NYSEARCABND!A$2:G$506,5,0)</f>
        <v>81.47</v>
      </c>
      <c r="G77">
        <f>VLOOKUP(A77,NYSEARCATIP!A$2:G$506,5,0)</f>
        <v>110.41</v>
      </c>
      <c r="H77">
        <f>VLOOKUP(A77,NYSEARCAMUB!A$2:G$506,5,0)</f>
        <v>108.7</v>
      </c>
      <c r="I77">
        <f>VLOOKUP(A77,NYSEARCAVNQ!A$2:G$506,5,0)</f>
        <v>73.290000000000006</v>
      </c>
      <c r="J77">
        <f>VLOOKUP(A77,NYSEARCARWX!A$2:G$506,5,0)</f>
        <v>39.090000000000003</v>
      </c>
      <c r="K77">
        <f>VLOOKUP(A77,NYSEARCADBC!A$2:G$506,5,0)</f>
        <v>15.32</v>
      </c>
      <c r="L77">
        <f>VLOOKUP(A77,NYSEARCAGSG!A$2:G$506,5,0)</f>
        <v>17.52</v>
      </c>
      <c r="M77">
        <f>VLOOKUP(A77,NYSEARCAGLD!A$2:G$506,5,0)</f>
        <v>107.52</v>
      </c>
      <c r="N77">
        <f>VLOOKUP(A77,NYSEBP!A$2:G$506,5,0)</f>
        <v>31.41</v>
      </c>
      <c r="O77">
        <f>VLOOKUP(A77,NASDAQYHOO!A$2:G$506,5,0)</f>
        <v>30.9</v>
      </c>
    </row>
    <row r="78" spans="1:15">
      <c r="A78" s="39">
        <v>42256</v>
      </c>
      <c r="B78">
        <v>65.12</v>
      </c>
      <c r="C78">
        <f>VLOOKUP(A78,NYSEARCAVTI!A$2:G$506,5,0)</f>
        <v>100.88</v>
      </c>
      <c r="D78">
        <f>VLOOKUP(A78,NYSEARCAVEU!A$2:G$506,5,0)</f>
        <v>43.86</v>
      </c>
      <c r="E78">
        <f>VLOOKUP(A78,NYSEARCAVWO!A$2:G$506,5,0)</f>
        <v>33.69</v>
      </c>
      <c r="F78">
        <f>VLOOKUP(A78,NYSEARCABND!A$2:G$506,5,0)</f>
        <v>81.45</v>
      </c>
      <c r="G78">
        <f>VLOOKUP(A78,NYSEARCATIP!A$2:G$506,5,0)</f>
        <v>110.66</v>
      </c>
      <c r="H78">
        <f>VLOOKUP(A78,NYSEARCAMUB!A$2:G$506,5,0)</f>
        <v>108.72</v>
      </c>
      <c r="I78">
        <f>VLOOKUP(A78,NYSEARCAVNQ!A$2:G$506,5,0)</f>
        <v>72.45</v>
      </c>
      <c r="J78">
        <f>VLOOKUP(A78,NYSEARCARWX!A$2:G$506,5,0)</f>
        <v>38.549999999999997</v>
      </c>
      <c r="K78">
        <f>VLOOKUP(A78,NYSEARCADBC!A$2:G$506,5,0)</f>
        <v>15.12</v>
      </c>
      <c r="L78">
        <f>VLOOKUP(A78,NYSEARCAGSG!A$2:G$506,5,0)</f>
        <v>17.190000000000001</v>
      </c>
      <c r="M78">
        <f>VLOOKUP(A78,NYSEARCAGLD!A$2:G$506,5,0)</f>
        <v>106.13</v>
      </c>
      <c r="N78">
        <f>VLOOKUP(A78,NYSEBP!A$2:G$506,5,0)</f>
        <v>30.9</v>
      </c>
      <c r="O78">
        <f>VLOOKUP(A78,NASDAQYHOO!A$2:G$506,5,0)</f>
        <v>31.52</v>
      </c>
    </row>
    <row r="79" spans="1:15">
      <c r="A79" s="39">
        <v>42257</v>
      </c>
      <c r="B79">
        <v>64.12</v>
      </c>
      <c r="C79">
        <f>VLOOKUP(A79,NYSEARCAVTI!A$2:G$506,5,0)</f>
        <v>101.4</v>
      </c>
      <c r="D79">
        <f>VLOOKUP(A79,NYSEARCAVEU!A$2:G$506,5,0)</f>
        <v>44.17</v>
      </c>
      <c r="E79">
        <f>VLOOKUP(A79,NYSEARCAVWO!A$2:G$506,5,0)</f>
        <v>33.94</v>
      </c>
      <c r="F79">
        <f>VLOOKUP(A79,NYSEARCABND!A$2:G$506,5,0)</f>
        <v>81.28</v>
      </c>
      <c r="G79">
        <f>VLOOKUP(A79,NYSEARCATIP!A$2:G$506,5,0)</f>
        <v>110.69</v>
      </c>
      <c r="H79">
        <f>VLOOKUP(A79,NYSEARCAMUB!A$2:G$506,5,0)</f>
        <v>108.6</v>
      </c>
      <c r="I79">
        <f>VLOOKUP(A79,NYSEARCAVNQ!A$2:G$506,5,0)</f>
        <v>72.61</v>
      </c>
      <c r="J79">
        <f>VLOOKUP(A79,NYSEARCARWX!A$2:G$506,5,0)</f>
        <v>38.93</v>
      </c>
      <c r="K79">
        <f>VLOOKUP(A79,NYSEARCADBC!A$2:G$506,5,0)</f>
        <v>15.25</v>
      </c>
      <c r="L79">
        <f>VLOOKUP(A79,NYSEARCAGSG!A$2:G$506,5,0)</f>
        <v>17.420000000000002</v>
      </c>
      <c r="M79">
        <f>VLOOKUP(A79,NYSEARCAGLD!A$2:G$506,5,0)</f>
        <v>106.38</v>
      </c>
      <c r="N79">
        <f>VLOOKUP(A79,NYSEBP!A$2:G$506,5,0)</f>
        <v>31.21</v>
      </c>
      <c r="O79">
        <f>VLOOKUP(A79,NASDAQYHOO!A$2:G$506,5,0)</f>
        <v>31.15</v>
      </c>
    </row>
    <row r="80" spans="1:15">
      <c r="A80" s="39">
        <v>42258</v>
      </c>
      <c r="B80">
        <v>64.650000000000006</v>
      </c>
      <c r="C80">
        <f>VLOOKUP(A80,NYSEARCAVTI!A$2:G$506,5,0)</f>
        <v>101.86</v>
      </c>
      <c r="D80">
        <f>VLOOKUP(A80,NYSEARCAVEU!A$2:G$506,5,0)</f>
        <v>44.18</v>
      </c>
      <c r="E80">
        <f>VLOOKUP(A80,NYSEARCAVWO!A$2:G$506,5,0)</f>
        <v>34.07</v>
      </c>
      <c r="F80">
        <f>VLOOKUP(A80,NYSEARCABND!A$2:G$506,5,0)</f>
        <v>81.45</v>
      </c>
      <c r="G80">
        <f>VLOOKUP(A80,NYSEARCATIP!A$2:G$506,5,0)</f>
        <v>111</v>
      </c>
      <c r="H80">
        <f>VLOOKUP(A80,NYSEARCAMUB!A$2:G$506,5,0)</f>
        <v>108.64</v>
      </c>
      <c r="I80">
        <f>VLOOKUP(A80,NYSEARCAVNQ!A$2:G$506,5,0)</f>
        <v>74</v>
      </c>
      <c r="J80">
        <f>VLOOKUP(A80,NYSEARCARWX!A$2:G$506,5,0)</f>
        <v>39.01</v>
      </c>
      <c r="K80">
        <f>VLOOKUP(A80,NYSEARCADBC!A$2:G$506,5,0)</f>
        <v>15.23</v>
      </c>
      <c r="L80">
        <f>VLOOKUP(A80,NYSEARCAGSG!A$2:G$506,5,0)</f>
        <v>17.32</v>
      </c>
      <c r="M80">
        <f>VLOOKUP(A80,NYSEARCAGLD!A$2:G$506,5,0)</f>
        <v>106.16</v>
      </c>
      <c r="N80">
        <f>VLOOKUP(A80,NYSEBP!A$2:G$506,5,0)</f>
        <v>31.01</v>
      </c>
      <c r="O80">
        <f>VLOOKUP(A80,NASDAQYHOO!A$2:G$506,5,0)</f>
        <v>31.43</v>
      </c>
    </row>
    <row r="81" spans="1:15">
      <c r="A81" s="39">
        <v>42261</v>
      </c>
      <c r="B81">
        <v>64.28</v>
      </c>
      <c r="C81">
        <f>VLOOKUP(A81,NYSEARCAVTI!A$2:G$506,5,0)</f>
        <v>101.47</v>
      </c>
      <c r="D81">
        <f>VLOOKUP(A81,NYSEARCAVEU!A$2:G$506,5,0)</f>
        <v>43.91</v>
      </c>
      <c r="E81">
        <f>VLOOKUP(A81,NYSEARCAVWO!A$2:G$506,5,0)</f>
        <v>34.07</v>
      </c>
      <c r="F81">
        <f>VLOOKUP(A81,NYSEARCABND!A$2:G$506,5,0)</f>
        <v>81.47</v>
      </c>
      <c r="G81">
        <f>VLOOKUP(A81,NYSEARCATIP!A$2:G$506,5,0)</f>
        <v>110.79</v>
      </c>
      <c r="H81">
        <f>VLOOKUP(A81,NYSEARCAMUB!A$2:G$506,5,0)</f>
        <v>108.6</v>
      </c>
      <c r="I81">
        <f>VLOOKUP(A81,NYSEARCAVNQ!A$2:G$506,5,0)</f>
        <v>74.040000000000006</v>
      </c>
      <c r="J81">
        <f>VLOOKUP(A81,NYSEARCARWX!A$2:G$506,5,0)</f>
        <v>38.9</v>
      </c>
      <c r="K81">
        <f>VLOOKUP(A81,NYSEARCADBC!A$2:G$506,5,0)</f>
        <v>15.04</v>
      </c>
      <c r="L81">
        <f>VLOOKUP(A81,NYSEARCAGSG!A$2:G$506,5,0)</f>
        <v>17.09</v>
      </c>
      <c r="M81">
        <f>VLOOKUP(A81,NYSEARCAGLD!A$2:G$506,5,0)</f>
        <v>106.22</v>
      </c>
      <c r="N81">
        <f>VLOOKUP(A81,NYSEBP!A$2:G$506,5,0)</f>
        <v>30.68</v>
      </c>
      <c r="O81">
        <f>VLOOKUP(A81,NASDAQYHOO!A$2:G$506,5,0)</f>
        <v>30.32</v>
      </c>
    </row>
    <row r="82" spans="1:15">
      <c r="A82" s="39">
        <v>42262</v>
      </c>
      <c r="B82">
        <v>64.319999999999993</v>
      </c>
      <c r="C82">
        <f>VLOOKUP(A82,NYSEARCAVTI!A$2:G$506,5,0)</f>
        <v>102.75</v>
      </c>
      <c r="D82">
        <f>VLOOKUP(A82,NYSEARCAVEU!A$2:G$506,5,0)</f>
        <v>44.27</v>
      </c>
      <c r="E82">
        <f>VLOOKUP(A82,NYSEARCAVWO!A$2:G$506,5,0)</f>
        <v>34.42</v>
      </c>
      <c r="F82">
        <f>VLOOKUP(A82,NYSEARCABND!A$2:G$506,5,0)</f>
        <v>81.13</v>
      </c>
      <c r="G82">
        <f>VLOOKUP(A82,NYSEARCATIP!A$2:G$506,5,0)</f>
        <v>110.04</v>
      </c>
      <c r="H82">
        <f>VLOOKUP(A82,NYSEARCAMUB!A$2:G$506,5,0)</f>
        <v>108.18</v>
      </c>
      <c r="I82">
        <f>VLOOKUP(A82,NYSEARCAVNQ!A$2:G$506,5,0)</f>
        <v>74.77</v>
      </c>
      <c r="J82">
        <f>VLOOKUP(A82,NYSEARCARWX!A$2:G$506,5,0)</f>
        <v>39.049999999999997</v>
      </c>
      <c r="K82">
        <f>VLOOKUP(A82,NYSEARCADBC!A$2:G$506,5,0)</f>
        <v>15.09</v>
      </c>
      <c r="L82">
        <f>VLOOKUP(A82,NYSEARCAGSG!A$2:G$506,5,0)</f>
        <v>17.149999999999999</v>
      </c>
      <c r="M82">
        <f>VLOOKUP(A82,NYSEARCAGLD!A$2:G$506,5,0)</f>
        <v>105.9</v>
      </c>
      <c r="N82">
        <f>VLOOKUP(A82,NYSEBP!A$2:G$506,5,0)</f>
        <v>31.11</v>
      </c>
      <c r="O82">
        <f>VLOOKUP(A82,NASDAQYHOO!A$2:G$506,5,0)</f>
        <v>31.04</v>
      </c>
    </row>
    <row r="83" spans="1:15">
      <c r="A83" s="39">
        <v>42263</v>
      </c>
      <c r="B83">
        <v>64.69</v>
      </c>
      <c r="C83">
        <f>VLOOKUP(A83,NYSEARCAVTI!A$2:G$506,5,0)</f>
        <v>103.62</v>
      </c>
      <c r="D83">
        <f>VLOOKUP(A83,NYSEARCAVEU!A$2:G$506,5,0)</f>
        <v>45</v>
      </c>
      <c r="E83">
        <f>VLOOKUP(A83,NYSEARCAVWO!A$2:G$506,5,0)</f>
        <v>35.22</v>
      </c>
      <c r="F83">
        <f>VLOOKUP(A83,NYSEARCABND!A$2:G$506,5,0)</f>
        <v>81.08</v>
      </c>
      <c r="G83">
        <f>VLOOKUP(A83,NYSEARCATIP!A$2:G$506,5,0)</f>
        <v>110.01</v>
      </c>
      <c r="H83">
        <f>VLOOKUP(A83,NYSEARCAMUB!A$2:G$506,5,0)</f>
        <v>108.19</v>
      </c>
      <c r="I83">
        <f>VLOOKUP(A83,NYSEARCAVNQ!A$2:G$506,5,0)</f>
        <v>75.569999999999993</v>
      </c>
      <c r="J83">
        <f>VLOOKUP(A83,NYSEARCARWX!A$2:G$506,5,0)</f>
        <v>39.33</v>
      </c>
      <c r="K83">
        <f>VLOOKUP(A83,NYSEARCADBC!A$2:G$506,5,0)</f>
        <v>15.34</v>
      </c>
      <c r="L83">
        <f>VLOOKUP(A83,NYSEARCAGSG!A$2:G$506,5,0)</f>
        <v>17.5</v>
      </c>
      <c r="M83">
        <f>VLOOKUP(A83,NYSEARCAGLD!A$2:G$506,5,0)</f>
        <v>107.31</v>
      </c>
      <c r="N83">
        <f>VLOOKUP(A83,NYSEBP!A$2:G$506,5,0)</f>
        <v>32.130000000000003</v>
      </c>
      <c r="O83">
        <f>VLOOKUP(A83,NASDAQYHOO!A$2:G$506,5,0)</f>
        <v>31.4</v>
      </c>
    </row>
    <row r="84" spans="1:15">
      <c r="A84" s="39">
        <v>42264</v>
      </c>
      <c r="B84">
        <v>64.47</v>
      </c>
      <c r="C84">
        <f>VLOOKUP(A84,NYSEARCAVTI!A$2:G$506,5,0)</f>
        <v>103.48</v>
      </c>
      <c r="D84">
        <f>VLOOKUP(A84,NYSEARCAVEU!A$2:G$506,5,0)</f>
        <v>45.07</v>
      </c>
      <c r="E84">
        <f>VLOOKUP(A84,NYSEARCAVWO!A$2:G$506,5,0)</f>
        <v>35.22</v>
      </c>
      <c r="F84">
        <f>VLOOKUP(A84,NYSEARCABND!A$2:G$506,5,0)</f>
        <v>81.540000000000006</v>
      </c>
      <c r="G84">
        <f>VLOOKUP(A84,NYSEARCATIP!A$2:G$506,5,0)</f>
        <v>110.87</v>
      </c>
      <c r="H84">
        <f>VLOOKUP(A84,NYSEARCAMUB!A$2:G$506,5,0)</f>
        <v>108.7</v>
      </c>
      <c r="I84">
        <f>VLOOKUP(A84,NYSEARCAVNQ!A$2:G$506,5,0)</f>
        <v>76.430000000000007</v>
      </c>
      <c r="J84">
        <f>VLOOKUP(A84,NYSEARCARWX!A$2:G$506,5,0)</f>
        <v>39.369999999999997</v>
      </c>
      <c r="K84">
        <f>VLOOKUP(A84,NYSEARCADBC!A$2:G$506,5,0)</f>
        <v>15.24</v>
      </c>
      <c r="L84">
        <f>VLOOKUP(A84,NYSEARCAGSG!A$2:G$506,5,0)</f>
        <v>17.39</v>
      </c>
      <c r="M84">
        <f>VLOOKUP(A84,NYSEARCAGLD!A$2:G$506,5,0)</f>
        <v>108.41</v>
      </c>
      <c r="N84">
        <f>VLOOKUP(A84,NYSEBP!A$2:G$506,5,0)</f>
        <v>32.11</v>
      </c>
      <c r="O84">
        <f>VLOOKUP(A84,NASDAQYHOO!A$2:G$506,5,0)</f>
        <v>30.93</v>
      </c>
    </row>
    <row r="85" spans="1:15">
      <c r="A85" s="39">
        <v>42265</v>
      </c>
      <c r="B85">
        <v>63.34</v>
      </c>
      <c r="C85">
        <f>VLOOKUP(A85,NYSEARCAVTI!A$2:G$506,5,0)</f>
        <v>101.84</v>
      </c>
      <c r="D85">
        <f>VLOOKUP(A85,NYSEARCAVEU!A$2:G$506,5,0)</f>
        <v>44.07</v>
      </c>
      <c r="E85">
        <f>VLOOKUP(A85,NYSEARCAVWO!A$2:G$506,5,0)</f>
        <v>34.380000000000003</v>
      </c>
      <c r="F85">
        <f>VLOOKUP(A85,NYSEARCABND!A$2:G$506,5,0)</f>
        <v>81.77</v>
      </c>
      <c r="G85">
        <f>VLOOKUP(A85,NYSEARCATIP!A$2:G$506,5,0)</f>
        <v>111.22</v>
      </c>
      <c r="H85">
        <f>VLOOKUP(A85,NYSEARCAMUB!A$2:G$506,5,0)</f>
        <v>108.95</v>
      </c>
      <c r="I85">
        <f>VLOOKUP(A85,NYSEARCAVNQ!A$2:G$506,5,0)</f>
        <v>76.3</v>
      </c>
      <c r="J85">
        <f>VLOOKUP(A85,NYSEARCARWX!A$2:G$506,5,0)</f>
        <v>38.79</v>
      </c>
      <c r="K85">
        <f>VLOOKUP(A85,NYSEARCADBC!A$2:G$506,5,0)</f>
        <v>15.01</v>
      </c>
      <c r="L85">
        <f>VLOOKUP(A85,NYSEARCAGSG!A$2:G$506,5,0)</f>
        <v>17</v>
      </c>
      <c r="M85">
        <f>VLOOKUP(A85,NYSEARCAGLD!A$2:G$506,5,0)</f>
        <v>109.21</v>
      </c>
      <c r="N85">
        <f>VLOOKUP(A85,NYSEBP!A$2:G$506,5,0)</f>
        <v>31.09</v>
      </c>
      <c r="O85">
        <f>VLOOKUP(A85,NASDAQYHOO!A$2:G$506,5,0)</f>
        <v>30.74</v>
      </c>
    </row>
    <row r="86" spans="1:15">
      <c r="A86" s="39">
        <v>42268</v>
      </c>
      <c r="B86">
        <v>63.72</v>
      </c>
      <c r="C86">
        <f>VLOOKUP(A86,NYSEARCAVTI!A$2:G$506,5,0)</f>
        <v>102.25</v>
      </c>
      <c r="D86">
        <f>VLOOKUP(A86,NYSEARCAVEU!A$2:G$506,5,0)</f>
        <v>44.07</v>
      </c>
      <c r="E86">
        <f>VLOOKUP(A86,NYSEARCAVWO!A$2:G$506,5,0)</f>
        <v>34.44</v>
      </c>
      <c r="F86">
        <f>VLOOKUP(A86,NYSEARCABND!A$2:G$506,5,0)</f>
        <v>81.47</v>
      </c>
      <c r="G86">
        <f>VLOOKUP(A86,NYSEARCATIP!A$2:G$506,5,0)</f>
        <v>110.52</v>
      </c>
      <c r="H86">
        <f>VLOOKUP(A86,NYSEARCAMUB!A$2:G$506,5,0)</f>
        <v>108.83</v>
      </c>
      <c r="I86">
        <f>VLOOKUP(A86,NYSEARCAVNQ!A$2:G$506,5,0)</f>
        <v>76.95</v>
      </c>
      <c r="J86">
        <f>VLOOKUP(A86,NYSEARCARWX!A$2:G$506,5,0)</f>
        <v>38.96</v>
      </c>
      <c r="K86">
        <f>VLOOKUP(A86,NYSEARCADBC!A$2:G$506,5,0)</f>
        <v>15.18</v>
      </c>
      <c r="L86">
        <f>VLOOKUP(A86,NYSEARCAGSG!A$2:G$506,5,0)</f>
        <v>17.27</v>
      </c>
      <c r="M86">
        <f>VLOOKUP(A86,NYSEARCAGLD!A$2:G$506,5,0)</f>
        <v>108.53</v>
      </c>
      <c r="N86">
        <f>VLOOKUP(A86,NYSEBP!A$2:G$506,5,0)</f>
        <v>31.06</v>
      </c>
      <c r="O86">
        <f>VLOOKUP(A86,NASDAQYHOO!A$2:G$506,5,0)</f>
        <v>31.17</v>
      </c>
    </row>
    <row r="87" spans="1:15">
      <c r="A87" s="39">
        <v>42269</v>
      </c>
      <c r="B87">
        <v>63.59</v>
      </c>
      <c r="C87">
        <f>VLOOKUP(A87,NYSEARCAVTI!A$2:G$506,5,0)</f>
        <v>100.88</v>
      </c>
      <c r="D87">
        <f>VLOOKUP(A87,NYSEARCAVEU!A$2:G$506,5,0)</f>
        <v>43.02</v>
      </c>
      <c r="E87">
        <f>VLOOKUP(A87,NYSEARCAVWO!A$2:G$506,5,0)</f>
        <v>33.770000000000003</v>
      </c>
      <c r="F87">
        <f>VLOOKUP(A87,NYSEARCABND!A$2:G$506,5,0)</f>
        <v>81.62</v>
      </c>
      <c r="G87">
        <f>VLOOKUP(A87,NYSEARCATIP!A$2:G$506,5,0)</f>
        <v>110.79</v>
      </c>
      <c r="H87">
        <f>VLOOKUP(A87,NYSEARCAMUB!A$2:G$506,5,0)</f>
        <v>109.13</v>
      </c>
      <c r="I87">
        <f>VLOOKUP(A87,NYSEARCAVNQ!A$2:G$506,5,0)</f>
        <v>75.989999999999995</v>
      </c>
      <c r="J87">
        <f>VLOOKUP(A87,NYSEARCARWX!A$2:G$506,5,0)</f>
        <v>38.380000000000003</v>
      </c>
      <c r="K87">
        <f>VLOOKUP(A87,NYSEARCADBC!A$2:G$506,5,0)</f>
        <v>15.09</v>
      </c>
      <c r="L87">
        <f>VLOOKUP(A87,NYSEARCAGSG!A$2:G$506,5,0)</f>
        <v>17.18</v>
      </c>
      <c r="M87">
        <f>VLOOKUP(A87,NYSEARCAGLD!A$2:G$506,5,0)</f>
        <v>107.79</v>
      </c>
      <c r="N87">
        <f>VLOOKUP(A87,NYSEBP!A$2:G$506,5,0)</f>
        <v>30.39</v>
      </c>
      <c r="O87">
        <f>VLOOKUP(A87,NASDAQYHOO!A$2:G$506,5,0)</f>
        <v>30.4</v>
      </c>
    </row>
    <row r="88" spans="1:15">
      <c r="A88" s="39">
        <v>42270</v>
      </c>
      <c r="B88">
        <v>63.72</v>
      </c>
      <c r="C88">
        <f>VLOOKUP(A88,NYSEARCAVTI!A$2:G$506,5,0)</f>
        <v>100.68</v>
      </c>
      <c r="D88">
        <f>VLOOKUP(A88,NYSEARCAVEU!A$2:G$506,5,0)</f>
        <v>42.77</v>
      </c>
      <c r="E88">
        <f>VLOOKUP(A88,NYSEARCAVWO!A$2:G$506,5,0)</f>
        <v>33.26</v>
      </c>
      <c r="F88">
        <f>VLOOKUP(A88,NYSEARCABND!A$2:G$506,5,0)</f>
        <v>81.62</v>
      </c>
      <c r="G88">
        <f>VLOOKUP(A88,NYSEARCATIP!A$2:G$506,5,0)</f>
        <v>110.71</v>
      </c>
      <c r="H88">
        <f>VLOOKUP(A88,NYSEARCAMUB!A$2:G$506,5,0)</f>
        <v>109.11</v>
      </c>
      <c r="I88">
        <f>VLOOKUP(A88,NYSEARCAVNQ!A$2:G$506,5,0)</f>
        <v>75.69</v>
      </c>
      <c r="J88">
        <f>VLOOKUP(A88,NYSEARCARWX!A$2:G$506,5,0)</f>
        <v>38.25</v>
      </c>
      <c r="K88">
        <f>VLOOKUP(A88,NYSEARCADBC!A$2:G$506,5,0)</f>
        <v>14.97</v>
      </c>
      <c r="L88">
        <f>VLOOKUP(A88,NYSEARCAGSG!A$2:G$506,5,0)</f>
        <v>16.97</v>
      </c>
      <c r="M88">
        <f>VLOOKUP(A88,NYSEARCAGLD!A$2:G$506,5,0)</f>
        <v>108.22</v>
      </c>
      <c r="N88">
        <f>VLOOKUP(A88,NYSEBP!A$2:G$506,5,0)</f>
        <v>29.92</v>
      </c>
      <c r="O88">
        <f>VLOOKUP(A88,NASDAQYHOO!A$2:G$506,5,0)</f>
        <v>29.74</v>
      </c>
    </row>
    <row r="89" spans="1:15">
      <c r="A89" s="39">
        <v>42271</v>
      </c>
      <c r="B89">
        <v>63.83</v>
      </c>
      <c r="C89">
        <f>VLOOKUP(A89,NYSEARCAVTI!A$2:G$506,5,0)</f>
        <v>100.27</v>
      </c>
      <c r="D89">
        <f>VLOOKUP(A89,NYSEARCAVEU!A$2:G$506,5,0)</f>
        <v>42.58</v>
      </c>
      <c r="E89">
        <f>VLOOKUP(A89,NYSEARCAVWO!A$2:G$506,5,0)</f>
        <v>33.19</v>
      </c>
      <c r="F89">
        <f>VLOOKUP(A89,NYSEARCABND!A$2:G$506,5,0)</f>
        <v>81.650000000000006</v>
      </c>
      <c r="G89">
        <f>VLOOKUP(A89,NYSEARCATIP!A$2:G$506,5,0)</f>
        <v>110.72</v>
      </c>
      <c r="H89">
        <f>VLOOKUP(A89,NYSEARCAMUB!A$2:G$506,5,0)</f>
        <v>109.15</v>
      </c>
      <c r="I89">
        <f>VLOOKUP(A89,NYSEARCAVNQ!A$2:G$506,5,0)</f>
        <v>74.989999999999995</v>
      </c>
      <c r="J89">
        <f>VLOOKUP(A89,NYSEARCARWX!A$2:G$506,5,0)</f>
        <v>38.619999999999997</v>
      </c>
      <c r="K89">
        <f>VLOOKUP(A89,NYSEARCADBC!A$2:G$506,5,0)</f>
        <v>15.06</v>
      </c>
      <c r="L89">
        <f>VLOOKUP(A89,NYSEARCAGSG!A$2:G$506,5,0)</f>
        <v>17.07</v>
      </c>
      <c r="M89">
        <f>VLOOKUP(A89,NYSEARCAGLD!A$2:G$506,5,0)</f>
        <v>110.49</v>
      </c>
      <c r="N89">
        <f>VLOOKUP(A89,NYSEBP!A$2:G$506,5,0)</f>
        <v>30.16</v>
      </c>
      <c r="O89">
        <f>VLOOKUP(A89,NASDAQYHOO!A$2:G$506,5,0)</f>
        <v>29.34</v>
      </c>
    </row>
    <row r="90" spans="1:15">
      <c r="A90" s="39">
        <v>42272</v>
      </c>
      <c r="B90">
        <v>63.78</v>
      </c>
      <c r="C90">
        <f>VLOOKUP(A90,NYSEARCAVTI!A$2:G$506,5,0)</f>
        <v>99.61</v>
      </c>
      <c r="D90">
        <f>VLOOKUP(A90,NYSEARCAVEU!A$2:G$506,5,0)</f>
        <v>42.65</v>
      </c>
      <c r="E90">
        <f>VLOOKUP(A90,NYSEARCAVWO!A$2:G$506,5,0)</f>
        <v>32.69</v>
      </c>
      <c r="F90">
        <f>VLOOKUP(A90,NYSEARCABND!A$2:G$506,5,0)</f>
        <v>81.5</v>
      </c>
      <c r="G90">
        <f>VLOOKUP(A90,NYSEARCATIP!A$2:G$506,5,0)</f>
        <v>110.13</v>
      </c>
      <c r="H90">
        <f>VLOOKUP(A90,NYSEARCAMUB!A$2:G$506,5,0)</f>
        <v>109.1</v>
      </c>
      <c r="I90">
        <f>VLOOKUP(A90,NYSEARCAVNQ!A$2:G$506,5,0)</f>
        <v>75.290000000000006</v>
      </c>
      <c r="J90">
        <f>VLOOKUP(A90,NYSEARCARWX!A$2:G$506,5,0)</f>
        <v>39.15</v>
      </c>
      <c r="K90">
        <f>VLOOKUP(A90,NYSEARCADBC!A$2:G$506,5,0)</f>
        <v>15.15</v>
      </c>
      <c r="L90">
        <f>VLOOKUP(A90,NYSEARCAGSG!A$2:G$506,5,0)</f>
        <v>17.18</v>
      </c>
      <c r="M90">
        <f>VLOOKUP(A90,NYSEARCAGLD!A$2:G$506,5,0)</f>
        <v>109.81</v>
      </c>
      <c r="N90">
        <f>VLOOKUP(A90,NYSEBP!A$2:G$506,5,0)</f>
        <v>30.43</v>
      </c>
      <c r="O90">
        <f>VLOOKUP(A90,NASDAQYHOO!A$2:G$506,5,0)</f>
        <v>29.13</v>
      </c>
    </row>
    <row r="91" spans="1:15">
      <c r="A91" s="39">
        <v>42275</v>
      </c>
      <c r="B91">
        <v>63.66</v>
      </c>
      <c r="C91">
        <f>VLOOKUP(A91,NYSEARCAVTI!A$2:G$506,5,0)</f>
        <v>96.94</v>
      </c>
      <c r="D91">
        <f>VLOOKUP(A91,NYSEARCAVEU!A$2:G$506,5,0)</f>
        <v>41.75</v>
      </c>
      <c r="E91">
        <f>VLOOKUP(A91,NYSEARCAVWO!A$2:G$506,5,0)</f>
        <v>31.96</v>
      </c>
      <c r="F91">
        <f>VLOOKUP(A91,NYSEARCABND!A$2:G$506,5,0)</f>
        <v>81.709999999999994</v>
      </c>
      <c r="G91">
        <f>VLOOKUP(A91,NYSEARCATIP!A$2:G$506,5,0)</f>
        <v>110.16</v>
      </c>
      <c r="H91">
        <f>VLOOKUP(A91,NYSEARCAMUB!A$2:G$506,5,0)</f>
        <v>109.39</v>
      </c>
      <c r="I91">
        <f>VLOOKUP(A91,NYSEARCAVNQ!A$2:G$506,5,0)</f>
        <v>74.12</v>
      </c>
      <c r="J91">
        <f>VLOOKUP(A91,NYSEARCARWX!A$2:G$506,5,0)</f>
        <v>38.549999999999997</v>
      </c>
      <c r="K91">
        <f>VLOOKUP(A91,NYSEARCADBC!A$2:G$506,5,0)</f>
        <v>14.94</v>
      </c>
      <c r="L91">
        <f>VLOOKUP(A91,NYSEARCAGSG!A$2:G$506,5,0)</f>
        <v>16.899999999999999</v>
      </c>
      <c r="M91">
        <f>VLOOKUP(A91,NYSEARCAGLD!A$2:G$506,5,0)</f>
        <v>108.42</v>
      </c>
      <c r="N91">
        <f>VLOOKUP(A91,NYSEBP!A$2:G$506,5,0)</f>
        <v>29.38</v>
      </c>
      <c r="O91">
        <f>VLOOKUP(A91,NASDAQYHOO!A$2:G$506,5,0)</f>
        <v>27.6</v>
      </c>
    </row>
    <row r="92" spans="1:15">
      <c r="A92" s="39">
        <v>42276</v>
      </c>
      <c r="B92">
        <v>63.78</v>
      </c>
      <c r="C92">
        <f>VLOOKUP(A92,NYSEARCAVTI!A$2:G$506,5,0)</f>
        <v>96.92</v>
      </c>
      <c r="D92">
        <f>VLOOKUP(A92,NYSEARCAVEU!A$2:G$506,5,0)</f>
        <v>41.8</v>
      </c>
      <c r="E92">
        <f>VLOOKUP(A92,NYSEARCAVWO!A$2:G$506,5,0)</f>
        <v>32.22</v>
      </c>
      <c r="F92">
        <f>VLOOKUP(A92,NYSEARCABND!A$2:G$506,5,0)</f>
        <v>81.77</v>
      </c>
      <c r="G92">
        <f>VLOOKUP(A92,NYSEARCATIP!A$2:G$506,5,0)</f>
        <v>110.47</v>
      </c>
      <c r="H92">
        <f>VLOOKUP(A92,NYSEARCAMUB!A$2:G$506,5,0)</f>
        <v>109.58</v>
      </c>
      <c r="I92">
        <f>VLOOKUP(A92,NYSEARCAVNQ!A$2:G$506,5,0)</f>
        <v>74.91</v>
      </c>
      <c r="J92">
        <f>VLOOKUP(A92,NYSEARCARWX!A$2:G$506,5,0)</f>
        <v>38.68</v>
      </c>
      <c r="K92">
        <f>VLOOKUP(A92,NYSEARCADBC!A$2:G$506,5,0)</f>
        <v>15.04</v>
      </c>
      <c r="L92">
        <f>VLOOKUP(A92,NYSEARCAGSG!A$2:G$506,5,0)</f>
        <v>17.03</v>
      </c>
      <c r="M92">
        <f>VLOOKUP(A92,NYSEARCAGLD!A$2:G$506,5,0)</f>
        <v>107.98</v>
      </c>
      <c r="N92">
        <f>VLOOKUP(A92,NYSEBP!A$2:G$506,5,0)</f>
        <v>29.63</v>
      </c>
      <c r="O92">
        <f>VLOOKUP(A92,NASDAQYHOO!A$2:G$506,5,0)</f>
        <v>28.26</v>
      </c>
    </row>
    <row r="93" spans="1:15">
      <c r="A93" s="39">
        <v>42277</v>
      </c>
      <c r="B93">
        <v>64.84</v>
      </c>
      <c r="C93">
        <f>VLOOKUP(A93,NYSEARCAVTI!A$2:G$506,5,0)</f>
        <v>98.72</v>
      </c>
      <c r="D93">
        <f>VLOOKUP(A93,NYSEARCAVEU!A$2:G$506,5,0)</f>
        <v>42.63</v>
      </c>
      <c r="E93">
        <f>VLOOKUP(A93,NYSEARCAVWO!A$2:G$506,5,0)</f>
        <v>33.090000000000003</v>
      </c>
      <c r="F93">
        <f>VLOOKUP(A93,NYSEARCABND!A$2:G$506,5,0)</f>
        <v>81.93</v>
      </c>
      <c r="G93">
        <f>VLOOKUP(A93,NYSEARCATIP!A$2:G$506,5,0)</f>
        <v>110.69</v>
      </c>
      <c r="H93">
        <f>VLOOKUP(A93,NYSEARCAMUB!A$2:G$506,5,0)</f>
        <v>109.55</v>
      </c>
      <c r="I93">
        <f>VLOOKUP(A93,NYSEARCAVNQ!A$2:G$506,5,0)</f>
        <v>75.540000000000006</v>
      </c>
      <c r="J93">
        <f>VLOOKUP(A93,NYSEARCARWX!A$2:G$506,5,0)</f>
        <v>39.340000000000003</v>
      </c>
      <c r="K93">
        <f>VLOOKUP(A93,NYSEARCADBC!A$2:G$506,5,0)</f>
        <v>15.15</v>
      </c>
      <c r="L93">
        <f>VLOOKUP(A93,NYSEARCAGSG!A$2:G$506,5,0)</f>
        <v>17.079999999999998</v>
      </c>
      <c r="M93">
        <f>VLOOKUP(A93,NYSEARCAGLD!A$2:G$506,5,0)</f>
        <v>106.86</v>
      </c>
      <c r="N93">
        <f>VLOOKUP(A93,NYSEBP!A$2:G$506,5,0)</f>
        <v>30.56</v>
      </c>
      <c r="O93">
        <f>VLOOKUP(A93,NASDAQYHOO!A$2:G$506,5,0)</f>
        <v>28.91</v>
      </c>
    </row>
    <row r="94" spans="1:15">
      <c r="A94" s="39">
        <v>42278</v>
      </c>
      <c r="B94">
        <v>64.27</v>
      </c>
      <c r="C94">
        <f>VLOOKUP(A94,NYSEARCAVTI!A$2:G$506,5,0)</f>
        <v>98.92</v>
      </c>
      <c r="D94">
        <f>VLOOKUP(A94,NYSEARCAVEU!A$2:G$506,5,0)</f>
        <v>42.79</v>
      </c>
      <c r="E94">
        <f>VLOOKUP(A94,NYSEARCAVWO!A$2:G$506,5,0)</f>
        <v>33.200000000000003</v>
      </c>
      <c r="F94">
        <f>VLOOKUP(A94,NYSEARCABND!A$2:G$506,5,0)</f>
        <v>81.81</v>
      </c>
      <c r="G94">
        <f>VLOOKUP(A94,NYSEARCATIP!A$2:G$506,5,0)</f>
        <v>111.03</v>
      </c>
      <c r="H94">
        <f>VLOOKUP(A94,NYSEARCAMUB!A$2:G$506,5,0)</f>
        <v>109.3</v>
      </c>
      <c r="I94">
        <f>VLOOKUP(A94,NYSEARCAVNQ!A$2:G$506,5,0)</f>
        <v>75.91</v>
      </c>
      <c r="J94">
        <f>VLOOKUP(A94,NYSEARCARWX!A$2:G$506,5,0)</f>
        <v>39.4</v>
      </c>
      <c r="K94">
        <f>VLOOKUP(A94,NYSEARCADBC!A$2:G$506,5,0)</f>
        <v>15.05</v>
      </c>
      <c r="L94">
        <f>VLOOKUP(A94,NYSEARCAGSG!A$2:G$506,5,0)</f>
        <v>16.97</v>
      </c>
      <c r="M94">
        <f>VLOOKUP(A94,NYSEARCAGLD!A$2:G$506,5,0)</f>
        <v>106.73</v>
      </c>
      <c r="N94">
        <f>VLOOKUP(A94,NYSEBP!A$2:G$506,5,0)</f>
        <v>30.96</v>
      </c>
      <c r="O94">
        <f>VLOOKUP(A94,NASDAQYHOO!A$2:G$506,5,0)</f>
        <v>28.91</v>
      </c>
    </row>
    <row r="95" spans="1:15">
      <c r="A95" s="39">
        <v>42279</v>
      </c>
      <c r="B95">
        <v>64.98</v>
      </c>
      <c r="C95">
        <f>VLOOKUP(A95,NYSEARCAVTI!A$2:G$506,5,0)</f>
        <v>100.36</v>
      </c>
      <c r="D95">
        <f>VLOOKUP(A95,NYSEARCAVEU!A$2:G$506,5,0)</f>
        <v>43.52</v>
      </c>
      <c r="E95">
        <f>VLOOKUP(A95,NYSEARCAVWO!A$2:G$506,5,0)</f>
        <v>34.07</v>
      </c>
      <c r="F95">
        <f>VLOOKUP(A95,NYSEARCABND!A$2:G$506,5,0)</f>
        <v>82.12</v>
      </c>
      <c r="G95">
        <f>VLOOKUP(A95,NYSEARCATIP!A$2:G$506,5,0)</f>
        <v>111.67</v>
      </c>
      <c r="H95">
        <f>VLOOKUP(A95,NYSEARCAMUB!A$2:G$506,5,0)</f>
        <v>109.66</v>
      </c>
      <c r="I95">
        <f>VLOOKUP(A95,NYSEARCAVNQ!A$2:G$506,5,0)</f>
        <v>76.459999999999994</v>
      </c>
      <c r="J95">
        <f>VLOOKUP(A95,NYSEARCARWX!A$2:G$506,5,0)</f>
        <v>39.86</v>
      </c>
      <c r="K95">
        <f>VLOOKUP(A95,NYSEARCADBC!A$2:G$506,5,0)</f>
        <v>15.15</v>
      </c>
      <c r="L95">
        <f>VLOOKUP(A95,NYSEARCAGSG!A$2:G$506,5,0)</f>
        <v>17.05</v>
      </c>
      <c r="M95">
        <f>VLOOKUP(A95,NYSEARCAGLD!A$2:G$506,5,0)</f>
        <v>108.99</v>
      </c>
      <c r="N95">
        <f>VLOOKUP(A95,NYSEBP!A$2:G$506,5,0)</f>
        <v>32.520000000000003</v>
      </c>
      <c r="O95">
        <f>VLOOKUP(A95,NASDAQYHOO!A$2:G$506,5,0)</f>
        <v>30.71</v>
      </c>
    </row>
    <row r="96" spans="1:15">
      <c r="A96" s="39">
        <v>42282</v>
      </c>
      <c r="B96">
        <v>65.87</v>
      </c>
      <c r="C96">
        <f>VLOOKUP(A96,NYSEARCAVTI!A$2:G$506,5,0)</f>
        <v>102.21</v>
      </c>
      <c r="D96">
        <f>VLOOKUP(A96,NYSEARCAVEU!A$2:G$506,5,0)</f>
        <v>44.43</v>
      </c>
      <c r="E96">
        <f>VLOOKUP(A96,NYSEARCAVWO!A$2:G$506,5,0)</f>
        <v>34.75</v>
      </c>
      <c r="F96">
        <f>VLOOKUP(A96,NYSEARCABND!A$2:G$506,5,0)</f>
        <v>81.8</v>
      </c>
      <c r="G96">
        <f>VLOOKUP(A96,NYSEARCATIP!A$2:G$506,5,0)</f>
        <v>111.33</v>
      </c>
      <c r="H96">
        <f>VLOOKUP(A96,NYSEARCAMUB!A$2:G$506,5,0)</f>
        <v>109.49</v>
      </c>
      <c r="I96">
        <f>VLOOKUP(A96,NYSEARCAVNQ!A$2:G$506,5,0)</f>
        <v>77.75</v>
      </c>
      <c r="J96">
        <f>VLOOKUP(A96,NYSEARCARWX!A$2:G$506,5,0)</f>
        <v>40.75</v>
      </c>
      <c r="K96">
        <f>VLOOKUP(A96,NYSEARCADBC!A$2:G$506,5,0)</f>
        <v>15.35</v>
      </c>
      <c r="L96">
        <f>VLOOKUP(A96,NYSEARCAGSG!A$2:G$506,5,0)</f>
        <v>17.28</v>
      </c>
      <c r="M96">
        <f>VLOOKUP(A96,NYSEARCAGLD!A$2:G$506,5,0)</f>
        <v>108.77</v>
      </c>
      <c r="N96">
        <f>VLOOKUP(A96,NYSEBP!A$2:G$506,5,0)</f>
        <v>33.49</v>
      </c>
      <c r="O96">
        <f>VLOOKUP(A96,NASDAQYHOO!A$2:G$506,5,0)</f>
        <v>30.85</v>
      </c>
    </row>
    <row r="97" spans="1:15">
      <c r="A97" s="39">
        <v>42283</v>
      </c>
      <c r="B97">
        <v>65.680000000000007</v>
      </c>
      <c r="C97">
        <f>VLOOKUP(A97,NYSEARCAVTI!A$2:G$506,5,0)</f>
        <v>101.88</v>
      </c>
      <c r="D97">
        <f>VLOOKUP(A97,NYSEARCAVEU!A$2:G$506,5,0)</f>
        <v>44.45</v>
      </c>
      <c r="E97">
        <f>VLOOKUP(A97,NYSEARCAVWO!A$2:G$506,5,0)</f>
        <v>34.659999999999997</v>
      </c>
      <c r="F97">
        <f>VLOOKUP(A97,NYSEARCABND!A$2:G$506,5,0)</f>
        <v>81.91</v>
      </c>
      <c r="G97">
        <f>VLOOKUP(A97,NYSEARCATIP!A$2:G$506,5,0)</f>
        <v>111.65</v>
      </c>
      <c r="H97">
        <f>VLOOKUP(A97,NYSEARCAMUB!A$2:G$506,5,0)</f>
        <v>109.56</v>
      </c>
      <c r="I97">
        <f>VLOOKUP(A97,NYSEARCAVNQ!A$2:G$506,5,0)</f>
        <v>77.569999999999993</v>
      </c>
      <c r="J97">
        <f>VLOOKUP(A97,NYSEARCARWX!A$2:G$506,5,0)</f>
        <v>40.619999999999997</v>
      </c>
      <c r="K97">
        <f>VLOOKUP(A97,NYSEARCADBC!A$2:G$506,5,0)</f>
        <v>15.65</v>
      </c>
      <c r="L97">
        <f>VLOOKUP(A97,NYSEARCAGSG!A$2:G$506,5,0)</f>
        <v>17.79</v>
      </c>
      <c r="M97">
        <f>VLOOKUP(A97,NYSEARCAGLD!A$2:G$506,5,0)</f>
        <v>109.86</v>
      </c>
      <c r="N97">
        <f>VLOOKUP(A97,NYSEBP!A$2:G$506,5,0)</f>
        <v>34.31</v>
      </c>
      <c r="O97">
        <f>VLOOKUP(A97,NASDAQYHOO!A$2:G$506,5,0)</f>
        <v>30.96</v>
      </c>
    </row>
    <row r="98" spans="1:15">
      <c r="A98" s="39">
        <v>42284</v>
      </c>
      <c r="B98">
        <v>66.36</v>
      </c>
      <c r="C98">
        <f>VLOOKUP(A98,NYSEARCAVTI!A$2:G$506,5,0)</f>
        <v>102.8</v>
      </c>
      <c r="D98">
        <f>VLOOKUP(A98,NYSEARCAVEU!A$2:G$506,5,0)</f>
        <v>45.14</v>
      </c>
      <c r="E98">
        <f>VLOOKUP(A98,NYSEARCAVWO!A$2:G$506,5,0)</f>
        <v>35.520000000000003</v>
      </c>
      <c r="F98">
        <f>VLOOKUP(A98,NYSEARCABND!A$2:G$506,5,0)</f>
        <v>81.91</v>
      </c>
      <c r="G98">
        <f>VLOOKUP(A98,NYSEARCATIP!A$2:G$506,5,0)</f>
        <v>111.63</v>
      </c>
      <c r="H98">
        <f>VLOOKUP(A98,NYSEARCAMUB!A$2:G$506,5,0)</f>
        <v>109.42</v>
      </c>
      <c r="I98">
        <f>VLOOKUP(A98,NYSEARCAVNQ!A$2:G$506,5,0)</f>
        <v>78.459999999999994</v>
      </c>
      <c r="J98">
        <f>VLOOKUP(A98,NYSEARCARWX!A$2:G$506,5,0)</f>
        <v>40.619999999999997</v>
      </c>
      <c r="K98">
        <f>VLOOKUP(A98,NYSEARCADBC!A$2:G$506,5,0)</f>
        <v>15.62</v>
      </c>
      <c r="L98">
        <f>VLOOKUP(A98,NYSEARCAGSG!A$2:G$506,5,0)</f>
        <v>17.690000000000001</v>
      </c>
      <c r="M98">
        <f>VLOOKUP(A98,NYSEARCAGLD!A$2:G$506,5,0)</f>
        <v>109.7</v>
      </c>
      <c r="N98">
        <f>VLOOKUP(A98,NYSEBP!A$2:G$506,5,0)</f>
        <v>35.71</v>
      </c>
      <c r="O98">
        <f>VLOOKUP(A98,NASDAQYHOO!A$2:G$506,5,0)</f>
        <v>31.87</v>
      </c>
    </row>
    <row r="99" spans="1:15">
      <c r="A99" s="39">
        <v>42285</v>
      </c>
      <c r="B99">
        <v>66.88</v>
      </c>
      <c r="C99">
        <f>VLOOKUP(A99,NYSEARCAVTI!A$2:G$506,5,0)</f>
        <v>103.69</v>
      </c>
      <c r="D99">
        <f>VLOOKUP(A99,NYSEARCAVEU!A$2:G$506,5,0)</f>
        <v>45.54</v>
      </c>
      <c r="E99">
        <f>VLOOKUP(A99,NYSEARCAVWO!A$2:G$506,5,0)</f>
        <v>35.979999999999997</v>
      </c>
      <c r="F99">
        <f>VLOOKUP(A99,NYSEARCABND!A$2:G$506,5,0)</f>
        <v>81.78</v>
      </c>
      <c r="G99">
        <f>VLOOKUP(A99,NYSEARCATIP!A$2:G$506,5,0)</f>
        <v>111.59</v>
      </c>
      <c r="H99">
        <f>VLOOKUP(A99,NYSEARCAMUB!A$2:G$506,5,0)</f>
        <v>109.31</v>
      </c>
      <c r="I99">
        <f>VLOOKUP(A99,NYSEARCAVNQ!A$2:G$506,5,0)</f>
        <v>79.12</v>
      </c>
      <c r="J99">
        <f>VLOOKUP(A99,NYSEARCARWX!A$2:G$506,5,0)</f>
        <v>41.01</v>
      </c>
      <c r="K99">
        <f>VLOOKUP(A99,NYSEARCADBC!A$2:G$506,5,0)</f>
        <v>15.69</v>
      </c>
      <c r="L99">
        <f>VLOOKUP(A99,NYSEARCAGSG!A$2:G$506,5,0)</f>
        <v>17.920000000000002</v>
      </c>
      <c r="M99">
        <f>VLOOKUP(A99,NYSEARCAGLD!A$2:G$506,5,0)</f>
        <v>109.14</v>
      </c>
      <c r="N99">
        <f>VLOOKUP(A99,NYSEBP!A$2:G$506,5,0)</f>
        <v>35.96</v>
      </c>
      <c r="O99">
        <f>VLOOKUP(A99,NASDAQYHOO!A$2:G$506,5,0)</f>
        <v>32.369999999999997</v>
      </c>
    </row>
    <row r="100" spans="1:15">
      <c r="A100" s="39">
        <v>42286</v>
      </c>
      <c r="B100">
        <v>66.69</v>
      </c>
      <c r="C100">
        <f>VLOOKUP(A100,NYSEARCAVTI!A$2:G$506,5,0)</f>
        <v>103.83</v>
      </c>
      <c r="D100">
        <f>VLOOKUP(A100,NYSEARCAVEU!A$2:G$506,5,0)</f>
        <v>45.63</v>
      </c>
      <c r="E100">
        <f>VLOOKUP(A100,NYSEARCAVWO!A$2:G$506,5,0)</f>
        <v>36.020000000000003</v>
      </c>
      <c r="F100">
        <f>VLOOKUP(A100,NYSEARCABND!A$2:G$506,5,0)</f>
        <v>81.77</v>
      </c>
      <c r="G100">
        <f>VLOOKUP(A100,NYSEARCATIP!A$2:G$506,5,0)</f>
        <v>111.28</v>
      </c>
      <c r="H100">
        <f>VLOOKUP(A100,NYSEARCAMUB!A$2:G$506,5,0)</f>
        <v>109.32</v>
      </c>
      <c r="I100">
        <f>VLOOKUP(A100,NYSEARCAVNQ!A$2:G$506,5,0)</f>
        <v>78.989999999999995</v>
      </c>
      <c r="J100">
        <f>VLOOKUP(A100,NYSEARCARWX!A$2:G$506,5,0)</f>
        <v>40.840000000000003</v>
      </c>
      <c r="K100">
        <f>VLOOKUP(A100,NYSEARCADBC!A$2:G$506,5,0)</f>
        <v>15.76</v>
      </c>
      <c r="L100">
        <f>VLOOKUP(A100,NYSEARCAGSG!A$2:G$506,5,0)</f>
        <v>17.91</v>
      </c>
      <c r="M100">
        <f>VLOOKUP(A100,NYSEARCAGLD!A$2:G$506,5,0)</f>
        <v>110.87</v>
      </c>
      <c r="N100">
        <f>VLOOKUP(A100,NYSEBP!A$2:G$506,5,0)</f>
        <v>35.96</v>
      </c>
      <c r="O100">
        <f>VLOOKUP(A100,NASDAQYHOO!A$2:G$506,5,0)</f>
        <v>32.520000000000003</v>
      </c>
    </row>
    <row r="101" spans="1:15">
      <c r="A101" s="39">
        <v>42289</v>
      </c>
      <c r="B101">
        <v>66.930000000000007</v>
      </c>
      <c r="C101">
        <f>VLOOKUP(A101,NYSEARCAVTI!A$2:G$506,5,0)</f>
        <v>103.85</v>
      </c>
      <c r="D101">
        <f>VLOOKUP(A101,NYSEARCAVEU!A$2:G$506,5,0)</f>
        <v>45.48</v>
      </c>
      <c r="E101">
        <f>VLOOKUP(A101,NYSEARCAVWO!A$2:G$506,5,0)</f>
        <v>35.82</v>
      </c>
      <c r="F101">
        <f>VLOOKUP(A101,NYSEARCABND!A$2:G$506,5,0)</f>
        <v>81.91</v>
      </c>
      <c r="G101">
        <f>VLOOKUP(A101,NYSEARCATIP!A$2:G$506,5,0)</f>
        <v>111.48</v>
      </c>
      <c r="H101">
        <f>VLOOKUP(A101,NYSEARCAMUB!A$2:G$506,5,0)</f>
        <v>109.52</v>
      </c>
      <c r="I101">
        <f>VLOOKUP(A101,NYSEARCAVNQ!A$2:G$506,5,0)</f>
        <v>79.55</v>
      </c>
      <c r="J101">
        <f>VLOOKUP(A101,NYSEARCARWX!A$2:G$506,5,0)</f>
        <v>40.76</v>
      </c>
      <c r="K101">
        <f>VLOOKUP(A101,NYSEARCADBC!A$2:G$506,5,0)</f>
        <v>15.51</v>
      </c>
      <c r="L101">
        <f>VLOOKUP(A101,NYSEARCAGSG!A$2:G$506,5,0)</f>
        <v>17.46</v>
      </c>
      <c r="M101">
        <f>VLOOKUP(A101,NYSEARCAGLD!A$2:G$506,5,0)</f>
        <v>111.31</v>
      </c>
      <c r="N101">
        <f>VLOOKUP(A101,NYSEBP!A$2:G$506,5,0)</f>
        <v>35.369999999999997</v>
      </c>
      <c r="O101">
        <f>VLOOKUP(A101,NASDAQYHOO!A$2:G$506,5,0)</f>
        <v>32.86</v>
      </c>
    </row>
    <row r="102" spans="1:15">
      <c r="A102" s="39">
        <v>42290</v>
      </c>
      <c r="B102">
        <v>66.73</v>
      </c>
      <c r="C102">
        <f>VLOOKUP(A102,NYSEARCAVTI!A$2:G$506,5,0)</f>
        <v>103.09</v>
      </c>
      <c r="D102">
        <f>VLOOKUP(A102,NYSEARCAVEU!A$2:G$506,5,0)</f>
        <v>44.87</v>
      </c>
      <c r="E102">
        <f>VLOOKUP(A102,NYSEARCAVWO!A$2:G$506,5,0)</f>
        <v>35.18</v>
      </c>
      <c r="F102">
        <f>VLOOKUP(A102,NYSEARCABND!A$2:G$506,5,0)</f>
        <v>81.96</v>
      </c>
      <c r="G102">
        <f>VLOOKUP(A102,NYSEARCATIP!A$2:G$506,5,0)</f>
        <v>111.42</v>
      </c>
      <c r="H102">
        <f>VLOOKUP(A102,NYSEARCAMUB!A$2:G$506,5,0)</f>
        <v>109.45</v>
      </c>
      <c r="I102">
        <f>VLOOKUP(A102,NYSEARCAVNQ!A$2:G$506,5,0)</f>
        <v>78.930000000000007</v>
      </c>
      <c r="J102">
        <f>VLOOKUP(A102,NYSEARCARWX!A$2:G$506,5,0)</f>
        <v>40.36</v>
      </c>
      <c r="K102">
        <f>VLOOKUP(A102,NYSEARCADBC!A$2:G$506,5,0)</f>
        <v>15.41</v>
      </c>
      <c r="L102">
        <f>VLOOKUP(A102,NYSEARCAGSG!A$2:G$506,5,0)</f>
        <v>17.3</v>
      </c>
      <c r="M102">
        <f>VLOOKUP(A102,NYSEARCAGLD!A$2:G$506,5,0)</f>
        <v>111.86</v>
      </c>
      <c r="N102">
        <f>VLOOKUP(A102,NYSEBP!A$2:G$506,5,0)</f>
        <v>34.729999999999997</v>
      </c>
      <c r="O102">
        <f>VLOOKUP(A102,NASDAQYHOO!A$2:G$506,5,0)</f>
        <v>32.340000000000003</v>
      </c>
    </row>
    <row r="103" spans="1:15">
      <c r="A103" s="39">
        <v>42291</v>
      </c>
      <c r="B103">
        <v>60.03</v>
      </c>
      <c r="C103">
        <f>VLOOKUP(A103,NYSEARCAVTI!A$2:G$506,5,0)</f>
        <v>102.56</v>
      </c>
      <c r="D103">
        <f>VLOOKUP(A103,NYSEARCAVEU!A$2:G$506,5,0)</f>
        <v>45.03</v>
      </c>
      <c r="E103">
        <f>VLOOKUP(A103,NYSEARCAVWO!A$2:G$506,5,0)</f>
        <v>35.450000000000003</v>
      </c>
      <c r="F103">
        <f>VLOOKUP(A103,NYSEARCABND!A$2:G$506,5,0)</f>
        <v>82.26</v>
      </c>
      <c r="G103">
        <f>VLOOKUP(A103,NYSEARCATIP!A$2:G$506,5,0)</f>
        <v>111.8</v>
      </c>
      <c r="H103">
        <f>VLOOKUP(A103,NYSEARCAMUB!A$2:G$506,5,0)</f>
        <v>109.6</v>
      </c>
      <c r="I103">
        <f>VLOOKUP(A103,NYSEARCAVNQ!A$2:G$506,5,0)</f>
        <v>78.34</v>
      </c>
      <c r="J103">
        <f>VLOOKUP(A103,NYSEARCARWX!A$2:G$506,5,0)</f>
        <v>40.74</v>
      </c>
      <c r="K103">
        <f>VLOOKUP(A103,NYSEARCADBC!A$2:G$506,5,0)</f>
        <v>15.45</v>
      </c>
      <c r="L103">
        <f>VLOOKUP(A103,NYSEARCAGSG!A$2:G$506,5,0)</f>
        <v>17.32</v>
      </c>
      <c r="M103">
        <f>VLOOKUP(A103,NYSEARCAGLD!A$2:G$506,5,0)</f>
        <v>113.81</v>
      </c>
      <c r="N103">
        <f>VLOOKUP(A103,NYSEBP!A$2:G$506,5,0)</f>
        <v>35.32</v>
      </c>
      <c r="O103">
        <f>VLOOKUP(A103,NASDAQYHOO!A$2:G$506,5,0)</f>
        <v>32.090000000000003</v>
      </c>
    </row>
    <row r="104" spans="1:15">
      <c r="A104" s="39">
        <v>42292</v>
      </c>
      <c r="B104">
        <v>59.33</v>
      </c>
      <c r="C104">
        <f>VLOOKUP(A104,NYSEARCAVTI!A$2:G$506,5,0)</f>
        <v>104.11</v>
      </c>
      <c r="D104">
        <f>VLOOKUP(A104,NYSEARCAVEU!A$2:G$506,5,0)</f>
        <v>45.87</v>
      </c>
      <c r="E104">
        <f>VLOOKUP(A104,NYSEARCAVWO!A$2:G$506,5,0)</f>
        <v>36.26</v>
      </c>
      <c r="F104">
        <f>VLOOKUP(A104,NYSEARCABND!A$2:G$506,5,0)</f>
        <v>82.1</v>
      </c>
      <c r="G104">
        <f>VLOOKUP(A104,NYSEARCATIP!A$2:G$506,5,0)</f>
        <v>111.59</v>
      </c>
      <c r="H104">
        <f>VLOOKUP(A104,NYSEARCAMUB!A$2:G$506,5,0)</f>
        <v>109.43</v>
      </c>
      <c r="I104">
        <f>VLOOKUP(A104,NYSEARCAVNQ!A$2:G$506,5,0)</f>
        <v>79.41</v>
      </c>
      <c r="J104">
        <f>VLOOKUP(A104,NYSEARCARWX!A$2:G$506,5,0)</f>
        <v>41.27</v>
      </c>
      <c r="K104">
        <f>VLOOKUP(A104,NYSEARCADBC!A$2:G$506,5,0)</f>
        <v>15.41</v>
      </c>
      <c r="L104">
        <f>VLOOKUP(A104,NYSEARCAGSG!A$2:G$506,5,0)</f>
        <v>17.329999999999998</v>
      </c>
      <c r="M104">
        <f>VLOOKUP(A104,NYSEARCAGLD!A$2:G$506,5,0)</f>
        <v>113.31</v>
      </c>
      <c r="N104">
        <f>VLOOKUP(A104,NYSEBP!A$2:G$506,5,0)</f>
        <v>35.68</v>
      </c>
      <c r="O104">
        <f>VLOOKUP(A104,NASDAQYHOO!A$2:G$506,5,0)</f>
        <v>33.479999999999997</v>
      </c>
    </row>
    <row r="105" spans="1:15">
      <c r="A105" s="39">
        <v>42293</v>
      </c>
      <c r="B105">
        <v>58.89</v>
      </c>
      <c r="C105">
        <f>VLOOKUP(A105,NYSEARCAVTI!A$2:G$506,5,0)</f>
        <v>104.51</v>
      </c>
      <c r="D105">
        <f>VLOOKUP(A105,NYSEARCAVEU!A$2:G$506,5,0)</f>
        <v>45.88</v>
      </c>
      <c r="E105">
        <f>VLOOKUP(A105,NYSEARCAVWO!A$2:G$506,5,0)</f>
        <v>36.369999999999997</v>
      </c>
      <c r="F105">
        <f>VLOOKUP(A105,NYSEARCABND!A$2:G$506,5,0)</f>
        <v>82.07</v>
      </c>
      <c r="G105">
        <f>VLOOKUP(A105,NYSEARCATIP!A$2:G$506,5,0)</f>
        <v>111.29</v>
      </c>
      <c r="H105">
        <f>VLOOKUP(A105,NYSEARCAMUB!A$2:G$506,5,0)</f>
        <v>109.46</v>
      </c>
      <c r="I105">
        <f>VLOOKUP(A105,NYSEARCAVNQ!A$2:G$506,5,0)</f>
        <v>80</v>
      </c>
      <c r="J105">
        <f>VLOOKUP(A105,NYSEARCARWX!A$2:G$506,5,0)</f>
        <v>41.4</v>
      </c>
      <c r="K105">
        <f>VLOOKUP(A105,NYSEARCADBC!A$2:G$506,5,0)</f>
        <v>15.42</v>
      </c>
      <c r="L105">
        <f>VLOOKUP(A105,NYSEARCAGSG!A$2:G$506,5,0)</f>
        <v>17.34</v>
      </c>
      <c r="M105">
        <f>VLOOKUP(A105,NYSEARCAGLD!A$2:G$506,5,0)</f>
        <v>112.49</v>
      </c>
      <c r="N105">
        <f>VLOOKUP(A105,NYSEBP!A$2:G$506,5,0)</f>
        <v>35.86</v>
      </c>
      <c r="O105">
        <f>VLOOKUP(A105,NASDAQYHOO!A$2:G$506,5,0)</f>
        <v>33.369999999999997</v>
      </c>
    </row>
    <row r="106" spans="1:15">
      <c r="A106" s="39">
        <v>42296</v>
      </c>
      <c r="B106">
        <v>58.85</v>
      </c>
      <c r="C106">
        <f>VLOOKUP(A106,NYSEARCAVTI!A$2:G$506,5,0)</f>
        <v>104.63</v>
      </c>
      <c r="D106">
        <f>VLOOKUP(A106,NYSEARCAVEU!A$2:G$506,5,0)</f>
        <v>45.61</v>
      </c>
      <c r="E106">
        <f>VLOOKUP(A106,NYSEARCAVWO!A$2:G$506,5,0)</f>
        <v>36</v>
      </c>
      <c r="F106">
        <f>VLOOKUP(A106,NYSEARCABND!A$2:G$506,5,0)</f>
        <v>82.07</v>
      </c>
      <c r="G106">
        <f>VLOOKUP(A106,NYSEARCATIP!A$2:G$506,5,0)</f>
        <v>111.1</v>
      </c>
      <c r="H106">
        <f>VLOOKUP(A106,NYSEARCAMUB!A$2:G$506,5,0)</f>
        <v>109.55</v>
      </c>
      <c r="I106">
        <f>VLOOKUP(A106,NYSEARCAVNQ!A$2:G$506,5,0)</f>
        <v>81.13</v>
      </c>
      <c r="J106">
        <f>VLOOKUP(A106,NYSEARCARWX!A$2:G$506,5,0)</f>
        <v>41.44</v>
      </c>
      <c r="K106">
        <f>VLOOKUP(A106,NYSEARCADBC!A$2:G$506,5,0)</f>
        <v>15.14</v>
      </c>
      <c r="L106">
        <f>VLOOKUP(A106,NYSEARCAGSG!A$2:G$506,5,0)</f>
        <v>17.03</v>
      </c>
      <c r="M106">
        <f>VLOOKUP(A106,NYSEARCAGLD!A$2:G$506,5,0)</f>
        <v>112.02</v>
      </c>
      <c r="N106">
        <f>VLOOKUP(A106,NYSEBP!A$2:G$506,5,0)</f>
        <v>34.94</v>
      </c>
      <c r="O106">
        <f>VLOOKUP(A106,NASDAQYHOO!A$2:G$506,5,0)</f>
        <v>33.5</v>
      </c>
    </row>
    <row r="107" spans="1:15">
      <c r="A107" s="39">
        <v>42297</v>
      </c>
      <c r="B107">
        <v>58.75</v>
      </c>
      <c r="C107">
        <f>VLOOKUP(A107,NYSEARCAVTI!A$2:G$506,5,0)</f>
        <v>104.51</v>
      </c>
      <c r="D107">
        <f>VLOOKUP(A107,NYSEARCAVEU!A$2:G$506,5,0)</f>
        <v>45.55</v>
      </c>
      <c r="E107">
        <f>VLOOKUP(A107,NYSEARCAVWO!A$2:G$506,5,0)</f>
        <v>35.92</v>
      </c>
      <c r="F107">
        <f>VLOOKUP(A107,NYSEARCABND!A$2:G$506,5,0)</f>
        <v>81.94</v>
      </c>
      <c r="G107">
        <f>VLOOKUP(A107,NYSEARCATIP!A$2:G$506,5,0)</f>
        <v>110.97</v>
      </c>
      <c r="H107">
        <f>VLOOKUP(A107,NYSEARCAMUB!A$2:G$506,5,0)</f>
        <v>109.52</v>
      </c>
      <c r="I107">
        <f>VLOOKUP(A107,NYSEARCAVNQ!A$2:G$506,5,0)</f>
        <v>81.099999999999994</v>
      </c>
      <c r="J107">
        <f>VLOOKUP(A107,NYSEARCARWX!A$2:G$506,5,0)</f>
        <v>41.39</v>
      </c>
      <c r="K107">
        <f>VLOOKUP(A107,NYSEARCADBC!A$2:G$506,5,0)</f>
        <v>15.17</v>
      </c>
      <c r="L107">
        <f>VLOOKUP(A107,NYSEARCAGSG!A$2:G$506,5,0)</f>
        <v>17.05</v>
      </c>
      <c r="M107">
        <f>VLOOKUP(A107,NYSEARCAGLD!A$2:G$506,5,0)</f>
        <v>112.73</v>
      </c>
      <c r="N107">
        <f>VLOOKUP(A107,NYSEBP!A$2:G$506,5,0)</f>
        <v>34.97</v>
      </c>
      <c r="O107">
        <f>VLOOKUP(A107,NASDAQYHOO!A$2:G$506,5,0)</f>
        <v>32.83</v>
      </c>
    </row>
    <row r="108" spans="1:15">
      <c r="A108" s="39">
        <v>42298</v>
      </c>
      <c r="B108">
        <v>58.64</v>
      </c>
      <c r="C108">
        <f>VLOOKUP(A108,NYSEARCAVTI!A$2:G$506,5,0)</f>
        <v>103.69</v>
      </c>
      <c r="D108">
        <f>VLOOKUP(A108,NYSEARCAVEU!A$2:G$506,5,0)</f>
        <v>45.34</v>
      </c>
      <c r="E108">
        <f>VLOOKUP(A108,NYSEARCAVWO!A$2:G$506,5,0)</f>
        <v>35.4</v>
      </c>
      <c r="F108">
        <f>VLOOKUP(A108,NYSEARCABND!A$2:G$506,5,0)</f>
        <v>82.09</v>
      </c>
      <c r="G108">
        <f>VLOOKUP(A108,NYSEARCATIP!A$2:G$506,5,0)</f>
        <v>111.04</v>
      </c>
      <c r="H108">
        <f>VLOOKUP(A108,NYSEARCAMUB!A$2:G$506,5,0)</f>
        <v>109.65</v>
      </c>
      <c r="I108">
        <f>VLOOKUP(A108,NYSEARCAVNQ!A$2:G$506,5,0)</f>
        <v>80.8</v>
      </c>
      <c r="J108">
        <f>VLOOKUP(A108,NYSEARCARWX!A$2:G$506,5,0)</f>
        <v>41.18</v>
      </c>
      <c r="K108">
        <f>VLOOKUP(A108,NYSEARCADBC!A$2:G$506,5,0)</f>
        <v>15.04</v>
      </c>
      <c r="L108">
        <f>VLOOKUP(A108,NYSEARCAGSG!A$2:G$506,5,0)</f>
        <v>16.899999999999999</v>
      </c>
      <c r="M108">
        <f>VLOOKUP(A108,NYSEARCAGLD!A$2:G$506,5,0)</f>
        <v>111.73</v>
      </c>
      <c r="N108">
        <f>VLOOKUP(A108,NYSEBP!A$2:G$506,5,0)</f>
        <v>35.14</v>
      </c>
      <c r="O108">
        <f>VLOOKUP(A108,NASDAQYHOO!A$2:G$506,5,0)</f>
        <v>31.12</v>
      </c>
    </row>
    <row r="109" spans="1:15">
      <c r="A109" s="39">
        <v>42299</v>
      </c>
      <c r="B109">
        <v>58.9</v>
      </c>
      <c r="C109">
        <f>VLOOKUP(A109,NYSEARCAVTI!A$2:G$506,5,0)</f>
        <v>105.21</v>
      </c>
      <c r="D109">
        <f>VLOOKUP(A109,NYSEARCAVEU!A$2:G$506,5,0)</f>
        <v>45.95</v>
      </c>
      <c r="E109">
        <f>VLOOKUP(A109,NYSEARCAVWO!A$2:G$506,5,0)</f>
        <v>36.17</v>
      </c>
      <c r="F109">
        <f>VLOOKUP(A109,NYSEARCABND!A$2:G$506,5,0)</f>
        <v>82.23</v>
      </c>
      <c r="G109">
        <f>VLOOKUP(A109,NYSEARCATIP!A$2:G$506,5,0)</f>
        <v>111.42</v>
      </c>
      <c r="H109">
        <f>VLOOKUP(A109,NYSEARCAMUB!A$2:G$506,5,0)</f>
        <v>109.68</v>
      </c>
      <c r="I109">
        <f>VLOOKUP(A109,NYSEARCAVNQ!A$2:G$506,5,0)</f>
        <v>81.510000000000005</v>
      </c>
      <c r="J109">
        <f>VLOOKUP(A109,NYSEARCARWX!A$2:G$506,5,0)</f>
        <v>41.92</v>
      </c>
      <c r="K109">
        <f>VLOOKUP(A109,NYSEARCADBC!A$2:G$506,5,0)</f>
        <v>15.09</v>
      </c>
      <c r="L109">
        <f>VLOOKUP(A109,NYSEARCAGSG!A$2:G$506,5,0)</f>
        <v>16.96</v>
      </c>
      <c r="M109">
        <f>VLOOKUP(A109,NYSEARCAGLD!A$2:G$506,5,0)</f>
        <v>111.69</v>
      </c>
      <c r="N109">
        <f>VLOOKUP(A109,NYSEBP!A$2:G$506,5,0)</f>
        <v>35.92</v>
      </c>
      <c r="O109">
        <f>VLOOKUP(A109,NASDAQYHOO!A$2:G$506,5,0)</f>
        <v>31.67</v>
      </c>
    </row>
    <row r="110" spans="1:15">
      <c r="A110" s="39">
        <v>42300</v>
      </c>
      <c r="B110">
        <v>58.3</v>
      </c>
      <c r="C110">
        <f>VLOOKUP(A110,NYSEARCAVTI!A$2:G$506,5,0)</f>
        <v>106.31</v>
      </c>
      <c r="D110">
        <f>VLOOKUP(A110,NYSEARCAVEU!A$2:G$506,5,0)</f>
        <v>46.37</v>
      </c>
      <c r="E110">
        <f>VLOOKUP(A110,NYSEARCAVWO!A$2:G$506,5,0)</f>
        <v>36.409999999999997</v>
      </c>
      <c r="F110">
        <f>VLOOKUP(A110,NYSEARCABND!A$2:G$506,5,0)</f>
        <v>82.02</v>
      </c>
      <c r="G110">
        <f>VLOOKUP(A110,NYSEARCATIP!A$2:G$506,5,0)</f>
        <v>111.26</v>
      </c>
      <c r="H110">
        <f>VLOOKUP(A110,NYSEARCAMUB!A$2:G$506,5,0)</f>
        <v>109.52</v>
      </c>
      <c r="I110">
        <f>VLOOKUP(A110,NYSEARCAVNQ!A$2:G$506,5,0)</f>
        <v>80.72</v>
      </c>
      <c r="J110">
        <f>VLOOKUP(A110,NYSEARCARWX!A$2:G$506,5,0)</f>
        <v>42.02</v>
      </c>
      <c r="K110">
        <f>VLOOKUP(A110,NYSEARCADBC!A$2:G$506,5,0)</f>
        <v>15</v>
      </c>
      <c r="L110">
        <f>VLOOKUP(A110,NYSEARCAGSG!A$2:G$506,5,0)</f>
        <v>16.8</v>
      </c>
      <c r="M110">
        <f>VLOOKUP(A110,NYSEARCAGLD!A$2:G$506,5,0)</f>
        <v>111.5</v>
      </c>
      <c r="N110">
        <f>VLOOKUP(A110,NYSEBP!A$2:G$506,5,0)</f>
        <v>35.72</v>
      </c>
      <c r="O110">
        <f>VLOOKUP(A110,NASDAQYHOO!A$2:G$506,5,0)</f>
        <v>33.17</v>
      </c>
    </row>
    <row r="111" spans="1:15">
      <c r="A111" s="39">
        <v>42303</v>
      </c>
      <c r="B111">
        <v>58.02</v>
      </c>
      <c r="C111">
        <f>VLOOKUP(A111,NYSEARCAVTI!A$2:G$506,5,0)</f>
        <v>106.05</v>
      </c>
      <c r="D111">
        <f>VLOOKUP(A111,NYSEARCAVEU!A$2:G$506,5,0)</f>
        <v>46.08</v>
      </c>
      <c r="E111">
        <f>VLOOKUP(A111,NYSEARCAVWO!A$2:G$506,5,0)</f>
        <v>36</v>
      </c>
      <c r="F111">
        <f>VLOOKUP(A111,NYSEARCABND!A$2:G$506,5,0)</f>
        <v>82.11</v>
      </c>
      <c r="G111">
        <f>VLOOKUP(A111,NYSEARCATIP!A$2:G$506,5,0)</f>
        <v>111.23</v>
      </c>
      <c r="H111">
        <f>VLOOKUP(A111,NYSEARCAMUB!A$2:G$506,5,0)</f>
        <v>109.63</v>
      </c>
      <c r="I111">
        <f>VLOOKUP(A111,NYSEARCAVNQ!A$2:G$506,5,0)</f>
        <v>80.7</v>
      </c>
      <c r="J111">
        <f>VLOOKUP(A111,NYSEARCARWX!A$2:G$506,5,0)</f>
        <v>41.86</v>
      </c>
      <c r="K111">
        <f>VLOOKUP(A111,NYSEARCADBC!A$2:G$506,5,0)</f>
        <v>14.96</v>
      </c>
      <c r="L111">
        <f>VLOOKUP(A111,NYSEARCAGSG!A$2:G$506,5,0)</f>
        <v>16.649999999999999</v>
      </c>
      <c r="M111">
        <f>VLOOKUP(A111,NYSEARCAGLD!A$2:G$506,5,0)</f>
        <v>111.43</v>
      </c>
      <c r="N111">
        <f>VLOOKUP(A111,NYSEBP!A$2:G$506,5,0)</f>
        <v>35.049999999999997</v>
      </c>
      <c r="O111">
        <f>VLOOKUP(A111,NASDAQYHOO!A$2:G$506,5,0)</f>
        <v>33.4</v>
      </c>
    </row>
    <row r="112" spans="1:15">
      <c r="A112" s="39">
        <v>42304</v>
      </c>
      <c r="B112">
        <v>57.48</v>
      </c>
      <c r="C112">
        <f>VLOOKUP(A112,NYSEARCAVTI!A$2:G$506,5,0)</f>
        <v>105.71</v>
      </c>
      <c r="D112">
        <f>VLOOKUP(A112,NYSEARCAVEU!A$2:G$506,5,0)</f>
        <v>45.71</v>
      </c>
      <c r="E112">
        <f>VLOOKUP(A112,NYSEARCAVWO!A$2:G$506,5,0)</f>
        <v>35.67</v>
      </c>
      <c r="F112">
        <f>VLOOKUP(A112,NYSEARCABND!A$2:G$506,5,0)</f>
        <v>82.13</v>
      </c>
      <c r="G112">
        <f>VLOOKUP(A112,NYSEARCATIP!A$2:G$506,5,0)</f>
        <v>111.48</v>
      </c>
      <c r="H112">
        <f>VLOOKUP(A112,NYSEARCAMUB!A$2:G$506,5,0)</f>
        <v>109.72</v>
      </c>
      <c r="I112">
        <f>VLOOKUP(A112,NYSEARCAVNQ!A$2:G$506,5,0)</f>
        <v>80.67</v>
      </c>
      <c r="J112">
        <f>VLOOKUP(A112,NYSEARCARWX!A$2:G$506,5,0)</f>
        <v>41.82</v>
      </c>
      <c r="K112">
        <f>VLOOKUP(A112,NYSEARCADBC!A$2:G$506,5,0)</f>
        <v>14.89</v>
      </c>
      <c r="L112">
        <f>VLOOKUP(A112,NYSEARCAGSG!A$2:G$506,5,0)</f>
        <v>16.52</v>
      </c>
      <c r="M112">
        <f>VLOOKUP(A112,NYSEARCAGLD!A$2:G$506,5,0)</f>
        <v>111.68</v>
      </c>
      <c r="N112">
        <f>VLOOKUP(A112,NYSEBP!A$2:G$506,5,0)</f>
        <v>34.82</v>
      </c>
      <c r="O112">
        <f>VLOOKUP(A112,NASDAQYHOO!A$2:G$506,5,0)</f>
        <v>34.299999999999997</v>
      </c>
    </row>
    <row r="113" spans="1:15">
      <c r="A113" s="39">
        <v>42305</v>
      </c>
      <c r="B113">
        <v>57.64</v>
      </c>
      <c r="C113">
        <f>VLOOKUP(A113,NYSEARCAVTI!A$2:G$506,5,0)</f>
        <v>107.1</v>
      </c>
      <c r="D113">
        <f>VLOOKUP(A113,NYSEARCAVEU!A$2:G$506,5,0)</f>
        <v>45.93</v>
      </c>
      <c r="E113">
        <f>VLOOKUP(A113,NYSEARCAVWO!A$2:G$506,5,0)</f>
        <v>35.28</v>
      </c>
      <c r="F113">
        <f>VLOOKUP(A113,NYSEARCABND!A$2:G$506,5,0)</f>
        <v>81.900000000000006</v>
      </c>
      <c r="G113">
        <f>VLOOKUP(A113,NYSEARCATIP!A$2:G$506,5,0)</f>
        <v>110.92</v>
      </c>
      <c r="H113">
        <f>VLOOKUP(A113,NYSEARCAMUB!A$2:G$506,5,0)</f>
        <v>109.59</v>
      </c>
      <c r="I113">
        <f>VLOOKUP(A113,NYSEARCAVNQ!A$2:G$506,5,0)</f>
        <v>80.739999999999995</v>
      </c>
      <c r="J113">
        <f>VLOOKUP(A113,NYSEARCARWX!A$2:G$506,5,0)</f>
        <v>41.82</v>
      </c>
      <c r="K113">
        <f>VLOOKUP(A113,NYSEARCADBC!A$2:G$506,5,0)</f>
        <v>15.14</v>
      </c>
      <c r="L113">
        <f>VLOOKUP(A113,NYSEARCAGSG!A$2:G$506,5,0)</f>
        <v>16.989999999999998</v>
      </c>
      <c r="M113">
        <f>VLOOKUP(A113,NYSEARCAGLD!A$2:G$506,5,0)</f>
        <v>110.78</v>
      </c>
      <c r="N113">
        <f>VLOOKUP(A113,NYSEBP!A$2:G$506,5,0)</f>
        <v>35.74</v>
      </c>
      <c r="O113">
        <f>VLOOKUP(A113,NASDAQYHOO!A$2:G$506,5,0)</f>
        <v>35.18</v>
      </c>
    </row>
    <row r="114" spans="1:15">
      <c r="A114" s="39">
        <v>42306</v>
      </c>
      <c r="B114">
        <v>57.96</v>
      </c>
      <c r="C114">
        <f>VLOOKUP(A114,NYSEARCAVTI!A$2:G$506,5,0)</f>
        <v>106.94</v>
      </c>
      <c r="D114">
        <f>VLOOKUP(A114,NYSEARCAVEU!A$2:G$506,5,0)</f>
        <v>45.51</v>
      </c>
      <c r="E114">
        <f>VLOOKUP(A114,NYSEARCAVWO!A$2:G$506,5,0)</f>
        <v>34.89</v>
      </c>
      <c r="F114">
        <f>VLOOKUP(A114,NYSEARCABND!A$2:G$506,5,0)</f>
        <v>81.61</v>
      </c>
      <c r="G114">
        <f>VLOOKUP(A114,NYSEARCATIP!A$2:G$506,5,0)</f>
        <v>110.62</v>
      </c>
      <c r="H114">
        <f>VLOOKUP(A114,NYSEARCAMUB!A$2:G$506,5,0)</f>
        <v>109.51</v>
      </c>
      <c r="I114">
        <f>VLOOKUP(A114,NYSEARCAVNQ!A$2:G$506,5,0)</f>
        <v>80.63</v>
      </c>
      <c r="J114">
        <f>VLOOKUP(A114,NYSEARCARWX!A$2:G$506,5,0)</f>
        <v>41.55</v>
      </c>
      <c r="K114">
        <f>VLOOKUP(A114,NYSEARCADBC!A$2:G$506,5,0)</f>
        <v>15.05</v>
      </c>
      <c r="L114">
        <f>VLOOKUP(A114,NYSEARCAGSG!A$2:G$506,5,0)</f>
        <v>16.899999999999999</v>
      </c>
      <c r="M114">
        <f>VLOOKUP(A114,NYSEARCAGLD!A$2:G$506,5,0)</f>
        <v>109.72</v>
      </c>
      <c r="N114">
        <f>VLOOKUP(A114,NYSEBP!A$2:G$506,5,0)</f>
        <v>35.71</v>
      </c>
      <c r="O114">
        <f>VLOOKUP(A114,NASDAQYHOO!A$2:G$506,5,0)</f>
        <v>35.049999999999997</v>
      </c>
    </row>
    <row r="115" spans="1:15">
      <c r="A115" s="39">
        <v>42307</v>
      </c>
      <c r="B115">
        <v>57.24</v>
      </c>
      <c r="C115">
        <f>VLOOKUP(A115,NYSEARCAVTI!A$2:G$506,5,0)</f>
        <v>106.53</v>
      </c>
      <c r="D115">
        <f>VLOOKUP(A115,NYSEARCAVEU!A$2:G$506,5,0)</f>
        <v>45.48</v>
      </c>
      <c r="E115">
        <f>VLOOKUP(A115,NYSEARCAVWO!A$2:G$506,5,0)</f>
        <v>34.840000000000003</v>
      </c>
      <c r="F115">
        <f>VLOOKUP(A115,NYSEARCABND!A$2:G$506,5,0)</f>
        <v>81.790000000000006</v>
      </c>
      <c r="G115">
        <f>VLOOKUP(A115,NYSEARCATIP!A$2:G$506,5,0)</f>
        <v>110.96</v>
      </c>
      <c r="H115">
        <f>VLOOKUP(A115,NYSEARCAMUB!A$2:G$506,5,0)</f>
        <v>109.71</v>
      </c>
      <c r="I115">
        <f>VLOOKUP(A115,NYSEARCAVNQ!A$2:G$506,5,0)</f>
        <v>79.89</v>
      </c>
      <c r="J115">
        <f>VLOOKUP(A115,NYSEARCARWX!A$2:G$506,5,0)</f>
        <v>41.46</v>
      </c>
      <c r="K115">
        <f>VLOOKUP(A115,NYSEARCADBC!A$2:G$506,5,0)</f>
        <v>15.2</v>
      </c>
      <c r="L115">
        <f>VLOOKUP(A115,NYSEARCAGSG!A$2:G$506,5,0)</f>
        <v>17.07</v>
      </c>
      <c r="M115">
        <f>VLOOKUP(A115,NYSEARCAGLD!A$2:G$506,5,0)</f>
        <v>109.3</v>
      </c>
      <c r="N115">
        <f>VLOOKUP(A115,NYSEBP!A$2:G$506,5,0)</f>
        <v>35.700000000000003</v>
      </c>
      <c r="O115">
        <f>VLOOKUP(A115,NASDAQYHOO!A$2:G$506,5,0)</f>
        <v>35.619999999999997</v>
      </c>
    </row>
    <row r="116" spans="1:15">
      <c r="A116" s="39">
        <v>42310</v>
      </c>
      <c r="B116">
        <v>57.61</v>
      </c>
      <c r="C116">
        <f>VLOOKUP(A116,NYSEARCAVTI!A$2:G$506,5,0)</f>
        <v>107.92</v>
      </c>
      <c r="D116">
        <f>VLOOKUP(A116,NYSEARCAVEU!A$2:G$506,5,0)</f>
        <v>45.89</v>
      </c>
      <c r="E116">
        <f>VLOOKUP(A116,NYSEARCAVWO!A$2:G$506,5,0)</f>
        <v>35.5</v>
      </c>
      <c r="F116">
        <f>VLOOKUP(A116,NYSEARCABND!A$2:G$506,5,0)</f>
        <v>81.459999999999994</v>
      </c>
      <c r="G116">
        <f>VLOOKUP(A116,NYSEARCATIP!A$2:G$506,5,0)</f>
        <v>110.91</v>
      </c>
      <c r="H116">
        <f>VLOOKUP(A116,NYSEARCAMUB!A$2:G$506,5,0)</f>
        <v>109.42</v>
      </c>
      <c r="I116">
        <f>VLOOKUP(A116,NYSEARCAVNQ!A$2:G$506,5,0)</f>
        <v>81.59</v>
      </c>
      <c r="J116">
        <f>VLOOKUP(A116,NYSEARCARWX!A$2:G$506,5,0)</f>
        <v>41.69</v>
      </c>
      <c r="K116">
        <f>VLOOKUP(A116,NYSEARCADBC!A$2:G$506,5,0)</f>
        <v>15.12</v>
      </c>
      <c r="L116">
        <f>VLOOKUP(A116,NYSEARCAGSG!A$2:G$506,5,0)</f>
        <v>16.95</v>
      </c>
      <c r="M116">
        <f>VLOOKUP(A116,NYSEARCAGLD!A$2:G$506,5,0)</f>
        <v>108.59</v>
      </c>
      <c r="N116">
        <f>VLOOKUP(A116,NYSEBP!A$2:G$506,5,0)</f>
        <v>36.28</v>
      </c>
      <c r="O116">
        <f>VLOOKUP(A116,NASDAQYHOO!A$2:G$506,5,0)</f>
        <v>35.270000000000003</v>
      </c>
    </row>
    <row r="117" spans="1:15">
      <c r="A117" s="39">
        <v>42311</v>
      </c>
      <c r="B117">
        <v>58.11</v>
      </c>
      <c r="C117">
        <f>VLOOKUP(A117,NYSEARCAVTI!A$2:G$506,5,0)</f>
        <v>108.2</v>
      </c>
      <c r="D117">
        <f>VLOOKUP(A117,NYSEARCAVEU!A$2:G$506,5,0)</f>
        <v>46.05</v>
      </c>
      <c r="E117">
        <f>VLOOKUP(A117,NYSEARCAVWO!A$2:G$506,5,0)</f>
        <v>35.94</v>
      </c>
      <c r="F117">
        <f>VLOOKUP(A117,NYSEARCABND!A$2:G$506,5,0)</f>
        <v>81.319999999999993</v>
      </c>
      <c r="G117">
        <f>VLOOKUP(A117,NYSEARCATIP!A$2:G$506,5,0)</f>
        <v>110.72</v>
      </c>
      <c r="H117">
        <f>VLOOKUP(A117,NYSEARCAMUB!A$2:G$506,5,0)</f>
        <v>109.25</v>
      </c>
      <c r="I117">
        <f>VLOOKUP(A117,NYSEARCAVNQ!A$2:G$506,5,0)</f>
        <v>80.77</v>
      </c>
      <c r="J117">
        <f>VLOOKUP(A117,NYSEARCARWX!A$2:G$506,5,0)</f>
        <v>41.52</v>
      </c>
      <c r="K117">
        <f>VLOOKUP(A117,NYSEARCADBC!A$2:G$506,5,0)</f>
        <v>15.39</v>
      </c>
      <c r="L117">
        <f>VLOOKUP(A117,NYSEARCAGSG!A$2:G$506,5,0)</f>
        <v>17.32</v>
      </c>
      <c r="M117">
        <f>VLOOKUP(A117,NYSEARCAGLD!A$2:G$506,5,0)</f>
        <v>106.98</v>
      </c>
      <c r="N117">
        <f>VLOOKUP(A117,NYSEBP!A$2:G$506,5,0)</f>
        <v>37.229999999999997</v>
      </c>
      <c r="O117">
        <f>VLOOKUP(A117,NASDAQYHOO!A$2:G$506,5,0)</f>
        <v>34.72</v>
      </c>
    </row>
    <row r="118" spans="1:15">
      <c r="A118" s="39">
        <v>42312</v>
      </c>
      <c r="B118">
        <v>58.37</v>
      </c>
      <c r="C118">
        <f>VLOOKUP(A118,NYSEARCAVTI!A$2:G$506,5,0)</f>
        <v>107.94</v>
      </c>
      <c r="D118">
        <f>VLOOKUP(A118,NYSEARCAVEU!A$2:G$506,5,0)</f>
        <v>45.78</v>
      </c>
      <c r="E118">
        <f>VLOOKUP(A118,NYSEARCAVWO!A$2:G$506,5,0)</f>
        <v>35.74</v>
      </c>
      <c r="F118">
        <f>VLOOKUP(A118,NYSEARCABND!A$2:G$506,5,0)</f>
        <v>81.37</v>
      </c>
      <c r="G118">
        <f>VLOOKUP(A118,NYSEARCATIP!A$2:G$506,5,0)</f>
        <v>110.57</v>
      </c>
      <c r="H118">
        <f>VLOOKUP(A118,NYSEARCAMUB!A$2:G$506,5,0)</f>
        <v>109.29</v>
      </c>
      <c r="I118">
        <f>VLOOKUP(A118,NYSEARCAVNQ!A$2:G$506,5,0)</f>
        <v>80.41</v>
      </c>
      <c r="J118">
        <f>VLOOKUP(A118,NYSEARCARWX!A$2:G$506,5,0)</f>
        <v>40.92</v>
      </c>
      <c r="K118">
        <f>VLOOKUP(A118,NYSEARCADBC!A$2:G$506,5,0)</f>
        <v>15.13</v>
      </c>
      <c r="L118">
        <f>VLOOKUP(A118,NYSEARCAGSG!A$2:G$506,5,0)</f>
        <v>16.96</v>
      </c>
      <c r="M118">
        <f>VLOOKUP(A118,NYSEARCAGLD!A$2:G$506,5,0)</f>
        <v>105.97</v>
      </c>
      <c r="N118">
        <f>VLOOKUP(A118,NYSEBP!A$2:G$506,5,0)</f>
        <v>36.36</v>
      </c>
      <c r="O118">
        <f>VLOOKUP(A118,NASDAQYHOO!A$2:G$506,5,0)</f>
        <v>35.07</v>
      </c>
    </row>
    <row r="119" spans="1:15">
      <c r="A119" s="39">
        <v>42313</v>
      </c>
      <c r="B119">
        <v>58.61</v>
      </c>
      <c r="C119">
        <f>VLOOKUP(A119,NYSEARCAVTI!A$2:G$506,5,0)</f>
        <v>107.82</v>
      </c>
      <c r="D119">
        <f>VLOOKUP(A119,NYSEARCAVEU!A$2:G$506,5,0)</f>
        <v>45.68</v>
      </c>
      <c r="E119">
        <f>VLOOKUP(A119,NYSEARCAVWO!A$2:G$506,5,0)</f>
        <v>35.79</v>
      </c>
      <c r="F119">
        <f>VLOOKUP(A119,NYSEARCABND!A$2:G$506,5,0)</f>
        <v>81.22</v>
      </c>
      <c r="G119">
        <f>VLOOKUP(A119,NYSEARCATIP!A$2:G$506,5,0)</f>
        <v>110.22</v>
      </c>
      <c r="H119">
        <f>VLOOKUP(A119,NYSEARCAMUB!A$2:G$506,5,0)</f>
        <v>109.28</v>
      </c>
      <c r="I119">
        <f>VLOOKUP(A119,NYSEARCAVNQ!A$2:G$506,5,0)</f>
        <v>80.73</v>
      </c>
      <c r="J119">
        <f>VLOOKUP(A119,NYSEARCARWX!A$2:G$506,5,0)</f>
        <v>40.99</v>
      </c>
      <c r="K119">
        <f>VLOOKUP(A119,NYSEARCADBC!A$2:G$506,5,0)</f>
        <v>15.01</v>
      </c>
      <c r="L119">
        <f>VLOOKUP(A119,NYSEARCAGSG!A$2:G$506,5,0)</f>
        <v>16.73</v>
      </c>
      <c r="M119">
        <f>VLOOKUP(A119,NYSEARCAGLD!A$2:G$506,5,0)</f>
        <v>105.64</v>
      </c>
      <c r="N119">
        <f>VLOOKUP(A119,NYSEBP!A$2:G$506,5,0)</f>
        <v>35.549999999999997</v>
      </c>
      <c r="O119">
        <f>VLOOKUP(A119,NASDAQYHOO!A$2:G$506,5,0)</f>
        <v>35.119999999999997</v>
      </c>
    </row>
    <row r="120" spans="1:15">
      <c r="A120" s="39">
        <v>42314</v>
      </c>
      <c r="B120">
        <v>58.78</v>
      </c>
      <c r="C120">
        <f>VLOOKUP(A120,NYSEARCAVTI!A$2:G$506,5,0)</f>
        <v>107.84</v>
      </c>
      <c r="D120">
        <f>VLOOKUP(A120,NYSEARCAVEU!A$2:G$506,5,0)</f>
        <v>45.38</v>
      </c>
      <c r="E120">
        <f>VLOOKUP(A120,NYSEARCAVWO!A$2:G$506,5,0)</f>
        <v>35.39</v>
      </c>
      <c r="F120">
        <f>VLOOKUP(A120,NYSEARCABND!A$2:G$506,5,0)</f>
        <v>80.900000000000006</v>
      </c>
      <c r="G120">
        <f>VLOOKUP(A120,NYSEARCATIP!A$2:G$506,5,0)</f>
        <v>109.76</v>
      </c>
      <c r="H120">
        <f>VLOOKUP(A120,NYSEARCAMUB!A$2:G$506,5,0)</f>
        <v>108.91</v>
      </c>
      <c r="I120">
        <f>VLOOKUP(A120,NYSEARCAVNQ!A$2:G$506,5,0)</f>
        <v>78.22</v>
      </c>
      <c r="J120">
        <f>VLOOKUP(A120,NYSEARCARWX!A$2:G$506,5,0)</f>
        <v>40.479999999999997</v>
      </c>
      <c r="K120">
        <f>VLOOKUP(A120,NYSEARCADBC!A$2:G$506,5,0)</f>
        <v>14.92</v>
      </c>
      <c r="L120">
        <f>VLOOKUP(A120,NYSEARCAGSG!A$2:G$506,5,0)</f>
        <v>16.61</v>
      </c>
      <c r="M120">
        <f>VLOOKUP(A120,NYSEARCAGLD!A$2:G$506,5,0)</f>
        <v>104.1</v>
      </c>
      <c r="N120">
        <f>VLOOKUP(A120,NYSEBP!A$2:G$506,5,0)</f>
        <v>35.130000000000003</v>
      </c>
      <c r="O120">
        <f>VLOOKUP(A120,NASDAQYHOO!A$2:G$506,5,0)</f>
        <v>34.200000000000003</v>
      </c>
    </row>
    <row r="121" spans="1:15">
      <c r="A121" s="39">
        <v>42317</v>
      </c>
      <c r="B121">
        <v>58.49</v>
      </c>
      <c r="C121">
        <f>VLOOKUP(A121,NYSEARCAVTI!A$2:G$506,5,0)</f>
        <v>106.76</v>
      </c>
      <c r="D121">
        <f>VLOOKUP(A121,NYSEARCAVEU!A$2:G$506,5,0)</f>
        <v>44.86</v>
      </c>
      <c r="E121">
        <f>VLOOKUP(A121,NYSEARCAVWO!A$2:G$506,5,0)</f>
        <v>34.56</v>
      </c>
      <c r="F121">
        <f>VLOOKUP(A121,NYSEARCABND!A$2:G$506,5,0)</f>
        <v>80.83</v>
      </c>
      <c r="G121">
        <f>VLOOKUP(A121,NYSEARCATIP!A$2:G$506,5,0)</f>
        <v>109.72</v>
      </c>
      <c r="H121">
        <f>VLOOKUP(A121,NYSEARCAMUB!A$2:G$506,5,0)</f>
        <v>108.84</v>
      </c>
      <c r="I121">
        <f>VLOOKUP(A121,NYSEARCAVNQ!A$2:G$506,5,0)</f>
        <v>76.88</v>
      </c>
      <c r="J121">
        <f>VLOOKUP(A121,NYSEARCARWX!A$2:G$506,5,0)</f>
        <v>39.47</v>
      </c>
      <c r="K121">
        <f>VLOOKUP(A121,NYSEARCADBC!A$2:G$506,5,0)</f>
        <v>14.79</v>
      </c>
      <c r="L121">
        <f>VLOOKUP(A121,NYSEARCAGSG!A$2:G$506,5,0)</f>
        <v>16.420000000000002</v>
      </c>
      <c r="M121">
        <f>VLOOKUP(A121,NYSEARCAGLD!A$2:G$506,5,0)</f>
        <v>104.4</v>
      </c>
      <c r="N121">
        <f>VLOOKUP(A121,NYSEBP!A$2:G$506,5,0)</f>
        <v>34.880000000000003</v>
      </c>
      <c r="O121">
        <f>VLOOKUP(A121,NASDAQYHOO!A$2:G$506,5,0)</f>
        <v>33.68</v>
      </c>
    </row>
    <row r="122" spans="1:15">
      <c r="A122" s="39">
        <v>42318</v>
      </c>
      <c r="B122">
        <v>58.68</v>
      </c>
      <c r="C122">
        <f>VLOOKUP(A122,NYSEARCAVTI!A$2:G$506,5,0)</f>
        <v>107</v>
      </c>
      <c r="D122">
        <f>VLOOKUP(A122,NYSEARCAVEU!A$2:G$506,5,0)</f>
        <v>44.84</v>
      </c>
      <c r="E122">
        <f>VLOOKUP(A122,NYSEARCAVWO!A$2:G$506,5,0)</f>
        <v>34.47</v>
      </c>
      <c r="F122">
        <f>VLOOKUP(A122,NYSEARCABND!A$2:G$506,5,0)</f>
        <v>80.92</v>
      </c>
      <c r="G122">
        <f>VLOOKUP(A122,NYSEARCATIP!A$2:G$506,5,0)</f>
        <v>109.68</v>
      </c>
      <c r="H122">
        <f>VLOOKUP(A122,NYSEARCAMUB!A$2:G$506,5,0)</f>
        <v>108.9</v>
      </c>
      <c r="I122">
        <f>VLOOKUP(A122,NYSEARCAVNQ!A$2:G$506,5,0)</f>
        <v>77.760000000000005</v>
      </c>
      <c r="J122">
        <f>VLOOKUP(A122,NYSEARCARWX!A$2:G$506,5,0)</f>
        <v>39.47</v>
      </c>
      <c r="K122">
        <f>VLOOKUP(A122,NYSEARCADBC!A$2:G$506,5,0)</f>
        <v>14.76</v>
      </c>
      <c r="L122">
        <f>VLOOKUP(A122,NYSEARCAGSG!A$2:G$506,5,0)</f>
        <v>16.36</v>
      </c>
      <c r="M122">
        <f>VLOOKUP(A122,NYSEARCAGLD!A$2:G$506,5,0)</f>
        <v>104.18</v>
      </c>
      <c r="N122">
        <f>VLOOKUP(A122,NYSEBP!A$2:G$506,5,0)</f>
        <v>34.770000000000003</v>
      </c>
      <c r="O122">
        <f>VLOOKUP(A122,NASDAQYHOO!A$2:G$506,5,0)</f>
        <v>33.99</v>
      </c>
    </row>
    <row r="123" spans="1:15">
      <c r="A123" s="39">
        <v>42319</v>
      </c>
      <c r="B123">
        <v>57.58</v>
      </c>
      <c r="C123">
        <f>VLOOKUP(A123,NYSEARCAVTI!A$2:G$506,5,0)</f>
        <v>106.54</v>
      </c>
      <c r="D123">
        <f>VLOOKUP(A123,NYSEARCAVEU!A$2:G$506,5,0)</f>
        <v>44.96</v>
      </c>
      <c r="E123">
        <f>VLOOKUP(A123,NYSEARCAVWO!A$2:G$506,5,0)</f>
        <v>34.51</v>
      </c>
      <c r="F123">
        <f>VLOOKUP(A123,NYSEARCABND!A$2:G$506,5,0)</f>
        <v>80.930000000000007</v>
      </c>
      <c r="G123">
        <f>VLOOKUP(A123,NYSEARCATIP!A$2:G$506,5,0)</f>
        <v>109.67</v>
      </c>
      <c r="H123">
        <f>VLOOKUP(A123,NYSEARCAMUB!A$2:G$506,5,0)</f>
        <v>108.95</v>
      </c>
      <c r="I123">
        <f>VLOOKUP(A123,NYSEARCAVNQ!A$2:G$506,5,0)</f>
        <v>77.87</v>
      </c>
      <c r="J123">
        <f>VLOOKUP(A123,NYSEARCARWX!A$2:G$506,5,0)</f>
        <v>39.79</v>
      </c>
      <c r="K123">
        <f>VLOOKUP(A123,NYSEARCADBC!A$2:G$506,5,0)</f>
        <v>14.61</v>
      </c>
      <c r="L123">
        <f>VLOOKUP(A123,NYSEARCAGSG!A$2:G$506,5,0)</f>
        <v>16.190000000000001</v>
      </c>
      <c r="M123">
        <f>VLOOKUP(A123,NYSEARCAGLD!A$2:G$506,5,0)</f>
        <v>103.83</v>
      </c>
      <c r="N123">
        <f>VLOOKUP(A123,NYSEBP!A$2:G$506,5,0)</f>
        <v>34.39</v>
      </c>
      <c r="O123">
        <f>VLOOKUP(A123,NASDAQYHOO!A$2:G$506,5,0)</f>
        <v>33.380000000000003</v>
      </c>
    </row>
    <row r="124" spans="1:15">
      <c r="A124" s="39">
        <v>42320</v>
      </c>
      <c r="B124">
        <v>56.95</v>
      </c>
      <c r="C124">
        <f>VLOOKUP(A124,NYSEARCAVTI!A$2:G$506,5,0)</f>
        <v>104.95</v>
      </c>
      <c r="D124">
        <f>VLOOKUP(A124,NYSEARCAVEU!A$2:G$506,5,0)</f>
        <v>44.42</v>
      </c>
      <c r="E124">
        <f>VLOOKUP(A124,NYSEARCAVWO!A$2:G$506,5,0)</f>
        <v>34.15</v>
      </c>
      <c r="F124">
        <f>VLOOKUP(A124,NYSEARCABND!A$2:G$506,5,0)</f>
        <v>80.94</v>
      </c>
      <c r="G124">
        <f>VLOOKUP(A124,NYSEARCATIP!A$2:G$506,5,0)</f>
        <v>109.67</v>
      </c>
      <c r="H124">
        <f>VLOOKUP(A124,NYSEARCAMUB!A$2:G$506,5,0)</f>
        <v>109.04</v>
      </c>
      <c r="I124">
        <f>VLOOKUP(A124,NYSEARCAVNQ!A$2:G$506,5,0)</f>
        <v>77.319999999999993</v>
      </c>
      <c r="J124">
        <f>VLOOKUP(A124,NYSEARCARWX!A$2:G$506,5,0)</f>
        <v>39.47</v>
      </c>
      <c r="K124">
        <f>VLOOKUP(A124,NYSEARCADBC!A$2:G$506,5,0)</f>
        <v>14.4</v>
      </c>
      <c r="L124">
        <f>VLOOKUP(A124,NYSEARCAGSG!A$2:G$506,5,0)</f>
        <v>15.91</v>
      </c>
      <c r="M124">
        <f>VLOOKUP(A124,NYSEARCAGLD!A$2:G$506,5,0)</f>
        <v>103.85</v>
      </c>
      <c r="N124">
        <f>VLOOKUP(A124,NYSEBP!A$2:G$506,5,0)</f>
        <v>33.5</v>
      </c>
      <c r="O124">
        <f>VLOOKUP(A124,NASDAQYHOO!A$2:G$506,5,0)</f>
        <v>33.229999999999997</v>
      </c>
    </row>
    <row r="125" spans="1:15">
      <c r="A125" s="39">
        <v>42321</v>
      </c>
      <c r="B125">
        <v>56.42</v>
      </c>
      <c r="C125">
        <f>VLOOKUP(A125,NYSEARCAVTI!A$2:G$506,5,0)</f>
        <v>103.84</v>
      </c>
      <c r="D125">
        <f>VLOOKUP(A125,NYSEARCAVEU!A$2:G$506,5,0)</f>
        <v>44.05</v>
      </c>
      <c r="E125">
        <f>VLOOKUP(A125,NYSEARCAVWO!A$2:G$506,5,0)</f>
        <v>33.700000000000003</v>
      </c>
      <c r="F125">
        <f>VLOOKUP(A125,NYSEARCABND!A$2:G$506,5,0)</f>
        <v>81.09</v>
      </c>
      <c r="G125">
        <f>VLOOKUP(A125,NYSEARCATIP!A$2:G$506,5,0)</f>
        <v>109.82</v>
      </c>
      <c r="H125">
        <f>VLOOKUP(A125,NYSEARCAMUB!A$2:G$506,5,0)</f>
        <v>109.15</v>
      </c>
      <c r="I125">
        <f>VLOOKUP(A125,NYSEARCAVNQ!A$2:G$506,5,0)</f>
        <v>76.44</v>
      </c>
      <c r="J125">
        <f>VLOOKUP(A125,NYSEARCARWX!A$2:G$506,5,0)</f>
        <v>39.28</v>
      </c>
      <c r="K125">
        <f>VLOOKUP(A125,NYSEARCADBC!A$2:G$506,5,0)</f>
        <v>14.29</v>
      </c>
      <c r="L125">
        <f>VLOOKUP(A125,NYSEARCAGSG!A$2:G$506,5,0)</f>
        <v>15.71</v>
      </c>
      <c r="M125">
        <f>VLOOKUP(A125,NYSEARCAGLD!A$2:G$506,5,0)</f>
        <v>103.56</v>
      </c>
      <c r="N125">
        <f>VLOOKUP(A125,NYSEBP!A$2:G$506,5,0)</f>
        <v>33.380000000000003</v>
      </c>
      <c r="O125">
        <f>VLOOKUP(A125,NASDAQYHOO!A$2:G$506,5,0)</f>
        <v>32.19</v>
      </c>
    </row>
    <row r="126" spans="1:15">
      <c r="A126" s="39">
        <v>42324</v>
      </c>
      <c r="B126">
        <v>57.87</v>
      </c>
      <c r="C126">
        <f>VLOOKUP(A126,NYSEARCAVTI!A$2:G$506,5,0)</f>
        <v>105.35</v>
      </c>
      <c r="D126">
        <f>VLOOKUP(A126,NYSEARCAVEU!A$2:G$506,5,0)</f>
        <v>44.63</v>
      </c>
      <c r="E126">
        <f>VLOOKUP(A126,NYSEARCAVWO!A$2:G$506,5,0)</f>
        <v>34.43</v>
      </c>
      <c r="F126">
        <f>VLOOKUP(A126,NYSEARCABND!A$2:G$506,5,0)</f>
        <v>81.09</v>
      </c>
      <c r="G126">
        <f>VLOOKUP(A126,NYSEARCATIP!A$2:G$506,5,0)</f>
        <v>109.76</v>
      </c>
      <c r="H126">
        <f>VLOOKUP(A126,NYSEARCAMUB!A$2:G$506,5,0)</f>
        <v>109.09</v>
      </c>
      <c r="I126">
        <f>VLOOKUP(A126,NYSEARCAVNQ!A$2:G$506,5,0)</f>
        <v>77.319999999999993</v>
      </c>
      <c r="J126">
        <f>VLOOKUP(A126,NYSEARCARWX!A$2:G$506,5,0)</f>
        <v>39.799999999999997</v>
      </c>
      <c r="K126">
        <f>VLOOKUP(A126,NYSEARCADBC!A$2:G$506,5,0)</f>
        <v>14.36</v>
      </c>
      <c r="L126">
        <f>VLOOKUP(A126,NYSEARCAGSG!A$2:G$506,5,0)</f>
        <v>15.8</v>
      </c>
      <c r="M126">
        <f>VLOOKUP(A126,NYSEARCAGLD!A$2:G$506,5,0)</f>
        <v>103.71</v>
      </c>
      <c r="N126">
        <f>VLOOKUP(A126,NYSEBP!A$2:G$506,5,0)</f>
        <v>34.479999999999997</v>
      </c>
      <c r="O126">
        <f>VLOOKUP(A126,NASDAQYHOO!A$2:G$506,5,0)</f>
        <v>32.94</v>
      </c>
    </row>
    <row r="127" spans="1:15">
      <c r="A127" s="39">
        <v>42325</v>
      </c>
      <c r="B127">
        <v>59.92</v>
      </c>
      <c r="C127">
        <f>VLOOKUP(A127,NYSEARCAVTI!A$2:G$506,5,0)</f>
        <v>105.22</v>
      </c>
      <c r="D127">
        <f>VLOOKUP(A127,NYSEARCAVEU!A$2:G$506,5,0)</f>
        <v>44.69</v>
      </c>
      <c r="E127">
        <f>VLOOKUP(A127,NYSEARCAVWO!A$2:G$506,5,0)</f>
        <v>34.39</v>
      </c>
      <c r="F127">
        <f>VLOOKUP(A127,NYSEARCABND!A$2:G$506,5,0)</f>
        <v>81.180000000000007</v>
      </c>
      <c r="G127">
        <f>VLOOKUP(A127,NYSEARCATIP!A$2:G$506,5,0)</f>
        <v>109.96</v>
      </c>
      <c r="H127">
        <f>VLOOKUP(A127,NYSEARCAMUB!A$2:G$506,5,0)</f>
        <v>109.29</v>
      </c>
      <c r="I127">
        <f>VLOOKUP(A127,NYSEARCAVNQ!A$2:G$506,5,0)</f>
        <v>77.319999999999993</v>
      </c>
      <c r="J127">
        <f>VLOOKUP(A127,NYSEARCARWX!A$2:G$506,5,0)</f>
        <v>39.99</v>
      </c>
      <c r="K127">
        <f>VLOOKUP(A127,NYSEARCADBC!A$2:G$506,5,0)</f>
        <v>14.14</v>
      </c>
      <c r="L127">
        <f>VLOOKUP(A127,NYSEARCAGSG!A$2:G$506,5,0)</f>
        <v>15.55</v>
      </c>
      <c r="M127">
        <f>VLOOKUP(A127,NYSEARCAGLD!A$2:G$506,5,0)</f>
        <v>102.34</v>
      </c>
      <c r="N127">
        <f>VLOOKUP(A127,NYSEBP!A$2:G$506,5,0)</f>
        <v>34.18</v>
      </c>
      <c r="O127">
        <f>VLOOKUP(A127,NASDAQYHOO!A$2:G$506,5,0)</f>
        <v>32.86</v>
      </c>
    </row>
    <row r="128" spans="1:15">
      <c r="A128" s="39">
        <v>42326</v>
      </c>
      <c r="B128">
        <v>60.93</v>
      </c>
      <c r="C128">
        <f>VLOOKUP(A128,NYSEARCAVTI!A$2:G$506,5,0)</f>
        <v>106.9</v>
      </c>
      <c r="D128">
        <f>VLOOKUP(A128,NYSEARCAVEU!A$2:G$506,5,0)</f>
        <v>45.07</v>
      </c>
      <c r="E128">
        <f>VLOOKUP(A128,NYSEARCAVWO!A$2:G$506,5,0)</f>
        <v>34.659999999999997</v>
      </c>
      <c r="F128">
        <f>VLOOKUP(A128,NYSEARCABND!A$2:G$506,5,0)</f>
        <v>81.14</v>
      </c>
      <c r="G128">
        <f>VLOOKUP(A128,NYSEARCATIP!A$2:G$506,5,0)</f>
        <v>110.12</v>
      </c>
      <c r="H128">
        <f>VLOOKUP(A128,NYSEARCAMUB!A$2:G$506,5,0)</f>
        <v>109.49</v>
      </c>
      <c r="I128">
        <f>VLOOKUP(A128,NYSEARCAVNQ!A$2:G$506,5,0)</f>
        <v>78</v>
      </c>
      <c r="J128">
        <f>VLOOKUP(A128,NYSEARCARWX!A$2:G$506,5,0)</f>
        <v>40.28</v>
      </c>
      <c r="K128">
        <f>VLOOKUP(A128,NYSEARCADBC!A$2:G$506,5,0)</f>
        <v>14.2</v>
      </c>
      <c r="L128">
        <f>VLOOKUP(A128,NYSEARCAGSG!A$2:G$506,5,0)</f>
        <v>15.6</v>
      </c>
      <c r="M128">
        <f>VLOOKUP(A128,NYSEARCAGLD!A$2:G$506,5,0)</f>
        <v>102.43</v>
      </c>
      <c r="N128">
        <f>VLOOKUP(A128,NYSEBP!A$2:G$506,5,0)</f>
        <v>35.1</v>
      </c>
      <c r="O128">
        <f>VLOOKUP(A128,NASDAQYHOO!A$2:G$506,5,0)</f>
        <v>32.979999999999997</v>
      </c>
    </row>
    <row r="129" spans="1:15">
      <c r="A129" s="39">
        <v>42327</v>
      </c>
      <c r="B129">
        <v>60.7</v>
      </c>
      <c r="C129">
        <f>VLOOKUP(A129,NYSEARCAVTI!A$2:G$506,5,0)</f>
        <v>106.76</v>
      </c>
      <c r="D129">
        <f>VLOOKUP(A129,NYSEARCAVEU!A$2:G$506,5,0)</f>
        <v>45.35</v>
      </c>
      <c r="E129">
        <f>VLOOKUP(A129,NYSEARCAVWO!A$2:G$506,5,0)</f>
        <v>34.92</v>
      </c>
      <c r="F129">
        <f>VLOOKUP(A129,NYSEARCABND!A$2:G$506,5,0)</f>
        <v>81.25</v>
      </c>
      <c r="G129">
        <f>VLOOKUP(A129,NYSEARCATIP!A$2:G$506,5,0)</f>
        <v>110.51</v>
      </c>
      <c r="H129">
        <f>VLOOKUP(A129,NYSEARCAMUB!A$2:G$506,5,0)</f>
        <v>109.68</v>
      </c>
      <c r="I129">
        <f>VLOOKUP(A129,NYSEARCAVNQ!A$2:G$506,5,0)</f>
        <v>78.239999999999995</v>
      </c>
      <c r="J129">
        <f>VLOOKUP(A129,NYSEARCARWX!A$2:G$506,5,0)</f>
        <v>40.51</v>
      </c>
      <c r="K129">
        <f>VLOOKUP(A129,NYSEARCADBC!A$2:G$506,5,0)</f>
        <v>14.2</v>
      </c>
      <c r="L129">
        <f>VLOOKUP(A129,NYSEARCAGSG!A$2:G$506,5,0)</f>
        <v>15.61</v>
      </c>
      <c r="M129">
        <f>VLOOKUP(A129,NYSEARCAGLD!A$2:G$506,5,0)</f>
        <v>103.56</v>
      </c>
      <c r="N129">
        <f>VLOOKUP(A129,NYSEBP!A$2:G$506,5,0)</f>
        <v>35.25</v>
      </c>
      <c r="O129">
        <f>VLOOKUP(A129,NASDAQYHOO!A$2:G$506,5,0)</f>
        <v>32.619999999999997</v>
      </c>
    </row>
    <row r="130" spans="1:15">
      <c r="A130" s="39">
        <v>42328</v>
      </c>
      <c r="B130">
        <v>60.07</v>
      </c>
      <c r="C130">
        <f>VLOOKUP(A130,NYSEARCAVTI!A$2:G$506,5,0)</f>
        <v>107.22</v>
      </c>
      <c r="D130">
        <f>VLOOKUP(A130,NYSEARCAVEU!A$2:G$506,5,0)</f>
        <v>45.33</v>
      </c>
      <c r="E130">
        <f>VLOOKUP(A130,NYSEARCAVWO!A$2:G$506,5,0)</f>
        <v>35.22</v>
      </c>
      <c r="F130">
        <f>VLOOKUP(A130,NYSEARCABND!A$2:G$506,5,0)</f>
        <v>81.23</v>
      </c>
      <c r="G130">
        <f>VLOOKUP(A130,NYSEARCATIP!A$2:G$506,5,0)</f>
        <v>110.6</v>
      </c>
      <c r="H130">
        <f>VLOOKUP(A130,NYSEARCAMUB!A$2:G$506,5,0)</f>
        <v>109.7</v>
      </c>
      <c r="I130">
        <f>VLOOKUP(A130,NYSEARCAVNQ!A$2:G$506,5,0)</f>
        <v>79.22</v>
      </c>
      <c r="J130">
        <f>VLOOKUP(A130,NYSEARCARWX!A$2:G$506,5,0)</f>
        <v>40.69</v>
      </c>
      <c r="K130">
        <f>VLOOKUP(A130,NYSEARCADBC!A$2:G$506,5,0)</f>
        <v>14.18</v>
      </c>
      <c r="L130">
        <f>VLOOKUP(A130,NYSEARCAGSG!A$2:G$506,5,0)</f>
        <v>15.58</v>
      </c>
      <c r="M130">
        <f>VLOOKUP(A130,NYSEARCAGLD!A$2:G$506,5,0)</f>
        <v>103.09</v>
      </c>
      <c r="N130">
        <f>VLOOKUP(A130,NYSEBP!A$2:G$506,5,0)</f>
        <v>34.43</v>
      </c>
      <c r="O130">
        <f>VLOOKUP(A130,NASDAQYHOO!A$2:G$506,5,0)</f>
        <v>33.11</v>
      </c>
    </row>
    <row r="131" spans="1:15">
      <c r="A131" s="39">
        <v>42331</v>
      </c>
      <c r="B131">
        <v>60.26</v>
      </c>
      <c r="C131">
        <f>VLOOKUP(A131,NYSEARCAVTI!A$2:G$506,5,0)</f>
        <v>107.11</v>
      </c>
      <c r="D131">
        <f>VLOOKUP(A131,NYSEARCAVEU!A$2:G$506,5,0)</f>
        <v>45.02</v>
      </c>
      <c r="E131">
        <f>VLOOKUP(A131,NYSEARCAVWO!A$2:G$506,5,0)</f>
        <v>34.93</v>
      </c>
      <c r="F131">
        <f>VLOOKUP(A131,NYSEARCABND!A$2:G$506,5,0)</f>
        <v>81.260000000000005</v>
      </c>
      <c r="G131">
        <f>VLOOKUP(A131,NYSEARCATIP!A$2:G$506,5,0)</f>
        <v>110.73</v>
      </c>
      <c r="H131">
        <f>VLOOKUP(A131,NYSEARCAMUB!A$2:G$506,5,0)</f>
        <v>109.8</v>
      </c>
      <c r="I131">
        <f>VLOOKUP(A131,NYSEARCAVNQ!A$2:G$506,5,0)</f>
        <v>79.39</v>
      </c>
      <c r="J131">
        <f>VLOOKUP(A131,NYSEARCARWX!A$2:G$506,5,0)</f>
        <v>40.26</v>
      </c>
      <c r="K131">
        <f>VLOOKUP(A131,NYSEARCADBC!A$2:G$506,5,0)</f>
        <v>14.29</v>
      </c>
      <c r="L131">
        <f>VLOOKUP(A131,NYSEARCAGSG!A$2:G$506,5,0)</f>
        <v>15.67</v>
      </c>
      <c r="M131">
        <f>VLOOKUP(A131,NYSEARCAGLD!A$2:G$506,5,0)</f>
        <v>102.26</v>
      </c>
      <c r="N131">
        <f>VLOOKUP(A131,NYSEBP!A$2:G$506,5,0)</f>
        <v>34.42</v>
      </c>
      <c r="O131">
        <f>VLOOKUP(A131,NASDAQYHOO!A$2:G$506,5,0)</f>
        <v>33.36</v>
      </c>
    </row>
    <row r="132" spans="1:15">
      <c r="A132" s="39">
        <v>42332</v>
      </c>
      <c r="B132">
        <v>59.92</v>
      </c>
      <c r="C132">
        <f>VLOOKUP(A132,NYSEARCAVTI!A$2:G$506,5,0)</f>
        <v>107.39</v>
      </c>
      <c r="D132">
        <f>VLOOKUP(A132,NYSEARCAVEU!A$2:G$506,5,0)</f>
        <v>45.09</v>
      </c>
      <c r="E132">
        <f>VLOOKUP(A132,NYSEARCAVWO!A$2:G$506,5,0)</f>
        <v>35.020000000000003</v>
      </c>
      <c r="F132">
        <f>VLOOKUP(A132,NYSEARCABND!A$2:G$506,5,0)</f>
        <v>81.290000000000006</v>
      </c>
      <c r="G132">
        <f>VLOOKUP(A132,NYSEARCATIP!A$2:G$506,5,0)</f>
        <v>110.85</v>
      </c>
      <c r="H132">
        <f>VLOOKUP(A132,NYSEARCAMUB!A$2:G$506,5,0)</f>
        <v>109.88</v>
      </c>
      <c r="I132">
        <f>VLOOKUP(A132,NYSEARCAVNQ!A$2:G$506,5,0)</f>
        <v>78.97</v>
      </c>
      <c r="J132">
        <f>VLOOKUP(A132,NYSEARCARWX!A$2:G$506,5,0)</f>
        <v>40.229999999999997</v>
      </c>
      <c r="K132">
        <f>VLOOKUP(A132,NYSEARCADBC!A$2:G$506,5,0)</f>
        <v>14.52</v>
      </c>
      <c r="L132">
        <f>VLOOKUP(A132,NYSEARCAGSG!A$2:G$506,5,0)</f>
        <v>15.89</v>
      </c>
      <c r="M132">
        <f>VLOOKUP(A132,NYSEARCAGLD!A$2:G$506,5,0)</f>
        <v>102.94</v>
      </c>
      <c r="N132">
        <f>VLOOKUP(A132,NYSEBP!A$2:G$506,5,0)</f>
        <v>34.99</v>
      </c>
      <c r="O132">
        <f>VLOOKUP(A132,NASDAQYHOO!A$2:G$506,5,0)</f>
        <v>32.96</v>
      </c>
    </row>
    <row r="133" spans="1:15">
      <c r="A133" s="39">
        <v>42333</v>
      </c>
      <c r="B133">
        <v>60.24</v>
      </c>
      <c r="C133">
        <f>VLOOKUP(A133,NYSEARCAVTI!A$2:G$506,5,0)</f>
        <v>107.47</v>
      </c>
      <c r="D133">
        <f>VLOOKUP(A133,NYSEARCAVEU!A$2:G$506,5,0)</f>
        <v>45.11</v>
      </c>
      <c r="E133">
        <f>VLOOKUP(A133,NYSEARCAVWO!A$2:G$506,5,0)</f>
        <v>34.75</v>
      </c>
      <c r="F133">
        <f>VLOOKUP(A133,NYSEARCABND!A$2:G$506,5,0)</f>
        <v>81.3</v>
      </c>
      <c r="G133">
        <f>VLOOKUP(A133,NYSEARCATIP!A$2:G$506,5,0)</f>
        <v>110.79</v>
      </c>
      <c r="H133">
        <f>VLOOKUP(A133,NYSEARCAMUB!A$2:G$506,5,0)</f>
        <v>109.94</v>
      </c>
      <c r="I133">
        <f>VLOOKUP(A133,NYSEARCAVNQ!A$2:G$506,5,0)</f>
        <v>79.290000000000006</v>
      </c>
      <c r="J133">
        <f>VLOOKUP(A133,NYSEARCARWX!A$2:G$506,5,0)</f>
        <v>40.24</v>
      </c>
      <c r="K133">
        <f>VLOOKUP(A133,NYSEARCADBC!A$2:G$506,5,0)</f>
        <v>14.5</v>
      </c>
      <c r="L133">
        <f>VLOOKUP(A133,NYSEARCAGSG!A$2:G$506,5,0)</f>
        <v>15.89</v>
      </c>
      <c r="M133">
        <f>VLOOKUP(A133,NYSEARCAGLD!A$2:G$506,5,0)</f>
        <v>102.46</v>
      </c>
      <c r="N133">
        <f>VLOOKUP(A133,NYSEBP!A$2:G$506,5,0)</f>
        <v>34.99</v>
      </c>
      <c r="O133">
        <f>VLOOKUP(A133,NASDAQYHOO!A$2:G$506,5,0)</f>
        <v>33.159999999999997</v>
      </c>
    </row>
    <row r="134" spans="1:15">
      <c r="A134" s="39">
        <v>42335</v>
      </c>
      <c r="B134">
        <v>59.89</v>
      </c>
      <c r="C134">
        <f>VLOOKUP(A134,NYSEARCAVTI!A$2:G$506,5,0)</f>
        <v>107.63</v>
      </c>
      <c r="D134">
        <f>VLOOKUP(A134,NYSEARCAVEU!A$2:G$506,5,0)</f>
        <v>44.95</v>
      </c>
      <c r="E134">
        <f>VLOOKUP(A134,NYSEARCAVWO!A$2:G$506,5,0)</f>
        <v>33.99</v>
      </c>
      <c r="F134">
        <f>VLOOKUP(A134,NYSEARCABND!A$2:G$506,5,0)</f>
        <v>81.34</v>
      </c>
      <c r="G134">
        <f>VLOOKUP(A134,NYSEARCATIP!A$2:G$506,5,0)</f>
        <v>110.85</v>
      </c>
      <c r="H134">
        <f>VLOOKUP(A134,NYSEARCAMUB!A$2:G$506,5,0)</f>
        <v>109.96</v>
      </c>
      <c r="I134">
        <f>VLOOKUP(A134,NYSEARCAVNQ!A$2:G$506,5,0)</f>
        <v>79.98</v>
      </c>
      <c r="J134">
        <f>VLOOKUP(A134,NYSEARCARWX!A$2:G$506,5,0)</f>
        <v>40.049999999999997</v>
      </c>
      <c r="K134">
        <f>VLOOKUP(A134,NYSEARCADBC!A$2:G$506,5,0)</f>
        <v>14.28</v>
      </c>
      <c r="L134">
        <f>VLOOKUP(A134,NYSEARCAGSG!A$2:G$506,5,0)</f>
        <v>15.63</v>
      </c>
      <c r="M134">
        <f>VLOOKUP(A134,NYSEARCAGLD!A$2:G$506,5,0)</f>
        <v>101.25</v>
      </c>
      <c r="N134">
        <f>VLOOKUP(A134,NYSEBP!A$2:G$506,5,0)</f>
        <v>34.83</v>
      </c>
      <c r="O134">
        <f>VLOOKUP(A134,NASDAQYHOO!A$2:G$506,5,0)</f>
        <v>32.94</v>
      </c>
    </row>
    <row r="135" spans="1:15">
      <c r="A135" s="39">
        <v>42338</v>
      </c>
      <c r="B135">
        <v>58.84</v>
      </c>
      <c r="C135">
        <f>VLOOKUP(A135,NYSEARCAVTI!A$2:G$506,5,0)</f>
        <v>107.17</v>
      </c>
      <c r="D135">
        <f>VLOOKUP(A135,NYSEARCAVEU!A$2:G$506,5,0)</f>
        <v>44.88</v>
      </c>
      <c r="E135">
        <f>VLOOKUP(A135,NYSEARCAVWO!A$2:G$506,5,0)</f>
        <v>34.04</v>
      </c>
      <c r="F135">
        <f>VLOOKUP(A135,NYSEARCABND!A$2:G$506,5,0)</f>
        <v>81.3</v>
      </c>
      <c r="G135">
        <f>VLOOKUP(A135,NYSEARCATIP!A$2:G$506,5,0)</f>
        <v>110.8</v>
      </c>
      <c r="H135">
        <f>VLOOKUP(A135,NYSEARCAMUB!A$2:G$506,5,0)</f>
        <v>110.03</v>
      </c>
      <c r="I135">
        <f>VLOOKUP(A135,NYSEARCAVNQ!A$2:G$506,5,0)</f>
        <v>79.39</v>
      </c>
      <c r="J135">
        <f>VLOOKUP(A135,NYSEARCARWX!A$2:G$506,5,0)</f>
        <v>40.07</v>
      </c>
      <c r="K135">
        <f>VLOOKUP(A135,NYSEARCADBC!A$2:G$506,5,0)</f>
        <v>14.19</v>
      </c>
      <c r="L135">
        <f>VLOOKUP(A135,NYSEARCAGSG!A$2:G$506,5,0)</f>
        <v>15.51</v>
      </c>
      <c r="M135">
        <f>VLOOKUP(A135,NYSEARCAGLD!A$2:G$506,5,0)</f>
        <v>101.92</v>
      </c>
      <c r="N135">
        <f>VLOOKUP(A135,NYSEBP!A$2:G$506,5,0)</f>
        <v>34.6</v>
      </c>
      <c r="O135">
        <f>VLOOKUP(A135,NASDAQYHOO!A$2:G$506,5,0)</f>
        <v>33.81</v>
      </c>
    </row>
    <row r="136" spans="1:15">
      <c r="A136" s="39">
        <v>42339</v>
      </c>
      <c r="B136">
        <v>58.99</v>
      </c>
      <c r="C136">
        <f>VLOOKUP(A136,NYSEARCAVTI!A$2:G$506,5,0)</f>
        <v>108.18</v>
      </c>
      <c r="D136">
        <f>VLOOKUP(A136,NYSEARCAVEU!A$2:G$506,5,0)</f>
        <v>45.33</v>
      </c>
      <c r="E136">
        <f>VLOOKUP(A136,NYSEARCAVWO!A$2:G$506,5,0)</f>
        <v>34.24</v>
      </c>
      <c r="F136">
        <f>VLOOKUP(A136,NYSEARCABND!A$2:G$506,5,0)</f>
        <v>81.44</v>
      </c>
      <c r="G136">
        <f>VLOOKUP(A136,NYSEARCATIP!A$2:G$506,5,0)</f>
        <v>111.21</v>
      </c>
      <c r="H136">
        <f>VLOOKUP(A136,NYSEARCAMUB!A$2:G$506,5,0)</f>
        <v>109.95</v>
      </c>
      <c r="I136">
        <f>VLOOKUP(A136,NYSEARCAVNQ!A$2:G$506,5,0)</f>
        <v>80.489999999999995</v>
      </c>
      <c r="J136">
        <f>VLOOKUP(A136,NYSEARCARWX!A$2:G$506,5,0)</f>
        <v>40.82</v>
      </c>
      <c r="K136">
        <f>VLOOKUP(A136,NYSEARCADBC!A$2:G$506,5,0)</f>
        <v>14.35</v>
      </c>
      <c r="L136">
        <f>VLOOKUP(A136,NYSEARCAGSG!A$2:G$506,5,0)</f>
        <v>15.58</v>
      </c>
      <c r="M136">
        <f>VLOOKUP(A136,NYSEARCAGLD!A$2:G$506,5,0)</f>
        <v>102.28</v>
      </c>
      <c r="N136">
        <f>VLOOKUP(A136,NYSEBP!A$2:G$506,5,0)</f>
        <v>34.770000000000003</v>
      </c>
      <c r="O136">
        <f>VLOOKUP(A136,NASDAQYHOO!A$2:G$506,5,0)</f>
        <v>33.71</v>
      </c>
    </row>
    <row r="137" spans="1:15">
      <c r="A137" s="39">
        <v>42340</v>
      </c>
      <c r="B137">
        <v>58.35</v>
      </c>
      <c r="C137">
        <f>VLOOKUP(A137,NYSEARCAVTI!A$2:G$506,5,0)</f>
        <v>107.05</v>
      </c>
      <c r="D137">
        <f>VLOOKUP(A137,NYSEARCAVEU!A$2:G$506,5,0)</f>
        <v>44.86</v>
      </c>
      <c r="E137">
        <f>VLOOKUP(A137,NYSEARCAVWO!A$2:G$506,5,0)</f>
        <v>33.9</v>
      </c>
      <c r="F137">
        <f>VLOOKUP(A137,NYSEARCABND!A$2:G$506,5,0)</f>
        <v>81.34</v>
      </c>
      <c r="G137">
        <f>VLOOKUP(A137,NYSEARCATIP!A$2:G$506,5,0)</f>
        <v>110.83</v>
      </c>
      <c r="H137">
        <f>VLOOKUP(A137,NYSEARCAMUB!A$2:G$506,5,0)</f>
        <v>110</v>
      </c>
      <c r="I137">
        <f>VLOOKUP(A137,NYSEARCAVNQ!A$2:G$506,5,0)</f>
        <v>78.849999999999994</v>
      </c>
      <c r="J137">
        <f>VLOOKUP(A137,NYSEARCARWX!A$2:G$506,5,0)</f>
        <v>40.24</v>
      </c>
      <c r="K137">
        <f>VLOOKUP(A137,NYSEARCADBC!A$2:G$506,5,0)</f>
        <v>14.05</v>
      </c>
      <c r="L137">
        <f>VLOOKUP(A137,NYSEARCAGSG!A$2:G$506,5,0)</f>
        <v>15.21</v>
      </c>
      <c r="M137">
        <f>VLOOKUP(A137,NYSEARCAGLD!A$2:G$506,5,0)</f>
        <v>100.69</v>
      </c>
      <c r="N137">
        <f>VLOOKUP(A137,NYSEBP!A$2:G$506,5,0)</f>
        <v>33.82</v>
      </c>
      <c r="O137">
        <f>VLOOKUP(A137,NASDAQYHOO!A$2:G$506,5,0)</f>
        <v>35.65</v>
      </c>
    </row>
    <row r="138" spans="1:15">
      <c r="A138" s="39">
        <v>42341</v>
      </c>
      <c r="B138">
        <v>59.04</v>
      </c>
      <c r="C138">
        <f>VLOOKUP(A138,NYSEARCAVTI!A$2:G$506,5,0)</f>
        <v>105.45</v>
      </c>
      <c r="D138">
        <f>VLOOKUP(A138,NYSEARCAVEU!A$2:G$506,5,0)</f>
        <v>44.6</v>
      </c>
      <c r="E138">
        <f>VLOOKUP(A138,NYSEARCAVWO!A$2:G$506,5,0)</f>
        <v>33.799999999999997</v>
      </c>
      <c r="F138">
        <f>VLOOKUP(A138,NYSEARCABND!A$2:G$506,5,0)</f>
        <v>80.709999999999994</v>
      </c>
      <c r="G138">
        <f>VLOOKUP(A138,NYSEARCATIP!A$2:G$506,5,0)</f>
        <v>110.14</v>
      </c>
      <c r="H138">
        <f>VLOOKUP(A138,NYSEARCAMUB!A$2:G$506,5,0)</f>
        <v>109.65</v>
      </c>
      <c r="I138">
        <f>VLOOKUP(A138,NYSEARCAVNQ!A$2:G$506,5,0)</f>
        <v>77.61</v>
      </c>
      <c r="J138">
        <f>VLOOKUP(A138,NYSEARCARWX!A$2:G$506,5,0)</f>
        <v>39.97</v>
      </c>
      <c r="K138">
        <f>VLOOKUP(A138,NYSEARCADBC!A$2:G$506,5,0)</f>
        <v>14.21</v>
      </c>
      <c r="L138">
        <f>VLOOKUP(A138,NYSEARCAGSG!A$2:G$506,5,0)</f>
        <v>15.43</v>
      </c>
      <c r="M138">
        <f>VLOOKUP(A138,NYSEARCAGLD!A$2:G$506,5,0)</f>
        <v>101.76</v>
      </c>
      <c r="N138">
        <f>VLOOKUP(A138,NYSEBP!A$2:G$506,5,0)</f>
        <v>33.26</v>
      </c>
      <c r="O138">
        <f>VLOOKUP(A138,NASDAQYHOO!A$2:G$506,5,0)</f>
        <v>34.340000000000003</v>
      </c>
    </row>
    <row r="139" spans="1:15">
      <c r="A139" s="39">
        <v>42342</v>
      </c>
      <c r="B139">
        <v>59.66</v>
      </c>
      <c r="C139">
        <f>VLOOKUP(A139,NYSEARCAVTI!A$2:G$506,5,0)</f>
        <v>107.39</v>
      </c>
      <c r="D139">
        <f>VLOOKUP(A139,NYSEARCAVEU!A$2:G$506,5,0)</f>
        <v>44.93</v>
      </c>
      <c r="E139">
        <f>VLOOKUP(A139,NYSEARCAVWO!A$2:G$506,5,0)</f>
        <v>33.93</v>
      </c>
      <c r="F139">
        <f>VLOOKUP(A139,NYSEARCABND!A$2:G$506,5,0)</f>
        <v>81.03</v>
      </c>
      <c r="G139">
        <f>VLOOKUP(A139,NYSEARCATIP!A$2:G$506,5,0)</f>
        <v>110.42</v>
      </c>
      <c r="H139">
        <f>VLOOKUP(A139,NYSEARCAMUB!A$2:G$506,5,0)</f>
        <v>109.83</v>
      </c>
      <c r="I139">
        <f>VLOOKUP(A139,NYSEARCAVNQ!A$2:G$506,5,0)</f>
        <v>79.09</v>
      </c>
      <c r="J139">
        <f>VLOOKUP(A139,NYSEARCARWX!A$2:G$506,5,0)</f>
        <v>40.31</v>
      </c>
      <c r="K139">
        <f>VLOOKUP(A139,NYSEARCADBC!A$2:G$506,5,0)</f>
        <v>14.19</v>
      </c>
      <c r="L139">
        <f>VLOOKUP(A139,NYSEARCAGSG!A$2:G$506,5,0)</f>
        <v>15.35</v>
      </c>
      <c r="M139">
        <f>VLOOKUP(A139,NYSEARCAGLD!A$2:G$506,5,0)</f>
        <v>104.02</v>
      </c>
      <c r="N139">
        <f>VLOOKUP(A139,NYSEBP!A$2:G$506,5,0)</f>
        <v>32.67</v>
      </c>
      <c r="O139">
        <f>VLOOKUP(A139,NASDAQYHOO!A$2:G$506,5,0)</f>
        <v>34.909999999999997</v>
      </c>
    </row>
    <row r="140" spans="1:15">
      <c r="A140" s="39">
        <v>42345</v>
      </c>
      <c r="B140">
        <v>60.5</v>
      </c>
      <c r="C140">
        <f>VLOOKUP(A140,NYSEARCAVTI!A$2:G$506,5,0)</f>
        <v>106.55</v>
      </c>
      <c r="D140">
        <f>VLOOKUP(A140,NYSEARCAVEU!A$2:G$506,5,0)</f>
        <v>44.48</v>
      </c>
      <c r="E140">
        <f>VLOOKUP(A140,NYSEARCAVWO!A$2:G$506,5,0)</f>
        <v>33.450000000000003</v>
      </c>
      <c r="F140">
        <f>VLOOKUP(A140,NYSEARCABND!A$2:G$506,5,0)</f>
        <v>81.17</v>
      </c>
      <c r="G140">
        <f>VLOOKUP(A140,NYSEARCATIP!A$2:G$506,5,0)</f>
        <v>110.38</v>
      </c>
      <c r="H140">
        <f>VLOOKUP(A140,NYSEARCAMUB!A$2:G$506,5,0)</f>
        <v>109.94</v>
      </c>
      <c r="I140">
        <f>VLOOKUP(A140,NYSEARCAVNQ!A$2:G$506,5,0)</f>
        <v>78.87</v>
      </c>
      <c r="J140">
        <f>VLOOKUP(A140,NYSEARCARWX!A$2:G$506,5,0)</f>
        <v>39.96</v>
      </c>
      <c r="K140">
        <f>VLOOKUP(A140,NYSEARCADBC!A$2:G$506,5,0)</f>
        <v>13.78</v>
      </c>
      <c r="L140">
        <f>VLOOKUP(A140,NYSEARCAGSG!A$2:G$506,5,0)</f>
        <v>14.77</v>
      </c>
      <c r="M140">
        <f>VLOOKUP(A140,NYSEARCAGLD!A$2:G$506,5,0)</f>
        <v>102.67</v>
      </c>
      <c r="N140">
        <f>VLOOKUP(A140,NYSEBP!A$2:G$506,5,0)</f>
        <v>31.26</v>
      </c>
      <c r="O140">
        <f>VLOOKUP(A140,NASDAQYHOO!A$2:G$506,5,0)</f>
        <v>34.68</v>
      </c>
    </row>
    <row r="141" spans="1:15">
      <c r="A141" s="39">
        <v>42346</v>
      </c>
      <c r="B141">
        <v>59.61</v>
      </c>
      <c r="C141">
        <f>VLOOKUP(A141,NYSEARCAVTI!A$2:G$506,5,0)</f>
        <v>105.91</v>
      </c>
      <c r="D141">
        <f>VLOOKUP(A141,NYSEARCAVEU!A$2:G$506,5,0)</f>
        <v>43.83</v>
      </c>
      <c r="E141">
        <f>VLOOKUP(A141,NYSEARCAVWO!A$2:G$506,5,0)</f>
        <v>33.049999999999997</v>
      </c>
      <c r="F141">
        <f>VLOOKUP(A141,NYSEARCABND!A$2:G$506,5,0)</f>
        <v>81.19</v>
      </c>
      <c r="G141">
        <f>VLOOKUP(A141,NYSEARCATIP!A$2:G$506,5,0)</f>
        <v>110.41</v>
      </c>
      <c r="H141">
        <f>VLOOKUP(A141,NYSEARCAMUB!A$2:G$506,5,0)</f>
        <v>110.01</v>
      </c>
      <c r="I141">
        <f>VLOOKUP(A141,NYSEARCAVNQ!A$2:G$506,5,0)</f>
        <v>78.8</v>
      </c>
      <c r="J141">
        <f>VLOOKUP(A141,NYSEARCARWX!A$2:G$506,5,0)</f>
        <v>39.549999999999997</v>
      </c>
      <c r="K141">
        <f>VLOOKUP(A141,NYSEARCADBC!A$2:G$506,5,0)</f>
        <v>13.71</v>
      </c>
      <c r="L141">
        <f>VLOOKUP(A141,NYSEARCAGSG!A$2:G$506,5,0)</f>
        <v>14.64</v>
      </c>
      <c r="M141">
        <f>VLOOKUP(A141,NYSEARCAGLD!A$2:G$506,5,0)</f>
        <v>102.84</v>
      </c>
      <c r="N141">
        <f>VLOOKUP(A141,NYSEBP!A$2:G$506,5,0)</f>
        <v>31.27</v>
      </c>
      <c r="O141">
        <f>VLOOKUP(A141,NASDAQYHOO!A$2:G$506,5,0)</f>
        <v>34.85</v>
      </c>
    </row>
    <row r="142" spans="1:15">
      <c r="A142" s="39">
        <v>42347</v>
      </c>
      <c r="B142">
        <v>59.13</v>
      </c>
      <c r="C142">
        <f>VLOOKUP(A142,NYSEARCAVTI!A$2:G$506,5,0)</f>
        <v>105</v>
      </c>
      <c r="D142">
        <f>VLOOKUP(A142,NYSEARCAVEU!A$2:G$506,5,0)</f>
        <v>43.67</v>
      </c>
      <c r="E142">
        <f>VLOOKUP(A142,NYSEARCAVWO!A$2:G$506,5,0)</f>
        <v>32.81</v>
      </c>
      <c r="F142">
        <f>VLOOKUP(A142,NYSEARCABND!A$2:G$506,5,0)</f>
        <v>81.16</v>
      </c>
      <c r="G142">
        <f>VLOOKUP(A142,NYSEARCATIP!A$2:G$506,5,0)</f>
        <v>110.2</v>
      </c>
      <c r="H142">
        <f>VLOOKUP(A142,NYSEARCAMUB!A$2:G$506,5,0)</f>
        <v>110.13</v>
      </c>
      <c r="I142">
        <f>VLOOKUP(A142,NYSEARCAVNQ!A$2:G$506,5,0)</f>
        <v>78.36</v>
      </c>
      <c r="J142">
        <f>VLOOKUP(A142,NYSEARCARWX!A$2:G$506,5,0)</f>
        <v>39.44</v>
      </c>
      <c r="K142">
        <f>VLOOKUP(A142,NYSEARCADBC!A$2:G$506,5,0)</f>
        <v>13.72</v>
      </c>
      <c r="L142">
        <f>VLOOKUP(A142,NYSEARCAGSG!A$2:G$506,5,0)</f>
        <v>14.62</v>
      </c>
      <c r="M142">
        <f>VLOOKUP(A142,NYSEARCAGLD!A$2:G$506,5,0)</f>
        <v>102.64</v>
      </c>
      <c r="N142">
        <f>VLOOKUP(A142,NYSEBP!A$2:G$506,5,0)</f>
        <v>31.81</v>
      </c>
      <c r="O142">
        <f>VLOOKUP(A142,NASDAQYHOO!A$2:G$506,5,0)</f>
        <v>34.4</v>
      </c>
    </row>
    <row r="143" spans="1:15">
      <c r="A143" s="39">
        <v>42348</v>
      </c>
      <c r="B143">
        <v>59.56</v>
      </c>
      <c r="C143">
        <f>VLOOKUP(A143,NYSEARCAVTI!A$2:G$506,5,0)</f>
        <v>105.31</v>
      </c>
      <c r="D143">
        <f>VLOOKUP(A143,NYSEARCAVEU!A$2:G$506,5,0)</f>
        <v>43.6</v>
      </c>
      <c r="E143">
        <f>VLOOKUP(A143,NYSEARCAVWO!A$2:G$506,5,0)</f>
        <v>32.479999999999997</v>
      </c>
      <c r="F143">
        <f>VLOOKUP(A143,NYSEARCABND!A$2:G$506,5,0)</f>
        <v>81.150000000000006</v>
      </c>
      <c r="G143">
        <f>VLOOKUP(A143,NYSEARCATIP!A$2:G$506,5,0)</f>
        <v>109.96</v>
      </c>
      <c r="H143">
        <f>VLOOKUP(A143,NYSEARCAMUB!A$2:G$506,5,0)</f>
        <v>110.18</v>
      </c>
      <c r="I143">
        <f>VLOOKUP(A143,NYSEARCAVNQ!A$2:G$506,5,0)</f>
        <v>77.8</v>
      </c>
      <c r="J143">
        <f>VLOOKUP(A143,NYSEARCARWX!A$2:G$506,5,0)</f>
        <v>39.31</v>
      </c>
      <c r="K143">
        <f>VLOOKUP(A143,NYSEARCADBC!A$2:G$506,5,0)</f>
        <v>13.67</v>
      </c>
      <c r="L143">
        <f>VLOOKUP(A143,NYSEARCAGSG!A$2:G$506,5,0)</f>
        <v>14.53</v>
      </c>
      <c r="M143">
        <f>VLOOKUP(A143,NYSEARCAGLD!A$2:G$506,5,0)</f>
        <v>102.55</v>
      </c>
      <c r="N143">
        <f>VLOOKUP(A143,NYSEBP!A$2:G$506,5,0)</f>
        <v>31.8</v>
      </c>
      <c r="O143">
        <f>VLOOKUP(A143,NASDAQYHOO!A$2:G$506,5,0)</f>
        <v>34.630000000000003</v>
      </c>
    </row>
    <row r="144" spans="1:15">
      <c r="A144" s="39">
        <v>42349</v>
      </c>
      <c r="B144">
        <v>59.36</v>
      </c>
      <c r="C144">
        <f>VLOOKUP(A144,NYSEARCAVTI!A$2:G$506,5,0)</f>
        <v>103.24</v>
      </c>
      <c r="D144">
        <f>VLOOKUP(A144,NYSEARCAVEU!A$2:G$506,5,0)</f>
        <v>42.74</v>
      </c>
      <c r="E144">
        <f>VLOOKUP(A144,NYSEARCAVWO!A$2:G$506,5,0)</f>
        <v>31.56</v>
      </c>
      <c r="F144">
        <f>VLOOKUP(A144,NYSEARCABND!A$2:G$506,5,0)</f>
        <v>81.37</v>
      </c>
      <c r="G144">
        <f>VLOOKUP(A144,NYSEARCATIP!A$2:G$506,5,0)</f>
        <v>110.32</v>
      </c>
      <c r="H144">
        <f>VLOOKUP(A144,NYSEARCAMUB!A$2:G$506,5,0)</f>
        <v>110.38</v>
      </c>
      <c r="I144">
        <f>VLOOKUP(A144,NYSEARCAVNQ!A$2:G$506,5,0)</f>
        <v>77.66</v>
      </c>
      <c r="J144">
        <f>VLOOKUP(A144,NYSEARCARWX!A$2:G$506,5,0)</f>
        <v>38.65</v>
      </c>
      <c r="K144">
        <f>VLOOKUP(A144,NYSEARCADBC!A$2:G$506,5,0)</f>
        <v>13.53</v>
      </c>
      <c r="L144">
        <f>VLOOKUP(A144,NYSEARCAGSG!A$2:G$506,5,0)</f>
        <v>14.31</v>
      </c>
      <c r="M144">
        <f>VLOOKUP(A144,NYSEARCAGLD!A$2:G$506,5,0)</f>
        <v>103.11</v>
      </c>
      <c r="N144">
        <f>VLOOKUP(A144,NYSEBP!A$2:G$506,5,0)</f>
        <v>30.79</v>
      </c>
      <c r="O144">
        <f>VLOOKUP(A144,NASDAQYHOO!A$2:G$506,5,0)</f>
        <v>32.909999999999997</v>
      </c>
    </row>
    <row r="145" spans="1:15">
      <c r="A145" s="39">
        <v>42352</v>
      </c>
      <c r="B145">
        <v>60.39</v>
      </c>
      <c r="C145">
        <f>VLOOKUP(A145,NYSEARCAVTI!A$2:G$506,5,0)</f>
        <v>103.61</v>
      </c>
      <c r="D145">
        <f>VLOOKUP(A145,NYSEARCAVEU!A$2:G$506,5,0)</f>
        <v>42.9</v>
      </c>
      <c r="E145">
        <f>VLOOKUP(A145,NYSEARCAVWO!A$2:G$506,5,0)</f>
        <v>32.08</v>
      </c>
      <c r="F145">
        <f>VLOOKUP(A145,NYSEARCABND!A$2:G$506,5,0)</f>
        <v>80.989999999999995</v>
      </c>
      <c r="G145">
        <f>VLOOKUP(A145,NYSEARCATIP!A$2:G$506,5,0)</f>
        <v>109.53</v>
      </c>
      <c r="H145">
        <f>VLOOKUP(A145,NYSEARCAMUB!A$2:G$506,5,0)</f>
        <v>110.12</v>
      </c>
      <c r="I145">
        <f>VLOOKUP(A145,NYSEARCAVNQ!A$2:G$506,5,0)</f>
        <v>78.02</v>
      </c>
      <c r="J145">
        <f>VLOOKUP(A145,NYSEARCARWX!A$2:G$506,5,0)</f>
        <v>38.840000000000003</v>
      </c>
      <c r="K145">
        <f>VLOOKUP(A145,NYSEARCADBC!A$2:G$506,5,0)</f>
        <v>13.44</v>
      </c>
      <c r="L145">
        <f>VLOOKUP(A145,NYSEARCAGSG!A$2:G$506,5,0)</f>
        <v>14.16</v>
      </c>
      <c r="M145">
        <f>VLOOKUP(A145,NYSEARCAGLD!A$2:G$506,5,0)</f>
        <v>101.79</v>
      </c>
      <c r="N145">
        <f>VLOOKUP(A145,NYSEBP!A$2:G$506,5,0)</f>
        <v>30.22</v>
      </c>
      <c r="O145">
        <f>VLOOKUP(A145,NASDAQYHOO!A$2:G$506,5,0)</f>
        <v>32.590000000000003</v>
      </c>
    </row>
    <row r="146" spans="1:15">
      <c r="A146" s="39">
        <v>42353</v>
      </c>
      <c r="B146">
        <v>59.64</v>
      </c>
      <c r="C146">
        <f>VLOOKUP(A146,NYSEARCAVTI!A$2:G$506,5,0)</f>
        <v>104.72</v>
      </c>
      <c r="D146">
        <f>VLOOKUP(A146,NYSEARCAVEU!A$2:G$506,5,0)</f>
        <v>43.22</v>
      </c>
      <c r="E146">
        <f>VLOOKUP(A146,NYSEARCAVWO!A$2:G$506,5,0)</f>
        <v>32.549999999999997</v>
      </c>
      <c r="F146">
        <f>VLOOKUP(A146,NYSEARCABND!A$2:G$506,5,0)</f>
        <v>80.900000000000006</v>
      </c>
      <c r="G146">
        <f>VLOOKUP(A146,NYSEARCATIP!A$2:G$506,5,0)</f>
        <v>109.47</v>
      </c>
      <c r="H146">
        <f>VLOOKUP(A146,NYSEARCAMUB!A$2:G$506,5,0)</f>
        <v>110.01</v>
      </c>
      <c r="I146">
        <f>VLOOKUP(A146,NYSEARCAVNQ!A$2:G$506,5,0)</f>
        <v>78.87</v>
      </c>
      <c r="J146">
        <f>VLOOKUP(A146,NYSEARCARWX!A$2:G$506,5,0)</f>
        <v>38.97</v>
      </c>
      <c r="K146">
        <f>VLOOKUP(A146,NYSEARCADBC!A$2:G$506,5,0)</f>
        <v>13.41</v>
      </c>
      <c r="L146">
        <f>VLOOKUP(A146,NYSEARCAGSG!A$2:G$506,5,0)</f>
        <v>14.25</v>
      </c>
      <c r="M146">
        <f>VLOOKUP(A146,NYSEARCAGLD!A$2:G$506,5,0)</f>
        <v>101.52</v>
      </c>
      <c r="N146">
        <f>VLOOKUP(A146,NYSEBP!A$2:G$506,5,0)</f>
        <v>30.75</v>
      </c>
      <c r="O146">
        <f>VLOOKUP(A146,NASDAQYHOO!A$2:G$506,5,0)</f>
        <v>33.03</v>
      </c>
    </row>
    <row r="147" spans="1:15">
      <c r="A147" s="39">
        <v>42354</v>
      </c>
      <c r="B147">
        <v>60.3</v>
      </c>
      <c r="C147">
        <f>VLOOKUP(A147,NYSEARCAVTI!A$2:G$506,5,0)</f>
        <v>106.24</v>
      </c>
      <c r="D147">
        <f>VLOOKUP(A147,NYSEARCAVEU!A$2:G$506,5,0)</f>
        <v>44.01</v>
      </c>
      <c r="E147">
        <f>VLOOKUP(A147,NYSEARCAVWO!A$2:G$506,5,0)</f>
        <v>33.1</v>
      </c>
      <c r="F147">
        <f>VLOOKUP(A147,NYSEARCABND!A$2:G$506,5,0)</f>
        <v>80.81</v>
      </c>
      <c r="G147">
        <f>VLOOKUP(A147,NYSEARCATIP!A$2:G$506,5,0)</f>
        <v>109.15</v>
      </c>
      <c r="H147">
        <f>VLOOKUP(A147,NYSEARCAMUB!A$2:G$506,5,0)</f>
        <v>110.02</v>
      </c>
      <c r="I147">
        <f>VLOOKUP(A147,NYSEARCAVNQ!A$2:G$506,5,0)</f>
        <v>80.41</v>
      </c>
      <c r="J147">
        <f>VLOOKUP(A147,NYSEARCARWX!A$2:G$506,5,0)</f>
        <v>39.78</v>
      </c>
      <c r="K147">
        <f>VLOOKUP(A147,NYSEARCADBC!A$2:G$506,5,0)</f>
        <v>13.35</v>
      </c>
      <c r="L147">
        <f>VLOOKUP(A147,NYSEARCAGSG!A$2:G$506,5,0)</f>
        <v>14.07</v>
      </c>
      <c r="M147">
        <f>VLOOKUP(A147,NYSEARCAGLD!A$2:G$506,5,0)</f>
        <v>102.75</v>
      </c>
      <c r="N147">
        <f>VLOOKUP(A147,NYSEBP!A$2:G$506,5,0)</f>
        <v>30.87</v>
      </c>
      <c r="O147">
        <f>VLOOKUP(A147,NASDAQYHOO!A$2:G$506,5,0)</f>
        <v>33.78</v>
      </c>
    </row>
    <row r="148" spans="1:15">
      <c r="A148" s="39">
        <v>42355</v>
      </c>
      <c r="B148">
        <v>58.98</v>
      </c>
      <c r="C148">
        <f>VLOOKUP(A148,NYSEARCAVTI!A$2:G$506,5,0)</f>
        <v>104.68</v>
      </c>
      <c r="D148">
        <f>VLOOKUP(A148,NYSEARCAVEU!A$2:G$506,5,0)</f>
        <v>43.46</v>
      </c>
      <c r="E148">
        <f>VLOOKUP(A148,NYSEARCAVWO!A$2:G$506,5,0)</f>
        <v>32.81</v>
      </c>
      <c r="F148">
        <f>VLOOKUP(A148,NYSEARCABND!A$2:G$506,5,0)</f>
        <v>80.98</v>
      </c>
      <c r="G148">
        <f>VLOOKUP(A148,NYSEARCATIP!A$2:G$506,5,0)</f>
        <v>109.53</v>
      </c>
      <c r="H148">
        <f>VLOOKUP(A148,NYSEARCAMUB!A$2:G$506,5,0)</f>
        <v>110.35</v>
      </c>
      <c r="I148">
        <f>VLOOKUP(A148,NYSEARCAVNQ!A$2:G$506,5,0)</f>
        <v>80.010000000000005</v>
      </c>
      <c r="J148">
        <f>VLOOKUP(A148,NYSEARCARWX!A$2:G$506,5,0)</f>
        <v>39.200000000000003</v>
      </c>
      <c r="K148">
        <f>VLOOKUP(A148,NYSEARCADBC!A$2:G$506,5,0)</f>
        <v>13.21</v>
      </c>
      <c r="L148">
        <f>VLOOKUP(A148,NYSEARCAGSG!A$2:G$506,5,0)</f>
        <v>13.92</v>
      </c>
      <c r="M148">
        <f>VLOOKUP(A148,NYSEARCAGLD!A$2:G$506,5,0)</f>
        <v>100.5</v>
      </c>
      <c r="N148">
        <f>VLOOKUP(A148,NYSEBP!A$2:G$506,5,0)</f>
        <v>30.35</v>
      </c>
      <c r="O148">
        <f>VLOOKUP(A148,NASDAQYHOO!A$2:G$506,5,0)</f>
        <v>33.229999999999997</v>
      </c>
    </row>
    <row r="149" spans="1:15">
      <c r="A149" s="39">
        <v>42356</v>
      </c>
      <c r="B149">
        <v>58.85</v>
      </c>
      <c r="C149">
        <f>VLOOKUP(A149,NYSEARCAVTI!A$2:G$506,5,0)</f>
        <v>102.9</v>
      </c>
      <c r="D149">
        <f>VLOOKUP(A149,NYSEARCAVEU!A$2:G$506,5,0)</f>
        <v>43.1</v>
      </c>
      <c r="E149">
        <f>VLOOKUP(A149,NYSEARCAVWO!A$2:G$506,5,0)</f>
        <v>32.64</v>
      </c>
      <c r="F149">
        <f>VLOOKUP(A149,NYSEARCABND!A$2:G$506,5,0)</f>
        <v>81.16</v>
      </c>
      <c r="G149">
        <f>VLOOKUP(A149,NYSEARCATIP!A$2:G$506,5,0)</f>
        <v>109.83</v>
      </c>
      <c r="H149">
        <f>VLOOKUP(A149,NYSEARCAMUB!A$2:G$506,5,0)</f>
        <v>110.55</v>
      </c>
      <c r="I149">
        <f>VLOOKUP(A149,NYSEARCAVNQ!A$2:G$506,5,0)</f>
        <v>79.08</v>
      </c>
      <c r="J149">
        <f>VLOOKUP(A149,NYSEARCARWX!A$2:G$506,5,0)</f>
        <v>38.85</v>
      </c>
      <c r="K149">
        <f>VLOOKUP(A149,NYSEARCADBC!A$2:G$506,5,0)</f>
        <v>13.27</v>
      </c>
      <c r="L149">
        <f>VLOOKUP(A149,NYSEARCAGSG!A$2:G$506,5,0)</f>
        <v>13.98</v>
      </c>
      <c r="M149">
        <f>VLOOKUP(A149,NYSEARCAGLD!A$2:G$506,5,0)</f>
        <v>102.04</v>
      </c>
      <c r="N149">
        <f>VLOOKUP(A149,NYSEBP!A$2:G$506,5,0)</f>
        <v>30.15</v>
      </c>
      <c r="O149">
        <f>VLOOKUP(A149,NASDAQYHOO!A$2:G$506,5,0)</f>
        <v>32.950000000000003</v>
      </c>
    </row>
    <row r="150" spans="1:15">
      <c r="A150" s="39">
        <v>42359</v>
      </c>
      <c r="B150">
        <v>59.55</v>
      </c>
      <c r="C150">
        <f>VLOOKUP(A150,NYSEARCAVTI!A$2:G$506,5,0)</f>
        <v>103.13</v>
      </c>
      <c r="D150">
        <f>VLOOKUP(A150,NYSEARCAVEU!A$2:G$506,5,0)</f>
        <v>42.96</v>
      </c>
      <c r="E150">
        <f>VLOOKUP(A150,NYSEARCAVWO!A$2:G$506,5,0)</f>
        <v>32.71</v>
      </c>
      <c r="F150">
        <f>VLOOKUP(A150,NYSEARCABND!A$2:G$506,5,0)</f>
        <v>81.069999999999993</v>
      </c>
      <c r="G150">
        <f>VLOOKUP(A150,NYSEARCATIP!A$2:G$506,5,0)</f>
        <v>109.63</v>
      </c>
      <c r="H150">
        <f>VLOOKUP(A150,NYSEARCAMUB!A$2:G$506,5,0)</f>
        <v>110.6</v>
      </c>
      <c r="I150">
        <f>VLOOKUP(A150,NYSEARCAVNQ!A$2:G$506,5,0)</f>
        <v>79.39</v>
      </c>
      <c r="J150">
        <f>VLOOKUP(A150,NYSEARCARWX!A$2:G$506,5,0)</f>
        <v>38.99</v>
      </c>
      <c r="K150">
        <f>VLOOKUP(A150,NYSEARCADBC!A$2:G$506,5,0)</f>
        <v>13.21</v>
      </c>
      <c r="L150">
        <f>VLOOKUP(A150,NYSEARCAGSG!A$2:G$506,5,0)</f>
        <v>13.93</v>
      </c>
      <c r="M150">
        <f>VLOOKUP(A150,NYSEARCAGLD!A$2:G$506,5,0)</f>
        <v>103.15</v>
      </c>
      <c r="N150">
        <f>VLOOKUP(A150,NYSEBP!A$2:G$506,5,0)</f>
        <v>30.13</v>
      </c>
      <c r="O150">
        <f>VLOOKUP(A150,NASDAQYHOO!A$2:G$506,5,0)</f>
        <v>32.96</v>
      </c>
    </row>
    <row r="151" spans="1:15">
      <c r="A151" s="39">
        <v>42360</v>
      </c>
      <c r="B151">
        <v>60.54</v>
      </c>
      <c r="C151">
        <f>VLOOKUP(A151,NYSEARCAVTI!A$2:G$506,5,0)</f>
        <v>104.06</v>
      </c>
      <c r="D151">
        <f>VLOOKUP(A151,NYSEARCAVEU!A$2:G$506,5,0)</f>
        <v>43.3</v>
      </c>
      <c r="E151">
        <f>VLOOKUP(A151,NYSEARCAVWO!A$2:G$506,5,0)</f>
        <v>32.96</v>
      </c>
      <c r="F151">
        <f>VLOOKUP(A151,NYSEARCABND!A$2:G$506,5,0)</f>
        <v>80.959999999999994</v>
      </c>
      <c r="G151">
        <f>VLOOKUP(A151,NYSEARCATIP!A$2:G$506,5,0)</f>
        <v>109.48</v>
      </c>
      <c r="H151">
        <f>VLOOKUP(A151,NYSEARCAMUB!A$2:G$506,5,0)</f>
        <v>110.57</v>
      </c>
      <c r="I151">
        <f>VLOOKUP(A151,NYSEARCAVNQ!A$2:G$506,5,0)</f>
        <v>79.709999999999994</v>
      </c>
      <c r="J151">
        <f>VLOOKUP(A151,NYSEARCARWX!A$2:G$506,5,0)</f>
        <v>39.18</v>
      </c>
      <c r="K151">
        <f>VLOOKUP(A151,NYSEARCADBC!A$2:G$506,5,0)</f>
        <v>13.15</v>
      </c>
      <c r="L151">
        <f>VLOOKUP(A151,NYSEARCAGSG!A$2:G$506,5,0)</f>
        <v>13.9</v>
      </c>
      <c r="M151">
        <f>VLOOKUP(A151,NYSEARCAGLD!A$2:G$506,5,0)</f>
        <v>102.61</v>
      </c>
      <c r="N151">
        <f>VLOOKUP(A151,NYSEBP!A$2:G$506,5,0)</f>
        <v>30.79</v>
      </c>
      <c r="O151">
        <f>VLOOKUP(A151,NASDAQYHOO!A$2:G$506,5,0)</f>
        <v>34.19</v>
      </c>
    </row>
    <row r="152" spans="1:15">
      <c r="A152" s="39">
        <v>42361</v>
      </c>
      <c r="B152">
        <v>61.09</v>
      </c>
      <c r="C152">
        <f>VLOOKUP(A152,NYSEARCAVTI!A$2:G$506,5,0)</f>
        <v>105.36</v>
      </c>
      <c r="D152">
        <f>VLOOKUP(A152,NYSEARCAVEU!A$2:G$506,5,0)</f>
        <v>44.02</v>
      </c>
      <c r="E152">
        <f>VLOOKUP(A152,NYSEARCAVWO!A$2:G$506,5,0)</f>
        <v>33.450000000000003</v>
      </c>
      <c r="F152">
        <f>VLOOKUP(A152,NYSEARCABND!A$2:G$506,5,0)</f>
        <v>80.739999999999995</v>
      </c>
      <c r="G152">
        <f>VLOOKUP(A152,NYSEARCATIP!A$2:G$506,5,0)</f>
        <v>109.58</v>
      </c>
      <c r="H152">
        <f>VLOOKUP(A152,NYSEARCAMUB!A$2:G$506,5,0)</f>
        <v>110.62</v>
      </c>
      <c r="I152">
        <f>VLOOKUP(A152,NYSEARCAVNQ!A$2:G$506,5,0)</f>
        <v>79.42</v>
      </c>
      <c r="J152">
        <f>VLOOKUP(A152,NYSEARCARWX!A$2:G$506,5,0)</f>
        <v>39.57</v>
      </c>
      <c r="K152">
        <f>VLOOKUP(A152,NYSEARCADBC!A$2:G$506,5,0)</f>
        <v>13.39</v>
      </c>
      <c r="L152">
        <f>VLOOKUP(A152,NYSEARCAGSG!A$2:G$506,5,0)</f>
        <v>14.26</v>
      </c>
      <c r="M152">
        <f>VLOOKUP(A152,NYSEARCAGLD!A$2:G$506,5,0)</f>
        <v>102.31</v>
      </c>
      <c r="N152">
        <f>VLOOKUP(A152,NYSEBP!A$2:G$506,5,0)</f>
        <v>32.35</v>
      </c>
      <c r="O152">
        <f>VLOOKUP(A152,NASDAQYHOO!A$2:G$506,5,0)</f>
        <v>34.450000000000003</v>
      </c>
    </row>
    <row r="153" spans="1:15">
      <c r="A153" s="39">
        <v>42362</v>
      </c>
      <c r="B153">
        <v>60.83</v>
      </c>
      <c r="C153">
        <f>VLOOKUP(A153,NYSEARCAVTI!A$2:G$506,5,0)</f>
        <v>105.23</v>
      </c>
      <c r="D153">
        <f>VLOOKUP(A153,NYSEARCAVEU!A$2:G$506,5,0)</f>
        <v>43.96</v>
      </c>
      <c r="E153">
        <f>VLOOKUP(A153,NYSEARCAVWO!A$2:G$506,5,0)</f>
        <v>33.35</v>
      </c>
      <c r="F153">
        <f>VLOOKUP(A153,NYSEARCABND!A$2:G$506,5,0)</f>
        <v>80.8</v>
      </c>
      <c r="G153">
        <f>VLOOKUP(A153,NYSEARCATIP!A$2:G$506,5,0)</f>
        <v>109.77</v>
      </c>
      <c r="H153">
        <f>VLOOKUP(A153,NYSEARCAMUB!A$2:G$506,5,0)</f>
        <v>110.39</v>
      </c>
      <c r="I153">
        <f>VLOOKUP(A153,NYSEARCAVNQ!A$2:G$506,5,0)</f>
        <v>79.42</v>
      </c>
      <c r="J153">
        <f>VLOOKUP(A153,NYSEARCARWX!A$2:G$506,5,0)</f>
        <v>39.630000000000003</v>
      </c>
      <c r="K153">
        <f>VLOOKUP(A153,NYSEARCADBC!A$2:G$506,5,0)</f>
        <v>13.39</v>
      </c>
      <c r="L153">
        <f>VLOOKUP(A153,NYSEARCAGSG!A$2:G$506,5,0)</f>
        <v>14.29</v>
      </c>
      <c r="M153">
        <f>VLOOKUP(A153,NYSEARCAGLD!A$2:G$506,5,0)</f>
        <v>103.05</v>
      </c>
      <c r="N153">
        <f>VLOOKUP(A153,NYSEBP!A$2:G$506,5,0)</f>
        <v>32.119999999999997</v>
      </c>
      <c r="O153">
        <f>VLOOKUP(A153,NASDAQYHOO!A$2:G$506,5,0)</f>
        <v>34.11</v>
      </c>
    </row>
    <row r="154" spans="1:15">
      <c r="A154" s="39">
        <v>42366</v>
      </c>
      <c r="B154">
        <v>60.75</v>
      </c>
      <c r="C154">
        <f>VLOOKUP(A154,NYSEARCAVTI!A$2:G$506,5,0)</f>
        <v>105</v>
      </c>
      <c r="D154">
        <f>VLOOKUP(A154,NYSEARCAVEU!A$2:G$506,5,0)</f>
        <v>43.8</v>
      </c>
      <c r="E154">
        <f>VLOOKUP(A154,NYSEARCAVWO!A$2:G$506,5,0)</f>
        <v>33.18</v>
      </c>
      <c r="F154">
        <f>VLOOKUP(A154,NYSEARCABND!A$2:G$506,5,0)</f>
        <v>80.8</v>
      </c>
      <c r="G154">
        <f>VLOOKUP(A154,NYSEARCATIP!A$2:G$506,5,0)</f>
        <v>109.8</v>
      </c>
      <c r="H154">
        <f>VLOOKUP(A154,NYSEARCAMUB!A$2:G$506,5,0)</f>
        <v>110.44</v>
      </c>
      <c r="I154">
        <f>VLOOKUP(A154,NYSEARCAVNQ!A$2:G$506,5,0)</f>
        <v>79.86</v>
      </c>
      <c r="J154">
        <f>VLOOKUP(A154,NYSEARCARWX!A$2:G$506,5,0)</f>
        <v>39.369999999999997</v>
      </c>
      <c r="K154">
        <f>VLOOKUP(A154,NYSEARCADBC!A$2:G$506,5,0)</f>
        <v>13.2</v>
      </c>
      <c r="L154">
        <f>VLOOKUP(A154,NYSEARCAGSG!A$2:G$506,5,0)</f>
        <v>14.07</v>
      </c>
      <c r="M154">
        <f>VLOOKUP(A154,NYSEARCAGLD!A$2:G$506,5,0)</f>
        <v>102.27</v>
      </c>
      <c r="N154">
        <f>VLOOKUP(A154,NYSEBP!A$2:G$506,5,0)</f>
        <v>31.71</v>
      </c>
      <c r="O154">
        <f>VLOOKUP(A154,NASDAQYHOO!A$2:G$506,5,0)</f>
        <v>33.6</v>
      </c>
    </row>
    <row r="155" spans="1:15">
      <c r="A155" s="39">
        <v>42367</v>
      </c>
      <c r="B155">
        <v>61.61</v>
      </c>
      <c r="C155">
        <f>VLOOKUP(A155,NYSEARCAVTI!A$2:G$506,5,0)</f>
        <v>106.12</v>
      </c>
      <c r="D155">
        <f>VLOOKUP(A155,NYSEARCAVEU!A$2:G$506,5,0)</f>
        <v>44.22</v>
      </c>
      <c r="E155">
        <f>VLOOKUP(A155,NYSEARCAVWO!A$2:G$506,5,0)</f>
        <v>33.159999999999997</v>
      </c>
      <c r="F155">
        <f>VLOOKUP(A155,NYSEARCABND!A$2:G$506,5,0)</f>
        <v>80.55</v>
      </c>
      <c r="G155">
        <f>VLOOKUP(A155,NYSEARCATIP!A$2:G$506,5,0)</f>
        <v>109.38</v>
      </c>
      <c r="H155">
        <f>VLOOKUP(A155,NYSEARCAMUB!A$2:G$506,5,0)</f>
        <v>110.47</v>
      </c>
      <c r="I155">
        <f>VLOOKUP(A155,NYSEARCAVNQ!A$2:G$506,5,0)</f>
        <v>80.709999999999994</v>
      </c>
      <c r="J155">
        <f>VLOOKUP(A155,NYSEARCARWX!A$2:G$506,5,0)</f>
        <v>39.78</v>
      </c>
      <c r="K155">
        <f>VLOOKUP(A155,NYSEARCADBC!A$2:G$506,5,0)</f>
        <v>13.42</v>
      </c>
      <c r="L155">
        <f>VLOOKUP(A155,NYSEARCAGSG!A$2:G$506,5,0)</f>
        <v>14.34</v>
      </c>
      <c r="M155">
        <f>VLOOKUP(A155,NYSEARCAGLD!A$2:G$506,5,0)</f>
        <v>102.2</v>
      </c>
      <c r="N155">
        <f>VLOOKUP(A155,NYSEBP!A$2:G$506,5,0)</f>
        <v>31.87</v>
      </c>
      <c r="O155">
        <f>VLOOKUP(A155,NASDAQYHOO!A$2:G$506,5,0)</f>
        <v>34.04</v>
      </c>
    </row>
    <row r="156" spans="1:15">
      <c r="A156" s="39">
        <v>42368</v>
      </c>
      <c r="B156">
        <v>61.68</v>
      </c>
      <c r="C156">
        <f>VLOOKUP(A156,NYSEARCAVTI!A$2:G$506,5,0)</f>
        <v>105.32</v>
      </c>
      <c r="D156">
        <f>VLOOKUP(A156,NYSEARCAVEU!A$2:G$506,5,0)</f>
        <v>43.84</v>
      </c>
      <c r="E156">
        <f>VLOOKUP(A156,NYSEARCAVWO!A$2:G$506,5,0)</f>
        <v>32.700000000000003</v>
      </c>
      <c r="F156">
        <f>VLOOKUP(A156,NYSEARCABND!A$2:G$506,5,0)</f>
        <v>80.599999999999994</v>
      </c>
      <c r="G156">
        <f>VLOOKUP(A156,NYSEARCATIP!A$2:G$506,5,0)</f>
        <v>109.5</v>
      </c>
      <c r="H156">
        <f>VLOOKUP(A156,NYSEARCAMUB!A$2:G$506,5,0)</f>
        <v>110.54</v>
      </c>
      <c r="I156">
        <f>VLOOKUP(A156,NYSEARCAVNQ!A$2:G$506,5,0)</f>
        <v>80.430000000000007</v>
      </c>
      <c r="J156">
        <f>VLOOKUP(A156,NYSEARCARWX!A$2:G$506,5,0)</f>
        <v>39.5</v>
      </c>
      <c r="K156">
        <f>VLOOKUP(A156,NYSEARCADBC!A$2:G$506,5,0)</f>
        <v>13.29</v>
      </c>
      <c r="L156">
        <f>VLOOKUP(A156,NYSEARCAGSG!A$2:G$506,5,0)</f>
        <v>14.11</v>
      </c>
      <c r="M156">
        <f>VLOOKUP(A156,NYSEARCAGLD!A$2:G$506,5,0)</f>
        <v>101.42</v>
      </c>
      <c r="N156">
        <f>VLOOKUP(A156,NYSEBP!A$2:G$506,5,0)</f>
        <v>31.31</v>
      </c>
      <c r="O156">
        <f>VLOOKUP(A156,NASDAQYHOO!A$2:G$506,5,0)</f>
        <v>33.369999999999997</v>
      </c>
    </row>
    <row r="157" spans="1:15">
      <c r="A157" s="39">
        <v>42369</v>
      </c>
      <c r="B157">
        <v>61.3</v>
      </c>
      <c r="C157">
        <f>VLOOKUP(A157,NYSEARCAVTI!A$2:G$506,5,0)</f>
        <v>104.3</v>
      </c>
      <c r="D157">
        <f>VLOOKUP(A157,NYSEARCAVEU!A$2:G$506,5,0)</f>
        <v>43.41</v>
      </c>
      <c r="E157">
        <f>VLOOKUP(A157,NYSEARCAVWO!A$2:G$506,5,0)</f>
        <v>32.71</v>
      </c>
      <c r="F157">
        <f>VLOOKUP(A157,NYSEARCABND!A$2:G$506,5,0)</f>
        <v>80.760000000000005</v>
      </c>
      <c r="G157">
        <f>VLOOKUP(A157,NYSEARCATIP!A$2:G$506,5,0)</f>
        <v>109.68</v>
      </c>
      <c r="H157">
        <f>VLOOKUP(A157,NYSEARCAMUB!A$2:G$506,5,0)</f>
        <v>110.71</v>
      </c>
      <c r="I157">
        <f>VLOOKUP(A157,NYSEARCAVNQ!A$2:G$506,5,0)</f>
        <v>79.73</v>
      </c>
      <c r="J157">
        <f>VLOOKUP(A157,NYSEARCARWX!A$2:G$506,5,0)</f>
        <v>39.119999999999997</v>
      </c>
      <c r="K157">
        <f>VLOOKUP(A157,NYSEARCADBC!A$2:G$506,5,0)</f>
        <v>13.36</v>
      </c>
      <c r="L157">
        <f>VLOOKUP(A157,NYSEARCAGSG!A$2:G$506,5,0)</f>
        <v>14.23</v>
      </c>
      <c r="M157">
        <f>VLOOKUP(A157,NYSEARCAGLD!A$2:G$506,5,0)</f>
        <v>101.46</v>
      </c>
      <c r="N157">
        <f>VLOOKUP(A157,NYSEBP!A$2:G$506,5,0)</f>
        <v>31.26</v>
      </c>
      <c r="O157">
        <f>VLOOKUP(A157,NASDAQYHOO!A$2:G$506,5,0)</f>
        <v>33.26</v>
      </c>
    </row>
    <row r="158" spans="1:15">
      <c r="A158" s="39">
        <v>42373</v>
      </c>
      <c r="B158">
        <v>61.46</v>
      </c>
      <c r="C158">
        <f>VLOOKUP(A158,NYSEARCAVTI!A$2:G$506,5,0)</f>
        <v>102.74</v>
      </c>
      <c r="D158">
        <f>VLOOKUP(A158,NYSEARCAVEU!A$2:G$506,5,0)</f>
        <v>42.67</v>
      </c>
      <c r="E158">
        <f>VLOOKUP(A158,NYSEARCAVWO!A$2:G$506,5,0)</f>
        <v>31.78</v>
      </c>
      <c r="F158">
        <f>VLOOKUP(A158,NYSEARCABND!A$2:G$506,5,0)</f>
        <v>80.72</v>
      </c>
      <c r="G158">
        <f>VLOOKUP(A158,NYSEARCATIP!A$2:G$506,5,0)</f>
        <v>110.11</v>
      </c>
      <c r="H158">
        <f>VLOOKUP(A158,NYSEARCAMUB!A$2:G$506,5,0)</f>
        <v>110.47</v>
      </c>
      <c r="I158">
        <f>VLOOKUP(A158,NYSEARCAVNQ!A$2:G$506,5,0)</f>
        <v>78.77</v>
      </c>
      <c r="J158">
        <f>VLOOKUP(A158,NYSEARCARWX!A$2:G$506,5,0)</f>
        <v>38.770000000000003</v>
      </c>
      <c r="K158">
        <f>VLOOKUP(A158,NYSEARCADBC!A$2:G$506,5,0)</f>
        <v>13.26</v>
      </c>
      <c r="L158">
        <f>VLOOKUP(A158,NYSEARCAGSG!A$2:G$506,5,0)</f>
        <v>14.12</v>
      </c>
      <c r="M158">
        <f>VLOOKUP(A158,NYSEARCAGLD!A$2:G$506,5,0)</f>
        <v>102.89</v>
      </c>
      <c r="N158">
        <f>VLOOKUP(A158,NYSEBP!A$2:G$506,5,0)</f>
        <v>31.06</v>
      </c>
      <c r="O158">
        <f>VLOOKUP(A158,NASDAQYHOO!A$2:G$506,5,0)</f>
        <v>31.4</v>
      </c>
    </row>
    <row r="159" spans="1:15">
      <c r="A159" s="39">
        <v>42374</v>
      </c>
      <c r="B159">
        <v>62.92</v>
      </c>
      <c r="C159">
        <f>VLOOKUP(A159,NYSEARCAVTI!A$2:G$506,5,0)</f>
        <v>102.97</v>
      </c>
      <c r="D159">
        <f>VLOOKUP(A159,NYSEARCAVEU!A$2:G$506,5,0)</f>
        <v>42.57</v>
      </c>
      <c r="E159">
        <f>VLOOKUP(A159,NYSEARCAVWO!A$2:G$506,5,0)</f>
        <v>31.85</v>
      </c>
      <c r="F159">
        <f>VLOOKUP(A159,NYSEARCABND!A$2:G$506,5,0)</f>
        <v>80.819999999999993</v>
      </c>
      <c r="G159">
        <f>VLOOKUP(A159,NYSEARCATIP!A$2:G$506,5,0)</f>
        <v>110.04</v>
      </c>
      <c r="H159">
        <f>VLOOKUP(A159,NYSEARCAMUB!A$2:G$506,5,0)</f>
        <v>110.6</v>
      </c>
      <c r="I159">
        <f>VLOOKUP(A159,NYSEARCAVNQ!A$2:G$506,5,0)</f>
        <v>80.290000000000006</v>
      </c>
      <c r="J159">
        <f>VLOOKUP(A159,NYSEARCARWX!A$2:G$506,5,0)</f>
        <v>38.83</v>
      </c>
      <c r="K159">
        <f>VLOOKUP(A159,NYSEARCADBC!A$2:G$506,5,0)</f>
        <v>13.13</v>
      </c>
      <c r="L159">
        <f>VLOOKUP(A159,NYSEARCAGSG!A$2:G$506,5,0)</f>
        <v>13.98</v>
      </c>
      <c r="M159">
        <f>VLOOKUP(A159,NYSEARCAGLD!A$2:G$506,5,0)</f>
        <v>103.18</v>
      </c>
      <c r="N159">
        <f>VLOOKUP(A159,NYSEBP!A$2:G$506,5,0)</f>
        <v>30.93</v>
      </c>
      <c r="O159">
        <f>VLOOKUP(A159,NASDAQYHOO!A$2:G$506,5,0)</f>
        <v>32.200000000000003</v>
      </c>
    </row>
    <row r="160" spans="1:15">
      <c r="A160" s="39">
        <v>42375</v>
      </c>
      <c r="B160">
        <v>63.55</v>
      </c>
      <c r="C160">
        <f>VLOOKUP(A160,NYSEARCAVTI!A$2:G$506,5,0)</f>
        <v>101.59</v>
      </c>
      <c r="D160">
        <f>VLOOKUP(A160,NYSEARCAVEU!A$2:G$506,5,0)</f>
        <v>41.84</v>
      </c>
      <c r="E160">
        <f>VLOOKUP(A160,NYSEARCAVWO!A$2:G$506,5,0)</f>
        <v>31.28</v>
      </c>
      <c r="F160">
        <f>VLOOKUP(A160,NYSEARCABND!A$2:G$506,5,0)</f>
        <v>81.180000000000007</v>
      </c>
      <c r="G160">
        <f>VLOOKUP(A160,NYSEARCATIP!A$2:G$506,5,0)</f>
        <v>110.39</v>
      </c>
      <c r="H160">
        <f>VLOOKUP(A160,NYSEARCAMUB!A$2:G$506,5,0)</f>
        <v>111.09</v>
      </c>
      <c r="I160">
        <f>VLOOKUP(A160,NYSEARCAVNQ!A$2:G$506,5,0)</f>
        <v>80.069999999999993</v>
      </c>
      <c r="J160">
        <f>VLOOKUP(A160,NYSEARCARWX!A$2:G$506,5,0)</f>
        <v>38.44</v>
      </c>
      <c r="K160">
        <f>VLOOKUP(A160,NYSEARCADBC!A$2:G$506,5,0)</f>
        <v>12.92</v>
      </c>
      <c r="L160">
        <f>VLOOKUP(A160,NYSEARCAGSG!A$2:G$506,5,0)</f>
        <v>13.57</v>
      </c>
      <c r="M160">
        <f>VLOOKUP(A160,NYSEARCAGLD!A$2:G$506,5,0)</f>
        <v>104.67</v>
      </c>
      <c r="N160">
        <f>VLOOKUP(A160,NYSEBP!A$2:G$506,5,0)</f>
        <v>30.3</v>
      </c>
      <c r="O160">
        <f>VLOOKUP(A160,NASDAQYHOO!A$2:G$506,5,0)</f>
        <v>32.159999999999997</v>
      </c>
    </row>
    <row r="161" spans="1:15">
      <c r="A161" s="39">
        <v>42376</v>
      </c>
      <c r="B161">
        <v>65.03</v>
      </c>
      <c r="C161">
        <f>VLOOKUP(A161,NYSEARCAVTI!A$2:G$506,5,0)</f>
        <v>99.1</v>
      </c>
      <c r="D161">
        <f>VLOOKUP(A161,NYSEARCAVEU!A$2:G$506,5,0)</f>
        <v>40.94</v>
      </c>
      <c r="E161">
        <f>VLOOKUP(A161,NYSEARCAVWO!A$2:G$506,5,0)</f>
        <v>30.27</v>
      </c>
      <c r="F161">
        <f>VLOOKUP(A161,NYSEARCABND!A$2:G$506,5,0)</f>
        <v>81.19</v>
      </c>
      <c r="G161">
        <f>VLOOKUP(A161,NYSEARCATIP!A$2:G$506,5,0)</f>
        <v>110.3</v>
      </c>
      <c r="H161">
        <f>VLOOKUP(A161,NYSEARCAMUB!A$2:G$506,5,0)</f>
        <v>111.25</v>
      </c>
      <c r="I161">
        <f>VLOOKUP(A161,NYSEARCAVNQ!A$2:G$506,5,0)</f>
        <v>78.510000000000005</v>
      </c>
      <c r="J161">
        <f>VLOOKUP(A161,NYSEARCARWX!A$2:G$506,5,0)</f>
        <v>37.56</v>
      </c>
      <c r="K161">
        <f>VLOOKUP(A161,NYSEARCADBC!A$2:G$506,5,0)</f>
        <v>12.86</v>
      </c>
      <c r="L161">
        <f>VLOOKUP(A161,NYSEARCAGSG!A$2:G$506,5,0)</f>
        <v>13.44</v>
      </c>
      <c r="M161">
        <f>VLOOKUP(A161,NYSEARCAGLD!A$2:G$506,5,0)</f>
        <v>106.15</v>
      </c>
      <c r="N161">
        <f>VLOOKUP(A161,NYSEBP!A$2:G$506,5,0)</f>
        <v>29.43</v>
      </c>
      <c r="O161">
        <f>VLOOKUP(A161,NASDAQYHOO!A$2:G$506,5,0)</f>
        <v>30.16</v>
      </c>
    </row>
    <row r="162" spans="1:15">
      <c r="A162" s="39">
        <v>42377</v>
      </c>
      <c r="B162">
        <v>63.54</v>
      </c>
      <c r="C162">
        <f>VLOOKUP(A162,NYSEARCAVTI!A$2:G$506,5,0)</f>
        <v>97.97</v>
      </c>
      <c r="D162">
        <f>VLOOKUP(A162,NYSEARCAVEU!A$2:G$506,5,0)</f>
        <v>40.450000000000003</v>
      </c>
      <c r="E162">
        <f>VLOOKUP(A162,NYSEARCAVWO!A$2:G$506,5,0)</f>
        <v>30</v>
      </c>
      <c r="F162">
        <f>VLOOKUP(A162,NYSEARCABND!A$2:G$506,5,0)</f>
        <v>81.290000000000006</v>
      </c>
      <c r="G162">
        <f>VLOOKUP(A162,NYSEARCATIP!A$2:G$506,5,0)</f>
        <v>110.39</v>
      </c>
      <c r="H162">
        <f>VLOOKUP(A162,NYSEARCAMUB!A$2:G$506,5,0)</f>
        <v>111.3</v>
      </c>
      <c r="I162">
        <f>VLOOKUP(A162,NYSEARCAVNQ!A$2:G$506,5,0)</f>
        <v>77.459999999999994</v>
      </c>
      <c r="J162">
        <f>VLOOKUP(A162,NYSEARCARWX!A$2:G$506,5,0)</f>
        <v>37.049999999999997</v>
      </c>
      <c r="K162">
        <f>VLOOKUP(A162,NYSEARCADBC!A$2:G$506,5,0)</f>
        <v>12.8</v>
      </c>
      <c r="L162">
        <f>VLOOKUP(A162,NYSEARCAGSG!A$2:G$506,5,0)</f>
        <v>13.42</v>
      </c>
      <c r="M162">
        <f>VLOOKUP(A162,NYSEARCAGLD!A$2:G$506,5,0)</f>
        <v>105.68</v>
      </c>
      <c r="N162">
        <f>VLOOKUP(A162,NYSEBP!A$2:G$506,5,0)</f>
        <v>28.91</v>
      </c>
      <c r="O162">
        <f>VLOOKUP(A162,NASDAQYHOO!A$2:G$506,5,0)</f>
        <v>30.63</v>
      </c>
    </row>
    <row r="163" spans="1:15">
      <c r="A163" s="39">
        <v>42380</v>
      </c>
      <c r="B163">
        <v>64.22</v>
      </c>
      <c r="C163">
        <f>VLOOKUP(A163,NYSEARCAVTI!A$2:G$506,5,0)</f>
        <v>97.91</v>
      </c>
      <c r="D163">
        <f>VLOOKUP(A163,NYSEARCAVEU!A$2:G$506,5,0)</f>
        <v>40.53</v>
      </c>
      <c r="E163">
        <f>VLOOKUP(A163,NYSEARCAVWO!A$2:G$506,5,0)</f>
        <v>29.87</v>
      </c>
      <c r="F163">
        <f>VLOOKUP(A163,NYSEARCABND!A$2:G$506,5,0)</f>
        <v>80.95</v>
      </c>
      <c r="G163">
        <f>VLOOKUP(A163,NYSEARCATIP!A$2:G$506,5,0)</f>
        <v>109.81</v>
      </c>
      <c r="H163">
        <f>VLOOKUP(A163,NYSEARCAMUB!A$2:G$506,5,0)</f>
        <v>111.12</v>
      </c>
      <c r="I163">
        <f>VLOOKUP(A163,NYSEARCAVNQ!A$2:G$506,5,0)</f>
        <v>77.900000000000006</v>
      </c>
      <c r="J163">
        <f>VLOOKUP(A163,NYSEARCARWX!A$2:G$506,5,0)</f>
        <v>37.19</v>
      </c>
      <c r="K163">
        <f>VLOOKUP(A163,NYSEARCADBC!A$2:G$506,5,0)</f>
        <v>12.45</v>
      </c>
      <c r="L163">
        <f>VLOOKUP(A163,NYSEARCAGSG!A$2:G$506,5,0)</f>
        <v>12.96</v>
      </c>
      <c r="M163">
        <f>VLOOKUP(A163,NYSEARCAGLD!A$2:G$506,5,0)</f>
        <v>104.74</v>
      </c>
      <c r="N163">
        <f>VLOOKUP(A163,NYSEBP!A$2:G$506,5,0)</f>
        <v>28.84</v>
      </c>
      <c r="O163">
        <f>VLOOKUP(A163,NASDAQYHOO!A$2:G$506,5,0)</f>
        <v>30.17</v>
      </c>
    </row>
    <row r="164" spans="1:15">
      <c r="A164" s="39">
        <v>42381</v>
      </c>
      <c r="B164">
        <v>63.62</v>
      </c>
      <c r="C164">
        <f>VLOOKUP(A164,NYSEARCAVTI!A$2:G$506,5,0)</f>
        <v>98.58</v>
      </c>
      <c r="D164">
        <f>VLOOKUP(A164,NYSEARCAVEU!A$2:G$506,5,0)</f>
        <v>40.700000000000003</v>
      </c>
      <c r="E164">
        <f>VLOOKUP(A164,NYSEARCAVWO!A$2:G$506,5,0)</f>
        <v>29.98</v>
      </c>
      <c r="F164">
        <f>VLOOKUP(A164,NYSEARCABND!A$2:G$506,5,0)</f>
        <v>81.16</v>
      </c>
      <c r="G164">
        <f>VLOOKUP(A164,NYSEARCATIP!A$2:G$506,5,0)</f>
        <v>110.11</v>
      </c>
      <c r="H164">
        <f>VLOOKUP(A164,NYSEARCAMUB!A$2:G$506,5,0)</f>
        <v>111.16</v>
      </c>
      <c r="I164">
        <f>VLOOKUP(A164,NYSEARCAVNQ!A$2:G$506,5,0)</f>
        <v>77.38</v>
      </c>
      <c r="J164">
        <f>VLOOKUP(A164,NYSEARCARWX!A$2:G$506,5,0)</f>
        <v>37.35</v>
      </c>
      <c r="K164">
        <f>VLOOKUP(A164,NYSEARCADBC!A$2:G$506,5,0)</f>
        <v>12.37</v>
      </c>
      <c r="L164">
        <f>VLOOKUP(A164,NYSEARCAGSG!A$2:G$506,5,0)</f>
        <v>12.93</v>
      </c>
      <c r="M164">
        <f>VLOOKUP(A164,NYSEARCAGLD!A$2:G$506,5,0)</f>
        <v>104.21</v>
      </c>
      <c r="N164">
        <f>VLOOKUP(A164,NYSEBP!A$2:G$506,5,0)</f>
        <v>28.65</v>
      </c>
      <c r="O164">
        <f>VLOOKUP(A164,NASDAQYHOO!A$2:G$506,5,0)</f>
        <v>30.69</v>
      </c>
    </row>
    <row r="165" spans="1:15">
      <c r="A165" s="39">
        <v>42382</v>
      </c>
      <c r="B165">
        <v>61.92</v>
      </c>
      <c r="C165">
        <f>VLOOKUP(A165,NYSEARCAVTI!A$2:G$506,5,0)</f>
        <v>96.04</v>
      </c>
      <c r="D165">
        <f>VLOOKUP(A165,NYSEARCAVEU!A$2:G$506,5,0)</f>
        <v>40.06</v>
      </c>
      <c r="E165">
        <f>VLOOKUP(A165,NYSEARCAVWO!A$2:G$506,5,0)</f>
        <v>29.64</v>
      </c>
      <c r="F165">
        <f>VLOOKUP(A165,NYSEARCABND!A$2:G$506,5,0)</f>
        <v>81.36</v>
      </c>
      <c r="G165">
        <f>VLOOKUP(A165,NYSEARCATIP!A$2:G$506,5,0)</f>
        <v>110.34</v>
      </c>
      <c r="H165">
        <f>VLOOKUP(A165,NYSEARCAMUB!A$2:G$506,5,0)</f>
        <v>111.21</v>
      </c>
      <c r="I165">
        <f>VLOOKUP(A165,NYSEARCAVNQ!A$2:G$506,5,0)</f>
        <v>76.27</v>
      </c>
      <c r="J165">
        <f>VLOOKUP(A165,NYSEARCARWX!A$2:G$506,5,0)</f>
        <v>36.94</v>
      </c>
      <c r="K165">
        <f>VLOOKUP(A165,NYSEARCADBC!A$2:G$506,5,0)</f>
        <v>12.3</v>
      </c>
      <c r="L165">
        <f>VLOOKUP(A165,NYSEARCAGSG!A$2:G$506,5,0)</f>
        <v>12.83</v>
      </c>
      <c r="M165">
        <f>VLOOKUP(A165,NYSEARCAGLD!A$2:G$506,5,0)</f>
        <v>104.72</v>
      </c>
      <c r="N165">
        <f>VLOOKUP(A165,NYSEBP!A$2:G$506,5,0)</f>
        <v>28.77</v>
      </c>
      <c r="O165">
        <f>VLOOKUP(A165,NASDAQYHOO!A$2:G$506,5,0)</f>
        <v>29.44</v>
      </c>
    </row>
    <row r="166" spans="1:15">
      <c r="A166" s="39">
        <v>42383</v>
      </c>
      <c r="B166">
        <v>63.06</v>
      </c>
      <c r="C166">
        <f>VLOOKUP(A166,NYSEARCAVTI!A$2:G$506,5,0)</f>
        <v>97.51</v>
      </c>
      <c r="D166">
        <f>VLOOKUP(A166,NYSEARCAVEU!A$2:G$506,5,0)</f>
        <v>40.57</v>
      </c>
      <c r="E166">
        <f>VLOOKUP(A166,NYSEARCAVWO!A$2:G$506,5,0)</f>
        <v>30.02</v>
      </c>
      <c r="F166">
        <f>VLOOKUP(A166,NYSEARCABND!A$2:G$506,5,0)</f>
        <v>81.260000000000005</v>
      </c>
      <c r="G166">
        <f>VLOOKUP(A166,NYSEARCATIP!A$2:G$506,5,0)</f>
        <v>110.24</v>
      </c>
      <c r="H166">
        <f>VLOOKUP(A166,NYSEARCAMUB!A$2:G$506,5,0)</f>
        <v>111.01</v>
      </c>
      <c r="I166">
        <f>VLOOKUP(A166,NYSEARCAVNQ!A$2:G$506,5,0)</f>
        <v>76.09</v>
      </c>
      <c r="J166">
        <f>VLOOKUP(A166,NYSEARCARWX!A$2:G$506,5,0)</f>
        <v>37.270000000000003</v>
      </c>
      <c r="K166">
        <f>VLOOKUP(A166,NYSEARCADBC!A$2:G$506,5,0)</f>
        <v>12.33</v>
      </c>
      <c r="L166">
        <f>VLOOKUP(A166,NYSEARCAGSG!A$2:G$506,5,0)</f>
        <v>12.89</v>
      </c>
      <c r="M166">
        <f>VLOOKUP(A166,NYSEARCAGLD!A$2:G$506,5,0)</f>
        <v>103.02</v>
      </c>
      <c r="N166">
        <f>VLOOKUP(A166,NYSEBP!A$2:G$506,5,0)</f>
        <v>30.83</v>
      </c>
      <c r="O166">
        <f>VLOOKUP(A166,NASDAQYHOO!A$2:G$506,5,0)</f>
        <v>30.32</v>
      </c>
    </row>
    <row r="167" spans="1:15">
      <c r="A167" s="39">
        <v>42384</v>
      </c>
      <c r="B167">
        <v>61.93</v>
      </c>
      <c r="C167">
        <f>VLOOKUP(A167,NYSEARCAVTI!A$2:G$506,5,0)</f>
        <v>95.46</v>
      </c>
      <c r="D167">
        <f>VLOOKUP(A167,NYSEARCAVEU!A$2:G$506,5,0)</f>
        <v>39.090000000000003</v>
      </c>
      <c r="E167">
        <f>VLOOKUP(A167,NYSEARCAVWO!A$2:G$506,5,0)</f>
        <v>28.76</v>
      </c>
      <c r="F167">
        <f>VLOOKUP(A167,NYSEARCABND!A$2:G$506,5,0)</f>
        <v>81.400000000000006</v>
      </c>
      <c r="G167">
        <f>VLOOKUP(A167,NYSEARCATIP!A$2:G$506,5,0)</f>
        <v>110.24</v>
      </c>
      <c r="H167">
        <f>VLOOKUP(A167,NYSEARCAMUB!A$2:G$506,5,0)</f>
        <v>111.35</v>
      </c>
      <c r="I167">
        <f>VLOOKUP(A167,NYSEARCAVNQ!A$2:G$506,5,0)</f>
        <v>75.569999999999993</v>
      </c>
      <c r="J167">
        <f>VLOOKUP(A167,NYSEARCARWX!A$2:G$506,5,0)</f>
        <v>36.15</v>
      </c>
      <c r="K167">
        <f>VLOOKUP(A167,NYSEARCADBC!A$2:G$506,5,0)</f>
        <v>12.06</v>
      </c>
      <c r="L167">
        <f>VLOOKUP(A167,NYSEARCAGSG!A$2:G$506,5,0)</f>
        <v>12.55</v>
      </c>
      <c r="M167">
        <f>VLOOKUP(A167,NYSEARCAGLD!A$2:G$506,5,0)</f>
        <v>104.08</v>
      </c>
      <c r="N167">
        <f>VLOOKUP(A167,NYSEBP!A$2:G$506,5,0)</f>
        <v>29.16</v>
      </c>
      <c r="O167">
        <f>VLOOKUP(A167,NASDAQYHOO!A$2:G$506,5,0)</f>
        <v>29.14</v>
      </c>
    </row>
    <row r="168" spans="1:15">
      <c r="A168" s="39">
        <v>42388</v>
      </c>
      <c r="B168">
        <v>62.56</v>
      </c>
      <c r="C168">
        <f>VLOOKUP(A168,NYSEARCAVTI!A$2:G$506,5,0)</f>
        <v>95.36</v>
      </c>
      <c r="D168">
        <f>VLOOKUP(A168,NYSEARCAVEU!A$2:G$506,5,0)</f>
        <v>39.44</v>
      </c>
      <c r="E168">
        <f>VLOOKUP(A168,NYSEARCAVWO!A$2:G$506,5,0)</f>
        <v>29.16</v>
      </c>
      <c r="F168">
        <f>VLOOKUP(A168,NYSEARCABND!A$2:G$506,5,0)</f>
        <v>81.3</v>
      </c>
      <c r="G168">
        <f>VLOOKUP(A168,NYSEARCATIP!A$2:G$506,5,0)</f>
        <v>110.13</v>
      </c>
      <c r="H168">
        <f>VLOOKUP(A168,NYSEARCAMUB!A$2:G$506,5,0)</f>
        <v>111.34</v>
      </c>
      <c r="I168">
        <f>VLOOKUP(A168,NYSEARCAVNQ!A$2:G$506,5,0)</f>
        <v>75.97</v>
      </c>
      <c r="J168">
        <f>VLOOKUP(A168,NYSEARCARWX!A$2:G$506,5,0)</f>
        <v>36.35</v>
      </c>
      <c r="K168">
        <f>VLOOKUP(A168,NYSEARCADBC!A$2:G$506,5,0)</f>
        <v>11.97</v>
      </c>
      <c r="L168">
        <f>VLOOKUP(A168,NYSEARCAGSG!A$2:G$506,5,0)</f>
        <v>12.42</v>
      </c>
      <c r="M168">
        <f>VLOOKUP(A168,NYSEARCAGLD!A$2:G$506,5,0)</f>
        <v>103.98</v>
      </c>
      <c r="N168">
        <f>VLOOKUP(A168,NYSEBP!A$2:G$506,5,0)</f>
        <v>28.92</v>
      </c>
      <c r="O168">
        <f>VLOOKUP(A168,NASDAQYHOO!A$2:G$506,5,0)</f>
        <v>29.74</v>
      </c>
    </row>
    <row r="169" spans="1:15">
      <c r="A169" s="39">
        <v>42389</v>
      </c>
      <c r="B169">
        <v>60.84</v>
      </c>
      <c r="C169">
        <f>VLOOKUP(A169,NYSEARCAVTI!A$2:G$506,5,0)</f>
        <v>94.42</v>
      </c>
      <c r="D169">
        <f>VLOOKUP(A169,NYSEARCAVEU!A$2:G$506,5,0)</f>
        <v>38.58</v>
      </c>
      <c r="E169">
        <f>VLOOKUP(A169,NYSEARCAVWO!A$2:G$506,5,0)</f>
        <v>28.55</v>
      </c>
      <c r="F169">
        <f>VLOOKUP(A169,NYSEARCABND!A$2:G$506,5,0)</f>
        <v>81.39</v>
      </c>
      <c r="G169">
        <f>VLOOKUP(A169,NYSEARCATIP!A$2:G$506,5,0)</f>
        <v>110.19</v>
      </c>
      <c r="H169">
        <f>VLOOKUP(A169,NYSEARCAMUB!A$2:G$506,5,0)</f>
        <v>111.51</v>
      </c>
      <c r="I169">
        <f>VLOOKUP(A169,NYSEARCAVNQ!A$2:G$506,5,0)</f>
        <v>73.930000000000007</v>
      </c>
      <c r="J169">
        <f>VLOOKUP(A169,NYSEARCARWX!A$2:G$506,5,0)</f>
        <v>35.549999999999997</v>
      </c>
      <c r="K169">
        <f>VLOOKUP(A169,NYSEARCADBC!A$2:G$506,5,0)</f>
        <v>11.88</v>
      </c>
      <c r="L169">
        <f>VLOOKUP(A169,NYSEARCAGSG!A$2:G$506,5,0)</f>
        <v>12.28</v>
      </c>
      <c r="M169">
        <f>VLOOKUP(A169,NYSEARCAGLD!A$2:G$506,5,0)</f>
        <v>105.37</v>
      </c>
      <c r="N169">
        <f>VLOOKUP(A169,NYSEBP!A$2:G$506,5,0)</f>
        <v>28.46</v>
      </c>
      <c r="O169">
        <f>VLOOKUP(A169,NASDAQYHOO!A$2:G$506,5,0)</f>
        <v>28.78</v>
      </c>
    </row>
    <row r="170" spans="1:15">
      <c r="A170" s="39">
        <v>42390</v>
      </c>
      <c r="B170">
        <v>61.88</v>
      </c>
      <c r="C170">
        <f>VLOOKUP(A170,NYSEARCAVTI!A$2:G$506,5,0)</f>
        <v>94.79</v>
      </c>
      <c r="D170">
        <f>VLOOKUP(A170,NYSEARCAVEU!A$2:G$506,5,0)</f>
        <v>38.880000000000003</v>
      </c>
      <c r="E170">
        <f>VLOOKUP(A170,NYSEARCAVWO!A$2:G$506,5,0)</f>
        <v>28.6</v>
      </c>
      <c r="F170">
        <f>VLOOKUP(A170,NYSEARCABND!A$2:G$506,5,0)</f>
        <v>81.34</v>
      </c>
      <c r="G170">
        <f>VLOOKUP(A170,NYSEARCATIP!A$2:G$506,5,0)</f>
        <v>109.79</v>
      </c>
      <c r="H170">
        <f>VLOOKUP(A170,NYSEARCAMUB!A$2:G$506,5,0)</f>
        <v>111.44</v>
      </c>
      <c r="I170">
        <f>VLOOKUP(A170,NYSEARCAVNQ!A$2:G$506,5,0)</f>
        <v>74.34</v>
      </c>
      <c r="J170">
        <f>VLOOKUP(A170,NYSEARCARWX!A$2:G$506,5,0)</f>
        <v>35.71</v>
      </c>
      <c r="K170">
        <f>VLOOKUP(A170,NYSEARCADBC!A$2:G$506,5,0)</f>
        <v>12.04</v>
      </c>
      <c r="L170">
        <f>VLOOKUP(A170,NYSEARCAGSG!A$2:G$506,5,0)</f>
        <v>12.53</v>
      </c>
      <c r="M170">
        <f>VLOOKUP(A170,NYSEARCAGLD!A$2:G$506,5,0)</f>
        <v>105.49</v>
      </c>
      <c r="N170">
        <f>VLOOKUP(A170,NYSEBP!A$2:G$506,5,0)</f>
        <v>29.46</v>
      </c>
      <c r="O170">
        <f>VLOOKUP(A170,NASDAQYHOO!A$2:G$506,5,0)</f>
        <v>29.31</v>
      </c>
    </row>
    <row r="171" spans="1:15">
      <c r="A171" s="39">
        <v>42391</v>
      </c>
      <c r="B171">
        <v>62.69</v>
      </c>
      <c r="C171">
        <f>VLOOKUP(A171,NYSEARCAVTI!A$2:G$506,5,0)</f>
        <v>96.81</v>
      </c>
      <c r="D171">
        <f>VLOOKUP(A171,NYSEARCAVEU!A$2:G$506,5,0)</f>
        <v>40.04</v>
      </c>
      <c r="E171">
        <f>VLOOKUP(A171,NYSEARCAVWO!A$2:G$506,5,0)</f>
        <v>29.57</v>
      </c>
      <c r="F171">
        <f>VLOOKUP(A171,NYSEARCABND!A$2:G$506,5,0)</f>
        <v>81.31</v>
      </c>
      <c r="G171">
        <f>VLOOKUP(A171,NYSEARCATIP!A$2:G$506,5,0)</f>
        <v>109.95</v>
      </c>
      <c r="H171">
        <f>VLOOKUP(A171,NYSEARCAMUB!A$2:G$506,5,0)</f>
        <v>111.3</v>
      </c>
      <c r="I171">
        <f>VLOOKUP(A171,NYSEARCAVNQ!A$2:G$506,5,0)</f>
        <v>76.41</v>
      </c>
      <c r="J171">
        <f>VLOOKUP(A171,NYSEARCARWX!A$2:G$506,5,0)</f>
        <v>36.53</v>
      </c>
      <c r="K171">
        <f>VLOOKUP(A171,NYSEARCADBC!A$2:G$506,5,0)</f>
        <v>12.4</v>
      </c>
      <c r="L171">
        <f>VLOOKUP(A171,NYSEARCAGSG!A$2:G$506,5,0)</f>
        <v>13.02</v>
      </c>
      <c r="M171">
        <f>VLOOKUP(A171,NYSEARCAGLD!A$2:G$506,5,0)</f>
        <v>105</v>
      </c>
      <c r="N171">
        <f>VLOOKUP(A171,NYSEBP!A$2:G$506,5,0)</f>
        <v>30.35</v>
      </c>
      <c r="O171">
        <f>VLOOKUP(A171,NASDAQYHOO!A$2:G$506,5,0)</f>
        <v>29.75</v>
      </c>
    </row>
    <row r="172" spans="1:15">
      <c r="A172" s="39">
        <v>42394</v>
      </c>
      <c r="B172">
        <v>63.45</v>
      </c>
      <c r="C172">
        <f>VLOOKUP(A172,NYSEARCAVTI!A$2:G$506,5,0)</f>
        <v>95.22</v>
      </c>
      <c r="D172">
        <f>VLOOKUP(A172,NYSEARCAVEU!A$2:G$506,5,0)</f>
        <v>39.409999999999997</v>
      </c>
      <c r="E172">
        <f>VLOOKUP(A172,NYSEARCAVWO!A$2:G$506,5,0)</f>
        <v>29.08</v>
      </c>
      <c r="F172">
        <f>VLOOKUP(A172,NYSEARCABND!A$2:G$506,5,0)</f>
        <v>81.31</v>
      </c>
      <c r="G172">
        <f>VLOOKUP(A172,NYSEARCATIP!A$2:G$506,5,0)</f>
        <v>110.16</v>
      </c>
      <c r="H172">
        <f>VLOOKUP(A172,NYSEARCAMUB!A$2:G$506,5,0)</f>
        <v>111.36</v>
      </c>
      <c r="I172">
        <f>VLOOKUP(A172,NYSEARCAVNQ!A$2:G$506,5,0)</f>
        <v>75.930000000000007</v>
      </c>
      <c r="J172">
        <f>VLOOKUP(A172,NYSEARCARWX!A$2:G$506,5,0)</f>
        <v>36.22</v>
      </c>
      <c r="K172">
        <f>VLOOKUP(A172,NYSEARCADBC!A$2:G$506,5,0)</f>
        <v>12.13</v>
      </c>
      <c r="L172">
        <f>VLOOKUP(A172,NYSEARCAGSG!A$2:G$506,5,0)</f>
        <v>12.59</v>
      </c>
      <c r="M172">
        <f>VLOOKUP(A172,NYSEARCAGLD!A$2:G$506,5,0)</f>
        <v>106.08</v>
      </c>
      <c r="N172">
        <f>VLOOKUP(A172,NYSEBP!A$2:G$506,5,0)</f>
        <v>29.47</v>
      </c>
      <c r="O172">
        <f>VLOOKUP(A172,NASDAQYHOO!A$2:G$506,5,0)</f>
        <v>29.78</v>
      </c>
    </row>
    <row r="173" spans="1:15">
      <c r="A173" s="39">
        <v>42395</v>
      </c>
      <c r="B173">
        <v>64</v>
      </c>
      <c r="C173">
        <f>VLOOKUP(A173,NYSEARCAVTI!A$2:G$506,5,0)</f>
        <v>96.67</v>
      </c>
      <c r="D173">
        <f>VLOOKUP(A173,NYSEARCAVEU!A$2:G$506,5,0)</f>
        <v>40.119999999999997</v>
      </c>
      <c r="E173">
        <f>VLOOKUP(A173,NYSEARCAVWO!A$2:G$506,5,0)</f>
        <v>29.5</v>
      </c>
      <c r="F173">
        <f>VLOOKUP(A173,NYSEARCABND!A$2:G$506,5,0)</f>
        <v>81.430000000000007</v>
      </c>
      <c r="G173">
        <f>VLOOKUP(A173,NYSEARCATIP!A$2:G$506,5,0)</f>
        <v>110.44</v>
      </c>
      <c r="H173">
        <f>VLOOKUP(A173,NYSEARCAMUB!A$2:G$506,5,0)</f>
        <v>111.33</v>
      </c>
      <c r="I173">
        <f>VLOOKUP(A173,NYSEARCAVNQ!A$2:G$506,5,0)</f>
        <v>77.52</v>
      </c>
      <c r="J173">
        <f>VLOOKUP(A173,NYSEARCARWX!A$2:G$506,5,0)</f>
        <v>36.83</v>
      </c>
      <c r="K173">
        <f>VLOOKUP(A173,NYSEARCADBC!A$2:G$506,5,0)</f>
        <v>12.37</v>
      </c>
      <c r="L173">
        <f>VLOOKUP(A173,NYSEARCAGSG!A$2:G$506,5,0)</f>
        <v>12.87</v>
      </c>
      <c r="M173">
        <f>VLOOKUP(A173,NYSEARCAGLD!A$2:G$506,5,0)</f>
        <v>107.29</v>
      </c>
      <c r="N173">
        <f>VLOOKUP(A173,NYSEBP!A$2:G$506,5,0)</f>
        <v>30.74</v>
      </c>
      <c r="O173">
        <f>VLOOKUP(A173,NASDAQYHOO!A$2:G$506,5,0)</f>
        <v>29.98</v>
      </c>
    </row>
    <row r="174" spans="1:15">
      <c r="A174" s="39">
        <v>42396</v>
      </c>
      <c r="B174">
        <v>63.95</v>
      </c>
      <c r="C174">
        <f>VLOOKUP(A174,NYSEARCAVTI!A$2:G$506,5,0)</f>
        <v>95.57</v>
      </c>
      <c r="D174">
        <f>VLOOKUP(A174,NYSEARCAVEU!A$2:G$506,5,0)</f>
        <v>39.89</v>
      </c>
      <c r="E174">
        <f>VLOOKUP(A174,NYSEARCAVWO!A$2:G$506,5,0)</f>
        <v>29.31</v>
      </c>
      <c r="F174">
        <f>VLOOKUP(A174,NYSEARCABND!A$2:G$506,5,0)</f>
        <v>81.430000000000007</v>
      </c>
      <c r="G174">
        <f>VLOOKUP(A174,NYSEARCATIP!A$2:G$506,5,0)</f>
        <v>110.72</v>
      </c>
      <c r="H174">
        <f>VLOOKUP(A174,NYSEARCAMUB!A$2:G$506,5,0)</f>
        <v>111.39</v>
      </c>
      <c r="I174">
        <f>VLOOKUP(A174,NYSEARCAVNQ!A$2:G$506,5,0)</f>
        <v>76.02</v>
      </c>
      <c r="J174">
        <f>VLOOKUP(A174,NYSEARCARWX!A$2:G$506,5,0)</f>
        <v>36.57</v>
      </c>
      <c r="K174">
        <f>VLOOKUP(A174,NYSEARCADBC!A$2:G$506,5,0)</f>
        <v>12.52</v>
      </c>
      <c r="L174">
        <f>VLOOKUP(A174,NYSEARCAGSG!A$2:G$506,5,0)</f>
        <v>13.07</v>
      </c>
      <c r="M174">
        <f>VLOOKUP(A174,NYSEARCAGLD!A$2:G$506,5,0)</f>
        <v>107.69</v>
      </c>
      <c r="N174">
        <f>VLOOKUP(A174,NYSEBP!A$2:G$506,5,0)</f>
        <v>30.68</v>
      </c>
      <c r="O174">
        <f>VLOOKUP(A174,NASDAQYHOO!A$2:G$506,5,0)</f>
        <v>29.69</v>
      </c>
    </row>
    <row r="175" spans="1:15">
      <c r="A175" s="39">
        <v>42397</v>
      </c>
      <c r="B175">
        <v>64.22</v>
      </c>
      <c r="C175">
        <f>VLOOKUP(A175,NYSEARCAVTI!A$2:G$506,5,0)</f>
        <v>95.95</v>
      </c>
      <c r="D175">
        <f>VLOOKUP(A175,NYSEARCAVEU!A$2:G$506,5,0)</f>
        <v>40.11</v>
      </c>
      <c r="E175">
        <f>VLOOKUP(A175,NYSEARCAVWO!A$2:G$506,5,0)</f>
        <v>29.78</v>
      </c>
      <c r="F175">
        <f>VLOOKUP(A175,NYSEARCABND!A$2:G$506,5,0)</f>
        <v>81.489999999999995</v>
      </c>
      <c r="G175">
        <f>VLOOKUP(A175,NYSEARCATIP!A$2:G$506,5,0)</f>
        <v>110.95</v>
      </c>
      <c r="H175">
        <f>VLOOKUP(A175,NYSEARCAMUB!A$2:G$506,5,0)</f>
        <v>111.41</v>
      </c>
      <c r="I175">
        <f>VLOOKUP(A175,NYSEARCAVNQ!A$2:G$506,5,0)</f>
        <v>75.44</v>
      </c>
      <c r="J175">
        <f>VLOOKUP(A175,NYSEARCARWX!A$2:G$506,5,0)</f>
        <v>36.83</v>
      </c>
      <c r="K175">
        <f>VLOOKUP(A175,NYSEARCADBC!A$2:G$506,5,0)</f>
        <v>12.66</v>
      </c>
      <c r="L175">
        <f>VLOOKUP(A175,NYSEARCAGSG!A$2:G$506,5,0)</f>
        <v>13.38</v>
      </c>
      <c r="M175">
        <f>VLOOKUP(A175,NYSEARCAGLD!A$2:G$506,5,0)</f>
        <v>106.54</v>
      </c>
      <c r="N175">
        <f>VLOOKUP(A175,NYSEBP!A$2:G$506,5,0)</f>
        <v>31.89</v>
      </c>
      <c r="O175">
        <f>VLOOKUP(A175,NASDAQYHOO!A$2:G$506,5,0)</f>
        <v>28.75</v>
      </c>
    </row>
    <row r="176" spans="1:15">
      <c r="A176" s="39">
        <v>42398</v>
      </c>
      <c r="B176">
        <v>66.36</v>
      </c>
      <c r="C176">
        <f>VLOOKUP(A176,NYSEARCAVTI!A$2:G$506,5,0)</f>
        <v>98.33</v>
      </c>
      <c r="D176">
        <f>VLOOKUP(A176,NYSEARCAVEU!A$2:G$506,5,0)</f>
        <v>40.98</v>
      </c>
      <c r="E176">
        <f>VLOOKUP(A176,NYSEARCAVWO!A$2:G$506,5,0)</f>
        <v>30.83</v>
      </c>
      <c r="F176">
        <f>VLOOKUP(A176,NYSEARCABND!A$2:G$506,5,0)</f>
        <v>81.73</v>
      </c>
      <c r="G176">
        <f>VLOOKUP(A176,NYSEARCATIP!A$2:G$506,5,0)</f>
        <v>111.4</v>
      </c>
      <c r="H176">
        <f>VLOOKUP(A176,NYSEARCAMUB!A$2:G$506,5,0)</f>
        <v>111.56</v>
      </c>
      <c r="I176">
        <f>VLOOKUP(A176,NYSEARCAVNQ!A$2:G$506,5,0)</f>
        <v>76.989999999999995</v>
      </c>
      <c r="J176">
        <f>VLOOKUP(A176,NYSEARCARWX!A$2:G$506,5,0)</f>
        <v>37.880000000000003</v>
      </c>
      <c r="K176">
        <f>VLOOKUP(A176,NYSEARCADBC!A$2:G$506,5,0)</f>
        <v>12.78</v>
      </c>
      <c r="L176">
        <f>VLOOKUP(A176,NYSEARCAGSG!A$2:G$506,5,0)</f>
        <v>13.48</v>
      </c>
      <c r="M176">
        <f>VLOOKUP(A176,NYSEARCAGLD!A$2:G$506,5,0)</f>
        <v>106.95</v>
      </c>
      <c r="N176">
        <f>VLOOKUP(A176,NYSEBP!A$2:G$506,5,0)</f>
        <v>32.369999999999997</v>
      </c>
      <c r="O176">
        <f>VLOOKUP(A176,NASDAQYHOO!A$2:G$506,5,0)</f>
        <v>29.51</v>
      </c>
    </row>
    <row r="177" spans="1:15">
      <c r="A177" s="39">
        <v>42401</v>
      </c>
      <c r="B177">
        <v>67.5</v>
      </c>
      <c r="C177">
        <f>VLOOKUP(A177,NYSEARCAVTI!A$2:G$506,5,0)</f>
        <v>98.35</v>
      </c>
      <c r="D177">
        <f>VLOOKUP(A177,NYSEARCAVEU!A$2:G$506,5,0)</f>
        <v>40.880000000000003</v>
      </c>
      <c r="E177">
        <f>VLOOKUP(A177,NYSEARCAVWO!A$2:G$506,5,0)</f>
        <v>30.52</v>
      </c>
      <c r="F177">
        <f>VLOOKUP(A177,NYSEARCABND!A$2:G$506,5,0)</f>
        <v>81.39</v>
      </c>
      <c r="G177">
        <f>VLOOKUP(A177,NYSEARCATIP!A$2:G$506,5,0)</f>
        <v>111.2</v>
      </c>
      <c r="H177">
        <f>VLOOKUP(A177,NYSEARCAMUB!A$2:G$506,5,0)</f>
        <v>111.08</v>
      </c>
      <c r="I177">
        <f>VLOOKUP(A177,NYSEARCAVNQ!A$2:G$506,5,0)</f>
        <v>77.12</v>
      </c>
      <c r="J177">
        <f>VLOOKUP(A177,NYSEARCARWX!A$2:G$506,5,0)</f>
        <v>38.15</v>
      </c>
      <c r="K177">
        <f>VLOOKUP(A177,NYSEARCADBC!A$2:G$506,5,0)</f>
        <v>12.54</v>
      </c>
      <c r="L177">
        <f>VLOOKUP(A177,NYSEARCAGSG!A$2:G$506,5,0)</f>
        <v>13.08</v>
      </c>
      <c r="M177">
        <f>VLOOKUP(A177,NYSEARCAGLD!A$2:G$506,5,0)</f>
        <v>108.05</v>
      </c>
      <c r="N177">
        <f>VLOOKUP(A177,NYSEBP!A$2:G$506,5,0)</f>
        <v>31.7</v>
      </c>
      <c r="O177">
        <f>VLOOKUP(A177,NASDAQYHOO!A$2:G$506,5,0)</f>
        <v>29.57</v>
      </c>
    </row>
    <row r="178" spans="1:15">
      <c r="A178" s="39">
        <v>42402</v>
      </c>
      <c r="B178">
        <v>66.86</v>
      </c>
      <c r="C178">
        <f>VLOOKUP(A178,NYSEARCAVTI!A$2:G$506,5,0)</f>
        <v>96.45</v>
      </c>
      <c r="D178">
        <f>VLOOKUP(A178,NYSEARCAVEU!A$2:G$506,5,0)</f>
        <v>39.89</v>
      </c>
      <c r="E178">
        <f>VLOOKUP(A178,NYSEARCAVWO!A$2:G$506,5,0)</f>
        <v>29.61</v>
      </c>
      <c r="F178">
        <f>VLOOKUP(A178,NYSEARCABND!A$2:G$506,5,0)</f>
        <v>81.67</v>
      </c>
      <c r="G178">
        <f>VLOOKUP(A178,NYSEARCATIP!A$2:G$506,5,0)</f>
        <v>111.54</v>
      </c>
      <c r="H178">
        <f>VLOOKUP(A178,NYSEARCAMUB!A$2:G$506,5,0)</f>
        <v>111.37</v>
      </c>
      <c r="I178">
        <f>VLOOKUP(A178,NYSEARCAVNQ!A$2:G$506,5,0)</f>
        <v>76.42</v>
      </c>
      <c r="J178">
        <f>VLOOKUP(A178,NYSEARCARWX!A$2:G$506,5,0)</f>
        <v>37.340000000000003</v>
      </c>
      <c r="K178">
        <f>VLOOKUP(A178,NYSEARCADBC!A$2:G$506,5,0)</f>
        <v>12.32</v>
      </c>
      <c r="L178">
        <f>VLOOKUP(A178,NYSEARCAGSG!A$2:G$506,5,0)</f>
        <v>12.78</v>
      </c>
      <c r="M178">
        <f>VLOOKUP(A178,NYSEARCAGLD!A$2:G$506,5,0)</f>
        <v>108.09</v>
      </c>
      <c r="N178">
        <f>VLOOKUP(A178,NYSEBP!A$2:G$506,5,0)</f>
        <v>29.02</v>
      </c>
      <c r="O178">
        <f>VLOOKUP(A178,NASDAQYHOO!A$2:G$506,5,0)</f>
        <v>29.06</v>
      </c>
    </row>
    <row r="179" spans="1:15">
      <c r="A179" s="39">
        <v>42403</v>
      </c>
      <c r="B179">
        <v>66.27</v>
      </c>
      <c r="C179">
        <f>VLOOKUP(A179,NYSEARCAVTI!A$2:G$506,5,0)</f>
        <v>97.03</v>
      </c>
      <c r="D179">
        <f>VLOOKUP(A179,NYSEARCAVEU!A$2:G$506,5,0)</f>
        <v>40.32</v>
      </c>
      <c r="E179">
        <f>VLOOKUP(A179,NYSEARCAVWO!A$2:G$506,5,0)</f>
        <v>30.4</v>
      </c>
      <c r="F179">
        <f>VLOOKUP(A179,NYSEARCABND!A$2:G$506,5,0)</f>
        <v>81.73</v>
      </c>
      <c r="G179">
        <f>VLOOKUP(A179,NYSEARCATIP!A$2:G$506,5,0)</f>
        <v>111.68</v>
      </c>
      <c r="H179">
        <f>VLOOKUP(A179,NYSEARCAMUB!A$2:G$506,5,0)</f>
        <v>111.47</v>
      </c>
      <c r="I179">
        <f>VLOOKUP(A179,NYSEARCAVNQ!A$2:G$506,5,0)</f>
        <v>76.930000000000007</v>
      </c>
      <c r="J179">
        <f>VLOOKUP(A179,NYSEARCARWX!A$2:G$506,5,0)</f>
        <v>38.020000000000003</v>
      </c>
      <c r="K179">
        <f>VLOOKUP(A179,NYSEARCADBC!A$2:G$506,5,0)</f>
        <v>12.63</v>
      </c>
      <c r="L179">
        <f>VLOOKUP(A179,NYSEARCAGSG!A$2:G$506,5,0)</f>
        <v>13.26</v>
      </c>
      <c r="M179">
        <f>VLOOKUP(A179,NYSEARCAGLD!A$2:G$506,5,0)</f>
        <v>109.25</v>
      </c>
      <c r="N179">
        <f>VLOOKUP(A179,NYSEBP!A$2:G$506,5,0)</f>
        <v>29.66</v>
      </c>
      <c r="O179">
        <f>VLOOKUP(A179,NASDAQYHOO!A$2:G$506,5,0)</f>
        <v>27.68</v>
      </c>
    </row>
    <row r="180" spans="1:15">
      <c r="A180" s="39">
        <v>42404</v>
      </c>
      <c r="B180">
        <v>66.42</v>
      </c>
      <c r="C180">
        <f>VLOOKUP(A180,NYSEARCAVTI!A$2:G$506,5,0)</f>
        <v>97.26</v>
      </c>
      <c r="D180">
        <f>VLOOKUP(A180,NYSEARCAVEU!A$2:G$506,5,0)</f>
        <v>40.49</v>
      </c>
      <c r="E180">
        <f>VLOOKUP(A180,NYSEARCAVWO!A$2:G$506,5,0)</f>
        <v>30.61</v>
      </c>
      <c r="F180">
        <f>VLOOKUP(A180,NYSEARCABND!A$2:G$506,5,0)</f>
        <v>81.790000000000006</v>
      </c>
      <c r="G180">
        <f>VLOOKUP(A180,NYSEARCATIP!A$2:G$506,5,0)</f>
        <v>111.7</v>
      </c>
      <c r="H180">
        <f>VLOOKUP(A180,NYSEARCAMUB!A$2:G$506,5,0)</f>
        <v>111.56</v>
      </c>
      <c r="I180">
        <f>VLOOKUP(A180,NYSEARCAVNQ!A$2:G$506,5,0)</f>
        <v>76.97</v>
      </c>
      <c r="J180">
        <f>VLOOKUP(A180,NYSEARCARWX!A$2:G$506,5,0)</f>
        <v>38.11</v>
      </c>
      <c r="K180">
        <f>VLOOKUP(A180,NYSEARCADBC!A$2:G$506,5,0)</f>
        <v>12.61</v>
      </c>
      <c r="L180">
        <f>VLOOKUP(A180,NYSEARCAGSG!A$2:G$506,5,0)</f>
        <v>13.14</v>
      </c>
      <c r="M180">
        <f>VLOOKUP(A180,NYSEARCAGLD!A$2:G$506,5,0)</f>
        <v>110.57</v>
      </c>
      <c r="N180">
        <f>VLOOKUP(A180,NYSEBP!A$2:G$506,5,0)</f>
        <v>30.61</v>
      </c>
      <c r="O180">
        <f>VLOOKUP(A180,NASDAQYHOO!A$2:G$506,5,0)</f>
        <v>29.15</v>
      </c>
    </row>
    <row r="181" spans="1:15">
      <c r="A181" s="39">
        <v>42405</v>
      </c>
      <c r="B181">
        <v>67</v>
      </c>
      <c r="C181">
        <f>VLOOKUP(A181,NYSEARCAVTI!A$2:G$506,5,0)</f>
        <v>95.26</v>
      </c>
      <c r="D181">
        <f>VLOOKUP(A181,NYSEARCAVEU!A$2:G$506,5,0)</f>
        <v>39.92</v>
      </c>
      <c r="E181">
        <f>VLOOKUP(A181,NYSEARCAVWO!A$2:G$506,5,0)</f>
        <v>30.29</v>
      </c>
      <c r="F181">
        <f>VLOOKUP(A181,NYSEARCABND!A$2:G$506,5,0)</f>
        <v>81.709999999999994</v>
      </c>
      <c r="G181">
        <f>VLOOKUP(A181,NYSEARCATIP!A$2:G$506,5,0)</f>
        <v>111.39</v>
      </c>
      <c r="H181">
        <f>VLOOKUP(A181,NYSEARCAMUB!A$2:G$506,5,0)</f>
        <v>111.65</v>
      </c>
      <c r="I181">
        <f>VLOOKUP(A181,NYSEARCAVNQ!A$2:G$506,5,0)</f>
        <v>75.510000000000005</v>
      </c>
      <c r="J181">
        <f>VLOOKUP(A181,NYSEARCARWX!A$2:G$506,5,0)</f>
        <v>37.46</v>
      </c>
      <c r="K181">
        <f>VLOOKUP(A181,NYSEARCADBC!A$2:G$506,5,0)</f>
        <v>12.53</v>
      </c>
      <c r="L181">
        <f>VLOOKUP(A181,NYSEARCAGSG!A$2:G$506,5,0)</f>
        <v>12.99</v>
      </c>
      <c r="M181">
        <f>VLOOKUP(A181,NYSEARCAGLD!A$2:G$506,5,0)</f>
        <v>112.32</v>
      </c>
      <c r="N181">
        <f>VLOOKUP(A181,NYSEBP!A$2:G$506,5,0)</f>
        <v>30.46</v>
      </c>
      <c r="O181">
        <f>VLOOKUP(A181,NASDAQYHOO!A$2:G$506,5,0)</f>
        <v>27.97</v>
      </c>
    </row>
    <row r="182" spans="1:15">
      <c r="A182" s="39">
        <v>42408</v>
      </c>
      <c r="B182">
        <v>66.900000000000006</v>
      </c>
      <c r="C182">
        <f>VLOOKUP(A182,NYSEARCAVTI!A$2:G$506,5,0)</f>
        <v>93.78</v>
      </c>
      <c r="D182">
        <f>VLOOKUP(A182,NYSEARCAVEU!A$2:G$506,5,0)</f>
        <v>39.19</v>
      </c>
      <c r="E182">
        <f>VLOOKUP(A182,NYSEARCAVWO!A$2:G$506,5,0)</f>
        <v>29.87</v>
      </c>
      <c r="F182">
        <f>VLOOKUP(A182,NYSEARCABND!A$2:G$506,5,0)</f>
        <v>82.06</v>
      </c>
      <c r="G182">
        <f>VLOOKUP(A182,NYSEARCATIP!A$2:G$506,5,0)</f>
        <v>111.47</v>
      </c>
      <c r="H182">
        <f>VLOOKUP(A182,NYSEARCAMUB!A$2:G$506,5,0)</f>
        <v>111.94</v>
      </c>
      <c r="I182">
        <f>VLOOKUP(A182,NYSEARCAVNQ!A$2:G$506,5,0)</f>
        <v>73.349999999999994</v>
      </c>
      <c r="J182">
        <f>VLOOKUP(A182,NYSEARCARWX!A$2:G$506,5,0)</f>
        <v>36.9</v>
      </c>
      <c r="K182">
        <f>VLOOKUP(A182,NYSEARCADBC!A$2:G$506,5,0)</f>
        <v>12.47</v>
      </c>
      <c r="L182">
        <f>VLOOKUP(A182,NYSEARCAGSG!A$2:G$506,5,0)</f>
        <v>12.8</v>
      </c>
      <c r="M182">
        <f>VLOOKUP(A182,NYSEARCAGLD!A$2:G$506,5,0)</f>
        <v>113.83</v>
      </c>
      <c r="N182">
        <f>VLOOKUP(A182,NYSEBP!A$2:G$506,5,0)</f>
        <v>29.92</v>
      </c>
      <c r="O182">
        <f>VLOOKUP(A182,NASDAQYHOO!A$2:G$506,5,0)</f>
        <v>27.05</v>
      </c>
    </row>
    <row r="183" spans="1:15">
      <c r="A183" s="39">
        <v>42409</v>
      </c>
      <c r="B183">
        <v>65.81</v>
      </c>
      <c r="C183">
        <f>VLOOKUP(A183,NYSEARCAVTI!A$2:G$506,5,0)</f>
        <v>93.66</v>
      </c>
      <c r="D183">
        <f>VLOOKUP(A183,NYSEARCAVEU!A$2:G$506,5,0)</f>
        <v>38.74</v>
      </c>
      <c r="E183">
        <f>VLOOKUP(A183,NYSEARCAVWO!A$2:G$506,5,0)</f>
        <v>29.49</v>
      </c>
      <c r="F183">
        <f>VLOOKUP(A183,NYSEARCABND!A$2:G$506,5,0)</f>
        <v>82.05</v>
      </c>
      <c r="G183">
        <f>VLOOKUP(A183,NYSEARCATIP!A$2:G$506,5,0)</f>
        <v>111.22</v>
      </c>
      <c r="H183">
        <f>VLOOKUP(A183,NYSEARCAMUB!A$2:G$506,5,0)</f>
        <v>111.95</v>
      </c>
      <c r="I183">
        <f>VLOOKUP(A183,NYSEARCAVNQ!A$2:G$506,5,0)</f>
        <v>72</v>
      </c>
      <c r="J183">
        <f>VLOOKUP(A183,NYSEARCARWX!A$2:G$506,5,0)</f>
        <v>36.75</v>
      </c>
      <c r="K183">
        <f>VLOOKUP(A183,NYSEARCADBC!A$2:G$506,5,0)</f>
        <v>12.15</v>
      </c>
      <c r="L183">
        <f>VLOOKUP(A183,NYSEARCAGSG!A$2:G$506,5,0)</f>
        <v>12.43</v>
      </c>
      <c r="M183">
        <f>VLOOKUP(A183,NYSEARCAGLD!A$2:G$506,5,0)</f>
        <v>113.58</v>
      </c>
      <c r="N183">
        <f>VLOOKUP(A183,NYSEBP!A$2:G$506,5,0)</f>
        <v>28.95</v>
      </c>
      <c r="O183">
        <f>VLOOKUP(A183,NASDAQYHOO!A$2:G$506,5,0)</f>
        <v>26.82</v>
      </c>
    </row>
    <row r="184" spans="1:15">
      <c r="A184" s="39">
        <v>42410</v>
      </c>
      <c r="B184">
        <v>65.790000000000006</v>
      </c>
      <c r="C184">
        <f>VLOOKUP(A184,NYSEARCAVTI!A$2:G$506,5,0)</f>
        <v>93.72</v>
      </c>
      <c r="D184">
        <f>VLOOKUP(A184,NYSEARCAVEU!A$2:G$506,5,0)</f>
        <v>38.72</v>
      </c>
      <c r="E184">
        <f>VLOOKUP(A184,NYSEARCAVWO!A$2:G$506,5,0)</f>
        <v>29.58</v>
      </c>
      <c r="F184">
        <f>VLOOKUP(A184,NYSEARCABND!A$2:G$506,5,0)</f>
        <v>82.22</v>
      </c>
      <c r="G184">
        <f>VLOOKUP(A184,NYSEARCATIP!A$2:G$506,5,0)</f>
        <v>111.63</v>
      </c>
      <c r="H184">
        <f>VLOOKUP(A184,NYSEARCAMUB!A$2:G$506,5,0)</f>
        <v>111.98</v>
      </c>
      <c r="I184">
        <f>VLOOKUP(A184,NYSEARCAVNQ!A$2:G$506,5,0)</f>
        <v>72.5</v>
      </c>
      <c r="J184">
        <f>VLOOKUP(A184,NYSEARCARWX!A$2:G$506,5,0)</f>
        <v>36.76</v>
      </c>
      <c r="K184">
        <f>VLOOKUP(A184,NYSEARCADBC!A$2:G$506,5,0)</f>
        <v>12.17</v>
      </c>
      <c r="L184">
        <f>VLOOKUP(A184,NYSEARCAGSG!A$2:G$506,5,0)</f>
        <v>12.33</v>
      </c>
      <c r="M184">
        <f>VLOOKUP(A184,NYSEARCAGLD!A$2:G$506,5,0)</f>
        <v>114.46</v>
      </c>
      <c r="N184">
        <f>VLOOKUP(A184,NYSEBP!A$2:G$506,5,0)</f>
        <v>28.04</v>
      </c>
      <c r="O184">
        <f>VLOOKUP(A184,NASDAQYHOO!A$2:G$506,5,0)</f>
        <v>27.1</v>
      </c>
    </row>
    <row r="185" spans="1:15">
      <c r="A185" s="39">
        <v>42411</v>
      </c>
      <c r="B185">
        <v>65.319999999999993</v>
      </c>
      <c r="C185">
        <f>VLOOKUP(A185,NYSEARCAVTI!A$2:G$506,5,0)</f>
        <v>92.56</v>
      </c>
      <c r="D185">
        <f>VLOOKUP(A185,NYSEARCAVEU!A$2:G$506,5,0)</f>
        <v>38.18</v>
      </c>
      <c r="E185">
        <f>VLOOKUP(A185,NYSEARCAVWO!A$2:G$506,5,0)</f>
        <v>29.15</v>
      </c>
      <c r="F185">
        <f>VLOOKUP(A185,NYSEARCABND!A$2:G$506,5,0)</f>
        <v>82.27</v>
      </c>
      <c r="G185">
        <f>VLOOKUP(A185,NYSEARCATIP!A$2:G$506,5,0)</f>
        <v>112.02</v>
      </c>
      <c r="H185">
        <f>VLOOKUP(A185,NYSEARCAMUB!A$2:G$506,5,0)</f>
        <v>112.15</v>
      </c>
      <c r="I185">
        <f>VLOOKUP(A185,NYSEARCAVNQ!A$2:G$506,5,0)</f>
        <v>71.47</v>
      </c>
      <c r="J185">
        <f>VLOOKUP(A185,NYSEARCARWX!A$2:G$506,5,0)</f>
        <v>36.450000000000003</v>
      </c>
      <c r="K185">
        <f>VLOOKUP(A185,NYSEARCADBC!A$2:G$506,5,0)</f>
        <v>12.32</v>
      </c>
      <c r="L185">
        <f>VLOOKUP(A185,NYSEARCAGSG!A$2:G$506,5,0)</f>
        <v>12.43</v>
      </c>
      <c r="M185">
        <f>VLOOKUP(A185,NYSEARCAGLD!A$2:G$506,5,0)</f>
        <v>119.06</v>
      </c>
      <c r="N185">
        <f>VLOOKUP(A185,NYSEBP!A$2:G$506,5,0)</f>
        <v>27.64</v>
      </c>
      <c r="O185">
        <f>VLOOKUP(A185,NASDAQYHOO!A$2:G$506,5,0)</f>
        <v>26.76</v>
      </c>
    </row>
    <row r="186" spans="1:15">
      <c r="A186" s="39">
        <v>42412</v>
      </c>
      <c r="B186">
        <v>66.180000000000007</v>
      </c>
      <c r="C186">
        <f>VLOOKUP(A186,NYSEARCAVTI!A$2:G$506,5,0)</f>
        <v>94.36</v>
      </c>
      <c r="D186">
        <f>VLOOKUP(A186,NYSEARCAVEU!A$2:G$506,5,0)</f>
        <v>38.799999999999997</v>
      </c>
      <c r="E186">
        <f>VLOOKUP(A186,NYSEARCAVWO!A$2:G$506,5,0)</f>
        <v>29.63</v>
      </c>
      <c r="F186">
        <f>VLOOKUP(A186,NYSEARCABND!A$2:G$506,5,0)</f>
        <v>82</v>
      </c>
      <c r="G186">
        <f>VLOOKUP(A186,NYSEARCATIP!A$2:G$506,5,0)</f>
        <v>111.6</v>
      </c>
      <c r="H186">
        <f>VLOOKUP(A186,NYSEARCAMUB!A$2:G$506,5,0)</f>
        <v>111.87</v>
      </c>
      <c r="I186">
        <f>VLOOKUP(A186,NYSEARCAVNQ!A$2:G$506,5,0)</f>
        <v>72.290000000000006</v>
      </c>
      <c r="J186">
        <f>VLOOKUP(A186,NYSEARCARWX!A$2:G$506,5,0)</f>
        <v>37</v>
      </c>
      <c r="K186">
        <f>VLOOKUP(A186,NYSEARCADBC!A$2:G$506,5,0)</f>
        <v>12.5</v>
      </c>
      <c r="L186">
        <f>VLOOKUP(A186,NYSEARCAGSG!A$2:G$506,5,0)</f>
        <v>12.72</v>
      </c>
      <c r="M186">
        <f>VLOOKUP(A186,NYSEARCAGLD!A$2:G$506,5,0)</f>
        <v>118.36</v>
      </c>
      <c r="N186">
        <f>VLOOKUP(A186,NYSEBP!A$2:G$506,5,0)</f>
        <v>29.02</v>
      </c>
      <c r="O186">
        <f>VLOOKUP(A186,NASDAQYHOO!A$2:G$506,5,0)</f>
        <v>27.04</v>
      </c>
    </row>
    <row r="187" spans="1:15">
      <c r="A187" s="39">
        <v>42416</v>
      </c>
      <c r="B187">
        <v>65.900000000000006</v>
      </c>
      <c r="C187">
        <f>VLOOKUP(A187,NYSEARCAVTI!A$2:G$506,5,0)</f>
        <v>96.08</v>
      </c>
      <c r="D187">
        <f>VLOOKUP(A187,NYSEARCAVEU!A$2:G$506,5,0)</f>
        <v>39.61</v>
      </c>
      <c r="E187">
        <f>VLOOKUP(A187,NYSEARCAVWO!A$2:G$506,5,0)</f>
        <v>30.33</v>
      </c>
      <c r="F187">
        <f>VLOOKUP(A187,NYSEARCABND!A$2:G$506,5,0)</f>
        <v>81.88</v>
      </c>
      <c r="G187">
        <f>VLOOKUP(A187,NYSEARCATIP!A$2:G$506,5,0)</f>
        <v>111.14</v>
      </c>
      <c r="H187">
        <f>VLOOKUP(A187,NYSEARCAMUB!A$2:G$506,5,0)</f>
        <v>111.93</v>
      </c>
      <c r="I187">
        <f>VLOOKUP(A187,NYSEARCAVNQ!A$2:G$506,5,0)</f>
        <v>73.62</v>
      </c>
      <c r="J187">
        <f>VLOOKUP(A187,NYSEARCARWX!A$2:G$506,5,0)</f>
        <v>37.75</v>
      </c>
      <c r="K187">
        <f>VLOOKUP(A187,NYSEARCADBC!A$2:G$506,5,0)</f>
        <v>12.36</v>
      </c>
      <c r="L187">
        <f>VLOOKUP(A187,NYSEARCAGSG!A$2:G$506,5,0)</f>
        <v>12.63</v>
      </c>
      <c r="M187">
        <f>VLOOKUP(A187,NYSEARCAGLD!A$2:G$506,5,0)</f>
        <v>114.77</v>
      </c>
      <c r="N187">
        <f>VLOOKUP(A187,NYSEBP!A$2:G$506,5,0)</f>
        <v>29.06</v>
      </c>
      <c r="O187">
        <f>VLOOKUP(A187,NASDAQYHOO!A$2:G$506,5,0)</f>
        <v>29.28</v>
      </c>
    </row>
    <row r="188" spans="1:15">
      <c r="A188" s="39">
        <v>42417</v>
      </c>
      <c r="B188">
        <v>66.11</v>
      </c>
      <c r="C188">
        <f>VLOOKUP(A188,NYSEARCAVTI!A$2:G$506,5,0)</f>
        <v>97.67</v>
      </c>
      <c r="D188">
        <f>VLOOKUP(A188,NYSEARCAVEU!A$2:G$506,5,0)</f>
        <v>40.36</v>
      </c>
      <c r="E188">
        <f>VLOOKUP(A188,NYSEARCAVWO!A$2:G$506,5,0)</f>
        <v>30.96</v>
      </c>
      <c r="F188">
        <f>VLOOKUP(A188,NYSEARCABND!A$2:G$506,5,0)</f>
        <v>81.86</v>
      </c>
      <c r="G188">
        <f>VLOOKUP(A188,NYSEARCATIP!A$2:G$506,5,0)</f>
        <v>110.95</v>
      </c>
      <c r="H188">
        <f>VLOOKUP(A188,NYSEARCAMUB!A$2:G$506,5,0)</f>
        <v>111.78</v>
      </c>
      <c r="I188">
        <f>VLOOKUP(A188,NYSEARCAVNQ!A$2:G$506,5,0)</f>
        <v>74.25</v>
      </c>
      <c r="J188">
        <f>VLOOKUP(A188,NYSEARCARWX!A$2:G$506,5,0)</f>
        <v>38.229999999999997</v>
      </c>
      <c r="K188">
        <f>VLOOKUP(A188,NYSEARCADBC!A$2:G$506,5,0)</f>
        <v>12.62</v>
      </c>
      <c r="L188">
        <f>VLOOKUP(A188,NYSEARCAGSG!A$2:G$506,5,0)</f>
        <v>12.99</v>
      </c>
      <c r="M188">
        <f>VLOOKUP(A188,NYSEARCAGLD!A$2:G$506,5,0)</f>
        <v>115.48</v>
      </c>
      <c r="N188">
        <f>VLOOKUP(A188,NYSEBP!A$2:G$506,5,0)</f>
        <v>29.95</v>
      </c>
      <c r="O188">
        <f>VLOOKUP(A188,NASDAQYHOO!A$2:G$506,5,0)</f>
        <v>29.37</v>
      </c>
    </row>
    <row r="189" spans="1:15">
      <c r="A189" s="39">
        <v>42418</v>
      </c>
      <c r="B189">
        <v>64.12</v>
      </c>
      <c r="C189">
        <f>VLOOKUP(A189,NYSEARCAVTI!A$2:G$506,5,0)</f>
        <v>97.28</v>
      </c>
      <c r="D189">
        <f>VLOOKUP(A189,NYSEARCAVEU!A$2:G$506,5,0)</f>
        <v>40.18</v>
      </c>
      <c r="E189">
        <f>VLOOKUP(A189,NYSEARCAVWO!A$2:G$506,5,0)</f>
        <v>30.81</v>
      </c>
      <c r="F189">
        <f>VLOOKUP(A189,NYSEARCABND!A$2:G$506,5,0)</f>
        <v>82.14</v>
      </c>
      <c r="G189">
        <f>VLOOKUP(A189,NYSEARCATIP!A$2:G$506,5,0)</f>
        <v>111.26</v>
      </c>
      <c r="H189">
        <f>VLOOKUP(A189,NYSEARCAMUB!A$2:G$506,5,0)</f>
        <v>111.77</v>
      </c>
      <c r="I189">
        <f>VLOOKUP(A189,NYSEARCAVNQ!A$2:G$506,5,0)</f>
        <v>75</v>
      </c>
      <c r="J189">
        <f>VLOOKUP(A189,NYSEARCARWX!A$2:G$506,5,0)</f>
        <v>38.08</v>
      </c>
      <c r="K189">
        <f>VLOOKUP(A189,NYSEARCADBC!A$2:G$506,5,0)</f>
        <v>12.55</v>
      </c>
      <c r="L189">
        <f>VLOOKUP(A189,NYSEARCAGSG!A$2:G$506,5,0)</f>
        <v>12.93</v>
      </c>
      <c r="M189">
        <f>VLOOKUP(A189,NYSEARCAGLD!A$2:G$506,5,0)</f>
        <v>118.29</v>
      </c>
      <c r="N189">
        <f>VLOOKUP(A189,NYSEBP!A$2:G$506,5,0)</f>
        <v>29.78</v>
      </c>
      <c r="O189">
        <f>VLOOKUP(A189,NASDAQYHOO!A$2:G$506,5,0)</f>
        <v>29.42</v>
      </c>
    </row>
    <row r="190" spans="1:15">
      <c r="A190" s="39">
        <v>42419</v>
      </c>
      <c r="B190">
        <v>64.66</v>
      </c>
      <c r="C190">
        <f>VLOOKUP(A190,NYSEARCAVTI!A$2:G$506,5,0)</f>
        <v>97.3</v>
      </c>
      <c r="D190">
        <f>VLOOKUP(A190,NYSEARCAVEU!A$2:G$506,5,0)</f>
        <v>40.07</v>
      </c>
      <c r="E190">
        <f>VLOOKUP(A190,NYSEARCAVWO!A$2:G$506,5,0)</f>
        <v>30.68</v>
      </c>
      <c r="F190">
        <f>VLOOKUP(A190,NYSEARCABND!A$2:G$506,5,0)</f>
        <v>82.03</v>
      </c>
      <c r="G190">
        <f>VLOOKUP(A190,NYSEARCATIP!A$2:G$506,5,0)</f>
        <v>111.35</v>
      </c>
      <c r="H190">
        <f>VLOOKUP(A190,NYSEARCAMUB!A$2:G$506,5,0)</f>
        <v>111.69</v>
      </c>
      <c r="I190">
        <f>VLOOKUP(A190,NYSEARCAVNQ!A$2:G$506,5,0)</f>
        <v>75.430000000000007</v>
      </c>
      <c r="J190">
        <f>VLOOKUP(A190,NYSEARCARWX!A$2:G$506,5,0)</f>
        <v>38.380000000000003</v>
      </c>
      <c r="K190">
        <f>VLOOKUP(A190,NYSEARCADBC!A$2:G$506,5,0)</f>
        <v>12.44</v>
      </c>
      <c r="L190">
        <f>VLOOKUP(A190,NYSEARCAGSG!A$2:G$506,5,0)</f>
        <v>12.81</v>
      </c>
      <c r="M190">
        <f>VLOOKUP(A190,NYSEARCAGLD!A$2:G$506,5,0)</f>
        <v>117.58</v>
      </c>
      <c r="N190">
        <f>VLOOKUP(A190,NYSEBP!A$2:G$506,5,0)</f>
        <v>29.75</v>
      </c>
      <c r="O190">
        <f>VLOOKUP(A190,NASDAQYHOO!A$2:G$506,5,0)</f>
        <v>30.04</v>
      </c>
    </row>
    <row r="191" spans="1:15">
      <c r="A191" s="39">
        <v>42422</v>
      </c>
      <c r="B191">
        <v>65.63</v>
      </c>
      <c r="C191">
        <f>VLOOKUP(A191,NYSEARCAVTI!A$2:G$506,5,0)</f>
        <v>98.72</v>
      </c>
      <c r="D191">
        <f>VLOOKUP(A191,NYSEARCAVEU!A$2:G$506,5,0)</f>
        <v>40.58</v>
      </c>
      <c r="E191">
        <f>VLOOKUP(A191,NYSEARCAVWO!A$2:G$506,5,0)</f>
        <v>31.44</v>
      </c>
      <c r="F191">
        <f>VLOOKUP(A191,NYSEARCABND!A$2:G$506,5,0)</f>
        <v>82.05</v>
      </c>
      <c r="G191">
        <f>VLOOKUP(A191,NYSEARCATIP!A$2:G$506,5,0)</f>
        <v>111.62</v>
      </c>
      <c r="H191">
        <f>VLOOKUP(A191,NYSEARCAMUB!A$2:G$506,5,0)</f>
        <v>111.58</v>
      </c>
      <c r="I191">
        <f>VLOOKUP(A191,NYSEARCAVNQ!A$2:G$506,5,0)</f>
        <v>76.150000000000006</v>
      </c>
      <c r="J191">
        <f>VLOOKUP(A191,NYSEARCARWX!A$2:G$506,5,0)</f>
        <v>38.78</v>
      </c>
      <c r="K191">
        <f>VLOOKUP(A191,NYSEARCADBC!A$2:G$506,5,0)</f>
        <v>12.63</v>
      </c>
      <c r="L191">
        <f>VLOOKUP(A191,NYSEARCAGSG!A$2:G$506,5,0)</f>
        <v>13.06</v>
      </c>
      <c r="M191">
        <f>VLOOKUP(A191,NYSEARCAGLD!A$2:G$506,5,0)</f>
        <v>115.49</v>
      </c>
      <c r="N191">
        <f>VLOOKUP(A191,NYSEBP!A$2:G$506,5,0)</f>
        <v>30.3</v>
      </c>
      <c r="O191">
        <f>VLOOKUP(A191,NASDAQYHOO!A$2:G$506,5,0)</f>
        <v>31.17</v>
      </c>
    </row>
    <row r="192" spans="1:15">
      <c r="A192" s="39">
        <v>42423</v>
      </c>
      <c r="B192">
        <v>66.48</v>
      </c>
      <c r="C192">
        <f>VLOOKUP(A192,NYSEARCAVTI!A$2:G$506,5,0)</f>
        <v>97.53</v>
      </c>
      <c r="D192">
        <f>VLOOKUP(A192,NYSEARCAVEU!A$2:G$506,5,0)</f>
        <v>39.909999999999997</v>
      </c>
      <c r="E192">
        <f>VLOOKUP(A192,NYSEARCAVWO!A$2:G$506,5,0)</f>
        <v>30.76</v>
      </c>
      <c r="F192">
        <f>VLOOKUP(A192,NYSEARCABND!A$2:G$506,5,0)</f>
        <v>82.1</v>
      </c>
      <c r="G192">
        <f>VLOOKUP(A192,NYSEARCATIP!A$2:G$506,5,0)</f>
        <v>111.96</v>
      </c>
      <c r="H192">
        <f>VLOOKUP(A192,NYSEARCAMUB!A$2:G$506,5,0)</f>
        <v>111.62</v>
      </c>
      <c r="I192">
        <f>VLOOKUP(A192,NYSEARCAVNQ!A$2:G$506,5,0)</f>
        <v>75.95</v>
      </c>
      <c r="J192">
        <f>VLOOKUP(A192,NYSEARCARWX!A$2:G$506,5,0)</f>
        <v>38.130000000000003</v>
      </c>
      <c r="K192">
        <f>VLOOKUP(A192,NYSEARCADBC!A$2:G$506,5,0)</f>
        <v>12.46</v>
      </c>
      <c r="L192">
        <f>VLOOKUP(A192,NYSEARCAGSG!A$2:G$506,5,0)</f>
        <v>12.8</v>
      </c>
      <c r="M192">
        <f>VLOOKUP(A192,NYSEARCAGLD!A$2:G$506,5,0)</f>
        <v>117.22</v>
      </c>
      <c r="N192">
        <f>VLOOKUP(A192,NYSEBP!A$2:G$506,5,0)</f>
        <v>29</v>
      </c>
      <c r="O192">
        <f>VLOOKUP(A192,NASDAQYHOO!A$2:G$506,5,0)</f>
        <v>30.67</v>
      </c>
    </row>
    <row r="193" spans="1:15">
      <c r="A193" s="39">
        <v>42424</v>
      </c>
      <c r="B193">
        <v>67.12</v>
      </c>
      <c r="C193">
        <f>VLOOKUP(A193,NYSEARCAVTI!A$2:G$506,5,0)</f>
        <v>98.03</v>
      </c>
      <c r="D193">
        <f>VLOOKUP(A193,NYSEARCAVEU!A$2:G$506,5,0)</f>
        <v>39.81</v>
      </c>
      <c r="E193">
        <f>VLOOKUP(A193,NYSEARCAVWO!A$2:G$506,5,0)</f>
        <v>30.76</v>
      </c>
      <c r="F193">
        <f>VLOOKUP(A193,NYSEARCABND!A$2:G$506,5,0)</f>
        <v>82.16</v>
      </c>
      <c r="G193">
        <f>VLOOKUP(A193,NYSEARCATIP!A$2:G$506,5,0)</f>
        <v>112.21</v>
      </c>
      <c r="H193">
        <f>VLOOKUP(A193,NYSEARCAMUB!A$2:G$506,5,0)</f>
        <v>111.47</v>
      </c>
      <c r="I193">
        <f>VLOOKUP(A193,NYSEARCAVNQ!A$2:G$506,5,0)</f>
        <v>75.86</v>
      </c>
      <c r="J193">
        <f>VLOOKUP(A193,NYSEARCARWX!A$2:G$506,5,0)</f>
        <v>38.340000000000003</v>
      </c>
      <c r="K193">
        <f>VLOOKUP(A193,NYSEARCADBC!A$2:G$506,5,0)</f>
        <v>12.62</v>
      </c>
      <c r="L193">
        <f>VLOOKUP(A193,NYSEARCAGSG!A$2:G$506,5,0)</f>
        <v>12.98</v>
      </c>
      <c r="M193">
        <f>VLOOKUP(A193,NYSEARCAGLD!A$2:G$506,5,0)</f>
        <v>117.61</v>
      </c>
      <c r="N193">
        <f>VLOOKUP(A193,NYSEBP!A$2:G$506,5,0)</f>
        <v>28.54</v>
      </c>
      <c r="O193">
        <f>VLOOKUP(A193,NASDAQYHOO!A$2:G$506,5,0)</f>
        <v>30.95</v>
      </c>
    </row>
    <row r="194" spans="1:15">
      <c r="A194" s="39">
        <v>42425</v>
      </c>
      <c r="B194">
        <v>68.040000000000006</v>
      </c>
      <c r="C194">
        <f>VLOOKUP(A194,NYSEARCAVTI!A$2:G$506,5,0)</f>
        <v>99.19</v>
      </c>
      <c r="D194">
        <f>VLOOKUP(A194,NYSEARCAVEU!A$2:G$506,5,0)</f>
        <v>40.22</v>
      </c>
      <c r="E194">
        <f>VLOOKUP(A194,NYSEARCAVWO!A$2:G$506,5,0)</f>
        <v>30.81</v>
      </c>
      <c r="F194">
        <f>VLOOKUP(A194,NYSEARCABND!A$2:G$506,5,0)</f>
        <v>82.28</v>
      </c>
      <c r="G194">
        <f>VLOOKUP(A194,NYSEARCATIP!A$2:G$506,5,0)</f>
        <v>112.67</v>
      </c>
      <c r="H194">
        <f>VLOOKUP(A194,NYSEARCAMUB!A$2:G$506,5,0)</f>
        <v>111.55</v>
      </c>
      <c r="I194">
        <f>VLOOKUP(A194,NYSEARCAVNQ!A$2:G$506,5,0)</f>
        <v>77.41</v>
      </c>
      <c r="J194">
        <f>VLOOKUP(A194,NYSEARCARWX!A$2:G$506,5,0)</f>
        <v>38.659999999999997</v>
      </c>
      <c r="K194">
        <f>VLOOKUP(A194,NYSEARCADBC!A$2:G$506,5,0)</f>
        <v>12.61</v>
      </c>
      <c r="L194">
        <f>VLOOKUP(A194,NYSEARCAGSG!A$2:G$506,5,0)</f>
        <v>13.05</v>
      </c>
      <c r="M194">
        <f>VLOOKUP(A194,NYSEARCAGLD!A$2:G$506,5,0)</f>
        <v>117.92</v>
      </c>
      <c r="N194">
        <f>VLOOKUP(A194,NYSEBP!A$2:G$506,5,0)</f>
        <v>28.66</v>
      </c>
      <c r="O194">
        <f>VLOOKUP(A194,NASDAQYHOO!A$2:G$506,5,0)</f>
        <v>31.36</v>
      </c>
    </row>
    <row r="195" spans="1:15">
      <c r="A195" s="39">
        <v>42426</v>
      </c>
      <c r="B195">
        <v>66.510000000000005</v>
      </c>
      <c r="C195">
        <f>VLOOKUP(A195,NYSEARCAVTI!A$2:G$506,5,0)</f>
        <v>99.11</v>
      </c>
      <c r="D195">
        <f>VLOOKUP(A195,NYSEARCAVEU!A$2:G$506,5,0)</f>
        <v>40.08</v>
      </c>
      <c r="E195">
        <f>VLOOKUP(A195,NYSEARCAVWO!A$2:G$506,5,0)</f>
        <v>30.54</v>
      </c>
      <c r="F195">
        <f>VLOOKUP(A195,NYSEARCABND!A$2:G$506,5,0)</f>
        <v>82.2</v>
      </c>
      <c r="G195">
        <f>VLOOKUP(A195,NYSEARCATIP!A$2:G$506,5,0)</f>
        <v>112.38</v>
      </c>
      <c r="H195">
        <f>VLOOKUP(A195,NYSEARCAMUB!A$2:G$506,5,0)</f>
        <v>111.37</v>
      </c>
      <c r="I195">
        <f>VLOOKUP(A195,NYSEARCAVNQ!A$2:G$506,5,0)</f>
        <v>77.010000000000005</v>
      </c>
      <c r="J195">
        <f>VLOOKUP(A195,NYSEARCARWX!A$2:G$506,5,0)</f>
        <v>38.409999999999997</v>
      </c>
      <c r="K195">
        <f>VLOOKUP(A195,NYSEARCADBC!A$2:G$506,5,0)</f>
        <v>12.59</v>
      </c>
      <c r="L195">
        <f>VLOOKUP(A195,NYSEARCAGSG!A$2:G$506,5,0)</f>
        <v>13.03</v>
      </c>
      <c r="M195">
        <f>VLOOKUP(A195,NYSEARCAGLD!A$2:G$506,5,0)</f>
        <v>117.11</v>
      </c>
      <c r="N195">
        <f>VLOOKUP(A195,NYSEBP!A$2:G$506,5,0)</f>
        <v>29</v>
      </c>
      <c r="O195">
        <f>VLOOKUP(A195,NASDAQYHOO!A$2:G$506,5,0)</f>
        <v>31.37</v>
      </c>
    </row>
    <row r="196" spans="1:15">
      <c r="A196" s="39">
        <v>42429</v>
      </c>
      <c r="B196">
        <v>66.34</v>
      </c>
      <c r="C196">
        <f>VLOOKUP(A196,NYSEARCAVTI!A$2:G$506,5,0)</f>
        <v>98.32</v>
      </c>
      <c r="D196">
        <f>VLOOKUP(A196,NYSEARCAVEU!A$2:G$506,5,0)</f>
        <v>39.979999999999997</v>
      </c>
      <c r="E196">
        <f>VLOOKUP(A196,NYSEARCAVWO!A$2:G$506,5,0)</f>
        <v>30.73</v>
      </c>
      <c r="F196">
        <f>VLOOKUP(A196,NYSEARCABND!A$2:G$506,5,0)</f>
        <v>82.25</v>
      </c>
      <c r="G196">
        <f>VLOOKUP(A196,NYSEARCATIP!A$2:G$506,5,0)</f>
        <v>112.76</v>
      </c>
      <c r="H196">
        <f>VLOOKUP(A196,NYSEARCAMUB!A$2:G$506,5,0)</f>
        <v>111.36</v>
      </c>
      <c r="I196">
        <f>VLOOKUP(A196,NYSEARCAVNQ!A$2:G$506,5,0)</f>
        <v>76.709999999999994</v>
      </c>
      <c r="J196">
        <f>VLOOKUP(A196,NYSEARCARWX!A$2:G$506,5,0)</f>
        <v>38.369999999999997</v>
      </c>
      <c r="K196">
        <f>VLOOKUP(A196,NYSEARCADBC!A$2:G$506,5,0)</f>
        <v>12.75</v>
      </c>
      <c r="L196">
        <f>VLOOKUP(A196,NYSEARCAGSG!A$2:G$506,5,0)</f>
        <v>13.2</v>
      </c>
      <c r="M196">
        <f>VLOOKUP(A196,NYSEARCAGLD!A$2:G$506,5,0)</f>
        <v>118.64</v>
      </c>
      <c r="N196">
        <f>VLOOKUP(A196,NYSEBP!A$2:G$506,5,0)</f>
        <v>29.09</v>
      </c>
      <c r="O196">
        <f>VLOOKUP(A196,NASDAQYHOO!A$2:G$506,5,0)</f>
        <v>31.79</v>
      </c>
    </row>
    <row r="197" spans="1:15">
      <c r="A197" s="39">
        <v>42430</v>
      </c>
      <c r="B197">
        <v>66.459999999999994</v>
      </c>
      <c r="C197">
        <f>VLOOKUP(A197,NYSEARCAVTI!A$2:G$506,5,0)</f>
        <v>100.66</v>
      </c>
      <c r="D197">
        <f>VLOOKUP(A197,NYSEARCAVEU!A$2:G$506,5,0)</f>
        <v>41.05</v>
      </c>
      <c r="E197">
        <f>VLOOKUP(A197,NYSEARCAVWO!A$2:G$506,5,0)</f>
        <v>31.85</v>
      </c>
      <c r="F197">
        <f>VLOOKUP(A197,NYSEARCABND!A$2:G$506,5,0)</f>
        <v>81.81</v>
      </c>
      <c r="G197">
        <f>VLOOKUP(A197,NYSEARCATIP!A$2:G$506,5,0)</f>
        <v>112.45</v>
      </c>
      <c r="H197">
        <f>VLOOKUP(A197,NYSEARCAMUB!A$2:G$506,5,0)</f>
        <v>110.95</v>
      </c>
      <c r="I197">
        <f>VLOOKUP(A197,NYSEARCAVNQ!A$2:G$506,5,0)</f>
        <v>78.87</v>
      </c>
      <c r="J197">
        <f>VLOOKUP(A197,NYSEARCARWX!A$2:G$506,5,0)</f>
        <v>39.299999999999997</v>
      </c>
      <c r="K197">
        <f>VLOOKUP(A197,NYSEARCADBC!A$2:G$506,5,0)</f>
        <v>12.76</v>
      </c>
      <c r="L197">
        <f>VLOOKUP(A197,NYSEARCAGSG!A$2:G$506,5,0)</f>
        <v>13.24</v>
      </c>
      <c r="M197">
        <f>VLOOKUP(A197,NYSEARCAGLD!A$2:G$506,5,0)</f>
        <v>117.77</v>
      </c>
      <c r="N197">
        <f>VLOOKUP(A197,NYSEBP!A$2:G$506,5,0)</f>
        <v>29.63</v>
      </c>
      <c r="O197">
        <f>VLOOKUP(A197,NASDAQYHOO!A$2:G$506,5,0)</f>
        <v>32.799999999999997</v>
      </c>
    </row>
    <row r="198" spans="1:15">
      <c r="A198" s="39">
        <v>42431</v>
      </c>
      <c r="B198">
        <v>66.209999999999994</v>
      </c>
      <c r="C198">
        <f>VLOOKUP(A198,NYSEARCAVTI!A$2:G$506,5,0)</f>
        <v>101.22</v>
      </c>
      <c r="D198">
        <f>VLOOKUP(A198,NYSEARCAVEU!A$2:G$506,5,0)</f>
        <v>41.42</v>
      </c>
      <c r="E198">
        <f>VLOOKUP(A198,NYSEARCAVWO!A$2:G$506,5,0)</f>
        <v>32.340000000000003</v>
      </c>
      <c r="F198">
        <f>VLOOKUP(A198,NYSEARCABND!A$2:G$506,5,0)</f>
        <v>81.760000000000005</v>
      </c>
      <c r="G198">
        <f>VLOOKUP(A198,NYSEARCATIP!A$2:G$506,5,0)</f>
        <v>112.69</v>
      </c>
      <c r="H198">
        <f>VLOOKUP(A198,NYSEARCAMUB!A$2:G$506,5,0)</f>
        <v>110.83</v>
      </c>
      <c r="I198">
        <f>VLOOKUP(A198,NYSEARCAVNQ!A$2:G$506,5,0)</f>
        <v>79.44</v>
      </c>
      <c r="J198">
        <f>VLOOKUP(A198,NYSEARCARWX!A$2:G$506,5,0)</f>
        <v>39.53</v>
      </c>
      <c r="K198">
        <f>VLOOKUP(A198,NYSEARCADBC!A$2:G$506,5,0)</f>
        <v>12.83</v>
      </c>
      <c r="L198">
        <f>VLOOKUP(A198,NYSEARCAGSG!A$2:G$506,5,0)</f>
        <v>13.34</v>
      </c>
      <c r="M198">
        <f>VLOOKUP(A198,NYSEARCAGLD!A$2:G$506,5,0)</f>
        <v>118.68</v>
      </c>
      <c r="N198">
        <f>VLOOKUP(A198,NYSEBP!A$2:G$506,5,0)</f>
        <v>30.21</v>
      </c>
      <c r="O198">
        <f>VLOOKUP(A198,NASDAQYHOO!A$2:G$506,5,0)</f>
        <v>32.909999999999997</v>
      </c>
    </row>
    <row r="199" spans="1:15">
      <c r="A199" s="39">
        <v>42432</v>
      </c>
      <c r="B199">
        <v>66.14</v>
      </c>
      <c r="C199">
        <f>VLOOKUP(A199,NYSEARCAVTI!A$2:G$506,5,0)</f>
        <v>101.72</v>
      </c>
      <c r="D199">
        <f>VLOOKUP(A199,NYSEARCAVEU!A$2:G$506,5,0)</f>
        <v>41.84</v>
      </c>
      <c r="E199">
        <f>VLOOKUP(A199,NYSEARCAVWO!A$2:G$506,5,0)</f>
        <v>32.69</v>
      </c>
      <c r="F199">
        <f>VLOOKUP(A199,NYSEARCABND!A$2:G$506,5,0)</f>
        <v>81.8</v>
      </c>
      <c r="G199">
        <f>VLOOKUP(A199,NYSEARCATIP!A$2:G$506,5,0)</f>
        <v>112.92</v>
      </c>
      <c r="H199">
        <f>VLOOKUP(A199,NYSEARCAMUB!A$2:G$506,5,0)</f>
        <v>110.9</v>
      </c>
      <c r="I199">
        <f>VLOOKUP(A199,NYSEARCAVNQ!A$2:G$506,5,0)</f>
        <v>79.86</v>
      </c>
      <c r="J199">
        <f>VLOOKUP(A199,NYSEARCARWX!A$2:G$506,5,0)</f>
        <v>39.71</v>
      </c>
      <c r="K199">
        <f>VLOOKUP(A199,NYSEARCADBC!A$2:G$506,5,0)</f>
        <v>12.9</v>
      </c>
      <c r="L199">
        <f>VLOOKUP(A199,NYSEARCAGSG!A$2:G$506,5,0)</f>
        <v>13.35</v>
      </c>
      <c r="M199">
        <f>VLOOKUP(A199,NYSEARCAGLD!A$2:G$506,5,0)</f>
        <v>120.73</v>
      </c>
      <c r="N199">
        <f>VLOOKUP(A199,NYSEBP!A$2:G$506,5,0)</f>
        <v>30.87</v>
      </c>
      <c r="O199">
        <f>VLOOKUP(A199,NASDAQYHOO!A$2:G$506,5,0)</f>
        <v>32.880000000000003</v>
      </c>
    </row>
    <row r="200" spans="1:15">
      <c r="A200" s="39">
        <v>42433</v>
      </c>
      <c r="B200">
        <v>66.78</v>
      </c>
      <c r="C200">
        <f>VLOOKUP(A200,NYSEARCAVTI!A$2:G$506,5,0)</f>
        <v>102.07</v>
      </c>
      <c r="D200">
        <f>VLOOKUP(A200,NYSEARCAVEU!A$2:G$506,5,0)</f>
        <v>42.29</v>
      </c>
      <c r="E200">
        <f>VLOOKUP(A200,NYSEARCAVWO!A$2:G$506,5,0)</f>
        <v>33.409999999999997</v>
      </c>
      <c r="F200">
        <f>VLOOKUP(A200,NYSEARCABND!A$2:G$506,5,0)</f>
        <v>81.760000000000005</v>
      </c>
      <c r="G200">
        <f>VLOOKUP(A200,NYSEARCATIP!A$2:G$506,5,0)</f>
        <v>112.57</v>
      </c>
      <c r="H200">
        <f>VLOOKUP(A200,NYSEARCAMUB!A$2:G$506,5,0)</f>
        <v>110.7</v>
      </c>
      <c r="I200">
        <f>VLOOKUP(A200,NYSEARCAVNQ!A$2:G$506,5,0)</f>
        <v>79.87</v>
      </c>
      <c r="J200">
        <f>VLOOKUP(A200,NYSEARCARWX!A$2:G$506,5,0)</f>
        <v>39.83</v>
      </c>
      <c r="K200">
        <f>VLOOKUP(A200,NYSEARCADBC!A$2:G$506,5,0)</f>
        <v>13.15</v>
      </c>
      <c r="L200">
        <f>VLOOKUP(A200,NYSEARCAGSG!A$2:G$506,5,0)</f>
        <v>13.7</v>
      </c>
      <c r="M200">
        <f>VLOOKUP(A200,NYSEARCAGLD!A$2:G$506,5,0)</f>
        <v>120.54</v>
      </c>
      <c r="N200">
        <f>VLOOKUP(A200,NYSEBP!A$2:G$506,5,0)</f>
        <v>31.15</v>
      </c>
      <c r="O200">
        <f>VLOOKUP(A200,NASDAQYHOO!A$2:G$506,5,0)</f>
        <v>33.86</v>
      </c>
    </row>
    <row r="201" spans="1:15">
      <c r="A201" s="39">
        <v>42436</v>
      </c>
      <c r="B201">
        <v>67.89</v>
      </c>
      <c r="C201">
        <f>VLOOKUP(A201,NYSEARCAVTI!A$2:G$506,5,0)</f>
        <v>102.28</v>
      </c>
      <c r="D201">
        <f>VLOOKUP(A201,NYSEARCAVEU!A$2:G$506,5,0)</f>
        <v>42.29</v>
      </c>
      <c r="E201">
        <f>VLOOKUP(A201,NYSEARCAVWO!A$2:G$506,5,0)</f>
        <v>33.340000000000003</v>
      </c>
      <c r="F201">
        <f>VLOOKUP(A201,NYSEARCABND!A$2:G$506,5,0)</f>
        <v>81.739999999999995</v>
      </c>
      <c r="G201">
        <f>VLOOKUP(A201,NYSEARCATIP!A$2:G$506,5,0)</f>
        <v>112.12</v>
      </c>
      <c r="H201">
        <f>VLOOKUP(A201,NYSEARCAMUB!A$2:G$506,5,0)</f>
        <v>110.73</v>
      </c>
      <c r="I201">
        <f>VLOOKUP(A201,NYSEARCAVNQ!A$2:G$506,5,0)</f>
        <v>80.08</v>
      </c>
      <c r="J201">
        <f>VLOOKUP(A201,NYSEARCARWX!A$2:G$506,5,0)</f>
        <v>39.6</v>
      </c>
      <c r="K201">
        <f>VLOOKUP(A201,NYSEARCADBC!A$2:G$506,5,0)</f>
        <v>13.39</v>
      </c>
      <c r="L201">
        <f>VLOOKUP(A201,NYSEARCAGSG!A$2:G$506,5,0)</f>
        <v>14.05</v>
      </c>
      <c r="M201">
        <f>VLOOKUP(A201,NYSEARCAGLD!A$2:G$506,5,0)</f>
        <v>121.14</v>
      </c>
      <c r="N201">
        <f>VLOOKUP(A201,NYSEBP!A$2:G$506,5,0)</f>
        <v>31.5</v>
      </c>
      <c r="O201">
        <f>VLOOKUP(A201,NASDAQYHOO!A$2:G$506,5,0)</f>
        <v>33.96</v>
      </c>
    </row>
    <row r="202" spans="1:15">
      <c r="A202" s="39">
        <v>42437</v>
      </c>
      <c r="B202">
        <v>68.040000000000006</v>
      </c>
      <c r="C202">
        <f>VLOOKUP(A202,NYSEARCAVTI!A$2:G$506,5,0)</f>
        <v>101.01</v>
      </c>
      <c r="D202">
        <f>VLOOKUP(A202,NYSEARCAVEU!A$2:G$506,5,0)</f>
        <v>41.75</v>
      </c>
      <c r="E202">
        <f>VLOOKUP(A202,NYSEARCAVWO!A$2:G$506,5,0)</f>
        <v>32.76</v>
      </c>
      <c r="F202">
        <f>VLOOKUP(A202,NYSEARCABND!A$2:G$506,5,0)</f>
        <v>82.01</v>
      </c>
      <c r="G202">
        <f>VLOOKUP(A202,NYSEARCATIP!A$2:G$506,5,0)</f>
        <v>112.55</v>
      </c>
      <c r="H202">
        <f>VLOOKUP(A202,NYSEARCAMUB!A$2:G$506,5,0)</f>
        <v>110.83</v>
      </c>
      <c r="I202">
        <f>VLOOKUP(A202,NYSEARCAVNQ!A$2:G$506,5,0)</f>
        <v>79.260000000000005</v>
      </c>
      <c r="J202">
        <f>VLOOKUP(A202,NYSEARCARWX!A$2:G$506,5,0)</f>
        <v>39.479999999999997</v>
      </c>
      <c r="K202">
        <f>VLOOKUP(A202,NYSEARCADBC!A$2:G$506,5,0)</f>
        <v>13.21</v>
      </c>
      <c r="L202">
        <f>VLOOKUP(A202,NYSEARCAGSG!A$2:G$506,5,0)</f>
        <v>13.78</v>
      </c>
      <c r="M202">
        <f>VLOOKUP(A202,NYSEARCAGLD!A$2:G$506,5,0)</f>
        <v>120.58</v>
      </c>
      <c r="N202">
        <f>VLOOKUP(A202,NYSEBP!A$2:G$506,5,0)</f>
        <v>30.07</v>
      </c>
      <c r="O202">
        <f>VLOOKUP(A202,NASDAQYHOO!A$2:G$506,5,0)</f>
        <v>32.93</v>
      </c>
    </row>
    <row r="203" spans="1:15">
      <c r="A203" s="39">
        <v>42438</v>
      </c>
      <c r="B203">
        <v>67.53</v>
      </c>
      <c r="C203">
        <f>VLOOKUP(A203,NYSEARCAVTI!A$2:G$506,5,0)</f>
        <v>101.5</v>
      </c>
      <c r="D203">
        <f>VLOOKUP(A203,NYSEARCAVEU!A$2:G$506,5,0)</f>
        <v>42</v>
      </c>
      <c r="E203">
        <f>VLOOKUP(A203,NYSEARCAVWO!A$2:G$506,5,0)</f>
        <v>32.97</v>
      </c>
      <c r="F203">
        <f>VLOOKUP(A203,NYSEARCABND!A$2:G$506,5,0)</f>
        <v>81.87</v>
      </c>
      <c r="G203">
        <f>VLOOKUP(A203,NYSEARCATIP!A$2:G$506,5,0)</f>
        <v>112.48</v>
      </c>
      <c r="H203">
        <f>VLOOKUP(A203,NYSEARCAMUB!A$2:G$506,5,0)</f>
        <v>110.8</v>
      </c>
      <c r="I203">
        <f>VLOOKUP(A203,NYSEARCAVNQ!A$2:G$506,5,0)</f>
        <v>79.7</v>
      </c>
      <c r="J203">
        <f>VLOOKUP(A203,NYSEARCARWX!A$2:G$506,5,0)</f>
        <v>39.49</v>
      </c>
      <c r="K203">
        <f>VLOOKUP(A203,NYSEARCADBC!A$2:G$506,5,0)</f>
        <v>13.41</v>
      </c>
      <c r="L203">
        <f>VLOOKUP(A203,NYSEARCAGSG!A$2:G$506,5,0)</f>
        <v>14.15</v>
      </c>
      <c r="M203">
        <f>VLOOKUP(A203,NYSEARCAGLD!A$2:G$506,5,0)</f>
        <v>119.58</v>
      </c>
      <c r="N203">
        <f>VLOOKUP(A203,NYSEBP!A$2:G$506,5,0)</f>
        <v>30.3</v>
      </c>
      <c r="O203">
        <f>VLOOKUP(A203,NASDAQYHOO!A$2:G$506,5,0)</f>
        <v>33.51</v>
      </c>
    </row>
    <row r="204" spans="1:15">
      <c r="A204" s="39">
        <v>42439</v>
      </c>
      <c r="B204">
        <v>67.41</v>
      </c>
      <c r="C204">
        <f>VLOOKUP(A204,NYSEARCAVTI!A$2:G$506,5,0)</f>
        <v>101.47</v>
      </c>
      <c r="D204">
        <f>VLOOKUP(A204,NYSEARCAVEU!A$2:G$506,5,0)</f>
        <v>41.94</v>
      </c>
      <c r="E204">
        <f>VLOOKUP(A204,NYSEARCAVWO!A$2:G$506,5,0)</f>
        <v>32.89</v>
      </c>
      <c r="F204">
        <f>VLOOKUP(A204,NYSEARCABND!A$2:G$506,5,0)</f>
        <v>81.83</v>
      </c>
      <c r="G204">
        <f>VLOOKUP(A204,NYSEARCATIP!A$2:G$506,5,0)</f>
        <v>112.09</v>
      </c>
      <c r="H204">
        <f>VLOOKUP(A204,NYSEARCAMUB!A$2:G$506,5,0)</f>
        <v>110.87</v>
      </c>
      <c r="I204">
        <f>VLOOKUP(A204,NYSEARCAVNQ!A$2:G$506,5,0)</f>
        <v>79.41</v>
      </c>
      <c r="J204">
        <f>VLOOKUP(A204,NYSEARCARWX!A$2:G$506,5,0)</f>
        <v>39.56</v>
      </c>
      <c r="K204">
        <f>VLOOKUP(A204,NYSEARCADBC!A$2:G$506,5,0)</f>
        <v>13.39</v>
      </c>
      <c r="L204">
        <f>VLOOKUP(A204,NYSEARCAGSG!A$2:G$506,5,0)</f>
        <v>14.04</v>
      </c>
      <c r="M204">
        <f>VLOOKUP(A204,NYSEARCAGLD!A$2:G$506,5,0)</f>
        <v>121.5</v>
      </c>
      <c r="N204">
        <f>VLOOKUP(A204,NYSEBP!A$2:G$506,5,0)</f>
        <v>29.83</v>
      </c>
      <c r="O204">
        <f>VLOOKUP(A204,NASDAQYHOO!A$2:G$506,5,0)</f>
        <v>32.82</v>
      </c>
    </row>
    <row r="205" spans="1:15">
      <c r="A205" s="39">
        <v>42440</v>
      </c>
      <c r="B205">
        <v>67.17</v>
      </c>
      <c r="C205">
        <f>VLOOKUP(A205,NYSEARCAVTI!A$2:G$506,5,0)</f>
        <v>103.19</v>
      </c>
      <c r="D205">
        <f>VLOOKUP(A205,NYSEARCAVEU!A$2:G$506,5,0)</f>
        <v>43</v>
      </c>
      <c r="E205">
        <f>VLOOKUP(A205,NYSEARCAVWO!A$2:G$506,5,0)</f>
        <v>33.61</v>
      </c>
      <c r="F205">
        <f>VLOOKUP(A205,NYSEARCABND!A$2:G$506,5,0)</f>
        <v>81.72</v>
      </c>
      <c r="G205">
        <f>VLOOKUP(A205,NYSEARCATIP!A$2:G$506,5,0)</f>
        <v>112.05</v>
      </c>
      <c r="H205">
        <f>VLOOKUP(A205,NYSEARCAMUB!A$2:G$506,5,0)</f>
        <v>110.78</v>
      </c>
      <c r="I205">
        <f>VLOOKUP(A205,NYSEARCAVNQ!A$2:G$506,5,0)</f>
        <v>81.19</v>
      </c>
      <c r="J205">
        <f>VLOOKUP(A205,NYSEARCARWX!A$2:G$506,5,0)</f>
        <v>40.53</v>
      </c>
      <c r="K205">
        <f>VLOOKUP(A205,NYSEARCADBC!A$2:G$506,5,0)</f>
        <v>13.44</v>
      </c>
      <c r="L205">
        <f>VLOOKUP(A205,NYSEARCAGSG!A$2:G$506,5,0)</f>
        <v>14.16</v>
      </c>
      <c r="M205">
        <f>VLOOKUP(A205,NYSEARCAGLD!A$2:G$506,5,0)</f>
        <v>119.41</v>
      </c>
      <c r="N205">
        <f>VLOOKUP(A205,NYSEBP!A$2:G$506,5,0)</f>
        <v>30.55</v>
      </c>
      <c r="O205">
        <f>VLOOKUP(A205,NASDAQYHOO!A$2:G$506,5,0)</f>
        <v>33.81</v>
      </c>
    </row>
    <row r="206" spans="1:15">
      <c r="A206" s="39">
        <v>42443</v>
      </c>
      <c r="B206">
        <v>67.36</v>
      </c>
      <c r="C206">
        <f>VLOOKUP(A206,NYSEARCAVTI!A$2:G$506,5,0)</f>
        <v>103.07</v>
      </c>
      <c r="D206">
        <f>VLOOKUP(A206,NYSEARCAVEU!A$2:G$506,5,0)</f>
        <v>42.86</v>
      </c>
      <c r="E206">
        <f>VLOOKUP(A206,NYSEARCAVWO!A$2:G$506,5,0)</f>
        <v>33.42</v>
      </c>
      <c r="F206">
        <f>VLOOKUP(A206,NYSEARCABND!A$2:G$506,5,0)</f>
        <v>81.900000000000006</v>
      </c>
      <c r="G206">
        <f>VLOOKUP(A206,NYSEARCATIP!A$2:G$506,5,0)</f>
        <v>111.92</v>
      </c>
      <c r="H206">
        <f>VLOOKUP(A206,NYSEARCAMUB!A$2:G$506,5,0)</f>
        <v>110.86</v>
      </c>
      <c r="I206">
        <f>VLOOKUP(A206,NYSEARCAVNQ!A$2:G$506,5,0)</f>
        <v>81.2</v>
      </c>
      <c r="J206">
        <f>VLOOKUP(A206,NYSEARCARWX!A$2:G$506,5,0)</f>
        <v>40.450000000000003</v>
      </c>
      <c r="K206">
        <f>VLOOKUP(A206,NYSEARCADBC!A$2:G$506,5,0)</f>
        <v>13.32</v>
      </c>
      <c r="L206">
        <f>VLOOKUP(A206,NYSEARCAGSG!A$2:G$506,5,0)</f>
        <v>14</v>
      </c>
      <c r="M206">
        <f>VLOOKUP(A206,NYSEARCAGLD!A$2:G$506,5,0)</f>
        <v>117.87</v>
      </c>
      <c r="N206">
        <f>VLOOKUP(A206,NYSEBP!A$2:G$506,5,0)</f>
        <v>29.95</v>
      </c>
      <c r="O206">
        <f>VLOOKUP(A206,NASDAQYHOO!A$2:G$506,5,0)</f>
        <v>33.58</v>
      </c>
    </row>
    <row r="207" spans="1:15">
      <c r="A207" s="39">
        <v>42444</v>
      </c>
      <c r="B207">
        <v>68.09</v>
      </c>
      <c r="C207">
        <f>VLOOKUP(A207,NYSEARCAVTI!A$2:G$506,5,0)</f>
        <v>102.24</v>
      </c>
      <c r="D207">
        <f>VLOOKUP(A207,NYSEARCAVEU!A$2:G$506,5,0)</f>
        <v>42.23</v>
      </c>
      <c r="E207">
        <f>VLOOKUP(A207,NYSEARCAVWO!A$2:G$506,5,0)</f>
        <v>32.799999999999997</v>
      </c>
      <c r="F207">
        <f>VLOOKUP(A207,NYSEARCABND!A$2:G$506,5,0)</f>
        <v>81.819999999999993</v>
      </c>
      <c r="G207">
        <f>VLOOKUP(A207,NYSEARCATIP!A$2:G$506,5,0)</f>
        <v>111.7</v>
      </c>
      <c r="H207">
        <f>VLOOKUP(A207,NYSEARCAMUB!A$2:G$506,5,0)</f>
        <v>110.84</v>
      </c>
      <c r="I207">
        <f>VLOOKUP(A207,NYSEARCAVNQ!A$2:G$506,5,0)</f>
        <v>81.239999999999995</v>
      </c>
      <c r="J207">
        <f>VLOOKUP(A207,NYSEARCARWX!A$2:G$506,5,0)</f>
        <v>40.33</v>
      </c>
      <c r="K207">
        <f>VLOOKUP(A207,NYSEARCADBC!A$2:G$506,5,0)</f>
        <v>13.21</v>
      </c>
      <c r="L207">
        <f>VLOOKUP(A207,NYSEARCAGSG!A$2:G$506,5,0)</f>
        <v>13.87</v>
      </c>
      <c r="M207">
        <f>VLOOKUP(A207,NYSEARCAGLD!A$2:G$506,5,0)</f>
        <v>117.96</v>
      </c>
      <c r="N207">
        <f>VLOOKUP(A207,NYSEBP!A$2:G$506,5,0)</f>
        <v>29.64</v>
      </c>
      <c r="O207">
        <f>VLOOKUP(A207,NASDAQYHOO!A$2:G$506,5,0)</f>
        <v>33.26</v>
      </c>
    </row>
    <row r="208" spans="1:15">
      <c r="A208" s="39">
        <v>42445</v>
      </c>
      <c r="B208">
        <v>67.989999999999995</v>
      </c>
      <c r="C208">
        <f>VLOOKUP(A208,NYSEARCAVTI!A$2:G$506,5,0)</f>
        <v>102.88</v>
      </c>
      <c r="D208">
        <f>VLOOKUP(A208,NYSEARCAVEU!A$2:G$506,5,0)</f>
        <v>42.78</v>
      </c>
      <c r="E208">
        <f>VLOOKUP(A208,NYSEARCAVWO!A$2:G$506,5,0)</f>
        <v>33.49</v>
      </c>
      <c r="F208">
        <f>VLOOKUP(A208,NYSEARCABND!A$2:G$506,5,0)</f>
        <v>82.14</v>
      </c>
      <c r="G208">
        <f>VLOOKUP(A208,NYSEARCATIP!A$2:G$506,5,0)</f>
        <v>112.89</v>
      </c>
      <c r="H208">
        <f>VLOOKUP(A208,NYSEARCAMUB!A$2:G$506,5,0)</f>
        <v>110.88</v>
      </c>
      <c r="I208">
        <f>VLOOKUP(A208,NYSEARCAVNQ!A$2:G$506,5,0)</f>
        <v>82.22</v>
      </c>
      <c r="J208">
        <f>VLOOKUP(A208,NYSEARCARWX!A$2:G$506,5,0)</f>
        <v>40.840000000000003</v>
      </c>
      <c r="K208">
        <f>VLOOKUP(A208,NYSEARCADBC!A$2:G$506,5,0)</f>
        <v>13.44</v>
      </c>
      <c r="L208">
        <f>VLOOKUP(A208,NYSEARCAGSG!A$2:G$506,5,0)</f>
        <v>14.19</v>
      </c>
      <c r="M208">
        <f>VLOOKUP(A208,NYSEARCAGLD!A$2:G$506,5,0)</f>
        <v>120.59</v>
      </c>
      <c r="N208">
        <f>VLOOKUP(A208,NYSEBP!A$2:G$506,5,0)</f>
        <v>30.51</v>
      </c>
      <c r="O208">
        <f>VLOOKUP(A208,NASDAQYHOO!A$2:G$506,5,0)</f>
        <v>34.01</v>
      </c>
    </row>
    <row r="209" spans="1:15">
      <c r="A209" s="39">
        <v>42446</v>
      </c>
      <c r="B209">
        <v>67.45</v>
      </c>
      <c r="C209">
        <f>VLOOKUP(A209,NYSEARCAVTI!A$2:G$506,5,0)</f>
        <v>103.67</v>
      </c>
      <c r="D209">
        <f>VLOOKUP(A209,NYSEARCAVEU!A$2:G$506,5,0)</f>
        <v>43.24</v>
      </c>
      <c r="E209">
        <f>VLOOKUP(A209,NYSEARCAVWO!A$2:G$506,5,0)</f>
        <v>34.17</v>
      </c>
      <c r="F209">
        <f>VLOOKUP(A209,NYSEARCABND!A$2:G$506,5,0)</f>
        <v>82.32</v>
      </c>
      <c r="G209">
        <f>VLOOKUP(A209,NYSEARCATIP!A$2:G$506,5,0)</f>
        <v>113.14</v>
      </c>
      <c r="H209">
        <f>VLOOKUP(A209,NYSEARCAMUB!A$2:G$506,5,0)</f>
        <v>111.02</v>
      </c>
      <c r="I209">
        <f>VLOOKUP(A209,NYSEARCAVNQ!A$2:G$506,5,0)</f>
        <v>83.38</v>
      </c>
      <c r="J209">
        <f>VLOOKUP(A209,NYSEARCARWX!A$2:G$506,5,0)</f>
        <v>41.55</v>
      </c>
      <c r="K209">
        <f>VLOOKUP(A209,NYSEARCADBC!A$2:G$506,5,0)</f>
        <v>13.59</v>
      </c>
      <c r="L209">
        <f>VLOOKUP(A209,NYSEARCAGSG!A$2:G$506,5,0)</f>
        <v>14.38</v>
      </c>
      <c r="M209">
        <f>VLOOKUP(A209,NYSEARCAGLD!A$2:G$506,5,0)</f>
        <v>120.13</v>
      </c>
      <c r="N209">
        <f>VLOOKUP(A209,NYSEBP!A$2:G$506,5,0)</f>
        <v>31.54</v>
      </c>
      <c r="O209">
        <f>VLOOKUP(A209,NASDAQYHOO!A$2:G$506,5,0)</f>
        <v>34.28</v>
      </c>
    </row>
    <row r="210" spans="1:15">
      <c r="A210" s="39">
        <v>42447</v>
      </c>
      <c r="B210">
        <v>66.95</v>
      </c>
      <c r="C210">
        <f>VLOOKUP(A210,NYSEARCAVTI!A$2:G$506,5,0)</f>
        <v>104.13</v>
      </c>
      <c r="D210">
        <f>VLOOKUP(A210,NYSEARCAVEU!A$2:G$506,5,0)</f>
        <v>43.22</v>
      </c>
      <c r="E210">
        <f>VLOOKUP(A210,NYSEARCAVWO!A$2:G$506,5,0)</f>
        <v>34.4</v>
      </c>
      <c r="F210">
        <f>VLOOKUP(A210,NYSEARCABND!A$2:G$506,5,0)</f>
        <v>82.39</v>
      </c>
      <c r="G210">
        <f>VLOOKUP(A210,NYSEARCATIP!A$2:G$506,5,0)</f>
        <v>113.52</v>
      </c>
      <c r="H210">
        <f>VLOOKUP(A210,NYSEARCAMUB!A$2:G$506,5,0)</f>
        <v>111.06</v>
      </c>
      <c r="I210">
        <f>VLOOKUP(A210,NYSEARCAVNQ!A$2:G$506,5,0)</f>
        <v>83.02</v>
      </c>
      <c r="J210">
        <f>VLOOKUP(A210,NYSEARCARWX!A$2:G$506,5,0)</f>
        <v>41.32</v>
      </c>
      <c r="K210">
        <f>VLOOKUP(A210,NYSEARCADBC!A$2:G$506,5,0)</f>
        <v>13.58</v>
      </c>
      <c r="L210">
        <f>VLOOKUP(A210,NYSEARCAGSG!A$2:G$506,5,0)</f>
        <v>14.31</v>
      </c>
      <c r="M210">
        <f>VLOOKUP(A210,NYSEARCAGLD!A$2:G$506,5,0)</f>
        <v>119.8</v>
      </c>
      <c r="N210">
        <f>VLOOKUP(A210,NYSEBP!A$2:G$506,5,0)</f>
        <v>31.33</v>
      </c>
      <c r="O210">
        <f>VLOOKUP(A210,NASDAQYHOO!A$2:G$506,5,0)</f>
        <v>35.17</v>
      </c>
    </row>
    <row r="211" spans="1:15">
      <c r="A211" s="39">
        <v>42450</v>
      </c>
      <c r="B211">
        <v>67.97</v>
      </c>
      <c r="C211">
        <f>VLOOKUP(A211,NYSEARCAVTI!A$2:G$506,5,0)</f>
        <v>104.23</v>
      </c>
      <c r="D211">
        <f>VLOOKUP(A211,NYSEARCAVEU!A$2:G$506,5,0)</f>
        <v>43.24</v>
      </c>
      <c r="E211">
        <f>VLOOKUP(A211,NYSEARCAVWO!A$2:G$506,5,0)</f>
        <v>34.54</v>
      </c>
      <c r="F211">
        <f>VLOOKUP(A211,NYSEARCABND!A$2:G$506,5,0)</f>
        <v>82.24</v>
      </c>
      <c r="G211">
        <f>VLOOKUP(A211,NYSEARCATIP!A$2:G$506,5,0)</f>
        <v>113.55</v>
      </c>
      <c r="H211">
        <f>VLOOKUP(A211,NYSEARCAMUB!A$2:G$506,5,0)</f>
        <v>111.08</v>
      </c>
      <c r="I211">
        <f>VLOOKUP(A211,NYSEARCAVNQ!A$2:G$506,5,0)</f>
        <v>81.36</v>
      </c>
      <c r="J211">
        <f>VLOOKUP(A211,NYSEARCARWX!A$2:G$506,5,0)</f>
        <v>41.27</v>
      </c>
      <c r="K211">
        <f>VLOOKUP(A211,NYSEARCADBC!A$2:G$506,5,0)</f>
        <v>13.62</v>
      </c>
      <c r="L211">
        <f>VLOOKUP(A211,NYSEARCAGSG!A$2:G$506,5,0)</f>
        <v>14.37</v>
      </c>
      <c r="M211">
        <f>VLOOKUP(A211,NYSEARCAGLD!A$2:G$506,5,0)</f>
        <v>118.96</v>
      </c>
      <c r="N211">
        <f>VLOOKUP(A211,NYSEBP!A$2:G$506,5,0)</f>
        <v>31.12</v>
      </c>
      <c r="O211">
        <f>VLOOKUP(A211,NASDAQYHOO!A$2:G$506,5,0)</f>
        <v>35.47</v>
      </c>
    </row>
    <row r="212" spans="1:15">
      <c r="A212" s="39">
        <v>42451</v>
      </c>
      <c r="B212">
        <v>67.87</v>
      </c>
      <c r="C212">
        <f>VLOOKUP(A212,NYSEARCAVTI!A$2:G$506,5,0)</f>
        <v>104.2</v>
      </c>
      <c r="D212">
        <f>VLOOKUP(A212,NYSEARCAVEU!A$2:G$506,5,0)</f>
        <v>43.16</v>
      </c>
      <c r="E212">
        <f>VLOOKUP(A212,NYSEARCAVWO!A$2:G$506,5,0)</f>
        <v>34.39</v>
      </c>
      <c r="F212">
        <f>VLOOKUP(A212,NYSEARCABND!A$2:G$506,5,0)</f>
        <v>82.22</v>
      </c>
      <c r="G212">
        <f>VLOOKUP(A212,NYSEARCATIP!A$2:G$506,5,0)</f>
        <v>113.26</v>
      </c>
      <c r="H212">
        <f>VLOOKUP(A212,NYSEARCAMUB!A$2:G$506,5,0)</f>
        <v>111.1</v>
      </c>
      <c r="I212">
        <f>VLOOKUP(A212,NYSEARCAVNQ!A$2:G$506,5,0)</f>
        <v>81.36</v>
      </c>
      <c r="J212">
        <f>VLOOKUP(A212,NYSEARCARWX!A$2:G$506,5,0)</f>
        <v>41.24</v>
      </c>
      <c r="K212">
        <f>VLOOKUP(A212,NYSEARCADBC!A$2:G$506,5,0)</f>
        <v>13.72</v>
      </c>
      <c r="L212">
        <f>VLOOKUP(A212,NYSEARCAGSG!A$2:G$506,5,0)</f>
        <v>14.4</v>
      </c>
      <c r="M212">
        <f>VLOOKUP(A212,NYSEARCAGLD!A$2:G$506,5,0)</f>
        <v>119.31</v>
      </c>
      <c r="N212">
        <f>VLOOKUP(A212,NYSEBP!A$2:G$506,5,0)</f>
        <v>30.94</v>
      </c>
      <c r="O212">
        <f>VLOOKUP(A212,NASDAQYHOO!A$2:G$506,5,0)</f>
        <v>35.409999999999997</v>
      </c>
    </row>
    <row r="213" spans="1:15">
      <c r="A213" s="39">
        <v>42452</v>
      </c>
      <c r="B213">
        <v>67.459999999999994</v>
      </c>
      <c r="C213">
        <f>VLOOKUP(A213,NYSEARCAVTI!A$2:G$506,5,0)</f>
        <v>103.35</v>
      </c>
      <c r="D213">
        <f>VLOOKUP(A213,NYSEARCAVEU!A$2:G$506,5,0)</f>
        <v>42.64</v>
      </c>
      <c r="E213">
        <f>VLOOKUP(A213,NYSEARCAVWO!A$2:G$506,5,0)</f>
        <v>33.86</v>
      </c>
      <c r="F213">
        <f>VLOOKUP(A213,NYSEARCABND!A$2:G$506,5,0)</f>
        <v>82.4</v>
      </c>
      <c r="G213">
        <f>VLOOKUP(A213,NYSEARCATIP!A$2:G$506,5,0)</f>
        <v>113.38</v>
      </c>
      <c r="H213">
        <f>VLOOKUP(A213,NYSEARCAMUB!A$2:G$506,5,0)</f>
        <v>111.21</v>
      </c>
      <c r="I213">
        <f>VLOOKUP(A213,NYSEARCAVNQ!A$2:G$506,5,0)</f>
        <v>80.92</v>
      </c>
      <c r="J213">
        <f>VLOOKUP(A213,NYSEARCARWX!A$2:G$506,5,0)</f>
        <v>40.799999999999997</v>
      </c>
      <c r="K213">
        <f>VLOOKUP(A213,NYSEARCADBC!A$2:G$506,5,0)</f>
        <v>13.43</v>
      </c>
      <c r="L213">
        <f>VLOOKUP(A213,NYSEARCAGSG!A$2:G$506,5,0)</f>
        <v>14.04</v>
      </c>
      <c r="M213">
        <f>VLOOKUP(A213,NYSEARCAGLD!A$2:G$506,5,0)</f>
        <v>116.61</v>
      </c>
      <c r="N213">
        <f>VLOOKUP(A213,NYSEBP!A$2:G$506,5,0)</f>
        <v>30.2</v>
      </c>
      <c r="O213">
        <f>VLOOKUP(A213,NASDAQYHOO!A$2:G$506,5,0)</f>
        <v>34.799999999999997</v>
      </c>
    </row>
    <row r="214" spans="1:15">
      <c r="A214" s="39">
        <v>42453</v>
      </c>
      <c r="B214">
        <v>68</v>
      </c>
      <c r="C214">
        <f>VLOOKUP(A214,NYSEARCAVTI!A$2:G$506,5,0)</f>
        <v>103.32</v>
      </c>
      <c r="D214">
        <f>VLOOKUP(A214,NYSEARCAVEU!A$2:G$506,5,0)</f>
        <v>42.42</v>
      </c>
      <c r="E214">
        <f>VLOOKUP(A214,NYSEARCAVWO!A$2:G$506,5,0)</f>
        <v>33.81</v>
      </c>
      <c r="F214">
        <f>VLOOKUP(A214,NYSEARCABND!A$2:G$506,5,0)</f>
        <v>82.3</v>
      </c>
      <c r="G214">
        <f>VLOOKUP(A214,NYSEARCATIP!A$2:G$506,5,0)</f>
        <v>113.12</v>
      </c>
      <c r="H214">
        <f>VLOOKUP(A214,NYSEARCAMUB!A$2:G$506,5,0)</f>
        <v>111.07</v>
      </c>
      <c r="I214">
        <f>VLOOKUP(A214,NYSEARCAVNQ!A$2:G$506,5,0)</f>
        <v>80.95</v>
      </c>
      <c r="J214">
        <f>VLOOKUP(A214,NYSEARCARWX!A$2:G$506,5,0)</f>
        <v>40.53</v>
      </c>
      <c r="K214">
        <f>VLOOKUP(A214,NYSEARCADBC!A$2:G$506,5,0)</f>
        <v>13.35</v>
      </c>
      <c r="L214">
        <f>VLOOKUP(A214,NYSEARCAGSG!A$2:G$506,5,0)</f>
        <v>13.99</v>
      </c>
      <c r="M214">
        <f>VLOOKUP(A214,NYSEARCAGLD!A$2:G$506,5,0)</f>
        <v>116.33</v>
      </c>
      <c r="N214">
        <f>VLOOKUP(A214,NYSEBP!A$2:G$506,5,0)</f>
        <v>30.42</v>
      </c>
      <c r="O214">
        <f>VLOOKUP(A214,NASDAQYHOO!A$2:G$506,5,0)</f>
        <v>34.86</v>
      </c>
    </row>
    <row r="215" spans="1:15">
      <c r="A215" s="39">
        <v>42457</v>
      </c>
      <c r="B215">
        <v>68.12</v>
      </c>
      <c r="C215">
        <f>VLOOKUP(A215,NYSEARCAVTI!A$2:G$506,5,0)</f>
        <v>103.39</v>
      </c>
      <c r="D215">
        <f>VLOOKUP(A215,NYSEARCAVEU!A$2:G$506,5,0)</f>
        <v>42.66</v>
      </c>
      <c r="E215">
        <f>VLOOKUP(A215,NYSEARCAVWO!A$2:G$506,5,0)</f>
        <v>33.9</v>
      </c>
      <c r="F215">
        <f>VLOOKUP(A215,NYSEARCABND!A$2:G$506,5,0)</f>
        <v>82.34</v>
      </c>
      <c r="G215">
        <f>VLOOKUP(A215,NYSEARCATIP!A$2:G$506,5,0)</f>
        <v>113.26</v>
      </c>
      <c r="H215">
        <f>VLOOKUP(A215,NYSEARCAMUB!A$2:G$506,5,0)</f>
        <v>111.2</v>
      </c>
      <c r="I215">
        <f>VLOOKUP(A215,NYSEARCAVNQ!A$2:G$506,5,0)</f>
        <v>81.680000000000007</v>
      </c>
      <c r="J215">
        <f>VLOOKUP(A215,NYSEARCARWX!A$2:G$506,5,0)</f>
        <v>40.659999999999997</v>
      </c>
      <c r="K215">
        <f>VLOOKUP(A215,NYSEARCADBC!A$2:G$506,5,0)</f>
        <v>13.39</v>
      </c>
      <c r="L215">
        <f>VLOOKUP(A215,NYSEARCAGSG!A$2:G$506,5,0)</f>
        <v>13.98</v>
      </c>
      <c r="M215">
        <f>VLOOKUP(A215,NYSEARCAGLD!A$2:G$506,5,0)</f>
        <v>116.6</v>
      </c>
      <c r="N215">
        <f>VLOOKUP(A215,NYSEBP!A$2:G$506,5,0)</f>
        <v>30.42</v>
      </c>
      <c r="O215">
        <f>VLOOKUP(A215,NASDAQYHOO!A$2:G$506,5,0)</f>
        <v>35.229999999999997</v>
      </c>
    </row>
    <row r="216" spans="1:15">
      <c r="A216" s="39">
        <v>42458</v>
      </c>
      <c r="B216">
        <v>68.03</v>
      </c>
      <c r="C216">
        <f>VLOOKUP(A216,NYSEARCAVTI!A$2:G$506,5,0)</f>
        <v>104.54</v>
      </c>
      <c r="D216">
        <f>VLOOKUP(A216,NYSEARCAVEU!A$2:G$506,5,0)</f>
        <v>43.12</v>
      </c>
      <c r="E216">
        <f>VLOOKUP(A216,NYSEARCAVWO!A$2:G$506,5,0)</f>
        <v>34.229999999999997</v>
      </c>
      <c r="F216">
        <f>VLOOKUP(A216,NYSEARCABND!A$2:G$506,5,0)</f>
        <v>82.68</v>
      </c>
      <c r="G216">
        <f>VLOOKUP(A216,NYSEARCATIP!A$2:G$506,5,0)</f>
        <v>114.45</v>
      </c>
      <c r="H216">
        <f>VLOOKUP(A216,NYSEARCAMUB!A$2:G$506,5,0)</f>
        <v>111.35</v>
      </c>
      <c r="I216">
        <f>VLOOKUP(A216,NYSEARCAVNQ!A$2:G$506,5,0)</f>
        <v>83.45</v>
      </c>
      <c r="J216">
        <f>VLOOKUP(A216,NYSEARCARWX!A$2:G$506,5,0)</f>
        <v>41.27</v>
      </c>
      <c r="K216">
        <f>VLOOKUP(A216,NYSEARCADBC!A$2:G$506,5,0)</f>
        <v>13.36</v>
      </c>
      <c r="L216">
        <f>VLOOKUP(A216,NYSEARCAGSG!A$2:G$506,5,0)</f>
        <v>13.88</v>
      </c>
      <c r="M216">
        <f>VLOOKUP(A216,NYSEARCAGLD!A$2:G$506,5,0)</f>
        <v>118.76</v>
      </c>
      <c r="N216">
        <f>VLOOKUP(A216,NYSEBP!A$2:G$506,5,0)</f>
        <v>30.35</v>
      </c>
      <c r="O216">
        <f>VLOOKUP(A216,NASDAQYHOO!A$2:G$506,5,0)</f>
        <v>36.32</v>
      </c>
    </row>
    <row r="217" spans="1:15">
      <c r="A217" s="39">
        <v>42459</v>
      </c>
      <c r="B217">
        <v>68.8</v>
      </c>
      <c r="C217">
        <f>VLOOKUP(A217,NYSEARCAVTI!A$2:G$506,5,0)</f>
        <v>104.94</v>
      </c>
      <c r="D217">
        <f>VLOOKUP(A217,NYSEARCAVEU!A$2:G$506,5,0)</f>
        <v>43.5</v>
      </c>
      <c r="E217">
        <f>VLOOKUP(A217,NYSEARCAVWO!A$2:G$506,5,0)</f>
        <v>34.619999999999997</v>
      </c>
      <c r="F217">
        <f>VLOOKUP(A217,NYSEARCABND!A$2:G$506,5,0)</f>
        <v>82.65</v>
      </c>
      <c r="G217">
        <f>VLOOKUP(A217,NYSEARCATIP!A$2:G$506,5,0)</f>
        <v>114.52</v>
      </c>
      <c r="H217">
        <f>VLOOKUP(A217,NYSEARCAMUB!A$2:G$506,5,0)</f>
        <v>111.47</v>
      </c>
      <c r="I217">
        <f>VLOOKUP(A217,NYSEARCAVNQ!A$2:G$506,5,0)</f>
        <v>83.29</v>
      </c>
      <c r="J217">
        <f>VLOOKUP(A217,NYSEARCARWX!A$2:G$506,5,0)</f>
        <v>41.61</v>
      </c>
      <c r="K217">
        <f>VLOOKUP(A217,NYSEARCADBC!A$2:G$506,5,0)</f>
        <v>13.31</v>
      </c>
      <c r="L217">
        <f>VLOOKUP(A217,NYSEARCAGSG!A$2:G$506,5,0)</f>
        <v>13.77</v>
      </c>
      <c r="M217">
        <f>VLOOKUP(A217,NYSEARCAGLD!A$2:G$506,5,0)</f>
        <v>117.1</v>
      </c>
      <c r="N217">
        <f>VLOOKUP(A217,NYSEBP!A$2:G$506,5,0)</f>
        <v>30.93</v>
      </c>
      <c r="O217">
        <f>VLOOKUP(A217,NASDAQYHOO!A$2:G$506,5,0)</f>
        <v>36.56</v>
      </c>
    </row>
    <row r="218" spans="1:15">
      <c r="A218" s="39">
        <v>42460</v>
      </c>
      <c r="B218">
        <v>68.489999999999995</v>
      </c>
      <c r="C218">
        <f>VLOOKUP(A218,NYSEARCAVTI!A$2:G$506,5,0)</f>
        <v>104.82</v>
      </c>
      <c r="D218">
        <f>VLOOKUP(A218,NYSEARCAVEU!A$2:G$506,5,0)</f>
        <v>43.15</v>
      </c>
      <c r="E218">
        <f>VLOOKUP(A218,NYSEARCAVWO!A$2:G$506,5,0)</f>
        <v>34.58</v>
      </c>
      <c r="F218">
        <f>VLOOKUP(A218,NYSEARCABND!A$2:G$506,5,0)</f>
        <v>82.8</v>
      </c>
      <c r="G218">
        <f>VLOOKUP(A218,NYSEARCATIP!A$2:G$506,5,0)</f>
        <v>114.64</v>
      </c>
      <c r="H218">
        <f>VLOOKUP(A218,NYSEARCAMUB!A$2:G$506,5,0)</f>
        <v>111.65</v>
      </c>
      <c r="I218">
        <f>VLOOKUP(A218,NYSEARCAVNQ!A$2:G$506,5,0)</f>
        <v>83.8</v>
      </c>
      <c r="J218">
        <f>VLOOKUP(A218,NYSEARCARWX!A$2:G$506,5,0)</f>
        <v>41.46</v>
      </c>
      <c r="K218">
        <f>VLOOKUP(A218,NYSEARCADBC!A$2:G$506,5,0)</f>
        <v>13.29</v>
      </c>
      <c r="L218">
        <f>VLOOKUP(A218,NYSEARCAGSG!A$2:G$506,5,0)</f>
        <v>13.79</v>
      </c>
      <c r="M218">
        <f>VLOOKUP(A218,NYSEARCAGLD!A$2:G$506,5,0)</f>
        <v>117.64</v>
      </c>
      <c r="N218">
        <f>VLOOKUP(A218,NYSEBP!A$2:G$506,5,0)</f>
        <v>30.18</v>
      </c>
      <c r="O218">
        <f>VLOOKUP(A218,NASDAQYHOO!A$2:G$506,5,0)</f>
        <v>36.81</v>
      </c>
    </row>
    <row r="219" spans="1:15">
      <c r="A219" s="39">
        <v>42461</v>
      </c>
      <c r="B219">
        <v>69.06</v>
      </c>
      <c r="C219">
        <f>VLOOKUP(A219,NYSEARCAVTI!A$2:G$506,5,0)</f>
        <v>105.48</v>
      </c>
      <c r="D219">
        <f>VLOOKUP(A219,NYSEARCAVEU!A$2:G$506,5,0)</f>
        <v>42.81</v>
      </c>
      <c r="E219">
        <f>VLOOKUP(A219,NYSEARCAVWO!A$2:G$506,5,0)</f>
        <v>34.68</v>
      </c>
      <c r="F219">
        <f>VLOOKUP(A219,NYSEARCABND!A$2:G$506,5,0)</f>
        <v>82.73</v>
      </c>
      <c r="G219">
        <f>VLOOKUP(A219,NYSEARCATIP!A$2:G$506,5,0)</f>
        <v>114.73</v>
      </c>
      <c r="H219">
        <f>VLOOKUP(A219,NYSEARCAMUB!A$2:G$506,5,0)</f>
        <v>111.39</v>
      </c>
      <c r="I219">
        <f>VLOOKUP(A219,NYSEARCAVNQ!A$2:G$506,5,0)</f>
        <v>83.69</v>
      </c>
      <c r="J219">
        <f>VLOOKUP(A219,NYSEARCARWX!A$2:G$506,5,0)</f>
        <v>41.09</v>
      </c>
      <c r="K219">
        <f>VLOOKUP(A219,NYSEARCADBC!A$2:G$506,5,0)</f>
        <v>13.06</v>
      </c>
      <c r="L219">
        <f>VLOOKUP(A219,NYSEARCAGSG!A$2:G$506,5,0)</f>
        <v>13.51</v>
      </c>
      <c r="M219">
        <f>VLOOKUP(A219,NYSEARCAGLD!A$2:G$506,5,0)</f>
        <v>116.93</v>
      </c>
      <c r="N219">
        <f>VLOOKUP(A219,NYSEBP!A$2:G$506,5,0)</f>
        <v>29.57</v>
      </c>
      <c r="O219">
        <f>VLOOKUP(A219,NASDAQYHOO!A$2:G$506,5,0)</f>
        <v>36.479999999999997</v>
      </c>
    </row>
    <row r="220" spans="1:15">
      <c r="A220" s="39">
        <v>42464</v>
      </c>
      <c r="B220">
        <v>69.099999999999994</v>
      </c>
      <c r="C220">
        <f>VLOOKUP(A220,NYSEARCAVTI!A$2:G$506,5,0)</f>
        <v>105.04</v>
      </c>
      <c r="D220">
        <f>VLOOKUP(A220,NYSEARCAVEU!A$2:G$506,5,0)</f>
        <v>42.63</v>
      </c>
      <c r="E220">
        <f>VLOOKUP(A220,NYSEARCAVWO!A$2:G$506,5,0)</f>
        <v>34.21</v>
      </c>
      <c r="F220">
        <f>VLOOKUP(A220,NYSEARCABND!A$2:G$506,5,0)</f>
        <v>82.73</v>
      </c>
      <c r="G220">
        <f>VLOOKUP(A220,NYSEARCATIP!A$2:G$506,5,0)</f>
        <v>114.87</v>
      </c>
      <c r="H220">
        <f>VLOOKUP(A220,NYSEARCAMUB!A$2:G$506,5,0)</f>
        <v>111.58</v>
      </c>
      <c r="I220">
        <f>VLOOKUP(A220,NYSEARCAVNQ!A$2:G$506,5,0)</f>
        <v>83.57</v>
      </c>
      <c r="J220">
        <f>VLOOKUP(A220,NYSEARCARWX!A$2:G$506,5,0)</f>
        <v>40.97</v>
      </c>
      <c r="K220">
        <f>VLOOKUP(A220,NYSEARCADBC!A$2:G$506,5,0)</f>
        <v>12.88</v>
      </c>
      <c r="L220">
        <f>VLOOKUP(A220,NYSEARCAGSG!A$2:G$506,5,0)</f>
        <v>13.29</v>
      </c>
      <c r="M220">
        <f>VLOOKUP(A220,NYSEARCAGLD!A$2:G$506,5,0)</f>
        <v>116.15</v>
      </c>
      <c r="N220">
        <f>VLOOKUP(A220,NYSEBP!A$2:G$506,5,0)</f>
        <v>29.58</v>
      </c>
      <c r="O220">
        <f>VLOOKUP(A220,NASDAQYHOO!A$2:G$506,5,0)</f>
        <v>37.020000000000003</v>
      </c>
    </row>
    <row r="221" spans="1:15">
      <c r="A221" s="39">
        <v>42465</v>
      </c>
      <c r="B221">
        <v>68.64</v>
      </c>
      <c r="C221">
        <f>VLOOKUP(A221,NYSEARCAVTI!A$2:G$506,5,0)</f>
        <v>104.02</v>
      </c>
      <c r="D221">
        <f>VLOOKUP(A221,NYSEARCAVEU!A$2:G$506,5,0)</f>
        <v>41.8</v>
      </c>
      <c r="E221">
        <f>VLOOKUP(A221,NYSEARCAVWO!A$2:G$506,5,0)</f>
        <v>33.57</v>
      </c>
      <c r="F221">
        <f>VLOOKUP(A221,NYSEARCABND!A$2:G$506,5,0)</f>
        <v>82.88</v>
      </c>
      <c r="G221">
        <f>VLOOKUP(A221,NYSEARCATIP!A$2:G$506,5,0)</f>
        <v>114.99</v>
      </c>
      <c r="H221">
        <f>VLOOKUP(A221,NYSEARCAMUB!A$2:G$506,5,0)</f>
        <v>111.71</v>
      </c>
      <c r="I221">
        <f>VLOOKUP(A221,NYSEARCAVNQ!A$2:G$506,5,0)</f>
        <v>83.02</v>
      </c>
      <c r="J221">
        <f>VLOOKUP(A221,NYSEARCARWX!A$2:G$506,5,0)</f>
        <v>40.72</v>
      </c>
      <c r="K221">
        <f>VLOOKUP(A221,NYSEARCADBC!A$2:G$506,5,0)</f>
        <v>12.85</v>
      </c>
      <c r="L221">
        <f>VLOOKUP(A221,NYSEARCAGSG!A$2:G$506,5,0)</f>
        <v>13.28</v>
      </c>
      <c r="M221">
        <f>VLOOKUP(A221,NYSEARCAGLD!A$2:G$506,5,0)</f>
        <v>117.66</v>
      </c>
      <c r="N221">
        <f>VLOOKUP(A221,NYSEBP!A$2:G$506,5,0)</f>
        <v>28.93</v>
      </c>
      <c r="O221">
        <f>VLOOKUP(A221,NASDAQYHOO!A$2:G$506,5,0)</f>
        <v>36.409999999999997</v>
      </c>
    </row>
    <row r="222" spans="1:15">
      <c r="A222" s="39">
        <v>42466</v>
      </c>
      <c r="B222">
        <v>69.040000000000006</v>
      </c>
      <c r="C222">
        <f>VLOOKUP(A222,NYSEARCAVTI!A$2:G$506,5,0)</f>
        <v>105.16</v>
      </c>
      <c r="D222">
        <f>VLOOKUP(A222,NYSEARCAVEU!A$2:G$506,5,0)</f>
        <v>42.4</v>
      </c>
      <c r="E222">
        <f>VLOOKUP(A222,NYSEARCAVWO!A$2:G$506,5,0)</f>
        <v>34</v>
      </c>
      <c r="F222">
        <f>VLOOKUP(A222,NYSEARCABND!A$2:G$506,5,0)</f>
        <v>82.84</v>
      </c>
      <c r="G222">
        <f>VLOOKUP(A222,NYSEARCATIP!A$2:G$506,5,0)</f>
        <v>114.69</v>
      </c>
      <c r="H222">
        <f>VLOOKUP(A222,NYSEARCAMUB!A$2:G$506,5,0)</f>
        <v>111.77</v>
      </c>
      <c r="I222">
        <f>VLOOKUP(A222,NYSEARCAVNQ!A$2:G$506,5,0)</f>
        <v>83.22</v>
      </c>
      <c r="J222">
        <f>VLOOKUP(A222,NYSEARCARWX!A$2:G$506,5,0)</f>
        <v>41.12</v>
      </c>
      <c r="K222">
        <f>VLOOKUP(A222,NYSEARCADBC!A$2:G$506,5,0)</f>
        <v>12.99</v>
      </c>
      <c r="L222">
        <f>VLOOKUP(A222,NYSEARCAGSG!A$2:G$506,5,0)</f>
        <v>13.55</v>
      </c>
      <c r="M222">
        <f>VLOOKUP(A222,NYSEARCAGLD!A$2:G$506,5,0)</f>
        <v>116.94</v>
      </c>
      <c r="N222">
        <f>VLOOKUP(A222,NYSEBP!A$2:G$506,5,0)</f>
        <v>29.3</v>
      </c>
      <c r="O222">
        <f>VLOOKUP(A222,NASDAQYHOO!A$2:G$506,5,0)</f>
        <v>36.659999999999997</v>
      </c>
    </row>
    <row r="223" spans="1:15">
      <c r="A223" s="39">
        <v>42467</v>
      </c>
      <c r="B223">
        <v>68.22</v>
      </c>
      <c r="C223">
        <f>VLOOKUP(A223,NYSEARCAVTI!A$2:G$506,5,0)</f>
        <v>103.9</v>
      </c>
      <c r="D223">
        <f>VLOOKUP(A223,NYSEARCAVEU!A$2:G$506,5,0)</f>
        <v>41.81</v>
      </c>
      <c r="E223">
        <f>VLOOKUP(A223,NYSEARCAVWO!A$2:G$506,5,0)</f>
        <v>33.29</v>
      </c>
      <c r="F223">
        <f>VLOOKUP(A223,NYSEARCABND!A$2:G$506,5,0)</f>
        <v>83.11</v>
      </c>
      <c r="G223">
        <f>VLOOKUP(A223,NYSEARCATIP!A$2:G$506,5,0)</f>
        <v>115.09</v>
      </c>
      <c r="H223">
        <f>VLOOKUP(A223,NYSEARCAMUB!A$2:G$506,5,0)</f>
        <v>112.15</v>
      </c>
      <c r="I223">
        <f>VLOOKUP(A223,NYSEARCAVNQ!A$2:G$506,5,0)</f>
        <v>82.7</v>
      </c>
      <c r="J223">
        <f>VLOOKUP(A223,NYSEARCARWX!A$2:G$506,5,0)</f>
        <v>40.770000000000003</v>
      </c>
      <c r="K223">
        <f>VLOOKUP(A223,NYSEARCADBC!A$2:G$506,5,0)</f>
        <v>12.95</v>
      </c>
      <c r="L223">
        <f>VLOOKUP(A223,NYSEARCAGSG!A$2:G$506,5,0)</f>
        <v>13.51</v>
      </c>
      <c r="M223">
        <f>VLOOKUP(A223,NYSEARCAGLD!A$2:G$506,5,0)</f>
        <v>118.61</v>
      </c>
      <c r="N223">
        <f>VLOOKUP(A223,NYSEBP!A$2:G$506,5,0)</f>
        <v>29.13</v>
      </c>
      <c r="O223">
        <f>VLOOKUP(A223,NASDAQYHOO!A$2:G$506,5,0)</f>
        <v>36.17</v>
      </c>
    </row>
    <row r="224" spans="1:15">
      <c r="A224" s="39">
        <v>42468</v>
      </c>
      <c r="B224">
        <v>68.06</v>
      </c>
      <c r="C224">
        <f>VLOOKUP(A224,NYSEARCAVTI!A$2:G$506,5,0)</f>
        <v>104.2</v>
      </c>
      <c r="D224">
        <f>VLOOKUP(A224,NYSEARCAVEU!A$2:G$506,5,0)</f>
        <v>42.58</v>
      </c>
      <c r="E224">
        <f>VLOOKUP(A224,NYSEARCAVWO!A$2:G$506,5,0)</f>
        <v>33.869999999999997</v>
      </c>
      <c r="F224">
        <f>VLOOKUP(A224,NYSEARCABND!A$2:G$506,5,0)</f>
        <v>83.04</v>
      </c>
      <c r="G224">
        <f>VLOOKUP(A224,NYSEARCATIP!A$2:G$506,5,0)</f>
        <v>114.86</v>
      </c>
      <c r="H224">
        <f>VLOOKUP(A224,NYSEARCAMUB!A$2:G$506,5,0)</f>
        <v>112.17</v>
      </c>
      <c r="I224">
        <f>VLOOKUP(A224,NYSEARCAVNQ!A$2:G$506,5,0)</f>
        <v>83.16</v>
      </c>
      <c r="J224">
        <f>VLOOKUP(A224,NYSEARCARWX!A$2:G$506,5,0)</f>
        <v>41.3</v>
      </c>
      <c r="K224">
        <f>VLOOKUP(A224,NYSEARCADBC!A$2:G$506,5,0)</f>
        <v>13.26</v>
      </c>
      <c r="L224">
        <f>VLOOKUP(A224,NYSEARCAGSG!A$2:G$506,5,0)</f>
        <v>13.95</v>
      </c>
      <c r="M224">
        <f>VLOOKUP(A224,NYSEARCAGLD!A$2:G$506,5,0)</f>
        <v>118.43</v>
      </c>
      <c r="N224">
        <f>VLOOKUP(A224,NYSEBP!A$2:G$506,5,0)</f>
        <v>30.15</v>
      </c>
      <c r="O224">
        <f>VLOOKUP(A224,NASDAQYHOO!A$2:G$506,5,0)</f>
        <v>36.07</v>
      </c>
    </row>
    <row r="225" spans="1:15">
      <c r="A225" s="39">
        <v>42471</v>
      </c>
      <c r="B225">
        <v>67.400000000000006</v>
      </c>
      <c r="C225">
        <f>VLOOKUP(A225,NYSEARCAVTI!A$2:G$506,5,0)</f>
        <v>103.91</v>
      </c>
      <c r="D225">
        <f>VLOOKUP(A225,NYSEARCAVEU!A$2:G$506,5,0)</f>
        <v>42.71</v>
      </c>
      <c r="E225">
        <f>VLOOKUP(A225,NYSEARCAVWO!A$2:G$506,5,0)</f>
        <v>34.32</v>
      </c>
      <c r="F225">
        <f>VLOOKUP(A225,NYSEARCABND!A$2:G$506,5,0)</f>
        <v>83.03</v>
      </c>
      <c r="G225">
        <f>VLOOKUP(A225,NYSEARCATIP!A$2:G$506,5,0)</f>
        <v>114.57</v>
      </c>
      <c r="H225">
        <f>VLOOKUP(A225,NYSEARCAMUB!A$2:G$506,5,0)</f>
        <v>112.15</v>
      </c>
      <c r="I225">
        <f>VLOOKUP(A225,NYSEARCAVNQ!A$2:G$506,5,0)</f>
        <v>82.99</v>
      </c>
      <c r="J225">
        <f>VLOOKUP(A225,NYSEARCARWX!A$2:G$506,5,0)</f>
        <v>41.47</v>
      </c>
      <c r="K225">
        <f>VLOOKUP(A225,NYSEARCADBC!A$2:G$506,5,0)</f>
        <v>13.36</v>
      </c>
      <c r="L225">
        <f>VLOOKUP(A225,NYSEARCAGSG!A$2:G$506,5,0)</f>
        <v>14.06</v>
      </c>
      <c r="M225">
        <f>VLOOKUP(A225,NYSEARCAGLD!A$2:G$506,5,0)</f>
        <v>120.03</v>
      </c>
      <c r="N225">
        <f>VLOOKUP(A225,NYSEBP!A$2:G$506,5,0)</f>
        <v>30.31</v>
      </c>
      <c r="O225">
        <f>VLOOKUP(A225,NASDAQYHOO!A$2:G$506,5,0)</f>
        <v>36.479999999999997</v>
      </c>
    </row>
    <row r="226" spans="1:15">
      <c r="A226" s="39">
        <v>42472</v>
      </c>
      <c r="B226">
        <v>68.8</v>
      </c>
      <c r="C226">
        <f>VLOOKUP(A226,NYSEARCAVTI!A$2:G$506,5,0)</f>
        <v>104.92</v>
      </c>
      <c r="D226">
        <f>VLOOKUP(A226,NYSEARCAVEU!A$2:G$506,5,0)</f>
        <v>43.41</v>
      </c>
      <c r="E226">
        <f>VLOOKUP(A226,NYSEARCAVWO!A$2:G$506,5,0)</f>
        <v>34.85</v>
      </c>
      <c r="F226">
        <f>VLOOKUP(A226,NYSEARCABND!A$2:G$506,5,0)</f>
        <v>82.9</v>
      </c>
      <c r="G226">
        <f>VLOOKUP(A226,NYSEARCATIP!A$2:G$506,5,0)</f>
        <v>114.09</v>
      </c>
      <c r="H226">
        <f>VLOOKUP(A226,NYSEARCAMUB!A$2:G$506,5,0)</f>
        <v>112.1</v>
      </c>
      <c r="I226">
        <f>VLOOKUP(A226,NYSEARCAVNQ!A$2:G$506,5,0)</f>
        <v>83.59</v>
      </c>
      <c r="J226">
        <f>VLOOKUP(A226,NYSEARCARWX!A$2:G$506,5,0)</f>
        <v>41.8</v>
      </c>
      <c r="K226">
        <f>VLOOKUP(A226,NYSEARCADBC!A$2:G$506,5,0)</f>
        <v>13.65</v>
      </c>
      <c r="L226">
        <f>VLOOKUP(A226,NYSEARCAGSG!A$2:G$506,5,0)</f>
        <v>14.43</v>
      </c>
      <c r="M226">
        <f>VLOOKUP(A226,NYSEARCAGLD!A$2:G$506,5,0)</f>
        <v>120.05</v>
      </c>
      <c r="N226">
        <f>VLOOKUP(A226,NYSEBP!A$2:G$506,5,0)</f>
        <v>31.2</v>
      </c>
      <c r="O226">
        <f>VLOOKUP(A226,NASDAQYHOO!A$2:G$506,5,0)</f>
        <v>36.659999999999997</v>
      </c>
    </row>
    <row r="227" spans="1:15">
      <c r="A227" s="39">
        <v>42473</v>
      </c>
      <c r="B227">
        <v>69.150000000000006</v>
      </c>
      <c r="C227">
        <f>VLOOKUP(A227,NYSEARCAVTI!A$2:G$506,5,0)</f>
        <v>106.15</v>
      </c>
      <c r="D227">
        <f>VLOOKUP(A227,NYSEARCAVEU!A$2:G$506,5,0)</f>
        <v>44.1</v>
      </c>
      <c r="E227">
        <f>VLOOKUP(A227,NYSEARCAVWO!A$2:G$506,5,0)</f>
        <v>35.5</v>
      </c>
      <c r="F227">
        <f>VLOOKUP(A227,NYSEARCABND!A$2:G$506,5,0)</f>
        <v>82.95</v>
      </c>
      <c r="G227">
        <f>VLOOKUP(A227,NYSEARCATIP!A$2:G$506,5,0)</f>
        <v>114.19</v>
      </c>
      <c r="H227">
        <f>VLOOKUP(A227,NYSEARCAMUB!A$2:G$506,5,0)</f>
        <v>112.17</v>
      </c>
      <c r="I227">
        <f>VLOOKUP(A227,NYSEARCAVNQ!A$2:G$506,5,0)</f>
        <v>83.22</v>
      </c>
      <c r="J227">
        <f>VLOOKUP(A227,NYSEARCARWX!A$2:G$506,5,0)</f>
        <v>42.17</v>
      </c>
      <c r="K227">
        <f>VLOOKUP(A227,NYSEARCADBC!A$2:G$506,5,0)</f>
        <v>13.72</v>
      </c>
      <c r="L227">
        <f>VLOOKUP(A227,NYSEARCAGSG!A$2:G$506,5,0)</f>
        <v>14.39</v>
      </c>
      <c r="M227">
        <f>VLOOKUP(A227,NYSEARCAGLD!A$2:G$506,5,0)</f>
        <v>118.77</v>
      </c>
      <c r="N227">
        <f>VLOOKUP(A227,NYSEBP!A$2:G$506,5,0)</f>
        <v>31.38</v>
      </c>
      <c r="O227">
        <f>VLOOKUP(A227,NASDAQYHOO!A$2:G$506,5,0)</f>
        <v>37.31</v>
      </c>
    </row>
    <row r="228" spans="1:15">
      <c r="A228" s="39">
        <v>42474</v>
      </c>
      <c r="B228">
        <v>68.8</v>
      </c>
      <c r="C228">
        <f>VLOOKUP(A228,NYSEARCAVTI!A$2:G$506,5,0)</f>
        <v>106.11</v>
      </c>
      <c r="D228">
        <f>VLOOKUP(A228,NYSEARCAVEU!A$2:G$506,5,0)</f>
        <v>44.11</v>
      </c>
      <c r="E228">
        <f>VLOOKUP(A228,NYSEARCAVWO!A$2:G$506,5,0)</f>
        <v>35.32</v>
      </c>
      <c r="F228">
        <f>VLOOKUP(A228,NYSEARCABND!A$2:G$506,5,0)</f>
        <v>82.88</v>
      </c>
      <c r="G228">
        <f>VLOOKUP(A228,NYSEARCATIP!A$2:G$506,5,0)</f>
        <v>113.92</v>
      </c>
      <c r="H228">
        <f>VLOOKUP(A228,NYSEARCAMUB!A$2:G$506,5,0)</f>
        <v>112.15</v>
      </c>
      <c r="I228">
        <f>VLOOKUP(A228,NYSEARCAVNQ!A$2:G$506,5,0)</f>
        <v>82.76</v>
      </c>
      <c r="J228">
        <f>VLOOKUP(A228,NYSEARCARWX!A$2:G$506,5,0)</f>
        <v>41.94</v>
      </c>
      <c r="K228">
        <f>VLOOKUP(A228,NYSEARCADBC!A$2:G$506,5,0)</f>
        <v>13.61</v>
      </c>
      <c r="L228">
        <f>VLOOKUP(A228,NYSEARCAGSG!A$2:G$506,5,0)</f>
        <v>14.33</v>
      </c>
      <c r="M228">
        <f>VLOOKUP(A228,NYSEARCAGLD!A$2:G$506,5,0)</f>
        <v>117.11</v>
      </c>
      <c r="N228">
        <f>VLOOKUP(A228,NYSEBP!A$2:G$506,5,0)</f>
        <v>30.92</v>
      </c>
      <c r="O228">
        <f>VLOOKUP(A228,NASDAQYHOO!A$2:G$506,5,0)</f>
        <v>37.17</v>
      </c>
    </row>
    <row r="229" spans="1:15">
      <c r="A229" s="39">
        <v>42475</v>
      </c>
      <c r="B229">
        <v>69.06</v>
      </c>
      <c r="C229">
        <f>VLOOKUP(A229,NYSEARCAVTI!A$2:G$506,5,0)</f>
        <v>106.06</v>
      </c>
      <c r="D229">
        <f>VLOOKUP(A229,NYSEARCAVEU!A$2:G$506,5,0)</f>
        <v>43.97</v>
      </c>
      <c r="E229">
        <f>VLOOKUP(A229,NYSEARCAVWO!A$2:G$506,5,0)</f>
        <v>35.11</v>
      </c>
      <c r="F229">
        <f>VLOOKUP(A229,NYSEARCABND!A$2:G$506,5,0)</f>
        <v>83.07</v>
      </c>
      <c r="G229">
        <f>VLOOKUP(A229,NYSEARCATIP!A$2:G$506,5,0)</f>
        <v>114.33</v>
      </c>
      <c r="H229">
        <f>VLOOKUP(A229,NYSEARCAMUB!A$2:G$506,5,0)</f>
        <v>112.26</v>
      </c>
      <c r="I229">
        <f>VLOOKUP(A229,NYSEARCAVNQ!A$2:G$506,5,0)</f>
        <v>83.38</v>
      </c>
      <c r="J229">
        <f>VLOOKUP(A229,NYSEARCARWX!A$2:G$506,5,0)</f>
        <v>41.84</v>
      </c>
      <c r="K229">
        <f>VLOOKUP(A229,NYSEARCADBC!A$2:G$506,5,0)</f>
        <v>13.56</v>
      </c>
      <c r="L229">
        <f>VLOOKUP(A229,NYSEARCAGSG!A$2:G$506,5,0)</f>
        <v>14.21</v>
      </c>
      <c r="M229">
        <f>VLOOKUP(A229,NYSEARCAGLD!A$2:G$506,5,0)</f>
        <v>117.92</v>
      </c>
      <c r="N229">
        <f>VLOOKUP(A229,NYSEBP!A$2:G$506,5,0)</f>
        <v>30.65</v>
      </c>
      <c r="O229">
        <f>VLOOKUP(A229,NASDAQYHOO!A$2:G$506,5,0)</f>
        <v>36.51</v>
      </c>
    </row>
    <row r="230" spans="1:15">
      <c r="A230" s="39">
        <v>42478</v>
      </c>
      <c r="B230">
        <v>69.86</v>
      </c>
      <c r="C230">
        <f>VLOOKUP(A230,NYSEARCAVTI!A$2:G$506,5,0)</f>
        <v>106.77</v>
      </c>
      <c r="D230">
        <f>VLOOKUP(A230,NYSEARCAVEU!A$2:G$506,5,0)</f>
        <v>44.29</v>
      </c>
      <c r="E230">
        <f>VLOOKUP(A230,NYSEARCAVWO!A$2:G$506,5,0)</f>
        <v>35.229999999999997</v>
      </c>
      <c r="F230">
        <f>VLOOKUP(A230,NYSEARCABND!A$2:G$506,5,0)</f>
        <v>83.04</v>
      </c>
      <c r="G230">
        <f>VLOOKUP(A230,NYSEARCATIP!A$2:G$506,5,0)</f>
        <v>114.31</v>
      </c>
      <c r="H230">
        <f>VLOOKUP(A230,NYSEARCAMUB!A$2:G$506,5,0)</f>
        <v>112.31</v>
      </c>
      <c r="I230">
        <f>VLOOKUP(A230,NYSEARCAVNQ!A$2:G$506,5,0)</f>
        <v>83.78</v>
      </c>
      <c r="J230">
        <f>VLOOKUP(A230,NYSEARCARWX!A$2:G$506,5,0)</f>
        <v>42.13</v>
      </c>
      <c r="K230">
        <f>VLOOKUP(A230,NYSEARCADBC!A$2:G$506,5,0)</f>
        <v>13.62</v>
      </c>
      <c r="L230">
        <f>VLOOKUP(A230,NYSEARCAGSG!A$2:G$506,5,0)</f>
        <v>14.2</v>
      </c>
      <c r="M230">
        <f>VLOOKUP(A230,NYSEARCAGLD!A$2:G$506,5,0)</f>
        <v>117.74</v>
      </c>
      <c r="N230">
        <f>VLOOKUP(A230,NYSEBP!A$2:G$506,5,0)</f>
        <v>31.06</v>
      </c>
      <c r="O230">
        <f>VLOOKUP(A230,NASDAQYHOO!A$2:G$506,5,0)</f>
        <v>36.520000000000003</v>
      </c>
    </row>
    <row r="231" spans="1:15">
      <c r="A231" s="39">
        <v>42479</v>
      </c>
      <c r="B231">
        <v>69.77</v>
      </c>
      <c r="C231">
        <f>VLOOKUP(A231,NYSEARCAVTI!A$2:G$506,5,0)</f>
        <v>107.07</v>
      </c>
      <c r="D231">
        <f>VLOOKUP(A231,NYSEARCAVEU!A$2:G$506,5,0)</f>
        <v>45.07</v>
      </c>
      <c r="E231">
        <f>VLOOKUP(A231,NYSEARCAVWO!A$2:G$506,5,0)</f>
        <v>35.770000000000003</v>
      </c>
      <c r="F231">
        <f>VLOOKUP(A231,NYSEARCABND!A$2:G$506,5,0)</f>
        <v>83.09</v>
      </c>
      <c r="G231">
        <f>VLOOKUP(A231,NYSEARCATIP!A$2:G$506,5,0)</f>
        <v>114.51</v>
      </c>
      <c r="H231">
        <f>VLOOKUP(A231,NYSEARCAMUB!A$2:G$506,5,0)</f>
        <v>112.23</v>
      </c>
      <c r="I231">
        <f>VLOOKUP(A231,NYSEARCAVNQ!A$2:G$506,5,0)</f>
        <v>83.82</v>
      </c>
      <c r="J231">
        <f>VLOOKUP(A231,NYSEARCARWX!A$2:G$506,5,0)</f>
        <v>42.38</v>
      </c>
      <c r="K231">
        <f>VLOOKUP(A231,NYSEARCADBC!A$2:G$506,5,0)</f>
        <v>13.91</v>
      </c>
      <c r="L231">
        <f>VLOOKUP(A231,NYSEARCAGSG!A$2:G$506,5,0)</f>
        <v>14.51</v>
      </c>
      <c r="M231">
        <f>VLOOKUP(A231,NYSEARCAGLD!A$2:G$506,5,0)</f>
        <v>119.58</v>
      </c>
      <c r="N231">
        <f>VLOOKUP(A231,NYSEBP!A$2:G$506,5,0)</f>
        <v>31.76</v>
      </c>
      <c r="O231">
        <f>VLOOKUP(A231,NASDAQYHOO!A$2:G$506,5,0)</f>
        <v>36.33</v>
      </c>
    </row>
    <row r="232" spans="1:15">
      <c r="A232" s="39">
        <v>42480</v>
      </c>
      <c r="B232">
        <v>69.209999999999994</v>
      </c>
      <c r="C232">
        <f>VLOOKUP(A232,NYSEARCAVTI!A$2:G$506,5,0)</f>
        <v>107.18</v>
      </c>
      <c r="D232">
        <f>VLOOKUP(A232,NYSEARCAVEU!A$2:G$506,5,0)</f>
        <v>45.05</v>
      </c>
      <c r="E232">
        <f>VLOOKUP(A232,NYSEARCAVWO!A$2:G$506,5,0)</f>
        <v>35.54</v>
      </c>
      <c r="F232">
        <f>VLOOKUP(A232,NYSEARCABND!A$2:G$506,5,0)</f>
        <v>82.86</v>
      </c>
      <c r="G232">
        <f>VLOOKUP(A232,NYSEARCATIP!A$2:G$506,5,0)</f>
        <v>114.03</v>
      </c>
      <c r="H232">
        <f>VLOOKUP(A232,NYSEARCAMUB!A$2:G$506,5,0)</f>
        <v>112.11</v>
      </c>
      <c r="I232">
        <f>VLOOKUP(A232,NYSEARCAVNQ!A$2:G$506,5,0)</f>
        <v>82.4</v>
      </c>
      <c r="J232">
        <f>VLOOKUP(A232,NYSEARCARWX!A$2:G$506,5,0)</f>
        <v>42.49</v>
      </c>
      <c r="K232">
        <f>VLOOKUP(A232,NYSEARCADBC!A$2:G$506,5,0)</f>
        <v>14.18</v>
      </c>
      <c r="L232">
        <f>VLOOKUP(A232,NYSEARCAGSG!A$2:G$506,5,0)</f>
        <v>14.83</v>
      </c>
      <c r="M232">
        <f>VLOOKUP(A232,NYSEARCAGLD!A$2:G$506,5,0)</f>
        <v>118.97</v>
      </c>
      <c r="N232">
        <f>VLOOKUP(A232,NYSEBP!A$2:G$506,5,0)</f>
        <v>31.86</v>
      </c>
      <c r="O232">
        <f>VLOOKUP(A232,NASDAQYHOO!A$2:G$506,5,0)</f>
        <v>37.840000000000003</v>
      </c>
    </row>
    <row r="233" spans="1:15">
      <c r="A233" s="39">
        <v>42481</v>
      </c>
      <c r="B233">
        <v>68.47</v>
      </c>
      <c r="C233">
        <f>VLOOKUP(A233,NYSEARCAVTI!A$2:G$506,5,0)</f>
        <v>106.65</v>
      </c>
      <c r="D233">
        <f>VLOOKUP(A233,NYSEARCAVEU!A$2:G$506,5,0)</f>
        <v>44.72</v>
      </c>
      <c r="E233">
        <f>VLOOKUP(A233,NYSEARCAVWO!A$2:G$506,5,0)</f>
        <v>35.15</v>
      </c>
      <c r="F233">
        <f>VLOOKUP(A233,NYSEARCABND!A$2:G$506,5,0)</f>
        <v>82.76</v>
      </c>
      <c r="G233">
        <f>VLOOKUP(A233,NYSEARCATIP!A$2:G$506,5,0)</f>
        <v>113.89</v>
      </c>
      <c r="H233">
        <f>VLOOKUP(A233,NYSEARCAMUB!A$2:G$506,5,0)</f>
        <v>112.14</v>
      </c>
      <c r="I233">
        <f>VLOOKUP(A233,NYSEARCAVNQ!A$2:G$506,5,0)</f>
        <v>80.930000000000007</v>
      </c>
      <c r="J233">
        <f>VLOOKUP(A233,NYSEARCARWX!A$2:G$506,5,0)</f>
        <v>42.01</v>
      </c>
      <c r="K233">
        <f>VLOOKUP(A233,NYSEARCADBC!A$2:G$506,5,0)</f>
        <v>14.12</v>
      </c>
      <c r="L233">
        <f>VLOOKUP(A233,NYSEARCAGSG!A$2:G$506,5,0)</f>
        <v>14.76</v>
      </c>
      <c r="M233">
        <f>VLOOKUP(A233,NYSEARCAGLD!A$2:G$506,5,0)</f>
        <v>119.43</v>
      </c>
      <c r="N233">
        <f>VLOOKUP(A233,NYSEBP!A$2:G$506,5,0)</f>
        <v>31.74</v>
      </c>
      <c r="O233">
        <f>VLOOKUP(A233,NASDAQYHOO!A$2:G$506,5,0)</f>
        <v>37.67</v>
      </c>
    </row>
    <row r="234" spans="1:15">
      <c r="A234" s="39">
        <v>42482</v>
      </c>
      <c r="B234">
        <v>68.72</v>
      </c>
      <c r="C234">
        <f>VLOOKUP(A234,NYSEARCAVTI!A$2:G$506,5,0)</f>
        <v>106.8</v>
      </c>
      <c r="D234">
        <f>VLOOKUP(A234,NYSEARCAVEU!A$2:G$506,5,0)</f>
        <v>44.69</v>
      </c>
      <c r="E234">
        <f>VLOOKUP(A234,NYSEARCAVWO!A$2:G$506,5,0)</f>
        <v>35.020000000000003</v>
      </c>
      <c r="F234">
        <f>VLOOKUP(A234,NYSEARCABND!A$2:G$506,5,0)</f>
        <v>82.73</v>
      </c>
      <c r="G234">
        <f>VLOOKUP(A234,NYSEARCATIP!A$2:G$506,5,0)</f>
        <v>113.82</v>
      </c>
      <c r="H234">
        <f>VLOOKUP(A234,NYSEARCAMUB!A$2:G$506,5,0)</f>
        <v>112.05</v>
      </c>
      <c r="I234">
        <f>VLOOKUP(A234,NYSEARCAVNQ!A$2:G$506,5,0)</f>
        <v>81.81</v>
      </c>
      <c r="J234">
        <f>VLOOKUP(A234,NYSEARCARWX!A$2:G$506,5,0)</f>
        <v>41.98</v>
      </c>
      <c r="K234">
        <f>VLOOKUP(A234,NYSEARCADBC!A$2:G$506,5,0)</f>
        <v>14.06</v>
      </c>
      <c r="L234">
        <f>VLOOKUP(A234,NYSEARCAGSG!A$2:G$506,5,0)</f>
        <v>14.68</v>
      </c>
      <c r="M234">
        <f>VLOOKUP(A234,NYSEARCAGLD!A$2:G$506,5,0)</f>
        <v>117.89</v>
      </c>
      <c r="N234">
        <f>VLOOKUP(A234,NYSEBP!A$2:G$506,5,0)</f>
        <v>32.15</v>
      </c>
      <c r="O234">
        <f>VLOOKUP(A234,NASDAQYHOO!A$2:G$506,5,0)</f>
        <v>37.479999999999997</v>
      </c>
    </row>
    <row r="235" spans="1:15">
      <c r="A235" s="39">
        <v>42485</v>
      </c>
      <c r="B235">
        <v>69.47</v>
      </c>
      <c r="C235">
        <f>VLOOKUP(A235,NYSEARCAVTI!A$2:G$506,5,0)</f>
        <v>106.54</v>
      </c>
      <c r="D235">
        <f>VLOOKUP(A235,NYSEARCAVEU!A$2:G$506,5,0)</f>
        <v>44.46</v>
      </c>
      <c r="E235">
        <f>VLOOKUP(A235,NYSEARCAVWO!A$2:G$506,5,0)</f>
        <v>34.74</v>
      </c>
      <c r="F235">
        <f>VLOOKUP(A235,NYSEARCABND!A$2:G$506,5,0)</f>
        <v>82.63</v>
      </c>
      <c r="G235">
        <f>VLOOKUP(A235,NYSEARCATIP!A$2:G$506,5,0)</f>
        <v>113.69</v>
      </c>
      <c r="H235">
        <f>VLOOKUP(A235,NYSEARCAMUB!A$2:G$506,5,0)</f>
        <v>112.01</v>
      </c>
      <c r="I235">
        <f>VLOOKUP(A235,NYSEARCAVNQ!A$2:G$506,5,0)</f>
        <v>82.49</v>
      </c>
      <c r="J235">
        <f>VLOOKUP(A235,NYSEARCARWX!A$2:G$506,5,0)</f>
        <v>42.36</v>
      </c>
      <c r="K235">
        <f>VLOOKUP(A235,NYSEARCADBC!A$2:G$506,5,0)</f>
        <v>14.05</v>
      </c>
      <c r="L235">
        <f>VLOOKUP(A235,NYSEARCAGSG!A$2:G$506,5,0)</f>
        <v>14.6</v>
      </c>
      <c r="M235">
        <f>VLOOKUP(A235,NYSEARCAGLD!A$2:G$506,5,0)</f>
        <v>118.23</v>
      </c>
      <c r="N235">
        <f>VLOOKUP(A235,NYSEBP!A$2:G$506,5,0)</f>
        <v>31.79</v>
      </c>
      <c r="O235">
        <f>VLOOKUP(A235,NASDAQYHOO!A$2:G$506,5,0)</f>
        <v>37.229999999999997</v>
      </c>
    </row>
    <row r="236" spans="1:15">
      <c r="A236" s="39">
        <v>42486</v>
      </c>
      <c r="B236">
        <v>69.3</v>
      </c>
      <c r="C236">
        <f>VLOOKUP(A236,NYSEARCAVTI!A$2:G$506,5,0)</f>
        <v>106.83</v>
      </c>
      <c r="D236">
        <f>VLOOKUP(A236,NYSEARCAVEU!A$2:G$506,5,0)</f>
        <v>44.64</v>
      </c>
      <c r="E236">
        <f>VLOOKUP(A236,NYSEARCAVWO!A$2:G$506,5,0)</f>
        <v>35.15</v>
      </c>
      <c r="F236">
        <f>VLOOKUP(A236,NYSEARCABND!A$2:G$506,5,0)</f>
        <v>82.51</v>
      </c>
      <c r="G236">
        <f>VLOOKUP(A236,NYSEARCATIP!A$2:G$506,5,0)</f>
        <v>113.64</v>
      </c>
      <c r="H236">
        <f>VLOOKUP(A236,NYSEARCAMUB!A$2:G$506,5,0)</f>
        <v>112</v>
      </c>
      <c r="I236">
        <f>VLOOKUP(A236,NYSEARCAVNQ!A$2:G$506,5,0)</f>
        <v>82.81</v>
      </c>
      <c r="J236">
        <f>VLOOKUP(A236,NYSEARCARWX!A$2:G$506,5,0)</f>
        <v>42.69</v>
      </c>
      <c r="K236">
        <f>VLOOKUP(A236,NYSEARCADBC!A$2:G$506,5,0)</f>
        <v>14.23</v>
      </c>
      <c r="L236">
        <f>VLOOKUP(A236,NYSEARCAGSG!A$2:G$506,5,0)</f>
        <v>14.84</v>
      </c>
      <c r="M236">
        <f>VLOOKUP(A236,NYSEARCAGLD!A$2:G$506,5,0)</f>
        <v>118.7</v>
      </c>
      <c r="N236">
        <f>VLOOKUP(A236,NYSEBP!A$2:G$506,5,0)</f>
        <v>33.49</v>
      </c>
      <c r="O236">
        <f>VLOOKUP(A236,NASDAQYHOO!A$2:G$506,5,0)</f>
        <v>37.11</v>
      </c>
    </row>
    <row r="237" spans="1:15">
      <c r="A237" s="39">
        <v>42487</v>
      </c>
      <c r="B237">
        <v>69.42</v>
      </c>
      <c r="C237">
        <f>VLOOKUP(A237,NYSEARCAVTI!A$2:G$506,5,0)</f>
        <v>107.09</v>
      </c>
      <c r="D237">
        <f>VLOOKUP(A237,NYSEARCAVEU!A$2:G$506,5,0)</f>
        <v>44.74</v>
      </c>
      <c r="E237">
        <f>VLOOKUP(A237,NYSEARCAVWO!A$2:G$506,5,0)</f>
        <v>35.36</v>
      </c>
      <c r="F237">
        <f>VLOOKUP(A237,NYSEARCABND!A$2:G$506,5,0)</f>
        <v>82.76</v>
      </c>
      <c r="G237">
        <f>VLOOKUP(A237,NYSEARCATIP!A$2:G$506,5,0)</f>
        <v>114.33</v>
      </c>
      <c r="H237">
        <f>VLOOKUP(A237,NYSEARCAMUB!A$2:G$506,5,0)</f>
        <v>112.04</v>
      </c>
      <c r="I237">
        <f>VLOOKUP(A237,NYSEARCAVNQ!A$2:G$506,5,0)</f>
        <v>82.76</v>
      </c>
      <c r="J237">
        <f>VLOOKUP(A237,NYSEARCARWX!A$2:G$506,5,0)</f>
        <v>42.62</v>
      </c>
      <c r="K237">
        <f>VLOOKUP(A237,NYSEARCADBC!A$2:G$506,5,0)</f>
        <v>14.36</v>
      </c>
      <c r="L237">
        <f>VLOOKUP(A237,NYSEARCAGSG!A$2:G$506,5,0)</f>
        <v>15.05</v>
      </c>
      <c r="M237">
        <f>VLOOKUP(A237,NYSEARCAGLD!A$2:G$506,5,0)</f>
        <v>119.04</v>
      </c>
      <c r="N237">
        <f>VLOOKUP(A237,NYSEBP!A$2:G$506,5,0)</f>
        <v>33.840000000000003</v>
      </c>
      <c r="O237">
        <f>VLOOKUP(A237,NASDAQYHOO!A$2:G$506,5,0)</f>
        <v>36.950000000000003</v>
      </c>
    </row>
    <row r="238" spans="1:15">
      <c r="A238" s="39">
        <v>42488</v>
      </c>
      <c r="B238">
        <v>68.91</v>
      </c>
      <c r="C238">
        <f>VLOOKUP(A238,NYSEARCAVTI!A$2:G$506,5,0)</f>
        <v>106.13</v>
      </c>
      <c r="D238">
        <f>VLOOKUP(A238,NYSEARCAVEU!A$2:G$506,5,0)</f>
        <v>44.2</v>
      </c>
      <c r="E238">
        <f>VLOOKUP(A238,NYSEARCAVWO!A$2:G$506,5,0)</f>
        <v>35</v>
      </c>
      <c r="F238">
        <f>VLOOKUP(A238,NYSEARCABND!A$2:G$506,5,0)</f>
        <v>82.91</v>
      </c>
      <c r="G238">
        <f>VLOOKUP(A238,NYSEARCATIP!A$2:G$506,5,0)</f>
        <v>114.93</v>
      </c>
      <c r="H238">
        <f>VLOOKUP(A238,NYSEARCAMUB!A$2:G$506,5,0)</f>
        <v>112.17</v>
      </c>
      <c r="I238">
        <f>VLOOKUP(A238,NYSEARCAVNQ!A$2:G$506,5,0)</f>
        <v>82.59</v>
      </c>
      <c r="J238">
        <f>VLOOKUP(A238,NYSEARCARWX!A$2:G$506,5,0)</f>
        <v>42.35</v>
      </c>
      <c r="K238">
        <f>VLOOKUP(A238,NYSEARCADBC!A$2:G$506,5,0)</f>
        <v>14.44</v>
      </c>
      <c r="L238">
        <f>VLOOKUP(A238,NYSEARCAGSG!A$2:G$506,5,0)</f>
        <v>15.1</v>
      </c>
      <c r="M238">
        <f>VLOOKUP(A238,NYSEARCAGLD!A$2:G$506,5,0)</f>
        <v>121.29</v>
      </c>
      <c r="N238">
        <f>VLOOKUP(A238,NYSEBP!A$2:G$506,5,0)</f>
        <v>33.49</v>
      </c>
      <c r="O238">
        <f>VLOOKUP(A238,NASDAQYHOO!A$2:G$506,5,0)</f>
        <v>36.590000000000003</v>
      </c>
    </row>
    <row r="239" spans="1:15">
      <c r="A239" s="39">
        <v>42489</v>
      </c>
      <c r="B239">
        <v>66.87</v>
      </c>
      <c r="C239">
        <f>VLOOKUP(A239,NYSEARCAVTI!A$2:G$506,5,0)</f>
        <v>105.51</v>
      </c>
      <c r="D239">
        <f>VLOOKUP(A239,NYSEARCAVEU!A$2:G$506,5,0)</f>
        <v>44.06</v>
      </c>
      <c r="E239">
        <f>VLOOKUP(A239,NYSEARCAVWO!A$2:G$506,5,0)</f>
        <v>34.93</v>
      </c>
      <c r="F239">
        <f>VLOOKUP(A239,NYSEARCABND!A$2:G$506,5,0)</f>
        <v>82.97</v>
      </c>
      <c r="G239">
        <f>VLOOKUP(A239,NYSEARCATIP!A$2:G$506,5,0)</f>
        <v>114.88</v>
      </c>
      <c r="H239">
        <f>VLOOKUP(A239,NYSEARCAMUB!A$2:G$506,5,0)</f>
        <v>112.21</v>
      </c>
      <c r="I239">
        <f>VLOOKUP(A239,NYSEARCAVNQ!A$2:G$506,5,0)</f>
        <v>81.83</v>
      </c>
      <c r="J239">
        <f>VLOOKUP(A239,NYSEARCARWX!A$2:G$506,5,0)</f>
        <v>42.36</v>
      </c>
      <c r="K239">
        <f>VLOOKUP(A239,NYSEARCADBC!A$2:G$506,5,0)</f>
        <v>14.58</v>
      </c>
      <c r="L239">
        <f>VLOOKUP(A239,NYSEARCAGSG!A$2:G$506,5,0)</f>
        <v>15.22</v>
      </c>
      <c r="M239">
        <f>VLOOKUP(A239,NYSEARCAGLD!A$2:G$506,5,0)</f>
        <v>123.65</v>
      </c>
      <c r="N239">
        <f>VLOOKUP(A239,NYSEBP!A$2:G$506,5,0)</f>
        <v>33.58</v>
      </c>
      <c r="O239">
        <f>VLOOKUP(A239,NASDAQYHOO!A$2:G$506,5,0)</f>
        <v>36.6</v>
      </c>
    </row>
    <row r="240" spans="1:15">
      <c r="A240" s="39">
        <v>42492</v>
      </c>
      <c r="B240">
        <v>67.59</v>
      </c>
      <c r="C240">
        <f>VLOOKUP(A240,NYSEARCAVTI!A$2:G$506,5,0)</f>
        <v>106.33</v>
      </c>
      <c r="D240">
        <f>VLOOKUP(A240,NYSEARCAVEU!A$2:G$506,5,0)</f>
        <v>44.34</v>
      </c>
      <c r="E240">
        <f>VLOOKUP(A240,NYSEARCAVWO!A$2:G$506,5,0)</f>
        <v>34.840000000000003</v>
      </c>
      <c r="F240">
        <f>VLOOKUP(A240,NYSEARCABND!A$2:G$506,5,0)</f>
        <v>82.66</v>
      </c>
      <c r="G240">
        <f>VLOOKUP(A240,NYSEARCATIP!A$2:G$506,5,0)</f>
        <v>114.5</v>
      </c>
      <c r="H240">
        <f>VLOOKUP(A240,NYSEARCAMUB!A$2:G$506,5,0)</f>
        <v>111.97</v>
      </c>
      <c r="I240">
        <f>VLOOKUP(A240,NYSEARCAVNQ!A$2:G$506,5,0)</f>
        <v>83.1</v>
      </c>
      <c r="J240">
        <f>VLOOKUP(A240,NYSEARCARWX!A$2:G$506,5,0)</f>
        <v>42.73</v>
      </c>
      <c r="K240">
        <f>VLOOKUP(A240,NYSEARCADBC!A$2:G$506,5,0)</f>
        <v>14.38</v>
      </c>
      <c r="L240">
        <f>VLOOKUP(A240,NYSEARCAGSG!A$2:G$506,5,0)</f>
        <v>14.97</v>
      </c>
      <c r="M240">
        <f>VLOOKUP(A240,NYSEARCAGLD!A$2:G$506,5,0)</f>
        <v>123.24</v>
      </c>
      <c r="N240">
        <f>VLOOKUP(A240,NYSEBP!A$2:G$506,5,0)</f>
        <v>33.619999999999997</v>
      </c>
      <c r="O240">
        <f>VLOOKUP(A240,NASDAQYHOO!A$2:G$506,5,0)</f>
        <v>36.53</v>
      </c>
    </row>
    <row r="241" spans="1:15">
      <c r="A241" s="39">
        <v>42493</v>
      </c>
      <c r="B241">
        <v>67</v>
      </c>
      <c r="C241">
        <f>VLOOKUP(A241,NYSEARCAVTI!A$2:G$506,5,0)</f>
        <v>105.26</v>
      </c>
      <c r="D241">
        <f>VLOOKUP(A241,NYSEARCAVEU!A$2:G$506,5,0)</f>
        <v>43.5</v>
      </c>
      <c r="E241">
        <f>VLOOKUP(A241,NYSEARCAVWO!A$2:G$506,5,0)</f>
        <v>33.869999999999997</v>
      </c>
      <c r="F241">
        <f>VLOOKUP(A241,NYSEARCABND!A$2:G$506,5,0)</f>
        <v>82.89</v>
      </c>
      <c r="G241">
        <f>VLOOKUP(A241,NYSEARCATIP!A$2:G$506,5,0)</f>
        <v>114.55</v>
      </c>
      <c r="H241">
        <f>VLOOKUP(A241,NYSEARCAMUB!A$2:G$506,5,0)</f>
        <v>112.29</v>
      </c>
      <c r="I241">
        <f>VLOOKUP(A241,NYSEARCAVNQ!A$2:G$506,5,0)</f>
        <v>83.23</v>
      </c>
      <c r="J241">
        <f>VLOOKUP(A241,NYSEARCARWX!A$2:G$506,5,0)</f>
        <v>42.26</v>
      </c>
      <c r="K241">
        <f>VLOOKUP(A241,NYSEARCADBC!A$2:G$506,5,0)</f>
        <v>14.16</v>
      </c>
      <c r="L241">
        <f>VLOOKUP(A241,NYSEARCAGSG!A$2:G$506,5,0)</f>
        <v>14.7</v>
      </c>
      <c r="M241">
        <f>VLOOKUP(A241,NYSEARCAGLD!A$2:G$506,5,0)</f>
        <v>122.96</v>
      </c>
      <c r="N241">
        <f>VLOOKUP(A241,NYSEBP!A$2:G$506,5,0)</f>
        <v>32.56</v>
      </c>
      <c r="O241">
        <f>VLOOKUP(A241,NASDAQYHOO!A$2:G$506,5,0)</f>
        <v>36.01</v>
      </c>
    </row>
    <row r="242" spans="1:15">
      <c r="A242" s="39">
        <v>42494</v>
      </c>
      <c r="B242">
        <v>67.19</v>
      </c>
      <c r="C242">
        <f>VLOOKUP(A242,NYSEARCAVTI!A$2:G$506,5,0)</f>
        <v>104.64</v>
      </c>
      <c r="D242">
        <f>VLOOKUP(A242,NYSEARCAVEU!A$2:G$506,5,0)</f>
        <v>42.99</v>
      </c>
      <c r="E242">
        <f>VLOOKUP(A242,NYSEARCAVWO!A$2:G$506,5,0)</f>
        <v>33.39</v>
      </c>
      <c r="F242">
        <f>VLOOKUP(A242,NYSEARCABND!A$2:G$506,5,0)</f>
        <v>82.92</v>
      </c>
      <c r="G242">
        <f>VLOOKUP(A242,NYSEARCATIP!A$2:G$506,5,0)</f>
        <v>114.68</v>
      </c>
      <c r="H242">
        <f>VLOOKUP(A242,NYSEARCAMUB!A$2:G$506,5,0)</f>
        <v>112.31</v>
      </c>
      <c r="I242">
        <f>VLOOKUP(A242,NYSEARCAVNQ!A$2:G$506,5,0)</f>
        <v>84.42</v>
      </c>
      <c r="J242">
        <f>VLOOKUP(A242,NYSEARCARWX!A$2:G$506,5,0)</f>
        <v>42.02</v>
      </c>
      <c r="K242">
        <f>VLOOKUP(A242,NYSEARCADBC!A$2:G$506,5,0)</f>
        <v>14.17</v>
      </c>
      <c r="L242">
        <f>VLOOKUP(A242,NYSEARCAGSG!A$2:G$506,5,0)</f>
        <v>14.7</v>
      </c>
      <c r="M242">
        <f>VLOOKUP(A242,NYSEARCAGLD!A$2:G$506,5,0)</f>
        <v>122.21</v>
      </c>
      <c r="N242">
        <f>VLOOKUP(A242,NYSEBP!A$2:G$506,5,0)</f>
        <v>31.42</v>
      </c>
      <c r="O242">
        <f>VLOOKUP(A242,NASDAQYHOO!A$2:G$506,5,0)</f>
        <v>36</v>
      </c>
    </row>
    <row r="243" spans="1:15">
      <c r="A243" s="39">
        <v>42495</v>
      </c>
      <c r="B243">
        <v>67.209999999999994</v>
      </c>
      <c r="C243">
        <f>VLOOKUP(A243,NYSEARCAVTI!A$2:G$506,5,0)</f>
        <v>104.6</v>
      </c>
      <c r="D243">
        <f>VLOOKUP(A243,NYSEARCAVEU!A$2:G$506,5,0)</f>
        <v>42.94</v>
      </c>
      <c r="E243">
        <f>VLOOKUP(A243,NYSEARCAVWO!A$2:G$506,5,0)</f>
        <v>33.39</v>
      </c>
      <c r="F243">
        <f>VLOOKUP(A243,NYSEARCABND!A$2:G$506,5,0)</f>
        <v>83.07</v>
      </c>
      <c r="G243">
        <f>VLOOKUP(A243,NYSEARCATIP!A$2:G$506,5,0)</f>
        <v>115.05</v>
      </c>
      <c r="H243">
        <f>VLOOKUP(A243,NYSEARCAMUB!A$2:G$506,5,0)</f>
        <v>112.38</v>
      </c>
      <c r="I243">
        <f>VLOOKUP(A243,NYSEARCAVNQ!A$2:G$506,5,0)</f>
        <v>84.66</v>
      </c>
      <c r="J243">
        <f>VLOOKUP(A243,NYSEARCARWX!A$2:G$506,5,0)</f>
        <v>42.01</v>
      </c>
      <c r="K243">
        <f>VLOOKUP(A243,NYSEARCADBC!A$2:G$506,5,0)</f>
        <v>14.03</v>
      </c>
      <c r="L243">
        <f>VLOOKUP(A243,NYSEARCAGSG!A$2:G$506,5,0)</f>
        <v>14.67</v>
      </c>
      <c r="M243">
        <f>VLOOKUP(A243,NYSEARCAGLD!A$2:G$506,5,0)</f>
        <v>122.07</v>
      </c>
      <c r="N243">
        <f>VLOOKUP(A243,NYSEBP!A$2:G$506,5,0)</f>
        <v>31.58</v>
      </c>
      <c r="O243">
        <f>VLOOKUP(A243,NASDAQYHOO!A$2:G$506,5,0)</f>
        <v>36.94</v>
      </c>
    </row>
    <row r="244" spans="1:15">
      <c r="A244" s="39">
        <v>42496</v>
      </c>
      <c r="B244">
        <v>68.25</v>
      </c>
      <c r="C244">
        <f>VLOOKUP(A244,NYSEARCAVTI!A$2:G$506,5,0)</f>
        <v>104.98</v>
      </c>
      <c r="D244">
        <f>VLOOKUP(A244,NYSEARCAVEU!A$2:G$506,5,0)</f>
        <v>43.04</v>
      </c>
      <c r="E244">
        <f>VLOOKUP(A244,NYSEARCAVWO!A$2:G$506,5,0)</f>
        <v>33.47</v>
      </c>
      <c r="F244">
        <f>VLOOKUP(A244,NYSEARCABND!A$2:G$506,5,0)</f>
        <v>83.03</v>
      </c>
      <c r="G244">
        <f>VLOOKUP(A244,NYSEARCATIP!A$2:G$506,5,0)</f>
        <v>114.65</v>
      </c>
      <c r="H244">
        <f>VLOOKUP(A244,NYSEARCAMUB!A$2:G$506,5,0)</f>
        <v>112.35</v>
      </c>
      <c r="I244">
        <f>VLOOKUP(A244,NYSEARCAVNQ!A$2:G$506,5,0)</f>
        <v>85.59</v>
      </c>
      <c r="J244">
        <f>VLOOKUP(A244,NYSEARCARWX!A$2:G$506,5,0)</f>
        <v>42.08</v>
      </c>
      <c r="K244">
        <f>VLOOKUP(A244,NYSEARCADBC!A$2:G$506,5,0)</f>
        <v>14.12</v>
      </c>
      <c r="L244">
        <f>VLOOKUP(A244,NYSEARCAGSG!A$2:G$506,5,0)</f>
        <v>14.77</v>
      </c>
      <c r="M244">
        <f>VLOOKUP(A244,NYSEARCAGLD!A$2:G$506,5,0)</f>
        <v>123.18</v>
      </c>
      <c r="N244">
        <f>VLOOKUP(A244,NYSEBP!A$2:G$506,5,0)</f>
        <v>31.58</v>
      </c>
      <c r="O244">
        <f>VLOOKUP(A244,NASDAQYHOO!A$2:G$506,5,0)</f>
        <v>37.229999999999997</v>
      </c>
    </row>
    <row r="245" spans="1:15">
      <c r="A245" s="39">
        <v>42499</v>
      </c>
      <c r="B245">
        <v>68.95</v>
      </c>
      <c r="C245">
        <f>VLOOKUP(A245,NYSEARCAVTI!A$2:G$506,5,0)</f>
        <v>105.09</v>
      </c>
      <c r="D245">
        <f>VLOOKUP(A245,NYSEARCAVEU!A$2:G$506,5,0)</f>
        <v>42.83</v>
      </c>
      <c r="E245">
        <f>VLOOKUP(A245,NYSEARCAVWO!A$2:G$506,5,0)</f>
        <v>32.96</v>
      </c>
      <c r="F245">
        <f>VLOOKUP(A245,NYSEARCABND!A$2:G$506,5,0)</f>
        <v>83.09</v>
      </c>
      <c r="G245">
        <f>VLOOKUP(A245,NYSEARCATIP!A$2:G$506,5,0)</f>
        <v>114.72</v>
      </c>
      <c r="H245">
        <f>VLOOKUP(A245,NYSEARCAMUB!A$2:G$506,5,0)</f>
        <v>112.46</v>
      </c>
      <c r="I245">
        <f>VLOOKUP(A245,NYSEARCAVNQ!A$2:G$506,5,0)</f>
        <v>86.53</v>
      </c>
      <c r="J245">
        <f>VLOOKUP(A245,NYSEARCARWX!A$2:G$506,5,0)</f>
        <v>42.11</v>
      </c>
      <c r="K245">
        <f>VLOOKUP(A245,NYSEARCADBC!A$2:G$506,5,0)</f>
        <v>13.81</v>
      </c>
      <c r="L245">
        <f>VLOOKUP(A245,NYSEARCAGSG!A$2:G$506,5,0)</f>
        <v>14.42</v>
      </c>
      <c r="M245">
        <f>VLOOKUP(A245,NYSEARCAGLD!A$2:G$506,5,0)</f>
        <v>120.65</v>
      </c>
      <c r="N245">
        <f>VLOOKUP(A245,NYSEBP!A$2:G$506,5,0)</f>
        <v>31.08</v>
      </c>
      <c r="O245">
        <f>VLOOKUP(A245,NASDAQYHOO!A$2:G$506,5,0)</f>
        <v>37.18</v>
      </c>
    </row>
    <row r="246" spans="1:15">
      <c r="A246" s="39">
        <v>42500</v>
      </c>
      <c r="B246">
        <v>68.790000000000006</v>
      </c>
      <c r="C246">
        <f>VLOOKUP(A246,NYSEARCAVTI!A$2:G$506,5,0)</f>
        <v>106.34</v>
      </c>
      <c r="D246">
        <f>VLOOKUP(A246,NYSEARCAVEU!A$2:G$506,5,0)</f>
        <v>43.54</v>
      </c>
      <c r="E246">
        <f>VLOOKUP(A246,NYSEARCAVWO!A$2:G$506,5,0)</f>
        <v>33.619999999999997</v>
      </c>
      <c r="F246">
        <f>VLOOKUP(A246,NYSEARCABND!A$2:G$506,5,0)</f>
        <v>83.09</v>
      </c>
      <c r="G246">
        <f>VLOOKUP(A246,NYSEARCATIP!A$2:G$506,5,0)</f>
        <v>115.07</v>
      </c>
      <c r="H246">
        <f>VLOOKUP(A246,NYSEARCAMUB!A$2:G$506,5,0)</f>
        <v>112.48</v>
      </c>
      <c r="I246">
        <f>VLOOKUP(A246,NYSEARCAVNQ!A$2:G$506,5,0)</f>
        <v>86.52</v>
      </c>
      <c r="J246">
        <f>VLOOKUP(A246,NYSEARCARWX!A$2:G$506,5,0)</f>
        <v>42.62</v>
      </c>
      <c r="K246">
        <f>VLOOKUP(A246,NYSEARCADBC!A$2:G$506,5,0)</f>
        <v>14.15</v>
      </c>
      <c r="L246">
        <f>VLOOKUP(A246,NYSEARCAGSG!A$2:G$506,5,0)</f>
        <v>14.8</v>
      </c>
      <c r="M246">
        <f>VLOOKUP(A246,NYSEARCAGLD!A$2:G$506,5,0)</f>
        <v>120.98</v>
      </c>
      <c r="N246">
        <f>VLOOKUP(A246,NYSEBP!A$2:G$506,5,0)</f>
        <v>31.68</v>
      </c>
      <c r="O246">
        <f>VLOOKUP(A246,NASDAQYHOO!A$2:G$506,5,0)</f>
        <v>37.44</v>
      </c>
    </row>
    <row r="247" spans="1:15">
      <c r="A247" s="39">
        <v>42501</v>
      </c>
      <c r="B247">
        <v>66.41</v>
      </c>
      <c r="C247">
        <f>VLOOKUP(A247,NYSEARCAVTI!A$2:G$506,5,0)</f>
        <v>105.37</v>
      </c>
      <c r="D247">
        <f>VLOOKUP(A247,NYSEARCAVEU!A$2:G$506,5,0)</f>
        <v>43.24</v>
      </c>
      <c r="E247">
        <f>VLOOKUP(A247,NYSEARCAVWO!A$2:G$506,5,0)</f>
        <v>33.520000000000003</v>
      </c>
      <c r="F247">
        <f>VLOOKUP(A247,NYSEARCABND!A$2:G$506,5,0)</f>
        <v>83.11</v>
      </c>
      <c r="G247">
        <f>VLOOKUP(A247,NYSEARCATIP!A$2:G$506,5,0)</f>
        <v>115.05</v>
      </c>
      <c r="H247">
        <f>VLOOKUP(A247,NYSEARCAMUB!A$2:G$506,5,0)</f>
        <v>112.57</v>
      </c>
      <c r="I247">
        <f>VLOOKUP(A247,NYSEARCAVNQ!A$2:G$506,5,0)</f>
        <v>84.67</v>
      </c>
      <c r="J247">
        <f>VLOOKUP(A247,NYSEARCARWX!A$2:G$506,5,0)</f>
        <v>42.13</v>
      </c>
      <c r="K247">
        <f>VLOOKUP(A247,NYSEARCADBC!A$2:G$506,5,0)</f>
        <v>14.48</v>
      </c>
      <c r="L247">
        <f>VLOOKUP(A247,NYSEARCAGSG!A$2:G$506,5,0)</f>
        <v>15.13</v>
      </c>
      <c r="M247">
        <f>VLOOKUP(A247,NYSEARCAGLD!A$2:G$506,5,0)</f>
        <v>122.12</v>
      </c>
      <c r="N247">
        <f>VLOOKUP(A247,NYSEBP!A$2:G$506,5,0)</f>
        <v>31.67</v>
      </c>
      <c r="O247">
        <f>VLOOKUP(A247,NASDAQYHOO!A$2:G$506,5,0)</f>
        <v>37.369999999999997</v>
      </c>
    </row>
    <row r="248" spans="1:15">
      <c r="A248" s="39">
        <v>42502</v>
      </c>
      <c r="B248">
        <v>66.849999999999994</v>
      </c>
      <c r="C248">
        <f>VLOOKUP(A248,NYSEARCAVTI!A$2:G$506,5,0)</f>
        <v>105.33</v>
      </c>
      <c r="D248">
        <f>VLOOKUP(A248,NYSEARCAVEU!A$2:G$506,5,0)</f>
        <v>43.19</v>
      </c>
      <c r="E248">
        <f>VLOOKUP(A248,NYSEARCAVWO!A$2:G$506,5,0)</f>
        <v>33.46</v>
      </c>
      <c r="F248">
        <f>VLOOKUP(A248,NYSEARCABND!A$2:G$506,5,0)</f>
        <v>83.12</v>
      </c>
      <c r="G248">
        <f>VLOOKUP(A248,NYSEARCATIP!A$2:G$506,5,0)</f>
        <v>114.97</v>
      </c>
      <c r="H248">
        <f>VLOOKUP(A248,NYSEARCAMUB!A$2:G$506,5,0)</f>
        <v>112.67</v>
      </c>
      <c r="I248">
        <f>VLOOKUP(A248,NYSEARCAVNQ!A$2:G$506,5,0)</f>
        <v>85.16</v>
      </c>
      <c r="J248">
        <f>VLOOKUP(A248,NYSEARCARWX!A$2:G$506,5,0)</f>
        <v>41.87</v>
      </c>
      <c r="K248">
        <f>VLOOKUP(A248,NYSEARCADBC!A$2:G$506,5,0)</f>
        <v>14.5</v>
      </c>
      <c r="L248">
        <f>VLOOKUP(A248,NYSEARCAGSG!A$2:G$506,5,0)</f>
        <v>15.18</v>
      </c>
      <c r="M248">
        <f>VLOOKUP(A248,NYSEARCAGLD!A$2:G$506,5,0)</f>
        <v>121.16</v>
      </c>
      <c r="N248">
        <f>VLOOKUP(A248,NYSEBP!A$2:G$506,5,0)</f>
        <v>31.86</v>
      </c>
      <c r="O248">
        <f>VLOOKUP(A248,NASDAQYHOO!A$2:G$506,5,0)</f>
        <v>37.03</v>
      </c>
    </row>
    <row r="249" spans="1:15">
      <c r="A249" s="39">
        <v>42503</v>
      </c>
      <c r="B249">
        <v>64.94</v>
      </c>
      <c r="C249">
        <f>VLOOKUP(A249,NYSEARCAVTI!A$2:G$506,5,0)</f>
        <v>104.42</v>
      </c>
      <c r="D249">
        <f>VLOOKUP(A249,NYSEARCAVEU!A$2:G$506,5,0)</f>
        <v>42.62</v>
      </c>
      <c r="E249">
        <f>VLOOKUP(A249,NYSEARCAVWO!A$2:G$506,5,0)</f>
        <v>32.86</v>
      </c>
      <c r="F249">
        <f>VLOOKUP(A249,NYSEARCABND!A$2:G$506,5,0)</f>
        <v>83.21</v>
      </c>
      <c r="G249">
        <f>VLOOKUP(A249,NYSEARCATIP!A$2:G$506,5,0)</f>
        <v>115.25</v>
      </c>
      <c r="H249">
        <f>VLOOKUP(A249,NYSEARCAMUB!A$2:G$506,5,0)</f>
        <v>112.78</v>
      </c>
      <c r="I249">
        <f>VLOOKUP(A249,NYSEARCAVNQ!A$2:G$506,5,0)</f>
        <v>84.4</v>
      </c>
      <c r="J249">
        <f>VLOOKUP(A249,NYSEARCARWX!A$2:G$506,5,0)</f>
        <v>41.45</v>
      </c>
      <c r="K249">
        <f>VLOOKUP(A249,NYSEARCADBC!A$2:G$506,5,0)</f>
        <v>14.48</v>
      </c>
      <c r="L249">
        <f>VLOOKUP(A249,NYSEARCAGSG!A$2:G$506,5,0)</f>
        <v>15.15</v>
      </c>
      <c r="M249">
        <f>VLOOKUP(A249,NYSEARCAGLD!A$2:G$506,5,0)</f>
        <v>121.71</v>
      </c>
      <c r="N249">
        <f>VLOOKUP(A249,NYSEBP!A$2:G$506,5,0)</f>
        <v>31.47</v>
      </c>
      <c r="O249">
        <f>VLOOKUP(A249,NASDAQYHOO!A$2:G$506,5,0)</f>
        <v>36.479999999999997</v>
      </c>
    </row>
    <row r="250" spans="1:15">
      <c r="A250" s="39">
        <v>42506</v>
      </c>
      <c r="B250">
        <v>66.02</v>
      </c>
      <c r="C250">
        <f>VLOOKUP(A250,NYSEARCAVTI!A$2:G$506,5,0)</f>
        <v>105.46</v>
      </c>
      <c r="D250">
        <f>VLOOKUP(A250,NYSEARCAVEU!A$2:G$506,5,0)</f>
        <v>43.17</v>
      </c>
      <c r="E250">
        <f>VLOOKUP(A250,NYSEARCAVWO!A$2:G$506,5,0)</f>
        <v>33.24</v>
      </c>
      <c r="F250">
        <f>VLOOKUP(A250,NYSEARCABND!A$2:G$506,5,0)</f>
        <v>83.03</v>
      </c>
      <c r="G250">
        <f>VLOOKUP(A250,NYSEARCATIP!A$2:G$506,5,0)</f>
        <v>115.12</v>
      </c>
      <c r="H250">
        <f>VLOOKUP(A250,NYSEARCAMUB!A$2:G$506,5,0)</f>
        <v>112.61</v>
      </c>
      <c r="I250">
        <f>VLOOKUP(A250,NYSEARCAVNQ!A$2:G$506,5,0)</f>
        <v>85.2</v>
      </c>
      <c r="J250">
        <f>VLOOKUP(A250,NYSEARCARWX!A$2:G$506,5,0)</f>
        <v>41.96</v>
      </c>
      <c r="K250">
        <f>VLOOKUP(A250,NYSEARCADBC!A$2:G$506,5,0)</f>
        <v>14.64</v>
      </c>
      <c r="L250">
        <f>VLOOKUP(A250,NYSEARCAGSG!A$2:G$506,5,0)</f>
        <v>15.43</v>
      </c>
      <c r="M250">
        <f>VLOOKUP(A250,NYSEARCAGLD!A$2:G$506,5,0)</f>
        <v>121.8</v>
      </c>
      <c r="N250">
        <f>VLOOKUP(A250,NYSEBP!A$2:G$506,5,0)</f>
        <v>32.06</v>
      </c>
      <c r="O250">
        <f>VLOOKUP(A250,NASDAQYHOO!A$2:G$506,5,0)</f>
        <v>37.479999999999997</v>
      </c>
    </row>
    <row r="251" spans="1:15">
      <c r="A251" s="39">
        <v>42507</v>
      </c>
      <c r="B251">
        <v>65.099999999999994</v>
      </c>
      <c r="C251">
        <f>VLOOKUP(A251,NYSEARCAVTI!A$2:G$506,5,0)</f>
        <v>104.51</v>
      </c>
      <c r="D251">
        <f>VLOOKUP(A251,NYSEARCAVEU!A$2:G$506,5,0)</f>
        <v>42.91</v>
      </c>
      <c r="E251">
        <f>VLOOKUP(A251,NYSEARCAVWO!A$2:G$506,5,0)</f>
        <v>33.1</v>
      </c>
      <c r="F251">
        <f>VLOOKUP(A251,NYSEARCABND!A$2:G$506,5,0)</f>
        <v>82.97</v>
      </c>
      <c r="G251">
        <f>VLOOKUP(A251,NYSEARCATIP!A$2:G$506,5,0)</f>
        <v>115.2</v>
      </c>
      <c r="H251">
        <f>VLOOKUP(A251,NYSEARCAMUB!A$2:G$506,5,0)</f>
        <v>112.83</v>
      </c>
      <c r="I251">
        <f>VLOOKUP(A251,NYSEARCAVNQ!A$2:G$506,5,0)</f>
        <v>83.62</v>
      </c>
      <c r="J251">
        <f>VLOOKUP(A251,NYSEARCARWX!A$2:G$506,5,0)</f>
        <v>41.89</v>
      </c>
      <c r="K251">
        <f>VLOOKUP(A251,NYSEARCADBC!A$2:G$506,5,0)</f>
        <v>14.75</v>
      </c>
      <c r="L251">
        <f>VLOOKUP(A251,NYSEARCAGSG!A$2:G$506,5,0)</f>
        <v>15.58</v>
      </c>
      <c r="M251">
        <f>VLOOKUP(A251,NYSEARCAGLD!A$2:G$506,5,0)</f>
        <v>122.22</v>
      </c>
      <c r="N251">
        <f>VLOOKUP(A251,NYSEBP!A$2:G$506,5,0)</f>
        <v>32.22</v>
      </c>
      <c r="O251">
        <f>VLOOKUP(A251,NASDAQYHOO!A$2:G$506,5,0)</f>
        <v>37.270000000000003</v>
      </c>
    </row>
    <row r="252" spans="1:15">
      <c r="A252" s="39">
        <v>42508</v>
      </c>
      <c r="B252">
        <v>63.15</v>
      </c>
      <c r="C252">
        <f>VLOOKUP(A252,NYSEARCAVTI!A$2:G$506,5,0)</f>
        <v>104.5</v>
      </c>
      <c r="D252">
        <f>VLOOKUP(A252,NYSEARCAVEU!A$2:G$506,5,0)</f>
        <v>42.83</v>
      </c>
      <c r="E252">
        <f>VLOOKUP(A252,NYSEARCAVWO!A$2:G$506,5,0)</f>
        <v>32.840000000000003</v>
      </c>
      <c r="F252">
        <f>VLOOKUP(A252,NYSEARCABND!A$2:G$506,5,0)</f>
        <v>82.58</v>
      </c>
      <c r="G252">
        <f>VLOOKUP(A252,NYSEARCATIP!A$2:G$506,5,0)</f>
        <v>114.2</v>
      </c>
      <c r="H252">
        <f>VLOOKUP(A252,NYSEARCAMUB!A$2:G$506,5,0)</f>
        <v>112.53</v>
      </c>
      <c r="I252">
        <f>VLOOKUP(A252,NYSEARCAVNQ!A$2:G$506,5,0)</f>
        <v>82.31</v>
      </c>
      <c r="J252">
        <f>VLOOKUP(A252,NYSEARCARWX!A$2:G$506,5,0)</f>
        <v>41.72</v>
      </c>
      <c r="K252">
        <f>VLOOKUP(A252,NYSEARCADBC!A$2:G$506,5,0)</f>
        <v>14.64</v>
      </c>
      <c r="L252">
        <f>VLOOKUP(A252,NYSEARCAGSG!A$2:G$506,5,0)</f>
        <v>15.39</v>
      </c>
      <c r="M252">
        <f>VLOOKUP(A252,NYSEARCAGLD!A$2:G$506,5,0)</f>
        <v>120.1</v>
      </c>
      <c r="N252">
        <f>VLOOKUP(A252,NYSEBP!A$2:G$506,5,0)</f>
        <v>32.130000000000003</v>
      </c>
      <c r="O252">
        <f>VLOOKUP(A252,NASDAQYHOO!A$2:G$506,5,0)</f>
        <v>37.24</v>
      </c>
    </row>
    <row r="253" spans="1:15">
      <c r="A253" s="39">
        <v>42509</v>
      </c>
      <c r="B253">
        <v>69.2</v>
      </c>
      <c r="C253">
        <f>VLOOKUP(A253,NYSEARCAVTI!A$2:G$506,5,0)</f>
        <v>104.09</v>
      </c>
      <c r="D253">
        <f>VLOOKUP(A253,NYSEARCAVEU!A$2:G$506,5,0)</f>
        <v>42.53</v>
      </c>
      <c r="E253">
        <f>VLOOKUP(A253,NYSEARCAVWO!A$2:G$506,5,0)</f>
        <v>32.44</v>
      </c>
      <c r="F253">
        <f>VLOOKUP(A253,NYSEARCABND!A$2:G$506,5,0)</f>
        <v>82.67</v>
      </c>
      <c r="G253">
        <f>VLOOKUP(A253,NYSEARCATIP!A$2:G$506,5,0)</f>
        <v>114.15</v>
      </c>
      <c r="H253">
        <f>VLOOKUP(A253,NYSEARCAMUB!A$2:G$506,5,0)</f>
        <v>112.51</v>
      </c>
      <c r="I253">
        <f>VLOOKUP(A253,NYSEARCAVNQ!A$2:G$506,5,0)</f>
        <v>81.39</v>
      </c>
      <c r="J253">
        <f>VLOOKUP(A253,NYSEARCARWX!A$2:G$506,5,0)</f>
        <v>41.28</v>
      </c>
      <c r="K253">
        <f>VLOOKUP(A253,NYSEARCADBC!A$2:G$506,5,0)</f>
        <v>14.6</v>
      </c>
      <c r="L253">
        <f>VLOOKUP(A253,NYSEARCAGSG!A$2:G$506,5,0)</f>
        <v>15.37</v>
      </c>
      <c r="M253">
        <f>VLOOKUP(A253,NYSEARCAGLD!A$2:G$506,5,0)</f>
        <v>119.87</v>
      </c>
      <c r="N253">
        <f>VLOOKUP(A253,NYSEBP!A$2:G$506,5,0)</f>
        <v>31.98</v>
      </c>
      <c r="O253">
        <f>VLOOKUP(A253,NASDAQYHOO!A$2:G$506,5,0)</f>
        <v>37.020000000000003</v>
      </c>
    </row>
    <row r="254" spans="1:15">
      <c r="A254" s="39">
        <v>42510</v>
      </c>
      <c r="B254">
        <v>69.86</v>
      </c>
      <c r="C254">
        <f>VLOOKUP(A254,NYSEARCAVTI!A$2:G$506,5,0)</f>
        <v>104.89</v>
      </c>
      <c r="D254">
        <f>VLOOKUP(A254,NYSEARCAVEU!A$2:G$506,5,0)</f>
        <v>42.87</v>
      </c>
      <c r="E254">
        <f>VLOOKUP(A254,NYSEARCAVWO!A$2:G$506,5,0)</f>
        <v>32.799999999999997</v>
      </c>
      <c r="F254">
        <f>VLOOKUP(A254,NYSEARCABND!A$2:G$506,5,0)</f>
        <v>82.67</v>
      </c>
      <c r="G254">
        <f>VLOOKUP(A254,NYSEARCATIP!A$2:G$506,5,0)</f>
        <v>114.09</v>
      </c>
      <c r="H254">
        <f>VLOOKUP(A254,NYSEARCAMUB!A$2:G$506,5,0)</f>
        <v>112.42</v>
      </c>
      <c r="I254">
        <f>VLOOKUP(A254,NYSEARCAVNQ!A$2:G$506,5,0)</f>
        <v>82.04</v>
      </c>
      <c r="J254">
        <f>VLOOKUP(A254,NYSEARCARWX!A$2:G$506,5,0)</f>
        <v>41.46</v>
      </c>
      <c r="K254">
        <f>VLOOKUP(A254,NYSEARCADBC!A$2:G$506,5,0)</f>
        <v>14.66</v>
      </c>
      <c r="L254">
        <f>VLOOKUP(A254,NYSEARCAGSG!A$2:G$506,5,0)</f>
        <v>15.39</v>
      </c>
      <c r="M254">
        <f>VLOOKUP(A254,NYSEARCAGLD!A$2:G$506,5,0)</f>
        <v>119.71</v>
      </c>
      <c r="N254">
        <f>VLOOKUP(A254,NYSEBP!A$2:G$506,5,0)</f>
        <v>31.93</v>
      </c>
      <c r="O254">
        <f>VLOOKUP(A254,NASDAQYHOO!A$2:G$506,5,0)</f>
        <v>36.5</v>
      </c>
    </row>
    <row r="255" spans="1:15">
      <c r="A255" s="39">
        <v>42513</v>
      </c>
      <c r="B255">
        <v>69.5</v>
      </c>
      <c r="C255">
        <f>VLOOKUP(A255,NYSEARCAVTI!A$2:G$506,5,0)</f>
        <v>104.76</v>
      </c>
      <c r="D255">
        <f>VLOOKUP(A255,NYSEARCAVEU!A$2:G$506,5,0)</f>
        <v>42.75</v>
      </c>
      <c r="E255">
        <f>VLOOKUP(A255,NYSEARCAVWO!A$2:G$506,5,0)</f>
        <v>32.729999999999997</v>
      </c>
      <c r="F255">
        <f>VLOOKUP(A255,NYSEARCABND!A$2:G$506,5,0)</f>
        <v>82.69</v>
      </c>
      <c r="G255">
        <f>VLOOKUP(A255,NYSEARCATIP!A$2:G$506,5,0)</f>
        <v>114.15</v>
      </c>
      <c r="H255">
        <f>VLOOKUP(A255,NYSEARCAMUB!A$2:G$506,5,0)</f>
        <v>112.47</v>
      </c>
      <c r="I255">
        <f>VLOOKUP(A255,NYSEARCAVNQ!A$2:G$506,5,0)</f>
        <v>82.05</v>
      </c>
      <c r="J255">
        <f>VLOOKUP(A255,NYSEARCARWX!A$2:G$506,5,0)</f>
        <v>41.45</v>
      </c>
      <c r="K255">
        <f>VLOOKUP(A255,NYSEARCADBC!A$2:G$506,5,0)</f>
        <v>14.58</v>
      </c>
      <c r="L255">
        <f>VLOOKUP(A255,NYSEARCAGSG!A$2:G$506,5,0)</f>
        <v>15.25</v>
      </c>
      <c r="M255">
        <f>VLOOKUP(A255,NYSEARCAGLD!A$2:G$506,5,0)</f>
        <v>119.37</v>
      </c>
      <c r="N255">
        <f>VLOOKUP(A255,NYSEBP!A$2:G$506,5,0)</f>
        <v>31.46</v>
      </c>
      <c r="O255">
        <f>VLOOKUP(A255,NASDAQYHOO!A$2:G$506,5,0)</f>
        <v>36.659999999999997</v>
      </c>
    </row>
    <row r="256" spans="1:15">
      <c r="A256" s="39">
        <v>42514</v>
      </c>
      <c r="B256">
        <v>70.239999999999995</v>
      </c>
      <c r="C256">
        <f>VLOOKUP(A256,NYSEARCAVTI!A$2:G$506,5,0)</f>
        <v>106.16</v>
      </c>
      <c r="D256">
        <f>VLOOKUP(A256,NYSEARCAVEU!A$2:G$506,5,0)</f>
        <v>43.33</v>
      </c>
      <c r="E256">
        <f>VLOOKUP(A256,NYSEARCAVWO!A$2:G$506,5,0)</f>
        <v>33.119999999999997</v>
      </c>
      <c r="F256">
        <f>VLOOKUP(A256,NYSEARCABND!A$2:G$506,5,0)</f>
        <v>82.65</v>
      </c>
      <c r="G256">
        <f>VLOOKUP(A256,NYSEARCATIP!A$2:G$506,5,0)</f>
        <v>114.04</v>
      </c>
      <c r="H256">
        <f>VLOOKUP(A256,NYSEARCAMUB!A$2:G$506,5,0)</f>
        <v>112.34</v>
      </c>
      <c r="I256">
        <f>VLOOKUP(A256,NYSEARCAVNQ!A$2:G$506,5,0)</f>
        <v>83.07</v>
      </c>
      <c r="J256">
        <f>VLOOKUP(A256,NYSEARCARWX!A$2:G$506,5,0)</f>
        <v>41.97</v>
      </c>
      <c r="K256">
        <f>VLOOKUP(A256,NYSEARCADBC!A$2:G$506,5,0)</f>
        <v>14.58</v>
      </c>
      <c r="L256">
        <f>VLOOKUP(A256,NYSEARCAGSG!A$2:G$506,5,0)</f>
        <v>15.32</v>
      </c>
      <c r="M256">
        <f>VLOOKUP(A256,NYSEARCAGLD!A$2:G$506,5,0)</f>
        <v>117.3</v>
      </c>
      <c r="N256">
        <f>VLOOKUP(A256,NYSEBP!A$2:G$506,5,0)</f>
        <v>31.84</v>
      </c>
      <c r="O256">
        <f>VLOOKUP(A256,NASDAQYHOO!A$2:G$506,5,0)</f>
        <v>37.53</v>
      </c>
    </row>
    <row r="257" spans="1:15">
      <c r="A257" s="39">
        <v>42515</v>
      </c>
      <c r="B257">
        <v>70.48</v>
      </c>
      <c r="C257">
        <f>VLOOKUP(A257,NYSEARCAVTI!A$2:G$506,5,0)</f>
        <v>106.93</v>
      </c>
      <c r="D257">
        <f>VLOOKUP(A257,NYSEARCAVEU!A$2:G$506,5,0)</f>
        <v>43.73</v>
      </c>
      <c r="E257">
        <f>VLOOKUP(A257,NYSEARCAVWO!A$2:G$506,5,0)</f>
        <v>33.5</v>
      </c>
      <c r="F257">
        <f>VLOOKUP(A257,NYSEARCABND!A$2:G$506,5,0)</f>
        <v>82.62</v>
      </c>
      <c r="G257">
        <f>VLOOKUP(A257,NYSEARCATIP!A$2:G$506,5,0)</f>
        <v>114.13</v>
      </c>
      <c r="H257">
        <f>VLOOKUP(A257,NYSEARCAMUB!A$2:G$506,5,0)</f>
        <v>112.32</v>
      </c>
      <c r="I257">
        <f>VLOOKUP(A257,NYSEARCAVNQ!A$2:G$506,5,0)</f>
        <v>83.07</v>
      </c>
      <c r="J257">
        <f>VLOOKUP(A257,NYSEARCARWX!A$2:G$506,5,0)</f>
        <v>42.1</v>
      </c>
      <c r="K257">
        <f>VLOOKUP(A257,NYSEARCADBC!A$2:G$506,5,0)</f>
        <v>14.75</v>
      </c>
      <c r="L257">
        <f>VLOOKUP(A257,NYSEARCAGSG!A$2:G$506,5,0)</f>
        <v>15.51</v>
      </c>
      <c r="M257">
        <f>VLOOKUP(A257,NYSEARCAGLD!A$2:G$506,5,0)</f>
        <v>116.98</v>
      </c>
      <c r="N257">
        <f>VLOOKUP(A257,NYSEBP!A$2:G$506,5,0)</f>
        <v>32.86</v>
      </c>
      <c r="O257">
        <f>VLOOKUP(A257,NASDAQYHOO!A$2:G$506,5,0)</f>
        <v>35.590000000000003</v>
      </c>
    </row>
    <row r="258" spans="1:15">
      <c r="A258" s="39">
        <v>42516</v>
      </c>
      <c r="B258">
        <v>70.849999999999994</v>
      </c>
      <c r="C258">
        <f>VLOOKUP(A258,NYSEARCAVTI!A$2:G$506,5,0)</f>
        <v>106.91</v>
      </c>
      <c r="D258">
        <f>VLOOKUP(A258,NYSEARCAVEU!A$2:G$506,5,0)</f>
        <v>43.88</v>
      </c>
      <c r="E258">
        <f>VLOOKUP(A258,NYSEARCAVWO!A$2:G$506,5,0)</f>
        <v>33.72</v>
      </c>
      <c r="F258">
        <f>VLOOKUP(A258,NYSEARCABND!A$2:G$506,5,0)</f>
        <v>82.76</v>
      </c>
      <c r="G258">
        <f>VLOOKUP(A258,NYSEARCATIP!A$2:G$506,5,0)</f>
        <v>114.46</v>
      </c>
      <c r="H258">
        <f>VLOOKUP(A258,NYSEARCAMUB!A$2:G$506,5,0)</f>
        <v>112.37</v>
      </c>
      <c r="I258">
        <f>VLOOKUP(A258,NYSEARCAVNQ!A$2:G$506,5,0)</f>
        <v>83.23</v>
      </c>
      <c r="J258">
        <f>VLOOKUP(A258,NYSEARCARWX!A$2:G$506,5,0)</f>
        <v>42.1</v>
      </c>
      <c r="K258">
        <f>VLOOKUP(A258,NYSEARCADBC!A$2:G$506,5,0)</f>
        <v>14.74</v>
      </c>
      <c r="L258">
        <f>VLOOKUP(A258,NYSEARCAGSG!A$2:G$506,5,0)</f>
        <v>15.52</v>
      </c>
      <c r="M258">
        <f>VLOOKUP(A258,NYSEARCAGLD!A$2:G$506,5,0)</f>
        <v>116.58</v>
      </c>
      <c r="N258">
        <f>VLOOKUP(A258,NYSEBP!A$2:G$506,5,0)</f>
        <v>32.6</v>
      </c>
      <c r="O258">
        <f>VLOOKUP(A258,NASDAQYHOO!A$2:G$506,5,0)</f>
        <v>36.76</v>
      </c>
    </row>
    <row r="259" spans="1:15">
      <c r="A259" s="39">
        <v>42517</v>
      </c>
      <c r="B259">
        <v>70.75</v>
      </c>
      <c r="C259">
        <f>VLOOKUP(A259,NYSEARCAVTI!A$2:G$506,5,0)</f>
        <v>107.39</v>
      </c>
      <c r="D259">
        <f>VLOOKUP(A259,NYSEARCAVEU!A$2:G$506,5,0)</f>
        <v>43.82</v>
      </c>
      <c r="E259">
        <f>VLOOKUP(A259,NYSEARCAVWO!A$2:G$506,5,0)</f>
        <v>33.71</v>
      </c>
      <c r="F259">
        <f>VLOOKUP(A259,NYSEARCABND!A$2:G$506,5,0)</f>
        <v>82.73</v>
      </c>
      <c r="G259">
        <f>VLOOKUP(A259,NYSEARCATIP!A$2:G$506,5,0)</f>
        <v>114.31</v>
      </c>
      <c r="H259">
        <f>VLOOKUP(A259,NYSEARCAMUB!A$2:G$506,5,0)</f>
        <v>112.23</v>
      </c>
      <c r="I259">
        <f>VLOOKUP(A259,NYSEARCAVNQ!A$2:G$506,5,0)</f>
        <v>83.68</v>
      </c>
      <c r="J259">
        <f>VLOOKUP(A259,NYSEARCARWX!A$2:G$506,5,0)</f>
        <v>42.05</v>
      </c>
      <c r="K259">
        <f>VLOOKUP(A259,NYSEARCADBC!A$2:G$506,5,0)</f>
        <v>14.8</v>
      </c>
      <c r="L259">
        <f>VLOOKUP(A259,NYSEARCAGSG!A$2:G$506,5,0)</f>
        <v>15.58</v>
      </c>
      <c r="M259">
        <f>VLOOKUP(A259,NYSEARCAGLD!A$2:G$506,5,0)</f>
        <v>115.62</v>
      </c>
      <c r="N259">
        <f>VLOOKUP(A259,NYSEBP!A$2:G$506,5,0)</f>
        <v>32.36</v>
      </c>
      <c r="O259">
        <f>VLOOKUP(A259,NASDAQYHOO!A$2:G$506,5,0)</f>
        <v>37.82</v>
      </c>
    </row>
    <row r="260" spans="1:15">
      <c r="A260" s="39">
        <v>42521</v>
      </c>
      <c r="B260">
        <v>70.78</v>
      </c>
      <c r="C260">
        <f>VLOOKUP(A260,NYSEARCAVTI!A$2:G$506,5,0)</f>
        <v>107.34</v>
      </c>
      <c r="D260">
        <f>VLOOKUP(A260,NYSEARCAVEU!A$2:G$506,5,0)</f>
        <v>43.71</v>
      </c>
      <c r="E260">
        <f>VLOOKUP(A260,NYSEARCAVWO!A$2:G$506,5,0)</f>
        <v>33.799999999999997</v>
      </c>
      <c r="F260">
        <f>VLOOKUP(A260,NYSEARCABND!A$2:G$506,5,0)</f>
        <v>82.8</v>
      </c>
      <c r="G260">
        <f>VLOOKUP(A260,NYSEARCATIP!A$2:G$506,5,0)</f>
        <v>114.14</v>
      </c>
      <c r="H260">
        <f>VLOOKUP(A260,NYSEARCAMUB!A$2:G$506,5,0)</f>
        <v>112.32</v>
      </c>
      <c r="I260">
        <f>VLOOKUP(A260,NYSEARCAVNQ!A$2:G$506,5,0)</f>
        <v>83.67</v>
      </c>
      <c r="J260">
        <f>VLOOKUP(A260,NYSEARCARWX!A$2:G$506,5,0)</f>
        <v>41.72</v>
      </c>
      <c r="K260">
        <f>VLOOKUP(A260,NYSEARCADBC!A$2:G$506,5,0)</f>
        <v>14.71</v>
      </c>
      <c r="L260">
        <f>VLOOKUP(A260,NYSEARCAGSG!A$2:G$506,5,0)</f>
        <v>15.42</v>
      </c>
      <c r="M260">
        <f>VLOOKUP(A260,NYSEARCAGLD!A$2:G$506,5,0)</f>
        <v>116.06</v>
      </c>
      <c r="N260">
        <f>VLOOKUP(A260,NYSEBP!A$2:G$506,5,0)</f>
        <v>31.4</v>
      </c>
      <c r="O260">
        <f>VLOOKUP(A260,NASDAQYHOO!A$2:G$506,5,0)</f>
        <v>37.94</v>
      </c>
    </row>
    <row r="261" spans="1:15">
      <c r="A261" s="39">
        <v>42522</v>
      </c>
      <c r="B261">
        <v>70.5</v>
      </c>
      <c r="C261">
        <f>VLOOKUP(A261,NYSEARCAVTI!A$2:G$506,5,0)</f>
        <v>107.63</v>
      </c>
      <c r="D261">
        <f>VLOOKUP(A261,NYSEARCAVEU!A$2:G$506,5,0)</f>
        <v>43.68</v>
      </c>
      <c r="E261">
        <f>VLOOKUP(A261,NYSEARCAVWO!A$2:G$506,5,0)</f>
        <v>33.770000000000003</v>
      </c>
      <c r="F261">
        <f>VLOOKUP(A261,NYSEARCABND!A$2:G$506,5,0)</f>
        <v>82.66</v>
      </c>
      <c r="G261">
        <f>VLOOKUP(A261,NYSEARCATIP!A$2:G$506,5,0)</f>
        <v>113.93</v>
      </c>
      <c r="H261">
        <f>VLOOKUP(A261,NYSEARCAMUB!A$2:G$506,5,0)</f>
        <v>112.12</v>
      </c>
      <c r="I261">
        <f>VLOOKUP(A261,NYSEARCAVNQ!A$2:G$506,5,0)</f>
        <v>83.74</v>
      </c>
      <c r="J261">
        <f>VLOOKUP(A261,NYSEARCARWX!A$2:G$506,5,0)</f>
        <v>41.78</v>
      </c>
      <c r="K261">
        <f>VLOOKUP(A261,NYSEARCADBC!A$2:G$506,5,0)</f>
        <v>14.86</v>
      </c>
      <c r="L261">
        <f>VLOOKUP(A261,NYSEARCAGSG!A$2:G$506,5,0)</f>
        <v>15.57</v>
      </c>
      <c r="M261">
        <f>VLOOKUP(A261,NYSEARCAGLD!A$2:G$506,5,0)</f>
        <v>115.94</v>
      </c>
      <c r="N261">
        <f>VLOOKUP(A261,NYSEBP!A$2:G$506,5,0)</f>
        <v>31.34</v>
      </c>
      <c r="O261">
        <f>VLOOKUP(A261,NASDAQYHOO!A$2:G$506,5,0)</f>
        <v>36.65</v>
      </c>
    </row>
    <row r="262" spans="1:15">
      <c r="A262" s="39">
        <v>42523</v>
      </c>
      <c r="B262">
        <v>70.95</v>
      </c>
      <c r="C262">
        <f>VLOOKUP(A262,NYSEARCAVTI!A$2:G$506,5,0)</f>
        <v>107.99</v>
      </c>
      <c r="D262">
        <f>VLOOKUP(A262,NYSEARCAVEU!A$2:G$506,5,0)</f>
        <v>43.72</v>
      </c>
      <c r="E262">
        <f>VLOOKUP(A262,NYSEARCAVWO!A$2:G$506,5,0)</f>
        <v>34.04</v>
      </c>
      <c r="F262">
        <f>VLOOKUP(A262,NYSEARCABND!A$2:G$506,5,0)</f>
        <v>82.82</v>
      </c>
      <c r="G262">
        <f>VLOOKUP(A262,NYSEARCATIP!A$2:G$506,5,0)</f>
        <v>114.32</v>
      </c>
      <c r="H262">
        <f>VLOOKUP(A262,NYSEARCAMUB!A$2:G$506,5,0)</f>
        <v>112.26</v>
      </c>
      <c r="I262">
        <f>VLOOKUP(A262,NYSEARCAVNQ!A$2:G$506,5,0)</f>
        <v>84.17</v>
      </c>
      <c r="J262">
        <f>VLOOKUP(A262,NYSEARCARWX!A$2:G$506,5,0)</f>
        <v>41.74</v>
      </c>
      <c r="K262">
        <f>VLOOKUP(A262,NYSEARCADBC!A$2:G$506,5,0)</f>
        <v>14.89</v>
      </c>
      <c r="L262">
        <f>VLOOKUP(A262,NYSEARCAGSG!A$2:G$506,5,0)</f>
        <v>15.62</v>
      </c>
      <c r="M262">
        <f>VLOOKUP(A262,NYSEARCAGLD!A$2:G$506,5,0)</f>
        <v>115.67</v>
      </c>
      <c r="N262">
        <f>VLOOKUP(A262,NYSEBP!A$2:G$506,5,0)</f>
        <v>31.52</v>
      </c>
      <c r="O262">
        <f>VLOOKUP(A262,NASDAQYHOO!A$2:G$506,5,0)</f>
        <v>37.15</v>
      </c>
    </row>
    <row r="263" spans="1:15">
      <c r="A263" s="39">
        <v>42524</v>
      </c>
      <c r="B263">
        <v>70.87</v>
      </c>
      <c r="C263">
        <f>VLOOKUP(A263,NYSEARCAVTI!A$2:G$506,5,0)</f>
        <v>107.69</v>
      </c>
      <c r="D263">
        <f>VLOOKUP(A263,NYSEARCAVEU!A$2:G$506,5,0)</f>
        <v>44.11</v>
      </c>
      <c r="E263">
        <f>VLOOKUP(A263,NYSEARCAVWO!A$2:G$506,5,0)</f>
        <v>34.57</v>
      </c>
      <c r="F263">
        <f>VLOOKUP(A263,NYSEARCABND!A$2:G$506,5,0)</f>
        <v>83.34</v>
      </c>
      <c r="G263">
        <f>VLOOKUP(A263,NYSEARCATIP!A$2:G$506,5,0)</f>
        <v>115.06</v>
      </c>
      <c r="H263">
        <f>VLOOKUP(A263,NYSEARCAMUB!A$2:G$506,5,0)</f>
        <v>112.4</v>
      </c>
      <c r="I263">
        <f>VLOOKUP(A263,NYSEARCAVNQ!A$2:G$506,5,0)</f>
        <v>84.51</v>
      </c>
      <c r="J263">
        <f>VLOOKUP(A263,NYSEARCARWX!A$2:G$506,5,0)</f>
        <v>42.42</v>
      </c>
      <c r="K263">
        <f>VLOOKUP(A263,NYSEARCADBC!A$2:G$506,5,0)</f>
        <v>14.99</v>
      </c>
      <c r="L263">
        <f>VLOOKUP(A263,NYSEARCAGSG!A$2:G$506,5,0)</f>
        <v>15.67</v>
      </c>
      <c r="M263">
        <f>VLOOKUP(A263,NYSEARCAGLD!A$2:G$506,5,0)</f>
        <v>118.88</v>
      </c>
      <c r="N263">
        <f>VLOOKUP(A263,NYSEBP!A$2:G$506,5,0)</f>
        <v>31.88</v>
      </c>
      <c r="O263">
        <f>VLOOKUP(A263,NASDAQYHOO!A$2:G$506,5,0)</f>
        <v>36.6</v>
      </c>
    </row>
    <row r="264" spans="1:15">
      <c r="A264" s="39">
        <v>42527</v>
      </c>
      <c r="B264">
        <v>71.05</v>
      </c>
      <c r="C264">
        <f>VLOOKUP(A264,NYSEARCAVTI!A$2:G$506,5,0)</f>
        <v>108.25</v>
      </c>
      <c r="D264">
        <f>VLOOKUP(A264,NYSEARCAVEU!A$2:G$506,5,0)</f>
        <v>44.43</v>
      </c>
      <c r="E264">
        <f>VLOOKUP(A264,NYSEARCAVWO!A$2:G$506,5,0)</f>
        <v>34.86</v>
      </c>
      <c r="F264">
        <f>VLOOKUP(A264,NYSEARCABND!A$2:G$506,5,0)</f>
        <v>83.21</v>
      </c>
      <c r="G264">
        <f>VLOOKUP(A264,NYSEARCATIP!A$2:G$506,5,0)</f>
        <v>115.19</v>
      </c>
      <c r="H264">
        <f>VLOOKUP(A264,NYSEARCAMUB!A$2:G$506,5,0)</f>
        <v>112.4</v>
      </c>
      <c r="I264">
        <f>VLOOKUP(A264,NYSEARCAVNQ!A$2:G$506,5,0)</f>
        <v>83.86</v>
      </c>
      <c r="J264">
        <f>VLOOKUP(A264,NYSEARCARWX!A$2:G$506,5,0)</f>
        <v>42.7</v>
      </c>
      <c r="K264">
        <f>VLOOKUP(A264,NYSEARCADBC!A$2:G$506,5,0)</f>
        <v>15.17</v>
      </c>
      <c r="L264">
        <f>VLOOKUP(A264,NYSEARCAGSG!A$2:G$506,5,0)</f>
        <v>15.84</v>
      </c>
      <c r="M264">
        <f>VLOOKUP(A264,NYSEARCAGLD!A$2:G$506,5,0)</f>
        <v>118.92</v>
      </c>
      <c r="N264">
        <f>VLOOKUP(A264,NYSEBP!A$2:G$506,5,0)</f>
        <v>32.53</v>
      </c>
      <c r="O264">
        <f>VLOOKUP(A264,NASDAQYHOO!A$2:G$506,5,0)</f>
        <v>37.07</v>
      </c>
    </row>
    <row r="265" spans="1:15">
      <c r="A265" s="39">
        <v>42528</v>
      </c>
      <c r="B265">
        <v>71.03</v>
      </c>
      <c r="C265">
        <f>VLOOKUP(A265,NYSEARCAVTI!A$2:G$506,5,0)</f>
        <v>108.46</v>
      </c>
      <c r="D265">
        <f>VLOOKUP(A265,NYSEARCAVEU!A$2:G$506,5,0)</f>
        <v>44.8</v>
      </c>
      <c r="E265">
        <f>VLOOKUP(A265,NYSEARCAVWO!A$2:G$506,5,0)</f>
        <v>35.200000000000003</v>
      </c>
      <c r="F265">
        <f>VLOOKUP(A265,NYSEARCABND!A$2:G$506,5,0)</f>
        <v>83.22</v>
      </c>
      <c r="G265">
        <f>VLOOKUP(A265,NYSEARCATIP!A$2:G$506,5,0)</f>
        <v>115.5</v>
      </c>
      <c r="H265">
        <f>VLOOKUP(A265,NYSEARCAMUB!A$2:G$506,5,0)</f>
        <v>112.47</v>
      </c>
      <c r="I265">
        <f>VLOOKUP(A265,NYSEARCAVNQ!A$2:G$506,5,0)</f>
        <v>84.37</v>
      </c>
      <c r="J265">
        <f>VLOOKUP(A265,NYSEARCARWX!A$2:G$506,5,0)</f>
        <v>42.91</v>
      </c>
      <c r="K265">
        <f>VLOOKUP(A265,NYSEARCADBC!A$2:G$506,5,0)</f>
        <v>15.32</v>
      </c>
      <c r="L265">
        <f>VLOOKUP(A265,NYSEARCAGSG!A$2:G$506,5,0)</f>
        <v>15.97</v>
      </c>
      <c r="M265">
        <f>VLOOKUP(A265,NYSEARCAGLD!A$2:G$506,5,0)</f>
        <v>118.82</v>
      </c>
      <c r="N265">
        <f>VLOOKUP(A265,NYSEBP!A$2:G$506,5,0)</f>
        <v>33.07</v>
      </c>
      <c r="O265">
        <f>VLOOKUP(A265,NASDAQYHOO!A$2:G$506,5,0)</f>
        <v>36.729999999999997</v>
      </c>
    </row>
    <row r="266" spans="1:15">
      <c r="A266" s="39">
        <v>42529</v>
      </c>
      <c r="B266">
        <v>71.28</v>
      </c>
      <c r="C266">
        <f>VLOOKUP(A266,NYSEARCAVTI!A$2:G$506,5,0)</f>
        <v>108.84</v>
      </c>
      <c r="D266">
        <f>VLOOKUP(A266,NYSEARCAVEU!A$2:G$506,5,0)</f>
        <v>44.99</v>
      </c>
      <c r="E266">
        <f>VLOOKUP(A266,NYSEARCAVWO!A$2:G$506,5,0)</f>
        <v>35.49</v>
      </c>
      <c r="F266">
        <f>VLOOKUP(A266,NYSEARCABND!A$2:G$506,5,0)</f>
        <v>83.32</v>
      </c>
      <c r="G266">
        <f>VLOOKUP(A266,NYSEARCATIP!A$2:G$506,5,0)</f>
        <v>115.77</v>
      </c>
      <c r="H266">
        <f>VLOOKUP(A266,NYSEARCAMUB!A$2:G$506,5,0)</f>
        <v>112.59</v>
      </c>
      <c r="I266">
        <f>VLOOKUP(A266,NYSEARCAVNQ!A$2:G$506,5,0)</f>
        <v>84.91</v>
      </c>
      <c r="J266">
        <f>VLOOKUP(A266,NYSEARCARWX!A$2:G$506,5,0)</f>
        <v>43.11</v>
      </c>
      <c r="K266">
        <f>VLOOKUP(A266,NYSEARCADBC!A$2:G$506,5,0)</f>
        <v>15.58</v>
      </c>
      <c r="L266">
        <f>VLOOKUP(A266,NYSEARCAGSG!A$2:G$506,5,0)</f>
        <v>16.25</v>
      </c>
      <c r="M266">
        <f>VLOOKUP(A266,NYSEARCAGLD!A$2:G$506,5,0)</f>
        <v>120.58</v>
      </c>
      <c r="N266">
        <f>VLOOKUP(A266,NYSEBP!A$2:G$506,5,0)</f>
        <v>33.270000000000003</v>
      </c>
      <c r="O266">
        <f>VLOOKUP(A266,NASDAQYHOO!A$2:G$506,5,0)</f>
        <v>36.97</v>
      </c>
    </row>
    <row r="267" spans="1:15">
      <c r="A267" s="39">
        <v>42530</v>
      </c>
      <c r="B267">
        <v>71.09</v>
      </c>
      <c r="C267">
        <f>VLOOKUP(A267,NYSEARCAVTI!A$2:G$506,5,0)</f>
        <v>108.62</v>
      </c>
      <c r="D267">
        <f>VLOOKUP(A267,NYSEARCAVEU!A$2:G$506,5,0)</f>
        <v>44.38</v>
      </c>
      <c r="E267">
        <f>VLOOKUP(A267,NYSEARCAVWO!A$2:G$506,5,0)</f>
        <v>35.090000000000003</v>
      </c>
      <c r="F267">
        <f>VLOOKUP(A267,NYSEARCABND!A$2:G$506,5,0)</f>
        <v>83.4</v>
      </c>
      <c r="G267">
        <f>VLOOKUP(A267,NYSEARCATIP!A$2:G$506,5,0)</f>
        <v>115.81</v>
      </c>
      <c r="H267">
        <f>VLOOKUP(A267,NYSEARCAMUB!A$2:G$506,5,0)</f>
        <v>112.78</v>
      </c>
      <c r="I267">
        <f>VLOOKUP(A267,NYSEARCAVNQ!A$2:G$506,5,0)</f>
        <v>85.1</v>
      </c>
      <c r="J267">
        <f>VLOOKUP(A267,NYSEARCARWX!A$2:G$506,5,0)</f>
        <v>42.96</v>
      </c>
      <c r="K267">
        <f>VLOOKUP(A267,NYSEARCADBC!A$2:G$506,5,0)</f>
        <v>15.55</v>
      </c>
      <c r="L267">
        <f>VLOOKUP(A267,NYSEARCAGSG!A$2:G$506,5,0)</f>
        <v>16.149999999999999</v>
      </c>
      <c r="M267">
        <f>VLOOKUP(A267,NYSEARCAGLD!A$2:G$506,5,0)</f>
        <v>121.25</v>
      </c>
      <c r="N267">
        <f>VLOOKUP(A267,NYSEBP!A$2:G$506,5,0)</f>
        <v>33.04</v>
      </c>
      <c r="O267">
        <f>VLOOKUP(A267,NASDAQYHOO!A$2:G$506,5,0)</f>
        <v>37.35</v>
      </c>
    </row>
    <row r="268" spans="1:15">
      <c r="A268" s="39">
        <v>42531</v>
      </c>
      <c r="B268">
        <v>71.14</v>
      </c>
      <c r="C268">
        <f>VLOOKUP(A268,NYSEARCAVTI!A$2:G$506,5,0)</f>
        <v>107.5</v>
      </c>
      <c r="D268">
        <f>VLOOKUP(A268,NYSEARCAVEU!A$2:G$506,5,0)</f>
        <v>43.23</v>
      </c>
      <c r="E268">
        <f>VLOOKUP(A268,NYSEARCAVWO!A$2:G$506,5,0)</f>
        <v>34.200000000000003</v>
      </c>
      <c r="F268">
        <f>VLOOKUP(A268,NYSEARCABND!A$2:G$506,5,0)</f>
        <v>83.48</v>
      </c>
      <c r="G268">
        <f>VLOOKUP(A268,NYSEARCATIP!A$2:G$506,5,0)</f>
        <v>115.81</v>
      </c>
      <c r="H268">
        <f>VLOOKUP(A268,NYSEARCAMUB!A$2:G$506,5,0)</f>
        <v>112.97</v>
      </c>
      <c r="I268">
        <f>VLOOKUP(A268,NYSEARCAVNQ!A$2:G$506,5,0)</f>
        <v>84.7</v>
      </c>
      <c r="J268">
        <f>VLOOKUP(A268,NYSEARCARWX!A$2:G$506,5,0)</f>
        <v>42.15</v>
      </c>
      <c r="K268">
        <f>VLOOKUP(A268,NYSEARCADBC!A$2:G$506,5,0)</f>
        <v>15.36</v>
      </c>
      <c r="L268">
        <f>VLOOKUP(A268,NYSEARCAGSG!A$2:G$506,5,0)</f>
        <v>15.84</v>
      </c>
      <c r="M268">
        <f>VLOOKUP(A268,NYSEARCAGLD!A$2:G$506,5,0)</f>
        <v>121.74</v>
      </c>
      <c r="N268">
        <f>VLOOKUP(A268,NYSEBP!A$2:G$506,5,0)</f>
        <v>32.22</v>
      </c>
      <c r="O268">
        <f>VLOOKUP(A268,NASDAQYHOO!A$2:G$506,5,0)</f>
        <v>36.83</v>
      </c>
    </row>
    <row r="269" spans="1:15">
      <c r="A269" s="39">
        <v>42534</v>
      </c>
      <c r="B269">
        <v>70.53</v>
      </c>
      <c r="C269">
        <f>VLOOKUP(A269,NYSEARCAVTI!A$2:G$506,5,0)</f>
        <v>106.61</v>
      </c>
      <c r="D269">
        <f>VLOOKUP(A269,NYSEARCAVEU!A$2:G$506,5,0)</f>
        <v>42.6</v>
      </c>
      <c r="E269">
        <f>VLOOKUP(A269,NYSEARCAVWO!A$2:G$506,5,0)</f>
        <v>33.770000000000003</v>
      </c>
      <c r="F269">
        <f>VLOOKUP(A269,NYSEARCABND!A$2:G$506,5,0)</f>
        <v>83.5</v>
      </c>
      <c r="G269">
        <f>VLOOKUP(A269,NYSEARCATIP!A$2:G$506,5,0)</f>
        <v>115.66</v>
      </c>
      <c r="H269">
        <f>VLOOKUP(A269,NYSEARCAMUB!A$2:G$506,5,0)</f>
        <v>113.04</v>
      </c>
      <c r="I269">
        <f>VLOOKUP(A269,NYSEARCAVNQ!A$2:G$506,5,0)</f>
        <v>84.72</v>
      </c>
      <c r="J269">
        <f>VLOOKUP(A269,NYSEARCARWX!A$2:G$506,5,0)</f>
        <v>41.74</v>
      </c>
      <c r="K269">
        <f>VLOOKUP(A269,NYSEARCADBC!A$2:G$506,5,0)</f>
        <v>15.36</v>
      </c>
      <c r="L269">
        <f>VLOOKUP(A269,NYSEARCAGSG!A$2:G$506,5,0)</f>
        <v>15.77</v>
      </c>
      <c r="M269">
        <f>VLOOKUP(A269,NYSEARCAGLD!A$2:G$506,5,0)</f>
        <v>122.64</v>
      </c>
      <c r="N269">
        <f>VLOOKUP(A269,NYSEBP!A$2:G$506,5,0)</f>
        <v>31.86</v>
      </c>
      <c r="O269">
        <f>VLOOKUP(A269,NASDAQYHOO!A$2:G$506,5,0)</f>
        <v>36.47</v>
      </c>
    </row>
    <row r="270" spans="1:15">
      <c r="A270" s="39">
        <v>42535</v>
      </c>
      <c r="B270">
        <v>70.95</v>
      </c>
      <c r="C270">
        <f>VLOOKUP(A270,NYSEARCAVTI!A$2:G$506,5,0)</f>
        <v>105.95</v>
      </c>
      <c r="D270">
        <f>VLOOKUP(A270,NYSEARCAVEU!A$2:G$506,5,0)</f>
        <v>41.56</v>
      </c>
      <c r="E270">
        <f>VLOOKUP(A270,NYSEARCAVWO!A$2:G$506,5,0)</f>
        <v>33.450000000000003</v>
      </c>
      <c r="F270">
        <f>VLOOKUP(A270,NYSEARCABND!A$2:G$506,5,0)</f>
        <v>83.49</v>
      </c>
      <c r="G270">
        <f>VLOOKUP(A270,NYSEARCATIP!A$2:G$506,5,0)</f>
        <v>115.37</v>
      </c>
      <c r="H270">
        <f>VLOOKUP(A270,NYSEARCAMUB!A$2:G$506,5,0)</f>
        <v>113.23</v>
      </c>
      <c r="I270">
        <f>VLOOKUP(A270,NYSEARCAVNQ!A$2:G$506,5,0)</f>
        <v>84.5</v>
      </c>
      <c r="J270">
        <f>VLOOKUP(A270,NYSEARCARWX!A$2:G$506,5,0)</f>
        <v>41.2</v>
      </c>
      <c r="K270">
        <f>VLOOKUP(A270,NYSEARCADBC!A$2:G$506,5,0)</f>
        <v>15.26</v>
      </c>
      <c r="L270">
        <f>VLOOKUP(A270,NYSEARCAGSG!A$2:G$506,5,0)</f>
        <v>15.7</v>
      </c>
      <c r="M270">
        <f>VLOOKUP(A270,NYSEARCAGLD!A$2:G$506,5,0)</f>
        <v>122.77</v>
      </c>
      <c r="N270">
        <f>VLOOKUP(A270,NYSEBP!A$2:G$506,5,0)</f>
        <v>30.93</v>
      </c>
      <c r="O270">
        <f>VLOOKUP(A270,NASDAQYHOO!A$2:G$506,5,0)</f>
        <v>37.4</v>
      </c>
    </row>
    <row r="271" spans="1:15">
      <c r="A271" s="39">
        <v>42536</v>
      </c>
      <c r="B271">
        <v>71.12</v>
      </c>
      <c r="C271">
        <f>VLOOKUP(A271,NYSEARCAVTI!A$2:G$506,5,0)</f>
        <v>105.84</v>
      </c>
      <c r="D271">
        <f>VLOOKUP(A271,NYSEARCAVEU!A$2:G$506,5,0)</f>
        <v>41.86</v>
      </c>
      <c r="E271">
        <f>VLOOKUP(A271,NYSEARCAVWO!A$2:G$506,5,0)</f>
        <v>33.76</v>
      </c>
      <c r="F271">
        <f>VLOOKUP(A271,NYSEARCABND!A$2:G$506,5,0)</f>
        <v>83.68</v>
      </c>
      <c r="G271">
        <f>VLOOKUP(A271,NYSEARCATIP!A$2:G$506,5,0)</f>
        <v>115.91</v>
      </c>
      <c r="H271">
        <f>VLOOKUP(A271,NYSEARCAMUB!A$2:G$506,5,0)</f>
        <v>113.29</v>
      </c>
      <c r="I271">
        <f>VLOOKUP(A271,NYSEARCAVNQ!A$2:G$506,5,0)</f>
        <v>85.3</v>
      </c>
      <c r="J271">
        <f>VLOOKUP(A271,NYSEARCARWX!A$2:G$506,5,0)</f>
        <v>41.34</v>
      </c>
      <c r="K271">
        <f>VLOOKUP(A271,NYSEARCADBC!A$2:G$506,5,0)</f>
        <v>15.18</v>
      </c>
      <c r="L271">
        <f>VLOOKUP(A271,NYSEARCAGSG!A$2:G$506,5,0)</f>
        <v>15.52</v>
      </c>
      <c r="M271">
        <f>VLOOKUP(A271,NYSEARCAGLD!A$2:G$506,5,0)</f>
        <v>123.68</v>
      </c>
      <c r="N271">
        <f>VLOOKUP(A271,NYSEBP!A$2:G$506,5,0)</f>
        <v>31.15</v>
      </c>
      <c r="O271">
        <f>VLOOKUP(A271,NASDAQYHOO!A$2:G$506,5,0)</f>
        <v>37.32</v>
      </c>
    </row>
    <row r="272" spans="1:15">
      <c r="A272" s="39">
        <v>42537</v>
      </c>
      <c r="B272">
        <v>71.3</v>
      </c>
      <c r="C272">
        <f>VLOOKUP(A272,NYSEARCAVTI!A$2:G$506,5,0)</f>
        <v>106.15</v>
      </c>
      <c r="D272">
        <f>VLOOKUP(A272,NYSEARCAVEU!A$2:G$506,5,0)</f>
        <v>41.86</v>
      </c>
      <c r="E272">
        <f>VLOOKUP(A272,NYSEARCAVWO!A$2:G$506,5,0)</f>
        <v>33.68</v>
      </c>
      <c r="F272">
        <f>VLOOKUP(A272,NYSEARCABND!A$2:G$506,5,0)</f>
        <v>83.77</v>
      </c>
      <c r="G272">
        <f>VLOOKUP(A272,NYSEARCATIP!A$2:G$506,5,0)</f>
        <v>115.68</v>
      </c>
      <c r="H272">
        <f>VLOOKUP(A272,NYSEARCAMUB!A$2:G$506,5,0)</f>
        <v>113.46</v>
      </c>
      <c r="I272">
        <f>VLOOKUP(A272,NYSEARCAVNQ!A$2:G$506,5,0)</f>
        <v>85.78</v>
      </c>
      <c r="J272">
        <f>VLOOKUP(A272,NYSEARCARWX!A$2:G$506,5,0)</f>
        <v>41.31</v>
      </c>
      <c r="K272">
        <f>VLOOKUP(A272,NYSEARCADBC!A$2:G$506,5,0)</f>
        <v>14.92</v>
      </c>
      <c r="L272">
        <f>VLOOKUP(A272,NYSEARCAGSG!A$2:G$506,5,0)</f>
        <v>15.2</v>
      </c>
      <c r="M272">
        <f>VLOOKUP(A272,NYSEARCAGLD!A$2:G$506,5,0)</f>
        <v>122.38</v>
      </c>
      <c r="N272">
        <f>VLOOKUP(A272,NYSEBP!A$2:G$506,5,0)</f>
        <v>32.03</v>
      </c>
      <c r="O272">
        <f>VLOOKUP(A272,NASDAQYHOO!A$2:G$506,5,0)</f>
        <v>37.39</v>
      </c>
    </row>
    <row r="273" spans="1:15">
      <c r="A273" s="39">
        <v>42538</v>
      </c>
      <c r="B273">
        <v>70.95</v>
      </c>
      <c r="C273">
        <f>VLOOKUP(A273,NYSEARCAVTI!A$2:G$506,5,0)</f>
        <v>105.8</v>
      </c>
      <c r="D273">
        <f>VLOOKUP(A273,NYSEARCAVEU!A$2:G$506,5,0)</f>
        <v>42.2</v>
      </c>
      <c r="E273">
        <f>VLOOKUP(A273,NYSEARCAVWO!A$2:G$506,5,0)</f>
        <v>33.83</v>
      </c>
      <c r="F273">
        <f>VLOOKUP(A273,NYSEARCABND!A$2:G$506,5,0)</f>
        <v>83.65</v>
      </c>
      <c r="G273">
        <f>VLOOKUP(A273,NYSEARCATIP!A$2:G$506,5,0)</f>
        <v>115.39</v>
      </c>
      <c r="H273">
        <f>VLOOKUP(A273,NYSEARCAMUB!A$2:G$506,5,0)</f>
        <v>113.48</v>
      </c>
      <c r="I273">
        <f>VLOOKUP(A273,NYSEARCAVNQ!A$2:G$506,5,0)</f>
        <v>85.64</v>
      </c>
      <c r="J273">
        <f>VLOOKUP(A273,NYSEARCARWX!A$2:G$506,5,0)</f>
        <v>41.12</v>
      </c>
      <c r="K273">
        <f>VLOOKUP(A273,NYSEARCADBC!A$2:G$506,5,0)</f>
        <v>15.27</v>
      </c>
      <c r="L273">
        <f>VLOOKUP(A273,NYSEARCAGSG!A$2:G$506,5,0)</f>
        <v>15.66</v>
      </c>
      <c r="M273">
        <f>VLOOKUP(A273,NYSEARCAGLD!A$2:G$506,5,0)</f>
        <v>123.95</v>
      </c>
      <c r="N273">
        <f>VLOOKUP(A273,NYSEBP!A$2:G$506,5,0)</f>
        <v>32.75</v>
      </c>
      <c r="O273">
        <f>VLOOKUP(A273,NASDAQYHOO!A$2:G$506,5,0)</f>
        <v>36.94</v>
      </c>
    </row>
    <row r="274" spans="1:15">
      <c r="A274" s="39">
        <v>42541</v>
      </c>
      <c r="B274">
        <v>71.099999999999994</v>
      </c>
      <c r="C274">
        <f>VLOOKUP(A274,NYSEARCAVTI!A$2:G$506,5,0)</f>
        <v>106.52</v>
      </c>
      <c r="D274">
        <f>VLOOKUP(A274,NYSEARCAVEU!A$2:G$506,5,0)</f>
        <v>43.14</v>
      </c>
      <c r="E274">
        <f>VLOOKUP(A274,NYSEARCAVWO!A$2:G$506,5,0)</f>
        <v>34.32</v>
      </c>
      <c r="F274">
        <f>VLOOKUP(A274,NYSEARCABND!A$2:G$506,5,0)</f>
        <v>83.46</v>
      </c>
      <c r="G274">
        <f>VLOOKUP(A274,NYSEARCATIP!A$2:G$506,5,0)</f>
        <v>115.06</v>
      </c>
      <c r="H274">
        <f>VLOOKUP(A274,NYSEARCAMUB!A$2:G$506,5,0)</f>
        <v>113.25</v>
      </c>
      <c r="I274">
        <f>VLOOKUP(A274,NYSEARCAVNQ!A$2:G$506,5,0)</f>
        <v>85.76</v>
      </c>
      <c r="J274">
        <f>VLOOKUP(A274,NYSEARCARWX!A$2:G$506,5,0)</f>
        <v>42.14</v>
      </c>
      <c r="K274">
        <f>VLOOKUP(A274,NYSEARCADBC!A$2:G$506,5,0)</f>
        <v>15.41</v>
      </c>
      <c r="L274">
        <f>VLOOKUP(A274,NYSEARCAGSG!A$2:G$506,5,0)</f>
        <v>15.82</v>
      </c>
      <c r="M274">
        <f>VLOOKUP(A274,NYSEARCAGLD!A$2:G$506,5,0)</f>
        <v>123.21</v>
      </c>
      <c r="N274">
        <f>VLOOKUP(A274,NYSEBP!A$2:G$506,5,0)</f>
        <v>33.42</v>
      </c>
      <c r="O274">
        <f>VLOOKUP(A274,NASDAQYHOO!A$2:G$506,5,0)</f>
        <v>37.29</v>
      </c>
    </row>
    <row r="275" spans="1:15">
      <c r="A275" s="39">
        <v>42542</v>
      </c>
      <c r="B275">
        <v>71.459999999999994</v>
      </c>
      <c r="C275">
        <f>VLOOKUP(A275,NYSEARCAVTI!A$2:G$506,5,0)</f>
        <v>106.75</v>
      </c>
      <c r="D275">
        <f>VLOOKUP(A275,NYSEARCAVEU!A$2:G$506,5,0)</f>
        <v>43.51</v>
      </c>
      <c r="E275">
        <f>VLOOKUP(A275,NYSEARCAVWO!A$2:G$506,5,0)</f>
        <v>34.58</v>
      </c>
      <c r="F275">
        <f>VLOOKUP(A275,NYSEARCABND!A$2:G$506,5,0)</f>
        <v>83.35</v>
      </c>
      <c r="G275">
        <f>VLOOKUP(A275,NYSEARCATIP!A$2:G$506,5,0)</f>
        <v>114.71</v>
      </c>
      <c r="H275">
        <f>VLOOKUP(A275,NYSEARCAMUB!A$2:G$506,5,0)</f>
        <v>113.21</v>
      </c>
      <c r="I275">
        <f>VLOOKUP(A275,NYSEARCAVNQ!A$2:G$506,5,0)</f>
        <v>85.32</v>
      </c>
      <c r="J275">
        <f>VLOOKUP(A275,NYSEARCARWX!A$2:G$506,5,0)</f>
        <v>42.47</v>
      </c>
      <c r="K275">
        <f>VLOOKUP(A275,NYSEARCADBC!A$2:G$506,5,0)</f>
        <v>15.29</v>
      </c>
      <c r="L275">
        <f>VLOOKUP(A275,NYSEARCAGSG!A$2:G$506,5,0)</f>
        <v>15.75</v>
      </c>
      <c r="M275">
        <f>VLOOKUP(A275,NYSEARCAGLD!A$2:G$506,5,0)</f>
        <v>120.84</v>
      </c>
      <c r="N275">
        <f>VLOOKUP(A275,NYSEBP!A$2:G$506,5,0)</f>
        <v>34.15</v>
      </c>
      <c r="O275">
        <f>VLOOKUP(A275,NASDAQYHOO!A$2:G$506,5,0)</f>
        <v>37.4</v>
      </c>
    </row>
    <row r="276" spans="1:15">
      <c r="A276" s="39">
        <v>42543</v>
      </c>
      <c r="B276">
        <v>71.75</v>
      </c>
      <c r="C276">
        <f>VLOOKUP(A276,NYSEARCAVTI!A$2:G$506,5,0)</f>
        <v>106.51</v>
      </c>
      <c r="D276">
        <f>VLOOKUP(A276,NYSEARCAVEU!A$2:G$506,5,0)</f>
        <v>43.5</v>
      </c>
      <c r="E276">
        <f>VLOOKUP(A276,NYSEARCAVWO!A$2:G$506,5,0)</f>
        <v>34.630000000000003</v>
      </c>
      <c r="F276">
        <f>VLOOKUP(A276,NYSEARCABND!A$2:G$506,5,0)</f>
        <v>83.38</v>
      </c>
      <c r="G276">
        <f>VLOOKUP(A276,NYSEARCATIP!A$2:G$506,5,0)</f>
        <v>115.02</v>
      </c>
      <c r="H276">
        <f>VLOOKUP(A276,NYSEARCAMUB!A$2:G$506,5,0)</f>
        <v>113.17</v>
      </c>
      <c r="I276">
        <f>VLOOKUP(A276,NYSEARCAVNQ!A$2:G$506,5,0)</f>
        <v>85.19</v>
      </c>
      <c r="J276">
        <f>VLOOKUP(A276,NYSEARCARWX!A$2:G$506,5,0)</f>
        <v>42.34</v>
      </c>
      <c r="K276">
        <f>VLOOKUP(A276,NYSEARCADBC!A$2:G$506,5,0)</f>
        <v>15.2</v>
      </c>
      <c r="L276">
        <f>VLOOKUP(A276,NYSEARCAGSG!A$2:G$506,5,0)</f>
        <v>15.61</v>
      </c>
      <c r="M276">
        <f>VLOOKUP(A276,NYSEARCAGLD!A$2:G$506,5,0)</f>
        <v>120.9</v>
      </c>
      <c r="N276">
        <f>VLOOKUP(A276,NYSEBP!A$2:G$506,5,0)</f>
        <v>33.89</v>
      </c>
      <c r="O276">
        <f>VLOOKUP(A276,NASDAQYHOO!A$2:G$506,5,0)</f>
        <v>37.36</v>
      </c>
    </row>
    <row r="277" spans="1:15">
      <c r="A277" s="39">
        <v>42544</v>
      </c>
      <c r="B277">
        <v>72.099999999999994</v>
      </c>
      <c r="C277">
        <f>VLOOKUP(A277,NYSEARCAVTI!A$2:G$506,5,0)</f>
        <v>107.98</v>
      </c>
      <c r="D277">
        <f>VLOOKUP(A277,NYSEARCAVEU!A$2:G$506,5,0)</f>
        <v>44.64</v>
      </c>
      <c r="E277">
        <f>VLOOKUP(A277,NYSEARCAVWO!A$2:G$506,5,0)</f>
        <v>35.49</v>
      </c>
      <c r="F277">
        <f>VLOOKUP(A277,NYSEARCABND!A$2:G$506,5,0)</f>
        <v>83.23</v>
      </c>
      <c r="G277">
        <f>VLOOKUP(A277,NYSEARCATIP!A$2:G$506,5,0)</f>
        <v>115.06</v>
      </c>
      <c r="H277">
        <f>VLOOKUP(A277,NYSEARCAMUB!A$2:G$506,5,0)</f>
        <v>112.9</v>
      </c>
      <c r="I277">
        <f>VLOOKUP(A277,NYSEARCAVNQ!A$2:G$506,5,0)</f>
        <v>85.62</v>
      </c>
      <c r="J277">
        <f>VLOOKUP(A277,NYSEARCARWX!A$2:G$506,5,0)</f>
        <v>43.08</v>
      </c>
      <c r="K277">
        <f>VLOOKUP(A277,NYSEARCADBC!A$2:G$506,5,0)</f>
        <v>15.32</v>
      </c>
      <c r="L277">
        <f>VLOOKUP(A277,NYSEARCAGSG!A$2:G$506,5,0)</f>
        <v>15.79</v>
      </c>
      <c r="M277">
        <f>VLOOKUP(A277,NYSEARCAGLD!A$2:G$506,5,0)</f>
        <v>120.11</v>
      </c>
      <c r="N277">
        <f>VLOOKUP(A277,NYSEBP!A$2:G$506,5,0)</f>
        <v>34.630000000000003</v>
      </c>
      <c r="O277">
        <f>VLOOKUP(A277,NASDAQYHOO!A$2:G$506,5,0)</f>
        <v>37.78</v>
      </c>
    </row>
    <row r="278" spans="1:15">
      <c r="A278" s="39">
        <v>42545</v>
      </c>
      <c r="B278">
        <v>71.959999999999994</v>
      </c>
      <c r="C278">
        <f>VLOOKUP(A278,NYSEARCAVTI!A$2:G$506,5,0)</f>
        <v>104.04</v>
      </c>
      <c r="D278">
        <f>VLOOKUP(A278,NYSEARCAVEU!A$2:G$506,5,0)</f>
        <v>41.22</v>
      </c>
      <c r="E278">
        <f>VLOOKUP(A278,NYSEARCAVWO!A$2:G$506,5,0)</f>
        <v>33.479999999999997</v>
      </c>
      <c r="F278">
        <f>VLOOKUP(A278,NYSEARCABND!A$2:G$506,5,0)</f>
        <v>83.69</v>
      </c>
      <c r="G278">
        <f>VLOOKUP(A278,NYSEARCATIP!A$2:G$506,5,0)</f>
        <v>115.78</v>
      </c>
      <c r="H278">
        <f>VLOOKUP(A278,NYSEARCAMUB!A$2:G$506,5,0)</f>
        <v>113.74</v>
      </c>
      <c r="I278">
        <f>VLOOKUP(A278,NYSEARCAVNQ!A$2:G$506,5,0)</f>
        <v>84.87</v>
      </c>
      <c r="J278">
        <f>VLOOKUP(A278,NYSEARCARWX!A$2:G$506,5,0)</f>
        <v>39.92</v>
      </c>
      <c r="K278">
        <f>VLOOKUP(A278,NYSEARCADBC!A$2:G$506,5,0)</f>
        <v>15.01</v>
      </c>
      <c r="L278">
        <f>VLOOKUP(A278,NYSEARCAGSG!A$2:G$506,5,0)</f>
        <v>15.3</v>
      </c>
      <c r="M278">
        <f>VLOOKUP(A278,NYSEARCAGLD!A$2:G$506,5,0)</f>
        <v>126.01</v>
      </c>
      <c r="N278">
        <f>VLOOKUP(A278,NYSEBP!A$2:G$506,5,0)</f>
        <v>32.979999999999997</v>
      </c>
      <c r="O278">
        <f>VLOOKUP(A278,NASDAQYHOO!A$2:G$506,5,0)</f>
        <v>36.24</v>
      </c>
    </row>
    <row r="279" spans="1:15">
      <c r="A279" s="39">
        <v>42548</v>
      </c>
      <c r="B279">
        <v>71.5</v>
      </c>
      <c r="C279">
        <f>VLOOKUP(A279,NYSEARCAVTI!A$2:G$506,5,0)</f>
        <v>101.98</v>
      </c>
      <c r="D279">
        <f>VLOOKUP(A279,NYSEARCAVEU!A$2:G$506,5,0)</f>
        <v>40.43</v>
      </c>
      <c r="E279">
        <f>VLOOKUP(A279,NYSEARCAVWO!A$2:G$506,5,0)</f>
        <v>33.130000000000003</v>
      </c>
      <c r="F279">
        <f>VLOOKUP(A279,NYSEARCABND!A$2:G$506,5,0)</f>
        <v>84.12</v>
      </c>
      <c r="G279">
        <f>VLOOKUP(A279,NYSEARCATIP!A$2:G$506,5,0)</f>
        <v>116.12</v>
      </c>
      <c r="H279">
        <f>VLOOKUP(A279,NYSEARCAMUB!A$2:G$506,5,0)</f>
        <v>114.1</v>
      </c>
      <c r="I279">
        <f>VLOOKUP(A279,NYSEARCAVNQ!A$2:G$506,5,0)</f>
        <v>84.92</v>
      </c>
      <c r="J279">
        <f>VLOOKUP(A279,NYSEARCARWX!A$2:G$506,5,0)</f>
        <v>39</v>
      </c>
      <c r="K279">
        <f>VLOOKUP(A279,NYSEARCADBC!A$2:G$506,5,0)</f>
        <v>14.98</v>
      </c>
      <c r="L279">
        <f>VLOOKUP(A279,NYSEARCAGSG!A$2:G$506,5,0)</f>
        <v>15.19</v>
      </c>
      <c r="M279">
        <f>VLOOKUP(A279,NYSEARCAGLD!A$2:G$506,5,0)</f>
        <v>126.68</v>
      </c>
      <c r="N279">
        <f>VLOOKUP(A279,NYSEBP!A$2:G$506,5,0)</f>
        <v>31.99</v>
      </c>
      <c r="O279">
        <f>VLOOKUP(A279,NASDAQYHOO!A$2:G$506,5,0)</f>
        <v>35.22</v>
      </c>
    </row>
    <row r="280" spans="1:15">
      <c r="A280" s="39">
        <v>42549</v>
      </c>
      <c r="B280">
        <v>71.510000000000005</v>
      </c>
      <c r="C280">
        <f>VLOOKUP(A280,NYSEARCAVTI!A$2:G$506,5,0)</f>
        <v>103.85</v>
      </c>
      <c r="D280">
        <f>VLOOKUP(A280,NYSEARCAVEU!A$2:G$506,5,0)</f>
        <v>41.49</v>
      </c>
      <c r="E280">
        <f>VLOOKUP(A280,NYSEARCAVWO!A$2:G$506,5,0)</f>
        <v>34.08</v>
      </c>
      <c r="F280">
        <f>VLOOKUP(A280,NYSEARCABND!A$2:G$506,5,0)</f>
        <v>84.22</v>
      </c>
      <c r="G280">
        <f>VLOOKUP(A280,NYSEARCATIP!A$2:G$506,5,0)</f>
        <v>116.52</v>
      </c>
      <c r="H280">
        <f>VLOOKUP(A280,NYSEARCAMUB!A$2:G$506,5,0)</f>
        <v>114.1</v>
      </c>
      <c r="I280">
        <f>VLOOKUP(A280,NYSEARCAVNQ!A$2:G$506,5,0)</f>
        <v>86.71</v>
      </c>
      <c r="J280">
        <f>VLOOKUP(A280,NYSEARCARWX!A$2:G$506,5,0)</f>
        <v>40.4</v>
      </c>
      <c r="K280">
        <f>VLOOKUP(A280,NYSEARCADBC!A$2:G$506,5,0)</f>
        <v>15.22</v>
      </c>
      <c r="L280">
        <f>VLOOKUP(A280,NYSEARCAGSG!A$2:G$506,5,0)</f>
        <v>15.46</v>
      </c>
      <c r="M280">
        <f>VLOOKUP(A280,NYSEARCAGLD!A$2:G$506,5,0)</f>
        <v>125.32</v>
      </c>
      <c r="N280">
        <f>VLOOKUP(A280,NYSEBP!A$2:G$506,5,0)</f>
        <v>33.24</v>
      </c>
      <c r="O280">
        <f>VLOOKUP(A280,NASDAQYHOO!A$2:G$506,5,0)</f>
        <v>36.04</v>
      </c>
    </row>
    <row r="281" spans="1:15">
      <c r="A281" s="39">
        <v>42550</v>
      </c>
      <c r="B281">
        <v>72.459999999999994</v>
      </c>
      <c r="C281">
        <f>VLOOKUP(A281,NYSEARCAVTI!A$2:G$506,5,0)</f>
        <v>105.71</v>
      </c>
      <c r="D281">
        <f>VLOOKUP(A281,NYSEARCAVEU!A$2:G$506,5,0)</f>
        <v>42.31</v>
      </c>
      <c r="E281">
        <f>VLOOKUP(A281,NYSEARCAVWO!A$2:G$506,5,0)</f>
        <v>34.880000000000003</v>
      </c>
      <c r="F281">
        <f>VLOOKUP(A281,NYSEARCABND!A$2:G$506,5,0)</f>
        <v>84.19</v>
      </c>
      <c r="G281">
        <f>VLOOKUP(A281,NYSEARCATIP!A$2:G$506,5,0)</f>
        <v>116.45</v>
      </c>
      <c r="H281">
        <f>VLOOKUP(A281,NYSEARCAMUB!A$2:G$506,5,0)</f>
        <v>113.81</v>
      </c>
      <c r="I281">
        <f>VLOOKUP(A281,NYSEARCAVNQ!A$2:G$506,5,0)</f>
        <v>87.76</v>
      </c>
      <c r="J281">
        <f>VLOOKUP(A281,NYSEARCARWX!A$2:G$506,5,0)</f>
        <v>41.11</v>
      </c>
      <c r="K281">
        <f>VLOOKUP(A281,NYSEARCADBC!A$2:G$506,5,0)</f>
        <v>15.44</v>
      </c>
      <c r="L281">
        <f>VLOOKUP(A281,NYSEARCAGSG!A$2:G$506,5,0)</f>
        <v>15.69</v>
      </c>
      <c r="M281">
        <f>VLOOKUP(A281,NYSEARCAGLD!A$2:G$506,5,0)</f>
        <v>125.84</v>
      </c>
      <c r="N281">
        <f>VLOOKUP(A281,NYSEBP!A$2:G$506,5,0)</f>
        <v>34.79</v>
      </c>
      <c r="O281">
        <f>VLOOKUP(A281,NASDAQYHOO!A$2:G$506,5,0)</f>
        <v>36.86</v>
      </c>
    </row>
    <row r="282" spans="1:15">
      <c r="A282" s="39">
        <v>42551</v>
      </c>
      <c r="B282">
        <v>73.02</v>
      </c>
      <c r="C282">
        <f>VLOOKUP(A282,NYSEARCAVTI!A$2:G$506,5,0)</f>
        <v>107.16</v>
      </c>
      <c r="D282">
        <f>VLOOKUP(A282,NYSEARCAVEU!A$2:G$506,5,0)</f>
        <v>42.85</v>
      </c>
      <c r="E282">
        <f>VLOOKUP(A282,NYSEARCAVWO!A$2:G$506,5,0)</f>
        <v>35.229999999999997</v>
      </c>
      <c r="F282">
        <f>VLOOKUP(A282,NYSEARCABND!A$2:G$506,5,0)</f>
        <v>84.3</v>
      </c>
      <c r="G282">
        <f>VLOOKUP(A282,NYSEARCATIP!A$2:G$506,5,0)</f>
        <v>116.67</v>
      </c>
      <c r="H282">
        <f>VLOOKUP(A282,NYSEARCAMUB!A$2:G$506,5,0)</f>
        <v>113.92</v>
      </c>
      <c r="I282">
        <f>VLOOKUP(A282,NYSEARCAVNQ!A$2:G$506,5,0)</f>
        <v>88.67</v>
      </c>
      <c r="J282">
        <f>VLOOKUP(A282,NYSEARCARWX!A$2:G$506,5,0)</f>
        <v>41.45</v>
      </c>
      <c r="K282">
        <f>VLOOKUP(A282,NYSEARCADBC!A$2:G$506,5,0)</f>
        <v>15.35</v>
      </c>
      <c r="L282">
        <f>VLOOKUP(A282,NYSEARCAGSG!A$2:G$506,5,0)</f>
        <v>15.52</v>
      </c>
      <c r="M282">
        <f>VLOOKUP(A282,NYSEARCAGLD!A$2:G$506,5,0)</f>
        <v>126.47</v>
      </c>
      <c r="N282">
        <f>VLOOKUP(A282,NYSEBP!A$2:G$506,5,0)</f>
        <v>35.51</v>
      </c>
      <c r="O282">
        <f>VLOOKUP(A282,NASDAQYHOO!A$2:G$506,5,0)</f>
        <v>37.56</v>
      </c>
    </row>
    <row r="283" spans="1:15">
      <c r="A283" s="39">
        <v>42552</v>
      </c>
      <c r="B283">
        <v>72.81</v>
      </c>
      <c r="C283">
        <f>VLOOKUP(A283,NYSEARCAVTI!A$2:G$506,5,0)</f>
        <v>107.37</v>
      </c>
      <c r="D283">
        <f>VLOOKUP(A283,NYSEARCAVEU!A$2:G$506,5,0)</f>
        <v>42.98</v>
      </c>
      <c r="E283">
        <f>VLOOKUP(A283,NYSEARCAVWO!A$2:G$506,5,0)</f>
        <v>35.49</v>
      </c>
      <c r="F283">
        <f>VLOOKUP(A283,NYSEARCABND!A$2:G$506,5,0)</f>
        <v>84.37</v>
      </c>
      <c r="G283">
        <f>VLOOKUP(A283,NYSEARCATIP!A$2:G$506,5,0)</f>
        <v>117.06</v>
      </c>
      <c r="H283">
        <f>VLOOKUP(A283,NYSEARCAMUB!A$2:G$506,5,0)</f>
        <v>113.83</v>
      </c>
      <c r="I283">
        <f>VLOOKUP(A283,NYSEARCAVNQ!A$2:G$506,5,0)</f>
        <v>88.7</v>
      </c>
      <c r="J283">
        <f>VLOOKUP(A283,NYSEARCARWX!A$2:G$506,5,0)</f>
        <v>41.47</v>
      </c>
      <c r="K283">
        <f>VLOOKUP(A283,NYSEARCADBC!A$2:G$506,5,0)</f>
        <v>15.54</v>
      </c>
      <c r="L283">
        <f>VLOOKUP(A283,NYSEARCAGSG!A$2:G$506,5,0)</f>
        <v>15.71</v>
      </c>
      <c r="M283">
        <f>VLOOKUP(A283,NYSEARCAGLD!A$2:G$506,5,0)</f>
        <v>128.41</v>
      </c>
      <c r="N283">
        <f>VLOOKUP(A283,NYSEBP!A$2:G$506,5,0)</f>
        <v>36</v>
      </c>
      <c r="O283">
        <f>VLOOKUP(A283,NASDAQYHOO!A$2:G$506,5,0)</f>
        <v>37.99</v>
      </c>
    </row>
    <row r="284" spans="1:15">
      <c r="A284" s="39">
        <v>42556</v>
      </c>
      <c r="B284">
        <v>73.14</v>
      </c>
      <c r="C284">
        <f>VLOOKUP(A284,NYSEARCAVTI!A$2:G$506,5,0)</f>
        <v>106.57</v>
      </c>
      <c r="D284">
        <f>VLOOKUP(A284,NYSEARCAVEU!A$2:G$506,5,0)</f>
        <v>42.15</v>
      </c>
      <c r="E284">
        <f>VLOOKUP(A284,NYSEARCAVWO!A$2:G$506,5,0)</f>
        <v>34.79</v>
      </c>
      <c r="F284">
        <f>VLOOKUP(A284,NYSEARCABND!A$2:G$506,5,0)</f>
        <v>84.66</v>
      </c>
      <c r="G284">
        <f>VLOOKUP(A284,NYSEARCATIP!A$2:G$506,5,0)</f>
        <v>117.25</v>
      </c>
      <c r="H284">
        <f>VLOOKUP(A284,NYSEARCAMUB!A$2:G$506,5,0)</f>
        <v>114.02</v>
      </c>
      <c r="I284">
        <f>VLOOKUP(A284,NYSEARCAVNQ!A$2:G$506,5,0)</f>
        <v>89.68</v>
      </c>
      <c r="J284">
        <f>VLOOKUP(A284,NYSEARCARWX!A$2:G$506,5,0)</f>
        <v>40.57</v>
      </c>
      <c r="K284">
        <f>VLOOKUP(A284,NYSEARCADBC!A$2:G$506,5,0)</f>
        <v>15.1</v>
      </c>
      <c r="L284">
        <f>VLOOKUP(A284,NYSEARCAGSG!A$2:G$506,5,0)</f>
        <v>15.16</v>
      </c>
      <c r="M284">
        <f>VLOOKUP(A284,NYSEARCAGLD!A$2:G$506,5,0)</f>
        <v>129.47</v>
      </c>
      <c r="N284">
        <f>VLOOKUP(A284,NYSEBP!A$2:G$506,5,0)</f>
        <v>35.9</v>
      </c>
      <c r="O284">
        <f>VLOOKUP(A284,NASDAQYHOO!A$2:G$506,5,0)</f>
        <v>37.5</v>
      </c>
    </row>
    <row r="285" spans="1:15">
      <c r="A285" s="39">
        <v>42557</v>
      </c>
      <c r="B285">
        <v>73.819999999999993</v>
      </c>
      <c r="C285">
        <f>VLOOKUP(A285,NYSEARCAVTI!A$2:G$506,5,0)</f>
        <v>107.22</v>
      </c>
      <c r="D285">
        <f>VLOOKUP(A285,NYSEARCAVEU!A$2:G$506,5,0)</f>
        <v>42.08</v>
      </c>
      <c r="E285">
        <f>VLOOKUP(A285,NYSEARCAVWO!A$2:G$506,5,0)</f>
        <v>34.79</v>
      </c>
      <c r="F285">
        <f>VLOOKUP(A285,NYSEARCABND!A$2:G$506,5,0)</f>
        <v>84.81</v>
      </c>
      <c r="G285">
        <f>VLOOKUP(A285,NYSEARCATIP!A$2:G$506,5,0)</f>
        <v>117.53</v>
      </c>
      <c r="H285">
        <f>VLOOKUP(A285,NYSEARCAMUB!A$2:G$506,5,0)</f>
        <v>114.08</v>
      </c>
      <c r="I285">
        <f>VLOOKUP(A285,NYSEARCAVNQ!A$2:G$506,5,0)</f>
        <v>89.29</v>
      </c>
      <c r="J285">
        <f>VLOOKUP(A285,NYSEARCARWX!A$2:G$506,5,0)</f>
        <v>40.51</v>
      </c>
      <c r="K285">
        <f>VLOOKUP(A285,NYSEARCADBC!A$2:G$506,5,0)</f>
        <v>15.16</v>
      </c>
      <c r="L285">
        <f>VLOOKUP(A285,NYSEARCAGSG!A$2:G$506,5,0)</f>
        <v>15.23</v>
      </c>
      <c r="M285">
        <f>VLOOKUP(A285,NYSEARCAGLD!A$2:G$506,5,0)</f>
        <v>130.22999999999999</v>
      </c>
      <c r="N285">
        <f>VLOOKUP(A285,NYSEBP!A$2:G$506,5,0)</f>
        <v>35.57</v>
      </c>
      <c r="O285">
        <f>VLOOKUP(A285,NASDAQYHOO!A$2:G$506,5,0)</f>
        <v>37.51</v>
      </c>
    </row>
    <row r="286" spans="1:15">
      <c r="A286" s="39">
        <v>42558</v>
      </c>
      <c r="B286">
        <v>73.53</v>
      </c>
      <c r="C286">
        <f>VLOOKUP(A286,NYSEARCAVTI!A$2:G$506,5,0)</f>
        <v>107.17</v>
      </c>
      <c r="D286">
        <f>VLOOKUP(A286,NYSEARCAVEU!A$2:G$506,5,0)</f>
        <v>41.94</v>
      </c>
      <c r="E286">
        <f>VLOOKUP(A286,NYSEARCAVWO!A$2:G$506,5,0)</f>
        <v>34.64</v>
      </c>
      <c r="F286">
        <f>VLOOKUP(A286,NYSEARCABND!A$2:G$506,5,0)</f>
        <v>84.67</v>
      </c>
      <c r="G286">
        <f>VLOOKUP(A286,NYSEARCATIP!A$2:G$506,5,0)</f>
        <v>117.29</v>
      </c>
      <c r="H286">
        <f>VLOOKUP(A286,NYSEARCAMUB!A$2:G$506,5,0)</f>
        <v>115.19</v>
      </c>
      <c r="I286">
        <f>VLOOKUP(A286,NYSEARCAVNQ!A$2:G$506,5,0)</f>
        <v>88.37</v>
      </c>
      <c r="J286">
        <f>VLOOKUP(A286,NYSEARCARWX!A$2:G$506,5,0)</f>
        <v>40.4</v>
      </c>
      <c r="K286">
        <f>VLOOKUP(A286,NYSEARCADBC!A$2:G$506,5,0)</f>
        <v>14.73</v>
      </c>
      <c r="L286">
        <f>VLOOKUP(A286,NYSEARCAGSG!A$2:G$506,5,0)</f>
        <v>14.72</v>
      </c>
      <c r="M286">
        <f>VLOOKUP(A286,NYSEARCAGLD!A$2:G$506,5,0)</f>
        <v>129.74</v>
      </c>
      <c r="N286">
        <f>VLOOKUP(A286,NYSEBP!A$2:G$506,5,0)</f>
        <v>35.4</v>
      </c>
      <c r="O286">
        <f>VLOOKUP(A286,NASDAQYHOO!A$2:G$506,5,0)</f>
        <v>37.520000000000003</v>
      </c>
    </row>
    <row r="287" spans="1:15">
      <c r="A287" s="39">
        <v>42559</v>
      </c>
      <c r="B287">
        <v>73.84</v>
      </c>
      <c r="C287">
        <f>VLOOKUP(A287,NYSEARCAVTI!A$2:G$506,5,0)</f>
        <v>108.84</v>
      </c>
      <c r="D287">
        <f>VLOOKUP(A287,NYSEARCAVEU!A$2:G$506,5,0)</f>
        <v>42.62</v>
      </c>
      <c r="E287">
        <f>VLOOKUP(A287,NYSEARCAVWO!A$2:G$506,5,0)</f>
        <v>35.409999999999997</v>
      </c>
      <c r="F287">
        <f>VLOOKUP(A287,NYSEARCABND!A$2:G$506,5,0)</f>
        <v>84.89</v>
      </c>
      <c r="G287">
        <f>VLOOKUP(A287,NYSEARCATIP!A$2:G$506,5,0)</f>
        <v>117.55</v>
      </c>
      <c r="H287">
        <f>VLOOKUP(A287,NYSEARCAMUB!A$2:G$506,5,0)</f>
        <v>113.98</v>
      </c>
      <c r="I287">
        <f>VLOOKUP(A287,NYSEARCAVNQ!A$2:G$506,5,0)</f>
        <v>89.8</v>
      </c>
      <c r="J287">
        <f>VLOOKUP(A287,NYSEARCARWX!A$2:G$506,5,0)</f>
        <v>41.08</v>
      </c>
      <c r="K287">
        <f>VLOOKUP(A287,NYSEARCADBC!A$2:G$506,5,0)</f>
        <v>14.88</v>
      </c>
      <c r="L287">
        <f>VLOOKUP(A287,NYSEARCAGSG!A$2:G$506,5,0)</f>
        <v>14.85</v>
      </c>
      <c r="M287">
        <f>VLOOKUP(A287,NYSEARCAGLD!A$2:G$506,5,0)</f>
        <v>130.52000000000001</v>
      </c>
      <c r="N287">
        <f>VLOOKUP(A287,NYSEBP!A$2:G$506,5,0)</f>
        <v>35.92</v>
      </c>
      <c r="O287">
        <f>VLOOKUP(A287,NASDAQYHOO!A$2:G$506,5,0)</f>
        <v>37.74</v>
      </c>
    </row>
    <row r="288" spans="1:15">
      <c r="A288" s="39">
        <v>42562</v>
      </c>
      <c r="B288">
        <v>74.06</v>
      </c>
      <c r="C288">
        <f>VLOOKUP(A288,NYSEARCAVTI!A$2:G$506,5,0)</f>
        <v>109.29</v>
      </c>
      <c r="D288">
        <f>VLOOKUP(A288,NYSEARCAVEU!A$2:G$506,5,0)</f>
        <v>43.19</v>
      </c>
      <c r="E288">
        <f>VLOOKUP(A288,NYSEARCAVWO!A$2:G$506,5,0)</f>
        <v>35.700000000000003</v>
      </c>
      <c r="F288">
        <f>VLOOKUP(A288,NYSEARCABND!A$2:G$506,5,0)</f>
        <v>84.64</v>
      </c>
      <c r="G288">
        <f>VLOOKUP(A288,NYSEARCATIP!A$2:G$506,5,0)</f>
        <v>116.98</v>
      </c>
      <c r="H288">
        <f>VLOOKUP(A288,NYSEARCAMUB!A$2:G$506,5,0)</f>
        <v>113.81</v>
      </c>
      <c r="I288">
        <f>VLOOKUP(A288,NYSEARCAVNQ!A$2:G$506,5,0)</f>
        <v>90.4</v>
      </c>
      <c r="J288">
        <f>VLOOKUP(A288,NYSEARCARWX!A$2:G$506,5,0)</f>
        <v>41.62</v>
      </c>
      <c r="K288">
        <f>VLOOKUP(A288,NYSEARCADBC!A$2:G$506,5,0)</f>
        <v>14.82</v>
      </c>
      <c r="L288">
        <f>VLOOKUP(A288,NYSEARCAGSG!A$2:G$506,5,0)</f>
        <v>14.7</v>
      </c>
      <c r="M288">
        <f>VLOOKUP(A288,NYSEARCAGLD!A$2:G$506,5,0)</f>
        <v>129.29</v>
      </c>
      <c r="N288">
        <f>VLOOKUP(A288,NYSEBP!A$2:G$506,5,0)</f>
        <v>36.11</v>
      </c>
      <c r="O288">
        <f>VLOOKUP(A288,NASDAQYHOO!A$2:G$506,5,0)</f>
        <v>37.96</v>
      </c>
    </row>
    <row r="289" spans="1:15">
      <c r="A289" s="39">
        <v>42563</v>
      </c>
      <c r="B289">
        <v>73.27</v>
      </c>
      <c r="C289">
        <f>VLOOKUP(A289,NYSEARCAVTI!A$2:G$506,5,0)</f>
        <v>110.2</v>
      </c>
      <c r="D289">
        <f>VLOOKUP(A289,NYSEARCAVEU!A$2:G$506,5,0)</f>
        <v>43.78</v>
      </c>
      <c r="E289">
        <f>VLOOKUP(A289,NYSEARCAVWO!A$2:G$506,5,0)</f>
        <v>36.25</v>
      </c>
      <c r="F289">
        <f>VLOOKUP(A289,NYSEARCABND!A$2:G$506,5,0)</f>
        <v>84.3</v>
      </c>
      <c r="G289">
        <f>VLOOKUP(A289,NYSEARCATIP!A$2:G$506,5,0)</f>
        <v>116.59</v>
      </c>
      <c r="H289">
        <f>VLOOKUP(A289,NYSEARCAMUB!A$2:G$506,5,0)</f>
        <v>113.68</v>
      </c>
      <c r="I289">
        <f>VLOOKUP(A289,NYSEARCAVNQ!A$2:G$506,5,0)</f>
        <v>90.39</v>
      </c>
      <c r="J289">
        <f>VLOOKUP(A289,NYSEARCARWX!A$2:G$506,5,0)</f>
        <v>42.01</v>
      </c>
      <c r="K289">
        <f>VLOOKUP(A289,NYSEARCADBC!A$2:G$506,5,0)</f>
        <v>15.1</v>
      </c>
      <c r="L289">
        <f>VLOOKUP(A289,NYSEARCAGSG!A$2:G$506,5,0)</f>
        <v>15.11</v>
      </c>
      <c r="M289">
        <f>VLOOKUP(A289,NYSEARCAGLD!A$2:G$506,5,0)</f>
        <v>127.15</v>
      </c>
      <c r="N289">
        <f>VLOOKUP(A289,NYSEBP!A$2:G$506,5,0)</f>
        <v>36.909999999999997</v>
      </c>
      <c r="O289">
        <f>VLOOKUP(A289,NASDAQYHOO!A$2:G$506,5,0)</f>
        <v>37.89</v>
      </c>
    </row>
    <row r="290" spans="1:15">
      <c r="A290" s="39">
        <v>42564</v>
      </c>
      <c r="B290">
        <v>73.62</v>
      </c>
      <c r="C290">
        <f>VLOOKUP(A290,NYSEARCAVTI!A$2:G$506,5,0)</f>
        <v>110.14</v>
      </c>
      <c r="D290">
        <f>VLOOKUP(A290,NYSEARCAVEU!A$2:G$506,5,0)</f>
        <v>43.72</v>
      </c>
      <c r="E290">
        <f>VLOOKUP(A290,NYSEARCAVWO!A$2:G$506,5,0)</f>
        <v>36.19</v>
      </c>
      <c r="F290">
        <f>VLOOKUP(A290,NYSEARCABND!A$2:G$506,5,0)</f>
        <v>84.45</v>
      </c>
      <c r="G290">
        <f>VLOOKUP(A290,NYSEARCATIP!A$2:G$506,5,0)</f>
        <v>116.84</v>
      </c>
      <c r="H290">
        <f>VLOOKUP(A290,NYSEARCAMUB!A$2:G$506,5,0)</f>
        <v>113.66</v>
      </c>
      <c r="I290">
        <f>VLOOKUP(A290,NYSEARCAVNQ!A$2:G$506,5,0)</f>
        <v>90.89</v>
      </c>
      <c r="J290">
        <f>VLOOKUP(A290,NYSEARCARWX!A$2:G$506,5,0)</f>
        <v>41.92</v>
      </c>
      <c r="K290">
        <f>VLOOKUP(A290,NYSEARCADBC!A$2:G$506,5,0)</f>
        <v>14.91</v>
      </c>
      <c r="L290">
        <f>VLOOKUP(A290,NYSEARCAGSG!A$2:G$506,5,0)</f>
        <v>14.85</v>
      </c>
      <c r="M290">
        <f>VLOOKUP(A290,NYSEARCAGLD!A$2:G$506,5,0)</f>
        <v>128.32</v>
      </c>
      <c r="N290">
        <f>VLOOKUP(A290,NYSEBP!A$2:G$506,5,0)</f>
        <v>36.56</v>
      </c>
      <c r="O290">
        <f>VLOOKUP(A290,NASDAQYHOO!A$2:G$506,5,0)</f>
        <v>37.64</v>
      </c>
    </row>
    <row r="291" spans="1:15">
      <c r="A291" s="39">
        <v>42565</v>
      </c>
      <c r="B291">
        <v>73.7</v>
      </c>
      <c r="C291">
        <f>VLOOKUP(A291,NYSEARCAVTI!A$2:G$506,5,0)</f>
        <v>110.67</v>
      </c>
      <c r="D291">
        <f>VLOOKUP(A291,NYSEARCAVEU!A$2:G$506,5,0)</f>
        <v>44.14</v>
      </c>
      <c r="E291">
        <f>VLOOKUP(A291,NYSEARCAVWO!A$2:G$506,5,0)</f>
        <v>36.69</v>
      </c>
      <c r="F291">
        <f>VLOOKUP(A291,NYSEARCABND!A$2:G$506,5,0)</f>
        <v>84.32</v>
      </c>
      <c r="G291">
        <f>VLOOKUP(A291,NYSEARCATIP!A$2:G$506,5,0)</f>
        <v>116.54</v>
      </c>
      <c r="H291">
        <f>VLOOKUP(A291,NYSEARCAMUB!A$2:G$506,5,0)</f>
        <v>113.53</v>
      </c>
      <c r="I291">
        <f>VLOOKUP(A291,NYSEARCAVNQ!A$2:G$506,5,0)</f>
        <v>90.08</v>
      </c>
      <c r="J291">
        <f>VLOOKUP(A291,NYSEARCARWX!A$2:G$506,5,0)</f>
        <v>42.18</v>
      </c>
      <c r="K291">
        <f>VLOOKUP(A291,NYSEARCADBC!A$2:G$506,5,0)</f>
        <v>14.97</v>
      </c>
      <c r="L291">
        <f>VLOOKUP(A291,NYSEARCAGSG!A$2:G$506,5,0)</f>
        <v>14.92</v>
      </c>
      <c r="M291">
        <f>VLOOKUP(A291,NYSEARCAGLD!A$2:G$506,5,0)</f>
        <v>127.33</v>
      </c>
      <c r="N291">
        <f>VLOOKUP(A291,NYSEBP!A$2:G$506,5,0)</f>
        <v>36.56</v>
      </c>
      <c r="O291">
        <f>VLOOKUP(A291,NASDAQYHOO!A$2:G$506,5,0)</f>
        <v>37.96</v>
      </c>
    </row>
    <row r="292" spans="1:15">
      <c r="A292" s="39">
        <v>42566</v>
      </c>
      <c r="B292">
        <v>73.67</v>
      </c>
      <c r="C292">
        <f>VLOOKUP(A292,NYSEARCAVTI!A$2:G$506,5,0)</f>
        <v>110.55</v>
      </c>
      <c r="D292">
        <f>VLOOKUP(A292,NYSEARCAVEU!A$2:G$506,5,0)</f>
        <v>43.92</v>
      </c>
      <c r="E292">
        <f>VLOOKUP(A292,NYSEARCAVWO!A$2:G$506,5,0)</f>
        <v>36.56</v>
      </c>
      <c r="F292">
        <f>VLOOKUP(A292,NYSEARCABND!A$2:G$506,5,0)</f>
        <v>84.05</v>
      </c>
      <c r="G292">
        <f>VLOOKUP(A292,NYSEARCATIP!A$2:G$506,5,0)</f>
        <v>116.41</v>
      </c>
      <c r="H292">
        <f>VLOOKUP(A292,NYSEARCAMUB!A$2:G$506,5,0)</f>
        <v>113.41</v>
      </c>
      <c r="I292">
        <f>VLOOKUP(A292,NYSEARCAVNQ!A$2:G$506,5,0)</f>
        <v>90.11</v>
      </c>
      <c r="J292">
        <f>VLOOKUP(A292,NYSEARCARWX!A$2:G$506,5,0)</f>
        <v>41.71</v>
      </c>
      <c r="K292">
        <f>VLOOKUP(A292,NYSEARCADBC!A$2:G$506,5,0)</f>
        <v>14.93</v>
      </c>
      <c r="L292">
        <f>VLOOKUP(A292,NYSEARCAGSG!A$2:G$506,5,0)</f>
        <v>14.94</v>
      </c>
      <c r="M292">
        <f>VLOOKUP(A292,NYSEARCAGLD!A$2:G$506,5,0)</f>
        <v>126.84</v>
      </c>
      <c r="N292">
        <f>VLOOKUP(A292,NYSEBP!A$2:G$506,5,0)</f>
        <v>36.56</v>
      </c>
      <c r="O292">
        <f>VLOOKUP(A292,NASDAQYHOO!A$2:G$506,5,0)</f>
        <v>37.72</v>
      </c>
    </row>
    <row r="293" spans="1:15">
      <c r="A293" s="39">
        <v>42569</v>
      </c>
      <c r="B293">
        <v>73.84</v>
      </c>
      <c r="C293">
        <f>VLOOKUP(A293,NYSEARCAVTI!A$2:G$506,5,0)</f>
        <v>110.86</v>
      </c>
      <c r="D293">
        <f>VLOOKUP(A293,NYSEARCAVEU!A$2:G$506,5,0)</f>
        <v>44.1</v>
      </c>
      <c r="E293">
        <f>VLOOKUP(A293,NYSEARCAVWO!A$2:G$506,5,0)</f>
        <v>36.880000000000003</v>
      </c>
      <c r="F293">
        <f>VLOOKUP(A293,NYSEARCABND!A$2:G$506,5,0)</f>
        <v>84.08</v>
      </c>
      <c r="G293">
        <f>VLOOKUP(A293,NYSEARCATIP!A$2:G$506,5,0)</f>
        <v>116.33</v>
      </c>
      <c r="H293">
        <f>VLOOKUP(A293,NYSEARCAMUB!A$2:G$506,5,0)</f>
        <v>113.38</v>
      </c>
      <c r="I293">
        <f>VLOOKUP(A293,NYSEARCAVNQ!A$2:G$506,5,0)</f>
        <v>90.35</v>
      </c>
      <c r="J293">
        <f>VLOOKUP(A293,NYSEARCARWX!A$2:G$506,5,0)</f>
        <v>41.84</v>
      </c>
      <c r="K293">
        <f>VLOOKUP(A293,NYSEARCADBC!A$2:G$506,5,0)</f>
        <v>14.86</v>
      </c>
      <c r="L293">
        <f>VLOOKUP(A293,NYSEARCAGSG!A$2:G$506,5,0)</f>
        <v>14.83</v>
      </c>
      <c r="M293">
        <f>VLOOKUP(A293,NYSEARCAGLD!A$2:G$506,5,0)</f>
        <v>127.04</v>
      </c>
      <c r="N293">
        <f>VLOOKUP(A293,NYSEBP!A$2:G$506,5,0)</f>
        <v>36.17</v>
      </c>
      <c r="O293">
        <f>VLOOKUP(A293,NASDAQYHOO!A$2:G$506,5,0)</f>
        <v>37.950000000000003</v>
      </c>
    </row>
    <row r="294" spans="1:15">
      <c r="A294" s="39">
        <v>42570</v>
      </c>
      <c r="B294">
        <v>73.66</v>
      </c>
      <c r="C294">
        <f>VLOOKUP(A294,NYSEARCAVTI!A$2:G$506,5,0)</f>
        <v>110.64</v>
      </c>
      <c r="D294">
        <f>VLOOKUP(A294,NYSEARCAVEU!A$2:G$506,5,0)</f>
        <v>43.69</v>
      </c>
      <c r="E294">
        <f>VLOOKUP(A294,NYSEARCAVWO!A$2:G$506,5,0)</f>
        <v>36.56</v>
      </c>
      <c r="F294">
        <f>VLOOKUP(A294,NYSEARCABND!A$2:G$506,5,0)</f>
        <v>84.21</v>
      </c>
      <c r="G294">
        <f>VLOOKUP(A294,NYSEARCATIP!A$2:G$506,5,0)</f>
        <v>116.34</v>
      </c>
      <c r="H294">
        <f>VLOOKUP(A294,NYSEARCAMUB!A$2:G$506,5,0)</f>
        <v>113.4</v>
      </c>
      <c r="I294">
        <f>VLOOKUP(A294,NYSEARCAVNQ!A$2:G$506,5,0)</f>
        <v>90.79</v>
      </c>
      <c r="J294">
        <f>VLOOKUP(A294,NYSEARCARWX!A$2:G$506,5,0)</f>
        <v>41.72</v>
      </c>
      <c r="K294">
        <f>VLOOKUP(A294,NYSEARCADBC!A$2:G$506,5,0)</f>
        <v>14.77</v>
      </c>
      <c r="L294">
        <f>VLOOKUP(A294,NYSEARCAGSG!A$2:G$506,5,0)</f>
        <v>14.67</v>
      </c>
      <c r="M294">
        <f>VLOOKUP(A294,NYSEARCAGLD!A$2:G$506,5,0)</f>
        <v>127.21</v>
      </c>
      <c r="N294">
        <f>VLOOKUP(A294,NYSEBP!A$2:G$506,5,0)</f>
        <v>36.03</v>
      </c>
      <c r="O294">
        <f>VLOOKUP(A294,NASDAQYHOO!A$2:G$506,5,0)</f>
        <v>38.17</v>
      </c>
    </row>
    <row r="295" spans="1:15">
      <c r="A295" s="39">
        <v>42571</v>
      </c>
      <c r="B295">
        <v>73.790000000000006</v>
      </c>
      <c r="C295">
        <f>VLOOKUP(A295,NYSEARCAVTI!A$2:G$506,5,0)</f>
        <v>111.23</v>
      </c>
      <c r="D295">
        <f>VLOOKUP(A295,NYSEARCAVEU!A$2:G$506,5,0)</f>
        <v>44.04</v>
      </c>
      <c r="E295">
        <f>VLOOKUP(A295,NYSEARCAVWO!A$2:G$506,5,0)</f>
        <v>36.75</v>
      </c>
      <c r="F295">
        <f>VLOOKUP(A295,NYSEARCABND!A$2:G$506,5,0)</f>
        <v>84.12</v>
      </c>
      <c r="G295">
        <f>VLOOKUP(A295,NYSEARCATIP!A$2:G$506,5,0)</f>
        <v>116.13</v>
      </c>
      <c r="H295">
        <f>VLOOKUP(A295,NYSEARCAMUB!A$2:G$506,5,0)</f>
        <v>113.32</v>
      </c>
      <c r="I295">
        <f>VLOOKUP(A295,NYSEARCAVNQ!A$2:G$506,5,0)</f>
        <v>90.8</v>
      </c>
      <c r="J295">
        <f>VLOOKUP(A295,NYSEARCARWX!A$2:G$506,5,0)</f>
        <v>42.16</v>
      </c>
      <c r="K295">
        <f>VLOOKUP(A295,NYSEARCADBC!A$2:G$506,5,0)</f>
        <v>14.67</v>
      </c>
      <c r="L295">
        <f>VLOOKUP(A295,NYSEARCAGSG!A$2:G$506,5,0)</f>
        <v>14.61</v>
      </c>
      <c r="M295">
        <f>VLOOKUP(A295,NYSEARCAGLD!A$2:G$506,5,0)</f>
        <v>125.39</v>
      </c>
      <c r="N295">
        <f>VLOOKUP(A295,NYSEBP!A$2:G$506,5,0)</f>
        <v>35.96</v>
      </c>
      <c r="O295">
        <f>VLOOKUP(A295,NASDAQYHOO!A$2:G$506,5,0)</f>
        <v>38.9</v>
      </c>
    </row>
    <row r="296" spans="1:15">
      <c r="A296" s="39">
        <v>42572</v>
      </c>
      <c r="B296">
        <v>73.52</v>
      </c>
      <c r="C296">
        <f>VLOOKUP(A296,NYSEARCAVTI!A$2:G$506,5,0)</f>
        <v>110.79</v>
      </c>
      <c r="D296">
        <f>VLOOKUP(A296,NYSEARCAVEU!A$2:G$506,5,0)</f>
        <v>43.94</v>
      </c>
      <c r="E296">
        <f>VLOOKUP(A296,NYSEARCAVWO!A$2:G$506,5,0)</f>
        <v>36.65</v>
      </c>
      <c r="F296">
        <f>VLOOKUP(A296,NYSEARCABND!A$2:G$506,5,0)</f>
        <v>84.22</v>
      </c>
      <c r="G296">
        <f>VLOOKUP(A296,NYSEARCATIP!A$2:G$506,5,0)</f>
        <v>116.18</v>
      </c>
      <c r="H296">
        <f>VLOOKUP(A296,NYSEARCAMUB!A$2:G$506,5,0)</f>
        <v>113.34</v>
      </c>
      <c r="I296">
        <f>VLOOKUP(A296,NYSEARCAVNQ!A$2:G$506,5,0)</f>
        <v>90.98</v>
      </c>
      <c r="J296">
        <f>VLOOKUP(A296,NYSEARCARWX!A$2:G$506,5,0)</f>
        <v>42.08</v>
      </c>
      <c r="K296">
        <f>VLOOKUP(A296,NYSEARCADBC!A$2:G$506,5,0)</f>
        <v>14.59</v>
      </c>
      <c r="L296">
        <f>VLOOKUP(A296,NYSEARCAGSG!A$2:G$506,5,0)</f>
        <v>14.48</v>
      </c>
      <c r="M296">
        <f>VLOOKUP(A296,NYSEARCAGLD!A$2:G$506,5,0)</f>
        <v>127.3</v>
      </c>
      <c r="N296">
        <f>VLOOKUP(A296,NYSEBP!A$2:G$506,5,0)</f>
        <v>35.840000000000003</v>
      </c>
      <c r="O296">
        <f>VLOOKUP(A296,NASDAQYHOO!A$2:G$506,5,0)</f>
        <v>38.85</v>
      </c>
    </row>
    <row r="297" spans="1:15">
      <c r="A297" s="39">
        <v>42573</v>
      </c>
      <c r="B297">
        <v>73.55</v>
      </c>
      <c r="C297">
        <f>VLOOKUP(A297,NYSEARCAVTI!A$2:G$506,5,0)</f>
        <v>111.32</v>
      </c>
      <c r="D297">
        <f>VLOOKUP(A297,NYSEARCAVEU!A$2:G$506,5,0)</f>
        <v>43.98</v>
      </c>
      <c r="E297">
        <f>VLOOKUP(A297,NYSEARCAVWO!A$2:G$506,5,0)</f>
        <v>36.89</v>
      </c>
      <c r="F297">
        <f>VLOOKUP(A297,NYSEARCABND!A$2:G$506,5,0)</f>
        <v>84.23</v>
      </c>
      <c r="G297">
        <f>VLOOKUP(A297,NYSEARCATIP!A$2:G$506,5,0)</f>
        <v>116.08</v>
      </c>
      <c r="H297">
        <f>VLOOKUP(A297,NYSEARCAMUB!A$2:G$506,5,0)</f>
        <v>113.3</v>
      </c>
      <c r="I297">
        <f>VLOOKUP(A297,NYSEARCAVNQ!A$2:G$506,5,0)</f>
        <v>91.78</v>
      </c>
      <c r="J297">
        <f>VLOOKUP(A297,NYSEARCARWX!A$2:G$506,5,0)</f>
        <v>42.05</v>
      </c>
      <c r="K297">
        <f>VLOOKUP(A297,NYSEARCADBC!A$2:G$506,5,0)</f>
        <v>14.56</v>
      </c>
      <c r="L297">
        <f>VLOOKUP(A297,NYSEARCAGSG!A$2:G$506,5,0)</f>
        <v>14.43</v>
      </c>
      <c r="M297">
        <f>VLOOKUP(A297,NYSEARCAGLD!A$2:G$506,5,0)</f>
        <v>126.35</v>
      </c>
      <c r="N297">
        <f>VLOOKUP(A297,NYSEBP!A$2:G$506,5,0)</f>
        <v>35.869999999999997</v>
      </c>
      <c r="O297">
        <f>VLOOKUP(A297,NASDAQYHOO!A$2:G$506,5,0)</f>
        <v>39.380000000000003</v>
      </c>
    </row>
    <row r="298" spans="1:15">
      <c r="A298" s="39">
        <v>42576</v>
      </c>
      <c r="B298">
        <v>73.75</v>
      </c>
      <c r="C298">
        <f>VLOOKUP(A298,NYSEARCAVTI!A$2:G$506,5,0)</f>
        <v>111.03</v>
      </c>
      <c r="D298">
        <f>VLOOKUP(A298,NYSEARCAVEU!A$2:G$506,5,0)</f>
        <v>43.9</v>
      </c>
      <c r="E298">
        <f>VLOOKUP(A298,NYSEARCAVWO!A$2:G$506,5,0)</f>
        <v>36.590000000000003</v>
      </c>
      <c r="F298">
        <f>VLOOKUP(A298,NYSEARCABND!A$2:G$506,5,0)</f>
        <v>84.18</v>
      </c>
      <c r="G298">
        <f>VLOOKUP(A298,NYSEARCATIP!A$2:G$506,5,0)</f>
        <v>115.83</v>
      </c>
      <c r="H298">
        <f>VLOOKUP(A298,NYSEARCAMUB!A$2:G$506,5,0)</f>
        <v>113.24</v>
      </c>
      <c r="I298">
        <f>VLOOKUP(A298,NYSEARCAVNQ!A$2:G$506,5,0)</f>
        <v>91.61</v>
      </c>
      <c r="J298">
        <f>VLOOKUP(A298,NYSEARCARWX!A$2:G$506,5,0)</f>
        <v>42.2</v>
      </c>
      <c r="K298">
        <f>VLOOKUP(A298,NYSEARCADBC!A$2:G$506,5,0)</f>
        <v>14.4</v>
      </c>
      <c r="L298">
        <f>VLOOKUP(A298,NYSEARCAGSG!A$2:G$506,5,0)</f>
        <v>14.25</v>
      </c>
      <c r="M298">
        <f>VLOOKUP(A298,NYSEARCAGLD!A$2:G$506,5,0)</f>
        <v>125.47</v>
      </c>
      <c r="N298">
        <f>VLOOKUP(A298,NYSEBP!A$2:G$506,5,0)</f>
        <v>34.9</v>
      </c>
      <c r="O298">
        <f>VLOOKUP(A298,NASDAQYHOO!A$2:G$506,5,0)</f>
        <v>38.32</v>
      </c>
    </row>
    <row r="299" spans="1:15">
      <c r="A299" s="39">
        <v>42577</v>
      </c>
      <c r="B299">
        <v>73.73</v>
      </c>
      <c r="C299">
        <f>VLOOKUP(A299,NYSEARCAVTI!A$2:G$506,5,0)</f>
        <v>111.15</v>
      </c>
      <c r="D299">
        <f>VLOOKUP(A299,NYSEARCAVEU!A$2:G$506,5,0)</f>
        <v>44.07</v>
      </c>
      <c r="E299">
        <f>VLOOKUP(A299,NYSEARCAVWO!A$2:G$506,5,0)</f>
        <v>36.81</v>
      </c>
      <c r="F299">
        <f>VLOOKUP(A299,NYSEARCABND!A$2:G$506,5,0)</f>
        <v>84.17</v>
      </c>
      <c r="G299">
        <f>VLOOKUP(A299,NYSEARCATIP!A$2:G$506,5,0)</f>
        <v>116.03</v>
      </c>
      <c r="H299">
        <f>VLOOKUP(A299,NYSEARCAMUB!A$2:G$506,5,0)</f>
        <v>113.31</v>
      </c>
      <c r="I299">
        <f>VLOOKUP(A299,NYSEARCAVNQ!A$2:G$506,5,0)</f>
        <v>91.16</v>
      </c>
      <c r="J299">
        <f>VLOOKUP(A299,NYSEARCARWX!A$2:G$506,5,0)</f>
        <v>42.43</v>
      </c>
      <c r="K299">
        <f>VLOOKUP(A299,NYSEARCADBC!A$2:G$506,5,0)</f>
        <v>14.34</v>
      </c>
      <c r="L299">
        <f>VLOOKUP(A299,NYSEARCAGSG!A$2:G$506,5,0)</f>
        <v>14.21</v>
      </c>
      <c r="M299">
        <f>VLOOKUP(A299,NYSEARCAGLD!A$2:G$506,5,0)</f>
        <v>126</v>
      </c>
      <c r="N299">
        <f>VLOOKUP(A299,NYSEBP!A$2:G$506,5,0)</f>
        <v>34.590000000000003</v>
      </c>
      <c r="O299">
        <f>VLOOKUP(A299,NASDAQYHOO!A$2:G$506,5,0)</f>
        <v>38.76</v>
      </c>
    </row>
    <row r="300" spans="1:15">
      <c r="A300" s="39">
        <v>42578</v>
      </c>
      <c r="B300">
        <v>73.319999999999993</v>
      </c>
      <c r="C300">
        <f>VLOOKUP(A300,NYSEARCAVTI!A$2:G$506,5,0)</f>
        <v>111.02</v>
      </c>
      <c r="D300">
        <f>VLOOKUP(A300,NYSEARCAVEU!A$2:G$506,5,0)</f>
        <v>44.27</v>
      </c>
      <c r="E300">
        <f>VLOOKUP(A300,NYSEARCAVWO!A$2:G$506,5,0)</f>
        <v>36.86</v>
      </c>
      <c r="F300">
        <f>VLOOKUP(A300,NYSEARCABND!A$2:G$506,5,0)</f>
        <v>84.42</v>
      </c>
      <c r="G300">
        <f>VLOOKUP(A300,NYSEARCATIP!A$2:G$506,5,0)</f>
        <v>116.48</v>
      </c>
      <c r="H300">
        <f>VLOOKUP(A300,NYSEARCAMUB!A$2:G$506,5,0)</f>
        <v>113.45</v>
      </c>
      <c r="I300">
        <f>VLOOKUP(A300,NYSEARCAVNQ!A$2:G$506,5,0)</f>
        <v>90.45</v>
      </c>
      <c r="J300">
        <f>VLOOKUP(A300,NYSEARCARWX!A$2:G$506,5,0)</f>
        <v>42.42</v>
      </c>
      <c r="K300">
        <f>VLOOKUP(A300,NYSEARCADBC!A$2:G$506,5,0)</f>
        <v>14.2</v>
      </c>
      <c r="L300">
        <f>VLOOKUP(A300,NYSEARCAGSG!A$2:G$506,5,0)</f>
        <v>14.01</v>
      </c>
      <c r="M300">
        <f>VLOOKUP(A300,NYSEARCAGLD!A$2:G$506,5,0)</f>
        <v>128.03</v>
      </c>
      <c r="N300">
        <f>VLOOKUP(A300,NYSEBP!A$2:G$506,5,0)</f>
        <v>34.57</v>
      </c>
      <c r="O300">
        <f>VLOOKUP(A300,NASDAQYHOO!A$2:G$506,5,0)</f>
        <v>38.659999999999997</v>
      </c>
    </row>
    <row r="301" spans="1:15">
      <c r="A301" s="39">
        <v>42579</v>
      </c>
      <c r="B301">
        <v>73.239999999999995</v>
      </c>
      <c r="C301">
        <f>VLOOKUP(A301,NYSEARCAVTI!A$2:G$506,5,0)</f>
        <v>111.16</v>
      </c>
      <c r="D301">
        <f>VLOOKUP(A301,NYSEARCAVEU!A$2:G$506,5,0)</f>
        <v>44.22</v>
      </c>
      <c r="E301">
        <f>VLOOKUP(A301,NYSEARCAVWO!A$2:G$506,5,0)</f>
        <v>36.840000000000003</v>
      </c>
      <c r="F301">
        <f>VLOOKUP(A301,NYSEARCABND!A$2:G$506,5,0)</f>
        <v>84.37</v>
      </c>
      <c r="G301">
        <f>VLOOKUP(A301,NYSEARCATIP!A$2:G$506,5,0)</f>
        <v>116.64</v>
      </c>
      <c r="H301">
        <f>VLOOKUP(A301,NYSEARCAMUB!A$2:G$506,5,0)</f>
        <v>113.5</v>
      </c>
      <c r="I301">
        <f>VLOOKUP(A301,NYSEARCAVNQ!A$2:G$506,5,0)</f>
        <v>91.29</v>
      </c>
      <c r="J301">
        <f>VLOOKUP(A301,NYSEARCARWX!A$2:G$506,5,0)</f>
        <v>42.63</v>
      </c>
      <c r="K301">
        <f>VLOOKUP(A301,NYSEARCADBC!A$2:G$506,5,0)</f>
        <v>14.16</v>
      </c>
      <c r="L301">
        <f>VLOOKUP(A301,NYSEARCAGSG!A$2:G$506,5,0)</f>
        <v>13.89</v>
      </c>
      <c r="M301">
        <f>VLOOKUP(A301,NYSEARCAGLD!A$2:G$506,5,0)</f>
        <v>127.66</v>
      </c>
      <c r="N301">
        <f>VLOOKUP(A301,NYSEBP!A$2:G$506,5,0)</f>
        <v>33.99</v>
      </c>
      <c r="O301">
        <f>VLOOKUP(A301,NASDAQYHOO!A$2:G$506,5,0)</f>
        <v>38.520000000000003</v>
      </c>
    </row>
    <row r="302" spans="1:15">
      <c r="A302" s="39">
        <v>42580</v>
      </c>
      <c r="B302">
        <v>72.97</v>
      </c>
      <c r="C302">
        <f>VLOOKUP(A302,NYSEARCAVTI!A$2:G$506,5,0)</f>
        <v>111.42</v>
      </c>
      <c r="D302">
        <f>VLOOKUP(A302,NYSEARCAVEU!A$2:G$506,5,0)</f>
        <v>44.67</v>
      </c>
      <c r="E302">
        <f>VLOOKUP(A302,NYSEARCAVWO!A$2:G$506,5,0)</f>
        <v>37.04</v>
      </c>
      <c r="F302">
        <f>VLOOKUP(A302,NYSEARCABND!A$2:G$506,5,0)</f>
        <v>84.64</v>
      </c>
      <c r="G302">
        <f>VLOOKUP(A302,NYSEARCATIP!A$2:G$506,5,0)</f>
        <v>116.9</v>
      </c>
      <c r="H302">
        <f>VLOOKUP(A302,NYSEARCAMUB!A$2:G$506,5,0)</f>
        <v>113.66</v>
      </c>
      <c r="I302">
        <f>VLOOKUP(A302,NYSEARCAVNQ!A$2:G$506,5,0)</f>
        <v>92.45</v>
      </c>
      <c r="J302">
        <f>VLOOKUP(A302,NYSEARCARWX!A$2:G$506,5,0)</f>
        <v>42.92</v>
      </c>
      <c r="K302">
        <f>VLOOKUP(A302,NYSEARCADBC!A$2:G$506,5,0)</f>
        <v>14.28</v>
      </c>
      <c r="L302">
        <f>VLOOKUP(A302,NYSEARCAGSG!A$2:G$506,5,0)</f>
        <v>13.96</v>
      </c>
      <c r="M302">
        <f>VLOOKUP(A302,NYSEARCAGLD!A$2:G$506,5,0)</f>
        <v>128.97999999999999</v>
      </c>
      <c r="N302">
        <f>VLOOKUP(A302,NYSEBP!A$2:G$506,5,0)</f>
        <v>34.4</v>
      </c>
      <c r="O302">
        <f>VLOOKUP(A302,NASDAQYHOO!A$2:G$506,5,0)</f>
        <v>38.19</v>
      </c>
    </row>
    <row r="303" spans="1:15">
      <c r="A303" s="39">
        <v>42583</v>
      </c>
      <c r="B303">
        <v>73.78</v>
      </c>
      <c r="C303">
        <f>VLOOKUP(A303,NYSEARCAVTI!A$2:G$506,5,0)</f>
        <v>111.27</v>
      </c>
      <c r="D303">
        <f>VLOOKUP(A303,NYSEARCAVEU!A$2:G$506,5,0)</f>
        <v>44.44</v>
      </c>
      <c r="E303">
        <f>VLOOKUP(A303,NYSEARCAVWO!A$2:G$506,5,0)</f>
        <v>36.9</v>
      </c>
      <c r="F303">
        <f>VLOOKUP(A303,NYSEARCABND!A$2:G$506,5,0)</f>
        <v>84.21</v>
      </c>
      <c r="G303">
        <f>VLOOKUP(A303,NYSEARCATIP!A$2:G$506,5,0)</f>
        <v>115.75</v>
      </c>
      <c r="H303">
        <f>VLOOKUP(A303,NYSEARCAMUB!A$2:G$506,5,0)</f>
        <v>113.23</v>
      </c>
      <c r="I303">
        <f>VLOOKUP(A303,NYSEARCAVNQ!A$2:G$506,5,0)</f>
        <v>92.65</v>
      </c>
      <c r="J303">
        <f>VLOOKUP(A303,NYSEARCARWX!A$2:G$506,5,0)</f>
        <v>42.67</v>
      </c>
      <c r="K303">
        <f>VLOOKUP(A303,NYSEARCADBC!A$2:G$506,5,0)</f>
        <v>14.03</v>
      </c>
      <c r="L303">
        <f>VLOOKUP(A303,NYSEARCAGSG!A$2:G$506,5,0)</f>
        <v>13.67</v>
      </c>
      <c r="M303">
        <f>VLOOKUP(A303,NYSEARCAGLD!A$2:G$506,5,0)</f>
        <v>129.22</v>
      </c>
      <c r="N303">
        <f>VLOOKUP(A303,NYSEBP!A$2:G$506,5,0)</f>
        <v>33.18</v>
      </c>
      <c r="O303">
        <f>VLOOKUP(A303,NASDAQYHOO!A$2:G$506,5,0)</f>
        <v>38.799999999999997</v>
      </c>
    </row>
    <row r="304" spans="1:15">
      <c r="A304" s="39">
        <v>42584</v>
      </c>
      <c r="B304">
        <v>73.13</v>
      </c>
      <c r="C304">
        <f>VLOOKUP(A304,NYSEARCAVTI!A$2:G$506,5,0)</f>
        <v>110.43</v>
      </c>
      <c r="D304">
        <f>VLOOKUP(A304,NYSEARCAVEU!A$2:G$506,5,0)</f>
        <v>44.19</v>
      </c>
      <c r="E304">
        <f>VLOOKUP(A304,NYSEARCAVWO!A$2:G$506,5,0)</f>
        <v>36.700000000000003</v>
      </c>
      <c r="F304">
        <f>VLOOKUP(A304,NYSEARCABND!A$2:G$506,5,0)</f>
        <v>84.13</v>
      </c>
      <c r="G304">
        <f>VLOOKUP(A304,NYSEARCATIP!A$2:G$506,5,0)</f>
        <v>115.18</v>
      </c>
      <c r="H304">
        <f>VLOOKUP(A304,NYSEARCAMUB!A$2:G$506,5,0)</f>
        <v>113.16</v>
      </c>
      <c r="I304">
        <f>VLOOKUP(A304,NYSEARCAVNQ!A$2:G$506,5,0)</f>
        <v>91.17</v>
      </c>
      <c r="J304">
        <f>VLOOKUP(A304,NYSEARCARWX!A$2:G$506,5,0)</f>
        <v>42.63</v>
      </c>
      <c r="K304">
        <f>VLOOKUP(A304,NYSEARCADBC!A$2:G$506,5,0)</f>
        <v>14.01</v>
      </c>
      <c r="L304">
        <f>VLOOKUP(A304,NYSEARCAGSG!A$2:G$506,5,0)</f>
        <v>13.65</v>
      </c>
      <c r="M304">
        <f>VLOOKUP(A304,NYSEARCAGLD!A$2:G$506,5,0)</f>
        <v>130.27000000000001</v>
      </c>
      <c r="N304">
        <f>VLOOKUP(A304,NYSEBP!A$2:G$506,5,0)</f>
        <v>33.450000000000003</v>
      </c>
      <c r="O304">
        <f>VLOOKUP(A304,NASDAQYHOO!A$2:G$506,5,0)</f>
        <v>38.57</v>
      </c>
    </row>
    <row r="305" spans="1:15">
      <c r="A305" s="39">
        <v>42585</v>
      </c>
      <c r="B305">
        <v>72.94</v>
      </c>
      <c r="C305">
        <f>VLOOKUP(A305,NYSEARCAVTI!A$2:G$506,5,0)</f>
        <v>110.84</v>
      </c>
      <c r="D305">
        <f>VLOOKUP(A305,NYSEARCAVEU!A$2:G$506,5,0)</f>
        <v>44.12</v>
      </c>
      <c r="E305">
        <f>VLOOKUP(A305,NYSEARCAVWO!A$2:G$506,5,0)</f>
        <v>36.9</v>
      </c>
      <c r="F305">
        <f>VLOOKUP(A305,NYSEARCABND!A$2:G$506,5,0)</f>
        <v>84.13</v>
      </c>
      <c r="G305">
        <f>VLOOKUP(A305,NYSEARCATIP!A$2:G$506,5,0)</f>
        <v>115.51</v>
      </c>
      <c r="H305">
        <f>VLOOKUP(A305,NYSEARCAMUB!A$2:G$506,5,0)</f>
        <v>113.19</v>
      </c>
      <c r="I305">
        <f>VLOOKUP(A305,NYSEARCAVNQ!A$2:G$506,5,0)</f>
        <v>90.64</v>
      </c>
      <c r="J305">
        <f>VLOOKUP(A305,NYSEARCARWX!A$2:G$506,5,0)</f>
        <v>42.28</v>
      </c>
      <c r="K305">
        <f>VLOOKUP(A305,NYSEARCADBC!A$2:G$506,5,0)</f>
        <v>14.24</v>
      </c>
      <c r="L305">
        <f>VLOOKUP(A305,NYSEARCAGSG!A$2:G$506,5,0)</f>
        <v>13.96</v>
      </c>
      <c r="M305">
        <f>VLOOKUP(A305,NYSEARCAGLD!A$2:G$506,5,0)</f>
        <v>129.65</v>
      </c>
      <c r="N305">
        <f>VLOOKUP(A305,NYSEBP!A$2:G$506,5,0)</f>
        <v>33.01</v>
      </c>
      <c r="O305">
        <f>VLOOKUP(A305,NASDAQYHOO!A$2:G$506,5,0)</f>
        <v>38.39</v>
      </c>
    </row>
    <row r="306" spans="1:15">
      <c r="A306" s="39">
        <v>42586</v>
      </c>
      <c r="B306">
        <v>73.3</v>
      </c>
      <c r="C306">
        <f>VLOOKUP(A306,NYSEARCAVTI!A$2:G$506,5,0)</f>
        <v>110.97</v>
      </c>
      <c r="D306">
        <f>VLOOKUP(A306,NYSEARCAVEU!A$2:G$506,5,0)</f>
        <v>44.36</v>
      </c>
      <c r="E306">
        <f>VLOOKUP(A306,NYSEARCAVWO!A$2:G$506,5,0)</f>
        <v>37.08</v>
      </c>
      <c r="F306">
        <f>VLOOKUP(A306,NYSEARCABND!A$2:G$506,5,0)</f>
        <v>84.28</v>
      </c>
      <c r="G306">
        <f>VLOOKUP(A306,NYSEARCATIP!A$2:G$506,5,0)</f>
        <v>115.99</v>
      </c>
      <c r="H306">
        <f>VLOOKUP(A306,NYSEARCAMUB!A$2:G$506,5,0)</f>
        <v>113.34</v>
      </c>
      <c r="I306">
        <f>VLOOKUP(A306,NYSEARCAVNQ!A$2:G$506,5,0)</f>
        <v>90.27</v>
      </c>
      <c r="J306">
        <f>VLOOKUP(A306,NYSEARCARWX!A$2:G$506,5,0)</f>
        <v>42.58</v>
      </c>
      <c r="K306">
        <f>VLOOKUP(A306,NYSEARCADBC!A$2:G$506,5,0)</f>
        <v>14.3</v>
      </c>
      <c r="L306">
        <f>VLOOKUP(A306,NYSEARCAGSG!A$2:G$506,5,0)</f>
        <v>14.03</v>
      </c>
      <c r="M306">
        <f>VLOOKUP(A306,NYSEARCAGLD!A$2:G$506,5,0)</f>
        <v>129.87</v>
      </c>
      <c r="N306">
        <f>VLOOKUP(A306,NYSEBP!A$2:G$506,5,0)</f>
        <v>33</v>
      </c>
      <c r="O306">
        <f>VLOOKUP(A306,NASDAQYHOO!A$2:G$506,5,0)</f>
        <v>38.92</v>
      </c>
    </row>
    <row r="307" spans="1:15">
      <c r="A307" s="39">
        <v>42587</v>
      </c>
      <c r="B307">
        <v>73.760000000000005</v>
      </c>
      <c r="C307">
        <f>VLOOKUP(A307,NYSEARCAVTI!A$2:G$506,5,0)</f>
        <v>111.89</v>
      </c>
      <c r="D307">
        <f>VLOOKUP(A307,NYSEARCAVEU!A$2:G$506,5,0)</f>
        <v>44.54</v>
      </c>
      <c r="E307">
        <f>VLOOKUP(A307,NYSEARCAVWO!A$2:G$506,5,0)</f>
        <v>37.49</v>
      </c>
      <c r="F307">
        <f>VLOOKUP(A307,NYSEARCABND!A$2:G$506,5,0)</f>
        <v>84</v>
      </c>
      <c r="G307">
        <f>VLOOKUP(A307,NYSEARCATIP!A$2:G$506,5,0)</f>
        <v>115.71</v>
      </c>
      <c r="H307">
        <f>VLOOKUP(A307,NYSEARCAMUB!A$2:G$506,5,0)</f>
        <v>113.12</v>
      </c>
      <c r="I307">
        <f>VLOOKUP(A307,NYSEARCAVNQ!A$2:G$506,5,0)</f>
        <v>90.33</v>
      </c>
      <c r="J307">
        <f>VLOOKUP(A307,NYSEARCARWX!A$2:G$506,5,0)</f>
        <v>42.68</v>
      </c>
      <c r="K307">
        <f>VLOOKUP(A307,NYSEARCADBC!A$2:G$506,5,0)</f>
        <v>14.36</v>
      </c>
      <c r="L307">
        <f>VLOOKUP(A307,NYSEARCAGSG!A$2:G$506,5,0)</f>
        <v>14.12</v>
      </c>
      <c r="M307">
        <f>VLOOKUP(A307,NYSEARCAGLD!A$2:G$506,5,0)</f>
        <v>127.55</v>
      </c>
      <c r="N307">
        <f>VLOOKUP(A307,NYSEBP!A$2:G$506,5,0)</f>
        <v>33.15</v>
      </c>
      <c r="O307">
        <f>VLOOKUP(A307,NASDAQYHOO!A$2:G$506,5,0)</f>
        <v>38.99</v>
      </c>
    </row>
    <row r="308" spans="1:15">
      <c r="A308" s="39">
        <v>42590</v>
      </c>
      <c r="B308">
        <v>73.34</v>
      </c>
      <c r="C308">
        <f>VLOOKUP(A308,NYSEARCAVTI!A$2:G$506,5,0)</f>
        <v>111.82</v>
      </c>
      <c r="D308">
        <f>VLOOKUP(A308,NYSEARCAVEU!A$2:G$506,5,0)</f>
        <v>44.77</v>
      </c>
      <c r="E308">
        <f>VLOOKUP(A308,NYSEARCAVWO!A$2:G$506,5,0)</f>
        <v>37.729999999999997</v>
      </c>
      <c r="F308">
        <f>VLOOKUP(A308,NYSEARCABND!A$2:G$506,5,0)</f>
        <v>84.01</v>
      </c>
      <c r="G308">
        <f>VLOOKUP(A308,NYSEARCATIP!A$2:G$506,5,0)</f>
        <v>115.79</v>
      </c>
      <c r="H308">
        <f>VLOOKUP(A308,NYSEARCAMUB!A$2:G$506,5,0)</f>
        <v>113.16</v>
      </c>
      <c r="I308">
        <f>VLOOKUP(A308,NYSEARCAVNQ!A$2:G$506,5,0)</f>
        <v>90.49</v>
      </c>
      <c r="J308">
        <f>VLOOKUP(A308,NYSEARCARWX!A$2:G$506,5,0)</f>
        <v>42.78</v>
      </c>
      <c r="K308">
        <f>VLOOKUP(A308,NYSEARCADBC!A$2:G$506,5,0)</f>
        <v>14.44</v>
      </c>
      <c r="L308">
        <f>VLOOKUP(A308,NYSEARCAGSG!A$2:G$506,5,0)</f>
        <v>14.26</v>
      </c>
      <c r="M308">
        <f>VLOOKUP(A308,NYSEARCAGLD!A$2:G$506,5,0)</f>
        <v>127.44</v>
      </c>
      <c r="N308">
        <f>VLOOKUP(A308,NYSEBP!A$2:G$506,5,0)</f>
        <v>33.17</v>
      </c>
      <c r="O308">
        <f>VLOOKUP(A308,NASDAQYHOO!A$2:G$506,5,0)</f>
        <v>39.24</v>
      </c>
    </row>
    <row r="309" spans="1:15">
      <c r="A309" s="39">
        <v>42591</v>
      </c>
      <c r="B309">
        <v>73.540000000000006</v>
      </c>
      <c r="C309">
        <f>VLOOKUP(A309,NYSEARCAVTI!A$2:G$506,5,0)</f>
        <v>111.92</v>
      </c>
      <c r="D309">
        <f>VLOOKUP(A309,NYSEARCAVEU!A$2:G$506,5,0)</f>
        <v>45.15</v>
      </c>
      <c r="E309">
        <f>VLOOKUP(A309,NYSEARCAVWO!A$2:G$506,5,0)</f>
        <v>37.979999999999997</v>
      </c>
      <c r="F309">
        <f>VLOOKUP(A309,NYSEARCABND!A$2:G$506,5,0)</f>
        <v>84.25</v>
      </c>
      <c r="G309">
        <f>VLOOKUP(A309,NYSEARCATIP!A$2:G$506,5,0)</f>
        <v>116.07</v>
      </c>
      <c r="H309">
        <f>VLOOKUP(A309,NYSEARCAMUB!A$2:G$506,5,0)</f>
        <v>113.25</v>
      </c>
      <c r="I309">
        <f>VLOOKUP(A309,NYSEARCAVNQ!A$2:G$506,5,0)</f>
        <v>90.98</v>
      </c>
      <c r="J309">
        <f>VLOOKUP(A309,NYSEARCARWX!A$2:G$506,5,0)</f>
        <v>42.68</v>
      </c>
      <c r="K309">
        <f>VLOOKUP(A309,NYSEARCADBC!A$2:G$506,5,0)</f>
        <v>14.4</v>
      </c>
      <c r="L309">
        <f>VLOOKUP(A309,NYSEARCAGSG!A$2:G$506,5,0)</f>
        <v>14.16</v>
      </c>
      <c r="M309">
        <f>VLOOKUP(A309,NYSEARCAGLD!A$2:G$506,5,0)</f>
        <v>127.96</v>
      </c>
      <c r="N309">
        <f>VLOOKUP(A309,NYSEBP!A$2:G$506,5,0)</f>
        <v>33.380000000000003</v>
      </c>
      <c r="O309">
        <f>VLOOKUP(A309,NASDAQYHOO!A$2:G$506,5,0)</f>
        <v>39.24</v>
      </c>
    </row>
    <row r="310" spans="1:15">
      <c r="A310" s="39">
        <v>42592</v>
      </c>
      <c r="B310">
        <v>73.95</v>
      </c>
      <c r="C310">
        <f>VLOOKUP(A310,NYSEARCAVTI!A$2:G$506,5,0)</f>
        <v>111.59</v>
      </c>
      <c r="D310">
        <f>VLOOKUP(A310,NYSEARCAVEU!A$2:G$506,5,0)</f>
        <v>45.24</v>
      </c>
      <c r="E310">
        <f>VLOOKUP(A310,NYSEARCAVWO!A$2:G$506,5,0)</f>
        <v>37.89</v>
      </c>
      <c r="F310">
        <f>VLOOKUP(A310,NYSEARCABND!A$2:G$506,5,0)</f>
        <v>84.36</v>
      </c>
      <c r="G310">
        <f>VLOOKUP(A310,NYSEARCATIP!A$2:G$506,5,0)</f>
        <v>116.1</v>
      </c>
      <c r="H310">
        <f>VLOOKUP(A310,NYSEARCAMUB!A$2:G$506,5,0)</f>
        <v>113.31</v>
      </c>
      <c r="I310">
        <f>VLOOKUP(A310,NYSEARCAVNQ!A$2:G$506,5,0)</f>
        <v>90.88</v>
      </c>
      <c r="J310">
        <f>VLOOKUP(A310,NYSEARCARWX!A$2:G$506,5,0)</f>
        <v>42.86</v>
      </c>
      <c r="K310">
        <f>VLOOKUP(A310,NYSEARCADBC!A$2:G$506,5,0)</f>
        <v>14.23</v>
      </c>
      <c r="L310">
        <f>VLOOKUP(A310,NYSEARCAGSG!A$2:G$506,5,0)</f>
        <v>13.96</v>
      </c>
      <c r="M310">
        <f>VLOOKUP(A310,NYSEARCAGLD!A$2:G$506,5,0)</f>
        <v>128.56</v>
      </c>
      <c r="N310">
        <f>VLOOKUP(A310,NYSEBP!A$2:G$506,5,0)</f>
        <v>33.01</v>
      </c>
      <c r="O310">
        <f>VLOOKUP(A310,NASDAQYHOO!A$2:G$506,5,0)</f>
        <v>39.93</v>
      </c>
    </row>
    <row r="311" spans="1:15">
      <c r="A311" s="39">
        <v>42593</v>
      </c>
      <c r="B311">
        <v>73.8</v>
      </c>
      <c r="C311">
        <f>VLOOKUP(A311,NYSEARCAVTI!A$2:G$506,5,0)</f>
        <v>112.15</v>
      </c>
      <c r="D311">
        <f>VLOOKUP(A311,NYSEARCAVEU!A$2:G$506,5,0)</f>
        <v>45.63</v>
      </c>
      <c r="E311">
        <f>VLOOKUP(A311,NYSEARCAVWO!A$2:G$506,5,0)</f>
        <v>38.33</v>
      </c>
      <c r="F311">
        <f>VLOOKUP(A311,NYSEARCABND!A$2:G$506,5,0)</f>
        <v>84.14</v>
      </c>
      <c r="G311">
        <f>VLOOKUP(A311,NYSEARCATIP!A$2:G$506,5,0)</f>
        <v>115.79</v>
      </c>
      <c r="H311">
        <f>VLOOKUP(A311,NYSEARCAMUB!A$2:G$506,5,0)</f>
        <v>113.23</v>
      </c>
      <c r="I311">
        <f>VLOOKUP(A311,NYSEARCAVNQ!A$2:G$506,5,0)</f>
        <v>89.85</v>
      </c>
      <c r="J311">
        <f>VLOOKUP(A311,NYSEARCARWX!A$2:G$506,5,0)</f>
        <v>42.87</v>
      </c>
      <c r="K311">
        <f>VLOOKUP(A311,NYSEARCADBC!A$2:G$506,5,0)</f>
        <v>14.45</v>
      </c>
      <c r="L311">
        <f>VLOOKUP(A311,NYSEARCAGSG!A$2:G$506,5,0)</f>
        <v>14.3</v>
      </c>
      <c r="M311">
        <f>VLOOKUP(A311,NYSEARCAGLD!A$2:G$506,5,0)</f>
        <v>127.67</v>
      </c>
      <c r="N311">
        <f>VLOOKUP(A311,NYSEBP!A$2:G$506,5,0)</f>
        <v>33.64</v>
      </c>
      <c r="O311">
        <f>VLOOKUP(A311,NASDAQYHOO!A$2:G$506,5,0)</f>
        <v>41.27</v>
      </c>
    </row>
    <row r="312" spans="1:15">
      <c r="A312" s="39">
        <v>42594</v>
      </c>
      <c r="B312">
        <v>73.89</v>
      </c>
      <c r="C312">
        <f>VLOOKUP(A312,NYSEARCAVTI!A$2:G$506,5,0)</f>
        <v>112.04</v>
      </c>
      <c r="D312">
        <f>VLOOKUP(A312,NYSEARCAVEU!A$2:G$506,5,0)</f>
        <v>45.49</v>
      </c>
      <c r="E312">
        <f>VLOOKUP(A312,NYSEARCAVWO!A$2:G$506,5,0)</f>
        <v>38.18</v>
      </c>
      <c r="F312">
        <f>VLOOKUP(A312,NYSEARCABND!A$2:G$506,5,0)</f>
        <v>84.33</v>
      </c>
      <c r="G312">
        <f>VLOOKUP(A312,NYSEARCATIP!A$2:G$506,5,0)</f>
        <v>116.09</v>
      </c>
      <c r="H312">
        <f>VLOOKUP(A312,NYSEARCAMUB!A$2:G$506,5,0)</f>
        <v>113.46</v>
      </c>
      <c r="I312">
        <f>VLOOKUP(A312,NYSEARCAVNQ!A$2:G$506,5,0)</f>
        <v>90.23</v>
      </c>
      <c r="J312">
        <f>VLOOKUP(A312,NYSEARCARWX!A$2:G$506,5,0)</f>
        <v>42.79</v>
      </c>
      <c r="K312">
        <f>VLOOKUP(A312,NYSEARCADBC!A$2:G$506,5,0)</f>
        <v>14.56</v>
      </c>
      <c r="L312">
        <f>VLOOKUP(A312,NYSEARCAGSG!A$2:G$506,5,0)</f>
        <v>14.5</v>
      </c>
      <c r="M312">
        <f>VLOOKUP(A312,NYSEARCAGLD!A$2:G$506,5,0)</f>
        <v>127.4</v>
      </c>
      <c r="N312">
        <f>VLOOKUP(A312,NYSEBP!A$2:G$506,5,0)</f>
        <v>33.74</v>
      </c>
      <c r="O312">
        <f>VLOOKUP(A312,NASDAQYHOO!A$2:G$506,5,0)</f>
        <v>42.94</v>
      </c>
    </row>
    <row r="313" spans="1:15">
      <c r="A313" s="39">
        <v>42597</v>
      </c>
      <c r="B313">
        <v>73.319999999999993</v>
      </c>
      <c r="C313">
        <f>VLOOKUP(A313,NYSEARCAVTI!A$2:G$506,5,0)</f>
        <v>112.45</v>
      </c>
      <c r="D313">
        <f>VLOOKUP(A313,NYSEARCAVEU!A$2:G$506,5,0)</f>
        <v>45.76</v>
      </c>
      <c r="E313">
        <f>VLOOKUP(A313,NYSEARCAVWO!A$2:G$506,5,0)</f>
        <v>38.6</v>
      </c>
      <c r="F313">
        <f>VLOOKUP(A313,NYSEARCABND!A$2:G$506,5,0)</f>
        <v>84.19</v>
      </c>
      <c r="G313">
        <f>VLOOKUP(A313,NYSEARCATIP!A$2:G$506,5,0)</f>
        <v>115.79</v>
      </c>
      <c r="H313">
        <f>VLOOKUP(A313,NYSEARCAMUB!A$2:G$506,5,0)</f>
        <v>113.33</v>
      </c>
      <c r="I313">
        <f>VLOOKUP(A313,NYSEARCAVNQ!A$2:G$506,5,0)</f>
        <v>90.14</v>
      </c>
      <c r="J313">
        <f>VLOOKUP(A313,NYSEARCARWX!A$2:G$506,5,0)</f>
        <v>42.96</v>
      </c>
      <c r="K313">
        <f>VLOOKUP(A313,NYSEARCADBC!A$2:G$506,5,0)</f>
        <v>14.8</v>
      </c>
      <c r="L313">
        <f>VLOOKUP(A313,NYSEARCAGSG!A$2:G$506,5,0)</f>
        <v>14.75</v>
      </c>
      <c r="M313">
        <f>VLOOKUP(A313,NYSEARCAGLD!A$2:G$506,5,0)</f>
        <v>127.84</v>
      </c>
      <c r="N313">
        <f>VLOOKUP(A313,NYSEBP!A$2:G$506,5,0)</f>
        <v>33.869999999999997</v>
      </c>
      <c r="O313">
        <f>VLOOKUP(A313,NASDAQYHOO!A$2:G$506,5,0)</f>
        <v>42.67</v>
      </c>
    </row>
    <row r="314" spans="1:15">
      <c r="A314" s="39">
        <v>42598</v>
      </c>
      <c r="B314">
        <v>72.89</v>
      </c>
      <c r="C314">
        <f>VLOOKUP(A314,NYSEARCAVTI!A$2:G$506,5,0)</f>
        <v>111.81</v>
      </c>
      <c r="D314">
        <f>VLOOKUP(A314,NYSEARCAVEU!A$2:G$506,5,0)</f>
        <v>45.62</v>
      </c>
      <c r="E314">
        <f>VLOOKUP(A314,NYSEARCAVWO!A$2:G$506,5,0)</f>
        <v>38.4</v>
      </c>
      <c r="F314">
        <f>VLOOKUP(A314,NYSEARCABND!A$2:G$506,5,0)</f>
        <v>84.15</v>
      </c>
      <c r="G314">
        <f>VLOOKUP(A314,NYSEARCATIP!A$2:G$506,5,0)</f>
        <v>115.63</v>
      </c>
      <c r="H314">
        <f>VLOOKUP(A314,NYSEARCAMUB!A$2:G$506,5,0)</f>
        <v>113.41</v>
      </c>
      <c r="I314">
        <f>VLOOKUP(A314,NYSEARCAVNQ!A$2:G$506,5,0)</f>
        <v>89.06</v>
      </c>
      <c r="J314">
        <f>VLOOKUP(A314,NYSEARCARWX!A$2:G$506,5,0)</f>
        <v>42.85</v>
      </c>
      <c r="K314">
        <f>VLOOKUP(A314,NYSEARCADBC!A$2:G$506,5,0)</f>
        <v>14.92</v>
      </c>
      <c r="L314">
        <f>VLOOKUP(A314,NYSEARCAGSG!A$2:G$506,5,0)</f>
        <v>14.87</v>
      </c>
      <c r="M314">
        <f>VLOOKUP(A314,NYSEARCAGLD!A$2:G$506,5,0)</f>
        <v>128.47</v>
      </c>
      <c r="N314">
        <f>VLOOKUP(A314,NYSEBP!A$2:G$506,5,0)</f>
        <v>34.21</v>
      </c>
      <c r="O314">
        <f>VLOOKUP(A314,NASDAQYHOO!A$2:G$506,5,0)</f>
        <v>42.49</v>
      </c>
    </row>
    <row r="315" spans="1:15">
      <c r="A315" s="39">
        <v>42599</v>
      </c>
      <c r="B315">
        <v>72.930000000000007</v>
      </c>
      <c r="C315">
        <f>VLOOKUP(A315,NYSEARCAVTI!A$2:G$506,5,0)</f>
        <v>111.95</v>
      </c>
      <c r="D315">
        <f>VLOOKUP(A315,NYSEARCAVEU!A$2:G$506,5,0)</f>
        <v>45.62</v>
      </c>
      <c r="E315">
        <f>VLOOKUP(A315,NYSEARCAVWO!A$2:G$506,5,0)</f>
        <v>38.26</v>
      </c>
      <c r="F315">
        <f>VLOOKUP(A315,NYSEARCABND!A$2:G$506,5,0)</f>
        <v>84.28</v>
      </c>
      <c r="G315">
        <f>VLOOKUP(A315,NYSEARCATIP!A$2:G$506,5,0)</f>
        <v>115.98</v>
      </c>
      <c r="H315">
        <f>VLOOKUP(A315,NYSEARCAMUB!A$2:G$506,5,0)</f>
        <v>113.45</v>
      </c>
      <c r="I315">
        <f>VLOOKUP(A315,NYSEARCAVNQ!A$2:G$506,5,0)</f>
        <v>89.42</v>
      </c>
      <c r="J315">
        <f>VLOOKUP(A315,NYSEARCARWX!A$2:G$506,5,0)</f>
        <v>42.84</v>
      </c>
      <c r="K315">
        <f>VLOOKUP(A315,NYSEARCADBC!A$2:G$506,5,0)</f>
        <v>14.98</v>
      </c>
      <c r="L315">
        <f>VLOOKUP(A315,NYSEARCAGSG!A$2:G$506,5,0)</f>
        <v>14.97</v>
      </c>
      <c r="M315">
        <f>VLOOKUP(A315,NYSEARCAGLD!A$2:G$506,5,0)</f>
        <v>128.5</v>
      </c>
      <c r="N315">
        <f>VLOOKUP(A315,NYSEBP!A$2:G$506,5,0)</f>
        <v>34.200000000000003</v>
      </c>
      <c r="O315">
        <f>VLOOKUP(A315,NASDAQYHOO!A$2:G$506,5,0)</f>
        <v>42.7</v>
      </c>
    </row>
    <row r="316" spans="1:15">
      <c r="A316" s="39">
        <v>42600</v>
      </c>
      <c r="B316">
        <v>74.3</v>
      </c>
      <c r="C316">
        <f>VLOOKUP(A316,NYSEARCAVTI!A$2:G$506,5,0)</f>
        <v>112.3</v>
      </c>
      <c r="D316">
        <f>VLOOKUP(A316,NYSEARCAVEU!A$2:G$506,5,0)</f>
        <v>45.83</v>
      </c>
      <c r="E316">
        <f>VLOOKUP(A316,NYSEARCAVWO!A$2:G$506,5,0)</f>
        <v>38.57</v>
      </c>
      <c r="F316">
        <f>VLOOKUP(A316,NYSEARCABND!A$2:G$506,5,0)</f>
        <v>84.37</v>
      </c>
      <c r="G316">
        <f>VLOOKUP(A316,NYSEARCATIP!A$2:G$506,5,0)</f>
        <v>116.18</v>
      </c>
      <c r="H316">
        <f>VLOOKUP(A316,NYSEARCAMUB!A$2:G$506,5,0)</f>
        <v>113.62</v>
      </c>
      <c r="I316">
        <f>VLOOKUP(A316,NYSEARCAVNQ!A$2:G$506,5,0)</f>
        <v>89.09</v>
      </c>
      <c r="J316">
        <f>VLOOKUP(A316,NYSEARCARWX!A$2:G$506,5,0)</f>
        <v>43</v>
      </c>
      <c r="K316">
        <f>VLOOKUP(A316,NYSEARCADBC!A$2:G$506,5,0)</f>
        <v>15.17</v>
      </c>
      <c r="L316">
        <f>VLOOKUP(A316,NYSEARCAGSG!A$2:G$506,5,0)</f>
        <v>15.16</v>
      </c>
      <c r="M316">
        <f>VLOOKUP(A316,NYSEARCAGLD!A$2:G$506,5,0)</f>
        <v>129.11000000000001</v>
      </c>
      <c r="N316">
        <f>VLOOKUP(A316,NYSEBP!A$2:G$506,5,0)</f>
        <v>34.65</v>
      </c>
      <c r="O316">
        <f>VLOOKUP(A316,NASDAQYHOO!A$2:G$506,5,0)</f>
        <v>42.9</v>
      </c>
    </row>
    <row r="317" spans="1:15">
      <c r="A317" s="39">
        <v>42601</v>
      </c>
      <c r="B317">
        <v>72.81</v>
      </c>
      <c r="C317">
        <f>VLOOKUP(A317,NYSEARCAVTI!A$2:G$506,5,0)</f>
        <v>112.14</v>
      </c>
      <c r="D317">
        <f>VLOOKUP(A317,NYSEARCAVEU!A$2:G$506,5,0)</f>
        <v>45.54</v>
      </c>
      <c r="E317">
        <f>VLOOKUP(A317,NYSEARCAVWO!A$2:G$506,5,0)</f>
        <v>38.340000000000003</v>
      </c>
      <c r="F317">
        <f>VLOOKUP(A317,NYSEARCABND!A$2:G$506,5,0)</f>
        <v>84.2</v>
      </c>
      <c r="G317">
        <f>VLOOKUP(A317,NYSEARCATIP!A$2:G$506,5,0)</f>
        <v>115.99</v>
      </c>
      <c r="H317">
        <f>VLOOKUP(A317,NYSEARCAMUB!A$2:G$506,5,0)</f>
        <v>113.52</v>
      </c>
      <c r="I317">
        <f>VLOOKUP(A317,NYSEARCAVNQ!A$2:G$506,5,0)</f>
        <v>88.52</v>
      </c>
      <c r="J317">
        <f>VLOOKUP(A317,NYSEARCARWX!A$2:G$506,5,0)</f>
        <v>42.7</v>
      </c>
      <c r="K317">
        <f>VLOOKUP(A317,NYSEARCADBC!A$2:G$506,5,0)</f>
        <v>15.12</v>
      </c>
      <c r="L317">
        <f>VLOOKUP(A317,NYSEARCAGSG!A$2:G$506,5,0)</f>
        <v>15.15</v>
      </c>
      <c r="M317">
        <f>VLOOKUP(A317,NYSEARCAGLD!A$2:G$506,5,0)</f>
        <v>127.97</v>
      </c>
      <c r="N317">
        <f>VLOOKUP(A317,NYSEBP!A$2:G$506,5,0)</f>
        <v>34.33</v>
      </c>
      <c r="O317">
        <f>VLOOKUP(A317,NASDAQYHOO!A$2:G$506,5,0)</f>
        <v>43.02</v>
      </c>
    </row>
    <row r="318" spans="1:15">
      <c r="A318" s="39">
        <v>42604</v>
      </c>
      <c r="B318">
        <v>72.7</v>
      </c>
      <c r="C318">
        <f>VLOOKUP(A318,NYSEARCAVTI!A$2:G$506,5,0)</f>
        <v>112.17</v>
      </c>
      <c r="D318">
        <f>VLOOKUP(A318,NYSEARCAVEU!A$2:G$506,5,0)</f>
        <v>45.45</v>
      </c>
      <c r="E318">
        <f>VLOOKUP(A318,NYSEARCAVWO!A$2:G$506,5,0)</f>
        <v>37.86</v>
      </c>
      <c r="F318">
        <f>VLOOKUP(A318,NYSEARCABND!A$2:G$506,5,0)</f>
        <v>84.32</v>
      </c>
      <c r="G318">
        <f>VLOOKUP(A318,NYSEARCATIP!A$2:G$506,5,0)</f>
        <v>116.23</v>
      </c>
      <c r="H318">
        <f>VLOOKUP(A318,NYSEARCAMUB!A$2:G$506,5,0)</f>
        <v>113.69</v>
      </c>
      <c r="I318">
        <f>VLOOKUP(A318,NYSEARCAVNQ!A$2:G$506,5,0)</f>
        <v>89</v>
      </c>
      <c r="J318">
        <f>VLOOKUP(A318,NYSEARCARWX!A$2:G$506,5,0)</f>
        <v>42.61</v>
      </c>
      <c r="K318">
        <f>VLOOKUP(A318,NYSEARCADBC!A$2:G$506,5,0)</f>
        <v>14.98</v>
      </c>
      <c r="L318">
        <f>VLOOKUP(A318,NYSEARCAGSG!A$2:G$506,5,0)</f>
        <v>14.89</v>
      </c>
      <c r="M318">
        <f>VLOOKUP(A318,NYSEARCAGLD!A$2:G$506,5,0)</f>
        <v>127.78</v>
      </c>
      <c r="N318">
        <f>VLOOKUP(A318,NYSEBP!A$2:G$506,5,0)</f>
        <v>33.96</v>
      </c>
      <c r="O318">
        <f>VLOOKUP(A318,NASDAQYHOO!A$2:G$506,5,0)</f>
        <v>42.52</v>
      </c>
    </row>
    <row r="319" spans="1:15">
      <c r="A319" s="39">
        <v>42605</v>
      </c>
      <c r="B319">
        <v>71.97</v>
      </c>
      <c r="C319">
        <f>VLOOKUP(A319,NYSEARCAVTI!A$2:G$506,5,0)</f>
        <v>112.47</v>
      </c>
      <c r="D319">
        <f>VLOOKUP(A319,NYSEARCAVEU!A$2:G$506,5,0)</f>
        <v>45.58</v>
      </c>
      <c r="E319">
        <f>VLOOKUP(A319,NYSEARCAVWO!A$2:G$506,5,0)</f>
        <v>37.67</v>
      </c>
      <c r="F319">
        <f>VLOOKUP(A319,NYSEARCABND!A$2:G$506,5,0)</f>
        <v>84.36</v>
      </c>
      <c r="G319">
        <f>VLOOKUP(A319,NYSEARCATIP!A$2:G$506,5,0)</f>
        <v>116.39</v>
      </c>
      <c r="H319">
        <f>VLOOKUP(A319,NYSEARCAMUB!A$2:G$506,5,0)</f>
        <v>113.65</v>
      </c>
      <c r="I319">
        <f>VLOOKUP(A319,NYSEARCAVNQ!A$2:G$506,5,0)</f>
        <v>89.05</v>
      </c>
      <c r="J319">
        <f>VLOOKUP(A319,NYSEARCARWX!A$2:G$506,5,0)</f>
        <v>42.89</v>
      </c>
      <c r="K319">
        <f>VLOOKUP(A319,NYSEARCADBC!A$2:G$506,5,0)</f>
        <v>15.04</v>
      </c>
      <c r="L319">
        <f>VLOOKUP(A319,NYSEARCAGSG!A$2:G$506,5,0)</f>
        <v>14.99</v>
      </c>
      <c r="M319">
        <f>VLOOKUP(A319,NYSEARCAGLD!A$2:G$506,5,0)</f>
        <v>127.76</v>
      </c>
      <c r="N319">
        <f>VLOOKUP(A319,NYSEBP!A$2:G$506,5,0)</f>
        <v>34.130000000000003</v>
      </c>
      <c r="O319">
        <f>VLOOKUP(A319,NASDAQYHOO!A$2:G$506,5,0)</f>
        <v>42.6</v>
      </c>
    </row>
    <row r="320" spans="1:15">
      <c r="A320" s="39">
        <v>42606</v>
      </c>
      <c r="B320">
        <v>72.23</v>
      </c>
      <c r="C320">
        <f>VLOOKUP(A320,NYSEARCAVTI!A$2:G$506,5,0)</f>
        <v>111.84</v>
      </c>
      <c r="D320">
        <f>VLOOKUP(A320,NYSEARCAVEU!A$2:G$506,5,0)</f>
        <v>45.45</v>
      </c>
      <c r="E320">
        <f>VLOOKUP(A320,NYSEARCAVWO!A$2:G$506,5,0)</f>
        <v>37.78</v>
      </c>
      <c r="F320">
        <f>VLOOKUP(A320,NYSEARCABND!A$2:G$506,5,0)</f>
        <v>84.35</v>
      </c>
      <c r="G320">
        <f>VLOOKUP(A320,NYSEARCATIP!A$2:G$506,5,0)</f>
        <v>116.21</v>
      </c>
      <c r="H320">
        <f>VLOOKUP(A320,NYSEARCAMUB!A$2:G$506,5,0)</f>
        <v>113.62</v>
      </c>
      <c r="I320">
        <f>VLOOKUP(A320,NYSEARCAVNQ!A$2:G$506,5,0)</f>
        <v>88.66</v>
      </c>
      <c r="J320">
        <f>VLOOKUP(A320,NYSEARCARWX!A$2:G$506,5,0)</f>
        <v>42.73</v>
      </c>
      <c r="K320">
        <f>VLOOKUP(A320,NYSEARCADBC!A$2:G$506,5,0)</f>
        <v>14.86</v>
      </c>
      <c r="L320">
        <f>VLOOKUP(A320,NYSEARCAGSG!A$2:G$506,5,0)</f>
        <v>14.8</v>
      </c>
      <c r="M320">
        <f>VLOOKUP(A320,NYSEARCAGLD!A$2:G$506,5,0)</f>
        <v>126.34</v>
      </c>
      <c r="N320">
        <f>VLOOKUP(A320,NYSEBP!A$2:G$506,5,0)</f>
        <v>34.270000000000003</v>
      </c>
      <c r="O320">
        <f>VLOOKUP(A320,NASDAQYHOO!A$2:G$506,5,0)</f>
        <v>41.91</v>
      </c>
    </row>
    <row r="321" spans="1:15">
      <c r="A321" s="39">
        <v>42607</v>
      </c>
      <c r="B321">
        <v>71.22</v>
      </c>
      <c r="C321">
        <f>VLOOKUP(A321,NYSEARCAVTI!A$2:G$506,5,0)</f>
        <v>111.77</v>
      </c>
      <c r="D321">
        <f>VLOOKUP(A321,NYSEARCAVEU!A$2:G$506,5,0)</f>
        <v>45.35</v>
      </c>
      <c r="E321">
        <f>VLOOKUP(A321,NYSEARCAVWO!A$2:G$506,5,0)</f>
        <v>37.770000000000003</v>
      </c>
      <c r="F321">
        <f>VLOOKUP(A321,NYSEARCABND!A$2:G$506,5,0)</f>
        <v>84.26</v>
      </c>
      <c r="G321">
        <f>VLOOKUP(A321,NYSEARCATIP!A$2:G$506,5,0)</f>
        <v>116.15</v>
      </c>
      <c r="H321">
        <f>VLOOKUP(A321,NYSEARCAMUB!A$2:G$506,5,0)</f>
        <v>113.62</v>
      </c>
      <c r="I321">
        <f>VLOOKUP(A321,NYSEARCAVNQ!A$2:G$506,5,0)</f>
        <v>89.06</v>
      </c>
      <c r="J321">
        <f>VLOOKUP(A321,NYSEARCARWX!A$2:G$506,5,0)</f>
        <v>42.75</v>
      </c>
      <c r="K321">
        <f>VLOOKUP(A321,NYSEARCADBC!A$2:G$506,5,0)</f>
        <v>14.92</v>
      </c>
      <c r="L321">
        <f>VLOOKUP(A321,NYSEARCAGSG!A$2:G$506,5,0)</f>
        <v>14.87</v>
      </c>
      <c r="M321">
        <f>VLOOKUP(A321,NYSEARCAGLD!A$2:G$506,5,0)</f>
        <v>126.23</v>
      </c>
      <c r="N321">
        <f>VLOOKUP(A321,NYSEBP!A$2:G$506,5,0)</f>
        <v>34.22</v>
      </c>
      <c r="O321">
        <f>VLOOKUP(A321,NASDAQYHOO!A$2:G$506,5,0)</f>
        <v>42.03</v>
      </c>
    </row>
    <row r="322" spans="1:15">
      <c r="A322" s="39">
        <v>42608</v>
      </c>
      <c r="B322">
        <v>71.14</v>
      </c>
      <c r="C322">
        <f>VLOOKUP(A322,NYSEARCAVTI!A$2:G$506,5,0)</f>
        <v>111.54</v>
      </c>
      <c r="D322">
        <f>VLOOKUP(A322,NYSEARCAVEU!A$2:G$506,5,0)</f>
        <v>45.05</v>
      </c>
      <c r="E322">
        <f>VLOOKUP(A322,NYSEARCAVWO!A$2:G$506,5,0)</f>
        <v>37.47</v>
      </c>
      <c r="F322">
        <f>VLOOKUP(A322,NYSEARCABND!A$2:G$506,5,0)</f>
        <v>84.05</v>
      </c>
      <c r="G322">
        <f>VLOOKUP(A322,NYSEARCATIP!A$2:G$506,5,0)</f>
        <v>115.7</v>
      </c>
      <c r="H322">
        <f>VLOOKUP(A322,NYSEARCAMUB!A$2:G$506,5,0)</f>
        <v>113.53</v>
      </c>
      <c r="I322">
        <f>VLOOKUP(A322,NYSEARCAVNQ!A$2:G$506,5,0)</f>
        <v>88.18</v>
      </c>
      <c r="J322">
        <f>VLOOKUP(A322,NYSEARCARWX!A$2:G$506,5,0)</f>
        <v>42.27</v>
      </c>
      <c r="K322">
        <f>VLOOKUP(A322,NYSEARCADBC!A$2:G$506,5,0)</f>
        <v>14.87</v>
      </c>
      <c r="L322">
        <f>VLOOKUP(A322,NYSEARCAGSG!A$2:G$506,5,0)</f>
        <v>14.81</v>
      </c>
      <c r="M322">
        <f>VLOOKUP(A322,NYSEARCAGLD!A$2:G$506,5,0)</f>
        <v>126.05</v>
      </c>
      <c r="N322">
        <f>VLOOKUP(A322,NYSEBP!A$2:G$506,5,0)</f>
        <v>34.159999999999997</v>
      </c>
      <c r="O322">
        <f>VLOOKUP(A322,NASDAQYHOO!A$2:G$506,5,0)</f>
        <v>42.27</v>
      </c>
    </row>
    <row r="323" spans="1:15">
      <c r="A323" s="39">
        <v>42611</v>
      </c>
      <c r="B323">
        <v>71.400000000000006</v>
      </c>
      <c r="C323">
        <f>VLOOKUP(A323,NYSEARCAVTI!A$2:G$506,5,0)</f>
        <v>112.15</v>
      </c>
      <c r="D323">
        <f>VLOOKUP(A323,NYSEARCAVEU!A$2:G$506,5,0)</f>
        <v>45.25</v>
      </c>
      <c r="E323">
        <f>VLOOKUP(A323,NYSEARCAVWO!A$2:G$506,5,0)</f>
        <v>37.75</v>
      </c>
      <c r="F323">
        <f>VLOOKUP(A323,NYSEARCABND!A$2:G$506,5,0)</f>
        <v>84.34</v>
      </c>
      <c r="G323">
        <f>VLOOKUP(A323,NYSEARCATIP!A$2:G$506,5,0)</f>
        <v>116.12</v>
      </c>
      <c r="H323">
        <f>VLOOKUP(A323,NYSEARCAMUB!A$2:G$506,5,0)</f>
        <v>113.68</v>
      </c>
      <c r="I323">
        <f>VLOOKUP(A323,NYSEARCAVNQ!A$2:G$506,5,0)</f>
        <v>89.05</v>
      </c>
      <c r="J323">
        <f>VLOOKUP(A323,NYSEARCARWX!A$2:G$506,5,0)</f>
        <v>42.3</v>
      </c>
      <c r="K323">
        <f>VLOOKUP(A323,NYSEARCADBC!A$2:G$506,5,0)</f>
        <v>14.81</v>
      </c>
      <c r="L323">
        <f>VLOOKUP(A323,NYSEARCAGSG!A$2:G$506,5,0)</f>
        <v>14.7</v>
      </c>
      <c r="M323">
        <f>VLOOKUP(A323,NYSEARCAGLD!A$2:G$506,5,0)</f>
        <v>126.3</v>
      </c>
      <c r="N323">
        <f>VLOOKUP(A323,NYSEBP!A$2:G$506,5,0)</f>
        <v>34.24</v>
      </c>
      <c r="O323">
        <f>VLOOKUP(A323,NASDAQYHOO!A$2:G$506,5,0)</f>
        <v>42.26</v>
      </c>
    </row>
    <row r="324" spans="1:15">
      <c r="A324" s="39">
        <v>42612</v>
      </c>
      <c r="B324">
        <v>71.31</v>
      </c>
      <c r="C324">
        <f>VLOOKUP(A324,NYSEARCAVTI!A$2:G$506,5,0)</f>
        <v>111.97</v>
      </c>
      <c r="D324">
        <f>VLOOKUP(A324,NYSEARCAVEU!A$2:G$506,5,0)</f>
        <v>45.17</v>
      </c>
      <c r="E324">
        <f>VLOOKUP(A324,NYSEARCAVWO!A$2:G$506,5,0)</f>
        <v>37.69</v>
      </c>
      <c r="F324">
        <f>VLOOKUP(A324,NYSEARCABND!A$2:G$506,5,0)</f>
        <v>84.27</v>
      </c>
      <c r="G324">
        <f>VLOOKUP(A324,NYSEARCATIP!A$2:G$506,5,0)</f>
        <v>116.02</v>
      </c>
      <c r="H324">
        <f>VLOOKUP(A324,NYSEARCAMUB!A$2:G$506,5,0)</f>
        <v>113.63</v>
      </c>
      <c r="I324">
        <f>VLOOKUP(A324,NYSEARCAVNQ!A$2:G$506,5,0)</f>
        <v>88.88</v>
      </c>
      <c r="J324">
        <f>VLOOKUP(A324,NYSEARCARWX!A$2:G$506,5,0)</f>
        <v>42.08</v>
      </c>
      <c r="K324">
        <f>VLOOKUP(A324,NYSEARCADBC!A$2:G$506,5,0)</f>
        <v>14.67</v>
      </c>
      <c r="L324">
        <f>VLOOKUP(A324,NYSEARCAGSG!A$2:G$506,5,0)</f>
        <v>14.58</v>
      </c>
      <c r="M324">
        <f>VLOOKUP(A324,NYSEARCAGLD!A$2:G$506,5,0)</f>
        <v>125.03</v>
      </c>
      <c r="N324">
        <f>VLOOKUP(A324,NYSEBP!A$2:G$506,5,0)</f>
        <v>34.1</v>
      </c>
      <c r="O324">
        <f>VLOOKUP(A324,NASDAQYHOO!A$2:G$506,5,0)</f>
        <v>42.58</v>
      </c>
    </row>
    <row r="325" spans="1:15">
      <c r="A325" s="39">
        <v>42613</v>
      </c>
      <c r="B325">
        <v>71.44</v>
      </c>
      <c r="C325">
        <f>VLOOKUP(A325,NYSEARCAVTI!A$2:G$506,5,0)</f>
        <v>111.65</v>
      </c>
      <c r="D325">
        <f>VLOOKUP(A325,NYSEARCAVEU!A$2:G$506,5,0)</f>
        <v>44.98</v>
      </c>
      <c r="E325">
        <f>VLOOKUP(A325,NYSEARCAVWO!A$2:G$506,5,0)</f>
        <v>37.33</v>
      </c>
      <c r="F325">
        <f>VLOOKUP(A325,NYSEARCABND!A$2:G$506,5,0)</f>
        <v>84.21</v>
      </c>
      <c r="G325">
        <f>VLOOKUP(A325,NYSEARCATIP!A$2:G$506,5,0)</f>
        <v>116.04</v>
      </c>
      <c r="H325">
        <f>VLOOKUP(A325,NYSEARCAMUB!A$2:G$506,5,0)</f>
        <v>113.6</v>
      </c>
      <c r="I325">
        <f>VLOOKUP(A325,NYSEARCAVNQ!A$2:G$506,5,0)</f>
        <v>88.97</v>
      </c>
      <c r="J325">
        <f>VLOOKUP(A325,NYSEARCARWX!A$2:G$506,5,0)</f>
        <v>42.01</v>
      </c>
      <c r="K325">
        <f>VLOOKUP(A325,NYSEARCADBC!A$2:G$506,5,0)</f>
        <v>14.39</v>
      </c>
      <c r="L325">
        <f>VLOOKUP(A325,NYSEARCAGSG!A$2:G$506,5,0)</f>
        <v>14.24</v>
      </c>
      <c r="M325">
        <f>VLOOKUP(A325,NYSEARCAGLD!A$2:G$506,5,0)</f>
        <v>124.78</v>
      </c>
      <c r="N325">
        <f>VLOOKUP(A325,NYSEBP!A$2:G$506,5,0)</f>
        <v>33.86</v>
      </c>
      <c r="O325">
        <f>VLOOKUP(A325,NASDAQYHOO!A$2:G$506,5,0)</f>
        <v>42.75</v>
      </c>
    </row>
    <row r="326" spans="1:15">
      <c r="A326" s="39">
        <v>42614</v>
      </c>
      <c r="B326">
        <v>72.84</v>
      </c>
      <c r="C326">
        <f>VLOOKUP(A326,NYSEARCAVTI!A$2:G$506,5,0)</f>
        <v>111.71</v>
      </c>
      <c r="D326">
        <f>VLOOKUP(A326,NYSEARCAVEU!A$2:G$506,5,0)</f>
        <v>45.31</v>
      </c>
      <c r="E326">
        <f>VLOOKUP(A326,NYSEARCAVWO!A$2:G$506,5,0)</f>
        <v>37.53</v>
      </c>
      <c r="F326">
        <f>VLOOKUP(A326,NYSEARCABND!A$2:G$506,5,0)</f>
        <v>84.16</v>
      </c>
      <c r="G326">
        <f>VLOOKUP(A326,NYSEARCATIP!A$2:G$506,5,0)</f>
        <v>115.72</v>
      </c>
      <c r="H326">
        <f>VLOOKUP(A326,NYSEARCAMUB!A$2:G$506,5,0)</f>
        <v>113.34</v>
      </c>
      <c r="I326">
        <f>VLOOKUP(A326,NYSEARCAVNQ!A$2:G$506,5,0)</f>
        <v>88.75</v>
      </c>
      <c r="J326">
        <f>VLOOKUP(A326,NYSEARCARWX!A$2:G$506,5,0)</f>
        <v>42.4</v>
      </c>
      <c r="K326">
        <f>VLOOKUP(A326,NYSEARCADBC!A$2:G$506,5,0)</f>
        <v>14.23</v>
      </c>
      <c r="L326">
        <f>VLOOKUP(A326,NYSEARCAGSG!A$2:G$506,5,0)</f>
        <v>14.05</v>
      </c>
      <c r="M326">
        <f>VLOOKUP(A326,NYSEARCAGLD!A$2:G$506,5,0)</f>
        <v>125.29</v>
      </c>
      <c r="N326">
        <f>VLOOKUP(A326,NYSEBP!A$2:G$506,5,0)</f>
        <v>33.659999999999997</v>
      </c>
      <c r="O326">
        <f>VLOOKUP(A326,NASDAQYHOO!A$2:G$506,5,0)</f>
        <v>42.93</v>
      </c>
    </row>
    <row r="327" spans="1:15">
      <c r="A327" s="39">
        <v>42615</v>
      </c>
      <c r="B327">
        <v>72.5</v>
      </c>
      <c r="C327">
        <f>VLOOKUP(A327,NYSEARCAVTI!A$2:G$506,5,0)</f>
        <v>112.28</v>
      </c>
      <c r="D327">
        <f>VLOOKUP(A327,NYSEARCAVEU!A$2:G$506,5,0)</f>
        <v>45.82</v>
      </c>
      <c r="E327">
        <f>VLOOKUP(A327,NYSEARCAVWO!A$2:G$506,5,0)</f>
        <v>38.1</v>
      </c>
      <c r="F327">
        <f>VLOOKUP(A327,NYSEARCABND!A$2:G$506,5,0)</f>
        <v>84.04</v>
      </c>
      <c r="G327">
        <f>VLOOKUP(A327,NYSEARCATIP!A$2:G$506,5,0)</f>
        <v>115.59</v>
      </c>
      <c r="H327">
        <f>VLOOKUP(A327,NYSEARCAMUB!A$2:G$506,5,0)</f>
        <v>113.2</v>
      </c>
      <c r="I327">
        <f>VLOOKUP(A327,NYSEARCAVNQ!A$2:G$506,5,0)</f>
        <v>89.52</v>
      </c>
      <c r="J327">
        <f>VLOOKUP(A327,NYSEARCARWX!A$2:G$506,5,0)</f>
        <v>42.45</v>
      </c>
      <c r="K327">
        <f>VLOOKUP(A327,NYSEARCADBC!A$2:G$506,5,0)</f>
        <v>14.39</v>
      </c>
      <c r="L327">
        <f>VLOOKUP(A327,NYSEARCAGSG!A$2:G$506,5,0)</f>
        <v>14.17</v>
      </c>
      <c r="M327">
        <f>VLOOKUP(A327,NYSEARCAGLD!A$2:G$506,5,0)</f>
        <v>126.57</v>
      </c>
      <c r="N327">
        <f>VLOOKUP(A327,NYSEBP!A$2:G$506,5,0)</f>
        <v>34.5</v>
      </c>
      <c r="O327">
        <f>VLOOKUP(A327,NASDAQYHOO!A$2:G$506,5,0)</f>
        <v>43.28</v>
      </c>
    </row>
    <row r="328" spans="1:15">
      <c r="A328" s="39">
        <v>42619</v>
      </c>
      <c r="B328">
        <v>73</v>
      </c>
      <c r="C328">
        <f>VLOOKUP(A328,NYSEARCAVTI!A$2:G$506,5,0)</f>
        <v>112.6</v>
      </c>
      <c r="D328">
        <f>VLOOKUP(A328,NYSEARCAVEU!A$2:G$506,5,0)</f>
        <v>46.29</v>
      </c>
      <c r="E328">
        <f>VLOOKUP(A328,NYSEARCAVWO!A$2:G$506,5,0)</f>
        <v>38.76</v>
      </c>
      <c r="F328">
        <f>VLOOKUP(A328,NYSEARCABND!A$2:G$506,5,0)</f>
        <v>84.29</v>
      </c>
      <c r="G328">
        <f>VLOOKUP(A328,NYSEARCATIP!A$2:G$506,5,0)</f>
        <v>116.14</v>
      </c>
      <c r="H328">
        <f>VLOOKUP(A328,NYSEARCAMUB!A$2:G$506,5,0)</f>
        <v>113.3</v>
      </c>
      <c r="I328">
        <f>VLOOKUP(A328,NYSEARCAVNQ!A$2:G$506,5,0)</f>
        <v>90.21</v>
      </c>
      <c r="J328">
        <f>VLOOKUP(A328,NYSEARCARWX!A$2:G$506,5,0)</f>
        <v>43.08</v>
      </c>
      <c r="K328">
        <f>VLOOKUP(A328,NYSEARCADBC!A$2:G$506,5,0)</f>
        <v>14.49</v>
      </c>
      <c r="L328">
        <f>VLOOKUP(A328,NYSEARCAGSG!A$2:G$506,5,0)</f>
        <v>14.27</v>
      </c>
      <c r="M328">
        <f>VLOOKUP(A328,NYSEARCAGLD!A$2:G$506,5,0)</f>
        <v>128.71</v>
      </c>
      <c r="N328">
        <f>VLOOKUP(A328,NYSEBP!A$2:G$506,5,0)</f>
        <v>34.69</v>
      </c>
      <c r="O328">
        <f>VLOOKUP(A328,NASDAQYHOO!A$2:G$506,5,0)</f>
        <v>44.71</v>
      </c>
    </row>
    <row r="329" spans="1:15">
      <c r="A329" s="39">
        <v>42620</v>
      </c>
      <c r="B329">
        <v>72.06</v>
      </c>
      <c r="C329">
        <f>VLOOKUP(A329,NYSEARCAVTI!A$2:G$506,5,0)</f>
        <v>112.75</v>
      </c>
      <c r="D329">
        <f>VLOOKUP(A329,NYSEARCAVEU!A$2:G$506,5,0)</f>
        <v>46.37</v>
      </c>
      <c r="E329">
        <f>VLOOKUP(A329,NYSEARCAVWO!A$2:G$506,5,0)</f>
        <v>38.71</v>
      </c>
      <c r="F329">
        <f>VLOOKUP(A329,NYSEARCABND!A$2:G$506,5,0)</f>
        <v>84.3</v>
      </c>
      <c r="G329">
        <f>VLOOKUP(A329,NYSEARCATIP!A$2:G$506,5,0)</f>
        <v>116.29</v>
      </c>
      <c r="H329">
        <f>VLOOKUP(A329,NYSEARCAMUB!A$2:G$506,5,0)</f>
        <v>113.3</v>
      </c>
      <c r="I329">
        <f>VLOOKUP(A329,NYSEARCAVNQ!A$2:G$506,5,0)</f>
        <v>90.75</v>
      </c>
      <c r="J329">
        <f>VLOOKUP(A329,NYSEARCARWX!A$2:G$506,5,0)</f>
        <v>42.83</v>
      </c>
      <c r="K329">
        <f>VLOOKUP(A329,NYSEARCADBC!A$2:G$506,5,0)</f>
        <v>14.62</v>
      </c>
      <c r="L329">
        <f>VLOOKUP(A329,NYSEARCAGSG!A$2:G$506,5,0)</f>
        <v>14.41</v>
      </c>
      <c r="M329">
        <f>VLOOKUP(A329,NYSEARCAGLD!A$2:G$506,5,0)</f>
        <v>128.27000000000001</v>
      </c>
      <c r="N329">
        <f>VLOOKUP(A329,NYSEBP!A$2:G$506,5,0)</f>
        <v>34.76</v>
      </c>
      <c r="O329">
        <f>VLOOKUP(A329,NASDAQYHOO!A$2:G$506,5,0)</f>
        <v>44.35</v>
      </c>
    </row>
    <row r="330" spans="1:15">
      <c r="A330" s="39">
        <v>42621</v>
      </c>
      <c r="B330">
        <v>71.83</v>
      </c>
      <c r="C330">
        <f>VLOOKUP(A330,NYSEARCAVTI!A$2:G$506,5,0)</f>
        <v>112.46</v>
      </c>
      <c r="D330">
        <f>VLOOKUP(A330,NYSEARCAVEU!A$2:G$506,5,0)</f>
        <v>46.22</v>
      </c>
      <c r="E330">
        <f>VLOOKUP(A330,NYSEARCAVWO!A$2:G$506,5,0)</f>
        <v>38.630000000000003</v>
      </c>
      <c r="F330">
        <f>VLOOKUP(A330,NYSEARCABND!A$2:G$506,5,0)</f>
        <v>83.98</v>
      </c>
      <c r="G330">
        <f>VLOOKUP(A330,NYSEARCATIP!A$2:G$506,5,0)</f>
        <v>115.88</v>
      </c>
      <c r="H330">
        <f>VLOOKUP(A330,NYSEARCAMUB!A$2:G$506,5,0)</f>
        <v>113.15</v>
      </c>
      <c r="I330">
        <f>VLOOKUP(A330,NYSEARCAVNQ!A$2:G$506,5,0)</f>
        <v>89.64</v>
      </c>
      <c r="J330">
        <f>VLOOKUP(A330,NYSEARCARWX!A$2:G$506,5,0)</f>
        <v>42.72</v>
      </c>
      <c r="K330">
        <f>VLOOKUP(A330,NYSEARCADBC!A$2:G$506,5,0)</f>
        <v>14.88</v>
      </c>
      <c r="L330">
        <f>VLOOKUP(A330,NYSEARCAGSG!A$2:G$506,5,0)</f>
        <v>14.73</v>
      </c>
      <c r="M330">
        <f>VLOOKUP(A330,NYSEARCAGLD!A$2:G$506,5,0)</f>
        <v>127.59</v>
      </c>
      <c r="N330">
        <f>VLOOKUP(A330,NYSEBP!A$2:G$506,5,0)</f>
        <v>35.08</v>
      </c>
      <c r="O330">
        <f>VLOOKUP(A330,NASDAQYHOO!A$2:G$506,5,0)</f>
        <v>44.36</v>
      </c>
    </row>
    <row r="331" spans="1:15">
      <c r="A331" s="39">
        <v>42622</v>
      </c>
      <c r="B331">
        <v>70.3</v>
      </c>
      <c r="C331">
        <f>VLOOKUP(A331,NYSEARCAVTI!A$2:G$506,5,0)</f>
        <v>109.66</v>
      </c>
      <c r="D331">
        <f>VLOOKUP(A331,NYSEARCAVEU!A$2:G$506,5,0)</f>
        <v>45.17</v>
      </c>
      <c r="E331">
        <f>VLOOKUP(A331,NYSEARCAVWO!A$2:G$506,5,0)</f>
        <v>37.409999999999997</v>
      </c>
      <c r="F331">
        <f>VLOOKUP(A331,NYSEARCABND!A$2:G$506,5,0)</f>
        <v>83.61</v>
      </c>
      <c r="G331">
        <f>VLOOKUP(A331,NYSEARCATIP!A$2:G$506,5,0)</f>
        <v>115.08</v>
      </c>
      <c r="H331">
        <f>VLOOKUP(A331,NYSEARCAMUB!A$2:G$506,5,0)</f>
        <v>112.95</v>
      </c>
      <c r="I331">
        <f>VLOOKUP(A331,NYSEARCAVNQ!A$2:G$506,5,0)</f>
        <v>86.09</v>
      </c>
      <c r="J331">
        <f>VLOOKUP(A331,NYSEARCARWX!A$2:G$506,5,0)</f>
        <v>41.63</v>
      </c>
      <c r="K331">
        <f>VLOOKUP(A331,NYSEARCADBC!A$2:G$506,5,0)</f>
        <v>14.65</v>
      </c>
      <c r="L331">
        <f>VLOOKUP(A331,NYSEARCAGSG!A$2:G$506,5,0)</f>
        <v>14.46</v>
      </c>
      <c r="M331">
        <f>VLOOKUP(A331,NYSEARCAGLD!A$2:G$506,5,0)</f>
        <v>126.75</v>
      </c>
      <c r="N331">
        <f>VLOOKUP(A331,NYSEBP!A$2:G$506,5,0)</f>
        <v>34.35</v>
      </c>
      <c r="O331">
        <f>VLOOKUP(A331,NASDAQYHOO!A$2:G$506,5,0)</f>
        <v>42.92</v>
      </c>
    </row>
    <row r="332" spans="1:15">
      <c r="A332" s="39">
        <v>42625</v>
      </c>
      <c r="B332">
        <v>71.94</v>
      </c>
      <c r="C332">
        <f>VLOOKUP(A332,NYSEARCAVTI!A$2:G$506,5,0)</f>
        <v>111.19</v>
      </c>
      <c r="D332">
        <f>VLOOKUP(A332,NYSEARCAVEU!A$2:G$506,5,0)</f>
        <v>45.56</v>
      </c>
      <c r="E332">
        <f>VLOOKUP(A332,NYSEARCAVWO!A$2:G$506,5,0)</f>
        <v>37.72</v>
      </c>
      <c r="F332">
        <f>VLOOKUP(A332,NYSEARCABND!A$2:G$506,5,0)</f>
        <v>83.64</v>
      </c>
      <c r="G332">
        <f>VLOOKUP(A332,NYSEARCATIP!A$2:G$506,5,0)</f>
        <v>115.12</v>
      </c>
      <c r="H332">
        <f>VLOOKUP(A332,NYSEARCAMUB!A$2:G$506,5,0)</f>
        <v>112.86</v>
      </c>
      <c r="I332">
        <f>VLOOKUP(A332,NYSEARCAVNQ!A$2:G$506,5,0)</f>
        <v>87.11</v>
      </c>
      <c r="J332">
        <f>VLOOKUP(A332,NYSEARCARWX!A$2:G$506,5,0)</f>
        <v>41.83</v>
      </c>
      <c r="K332">
        <f>VLOOKUP(A332,NYSEARCADBC!A$2:G$506,5,0)</f>
        <v>14.65</v>
      </c>
      <c r="L332">
        <f>VLOOKUP(A332,NYSEARCAGSG!A$2:G$506,5,0)</f>
        <v>14.53</v>
      </c>
      <c r="M332">
        <f>VLOOKUP(A332,NYSEARCAGLD!A$2:G$506,5,0)</f>
        <v>126.59</v>
      </c>
      <c r="N332">
        <f>VLOOKUP(A332,NYSEBP!A$2:G$506,5,0)</f>
        <v>34.630000000000003</v>
      </c>
      <c r="O332">
        <f>VLOOKUP(A332,NASDAQYHOO!A$2:G$506,5,0)</f>
        <v>43.46</v>
      </c>
    </row>
    <row r="333" spans="1:15">
      <c r="A333" s="39">
        <v>42626</v>
      </c>
      <c r="B333">
        <v>71.459999999999994</v>
      </c>
      <c r="C333">
        <f>VLOOKUP(A333,NYSEARCAVTI!A$2:G$506,5,0)</f>
        <v>108.92</v>
      </c>
      <c r="D333">
        <f>VLOOKUP(A333,NYSEARCAVEU!A$2:G$506,5,0)</f>
        <v>44.25</v>
      </c>
      <c r="E333">
        <f>VLOOKUP(A333,NYSEARCAVWO!A$2:G$506,5,0)</f>
        <v>36.340000000000003</v>
      </c>
      <c r="F333">
        <f>VLOOKUP(A333,NYSEARCABND!A$2:G$506,5,0)</f>
        <v>83.4</v>
      </c>
      <c r="G333">
        <f>VLOOKUP(A333,NYSEARCATIP!A$2:G$506,5,0)</f>
        <v>114.61</v>
      </c>
      <c r="H333">
        <f>VLOOKUP(A333,NYSEARCAMUB!A$2:G$506,5,0)</f>
        <v>112.63</v>
      </c>
      <c r="I333">
        <f>VLOOKUP(A333,NYSEARCAVNQ!A$2:G$506,5,0)</f>
        <v>84.34</v>
      </c>
      <c r="J333">
        <f>VLOOKUP(A333,NYSEARCARWX!A$2:G$506,5,0)</f>
        <v>40.96</v>
      </c>
      <c r="K333">
        <f>VLOOKUP(A333,NYSEARCADBC!A$2:G$506,5,0)</f>
        <v>14.46</v>
      </c>
      <c r="L333">
        <f>VLOOKUP(A333,NYSEARCAGSG!A$2:G$506,5,0)</f>
        <v>14.26</v>
      </c>
      <c r="M333">
        <f>VLOOKUP(A333,NYSEARCAGLD!A$2:G$506,5,0)</f>
        <v>125.75</v>
      </c>
      <c r="N333">
        <f>VLOOKUP(A333,NYSEBP!A$2:G$506,5,0)</f>
        <v>33.5</v>
      </c>
      <c r="O333">
        <f>VLOOKUP(A333,NASDAQYHOO!A$2:G$506,5,0)</f>
        <v>43.04</v>
      </c>
    </row>
    <row r="334" spans="1:15">
      <c r="A334" s="39">
        <v>42627</v>
      </c>
      <c r="B334">
        <v>71.52</v>
      </c>
      <c r="C334">
        <f>VLOOKUP(A334,NYSEARCAVTI!A$2:G$506,5,0)</f>
        <v>108.93</v>
      </c>
      <c r="D334">
        <f>VLOOKUP(A334,NYSEARCAVEU!A$2:G$506,5,0)</f>
        <v>44.27</v>
      </c>
      <c r="E334">
        <f>VLOOKUP(A334,NYSEARCAVWO!A$2:G$506,5,0)</f>
        <v>36.47</v>
      </c>
      <c r="F334">
        <f>VLOOKUP(A334,NYSEARCABND!A$2:G$506,5,0)</f>
        <v>83.51</v>
      </c>
      <c r="G334">
        <f>VLOOKUP(A334,NYSEARCATIP!A$2:G$506,5,0)</f>
        <v>114.79</v>
      </c>
      <c r="H334">
        <f>VLOOKUP(A334,NYSEARCAMUB!A$2:G$506,5,0)</f>
        <v>112.58</v>
      </c>
      <c r="I334">
        <f>VLOOKUP(A334,NYSEARCAVNQ!A$2:G$506,5,0)</f>
        <v>84.61</v>
      </c>
      <c r="J334">
        <f>VLOOKUP(A334,NYSEARCARWX!A$2:G$506,5,0)</f>
        <v>40.89</v>
      </c>
      <c r="K334">
        <f>VLOOKUP(A334,NYSEARCADBC!A$2:G$506,5,0)</f>
        <v>14.35</v>
      </c>
      <c r="L334">
        <f>VLOOKUP(A334,NYSEARCAGSG!A$2:G$506,5,0)</f>
        <v>14.1</v>
      </c>
      <c r="M334">
        <f>VLOOKUP(A334,NYSEARCAGLD!A$2:G$506,5,0)</f>
        <v>126.18</v>
      </c>
      <c r="N334">
        <f>VLOOKUP(A334,NYSEBP!A$2:G$506,5,0)</f>
        <v>33.32</v>
      </c>
      <c r="O334">
        <f>VLOOKUP(A334,NASDAQYHOO!A$2:G$506,5,0)</f>
        <v>43.46</v>
      </c>
    </row>
    <row r="335" spans="1:15">
      <c r="A335" s="39">
        <v>42628</v>
      </c>
      <c r="B335">
        <v>72.400000000000006</v>
      </c>
      <c r="C335">
        <f>VLOOKUP(A335,NYSEARCAVTI!A$2:G$506,5,0)</f>
        <v>110.05</v>
      </c>
      <c r="D335">
        <f>VLOOKUP(A335,NYSEARCAVEU!A$2:G$506,5,0)</f>
        <v>44.7</v>
      </c>
      <c r="E335">
        <f>VLOOKUP(A335,NYSEARCAVWO!A$2:G$506,5,0)</f>
        <v>37.049999999999997</v>
      </c>
      <c r="F335">
        <f>VLOOKUP(A335,NYSEARCABND!A$2:G$506,5,0)</f>
        <v>83.58</v>
      </c>
      <c r="G335">
        <f>VLOOKUP(A335,NYSEARCATIP!A$2:G$506,5,0)</f>
        <v>114.76</v>
      </c>
      <c r="H335">
        <f>VLOOKUP(A335,NYSEARCAMUB!A$2:G$506,5,0)</f>
        <v>112.58</v>
      </c>
      <c r="I335">
        <f>VLOOKUP(A335,NYSEARCAVNQ!A$2:G$506,5,0)</f>
        <v>84.93</v>
      </c>
      <c r="J335">
        <f>VLOOKUP(A335,NYSEARCARWX!A$2:G$506,5,0)</f>
        <v>41.14</v>
      </c>
      <c r="K335">
        <f>VLOOKUP(A335,NYSEARCADBC!A$2:G$506,5,0)</f>
        <v>14.42</v>
      </c>
      <c r="L335">
        <f>VLOOKUP(A335,NYSEARCAGSG!A$2:G$506,5,0)</f>
        <v>14.17</v>
      </c>
      <c r="M335">
        <f>VLOOKUP(A335,NYSEARCAGLD!A$2:G$506,5,0)</f>
        <v>125.37</v>
      </c>
      <c r="N335">
        <f>VLOOKUP(A335,NYSEBP!A$2:G$506,5,0)</f>
        <v>33.61</v>
      </c>
      <c r="O335">
        <f>VLOOKUP(A335,NASDAQYHOO!A$2:G$506,5,0)</f>
        <v>43.99</v>
      </c>
    </row>
    <row r="336" spans="1:15">
      <c r="A336" s="39">
        <v>42629</v>
      </c>
      <c r="B336">
        <v>72.87</v>
      </c>
      <c r="C336">
        <f>VLOOKUP(A336,NYSEARCAVTI!A$2:G$506,5,0)</f>
        <v>109.61</v>
      </c>
      <c r="D336">
        <f>VLOOKUP(A336,NYSEARCAVEU!A$2:G$506,5,0)</f>
        <v>44.17</v>
      </c>
      <c r="E336">
        <f>VLOOKUP(A336,NYSEARCAVWO!A$2:G$506,5,0)</f>
        <v>36.799999999999997</v>
      </c>
      <c r="F336">
        <f>VLOOKUP(A336,NYSEARCABND!A$2:G$506,5,0)</f>
        <v>83.65</v>
      </c>
      <c r="G336">
        <f>VLOOKUP(A336,NYSEARCATIP!A$2:G$506,5,0)</f>
        <v>114.95</v>
      </c>
      <c r="H336">
        <f>VLOOKUP(A336,NYSEARCAMUB!A$2:G$506,5,0)</f>
        <v>112.61</v>
      </c>
      <c r="I336">
        <f>VLOOKUP(A336,NYSEARCAVNQ!A$2:G$506,5,0)</f>
        <v>84.97</v>
      </c>
      <c r="J336">
        <f>VLOOKUP(A336,NYSEARCARWX!A$2:G$506,5,0)</f>
        <v>40.33</v>
      </c>
      <c r="K336">
        <f>VLOOKUP(A336,NYSEARCADBC!A$2:G$506,5,0)</f>
        <v>14.44</v>
      </c>
      <c r="L336">
        <f>VLOOKUP(A336,NYSEARCAGSG!A$2:G$506,5,0)</f>
        <v>14.2</v>
      </c>
      <c r="M336">
        <f>VLOOKUP(A336,NYSEARCAGLD!A$2:G$506,5,0)</f>
        <v>125.06</v>
      </c>
      <c r="N336">
        <f>VLOOKUP(A336,NYSEBP!A$2:G$506,5,0)</f>
        <v>33.31</v>
      </c>
      <c r="O336">
        <f>VLOOKUP(A336,NASDAQYHOO!A$2:G$506,5,0)</f>
        <v>43.67</v>
      </c>
    </row>
    <row r="337" spans="1:15">
      <c r="A337" s="39">
        <v>42632</v>
      </c>
      <c r="B337">
        <v>72.09</v>
      </c>
      <c r="C337">
        <f>VLOOKUP(A337,NYSEARCAVTI!A$2:G$506,5,0)</f>
        <v>109.77</v>
      </c>
      <c r="D337">
        <f>VLOOKUP(A337,NYSEARCAVEU!A$2:G$506,5,0)</f>
        <v>44.46</v>
      </c>
      <c r="E337">
        <f>VLOOKUP(A337,NYSEARCAVWO!A$2:G$506,5,0)</f>
        <v>37.11</v>
      </c>
      <c r="F337">
        <f>VLOOKUP(A337,NYSEARCABND!A$2:G$506,5,0)</f>
        <v>83.59</v>
      </c>
      <c r="G337">
        <f>VLOOKUP(A337,NYSEARCATIP!A$2:G$506,5,0)</f>
        <v>114.81</v>
      </c>
      <c r="H337">
        <f>VLOOKUP(A337,NYSEARCAMUB!A$2:G$506,5,0)</f>
        <v>112.5</v>
      </c>
      <c r="I337">
        <f>VLOOKUP(A337,NYSEARCAVNQ!A$2:G$506,5,0)</f>
        <v>85.74</v>
      </c>
      <c r="J337">
        <f>VLOOKUP(A337,NYSEARCARWX!A$2:G$506,5,0)</f>
        <v>40.65</v>
      </c>
      <c r="K337">
        <f>VLOOKUP(A337,NYSEARCADBC!A$2:G$506,5,0)</f>
        <v>14.43</v>
      </c>
      <c r="L337">
        <f>VLOOKUP(A337,NYSEARCAGSG!A$2:G$506,5,0)</f>
        <v>14.18</v>
      </c>
      <c r="M337">
        <f>VLOOKUP(A337,NYSEARCAGLD!A$2:G$506,5,0)</f>
        <v>125.32</v>
      </c>
      <c r="N337">
        <f>VLOOKUP(A337,NYSEBP!A$2:G$506,5,0)</f>
        <v>33.44</v>
      </c>
      <c r="O337">
        <f>VLOOKUP(A337,NASDAQYHOO!A$2:G$506,5,0)</f>
        <v>43.19</v>
      </c>
    </row>
    <row r="338" spans="1:15">
      <c r="A338" s="39">
        <v>42633</v>
      </c>
      <c r="B338">
        <v>71.97</v>
      </c>
      <c r="C338">
        <f>VLOOKUP(A338,NYSEARCAVTI!A$2:G$506,5,0)</f>
        <v>109.72</v>
      </c>
      <c r="D338">
        <f>VLOOKUP(A338,NYSEARCAVEU!A$2:G$506,5,0)</f>
        <v>44.69</v>
      </c>
      <c r="E338">
        <f>VLOOKUP(A338,NYSEARCAVWO!A$2:G$506,5,0)</f>
        <v>37.119999999999997</v>
      </c>
      <c r="F338">
        <f>VLOOKUP(A338,NYSEARCABND!A$2:G$506,5,0)</f>
        <v>83.61</v>
      </c>
      <c r="G338">
        <f>VLOOKUP(A338,NYSEARCATIP!A$2:G$506,5,0)</f>
        <v>114.79</v>
      </c>
      <c r="H338">
        <f>VLOOKUP(A338,NYSEARCAMUB!A$2:G$506,5,0)</f>
        <v>112.59</v>
      </c>
      <c r="I338">
        <f>VLOOKUP(A338,NYSEARCAVNQ!A$2:G$506,5,0)</f>
        <v>85.61</v>
      </c>
      <c r="J338">
        <f>VLOOKUP(A338,NYSEARCARWX!A$2:G$506,5,0)</f>
        <v>40.83</v>
      </c>
      <c r="K338">
        <f>VLOOKUP(A338,NYSEARCADBC!A$2:G$506,5,0)</f>
        <v>14.48</v>
      </c>
      <c r="L338">
        <f>VLOOKUP(A338,NYSEARCAGSG!A$2:G$506,5,0)</f>
        <v>14.25</v>
      </c>
      <c r="M338">
        <f>VLOOKUP(A338,NYSEARCAGLD!A$2:G$506,5,0)</f>
        <v>125.44</v>
      </c>
      <c r="N338">
        <f>VLOOKUP(A338,NYSEBP!A$2:G$506,5,0)</f>
        <v>33.07</v>
      </c>
      <c r="O338">
        <f>VLOOKUP(A338,NASDAQYHOO!A$2:G$506,5,0)</f>
        <v>42.79</v>
      </c>
    </row>
    <row r="339" spans="1:15">
      <c r="A339" s="39">
        <v>42634</v>
      </c>
      <c r="B339">
        <v>72.19</v>
      </c>
      <c r="C339">
        <f>VLOOKUP(A339,NYSEARCAVTI!A$2:G$506,5,0)</f>
        <v>110.98</v>
      </c>
      <c r="D339">
        <f>VLOOKUP(A339,NYSEARCAVEU!A$2:G$506,5,0)</f>
        <v>45.53</v>
      </c>
      <c r="E339">
        <f>VLOOKUP(A339,NYSEARCAVWO!A$2:G$506,5,0)</f>
        <v>38.020000000000003</v>
      </c>
      <c r="F339">
        <f>VLOOKUP(A339,NYSEARCABND!A$2:G$506,5,0)</f>
        <v>83.85</v>
      </c>
      <c r="G339">
        <f>VLOOKUP(A339,NYSEARCATIP!A$2:G$506,5,0)</f>
        <v>115.33</v>
      </c>
      <c r="H339">
        <f>VLOOKUP(A339,NYSEARCAMUB!A$2:G$506,5,0)</f>
        <v>112.56</v>
      </c>
      <c r="I339">
        <f>VLOOKUP(A339,NYSEARCAVNQ!A$2:G$506,5,0)</f>
        <v>86.71</v>
      </c>
      <c r="J339">
        <f>VLOOKUP(A339,NYSEARCARWX!A$2:G$506,5,0)</f>
        <v>41.18</v>
      </c>
      <c r="K339">
        <f>VLOOKUP(A339,NYSEARCADBC!A$2:G$506,5,0)</f>
        <v>14.66</v>
      </c>
      <c r="L339">
        <f>VLOOKUP(A339,NYSEARCAGSG!A$2:G$506,5,0)</f>
        <v>14.48</v>
      </c>
      <c r="M339">
        <f>VLOOKUP(A339,NYSEARCAGLD!A$2:G$506,5,0)</f>
        <v>127.27</v>
      </c>
      <c r="N339">
        <f>VLOOKUP(A339,NYSEBP!A$2:G$506,5,0)</f>
        <v>33.61</v>
      </c>
      <c r="O339">
        <f>VLOOKUP(A339,NASDAQYHOO!A$2:G$506,5,0)</f>
        <v>44.14</v>
      </c>
    </row>
    <row r="340" spans="1:15">
      <c r="A340" s="39">
        <v>42635</v>
      </c>
      <c r="B340">
        <v>72.27</v>
      </c>
      <c r="C340">
        <f>VLOOKUP(A340,NYSEARCAVTI!A$2:G$506,5,0)</f>
        <v>111.79</v>
      </c>
      <c r="D340">
        <f>VLOOKUP(A340,NYSEARCAVEU!A$2:G$506,5,0)</f>
        <v>45.97</v>
      </c>
      <c r="E340">
        <f>VLOOKUP(A340,NYSEARCAVWO!A$2:G$506,5,0)</f>
        <v>38.19</v>
      </c>
      <c r="F340">
        <f>VLOOKUP(A340,NYSEARCABND!A$2:G$506,5,0)</f>
        <v>84.02</v>
      </c>
      <c r="G340">
        <f>VLOOKUP(A340,NYSEARCATIP!A$2:G$506,5,0)</f>
        <v>115.9</v>
      </c>
      <c r="H340">
        <f>VLOOKUP(A340,NYSEARCAMUB!A$2:G$506,5,0)</f>
        <v>112.71</v>
      </c>
      <c r="I340">
        <f>VLOOKUP(A340,NYSEARCAVNQ!A$2:G$506,5,0)</f>
        <v>88.26</v>
      </c>
      <c r="J340">
        <f>VLOOKUP(A340,NYSEARCARWX!A$2:G$506,5,0)</f>
        <v>41.65</v>
      </c>
      <c r="K340">
        <f>VLOOKUP(A340,NYSEARCADBC!A$2:G$506,5,0)</f>
        <v>14.74</v>
      </c>
      <c r="L340">
        <f>VLOOKUP(A340,NYSEARCAGSG!A$2:G$506,5,0)</f>
        <v>14.56</v>
      </c>
      <c r="M340">
        <f>VLOOKUP(A340,NYSEARCAGLD!A$2:G$506,5,0)</f>
        <v>127.57</v>
      </c>
      <c r="N340">
        <f>VLOOKUP(A340,NYSEBP!A$2:G$506,5,0)</f>
        <v>34.26</v>
      </c>
      <c r="O340">
        <f>VLOOKUP(A340,NASDAQYHOO!A$2:G$506,5,0)</f>
        <v>44.15</v>
      </c>
    </row>
    <row r="341" spans="1:15">
      <c r="A341" s="39">
        <v>42636</v>
      </c>
      <c r="B341">
        <v>72.349999999999994</v>
      </c>
      <c r="C341">
        <f>VLOOKUP(A341,NYSEARCAVTI!A$2:G$506,5,0)</f>
        <v>111.15</v>
      </c>
      <c r="D341">
        <f>VLOOKUP(A341,NYSEARCAVEU!A$2:G$506,5,0)</f>
        <v>45.49</v>
      </c>
      <c r="E341">
        <f>VLOOKUP(A341,NYSEARCAVWO!A$2:G$506,5,0)</f>
        <v>37.69</v>
      </c>
      <c r="F341">
        <f>VLOOKUP(A341,NYSEARCABND!A$2:G$506,5,0)</f>
        <v>84</v>
      </c>
      <c r="G341">
        <f>VLOOKUP(A341,NYSEARCATIP!A$2:G$506,5,0)</f>
        <v>116.22</v>
      </c>
      <c r="H341">
        <f>VLOOKUP(A341,NYSEARCAMUB!A$2:G$506,5,0)</f>
        <v>112.69</v>
      </c>
      <c r="I341">
        <f>VLOOKUP(A341,NYSEARCAVNQ!A$2:G$506,5,0)</f>
        <v>88.53</v>
      </c>
      <c r="J341">
        <f>VLOOKUP(A341,NYSEARCARWX!A$2:G$506,5,0)</f>
        <v>41.48</v>
      </c>
      <c r="K341">
        <f>VLOOKUP(A341,NYSEARCADBC!A$2:G$506,5,0)</f>
        <v>14.57</v>
      </c>
      <c r="L341">
        <f>VLOOKUP(A341,NYSEARCAGSG!A$2:G$506,5,0)</f>
        <v>14.32</v>
      </c>
      <c r="M341">
        <f>VLOOKUP(A341,NYSEARCAGLD!A$2:G$506,5,0)</f>
        <v>127.65</v>
      </c>
      <c r="N341">
        <f>VLOOKUP(A341,NYSEBP!A$2:G$506,5,0)</f>
        <v>33.96</v>
      </c>
      <c r="O341">
        <f>VLOOKUP(A341,NASDAQYHOO!A$2:G$506,5,0)</f>
        <v>42.8</v>
      </c>
    </row>
    <row r="342" spans="1:15">
      <c r="A342" s="39">
        <v>42639</v>
      </c>
      <c r="B342">
        <v>71.62</v>
      </c>
      <c r="C342">
        <f>VLOOKUP(A342,NYSEARCAVTI!A$2:G$506,5,0)</f>
        <v>110.27</v>
      </c>
      <c r="D342">
        <f>VLOOKUP(A342,NYSEARCAVEU!A$2:G$506,5,0)</f>
        <v>45.04</v>
      </c>
      <c r="E342">
        <f>VLOOKUP(A342,NYSEARCAVWO!A$2:G$506,5,0)</f>
        <v>37.229999999999997</v>
      </c>
      <c r="F342">
        <f>VLOOKUP(A342,NYSEARCABND!A$2:G$506,5,0)</f>
        <v>84.14</v>
      </c>
      <c r="G342">
        <f>VLOOKUP(A342,NYSEARCATIP!A$2:G$506,5,0)</f>
        <v>116.27</v>
      </c>
      <c r="H342">
        <f>VLOOKUP(A342,NYSEARCAMUB!A$2:G$506,5,0)</f>
        <v>112.73</v>
      </c>
      <c r="I342">
        <f>VLOOKUP(A342,NYSEARCAVNQ!A$2:G$506,5,0)</f>
        <v>88.74</v>
      </c>
      <c r="J342">
        <f>VLOOKUP(A342,NYSEARCARWX!A$2:G$506,5,0)</f>
        <v>41.48</v>
      </c>
      <c r="K342">
        <f>VLOOKUP(A342,NYSEARCADBC!A$2:G$506,5,0)</f>
        <v>14.67</v>
      </c>
      <c r="L342">
        <f>VLOOKUP(A342,NYSEARCAGSG!A$2:G$506,5,0)</f>
        <v>14.46</v>
      </c>
      <c r="M342">
        <f>VLOOKUP(A342,NYSEARCAGLD!A$2:G$506,5,0)</f>
        <v>127.55</v>
      </c>
      <c r="N342">
        <f>VLOOKUP(A342,NYSEBP!A$2:G$506,5,0)</f>
        <v>33.68</v>
      </c>
      <c r="O342">
        <f>VLOOKUP(A342,NASDAQYHOO!A$2:G$506,5,0)</f>
        <v>42.29</v>
      </c>
    </row>
    <row r="343" spans="1:15">
      <c r="A343" s="39">
        <v>42640</v>
      </c>
      <c r="B343">
        <v>72.33</v>
      </c>
      <c r="C343">
        <f>VLOOKUP(A343,NYSEARCAVTI!A$2:G$506,5,0)</f>
        <v>110.9</v>
      </c>
      <c r="D343">
        <f>VLOOKUP(A343,NYSEARCAVEU!A$2:G$506,5,0)</f>
        <v>45.34</v>
      </c>
      <c r="E343">
        <f>VLOOKUP(A343,NYSEARCAVWO!A$2:G$506,5,0)</f>
        <v>37.619999999999997</v>
      </c>
      <c r="F343">
        <f>VLOOKUP(A343,NYSEARCABND!A$2:G$506,5,0)</f>
        <v>84.24</v>
      </c>
      <c r="G343">
        <f>VLOOKUP(A343,NYSEARCATIP!A$2:G$506,5,0)</f>
        <v>116.37</v>
      </c>
      <c r="H343">
        <f>VLOOKUP(A343,NYSEARCAMUB!A$2:G$506,5,0)</f>
        <v>112.87</v>
      </c>
      <c r="I343">
        <f>VLOOKUP(A343,NYSEARCAVNQ!A$2:G$506,5,0)</f>
        <v>87.8</v>
      </c>
      <c r="J343">
        <f>VLOOKUP(A343,NYSEARCARWX!A$2:G$506,5,0)</f>
        <v>41.8</v>
      </c>
      <c r="K343">
        <f>VLOOKUP(A343,NYSEARCADBC!A$2:G$506,5,0)</f>
        <v>14.53</v>
      </c>
      <c r="L343">
        <f>VLOOKUP(A343,NYSEARCAGSG!A$2:G$506,5,0)</f>
        <v>14.25</v>
      </c>
      <c r="M343">
        <f>VLOOKUP(A343,NYSEARCAGLD!A$2:G$506,5,0)</f>
        <v>126.62</v>
      </c>
      <c r="N343">
        <f>VLOOKUP(A343,NYSEBP!A$2:G$506,5,0)</f>
        <v>33.61</v>
      </c>
      <c r="O343">
        <f>VLOOKUP(A343,NASDAQYHOO!A$2:G$506,5,0)</f>
        <v>43.37</v>
      </c>
    </row>
    <row r="344" spans="1:15">
      <c r="A344" s="39">
        <v>42641</v>
      </c>
      <c r="B344">
        <v>71.790000000000006</v>
      </c>
      <c r="C344">
        <f>VLOOKUP(A344,NYSEARCAVTI!A$2:G$506,5,0)</f>
        <v>111.55</v>
      </c>
      <c r="D344">
        <f>VLOOKUP(A344,NYSEARCAVEU!A$2:G$506,5,0)</f>
        <v>45.73</v>
      </c>
      <c r="E344">
        <f>VLOOKUP(A344,NYSEARCAVWO!A$2:G$506,5,0)</f>
        <v>37.99</v>
      </c>
      <c r="F344">
        <f>VLOOKUP(A344,NYSEARCABND!A$2:G$506,5,0)</f>
        <v>84.24</v>
      </c>
      <c r="G344">
        <f>VLOOKUP(A344,NYSEARCATIP!A$2:G$506,5,0)</f>
        <v>116.51</v>
      </c>
      <c r="H344">
        <f>VLOOKUP(A344,NYSEARCAMUB!A$2:G$506,5,0)</f>
        <v>112.89</v>
      </c>
      <c r="I344">
        <f>VLOOKUP(A344,NYSEARCAVNQ!A$2:G$506,5,0)</f>
        <v>88.52</v>
      </c>
      <c r="J344">
        <f>VLOOKUP(A344,NYSEARCARWX!A$2:G$506,5,0)</f>
        <v>41.94</v>
      </c>
      <c r="K344">
        <f>VLOOKUP(A344,NYSEARCADBC!A$2:G$506,5,0)</f>
        <v>14.87</v>
      </c>
      <c r="L344">
        <f>VLOOKUP(A344,NYSEARCAGSG!A$2:G$506,5,0)</f>
        <v>14.61</v>
      </c>
      <c r="M344">
        <f>VLOOKUP(A344,NYSEARCAGLD!A$2:G$506,5,0)</f>
        <v>126.22</v>
      </c>
      <c r="N344">
        <f>VLOOKUP(A344,NYSEBP!A$2:G$506,5,0)</f>
        <v>34.840000000000003</v>
      </c>
      <c r="O344">
        <f>VLOOKUP(A344,NASDAQYHOO!A$2:G$506,5,0)</f>
        <v>43.69</v>
      </c>
    </row>
    <row r="345" spans="1:15">
      <c r="A345" s="39">
        <v>42642</v>
      </c>
      <c r="B345">
        <v>70.73</v>
      </c>
      <c r="C345">
        <f>VLOOKUP(A345,NYSEARCAVTI!A$2:G$506,5,0)</f>
        <v>110.46</v>
      </c>
      <c r="D345">
        <f>VLOOKUP(A345,NYSEARCAVEU!A$2:G$506,5,0)</f>
        <v>45.16</v>
      </c>
      <c r="E345">
        <f>VLOOKUP(A345,NYSEARCAVWO!A$2:G$506,5,0)</f>
        <v>37.36</v>
      </c>
      <c r="F345">
        <f>VLOOKUP(A345,NYSEARCABND!A$2:G$506,5,0)</f>
        <v>84.25</v>
      </c>
      <c r="G345">
        <f>VLOOKUP(A345,NYSEARCATIP!A$2:G$506,5,0)</f>
        <v>116.49</v>
      </c>
      <c r="H345">
        <f>VLOOKUP(A345,NYSEARCAMUB!A$2:G$506,5,0)</f>
        <v>112.88</v>
      </c>
      <c r="I345">
        <f>VLOOKUP(A345,NYSEARCAVNQ!A$2:G$506,5,0)</f>
        <v>87.34</v>
      </c>
      <c r="J345">
        <f>VLOOKUP(A345,NYSEARCARWX!A$2:G$506,5,0)</f>
        <v>41.25</v>
      </c>
      <c r="K345">
        <f>VLOOKUP(A345,NYSEARCADBC!A$2:G$506,5,0)</f>
        <v>14.96</v>
      </c>
      <c r="L345">
        <f>VLOOKUP(A345,NYSEARCAGSG!A$2:G$506,5,0)</f>
        <v>14.76</v>
      </c>
      <c r="M345">
        <f>VLOOKUP(A345,NYSEARCAGLD!A$2:G$506,5,0)</f>
        <v>126.07</v>
      </c>
      <c r="N345">
        <f>VLOOKUP(A345,NYSEBP!A$2:G$506,5,0)</f>
        <v>35.06</v>
      </c>
      <c r="O345">
        <f>VLOOKUP(A345,NASDAQYHOO!A$2:G$506,5,0)</f>
        <v>42.57</v>
      </c>
    </row>
    <row r="346" spans="1:15">
      <c r="A346" s="39">
        <v>42643</v>
      </c>
      <c r="B346">
        <v>72.12</v>
      </c>
      <c r="C346">
        <f>VLOOKUP(A346,NYSEARCAVTI!A$2:G$506,5,0)</f>
        <v>111.33</v>
      </c>
      <c r="D346">
        <f>VLOOKUP(A346,NYSEARCAVEU!A$2:G$506,5,0)</f>
        <v>45.43</v>
      </c>
      <c r="E346">
        <f>VLOOKUP(A346,NYSEARCAVWO!A$2:G$506,5,0)</f>
        <v>37.630000000000003</v>
      </c>
      <c r="F346">
        <f>VLOOKUP(A346,NYSEARCABND!A$2:G$506,5,0)</f>
        <v>84.14</v>
      </c>
      <c r="G346">
        <f>VLOOKUP(A346,NYSEARCATIP!A$2:G$506,5,0)</f>
        <v>116.49</v>
      </c>
      <c r="H346">
        <f>VLOOKUP(A346,NYSEARCAMUB!A$2:G$506,5,0)</f>
        <v>112.75</v>
      </c>
      <c r="I346">
        <f>VLOOKUP(A346,NYSEARCAVNQ!A$2:G$506,5,0)</f>
        <v>86.74</v>
      </c>
      <c r="J346">
        <f>VLOOKUP(A346,NYSEARCARWX!A$2:G$506,5,0)</f>
        <v>41.71</v>
      </c>
      <c r="K346">
        <f>VLOOKUP(A346,NYSEARCADBC!A$2:G$506,5,0)</f>
        <v>15.01</v>
      </c>
      <c r="L346">
        <f>VLOOKUP(A346,NYSEARCAGSG!A$2:G$506,5,0)</f>
        <v>14.82</v>
      </c>
      <c r="M346">
        <f>VLOOKUP(A346,NYSEARCAGLD!A$2:G$506,5,0)</f>
        <v>125.64</v>
      </c>
      <c r="N346">
        <f>VLOOKUP(A346,NYSEBP!A$2:G$506,5,0)</f>
        <v>35.159999999999997</v>
      </c>
      <c r="O346">
        <f>VLOOKUP(A346,NASDAQYHOO!A$2:G$506,5,0)</f>
        <v>43.1</v>
      </c>
    </row>
    <row r="347" spans="1:15">
      <c r="A347" s="39">
        <v>42646</v>
      </c>
      <c r="B347">
        <v>72.010000000000005</v>
      </c>
      <c r="C347">
        <f>VLOOKUP(A347,NYSEARCAVTI!A$2:G$506,5,0)</f>
        <v>110.99</v>
      </c>
      <c r="D347">
        <f>VLOOKUP(A347,NYSEARCAVEU!A$2:G$506,5,0)</f>
        <v>45.44</v>
      </c>
      <c r="E347">
        <f>VLOOKUP(A347,NYSEARCAVWO!A$2:G$506,5,0)</f>
        <v>37.880000000000003</v>
      </c>
      <c r="F347">
        <f>VLOOKUP(A347,NYSEARCABND!A$2:G$506,5,0)</f>
        <v>83.89</v>
      </c>
      <c r="G347">
        <f>VLOOKUP(A347,NYSEARCATIP!A$2:G$506,5,0)</f>
        <v>116.38</v>
      </c>
      <c r="H347">
        <f>VLOOKUP(A347,NYSEARCAMUB!A$2:G$506,5,0)</f>
        <v>112.49</v>
      </c>
      <c r="I347">
        <f>VLOOKUP(A347,NYSEARCAVNQ!A$2:G$506,5,0)</f>
        <v>85.12</v>
      </c>
      <c r="J347">
        <f>VLOOKUP(A347,NYSEARCARWX!A$2:G$506,5,0)</f>
        <v>41.52</v>
      </c>
      <c r="K347">
        <f>VLOOKUP(A347,NYSEARCADBC!A$2:G$506,5,0)</f>
        <v>15.14</v>
      </c>
      <c r="L347">
        <f>VLOOKUP(A347,NYSEARCAGSG!A$2:G$506,5,0)</f>
        <v>14.92</v>
      </c>
      <c r="M347">
        <f>VLOOKUP(A347,NYSEARCAGLD!A$2:G$506,5,0)</f>
        <v>125.32</v>
      </c>
      <c r="N347">
        <f>VLOOKUP(A347,NYSEBP!A$2:G$506,5,0)</f>
        <v>35.47</v>
      </c>
      <c r="O347">
        <f>VLOOKUP(A347,NASDAQYHOO!A$2:G$506,5,0)</f>
        <v>43.13</v>
      </c>
    </row>
    <row r="348" spans="1:15">
      <c r="A348" s="39">
        <v>42647</v>
      </c>
      <c r="B348">
        <v>71.75</v>
      </c>
      <c r="C348">
        <f>VLOOKUP(A348,NYSEARCAVTI!A$2:G$506,5,0)</f>
        <v>110.49</v>
      </c>
      <c r="D348">
        <f>VLOOKUP(A348,NYSEARCAVEU!A$2:G$506,5,0)</f>
        <v>45.26</v>
      </c>
      <c r="E348">
        <f>VLOOKUP(A348,NYSEARCAVWO!A$2:G$506,5,0)</f>
        <v>37.5</v>
      </c>
      <c r="F348">
        <f>VLOOKUP(A348,NYSEARCABND!A$2:G$506,5,0)</f>
        <v>83.61</v>
      </c>
      <c r="G348">
        <f>VLOOKUP(A348,NYSEARCATIP!A$2:G$506,5,0)</f>
        <v>115.81</v>
      </c>
      <c r="H348">
        <f>VLOOKUP(A348,NYSEARCAMUB!A$2:G$506,5,0)</f>
        <v>112.26</v>
      </c>
      <c r="I348">
        <f>VLOOKUP(A348,NYSEARCAVNQ!A$2:G$506,5,0)</f>
        <v>83.96</v>
      </c>
      <c r="J348">
        <f>VLOOKUP(A348,NYSEARCARWX!A$2:G$506,5,0)</f>
        <v>40.94</v>
      </c>
      <c r="K348">
        <f>VLOOKUP(A348,NYSEARCADBC!A$2:G$506,5,0)</f>
        <v>15.1</v>
      </c>
      <c r="L348">
        <f>VLOOKUP(A348,NYSEARCAGSG!A$2:G$506,5,0)</f>
        <v>14.94</v>
      </c>
      <c r="M348">
        <f>VLOOKUP(A348,NYSEARCAGLD!A$2:G$506,5,0)</f>
        <v>120.97</v>
      </c>
      <c r="N348">
        <f>VLOOKUP(A348,NYSEBP!A$2:G$506,5,0)</f>
        <v>35.68</v>
      </c>
      <c r="O348">
        <f>VLOOKUP(A348,NASDAQYHOO!A$2:G$506,5,0)</f>
        <v>43.18</v>
      </c>
    </row>
    <row r="349" spans="1:15">
      <c r="A349" s="39">
        <v>42648</v>
      </c>
      <c r="B349">
        <v>71.67</v>
      </c>
      <c r="C349">
        <f>VLOOKUP(A349,NYSEARCAVTI!A$2:G$506,5,0)</f>
        <v>110.92</v>
      </c>
      <c r="D349">
        <f>VLOOKUP(A349,NYSEARCAVEU!A$2:G$506,5,0)</f>
        <v>45.59</v>
      </c>
      <c r="E349">
        <f>VLOOKUP(A349,NYSEARCAVWO!A$2:G$506,5,0)</f>
        <v>38.07</v>
      </c>
      <c r="F349">
        <f>VLOOKUP(A349,NYSEARCABND!A$2:G$506,5,0)</f>
        <v>83.47</v>
      </c>
      <c r="G349">
        <f>VLOOKUP(A349,NYSEARCATIP!A$2:G$506,5,0)</f>
        <v>115.62</v>
      </c>
      <c r="H349">
        <f>VLOOKUP(A349,NYSEARCAMUB!A$2:G$506,5,0)</f>
        <v>112.06</v>
      </c>
      <c r="I349">
        <f>VLOOKUP(A349,NYSEARCAVNQ!A$2:G$506,5,0)</f>
        <v>82.26</v>
      </c>
      <c r="J349">
        <f>VLOOKUP(A349,NYSEARCARWX!A$2:G$506,5,0)</f>
        <v>40.39</v>
      </c>
      <c r="K349">
        <f>VLOOKUP(A349,NYSEARCADBC!A$2:G$506,5,0)</f>
        <v>15.19</v>
      </c>
      <c r="L349">
        <f>VLOOKUP(A349,NYSEARCAGSG!A$2:G$506,5,0)</f>
        <v>15.12</v>
      </c>
      <c r="M349">
        <f>VLOOKUP(A349,NYSEARCAGLD!A$2:G$506,5,0)</f>
        <v>120.78</v>
      </c>
      <c r="N349">
        <f>VLOOKUP(A349,NYSEBP!A$2:G$506,5,0)</f>
        <v>36.03</v>
      </c>
      <c r="O349">
        <f>VLOOKUP(A349,NASDAQYHOO!A$2:G$506,5,0)</f>
        <v>43.71</v>
      </c>
    </row>
    <row r="350" spans="1:15">
      <c r="A350" s="39">
        <v>42649</v>
      </c>
      <c r="B350">
        <v>69.36</v>
      </c>
      <c r="C350">
        <f>VLOOKUP(A350,NYSEARCAVTI!A$2:G$506,5,0)</f>
        <v>110.96</v>
      </c>
      <c r="D350">
        <f>VLOOKUP(A350,NYSEARCAVEU!A$2:G$506,5,0)</f>
        <v>45.4</v>
      </c>
      <c r="E350">
        <f>VLOOKUP(A350,NYSEARCAVWO!A$2:G$506,5,0)</f>
        <v>38.07</v>
      </c>
      <c r="F350">
        <f>VLOOKUP(A350,NYSEARCABND!A$2:G$506,5,0)</f>
        <v>83.44</v>
      </c>
      <c r="G350">
        <f>VLOOKUP(A350,NYSEARCATIP!A$2:G$506,5,0)</f>
        <v>115.68</v>
      </c>
      <c r="H350">
        <f>VLOOKUP(A350,NYSEARCAMUB!A$2:G$506,5,0)</f>
        <v>111.96</v>
      </c>
      <c r="I350">
        <f>VLOOKUP(A350,NYSEARCAVNQ!A$2:G$506,5,0)</f>
        <v>82.29</v>
      </c>
      <c r="J350">
        <f>VLOOKUP(A350,NYSEARCARWX!A$2:G$506,5,0)</f>
        <v>39.909999999999997</v>
      </c>
      <c r="K350">
        <f>VLOOKUP(A350,NYSEARCADBC!A$2:G$506,5,0)</f>
        <v>15.22</v>
      </c>
      <c r="L350">
        <f>VLOOKUP(A350,NYSEARCAGSG!A$2:G$506,5,0)</f>
        <v>15.21</v>
      </c>
      <c r="M350">
        <f>VLOOKUP(A350,NYSEARCAGLD!A$2:G$506,5,0)</f>
        <v>119.66</v>
      </c>
      <c r="N350">
        <f>VLOOKUP(A350,NYSEBP!A$2:G$506,5,0)</f>
        <v>35.950000000000003</v>
      </c>
      <c r="O350">
        <f>VLOOKUP(A350,NASDAQYHOO!A$2:G$506,5,0)</f>
        <v>43.68</v>
      </c>
    </row>
    <row r="351" spans="1:15">
      <c r="A351" s="39">
        <v>42650</v>
      </c>
      <c r="B351">
        <v>68.7</v>
      </c>
      <c r="C351">
        <f>VLOOKUP(A351,NYSEARCAVTI!A$2:G$506,5,0)</f>
        <v>110.54</v>
      </c>
      <c r="D351">
        <f>VLOOKUP(A351,NYSEARCAVEU!A$2:G$506,5,0)</f>
        <v>45.14</v>
      </c>
      <c r="E351">
        <f>VLOOKUP(A351,NYSEARCAVWO!A$2:G$506,5,0)</f>
        <v>37.94</v>
      </c>
      <c r="F351">
        <f>VLOOKUP(A351,NYSEARCABND!A$2:G$506,5,0)</f>
        <v>83.51</v>
      </c>
      <c r="G351">
        <f>VLOOKUP(A351,NYSEARCATIP!A$2:G$506,5,0)</f>
        <v>115.65</v>
      </c>
      <c r="H351">
        <f>VLOOKUP(A351,NYSEARCAMUB!A$2:G$506,5,0)</f>
        <v>111.98</v>
      </c>
      <c r="I351">
        <f>VLOOKUP(A351,NYSEARCAVNQ!A$2:G$506,5,0)</f>
        <v>82.15</v>
      </c>
      <c r="J351">
        <f>VLOOKUP(A351,NYSEARCARWX!A$2:G$506,5,0)</f>
        <v>39.56</v>
      </c>
      <c r="K351">
        <f>VLOOKUP(A351,NYSEARCADBC!A$2:G$506,5,0)</f>
        <v>15.18</v>
      </c>
      <c r="L351">
        <f>VLOOKUP(A351,NYSEARCAGSG!A$2:G$506,5,0)</f>
        <v>15.09</v>
      </c>
      <c r="M351">
        <f>VLOOKUP(A351,NYSEARCAGLD!A$2:G$506,5,0)</f>
        <v>119.74</v>
      </c>
      <c r="N351">
        <f>VLOOKUP(A351,NYSEBP!A$2:G$506,5,0)</f>
        <v>36.17</v>
      </c>
      <c r="O351">
        <f>VLOOKUP(A351,NASDAQYHOO!A$2:G$506,5,0)</f>
        <v>43.22</v>
      </c>
    </row>
    <row r="352" spans="1:15">
      <c r="A352" s="39">
        <v>42653</v>
      </c>
      <c r="B352">
        <v>67.98</v>
      </c>
      <c r="C352">
        <f>VLOOKUP(A352,NYSEARCAVTI!A$2:G$506,5,0)</f>
        <v>111.14</v>
      </c>
      <c r="D352">
        <f>VLOOKUP(A352,NYSEARCAVEU!A$2:G$506,5,0)</f>
        <v>45.34</v>
      </c>
      <c r="E352">
        <f>VLOOKUP(A352,NYSEARCAVWO!A$2:G$506,5,0)</f>
        <v>38.200000000000003</v>
      </c>
      <c r="F352">
        <f>VLOOKUP(A352,NYSEARCABND!A$2:G$506,5,0)</f>
        <v>83.42</v>
      </c>
      <c r="G352">
        <f>VLOOKUP(A352,NYSEARCATIP!A$2:G$506,5,0)</f>
        <v>115.49</v>
      </c>
      <c r="H352">
        <f>VLOOKUP(A352,NYSEARCAMUB!A$2:G$506,5,0)</f>
        <v>111.86</v>
      </c>
      <c r="I352">
        <f>VLOOKUP(A352,NYSEARCAVNQ!A$2:G$506,5,0)</f>
        <v>82.66</v>
      </c>
      <c r="J352">
        <f>VLOOKUP(A352,NYSEARCARWX!A$2:G$506,5,0)</f>
        <v>39.56</v>
      </c>
      <c r="K352">
        <f>VLOOKUP(A352,NYSEARCADBC!A$2:G$506,5,0)</f>
        <v>15.35</v>
      </c>
      <c r="L352">
        <f>VLOOKUP(A352,NYSEARCAGSG!A$2:G$506,5,0)</f>
        <v>15.3</v>
      </c>
      <c r="M352">
        <f>VLOOKUP(A352,NYSEARCAGLD!A$2:G$506,5,0)</f>
        <v>120.16</v>
      </c>
      <c r="N352">
        <f>VLOOKUP(A352,NYSEBP!A$2:G$506,5,0)</f>
        <v>36.67</v>
      </c>
      <c r="O352">
        <f>VLOOKUP(A352,NASDAQYHOO!A$2:G$506,5,0)</f>
        <v>43.92</v>
      </c>
    </row>
    <row r="353" spans="1:15">
      <c r="A353" s="39">
        <v>42654</v>
      </c>
      <c r="B353">
        <v>67.39</v>
      </c>
      <c r="C353">
        <f>VLOOKUP(A353,NYSEARCAVTI!A$2:G$506,5,0)</f>
        <v>109.66</v>
      </c>
      <c r="D353">
        <f>VLOOKUP(A353,NYSEARCAVEU!A$2:G$506,5,0)</f>
        <v>44.64</v>
      </c>
      <c r="E353">
        <f>VLOOKUP(A353,NYSEARCAVWO!A$2:G$506,5,0)</f>
        <v>37.49</v>
      </c>
      <c r="F353">
        <f>VLOOKUP(A353,NYSEARCABND!A$2:G$506,5,0)</f>
        <v>83.29</v>
      </c>
      <c r="G353">
        <f>VLOOKUP(A353,NYSEARCATIP!A$2:G$506,5,0)</f>
        <v>115.4</v>
      </c>
      <c r="H353">
        <f>VLOOKUP(A353,NYSEARCAMUB!A$2:G$506,5,0)</f>
        <v>111.74</v>
      </c>
      <c r="I353">
        <f>VLOOKUP(A353,NYSEARCAVNQ!A$2:G$506,5,0)</f>
        <v>81.86</v>
      </c>
      <c r="J353">
        <f>VLOOKUP(A353,NYSEARCARWX!A$2:G$506,5,0)</f>
        <v>38.880000000000003</v>
      </c>
      <c r="K353">
        <f>VLOOKUP(A353,NYSEARCADBC!A$2:G$506,5,0)</f>
        <v>15.26</v>
      </c>
      <c r="L353">
        <f>VLOOKUP(A353,NYSEARCAGSG!A$2:G$506,5,0)</f>
        <v>15.23</v>
      </c>
      <c r="M353">
        <f>VLOOKUP(A353,NYSEARCAGLD!A$2:G$506,5,0)</f>
        <v>119.55</v>
      </c>
      <c r="N353">
        <f>VLOOKUP(A353,NYSEBP!A$2:G$506,5,0)</f>
        <v>35.78</v>
      </c>
      <c r="O353">
        <f>VLOOKUP(A353,NASDAQYHOO!A$2:G$506,5,0)</f>
        <v>42.68</v>
      </c>
    </row>
    <row r="354" spans="1:15">
      <c r="A354" s="39">
        <v>42655</v>
      </c>
      <c r="B354">
        <v>67.459999999999994</v>
      </c>
      <c r="C354">
        <f>VLOOKUP(A354,NYSEARCAVTI!A$2:G$506,5,0)</f>
        <v>109.79</v>
      </c>
      <c r="D354">
        <f>VLOOKUP(A354,NYSEARCAVEU!A$2:G$506,5,0)</f>
        <v>44.61</v>
      </c>
      <c r="E354">
        <f>VLOOKUP(A354,NYSEARCAVWO!A$2:G$506,5,0)</f>
        <v>37.450000000000003</v>
      </c>
      <c r="F354">
        <f>VLOOKUP(A354,NYSEARCABND!A$2:G$506,5,0)</f>
        <v>83.34</v>
      </c>
      <c r="G354">
        <f>VLOOKUP(A354,NYSEARCATIP!A$2:G$506,5,0)</f>
        <v>115.36</v>
      </c>
      <c r="H354">
        <f>VLOOKUP(A354,NYSEARCAMUB!A$2:G$506,5,0)</f>
        <v>111.61</v>
      </c>
      <c r="I354">
        <f>VLOOKUP(A354,NYSEARCAVNQ!A$2:G$506,5,0)</f>
        <v>82.8</v>
      </c>
      <c r="J354">
        <f>VLOOKUP(A354,NYSEARCARWX!A$2:G$506,5,0)</f>
        <v>38.82</v>
      </c>
      <c r="K354">
        <f>VLOOKUP(A354,NYSEARCADBC!A$2:G$506,5,0)</f>
        <v>15.15</v>
      </c>
      <c r="L354">
        <f>VLOOKUP(A354,NYSEARCAGSG!A$2:G$506,5,0)</f>
        <v>15.08</v>
      </c>
      <c r="M354">
        <f>VLOOKUP(A354,NYSEARCAGLD!A$2:G$506,5,0)</f>
        <v>119.74</v>
      </c>
      <c r="N354">
        <f>VLOOKUP(A354,NYSEBP!A$2:G$506,5,0)</f>
        <v>35.79</v>
      </c>
      <c r="O354">
        <f>VLOOKUP(A354,NASDAQYHOO!A$2:G$506,5,0)</f>
        <v>42.36</v>
      </c>
    </row>
    <row r="355" spans="1:15">
      <c r="A355" s="39">
        <v>42656</v>
      </c>
      <c r="B355">
        <v>68.23</v>
      </c>
      <c r="C355">
        <f>VLOOKUP(A355,NYSEARCAVTI!A$2:G$506,5,0)</f>
        <v>109.4</v>
      </c>
      <c r="D355">
        <f>VLOOKUP(A355,NYSEARCAVEU!A$2:G$506,5,0)</f>
        <v>44.37</v>
      </c>
      <c r="E355">
        <f>VLOOKUP(A355,NYSEARCAVWO!A$2:G$506,5,0)</f>
        <v>37.22</v>
      </c>
      <c r="F355">
        <f>VLOOKUP(A355,NYSEARCABND!A$2:G$506,5,0)</f>
        <v>83.44</v>
      </c>
      <c r="G355">
        <f>VLOOKUP(A355,NYSEARCATIP!A$2:G$506,5,0)</f>
        <v>115.54</v>
      </c>
      <c r="H355">
        <f>VLOOKUP(A355,NYSEARCAMUB!A$2:G$506,5,0)</f>
        <v>111.56</v>
      </c>
      <c r="I355">
        <f>VLOOKUP(A355,NYSEARCAVNQ!A$2:G$506,5,0)</f>
        <v>83.45</v>
      </c>
      <c r="J355">
        <f>VLOOKUP(A355,NYSEARCARWX!A$2:G$506,5,0)</f>
        <v>39.24</v>
      </c>
      <c r="K355">
        <f>VLOOKUP(A355,NYSEARCADBC!A$2:G$506,5,0)</f>
        <v>15.25</v>
      </c>
      <c r="L355">
        <f>VLOOKUP(A355,NYSEARCAGSG!A$2:G$506,5,0)</f>
        <v>15.19</v>
      </c>
      <c r="M355">
        <f>VLOOKUP(A355,NYSEARCAGLD!A$2:G$506,5,0)</f>
        <v>120.03</v>
      </c>
      <c r="N355">
        <f>VLOOKUP(A355,NYSEBP!A$2:G$506,5,0)</f>
        <v>35.68</v>
      </c>
      <c r="O355">
        <f>VLOOKUP(A355,NASDAQYHOO!A$2:G$506,5,0)</f>
        <v>41.62</v>
      </c>
    </row>
    <row r="356" spans="1:15">
      <c r="A356" s="39">
        <v>42657</v>
      </c>
      <c r="B356">
        <v>68.45</v>
      </c>
      <c r="C356">
        <f>VLOOKUP(A356,NYSEARCAVTI!A$2:G$506,5,0)</f>
        <v>109.37</v>
      </c>
      <c r="D356">
        <f>VLOOKUP(A356,NYSEARCAVEU!A$2:G$506,5,0)</f>
        <v>44.46</v>
      </c>
      <c r="E356">
        <f>VLOOKUP(A356,NYSEARCAVWO!A$2:G$506,5,0)</f>
        <v>37.32</v>
      </c>
      <c r="F356">
        <f>VLOOKUP(A356,NYSEARCABND!A$2:G$506,5,0)</f>
        <v>83.27</v>
      </c>
      <c r="G356">
        <f>VLOOKUP(A356,NYSEARCATIP!A$2:G$506,5,0)</f>
        <v>115.43</v>
      </c>
      <c r="H356">
        <f>VLOOKUP(A356,NYSEARCAMUB!A$2:G$506,5,0)</f>
        <v>111.41</v>
      </c>
      <c r="I356">
        <f>VLOOKUP(A356,NYSEARCAVNQ!A$2:G$506,5,0)</f>
        <v>83.08</v>
      </c>
      <c r="J356">
        <f>VLOOKUP(A356,NYSEARCARWX!A$2:G$506,5,0)</f>
        <v>39.130000000000003</v>
      </c>
      <c r="K356">
        <f>VLOOKUP(A356,NYSEARCADBC!A$2:G$506,5,0)</f>
        <v>15.26</v>
      </c>
      <c r="L356">
        <f>VLOOKUP(A356,NYSEARCAGSG!A$2:G$506,5,0)</f>
        <v>15.18</v>
      </c>
      <c r="M356">
        <f>VLOOKUP(A356,NYSEARCAGLD!A$2:G$506,5,0)</f>
        <v>119.36</v>
      </c>
      <c r="N356">
        <f>VLOOKUP(A356,NYSEBP!A$2:G$506,5,0)</f>
        <v>35.840000000000003</v>
      </c>
      <c r="O356">
        <f>VLOOKUP(A356,NASDAQYHOO!A$2:G$506,5,0)</f>
        <v>41.44</v>
      </c>
    </row>
    <row r="357" spans="1:15">
      <c r="A357" s="39">
        <v>42660</v>
      </c>
      <c r="B357">
        <v>68.22</v>
      </c>
      <c r="C357">
        <f>VLOOKUP(A357,NYSEARCAVTI!A$2:G$506,5,0)</f>
        <v>109.06</v>
      </c>
      <c r="D357">
        <f>VLOOKUP(A357,NYSEARCAVEU!A$2:G$506,5,0)</f>
        <v>44.38</v>
      </c>
      <c r="E357">
        <f>VLOOKUP(A357,NYSEARCAVWO!A$2:G$506,5,0)</f>
        <v>37.25</v>
      </c>
      <c r="F357">
        <f>VLOOKUP(A357,NYSEARCABND!A$2:G$506,5,0)</f>
        <v>83.45</v>
      </c>
      <c r="G357">
        <f>VLOOKUP(A357,NYSEARCATIP!A$2:G$506,5,0)</f>
        <v>115.95</v>
      </c>
      <c r="H357">
        <f>VLOOKUP(A357,NYSEARCAMUB!A$2:G$506,5,0)</f>
        <v>111.45</v>
      </c>
      <c r="I357">
        <f>VLOOKUP(A357,NYSEARCAVNQ!A$2:G$506,5,0)</f>
        <v>83.26</v>
      </c>
      <c r="J357">
        <f>VLOOKUP(A357,NYSEARCARWX!A$2:G$506,5,0)</f>
        <v>38.92</v>
      </c>
      <c r="K357">
        <f>VLOOKUP(A357,NYSEARCADBC!A$2:G$506,5,0)</f>
        <v>15.28</v>
      </c>
      <c r="L357">
        <f>VLOOKUP(A357,NYSEARCAGSG!A$2:G$506,5,0)</f>
        <v>15.14</v>
      </c>
      <c r="M357">
        <f>VLOOKUP(A357,NYSEARCAGLD!A$2:G$506,5,0)</f>
        <v>119.68</v>
      </c>
      <c r="N357">
        <f>VLOOKUP(A357,NYSEBP!A$2:G$506,5,0)</f>
        <v>35.5</v>
      </c>
      <c r="O357">
        <f>VLOOKUP(A357,NASDAQYHOO!A$2:G$506,5,0)</f>
        <v>41.79</v>
      </c>
    </row>
    <row r="358" spans="1:15">
      <c r="A358" s="39">
        <v>42661</v>
      </c>
      <c r="B358">
        <v>68.87</v>
      </c>
      <c r="C358">
        <f>VLOOKUP(A358,NYSEARCAVTI!A$2:G$506,5,0)</f>
        <v>109.7</v>
      </c>
      <c r="D358">
        <f>VLOOKUP(A358,NYSEARCAVEU!A$2:G$506,5,0)</f>
        <v>44.92</v>
      </c>
      <c r="E358">
        <f>VLOOKUP(A358,NYSEARCAVWO!A$2:G$506,5,0)</f>
        <v>37.909999999999997</v>
      </c>
      <c r="F358">
        <f>VLOOKUP(A358,NYSEARCABND!A$2:G$506,5,0)</f>
        <v>83.56</v>
      </c>
      <c r="G358">
        <f>VLOOKUP(A358,NYSEARCATIP!A$2:G$506,5,0)</f>
        <v>116.02</v>
      </c>
      <c r="H358">
        <f>VLOOKUP(A358,NYSEARCAMUB!A$2:G$506,5,0)</f>
        <v>111.43</v>
      </c>
      <c r="I358">
        <f>VLOOKUP(A358,NYSEARCAVNQ!A$2:G$506,5,0)</f>
        <v>83.79</v>
      </c>
      <c r="J358">
        <f>VLOOKUP(A358,NYSEARCARWX!A$2:G$506,5,0)</f>
        <v>39.409999999999997</v>
      </c>
      <c r="K358">
        <f>VLOOKUP(A358,NYSEARCADBC!A$2:G$506,5,0)</f>
        <v>15.31</v>
      </c>
      <c r="L358">
        <f>VLOOKUP(A358,NYSEARCAGSG!A$2:G$506,5,0)</f>
        <v>15.17</v>
      </c>
      <c r="M358">
        <f>VLOOKUP(A358,NYSEARCAGLD!A$2:G$506,5,0)</f>
        <v>120.42</v>
      </c>
      <c r="N358">
        <f>VLOOKUP(A358,NYSEBP!A$2:G$506,5,0)</f>
        <v>35.979999999999997</v>
      </c>
      <c r="O358">
        <f>VLOOKUP(A358,NASDAQYHOO!A$2:G$506,5,0)</f>
        <v>41.68</v>
      </c>
    </row>
    <row r="359" spans="1:15">
      <c r="A359" s="39">
        <v>42662</v>
      </c>
      <c r="B359">
        <v>68.89</v>
      </c>
      <c r="C359">
        <f>VLOOKUP(A359,NYSEARCAVTI!A$2:G$506,5,0)</f>
        <v>110.05</v>
      </c>
      <c r="D359">
        <f>VLOOKUP(A359,NYSEARCAVEU!A$2:G$506,5,0)</f>
        <v>45.08</v>
      </c>
      <c r="E359">
        <f>VLOOKUP(A359,NYSEARCAVWO!A$2:G$506,5,0)</f>
        <v>38.11</v>
      </c>
      <c r="F359">
        <f>VLOOKUP(A359,NYSEARCABND!A$2:G$506,5,0)</f>
        <v>83.62</v>
      </c>
      <c r="G359">
        <f>VLOOKUP(A359,NYSEARCATIP!A$2:G$506,5,0)</f>
        <v>116.18</v>
      </c>
      <c r="H359">
        <f>VLOOKUP(A359,NYSEARCAMUB!A$2:G$506,5,0)</f>
        <v>111.4</v>
      </c>
      <c r="I359">
        <f>VLOOKUP(A359,NYSEARCAVNQ!A$2:G$506,5,0)</f>
        <v>83.97</v>
      </c>
      <c r="J359">
        <f>VLOOKUP(A359,NYSEARCARWX!A$2:G$506,5,0)</f>
        <v>39.630000000000003</v>
      </c>
      <c r="K359">
        <f>VLOOKUP(A359,NYSEARCADBC!A$2:G$506,5,0)</f>
        <v>15.41</v>
      </c>
      <c r="L359">
        <f>VLOOKUP(A359,NYSEARCAGSG!A$2:G$506,5,0)</f>
        <v>15.31</v>
      </c>
      <c r="M359">
        <f>VLOOKUP(A359,NYSEARCAGLD!A$2:G$506,5,0)</f>
        <v>121.11</v>
      </c>
      <c r="N359">
        <f>VLOOKUP(A359,NYSEBP!A$2:G$506,5,0)</f>
        <v>36.049999999999997</v>
      </c>
      <c r="O359">
        <f>VLOOKUP(A359,NASDAQYHOO!A$2:G$506,5,0)</f>
        <v>42.73</v>
      </c>
    </row>
    <row r="360" spans="1:15">
      <c r="A360" s="39">
        <v>42663</v>
      </c>
      <c r="B360">
        <v>68.73</v>
      </c>
      <c r="C360">
        <f>VLOOKUP(A360,NYSEARCAVTI!A$2:G$506,5,0)</f>
        <v>109.84</v>
      </c>
      <c r="D360">
        <f>VLOOKUP(A360,NYSEARCAVEU!A$2:G$506,5,0)</f>
        <v>45.09</v>
      </c>
      <c r="E360">
        <f>VLOOKUP(A360,NYSEARCAVWO!A$2:G$506,5,0)</f>
        <v>38.06</v>
      </c>
      <c r="F360">
        <f>VLOOKUP(A360,NYSEARCABND!A$2:G$506,5,0)</f>
        <v>83.57</v>
      </c>
      <c r="G360">
        <f>VLOOKUP(A360,NYSEARCATIP!A$2:G$506,5,0)</f>
        <v>116</v>
      </c>
      <c r="H360">
        <f>VLOOKUP(A360,NYSEARCAMUB!A$2:G$506,5,0)</f>
        <v>111.55</v>
      </c>
      <c r="I360">
        <f>VLOOKUP(A360,NYSEARCAVNQ!A$2:G$506,5,0)</f>
        <v>83.78</v>
      </c>
      <c r="J360">
        <f>VLOOKUP(A360,NYSEARCARWX!A$2:G$506,5,0)</f>
        <v>39.729999999999997</v>
      </c>
      <c r="K360">
        <f>VLOOKUP(A360,NYSEARCADBC!A$2:G$506,5,0)</f>
        <v>15.27</v>
      </c>
      <c r="L360">
        <f>VLOOKUP(A360,NYSEARCAGSG!A$2:G$506,5,0)</f>
        <v>15.12</v>
      </c>
      <c r="M360">
        <f>VLOOKUP(A360,NYSEARCAGLD!A$2:G$506,5,0)</f>
        <v>120.74</v>
      </c>
      <c r="N360">
        <f>VLOOKUP(A360,NYSEBP!A$2:G$506,5,0)</f>
        <v>36.049999999999997</v>
      </c>
      <c r="O360">
        <f>VLOOKUP(A360,NASDAQYHOO!A$2:G$506,5,0)</f>
        <v>42.38</v>
      </c>
    </row>
    <row r="361" spans="1:15">
      <c r="A361" s="39">
        <v>42664</v>
      </c>
      <c r="B361">
        <v>68.34</v>
      </c>
      <c r="C361">
        <f>VLOOKUP(A361,NYSEARCAVTI!A$2:G$506,5,0)</f>
        <v>109.8</v>
      </c>
      <c r="D361">
        <f>VLOOKUP(A361,NYSEARCAVEU!A$2:G$506,5,0)</f>
        <v>45</v>
      </c>
      <c r="E361">
        <f>VLOOKUP(A361,NYSEARCAVWO!A$2:G$506,5,0)</f>
        <v>38.07</v>
      </c>
      <c r="F361">
        <f>VLOOKUP(A361,NYSEARCABND!A$2:G$506,5,0)</f>
        <v>83.64</v>
      </c>
      <c r="G361">
        <f>VLOOKUP(A361,NYSEARCATIP!A$2:G$506,5,0)</f>
        <v>116.13</v>
      </c>
      <c r="H361">
        <f>VLOOKUP(A361,NYSEARCAMUB!A$2:G$506,5,0)</f>
        <v>111.56</v>
      </c>
      <c r="I361">
        <f>VLOOKUP(A361,NYSEARCAVNQ!A$2:G$506,5,0)</f>
        <v>83.47</v>
      </c>
      <c r="J361">
        <f>VLOOKUP(A361,NYSEARCARWX!A$2:G$506,5,0)</f>
        <v>39.64</v>
      </c>
      <c r="K361">
        <f>VLOOKUP(A361,NYSEARCADBC!A$2:G$506,5,0)</f>
        <v>15.33</v>
      </c>
      <c r="L361">
        <f>VLOOKUP(A361,NYSEARCAGSG!A$2:G$506,5,0)</f>
        <v>15.2</v>
      </c>
      <c r="M361">
        <f>VLOOKUP(A361,NYSEARCAGLD!A$2:G$506,5,0)</f>
        <v>120.83</v>
      </c>
      <c r="N361">
        <f>VLOOKUP(A361,NYSEBP!A$2:G$506,5,0)</f>
        <v>36.25</v>
      </c>
      <c r="O361">
        <f>VLOOKUP(A361,NASDAQYHOO!A$2:G$506,5,0)</f>
        <v>42.17</v>
      </c>
    </row>
    <row r="362" spans="1:15">
      <c r="A362" s="39">
        <v>42667</v>
      </c>
      <c r="B362">
        <v>69.19</v>
      </c>
      <c r="C362">
        <f>VLOOKUP(A362,NYSEARCAVTI!A$2:G$506,5,0)</f>
        <v>110.35</v>
      </c>
      <c r="D362">
        <f>VLOOKUP(A362,NYSEARCAVEU!A$2:G$506,5,0)</f>
        <v>45.03</v>
      </c>
      <c r="E362">
        <f>VLOOKUP(A362,NYSEARCAVWO!A$2:G$506,5,0)</f>
        <v>38.26</v>
      </c>
      <c r="F362">
        <f>VLOOKUP(A362,NYSEARCABND!A$2:G$506,5,0)</f>
        <v>83.52</v>
      </c>
      <c r="G362">
        <f>VLOOKUP(A362,NYSEARCATIP!A$2:G$506,5,0)</f>
        <v>115.95</v>
      </c>
      <c r="H362">
        <f>VLOOKUP(A362,NYSEARCAMUB!A$2:G$506,5,0)</f>
        <v>111.36</v>
      </c>
      <c r="I362">
        <f>VLOOKUP(A362,NYSEARCAVNQ!A$2:G$506,5,0)</f>
        <v>83.66</v>
      </c>
      <c r="J362">
        <f>VLOOKUP(A362,NYSEARCARWX!A$2:G$506,5,0)</f>
        <v>39.729999999999997</v>
      </c>
      <c r="K362">
        <f>VLOOKUP(A362,NYSEARCADBC!A$2:G$506,5,0)</f>
        <v>15.34</v>
      </c>
      <c r="L362">
        <f>VLOOKUP(A362,NYSEARCAGSG!A$2:G$506,5,0)</f>
        <v>15.19</v>
      </c>
      <c r="M362">
        <f>VLOOKUP(A362,NYSEARCAGLD!A$2:G$506,5,0)</f>
        <v>120.56</v>
      </c>
      <c r="N362">
        <f>VLOOKUP(A362,NYSEBP!A$2:G$506,5,0)</f>
        <v>35.869999999999997</v>
      </c>
      <c r="O362">
        <f>VLOOKUP(A362,NASDAQYHOO!A$2:G$506,5,0)</f>
        <v>42.59</v>
      </c>
    </row>
    <row r="363" spans="1:15">
      <c r="A363" s="39">
        <v>42668</v>
      </c>
      <c r="B363">
        <v>69.36</v>
      </c>
      <c r="C363">
        <f>VLOOKUP(A363,NYSEARCAVTI!A$2:G$506,5,0)</f>
        <v>109.88</v>
      </c>
      <c r="D363">
        <f>VLOOKUP(A363,NYSEARCAVEU!A$2:G$506,5,0)</f>
        <v>45</v>
      </c>
      <c r="E363">
        <f>VLOOKUP(A363,NYSEARCAVWO!A$2:G$506,5,0)</f>
        <v>38.229999999999997</v>
      </c>
      <c r="F363">
        <f>VLOOKUP(A363,NYSEARCABND!A$2:G$506,5,0)</f>
        <v>83.52</v>
      </c>
      <c r="G363">
        <f>VLOOKUP(A363,NYSEARCATIP!A$2:G$506,5,0)</f>
        <v>116.13</v>
      </c>
      <c r="H363">
        <f>VLOOKUP(A363,NYSEARCAMUB!A$2:G$506,5,0)</f>
        <v>111.53</v>
      </c>
      <c r="I363">
        <f>VLOOKUP(A363,NYSEARCAVNQ!A$2:G$506,5,0)</f>
        <v>83.51</v>
      </c>
      <c r="J363">
        <f>VLOOKUP(A363,NYSEARCARWX!A$2:G$506,5,0)</f>
        <v>39.78</v>
      </c>
      <c r="K363">
        <f>VLOOKUP(A363,NYSEARCADBC!A$2:G$506,5,0)</f>
        <v>15.27</v>
      </c>
      <c r="L363">
        <f>VLOOKUP(A363,NYSEARCAGSG!A$2:G$506,5,0)</f>
        <v>15.06</v>
      </c>
      <c r="M363">
        <f>VLOOKUP(A363,NYSEARCAGLD!A$2:G$506,5,0)</f>
        <v>121.47</v>
      </c>
      <c r="N363">
        <f>VLOOKUP(A363,NYSEBP!A$2:G$506,5,0)</f>
        <v>36.04</v>
      </c>
      <c r="O363">
        <f>VLOOKUP(A363,NASDAQYHOO!A$2:G$506,5,0)</f>
        <v>42.55</v>
      </c>
    </row>
    <row r="364" spans="1:15">
      <c r="A364" s="39">
        <v>42669</v>
      </c>
      <c r="B364">
        <v>69.59</v>
      </c>
      <c r="C364">
        <f>VLOOKUP(A364,NYSEARCAVTI!A$2:G$506,5,0)</f>
        <v>109.55</v>
      </c>
      <c r="D364">
        <f>VLOOKUP(A364,NYSEARCAVEU!A$2:G$506,5,0)</f>
        <v>44.72</v>
      </c>
      <c r="E364">
        <f>VLOOKUP(A364,NYSEARCAVWO!A$2:G$506,5,0)</f>
        <v>37.950000000000003</v>
      </c>
      <c r="F364">
        <f>VLOOKUP(A364,NYSEARCABND!A$2:G$506,5,0)</f>
        <v>83.37</v>
      </c>
      <c r="G364">
        <f>VLOOKUP(A364,NYSEARCATIP!A$2:G$506,5,0)</f>
        <v>116.01</v>
      </c>
      <c r="H364">
        <f>VLOOKUP(A364,NYSEARCAMUB!A$2:G$506,5,0)</f>
        <v>111.45</v>
      </c>
      <c r="I364">
        <f>VLOOKUP(A364,NYSEARCAVNQ!A$2:G$506,5,0)</f>
        <v>82.42</v>
      </c>
      <c r="J364">
        <f>VLOOKUP(A364,NYSEARCARWX!A$2:G$506,5,0)</f>
        <v>39.369999999999997</v>
      </c>
      <c r="K364">
        <f>VLOOKUP(A364,NYSEARCADBC!A$2:G$506,5,0)</f>
        <v>15.17</v>
      </c>
      <c r="L364">
        <f>VLOOKUP(A364,NYSEARCAGSG!A$2:G$506,5,0)</f>
        <v>14.96</v>
      </c>
      <c r="M364">
        <f>VLOOKUP(A364,NYSEARCAGLD!A$2:G$506,5,0)</f>
        <v>120.79</v>
      </c>
      <c r="N364">
        <f>VLOOKUP(A364,NYSEBP!A$2:G$506,5,0)</f>
        <v>35.85</v>
      </c>
      <c r="O364">
        <f>VLOOKUP(A364,NASDAQYHOO!A$2:G$506,5,0)</f>
        <v>42.08</v>
      </c>
    </row>
    <row r="365" spans="1:15">
      <c r="A365" s="39">
        <v>42670</v>
      </c>
      <c r="B365">
        <v>69.83</v>
      </c>
      <c r="C365">
        <f>VLOOKUP(A365,NYSEARCAVTI!A$2:G$506,5,0)</f>
        <v>109.18</v>
      </c>
      <c r="D365">
        <f>VLOOKUP(A365,NYSEARCAVEU!A$2:G$506,5,0)</f>
        <v>44.68</v>
      </c>
      <c r="E365">
        <f>VLOOKUP(A365,NYSEARCAVWO!A$2:G$506,5,0)</f>
        <v>37.659999999999997</v>
      </c>
      <c r="F365">
        <f>VLOOKUP(A365,NYSEARCABND!A$2:G$506,5,0)</f>
        <v>83.14</v>
      </c>
      <c r="G365">
        <f>VLOOKUP(A365,NYSEARCATIP!A$2:G$506,5,0)</f>
        <v>115.51</v>
      </c>
      <c r="H365">
        <f>VLOOKUP(A365,NYSEARCAMUB!A$2:G$506,5,0)</f>
        <v>111.26</v>
      </c>
      <c r="I365">
        <f>VLOOKUP(A365,NYSEARCAVNQ!A$2:G$506,5,0)</f>
        <v>80.260000000000005</v>
      </c>
      <c r="J365">
        <f>VLOOKUP(A365,NYSEARCARWX!A$2:G$506,5,0)</f>
        <v>38.93</v>
      </c>
      <c r="K365">
        <f>VLOOKUP(A365,NYSEARCADBC!A$2:G$506,5,0)</f>
        <v>15.26</v>
      </c>
      <c r="L365">
        <f>VLOOKUP(A365,NYSEARCAGSG!A$2:G$506,5,0)</f>
        <v>15.08</v>
      </c>
      <c r="M365">
        <f>VLOOKUP(A365,NYSEARCAGLD!A$2:G$506,5,0)</f>
        <v>121.01</v>
      </c>
      <c r="N365">
        <f>VLOOKUP(A365,NYSEBP!A$2:G$506,5,0)</f>
        <v>36</v>
      </c>
      <c r="O365">
        <f>VLOOKUP(A365,NASDAQYHOO!A$2:G$506,5,0)</f>
        <v>41.87</v>
      </c>
    </row>
    <row r="366" spans="1:15">
      <c r="A366" s="39">
        <v>42671</v>
      </c>
      <c r="B366">
        <v>69.989999999999995</v>
      </c>
      <c r="C366">
        <f>VLOOKUP(A366,NYSEARCAVTI!A$2:G$506,5,0)</f>
        <v>108.82</v>
      </c>
      <c r="D366">
        <f>VLOOKUP(A366,NYSEARCAVEU!A$2:G$506,5,0)</f>
        <v>44.6</v>
      </c>
      <c r="E366">
        <f>VLOOKUP(A366,NYSEARCAVWO!A$2:G$506,5,0)</f>
        <v>37.450000000000003</v>
      </c>
      <c r="F366">
        <f>VLOOKUP(A366,NYSEARCABND!A$2:G$506,5,0)</f>
        <v>83.1</v>
      </c>
      <c r="G366">
        <f>VLOOKUP(A366,NYSEARCATIP!A$2:G$506,5,0)</f>
        <v>115.64</v>
      </c>
      <c r="H366">
        <f>VLOOKUP(A366,NYSEARCAMUB!A$2:G$506,5,0)</f>
        <v>111.38</v>
      </c>
      <c r="I366">
        <f>VLOOKUP(A366,NYSEARCAVNQ!A$2:G$506,5,0)</f>
        <v>80.45</v>
      </c>
      <c r="J366">
        <f>VLOOKUP(A366,NYSEARCARWX!A$2:G$506,5,0)</f>
        <v>38.69</v>
      </c>
      <c r="K366">
        <f>VLOOKUP(A366,NYSEARCADBC!A$2:G$506,5,0)</f>
        <v>15.16</v>
      </c>
      <c r="L366">
        <f>VLOOKUP(A366,NYSEARCAGSG!A$2:G$506,5,0)</f>
        <v>14.96</v>
      </c>
      <c r="M366">
        <f>VLOOKUP(A366,NYSEARCAGLD!A$2:G$506,5,0)</f>
        <v>121.58</v>
      </c>
      <c r="N366">
        <f>VLOOKUP(A366,NYSEBP!A$2:G$506,5,0)</f>
        <v>35.68</v>
      </c>
      <c r="O366">
        <f>VLOOKUP(A366,NASDAQYHOO!A$2:G$506,5,0)</f>
        <v>41.78</v>
      </c>
    </row>
    <row r="367" spans="1:15">
      <c r="A367" s="39">
        <v>42674</v>
      </c>
      <c r="B367">
        <v>70.02</v>
      </c>
      <c r="C367">
        <f>VLOOKUP(A367,NYSEARCAVTI!A$2:G$506,5,0)</f>
        <v>108.89</v>
      </c>
      <c r="D367">
        <f>VLOOKUP(A367,NYSEARCAVEU!A$2:G$506,5,0)</f>
        <v>44.66</v>
      </c>
      <c r="E367">
        <f>VLOOKUP(A367,NYSEARCAVWO!A$2:G$506,5,0)</f>
        <v>37.75</v>
      </c>
      <c r="F367">
        <f>VLOOKUP(A367,NYSEARCABND!A$2:G$506,5,0)</f>
        <v>83.19</v>
      </c>
      <c r="G367">
        <f>VLOOKUP(A367,NYSEARCATIP!A$2:G$506,5,0)</f>
        <v>115.86</v>
      </c>
      <c r="H367">
        <f>VLOOKUP(A367,NYSEARCAMUB!A$2:G$506,5,0)</f>
        <v>111.46</v>
      </c>
      <c r="I367">
        <f>VLOOKUP(A367,NYSEARCAVNQ!A$2:G$506,5,0)</f>
        <v>81.760000000000005</v>
      </c>
      <c r="J367">
        <f>VLOOKUP(A367,NYSEARCARWX!A$2:G$506,5,0)</f>
        <v>38.979999999999997</v>
      </c>
      <c r="K367">
        <f>VLOOKUP(A367,NYSEARCADBC!A$2:G$506,5,0)</f>
        <v>14.96</v>
      </c>
      <c r="L367">
        <f>VLOOKUP(A367,NYSEARCAGSG!A$2:G$506,5,0)</f>
        <v>14.56</v>
      </c>
      <c r="M367">
        <f>VLOOKUP(A367,NYSEARCAGLD!A$2:G$506,5,0)</f>
        <v>121.94</v>
      </c>
      <c r="N367">
        <f>VLOOKUP(A367,NYSEBP!A$2:G$506,5,0)</f>
        <v>35.549999999999997</v>
      </c>
      <c r="O367">
        <f>VLOOKUP(A367,NASDAQYHOO!A$2:G$506,5,0)</f>
        <v>41.55</v>
      </c>
    </row>
    <row r="368" spans="1:15">
      <c r="A368" s="39">
        <v>42675</v>
      </c>
      <c r="B368">
        <v>69.3</v>
      </c>
      <c r="C368">
        <f>VLOOKUP(A368,NYSEARCAVTI!A$2:G$506,5,0)</f>
        <v>108.08</v>
      </c>
      <c r="D368">
        <f>VLOOKUP(A368,NYSEARCAVEU!A$2:G$506,5,0)</f>
        <v>44.48</v>
      </c>
      <c r="E368">
        <f>VLOOKUP(A368,NYSEARCAVWO!A$2:G$506,5,0)</f>
        <v>37.47</v>
      </c>
      <c r="F368">
        <f>VLOOKUP(A368,NYSEARCABND!A$2:G$506,5,0)</f>
        <v>83</v>
      </c>
      <c r="G368">
        <f>VLOOKUP(A368,NYSEARCATIP!A$2:G$506,5,0)</f>
        <v>115.87</v>
      </c>
      <c r="H368">
        <f>VLOOKUP(A368,NYSEARCAMUB!A$2:G$506,5,0)</f>
        <v>111.15</v>
      </c>
      <c r="I368">
        <f>VLOOKUP(A368,NYSEARCAVNQ!A$2:G$506,5,0)</f>
        <v>79.98</v>
      </c>
      <c r="J368">
        <f>VLOOKUP(A368,NYSEARCARWX!A$2:G$506,5,0)</f>
        <v>38.83</v>
      </c>
      <c r="K368">
        <f>VLOOKUP(A368,NYSEARCADBC!A$2:G$506,5,0)</f>
        <v>15.03</v>
      </c>
      <c r="L368">
        <f>VLOOKUP(A368,NYSEARCAGSG!A$2:G$506,5,0)</f>
        <v>14.59</v>
      </c>
      <c r="M368">
        <f>VLOOKUP(A368,NYSEARCAGLD!A$2:G$506,5,0)</f>
        <v>122.73</v>
      </c>
      <c r="N368">
        <f>VLOOKUP(A368,NYSEBP!A$2:G$506,5,0)</f>
        <v>34.11</v>
      </c>
      <c r="O368">
        <f>VLOOKUP(A368,NASDAQYHOO!A$2:G$506,5,0)</f>
        <v>41.33</v>
      </c>
    </row>
    <row r="369" spans="1:15">
      <c r="A369" s="39">
        <v>42676</v>
      </c>
      <c r="B369">
        <v>69.45</v>
      </c>
      <c r="C369">
        <f>VLOOKUP(A369,NYSEARCAVTI!A$2:G$506,5,0)</f>
        <v>107.33</v>
      </c>
      <c r="D369">
        <f>VLOOKUP(A369,NYSEARCAVEU!A$2:G$506,5,0)</f>
        <v>44.13</v>
      </c>
      <c r="E369">
        <f>VLOOKUP(A369,NYSEARCAVWO!A$2:G$506,5,0)</f>
        <v>37.04</v>
      </c>
      <c r="F369">
        <f>VLOOKUP(A369,NYSEARCABND!A$2:G$506,5,0)</f>
        <v>83.08</v>
      </c>
      <c r="G369">
        <f>VLOOKUP(A369,NYSEARCATIP!A$2:G$506,5,0)</f>
        <v>115.92</v>
      </c>
      <c r="H369">
        <f>VLOOKUP(A369,NYSEARCAMUB!A$2:G$506,5,0)</f>
        <v>111.38</v>
      </c>
      <c r="I369">
        <f>VLOOKUP(A369,NYSEARCAVNQ!A$2:G$506,5,0)</f>
        <v>78.81</v>
      </c>
      <c r="J369">
        <f>VLOOKUP(A369,NYSEARCARWX!A$2:G$506,5,0)</f>
        <v>38.86</v>
      </c>
      <c r="K369">
        <f>VLOOKUP(A369,NYSEARCADBC!A$2:G$506,5,0)</f>
        <v>14.85</v>
      </c>
      <c r="L369">
        <f>VLOOKUP(A369,NYSEARCAGSG!A$2:G$506,5,0)</f>
        <v>14.36</v>
      </c>
      <c r="M369">
        <f>VLOOKUP(A369,NYSEARCAGLD!A$2:G$506,5,0)</f>
        <v>123.64</v>
      </c>
      <c r="N369">
        <f>VLOOKUP(A369,NYSEBP!A$2:G$506,5,0)</f>
        <v>34.01</v>
      </c>
      <c r="O369">
        <f>VLOOKUP(A369,NASDAQYHOO!A$2:G$506,5,0)</f>
        <v>40.68</v>
      </c>
    </row>
    <row r="370" spans="1:15">
      <c r="A370" s="39">
        <v>42677</v>
      </c>
      <c r="B370">
        <v>69.63</v>
      </c>
      <c r="C370">
        <f>VLOOKUP(A370,NYSEARCAVTI!A$2:G$506,5,0)</f>
        <v>106.86</v>
      </c>
      <c r="D370">
        <f>VLOOKUP(A370,NYSEARCAVEU!A$2:G$506,5,0)</f>
        <v>44.06</v>
      </c>
      <c r="E370">
        <f>VLOOKUP(A370,NYSEARCAVWO!A$2:G$506,5,0)</f>
        <v>36.950000000000003</v>
      </c>
      <c r="F370">
        <f>VLOOKUP(A370,NYSEARCABND!A$2:G$506,5,0)</f>
        <v>83.03</v>
      </c>
      <c r="G370">
        <f>VLOOKUP(A370,NYSEARCATIP!A$2:G$506,5,0)</f>
        <v>115.59</v>
      </c>
      <c r="H370">
        <f>VLOOKUP(A370,NYSEARCAMUB!A$2:G$506,5,0)</f>
        <v>111.42</v>
      </c>
      <c r="I370">
        <f>VLOOKUP(A370,NYSEARCAVNQ!A$2:G$506,5,0)</f>
        <v>78.2</v>
      </c>
      <c r="J370">
        <f>VLOOKUP(A370,NYSEARCARWX!A$2:G$506,5,0)</f>
        <v>38.96</v>
      </c>
      <c r="K370">
        <f>VLOOKUP(A370,NYSEARCADBC!A$2:G$506,5,0)</f>
        <v>14.8</v>
      </c>
      <c r="L370">
        <f>VLOOKUP(A370,NYSEARCAGSG!A$2:G$506,5,0)</f>
        <v>14.23</v>
      </c>
      <c r="M370">
        <f>VLOOKUP(A370,NYSEARCAGLD!A$2:G$506,5,0)</f>
        <v>124.3</v>
      </c>
      <c r="N370">
        <f>VLOOKUP(A370,NYSEBP!A$2:G$506,5,0)</f>
        <v>33.840000000000003</v>
      </c>
      <c r="O370">
        <f>VLOOKUP(A370,NASDAQYHOO!A$2:G$506,5,0)</f>
        <v>40.229999999999997</v>
      </c>
    </row>
    <row r="371" spans="1:15">
      <c r="A371" s="39">
        <v>42678</v>
      </c>
      <c r="B371">
        <v>69.16</v>
      </c>
      <c r="C371">
        <f>VLOOKUP(A371,NYSEARCAVTI!A$2:G$506,5,0)</f>
        <v>106.79</v>
      </c>
      <c r="D371">
        <f>VLOOKUP(A371,NYSEARCAVEU!A$2:G$506,5,0)</f>
        <v>43.66</v>
      </c>
      <c r="E371">
        <f>VLOOKUP(A371,NYSEARCAVWO!A$2:G$506,5,0)</f>
        <v>36.56</v>
      </c>
      <c r="F371">
        <f>VLOOKUP(A371,NYSEARCABND!A$2:G$506,5,0)</f>
        <v>83.18</v>
      </c>
      <c r="G371">
        <f>VLOOKUP(A371,NYSEARCATIP!A$2:G$506,5,0)</f>
        <v>115.89</v>
      </c>
      <c r="H371">
        <f>VLOOKUP(A371,NYSEARCAMUB!A$2:G$506,5,0)</f>
        <v>111.47</v>
      </c>
      <c r="I371">
        <f>VLOOKUP(A371,NYSEARCAVNQ!A$2:G$506,5,0)</f>
        <v>78.819999999999993</v>
      </c>
      <c r="J371">
        <f>VLOOKUP(A371,NYSEARCARWX!A$2:G$506,5,0)</f>
        <v>38.659999999999997</v>
      </c>
      <c r="K371">
        <f>VLOOKUP(A371,NYSEARCADBC!A$2:G$506,5,0)</f>
        <v>14.7</v>
      </c>
      <c r="L371">
        <f>VLOOKUP(A371,NYSEARCAGSG!A$2:G$506,5,0)</f>
        <v>14.11</v>
      </c>
      <c r="M371">
        <f>VLOOKUP(A371,NYSEARCAGLD!A$2:G$506,5,0)</f>
        <v>124.39</v>
      </c>
      <c r="N371">
        <f>VLOOKUP(A371,NYSEBP!A$2:G$506,5,0)</f>
        <v>33.54</v>
      </c>
      <c r="O371">
        <f>VLOOKUP(A371,NASDAQYHOO!A$2:G$506,5,0)</f>
        <v>40.28</v>
      </c>
    </row>
    <row r="372" spans="1:15">
      <c r="A372" s="39">
        <v>42681</v>
      </c>
      <c r="B372">
        <v>69.78</v>
      </c>
      <c r="C372">
        <f>VLOOKUP(A372,NYSEARCAVTI!A$2:G$506,5,0)</f>
        <v>109.15</v>
      </c>
      <c r="D372">
        <f>VLOOKUP(A372,NYSEARCAVEU!A$2:G$506,5,0)</f>
        <v>44.47</v>
      </c>
      <c r="E372">
        <f>VLOOKUP(A372,NYSEARCAVWO!A$2:G$506,5,0)</f>
        <v>37.799999999999997</v>
      </c>
      <c r="F372">
        <f>VLOOKUP(A372,NYSEARCABND!A$2:G$506,5,0)</f>
        <v>83.07</v>
      </c>
      <c r="G372">
        <f>VLOOKUP(A372,NYSEARCATIP!A$2:G$506,5,0)</f>
        <v>115.83</v>
      </c>
      <c r="H372">
        <f>VLOOKUP(A372,NYSEARCAMUB!A$2:G$506,5,0)</f>
        <v>111.38</v>
      </c>
      <c r="I372">
        <f>VLOOKUP(A372,NYSEARCAVNQ!A$2:G$506,5,0)</f>
        <v>80.2</v>
      </c>
      <c r="J372">
        <f>VLOOKUP(A372,NYSEARCARWX!A$2:G$506,5,0)</f>
        <v>39.020000000000003</v>
      </c>
      <c r="K372">
        <f>VLOOKUP(A372,NYSEARCADBC!A$2:G$506,5,0)</f>
        <v>14.76</v>
      </c>
      <c r="L372">
        <f>VLOOKUP(A372,NYSEARCAGSG!A$2:G$506,5,0)</f>
        <v>14.23</v>
      </c>
      <c r="M372">
        <f>VLOOKUP(A372,NYSEARCAGLD!A$2:G$506,5,0)</f>
        <v>122.15</v>
      </c>
      <c r="N372">
        <f>VLOOKUP(A372,NYSEBP!A$2:G$506,5,0)</f>
        <v>34.020000000000003</v>
      </c>
      <c r="O372">
        <f>VLOOKUP(A372,NASDAQYHOO!A$2:G$506,5,0)</f>
        <v>41.05</v>
      </c>
    </row>
    <row r="373" spans="1:15">
      <c r="A373" s="39">
        <v>42682</v>
      </c>
      <c r="B373">
        <v>69.790000000000006</v>
      </c>
      <c r="C373">
        <f>VLOOKUP(A373,NYSEARCAVTI!A$2:G$506,5,0)</f>
        <v>109.62</v>
      </c>
      <c r="D373">
        <f>VLOOKUP(A373,NYSEARCAVEU!A$2:G$506,5,0)</f>
        <v>44.6</v>
      </c>
      <c r="E373">
        <f>VLOOKUP(A373,NYSEARCAVWO!A$2:G$506,5,0)</f>
        <v>37.979999999999997</v>
      </c>
      <c r="F373">
        <f>VLOOKUP(A373,NYSEARCABND!A$2:G$506,5,0)</f>
        <v>82.92</v>
      </c>
      <c r="G373">
        <f>VLOOKUP(A373,NYSEARCATIP!A$2:G$506,5,0)</f>
        <v>115.63</v>
      </c>
      <c r="H373">
        <f>VLOOKUP(A373,NYSEARCAMUB!A$2:G$506,5,0)</f>
        <v>111.33</v>
      </c>
      <c r="I373">
        <f>VLOOKUP(A373,NYSEARCAVNQ!A$2:G$506,5,0)</f>
        <v>80.62</v>
      </c>
      <c r="J373">
        <f>VLOOKUP(A373,NYSEARCARWX!A$2:G$506,5,0)</f>
        <v>39.119999999999997</v>
      </c>
      <c r="K373">
        <f>VLOOKUP(A373,NYSEARCADBC!A$2:G$506,5,0)</f>
        <v>14.74</v>
      </c>
      <c r="L373">
        <f>VLOOKUP(A373,NYSEARCAGSG!A$2:G$506,5,0)</f>
        <v>14.19</v>
      </c>
      <c r="M373">
        <f>VLOOKUP(A373,NYSEARCAGLD!A$2:G$506,5,0)</f>
        <v>121.64</v>
      </c>
      <c r="N373">
        <f>VLOOKUP(A373,NYSEBP!A$2:G$506,5,0)</f>
        <v>33.479999999999997</v>
      </c>
      <c r="O373">
        <f>VLOOKUP(A373,NASDAQYHOO!A$2:G$506,5,0)</f>
        <v>41.16</v>
      </c>
    </row>
    <row r="374" spans="1:15">
      <c r="A374" s="39">
        <v>42683</v>
      </c>
      <c r="B374">
        <v>71.099999999999994</v>
      </c>
      <c r="C374">
        <f>VLOOKUP(A374,NYSEARCAVTI!A$2:G$506,5,0)</f>
        <v>111</v>
      </c>
      <c r="D374">
        <f>VLOOKUP(A374,NYSEARCAVEU!A$2:G$506,5,0)</f>
        <v>44.35</v>
      </c>
      <c r="E374">
        <f>VLOOKUP(A374,NYSEARCAVWO!A$2:G$506,5,0)</f>
        <v>36.979999999999997</v>
      </c>
      <c r="F374">
        <f>VLOOKUP(A374,NYSEARCABND!A$2:G$506,5,0)</f>
        <v>82.1</v>
      </c>
      <c r="G374">
        <f>VLOOKUP(A374,NYSEARCATIP!A$2:G$506,5,0)</f>
        <v>114.77</v>
      </c>
      <c r="H374">
        <f>VLOOKUP(A374,NYSEARCAMUB!A$2:G$506,5,0)</f>
        <v>110.41</v>
      </c>
      <c r="I374">
        <f>VLOOKUP(A374,NYSEARCAVNQ!A$2:G$506,5,0)</f>
        <v>79.400000000000006</v>
      </c>
      <c r="J374">
        <f>VLOOKUP(A374,NYSEARCARWX!A$2:G$506,5,0)</f>
        <v>38.950000000000003</v>
      </c>
      <c r="K374">
        <f>VLOOKUP(A374,NYSEARCADBC!A$2:G$506,5,0)</f>
        <v>14.81</v>
      </c>
      <c r="L374">
        <f>VLOOKUP(A374,NYSEARCAGSG!A$2:G$506,5,0)</f>
        <v>14.31</v>
      </c>
      <c r="M374">
        <f>VLOOKUP(A374,NYSEARCAGLD!A$2:G$506,5,0)</f>
        <v>121.56</v>
      </c>
      <c r="N374">
        <f>VLOOKUP(A374,NYSEBP!A$2:G$506,5,0)</f>
        <v>33.840000000000003</v>
      </c>
      <c r="O374">
        <f>VLOOKUP(A374,NASDAQYHOO!A$2:G$506,5,0)</f>
        <v>41.21</v>
      </c>
    </row>
    <row r="375" spans="1:15">
      <c r="A375" s="39">
        <v>42684</v>
      </c>
      <c r="B375">
        <v>71.39</v>
      </c>
      <c r="C375">
        <f>VLOOKUP(A375,NYSEARCAVTI!A$2:G$506,5,0)</f>
        <v>111.37</v>
      </c>
      <c r="D375">
        <f>VLOOKUP(A375,NYSEARCAVEU!A$2:G$506,5,0)</f>
        <v>44.03</v>
      </c>
      <c r="E375">
        <f>VLOOKUP(A375,NYSEARCAVWO!A$2:G$506,5,0)</f>
        <v>35.909999999999997</v>
      </c>
      <c r="F375">
        <f>VLOOKUP(A375,NYSEARCABND!A$2:G$506,5,0)</f>
        <v>81.75</v>
      </c>
      <c r="G375">
        <f>VLOOKUP(A375,NYSEARCATIP!A$2:G$506,5,0)</f>
        <v>114.57</v>
      </c>
      <c r="H375">
        <f>VLOOKUP(A375,NYSEARCAMUB!A$2:G$506,5,0)</f>
        <v>109.83</v>
      </c>
      <c r="I375">
        <f>VLOOKUP(A375,NYSEARCAVNQ!A$2:G$506,5,0)</f>
        <v>78.069999999999993</v>
      </c>
      <c r="J375">
        <f>VLOOKUP(A375,NYSEARCARWX!A$2:G$506,5,0)</f>
        <v>37.9</v>
      </c>
      <c r="K375">
        <f>VLOOKUP(A375,NYSEARCADBC!A$2:G$506,5,0)</f>
        <v>14.69</v>
      </c>
      <c r="L375">
        <f>VLOOKUP(A375,NYSEARCAGSG!A$2:G$506,5,0)</f>
        <v>14.14</v>
      </c>
      <c r="M375">
        <f>VLOOKUP(A375,NYSEARCAGLD!A$2:G$506,5,0)</f>
        <v>119.75</v>
      </c>
      <c r="N375">
        <f>VLOOKUP(A375,NYSEBP!A$2:G$506,5,0)</f>
        <v>33.94</v>
      </c>
      <c r="O375">
        <f>VLOOKUP(A375,NASDAQYHOO!A$2:G$506,5,0)</f>
        <v>40.159999999999997</v>
      </c>
    </row>
    <row r="376" spans="1:15">
      <c r="A376" s="39">
        <v>42685</v>
      </c>
      <c r="B376">
        <v>71.23</v>
      </c>
      <c r="C376">
        <f>VLOOKUP(A376,NYSEARCAVTI!A$2:G$506,5,0)</f>
        <v>111.41</v>
      </c>
      <c r="D376">
        <f>VLOOKUP(A376,NYSEARCAVEU!A$2:G$506,5,0)</f>
        <v>43.63</v>
      </c>
      <c r="E376">
        <f>VLOOKUP(A376,NYSEARCAVWO!A$2:G$506,5,0)</f>
        <v>35.25</v>
      </c>
      <c r="F376">
        <f>VLOOKUP(A376,NYSEARCABND!A$2:G$506,5,0)</f>
        <v>81.599999999999994</v>
      </c>
      <c r="G376">
        <f>VLOOKUP(A376,NYSEARCATIP!A$2:G$506,5,0)</f>
        <v>114.25</v>
      </c>
      <c r="H376">
        <f>VLOOKUP(A376,NYSEARCAMUB!A$2:G$506,5,0)</f>
        <v>109.62</v>
      </c>
      <c r="I376">
        <f>VLOOKUP(A376,NYSEARCAVNQ!A$2:G$506,5,0)</f>
        <v>78.540000000000006</v>
      </c>
      <c r="J376">
        <f>VLOOKUP(A376,NYSEARCARWX!A$2:G$506,5,0)</f>
        <v>37.61</v>
      </c>
      <c r="K376">
        <f>VLOOKUP(A376,NYSEARCADBC!A$2:G$506,5,0)</f>
        <v>14.41</v>
      </c>
      <c r="L376">
        <f>VLOOKUP(A376,NYSEARCAGSG!A$2:G$506,5,0)</f>
        <v>13.91</v>
      </c>
      <c r="M376">
        <f>VLOOKUP(A376,NYSEARCAGLD!A$2:G$506,5,0)</f>
        <v>117.1</v>
      </c>
      <c r="N376">
        <f>VLOOKUP(A376,NYSEBP!A$2:G$506,5,0)</f>
        <v>33.18</v>
      </c>
      <c r="O376">
        <f>VLOOKUP(A376,NASDAQYHOO!A$2:G$506,5,0)</f>
        <v>40.42</v>
      </c>
    </row>
    <row r="377" spans="1:15">
      <c r="A377" s="39">
        <v>42688</v>
      </c>
      <c r="B377">
        <v>70.489999999999995</v>
      </c>
      <c r="C377">
        <f>VLOOKUP(A377,NYSEARCAVTI!A$2:G$506,5,0)</f>
        <v>111.7</v>
      </c>
      <c r="D377">
        <f>VLOOKUP(A377,NYSEARCAVEU!A$2:G$506,5,0)</f>
        <v>43.32</v>
      </c>
      <c r="E377">
        <f>VLOOKUP(A377,NYSEARCAVWO!A$2:G$506,5,0)</f>
        <v>35.08</v>
      </c>
      <c r="F377">
        <f>VLOOKUP(A377,NYSEARCABND!A$2:G$506,5,0)</f>
        <v>81.290000000000006</v>
      </c>
      <c r="G377">
        <f>VLOOKUP(A377,NYSEARCATIP!A$2:G$506,5,0)</f>
        <v>113.37</v>
      </c>
      <c r="H377">
        <f>VLOOKUP(A377,NYSEARCAMUB!A$2:G$506,5,0)</f>
        <v>108.41</v>
      </c>
      <c r="I377">
        <f>VLOOKUP(A377,NYSEARCAVNQ!A$2:G$506,5,0)</f>
        <v>80.400000000000006</v>
      </c>
      <c r="J377">
        <f>VLOOKUP(A377,NYSEARCARWX!A$2:G$506,5,0)</f>
        <v>37.14</v>
      </c>
      <c r="K377">
        <f>VLOOKUP(A377,NYSEARCADBC!A$2:G$506,5,0)</f>
        <v>14.38</v>
      </c>
      <c r="L377">
        <f>VLOOKUP(A377,NYSEARCAGSG!A$2:G$506,5,0)</f>
        <v>13.9</v>
      </c>
      <c r="M377">
        <f>VLOOKUP(A377,NYSEARCAGLD!A$2:G$506,5,0)</f>
        <v>116.11</v>
      </c>
      <c r="N377">
        <f>VLOOKUP(A377,NYSEBP!A$2:G$506,5,0)</f>
        <v>32.979999999999997</v>
      </c>
      <c r="O377">
        <f>VLOOKUP(A377,NASDAQYHOO!A$2:G$506,5,0)</f>
        <v>39.299999999999997</v>
      </c>
    </row>
    <row r="378" spans="1:15">
      <c r="A378" s="39">
        <v>42689</v>
      </c>
      <c r="B378">
        <v>71.42</v>
      </c>
      <c r="C378">
        <f>VLOOKUP(A378,NYSEARCAVTI!A$2:G$506,5,0)</f>
        <v>112.57</v>
      </c>
      <c r="D378">
        <f>VLOOKUP(A378,NYSEARCAVEU!A$2:G$506,5,0)</f>
        <v>43.68</v>
      </c>
      <c r="E378">
        <f>VLOOKUP(A378,NYSEARCAVWO!A$2:G$506,5,0)</f>
        <v>35.74</v>
      </c>
      <c r="F378">
        <f>VLOOKUP(A378,NYSEARCABND!A$2:G$506,5,0)</f>
        <v>81.400000000000006</v>
      </c>
      <c r="G378">
        <f>VLOOKUP(A378,NYSEARCATIP!A$2:G$506,5,0)</f>
        <v>113.44</v>
      </c>
      <c r="H378">
        <f>VLOOKUP(A378,NYSEARCAMUB!A$2:G$506,5,0)</f>
        <v>108.81</v>
      </c>
      <c r="I378">
        <f>VLOOKUP(A378,NYSEARCAVNQ!A$2:G$506,5,0)</f>
        <v>79.73</v>
      </c>
      <c r="J378">
        <f>VLOOKUP(A378,NYSEARCARWX!A$2:G$506,5,0)</f>
        <v>37.4</v>
      </c>
      <c r="K378">
        <f>VLOOKUP(A378,NYSEARCADBC!A$2:G$506,5,0)</f>
        <v>14.7</v>
      </c>
      <c r="L378">
        <f>VLOOKUP(A378,NYSEARCAGSG!A$2:G$506,5,0)</f>
        <v>14.25</v>
      </c>
      <c r="M378">
        <f>VLOOKUP(A378,NYSEARCAGLD!A$2:G$506,5,0)</f>
        <v>117.12</v>
      </c>
      <c r="N378">
        <f>VLOOKUP(A378,NYSEBP!A$2:G$506,5,0)</f>
        <v>33.61</v>
      </c>
      <c r="O378">
        <f>VLOOKUP(A378,NASDAQYHOO!A$2:G$506,5,0)</f>
        <v>40.21</v>
      </c>
    </row>
    <row r="379" spans="1:15">
      <c r="A379" s="39">
        <v>42690</v>
      </c>
      <c r="B379">
        <v>71.39</v>
      </c>
      <c r="C379">
        <f>VLOOKUP(A379,NYSEARCAVTI!A$2:G$506,5,0)</f>
        <v>112.41</v>
      </c>
      <c r="D379">
        <f>VLOOKUP(A379,NYSEARCAVEU!A$2:G$506,5,0)</f>
        <v>43.27</v>
      </c>
      <c r="E379">
        <f>VLOOKUP(A379,NYSEARCAVWO!A$2:G$506,5,0)</f>
        <v>35.450000000000003</v>
      </c>
      <c r="F379">
        <f>VLOOKUP(A379,NYSEARCABND!A$2:G$506,5,0)</f>
        <v>81.569999999999993</v>
      </c>
      <c r="G379">
        <f>VLOOKUP(A379,NYSEARCATIP!A$2:G$506,5,0)</f>
        <v>113.68</v>
      </c>
      <c r="H379">
        <f>VLOOKUP(A379,NYSEARCAMUB!A$2:G$506,5,0)</f>
        <v>108.56</v>
      </c>
      <c r="I379">
        <f>VLOOKUP(A379,NYSEARCAVNQ!A$2:G$506,5,0)</f>
        <v>79.5</v>
      </c>
      <c r="J379">
        <f>VLOOKUP(A379,NYSEARCARWX!A$2:G$506,5,0)</f>
        <v>36.909999999999997</v>
      </c>
      <c r="K379">
        <f>VLOOKUP(A379,NYSEARCADBC!A$2:G$506,5,0)</f>
        <v>14.52</v>
      </c>
      <c r="L379">
        <f>VLOOKUP(A379,NYSEARCAGSG!A$2:G$506,5,0)</f>
        <v>14.13</v>
      </c>
      <c r="M379">
        <f>VLOOKUP(A379,NYSEARCAGLD!A$2:G$506,5,0)</f>
        <v>116.77</v>
      </c>
      <c r="N379">
        <f>VLOOKUP(A379,NYSEBP!A$2:G$506,5,0)</f>
        <v>33.299999999999997</v>
      </c>
      <c r="O379">
        <f>VLOOKUP(A379,NASDAQYHOO!A$2:G$506,5,0)</f>
        <v>40.98</v>
      </c>
    </row>
    <row r="380" spans="1:15">
      <c r="A380" s="39">
        <v>42691</v>
      </c>
      <c r="B380">
        <v>69.19</v>
      </c>
      <c r="C380">
        <f>VLOOKUP(A380,NYSEARCAVTI!A$2:G$506,5,0)</f>
        <v>112.98</v>
      </c>
      <c r="D380">
        <f>VLOOKUP(A380,NYSEARCAVEU!A$2:G$506,5,0)</f>
        <v>43.48</v>
      </c>
      <c r="E380">
        <f>VLOOKUP(A380,NYSEARCAVWO!A$2:G$506,5,0)</f>
        <v>35.46</v>
      </c>
      <c r="F380">
        <f>VLOOKUP(A380,NYSEARCABND!A$2:G$506,5,0)</f>
        <v>81.239999999999995</v>
      </c>
      <c r="G380">
        <f>VLOOKUP(A380,NYSEARCATIP!A$2:G$506,5,0)</f>
        <v>113.49</v>
      </c>
      <c r="H380">
        <f>VLOOKUP(A380,NYSEARCAMUB!A$2:G$506,5,0)</f>
        <v>108.41</v>
      </c>
      <c r="I380">
        <f>VLOOKUP(A380,NYSEARCAVNQ!A$2:G$506,5,0)</f>
        <v>78.69</v>
      </c>
      <c r="J380">
        <f>VLOOKUP(A380,NYSEARCARWX!A$2:G$506,5,0)</f>
        <v>37.46</v>
      </c>
      <c r="K380">
        <f>VLOOKUP(A380,NYSEARCADBC!A$2:G$506,5,0)</f>
        <v>14.55</v>
      </c>
      <c r="L380">
        <f>VLOOKUP(A380,NYSEARCAGSG!A$2:G$506,5,0)</f>
        <v>14.13</v>
      </c>
      <c r="M380">
        <f>VLOOKUP(A380,NYSEARCAGLD!A$2:G$506,5,0)</f>
        <v>116.17</v>
      </c>
      <c r="N380">
        <f>VLOOKUP(A380,NYSEBP!A$2:G$506,5,0)</f>
        <v>33.5</v>
      </c>
      <c r="O380">
        <f>VLOOKUP(A380,NASDAQYHOO!A$2:G$506,5,0)</f>
        <v>41.45</v>
      </c>
    </row>
    <row r="381" spans="1:15">
      <c r="A381" s="39">
        <v>42692</v>
      </c>
      <c r="B381">
        <v>68.540000000000006</v>
      </c>
      <c r="C381">
        <f>VLOOKUP(A381,NYSEARCAVTI!A$2:G$506,5,0)</f>
        <v>112.77</v>
      </c>
      <c r="D381">
        <f>VLOOKUP(A381,NYSEARCAVEU!A$2:G$506,5,0)</f>
        <v>43.12</v>
      </c>
      <c r="E381">
        <f>VLOOKUP(A381,NYSEARCAVWO!A$2:G$506,5,0)</f>
        <v>35.380000000000003</v>
      </c>
      <c r="F381">
        <f>VLOOKUP(A381,NYSEARCABND!A$2:G$506,5,0)</f>
        <v>81.040000000000006</v>
      </c>
      <c r="G381">
        <f>VLOOKUP(A381,NYSEARCATIP!A$2:G$506,5,0)</f>
        <v>113.32</v>
      </c>
      <c r="H381">
        <f>VLOOKUP(A381,NYSEARCAMUB!A$2:G$506,5,0)</f>
        <v>108.41</v>
      </c>
      <c r="I381">
        <f>VLOOKUP(A381,NYSEARCAVNQ!A$2:G$506,5,0)</f>
        <v>78.92</v>
      </c>
      <c r="J381">
        <f>VLOOKUP(A381,NYSEARCARWX!A$2:G$506,5,0)</f>
        <v>37.14</v>
      </c>
      <c r="K381">
        <f>VLOOKUP(A381,NYSEARCADBC!A$2:G$506,5,0)</f>
        <v>14.67</v>
      </c>
      <c r="L381">
        <f>VLOOKUP(A381,NYSEARCAGSG!A$2:G$506,5,0)</f>
        <v>14.27</v>
      </c>
      <c r="M381">
        <f>VLOOKUP(A381,NYSEARCAGLD!A$2:G$506,5,0)</f>
        <v>115.15</v>
      </c>
      <c r="N381">
        <f>VLOOKUP(A381,NYSEBP!A$2:G$506,5,0)</f>
        <v>33.64</v>
      </c>
      <c r="O381">
        <f>VLOOKUP(A381,NASDAQYHOO!A$2:G$506,5,0)</f>
        <v>41.19</v>
      </c>
    </row>
    <row r="382" spans="1:15">
      <c r="A382" s="39">
        <v>42695</v>
      </c>
      <c r="B382">
        <v>69.37</v>
      </c>
      <c r="C382">
        <f>VLOOKUP(A382,NYSEARCAVTI!A$2:G$506,5,0)</f>
        <v>113.62</v>
      </c>
      <c r="D382">
        <f>VLOOKUP(A382,NYSEARCAVEU!A$2:G$506,5,0)</f>
        <v>43.53</v>
      </c>
      <c r="E382">
        <f>VLOOKUP(A382,NYSEARCAVWO!A$2:G$506,5,0)</f>
        <v>35.729999999999997</v>
      </c>
      <c r="F382">
        <f>VLOOKUP(A382,NYSEARCABND!A$2:G$506,5,0)</f>
        <v>81.03</v>
      </c>
      <c r="G382">
        <f>VLOOKUP(A382,NYSEARCATIP!A$2:G$506,5,0)</f>
        <v>113.59</v>
      </c>
      <c r="H382">
        <f>VLOOKUP(A382,NYSEARCAMUB!A$2:G$506,5,0)</f>
        <v>108.34</v>
      </c>
      <c r="I382">
        <f>VLOOKUP(A382,NYSEARCAVNQ!A$2:G$506,5,0)</f>
        <v>78.680000000000007</v>
      </c>
      <c r="J382">
        <f>VLOOKUP(A382,NYSEARCARWX!A$2:G$506,5,0)</f>
        <v>37.22</v>
      </c>
      <c r="K382">
        <f>VLOOKUP(A382,NYSEARCADBC!A$2:G$506,5,0)</f>
        <v>15.08</v>
      </c>
      <c r="L382">
        <f>VLOOKUP(A382,NYSEARCAGSG!A$2:G$506,5,0)</f>
        <v>14.73</v>
      </c>
      <c r="M382">
        <f>VLOOKUP(A382,NYSEARCAGLD!A$2:G$506,5,0)</f>
        <v>115.58</v>
      </c>
      <c r="N382">
        <f>VLOOKUP(A382,NYSEBP!A$2:G$506,5,0)</f>
        <v>34.4</v>
      </c>
      <c r="O382">
        <f>VLOOKUP(A382,NASDAQYHOO!A$2:G$506,5,0)</f>
        <v>41.11</v>
      </c>
    </row>
    <row r="383" spans="1:15">
      <c r="A383" s="39">
        <v>42696</v>
      </c>
      <c r="B383">
        <v>70.12</v>
      </c>
      <c r="C383">
        <f>VLOOKUP(A383,NYSEARCAVTI!A$2:G$506,5,0)</f>
        <v>113.95</v>
      </c>
      <c r="D383">
        <f>VLOOKUP(A383,NYSEARCAVEU!A$2:G$506,5,0)</f>
        <v>43.71</v>
      </c>
      <c r="E383">
        <f>VLOOKUP(A383,NYSEARCAVWO!A$2:G$506,5,0)</f>
        <v>36.119999999999997</v>
      </c>
      <c r="F383">
        <f>VLOOKUP(A383,NYSEARCABND!A$2:G$506,5,0)</f>
        <v>81.099999999999994</v>
      </c>
      <c r="G383">
        <f>VLOOKUP(A383,NYSEARCATIP!A$2:G$506,5,0)</f>
        <v>113.69</v>
      </c>
      <c r="H383">
        <f>VLOOKUP(A383,NYSEARCAMUB!A$2:G$506,5,0)</f>
        <v>108.1</v>
      </c>
      <c r="I383">
        <f>VLOOKUP(A383,NYSEARCAVNQ!A$2:G$506,5,0)</f>
        <v>80.06</v>
      </c>
      <c r="J383">
        <f>VLOOKUP(A383,NYSEARCARWX!A$2:G$506,5,0)</f>
        <v>37.42</v>
      </c>
      <c r="K383">
        <f>VLOOKUP(A383,NYSEARCADBC!A$2:G$506,5,0)</f>
        <v>15.06</v>
      </c>
      <c r="L383">
        <f>VLOOKUP(A383,NYSEARCAGSG!A$2:G$506,5,0)</f>
        <v>14.69</v>
      </c>
      <c r="M383">
        <f>VLOOKUP(A383,NYSEARCAGLD!A$2:G$506,5,0)</f>
        <v>115.54</v>
      </c>
      <c r="N383">
        <f>VLOOKUP(A383,NYSEBP!A$2:G$506,5,0)</f>
        <v>34.54</v>
      </c>
      <c r="O383">
        <f>VLOOKUP(A383,NASDAQYHOO!A$2:G$506,5,0)</f>
        <v>41.01</v>
      </c>
    </row>
    <row r="384" spans="1:15">
      <c r="A384" s="39">
        <v>42697</v>
      </c>
      <c r="B384">
        <v>70.83</v>
      </c>
      <c r="C384">
        <f>VLOOKUP(A384,NYSEARCAVTI!A$2:G$506,5,0)</f>
        <v>114.11</v>
      </c>
      <c r="D384">
        <f>VLOOKUP(A384,NYSEARCAVEU!A$2:G$506,5,0)</f>
        <v>43.53</v>
      </c>
      <c r="E384">
        <f>VLOOKUP(A384,NYSEARCAVWO!A$2:G$506,5,0)</f>
        <v>35.770000000000003</v>
      </c>
      <c r="F384">
        <f>VLOOKUP(A384,NYSEARCABND!A$2:G$506,5,0)</f>
        <v>80.89</v>
      </c>
      <c r="G384">
        <f>VLOOKUP(A384,NYSEARCATIP!A$2:G$506,5,0)</f>
        <v>113.31</v>
      </c>
      <c r="H384">
        <f>VLOOKUP(A384,NYSEARCAMUB!A$2:G$506,5,0)</f>
        <v>107.72</v>
      </c>
      <c r="I384">
        <f>VLOOKUP(A384,NYSEARCAVNQ!A$2:G$506,5,0)</f>
        <v>79.72</v>
      </c>
      <c r="J384">
        <f>VLOOKUP(A384,NYSEARCARWX!A$2:G$506,5,0)</f>
        <v>37.340000000000003</v>
      </c>
      <c r="K384">
        <f>VLOOKUP(A384,NYSEARCADBC!A$2:G$506,5,0)</f>
        <v>15.12</v>
      </c>
      <c r="L384">
        <f>VLOOKUP(A384,NYSEARCAGSG!A$2:G$506,5,0)</f>
        <v>14.71</v>
      </c>
      <c r="M384">
        <f>VLOOKUP(A384,NYSEARCAGLD!A$2:G$506,5,0)</f>
        <v>113.25</v>
      </c>
      <c r="N384">
        <f>VLOOKUP(A384,NYSEBP!A$2:G$506,5,0)</f>
        <v>34.4</v>
      </c>
      <c r="O384">
        <f>VLOOKUP(A384,NASDAQYHOO!A$2:G$506,5,0)</f>
        <v>40.96</v>
      </c>
    </row>
    <row r="385" spans="1:15">
      <c r="A385" s="39">
        <v>42699</v>
      </c>
      <c r="B385">
        <v>71.23</v>
      </c>
      <c r="C385">
        <f>VLOOKUP(A385,NYSEARCAVTI!A$2:G$506,5,0)</f>
        <v>114.55</v>
      </c>
      <c r="D385">
        <f>VLOOKUP(A385,NYSEARCAVEU!A$2:G$506,5,0)</f>
        <v>43.68</v>
      </c>
      <c r="E385">
        <f>VLOOKUP(A385,NYSEARCAVWO!A$2:G$506,5,0)</f>
        <v>35.96</v>
      </c>
      <c r="F385">
        <f>VLOOKUP(A385,NYSEARCABND!A$2:G$506,5,0)</f>
        <v>80.92</v>
      </c>
      <c r="G385">
        <f>VLOOKUP(A385,NYSEARCATIP!A$2:G$506,5,0)</f>
        <v>113.12</v>
      </c>
      <c r="H385">
        <f>VLOOKUP(A385,NYSEARCAMUB!A$2:G$506,5,0)</f>
        <v>107.78</v>
      </c>
      <c r="I385">
        <f>VLOOKUP(A385,NYSEARCAVNQ!A$2:G$506,5,0)</f>
        <v>80.180000000000007</v>
      </c>
      <c r="J385">
        <f>VLOOKUP(A385,NYSEARCARWX!A$2:G$506,5,0)</f>
        <v>37.39</v>
      </c>
      <c r="K385">
        <f>VLOOKUP(A385,NYSEARCADBC!A$2:G$506,5,0)</f>
        <v>15.01</v>
      </c>
      <c r="L385">
        <f>VLOOKUP(A385,NYSEARCAGSG!A$2:G$506,5,0)</f>
        <v>14.57</v>
      </c>
      <c r="M385">
        <f>VLOOKUP(A385,NYSEARCAGLD!A$2:G$506,5,0)</f>
        <v>112.61</v>
      </c>
      <c r="N385">
        <f>VLOOKUP(A385,NYSEBP!A$2:G$506,5,0)</f>
        <v>34.270000000000003</v>
      </c>
      <c r="O385">
        <f>VLOOKUP(A385,NASDAQYHOO!A$2:G$506,5,0)</f>
        <v>40.869999999999997</v>
      </c>
    </row>
    <row r="386" spans="1:15">
      <c r="A386" s="39">
        <v>42702</v>
      </c>
      <c r="B386">
        <v>71.19</v>
      </c>
      <c r="C386">
        <f>VLOOKUP(A386,NYSEARCAVTI!A$2:G$506,5,0)</f>
        <v>113.89</v>
      </c>
      <c r="D386">
        <f>VLOOKUP(A386,NYSEARCAVEU!A$2:G$506,5,0)</f>
        <v>43.52</v>
      </c>
      <c r="E386">
        <f>VLOOKUP(A386,NYSEARCAVWO!A$2:G$506,5,0)</f>
        <v>36.14</v>
      </c>
      <c r="F386">
        <f>VLOOKUP(A386,NYSEARCABND!A$2:G$506,5,0)</f>
        <v>81.11</v>
      </c>
      <c r="G386">
        <f>VLOOKUP(A386,NYSEARCATIP!A$2:G$506,5,0)</f>
        <v>113.29</v>
      </c>
      <c r="H386">
        <f>VLOOKUP(A386,NYSEARCAMUB!A$2:G$506,5,0)</f>
        <v>107.65</v>
      </c>
      <c r="I386">
        <f>VLOOKUP(A386,NYSEARCAVNQ!A$2:G$506,5,0)</f>
        <v>80.55</v>
      </c>
      <c r="J386">
        <f>VLOOKUP(A386,NYSEARCARWX!A$2:G$506,5,0)</f>
        <v>37.67</v>
      </c>
      <c r="K386">
        <f>VLOOKUP(A386,NYSEARCADBC!A$2:G$506,5,0)</f>
        <v>15.06</v>
      </c>
      <c r="L386">
        <f>VLOOKUP(A386,NYSEARCAGSG!A$2:G$506,5,0)</f>
        <v>14.64</v>
      </c>
      <c r="M386">
        <f>VLOOKUP(A386,NYSEARCAGLD!A$2:G$506,5,0)</f>
        <v>113.8</v>
      </c>
      <c r="N386">
        <f>VLOOKUP(A386,NYSEBP!A$2:G$506,5,0)</f>
        <v>33.72</v>
      </c>
      <c r="O386">
        <f>VLOOKUP(A386,NASDAQYHOO!A$2:G$506,5,0)</f>
        <v>41.45</v>
      </c>
    </row>
    <row r="387" spans="1:15">
      <c r="A387" s="39">
        <v>42703</v>
      </c>
      <c r="B387">
        <v>71.37</v>
      </c>
      <c r="C387">
        <f>VLOOKUP(A387,NYSEARCAVTI!A$2:G$506,5,0)</f>
        <v>114.05</v>
      </c>
      <c r="D387">
        <f>VLOOKUP(A387,NYSEARCAVEU!A$2:G$506,5,0)</f>
        <v>43.72</v>
      </c>
      <c r="E387">
        <f>VLOOKUP(A387,NYSEARCAVWO!A$2:G$506,5,0)</f>
        <v>36.159999999999997</v>
      </c>
      <c r="F387">
        <f>VLOOKUP(A387,NYSEARCABND!A$2:G$506,5,0)</f>
        <v>81.17</v>
      </c>
      <c r="G387">
        <f>VLOOKUP(A387,NYSEARCATIP!A$2:G$506,5,0)</f>
        <v>113.4</v>
      </c>
      <c r="H387">
        <f>VLOOKUP(A387,NYSEARCAMUB!A$2:G$506,5,0)</f>
        <v>107.07</v>
      </c>
      <c r="I387">
        <f>VLOOKUP(A387,NYSEARCAVNQ!A$2:G$506,5,0)</f>
        <v>81.319999999999993</v>
      </c>
      <c r="J387">
        <f>VLOOKUP(A387,NYSEARCARWX!A$2:G$506,5,0)</f>
        <v>37.82</v>
      </c>
      <c r="K387">
        <f>VLOOKUP(A387,NYSEARCADBC!A$2:G$506,5,0)</f>
        <v>14.76</v>
      </c>
      <c r="L387">
        <f>VLOOKUP(A387,NYSEARCAGSG!A$2:G$506,5,0)</f>
        <v>14.27</v>
      </c>
      <c r="M387">
        <f>VLOOKUP(A387,NYSEARCAGLD!A$2:G$506,5,0)</f>
        <v>113.27</v>
      </c>
      <c r="N387">
        <f>VLOOKUP(A387,NYSEBP!A$2:G$506,5,0)</f>
        <v>33.520000000000003</v>
      </c>
      <c r="O387">
        <f>VLOOKUP(A387,NASDAQYHOO!A$2:G$506,5,0)</f>
        <v>41.6</v>
      </c>
    </row>
    <row r="388" spans="1:15">
      <c r="A388" s="39">
        <v>42704</v>
      </c>
      <c r="B388">
        <v>70.430000000000007</v>
      </c>
      <c r="C388">
        <f>VLOOKUP(A388,NYSEARCAVTI!A$2:G$506,5,0)</f>
        <v>113.78</v>
      </c>
      <c r="D388">
        <f>VLOOKUP(A388,NYSEARCAVEU!A$2:G$506,5,0)</f>
        <v>43.71</v>
      </c>
      <c r="E388">
        <f>VLOOKUP(A388,NYSEARCAVWO!A$2:G$506,5,0)</f>
        <v>36.22</v>
      </c>
      <c r="F388">
        <f>VLOOKUP(A388,NYSEARCABND!A$2:G$506,5,0)</f>
        <v>80.89</v>
      </c>
      <c r="G388">
        <f>VLOOKUP(A388,NYSEARCATIP!A$2:G$506,5,0)</f>
        <v>113.46</v>
      </c>
      <c r="H388">
        <f>VLOOKUP(A388,NYSEARCAMUB!A$2:G$506,5,0)</f>
        <v>106.7</v>
      </c>
      <c r="I388">
        <f>VLOOKUP(A388,NYSEARCAVNQ!A$2:G$506,5,0)</f>
        <v>80.39</v>
      </c>
      <c r="J388">
        <f>VLOOKUP(A388,NYSEARCARWX!A$2:G$506,5,0)</f>
        <v>37.83</v>
      </c>
      <c r="K388">
        <f>VLOOKUP(A388,NYSEARCADBC!A$2:G$506,5,0)</f>
        <v>15.21</v>
      </c>
      <c r="L388">
        <f>VLOOKUP(A388,NYSEARCAGSG!A$2:G$506,5,0)</f>
        <v>14.92</v>
      </c>
      <c r="M388">
        <f>VLOOKUP(A388,NYSEARCAGLD!A$2:G$506,5,0)</f>
        <v>111.75</v>
      </c>
      <c r="N388">
        <f>VLOOKUP(A388,NYSEBP!A$2:G$506,5,0)</f>
        <v>35.01</v>
      </c>
      <c r="O388">
        <f>VLOOKUP(A388,NASDAQYHOO!A$2:G$506,5,0)</f>
        <v>41.02</v>
      </c>
    </row>
    <row r="389" spans="1:15">
      <c r="A389" s="39">
        <v>42705</v>
      </c>
      <c r="B389">
        <v>70.67</v>
      </c>
      <c r="C389">
        <f>VLOOKUP(A389,NYSEARCAVTI!A$2:G$506,5,0)</f>
        <v>113.31</v>
      </c>
      <c r="D389">
        <f>VLOOKUP(A389,NYSEARCAVEU!A$2:G$506,5,0)</f>
        <v>43.55</v>
      </c>
      <c r="E389">
        <f>VLOOKUP(A389,NYSEARCAVWO!A$2:G$506,5,0)</f>
        <v>35.81</v>
      </c>
      <c r="F389">
        <f>VLOOKUP(A389,NYSEARCABND!A$2:G$506,5,0)</f>
        <v>80.430000000000007</v>
      </c>
      <c r="G389">
        <f>VLOOKUP(A389,NYSEARCATIP!A$2:G$506,5,0)</f>
        <v>112.89</v>
      </c>
      <c r="H389">
        <f>VLOOKUP(A389,NYSEARCAMUB!A$2:G$506,5,0)</f>
        <v>106.51</v>
      </c>
      <c r="I389">
        <f>VLOOKUP(A389,NYSEARCAVNQ!A$2:G$506,5,0)</f>
        <v>79.209999999999994</v>
      </c>
      <c r="J389">
        <f>VLOOKUP(A389,NYSEARCARWX!A$2:G$506,5,0)</f>
        <v>37.340000000000003</v>
      </c>
      <c r="K389">
        <f>VLOOKUP(A389,NYSEARCADBC!A$2:G$506,5,0)</f>
        <v>15.49</v>
      </c>
      <c r="L389">
        <f>VLOOKUP(A389,NYSEARCAGSG!A$2:G$506,5,0)</f>
        <v>15.23</v>
      </c>
      <c r="M389">
        <f>VLOOKUP(A389,NYSEARCAGLD!A$2:G$506,5,0)</f>
        <v>111.54</v>
      </c>
      <c r="N389">
        <f>VLOOKUP(A389,NYSEBP!A$2:G$506,5,0)</f>
        <v>35.39</v>
      </c>
      <c r="O389">
        <f>VLOOKUP(A389,NASDAQYHOO!A$2:G$506,5,0)</f>
        <v>39.630000000000003</v>
      </c>
    </row>
    <row r="390" spans="1:15">
      <c r="A390" s="39">
        <v>42706</v>
      </c>
      <c r="B390">
        <v>70.88</v>
      </c>
      <c r="C390">
        <f>VLOOKUP(A390,NYSEARCAVTI!A$2:G$506,5,0)</f>
        <v>113.31</v>
      </c>
      <c r="D390">
        <f>VLOOKUP(A390,NYSEARCAVEU!A$2:G$506,5,0)</f>
        <v>43.67</v>
      </c>
      <c r="E390">
        <f>VLOOKUP(A390,NYSEARCAVWO!A$2:G$506,5,0)</f>
        <v>35.770000000000003</v>
      </c>
      <c r="F390">
        <f>VLOOKUP(A390,NYSEARCABND!A$2:G$506,5,0)</f>
        <v>80.72</v>
      </c>
      <c r="G390">
        <f>VLOOKUP(A390,NYSEARCATIP!A$2:G$506,5,0)</f>
        <v>112.95</v>
      </c>
      <c r="H390">
        <f>VLOOKUP(A390,NYSEARCAMUB!A$2:G$506,5,0)</f>
        <v>106.78</v>
      </c>
      <c r="I390">
        <f>VLOOKUP(A390,NYSEARCAVNQ!A$2:G$506,5,0)</f>
        <v>80</v>
      </c>
      <c r="J390">
        <f>VLOOKUP(A390,NYSEARCARWX!A$2:G$506,5,0)</f>
        <v>37.61</v>
      </c>
      <c r="K390">
        <f>VLOOKUP(A390,NYSEARCADBC!A$2:G$506,5,0)</f>
        <v>15.6</v>
      </c>
      <c r="L390">
        <f>VLOOKUP(A390,NYSEARCAGSG!A$2:G$506,5,0)</f>
        <v>15.32</v>
      </c>
      <c r="M390">
        <f>VLOOKUP(A390,NYSEARCAGLD!A$2:G$506,5,0)</f>
        <v>112.14</v>
      </c>
      <c r="N390">
        <f>VLOOKUP(A390,NYSEBP!A$2:G$506,5,0)</f>
        <v>35.479999999999997</v>
      </c>
      <c r="O390">
        <f>VLOOKUP(A390,NASDAQYHOO!A$2:G$506,5,0)</f>
        <v>40.07</v>
      </c>
    </row>
    <row r="391" spans="1:15">
      <c r="A391" s="39">
        <v>42709</v>
      </c>
      <c r="B391">
        <v>69.94</v>
      </c>
      <c r="C391">
        <f>VLOOKUP(A391,NYSEARCAVTI!A$2:G$506,5,0)</f>
        <v>114.1</v>
      </c>
      <c r="D391">
        <f>VLOOKUP(A391,NYSEARCAVEU!A$2:G$506,5,0)</f>
        <v>44</v>
      </c>
      <c r="E391">
        <f>VLOOKUP(A391,NYSEARCAVWO!A$2:G$506,5,0)</f>
        <v>36.01</v>
      </c>
      <c r="F391">
        <f>VLOOKUP(A391,NYSEARCABND!A$2:G$506,5,0)</f>
        <v>80.819999999999993</v>
      </c>
      <c r="G391">
        <f>VLOOKUP(A391,NYSEARCATIP!A$2:G$506,5,0)</f>
        <v>113.11</v>
      </c>
      <c r="H391">
        <f>VLOOKUP(A391,NYSEARCAMUB!A$2:G$506,5,0)</f>
        <v>106.72</v>
      </c>
      <c r="I391">
        <f>VLOOKUP(A391,NYSEARCAVNQ!A$2:G$506,5,0)</f>
        <v>80.59</v>
      </c>
      <c r="J391">
        <f>VLOOKUP(A391,NYSEARCARWX!A$2:G$506,5,0)</f>
        <v>37.78</v>
      </c>
      <c r="K391">
        <f>VLOOKUP(A391,NYSEARCADBC!A$2:G$506,5,0)</f>
        <v>15.68</v>
      </c>
      <c r="L391">
        <f>VLOOKUP(A391,NYSEARCAGSG!A$2:G$506,5,0)</f>
        <v>15.36</v>
      </c>
      <c r="M391">
        <f>VLOOKUP(A391,NYSEARCAGLD!A$2:G$506,5,0)</f>
        <v>111.54</v>
      </c>
      <c r="N391">
        <f>VLOOKUP(A391,NYSEBP!A$2:G$506,5,0)</f>
        <v>35.479999999999997</v>
      </c>
      <c r="O391">
        <f>VLOOKUP(A391,NASDAQYHOO!A$2:G$506,5,0)</f>
        <v>40.200000000000003</v>
      </c>
    </row>
    <row r="392" spans="1:15">
      <c r="A392" s="39">
        <v>42710</v>
      </c>
      <c r="B392">
        <v>70.36</v>
      </c>
      <c r="C392">
        <f>VLOOKUP(A392,NYSEARCAVTI!A$2:G$506,5,0)</f>
        <v>114.68</v>
      </c>
      <c r="D392">
        <f>VLOOKUP(A392,NYSEARCAVEU!A$2:G$506,5,0)</f>
        <v>44.26</v>
      </c>
      <c r="E392">
        <f>VLOOKUP(A392,NYSEARCAVWO!A$2:G$506,5,0)</f>
        <v>36.159999999999997</v>
      </c>
      <c r="F392">
        <f>VLOOKUP(A392,NYSEARCABND!A$2:G$506,5,0)</f>
        <v>80.81</v>
      </c>
      <c r="G392">
        <f>VLOOKUP(A392,NYSEARCATIP!A$2:G$506,5,0)</f>
        <v>113.33</v>
      </c>
      <c r="H392">
        <f>VLOOKUP(A392,NYSEARCAMUB!A$2:G$506,5,0)</f>
        <v>107.35</v>
      </c>
      <c r="I392">
        <f>VLOOKUP(A392,NYSEARCAVNQ!A$2:G$506,5,0)</f>
        <v>81.11</v>
      </c>
      <c r="J392">
        <f>VLOOKUP(A392,NYSEARCARWX!A$2:G$506,5,0)</f>
        <v>38.01</v>
      </c>
      <c r="K392">
        <f>VLOOKUP(A392,NYSEARCADBC!A$2:G$506,5,0)</f>
        <v>15.61</v>
      </c>
      <c r="L392">
        <f>VLOOKUP(A392,NYSEARCAGSG!A$2:G$506,5,0)</f>
        <v>15.32</v>
      </c>
      <c r="M392">
        <f>VLOOKUP(A392,NYSEARCAGLD!A$2:G$506,5,0)</f>
        <v>111.43</v>
      </c>
      <c r="N392">
        <f>VLOOKUP(A392,NYSEBP!A$2:G$506,5,0)</f>
        <v>35.57</v>
      </c>
      <c r="O392">
        <f>VLOOKUP(A392,NASDAQYHOO!A$2:G$506,5,0)</f>
        <v>39.97</v>
      </c>
    </row>
    <row r="393" spans="1:15">
      <c r="A393" s="39">
        <v>42711</v>
      </c>
      <c r="B393">
        <v>70.599999999999994</v>
      </c>
      <c r="C393">
        <f>VLOOKUP(A393,NYSEARCAVTI!A$2:G$506,5,0)</f>
        <v>116.1</v>
      </c>
      <c r="D393">
        <f>VLOOKUP(A393,NYSEARCAVEU!A$2:G$506,5,0)</f>
        <v>44.9</v>
      </c>
      <c r="E393">
        <f>VLOOKUP(A393,NYSEARCAVWO!A$2:G$506,5,0)</f>
        <v>36.700000000000003</v>
      </c>
      <c r="F393">
        <f>VLOOKUP(A393,NYSEARCABND!A$2:G$506,5,0)</f>
        <v>81</v>
      </c>
      <c r="G393">
        <f>VLOOKUP(A393,NYSEARCATIP!A$2:G$506,5,0)</f>
        <v>113.43</v>
      </c>
      <c r="H393">
        <f>VLOOKUP(A393,NYSEARCAMUB!A$2:G$506,5,0)</f>
        <v>108.16</v>
      </c>
      <c r="I393">
        <f>VLOOKUP(A393,NYSEARCAVNQ!A$2:G$506,5,0)</f>
        <v>82.73</v>
      </c>
      <c r="J393">
        <f>VLOOKUP(A393,NYSEARCARWX!A$2:G$506,5,0)</f>
        <v>38.549999999999997</v>
      </c>
      <c r="K393">
        <f>VLOOKUP(A393,NYSEARCADBC!A$2:G$506,5,0)</f>
        <v>15.49</v>
      </c>
      <c r="L393">
        <f>VLOOKUP(A393,NYSEARCAGSG!A$2:G$506,5,0)</f>
        <v>15.19</v>
      </c>
      <c r="M393">
        <f>VLOOKUP(A393,NYSEARCAGLD!A$2:G$506,5,0)</f>
        <v>111.83</v>
      </c>
      <c r="N393">
        <f>VLOOKUP(A393,NYSEBP!A$2:G$506,5,0)</f>
        <v>35.89</v>
      </c>
      <c r="O393">
        <f>VLOOKUP(A393,NASDAQYHOO!A$2:G$506,5,0)</f>
        <v>40.520000000000003</v>
      </c>
    </row>
    <row r="394" spans="1:15">
      <c r="A394" s="39">
        <v>42712</v>
      </c>
      <c r="B394">
        <v>70.34</v>
      </c>
      <c r="C394">
        <f>VLOOKUP(A394,NYSEARCAVTI!A$2:G$506,5,0)</f>
        <v>116.52</v>
      </c>
      <c r="D394">
        <f>VLOOKUP(A394,NYSEARCAVEU!A$2:G$506,5,0)</f>
        <v>44.94</v>
      </c>
      <c r="E394">
        <f>VLOOKUP(A394,NYSEARCAVWO!A$2:G$506,5,0)</f>
        <v>36.869999999999997</v>
      </c>
      <c r="F394">
        <f>VLOOKUP(A394,NYSEARCABND!A$2:G$506,5,0)</f>
        <v>80.84</v>
      </c>
      <c r="G394">
        <f>VLOOKUP(A394,NYSEARCATIP!A$2:G$506,5,0)</f>
        <v>113.32</v>
      </c>
      <c r="H394">
        <f>VLOOKUP(A394,NYSEARCAMUB!A$2:G$506,5,0)</f>
        <v>108.05</v>
      </c>
      <c r="I394">
        <f>VLOOKUP(A394,NYSEARCAVNQ!A$2:G$506,5,0)</f>
        <v>83.3</v>
      </c>
      <c r="J394">
        <f>VLOOKUP(A394,NYSEARCARWX!A$2:G$506,5,0)</f>
        <v>38.520000000000003</v>
      </c>
      <c r="K394">
        <f>VLOOKUP(A394,NYSEARCADBC!A$2:G$506,5,0)</f>
        <v>15.52</v>
      </c>
      <c r="L394">
        <f>VLOOKUP(A394,NYSEARCAGSG!A$2:G$506,5,0)</f>
        <v>15.31</v>
      </c>
      <c r="M394">
        <f>VLOOKUP(A394,NYSEARCAGLD!A$2:G$506,5,0)</f>
        <v>111.57</v>
      </c>
      <c r="N394">
        <f>VLOOKUP(A394,NYSEBP!A$2:G$506,5,0)</f>
        <v>36.19</v>
      </c>
      <c r="O394">
        <f>VLOOKUP(A394,NASDAQYHOO!A$2:G$506,5,0)</f>
        <v>41.41</v>
      </c>
    </row>
    <row r="395" spans="1:15">
      <c r="A395" s="39">
        <v>42713</v>
      </c>
      <c r="B395">
        <v>70.08</v>
      </c>
      <c r="C395">
        <f>VLOOKUP(A395,NYSEARCAVTI!A$2:G$506,5,0)</f>
        <v>117.15</v>
      </c>
      <c r="D395">
        <f>VLOOKUP(A395,NYSEARCAVEU!A$2:G$506,5,0)</f>
        <v>45.05</v>
      </c>
      <c r="E395">
        <f>VLOOKUP(A395,NYSEARCAVWO!A$2:G$506,5,0)</f>
        <v>36.700000000000003</v>
      </c>
      <c r="F395">
        <f>VLOOKUP(A395,NYSEARCABND!A$2:G$506,5,0)</f>
        <v>80.599999999999994</v>
      </c>
      <c r="G395">
        <f>VLOOKUP(A395,NYSEARCATIP!A$2:G$506,5,0)</f>
        <v>112.8</v>
      </c>
      <c r="H395">
        <f>VLOOKUP(A395,NYSEARCAMUB!A$2:G$506,5,0)</f>
        <v>107.91</v>
      </c>
      <c r="I395">
        <f>VLOOKUP(A395,NYSEARCAVNQ!A$2:G$506,5,0)</f>
        <v>83.21</v>
      </c>
      <c r="J395">
        <f>VLOOKUP(A395,NYSEARCARWX!A$2:G$506,5,0)</f>
        <v>38.549999999999997</v>
      </c>
      <c r="K395">
        <f>VLOOKUP(A395,NYSEARCADBC!A$2:G$506,5,0)</f>
        <v>15.6</v>
      </c>
      <c r="L395">
        <f>VLOOKUP(A395,NYSEARCAGSG!A$2:G$506,5,0)</f>
        <v>15.42</v>
      </c>
      <c r="M395">
        <f>VLOOKUP(A395,NYSEARCAGLD!A$2:G$506,5,0)</f>
        <v>110.4</v>
      </c>
      <c r="N395">
        <f>VLOOKUP(A395,NYSEBP!A$2:G$506,5,0)</f>
        <v>36.01</v>
      </c>
      <c r="O395">
        <f>VLOOKUP(A395,NASDAQYHOO!A$2:G$506,5,0)</f>
        <v>41.76</v>
      </c>
    </row>
    <row r="396" spans="1:15">
      <c r="A396" s="39">
        <v>42716</v>
      </c>
      <c r="B396">
        <v>71.67</v>
      </c>
      <c r="C396">
        <f>VLOOKUP(A396,NYSEARCAVTI!A$2:G$506,5,0)</f>
        <v>116.85</v>
      </c>
      <c r="D396">
        <f>VLOOKUP(A396,NYSEARCAVEU!A$2:G$506,5,0)</f>
        <v>44.83</v>
      </c>
      <c r="E396">
        <f>VLOOKUP(A396,NYSEARCAVWO!A$2:G$506,5,0)</f>
        <v>36.4</v>
      </c>
      <c r="F396">
        <f>VLOOKUP(A396,NYSEARCABND!A$2:G$506,5,0)</f>
        <v>80.510000000000005</v>
      </c>
      <c r="G396">
        <f>VLOOKUP(A396,NYSEARCATIP!A$2:G$506,5,0)</f>
        <v>112.78</v>
      </c>
      <c r="H396">
        <f>VLOOKUP(A396,NYSEARCAMUB!A$2:G$506,5,0)</f>
        <v>107.7</v>
      </c>
      <c r="I396">
        <f>VLOOKUP(A396,NYSEARCAVNQ!A$2:G$506,5,0)</f>
        <v>83.76</v>
      </c>
      <c r="J396">
        <f>VLOOKUP(A396,NYSEARCARWX!A$2:G$506,5,0)</f>
        <v>38.340000000000003</v>
      </c>
      <c r="K396">
        <f>VLOOKUP(A396,NYSEARCADBC!A$2:G$506,5,0)</f>
        <v>15.7</v>
      </c>
      <c r="L396">
        <f>VLOOKUP(A396,NYSEARCAGSG!A$2:G$506,5,0)</f>
        <v>15.52</v>
      </c>
      <c r="M396">
        <f>VLOOKUP(A396,NYSEARCAGLD!A$2:G$506,5,0)</f>
        <v>110.82</v>
      </c>
      <c r="N396">
        <f>VLOOKUP(A396,NYSEBP!A$2:G$506,5,0)</f>
        <v>36.51</v>
      </c>
      <c r="O396">
        <f>VLOOKUP(A396,NASDAQYHOO!A$2:G$506,5,0)</f>
        <v>41.3</v>
      </c>
    </row>
    <row r="397" spans="1:15">
      <c r="A397" s="39">
        <v>42717</v>
      </c>
      <c r="B397">
        <v>71.8</v>
      </c>
      <c r="C397">
        <f>VLOOKUP(A397,NYSEARCAVTI!A$2:G$506,5,0)</f>
        <v>117.53</v>
      </c>
      <c r="D397">
        <f>VLOOKUP(A397,NYSEARCAVEU!A$2:G$506,5,0)</f>
        <v>45.29</v>
      </c>
      <c r="E397">
        <f>VLOOKUP(A397,NYSEARCAVWO!A$2:G$506,5,0)</f>
        <v>36.770000000000003</v>
      </c>
      <c r="F397">
        <f>VLOOKUP(A397,NYSEARCABND!A$2:G$506,5,0)</f>
        <v>80.599999999999994</v>
      </c>
      <c r="G397">
        <f>VLOOKUP(A397,NYSEARCATIP!A$2:G$506,5,0)</f>
        <v>112.74</v>
      </c>
      <c r="H397">
        <f>VLOOKUP(A397,NYSEARCAMUB!A$2:G$506,5,0)</f>
        <v>107.78</v>
      </c>
      <c r="I397">
        <f>VLOOKUP(A397,NYSEARCAVNQ!A$2:G$506,5,0)</f>
        <v>83.72</v>
      </c>
      <c r="J397">
        <f>VLOOKUP(A397,NYSEARCARWX!A$2:G$506,5,0)</f>
        <v>38.65</v>
      </c>
      <c r="K397">
        <f>VLOOKUP(A397,NYSEARCADBC!A$2:G$506,5,0)</f>
        <v>15.74</v>
      </c>
      <c r="L397">
        <f>VLOOKUP(A397,NYSEARCAGSG!A$2:G$506,5,0)</f>
        <v>15.59</v>
      </c>
      <c r="M397">
        <f>VLOOKUP(A397,NYSEARCAGLD!A$2:G$506,5,0)</f>
        <v>110.45</v>
      </c>
      <c r="N397">
        <f>VLOOKUP(A397,NYSEBP!A$2:G$506,5,0)</f>
        <v>36.79</v>
      </c>
      <c r="O397">
        <f>VLOOKUP(A397,NASDAQYHOO!A$2:G$506,5,0)</f>
        <v>41.47</v>
      </c>
    </row>
    <row r="398" spans="1:15">
      <c r="A398" s="39">
        <v>42718</v>
      </c>
      <c r="B398">
        <v>71.34</v>
      </c>
      <c r="C398">
        <f>VLOOKUP(A398,NYSEARCAVTI!A$2:G$506,5,0)</f>
        <v>116.47</v>
      </c>
      <c r="D398">
        <f>VLOOKUP(A398,NYSEARCAVEU!A$2:G$506,5,0)</f>
        <v>44.53</v>
      </c>
      <c r="E398">
        <f>VLOOKUP(A398,NYSEARCAVWO!A$2:G$506,5,0)</f>
        <v>35.71</v>
      </c>
      <c r="F398">
        <f>VLOOKUP(A398,NYSEARCABND!A$2:G$506,5,0)</f>
        <v>80.19</v>
      </c>
      <c r="G398">
        <f>VLOOKUP(A398,NYSEARCATIP!A$2:G$506,5,0)</f>
        <v>111.85</v>
      </c>
      <c r="H398">
        <f>VLOOKUP(A398,NYSEARCAMUB!A$2:G$506,5,0)</f>
        <v>107.6</v>
      </c>
      <c r="I398">
        <f>VLOOKUP(A398,NYSEARCAVNQ!A$2:G$506,5,0)</f>
        <v>81.89</v>
      </c>
      <c r="J398">
        <f>VLOOKUP(A398,NYSEARCARWX!A$2:G$506,5,0)</f>
        <v>38.01</v>
      </c>
      <c r="K398">
        <f>VLOOKUP(A398,NYSEARCADBC!A$2:G$506,5,0)</f>
        <v>15.59</v>
      </c>
      <c r="L398">
        <f>VLOOKUP(A398,NYSEARCAGSG!A$2:G$506,5,0)</f>
        <v>15.34</v>
      </c>
      <c r="M398">
        <f>VLOOKUP(A398,NYSEARCAGLD!A$2:G$506,5,0)</f>
        <v>108.83</v>
      </c>
      <c r="N398">
        <f>VLOOKUP(A398,NYSEBP!A$2:G$506,5,0)</f>
        <v>36.020000000000003</v>
      </c>
      <c r="O398">
        <f>VLOOKUP(A398,NASDAQYHOO!A$2:G$506,5,0)</f>
        <v>40.909999999999997</v>
      </c>
    </row>
    <row r="399" spans="1:15">
      <c r="A399" s="39">
        <v>42719</v>
      </c>
      <c r="B399">
        <v>71.08</v>
      </c>
      <c r="C399">
        <f>VLOOKUP(A399,NYSEARCAVTI!A$2:G$506,5,0)</f>
        <v>116.95</v>
      </c>
      <c r="D399">
        <f>VLOOKUP(A399,NYSEARCAVEU!A$2:G$506,5,0)</f>
        <v>44.47</v>
      </c>
      <c r="E399">
        <f>VLOOKUP(A399,NYSEARCAVWO!A$2:G$506,5,0)</f>
        <v>35.869999999999997</v>
      </c>
      <c r="F399">
        <f>VLOOKUP(A399,NYSEARCABND!A$2:G$506,5,0)</f>
        <v>80.069999999999993</v>
      </c>
      <c r="G399">
        <f>VLOOKUP(A399,NYSEARCATIP!A$2:G$506,5,0)</f>
        <v>111.15</v>
      </c>
      <c r="H399">
        <f>VLOOKUP(A399,NYSEARCAMUB!A$2:G$506,5,0)</f>
        <v>107.24</v>
      </c>
      <c r="I399">
        <f>VLOOKUP(A399,NYSEARCAVNQ!A$2:G$506,5,0)</f>
        <v>81.41</v>
      </c>
      <c r="J399">
        <f>VLOOKUP(A399,NYSEARCARWX!A$2:G$506,5,0)</f>
        <v>37.46</v>
      </c>
      <c r="K399">
        <f>VLOOKUP(A399,NYSEARCADBC!A$2:G$506,5,0)</f>
        <v>15.57</v>
      </c>
      <c r="L399">
        <f>VLOOKUP(A399,NYSEARCAGSG!A$2:G$506,5,0)</f>
        <v>15.33</v>
      </c>
      <c r="M399">
        <f>VLOOKUP(A399,NYSEARCAGLD!A$2:G$506,5,0)</f>
        <v>107.34</v>
      </c>
      <c r="N399">
        <f>VLOOKUP(A399,NYSEBP!A$2:G$506,5,0)</f>
        <v>35.85</v>
      </c>
      <c r="O399">
        <f>VLOOKUP(A399,NASDAQYHOO!A$2:G$506,5,0)</f>
        <v>38.409999999999997</v>
      </c>
    </row>
    <row r="400" spans="1:15">
      <c r="A400" s="39">
        <v>42720</v>
      </c>
      <c r="B400">
        <v>70.98</v>
      </c>
      <c r="C400">
        <f>VLOOKUP(A400,NYSEARCAVTI!A$2:G$506,5,0)</f>
        <v>116.77</v>
      </c>
      <c r="D400">
        <f>VLOOKUP(A400,NYSEARCAVEU!A$2:G$506,5,0)</f>
        <v>44.4</v>
      </c>
      <c r="E400">
        <f>VLOOKUP(A400,NYSEARCAVWO!A$2:G$506,5,0)</f>
        <v>35.65</v>
      </c>
      <c r="F400">
        <f>VLOOKUP(A400,NYSEARCABND!A$2:G$506,5,0)</f>
        <v>80.14</v>
      </c>
      <c r="G400">
        <f>VLOOKUP(A400,NYSEARCATIP!A$2:G$506,5,0)</f>
        <v>111.09</v>
      </c>
      <c r="H400">
        <f>VLOOKUP(A400,NYSEARCAMUB!A$2:G$506,5,0)</f>
        <v>107.31</v>
      </c>
      <c r="I400">
        <f>VLOOKUP(A400,NYSEARCAVNQ!A$2:G$506,5,0)</f>
        <v>82.63</v>
      </c>
      <c r="J400">
        <f>VLOOKUP(A400,NYSEARCARWX!A$2:G$506,5,0)</f>
        <v>35.200000000000003</v>
      </c>
      <c r="K400">
        <f>VLOOKUP(A400,NYSEARCADBC!A$2:G$506,5,0)</f>
        <v>15.64</v>
      </c>
      <c r="L400">
        <f>VLOOKUP(A400,NYSEARCAGSG!A$2:G$506,5,0)</f>
        <v>15.47</v>
      </c>
      <c r="M400">
        <f>VLOOKUP(A400,NYSEARCAGLD!A$2:G$506,5,0)</f>
        <v>108.05</v>
      </c>
      <c r="N400">
        <f>VLOOKUP(A400,NYSEBP!A$2:G$506,5,0)</f>
        <v>36.590000000000003</v>
      </c>
      <c r="O400">
        <f>VLOOKUP(A400,NASDAQYHOO!A$2:G$506,5,0)</f>
        <v>38.61</v>
      </c>
    </row>
    <row r="401" spans="1:15">
      <c r="A401" s="39">
        <v>42723</v>
      </c>
      <c r="B401">
        <v>71.58</v>
      </c>
      <c r="C401">
        <f>VLOOKUP(A401,NYSEARCAVTI!A$2:G$506,5,0)</f>
        <v>117.1</v>
      </c>
      <c r="D401">
        <f>VLOOKUP(A401,NYSEARCAVEU!A$2:G$506,5,0)</f>
        <v>44.33</v>
      </c>
      <c r="E401">
        <f>VLOOKUP(A401,NYSEARCAVWO!A$2:G$506,5,0)</f>
        <v>35.409999999999997</v>
      </c>
      <c r="F401">
        <f>VLOOKUP(A401,NYSEARCABND!A$2:G$506,5,0)</f>
        <v>80.349999999999994</v>
      </c>
      <c r="G401">
        <f>VLOOKUP(A401,NYSEARCATIP!A$2:G$506,5,0)</f>
        <v>111.55</v>
      </c>
      <c r="H401">
        <f>VLOOKUP(A401,NYSEARCAMUB!A$2:G$506,5,0)</f>
        <v>107.55</v>
      </c>
      <c r="I401">
        <f>VLOOKUP(A401,NYSEARCAVNQ!A$2:G$506,5,0)</f>
        <v>83.52</v>
      </c>
      <c r="J401">
        <f>VLOOKUP(A401,NYSEARCARWX!A$2:G$506,5,0)</f>
        <v>35.200000000000003</v>
      </c>
      <c r="K401">
        <f>VLOOKUP(A401,NYSEARCADBC!A$2:G$506,5,0)</f>
        <v>15.55</v>
      </c>
      <c r="L401">
        <f>VLOOKUP(A401,NYSEARCAGSG!A$2:G$506,5,0)</f>
        <v>15.38</v>
      </c>
      <c r="M401">
        <f>VLOOKUP(A401,NYSEARCAGLD!A$2:G$506,5,0)</f>
        <v>108.59</v>
      </c>
      <c r="N401">
        <f>VLOOKUP(A401,NYSEBP!A$2:G$506,5,0)</f>
        <v>36.56</v>
      </c>
      <c r="O401">
        <f>VLOOKUP(A401,NASDAQYHOO!A$2:G$506,5,0)</f>
        <v>38.42</v>
      </c>
    </row>
    <row r="402" spans="1:15">
      <c r="A402" s="39">
        <v>42724</v>
      </c>
      <c r="B402">
        <v>71.819999999999993</v>
      </c>
      <c r="C402">
        <f>VLOOKUP(A402,NYSEARCAVTI!A$2:G$506,5,0)</f>
        <v>116.87</v>
      </c>
      <c r="D402">
        <f>VLOOKUP(A402,NYSEARCAVEU!A$2:G$506,5,0)</f>
        <v>44.09</v>
      </c>
      <c r="E402">
        <f>VLOOKUP(A402,NYSEARCAVWO!A$2:G$506,5,0)</f>
        <v>35.299999999999997</v>
      </c>
      <c r="F402">
        <f>VLOOKUP(A402,NYSEARCABND!A$2:G$506,5,0)</f>
        <v>80.36</v>
      </c>
      <c r="G402">
        <f>VLOOKUP(A402,NYSEARCATIP!A$2:G$506,5,0)</f>
        <v>111.66</v>
      </c>
      <c r="H402">
        <f>VLOOKUP(A402,NYSEARCAMUB!A$2:G$506,5,0)</f>
        <v>107.59</v>
      </c>
      <c r="I402">
        <f>VLOOKUP(A402,NYSEARCAVNQ!A$2:G$506,5,0)</f>
        <v>83.71</v>
      </c>
      <c r="J402">
        <f>VLOOKUP(A402,NYSEARCARWX!A$2:G$506,5,0)</f>
        <v>35.43</v>
      </c>
      <c r="K402">
        <f>VLOOKUP(A402,NYSEARCADBC!A$2:G$506,5,0)</f>
        <v>15.62</v>
      </c>
      <c r="L402">
        <f>VLOOKUP(A402,NYSEARCAGSG!A$2:G$506,5,0)</f>
        <v>15.42</v>
      </c>
      <c r="M402">
        <f>VLOOKUP(A402,NYSEARCAGLD!A$2:G$506,5,0)</f>
        <v>107.79</v>
      </c>
      <c r="N402">
        <f>VLOOKUP(A402,NYSEBP!A$2:G$506,5,0)</f>
        <v>36.520000000000003</v>
      </c>
      <c r="O402">
        <f>VLOOKUP(A402,NASDAQYHOO!A$2:G$506,5,0)</f>
        <v>39.159999999999997</v>
      </c>
    </row>
    <row r="403" spans="1:15">
      <c r="A403" s="39">
        <v>42725</v>
      </c>
      <c r="B403">
        <v>71.239999999999995</v>
      </c>
      <c r="C403">
        <f>VLOOKUP(A403,NYSEARCAVTI!A$2:G$506,5,0)</f>
        <v>116.54</v>
      </c>
      <c r="D403">
        <f>VLOOKUP(A403,NYSEARCAVEU!A$2:G$506,5,0)</f>
        <v>44.04</v>
      </c>
      <c r="E403">
        <f>VLOOKUP(A403,NYSEARCAVWO!A$2:G$506,5,0)</f>
        <v>35.19</v>
      </c>
      <c r="F403">
        <f>VLOOKUP(A403,NYSEARCABND!A$2:G$506,5,0)</f>
        <v>80.48</v>
      </c>
      <c r="G403">
        <f>VLOOKUP(A403,NYSEARCATIP!A$2:G$506,5,0)</f>
        <v>111.94</v>
      </c>
      <c r="H403">
        <f>VLOOKUP(A403,NYSEARCAMUB!A$2:G$506,5,0)</f>
        <v>107.71</v>
      </c>
      <c r="I403">
        <f>VLOOKUP(A403,NYSEARCAVNQ!A$2:G$506,5,0)</f>
        <v>82.44</v>
      </c>
      <c r="J403">
        <f>VLOOKUP(A403,NYSEARCARWX!A$2:G$506,5,0)</f>
        <v>35.44</v>
      </c>
      <c r="K403">
        <f>VLOOKUP(A403,NYSEARCADBC!A$2:G$506,5,0)</f>
        <v>15.53</v>
      </c>
      <c r="L403">
        <f>VLOOKUP(A403,NYSEARCAGSG!A$2:G$506,5,0)</f>
        <v>15.36</v>
      </c>
      <c r="M403">
        <f>VLOOKUP(A403,NYSEARCAGLD!A$2:G$506,5,0)</f>
        <v>107.85</v>
      </c>
      <c r="N403">
        <f>VLOOKUP(A403,NYSEBP!A$2:G$506,5,0)</f>
        <v>36.78</v>
      </c>
      <c r="O403">
        <f>VLOOKUP(A403,NASDAQYHOO!A$2:G$506,5,0)</f>
        <v>39.15</v>
      </c>
    </row>
    <row r="404" spans="1:15">
      <c r="A404" s="39">
        <v>42726</v>
      </c>
      <c r="B404">
        <v>69.59</v>
      </c>
      <c r="C404">
        <f>VLOOKUP(A404,NYSEARCAVTI!A$2:G$506,5,0)</f>
        <v>116.24</v>
      </c>
      <c r="D404">
        <f>VLOOKUP(A404,NYSEARCAVEU!A$2:G$506,5,0)</f>
        <v>43.87</v>
      </c>
      <c r="E404">
        <f>VLOOKUP(A404,NYSEARCAVWO!A$2:G$506,5,0)</f>
        <v>34.86</v>
      </c>
      <c r="F404">
        <f>VLOOKUP(A404,NYSEARCABND!A$2:G$506,5,0)</f>
        <v>80.22</v>
      </c>
      <c r="G404">
        <f>VLOOKUP(A404,NYSEARCATIP!A$2:G$506,5,0)</f>
        <v>112.29</v>
      </c>
      <c r="H404">
        <f>VLOOKUP(A404,NYSEARCAMUB!A$2:G$506,5,0)</f>
        <v>107.72</v>
      </c>
      <c r="I404">
        <f>VLOOKUP(A404,NYSEARCAVNQ!A$2:G$506,5,0)</f>
        <v>80.61</v>
      </c>
      <c r="J404">
        <f>VLOOKUP(A404,NYSEARCARWX!A$2:G$506,5,0)</f>
        <v>35.299999999999997</v>
      </c>
      <c r="K404">
        <f>VLOOKUP(A404,NYSEARCADBC!A$2:G$506,5,0)</f>
        <v>15.51</v>
      </c>
      <c r="L404">
        <f>VLOOKUP(A404,NYSEARCAGSG!A$2:G$506,5,0)</f>
        <v>15.36</v>
      </c>
      <c r="M404">
        <f>VLOOKUP(A404,NYSEARCAGLD!A$2:G$506,5,0)</f>
        <v>107.59</v>
      </c>
      <c r="N404">
        <f>VLOOKUP(A404,NYSEBP!A$2:G$506,5,0)</f>
        <v>36.909999999999997</v>
      </c>
      <c r="O404">
        <f>VLOOKUP(A404,NASDAQYHOO!A$2:G$506,5,0)</f>
        <v>38.5</v>
      </c>
    </row>
    <row r="405" spans="1:15">
      <c r="A405" s="39">
        <v>42727</v>
      </c>
      <c r="B405">
        <v>69.540000000000006</v>
      </c>
      <c r="C405">
        <f>VLOOKUP(A405,NYSEARCAVTI!A$2:G$506,5,0)</f>
        <v>116.42</v>
      </c>
      <c r="D405">
        <f>VLOOKUP(A405,NYSEARCAVEU!A$2:G$506,5,0)</f>
        <v>43.97</v>
      </c>
      <c r="E405">
        <f>VLOOKUP(A405,NYSEARCAVWO!A$2:G$506,5,0)</f>
        <v>35.03</v>
      </c>
      <c r="F405">
        <f>VLOOKUP(A405,NYSEARCABND!A$2:G$506,5,0)</f>
        <v>80.260000000000005</v>
      </c>
      <c r="G405">
        <f>VLOOKUP(A405,NYSEARCATIP!A$2:G$506,5,0)</f>
        <v>112.42</v>
      </c>
      <c r="H405">
        <f>VLOOKUP(A405,NYSEARCAMUB!A$2:G$506,5,0)</f>
        <v>107.83</v>
      </c>
      <c r="I405">
        <f>VLOOKUP(A405,NYSEARCAVNQ!A$2:G$506,5,0)</f>
        <v>80.819999999999993</v>
      </c>
      <c r="J405">
        <f>VLOOKUP(A405,NYSEARCARWX!A$2:G$506,5,0)</f>
        <v>35.47</v>
      </c>
      <c r="K405">
        <f>VLOOKUP(A405,NYSEARCADBC!A$2:G$506,5,0)</f>
        <v>15.54</v>
      </c>
      <c r="L405">
        <f>VLOOKUP(A405,NYSEARCAGSG!A$2:G$506,5,0)</f>
        <v>15.4</v>
      </c>
      <c r="M405">
        <f>VLOOKUP(A405,NYSEARCAGLD!A$2:G$506,5,0)</f>
        <v>107.93</v>
      </c>
      <c r="N405">
        <f>VLOOKUP(A405,NYSEBP!A$2:G$506,5,0)</f>
        <v>37.020000000000003</v>
      </c>
      <c r="O405">
        <f>VLOOKUP(A405,NASDAQYHOO!A$2:G$506,5,0)</f>
        <v>38.659999999999997</v>
      </c>
    </row>
    <row r="406" spans="1:15">
      <c r="A406" s="39">
        <v>42731</v>
      </c>
      <c r="B406">
        <v>69.7</v>
      </c>
      <c r="C406">
        <f>VLOOKUP(A406,NYSEARCAVTI!A$2:G$506,5,0)</f>
        <v>116.71</v>
      </c>
      <c r="D406">
        <f>VLOOKUP(A406,NYSEARCAVEU!A$2:G$506,5,0)</f>
        <v>43.99</v>
      </c>
      <c r="E406">
        <f>VLOOKUP(A406,NYSEARCAVWO!A$2:G$506,5,0)</f>
        <v>35.200000000000003</v>
      </c>
      <c r="F406">
        <f>VLOOKUP(A406,NYSEARCABND!A$2:G$506,5,0)</f>
        <v>80.2</v>
      </c>
      <c r="G406">
        <f>VLOOKUP(A406,NYSEARCATIP!A$2:G$506,5,0)</f>
        <v>112.37</v>
      </c>
      <c r="H406">
        <f>VLOOKUP(A406,NYSEARCAMUB!A$2:G$506,5,0)</f>
        <v>107.8</v>
      </c>
      <c r="I406">
        <f>VLOOKUP(A406,NYSEARCAVNQ!A$2:G$506,5,0)</f>
        <v>80.989999999999995</v>
      </c>
      <c r="J406">
        <f>VLOOKUP(A406,NYSEARCARWX!A$2:G$506,5,0)</f>
        <v>35.659999999999997</v>
      </c>
      <c r="K406">
        <f>VLOOKUP(A406,NYSEARCADBC!A$2:G$506,5,0)</f>
        <v>15.78</v>
      </c>
      <c r="L406">
        <f>VLOOKUP(A406,NYSEARCAGSG!A$2:G$506,5,0)</f>
        <v>15.62</v>
      </c>
      <c r="M406">
        <f>VLOOKUP(A406,NYSEARCAGLD!A$2:G$506,5,0)</f>
        <v>108.56</v>
      </c>
      <c r="N406">
        <f>VLOOKUP(A406,NYSEBP!A$2:G$506,5,0)</f>
        <v>37.11</v>
      </c>
      <c r="O406">
        <f>VLOOKUP(A406,NASDAQYHOO!A$2:G$506,5,0)</f>
        <v>38.92</v>
      </c>
    </row>
    <row r="407" spans="1:15">
      <c r="A407" s="39">
        <v>42732</v>
      </c>
      <c r="B407">
        <v>69.31</v>
      </c>
      <c r="C407">
        <f>VLOOKUP(A407,NYSEARCAVTI!A$2:G$506,5,0)</f>
        <v>115.74</v>
      </c>
      <c r="D407">
        <f>VLOOKUP(A407,NYSEARCAVEU!A$2:G$506,5,0)</f>
        <v>43.91</v>
      </c>
      <c r="E407">
        <f>VLOOKUP(A407,NYSEARCAVWO!A$2:G$506,5,0)</f>
        <v>35.42</v>
      </c>
      <c r="F407">
        <f>VLOOKUP(A407,NYSEARCABND!A$2:G$506,5,0)</f>
        <v>80.400000000000006</v>
      </c>
      <c r="G407">
        <f>VLOOKUP(A407,NYSEARCATIP!A$2:G$506,5,0)</f>
        <v>112.66</v>
      </c>
      <c r="H407">
        <f>VLOOKUP(A407,NYSEARCAMUB!A$2:G$506,5,0)</f>
        <v>108.07</v>
      </c>
      <c r="I407">
        <f>VLOOKUP(A407,NYSEARCAVNQ!A$2:G$506,5,0)</f>
        <v>80.5</v>
      </c>
      <c r="J407">
        <f>VLOOKUP(A407,NYSEARCARWX!A$2:G$506,5,0)</f>
        <v>35.409999999999997</v>
      </c>
      <c r="K407">
        <f>VLOOKUP(A407,NYSEARCADBC!A$2:G$506,5,0)</f>
        <v>15.79</v>
      </c>
      <c r="L407">
        <f>VLOOKUP(A407,NYSEARCAGSG!A$2:G$506,5,0)</f>
        <v>15.67</v>
      </c>
      <c r="M407">
        <f>VLOOKUP(A407,NYSEARCAGLD!A$2:G$506,5,0)</f>
        <v>108.86</v>
      </c>
      <c r="N407">
        <f>VLOOKUP(A407,NYSEBP!A$2:G$506,5,0)</f>
        <v>37.25</v>
      </c>
      <c r="O407">
        <f>VLOOKUP(A407,NASDAQYHOO!A$2:G$506,5,0)</f>
        <v>38.729999999999997</v>
      </c>
    </row>
    <row r="408" spans="1:15">
      <c r="A408" s="39">
        <v>42733</v>
      </c>
      <c r="B408">
        <v>69.260000000000005</v>
      </c>
      <c r="C408">
        <f>VLOOKUP(A408,NYSEARCAVTI!A$2:G$506,5,0)</f>
        <v>115.75</v>
      </c>
      <c r="D408">
        <f>VLOOKUP(A408,NYSEARCAVEU!A$2:G$506,5,0)</f>
        <v>44.16</v>
      </c>
      <c r="E408">
        <f>VLOOKUP(A408,NYSEARCAVWO!A$2:G$506,5,0)</f>
        <v>35.97</v>
      </c>
      <c r="F408">
        <f>VLOOKUP(A408,NYSEARCABND!A$2:G$506,5,0)</f>
        <v>80.62</v>
      </c>
      <c r="G408">
        <f>VLOOKUP(A408,NYSEARCATIP!A$2:G$506,5,0)</f>
        <v>112.8</v>
      </c>
      <c r="H408">
        <f>VLOOKUP(A408,NYSEARCAMUB!A$2:G$506,5,0)</f>
        <v>108.25</v>
      </c>
      <c r="I408">
        <f>VLOOKUP(A408,NYSEARCAVNQ!A$2:G$506,5,0)</f>
        <v>81.5</v>
      </c>
      <c r="J408">
        <f>VLOOKUP(A408,NYSEARCARWX!A$2:G$506,5,0)</f>
        <v>35.78</v>
      </c>
      <c r="K408">
        <f>VLOOKUP(A408,NYSEARCADBC!A$2:G$506,5,0)</f>
        <v>15.81</v>
      </c>
      <c r="L408">
        <f>VLOOKUP(A408,NYSEARCAGSG!A$2:G$506,5,0)</f>
        <v>15.69</v>
      </c>
      <c r="M408">
        <f>VLOOKUP(A408,NYSEARCAGLD!A$2:G$506,5,0)</f>
        <v>110.29</v>
      </c>
      <c r="N408">
        <f>VLOOKUP(A408,NYSEBP!A$2:G$506,5,0)</f>
        <v>37.4</v>
      </c>
      <c r="O408">
        <f>VLOOKUP(A408,NASDAQYHOO!A$2:G$506,5,0)</f>
        <v>38.64</v>
      </c>
    </row>
    <row r="409" spans="1:15">
      <c r="A409" s="39">
        <v>42734</v>
      </c>
      <c r="B409">
        <v>69.12</v>
      </c>
      <c r="C409">
        <f>VLOOKUP(A409,NYSEARCAVTI!A$2:G$506,5,0)</f>
        <v>115.32</v>
      </c>
      <c r="D409">
        <f>VLOOKUP(A409,NYSEARCAVEU!A$2:G$506,5,0)</f>
        <v>44.18</v>
      </c>
      <c r="E409">
        <f>VLOOKUP(A409,NYSEARCAVWO!A$2:G$506,5,0)</f>
        <v>35.78</v>
      </c>
      <c r="F409">
        <f>VLOOKUP(A409,NYSEARCABND!A$2:G$506,5,0)</f>
        <v>80.790000000000006</v>
      </c>
      <c r="G409">
        <f>VLOOKUP(A409,NYSEARCATIP!A$2:G$506,5,0)</f>
        <v>113.17</v>
      </c>
      <c r="H409">
        <f>VLOOKUP(A409,NYSEARCAMUB!A$2:G$506,5,0)</f>
        <v>108.18</v>
      </c>
      <c r="I409">
        <f>VLOOKUP(A409,NYSEARCAVNQ!A$2:G$506,5,0)</f>
        <v>82.53</v>
      </c>
      <c r="J409">
        <f>VLOOKUP(A409,NYSEARCARWX!A$2:G$506,5,0)</f>
        <v>36.08</v>
      </c>
      <c r="K409">
        <f>VLOOKUP(A409,NYSEARCADBC!A$2:G$506,5,0)</f>
        <v>15.84</v>
      </c>
      <c r="L409">
        <f>VLOOKUP(A409,NYSEARCAGSG!A$2:G$506,5,0)</f>
        <v>15.67</v>
      </c>
      <c r="M409">
        <f>VLOOKUP(A409,NYSEARCAGLD!A$2:G$506,5,0)</f>
        <v>109.61</v>
      </c>
      <c r="N409">
        <f>VLOOKUP(A409,NYSEBP!A$2:G$506,5,0)</f>
        <v>37.380000000000003</v>
      </c>
      <c r="O409">
        <f>VLOOKUP(A409,NASDAQYHOO!A$2:G$506,5,0)</f>
        <v>38.67</v>
      </c>
    </row>
    <row r="410" spans="1:15">
      <c r="A410" s="39">
        <v>42738</v>
      </c>
      <c r="B410">
        <v>68.66</v>
      </c>
      <c r="C410">
        <f>VLOOKUP(A410,NYSEARCAVTI!A$2:G$506,5,0)</f>
        <v>116.2</v>
      </c>
      <c r="D410">
        <f>VLOOKUP(A410,NYSEARCAVEU!A$2:G$506,5,0)</f>
        <v>44.5</v>
      </c>
      <c r="E410">
        <f>VLOOKUP(A410,NYSEARCAVWO!A$2:G$506,5,0)</f>
        <v>36.17</v>
      </c>
      <c r="F410">
        <f>VLOOKUP(A410,NYSEARCABND!A$2:G$506,5,0)</f>
        <v>80.8</v>
      </c>
      <c r="G410">
        <f>VLOOKUP(A410,NYSEARCATIP!A$2:G$506,5,0)</f>
        <v>113.28</v>
      </c>
      <c r="H410">
        <f>VLOOKUP(A410,NYSEARCAMUB!A$2:G$506,5,0)</f>
        <v>108.08</v>
      </c>
      <c r="I410">
        <f>VLOOKUP(A410,NYSEARCAVNQ!A$2:G$506,5,0)</f>
        <v>82.8</v>
      </c>
      <c r="J410">
        <f>VLOOKUP(A410,NYSEARCARWX!A$2:G$506,5,0)</f>
        <v>36.11</v>
      </c>
      <c r="K410">
        <f>VLOOKUP(A410,NYSEARCADBC!A$2:G$506,5,0)</f>
        <v>15.65</v>
      </c>
      <c r="L410">
        <f>VLOOKUP(A410,NYSEARCAGSG!A$2:G$506,5,0)</f>
        <v>15.42</v>
      </c>
      <c r="M410">
        <f>VLOOKUP(A410,NYSEARCAGLD!A$2:G$506,5,0)</f>
        <v>110.47</v>
      </c>
      <c r="N410">
        <f>VLOOKUP(A410,NYSEBP!A$2:G$506,5,0)</f>
        <v>38</v>
      </c>
      <c r="O410">
        <f>VLOOKUP(A410,NASDAQYHOO!A$2:G$506,5,0)</f>
        <v>38.9</v>
      </c>
    </row>
    <row r="411" spans="1:15">
      <c r="A411" s="39">
        <v>42739</v>
      </c>
      <c r="B411">
        <v>69.06</v>
      </c>
      <c r="C411">
        <f>VLOOKUP(A411,NYSEARCAVTI!A$2:G$506,5,0)</f>
        <v>117.09</v>
      </c>
      <c r="D411">
        <f>VLOOKUP(A411,NYSEARCAVEU!A$2:G$506,5,0)</f>
        <v>45.01</v>
      </c>
      <c r="E411">
        <f>VLOOKUP(A411,NYSEARCAVWO!A$2:G$506,5,0)</f>
        <v>36.5</v>
      </c>
      <c r="F411">
        <f>VLOOKUP(A411,NYSEARCABND!A$2:G$506,5,0)</f>
        <v>80.86</v>
      </c>
      <c r="G411">
        <f>VLOOKUP(A411,NYSEARCATIP!A$2:G$506,5,0)</f>
        <v>113.53</v>
      </c>
      <c r="H411">
        <f>VLOOKUP(A411,NYSEARCAMUB!A$2:G$506,5,0)</f>
        <v>108.3</v>
      </c>
      <c r="I411">
        <f>VLOOKUP(A411,NYSEARCAVNQ!A$2:G$506,5,0)</f>
        <v>84.01</v>
      </c>
      <c r="J411">
        <f>VLOOKUP(A411,NYSEARCARWX!A$2:G$506,5,0)</f>
        <v>36.49</v>
      </c>
      <c r="K411">
        <f>VLOOKUP(A411,NYSEARCADBC!A$2:G$506,5,0)</f>
        <v>15.77</v>
      </c>
      <c r="L411">
        <f>VLOOKUP(A411,NYSEARCAGSG!A$2:G$506,5,0)</f>
        <v>15.54</v>
      </c>
      <c r="M411">
        <f>VLOOKUP(A411,NYSEARCAGLD!A$2:G$506,5,0)</f>
        <v>110.86</v>
      </c>
      <c r="N411">
        <f>VLOOKUP(A411,NYSEBP!A$2:G$506,5,0)</f>
        <v>38.29</v>
      </c>
      <c r="O411">
        <f>VLOOKUP(A411,NASDAQYHOO!A$2:G$506,5,0)</f>
        <v>40.06</v>
      </c>
    </row>
    <row r="412" spans="1:15">
      <c r="A412" s="39">
        <v>42740</v>
      </c>
      <c r="B412">
        <v>69.209999999999994</v>
      </c>
      <c r="C412">
        <f>VLOOKUP(A412,NYSEARCAVTI!A$2:G$506,5,0)</f>
        <v>116.86</v>
      </c>
      <c r="D412">
        <f>VLOOKUP(A412,NYSEARCAVEU!A$2:G$506,5,0)</f>
        <v>45.43</v>
      </c>
      <c r="E412">
        <f>VLOOKUP(A412,NYSEARCAVWO!A$2:G$506,5,0)</f>
        <v>36.880000000000003</v>
      </c>
      <c r="F412">
        <f>VLOOKUP(A412,NYSEARCABND!A$2:G$506,5,0)</f>
        <v>81.27</v>
      </c>
      <c r="G412">
        <f>VLOOKUP(A412,NYSEARCATIP!A$2:G$506,5,0)</f>
        <v>113.92</v>
      </c>
      <c r="H412">
        <f>VLOOKUP(A412,NYSEARCAMUB!A$2:G$506,5,0)</f>
        <v>108.51</v>
      </c>
      <c r="I412">
        <f>VLOOKUP(A412,NYSEARCAVNQ!A$2:G$506,5,0)</f>
        <v>84.28</v>
      </c>
      <c r="J412">
        <f>VLOOKUP(A412,NYSEARCARWX!A$2:G$506,5,0)</f>
        <v>37.04</v>
      </c>
      <c r="K412">
        <f>VLOOKUP(A412,NYSEARCADBC!A$2:G$506,5,0)</f>
        <v>15.85</v>
      </c>
      <c r="L412">
        <f>VLOOKUP(A412,NYSEARCAGSG!A$2:G$506,5,0)</f>
        <v>15.64</v>
      </c>
      <c r="M412">
        <f>VLOOKUP(A412,NYSEARCAGLD!A$2:G$506,5,0)</f>
        <v>112.58</v>
      </c>
      <c r="N412">
        <f>VLOOKUP(A412,NYSEBP!A$2:G$506,5,0)</f>
        <v>38.57</v>
      </c>
      <c r="O412">
        <f>VLOOKUP(A412,NASDAQYHOO!A$2:G$506,5,0)</f>
        <v>41.34</v>
      </c>
    </row>
    <row r="413" spans="1:15">
      <c r="A413" s="39">
        <v>42741</v>
      </c>
      <c r="B413">
        <v>68.260000000000005</v>
      </c>
      <c r="C413">
        <f>VLOOKUP(A413,NYSEARCAVTI!A$2:G$506,5,0)</f>
        <v>117.23</v>
      </c>
      <c r="D413">
        <f>VLOOKUP(A413,NYSEARCAVEU!A$2:G$506,5,0)</f>
        <v>45.26</v>
      </c>
      <c r="E413">
        <f>VLOOKUP(A413,NYSEARCAVWO!A$2:G$506,5,0)</f>
        <v>36.729999999999997</v>
      </c>
      <c r="F413">
        <f>VLOOKUP(A413,NYSEARCABND!A$2:G$506,5,0)</f>
        <v>80.95</v>
      </c>
      <c r="G413">
        <f>VLOOKUP(A413,NYSEARCATIP!A$2:G$506,5,0)</f>
        <v>113.45</v>
      </c>
      <c r="H413">
        <f>VLOOKUP(A413,NYSEARCAMUB!A$2:G$506,5,0)</f>
        <v>108.35</v>
      </c>
      <c r="I413">
        <f>VLOOKUP(A413,NYSEARCAVNQ!A$2:G$506,5,0)</f>
        <v>84.29</v>
      </c>
      <c r="J413">
        <f>VLOOKUP(A413,NYSEARCARWX!A$2:G$506,5,0)</f>
        <v>37.03</v>
      </c>
      <c r="K413">
        <f>VLOOKUP(A413,NYSEARCADBC!A$2:G$506,5,0)</f>
        <v>15.83</v>
      </c>
      <c r="L413">
        <f>VLOOKUP(A413,NYSEARCAGSG!A$2:G$506,5,0)</f>
        <v>15.58</v>
      </c>
      <c r="M413">
        <f>VLOOKUP(A413,NYSEARCAGLD!A$2:G$506,5,0)</f>
        <v>111.75</v>
      </c>
      <c r="N413">
        <f>VLOOKUP(A413,NYSEBP!A$2:G$506,5,0)</f>
        <v>37.909999999999997</v>
      </c>
      <c r="O413">
        <f>VLOOKUP(A413,NASDAQYHOO!A$2:G$506,5,0)</f>
        <v>41.23</v>
      </c>
    </row>
    <row r="414" spans="1:15">
      <c r="A414" s="39">
        <v>42744</v>
      </c>
      <c r="B414">
        <v>68.709999999999994</v>
      </c>
      <c r="C414">
        <f>VLOOKUP(A414,NYSEARCAVTI!A$2:G$506,5,0)</f>
        <v>116.78</v>
      </c>
      <c r="D414">
        <f>VLOOKUP(A414,NYSEARCAVEU!A$2:G$506,5,0)</f>
        <v>45.21</v>
      </c>
      <c r="E414">
        <f>VLOOKUP(A414,NYSEARCAVWO!A$2:G$506,5,0)</f>
        <v>36.67</v>
      </c>
      <c r="F414">
        <f>VLOOKUP(A414,NYSEARCABND!A$2:G$506,5,0)</f>
        <v>81.150000000000006</v>
      </c>
      <c r="G414">
        <f>VLOOKUP(A414,NYSEARCATIP!A$2:G$506,5,0)</f>
        <v>113.63</v>
      </c>
      <c r="H414">
        <f>VLOOKUP(A414,NYSEARCAMUB!A$2:G$506,5,0)</f>
        <v>108.62</v>
      </c>
      <c r="I414">
        <f>VLOOKUP(A414,NYSEARCAVNQ!A$2:G$506,5,0)</f>
        <v>83.53</v>
      </c>
      <c r="J414">
        <f>VLOOKUP(A414,NYSEARCARWX!A$2:G$506,5,0)</f>
        <v>36.96</v>
      </c>
      <c r="K414">
        <f>VLOOKUP(A414,NYSEARCADBC!A$2:G$506,5,0)</f>
        <v>15.59</v>
      </c>
      <c r="L414">
        <f>VLOOKUP(A414,NYSEARCAGSG!A$2:G$506,5,0)</f>
        <v>15.31</v>
      </c>
      <c r="M414">
        <f>VLOOKUP(A414,NYSEARCAGLD!A$2:G$506,5,0)</f>
        <v>112.67</v>
      </c>
      <c r="N414">
        <f>VLOOKUP(A414,NYSEBP!A$2:G$506,5,0)</f>
        <v>37.31</v>
      </c>
      <c r="O414">
        <f>VLOOKUP(A414,NASDAQYHOO!A$2:G$506,5,0)</f>
        <v>41.34</v>
      </c>
    </row>
    <row r="415" spans="1:15">
      <c r="A415" s="39">
        <v>42745</v>
      </c>
      <c r="B415">
        <v>68.23</v>
      </c>
      <c r="C415">
        <f>VLOOKUP(A415,NYSEARCAVTI!A$2:G$506,5,0)</f>
        <v>116.87</v>
      </c>
      <c r="D415">
        <f>VLOOKUP(A415,NYSEARCAVEU!A$2:G$506,5,0)</f>
        <v>45.23</v>
      </c>
      <c r="E415">
        <f>VLOOKUP(A415,NYSEARCAVWO!A$2:G$506,5,0)</f>
        <v>36.869999999999997</v>
      </c>
      <c r="F415">
        <f>VLOOKUP(A415,NYSEARCABND!A$2:G$506,5,0)</f>
        <v>81.13</v>
      </c>
      <c r="G415">
        <f>VLOOKUP(A415,NYSEARCATIP!A$2:G$506,5,0)</f>
        <v>113.72</v>
      </c>
      <c r="H415">
        <f>VLOOKUP(A415,NYSEARCAMUB!A$2:G$506,5,0)</f>
        <v>108.59</v>
      </c>
      <c r="I415">
        <f>VLOOKUP(A415,NYSEARCAVNQ!A$2:G$506,5,0)</f>
        <v>82.82</v>
      </c>
      <c r="J415">
        <f>VLOOKUP(A415,NYSEARCARWX!A$2:G$506,5,0)</f>
        <v>36.94</v>
      </c>
      <c r="K415">
        <f>VLOOKUP(A415,NYSEARCADBC!A$2:G$506,5,0)</f>
        <v>15.52</v>
      </c>
      <c r="L415">
        <f>VLOOKUP(A415,NYSEARCAGSG!A$2:G$506,5,0)</f>
        <v>15.2</v>
      </c>
      <c r="M415">
        <f>VLOOKUP(A415,NYSEARCAGLD!A$2:G$506,5,0)</f>
        <v>113.15</v>
      </c>
      <c r="N415">
        <f>VLOOKUP(A415,NYSEBP!A$2:G$506,5,0)</f>
        <v>37.11</v>
      </c>
      <c r="O415">
        <f>VLOOKUP(A415,NASDAQYHOO!A$2:G$506,5,0)</f>
        <v>42.3</v>
      </c>
    </row>
    <row r="416" spans="1:15">
      <c r="A416" s="39">
        <v>42746</v>
      </c>
      <c r="B416">
        <v>68.53</v>
      </c>
      <c r="C416">
        <f>VLOOKUP(A416,NYSEARCAVTI!A$2:G$506,5,0)</f>
        <v>117.24</v>
      </c>
      <c r="D416">
        <f>VLOOKUP(A416,NYSEARCAVEU!A$2:G$506,5,0)</f>
        <v>45.6</v>
      </c>
      <c r="E416">
        <f>VLOOKUP(A416,NYSEARCAVWO!A$2:G$506,5,0)</f>
        <v>37.19</v>
      </c>
      <c r="F416">
        <f>VLOOKUP(A416,NYSEARCABND!A$2:G$506,5,0)</f>
        <v>81.17</v>
      </c>
      <c r="G416">
        <f>VLOOKUP(A416,NYSEARCATIP!A$2:G$506,5,0)</f>
        <v>114.08</v>
      </c>
      <c r="H416">
        <f>VLOOKUP(A416,NYSEARCAMUB!A$2:G$506,5,0)</f>
        <v>108.92</v>
      </c>
      <c r="I416">
        <f>VLOOKUP(A416,NYSEARCAVNQ!A$2:G$506,5,0)</f>
        <v>82.31</v>
      </c>
      <c r="J416">
        <f>VLOOKUP(A416,NYSEARCARWX!A$2:G$506,5,0)</f>
        <v>36.85</v>
      </c>
      <c r="K416">
        <f>VLOOKUP(A416,NYSEARCADBC!A$2:G$506,5,0)</f>
        <v>15.69</v>
      </c>
      <c r="L416">
        <f>VLOOKUP(A416,NYSEARCAGSG!A$2:G$506,5,0)</f>
        <v>15.4</v>
      </c>
      <c r="M416">
        <f>VLOOKUP(A416,NYSEARCAGLD!A$2:G$506,5,0)</f>
        <v>113.5</v>
      </c>
      <c r="N416">
        <f>VLOOKUP(A416,NYSEBP!A$2:G$506,5,0)</f>
        <v>37.549999999999997</v>
      </c>
      <c r="O416">
        <f>VLOOKUP(A416,NASDAQYHOO!A$2:G$506,5,0)</f>
        <v>42.59</v>
      </c>
    </row>
    <row r="417" spans="1:15">
      <c r="A417" s="39">
        <v>42747</v>
      </c>
      <c r="B417">
        <v>67.97</v>
      </c>
      <c r="C417">
        <f>VLOOKUP(A417,NYSEARCAVTI!A$2:G$506,5,0)</f>
        <v>116.93</v>
      </c>
      <c r="D417">
        <f>VLOOKUP(A417,NYSEARCAVEU!A$2:G$506,5,0)</f>
        <v>45.62</v>
      </c>
      <c r="E417">
        <f>VLOOKUP(A417,NYSEARCAVWO!A$2:G$506,5,0)</f>
        <v>37.28</v>
      </c>
      <c r="F417">
        <f>VLOOKUP(A417,NYSEARCABND!A$2:G$506,5,0)</f>
        <v>81.19</v>
      </c>
      <c r="G417">
        <f>VLOOKUP(A417,NYSEARCATIP!A$2:G$506,5,0)</f>
        <v>114.18</v>
      </c>
      <c r="H417">
        <f>VLOOKUP(A417,NYSEARCAMUB!A$2:G$506,5,0)</f>
        <v>109.26</v>
      </c>
      <c r="I417">
        <f>VLOOKUP(A417,NYSEARCAVNQ!A$2:G$506,5,0)</f>
        <v>82.73</v>
      </c>
      <c r="J417">
        <f>VLOOKUP(A417,NYSEARCARWX!A$2:G$506,5,0)</f>
        <v>36.700000000000003</v>
      </c>
      <c r="K417">
        <f>VLOOKUP(A417,NYSEARCADBC!A$2:G$506,5,0)</f>
        <v>15.92</v>
      </c>
      <c r="L417">
        <f>VLOOKUP(A417,NYSEARCAGSG!A$2:G$506,5,0)</f>
        <v>15.64</v>
      </c>
      <c r="M417">
        <f>VLOOKUP(A417,NYSEARCAGLD!A$2:G$506,5,0)</f>
        <v>113.91</v>
      </c>
      <c r="N417">
        <f>VLOOKUP(A417,NYSEBP!A$2:G$506,5,0)</f>
        <v>37.76</v>
      </c>
      <c r="O417">
        <f>VLOOKUP(A417,NASDAQYHOO!A$2:G$506,5,0)</f>
        <v>42.11</v>
      </c>
    </row>
    <row r="418" spans="1:15">
      <c r="A418" s="39">
        <v>42748</v>
      </c>
      <c r="B418">
        <v>67.13</v>
      </c>
      <c r="C418">
        <f>VLOOKUP(A418,NYSEARCAVTI!A$2:G$506,5,0)</f>
        <v>117.22</v>
      </c>
      <c r="D418">
        <f>VLOOKUP(A418,NYSEARCAVEU!A$2:G$506,5,0)</f>
        <v>45.77</v>
      </c>
      <c r="E418">
        <f>VLOOKUP(A418,NYSEARCAVWO!A$2:G$506,5,0)</f>
        <v>37.24</v>
      </c>
      <c r="F418">
        <f>VLOOKUP(A418,NYSEARCABND!A$2:G$506,5,0)</f>
        <v>81.06</v>
      </c>
      <c r="G418">
        <f>VLOOKUP(A418,NYSEARCATIP!A$2:G$506,5,0)</f>
        <v>113.98</v>
      </c>
      <c r="H418">
        <f>VLOOKUP(A418,NYSEARCAMUB!A$2:G$506,5,0)</f>
        <v>109.16</v>
      </c>
      <c r="I418">
        <f>VLOOKUP(A418,NYSEARCAVNQ!A$2:G$506,5,0)</f>
        <v>82.61</v>
      </c>
      <c r="J418">
        <f>VLOOKUP(A418,NYSEARCARWX!A$2:G$506,5,0)</f>
        <v>36.659999999999997</v>
      </c>
      <c r="K418">
        <f>VLOOKUP(A418,NYSEARCADBC!A$2:G$506,5,0)</f>
        <v>15.89</v>
      </c>
      <c r="L418">
        <f>VLOOKUP(A418,NYSEARCAGSG!A$2:G$506,5,0)</f>
        <v>15.61</v>
      </c>
      <c r="M418">
        <f>VLOOKUP(A418,NYSEARCAGLD!A$2:G$506,5,0)</f>
        <v>114.21</v>
      </c>
      <c r="N418">
        <f>VLOOKUP(A418,NYSEBP!A$2:G$506,5,0)</f>
        <v>37.659999999999997</v>
      </c>
      <c r="O418">
        <f>VLOOKUP(A418,NASDAQYHOO!A$2:G$506,5,0)</f>
        <v>42.27</v>
      </c>
    </row>
    <row r="419" spans="1:15">
      <c r="A419" s="39">
        <v>42752</v>
      </c>
      <c r="B419">
        <v>68.42</v>
      </c>
      <c r="C419">
        <f>VLOOKUP(A419,NYSEARCAVTI!A$2:G$506,5,0)</f>
        <v>116.7</v>
      </c>
      <c r="D419">
        <f>VLOOKUP(A419,NYSEARCAVEU!A$2:G$506,5,0)</f>
        <v>45.69</v>
      </c>
      <c r="E419">
        <f>VLOOKUP(A419,NYSEARCAVWO!A$2:G$506,5,0)</f>
        <v>37.200000000000003</v>
      </c>
      <c r="F419">
        <f>VLOOKUP(A419,NYSEARCABND!A$2:G$506,5,0)</f>
        <v>81.31</v>
      </c>
      <c r="G419">
        <f>VLOOKUP(A419,NYSEARCATIP!A$2:G$506,5,0)</f>
        <v>114.34</v>
      </c>
      <c r="H419">
        <f>VLOOKUP(A419,NYSEARCAMUB!A$2:G$506,5,0)</f>
        <v>109.23</v>
      </c>
      <c r="I419">
        <f>VLOOKUP(A419,NYSEARCAVNQ!A$2:G$506,5,0)</f>
        <v>83.25</v>
      </c>
      <c r="J419">
        <f>VLOOKUP(A419,NYSEARCARWX!A$2:G$506,5,0)</f>
        <v>36.67</v>
      </c>
      <c r="K419">
        <f>VLOOKUP(A419,NYSEARCADBC!A$2:G$506,5,0)</f>
        <v>15.88</v>
      </c>
      <c r="L419">
        <f>VLOOKUP(A419,NYSEARCAGSG!A$2:G$506,5,0)</f>
        <v>15.62</v>
      </c>
      <c r="M419">
        <f>VLOOKUP(A419,NYSEARCAGLD!A$2:G$506,5,0)</f>
        <v>115.85</v>
      </c>
      <c r="N419">
        <f>VLOOKUP(A419,NYSEBP!A$2:G$506,5,0)</f>
        <v>37.44</v>
      </c>
      <c r="O419">
        <f>VLOOKUP(A419,NASDAQYHOO!A$2:G$506,5,0)</f>
        <v>41.99</v>
      </c>
    </row>
    <row r="420" spans="1:15">
      <c r="A420" s="39">
        <v>42753</v>
      </c>
      <c r="B420">
        <v>68.11</v>
      </c>
      <c r="C420">
        <f>VLOOKUP(A420,NYSEARCAVTI!A$2:G$506,5,0)</f>
        <v>116.97</v>
      </c>
      <c r="D420">
        <f>VLOOKUP(A420,NYSEARCAVEU!A$2:G$506,5,0)</f>
        <v>45.48</v>
      </c>
      <c r="E420">
        <f>VLOOKUP(A420,NYSEARCAVWO!A$2:G$506,5,0)</f>
        <v>37.06</v>
      </c>
      <c r="F420">
        <f>VLOOKUP(A420,NYSEARCABND!A$2:G$506,5,0)</f>
        <v>80.89</v>
      </c>
      <c r="G420">
        <f>VLOOKUP(A420,NYSEARCATIP!A$2:G$506,5,0)</f>
        <v>113.78</v>
      </c>
      <c r="H420">
        <f>VLOOKUP(A420,NYSEARCAMUB!A$2:G$506,5,0)</f>
        <v>108.99</v>
      </c>
      <c r="I420">
        <f>VLOOKUP(A420,NYSEARCAVNQ!A$2:G$506,5,0)</f>
        <v>83.39</v>
      </c>
      <c r="J420">
        <f>VLOOKUP(A420,NYSEARCARWX!A$2:G$506,5,0)</f>
        <v>36.69</v>
      </c>
      <c r="K420">
        <f>VLOOKUP(A420,NYSEARCADBC!A$2:G$506,5,0)</f>
        <v>15.74</v>
      </c>
      <c r="L420">
        <f>VLOOKUP(A420,NYSEARCAGSG!A$2:G$506,5,0)</f>
        <v>15.41</v>
      </c>
      <c r="M420">
        <f>VLOOKUP(A420,NYSEARCAGLD!A$2:G$506,5,0)</f>
        <v>114.87</v>
      </c>
      <c r="N420">
        <f>VLOOKUP(A420,NYSEBP!A$2:G$506,5,0)</f>
        <v>37.1</v>
      </c>
      <c r="O420">
        <f>VLOOKUP(A420,NASDAQYHOO!A$2:G$506,5,0)</f>
        <v>42.03</v>
      </c>
    </row>
    <row r="421" spans="1:15">
      <c r="A421" s="39">
        <v>42754</v>
      </c>
      <c r="B421">
        <v>67.62</v>
      </c>
      <c r="C421">
        <f>VLOOKUP(A421,NYSEARCAVTI!A$2:G$506,5,0)</f>
        <v>116.51</v>
      </c>
      <c r="D421">
        <f>VLOOKUP(A421,NYSEARCAVEU!A$2:G$506,5,0)</f>
        <v>45.38</v>
      </c>
      <c r="E421">
        <f>VLOOKUP(A421,NYSEARCAVWO!A$2:G$506,5,0)</f>
        <v>36.96</v>
      </c>
      <c r="F421">
        <f>VLOOKUP(A421,NYSEARCABND!A$2:G$506,5,0)</f>
        <v>80.75</v>
      </c>
      <c r="G421">
        <f>VLOOKUP(A421,NYSEARCATIP!A$2:G$506,5,0)</f>
        <v>113.69</v>
      </c>
      <c r="H421">
        <f>VLOOKUP(A421,NYSEARCAMUB!A$2:G$506,5,0)</f>
        <v>108.54</v>
      </c>
      <c r="I421">
        <f>VLOOKUP(A421,NYSEARCAVNQ!A$2:G$506,5,0)</f>
        <v>82.54</v>
      </c>
      <c r="J421">
        <f>VLOOKUP(A421,NYSEARCARWX!A$2:G$506,5,0)</f>
        <v>36.33</v>
      </c>
      <c r="K421">
        <f>VLOOKUP(A421,NYSEARCADBC!A$2:G$506,5,0)</f>
        <v>15.69</v>
      </c>
      <c r="L421">
        <f>VLOOKUP(A421,NYSEARCAGSG!A$2:G$506,5,0)</f>
        <v>15.38</v>
      </c>
      <c r="M421">
        <f>VLOOKUP(A421,NYSEARCAGLD!A$2:G$506,5,0)</f>
        <v>114.77</v>
      </c>
      <c r="N421">
        <f>VLOOKUP(A421,NYSEBP!A$2:G$506,5,0)</f>
        <v>36.9</v>
      </c>
      <c r="O421">
        <f>VLOOKUP(A421,NASDAQYHOO!A$2:G$506,5,0)</f>
        <v>42.09</v>
      </c>
    </row>
    <row r="422" spans="1:15">
      <c r="A422" s="39">
        <v>42755</v>
      </c>
      <c r="B422">
        <v>67.180000000000007</v>
      </c>
      <c r="C422">
        <f>VLOOKUP(A422,NYSEARCAVTI!A$2:G$506,5,0)</f>
        <v>116.91</v>
      </c>
      <c r="D422">
        <f>VLOOKUP(A422,NYSEARCAVEU!A$2:G$506,5,0)</f>
        <v>45.6</v>
      </c>
      <c r="E422">
        <f>VLOOKUP(A422,NYSEARCAVWO!A$2:G$506,5,0)</f>
        <v>37.020000000000003</v>
      </c>
      <c r="F422">
        <f>VLOOKUP(A422,NYSEARCABND!A$2:G$506,5,0)</f>
        <v>80.81</v>
      </c>
      <c r="G422">
        <f>VLOOKUP(A422,NYSEARCATIP!A$2:G$506,5,0)</f>
        <v>113.71</v>
      </c>
      <c r="H422">
        <f>VLOOKUP(A422,NYSEARCAMUB!A$2:G$506,5,0)</f>
        <v>108.33</v>
      </c>
      <c r="I422">
        <f>VLOOKUP(A422,NYSEARCAVNQ!A$2:G$506,5,0)</f>
        <v>83.14</v>
      </c>
      <c r="J422">
        <f>VLOOKUP(A422,NYSEARCARWX!A$2:G$506,5,0)</f>
        <v>36.47</v>
      </c>
      <c r="K422">
        <f>VLOOKUP(A422,NYSEARCADBC!A$2:G$506,5,0)</f>
        <v>15.87</v>
      </c>
      <c r="L422">
        <f>VLOOKUP(A422,NYSEARCAGSG!A$2:G$506,5,0)</f>
        <v>15.56</v>
      </c>
      <c r="M422">
        <f>VLOOKUP(A422,NYSEARCAGLD!A$2:G$506,5,0)</f>
        <v>115.05</v>
      </c>
      <c r="N422">
        <f>VLOOKUP(A422,NYSEBP!A$2:G$506,5,0)</f>
        <v>36.840000000000003</v>
      </c>
      <c r="O422">
        <f>VLOOKUP(A422,NASDAQYHOO!A$2:G$506,5,0)</f>
        <v>42.05</v>
      </c>
    </row>
    <row r="423" spans="1:15">
      <c r="A423" s="39">
        <v>42758</v>
      </c>
      <c r="B423">
        <v>66.650000000000006</v>
      </c>
      <c r="C423">
        <f>VLOOKUP(A423,NYSEARCAVTI!A$2:G$506,5,0)</f>
        <v>116.6</v>
      </c>
      <c r="D423">
        <f>VLOOKUP(A423,NYSEARCAVEU!A$2:G$506,5,0)</f>
        <v>45.73</v>
      </c>
      <c r="E423">
        <f>VLOOKUP(A423,NYSEARCAVWO!A$2:G$506,5,0)</f>
        <v>37.53</v>
      </c>
      <c r="F423">
        <f>VLOOKUP(A423,NYSEARCABND!A$2:G$506,5,0)</f>
        <v>81.03</v>
      </c>
      <c r="G423">
        <f>VLOOKUP(A423,NYSEARCATIP!A$2:G$506,5,0)</f>
        <v>114.17</v>
      </c>
      <c r="H423">
        <f>VLOOKUP(A423,NYSEARCAMUB!A$2:G$506,5,0)</f>
        <v>108.45</v>
      </c>
      <c r="I423">
        <f>VLOOKUP(A423,NYSEARCAVNQ!A$2:G$506,5,0)</f>
        <v>83.84</v>
      </c>
      <c r="J423">
        <f>VLOOKUP(A423,NYSEARCARWX!A$2:G$506,5,0)</f>
        <v>36.76</v>
      </c>
      <c r="K423">
        <f>VLOOKUP(A423,NYSEARCADBC!A$2:G$506,5,0)</f>
        <v>15.87</v>
      </c>
      <c r="L423">
        <f>VLOOKUP(A423,NYSEARCAGSG!A$2:G$506,5,0)</f>
        <v>15.56</v>
      </c>
      <c r="M423">
        <f>VLOOKUP(A423,NYSEARCAGLD!A$2:G$506,5,0)</f>
        <v>115.79</v>
      </c>
      <c r="N423">
        <f>VLOOKUP(A423,NYSEBP!A$2:G$506,5,0)</f>
        <v>36.619999999999997</v>
      </c>
      <c r="O423">
        <f>VLOOKUP(A423,NASDAQYHOO!A$2:G$506,5,0)</f>
        <v>42.4</v>
      </c>
    </row>
    <row r="424" spans="1:15">
      <c r="A424" s="39">
        <v>42759</v>
      </c>
      <c r="B424">
        <v>67.400000000000006</v>
      </c>
      <c r="C424">
        <f>VLOOKUP(A424,NYSEARCAVTI!A$2:G$506,5,0)</f>
        <v>117.51</v>
      </c>
      <c r="D424">
        <f>VLOOKUP(A424,NYSEARCAVEU!A$2:G$506,5,0)</f>
        <v>45.97</v>
      </c>
      <c r="E424">
        <f>VLOOKUP(A424,NYSEARCAVWO!A$2:G$506,5,0)</f>
        <v>37.799999999999997</v>
      </c>
      <c r="F424">
        <f>VLOOKUP(A424,NYSEARCABND!A$2:G$506,5,0)</f>
        <v>80.91</v>
      </c>
      <c r="G424">
        <f>VLOOKUP(A424,NYSEARCATIP!A$2:G$506,5,0)</f>
        <v>113.98</v>
      </c>
      <c r="H424">
        <f>VLOOKUP(A424,NYSEARCAMUB!A$2:G$506,5,0)</f>
        <v>108.31</v>
      </c>
      <c r="I424">
        <f>VLOOKUP(A424,NYSEARCAVNQ!A$2:G$506,5,0)</f>
        <v>83.86</v>
      </c>
      <c r="J424">
        <f>VLOOKUP(A424,NYSEARCARWX!A$2:G$506,5,0)</f>
        <v>36.799999999999997</v>
      </c>
      <c r="K424">
        <f>VLOOKUP(A424,NYSEARCADBC!A$2:G$506,5,0)</f>
        <v>15.91</v>
      </c>
      <c r="L424">
        <f>VLOOKUP(A424,NYSEARCAGSG!A$2:G$506,5,0)</f>
        <v>15.57</v>
      </c>
      <c r="M424">
        <f>VLOOKUP(A424,NYSEARCAGLD!A$2:G$506,5,0)</f>
        <v>115.27</v>
      </c>
      <c r="N424">
        <f>VLOOKUP(A424,NYSEBP!A$2:G$506,5,0)</f>
        <v>36.909999999999997</v>
      </c>
      <c r="O424">
        <f>VLOOKUP(A424,NASDAQYHOO!A$2:G$506,5,0)</f>
        <v>43.9</v>
      </c>
    </row>
    <row r="425" spans="1:15">
      <c r="A425" s="39">
        <v>42760</v>
      </c>
      <c r="B425">
        <v>66.89</v>
      </c>
      <c r="C425">
        <f>VLOOKUP(A425,NYSEARCAVTI!A$2:G$506,5,0)</f>
        <v>118.52</v>
      </c>
      <c r="D425">
        <f>VLOOKUP(A425,NYSEARCAVEU!A$2:G$506,5,0)</f>
        <v>46.4</v>
      </c>
      <c r="E425">
        <f>VLOOKUP(A425,NYSEARCAVWO!A$2:G$506,5,0)</f>
        <v>38.130000000000003</v>
      </c>
      <c r="F425">
        <f>VLOOKUP(A425,NYSEARCABND!A$2:G$506,5,0)</f>
        <v>80.67</v>
      </c>
      <c r="G425">
        <f>VLOOKUP(A425,NYSEARCATIP!A$2:G$506,5,0)</f>
        <v>113.61</v>
      </c>
      <c r="H425">
        <f>VLOOKUP(A425,NYSEARCAMUB!A$2:G$506,5,0)</f>
        <v>108.14</v>
      </c>
      <c r="I425">
        <f>VLOOKUP(A425,NYSEARCAVNQ!A$2:G$506,5,0)</f>
        <v>83.31</v>
      </c>
      <c r="J425">
        <f>VLOOKUP(A425,NYSEARCARWX!A$2:G$506,5,0)</f>
        <v>36.82</v>
      </c>
      <c r="K425">
        <f>VLOOKUP(A425,NYSEARCADBC!A$2:G$506,5,0)</f>
        <v>15.81</v>
      </c>
      <c r="L425">
        <f>VLOOKUP(A425,NYSEARCAGSG!A$2:G$506,5,0)</f>
        <v>15.53</v>
      </c>
      <c r="M425">
        <f>VLOOKUP(A425,NYSEARCAGLD!A$2:G$506,5,0)</f>
        <v>114.32</v>
      </c>
      <c r="N425">
        <f>VLOOKUP(A425,NYSEBP!A$2:G$506,5,0)</f>
        <v>37.03</v>
      </c>
      <c r="O425">
        <f>VLOOKUP(A425,NASDAQYHOO!A$2:G$506,5,0)</f>
        <v>44.94</v>
      </c>
    </row>
    <row r="426" spans="1:15">
      <c r="A426" s="39">
        <v>42761</v>
      </c>
      <c r="B426">
        <v>66.73</v>
      </c>
      <c r="C426">
        <f>VLOOKUP(A426,NYSEARCAVTI!A$2:G$506,5,0)</f>
        <v>118.35</v>
      </c>
      <c r="D426">
        <f>VLOOKUP(A426,NYSEARCAVEU!A$2:G$506,5,0)</f>
        <v>46.25</v>
      </c>
      <c r="E426">
        <f>VLOOKUP(A426,NYSEARCAVWO!A$2:G$506,5,0)</f>
        <v>37.97</v>
      </c>
      <c r="F426">
        <f>VLOOKUP(A426,NYSEARCABND!A$2:G$506,5,0)</f>
        <v>80.7</v>
      </c>
      <c r="G426">
        <f>VLOOKUP(A426,NYSEARCATIP!A$2:G$506,5,0)</f>
        <v>113.78</v>
      </c>
      <c r="H426">
        <f>VLOOKUP(A426,NYSEARCAMUB!A$2:G$506,5,0)</f>
        <v>108.15</v>
      </c>
      <c r="I426">
        <f>VLOOKUP(A426,NYSEARCAVNQ!A$2:G$506,5,0)</f>
        <v>83.15</v>
      </c>
      <c r="J426">
        <f>VLOOKUP(A426,NYSEARCARWX!A$2:G$506,5,0)</f>
        <v>36.65</v>
      </c>
      <c r="K426">
        <f>VLOOKUP(A426,NYSEARCADBC!A$2:G$506,5,0)</f>
        <v>15.88</v>
      </c>
      <c r="L426">
        <f>VLOOKUP(A426,NYSEARCAGSG!A$2:G$506,5,0)</f>
        <v>15.61</v>
      </c>
      <c r="M426">
        <f>VLOOKUP(A426,NYSEARCAGLD!A$2:G$506,5,0)</f>
        <v>113.26</v>
      </c>
      <c r="N426">
        <f>VLOOKUP(A426,NYSEBP!A$2:G$506,5,0)</f>
        <v>36.74</v>
      </c>
      <c r="O426">
        <f>VLOOKUP(A426,NASDAQYHOO!A$2:G$506,5,0)</f>
        <v>44.55</v>
      </c>
    </row>
    <row r="427" spans="1:15">
      <c r="A427" s="39">
        <v>42762</v>
      </c>
      <c r="B427">
        <v>65.66</v>
      </c>
      <c r="C427">
        <f>VLOOKUP(A427,NYSEARCAVTI!A$2:G$506,5,0)</f>
        <v>118.16</v>
      </c>
      <c r="D427">
        <f>VLOOKUP(A427,NYSEARCAVEU!A$2:G$506,5,0)</f>
        <v>46.17</v>
      </c>
      <c r="E427">
        <f>VLOOKUP(A427,NYSEARCAVWO!A$2:G$506,5,0)</f>
        <v>38.01</v>
      </c>
      <c r="F427">
        <f>VLOOKUP(A427,NYSEARCABND!A$2:G$506,5,0)</f>
        <v>80.790000000000006</v>
      </c>
      <c r="G427">
        <f>VLOOKUP(A427,NYSEARCATIP!A$2:G$506,5,0)</f>
        <v>113.97</v>
      </c>
      <c r="H427">
        <f>VLOOKUP(A427,NYSEARCAMUB!A$2:G$506,5,0)</f>
        <v>108.31</v>
      </c>
      <c r="I427">
        <f>VLOOKUP(A427,NYSEARCAVNQ!A$2:G$506,5,0)</f>
        <v>82.34</v>
      </c>
      <c r="J427">
        <f>VLOOKUP(A427,NYSEARCARWX!A$2:G$506,5,0)</f>
        <v>36.6</v>
      </c>
      <c r="K427">
        <f>VLOOKUP(A427,NYSEARCADBC!A$2:G$506,5,0)</f>
        <v>15.75</v>
      </c>
      <c r="L427">
        <f>VLOOKUP(A427,NYSEARCAGSG!A$2:G$506,5,0)</f>
        <v>15.48</v>
      </c>
      <c r="M427">
        <f>VLOOKUP(A427,NYSEARCAGLD!A$2:G$506,5,0)</f>
        <v>113.49</v>
      </c>
      <c r="N427">
        <f>VLOOKUP(A427,NYSEBP!A$2:G$506,5,0)</f>
        <v>36.58</v>
      </c>
      <c r="O427">
        <f>VLOOKUP(A427,NASDAQYHOO!A$2:G$506,5,0)</f>
        <v>44.42</v>
      </c>
    </row>
    <row r="428" spans="1:15">
      <c r="A428" s="39">
        <v>42765</v>
      </c>
      <c r="B428">
        <v>66.42</v>
      </c>
      <c r="C428">
        <f>VLOOKUP(A428,NYSEARCAVTI!A$2:G$506,5,0)</f>
        <v>117.36</v>
      </c>
      <c r="D428">
        <f>VLOOKUP(A428,NYSEARCAVEU!A$2:G$506,5,0)</f>
        <v>45.88</v>
      </c>
      <c r="E428">
        <f>VLOOKUP(A428,NYSEARCAVWO!A$2:G$506,5,0)</f>
        <v>37.82</v>
      </c>
      <c r="F428">
        <f>VLOOKUP(A428,NYSEARCABND!A$2:G$506,5,0)</f>
        <v>80.77</v>
      </c>
      <c r="G428">
        <f>VLOOKUP(A428,NYSEARCATIP!A$2:G$506,5,0)</f>
        <v>113.94</v>
      </c>
      <c r="H428">
        <f>VLOOKUP(A428,NYSEARCAMUB!A$2:G$506,5,0)</f>
        <v>108.31</v>
      </c>
      <c r="I428">
        <f>VLOOKUP(A428,NYSEARCAVNQ!A$2:G$506,5,0)</f>
        <v>81.78</v>
      </c>
      <c r="J428">
        <f>VLOOKUP(A428,NYSEARCARWX!A$2:G$506,5,0)</f>
        <v>36.56</v>
      </c>
      <c r="K428">
        <f>VLOOKUP(A428,NYSEARCADBC!A$2:G$506,5,0)</f>
        <v>15.66</v>
      </c>
      <c r="L428">
        <f>VLOOKUP(A428,NYSEARCAGSG!A$2:G$506,5,0)</f>
        <v>15.34</v>
      </c>
      <c r="M428">
        <f>VLOOKUP(A428,NYSEARCAGLD!A$2:G$506,5,0)</f>
        <v>113.97</v>
      </c>
      <c r="N428">
        <f>VLOOKUP(A428,NYSEBP!A$2:G$506,5,0)</f>
        <v>35.96</v>
      </c>
      <c r="O428">
        <f>VLOOKUP(A428,NASDAQYHOO!A$2:G$506,5,0)</f>
        <v>43.93</v>
      </c>
    </row>
    <row r="429" spans="1:15">
      <c r="A429" s="39">
        <v>42766</v>
      </c>
      <c r="B429">
        <v>66.739999999999995</v>
      </c>
      <c r="C429">
        <f>VLOOKUP(A429,NYSEARCAVTI!A$2:G$506,5,0)</f>
        <v>117.46</v>
      </c>
      <c r="D429">
        <f>VLOOKUP(A429,NYSEARCAVEU!A$2:G$506,5,0)</f>
        <v>46.01</v>
      </c>
      <c r="E429">
        <f>VLOOKUP(A429,NYSEARCAVWO!A$2:G$506,5,0)</f>
        <v>37.840000000000003</v>
      </c>
      <c r="F429">
        <f>VLOOKUP(A429,NYSEARCABND!A$2:G$506,5,0)</f>
        <v>80.94</v>
      </c>
      <c r="G429">
        <f>VLOOKUP(A429,NYSEARCATIP!A$2:G$506,5,0)</f>
        <v>114.18</v>
      </c>
      <c r="H429">
        <f>VLOOKUP(A429,NYSEARCAMUB!A$2:G$506,5,0)</f>
        <v>108.46</v>
      </c>
      <c r="I429">
        <f>VLOOKUP(A429,NYSEARCAVNQ!A$2:G$506,5,0)</f>
        <v>82.37</v>
      </c>
      <c r="J429">
        <f>VLOOKUP(A429,NYSEARCARWX!A$2:G$506,5,0)</f>
        <v>36.909999999999997</v>
      </c>
      <c r="K429">
        <f>VLOOKUP(A429,NYSEARCADBC!A$2:G$506,5,0)</f>
        <v>15.75</v>
      </c>
      <c r="L429">
        <f>VLOOKUP(A429,NYSEARCAGSG!A$2:G$506,5,0)</f>
        <v>15.43</v>
      </c>
      <c r="M429">
        <f>VLOOKUP(A429,NYSEARCAGLD!A$2:G$506,5,0)</f>
        <v>115.55</v>
      </c>
      <c r="N429">
        <f>VLOOKUP(A429,NYSEBP!A$2:G$506,5,0)</f>
        <v>35.979999999999997</v>
      </c>
      <c r="O429">
        <f>VLOOKUP(A429,NASDAQYHOO!A$2:G$506,5,0)</f>
        <v>44.07</v>
      </c>
    </row>
    <row r="430" spans="1:15">
      <c r="A430" s="39">
        <v>42767</v>
      </c>
      <c r="B430">
        <v>66.23</v>
      </c>
      <c r="C430">
        <f>VLOOKUP(A430,NYSEARCAVTI!A$2:G$506,5,0)</f>
        <v>117.45</v>
      </c>
      <c r="D430">
        <f>VLOOKUP(A430,NYSEARCAVEU!A$2:G$506,5,0)</f>
        <v>46.12</v>
      </c>
      <c r="E430">
        <f>VLOOKUP(A430,NYSEARCAVWO!A$2:G$506,5,0)</f>
        <v>37.92</v>
      </c>
      <c r="F430">
        <f>VLOOKUP(A430,NYSEARCABND!A$2:G$506,5,0)</f>
        <v>80.63</v>
      </c>
      <c r="G430">
        <f>VLOOKUP(A430,NYSEARCATIP!A$2:G$506,5,0)</f>
        <v>113.94</v>
      </c>
      <c r="H430">
        <f>VLOOKUP(A430,NYSEARCAMUB!A$2:G$506,5,0)</f>
        <v>108.09</v>
      </c>
      <c r="I430">
        <f>VLOOKUP(A430,NYSEARCAVNQ!A$2:G$506,5,0)</f>
        <v>81.38</v>
      </c>
      <c r="J430">
        <f>VLOOKUP(A430,NYSEARCARWX!A$2:G$506,5,0)</f>
        <v>36.979999999999997</v>
      </c>
      <c r="K430">
        <f>VLOOKUP(A430,NYSEARCADBC!A$2:G$506,5,0)</f>
        <v>15.92</v>
      </c>
      <c r="L430">
        <f>VLOOKUP(A430,NYSEARCAGSG!A$2:G$506,5,0)</f>
        <v>15.62</v>
      </c>
      <c r="M430">
        <f>VLOOKUP(A430,NYSEARCAGLD!A$2:G$506,5,0)</f>
        <v>115.2</v>
      </c>
      <c r="N430">
        <f>VLOOKUP(A430,NYSEBP!A$2:G$506,5,0)</f>
        <v>35.99</v>
      </c>
      <c r="O430">
        <f>VLOOKUP(A430,NASDAQYHOO!A$2:G$506,5,0)</f>
        <v>43.78</v>
      </c>
    </row>
    <row r="431" spans="1:15">
      <c r="A431" s="39">
        <v>42768</v>
      </c>
      <c r="B431">
        <v>66.7</v>
      </c>
      <c r="C431">
        <f>VLOOKUP(A431,NYSEARCAVTI!A$2:G$506,5,0)</f>
        <v>117.53</v>
      </c>
      <c r="D431">
        <f>VLOOKUP(A431,NYSEARCAVEU!A$2:G$506,5,0)</f>
        <v>46.18</v>
      </c>
      <c r="E431">
        <f>VLOOKUP(A431,NYSEARCAVWO!A$2:G$506,5,0)</f>
        <v>38.049999999999997</v>
      </c>
      <c r="F431">
        <f>VLOOKUP(A431,NYSEARCABND!A$2:G$506,5,0)</f>
        <v>80.680000000000007</v>
      </c>
      <c r="G431">
        <f>VLOOKUP(A431,NYSEARCATIP!A$2:G$506,5,0)</f>
        <v>113.95</v>
      </c>
      <c r="H431">
        <f>VLOOKUP(A431,NYSEARCAMUB!A$2:G$506,5,0)</f>
        <v>108.25</v>
      </c>
      <c r="I431">
        <f>VLOOKUP(A431,NYSEARCAVNQ!A$2:G$506,5,0)</f>
        <v>82.35</v>
      </c>
      <c r="J431">
        <f>VLOOKUP(A431,NYSEARCARWX!A$2:G$506,5,0)</f>
        <v>36.89</v>
      </c>
      <c r="K431">
        <f>VLOOKUP(A431,NYSEARCADBC!A$2:G$506,5,0)</f>
        <v>15.92</v>
      </c>
      <c r="L431">
        <f>VLOOKUP(A431,NYSEARCAGSG!A$2:G$506,5,0)</f>
        <v>15.62</v>
      </c>
      <c r="M431">
        <f>VLOOKUP(A431,NYSEARCAGLD!A$2:G$506,5,0)</f>
        <v>115.84</v>
      </c>
      <c r="N431">
        <f>VLOOKUP(A431,NYSEBP!A$2:G$506,5,0)</f>
        <v>35.79</v>
      </c>
      <c r="O431">
        <f>VLOOKUP(A431,NASDAQYHOO!A$2:G$506,5,0)</f>
        <v>43.69</v>
      </c>
    </row>
    <row r="432" spans="1:15">
      <c r="A432" s="39">
        <v>42769</v>
      </c>
      <c r="B432">
        <v>66.5</v>
      </c>
      <c r="C432">
        <f>VLOOKUP(A432,NYSEARCAVTI!A$2:G$506,5,0)</f>
        <v>118.42</v>
      </c>
      <c r="D432">
        <f>VLOOKUP(A432,NYSEARCAVEU!A$2:G$506,5,0)</f>
        <v>46.41</v>
      </c>
      <c r="E432">
        <f>VLOOKUP(A432,NYSEARCAVWO!A$2:G$506,5,0)</f>
        <v>38.29</v>
      </c>
      <c r="F432">
        <f>VLOOKUP(A432,NYSEARCABND!A$2:G$506,5,0)</f>
        <v>80.7</v>
      </c>
      <c r="G432">
        <f>VLOOKUP(A432,NYSEARCATIP!A$2:G$506,5,0)</f>
        <v>113.83</v>
      </c>
      <c r="H432">
        <f>VLOOKUP(A432,NYSEARCAMUB!A$2:G$506,5,0)</f>
        <v>108.21</v>
      </c>
      <c r="I432">
        <f>VLOOKUP(A432,NYSEARCAVNQ!A$2:G$506,5,0)</f>
        <v>82.8</v>
      </c>
      <c r="J432">
        <f>VLOOKUP(A432,NYSEARCARWX!A$2:G$506,5,0)</f>
        <v>37.090000000000003</v>
      </c>
      <c r="K432">
        <f>VLOOKUP(A432,NYSEARCADBC!A$2:G$506,5,0)</f>
        <v>15.91</v>
      </c>
      <c r="L432">
        <f>VLOOKUP(A432,NYSEARCAGSG!A$2:G$506,5,0)</f>
        <v>15.61</v>
      </c>
      <c r="M432">
        <f>VLOOKUP(A432,NYSEARCAGLD!A$2:G$506,5,0)</f>
        <v>116.13</v>
      </c>
      <c r="N432">
        <f>VLOOKUP(A432,NYSEBP!A$2:G$506,5,0)</f>
        <v>35.92</v>
      </c>
      <c r="O432">
        <f>VLOOKUP(A432,NASDAQYHOO!A$2:G$506,5,0)</f>
        <v>43.71</v>
      </c>
    </row>
    <row r="433" spans="1:15">
      <c r="A433" s="39">
        <v>42772</v>
      </c>
      <c r="B433">
        <v>66.400000000000006</v>
      </c>
      <c r="C433">
        <f>VLOOKUP(A433,NYSEARCAVTI!A$2:G$506,5,0)</f>
        <v>118.14</v>
      </c>
      <c r="D433">
        <f>VLOOKUP(A433,NYSEARCAVEU!A$2:G$506,5,0)</f>
        <v>46.12</v>
      </c>
      <c r="E433">
        <f>VLOOKUP(A433,NYSEARCAVWO!A$2:G$506,5,0)</f>
        <v>38.200000000000003</v>
      </c>
      <c r="F433">
        <f>VLOOKUP(A433,NYSEARCABND!A$2:G$506,5,0)</f>
        <v>80.95</v>
      </c>
      <c r="G433">
        <f>VLOOKUP(A433,NYSEARCATIP!A$2:G$506,5,0)</f>
        <v>114.11</v>
      </c>
      <c r="H433">
        <f>VLOOKUP(A433,NYSEARCAMUB!A$2:G$506,5,0)</f>
        <v>108.39</v>
      </c>
      <c r="I433">
        <f>VLOOKUP(A433,NYSEARCAVNQ!A$2:G$506,5,0)</f>
        <v>82.66</v>
      </c>
      <c r="J433">
        <f>VLOOKUP(A433,NYSEARCARWX!A$2:G$506,5,0)</f>
        <v>37.020000000000003</v>
      </c>
      <c r="K433">
        <f>VLOOKUP(A433,NYSEARCADBC!A$2:G$506,5,0)</f>
        <v>15.81</v>
      </c>
      <c r="L433">
        <f>VLOOKUP(A433,NYSEARCAGSG!A$2:G$506,5,0)</f>
        <v>15.46</v>
      </c>
      <c r="M433">
        <f>VLOOKUP(A433,NYSEARCAGLD!A$2:G$506,5,0)</f>
        <v>117.7</v>
      </c>
      <c r="N433">
        <f>VLOOKUP(A433,NYSEBP!A$2:G$506,5,0)</f>
        <v>35.82</v>
      </c>
      <c r="O433">
        <f>VLOOKUP(A433,NASDAQYHOO!A$2:G$506,5,0)</f>
        <v>44.42</v>
      </c>
    </row>
    <row r="434" spans="1:15">
      <c r="A434" s="39">
        <v>42773</v>
      </c>
      <c r="B434">
        <v>66.89</v>
      </c>
      <c r="C434">
        <f>VLOOKUP(A434,NYSEARCAVTI!A$2:G$506,5,0)</f>
        <v>118.13</v>
      </c>
      <c r="D434">
        <f>VLOOKUP(A434,NYSEARCAVEU!A$2:G$506,5,0)</f>
        <v>46.02</v>
      </c>
      <c r="E434">
        <f>VLOOKUP(A434,NYSEARCAVWO!A$2:G$506,5,0)</f>
        <v>38.06</v>
      </c>
      <c r="F434">
        <f>VLOOKUP(A434,NYSEARCABND!A$2:G$506,5,0)</f>
        <v>81.08</v>
      </c>
      <c r="G434">
        <f>VLOOKUP(A434,NYSEARCATIP!A$2:G$506,5,0)</f>
        <v>114.06</v>
      </c>
      <c r="H434">
        <f>VLOOKUP(A434,NYSEARCAMUB!A$2:G$506,5,0)</f>
        <v>108.47</v>
      </c>
      <c r="I434">
        <f>VLOOKUP(A434,NYSEARCAVNQ!A$2:G$506,5,0)</f>
        <v>82.37</v>
      </c>
      <c r="J434">
        <f>VLOOKUP(A434,NYSEARCARWX!A$2:G$506,5,0)</f>
        <v>37.1</v>
      </c>
      <c r="K434">
        <f>VLOOKUP(A434,NYSEARCADBC!A$2:G$506,5,0)</f>
        <v>15.74</v>
      </c>
      <c r="L434">
        <f>VLOOKUP(A434,NYSEARCAGSG!A$2:G$506,5,0)</f>
        <v>15.35</v>
      </c>
      <c r="M434">
        <f>VLOOKUP(A434,NYSEARCAGLD!A$2:G$506,5,0)</f>
        <v>117.46</v>
      </c>
      <c r="N434">
        <f>VLOOKUP(A434,NYSEBP!A$2:G$506,5,0)</f>
        <v>34.380000000000003</v>
      </c>
      <c r="O434">
        <f>VLOOKUP(A434,NASDAQYHOO!A$2:G$506,5,0)</f>
        <v>44.37</v>
      </c>
    </row>
    <row r="435" spans="1:15">
      <c r="A435" s="39">
        <v>42774</v>
      </c>
      <c r="B435">
        <v>67.81</v>
      </c>
      <c r="C435">
        <f>VLOOKUP(A435,NYSEARCAVTI!A$2:G$506,5,0)</f>
        <v>118.26</v>
      </c>
      <c r="D435">
        <f>VLOOKUP(A435,NYSEARCAVEU!A$2:G$506,5,0)</f>
        <v>46.18</v>
      </c>
      <c r="E435">
        <f>VLOOKUP(A435,NYSEARCAVWO!A$2:G$506,5,0)</f>
        <v>38.36</v>
      </c>
      <c r="F435">
        <f>VLOOKUP(A435,NYSEARCABND!A$2:G$506,5,0)</f>
        <v>81.3</v>
      </c>
      <c r="G435">
        <f>VLOOKUP(A435,NYSEARCATIP!A$2:G$506,5,0)</f>
        <v>114.33</v>
      </c>
      <c r="H435">
        <f>VLOOKUP(A435,NYSEARCAMUB!A$2:G$506,5,0)</f>
        <v>108.69</v>
      </c>
      <c r="I435">
        <f>VLOOKUP(A435,NYSEARCAVNQ!A$2:G$506,5,0)</f>
        <v>83.02</v>
      </c>
      <c r="J435">
        <f>VLOOKUP(A435,NYSEARCARWX!A$2:G$506,5,0)</f>
        <v>37.299999999999997</v>
      </c>
      <c r="K435">
        <f>VLOOKUP(A435,NYSEARCADBC!A$2:G$506,5,0)</f>
        <v>15.8</v>
      </c>
      <c r="L435">
        <f>VLOOKUP(A435,NYSEARCAGSG!A$2:G$506,5,0)</f>
        <v>15.44</v>
      </c>
      <c r="M435">
        <f>VLOOKUP(A435,NYSEARCAGLD!A$2:G$506,5,0)</f>
        <v>118.19</v>
      </c>
      <c r="N435">
        <f>VLOOKUP(A435,NYSEBP!A$2:G$506,5,0)</f>
        <v>34.43</v>
      </c>
      <c r="O435">
        <f>VLOOKUP(A435,NASDAQYHOO!A$2:G$506,5,0)</f>
        <v>45.07</v>
      </c>
    </row>
    <row r="436" spans="1:15">
      <c r="A436" s="39">
        <v>42775</v>
      </c>
      <c r="B436">
        <v>69.08</v>
      </c>
      <c r="C436">
        <f>VLOOKUP(A436,NYSEARCAVTI!A$2:G$506,5,0)</f>
        <v>119.04</v>
      </c>
      <c r="D436">
        <f>VLOOKUP(A436,NYSEARCAVEU!A$2:G$506,5,0)</f>
        <v>46.33</v>
      </c>
      <c r="E436">
        <f>VLOOKUP(A436,NYSEARCAVWO!A$2:G$506,5,0)</f>
        <v>38.56</v>
      </c>
      <c r="F436">
        <f>VLOOKUP(A436,NYSEARCABND!A$2:G$506,5,0)</f>
        <v>81.08</v>
      </c>
      <c r="G436">
        <f>VLOOKUP(A436,NYSEARCATIP!A$2:G$506,5,0)</f>
        <v>114.11</v>
      </c>
      <c r="H436">
        <f>VLOOKUP(A436,NYSEARCAMUB!A$2:G$506,5,0)</f>
        <v>108.43</v>
      </c>
      <c r="I436">
        <f>VLOOKUP(A436,NYSEARCAVNQ!A$2:G$506,5,0)</f>
        <v>83.22</v>
      </c>
      <c r="J436">
        <f>VLOOKUP(A436,NYSEARCARWX!A$2:G$506,5,0)</f>
        <v>37.46</v>
      </c>
      <c r="K436">
        <f>VLOOKUP(A436,NYSEARCADBC!A$2:G$506,5,0)</f>
        <v>15.88</v>
      </c>
      <c r="L436">
        <f>VLOOKUP(A436,NYSEARCAGSG!A$2:G$506,5,0)</f>
        <v>15.51</v>
      </c>
      <c r="M436">
        <f>VLOOKUP(A436,NYSEARCAGLD!A$2:G$506,5,0)</f>
        <v>117.29</v>
      </c>
      <c r="N436">
        <f>VLOOKUP(A436,NYSEBP!A$2:G$506,5,0)</f>
        <v>34.44</v>
      </c>
      <c r="O436">
        <f>VLOOKUP(A436,NASDAQYHOO!A$2:G$506,5,0)</f>
        <v>45.08</v>
      </c>
    </row>
    <row r="437" spans="1:15">
      <c r="A437" s="39">
        <v>42776</v>
      </c>
      <c r="B437">
        <v>68.02</v>
      </c>
      <c r="C437">
        <f>VLOOKUP(A437,NYSEARCAVTI!A$2:G$506,5,0)</f>
        <v>119.54</v>
      </c>
      <c r="D437">
        <f>VLOOKUP(A437,NYSEARCAVEU!A$2:G$506,5,0)</f>
        <v>46.53</v>
      </c>
      <c r="E437">
        <f>VLOOKUP(A437,NYSEARCAVWO!A$2:G$506,5,0)</f>
        <v>38.909999999999997</v>
      </c>
      <c r="F437">
        <f>VLOOKUP(A437,NYSEARCABND!A$2:G$506,5,0)</f>
        <v>81.06</v>
      </c>
      <c r="G437">
        <f>VLOOKUP(A437,NYSEARCATIP!A$2:G$506,5,0)</f>
        <v>114.2</v>
      </c>
      <c r="H437">
        <f>VLOOKUP(A437,NYSEARCAMUB!A$2:G$506,5,0)</f>
        <v>108.45</v>
      </c>
      <c r="I437">
        <f>VLOOKUP(A437,NYSEARCAVNQ!A$2:G$506,5,0)</f>
        <v>83.81</v>
      </c>
      <c r="J437">
        <f>VLOOKUP(A437,NYSEARCARWX!A$2:G$506,5,0)</f>
        <v>37.5</v>
      </c>
      <c r="K437">
        <f>VLOOKUP(A437,NYSEARCADBC!A$2:G$506,5,0)</f>
        <v>16.05</v>
      </c>
      <c r="L437">
        <f>VLOOKUP(A437,NYSEARCAGSG!A$2:G$506,5,0)</f>
        <v>15.67</v>
      </c>
      <c r="M437">
        <f>VLOOKUP(A437,NYSEARCAGLD!A$2:G$506,5,0)</f>
        <v>117.6</v>
      </c>
      <c r="N437">
        <f>VLOOKUP(A437,NYSEBP!A$2:G$506,5,0)</f>
        <v>34.53</v>
      </c>
      <c r="O437">
        <f>VLOOKUP(A437,NASDAQYHOO!A$2:G$506,5,0)</f>
        <v>45.03</v>
      </c>
    </row>
    <row r="438" spans="1:15">
      <c r="A438" s="39">
        <v>42779</v>
      </c>
      <c r="B438">
        <v>67.77</v>
      </c>
      <c r="C438">
        <f>VLOOKUP(A438,NYSEARCAVTI!A$2:G$506,5,0)</f>
        <v>120.14</v>
      </c>
      <c r="D438">
        <f>VLOOKUP(A438,NYSEARCAVEU!A$2:G$506,5,0)</f>
        <v>46.75</v>
      </c>
      <c r="E438">
        <f>VLOOKUP(A438,NYSEARCAVWO!A$2:G$506,5,0)</f>
        <v>39.06</v>
      </c>
      <c r="F438">
        <f>VLOOKUP(A438,NYSEARCABND!A$2:G$506,5,0)</f>
        <v>80.97</v>
      </c>
      <c r="G438">
        <f>VLOOKUP(A438,NYSEARCATIP!A$2:G$506,5,0)</f>
        <v>114.02</v>
      </c>
      <c r="H438">
        <f>VLOOKUP(A438,NYSEARCAMUB!A$2:G$506,5,0)</f>
        <v>108.37</v>
      </c>
      <c r="I438">
        <f>VLOOKUP(A438,NYSEARCAVNQ!A$2:G$506,5,0)</f>
        <v>83.84</v>
      </c>
      <c r="J438">
        <f>VLOOKUP(A438,NYSEARCARWX!A$2:G$506,5,0)</f>
        <v>37.39</v>
      </c>
      <c r="K438">
        <f>VLOOKUP(A438,NYSEARCADBC!A$2:G$506,5,0)</f>
        <v>15.87</v>
      </c>
      <c r="L438">
        <f>VLOOKUP(A438,NYSEARCAGSG!A$2:G$506,5,0)</f>
        <v>15.47</v>
      </c>
      <c r="M438">
        <f>VLOOKUP(A438,NYSEARCAGLD!A$2:G$506,5,0)</f>
        <v>116.8</v>
      </c>
      <c r="N438">
        <f>VLOOKUP(A438,NYSEBP!A$2:G$506,5,0)</f>
        <v>34.659999999999997</v>
      </c>
      <c r="O438">
        <f>VLOOKUP(A438,NASDAQYHOO!A$2:G$506,5,0)</f>
        <v>45.46</v>
      </c>
    </row>
    <row r="439" spans="1:15">
      <c r="A439" s="39">
        <v>42780</v>
      </c>
      <c r="B439">
        <v>68.66</v>
      </c>
      <c r="C439">
        <f>VLOOKUP(A439,NYSEARCAVTI!A$2:G$506,5,0)</f>
        <v>120.58</v>
      </c>
      <c r="D439">
        <f>VLOOKUP(A439,NYSEARCAVEU!A$2:G$506,5,0)</f>
        <v>46.7</v>
      </c>
      <c r="E439">
        <f>VLOOKUP(A439,NYSEARCAVWO!A$2:G$506,5,0)</f>
        <v>39.119999999999997</v>
      </c>
      <c r="F439">
        <f>VLOOKUP(A439,NYSEARCABND!A$2:G$506,5,0)</f>
        <v>80.8</v>
      </c>
      <c r="G439">
        <f>VLOOKUP(A439,NYSEARCATIP!A$2:G$506,5,0)</f>
        <v>113.75</v>
      </c>
      <c r="H439">
        <f>VLOOKUP(A439,NYSEARCAMUB!A$2:G$506,5,0)</f>
        <v>108.08</v>
      </c>
      <c r="I439">
        <f>VLOOKUP(A439,NYSEARCAVNQ!A$2:G$506,5,0)</f>
        <v>83.4</v>
      </c>
      <c r="J439">
        <f>VLOOKUP(A439,NYSEARCARWX!A$2:G$506,5,0)</f>
        <v>37.4</v>
      </c>
      <c r="K439">
        <f>VLOOKUP(A439,NYSEARCADBC!A$2:G$506,5,0)</f>
        <v>15.89</v>
      </c>
      <c r="L439">
        <f>VLOOKUP(A439,NYSEARCAGSG!A$2:G$506,5,0)</f>
        <v>15.53</v>
      </c>
      <c r="M439">
        <f>VLOOKUP(A439,NYSEARCAGLD!A$2:G$506,5,0)</f>
        <v>116.93</v>
      </c>
      <c r="N439">
        <f>VLOOKUP(A439,NYSEBP!A$2:G$506,5,0)</f>
        <v>34.58</v>
      </c>
      <c r="O439">
        <f>VLOOKUP(A439,NASDAQYHOO!A$2:G$506,5,0)</f>
        <v>45.02</v>
      </c>
    </row>
    <row r="440" spans="1:15">
      <c r="A440" s="39">
        <v>42781</v>
      </c>
      <c r="B440">
        <v>68.69</v>
      </c>
      <c r="C440">
        <f>VLOOKUP(A440,NYSEARCAVTI!A$2:G$506,5,0)</f>
        <v>121.24</v>
      </c>
      <c r="D440">
        <f>VLOOKUP(A440,NYSEARCAVEU!A$2:G$506,5,0)</f>
        <v>46.94</v>
      </c>
      <c r="E440">
        <f>VLOOKUP(A440,NYSEARCAVWO!A$2:G$506,5,0)</f>
        <v>39.409999999999997</v>
      </c>
      <c r="F440">
        <f>VLOOKUP(A440,NYSEARCABND!A$2:G$506,5,0)</f>
        <v>80.67</v>
      </c>
      <c r="G440">
        <f>VLOOKUP(A440,NYSEARCATIP!A$2:G$506,5,0)</f>
        <v>113.9</v>
      </c>
      <c r="H440">
        <f>VLOOKUP(A440,NYSEARCAMUB!A$2:G$506,5,0)</f>
        <v>107.89</v>
      </c>
      <c r="I440">
        <f>VLOOKUP(A440,NYSEARCAVNQ!A$2:G$506,5,0)</f>
        <v>83.12</v>
      </c>
      <c r="J440">
        <f>VLOOKUP(A440,NYSEARCARWX!A$2:G$506,5,0)</f>
        <v>37.47</v>
      </c>
      <c r="K440">
        <f>VLOOKUP(A440,NYSEARCADBC!A$2:G$506,5,0)</f>
        <v>15.91</v>
      </c>
      <c r="L440">
        <f>VLOOKUP(A440,NYSEARCAGSG!A$2:G$506,5,0)</f>
        <v>15.53</v>
      </c>
      <c r="M440">
        <f>VLOOKUP(A440,NYSEARCAGLD!A$2:G$506,5,0)</f>
        <v>117.45</v>
      </c>
      <c r="N440">
        <f>VLOOKUP(A440,NYSEBP!A$2:G$506,5,0)</f>
        <v>33.799999999999997</v>
      </c>
      <c r="O440">
        <f>VLOOKUP(A440,NASDAQYHOO!A$2:G$506,5,0)</f>
        <v>45.65</v>
      </c>
    </row>
    <row r="441" spans="1:15">
      <c r="A441" s="39">
        <v>42782</v>
      </c>
      <c r="B441">
        <v>68.87</v>
      </c>
      <c r="C441">
        <f>VLOOKUP(A441,NYSEARCAVTI!A$2:G$506,5,0)</f>
        <v>121.13</v>
      </c>
      <c r="D441">
        <f>VLOOKUP(A441,NYSEARCAVEU!A$2:G$506,5,0)</f>
        <v>46.99</v>
      </c>
      <c r="E441">
        <f>VLOOKUP(A441,NYSEARCAVWO!A$2:G$506,5,0)</f>
        <v>39.299999999999997</v>
      </c>
      <c r="F441">
        <f>VLOOKUP(A441,NYSEARCABND!A$2:G$506,5,0)</f>
        <v>80.819999999999993</v>
      </c>
      <c r="G441">
        <f>VLOOKUP(A441,NYSEARCATIP!A$2:G$506,5,0)</f>
        <v>113.9</v>
      </c>
      <c r="H441">
        <f>VLOOKUP(A441,NYSEARCAMUB!A$2:G$506,5,0)</f>
        <v>108.16</v>
      </c>
      <c r="I441">
        <f>VLOOKUP(A441,NYSEARCAVNQ!A$2:G$506,5,0)</f>
        <v>83.61</v>
      </c>
      <c r="J441">
        <f>VLOOKUP(A441,NYSEARCARWX!A$2:G$506,5,0)</f>
        <v>37.5</v>
      </c>
      <c r="K441">
        <f>VLOOKUP(A441,NYSEARCADBC!A$2:G$506,5,0)</f>
        <v>15.81</v>
      </c>
      <c r="L441">
        <f>VLOOKUP(A441,NYSEARCAGSG!A$2:G$506,5,0)</f>
        <v>15.5</v>
      </c>
      <c r="M441">
        <f>VLOOKUP(A441,NYSEARCAGLD!A$2:G$506,5,0)</f>
        <v>118.08</v>
      </c>
      <c r="N441">
        <f>VLOOKUP(A441,NYSEBP!A$2:G$506,5,0)</f>
        <v>33.68</v>
      </c>
      <c r="O441">
        <f>VLOOKUP(A441,NASDAQYHOO!A$2:G$506,5,0)</f>
        <v>45.16</v>
      </c>
    </row>
    <row r="442" spans="1:15">
      <c r="A442" s="39">
        <v>42783</v>
      </c>
      <c r="B442">
        <v>69.37</v>
      </c>
      <c r="C442">
        <f>VLOOKUP(A442,NYSEARCAVTI!A$2:G$506,5,0)</f>
        <v>121.31</v>
      </c>
      <c r="D442">
        <f>VLOOKUP(A442,NYSEARCAVEU!A$2:G$506,5,0)</f>
        <v>46.87</v>
      </c>
      <c r="E442">
        <f>VLOOKUP(A442,NYSEARCAVWO!A$2:G$506,5,0)</f>
        <v>39.17</v>
      </c>
      <c r="F442">
        <f>VLOOKUP(A442,NYSEARCABND!A$2:G$506,5,0)</f>
        <v>81.010000000000005</v>
      </c>
      <c r="G442">
        <f>VLOOKUP(A442,NYSEARCATIP!A$2:G$506,5,0)</f>
        <v>114.16</v>
      </c>
      <c r="H442">
        <f>VLOOKUP(A442,NYSEARCAMUB!A$2:G$506,5,0)</f>
        <v>108.3</v>
      </c>
      <c r="I442">
        <f>VLOOKUP(A442,NYSEARCAVNQ!A$2:G$506,5,0)</f>
        <v>83.77</v>
      </c>
      <c r="J442">
        <f>VLOOKUP(A442,NYSEARCARWX!A$2:G$506,5,0)</f>
        <v>37.46</v>
      </c>
      <c r="K442">
        <f>VLOOKUP(A442,NYSEARCADBC!A$2:G$506,5,0)</f>
        <v>15.78</v>
      </c>
      <c r="L442">
        <f>VLOOKUP(A442,NYSEARCAGSG!A$2:G$506,5,0)</f>
        <v>15.45</v>
      </c>
      <c r="M442">
        <f>VLOOKUP(A442,NYSEARCAGLD!A$2:G$506,5,0)</f>
        <v>117.68</v>
      </c>
      <c r="N442">
        <f>VLOOKUP(A442,NYSEBP!A$2:G$506,5,0)</f>
        <v>33.42</v>
      </c>
      <c r="O442">
        <f>VLOOKUP(A442,NASDAQYHOO!A$2:G$506,5,0)</f>
        <v>45.1</v>
      </c>
    </row>
    <row r="443" spans="1:15">
      <c r="A443" s="39">
        <v>42787</v>
      </c>
      <c r="B443">
        <v>71.45</v>
      </c>
      <c r="C443">
        <f>VLOOKUP(A443,NYSEARCAVTI!A$2:G$506,5,0)</f>
        <v>122.03</v>
      </c>
      <c r="D443">
        <f>VLOOKUP(A443,NYSEARCAVEU!A$2:G$506,5,0)</f>
        <v>47.09</v>
      </c>
      <c r="E443">
        <f>VLOOKUP(A443,NYSEARCAVWO!A$2:G$506,5,0)</f>
        <v>39.49</v>
      </c>
      <c r="F443">
        <f>VLOOKUP(A443,NYSEARCABND!A$2:G$506,5,0)</f>
        <v>81</v>
      </c>
      <c r="G443">
        <f>VLOOKUP(A443,NYSEARCATIP!A$2:G$506,5,0)</f>
        <v>114.15</v>
      </c>
      <c r="H443">
        <f>VLOOKUP(A443,NYSEARCAMUB!A$2:G$506,5,0)</f>
        <v>108.3</v>
      </c>
      <c r="I443">
        <f>VLOOKUP(A443,NYSEARCAVNQ!A$2:G$506,5,0)</f>
        <v>84.84</v>
      </c>
      <c r="J443">
        <f>VLOOKUP(A443,NYSEARCARWX!A$2:G$506,5,0)</f>
        <v>37.369999999999997</v>
      </c>
      <c r="K443">
        <f>VLOOKUP(A443,NYSEARCADBC!A$2:G$506,5,0)</f>
        <v>15.76</v>
      </c>
      <c r="L443">
        <f>VLOOKUP(A443,NYSEARCAGSG!A$2:G$506,5,0)</f>
        <v>15.53</v>
      </c>
      <c r="M443">
        <f>VLOOKUP(A443,NYSEARCAGLD!A$2:G$506,5,0)</f>
        <v>117.75</v>
      </c>
      <c r="N443">
        <f>VLOOKUP(A443,NYSEBP!A$2:G$506,5,0)</f>
        <v>33.83</v>
      </c>
      <c r="O443">
        <f>VLOOKUP(A443,NASDAQYHOO!A$2:G$506,5,0)</f>
        <v>45.5</v>
      </c>
    </row>
    <row r="444" spans="1:15">
      <c r="A444" s="39">
        <v>42788</v>
      </c>
      <c r="B444">
        <v>71.709999999999994</v>
      </c>
      <c r="C444">
        <f>VLOOKUP(A444,NYSEARCAVTI!A$2:G$506,5,0)</f>
        <v>121.87</v>
      </c>
      <c r="D444">
        <f>VLOOKUP(A444,NYSEARCAVEU!A$2:G$506,5,0)</f>
        <v>47.1</v>
      </c>
      <c r="E444">
        <f>VLOOKUP(A444,NYSEARCAVWO!A$2:G$506,5,0)</f>
        <v>39.590000000000003</v>
      </c>
      <c r="F444">
        <f>VLOOKUP(A444,NYSEARCABND!A$2:G$506,5,0)</f>
        <v>81.05</v>
      </c>
      <c r="G444">
        <f>VLOOKUP(A444,NYSEARCATIP!A$2:G$506,5,0)</f>
        <v>114.36</v>
      </c>
      <c r="H444">
        <f>VLOOKUP(A444,NYSEARCAMUB!A$2:G$506,5,0)</f>
        <v>108.45</v>
      </c>
      <c r="I444">
        <f>VLOOKUP(A444,NYSEARCAVNQ!A$2:G$506,5,0)</f>
        <v>84.56</v>
      </c>
      <c r="J444">
        <f>VLOOKUP(A444,NYSEARCARWX!A$2:G$506,5,0)</f>
        <v>37.46</v>
      </c>
      <c r="K444">
        <f>VLOOKUP(A444,NYSEARCADBC!A$2:G$506,5,0)</f>
        <v>15.68</v>
      </c>
      <c r="L444">
        <f>VLOOKUP(A444,NYSEARCAGSG!A$2:G$506,5,0)</f>
        <v>15.4</v>
      </c>
      <c r="M444">
        <f>VLOOKUP(A444,NYSEARCAGLD!A$2:G$506,5,0)</f>
        <v>117.91</v>
      </c>
      <c r="N444">
        <f>VLOOKUP(A444,NYSEBP!A$2:G$506,5,0)</f>
        <v>33.409999999999997</v>
      </c>
      <c r="O444">
        <f>VLOOKUP(A444,NASDAQYHOO!A$2:G$506,5,0)</f>
        <v>45.98</v>
      </c>
    </row>
    <row r="445" spans="1:15">
      <c r="A445" s="39">
        <v>42789</v>
      </c>
      <c r="B445">
        <v>71.31</v>
      </c>
      <c r="C445">
        <f>VLOOKUP(A445,NYSEARCAVTI!A$2:G$506,5,0)</f>
        <v>121.78</v>
      </c>
      <c r="D445">
        <f>VLOOKUP(A445,NYSEARCAVEU!A$2:G$506,5,0)</f>
        <v>47.17</v>
      </c>
      <c r="E445">
        <f>VLOOKUP(A445,NYSEARCAVWO!A$2:G$506,5,0)</f>
        <v>39.61</v>
      </c>
      <c r="F445">
        <f>VLOOKUP(A445,NYSEARCABND!A$2:G$506,5,0)</f>
        <v>81.2</v>
      </c>
      <c r="G445">
        <f>VLOOKUP(A445,NYSEARCATIP!A$2:G$506,5,0)</f>
        <v>114.63</v>
      </c>
      <c r="H445">
        <f>VLOOKUP(A445,NYSEARCAMUB!A$2:G$506,5,0)</f>
        <v>108.54</v>
      </c>
      <c r="I445">
        <f>VLOOKUP(A445,NYSEARCAVNQ!A$2:G$506,5,0)</f>
        <v>85</v>
      </c>
      <c r="J445">
        <f>VLOOKUP(A445,NYSEARCARWX!A$2:G$506,5,0)</f>
        <v>37.630000000000003</v>
      </c>
      <c r="K445">
        <f>VLOOKUP(A445,NYSEARCADBC!A$2:G$506,5,0)</f>
        <v>15.73</v>
      </c>
      <c r="L445">
        <f>VLOOKUP(A445,NYSEARCAGSG!A$2:G$506,5,0)</f>
        <v>15.47</v>
      </c>
      <c r="M445">
        <f>VLOOKUP(A445,NYSEARCAGLD!A$2:G$506,5,0)</f>
        <v>118.94</v>
      </c>
      <c r="N445">
        <f>VLOOKUP(A445,NYSEBP!A$2:G$506,5,0)</f>
        <v>33.86</v>
      </c>
      <c r="O445">
        <f>VLOOKUP(A445,NASDAQYHOO!A$2:G$506,5,0)</f>
        <v>45.41</v>
      </c>
    </row>
    <row r="446" spans="1:15">
      <c r="A446" s="39">
        <v>42790</v>
      </c>
      <c r="B446">
        <v>72.39</v>
      </c>
      <c r="C446">
        <f>VLOOKUP(A446,NYSEARCAVTI!A$2:G$506,5,0)</f>
        <v>121.98</v>
      </c>
      <c r="D446">
        <f>VLOOKUP(A446,NYSEARCAVEU!A$2:G$506,5,0)</f>
        <v>46.76</v>
      </c>
      <c r="E446">
        <f>VLOOKUP(A446,NYSEARCAVWO!A$2:G$506,5,0)</f>
        <v>39.19</v>
      </c>
      <c r="F446">
        <f>VLOOKUP(A446,NYSEARCABND!A$2:G$506,5,0)</f>
        <v>81.5</v>
      </c>
      <c r="G446">
        <f>VLOOKUP(A446,NYSEARCATIP!A$2:G$506,5,0)</f>
        <v>114.96</v>
      </c>
      <c r="H446">
        <f>VLOOKUP(A446,NYSEARCAMUB!A$2:G$506,5,0)</f>
        <v>108.86</v>
      </c>
      <c r="I446">
        <f>VLOOKUP(A446,NYSEARCAVNQ!A$2:G$506,5,0)</f>
        <v>85.4</v>
      </c>
      <c r="J446">
        <f>VLOOKUP(A446,NYSEARCARWX!A$2:G$506,5,0)</f>
        <v>37.549999999999997</v>
      </c>
      <c r="K446">
        <f>VLOOKUP(A446,NYSEARCADBC!A$2:G$506,5,0)</f>
        <v>15.7</v>
      </c>
      <c r="L446">
        <f>VLOOKUP(A446,NYSEARCAGSG!A$2:G$506,5,0)</f>
        <v>15.42</v>
      </c>
      <c r="M446">
        <f>VLOOKUP(A446,NYSEARCAGLD!A$2:G$506,5,0)</f>
        <v>119.7</v>
      </c>
      <c r="N446">
        <f>VLOOKUP(A446,NYSEBP!A$2:G$506,5,0)</f>
        <v>33.5</v>
      </c>
      <c r="O446">
        <f>VLOOKUP(A446,NASDAQYHOO!A$2:G$506,5,0)</f>
        <v>45.55</v>
      </c>
    </row>
    <row r="447" spans="1:15">
      <c r="A447" s="39">
        <v>42793</v>
      </c>
      <c r="B447">
        <v>71.739999999999995</v>
      </c>
      <c r="C447">
        <f>VLOOKUP(A447,NYSEARCAVTI!A$2:G$506,5,0)</f>
        <v>122.25</v>
      </c>
      <c r="D447">
        <f>VLOOKUP(A447,NYSEARCAVEU!A$2:G$506,5,0)</f>
        <v>46.73</v>
      </c>
      <c r="E447">
        <f>VLOOKUP(A447,NYSEARCAVWO!A$2:G$506,5,0)</f>
        <v>39.03</v>
      </c>
      <c r="F447">
        <f>VLOOKUP(A447,NYSEARCABND!A$2:G$506,5,0)</f>
        <v>81.33</v>
      </c>
      <c r="G447">
        <f>VLOOKUP(A447,NYSEARCATIP!A$2:G$506,5,0)</f>
        <v>114.65</v>
      </c>
      <c r="H447">
        <f>VLOOKUP(A447,NYSEARCAMUB!A$2:G$506,5,0)</f>
        <v>108.72</v>
      </c>
      <c r="I447">
        <f>VLOOKUP(A447,NYSEARCAVNQ!A$2:G$506,5,0)</f>
        <v>85.85</v>
      </c>
      <c r="J447">
        <f>VLOOKUP(A447,NYSEARCARWX!A$2:G$506,5,0)</f>
        <v>37.4</v>
      </c>
      <c r="K447">
        <f>VLOOKUP(A447,NYSEARCADBC!A$2:G$506,5,0)</f>
        <v>15.66</v>
      </c>
      <c r="L447">
        <f>VLOOKUP(A447,NYSEARCAGSG!A$2:G$506,5,0)</f>
        <v>15.4</v>
      </c>
      <c r="M447">
        <f>VLOOKUP(A447,NYSEARCAGLD!A$2:G$506,5,0)</f>
        <v>119.12</v>
      </c>
      <c r="N447">
        <f>VLOOKUP(A447,NYSEBP!A$2:G$506,5,0)</f>
        <v>33.979999999999997</v>
      </c>
      <c r="O447">
        <f>VLOOKUP(A447,NASDAQYHOO!A$2:G$506,5,0)</f>
        <v>45.71</v>
      </c>
    </row>
    <row r="448" spans="1:15">
      <c r="A448" s="39">
        <v>42794</v>
      </c>
      <c r="B448">
        <v>70.930000000000007</v>
      </c>
      <c r="C448">
        <f>VLOOKUP(A448,NYSEARCAVTI!A$2:G$506,5,0)</f>
        <v>121.8</v>
      </c>
      <c r="D448">
        <f>VLOOKUP(A448,NYSEARCAVEU!A$2:G$506,5,0)</f>
        <v>46.59</v>
      </c>
      <c r="E448">
        <f>VLOOKUP(A448,NYSEARCAVWO!A$2:G$506,5,0)</f>
        <v>38.69</v>
      </c>
      <c r="F448">
        <f>VLOOKUP(A448,NYSEARCABND!A$2:G$506,5,0)</f>
        <v>81.27</v>
      </c>
      <c r="G448">
        <f>VLOOKUP(A448,NYSEARCATIP!A$2:G$506,5,0)</f>
        <v>114.65</v>
      </c>
      <c r="H448">
        <f>VLOOKUP(A448,NYSEARCAMUB!A$2:G$506,5,0)</f>
        <v>108.82</v>
      </c>
      <c r="I448">
        <f>VLOOKUP(A448,NYSEARCAVNQ!A$2:G$506,5,0)</f>
        <v>85.26</v>
      </c>
      <c r="J448">
        <f>VLOOKUP(A448,NYSEARCARWX!A$2:G$506,5,0)</f>
        <v>37.4</v>
      </c>
      <c r="K448">
        <f>VLOOKUP(A448,NYSEARCADBC!A$2:G$506,5,0)</f>
        <v>15.72</v>
      </c>
      <c r="L448">
        <f>VLOOKUP(A448,NYSEARCAGSG!A$2:G$506,5,0)</f>
        <v>15.45</v>
      </c>
      <c r="M448">
        <f>VLOOKUP(A448,NYSEARCAGLD!A$2:G$506,5,0)</f>
        <v>119.23</v>
      </c>
      <c r="N448">
        <f>VLOOKUP(A448,NYSEBP!A$2:G$506,5,0)</f>
        <v>33.92</v>
      </c>
      <c r="O448">
        <f>VLOOKUP(A448,NASDAQYHOO!A$2:G$506,5,0)</f>
        <v>45.66</v>
      </c>
    </row>
    <row r="449" spans="1:15">
      <c r="A449" s="39">
        <v>42795</v>
      </c>
      <c r="B449">
        <v>70.45</v>
      </c>
      <c r="C449">
        <f>VLOOKUP(A449,NYSEARCAVTI!A$2:G$506,5,0)</f>
        <v>123.44</v>
      </c>
      <c r="D449">
        <f>VLOOKUP(A449,NYSEARCAVEU!A$2:G$506,5,0)</f>
        <v>47.1</v>
      </c>
      <c r="E449">
        <f>VLOOKUP(A449,NYSEARCAVWO!A$2:G$506,5,0)</f>
        <v>39.31</v>
      </c>
      <c r="F449">
        <f>VLOOKUP(A449,NYSEARCABND!A$2:G$506,5,0)</f>
        <v>80.78</v>
      </c>
      <c r="G449">
        <f>VLOOKUP(A449,NYSEARCATIP!A$2:G$506,5,0)</f>
        <v>113.96</v>
      </c>
      <c r="H449">
        <f>VLOOKUP(A449,NYSEARCAMUB!A$2:G$506,5,0)</f>
        <v>108.24</v>
      </c>
      <c r="I449">
        <f>VLOOKUP(A449,NYSEARCAVNQ!A$2:G$506,5,0)</f>
        <v>85</v>
      </c>
      <c r="J449">
        <f>VLOOKUP(A449,NYSEARCARWX!A$2:G$506,5,0)</f>
        <v>37.43</v>
      </c>
      <c r="K449">
        <f>VLOOKUP(A449,NYSEARCADBC!A$2:G$506,5,0)</f>
        <v>15.79</v>
      </c>
      <c r="L449">
        <f>VLOOKUP(A449,NYSEARCAGSG!A$2:G$506,5,0)</f>
        <v>15.48</v>
      </c>
      <c r="M449">
        <f>VLOOKUP(A449,NYSEARCAGLD!A$2:G$506,5,0)</f>
        <v>119.06</v>
      </c>
      <c r="N449">
        <f>VLOOKUP(A449,NYSEBP!A$2:G$506,5,0)</f>
        <v>34.229999999999997</v>
      </c>
      <c r="O449">
        <f>VLOOKUP(A449,NASDAQYHOO!A$2:G$506,5,0)</f>
        <v>46.24</v>
      </c>
    </row>
    <row r="450" spans="1:15">
      <c r="A450" s="39">
        <v>42796</v>
      </c>
      <c r="B450">
        <v>70.760000000000005</v>
      </c>
      <c r="C450">
        <f>VLOOKUP(A450,NYSEARCAVTI!A$2:G$506,5,0)</f>
        <v>122.65</v>
      </c>
      <c r="D450">
        <f>VLOOKUP(A450,NYSEARCAVEU!A$2:G$506,5,0)</f>
        <v>46.71</v>
      </c>
      <c r="E450">
        <f>VLOOKUP(A450,NYSEARCAVWO!A$2:G$506,5,0)</f>
        <v>38.61</v>
      </c>
      <c r="F450">
        <f>VLOOKUP(A450,NYSEARCABND!A$2:G$506,5,0)</f>
        <v>80.63</v>
      </c>
      <c r="G450">
        <f>VLOOKUP(A450,NYSEARCATIP!A$2:G$506,5,0)</f>
        <v>113.6</v>
      </c>
      <c r="H450">
        <f>VLOOKUP(A450,NYSEARCAMUB!A$2:G$506,5,0)</f>
        <v>108.19</v>
      </c>
      <c r="I450">
        <f>VLOOKUP(A450,NYSEARCAVNQ!A$2:G$506,5,0)</f>
        <v>84.54</v>
      </c>
      <c r="J450">
        <f>VLOOKUP(A450,NYSEARCARWX!A$2:G$506,5,0)</f>
        <v>36.96</v>
      </c>
      <c r="K450">
        <f>VLOOKUP(A450,NYSEARCADBC!A$2:G$506,5,0)</f>
        <v>15.54</v>
      </c>
      <c r="L450">
        <f>VLOOKUP(A450,NYSEARCAGSG!A$2:G$506,5,0)</f>
        <v>15.21</v>
      </c>
      <c r="M450">
        <f>VLOOKUP(A450,NYSEARCAGLD!A$2:G$506,5,0)</f>
        <v>117.58</v>
      </c>
      <c r="N450">
        <f>VLOOKUP(A450,NYSEBP!A$2:G$506,5,0)</f>
        <v>34.119999999999997</v>
      </c>
      <c r="O450">
        <f>VLOOKUP(A450,NASDAQYHOO!A$2:G$506,5,0)</f>
        <v>45.94</v>
      </c>
    </row>
    <row r="451" spans="1:15">
      <c r="A451" s="39">
        <v>42797</v>
      </c>
      <c r="B451">
        <v>70.03</v>
      </c>
      <c r="C451">
        <f>VLOOKUP(A451,NYSEARCAVTI!A$2:G$506,5,0)</f>
        <v>122.75</v>
      </c>
      <c r="D451">
        <f>VLOOKUP(A451,NYSEARCAVEU!A$2:G$506,5,0)</f>
        <v>46.96</v>
      </c>
      <c r="E451">
        <f>VLOOKUP(A451,NYSEARCAVWO!A$2:G$506,5,0)</f>
        <v>38.94</v>
      </c>
      <c r="F451">
        <f>VLOOKUP(A451,NYSEARCABND!A$2:G$506,5,0)</f>
        <v>80.69</v>
      </c>
      <c r="G451">
        <f>VLOOKUP(A451,NYSEARCATIP!A$2:G$506,5,0)</f>
        <v>113.86</v>
      </c>
      <c r="H451">
        <f>VLOOKUP(A451,NYSEARCAMUB!A$2:G$506,5,0)</f>
        <v>108.06</v>
      </c>
      <c r="I451">
        <f>VLOOKUP(A451,NYSEARCAVNQ!A$2:G$506,5,0)</f>
        <v>84.21</v>
      </c>
      <c r="J451">
        <f>VLOOKUP(A451,NYSEARCARWX!A$2:G$506,5,0)</f>
        <v>37.11</v>
      </c>
      <c r="K451">
        <f>VLOOKUP(A451,NYSEARCADBC!A$2:G$506,5,0)</f>
        <v>15.62</v>
      </c>
      <c r="L451">
        <f>VLOOKUP(A451,NYSEARCAGSG!A$2:G$506,5,0)</f>
        <v>15.29</v>
      </c>
      <c r="M451">
        <f>VLOOKUP(A451,NYSEARCAGLD!A$2:G$506,5,0)</f>
        <v>117.51</v>
      </c>
      <c r="N451">
        <f>VLOOKUP(A451,NYSEBP!A$2:G$506,5,0)</f>
        <v>34.090000000000003</v>
      </c>
      <c r="O451">
        <f>VLOOKUP(A451,NASDAQYHOO!A$2:G$506,5,0)</f>
        <v>45.91</v>
      </c>
    </row>
    <row r="452" spans="1:15">
      <c r="A452" s="39">
        <v>42800</v>
      </c>
      <c r="B452">
        <v>69.88</v>
      </c>
      <c r="C452">
        <f>VLOOKUP(A452,NYSEARCAVTI!A$2:G$506,5,0)</f>
        <v>122.27</v>
      </c>
      <c r="D452">
        <f>VLOOKUP(A452,NYSEARCAVEU!A$2:G$506,5,0)</f>
        <v>46.85</v>
      </c>
      <c r="E452">
        <f>VLOOKUP(A452,NYSEARCAVWO!A$2:G$506,5,0)</f>
        <v>39</v>
      </c>
      <c r="F452">
        <f>VLOOKUP(A452,NYSEARCABND!A$2:G$506,5,0)</f>
        <v>80.64</v>
      </c>
      <c r="G452">
        <f>VLOOKUP(A452,NYSEARCATIP!A$2:G$506,5,0)</f>
        <v>113.74</v>
      </c>
      <c r="H452">
        <f>VLOOKUP(A452,NYSEARCAMUB!A$2:G$506,5,0)</f>
        <v>108.03</v>
      </c>
      <c r="I452">
        <f>VLOOKUP(A452,NYSEARCAVNQ!A$2:G$506,5,0)</f>
        <v>83.83</v>
      </c>
      <c r="J452">
        <f>VLOOKUP(A452,NYSEARCARWX!A$2:G$506,5,0)</f>
        <v>37.049999999999997</v>
      </c>
      <c r="K452">
        <f>VLOOKUP(A452,NYSEARCADBC!A$2:G$506,5,0)</f>
        <v>15.6</v>
      </c>
      <c r="L452">
        <f>VLOOKUP(A452,NYSEARCAGSG!A$2:G$506,5,0)</f>
        <v>15.31</v>
      </c>
      <c r="M452">
        <f>VLOOKUP(A452,NYSEARCAGLD!A$2:G$506,5,0)</f>
        <v>116.72</v>
      </c>
      <c r="N452">
        <f>VLOOKUP(A452,NYSEBP!A$2:G$506,5,0)</f>
        <v>33.97</v>
      </c>
      <c r="O452">
        <f>VLOOKUP(A452,NASDAQYHOO!A$2:G$506,5,0)</f>
        <v>45.64</v>
      </c>
    </row>
    <row r="453" spans="1:15">
      <c r="A453" s="39">
        <v>42801</v>
      </c>
      <c r="B453">
        <v>69.87</v>
      </c>
      <c r="C453">
        <f>VLOOKUP(A453,NYSEARCAVTI!A$2:G$506,5,0)</f>
        <v>121.88</v>
      </c>
      <c r="D453">
        <f>VLOOKUP(A453,NYSEARCAVEU!A$2:G$506,5,0)</f>
        <v>46.74</v>
      </c>
      <c r="E453">
        <f>VLOOKUP(A453,NYSEARCAVWO!A$2:G$506,5,0)</f>
        <v>39.049999999999997</v>
      </c>
      <c r="F453">
        <f>VLOOKUP(A453,NYSEARCABND!A$2:G$506,5,0)</f>
        <v>80.489999999999995</v>
      </c>
      <c r="G453">
        <f>VLOOKUP(A453,NYSEARCATIP!A$2:G$506,5,0)</f>
        <v>113.54</v>
      </c>
      <c r="H453">
        <f>VLOOKUP(A453,NYSEARCAMUB!A$2:G$506,5,0)</f>
        <v>108.01</v>
      </c>
      <c r="I453">
        <f>VLOOKUP(A453,NYSEARCAVNQ!A$2:G$506,5,0)</f>
        <v>83.43</v>
      </c>
      <c r="J453">
        <f>VLOOKUP(A453,NYSEARCARWX!A$2:G$506,5,0)</f>
        <v>36.869999999999997</v>
      </c>
      <c r="K453">
        <f>VLOOKUP(A453,NYSEARCADBC!A$2:G$506,5,0)</f>
        <v>15.53</v>
      </c>
      <c r="L453">
        <f>VLOOKUP(A453,NYSEARCAGSG!A$2:G$506,5,0)</f>
        <v>15.23</v>
      </c>
      <c r="M453">
        <f>VLOOKUP(A453,NYSEARCAGLD!A$2:G$506,5,0)</f>
        <v>115.78</v>
      </c>
      <c r="N453">
        <f>VLOOKUP(A453,NYSEBP!A$2:G$506,5,0)</f>
        <v>33.869999999999997</v>
      </c>
      <c r="O453">
        <f>VLOOKUP(A453,NASDAQYHOO!A$2:G$506,5,0)</f>
        <v>45.73</v>
      </c>
    </row>
    <row r="454" spans="1:15">
      <c r="A454" s="39">
        <v>42802</v>
      </c>
      <c r="B454">
        <v>69.8</v>
      </c>
      <c r="C454">
        <f>VLOOKUP(A454,NYSEARCAVTI!A$2:G$506,5,0)</f>
        <v>121.54</v>
      </c>
      <c r="D454">
        <f>VLOOKUP(A454,NYSEARCAVEU!A$2:G$506,5,0)</f>
        <v>46.5</v>
      </c>
      <c r="E454">
        <f>VLOOKUP(A454,NYSEARCAVWO!A$2:G$506,5,0)</f>
        <v>38.659999999999997</v>
      </c>
      <c r="F454">
        <f>VLOOKUP(A454,NYSEARCABND!A$2:G$506,5,0)</f>
        <v>80.3</v>
      </c>
      <c r="G454">
        <f>VLOOKUP(A454,NYSEARCATIP!A$2:G$506,5,0)</f>
        <v>113.05</v>
      </c>
      <c r="H454">
        <f>VLOOKUP(A454,NYSEARCAMUB!A$2:G$506,5,0)</f>
        <v>107.83</v>
      </c>
      <c r="I454">
        <f>VLOOKUP(A454,NYSEARCAVNQ!A$2:G$506,5,0)</f>
        <v>81.89</v>
      </c>
      <c r="J454">
        <f>VLOOKUP(A454,NYSEARCARWX!A$2:G$506,5,0)</f>
        <v>36.549999999999997</v>
      </c>
      <c r="K454">
        <f>VLOOKUP(A454,NYSEARCADBC!A$2:G$506,5,0)</f>
        <v>15.18</v>
      </c>
      <c r="L454">
        <f>VLOOKUP(A454,NYSEARCAGSG!A$2:G$506,5,0)</f>
        <v>14.81</v>
      </c>
      <c r="M454">
        <f>VLOOKUP(A454,NYSEARCAGLD!A$2:G$506,5,0)</f>
        <v>115.06</v>
      </c>
      <c r="N454">
        <f>VLOOKUP(A454,NYSEBP!A$2:G$506,5,0)</f>
        <v>33.31</v>
      </c>
      <c r="O454">
        <f>VLOOKUP(A454,NASDAQYHOO!A$2:G$506,5,0)</f>
        <v>45.98</v>
      </c>
    </row>
    <row r="455" spans="1:15">
      <c r="A455" s="39">
        <v>42803</v>
      </c>
      <c r="B455">
        <v>69.86</v>
      </c>
      <c r="C455">
        <f>VLOOKUP(A455,NYSEARCAVTI!A$2:G$506,5,0)</f>
        <v>121.6</v>
      </c>
      <c r="D455">
        <f>VLOOKUP(A455,NYSEARCAVEU!A$2:G$506,5,0)</f>
        <v>46.55</v>
      </c>
      <c r="E455">
        <f>VLOOKUP(A455,NYSEARCAVWO!A$2:G$506,5,0)</f>
        <v>38.33</v>
      </c>
      <c r="F455">
        <f>VLOOKUP(A455,NYSEARCABND!A$2:G$506,5,0)</f>
        <v>80.05</v>
      </c>
      <c r="G455">
        <f>VLOOKUP(A455,NYSEARCATIP!A$2:G$506,5,0)</f>
        <v>112.75</v>
      </c>
      <c r="H455">
        <f>VLOOKUP(A455,NYSEARCAMUB!A$2:G$506,5,0)</f>
        <v>107.63</v>
      </c>
      <c r="I455">
        <f>VLOOKUP(A455,NYSEARCAVNQ!A$2:G$506,5,0)</f>
        <v>80.66</v>
      </c>
      <c r="J455">
        <f>VLOOKUP(A455,NYSEARCARWX!A$2:G$506,5,0)</f>
        <v>36.57</v>
      </c>
      <c r="K455">
        <f>VLOOKUP(A455,NYSEARCADBC!A$2:G$506,5,0)</f>
        <v>15.05</v>
      </c>
      <c r="L455">
        <f>VLOOKUP(A455,NYSEARCAGSG!A$2:G$506,5,0)</f>
        <v>14.68</v>
      </c>
      <c r="M455">
        <f>VLOOKUP(A455,NYSEARCAGLD!A$2:G$506,5,0)</f>
        <v>114.47</v>
      </c>
      <c r="N455">
        <f>VLOOKUP(A455,NYSEBP!A$2:G$506,5,0)</f>
        <v>33.5</v>
      </c>
      <c r="O455">
        <f>VLOOKUP(A455,NASDAQYHOO!A$2:G$506,5,0)</f>
        <v>45.94</v>
      </c>
    </row>
    <row r="456" spans="1:15">
      <c r="A456" s="39">
        <v>42804</v>
      </c>
      <c r="B456">
        <v>70.099999999999994</v>
      </c>
      <c r="C456">
        <f>VLOOKUP(A456,NYSEARCAVTI!A$2:G$506,5,0)</f>
        <v>122.04</v>
      </c>
      <c r="D456">
        <f>VLOOKUP(A456,NYSEARCAVEU!A$2:G$506,5,0)</f>
        <v>46.93</v>
      </c>
      <c r="E456">
        <f>VLOOKUP(A456,NYSEARCAVWO!A$2:G$506,5,0)</f>
        <v>38.65</v>
      </c>
      <c r="F456">
        <f>VLOOKUP(A456,NYSEARCABND!A$2:G$506,5,0)</f>
        <v>80.209999999999994</v>
      </c>
      <c r="G456">
        <f>VLOOKUP(A456,NYSEARCATIP!A$2:G$506,5,0)</f>
        <v>112.96</v>
      </c>
      <c r="H456">
        <f>VLOOKUP(A456,NYSEARCAMUB!A$2:G$506,5,0)</f>
        <v>107.74</v>
      </c>
      <c r="I456">
        <f>VLOOKUP(A456,NYSEARCAVNQ!A$2:G$506,5,0)</f>
        <v>80.41</v>
      </c>
      <c r="J456">
        <f>VLOOKUP(A456,NYSEARCARWX!A$2:G$506,5,0)</f>
        <v>36.58</v>
      </c>
      <c r="K456">
        <f>VLOOKUP(A456,NYSEARCADBC!A$2:G$506,5,0)</f>
        <v>14.91</v>
      </c>
      <c r="L456">
        <f>VLOOKUP(A456,NYSEARCAGSG!A$2:G$506,5,0)</f>
        <v>14.51</v>
      </c>
      <c r="M456">
        <f>VLOOKUP(A456,NYSEARCAGLD!A$2:G$506,5,0)</f>
        <v>114.72</v>
      </c>
      <c r="N456">
        <f>VLOOKUP(A456,NYSEBP!A$2:G$506,5,0)</f>
        <v>34.33</v>
      </c>
      <c r="O456">
        <f>VLOOKUP(A456,NASDAQYHOO!A$2:G$506,5,0)</f>
        <v>45.98</v>
      </c>
    </row>
    <row r="457" spans="1:15">
      <c r="A457" s="39">
        <v>42807</v>
      </c>
      <c r="B457">
        <v>69.95</v>
      </c>
      <c r="C457">
        <f>VLOOKUP(A457,NYSEARCAVTI!A$2:G$506,5,0)</f>
        <v>122.13</v>
      </c>
      <c r="D457">
        <f>VLOOKUP(A457,NYSEARCAVEU!A$2:G$506,5,0)</f>
        <v>47.23</v>
      </c>
      <c r="E457">
        <f>VLOOKUP(A457,NYSEARCAVWO!A$2:G$506,5,0)</f>
        <v>39.14</v>
      </c>
      <c r="F457">
        <f>VLOOKUP(A457,NYSEARCABND!A$2:G$506,5,0)</f>
        <v>80.05</v>
      </c>
      <c r="G457">
        <f>VLOOKUP(A457,NYSEARCATIP!A$2:G$506,5,0)</f>
        <v>112.7</v>
      </c>
      <c r="H457">
        <f>VLOOKUP(A457,NYSEARCAMUB!A$2:G$506,5,0)</f>
        <v>107.74</v>
      </c>
      <c r="I457">
        <f>VLOOKUP(A457,NYSEARCAVNQ!A$2:G$506,5,0)</f>
        <v>80.61</v>
      </c>
      <c r="J457">
        <f>VLOOKUP(A457,NYSEARCARWX!A$2:G$506,5,0)</f>
        <v>36.65</v>
      </c>
      <c r="K457">
        <f>VLOOKUP(A457,NYSEARCADBC!A$2:G$506,5,0)</f>
        <v>14.89</v>
      </c>
      <c r="L457">
        <f>VLOOKUP(A457,NYSEARCAGSG!A$2:G$506,5,0)</f>
        <v>14.48</v>
      </c>
      <c r="M457">
        <f>VLOOKUP(A457,NYSEARCAGLD!A$2:G$506,5,0)</f>
        <v>114.74</v>
      </c>
      <c r="N457">
        <f>VLOOKUP(A457,NYSEBP!A$2:G$506,5,0)</f>
        <v>34.07</v>
      </c>
      <c r="O457">
        <f>VLOOKUP(A457,NASDAQYHOO!A$2:G$506,5,0)</f>
        <v>46.57</v>
      </c>
    </row>
    <row r="458" spans="1:15">
      <c r="A458" s="39">
        <v>42808</v>
      </c>
      <c r="B458">
        <v>70.72</v>
      </c>
      <c r="C458">
        <f>VLOOKUP(A458,NYSEARCAVTI!A$2:G$506,5,0)</f>
        <v>121.69</v>
      </c>
      <c r="D458">
        <f>VLOOKUP(A458,NYSEARCAVEU!A$2:G$506,5,0)</f>
        <v>46.88</v>
      </c>
      <c r="E458">
        <f>VLOOKUP(A458,NYSEARCAVWO!A$2:G$506,5,0)</f>
        <v>38.92</v>
      </c>
      <c r="F458">
        <f>VLOOKUP(A458,NYSEARCABND!A$2:G$506,5,0)</f>
        <v>80.040000000000006</v>
      </c>
      <c r="G458">
        <f>VLOOKUP(A458,NYSEARCATIP!A$2:G$506,5,0)</f>
        <v>112.62</v>
      </c>
      <c r="H458">
        <f>VLOOKUP(A458,NYSEARCAMUB!A$2:G$506,5,0)</f>
        <v>107.78</v>
      </c>
      <c r="I458">
        <f>VLOOKUP(A458,NYSEARCAVNQ!A$2:G$506,5,0)</f>
        <v>80.59</v>
      </c>
      <c r="J458">
        <f>VLOOKUP(A458,NYSEARCARWX!A$2:G$506,5,0)</f>
        <v>36.35</v>
      </c>
      <c r="K458">
        <f>VLOOKUP(A458,NYSEARCADBC!A$2:G$506,5,0)</f>
        <v>14.83</v>
      </c>
      <c r="L458">
        <f>VLOOKUP(A458,NYSEARCAGSG!A$2:G$506,5,0)</f>
        <v>14.42</v>
      </c>
      <c r="M458">
        <f>VLOOKUP(A458,NYSEARCAGLD!A$2:G$506,5,0)</f>
        <v>114.12</v>
      </c>
      <c r="N458">
        <f>VLOOKUP(A458,NYSEBP!A$2:G$506,5,0)</f>
        <v>33.43</v>
      </c>
      <c r="O458">
        <f>VLOOKUP(A458,NASDAQYHOO!A$2:G$506,5,0)</f>
        <v>46.37</v>
      </c>
    </row>
    <row r="459" spans="1:15">
      <c r="A459" s="39">
        <v>42809</v>
      </c>
      <c r="B459">
        <v>70.58</v>
      </c>
      <c r="C459">
        <f>VLOOKUP(A459,NYSEARCAVTI!A$2:G$506,5,0)</f>
        <v>122.79</v>
      </c>
      <c r="D459">
        <f>VLOOKUP(A459,NYSEARCAVEU!A$2:G$506,5,0)</f>
        <v>47.65</v>
      </c>
      <c r="E459">
        <f>VLOOKUP(A459,NYSEARCAVWO!A$2:G$506,5,0)</f>
        <v>39.83</v>
      </c>
      <c r="F459">
        <f>VLOOKUP(A459,NYSEARCABND!A$2:G$506,5,0)</f>
        <v>80.540000000000006</v>
      </c>
      <c r="G459">
        <f>VLOOKUP(A459,NYSEARCATIP!A$2:G$506,5,0)</f>
        <v>113.64</v>
      </c>
      <c r="H459">
        <f>VLOOKUP(A459,NYSEARCAMUB!A$2:G$506,5,0)</f>
        <v>108.12</v>
      </c>
      <c r="I459">
        <f>VLOOKUP(A459,NYSEARCAVNQ!A$2:G$506,5,0)</f>
        <v>82.22</v>
      </c>
      <c r="J459">
        <f>VLOOKUP(A459,NYSEARCARWX!A$2:G$506,5,0)</f>
        <v>36.93</v>
      </c>
      <c r="K459">
        <f>VLOOKUP(A459,NYSEARCADBC!A$2:G$506,5,0)</f>
        <v>14.96</v>
      </c>
      <c r="L459">
        <f>VLOOKUP(A459,NYSEARCAGSG!A$2:G$506,5,0)</f>
        <v>14.59</v>
      </c>
      <c r="M459">
        <f>VLOOKUP(A459,NYSEARCAGLD!A$2:G$506,5,0)</f>
        <v>116.25</v>
      </c>
      <c r="N459">
        <f>VLOOKUP(A459,NYSEBP!A$2:G$506,5,0)</f>
        <v>33.78</v>
      </c>
      <c r="O459">
        <f>VLOOKUP(A459,NASDAQYHOO!A$2:G$506,5,0)</f>
        <v>46.29</v>
      </c>
    </row>
    <row r="460" spans="1:15">
      <c r="A460" s="39">
        <v>42810</v>
      </c>
      <c r="B460">
        <v>70.44</v>
      </c>
      <c r="C460">
        <f>VLOOKUP(A460,NYSEARCAVTI!A$2:G$506,5,0)</f>
        <v>122.64</v>
      </c>
      <c r="D460">
        <f>VLOOKUP(A460,NYSEARCAVEU!A$2:G$506,5,0)</f>
        <v>47.95</v>
      </c>
      <c r="E460">
        <f>VLOOKUP(A460,NYSEARCAVWO!A$2:G$506,5,0)</f>
        <v>40.1</v>
      </c>
      <c r="F460">
        <f>VLOOKUP(A460,NYSEARCABND!A$2:G$506,5,0)</f>
        <v>80.42</v>
      </c>
      <c r="G460">
        <f>VLOOKUP(A460,NYSEARCATIP!A$2:G$506,5,0)</f>
        <v>113.56</v>
      </c>
      <c r="H460">
        <f>VLOOKUP(A460,NYSEARCAMUB!A$2:G$506,5,0)</f>
        <v>108.05</v>
      </c>
      <c r="I460">
        <f>VLOOKUP(A460,NYSEARCAVNQ!A$2:G$506,5,0)</f>
        <v>82.06</v>
      </c>
      <c r="J460">
        <f>VLOOKUP(A460,NYSEARCARWX!A$2:G$506,5,0)</f>
        <v>37.369999999999997</v>
      </c>
      <c r="K460">
        <f>VLOOKUP(A460,NYSEARCADBC!A$2:G$506,5,0)</f>
        <v>14.94</v>
      </c>
      <c r="L460">
        <f>VLOOKUP(A460,NYSEARCAGSG!A$2:G$506,5,0)</f>
        <v>14.6</v>
      </c>
      <c r="M460">
        <f>VLOOKUP(A460,NYSEARCAGLD!A$2:G$506,5,0)</f>
        <v>116.73</v>
      </c>
      <c r="N460">
        <f>VLOOKUP(A460,NYSEBP!A$2:G$506,5,0)</f>
        <v>34.020000000000003</v>
      </c>
      <c r="O460">
        <f>VLOOKUP(A460,NASDAQYHOO!A$2:G$506,5,0)</f>
        <v>46.61</v>
      </c>
    </row>
    <row r="461" spans="1:15">
      <c r="A461" s="39">
        <v>42811</v>
      </c>
      <c r="B461">
        <v>69.89</v>
      </c>
      <c r="C461">
        <f>VLOOKUP(A461,NYSEARCAVTI!A$2:G$506,5,0)</f>
        <v>122.57</v>
      </c>
      <c r="D461">
        <f>VLOOKUP(A461,NYSEARCAVEU!A$2:G$506,5,0)</f>
        <v>47.98</v>
      </c>
      <c r="E461">
        <f>VLOOKUP(A461,NYSEARCAVWO!A$2:G$506,5,0)</f>
        <v>40.06</v>
      </c>
      <c r="F461">
        <f>VLOOKUP(A461,NYSEARCABND!A$2:G$506,5,0)</f>
        <v>80.58</v>
      </c>
      <c r="G461">
        <f>VLOOKUP(A461,NYSEARCATIP!A$2:G$506,5,0)</f>
        <v>113.81</v>
      </c>
      <c r="H461">
        <f>VLOOKUP(A461,NYSEARCAMUB!A$2:G$506,5,0)</f>
        <v>108.11</v>
      </c>
      <c r="I461">
        <f>VLOOKUP(A461,NYSEARCAVNQ!A$2:G$506,5,0)</f>
        <v>82.44</v>
      </c>
      <c r="J461">
        <f>VLOOKUP(A461,NYSEARCARWX!A$2:G$506,5,0)</f>
        <v>37.270000000000003</v>
      </c>
      <c r="K461">
        <f>VLOOKUP(A461,NYSEARCADBC!A$2:G$506,5,0)</f>
        <v>14.99</v>
      </c>
      <c r="L461">
        <f>VLOOKUP(A461,NYSEARCAGSG!A$2:G$506,5,0)</f>
        <v>14.59</v>
      </c>
      <c r="M461">
        <f>VLOOKUP(A461,NYSEARCAGLD!A$2:G$506,5,0)</f>
        <v>116.99</v>
      </c>
      <c r="N461">
        <f>VLOOKUP(A461,NYSEBP!A$2:G$506,5,0)</f>
        <v>34.28</v>
      </c>
      <c r="O461">
        <f>VLOOKUP(A461,NASDAQYHOO!A$2:G$506,5,0)</f>
        <v>46.59</v>
      </c>
    </row>
    <row r="462" spans="1:15">
      <c r="A462" s="39">
        <v>42814</v>
      </c>
      <c r="B462">
        <v>69.98</v>
      </c>
      <c r="C462">
        <f>VLOOKUP(A462,NYSEARCAVTI!A$2:G$506,5,0)</f>
        <v>122.27</v>
      </c>
      <c r="D462">
        <f>VLOOKUP(A462,NYSEARCAVEU!A$2:G$506,5,0)</f>
        <v>48.02</v>
      </c>
      <c r="E462">
        <f>VLOOKUP(A462,NYSEARCAVWO!A$2:G$506,5,0)</f>
        <v>40.47</v>
      </c>
      <c r="F462">
        <f>VLOOKUP(A462,NYSEARCABND!A$2:G$506,5,0)</f>
        <v>80.739999999999995</v>
      </c>
      <c r="G462">
        <f>VLOOKUP(A462,NYSEARCATIP!A$2:G$506,5,0)</f>
        <v>113.96</v>
      </c>
      <c r="H462">
        <f>VLOOKUP(A462,NYSEARCAMUB!A$2:G$506,5,0)</f>
        <v>108.22</v>
      </c>
      <c r="I462">
        <f>VLOOKUP(A462,NYSEARCAVNQ!A$2:G$506,5,0)</f>
        <v>82.3</v>
      </c>
      <c r="J462">
        <f>VLOOKUP(A462,NYSEARCARWX!A$2:G$506,5,0)</f>
        <v>37.29</v>
      </c>
      <c r="K462">
        <f>VLOOKUP(A462,NYSEARCADBC!A$2:G$506,5,0)</f>
        <v>14.98</v>
      </c>
      <c r="L462">
        <f>VLOOKUP(A462,NYSEARCAGSG!A$2:G$506,5,0)</f>
        <v>14.56</v>
      </c>
      <c r="M462">
        <f>VLOOKUP(A462,NYSEARCAGLD!A$2:G$506,5,0)</f>
        <v>117.56</v>
      </c>
      <c r="N462">
        <f>VLOOKUP(A462,NYSEBP!A$2:G$506,5,0)</f>
        <v>34.19</v>
      </c>
      <c r="O462">
        <f>VLOOKUP(A462,NASDAQYHOO!A$2:G$506,5,0)</f>
        <v>46.77</v>
      </c>
    </row>
    <row r="463" spans="1:15">
      <c r="A463" s="39">
        <v>42815</v>
      </c>
      <c r="B463">
        <v>69.900000000000006</v>
      </c>
      <c r="C463">
        <f>VLOOKUP(A463,NYSEARCAVTI!A$2:G$506,5,0)</f>
        <v>120.57</v>
      </c>
      <c r="D463">
        <f>VLOOKUP(A463,NYSEARCAVEU!A$2:G$506,5,0)</f>
        <v>47.69</v>
      </c>
      <c r="E463">
        <f>VLOOKUP(A463,NYSEARCAVWO!A$2:G$506,5,0)</f>
        <v>39.96</v>
      </c>
      <c r="F463">
        <f>VLOOKUP(A463,NYSEARCABND!A$2:G$506,5,0)</f>
        <v>80.930000000000007</v>
      </c>
      <c r="G463">
        <f>VLOOKUP(A463,NYSEARCATIP!A$2:G$506,5,0)</f>
        <v>114.06</v>
      </c>
      <c r="H463">
        <f>VLOOKUP(A463,NYSEARCAMUB!A$2:G$506,5,0)</f>
        <v>108.5</v>
      </c>
      <c r="I463">
        <f>VLOOKUP(A463,NYSEARCAVNQ!A$2:G$506,5,0)</f>
        <v>82.01</v>
      </c>
      <c r="J463">
        <f>VLOOKUP(A463,NYSEARCARWX!A$2:G$506,5,0)</f>
        <v>37.020000000000003</v>
      </c>
      <c r="K463">
        <f>VLOOKUP(A463,NYSEARCADBC!A$2:G$506,5,0)</f>
        <v>14.9</v>
      </c>
      <c r="L463">
        <f>VLOOKUP(A463,NYSEARCAGSG!A$2:G$506,5,0)</f>
        <v>14.45</v>
      </c>
      <c r="M463">
        <f>VLOOKUP(A463,NYSEARCAGLD!A$2:G$506,5,0)</f>
        <v>118.54</v>
      </c>
      <c r="N463">
        <f>VLOOKUP(A463,NYSEBP!A$2:G$506,5,0)</f>
        <v>34.24</v>
      </c>
      <c r="O463">
        <f>VLOOKUP(A463,NASDAQYHOO!A$2:G$506,5,0)</f>
        <v>45.77</v>
      </c>
    </row>
    <row r="464" spans="1:15">
      <c r="A464" s="39">
        <v>42816</v>
      </c>
      <c r="B464">
        <v>70.25</v>
      </c>
      <c r="C464">
        <f>VLOOKUP(A464,NYSEARCAVTI!A$2:G$506,5,0)</f>
        <v>120.73</v>
      </c>
      <c r="D464">
        <f>VLOOKUP(A464,NYSEARCAVEU!A$2:G$506,5,0)</f>
        <v>47.66</v>
      </c>
      <c r="E464">
        <f>VLOOKUP(A464,NYSEARCAVWO!A$2:G$506,5,0)</f>
        <v>40.08</v>
      </c>
      <c r="F464">
        <f>VLOOKUP(A464,NYSEARCABND!A$2:G$506,5,0)</f>
        <v>81.040000000000006</v>
      </c>
      <c r="G464">
        <f>VLOOKUP(A464,NYSEARCATIP!A$2:G$506,5,0)</f>
        <v>114.25</v>
      </c>
      <c r="H464">
        <f>VLOOKUP(A464,NYSEARCAMUB!A$2:G$506,5,0)</f>
        <v>108.63</v>
      </c>
      <c r="I464">
        <f>VLOOKUP(A464,NYSEARCAVNQ!A$2:G$506,5,0)</f>
        <v>81.37</v>
      </c>
      <c r="J464">
        <f>VLOOKUP(A464,NYSEARCARWX!A$2:G$506,5,0)</f>
        <v>37.119999999999997</v>
      </c>
      <c r="K464">
        <f>VLOOKUP(A464,NYSEARCADBC!A$2:G$506,5,0)</f>
        <v>14.89</v>
      </c>
      <c r="L464">
        <f>VLOOKUP(A464,NYSEARCAGSG!A$2:G$506,5,0)</f>
        <v>14.45</v>
      </c>
      <c r="M464">
        <f>VLOOKUP(A464,NYSEARCAGLD!A$2:G$506,5,0)</f>
        <v>118.83</v>
      </c>
      <c r="N464">
        <f>VLOOKUP(A464,NYSEBP!A$2:G$506,5,0)</f>
        <v>33.99</v>
      </c>
      <c r="O464">
        <f>VLOOKUP(A464,NASDAQYHOO!A$2:G$506,5,0)</f>
        <v>46.06</v>
      </c>
    </row>
    <row r="465" spans="1:15">
      <c r="A465" s="39">
        <v>42817</v>
      </c>
      <c r="B465">
        <v>69.86</v>
      </c>
      <c r="C465">
        <f>VLOOKUP(A465,NYSEARCAVTI!A$2:G$506,5,0)</f>
        <v>120.69</v>
      </c>
      <c r="D465">
        <f>VLOOKUP(A465,NYSEARCAVEU!A$2:G$506,5,0)</f>
        <v>47.73</v>
      </c>
      <c r="E465">
        <f>VLOOKUP(A465,NYSEARCAVWO!A$2:G$506,5,0)</f>
        <v>40.1</v>
      </c>
      <c r="F465">
        <f>VLOOKUP(A465,NYSEARCABND!A$2:G$506,5,0)</f>
        <v>81</v>
      </c>
      <c r="G465">
        <f>VLOOKUP(A465,NYSEARCATIP!A$2:G$506,5,0)</f>
        <v>114.12</v>
      </c>
      <c r="H465">
        <f>VLOOKUP(A465,NYSEARCAMUB!A$2:G$506,5,0)</f>
        <v>108.71</v>
      </c>
      <c r="I465">
        <f>VLOOKUP(A465,NYSEARCAVNQ!A$2:G$506,5,0)</f>
        <v>81.97</v>
      </c>
      <c r="J465">
        <f>VLOOKUP(A465,NYSEARCARWX!A$2:G$506,5,0)</f>
        <v>37.270000000000003</v>
      </c>
      <c r="K465">
        <f>VLOOKUP(A465,NYSEARCADBC!A$2:G$506,5,0)</f>
        <v>14.86</v>
      </c>
      <c r="L465">
        <f>VLOOKUP(A465,NYSEARCAGSG!A$2:G$506,5,0)</f>
        <v>14.39</v>
      </c>
      <c r="M465">
        <f>VLOOKUP(A465,NYSEARCAGLD!A$2:G$506,5,0)</f>
        <v>118.67</v>
      </c>
      <c r="N465">
        <f>VLOOKUP(A465,NYSEBP!A$2:G$506,5,0)</f>
        <v>34.06</v>
      </c>
      <c r="O465">
        <f>VLOOKUP(A465,NASDAQYHOO!A$2:G$506,5,0)</f>
        <v>46.6</v>
      </c>
    </row>
    <row r="466" spans="1:15">
      <c r="A466" s="39">
        <v>42818</v>
      </c>
      <c r="B466">
        <v>69.61</v>
      </c>
      <c r="C466">
        <f>VLOOKUP(A466,NYSEARCAVTI!A$2:G$506,5,0)</f>
        <v>120.16</v>
      </c>
      <c r="D466">
        <f>VLOOKUP(A466,NYSEARCAVEU!A$2:G$506,5,0)</f>
        <v>47.86</v>
      </c>
      <c r="E466">
        <f>VLOOKUP(A466,NYSEARCAVWO!A$2:G$506,5,0)</f>
        <v>40.21</v>
      </c>
      <c r="F466">
        <f>VLOOKUP(A466,NYSEARCABND!A$2:G$506,5,0)</f>
        <v>80.98</v>
      </c>
      <c r="G466">
        <f>VLOOKUP(A466,NYSEARCATIP!A$2:G$506,5,0)</f>
        <v>114.45</v>
      </c>
      <c r="H466">
        <f>VLOOKUP(A466,NYSEARCAMUB!A$2:G$506,5,0)</f>
        <v>108.78</v>
      </c>
      <c r="I466">
        <f>VLOOKUP(A466,NYSEARCAVNQ!A$2:G$506,5,0)</f>
        <v>81.88</v>
      </c>
      <c r="J466">
        <f>VLOOKUP(A466,NYSEARCARWX!A$2:G$506,5,0)</f>
        <v>37.380000000000003</v>
      </c>
      <c r="K466">
        <f>VLOOKUP(A466,NYSEARCADBC!A$2:G$506,5,0)</f>
        <v>14.91</v>
      </c>
      <c r="L466">
        <f>VLOOKUP(A466,NYSEARCAGSG!A$2:G$506,5,0)</f>
        <v>14.43</v>
      </c>
      <c r="M466">
        <f>VLOOKUP(A466,NYSEARCAGLD!A$2:G$506,5,0)</f>
        <v>118.86</v>
      </c>
      <c r="N466">
        <f>VLOOKUP(A466,NYSEBP!A$2:G$506,5,0)</f>
        <v>33.78</v>
      </c>
      <c r="O466">
        <f>VLOOKUP(A466,NASDAQYHOO!A$2:G$506,5,0)</f>
        <v>46.4</v>
      </c>
    </row>
    <row r="467" spans="1:15">
      <c r="A467" s="39">
        <v>42821</v>
      </c>
      <c r="B467">
        <v>69.66</v>
      </c>
      <c r="C467">
        <f>VLOOKUP(A467,NYSEARCAVTI!A$2:G$506,5,0)</f>
        <v>120.02</v>
      </c>
      <c r="D467">
        <f>VLOOKUP(A467,NYSEARCAVEU!A$2:G$506,5,0)</f>
        <v>47.95</v>
      </c>
      <c r="E467">
        <f>VLOOKUP(A467,NYSEARCAVWO!A$2:G$506,5,0)</f>
        <v>40.090000000000003</v>
      </c>
      <c r="F467">
        <f>VLOOKUP(A467,NYSEARCABND!A$2:G$506,5,0)</f>
        <v>81.150000000000006</v>
      </c>
      <c r="G467">
        <f>VLOOKUP(A467,NYSEARCATIP!A$2:G$506,5,0)</f>
        <v>114.67</v>
      </c>
      <c r="H467">
        <f>VLOOKUP(A467,NYSEARCAMUB!A$2:G$506,5,0)</f>
        <v>108.95</v>
      </c>
      <c r="I467">
        <f>VLOOKUP(A467,NYSEARCAVNQ!A$2:G$506,5,0)</f>
        <v>81.14</v>
      </c>
      <c r="J467">
        <f>VLOOKUP(A467,NYSEARCARWX!A$2:G$506,5,0)</f>
        <v>37.36</v>
      </c>
      <c r="K467">
        <f>VLOOKUP(A467,NYSEARCADBC!A$2:G$506,5,0)</f>
        <v>14.89</v>
      </c>
      <c r="L467">
        <f>VLOOKUP(A467,NYSEARCAGSG!A$2:G$506,5,0)</f>
        <v>14.39</v>
      </c>
      <c r="M467">
        <f>VLOOKUP(A467,NYSEARCAGLD!A$2:G$506,5,0)</f>
        <v>119.53</v>
      </c>
      <c r="N467">
        <f>VLOOKUP(A467,NYSEBP!A$2:G$506,5,0)</f>
        <v>33.75</v>
      </c>
      <c r="O467">
        <f>VLOOKUP(A467,NASDAQYHOO!A$2:G$506,5,0)</f>
        <v>46.4</v>
      </c>
    </row>
    <row r="468" spans="1:15">
      <c r="A468" s="39">
        <v>42822</v>
      </c>
      <c r="B468">
        <v>70.319999999999993</v>
      </c>
      <c r="C468">
        <f>VLOOKUP(A468,NYSEARCAVTI!A$2:G$506,5,0)</f>
        <v>120.86</v>
      </c>
      <c r="D468">
        <f>VLOOKUP(A468,NYSEARCAVEU!A$2:G$506,5,0)</f>
        <v>48.1</v>
      </c>
      <c r="E468">
        <f>VLOOKUP(A468,NYSEARCAVWO!A$2:G$506,5,0)</f>
        <v>40.19</v>
      </c>
      <c r="F468">
        <f>VLOOKUP(A468,NYSEARCABND!A$2:G$506,5,0)</f>
        <v>81</v>
      </c>
      <c r="G468">
        <f>VLOOKUP(A468,NYSEARCATIP!A$2:G$506,5,0)</f>
        <v>114.29</v>
      </c>
      <c r="H468">
        <f>VLOOKUP(A468,NYSEARCAMUB!A$2:G$506,5,0)</f>
        <v>108.88</v>
      </c>
      <c r="I468">
        <f>VLOOKUP(A468,NYSEARCAVNQ!A$2:G$506,5,0)</f>
        <v>81.489999999999995</v>
      </c>
      <c r="J468">
        <f>VLOOKUP(A468,NYSEARCARWX!A$2:G$506,5,0)</f>
        <v>37.33</v>
      </c>
      <c r="K468">
        <f>VLOOKUP(A468,NYSEARCADBC!A$2:G$506,5,0)</f>
        <v>14.98</v>
      </c>
      <c r="L468">
        <f>VLOOKUP(A468,NYSEARCAGSG!A$2:G$506,5,0)</f>
        <v>14.49</v>
      </c>
      <c r="M468">
        <f>VLOOKUP(A468,NYSEARCAGLD!A$2:G$506,5,0)</f>
        <v>119.04</v>
      </c>
      <c r="N468">
        <f>VLOOKUP(A468,NYSEBP!A$2:G$506,5,0)</f>
        <v>33.92</v>
      </c>
      <c r="O468">
        <f>VLOOKUP(A468,NASDAQYHOO!A$2:G$506,5,0)</f>
        <v>46.57</v>
      </c>
    </row>
    <row r="469" spans="1:15">
      <c r="A469" s="39">
        <v>42823</v>
      </c>
      <c r="B469">
        <v>70.739999999999995</v>
      </c>
      <c r="C469">
        <f>VLOOKUP(A469,NYSEARCAVTI!A$2:G$506,5,0)</f>
        <v>121.08</v>
      </c>
      <c r="D469">
        <f>VLOOKUP(A469,NYSEARCAVEU!A$2:G$506,5,0)</f>
        <v>48.18</v>
      </c>
      <c r="E469">
        <f>VLOOKUP(A469,NYSEARCAVWO!A$2:G$506,5,0)</f>
        <v>40.25</v>
      </c>
      <c r="F469">
        <f>VLOOKUP(A469,NYSEARCABND!A$2:G$506,5,0)</f>
        <v>81.16</v>
      </c>
      <c r="G469">
        <f>VLOOKUP(A469,NYSEARCATIP!A$2:G$506,5,0)</f>
        <v>114.59</v>
      </c>
      <c r="H469">
        <f>VLOOKUP(A469,NYSEARCAMUB!A$2:G$506,5,0)</f>
        <v>109.1</v>
      </c>
      <c r="I469">
        <f>VLOOKUP(A469,NYSEARCAVNQ!A$2:G$506,5,0)</f>
        <v>81.95</v>
      </c>
      <c r="J469">
        <f>VLOOKUP(A469,NYSEARCARWX!A$2:G$506,5,0)</f>
        <v>37.43</v>
      </c>
      <c r="K469">
        <f>VLOOKUP(A469,NYSEARCADBC!A$2:G$506,5,0)</f>
        <v>15.12</v>
      </c>
      <c r="L469">
        <f>VLOOKUP(A469,NYSEARCAGSG!A$2:G$506,5,0)</f>
        <v>14.65</v>
      </c>
      <c r="M469">
        <f>VLOOKUP(A469,NYSEARCAGLD!A$2:G$506,5,0)</f>
        <v>119.33</v>
      </c>
      <c r="N469">
        <f>VLOOKUP(A469,NYSEBP!A$2:G$506,5,0)</f>
        <v>34.43</v>
      </c>
      <c r="O469">
        <f>VLOOKUP(A469,NASDAQYHOO!A$2:G$506,5,0)</f>
        <v>46.78</v>
      </c>
    </row>
    <row r="470" spans="1:15">
      <c r="A470" s="39">
        <v>42824</v>
      </c>
      <c r="B470">
        <v>71.59</v>
      </c>
      <c r="C470">
        <f>VLOOKUP(A470,NYSEARCAVTI!A$2:G$506,5,0)</f>
        <v>121.53</v>
      </c>
      <c r="D470">
        <f>VLOOKUP(A470,NYSEARCAVEU!A$2:G$506,5,0)</f>
        <v>47.99</v>
      </c>
      <c r="E470">
        <f>VLOOKUP(A470,NYSEARCAVWO!A$2:G$506,5,0)</f>
        <v>40.020000000000003</v>
      </c>
      <c r="F470">
        <f>VLOOKUP(A470,NYSEARCABND!A$2:G$506,5,0)</f>
        <v>81.03</v>
      </c>
      <c r="G470">
        <f>VLOOKUP(A470,NYSEARCATIP!A$2:G$506,5,0)</f>
        <v>114.31</v>
      </c>
      <c r="H470">
        <f>VLOOKUP(A470,NYSEARCAMUB!A$2:G$506,5,0)</f>
        <v>108.91</v>
      </c>
      <c r="I470">
        <f>VLOOKUP(A470,NYSEARCAVNQ!A$2:G$506,5,0)</f>
        <v>82.1</v>
      </c>
      <c r="J470">
        <f>VLOOKUP(A470,NYSEARCARWX!A$2:G$506,5,0)</f>
        <v>37.229999999999997</v>
      </c>
      <c r="K470">
        <f>VLOOKUP(A470,NYSEARCADBC!A$2:G$506,5,0)</f>
        <v>15.18</v>
      </c>
      <c r="L470">
        <f>VLOOKUP(A470,NYSEARCAGSG!A$2:G$506,5,0)</f>
        <v>14.73</v>
      </c>
      <c r="M470">
        <f>VLOOKUP(A470,NYSEARCAGLD!A$2:G$506,5,0)</f>
        <v>118.47</v>
      </c>
      <c r="N470">
        <f>VLOOKUP(A470,NYSEBP!A$2:G$506,5,0)</f>
        <v>34.520000000000003</v>
      </c>
      <c r="O470">
        <f>VLOOKUP(A470,NASDAQYHOO!A$2:G$506,5,0)</f>
        <v>46.62</v>
      </c>
    </row>
    <row r="471" spans="1:15">
      <c r="A471" s="39">
        <v>42825</v>
      </c>
      <c r="B471">
        <v>72.08</v>
      </c>
      <c r="C471">
        <f>VLOOKUP(A471,NYSEARCAVTI!A$2:G$506,5,0)</f>
        <v>121.32</v>
      </c>
      <c r="D471">
        <f>VLOOKUP(A471,NYSEARCAVEU!A$2:G$506,5,0)</f>
        <v>47.83</v>
      </c>
      <c r="E471">
        <f>VLOOKUP(A471,NYSEARCAVWO!A$2:G$506,5,0)</f>
        <v>39.72</v>
      </c>
      <c r="F471">
        <f>VLOOKUP(A471,NYSEARCABND!A$2:G$506,5,0)</f>
        <v>81.08</v>
      </c>
      <c r="G471">
        <f>VLOOKUP(A471,NYSEARCATIP!A$2:G$506,5,0)</f>
        <v>114.65</v>
      </c>
      <c r="H471">
        <f>VLOOKUP(A471,NYSEARCAMUB!A$2:G$506,5,0)</f>
        <v>108.95</v>
      </c>
      <c r="I471">
        <f>VLOOKUP(A471,NYSEARCAVNQ!A$2:G$506,5,0)</f>
        <v>82.59</v>
      </c>
      <c r="J471">
        <f>VLOOKUP(A471,NYSEARCARWX!A$2:G$506,5,0)</f>
        <v>37.4</v>
      </c>
      <c r="K471">
        <f>VLOOKUP(A471,NYSEARCADBC!A$2:G$506,5,0)</f>
        <v>15.21</v>
      </c>
      <c r="L471">
        <f>VLOOKUP(A471,NYSEARCAGSG!A$2:G$506,5,0)</f>
        <v>14.82</v>
      </c>
      <c r="M471">
        <f>VLOOKUP(A471,NYSEARCAGLD!A$2:G$506,5,0)</f>
        <v>118.72</v>
      </c>
      <c r="N471">
        <f>VLOOKUP(A471,NYSEBP!A$2:G$506,5,0)</f>
        <v>34.520000000000003</v>
      </c>
      <c r="O471">
        <f>VLOOKUP(A471,NASDAQYHOO!A$2:G$506,5,0)</f>
        <v>46.41</v>
      </c>
    </row>
    <row r="472" spans="1:15">
      <c r="A472" s="39">
        <v>42828</v>
      </c>
      <c r="B472">
        <v>71.83</v>
      </c>
      <c r="C472">
        <f>VLOOKUP(A472,NYSEARCAVTI!A$2:G$506,5,0)</f>
        <v>121.02</v>
      </c>
      <c r="D472">
        <f>VLOOKUP(A472,NYSEARCAVEU!A$2:G$506,5,0)</f>
        <v>47.84</v>
      </c>
      <c r="E472">
        <f>VLOOKUP(A472,NYSEARCAVWO!A$2:G$506,5,0)</f>
        <v>40.03</v>
      </c>
      <c r="F472">
        <f>VLOOKUP(A472,NYSEARCABND!A$2:G$506,5,0)</f>
        <v>81.2</v>
      </c>
      <c r="G472">
        <f>VLOOKUP(A472,NYSEARCATIP!A$2:G$506,5,0)</f>
        <v>114.77</v>
      </c>
      <c r="H472">
        <f>VLOOKUP(A472,NYSEARCAMUB!A$2:G$506,5,0)</f>
        <v>108.81</v>
      </c>
      <c r="I472">
        <f>VLOOKUP(A472,NYSEARCAVNQ!A$2:G$506,5,0)</f>
        <v>82.83</v>
      </c>
      <c r="J472">
        <f>VLOOKUP(A472,NYSEARCARWX!A$2:G$506,5,0)</f>
        <v>37.36</v>
      </c>
      <c r="K472">
        <f>VLOOKUP(A472,NYSEARCADBC!A$2:G$506,5,0)</f>
        <v>15.15</v>
      </c>
      <c r="L472">
        <f>VLOOKUP(A472,NYSEARCAGSG!A$2:G$506,5,0)</f>
        <v>14.67</v>
      </c>
      <c r="M472">
        <f>VLOOKUP(A472,NYSEARCAGLD!A$2:G$506,5,0)</f>
        <v>119.35</v>
      </c>
      <c r="N472">
        <f>VLOOKUP(A472,NYSEBP!A$2:G$506,5,0)</f>
        <v>34.4</v>
      </c>
      <c r="O472">
        <f>VLOOKUP(A472,NASDAQYHOO!A$2:G$506,5,0)</f>
        <v>46.43</v>
      </c>
    </row>
    <row r="473" spans="1:15">
      <c r="A473" s="39">
        <v>42829</v>
      </c>
      <c r="B473">
        <v>72.010000000000005</v>
      </c>
      <c r="C473">
        <f>VLOOKUP(A473,NYSEARCAVTI!A$2:G$506,5,0)</f>
        <v>121.08</v>
      </c>
      <c r="D473">
        <f>VLOOKUP(A473,NYSEARCAVEU!A$2:G$506,5,0)</f>
        <v>47.88</v>
      </c>
      <c r="E473">
        <f>VLOOKUP(A473,NYSEARCAVWO!A$2:G$506,5,0)</f>
        <v>40.119999999999997</v>
      </c>
      <c r="F473">
        <f>VLOOKUP(A473,NYSEARCABND!A$2:G$506,5,0)</f>
        <v>81.11</v>
      </c>
      <c r="G473">
        <f>VLOOKUP(A473,NYSEARCATIP!A$2:G$506,5,0)</f>
        <v>114.64</v>
      </c>
      <c r="H473">
        <f>VLOOKUP(A473,NYSEARCAMUB!A$2:G$506,5,0)</f>
        <v>108.87</v>
      </c>
      <c r="I473">
        <f>VLOOKUP(A473,NYSEARCAVNQ!A$2:G$506,5,0)</f>
        <v>82.83</v>
      </c>
      <c r="J473">
        <f>VLOOKUP(A473,NYSEARCARWX!A$2:G$506,5,0)</f>
        <v>37.44</v>
      </c>
      <c r="K473">
        <f>VLOOKUP(A473,NYSEARCADBC!A$2:G$506,5,0)</f>
        <v>15.3</v>
      </c>
      <c r="L473">
        <f>VLOOKUP(A473,NYSEARCAGSG!A$2:G$506,5,0)</f>
        <v>14.84</v>
      </c>
      <c r="M473">
        <f>VLOOKUP(A473,NYSEARCAGLD!A$2:G$506,5,0)</f>
        <v>119.62</v>
      </c>
      <c r="N473">
        <f>VLOOKUP(A473,NYSEBP!A$2:G$506,5,0)</f>
        <v>34.79</v>
      </c>
      <c r="O473">
        <f>VLOOKUP(A473,NASDAQYHOO!A$2:G$506,5,0)</f>
        <v>46.23</v>
      </c>
    </row>
    <row r="474" spans="1:15">
      <c r="A474" s="39">
        <v>42830</v>
      </c>
      <c r="B474">
        <v>71.650000000000006</v>
      </c>
      <c r="C474">
        <f>VLOOKUP(A474,NYSEARCAVTI!A$2:G$506,5,0)</f>
        <v>120.59</v>
      </c>
      <c r="D474">
        <f>VLOOKUP(A474,NYSEARCAVEU!A$2:G$506,5,0)</f>
        <v>47.64</v>
      </c>
      <c r="E474">
        <f>VLOOKUP(A474,NYSEARCAVWO!A$2:G$506,5,0)</f>
        <v>40.049999999999997</v>
      </c>
      <c r="F474">
        <f>VLOOKUP(A474,NYSEARCABND!A$2:G$506,5,0)</f>
        <v>81.180000000000007</v>
      </c>
      <c r="G474">
        <f>VLOOKUP(A474,NYSEARCATIP!A$2:G$506,5,0)</f>
        <v>114.86</v>
      </c>
      <c r="H474">
        <f>VLOOKUP(A474,NYSEARCAMUB!A$2:G$506,5,0)</f>
        <v>108.97</v>
      </c>
      <c r="I474">
        <f>VLOOKUP(A474,NYSEARCAVNQ!A$2:G$506,5,0)</f>
        <v>82.95</v>
      </c>
      <c r="J474">
        <f>VLOOKUP(A474,NYSEARCARWX!A$2:G$506,5,0)</f>
        <v>37.380000000000003</v>
      </c>
      <c r="K474">
        <f>VLOOKUP(A474,NYSEARCADBC!A$2:G$506,5,0)</f>
        <v>15.33</v>
      </c>
      <c r="L474">
        <f>VLOOKUP(A474,NYSEARCAGSG!A$2:G$506,5,0)</f>
        <v>14.83</v>
      </c>
      <c r="M474">
        <f>VLOOKUP(A474,NYSEARCAGLD!A$2:G$506,5,0)</f>
        <v>119.62</v>
      </c>
      <c r="N474">
        <f>VLOOKUP(A474,NYSEBP!A$2:G$506,5,0)</f>
        <v>34.590000000000003</v>
      </c>
      <c r="O474">
        <f>VLOOKUP(A474,NASDAQYHOO!A$2:G$506,5,0)</f>
        <v>46.38</v>
      </c>
    </row>
    <row r="475" spans="1:15">
      <c r="A475" s="39">
        <v>42831</v>
      </c>
      <c r="B475">
        <v>71.430000000000007</v>
      </c>
      <c r="C475">
        <f>VLOOKUP(A475,NYSEARCAVTI!A$2:G$506,5,0)</f>
        <v>120.97</v>
      </c>
      <c r="D475">
        <f>VLOOKUP(A475,NYSEARCAVEU!A$2:G$506,5,0)</f>
        <v>47.65</v>
      </c>
      <c r="E475">
        <f>VLOOKUP(A475,NYSEARCAVWO!A$2:G$506,5,0)</f>
        <v>39.979999999999997</v>
      </c>
      <c r="F475">
        <f>VLOOKUP(A475,NYSEARCABND!A$2:G$506,5,0)</f>
        <v>81.209999999999994</v>
      </c>
      <c r="G475">
        <f>VLOOKUP(A475,NYSEARCATIP!A$2:G$506,5,0)</f>
        <v>114.8</v>
      </c>
      <c r="H475">
        <f>VLOOKUP(A475,NYSEARCAMUB!A$2:G$506,5,0)</f>
        <v>109.05</v>
      </c>
      <c r="I475">
        <f>VLOOKUP(A475,NYSEARCAVNQ!A$2:G$506,5,0)</f>
        <v>83.39</v>
      </c>
      <c r="J475">
        <f>VLOOKUP(A475,NYSEARCARWX!A$2:G$506,5,0)</f>
        <v>37.72</v>
      </c>
      <c r="K475">
        <f>VLOOKUP(A475,NYSEARCADBC!A$2:G$506,5,0)</f>
        <v>15.37</v>
      </c>
      <c r="L475">
        <f>VLOOKUP(A475,NYSEARCAGSG!A$2:G$506,5,0)</f>
        <v>14.96</v>
      </c>
      <c r="M475">
        <f>VLOOKUP(A475,NYSEARCAGLD!A$2:G$506,5,0)</f>
        <v>119.18</v>
      </c>
      <c r="N475">
        <f>VLOOKUP(A475,NYSEBP!A$2:G$506,5,0)</f>
        <v>34.729999999999997</v>
      </c>
      <c r="O475">
        <f>VLOOKUP(A475,NASDAQYHOO!A$2:G$506,5,0)</f>
        <v>46.28</v>
      </c>
    </row>
    <row r="476" spans="1:15">
      <c r="A476" s="39">
        <v>42832</v>
      </c>
      <c r="B476">
        <v>72.900000000000006</v>
      </c>
      <c r="C476">
        <f>VLOOKUP(A476,NYSEARCAVTI!A$2:G$506,5,0)</f>
        <v>120.88</v>
      </c>
      <c r="D476">
        <f>VLOOKUP(A476,NYSEARCAVEU!A$2:G$506,5,0)</f>
        <v>47.59</v>
      </c>
      <c r="E476">
        <f>VLOOKUP(A476,NYSEARCAVWO!A$2:G$506,5,0)</f>
        <v>39.97</v>
      </c>
      <c r="F476">
        <f>VLOOKUP(A476,NYSEARCABND!A$2:G$506,5,0)</f>
        <v>81.03</v>
      </c>
      <c r="G476">
        <f>VLOOKUP(A476,NYSEARCATIP!A$2:G$506,5,0)</f>
        <v>114.35</v>
      </c>
      <c r="H476">
        <f>VLOOKUP(A476,NYSEARCAMUB!A$2:G$506,5,0)</f>
        <v>109.12</v>
      </c>
      <c r="I476">
        <f>VLOOKUP(A476,NYSEARCAVNQ!A$2:G$506,5,0)</f>
        <v>83.51</v>
      </c>
      <c r="J476">
        <f>VLOOKUP(A476,NYSEARCARWX!A$2:G$506,5,0)</f>
        <v>37.72</v>
      </c>
      <c r="K476">
        <f>VLOOKUP(A476,NYSEARCADBC!A$2:G$506,5,0)</f>
        <v>15.41</v>
      </c>
      <c r="L476">
        <f>VLOOKUP(A476,NYSEARCAGSG!A$2:G$506,5,0)</f>
        <v>15.02</v>
      </c>
      <c r="M476">
        <f>VLOOKUP(A476,NYSEARCAGLD!A$2:G$506,5,0)</f>
        <v>119.46</v>
      </c>
      <c r="N476">
        <f>VLOOKUP(A476,NYSEBP!A$2:G$506,5,0)</f>
        <v>34.85</v>
      </c>
      <c r="O476">
        <f>VLOOKUP(A476,NASDAQYHOO!A$2:G$506,5,0)</f>
        <v>46.44</v>
      </c>
    </row>
    <row r="477" spans="1:15">
      <c r="A477" s="39">
        <v>42835</v>
      </c>
      <c r="B477">
        <v>73.06</v>
      </c>
      <c r="C477">
        <f>VLOOKUP(A477,NYSEARCAVTI!A$2:G$506,5,0)</f>
        <v>121.03</v>
      </c>
      <c r="D477">
        <f>VLOOKUP(A477,NYSEARCAVEU!A$2:G$506,5,0)</f>
        <v>47.52</v>
      </c>
      <c r="E477">
        <f>VLOOKUP(A477,NYSEARCAVWO!A$2:G$506,5,0)</f>
        <v>39.78</v>
      </c>
      <c r="F477">
        <f>VLOOKUP(A477,NYSEARCABND!A$2:G$506,5,0)</f>
        <v>81.11</v>
      </c>
      <c r="G477">
        <f>VLOOKUP(A477,NYSEARCATIP!A$2:G$506,5,0)</f>
        <v>114.41</v>
      </c>
      <c r="H477">
        <f>VLOOKUP(A477,NYSEARCAMUB!A$2:G$506,5,0)</f>
        <v>109.22</v>
      </c>
      <c r="I477">
        <f>VLOOKUP(A477,NYSEARCAVNQ!A$2:G$506,5,0)</f>
        <v>84.03</v>
      </c>
      <c r="J477">
        <f>VLOOKUP(A477,NYSEARCARWX!A$2:G$506,5,0)</f>
        <v>37.57</v>
      </c>
      <c r="K477">
        <f>VLOOKUP(A477,NYSEARCADBC!A$2:G$506,5,0)</f>
        <v>15.53</v>
      </c>
      <c r="L477">
        <f>VLOOKUP(A477,NYSEARCAGSG!A$2:G$506,5,0)</f>
        <v>15.15</v>
      </c>
      <c r="M477">
        <f>VLOOKUP(A477,NYSEARCAGLD!A$2:G$506,5,0)</f>
        <v>119.46</v>
      </c>
      <c r="N477">
        <f>VLOOKUP(A477,NYSEBP!A$2:G$506,5,0)</f>
        <v>35.090000000000003</v>
      </c>
      <c r="O477">
        <f>VLOOKUP(A477,NASDAQYHOO!A$2:G$506,5,0)</f>
        <v>47.21</v>
      </c>
    </row>
    <row r="478" spans="1:15">
      <c r="A478" s="39">
        <v>42836</v>
      </c>
      <c r="B478">
        <v>73.430000000000007</v>
      </c>
      <c r="C478">
        <f>VLOOKUP(A478,NYSEARCAVTI!A$2:G$506,5,0)</f>
        <v>120.99</v>
      </c>
      <c r="D478">
        <f>VLOOKUP(A478,NYSEARCAVEU!A$2:G$506,5,0)</f>
        <v>47.67</v>
      </c>
      <c r="E478">
        <f>VLOOKUP(A478,NYSEARCAVWO!A$2:G$506,5,0)</f>
        <v>39.82</v>
      </c>
      <c r="F478">
        <f>VLOOKUP(A478,NYSEARCABND!A$2:G$506,5,0)</f>
        <v>81.37</v>
      </c>
      <c r="G478">
        <f>VLOOKUP(A478,NYSEARCATIP!A$2:G$506,5,0)</f>
        <v>114.63</v>
      </c>
      <c r="H478">
        <f>VLOOKUP(A478,NYSEARCAMUB!A$2:G$506,5,0)</f>
        <v>109.38</v>
      </c>
      <c r="I478">
        <f>VLOOKUP(A478,NYSEARCAVNQ!A$2:G$506,5,0)</f>
        <v>84.61</v>
      </c>
      <c r="J478">
        <f>VLOOKUP(A478,NYSEARCARWX!A$2:G$506,5,0)</f>
        <v>37.909999999999997</v>
      </c>
      <c r="K478">
        <f>VLOOKUP(A478,NYSEARCADBC!A$2:G$506,5,0)</f>
        <v>15.56</v>
      </c>
      <c r="L478">
        <f>VLOOKUP(A478,NYSEARCAGSG!A$2:G$506,5,0)</f>
        <v>15.18</v>
      </c>
      <c r="M478">
        <f>VLOOKUP(A478,NYSEARCAGLD!A$2:G$506,5,0)</f>
        <v>121.19</v>
      </c>
      <c r="N478">
        <f>VLOOKUP(A478,NYSEBP!A$2:G$506,5,0)</f>
        <v>35.369999999999997</v>
      </c>
      <c r="O478">
        <f>VLOOKUP(A478,NASDAQYHOO!A$2:G$506,5,0)</f>
        <v>46.79</v>
      </c>
    </row>
    <row r="479" spans="1:15">
      <c r="A479" s="39">
        <v>42837</v>
      </c>
      <c r="B479">
        <v>73.44</v>
      </c>
      <c r="C479">
        <f>VLOOKUP(A479,NYSEARCAVTI!A$2:G$506,5,0)</f>
        <v>120.37</v>
      </c>
      <c r="D479">
        <f>VLOOKUP(A479,NYSEARCAVEU!A$2:G$506,5,0)</f>
        <v>47.73</v>
      </c>
      <c r="E479">
        <f>VLOOKUP(A479,NYSEARCAVWO!A$2:G$506,5,0)</f>
        <v>39.96</v>
      </c>
      <c r="F479">
        <f>VLOOKUP(A479,NYSEARCABND!A$2:G$506,5,0)</f>
        <v>81.56</v>
      </c>
      <c r="G479">
        <f>VLOOKUP(A479,NYSEARCATIP!A$2:G$506,5,0)</f>
        <v>115.06</v>
      </c>
      <c r="H479">
        <f>VLOOKUP(A479,NYSEARCAMUB!A$2:G$506,5,0)</f>
        <v>109.56</v>
      </c>
      <c r="I479">
        <f>VLOOKUP(A479,NYSEARCAVNQ!A$2:G$506,5,0)</f>
        <v>84.46</v>
      </c>
      <c r="J479">
        <f>VLOOKUP(A479,NYSEARCARWX!A$2:G$506,5,0)</f>
        <v>38.130000000000003</v>
      </c>
      <c r="K479">
        <f>VLOOKUP(A479,NYSEARCADBC!A$2:G$506,5,0)</f>
        <v>15.56</v>
      </c>
      <c r="L479">
        <f>VLOOKUP(A479,NYSEARCAGSG!A$2:G$506,5,0)</f>
        <v>15.12</v>
      </c>
      <c r="M479">
        <f>VLOOKUP(A479,NYSEARCAGLD!A$2:G$506,5,0)</f>
        <v>122.02</v>
      </c>
      <c r="N479">
        <f>VLOOKUP(A479,NYSEBP!A$2:G$506,5,0)</f>
        <v>35.450000000000003</v>
      </c>
      <c r="O479">
        <f>VLOOKUP(A479,NASDAQYHOO!A$2:G$506,5,0)</f>
        <v>46.83</v>
      </c>
    </row>
    <row r="480" spans="1:15">
      <c r="A480" s="39">
        <v>42838</v>
      </c>
      <c r="B480">
        <v>73.150000000000006</v>
      </c>
      <c r="C480">
        <f>VLOOKUP(A480,NYSEARCAVTI!A$2:G$506,5,0)</f>
        <v>119.55</v>
      </c>
      <c r="D480">
        <f>VLOOKUP(A480,NYSEARCAVEU!A$2:G$506,5,0)</f>
        <v>47.39</v>
      </c>
      <c r="E480">
        <f>VLOOKUP(A480,NYSEARCAVWO!A$2:G$506,5,0)</f>
        <v>39.75</v>
      </c>
      <c r="F480">
        <f>VLOOKUP(A480,NYSEARCABND!A$2:G$506,5,0)</f>
        <v>81.680000000000007</v>
      </c>
      <c r="G480">
        <f>VLOOKUP(A480,NYSEARCATIP!A$2:G$506,5,0)</f>
        <v>115.23</v>
      </c>
      <c r="H480">
        <f>VLOOKUP(A480,NYSEARCAMUB!A$2:G$506,5,0)</f>
        <v>109.64</v>
      </c>
      <c r="I480">
        <f>VLOOKUP(A480,NYSEARCAVNQ!A$2:G$506,5,0)</f>
        <v>84.27</v>
      </c>
      <c r="J480">
        <f>VLOOKUP(A480,NYSEARCARWX!A$2:G$506,5,0)</f>
        <v>38.049999999999997</v>
      </c>
      <c r="K480">
        <f>VLOOKUP(A480,NYSEARCADBC!A$2:G$506,5,0)</f>
        <v>15.61</v>
      </c>
      <c r="L480">
        <f>VLOOKUP(A480,NYSEARCAGSG!A$2:G$506,5,0)</f>
        <v>15.17</v>
      </c>
      <c r="M480">
        <f>VLOOKUP(A480,NYSEARCAGLD!A$2:G$506,5,0)</f>
        <v>122.6</v>
      </c>
      <c r="N480">
        <f>VLOOKUP(A480,NYSEBP!A$2:G$506,5,0)</f>
        <v>34.99</v>
      </c>
      <c r="O480">
        <f>VLOOKUP(A480,NASDAQYHOO!A$2:G$506,5,0)</f>
        <v>46.9</v>
      </c>
    </row>
    <row r="481" spans="1:15">
      <c r="A481" s="39">
        <v>42842</v>
      </c>
      <c r="B481">
        <v>73.489999999999995</v>
      </c>
      <c r="C481">
        <f>VLOOKUP(A481,NYSEARCAVTI!A$2:G$506,5,0)</f>
        <v>120.59</v>
      </c>
      <c r="D481">
        <f>VLOOKUP(A481,NYSEARCAVEU!A$2:G$506,5,0)</f>
        <v>47.79</v>
      </c>
      <c r="E481">
        <f>VLOOKUP(A481,NYSEARCAVWO!A$2:G$506,5,0)</f>
        <v>40.090000000000003</v>
      </c>
      <c r="F481">
        <f>VLOOKUP(A481,NYSEARCABND!A$2:G$506,5,0)</f>
        <v>81.63</v>
      </c>
      <c r="G481">
        <f>VLOOKUP(A481,NYSEARCATIP!A$2:G$506,5,0)</f>
        <v>114.96</v>
      </c>
      <c r="H481">
        <f>VLOOKUP(A481,NYSEARCAMUB!A$2:G$506,5,0)</f>
        <v>109.62</v>
      </c>
      <c r="I481">
        <f>VLOOKUP(A481,NYSEARCAVNQ!A$2:G$506,5,0)</f>
        <v>85.29</v>
      </c>
      <c r="J481">
        <f>VLOOKUP(A481,NYSEARCARWX!A$2:G$506,5,0)</f>
        <v>38.479999999999997</v>
      </c>
      <c r="K481">
        <f>VLOOKUP(A481,NYSEARCADBC!A$2:G$506,5,0)</f>
        <v>15.52</v>
      </c>
      <c r="L481">
        <f>VLOOKUP(A481,NYSEARCAGSG!A$2:G$506,5,0)</f>
        <v>15.1</v>
      </c>
      <c r="M481">
        <f>VLOOKUP(A481,NYSEARCAGLD!A$2:G$506,5,0)</f>
        <v>122.24</v>
      </c>
      <c r="N481">
        <f>VLOOKUP(A481,NYSEBP!A$2:G$506,5,0)</f>
        <v>35.03</v>
      </c>
      <c r="O481">
        <f>VLOOKUP(A481,NASDAQYHOO!A$2:G$506,5,0)</f>
        <v>47.39</v>
      </c>
    </row>
    <row r="482" spans="1:15">
      <c r="A482" s="39">
        <v>42843</v>
      </c>
      <c r="B482">
        <v>73.89</v>
      </c>
      <c r="C482">
        <f>VLOOKUP(A482,NYSEARCAVTI!A$2:G$506,5,0)</f>
        <v>120.33</v>
      </c>
      <c r="D482">
        <f>VLOOKUP(A482,NYSEARCAVEU!A$2:G$506,5,0)</f>
        <v>47.45</v>
      </c>
      <c r="E482">
        <f>VLOOKUP(A482,NYSEARCAVWO!A$2:G$506,5,0)</f>
        <v>39.619999999999997</v>
      </c>
      <c r="F482">
        <f>VLOOKUP(A482,NYSEARCABND!A$2:G$506,5,0)</f>
        <v>81.92</v>
      </c>
      <c r="G482">
        <f>VLOOKUP(A482,NYSEARCATIP!A$2:G$506,5,0)</f>
        <v>115.21</v>
      </c>
      <c r="H482">
        <f>VLOOKUP(A482,NYSEARCAMUB!A$2:G$506,5,0)</f>
        <v>109.95</v>
      </c>
      <c r="I482">
        <f>VLOOKUP(A482,NYSEARCAVNQ!A$2:G$506,5,0)</f>
        <v>85.52</v>
      </c>
      <c r="J482">
        <f>VLOOKUP(A482,NYSEARCARWX!A$2:G$506,5,0)</f>
        <v>38.5</v>
      </c>
      <c r="K482">
        <f>VLOOKUP(A482,NYSEARCADBC!A$2:G$506,5,0)</f>
        <v>15.46</v>
      </c>
      <c r="L482">
        <f>VLOOKUP(A482,NYSEARCAGSG!A$2:G$506,5,0)</f>
        <v>15.02</v>
      </c>
      <c r="M482">
        <f>VLOOKUP(A482,NYSEARCAGLD!A$2:G$506,5,0)</f>
        <v>122.82</v>
      </c>
      <c r="N482">
        <f>VLOOKUP(A482,NYSEBP!A$2:G$506,5,0)</f>
        <v>34.67</v>
      </c>
      <c r="O482">
        <f>VLOOKUP(A482,NASDAQYHOO!A$2:G$506,5,0)</f>
        <v>47.56</v>
      </c>
    </row>
    <row r="483" spans="1:15">
      <c r="A483" s="39">
        <v>42844</v>
      </c>
      <c r="B483">
        <v>74.069999999999993</v>
      </c>
      <c r="C483">
        <f>VLOOKUP(A483,NYSEARCAVTI!A$2:G$506,5,0)</f>
        <v>120.23</v>
      </c>
      <c r="D483">
        <f>VLOOKUP(A483,NYSEARCAVEU!A$2:G$506,5,0)</f>
        <v>47.21</v>
      </c>
      <c r="E483">
        <f>VLOOKUP(A483,NYSEARCAVWO!A$2:G$506,5,0)</f>
        <v>39.33</v>
      </c>
      <c r="F483">
        <f>VLOOKUP(A483,NYSEARCABND!A$2:G$506,5,0)</f>
        <v>81.77</v>
      </c>
      <c r="G483">
        <f>VLOOKUP(A483,NYSEARCATIP!A$2:G$506,5,0)</f>
        <v>115</v>
      </c>
      <c r="H483">
        <f>VLOOKUP(A483,NYSEARCAMUB!A$2:G$506,5,0)</f>
        <v>109.87</v>
      </c>
      <c r="I483">
        <f>VLOOKUP(A483,NYSEARCAVNQ!A$2:G$506,5,0)</f>
        <v>85.4</v>
      </c>
      <c r="J483">
        <f>VLOOKUP(A483,NYSEARCARWX!A$2:G$506,5,0)</f>
        <v>38.18</v>
      </c>
      <c r="K483">
        <f>VLOOKUP(A483,NYSEARCADBC!A$2:G$506,5,0)</f>
        <v>15.19</v>
      </c>
      <c r="L483">
        <f>VLOOKUP(A483,NYSEARCAGSG!A$2:G$506,5,0)</f>
        <v>14.71</v>
      </c>
      <c r="M483">
        <f>VLOOKUP(A483,NYSEARCAGLD!A$2:G$506,5,0)</f>
        <v>121.73</v>
      </c>
      <c r="N483">
        <f>VLOOKUP(A483,NYSEBP!A$2:G$506,5,0)</f>
        <v>34.14</v>
      </c>
      <c r="O483">
        <f>VLOOKUP(A483,NASDAQYHOO!A$2:G$506,5,0)</f>
        <v>47</v>
      </c>
    </row>
    <row r="484" spans="1:15">
      <c r="A484" s="39">
        <v>42845</v>
      </c>
      <c r="B484">
        <v>74.8</v>
      </c>
      <c r="C484">
        <f>VLOOKUP(A484,NYSEARCAVTI!A$2:G$506,5,0)</f>
        <v>121.22</v>
      </c>
      <c r="D484">
        <f>VLOOKUP(A484,NYSEARCAVEU!A$2:G$506,5,0)</f>
        <v>47.64</v>
      </c>
      <c r="E484">
        <f>VLOOKUP(A484,NYSEARCAVWO!A$2:G$506,5,0)</f>
        <v>39.74</v>
      </c>
      <c r="F484">
        <f>VLOOKUP(A484,NYSEARCABND!A$2:G$506,5,0)</f>
        <v>81.66</v>
      </c>
      <c r="G484">
        <f>VLOOKUP(A484,NYSEARCATIP!A$2:G$506,5,0)</f>
        <v>114.88</v>
      </c>
      <c r="H484">
        <f>VLOOKUP(A484,NYSEARCAMUB!A$2:G$506,5,0)</f>
        <v>109.74</v>
      </c>
      <c r="I484">
        <f>VLOOKUP(A484,NYSEARCAVNQ!A$2:G$506,5,0)</f>
        <v>85.41</v>
      </c>
      <c r="J484">
        <f>VLOOKUP(A484,NYSEARCARWX!A$2:G$506,5,0)</f>
        <v>38.33</v>
      </c>
      <c r="K484">
        <f>VLOOKUP(A484,NYSEARCADBC!A$2:G$506,5,0)</f>
        <v>15.13</v>
      </c>
      <c r="L484">
        <f>VLOOKUP(A484,NYSEARCAGSG!A$2:G$506,5,0)</f>
        <v>14.65</v>
      </c>
      <c r="M484">
        <f>VLOOKUP(A484,NYSEARCAGLD!A$2:G$506,5,0)</f>
        <v>121.96</v>
      </c>
      <c r="N484">
        <f>VLOOKUP(A484,NYSEBP!A$2:G$506,5,0)</f>
        <v>34.15</v>
      </c>
      <c r="O484">
        <f>VLOOKUP(A484,NASDAQYHOO!A$2:G$506,5,0)</f>
        <v>47.67</v>
      </c>
    </row>
    <row r="485" spans="1:15">
      <c r="A485" s="39">
        <v>42846</v>
      </c>
      <c r="B485">
        <v>74.94</v>
      </c>
      <c r="C485">
        <f>VLOOKUP(A485,NYSEARCAVTI!A$2:G$506,5,0)</f>
        <v>120.83</v>
      </c>
      <c r="D485">
        <f>VLOOKUP(A485,NYSEARCAVEU!A$2:G$506,5,0)</f>
        <v>47.66</v>
      </c>
      <c r="E485">
        <f>VLOOKUP(A485,NYSEARCAVWO!A$2:G$506,5,0)</f>
        <v>39.700000000000003</v>
      </c>
      <c r="F485">
        <f>VLOOKUP(A485,NYSEARCABND!A$2:G$506,5,0)</f>
        <v>81.680000000000007</v>
      </c>
      <c r="G485">
        <f>VLOOKUP(A485,NYSEARCATIP!A$2:G$506,5,0)</f>
        <v>114.72</v>
      </c>
      <c r="H485">
        <f>VLOOKUP(A485,NYSEARCAMUB!A$2:G$506,5,0)</f>
        <v>109.76</v>
      </c>
      <c r="I485">
        <f>VLOOKUP(A485,NYSEARCAVNQ!A$2:G$506,5,0)</f>
        <v>85.1</v>
      </c>
      <c r="J485">
        <f>VLOOKUP(A485,NYSEARCARWX!A$2:G$506,5,0)</f>
        <v>38.14</v>
      </c>
      <c r="K485">
        <f>VLOOKUP(A485,NYSEARCADBC!A$2:G$506,5,0)</f>
        <v>14.98</v>
      </c>
      <c r="L485">
        <f>VLOOKUP(A485,NYSEARCAGSG!A$2:G$506,5,0)</f>
        <v>14.46</v>
      </c>
      <c r="M485">
        <f>VLOOKUP(A485,NYSEARCAGLD!A$2:G$506,5,0)</f>
        <v>122.31</v>
      </c>
      <c r="N485">
        <f>VLOOKUP(A485,NYSEBP!A$2:G$506,5,0)</f>
        <v>34</v>
      </c>
      <c r="O485">
        <f>VLOOKUP(A485,NASDAQYHOO!A$2:G$506,5,0)</f>
        <v>47.52</v>
      </c>
    </row>
    <row r="486" spans="1:15">
      <c r="A486" s="39">
        <v>42849</v>
      </c>
      <c r="B486">
        <v>74.78</v>
      </c>
      <c r="C486">
        <f>VLOOKUP(A486,NYSEARCAVTI!A$2:G$506,5,0)</f>
        <v>122.11</v>
      </c>
      <c r="D486">
        <f>VLOOKUP(A486,NYSEARCAVEU!A$2:G$506,5,0)</f>
        <v>48.66</v>
      </c>
      <c r="E486">
        <f>VLOOKUP(A486,NYSEARCAVWO!A$2:G$506,5,0)</f>
        <v>40.159999999999997</v>
      </c>
      <c r="F486">
        <f>VLOOKUP(A486,NYSEARCABND!A$2:G$506,5,0)</f>
        <v>81.569999999999993</v>
      </c>
      <c r="G486">
        <f>VLOOKUP(A486,NYSEARCATIP!A$2:G$506,5,0)</f>
        <v>114.69</v>
      </c>
      <c r="H486">
        <f>VLOOKUP(A486,NYSEARCAMUB!A$2:G$506,5,0)</f>
        <v>109.5</v>
      </c>
      <c r="I486">
        <f>VLOOKUP(A486,NYSEARCAVNQ!A$2:G$506,5,0)</f>
        <v>84.16</v>
      </c>
      <c r="J486">
        <f>VLOOKUP(A486,NYSEARCARWX!A$2:G$506,5,0)</f>
        <v>38.33</v>
      </c>
      <c r="K486">
        <f>VLOOKUP(A486,NYSEARCADBC!A$2:G$506,5,0)</f>
        <v>14.93</v>
      </c>
      <c r="L486">
        <f>VLOOKUP(A486,NYSEARCAGSG!A$2:G$506,5,0)</f>
        <v>14.39</v>
      </c>
      <c r="M486">
        <f>VLOOKUP(A486,NYSEARCAGLD!A$2:G$506,5,0)</f>
        <v>121.48</v>
      </c>
      <c r="N486">
        <f>VLOOKUP(A486,NYSEBP!A$2:G$506,5,0)</f>
        <v>34.450000000000003</v>
      </c>
      <c r="O486">
        <f>VLOOKUP(A486,NASDAQYHOO!A$2:G$506,5,0)</f>
        <v>48.15</v>
      </c>
    </row>
    <row r="487" spans="1:15">
      <c r="A487" s="39">
        <v>42850</v>
      </c>
      <c r="B487">
        <v>75.05</v>
      </c>
      <c r="C487">
        <f>VLOOKUP(A487,NYSEARCAVTI!A$2:G$506,5,0)</f>
        <v>122.87</v>
      </c>
      <c r="D487">
        <f>VLOOKUP(A487,NYSEARCAVEU!A$2:G$506,5,0)</f>
        <v>49.01</v>
      </c>
      <c r="E487">
        <f>VLOOKUP(A487,NYSEARCAVWO!A$2:G$506,5,0)</f>
        <v>40.450000000000003</v>
      </c>
      <c r="F487">
        <f>VLOOKUP(A487,NYSEARCABND!A$2:G$506,5,0)</f>
        <v>81.319999999999993</v>
      </c>
      <c r="G487">
        <f>VLOOKUP(A487,NYSEARCATIP!A$2:G$506,5,0)</f>
        <v>114.5</v>
      </c>
      <c r="H487">
        <f>VLOOKUP(A487,NYSEARCAMUB!A$2:G$506,5,0)</f>
        <v>109.23</v>
      </c>
      <c r="I487">
        <f>VLOOKUP(A487,NYSEARCAVNQ!A$2:G$506,5,0)</f>
        <v>84.51</v>
      </c>
      <c r="J487">
        <f>VLOOKUP(A487,NYSEARCARWX!A$2:G$506,5,0)</f>
        <v>38.49</v>
      </c>
      <c r="K487">
        <f>VLOOKUP(A487,NYSEARCADBC!A$2:G$506,5,0)</f>
        <v>15</v>
      </c>
      <c r="L487">
        <f>VLOOKUP(A487,NYSEARCAGSG!A$2:G$506,5,0)</f>
        <v>14.52</v>
      </c>
      <c r="M487">
        <f>VLOOKUP(A487,NYSEARCAGLD!A$2:G$506,5,0)</f>
        <v>120.25</v>
      </c>
      <c r="N487">
        <f>VLOOKUP(A487,NYSEBP!A$2:G$506,5,0)</f>
        <v>34.659999999999997</v>
      </c>
      <c r="O487">
        <f>VLOOKUP(A487,NASDAQYHOO!A$2:G$506,5,0)</f>
        <v>48.4</v>
      </c>
    </row>
    <row r="488" spans="1:15">
      <c r="A488" s="39">
        <v>42851</v>
      </c>
      <c r="B488">
        <v>75.430000000000007</v>
      </c>
      <c r="C488">
        <f>VLOOKUP(A488,NYSEARCAVTI!A$2:G$506,5,0)</f>
        <v>122.9</v>
      </c>
      <c r="D488">
        <f>VLOOKUP(A488,NYSEARCAVEU!A$2:G$506,5,0)</f>
        <v>48.85</v>
      </c>
      <c r="E488">
        <f>VLOOKUP(A488,NYSEARCAVWO!A$2:G$506,5,0)</f>
        <v>40.299999999999997</v>
      </c>
      <c r="F488">
        <f>VLOOKUP(A488,NYSEARCABND!A$2:G$506,5,0)</f>
        <v>81.400000000000006</v>
      </c>
      <c r="G488">
        <f>VLOOKUP(A488,NYSEARCATIP!A$2:G$506,5,0)</f>
        <v>114.74</v>
      </c>
      <c r="H488">
        <f>VLOOKUP(A488,NYSEARCAMUB!A$2:G$506,5,0)</f>
        <v>109.31</v>
      </c>
      <c r="I488">
        <f>VLOOKUP(A488,NYSEARCAVNQ!A$2:G$506,5,0)</f>
        <v>83.88</v>
      </c>
      <c r="J488">
        <f>VLOOKUP(A488,NYSEARCARWX!A$2:G$506,5,0)</f>
        <v>38.35</v>
      </c>
      <c r="K488">
        <f>VLOOKUP(A488,NYSEARCADBC!A$2:G$506,5,0)</f>
        <v>14.92</v>
      </c>
      <c r="L488">
        <f>VLOOKUP(A488,NYSEARCAGSG!A$2:G$506,5,0)</f>
        <v>14.42</v>
      </c>
      <c r="M488">
        <f>VLOOKUP(A488,NYSEARCAGLD!A$2:G$506,5,0)</f>
        <v>120.84</v>
      </c>
      <c r="N488">
        <f>VLOOKUP(A488,NYSEBP!A$2:G$506,5,0)</f>
        <v>34.659999999999997</v>
      </c>
      <c r="O488">
        <f>VLOOKUP(A488,NASDAQYHOO!A$2:G$506,5,0)</f>
        <v>48.26</v>
      </c>
    </row>
    <row r="489" spans="1:15">
      <c r="A489" s="39">
        <v>42852</v>
      </c>
      <c r="B489">
        <v>75.44</v>
      </c>
      <c r="C489">
        <f>VLOOKUP(A489,NYSEARCAVTI!A$2:G$506,5,0)</f>
        <v>123.02</v>
      </c>
      <c r="D489">
        <f>VLOOKUP(A489,NYSEARCAVEU!A$2:G$506,5,0)</f>
        <v>48.83</v>
      </c>
      <c r="E489">
        <f>VLOOKUP(A489,NYSEARCAVWO!A$2:G$506,5,0)</f>
        <v>40.17</v>
      </c>
      <c r="F489">
        <f>VLOOKUP(A489,NYSEARCABND!A$2:G$506,5,0)</f>
        <v>81.459999999999994</v>
      </c>
      <c r="G489">
        <f>VLOOKUP(A489,NYSEARCATIP!A$2:G$506,5,0)</f>
        <v>114.84</v>
      </c>
      <c r="H489">
        <f>VLOOKUP(A489,NYSEARCAMUB!A$2:G$506,5,0)</f>
        <v>109.37</v>
      </c>
      <c r="I489">
        <f>VLOOKUP(A489,NYSEARCAVNQ!A$2:G$506,5,0)</f>
        <v>83.66</v>
      </c>
      <c r="J489">
        <f>VLOOKUP(A489,NYSEARCARWX!A$2:G$506,5,0)</f>
        <v>38.4</v>
      </c>
      <c r="K489">
        <f>VLOOKUP(A489,NYSEARCADBC!A$2:G$506,5,0)</f>
        <v>14.84</v>
      </c>
      <c r="L489">
        <f>VLOOKUP(A489,NYSEARCAGSG!A$2:G$506,5,0)</f>
        <v>14.42</v>
      </c>
      <c r="M489">
        <f>VLOOKUP(A489,NYSEARCAGLD!A$2:G$506,5,0)</f>
        <v>120.39</v>
      </c>
      <c r="N489">
        <f>VLOOKUP(A489,NYSEBP!A$2:G$506,5,0)</f>
        <v>34.4</v>
      </c>
      <c r="O489">
        <f>VLOOKUP(A489,NASDAQYHOO!A$2:G$506,5,0)</f>
        <v>48.36</v>
      </c>
    </row>
    <row r="490" spans="1:15">
      <c r="A490" s="39">
        <v>42853</v>
      </c>
      <c r="B490">
        <v>75.180000000000007</v>
      </c>
      <c r="C490">
        <f>VLOOKUP(A490,NYSEARCAVTI!A$2:G$506,5,0)</f>
        <v>122.61</v>
      </c>
      <c r="D490">
        <f>VLOOKUP(A490,NYSEARCAVEU!A$2:G$506,5,0)</f>
        <v>48.83</v>
      </c>
      <c r="E490">
        <f>VLOOKUP(A490,NYSEARCAVWO!A$2:G$506,5,0)</f>
        <v>40.340000000000003</v>
      </c>
      <c r="F490">
        <f>VLOOKUP(A490,NYSEARCABND!A$2:G$506,5,0)</f>
        <v>81.55</v>
      </c>
      <c r="G490">
        <f>VLOOKUP(A490,NYSEARCATIP!A$2:G$506,5,0)</f>
        <v>115.01</v>
      </c>
      <c r="H490">
        <f>VLOOKUP(A490,NYSEARCAMUB!A$2:G$506,5,0)</f>
        <v>109.33</v>
      </c>
      <c r="I490">
        <f>VLOOKUP(A490,NYSEARCAVNQ!A$2:G$506,5,0)</f>
        <v>82.79</v>
      </c>
      <c r="J490">
        <f>VLOOKUP(A490,NYSEARCARWX!A$2:G$506,5,0)</f>
        <v>38.18</v>
      </c>
      <c r="K490">
        <f>VLOOKUP(A490,NYSEARCADBC!A$2:G$506,5,0)</f>
        <v>14.8</v>
      </c>
      <c r="L490">
        <f>VLOOKUP(A490,NYSEARCAGSG!A$2:G$506,5,0)</f>
        <v>14.43</v>
      </c>
      <c r="M490">
        <f>VLOOKUP(A490,NYSEARCAGLD!A$2:G$506,5,0)</f>
        <v>120.77</v>
      </c>
      <c r="N490">
        <f>VLOOKUP(A490,NYSEBP!A$2:G$506,5,0)</f>
        <v>34.32</v>
      </c>
      <c r="O490">
        <f>VLOOKUP(A490,NASDAQYHOO!A$2:G$506,5,0)</f>
        <v>48.21</v>
      </c>
    </row>
    <row r="491" spans="1:15">
      <c r="A491" s="39">
        <v>42856</v>
      </c>
      <c r="B491">
        <v>75.23</v>
      </c>
      <c r="C491">
        <f>VLOOKUP(A491,NYSEARCAVTI!A$2:G$506,5,0)</f>
        <v>122.93</v>
      </c>
      <c r="D491">
        <f>VLOOKUP(A491,NYSEARCAVEU!A$2:G$506,5,0)</f>
        <v>48.96</v>
      </c>
      <c r="E491">
        <f>VLOOKUP(A491,NYSEARCAVWO!A$2:G$506,5,0)</f>
        <v>40.5</v>
      </c>
      <c r="F491">
        <f>VLOOKUP(A491,NYSEARCABND!A$2:G$506,5,0)</f>
        <v>81.23</v>
      </c>
      <c r="G491">
        <f>VLOOKUP(A491,NYSEARCATIP!A$2:G$506,5,0)</f>
        <v>114.34</v>
      </c>
      <c r="H491">
        <f>VLOOKUP(A491,NYSEARCAMUB!A$2:G$506,5,0)</f>
        <v>108.92</v>
      </c>
      <c r="I491">
        <f>VLOOKUP(A491,NYSEARCAVNQ!A$2:G$506,5,0)</f>
        <v>83.28</v>
      </c>
      <c r="J491">
        <f>VLOOKUP(A491,NYSEARCARWX!A$2:G$506,5,0)</f>
        <v>38.18</v>
      </c>
      <c r="K491">
        <f>VLOOKUP(A491,NYSEARCADBC!A$2:G$506,5,0)</f>
        <v>14.83</v>
      </c>
      <c r="L491">
        <f>VLOOKUP(A491,NYSEARCAGSG!A$2:G$506,5,0)</f>
        <v>14.46</v>
      </c>
      <c r="M491">
        <f>VLOOKUP(A491,NYSEARCAGLD!A$2:G$506,5,0)</f>
        <v>119.67</v>
      </c>
      <c r="N491">
        <f>VLOOKUP(A491,NYSEBP!A$2:G$506,5,0)</f>
        <v>34.32</v>
      </c>
      <c r="O491">
        <f>VLOOKUP(A491,NASDAQYHOO!A$2:G$506,5,0)</f>
        <v>48.61</v>
      </c>
    </row>
    <row r="492" spans="1:15">
      <c r="A492" s="39">
        <v>42857</v>
      </c>
      <c r="B492">
        <v>75.52</v>
      </c>
      <c r="C492">
        <f>VLOOKUP(A492,NYSEARCAVTI!A$2:G$506,5,0)</f>
        <v>122.93</v>
      </c>
      <c r="D492">
        <f>VLOOKUP(A492,NYSEARCAVEU!A$2:G$506,5,0)</f>
        <v>49.27</v>
      </c>
      <c r="E492">
        <f>VLOOKUP(A492,NYSEARCAVWO!A$2:G$506,5,0)</f>
        <v>40.700000000000003</v>
      </c>
      <c r="F492">
        <f>VLOOKUP(A492,NYSEARCABND!A$2:G$506,5,0)</f>
        <v>81.37</v>
      </c>
      <c r="G492">
        <f>VLOOKUP(A492,NYSEARCATIP!A$2:G$506,5,0)</f>
        <v>114.34</v>
      </c>
      <c r="H492">
        <f>VLOOKUP(A492,NYSEARCAMUB!A$2:G$506,5,0)</f>
        <v>109.08</v>
      </c>
      <c r="I492">
        <f>VLOOKUP(A492,NYSEARCAVNQ!A$2:G$506,5,0)</f>
        <v>83.14</v>
      </c>
      <c r="J492">
        <f>VLOOKUP(A492,NYSEARCARWX!A$2:G$506,5,0)</f>
        <v>38.61</v>
      </c>
      <c r="K492">
        <f>VLOOKUP(A492,NYSEARCADBC!A$2:G$506,5,0)</f>
        <v>14.67</v>
      </c>
      <c r="L492">
        <f>VLOOKUP(A492,NYSEARCAGSG!A$2:G$506,5,0)</f>
        <v>14.3</v>
      </c>
      <c r="M492">
        <f>VLOOKUP(A492,NYSEARCAGLD!A$2:G$506,5,0)</f>
        <v>119.65</v>
      </c>
      <c r="N492">
        <f>VLOOKUP(A492,NYSEBP!A$2:G$506,5,0)</f>
        <v>34.75</v>
      </c>
      <c r="O492">
        <f>VLOOKUP(A492,NASDAQYHOO!A$2:G$506,5,0)</f>
        <v>49.09</v>
      </c>
    </row>
    <row r="493" spans="1:15">
      <c r="A493" s="39">
        <v>42858</v>
      </c>
      <c r="B493">
        <v>75.760000000000005</v>
      </c>
      <c r="C493">
        <f>VLOOKUP(A493,NYSEARCAVTI!A$2:G$506,5,0)</f>
        <v>122.63</v>
      </c>
      <c r="D493">
        <f>VLOOKUP(A493,NYSEARCAVEU!A$2:G$506,5,0)</f>
        <v>49.1</v>
      </c>
      <c r="E493">
        <f>VLOOKUP(A493,NYSEARCAVWO!A$2:G$506,5,0)</f>
        <v>40.409999999999997</v>
      </c>
      <c r="F493">
        <f>VLOOKUP(A493,NYSEARCABND!A$2:G$506,5,0)</f>
        <v>81.28</v>
      </c>
      <c r="G493">
        <f>VLOOKUP(A493,NYSEARCATIP!A$2:G$506,5,0)</f>
        <v>114.09</v>
      </c>
      <c r="H493">
        <f>VLOOKUP(A493,NYSEARCAMUB!A$2:G$506,5,0)</f>
        <v>109.17</v>
      </c>
      <c r="I493">
        <f>VLOOKUP(A493,NYSEARCAVNQ!A$2:G$506,5,0)</f>
        <v>82.03</v>
      </c>
      <c r="J493">
        <f>VLOOKUP(A493,NYSEARCARWX!A$2:G$506,5,0)</f>
        <v>38.43</v>
      </c>
      <c r="K493">
        <f>VLOOKUP(A493,NYSEARCADBC!A$2:G$506,5,0)</f>
        <v>14.61</v>
      </c>
      <c r="L493">
        <f>VLOOKUP(A493,NYSEARCAGSG!A$2:G$506,5,0)</f>
        <v>14.3</v>
      </c>
      <c r="M493">
        <f>VLOOKUP(A493,NYSEARCAGLD!A$2:G$506,5,0)</f>
        <v>117.98</v>
      </c>
      <c r="N493">
        <f>VLOOKUP(A493,NYSEBP!A$2:G$506,5,0)</f>
        <v>34.69</v>
      </c>
      <c r="O493">
        <f>VLOOKUP(A493,NASDAQYHOO!A$2:G$506,5,0)</f>
        <v>48.54</v>
      </c>
    </row>
    <row r="494" spans="1:15">
      <c r="A494" s="39">
        <v>42859</v>
      </c>
      <c r="B494">
        <v>76.34</v>
      </c>
      <c r="C494">
        <f>VLOOKUP(A494,NYSEARCAVTI!A$2:G$506,5,0)</f>
        <v>122.72</v>
      </c>
      <c r="D494">
        <f>VLOOKUP(A494,NYSEARCAVEU!A$2:G$506,5,0)</f>
        <v>49.3</v>
      </c>
      <c r="E494">
        <f>VLOOKUP(A494,NYSEARCAVWO!A$2:G$506,5,0)</f>
        <v>39.979999999999997</v>
      </c>
      <c r="F494">
        <f>VLOOKUP(A494,NYSEARCABND!A$2:G$506,5,0)</f>
        <v>81.19</v>
      </c>
      <c r="G494">
        <f>VLOOKUP(A494,NYSEARCATIP!A$2:G$506,5,0)</f>
        <v>113.66</v>
      </c>
      <c r="H494">
        <f>VLOOKUP(A494,NYSEARCAMUB!A$2:G$506,5,0)</f>
        <v>109.14</v>
      </c>
      <c r="I494">
        <f>VLOOKUP(A494,NYSEARCAVNQ!A$2:G$506,5,0)</f>
        <v>81.63</v>
      </c>
      <c r="J494">
        <f>VLOOKUP(A494,NYSEARCARWX!A$2:G$506,5,0)</f>
        <v>38.35</v>
      </c>
      <c r="K494">
        <f>VLOOKUP(A494,NYSEARCADBC!A$2:G$506,5,0)</f>
        <v>14.26</v>
      </c>
      <c r="L494">
        <f>VLOOKUP(A494,NYSEARCAGSG!A$2:G$506,5,0)</f>
        <v>13.9</v>
      </c>
      <c r="M494">
        <f>VLOOKUP(A494,NYSEARCAGLD!A$2:G$506,5,0)</f>
        <v>116.79</v>
      </c>
      <c r="N494">
        <f>VLOOKUP(A494,NYSEBP!A$2:G$506,5,0)</f>
        <v>34.32</v>
      </c>
      <c r="O494">
        <f>VLOOKUP(A494,NASDAQYHOO!A$2:G$506,5,0)</f>
        <v>48.45</v>
      </c>
    </row>
    <row r="495" spans="1:15">
      <c r="A495" s="39">
        <v>42860</v>
      </c>
      <c r="B495">
        <v>76.5</v>
      </c>
      <c r="C495">
        <f>VLOOKUP(A495,NYSEARCAVTI!A$2:G$506,5,0)</f>
        <v>123.33</v>
      </c>
      <c r="D495">
        <f>VLOOKUP(A495,NYSEARCAVEU!A$2:G$506,5,0)</f>
        <v>49.78</v>
      </c>
      <c r="E495">
        <f>VLOOKUP(A495,NYSEARCAVWO!A$2:G$506,5,0)</f>
        <v>40.21</v>
      </c>
      <c r="F495">
        <f>VLOOKUP(A495,NYSEARCABND!A$2:G$506,5,0)</f>
        <v>81.239999999999995</v>
      </c>
      <c r="G495">
        <f>VLOOKUP(A495,NYSEARCATIP!A$2:G$506,5,0)</f>
        <v>113.75</v>
      </c>
      <c r="H495">
        <f>VLOOKUP(A495,NYSEARCAMUB!A$2:G$506,5,0)</f>
        <v>109.21</v>
      </c>
      <c r="I495">
        <f>VLOOKUP(A495,NYSEARCAVNQ!A$2:G$506,5,0)</f>
        <v>82.4</v>
      </c>
      <c r="J495">
        <f>VLOOKUP(A495,NYSEARCARWX!A$2:G$506,5,0)</f>
        <v>38.57</v>
      </c>
      <c r="K495">
        <f>VLOOKUP(A495,NYSEARCADBC!A$2:G$506,5,0)</f>
        <v>14.46</v>
      </c>
      <c r="L495">
        <f>VLOOKUP(A495,NYSEARCAGSG!A$2:G$506,5,0)</f>
        <v>14.04</v>
      </c>
      <c r="M495">
        <f>VLOOKUP(A495,NYSEARCAGLD!A$2:G$506,5,0)</f>
        <v>117.01</v>
      </c>
      <c r="N495">
        <f>VLOOKUP(A495,NYSEBP!A$2:G$506,5,0)</f>
        <v>35.299999999999997</v>
      </c>
      <c r="O495">
        <f>VLOOKUP(A495,NASDAQYHOO!A$2:G$506,5,0)</f>
        <v>48.49</v>
      </c>
    </row>
    <row r="496" spans="1:15">
      <c r="A496" s="39">
        <v>42863</v>
      </c>
      <c r="B496">
        <v>76.12</v>
      </c>
      <c r="C496">
        <f>VLOOKUP(A496,NYSEARCAVTI!A$2:G$506,5,0)</f>
        <v>123.14</v>
      </c>
      <c r="D496">
        <f>VLOOKUP(A496,NYSEARCAVEU!A$2:G$506,5,0)</f>
        <v>49.52</v>
      </c>
      <c r="E496">
        <f>VLOOKUP(A496,NYSEARCAVWO!A$2:G$506,5,0)</f>
        <v>39.96</v>
      </c>
      <c r="F496">
        <f>VLOOKUP(A496,NYSEARCABND!A$2:G$506,5,0)</f>
        <v>81.099999999999994</v>
      </c>
      <c r="G496">
        <f>VLOOKUP(A496,NYSEARCATIP!A$2:G$506,5,0)</f>
        <v>113.31</v>
      </c>
      <c r="H496">
        <f>VLOOKUP(A496,NYSEARCAMUB!A$2:G$506,5,0)</f>
        <v>109.18</v>
      </c>
      <c r="I496">
        <f>VLOOKUP(A496,NYSEARCAVNQ!A$2:G$506,5,0)</f>
        <v>81.819999999999993</v>
      </c>
      <c r="J496">
        <f>VLOOKUP(A496,NYSEARCARWX!A$2:G$506,5,0)</f>
        <v>38.57</v>
      </c>
      <c r="K496">
        <f>VLOOKUP(A496,NYSEARCADBC!A$2:G$506,5,0)</f>
        <v>14.4</v>
      </c>
      <c r="L496">
        <f>VLOOKUP(A496,NYSEARCAGSG!A$2:G$506,5,0)</f>
        <v>14.03</v>
      </c>
      <c r="M496">
        <f>VLOOKUP(A496,NYSEARCAGLD!A$2:G$506,5,0)</f>
        <v>116.75</v>
      </c>
      <c r="N496">
        <f>VLOOKUP(A496,NYSEBP!A$2:G$506,5,0)</f>
        <v>35.43</v>
      </c>
      <c r="O496">
        <f>VLOOKUP(A496,NASDAQYHOO!A$2:G$506,5,0)</f>
        <v>48.85</v>
      </c>
    </row>
    <row r="497" spans="1:15">
      <c r="A497" s="39">
        <v>42864</v>
      </c>
      <c r="B497">
        <v>76.72</v>
      </c>
      <c r="C497">
        <f>VLOOKUP(A497,NYSEARCAVTI!A$2:G$506,5,0)</f>
        <v>123.1</v>
      </c>
      <c r="D497">
        <f>VLOOKUP(A497,NYSEARCAVEU!A$2:G$506,5,0)</f>
        <v>49.54</v>
      </c>
      <c r="E497">
        <f>VLOOKUP(A497,NYSEARCAVWO!A$2:G$506,5,0)</f>
        <v>40.409999999999997</v>
      </c>
      <c r="F497">
        <f>VLOOKUP(A497,NYSEARCABND!A$2:G$506,5,0)</f>
        <v>81.06</v>
      </c>
      <c r="G497">
        <f>VLOOKUP(A497,NYSEARCATIP!A$2:G$506,5,0)</f>
        <v>113.21</v>
      </c>
      <c r="H497">
        <f>VLOOKUP(A497,NYSEARCAMUB!A$2:G$506,5,0)</f>
        <v>109.13</v>
      </c>
      <c r="I497">
        <f>VLOOKUP(A497,NYSEARCAVNQ!A$2:G$506,5,0)</f>
        <v>81.38</v>
      </c>
      <c r="J497">
        <f>VLOOKUP(A497,NYSEARCARWX!A$2:G$506,5,0)</f>
        <v>38.53</v>
      </c>
      <c r="K497">
        <f>VLOOKUP(A497,NYSEARCADBC!A$2:G$506,5,0)</f>
        <v>14.33</v>
      </c>
      <c r="L497">
        <f>VLOOKUP(A497,NYSEARCAGSG!A$2:G$506,5,0)</f>
        <v>13.91</v>
      </c>
      <c r="M497">
        <f>VLOOKUP(A497,NYSEARCAGLD!A$2:G$506,5,0)</f>
        <v>116.05</v>
      </c>
      <c r="N497">
        <f>VLOOKUP(A497,NYSEBP!A$2:G$506,5,0)</f>
        <v>35.35</v>
      </c>
      <c r="O497">
        <f>VLOOKUP(A497,NASDAQYHOO!A$2:G$506,5,0)</f>
        <v>49.49</v>
      </c>
    </row>
    <row r="498" spans="1:15">
      <c r="A498" s="39">
        <v>42865</v>
      </c>
      <c r="B498">
        <v>76.7</v>
      </c>
      <c r="C498">
        <f>VLOOKUP(A498,NYSEARCAVTI!A$2:G$506,5,0)</f>
        <v>123.37</v>
      </c>
      <c r="D498">
        <f>VLOOKUP(A498,NYSEARCAVEU!A$2:G$506,5,0)</f>
        <v>49.64</v>
      </c>
      <c r="E498">
        <f>VLOOKUP(A498,NYSEARCAVWO!A$2:G$506,5,0)</f>
        <v>40.729999999999997</v>
      </c>
      <c r="F498">
        <f>VLOOKUP(A498,NYSEARCABND!A$2:G$506,5,0)</f>
        <v>81.05</v>
      </c>
      <c r="G498">
        <f>VLOOKUP(A498,NYSEARCATIP!A$2:G$506,5,0)</f>
        <v>113.25</v>
      </c>
      <c r="H498">
        <f>VLOOKUP(A498,NYSEARCAMUB!A$2:G$506,5,0)</f>
        <v>109.24</v>
      </c>
      <c r="I498">
        <f>VLOOKUP(A498,NYSEARCAVNQ!A$2:G$506,5,0)</f>
        <v>82.02</v>
      </c>
      <c r="J498">
        <f>VLOOKUP(A498,NYSEARCARWX!A$2:G$506,5,0)</f>
        <v>38.57</v>
      </c>
      <c r="K498">
        <f>VLOOKUP(A498,NYSEARCADBC!A$2:G$506,5,0)</f>
        <v>14.56</v>
      </c>
      <c r="L498">
        <f>VLOOKUP(A498,NYSEARCAGSG!A$2:G$506,5,0)</f>
        <v>14.18</v>
      </c>
      <c r="M498">
        <f>VLOOKUP(A498,NYSEARCAGLD!A$2:G$506,5,0)</f>
        <v>116.04</v>
      </c>
      <c r="N498">
        <f>VLOOKUP(A498,NYSEBP!A$2:G$506,5,0)</f>
        <v>35.01</v>
      </c>
      <c r="O498">
        <f>VLOOKUP(A498,NASDAQYHOO!A$2:G$506,5,0)</f>
        <v>49.4</v>
      </c>
    </row>
    <row r="499" spans="1:15">
      <c r="A499" s="39">
        <v>42866</v>
      </c>
      <c r="B499">
        <v>76.13</v>
      </c>
      <c r="C499">
        <f>VLOOKUP(A499,NYSEARCAVTI!A$2:G$506,5,0)</f>
        <v>123.01</v>
      </c>
      <c r="D499">
        <f>VLOOKUP(A499,NYSEARCAVEU!A$2:G$506,5,0)</f>
        <v>49.59</v>
      </c>
      <c r="E499">
        <f>VLOOKUP(A499,NYSEARCAVWO!A$2:G$506,5,0)</f>
        <v>40.71</v>
      </c>
      <c r="F499">
        <f>VLOOKUP(A499,NYSEARCABND!A$2:G$506,5,0)</f>
        <v>81.11</v>
      </c>
      <c r="G499">
        <f>VLOOKUP(A499,NYSEARCATIP!A$2:G$506,5,0)</f>
        <v>113.59</v>
      </c>
      <c r="H499">
        <f>VLOOKUP(A499,NYSEARCAMUB!A$2:G$506,5,0)</f>
        <v>109.34</v>
      </c>
      <c r="I499">
        <f>VLOOKUP(A499,NYSEARCAVNQ!A$2:G$506,5,0)</f>
        <v>81.61</v>
      </c>
      <c r="J499">
        <f>VLOOKUP(A499,NYSEARCARWX!A$2:G$506,5,0)</f>
        <v>38.590000000000003</v>
      </c>
      <c r="K499">
        <f>VLOOKUP(A499,NYSEARCADBC!A$2:G$506,5,0)</f>
        <v>14.62</v>
      </c>
      <c r="L499">
        <f>VLOOKUP(A499,NYSEARCAGSG!A$2:G$506,5,0)</f>
        <v>14.25</v>
      </c>
      <c r="M499">
        <f>VLOOKUP(A499,NYSEARCAGLD!A$2:G$506,5,0)</f>
        <v>116.5</v>
      </c>
      <c r="N499">
        <f>VLOOKUP(A499,NYSEBP!A$2:G$506,5,0)</f>
        <v>35.21</v>
      </c>
      <c r="O499">
        <f>VLOOKUP(A499,NASDAQYHOO!A$2:G$506,5,0)</f>
        <v>49.69</v>
      </c>
    </row>
    <row r="500" spans="1:15">
      <c r="A500" s="39">
        <v>42867</v>
      </c>
      <c r="B500">
        <v>75.709999999999994</v>
      </c>
      <c r="C500">
        <f>VLOOKUP(A500,NYSEARCAVTI!A$2:G$506,5,0)</f>
        <v>122.77</v>
      </c>
      <c r="D500">
        <f>VLOOKUP(A500,NYSEARCAVEU!A$2:G$506,5,0)</f>
        <v>49.84</v>
      </c>
      <c r="E500">
        <f>VLOOKUP(A500,NYSEARCAVWO!A$2:G$506,5,0)</f>
        <v>40.93</v>
      </c>
      <c r="F500">
        <f>VLOOKUP(A500,NYSEARCABND!A$2:G$506,5,0)</f>
        <v>81.349999999999994</v>
      </c>
      <c r="G500">
        <f>VLOOKUP(A500,NYSEARCATIP!A$2:G$506,5,0)</f>
        <v>113.77</v>
      </c>
      <c r="H500">
        <f>VLOOKUP(A500,NYSEARCAMUB!A$2:G$506,5,0)</f>
        <v>109.52</v>
      </c>
      <c r="I500">
        <f>VLOOKUP(A500,NYSEARCAVNQ!A$2:G$506,5,0)</f>
        <v>81.28</v>
      </c>
      <c r="J500">
        <f>VLOOKUP(A500,NYSEARCARWX!A$2:G$506,5,0)</f>
        <v>38.659999999999997</v>
      </c>
      <c r="K500">
        <f>VLOOKUP(A500,NYSEARCADBC!A$2:G$506,5,0)</f>
        <v>14.62</v>
      </c>
      <c r="L500">
        <f>VLOOKUP(A500,NYSEARCAGSG!A$2:G$506,5,0)</f>
        <v>14.32</v>
      </c>
      <c r="M500">
        <f>VLOOKUP(A500,NYSEARCAGLD!A$2:G$506,5,0)</f>
        <v>116.83</v>
      </c>
      <c r="N500">
        <f>VLOOKUP(A500,NYSEBP!A$2:G$506,5,0)</f>
        <v>35.39</v>
      </c>
      <c r="O500">
        <f>VLOOKUP(A500,NASDAQYHOO!A$2:G$506,5,0)</f>
        <v>49.65</v>
      </c>
    </row>
    <row r="501" spans="1:15">
      <c r="A501" s="39">
        <v>42870</v>
      </c>
      <c r="B501">
        <v>76.290000000000006</v>
      </c>
      <c r="C501">
        <f>VLOOKUP(A501,NYSEARCAVTI!A$2:G$506,5,0)</f>
        <v>123.43</v>
      </c>
      <c r="D501">
        <f>VLOOKUP(A501,NYSEARCAVEU!A$2:G$506,5,0)</f>
        <v>50.16</v>
      </c>
      <c r="E501">
        <f>VLOOKUP(A501,NYSEARCAVWO!A$2:G$506,5,0)</f>
        <v>41.31</v>
      </c>
      <c r="F501">
        <f>VLOOKUP(A501,NYSEARCABND!A$2:G$506,5,0)</f>
        <v>81.33</v>
      </c>
      <c r="G501">
        <f>VLOOKUP(A501,NYSEARCATIP!A$2:G$506,5,0)</f>
        <v>113.47</v>
      </c>
      <c r="H501">
        <f>VLOOKUP(A501,NYSEARCAMUB!A$2:G$506,5,0)</f>
        <v>109.53</v>
      </c>
      <c r="I501">
        <f>VLOOKUP(A501,NYSEARCAVNQ!A$2:G$506,5,0)</f>
        <v>81.52</v>
      </c>
      <c r="J501">
        <f>VLOOKUP(A501,NYSEARCARWX!A$2:G$506,5,0)</f>
        <v>38.86</v>
      </c>
      <c r="K501">
        <f>VLOOKUP(A501,NYSEARCADBC!A$2:G$506,5,0)</f>
        <v>14.7</v>
      </c>
      <c r="L501">
        <f>VLOOKUP(A501,NYSEARCAGSG!A$2:G$506,5,0)</f>
        <v>14.43</v>
      </c>
      <c r="M501">
        <f>VLOOKUP(A501,NYSEARCAGLD!A$2:G$506,5,0)</f>
        <v>117.14</v>
      </c>
      <c r="N501">
        <f>VLOOKUP(A501,NYSEBP!A$2:G$506,5,0)</f>
        <v>35.71</v>
      </c>
      <c r="O501">
        <f>VLOOKUP(A501,NASDAQYHOO!A$2:G$506,5,0)</f>
        <v>49.86</v>
      </c>
    </row>
    <row r="502" spans="1:15">
      <c r="A502" s="39">
        <v>42871</v>
      </c>
      <c r="B502">
        <v>75.11</v>
      </c>
      <c r="C502">
        <f>VLOOKUP(A502,NYSEARCAVTI!A$2:G$506,5,0)</f>
        <v>123.36</v>
      </c>
      <c r="D502">
        <f>VLOOKUP(A502,NYSEARCAVEU!A$2:G$506,5,0)</f>
        <v>50.36</v>
      </c>
      <c r="E502">
        <f>VLOOKUP(A502,NYSEARCAVWO!A$2:G$506,5,0)</f>
        <v>41.35</v>
      </c>
      <c r="F502">
        <f>VLOOKUP(A502,NYSEARCABND!A$2:G$506,5,0)</f>
        <v>81.41</v>
      </c>
      <c r="G502">
        <f>VLOOKUP(A502,NYSEARCATIP!A$2:G$506,5,0)</f>
        <v>113.55</v>
      </c>
      <c r="H502">
        <f>VLOOKUP(A502,NYSEARCAMUB!A$2:G$506,5,0)</f>
        <v>109.67</v>
      </c>
      <c r="I502">
        <f>VLOOKUP(A502,NYSEARCAVNQ!A$2:G$506,5,0)</f>
        <v>80.97</v>
      </c>
      <c r="J502">
        <f>VLOOKUP(A502,NYSEARCARWX!A$2:G$506,5,0)</f>
        <v>38.869999999999997</v>
      </c>
      <c r="K502">
        <f>VLOOKUP(A502,NYSEARCADBC!A$2:G$506,5,0)</f>
        <v>14.72</v>
      </c>
      <c r="L502">
        <f>VLOOKUP(A502,NYSEARCAGSG!A$2:G$506,5,0)</f>
        <v>14.38</v>
      </c>
      <c r="M502">
        <f>VLOOKUP(A502,NYSEARCAGLD!A$2:G$506,5,0)</f>
        <v>117.65</v>
      </c>
      <c r="N502">
        <f>VLOOKUP(A502,NYSEBP!A$2:G$506,5,0)</f>
        <v>36.24</v>
      </c>
      <c r="O502">
        <f>VLOOKUP(A502,NASDAQYHOO!A$2:G$506,5,0)</f>
        <v>50.96</v>
      </c>
    </row>
    <row r="503" spans="1:15">
      <c r="A503" s="39">
        <v>42872</v>
      </c>
      <c r="B503">
        <v>75.12</v>
      </c>
      <c r="C503">
        <f>VLOOKUP(A503,NYSEARCAVTI!A$2:G$506,5,0)</f>
        <v>121.14</v>
      </c>
      <c r="D503">
        <f>VLOOKUP(A503,NYSEARCAVEU!A$2:G$506,5,0)</f>
        <v>49.76</v>
      </c>
      <c r="E503">
        <f>VLOOKUP(A503,NYSEARCAVWO!A$2:G$506,5,0)</f>
        <v>40.729999999999997</v>
      </c>
      <c r="F503">
        <f>VLOOKUP(A503,NYSEARCABND!A$2:G$506,5,0)</f>
        <v>81.849999999999994</v>
      </c>
      <c r="G503">
        <f>VLOOKUP(A503,NYSEARCATIP!A$2:G$506,5,0)</f>
        <v>114.21</v>
      </c>
      <c r="H503">
        <f>VLOOKUP(A503,NYSEARCAMUB!A$2:G$506,5,0)</f>
        <v>110.02</v>
      </c>
      <c r="I503">
        <f>VLOOKUP(A503,NYSEARCAVNQ!A$2:G$506,5,0)</f>
        <v>81.3</v>
      </c>
      <c r="J503">
        <f>VLOOKUP(A503,NYSEARCARWX!A$2:G$506,5,0)</f>
        <v>38.729999999999997</v>
      </c>
      <c r="K503">
        <f>VLOOKUP(A503,NYSEARCADBC!A$2:G$506,5,0)</f>
        <v>14.82</v>
      </c>
      <c r="L503">
        <f>VLOOKUP(A503,NYSEARCAGSG!A$2:G$506,5,0)</f>
        <v>14.45</v>
      </c>
      <c r="M503">
        <f>VLOOKUP(A503,NYSEARCAGLD!A$2:G$506,5,0)</f>
        <v>119.79</v>
      </c>
      <c r="N503">
        <f>VLOOKUP(A503,NYSEBP!A$2:G$506,5,0)</f>
        <v>36.17</v>
      </c>
      <c r="O503">
        <f>VLOOKUP(A503,NASDAQYHOO!A$2:G$506,5,0)</f>
        <v>49.65</v>
      </c>
    </row>
    <row r="504" spans="1:15">
      <c r="A504" s="39">
        <v>42873</v>
      </c>
      <c r="B504">
        <v>77.540000000000006</v>
      </c>
      <c r="C504">
        <f>VLOOKUP(A504,NYSEARCAVTI!A$2:G$506,5,0)</f>
        <v>121.5</v>
      </c>
      <c r="D504">
        <f>VLOOKUP(A504,NYSEARCAVEU!A$2:G$506,5,0)</f>
        <v>49.6</v>
      </c>
      <c r="E504">
        <f>VLOOKUP(A504,NYSEARCAVWO!A$2:G$506,5,0)</f>
        <v>39.979999999999997</v>
      </c>
      <c r="F504">
        <f>VLOOKUP(A504,NYSEARCABND!A$2:G$506,5,0)</f>
        <v>81.78</v>
      </c>
      <c r="G504">
        <f>VLOOKUP(A504,NYSEARCATIP!A$2:G$506,5,0)</f>
        <v>114.39</v>
      </c>
      <c r="H504">
        <f>VLOOKUP(A504,NYSEARCAMUB!A$2:G$506,5,0)</f>
        <v>110.14</v>
      </c>
      <c r="I504">
        <f>VLOOKUP(A504,NYSEARCAVNQ!A$2:G$506,5,0)</f>
        <v>81.75</v>
      </c>
      <c r="J504">
        <f>VLOOKUP(A504,NYSEARCARWX!A$2:G$506,5,0)</f>
        <v>38.6</v>
      </c>
      <c r="K504">
        <f>VLOOKUP(A504,NYSEARCADBC!A$2:G$506,5,0)</f>
        <v>14.78</v>
      </c>
      <c r="L504">
        <f>VLOOKUP(A504,NYSEARCAGSG!A$2:G$506,5,0)</f>
        <v>14.45</v>
      </c>
      <c r="M504">
        <f>VLOOKUP(A504,NYSEARCAGLD!A$2:G$506,5,0)</f>
        <v>118.81</v>
      </c>
      <c r="N504">
        <f>VLOOKUP(A504,NYSEBP!A$2:G$506,5,0)</f>
        <v>36.51</v>
      </c>
      <c r="O504">
        <f>VLOOKUP(A504,NASDAQYHOO!A$2:G$506,5,0)</f>
        <v>49.63</v>
      </c>
    </row>
    <row r="505" spans="1:15">
      <c r="A505" s="39">
        <v>42874</v>
      </c>
      <c r="B505">
        <v>78.77</v>
      </c>
      <c r="C505">
        <f>VLOOKUP(A505,NYSEARCAVTI!A$2:G$506,5,0)</f>
        <v>122.37</v>
      </c>
      <c r="D505">
        <f>VLOOKUP(A505,NYSEARCAVEU!A$2:G$506,5,0)</f>
        <v>50.28</v>
      </c>
      <c r="E505">
        <f>VLOOKUP(A505,NYSEARCAVWO!A$2:G$506,5,0)</f>
        <v>40.69</v>
      </c>
      <c r="F505">
        <f>VLOOKUP(A505,NYSEARCABND!A$2:G$506,5,0)</f>
        <v>81.83</v>
      </c>
      <c r="G505">
        <f>VLOOKUP(A505,NYSEARCATIP!A$2:G$506,5,0)</f>
        <v>114.59</v>
      </c>
      <c r="H505">
        <f>VLOOKUP(A505,NYSEARCAMUB!A$2:G$506,5,0)</f>
        <v>110.16</v>
      </c>
      <c r="I505">
        <f>VLOOKUP(A505,NYSEARCAVNQ!A$2:G$506,5,0)</f>
        <v>82.19</v>
      </c>
      <c r="J505">
        <f>VLOOKUP(A505,NYSEARCARWX!A$2:G$506,5,0)</f>
        <v>38.83</v>
      </c>
      <c r="K505">
        <f>VLOOKUP(A505,NYSEARCADBC!A$2:G$506,5,0)</f>
        <v>15.07</v>
      </c>
      <c r="L505">
        <f>VLOOKUP(A505,NYSEARCAGSG!A$2:G$506,5,0)</f>
        <v>14.73</v>
      </c>
      <c r="M505">
        <f>VLOOKUP(A505,NYSEARCAGLD!A$2:G$506,5,0)</f>
        <v>119.4</v>
      </c>
      <c r="N505">
        <f>VLOOKUP(A505,NYSEBP!A$2:G$506,5,0)</f>
        <v>36.94</v>
      </c>
      <c r="O505">
        <f>VLOOKUP(A505,NASDAQYHOO!A$2:G$506,5,0)</f>
        <v>50.18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05"/>
  <sheetViews>
    <sheetView workbookViewId="0"/>
  </sheetViews>
  <sheetFormatPr defaultRowHeight="15"/>
  <cols>
    <col min="1" max="1" width="10.42578125" bestFit="1" customWidth="1"/>
  </cols>
  <sheetData>
    <row r="1" spans="1:15">
      <c r="A1" t="s">
        <v>26</v>
      </c>
      <c r="B1" t="s">
        <v>63</v>
      </c>
      <c r="C1" t="s">
        <v>39</v>
      </c>
      <c r="D1" t="s">
        <v>41</v>
      </c>
      <c r="E1" t="s">
        <v>43</v>
      </c>
      <c r="F1" t="s">
        <v>45</v>
      </c>
      <c r="G1" t="s">
        <v>47</v>
      </c>
      <c r="H1" t="s">
        <v>49</v>
      </c>
      <c r="I1" t="s">
        <v>51</v>
      </c>
      <c r="J1" t="s">
        <v>53</v>
      </c>
      <c r="K1" t="s">
        <v>55</v>
      </c>
      <c r="L1" t="s">
        <v>57</v>
      </c>
      <c r="M1" t="s">
        <v>59</v>
      </c>
      <c r="N1" t="s">
        <v>66</v>
      </c>
      <c r="O1" t="s">
        <v>70</v>
      </c>
    </row>
    <row r="2" spans="1:15">
      <c r="A2" s="39">
        <v>42145</v>
      </c>
      <c r="B2">
        <v>6756162</v>
      </c>
      <c r="C2">
        <f>VLOOKUP(A2,NYSEARCAVTI!A$2:G$506,6,0)</f>
        <v>1476431</v>
      </c>
      <c r="D2">
        <f>VLOOKUP(A2,NYSEARCAVEU!A$2:G$506,6,0)</f>
        <v>1037326</v>
      </c>
      <c r="E2">
        <f>VLOOKUP(A2,NYSEARCAVWO!A$2:G$506,6,0)</f>
        <v>9166850</v>
      </c>
      <c r="F2">
        <f>VLOOKUP(A2,NYSEARCABND!A$2:G$506,6,0)</f>
        <v>2314127</v>
      </c>
      <c r="G2">
        <f>VLOOKUP(A2,NYSEARCATIP!A$2:G$506,6,0)</f>
        <v>498812</v>
      </c>
      <c r="H2">
        <f>VLOOKUP(A2,NYSEARCAMUB!A$2:G$506,6,0)</f>
        <v>286827</v>
      </c>
      <c r="I2">
        <f>VLOOKUP(A2,NYSEARCAVNQ!A$2:G$506,6,0)</f>
        <v>2667793</v>
      </c>
      <c r="J2">
        <f>VLOOKUP(A2,NYSEARCARWX!A$2:G$506,6,0)</f>
        <v>238121</v>
      </c>
      <c r="K2">
        <f>VLOOKUP(A2,NYSEARCADBC!A$2:G$506,6,0)</f>
        <v>974766</v>
      </c>
      <c r="L2">
        <f>VLOOKUP(A2,NYSEARCAGSG!A$2:G$506,6,0)</f>
        <v>139389</v>
      </c>
      <c r="M2">
        <f>VLOOKUP(A2,NYSEARCAGLD!A$2:G$506,6,0)</f>
        <v>2514693</v>
      </c>
      <c r="N2">
        <f>VLOOKUP(A2,NYSEBP!A$2:G$506,6,0)</f>
        <v>4232320</v>
      </c>
      <c r="O2">
        <f>VLOOKUP(A2,NASDAQYHOO!A$2:G$506,6,0)</f>
        <v>30404288</v>
      </c>
    </row>
    <row r="3" spans="1:15">
      <c r="A3" s="39">
        <v>42146</v>
      </c>
      <c r="B3">
        <v>6815006</v>
      </c>
      <c r="C3">
        <f>VLOOKUP(A3,NYSEARCAVTI!A$2:G$506,6,0)</f>
        <v>1187856</v>
      </c>
      <c r="D3">
        <f>VLOOKUP(A3,NYSEARCAVEU!A$2:G$506,6,0)</f>
        <v>717563</v>
      </c>
      <c r="E3">
        <f>VLOOKUP(A3,NYSEARCAVWO!A$2:G$506,6,0)</f>
        <v>9856403</v>
      </c>
      <c r="F3">
        <f>VLOOKUP(A3,NYSEARCABND!A$2:G$506,6,0)</f>
        <v>816588</v>
      </c>
      <c r="G3">
        <f>VLOOKUP(A3,NYSEARCATIP!A$2:G$506,6,0)</f>
        <v>468871</v>
      </c>
      <c r="H3">
        <f>VLOOKUP(A3,NYSEARCAMUB!A$2:G$506,6,0)</f>
        <v>200436</v>
      </c>
      <c r="I3">
        <f>VLOOKUP(A3,NYSEARCAVNQ!A$2:G$506,6,0)</f>
        <v>4067546</v>
      </c>
      <c r="J3">
        <f>VLOOKUP(A3,NYSEARCARWX!A$2:G$506,6,0)</f>
        <v>147295</v>
      </c>
      <c r="K3">
        <f>VLOOKUP(A3,NYSEARCADBC!A$2:G$506,6,0)</f>
        <v>1452212</v>
      </c>
      <c r="L3">
        <f>VLOOKUP(A3,NYSEARCAGSG!A$2:G$506,6,0)</f>
        <v>87220</v>
      </c>
      <c r="M3">
        <f>VLOOKUP(A3,NYSEARCAGLD!A$2:G$506,6,0)</f>
        <v>1780191</v>
      </c>
      <c r="N3">
        <f>VLOOKUP(A3,NYSEBP!A$2:G$506,6,0)</f>
        <v>2587553</v>
      </c>
      <c r="O3">
        <f>VLOOKUP(A3,NASDAQYHOO!A$2:G$506,6,0)</f>
        <v>10279385</v>
      </c>
    </row>
    <row r="4" spans="1:15">
      <c r="A4" s="39">
        <v>42150</v>
      </c>
      <c r="B4">
        <v>10573616</v>
      </c>
      <c r="C4">
        <f>VLOOKUP(A4,NYSEARCAVTI!A$2:G$506,6,0)</f>
        <v>2226684</v>
      </c>
      <c r="D4">
        <f>VLOOKUP(A4,NYSEARCAVEU!A$2:G$506,6,0)</f>
        <v>1684115</v>
      </c>
      <c r="E4">
        <f>VLOOKUP(A4,NYSEARCAVWO!A$2:G$506,6,0)</f>
        <v>8760455</v>
      </c>
      <c r="F4">
        <f>VLOOKUP(A4,NYSEARCABND!A$2:G$506,6,0)</f>
        <v>1178341</v>
      </c>
      <c r="G4">
        <f>VLOOKUP(A4,NYSEARCATIP!A$2:G$506,6,0)</f>
        <v>408158</v>
      </c>
      <c r="H4">
        <f>VLOOKUP(A4,NYSEARCAMUB!A$2:G$506,6,0)</f>
        <v>316076</v>
      </c>
      <c r="I4">
        <f>VLOOKUP(A4,NYSEARCAVNQ!A$2:G$506,6,0)</f>
        <v>3041692</v>
      </c>
      <c r="J4">
        <f>VLOOKUP(A4,NYSEARCARWX!A$2:G$506,6,0)</f>
        <v>377453</v>
      </c>
      <c r="K4">
        <f>VLOOKUP(A4,NYSEARCADBC!A$2:G$506,6,0)</f>
        <v>1366939</v>
      </c>
      <c r="L4">
        <f>VLOOKUP(A4,NYSEARCAGSG!A$2:G$506,6,0)</f>
        <v>125524</v>
      </c>
      <c r="M4">
        <f>VLOOKUP(A4,NYSEARCAGLD!A$2:G$506,6,0)</f>
        <v>5769580</v>
      </c>
      <c r="N4">
        <f>VLOOKUP(A4,NYSEBP!A$2:G$506,6,0)</f>
        <v>4375600</v>
      </c>
      <c r="O4">
        <f>VLOOKUP(A4,NASDAQYHOO!A$2:G$506,6,0)</f>
        <v>12796030</v>
      </c>
    </row>
    <row r="5" spans="1:15">
      <c r="A5" s="39">
        <v>42151</v>
      </c>
      <c r="B5">
        <v>6987068</v>
      </c>
      <c r="C5">
        <f>VLOOKUP(A5,NYSEARCAVTI!A$2:G$506,6,0)</f>
        <v>2562163</v>
      </c>
      <c r="D5">
        <f>VLOOKUP(A5,NYSEARCAVEU!A$2:G$506,6,0)</f>
        <v>1687347</v>
      </c>
      <c r="E5">
        <f>VLOOKUP(A5,NYSEARCAVWO!A$2:G$506,6,0)</f>
        <v>8811590</v>
      </c>
      <c r="F5">
        <f>VLOOKUP(A5,NYSEARCABND!A$2:G$506,6,0)</f>
        <v>2564521</v>
      </c>
      <c r="G5">
        <f>VLOOKUP(A5,NYSEARCATIP!A$2:G$506,6,0)</f>
        <v>377250</v>
      </c>
      <c r="H5">
        <f>VLOOKUP(A5,NYSEARCAMUB!A$2:G$506,6,0)</f>
        <v>162755</v>
      </c>
      <c r="I5">
        <f>VLOOKUP(A5,NYSEARCAVNQ!A$2:G$506,6,0)</f>
        <v>2978592</v>
      </c>
      <c r="J5">
        <f>VLOOKUP(A5,NYSEARCARWX!A$2:G$506,6,0)</f>
        <v>490728</v>
      </c>
      <c r="K5">
        <f>VLOOKUP(A5,NYSEARCADBC!A$2:G$506,6,0)</f>
        <v>1392367</v>
      </c>
      <c r="L5">
        <f>VLOOKUP(A5,NYSEARCAGSG!A$2:G$506,6,0)</f>
        <v>239279</v>
      </c>
      <c r="M5">
        <f>VLOOKUP(A5,NYSEARCAGLD!A$2:G$506,6,0)</f>
        <v>2681069</v>
      </c>
      <c r="N5">
        <f>VLOOKUP(A5,NYSEBP!A$2:G$506,6,0)</f>
        <v>3181742</v>
      </c>
      <c r="O5">
        <f>VLOOKUP(A5,NASDAQYHOO!A$2:G$506,6,0)</f>
        <v>13686517</v>
      </c>
    </row>
    <row r="6" spans="1:15">
      <c r="A6" s="39">
        <v>42152</v>
      </c>
      <c r="B6">
        <v>5025471</v>
      </c>
      <c r="C6">
        <f>VLOOKUP(A6,NYSEARCAVTI!A$2:G$506,6,0)</f>
        <v>2022404</v>
      </c>
      <c r="D6">
        <f>VLOOKUP(A6,NYSEARCAVEU!A$2:G$506,6,0)</f>
        <v>833478</v>
      </c>
      <c r="E6">
        <f>VLOOKUP(A6,NYSEARCAVWO!A$2:G$506,6,0)</f>
        <v>9480285</v>
      </c>
      <c r="F6">
        <f>VLOOKUP(A6,NYSEARCABND!A$2:G$506,6,0)</f>
        <v>1073339</v>
      </c>
      <c r="G6">
        <f>VLOOKUP(A6,NYSEARCATIP!A$2:G$506,6,0)</f>
        <v>377303</v>
      </c>
      <c r="H6">
        <f>VLOOKUP(A6,NYSEARCAMUB!A$2:G$506,6,0)</f>
        <v>411824</v>
      </c>
      <c r="I6">
        <f>VLOOKUP(A6,NYSEARCAVNQ!A$2:G$506,6,0)</f>
        <v>2771954</v>
      </c>
      <c r="J6">
        <f>VLOOKUP(A6,NYSEARCARWX!A$2:G$506,6,0)</f>
        <v>234452</v>
      </c>
      <c r="K6">
        <f>VLOOKUP(A6,NYSEARCADBC!A$2:G$506,6,0)</f>
        <v>3380418</v>
      </c>
      <c r="L6">
        <f>VLOOKUP(A6,NYSEARCAGSG!A$2:G$506,6,0)</f>
        <v>362497</v>
      </c>
      <c r="M6">
        <f>VLOOKUP(A6,NYSEARCAGLD!A$2:G$506,6,0)</f>
        <v>5266016</v>
      </c>
      <c r="N6">
        <f>VLOOKUP(A6,NYSEBP!A$2:G$506,6,0)</f>
        <v>3145442</v>
      </c>
      <c r="O6">
        <f>VLOOKUP(A6,NASDAQYHOO!A$2:G$506,6,0)</f>
        <v>9414041</v>
      </c>
    </row>
    <row r="7" spans="1:15">
      <c r="A7" s="39">
        <v>42153</v>
      </c>
      <c r="B7">
        <v>6375067</v>
      </c>
      <c r="C7">
        <f>VLOOKUP(A7,NYSEARCAVTI!A$2:G$506,6,0)</f>
        <v>1943247</v>
      </c>
      <c r="D7">
        <f>VLOOKUP(A7,NYSEARCAVEU!A$2:G$506,6,0)</f>
        <v>1901843</v>
      </c>
      <c r="E7">
        <f>VLOOKUP(A7,NYSEARCAVWO!A$2:G$506,6,0)</f>
        <v>9557911</v>
      </c>
      <c r="F7">
        <f>VLOOKUP(A7,NYSEARCABND!A$2:G$506,6,0)</f>
        <v>2494294</v>
      </c>
      <c r="G7">
        <f>VLOOKUP(A7,NYSEARCATIP!A$2:G$506,6,0)</f>
        <v>561294</v>
      </c>
      <c r="H7">
        <f>VLOOKUP(A7,NYSEARCAMUB!A$2:G$506,6,0)</f>
        <v>203252</v>
      </c>
      <c r="I7">
        <f>VLOOKUP(A7,NYSEARCAVNQ!A$2:G$506,6,0)</f>
        <v>4786536</v>
      </c>
      <c r="J7">
        <f>VLOOKUP(A7,NYSEARCARWX!A$2:G$506,6,0)</f>
        <v>455102</v>
      </c>
      <c r="K7">
        <f>VLOOKUP(A7,NYSEARCADBC!A$2:G$506,6,0)</f>
        <v>1347675</v>
      </c>
      <c r="L7">
        <f>VLOOKUP(A7,NYSEARCAGSG!A$2:G$506,6,0)</f>
        <v>1569316</v>
      </c>
      <c r="M7">
        <f>VLOOKUP(A7,NYSEARCAGLD!A$2:G$506,6,0)</f>
        <v>3407489</v>
      </c>
      <c r="N7">
        <f>VLOOKUP(A7,NYSEBP!A$2:G$506,6,0)</f>
        <v>3146746</v>
      </c>
      <c r="O7">
        <f>VLOOKUP(A7,NASDAQYHOO!A$2:G$506,6,0)</f>
        <v>10927975</v>
      </c>
    </row>
    <row r="8" spans="1:15">
      <c r="A8" s="39">
        <v>42156</v>
      </c>
      <c r="B8">
        <v>5646037</v>
      </c>
      <c r="C8">
        <f>VLOOKUP(A8,NYSEARCAVTI!A$2:G$506,6,0)</f>
        <v>2354945</v>
      </c>
      <c r="D8">
        <f>VLOOKUP(A8,NYSEARCAVEU!A$2:G$506,6,0)</f>
        <v>1580731</v>
      </c>
      <c r="E8">
        <f>VLOOKUP(A8,NYSEARCAVWO!A$2:G$506,6,0)</f>
        <v>12350006</v>
      </c>
      <c r="F8">
        <f>VLOOKUP(A8,NYSEARCABND!A$2:G$506,6,0)</f>
        <v>1362772</v>
      </c>
      <c r="G8">
        <f>VLOOKUP(A8,NYSEARCATIP!A$2:G$506,6,0)</f>
        <v>1019119</v>
      </c>
      <c r="H8">
        <f>VLOOKUP(A8,NYSEARCAMUB!A$2:G$506,6,0)</f>
        <v>249212</v>
      </c>
      <c r="I8">
        <f>VLOOKUP(A8,NYSEARCAVNQ!A$2:G$506,6,0)</f>
        <v>4464422</v>
      </c>
      <c r="J8">
        <f>VLOOKUP(A8,NYSEARCARWX!A$2:G$506,6,0)</f>
        <v>489042</v>
      </c>
      <c r="K8">
        <f>VLOOKUP(A8,NYSEARCADBC!A$2:G$506,6,0)</f>
        <v>2012975</v>
      </c>
      <c r="L8">
        <f>VLOOKUP(A8,NYSEARCAGSG!A$2:G$506,6,0)</f>
        <v>102947</v>
      </c>
      <c r="M8">
        <f>VLOOKUP(A8,NYSEARCAGLD!A$2:G$506,6,0)</f>
        <v>8254034</v>
      </c>
      <c r="N8">
        <f>VLOOKUP(A8,NYSEBP!A$2:G$506,6,0)</f>
        <v>4096541</v>
      </c>
      <c r="O8">
        <f>VLOOKUP(A8,NASDAQYHOO!A$2:G$506,6,0)</f>
        <v>11152854</v>
      </c>
    </row>
    <row r="9" spans="1:15">
      <c r="A9" s="39">
        <v>42157</v>
      </c>
      <c r="B9">
        <v>5797834</v>
      </c>
      <c r="C9">
        <f>VLOOKUP(A9,NYSEARCAVTI!A$2:G$506,6,0)</f>
        <v>1925339</v>
      </c>
      <c r="D9">
        <f>VLOOKUP(A9,NYSEARCAVEU!A$2:G$506,6,0)</f>
        <v>2576159</v>
      </c>
      <c r="E9">
        <f>VLOOKUP(A9,NYSEARCAVWO!A$2:G$506,6,0)</f>
        <v>11940135</v>
      </c>
      <c r="F9">
        <f>VLOOKUP(A9,NYSEARCABND!A$2:G$506,6,0)</f>
        <v>1509973</v>
      </c>
      <c r="G9">
        <f>VLOOKUP(A9,NYSEARCATIP!A$2:G$506,6,0)</f>
        <v>1524817</v>
      </c>
      <c r="H9">
        <f>VLOOKUP(A9,NYSEARCAMUB!A$2:G$506,6,0)</f>
        <v>429341</v>
      </c>
      <c r="I9">
        <f>VLOOKUP(A9,NYSEARCAVNQ!A$2:G$506,6,0)</f>
        <v>3313202</v>
      </c>
      <c r="J9">
        <f>VLOOKUP(A9,NYSEARCARWX!A$2:G$506,6,0)</f>
        <v>269350</v>
      </c>
      <c r="K9">
        <f>VLOOKUP(A9,NYSEARCADBC!A$2:G$506,6,0)</f>
        <v>1085513</v>
      </c>
      <c r="L9">
        <f>VLOOKUP(A9,NYSEARCAGSG!A$2:G$506,6,0)</f>
        <v>81462</v>
      </c>
      <c r="M9">
        <f>VLOOKUP(A9,NYSEARCAGLD!A$2:G$506,6,0)</f>
        <v>3988639</v>
      </c>
      <c r="N9">
        <f>VLOOKUP(A9,NYSEBP!A$2:G$506,6,0)</f>
        <v>3748713</v>
      </c>
      <c r="O9">
        <f>VLOOKUP(A9,NASDAQYHOO!A$2:G$506,6,0)</f>
        <v>8866474</v>
      </c>
    </row>
    <row r="10" spans="1:15">
      <c r="A10" s="39">
        <v>42158</v>
      </c>
      <c r="B10">
        <v>6093825</v>
      </c>
      <c r="C10">
        <f>VLOOKUP(A10,NYSEARCAVTI!A$2:G$506,6,0)</f>
        <v>1731329</v>
      </c>
      <c r="D10">
        <f>VLOOKUP(A10,NYSEARCAVEU!A$2:G$506,6,0)</f>
        <v>1352959</v>
      </c>
      <c r="E10">
        <f>VLOOKUP(A10,NYSEARCAVWO!A$2:G$506,6,0)</f>
        <v>19170082</v>
      </c>
      <c r="F10">
        <f>VLOOKUP(A10,NYSEARCABND!A$2:G$506,6,0)</f>
        <v>1390169</v>
      </c>
      <c r="G10">
        <f>VLOOKUP(A10,NYSEARCATIP!A$2:G$506,6,0)</f>
        <v>564481</v>
      </c>
      <c r="H10">
        <f>VLOOKUP(A10,NYSEARCAMUB!A$2:G$506,6,0)</f>
        <v>741549</v>
      </c>
      <c r="I10">
        <f>VLOOKUP(A10,NYSEARCAVNQ!A$2:G$506,6,0)</f>
        <v>3886830</v>
      </c>
      <c r="J10">
        <f>VLOOKUP(A10,NYSEARCARWX!A$2:G$506,6,0)</f>
        <v>363705</v>
      </c>
      <c r="K10">
        <f>VLOOKUP(A10,NYSEARCADBC!A$2:G$506,6,0)</f>
        <v>1091185</v>
      </c>
      <c r="L10">
        <f>VLOOKUP(A10,NYSEARCAGSG!A$2:G$506,6,0)</f>
        <v>128502</v>
      </c>
      <c r="M10">
        <f>VLOOKUP(A10,NYSEARCAGLD!A$2:G$506,6,0)</f>
        <v>4886054</v>
      </c>
      <c r="N10">
        <f>VLOOKUP(A10,NYSEBP!A$2:G$506,6,0)</f>
        <v>2805848</v>
      </c>
      <c r="O10">
        <f>VLOOKUP(A10,NASDAQYHOO!A$2:G$506,6,0)</f>
        <v>11893374</v>
      </c>
    </row>
    <row r="11" spans="1:15">
      <c r="A11" s="39">
        <v>42159</v>
      </c>
      <c r="B11">
        <v>8982797</v>
      </c>
      <c r="C11">
        <f>VLOOKUP(A11,NYSEARCAVTI!A$2:G$506,6,0)</f>
        <v>1845802</v>
      </c>
      <c r="D11">
        <f>VLOOKUP(A11,NYSEARCAVEU!A$2:G$506,6,0)</f>
        <v>1381560</v>
      </c>
      <c r="E11">
        <f>VLOOKUP(A11,NYSEARCAVWO!A$2:G$506,6,0)</f>
        <v>10652257</v>
      </c>
      <c r="F11">
        <f>VLOOKUP(A11,NYSEARCABND!A$2:G$506,6,0)</f>
        <v>1111349</v>
      </c>
      <c r="G11">
        <f>VLOOKUP(A11,NYSEARCATIP!A$2:G$506,6,0)</f>
        <v>304358</v>
      </c>
      <c r="H11">
        <f>VLOOKUP(A11,NYSEARCAMUB!A$2:G$506,6,0)</f>
        <v>222370</v>
      </c>
      <c r="I11">
        <f>VLOOKUP(A11,NYSEARCAVNQ!A$2:G$506,6,0)</f>
        <v>3710106</v>
      </c>
      <c r="J11">
        <f>VLOOKUP(A11,NYSEARCARWX!A$2:G$506,6,0)</f>
        <v>368343</v>
      </c>
      <c r="K11">
        <f>VLOOKUP(A11,NYSEARCADBC!A$2:G$506,6,0)</f>
        <v>1296652</v>
      </c>
      <c r="L11">
        <f>VLOOKUP(A11,NYSEARCAGSG!A$2:G$506,6,0)</f>
        <v>113486</v>
      </c>
      <c r="M11">
        <f>VLOOKUP(A11,NYSEARCAGLD!A$2:G$506,6,0)</f>
        <v>5566618</v>
      </c>
      <c r="N11">
        <f>VLOOKUP(A11,NYSEBP!A$2:G$506,6,0)</f>
        <v>5213008</v>
      </c>
      <c r="O11">
        <f>VLOOKUP(A11,NASDAQYHOO!A$2:G$506,6,0)</f>
        <v>10033370</v>
      </c>
    </row>
    <row r="12" spans="1:15">
      <c r="A12" s="39">
        <v>42160</v>
      </c>
      <c r="B12">
        <v>10635085</v>
      </c>
      <c r="C12">
        <f>VLOOKUP(A12,NYSEARCAVTI!A$2:G$506,6,0)</f>
        <v>3342744</v>
      </c>
      <c r="D12">
        <f>VLOOKUP(A12,NYSEARCAVEU!A$2:G$506,6,0)</f>
        <v>1724551</v>
      </c>
      <c r="E12">
        <f>VLOOKUP(A12,NYSEARCAVWO!A$2:G$506,6,0)</f>
        <v>8362173</v>
      </c>
      <c r="F12">
        <f>VLOOKUP(A12,NYSEARCABND!A$2:G$506,6,0)</f>
        <v>4115257</v>
      </c>
      <c r="G12">
        <f>VLOOKUP(A12,NYSEARCATIP!A$2:G$506,6,0)</f>
        <v>295061</v>
      </c>
      <c r="H12">
        <f>VLOOKUP(A12,NYSEARCAMUB!A$2:G$506,6,0)</f>
        <v>266241</v>
      </c>
      <c r="I12">
        <f>VLOOKUP(A12,NYSEARCAVNQ!A$2:G$506,6,0)</f>
        <v>6140965</v>
      </c>
      <c r="J12">
        <f>VLOOKUP(A12,NYSEARCARWX!A$2:G$506,6,0)</f>
        <v>596095</v>
      </c>
      <c r="K12">
        <f>VLOOKUP(A12,NYSEARCADBC!A$2:G$506,6,0)</f>
        <v>1161407</v>
      </c>
      <c r="L12">
        <f>VLOOKUP(A12,NYSEARCAGSG!A$2:G$506,6,0)</f>
        <v>128753</v>
      </c>
      <c r="M12">
        <f>VLOOKUP(A12,NYSEARCAGLD!A$2:G$506,6,0)</f>
        <v>5561283</v>
      </c>
      <c r="N12">
        <f>VLOOKUP(A12,NYSEBP!A$2:G$506,6,0)</f>
        <v>5582338</v>
      </c>
      <c r="O12">
        <f>VLOOKUP(A12,NASDAQYHOO!A$2:G$506,6,0)</f>
        <v>9831129</v>
      </c>
    </row>
    <row r="13" spans="1:15">
      <c r="A13" s="39">
        <v>42163</v>
      </c>
      <c r="B13">
        <v>9592958</v>
      </c>
      <c r="C13">
        <f>VLOOKUP(A13,NYSEARCAVTI!A$2:G$506,6,0)</f>
        <v>2990676</v>
      </c>
      <c r="D13">
        <f>VLOOKUP(A13,NYSEARCAVEU!A$2:G$506,6,0)</f>
        <v>1388445</v>
      </c>
      <c r="E13">
        <f>VLOOKUP(A13,NYSEARCAVWO!A$2:G$506,6,0)</f>
        <v>9510917</v>
      </c>
      <c r="F13">
        <f>VLOOKUP(A13,NYSEARCABND!A$2:G$506,6,0)</f>
        <v>4954540</v>
      </c>
      <c r="G13">
        <f>VLOOKUP(A13,NYSEARCATIP!A$2:G$506,6,0)</f>
        <v>288467</v>
      </c>
      <c r="H13">
        <f>VLOOKUP(A13,NYSEARCAMUB!A$2:G$506,6,0)</f>
        <v>288261</v>
      </c>
      <c r="I13">
        <f>VLOOKUP(A13,NYSEARCAVNQ!A$2:G$506,6,0)</f>
        <v>3347087</v>
      </c>
      <c r="J13">
        <f>VLOOKUP(A13,NYSEARCARWX!A$2:G$506,6,0)</f>
        <v>613656</v>
      </c>
      <c r="K13">
        <f>VLOOKUP(A13,NYSEARCADBC!A$2:G$506,6,0)</f>
        <v>1448986</v>
      </c>
      <c r="L13">
        <f>VLOOKUP(A13,NYSEARCAGSG!A$2:G$506,6,0)</f>
        <v>98300</v>
      </c>
      <c r="M13">
        <f>VLOOKUP(A13,NYSEARCAGLD!A$2:G$506,6,0)</f>
        <v>3122078</v>
      </c>
      <c r="N13">
        <f>VLOOKUP(A13,NYSEBP!A$2:G$506,6,0)</f>
        <v>2816827</v>
      </c>
      <c r="O13">
        <f>VLOOKUP(A13,NASDAQYHOO!A$2:G$506,6,0)</f>
        <v>7625508</v>
      </c>
    </row>
    <row r="14" spans="1:15">
      <c r="A14" s="39">
        <v>42164</v>
      </c>
      <c r="B14">
        <v>8335572</v>
      </c>
      <c r="C14">
        <f>VLOOKUP(A14,NYSEARCAVTI!A$2:G$506,6,0)</f>
        <v>2976533</v>
      </c>
      <c r="D14">
        <f>VLOOKUP(A14,NYSEARCAVEU!A$2:G$506,6,0)</f>
        <v>1633895</v>
      </c>
      <c r="E14">
        <f>VLOOKUP(A14,NYSEARCAVWO!A$2:G$506,6,0)</f>
        <v>9589787</v>
      </c>
      <c r="F14">
        <f>VLOOKUP(A14,NYSEARCABND!A$2:G$506,6,0)</f>
        <v>2883304</v>
      </c>
      <c r="G14">
        <f>VLOOKUP(A14,NYSEARCATIP!A$2:G$506,6,0)</f>
        <v>311143</v>
      </c>
      <c r="H14">
        <f>VLOOKUP(A14,NYSEARCAMUB!A$2:G$506,6,0)</f>
        <v>317042</v>
      </c>
      <c r="I14">
        <f>VLOOKUP(A14,NYSEARCAVNQ!A$2:G$506,6,0)</f>
        <v>4604470</v>
      </c>
      <c r="J14">
        <f>VLOOKUP(A14,NYSEARCARWX!A$2:G$506,6,0)</f>
        <v>431733</v>
      </c>
      <c r="K14">
        <f>VLOOKUP(A14,NYSEARCADBC!A$2:G$506,6,0)</f>
        <v>1221809</v>
      </c>
      <c r="L14">
        <f>VLOOKUP(A14,NYSEARCAGSG!A$2:G$506,6,0)</f>
        <v>69519</v>
      </c>
      <c r="M14">
        <f>VLOOKUP(A14,NYSEARCAGLD!A$2:G$506,6,0)</f>
        <v>3529924</v>
      </c>
      <c r="N14">
        <f>VLOOKUP(A14,NYSEBP!A$2:G$506,6,0)</f>
        <v>3371399</v>
      </c>
      <c r="O14">
        <f>VLOOKUP(A14,NASDAQYHOO!A$2:G$506,6,0)</f>
        <v>11995156</v>
      </c>
    </row>
    <row r="15" spans="1:15">
      <c r="A15" s="39">
        <v>42165</v>
      </c>
      <c r="B15">
        <v>11215817</v>
      </c>
      <c r="C15">
        <f>VLOOKUP(A15,NYSEARCAVTI!A$2:G$506,6,0)</f>
        <v>1592645</v>
      </c>
      <c r="D15">
        <f>VLOOKUP(A15,NYSEARCAVEU!A$2:G$506,6,0)</f>
        <v>1132019</v>
      </c>
      <c r="E15">
        <f>VLOOKUP(A15,NYSEARCAVWO!A$2:G$506,6,0)</f>
        <v>8038469</v>
      </c>
      <c r="F15">
        <f>VLOOKUP(A15,NYSEARCABND!A$2:G$506,6,0)</f>
        <v>1222801</v>
      </c>
      <c r="G15">
        <f>VLOOKUP(A15,NYSEARCATIP!A$2:G$506,6,0)</f>
        <v>417917</v>
      </c>
      <c r="H15">
        <f>VLOOKUP(A15,NYSEARCAMUB!A$2:G$506,6,0)</f>
        <v>208560</v>
      </c>
      <c r="I15">
        <f>VLOOKUP(A15,NYSEARCAVNQ!A$2:G$506,6,0)</f>
        <v>4332027</v>
      </c>
      <c r="J15">
        <f>VLOOKUP(A15,NYSEARCARWX!A$2:G$506,6,0)</f>
        <v>283235</v>
      </c>
      <c r="K15">
        <f>VLOOKUP(A15,NYSEARCADBC!A$2:G$506,6,0)</f>
        <v>1223425</v>
      </c>
      <c r="L15">
        <f>VLOOKUP(A15,NYSEARCAGSG!A$2:G$506,6,0)</f>
        <v>252705</v>
      </c>
      <c r="M15">
        <f>VLOOKUP(A15,NYSEARCAGLD!A$2:G$506,6,0)</f>
        <v>5452863</v>
      </c>
      <c r="N15">
        <f>VLOOKUP(A15,NYSEBP!A$2:G$506,6,0)</f>
        <v>4953554</v>
      </c>
      <c r="O15">
        <f>VLOOKUP(A15,NASDAQYHOO!A$2:G$506,6,0)</f>
        <v>7943818</v>
      </c>
    </row>
    <row r="16" spans="1:15">
      <c r="A16" s="39">
        <v>42166</v>
      </c>
      <c r="B16">
        <v>7419959</v>
      </c>
      <c r="C16">
        <f>VLOOKUP(A16,NYSEARCAVTI!A$2:G$506,6,0)</f>
        <v>1850526</v>
      </c>
      <c r="D16">
        <f>VLOOKUP(A16,NYSEARCAVEU!A$2:G$506,6,0)</f>
        <v>2327605</v>
      </c>
      <c r="E16">
        <f>VLOOKUP(A16,NYSEARCAVWO!A$2:G$506,6,0)</f>
        <v>7797943</v>
      </c>
      <c r="F16">
        <f>VLOOKUP(A16,NYSEARCABND!A$2:G$506,6,0)</f>
        <v>1815889</v>
      </c>
      <c r="G16">
        <f>VLOOKUP(A16,NYSEARCATIP!A$2:G$506,6,0)</f>
        <v>427936</v>
      </c>
      <c r="H16">
        <f>VLOOKUP(A16,NYSEARCAMUB!A$2:G$506,6,0)</f>
        <v>343729</v>
      </c>
      <c r="I16">
        <f>VLOOKUP(A16,NYSEARCAVNQ!A$2:G$506,6,0)</f>
        <v>9410978</v>
      </c>
      <c r="J16">
        <f>VLOOKUP(A16,NYSEARCARWX!A$2:G$506,6,0)</f>
        <v>411584</v>
      </c>
      <c r="K16">
        <f>VLOOKUP(A16,NYSEARCADBC!A$2:G$506,6,0)</f>
        <v>719085</v>
      </c>
      <c r="L16">
        <f>VLOOKUP(A16,NYSEARCAGSG!A$2:G$506,6,0)</f>
        <v>90039</v>
      </c>
      <c r="M16">
        <f>VLOOKUP(A16,NYSEARCAGLD!A$2:G$506,6,0)</f>
        <v>4434731</v>
      </c>
      <c r="N16">
        <f>VLOOKUP(A16,NYSEBP!A$2:G$506,6,0)</f>
        <v>4075572</v>
      </c>
      <c r="O16">
        <f>VLOOKUP(A16,NASDAQYHOO!A$2:G$506,6,0)</f>
        <v>23694968</v>
      </c>
    </row>
    <row r="17" spans="1:15">
      <c r="A17" s="39">
        <v>42167</v>
      </c>
      <c r="B17">
        <v>7246589</v>
      </c>
      <c r="C17">
        <f>VLOOKUP(A17,NYSEARCAVTI!A$2:G$506,6,0)</f>
        <v>1490940</v>
      </c>
      <c r="D17">
        <f>VLOOKUP(A17,NYSEARCAVEU!A$2:G$506,6,0)</f>
        <v>1240196</v>
      </c>
      <c r="E17">
        <f>VLOOKUP(A17,NYSEARCAVWO!A$2:G$506,6,0)</f>
        <v>12815326</v>
      </c>
      <c r="F17">
        <f>VLOOKUP(A17,NYSEARCABND!A$2:G$506,6,0)</f>
        <v>1785104</v>
      </c>
      <c r="G17">
        <f>VLOOKUP(A17,NYSEARCATIP!A$2:G$506,6,0)</f>
        <v>376278</v>
      </c>
      <c r="H17">
        <f>VLOOKUP(A17,NYSEARCAMUB!A$2:G$506,6,0)</f>
        <v>157888</v>
      </c>
      <c r="I17">
        <f>VLOOKUP(A17,NYSEARCAVNQ!A$2:G$506,6,0)</f>
        <v>3125471</v>
      </c>
      <c r="J17">
        <f>VLOOKUP(A17,NYSEARCARWX!A$2:G$506,6,0)</f>
        <v>404066</v>
      </c>
      <c r="K17">
        <f>VLOOKUP(A17,NYSEARCADBC!A$2:G$506,6,0)</f>
        <v>3527765</v>
      </c>
      <c r="L17">
        <f>VLOOKUP(A17,NYSEARCAGSG!A$2:G$506,6,0)</f>
        <v>84100</v>
      </c>
      <c r="M17">
        <f>VLOOKUP(A17,NYSEARCAGLD!A$2:G$506,6,0)</f>
        <v>2998483</v>
      </c>
      <c r="N17">
        <f>VLOOKUP(A17,NYSEBP!A$2:G$506,6,0)</f>
        <v>3083972</v>
      </c>
      <c r="O17">
        <f>VLOOKUP(A17,NASDAQYHOO!A$2:G$506,6,0)</f>
        <v>9232651</v>
      </c>
    </row>
    <row r="18" spans="1:15">
      <c r="A18" s="39">
        <v>42170</v>
      </c>
      <c r="B18">
        <v>7566777</v>
      </c>
      <c r="C18">
        <f>VLOOKUP(A18,NYSEARCAVTI!A$2:G$506,6,0)</f>
        <v>2865500</v>
      </c>
      <c r="D18">
        <f>VLOOKUP(A18,NYSEARCAVEU!A$2:G$506,6,0)</f>
        <v>1999580</v>
      </c>
      <c r="E18">
        <f>VLOOKUP(A18,NYSEARCAVWO!A$2:G$506,6,0)</f>
        <v>9747552</v>
      </c>
      <c r="F18">
        <f>VLOOKUP(A18,NYSEARCABND!A$2:G$506,6,0)</f>
        <v>2082936</v>
      </c>
      <c r="G18">
        <f>VLOOKUP(A18,NYSEARCATIP!A$2:G$506,6,0)</f>
        <v>298802</v>
      </c>
      <c r="H18">
        <f>VLOOKUP(A18,NYSEARCAMUB!A$2:G$506,6,0)</f>
        <v>469206</v>
      </c>
      <c r="I18">
        <f>VLOOKUP(A18,NYSEARCAVNQ!A$2:G$506,6,0)</f>
        <v>3565242</v>
      </c>
      <c r="J18">
        <f>VLOOKUP(A18,NYSEARCARWX!A$2:G$506,6,0)</f>
        <v>378640</v>
      </c>
      <c r="K18">
        <f>VLOOKUP(A18,NYSEARCADBC!A$2:G$506,6,0)</f>
        <v>1343849</v>
      </c>
      <c r="L18">
        <f>VLOOKUP(A18,NYSEARCAGSG!A$2:G$506,6,0)</f>
        <v>893045</v>
      </c>
      <c r="M18">
        <f>VLOOKUP(A18,NYSEARCAGLD!A$2:G$506,6,0)</f>
        <v>5055086</v>
      </c>
      <c r="N18">
        <f>VLOOKUP(A18,NYSEBP!A$2:G$506,6,0)</f>
        <v>4164483</v>
      </c>
      <c r="O18">
        <f>VLOOKUP(A18,NASDAQYHOO!A$2:G$506,6,0)</f>
        <v>10876265</v>
      </c>
    </row>
    <row r="19" spans="1:15">
      <c r="A19" s="39">
        <v>42171</v>
      </c>
      <c r="B19">
        <v>6215625</v>
      </c>
      <c r="C19">
        <f>VLOOKUP(A19,NYSEARCAVTI!A$2:G$506,6,0)</f>
        <v>2604836</v>
      </c>
      <c r="D19">
        <f>VLOOKUP(A19,NYSEARCAVEU!A$2:G$506,6,0)</f>
        <v>2423876</v>
      </c>
      <c r="E19">
        <f>VLOOKUP(A19,NYSEARCAVWO!A$2:G$506,6,0)</f>
        <v>7337192</v>
      </c>
      <c r="F19">
        <f>VLOOKUP(A19,NYSEARCABND!A$2:G$506,6,0)</f>
        <v>2250660</v>
      </c>
      <c r="G19">
        <f>VLOOKUP(A19,NYSEARCATIP!A$2:G$506,6,0)</f>
        <v>374357</v>
      </c>
      <c r="H19">
        <f>VLOOKUP(A19,NYSEARCAMUB!A$2:G$506,6,0)</f>
        <v>140336</v>
      </c>
      <c r="I19">
        <f>VLOOKUP(A19,NYSEARCAVNQ!A$2:G$506,6,0)</f>
        <v>5474761</v>
      </c>
      <c r="J19">
        <f>VLOOKUP(A19,NYSEARCARWX!A$2:G$506,6,0)</f>
        <v>498700</v>
      </c>
      <c r="K19">
        <f>VLOOKUP(A19,NYSEARCADBC!A$2:G$506,6,0)</f>
        <v>577092</v>
      </c>
      <c r="L19">
        <f>VLOOKUP(A19,NYSEARCAGSG!A$2:G$506,6,0)</f>
        <v>56929</v>
      </c>
      <c r="M19">
        <f>VLOOKUP(A19,NYSEARCAGLD!A$2:G$506,6,0)</f>
        <v>4033268</v>
      </c>
      <c r="N19">
        <f>VLOOKUP(A19,NYSEBP!A$2:G$506,6,0)</f>
        <v>6836691</v>
      </c>
      <c r="O19">
        <f>VLOOKUP(A19,NASDAQYHOO!A$2:G$506,6,0)</f>
        <v>20454539</v>
      </c>
    </row>
    <row r="20" spans="1:15">
      <c r="A20" s="39">
        <v>42172</v>
      </c>
      <c r="B20">
        <v>5703861</v>
      </c>
      <c r="C20">
        <f>VLOOKUP(A20,NYSEARCAVTI!A$2:G$506,6,0)</f>
        <v>1911670</v>
      </c>
      <c r="D20">
        <f>VLOOKUP(A20,NYSEARCAVEU!A$2:G$506,6,0)</f>
        <v>1258697</v>
      </c>
      <c r="E20">
        <f>VLOOKUP(A20,NYSEARCAVWO!A$2:G$506,6,0)</f>
        <v>14673038</v>
      </c>
      <c r="F20">
        <f>VLOOKUP(A20,NYSEARCABND!A$2:G$506,6,0)</f>
        <v>865724</v>
      </c>
      <c r="G20">
        <f>VLOOKUP(A20,NYSEARCATIP!A$2:G$506,6,0)</f>
        <v>866992</v>
      </c>
      <c r="H20">
        <f>VLOOKUP(A20,NYSEARCAMUB!A$2:G$506,6,0)</f>
        <v>148510</v>
      </c>
      <c r="I20">
        <f>VLOOKUP(A20,NYSEARCAVNQ!A$2:G$506,6,0)</f>
        <v>3922279</v>
      </c>
      <c r="J20">
        <f>VLOOKUP(A20,NYSEARCARWX!A$2:G$506,6,0)</f>
        <v>464901</v>
      </c>
      <c r="K20">
        <f>VLOOKUP(A20,NYSEARCADBC!A$2:G$506,6,0)</f>
        <v>693925</v>
      </c>
      <c r="L20">
        <f>VLOOKUP(A20,NYSEARCAGSG!A$2:G$506,6,0)</f>
        <v>108182</v>
      </c>
      <c r="M20">
        <f>VLOOKUP(A20,NYSEARCAGLD!A$2:G$506,6,0)</f>
        <v>6455983</v>
      </c>
      <c r="N20">
        <f>VLOOKUP(A20,NYSEBP!A$2:G$506,6,0)</f>
        <v>3251495</v>
      </c>
      <c r="O20">
        <f>VLOOKUP(A20,NASDAQYHOO!A$2:G$506,6,0)</f>
        <v>11943076</v>
      </c>
    </row>
    <row r="21" spans="1:15">
      <c r="A21" s="39">
        <v>42173</v>
      </c>
      <c r="B21">
        <v>8376621</v>
      </c>
      <c r="C21">
        <f>VLOOKUP(A21,NYSEARCAVTI!A$2:G$506,6,0)</f>
        <v>2496324</v>
      </c>
      <c r="D21">
        <f>VLOOKUP(A21,NYSEARCAVEU!A$2:G$506,6,0)</f>
        <v>1935599</v>
      </c>
      <c r="E21">
        <f>VLOOKUP(A21,NYSEARCAVWO!A$2:G$506,6,0)</f>
        <v>17347078</v>
      </c>
      <c r="F21">
        <f>VLOOKUP(A21,NYSEARCABND!A$2:G$506,6,0)</f>
        <v>1210281</v>
      </c>
      <c r="G21">
        <f>VLOOKUP(A21,NYSEARCATIP!A$2:G$506,6,0)</f>
        <v>394935</v>
      </c>
      <c r="H21">
        <f>VLOOKUP(A21,NYSEARCAMUB!A$2:G$506,6,0)</f>
        <v>239376</v>
      </c>
      <c r="I21">
        <f>VLOOKUP(A21,NYSEARCAVNQ!A$2:G$506,6,0)</f>
        <v>5616873</v>
      </c>
      <c r="J21">
        <f>VLOOKUP(A21,NYSEARCARWX!A$2:G$506,6,0)</f>
        <v>318550</v>
      </c>
      <c r="K21">
        <f>VLOOKUP(A21,NYSEARCADBC!A$2:G$506,6,0)</f>
        <v>1668471</v>
      </c>
      <c r="L21">
        <f>VLOOKUP(A21,NYSEARCAGSG!A$2:G$506,6,0)</f>
        <v>86195</v>
      </c>
      <c r="M21">
        <f>VLOOKUP(A21,NYSEARCAGLD!A$2:G$506,6,0)</f>
        <v>8041255</v>
      </c>
      <c r="N21">
        <f>VLOOKUP(A21,NYSEBP!A$2:G$506,6,0)</f>
        <v>3585889</v>
      </c>
      <c r="O21">
        <f>VLOOKUP(A21,NASDAQYHOO!A$2:G$506,6,0)</f>
        <v>10017568</v>
      </c>
    </row>
    <row r="22" spans="1:15">
      <c r="A22" s="39">
        <v>42174</v>
      </c>
      <c r="B22">
        <v>14550688</v>
      </c>
      <c r="C22">
        <f>VLOOKUP(A22,NYSEARCAVTI!A$2:G$506,6,0)</f>
        <v>1735909</v>
      </c>
      <c r="D22">
        <f>VLOOKUP(A22,NYSEARCAVEU!A$2:G$506,6,0)</f>
        <v>730243</v>
      </c>
      <c r="E22">
        <f>VLOOKUP(A22,NYSEARCAVWO!A$2:G$506,6,0)</f>
        <v>16788252</v>
      </c>
      <c r="F22">
        <f>VLOOKUP(A22,NYSEARCABND!A$2:G$506,6,0)</f>
        <v>1176670</v>
      </c>
      <c r="G22">
        <f>VLOOKUP(A22,NYSEARCATIP!A$2:G$506,6,0)</f>
        <v>446167</v>
      </c>
      <c r="H22">
        <f>VLOOKUP(A22,NYSEARCAMUB!A$2:G$506,6,0)</f>
        <v>190650</v>
      </c>
      <c r="I22">
        <f>VLOOKUP(A22,NYSEARCAVNQ!A$2:G$506,6,0)</f>
        <v>5986296</v>
      </c>
      <c r="J22">
        <f>VLOOKUP(A22,NYSEARCARWX!A$2:G$506,6,0)</f>
        <v>184770</v>
      </c>
      <c r="K22">
        <f>VLOOKUP(A22,NYSEARCADBC!A$2:G$506,6,0)</f>
        <v>1648645</v>
      </c>
      <c r="L22">
        <f>VLOOKUP(A22,NYSEARCAGSG!A$2:G$506,6,0)</f>
        <v>78327</v>
      </c>
      <c r="M22">
        <f>VLOOKUP(A22,NYSEARCAGLD!A$2:G$506,6,0)</f>
        <v>4611647</v>
      </c>
      <c r="N22">
        <f>VLOOKUP(A22,NYSEBP!A$2:G$506,6,0)</f>
        <v>3034385</v>
      </c>
      <c r="O22">
        <f>VLOOKUP(A22,NASDAQYHOO!A$2:G$506,6,0)</f>
        <v>11661459</v>
      </c>
    </row>
    <row r="23" spans="1:15">
      <c r="A23" s="39">
        <v>42177</v>
      </c>
      <c r="B23">
        <v>6489463</v>
      </c>
      <c r="C23">
        <f>VLOOKUP(A23,NYSEARCAVTI!A$2:G$506,6,0)</f>
        <v>1864810</v>
      </c>
      <c r="D23">
        <f>VLOOKUP(A23,NYSEARCAVEU!A$2:G$506,6,0)</f>
        <v>1124469</v>
      </c>
      <c r="E23">
        <f>VLOOKUP(A23,NYSEARCAVWO!A$2:G$506,6,0)</f>
        <v>10445020</v>
      </c>
      <c r="F23">
        <f>VLOOKUP(A23,NYSEARCABND!A$2:G$506,6,0)</f>
        <v>1019989</v>
      </c>
      <c r="G23">
        <f>VLOOKUP(A23,NYSEARCATIP!A$2:G$506,6,0)</f>
        <v>373755</v>
      </c>
      <c r="H23">
        <f>VLOOKUP(A23,NYSEARCAMUB!A$2:G$506,6,0)</f>
        <v>234760</v>
      </c>
      <c r="I23">
        <f>VLOOKUP(A23,NYSEARCAVNQ!A$2:G$506,6,0)</f>
        <v>3898729</v>
      </c>
      <c r="J23">
        <f>VLOOKUP(A23,NYSEARCARWX!A$2:G$506,6,0)</f>
        <v>767081</v>
      </c>
      <c r="K23">
        <f>VLOOKUP(A23,NYSEARCADBC!A$2:G$506,6,0)</f>
        <v>1015161</v>
      </c>
      <c r="L23">
        <f>VLOOKUP(A23,NYSEARCAGSG!A$2:G$506,6,0)</f>
        <v>278513</v>
      </c>
      <c r="M23">
        <f>VLOOKUP(A23,NYSEARCAGLD!A$2:G$506,6,0)</f>
        <v>5763662</v>
      </c>
      <c r="N23">
        <f>VLOOKUP(A23,NYSEBP!A$2:G$506,6,0)</f>
        <v>3409420</v>
      </c>
      <c r="O23">
        <f>VLOOKUP(A23,NASDAQYHOO!A$2:G$506,6,0)</f>
        <v>6141546</v>
      </c>
    </row>
    <row r="24" spans="1:15">
      <c r="A24" s="39">
        <v>42178</v>
      </c>
      <c r="B24">
        <v>7876315</v>
      </c>
      <c r="C24">
        <f>VLOOKUP(A24,NYSEARCAVTI!A$2:G$506,6,0)</f>
        <v>3080410</v>
      </c>
      <c r="D24">
        <f>VLOOKUP(A24,NYSEARCAVEU!A$2:G$506,6,0)</f>
        <v>1564224</v>
      </c>
      <c r="E24">
        <f>VLOOKUP(A24,NYSEARCAVWO!A$2:G$506,6,0)</f>
        <v>7286268</v>
      </c>
      <c r="F24">
        <f>VLOOKUP(A24,NYSEARCABND!A$2:G$506,6,0)</f>
        <v>1096018</v>
      </c>
      <c r="G24">
        <f>VLOOKUP(A24,NYSEARCATIP!A$2:G$506,6,0)</f>
        <v>407439</v>
      </c>
      <c r="H24">
        <f>VLOOKUP(A24,NYSEARCAMUB!A$2:G$506,6,0)</f>
        <v>439584</v>
      </c>
      <c r="I24">
        <f>VLOOKUP(A24,NYSEARCAVNQ!A$2:G$506,6,0)</f>
        <v>2933150</v>
      </c>
      <c r="J24">
        <f>VLOOKUP(A24,NYSEARCARWX!A$2:G$506,6,0)</f>
        <v>331806</v>
      </c>
      <c r="K24">
        <f>VLOOKUP(A24,NYSEARCADBC!A$2:G$506,6,0)</f>
        <v>630542</v>
      </c>
      <c r="L24">
        <f>VLOOKUP(A24,NYSEARCAGSG!A$2:G$506,6,0)</f>
        <v>138297</v>
      </c>
      <c r="M24">
        <f>VLOOKUP(A24,NYSEARCAGLD!A$2:G$506,6,0)</f>
        <v>4522797</v>
      </c>
      <c r="N24">
        <f>VLOOKUP(A24,NYSEBP!A$2:G$506,6,0)</f>
        <v>2628146</v>
      </c>
      <c r="O24">
        <f>VLOOKUP(A24,NASDAQYHOO!A$2:G$506,6,0)</f>
        <v>6860632</v>
      </c>
    </row>
    <row r="25" spans="1:15">
      <c r="A25" s="39">
        <v>42179</v>
      </c>
      <c r="B25">
        <v>7338351</v>
      </c>
      <c r="C25">
        <f>VLOOKUP(A25,NYSEARCAVTI!A$2:G$506,6,0)</f>
        <v>4931195</v>
      </c>
      <c r="D25">
        <f>VLOOKUP(A25,NYSEARCAVEU!A$2:G$506,6,0)</f>
        <v>2594512</v>
      </c>
      <c r="E25">
        <f>VLOOKUP(A25,NYSEARCAVWO!A$2:G$506,6,0)</f>
        <v>10280027</v>
      </c>
      <c r="F25">
        <f>VLOOKUP(A25,NYSEARCABND!A$2:G$506,6,0)</f>
        <v>6836870</v>
      </c>
      <c r="G25">
        <f>VLOOKUP(A25,NYSEARCATIP!A$2:G$506,6,0)</f>
        <v>502793</v>
      </c>
      <c r="H25">
        <f>VLOOKUP(A25,NYSEARCAMUB!A$2:G$506,6,0)</f>
        <v>158154</v>
      </c>
      <c r="I25">
        <f>VLOOKUP(A25,NYSEARCAVNQ!A$2:G$506,6,0)</f>
        <v>3900179</v>
      </c>
      <c r="J25">
        <f>VLOOKUP(A25,NYSEARCARWX!A$2:G$506,6,0)</f>
        <v>228480</v>
      </c>
      <c r="K25">
        <f>VLOOKUP(A25,NYSEARCADBC!A$2:G$506,6,0)</f>
        <v>2268051</v>
      </c>
      <c r="L25">
        <f>VLOOKUP(A25,NYSEARCAGSG!A$2:G$506,6,0)</f>
        <v>303025</v>
      </c>
      <c r="M25">
        <f>VLOOKUP(A25,NYSEARCAGLD!A$2:G$506,6,0)</f>
        <v>2975539</v>
      </c>
      <c r="N25">
        <f>VLOOKUP(A25,NYSEBP!A$2:G$506,6,0)</f>
        <v>6363718</v>
      </c>
      <c r="O25">
        <f>VLOOKUP(A25,NASDAQYHOO!A$2:G$506,6,0)</f>
        <v>11462231</v>
      </c>
    </row>
    <row r="26" spans="1:15">
      <c r="A26" s="39">
        <v>42180</v>
      </c>
      <c r="B26">
        <v>5293151</v>
      </c>
      <c r="C26">
        <f>VLOOKUP(A26,NYSEARCAVTI!A$2:G$506,6,0)</f>
        <v>2110771</v>
      </c>
      <c r="D26">
        <f>VLOOKUP(A26,NYSEARCAVEU!A$2:G$506,6,0)</f>
        <v>1258392</v>
      </c>
      <c r="E26">
        <f>VLOOKUP(A26,NYSEARCAVWO!A$2:G$506,6,0)</f>
        <v>9855148</v>
      </c>
      <c r="F26">
        <f>VLOOKUP(A26,NYSEARCABND!A$2:G$506,6,0)</f>
        <v>2894479</v>
      </c>
      <c r="G26">
        <f>VLOOKUP(A26,NYSEARCATIP!A$2:G$506,6,0)</f>
        <v>402108</v>
      </c>
      <c r="H26">
        <f>VLOOKUP(A26,NYSEARCAMUB!A$2:G$506,6,0)</f>
        <v>169932</v>
      </c>
      <c r="I26">
        <f>VLOOKUP(A26,NYSEARCAVNQ!A$2:G$506,6,0)</f>
        <v>4820644</v>
      </c>
      <c r="J26">
        <f>VLOOKUP(A26,NYSEARCARWX!A$2:G$506,6,0)</f>
        <v>378686</v>
      </c>
      <c r="K26">
        <f>VLOOKUP(A26,NYSEARCADBC!A$2:G$506,6,0)</f>
        <v>887301</v>
      </c>
      <c r="L26">
        <f>VLOOKUP(A26,NYSEARCAGSG!A$2:G$506,6,0)</f>
        <v>160831</v>
      </c>
      <c r="M26">
        <f>VLOOKUP(A26,NYSEARCAGLD!A$2:G$506,6,0)</f>
        <v>2904711</v>
      </c>
      <c r="N26">
        <f>VLOOKUP(A26,NYSEBP!A$2:G$506,6,0)</f>
        <v>6707319</v>
      </c>
      <c r="O26">
        <f>VLOOKUP(A26,NASDAQYHOO!A$2:G$506,6,0)</f>
        <v>10776219</v>
      </c>
    </row>
    <row r="27" spans="1:15">
      <c r="A27" s="39">
        <v>42181</v>
      </c>
      <c r="B27">
        <v>6897822</v>
      </c>
      <c r="C27">
        <f>VLOOKUP(A27,NYSEARCAVTI!A$2:G$506,6,0)</f>
        <v>1503910</v>
      </c>
      <c r="D27">
        <f>VLOOKUP(A27,NYSEARCAVEU!A$2:G$506,6,0)</f>
        <v>955959</v>
      </c>
      <c r="E27">
        <f>VLOOKUP(A27,NYSEARCAVWO!A$2:G$506,6,0)</f>
        <v>8493263</v>
      </c>
      <c r="F27">
        <f>VLOOKUP(A27,NYSEARCABND!A$2:G$506,6,0)</f>
        <v>963015</v>
      </c>
      <c r="G27">
        <f>VLOOKUP(A27,NYSEARCATIP!A$2:G$506,6,0)</f>
        <v>370256</v>
      </c>
      <c r="H27">
        <f>VLOOKUP(A27,NYSEARCAMUB!A$2:G$506,6,0)</f>
        <v>206868</v>
      </c>
      <c r="I27">
        <f>VLOOKUP(A27,NYSEARCAVNQ!A$2:G$506,6,0)</f>
        <v>3789498</v>
      </c>
      <c r="J27">
        <f>VLOOKUP(A27,NYSEARCARWX!A$2:G$506,6,0)</f>
        <v>223155</v>
      </c>
      <c r="K27">
        <f>VLOOKUP(A27,NYSEARCADBC!A$2:G$506,6,0)</f>
        <v>550667</v>
      </c>
      <c r="L27">
        <f>VLOOKUP(A27,NYSEARCAGSG!A$2:G$506,6,0)</f>
        <v>99788</v>
      </c>
      <c r="M27">
        <f>VLOOKUP(A27,NYSEARCAGLD!A$2:G$506,6,0)</f>
        <v>4392589</v>
      </c>
      <c r="N27">
        <f>VLOOKUP(A27,NYSEBP!A$2:G$506,6,0)</f>
        <v>4235832</v>
      </c>
      <c r="O27">
        <f>VLOOKUP(A27,NASDAQYHOO!A$2:G$506,6,0)</f>
        <v>16430945</v>
      </c>
    </row>
    <row r="28" spans="1:15">
      <c r="A28" s="39">
        <v>42184</v>
      </c>
      <c r="B28">
        <v>8187836</v>
      </c>
      <c r="C28">
        <f>VLOOKUP(A28,NYSEARCAVTI!A$2:G$506,6,0)</f>
        <v>3642695</v>
      </c>
      <c r="D28">
        <f>VLOOKUP(A28,NYSEARCAVEU!A$2:G$506,6,0)</f>
        <v>2302137</v>
      </c>
      <c r="E28">
        <f>VLOOKUP(A28,NYSEARCAVWO!A$2:G$506,6,0)</f>
        <v>18997288</v>
      </c>
      <c r="F28">
        <f>VLOOKUP(A28,NYSEARCABND!A$2:G$506,6,0)</f>
        <v>2168404</v>
      </c>
      <c r="G28">
        <f>VLOOKUP(A28,NYSEARCATIP!A$2:G$506,6,0)</f>
        <v>564847</v>
      </c>
      <c r="H28">
        <f>VLOOKUP(A28,NYSEARCAMUB!A$2:G$506,6,0)</f>
        <v>354556</v>
      </c>
      <c r="I28">
        <f>VLOOKUP(A28,NYSEARCAVNQ!A$2:G$506,6,0)</f>
        <v>5111977</v>
      </c>
      <c r="J28">
        <f>VLOOKUP(A28,NYSEARCARWX!A$2:G$506,6,0)</f>
        <v>275518</v>
      </c>
      <c r="K28">
        <f>VLOOKUP(A28,NYSEARCADBC!A$2:G$506,6,0)</f>
        <v>2299117</v>
      </c>
      <c r="L28">
        <f>VLOOKUP(A28,NYSEARCAGSG!A$2:G$506,6,0)</f>
        <v>114661</v>
      </c>
      <c r="M28">
        <f>VLOOKUP(A28,NYSEARCAGLD!A$2:G$506,6,0)</f>
        <v>5820226</v>
      </c>
      <c r="N28">
        <f>VLOOKUP(A28,NYSEBP!A$2:G$506,6,0)</f>
        <v>5998815</v>
      </c>
      <c r="O28">
        <f>VLOOKUP(A28,NASDAQYHOO!A$2:G$506,6,0)</f>
        <v>12481317</v>
      </c>
    </row>
    <row r="29" spans="1:15">
      <c r="A29" s="39">
        <v>42185</v>
      </c>
      <c r="B29">
        <v>11102559</v>
      </c>
      <c r="C29">
        <f>VLOOKUP(A29,NYSEARCAVTI!A$2:G$506,6,0)</f>
        <v>3394044</v>
      </c>
      <c r="D29">
        <f>VLOOKUP(A29,NYSEARCAVEU!A$2:G$506,6,0)</f>
        <v>2223977</v>
      </c>
      <c r="E29">
        <f>VLOOKUP(A29,NYSEARCAVWO!A$2:G$506,6,0)</f>
        <v>20400851</v>
      </c>
      <c r="F29">
        <f>VLOOKUP(A29,NYSEARCABND!A$2:G$506,6,0)</f>
        <v>1547823</v>
      </c>
      <c r="G29">
        <f>VLOOKUP(A29,NYSEARCATIP!A$2:G$506,6,0)</f>
        <v>384591</v>
      </c>
      <c r="H29">
        <f>VLOOKUP(A29,NYSEARCAMUB!A$2:G$506,6,0)</f>
        <v>272309</v>
      </c>
      <c r="I29">
        <f>VLOOKUP(A29,NYSEARCAVNQ!A$2:G$506,6,0)</f>
        <v>5855884</v>
      </c>
      <c r="J29">
        <f>VLOOKUP(A29,NYSEARCARWX!A$2:G$506,6,0)</f>
        <v>904090</v>
      </c>
      <c r="K29">
        <f>VLOOKUP(A29,NYSEARCADBC!A$2:G$506,6,0)</f>
        <v>1582618</v>
      </c>
      <c r="L29">
        <f>VLOOKUP(A29,NYSEARCAGSG!A$2:G$506,6,0)</f>
        <v>204436</v>
      </c>
      <c r="M29">
        <f>VLOOKUP(A29,NYSEARCAGLD!A$2:G$506,6,0)</f>
        <v>7897042</v>
      </c>
      <c r="N29">
        <f>VLOOKUP(A29,NYSEBP!A$2:G$506,6,0)</f>
        <v>7170831</v>
      </c>
      <c r="O29">
        <f>VLOOKUP(A29,NASDAQYHOO!A$2:G$506,6,0)</f>
        <v>11258342</v>
      </c>
    </row>
    <row r="30" spans="1:15">
      <c r="A30" s="39">
        <v>42186</v>
      </c>
      <c r="B30">
        <v>10773904</v>
      </c>
      <c r="C30">
        <f>VLOOKUP(A30,NYSEARCAVTI!A$2:G$506,6,0)</f>
        <v>12016305</v>
      </c>
      <c r="D30">
        <f>VLOOKUP(A30,NYSEARCAVEU!A$2:G$506,6,0)</f>
        <v>6822287</v>
      </c>
      <c r="E30">
        <f>VLOOKUP(A30,NYSEARCAVWO!A$2:G$506,6,0)</f>
        <v>16460752</v>
      </c>
      <c r="F30">
        <f>VLOOKUP(A30,NYSEARCABND!A$2:G$506,6,0)</f>
        <v>5399304</v>
      </c>
      <c r="G30">
        <f>VLOOKUP(A30,NYSEARCATIP!A$2:G$506,6,0)</f>
        <v>1317520</v>
      </c>
      <c r="H30">
        <f>VLOOKUP(A30,NYSEARCAMUB!A$2:G$506,6,0)</f>
        <v>212344</v>
      </c>
      <c r="I30">
        <f>VLOOKUP(A30,NYSEARCAVNQ!A$2:G$506,6,0)</f>
        <v>6318896</v>
      </c>
      <c r="J30">
        <f>VLOOKUP(A30,NYSEARCARWX!A$2:G$506,6,0)</f>
        <v>582412</v>
      </c>
      <c r="K30">
        <f>VLOOKUP(A30,NYSEARCADBC!A$2:G$506,6,0)</f>
        <v>3885364</v>
      </c>
      <c r="L30">
        <f>VLOOKUP(A30,NYSEARCAGSG!A$2:G$506,6,0)</f>
        <v>602094</v>
      </c>
      <c r="M30">
        <f>VLOOKUP(A30,NYSEARCAGLD!A$2:G$506,6,0)</f>
        <v>4409026</v>
      </c>
      <c r="N30">
        <f>VLOOKUP(A30,NYSEBP!A$2:G$506,6,0)</f>
        <v>6507654</v>
      </c>
      <c r="O30">
        <f>VLOOKUP(A30,NASDAQYHOO!A$2:G$506,6,0)</f>
        <v>6398439</v>
      </c>
    </row>
    <row r="31" spans="1:15">
      <c r="A31" s="39">
        <v>42187</v>
      </c>
      <c r="B31">
        <v>6586071</v>
      </c>
      <c r="C31">
        <f>VLOOKUP(A31,NYSEARCAVTI!A$2:G$506,6,0)</f>
        <v>3139960</v>
      </c>
      <c r="D31">
        <f>VLOOKUP(A31,NYSEARCAVEU!A$2:G$506,6,0)</f>
        <v>1265967</v>
      </c>
      <c r="E31">
        <f>VLOOKUP(A31,NYSEARCAVWO!A$2:G$506,6,0)</f>
        <v>9116098</v>
      </c>
      <c r="F31">
        <f>VLOOKUP(A31,NYSEARCABND!A$2:G$506,6,0)</f>
        <v>1060092</v>
      </c>
      <c r="G31">
        <f>VLOOKUP(A31,NYSEARCATIP!A$2:G$506,6,0)</f>
        <v>850278</v>
      </c>
      <c r="H31">
        <f>VLOOKUP(A31,NYSEARCAMUB!A$2:G$506,6,0)</f>
        <v>204377</v>
      </c>
      <c r="I31">
        <f>VLOOKUP(A31,NYSEARCAVNQ!A$2:G$506,6,0)</f>
        <v>4303682</v>
      </c>
      <c r="J31">
        <f>VLOOKUP(A31,NYSEARCARWX!A$2:G$506,6,0)</f>
        <v>345254</v>
      </c>
      <c r="K31">
        <f>VLOOKUP(A31,NYSEARCADBC!A$2:G$506,6,0)</f>
        <v>1855030</v>
      </c>
      <c r="L31">
        <f>VLOOKUP(A31,NYSEARCAGSG!A$2:G$506,6,0)</f>
        <v>116325</v>
      </c>
      <c r="M31">
        <f>VLOOKUP(A31,NYSEARCAGLD!A$2:G$506,6,0)</f>
        <v>3838553</v>
      </c>
      <c r="N31">
        <f>VLOOKUP(A31,NYSEBP!A$2:G$506,6,0)</f>
        <v>11773467</v>
      </c>
      <c r="O31">
        <f>VLOOKUP(A31,NASDAQYHOO!A$2:G$506,6,0)</f>
        <v>7712994</v>
      </c>
    </row>
    <row r="32" spans="1:15">
      <c r="A32" s="39">
        <v>42191</v>
      </c>
      <c r="B32">
        <v>10536477</v>
      </c>
      <c r="C32">
        <f>VLOOKUP(A32,NYSEARCAVTI!A$2:G$506,6,0)</f>
        <v>2570835</v>
      </c>
      <c r="D32">
        <f>VLOOKUP(A32,NYSEARCAVEU!A$2:G$506,6,0)</f>
        <v>1729669</v>
      </c>
      <c r="E32">
        <f>VLOOKUP(A32,NYSEARCAVWO!A$2:G$506,6,0)</f>
        <v>14949842</v>
      </c>
      <c r="F32">
        <f>VLOOKUP(A32,NYSEARCABND!A$2:G$506,6,0)</f>
        <v>2210705</v>
      </c>
      <c r="G32">
        <f>VLOOKUP(A32,NYSEARCATIP!A$2:G$506,6,0)</f>
        <v>634385</v>
      </c>
      <c r="H32">
        <f>VLOOKUP(A32,NYSEARCAMUB!A$2:G$506,6,0)</f>
        <v>251299</v>
      </c>
      <c r="I32">
        <f>VLOOKUP(A32,NYSEARCAVNQ!A$2:G$506,6,0)</f>
        <v>5116724</v>
      </c>
      <c r="J32">
        <f>VLOOKUP(A32,NYSEARCARWX!A$2:G$506,6,0)</f>
        <v>763884</v>
      </c>
      <c r="K32">
        <f>VLOOKUP(A32,NYSEARCADBC!A$2:G$506,6,0)</f>
        <v>2304875</v>
      </c>
      <c r="L32">
        <f>VLOOKUP(A32,NYSEARCAGSG!A$2:G$506,6,0)</f>
        <v>194072</v>
      </c>
      <c r="M32">
        <f>VLOOKUP(A32,NYSEARCAGLD!A$2:G$506,6,0)</f>
        <v>4259775</v>
      </c>
      <c r="N32">
        <f>VLOOKUP(A32,NYSEBP!A$2:G$506,6,0)</f>
        <v>8462666</v>
      </c>
      <c r="O32">
        <f>VLOOKUP(A32,NASDAQYHOO!A$2:G$506,6,0)</f>
        <v>11803417</v>
      </c>
    </row>
    <row r="33" spans="1:15">
      <c r="A33" s="39">
        <v>42192</v>
      </c>
      <c r="B33">
        <v>12421297</v>
      </c>
      <c r="C33">
        <f>VLOOKUP(A33,NYSEARCAVTI!A$2:G$506,6,0)</f>
        <v>3329559</v>
      </c>
      <c r="D33">
        <f>VLOOKUP(A33,NYSEARCAVEU!A$2:G$506,6,0)</f>
        <v>3656087</v>
      </c>
      <c r="E33">
        <f>VLOOKUP(A33,NYSEARCAVWO!A$2:G$506,6,0)</f>
        <v>18876413</v>
      </c>
      <c r="F33">
        <f>VLOOKUP(A33,NYSEARCABND!A$2:G$506,6,0)</f>
        <v>4183163</v>
      </c>
      <c r="G33">
        <f>VLOOKUP(A33,NYSEARCATIP!A$2:G$506,6,0)</f>
        <v>995169</v>
      </c>
      <c r="H33">
        <f>VLOOKUP(A33,NYSEARCAMUB!A$2:G$506,6,0)</f>
        <v>349661</v>
      </c>
      <c r="I33">
        <f>VLOOKUP(A33,NYSEARCAVNQ!A$2:G$506,6,0)</f>
        <v>5921002</v>
      </c>
      <c r="J33">
        <f>VLOOKUP(A33,NYSEARCARWX!A$2:G$506,6,0)</f>
        <v>604811</v>
      </c>
      <c r="K33">
        <f>VLOOKUP(A33,NYSEARCADBC!A$2:G$506,6,0)</f>
        <v>4409526</v>
      </c>
      <c r="L33">
        <f>VLOOKUP(A33,NYSEARCAGSG!A$2:G$506,6,0)</f>
        <v>197977</v>
      </c>
      <c r="M33">
        <f>VLOOKUP(A33,NYSEARCAGLD!A$2:G$506,6,0)</f>
        <v>9073403</v>
      </c>
      <c r="N33">
        <f>VLOOKUP(A33,NYSEBP!A$2:G$506,6,0)</f>
        <v>10564509</v>
      </c>
      <c r="O33">
        <f>VLOOKUP(A33,NASDAQYHOO!A$2:G$506,6,0)</f>
        <v>19432474</v>
      </c>
    </row>
    <row r="34" spans="1:15">
      <c r="A34" s="39">
        <v>42193</v>
      </c>
      <c r="B34">
        <v>7790963</v>
      </c>
      <c r="C34">
        <f>VLOOKUP(A34,NYSEARCAVTI!A$2:G$506,6,0)</f>
        <v>2938858</v>
      </c>
      <c r="D34">
        <f>VLOOKUP(A34,NYSEARCAVEU!A$2:G$506,6,0)</f>
        <v>4118449</v>
      </c>
      <c r="E34">
        <f>VLOOKUP(A34,NYSEARCAVWO!A$2:G$506,6,0)</f>
        <v>21238337</v>
      </c>
      <c r="F34">
        <f>VLOOKUP(A34,NYSEARCABND!A$2:G$506,6,0)</f>
        <v>1967828</v>
      </c>
      <c r="G34">
        <f>VLOOKUP(A34,NYSEARCATIP!A$2:G$506,6,0)</f>
        <v>1842739</v>
      </c>
      <c r="H34">
        <f>VLOOKUP(A34,NYSEARCAMUB!A$2:G$506,6,0)</f>
        <v>180616</v>
      </c>
      <c r="I34">
        <f>VLOOKUP(A34,NYSEARCAVNQ!A$2:G$506,6,0)</f>
        <v>4941847</v>
      </c>
      <c r="J34">
        <f>VLOOKUP(A34,NYSEARCARWX!A$2:G$506,6,0)</f>
        <v>1060766</v>
      </c>
      <c r="K34">
        <f>VLOOKUP(A34,NYSEARCADBC!A$2:G$506,6,0)</f>
        <v>4364007</v>
      </c>
      <c r="L34">
        <f>VLOOKUP(A34,NYSEARCAGSG!A$2:G$506,6,0)</f>
        <v>115624</v>
      </c>
      <c r="M34">
        <f>VLOOKUP(A34,NYSEARCAGLD!A$2:G$506,6,0)</f>
        <v>5694941</v>
      </c>
      <c r="N34">
        <f>VLOOKUP(A34,NYSEBP!A$2:G$506,6,0)</f>
        <v>5931031</v>
      </c>
      <c r="O34">
        <f>VLOOKUP(A34,NASDAQYHOO!A$2:G$506,6,0)</f>
        <v>20529176</v>
      </c>
    </row>
    <row r="35" spans="1:15">
      <c r="A35" s="39">
        <v>42194</v>
      </c>
      <c r="B35">
        <v>8695824</v>
      </c>
      <c r="C35">
        <f>VLOOKUP(A35,NYSEARCAVTI!A$2:G$506,6,0)</f>
        <v>3064823</v>
      </c>
      <c r="D35">
        <f>VLOOKUP(A35,NYSEARCAVEU!A$2:G$506,6,0)</f>
        <v>2111844</v>
      </c>
      <c r="E35">
        <f>VLOOKUP(A35,NYSEARCAVWO!A$2:G$506,6,0)</f>
        <v>18488926</v>
      </c>
      <c r="F35">
        <f>VLOOKUP(A35,NYSEARCABND!A$2:G$506,6,0)</f>
        <v>1670882</v>
      </c>
      <c r="G35">
        <f>VLOOKUP(A35,NYSEARCATIP!A$2:G$506,6,0)</f>
        <v>461301</v>
      </c>
      <c r="H35">
        <f>VLOOKUP(A35,NYSEARCAMUB!A$2:G$506,6,0)</f>
        <v>189640</v>
      </c>
      <c r="I35">
        <f>VLOOKUP(A35,NYSEARCAVNQ!A$2:G$506,6,0)</f>
        <v>3313528</v>
      </c>
      <c r="J35">
        <f>VLOOKUP(A35,NYSEARCARWX!A$2:G$506,6,0)</f>
        <v>537242</v>
      </c>
      <c r="K35">
        <f>VLOOKUP(A35,NYSEARCADBC!A$2:G$506,6,0)</f>
        <v>2278443</v>
      </c>
      <c r="L35">
        <f>VLOOKUP(A35,NYSEARCAGSG!A$2:G$506,6,0)</f>
        <v>1629526</v>
      </c>
      <c r="M35">
        <f>VLOOKUP(A35,NYSEARCAGLD!A$2:G$506,6,0)</f>
        <v>3802857</v>
      </c>
      <c r="N35">
        <f>VLOOKUP(A35,NYSEBP!A$2:G$506,6,0)</f>
        <v>5455452</v>
      </c>
      <c r="O35">
        <f>VLOOKUP(A35,NASDAQYHOO!A$2:G$506,6,0)</f>
        <v>16909387</v>
      </c>
    </row>
    <row r="36" spans="1:15">
      <c r="A36" s="39">
        <v>42195</v>
      </c>
      <c r="B36">
        <v>5579323</v>
      </c>
      <c r="C36">
        <f>VLOOKUP(A36,NYSEARCAVTI!A$2:G$506,6,0)</f>
        <v>3432352</v>
      </c>
      <c r="D36">
        <f>VLOOKUP(A36,NYSEARCAVEU!A$2:G$506,6,0)</f>
        <v>2948684</v>
      </c>
      <c r="E36">
        <f>VLOOKUP(A36,NYSEARCAVWO!A$2:G$506,6,0)</f>
        <v>16651402</v>
      </c>
      <c r="F36">
        <f>VLOOKUP(A36,NYSEARCABND!A$2:G$506,6,0)</f>
        <v>2038299</v>
      </c>
      <c r="G36">
        <f>VLOOKUP(A36,NYSEARCATIP!A$2:G$506,6,0)</f>
        <v>699520</v>
      </c>
      <c r="H36">
        <f>VLOOKUP(A36,NYSEARCAMUB!A$2:G$506,6,0)</f>
        <v>250323</v>
      </c>
      <c r="I36">
        <f>VLOOKUP(A36,NYSEARCAVNQ!A$2:G$506,6,0)</f>
        <v>4774131</v>
      </c>
      <c r="J36">
        <f>VLOOKUP(A36,NYSEARCARWX!A$2:G$506,6,0)</f>
        <v>1523052</v>
      </c>
      <c r="K36">
        <f>VLOOKUP(A36,NYSEARCADBC!A$2:G$506,6,0)</f>
        <v>1117924</v>
      </c>
      <c r="L36">
        <f>VLOOKUP(A36,NYSEARCAGSG!A$2:G$506,6,0)</f>
        <v>116231</v>
      </c>
      <c r="M36">
        <f>VLOOKUP(A36,NYSEARCAGLD!A$2:G$506,6,0)</f>
        <v>3594918</v>
      </c>
      <c r="N36">
        <f>VLOOKUP(A36,NYSEBP!A$2:G$506,6,0)</f>
        <v>5797250</v>
      </c>
      <c r="O36">
        <f>VLOOKUP(A36,NASDAQYHOO!A$2:G$506,6,0)</f>
        <v>10057576</v>
      </c>
    </row>
    <row r="37" spans="1:15">
      <c r="A37" s="39">
        <v>42198</v>
      </c>
      <c r="B37">
        <v>6084498</v>
      </c>
      <c r="C37">
        <f>VLOOKUP(A37,NYSEARCAVTI!A$2:G$506,6,0)</f>
        <v>2835289</v>
      </c>
      <c r="D37">
        <f>VLOOKUP(A37,NYSEARCAVEU!A$2:G$506,6,0)</f>
        <v>2297643</v>
      </c>
      <c r="E37">
        <f>VLOOKUP(A37,NYSEARCAVWO!A$2:G$506,6,0)</f>
        <v>20934725</v>
      </c>
      <c r="F37">
        <f>VLOOKUP(A37,NYSEARCABND!A$2:G$506,6,0)</f>
        <v>2846477</v>
      </c>
      <c r="G37">
        <f>VLOOKUP(A37,NYSEARCATIP!A$2:G$506,6,0)</f>
        <v>410415</v>
      </c>
      <c r="H37">
        <f>VLOOKUP(A37,NYSEARCAMUB!A$2:G$506,6,0)</f>
        <v>262649</v>
      </c>
      <c r="I37">
        <f>VLOOKUP(A37,NYSEARCAVNQ!A$2:G$506,6,0)</f>
        <v>2887776</v>
      </c>
      <c r="J37">
        <f>VLOOKUP(A37,NYSEARCARWX!A$2:G$506,6,0)</f>
        <v>367376</v>
      </c>
      <c r="K37">
        <f>VLOOKUP(A37,NYSEARCADBC!A$2:G$506,6,0)</f>
        <v>2425456</v>
      </c>
      <c r="L37">
        <f>VLOOKUP(A37,NYSEARCAGSG!A$2:G$506,6,0)</f>
        <v>122673</v>
      </c>
      <c r="M37">
        <f>VLOOKUP(A37,NYSEARCAGLD!A$2:G$506,6,0)</f>
        <v>4279310</v>
      </c>
      <c r="N37">
        <f>VLOOKUP(A37,NYSEBP!A$2:G$506,6,0)</f>
        <v>3435067</v>
      </c>
      <c r="O37">
        <f>VLOOKUP(A37,NASDAQYHOO!A$2:G$506,6,0)</f>
        <v>8713178</v>
      </c>
    </row>
    <row r="38" spans="1:15">
      <c r="A38" s="39">
        <v>42199</v>
      </c>
      <c r="B38">
        <v>5518153</v>
      </c>
      <c r="C38">
        <f>VLOOKUP(A38,NYSEARCAVTI!A$2:G$506,6,0)</f>
        <v>2292470</v>
      </c>
      <c r="D38">
        <f>VLOOKUP(A38,NYSEARCAVEU!A$2:G$506,6,0)</f>
        <v>2449788</v>
      </c>
      <c r="E38">
        <f>VLOOKUP(A38,NYSEARCAVWO!A$2:G$506,6,0)</f>
        <v>10899370</v>
      </c>
      <c r="F38">
        <f>VLOOKUP(A38,NYSEARCABND!A$2:G$506,6,0)</f>
        <v>1567663</v>
      </c>
      <c r="G38">
        <f>VLOOKUP(A38,NYSEARCATIP!A$2:G$506,6,0)</f>
        <v>359631</v>
      </c>
      <c r="H38">
        <f>VLOOKUP(A38,NYSEARCAMUB!A$2:G$506,6,0)</f>
        <v>311562</v>
      </c>
      <c r="I38">
        <f>VLOOKUP(A38,NYSEARCAVNQ!A$2:G$506,6,0)</f>
        <v>2422879</v>
      </c>
      <c r="J38">
        <f>VLOOKUP(A38,NYSEARCARWX!A$2:G$506,6,0)</f>
        <v>311779</v>
      </c>
      <c r="K38">
        <f>VLOOKUP(A38,NYSEARCADBC!A$2:G$506,6,0)</f>
        <v>867168</v>
      </c>
      <c r="L38">
        <f>VLOOKUP(A38,NYSEARCAGSG!A$2:G$506,6,0)</f>
        <v>201638</v>
      </c>
      <c r="M38">
        <f>VLOOKUP(A38,NYSEARCAGLD!A$2:G$506,6,0)</f>
        <v>2600955</v>
      </c>
      <c r="N38">
        <f>VLOOKUP(A38,NYSEBP!A$2:G$506,6,0)</f>
        <v>3447243</v>
      </c>
      <c r="O38">
        <f>VLOOKUP(A38,NASDAQYHOO!A$2:G$506,6,0)</f>
        <v>9506509</v>
      </c>
    </row>
    <row r="39" spans="1:15">
      <c r="A39" s="39">
        <v>42200</v>
      </c>
      <c r="B39">
        <v>4566724</v>
      </c>
      <c r="C39">
        <f>VLOOKUP(A39,NYSEARCAVTI!A$2:G$506,6,0)</f>
        <v>2555651</v>
      </c>
      <c r="D39">
        <f>VLOOKUP(A39,NYSEARCAVEU!A$2:G$506,6,0)</f>
        <v>1657047</v>
      </c>
      <c r="E39">
        <f>VLOOKUP(A39,NYSEARCAVWO!A$2:G$506,6,0)</f>
        <v>11107766</v>
      </c>
      <c r="F39">
        <f>VLOOKUP(A39,NYSEARCABND!A$2:G$506,6,0)</f>
        <v>2630955</v>
      </c>
      <c r="G39">
        <f>VLOOKUP(A39,NYSEARCATIP!A$2:G$506,6,0)</f>
        <v>361062</v>
      </c>
      <c r="H39">
        <f>VLOOKUP(A39,NYSEARCAMUB!A$2:G$506,6,0)</f>
        <v>248797</v>
      </c>
      <c r="I39">
        <f>VLOOKUP(A39,NYSEARCAVNQ!A$2:G$506,6,0)</f>
        <v>2238054</v>
      </c>
      <c r="J39">
        <f>VLOOKUP(A39,NYSEARCARWX!A$2:G$506,6,0)</f>
        <v>232772</v>
      </c>
      <c r="K39">
        <f>VLOOKUP(A39,NYSEARCADBC!A$2:G$506,6,0)</f>
        <v>914516</v>
      </c>
      <c r="L39">
        <f>VLOOKUP(A39,NYSEARCAGSG!A$2:G$506,6,0)</f>
        <v>111113</v>
      </c>
      <c r="M39">
        <f>VLOOKUP(A39,NYSEARCAGLD!A$2:G$506,6,0)</f>
        <v>9286201</v>
      </c>
      <c r="N39">
        <f>VLOOKUP(A39,NYSEBP!A$2:G$506,6,0)</f>
        <v>4006236</v>
      </c>
      <c r="O39">
        <f>VLOOKUP(A39,NASDAQYHOO!A$2:G$506,6,0)</f>
        <v>9147265</v>
      </c>
    </row>
    <row r="40" spans="1:15">
      <c r="A40" s="39">
        <v>42201</v>
      </c>
      <c r="B40">
        <v>5231727</v>
      </c>
      <c r="C40">
        <f>VLOOKUP(A40,NYSEARCAVTI!A$2:G$506,6,0)</f>
        <v>1314002</v>
      </c>
      <c r="D40">
        <f>VLOOKUP(A40,NYSEARCAVEU!A$2:G$506,6,0)</f>
        <v>795982</v>
      </c>
      <c r="E40">
        <f>VLOOKUP(A40,NYSEARCAVWO!A$2:G$506,6,0)</f>
        <v>7439914</v>
      </c>
      <c r="F40">
        <f>VLOOKUP(A40,NYSEARCABND!A$2:G$506,6,0)</f>
        <v>1063112</v>
      </c>
      <c r="G40">
        <f>VLOOKUP(A40,NYSEARCATIP!A$2:G$506,6,0)</f>
        <v>716710</v>
      </c>
      <c r="H40">
        <f>VLOOKUP(A40,NYSEARCAMUB!A$2:G$506,6,0)</f>
        <v>185198</v>
      </c>
      <c r="I40">
        <f>VLOOKUP(A40,NYSEARCAVNQ!A$2:G$506,6,0)</f>
        <v>2494775</v>
      </c>
      <c r="J40">
        <f>VLOOKUP(A40,NYSEARCARWX!A$2:G$506,6,0)</f>
        <v>247911</v>
      </c>
      <c r="K40">
        <f>VLOOKUP(A40,NYSEARCADBC!A$2:G$506,6,0)</f>
        <v>822375</v>
      </c>
      <c r="L40">
        <f>VLOOKUP(A40,NYSEARCAGSG!A$2:G$506,6,0)</f>
        <v>120202</v>
      </c>
      <c r="M40">
        <f>VLOOKUP(A40,NYSEARCAGLD!A$2:G$506,6,0)</f>
        <v>4629683</v>
      </c>
      <c r="N40">
        <f>VLOOKUP(A40,NYSEBP!A$2:G$506,6,0)</f>
        <v>4587131</v>
      </c>
      <c r="O40">
        <f>VLOOKUP(A40,NASDAQYHOO!A$2:G$506,6,0)</f>
        <v>8462417</v>
      </c>
    </row>
    <row r="41" spans="1:15">
      <c r="A41" s="39">
        <v>42202</v>
      </c>
      <c r="B41">
        <v>5680568</v>
      </c>
      <c r="C41">
        <f>VLOOKUP(A41,NYSEARCAVTI!A$2:G$506,6,0)</f>
        <v>1295372</v>
      </c>
      <c r="D41">
        <f>VLOOKUP(A41,NYSEARCAVEU!A$2:G$506,6,0)</f>
        <v>879651</v>
      </c>
      <c r="E41">
        <f>VLOOKUP(A41,NYSEARCAVWO!A$2:G$506,6,0)</f>
        <v>8366513</v>
      </c>
      <c r="F41">
        <f>VLOOKUP(A41,NYSEARCABND!A$2:G$506,6,0)</f>
        <v>807934</v>
      </c>
      <c r="G41">
        <f>VLOOKUP(A41,NYSEARCATIP!A$2:G$506,6,0)</f>
        <v>228397</v>
      </c>
      <c r="H41">
        <f>VLOOKUP(A41,NYSEARCAMUB!A$2:G$506,6,0)</f>
        <v>134856</v>
      </c>
      <c r="I41">
        <f>VLOOKUP(A41,NYSEARCAVNQ!A$2:G$506,6,0)</f>
        <v>1803094</v>
      </c>
      <c r="J41">
        <f>VLOOKUP(A41,NYSEARCARWX!A$2:G$506,6,0)</f>
        <v>221849</v>
      </c>
      <c r="K41">
        <f>VLOOKUP(A41,NYSEARCADBC!A$2:G$506,6,0)</f>
        <v>938200</v>
      </c>
      <c r="L41">
        <f>VLOOKUP(A41,NYSEARCAGSG!A$2:G$506,6,0)</f>
        <v>95011</v>
      </c>
      <c r="M41">
        <f>VLOOKUP(A41,NYSEARCAGLD!A$2:G$506,6,0)</f>
        <v>14858273</v>
      </c>
      <c r="N41">
        <f>VLOOKUP(A41,NYSEBP!A$2:G$506,6,0)</f>
        <v>4253722</v>
      </c>
      <c r="O41">
        <f>VLOOKUP(A41,NASDAQYHOO!A$2:G$506,6,0)</f>
        <v>14864268</v>
      </c>
    </row>
    <row r="42" spans="1:15">
      <c r="A42" s="39">
        <v>42205</v>
      </c>
      <c r="B42">
        <v>5085621</v>
      </c>
      <c r="C42">
        <f>VLOOKUP(A42,NYSEARCAVTI!A$2:G$506,6,0)</f>
        <v>1338976</v>
      </c>
      <c r="D42">
        <f>VLOOKUP(A42,NYSEARCAVEU!A$2:G$506,6,0)</f>
        <v>895141</v>
      </c>
      <c r="E42">
        <f>VLOOKUP(A42,NYSEARCAVWO!A$2:G$506,6,0)</f>
        <v>9953918</v>
      </c>
      <c r="F42">
        <f>VLOOKUP(A42,NYSEARCABND!A$2:G$506,6,0)</f>
        <v>1026885</v>
      </c>
      <c r="G42">
        <f>VLOOKUP(A42,NYSEARCATIP!A$2:G$506,6,0)</f>
        <v>355226</v>
      </c>
      <c r="H42">
        <f>VLOOKUP(A42,NYSEARCAMUB!A$2:G$506,6,0)</f>
        <v>212775</v>
      </c>
      <c r="I42">
        <f>VLOOKUP(A42,NYSEARCAVNQ!A$2:G$506,6,0)</f>
        <v>2164757</v>
      </c>
      <c r="J42">
        <f>VLOOKUP(A42,NYSEARCARWX!A$2:G$506,6,0)</f>
        <v>201442</v>
      </c>
      <c r="K42">
        <f>VLOOKUP(A42,NYSEARCADBC!A$2:G$506,6,0)</f>
        <v>2006164</v>
      </c>
      <c r="L42">
        <f>VLOOKUP(A42,NYSEARCAGSG!A$2:G$506,6,0)</f>
        <v>98000</v>
      </c>
      <c r="M42">
        <f>VLOOKUP(A42,NYSEARCAGLD!A$2:G$506,6,0)</f>
        <v>15751735</v>
      </c>
      <c r="N42">
        <f>VLOOKUP(A42,NYSEBP!A$2:G$506,6,0)</f>
        <v>4132392</v>
      </c>
      <c r="O42">
        <f>VLOOKUP(A42,NASDAQYHOO!A$2:G$506,6,0)</f>
        <v>14752071</v>
      </c>
    </row>
    <row r="43" spans="1:15">
      <c r="A43" s="39">
        <v>42206</v>
      </c>
      <c r="B43">
        <v>6441071</v>
      </c>
      <c r="C43">
        <f>VLOOKUP(A43,NYSEARCAVTI!A$2:G$506,6,0)</f>
        <v>1661039</v>
      </c>
      <c r="D43">
        <f>VLOOKUP(A43,NYSEARCAVEU!A$2:G$506,6,0)</f>
        <v>1974542</v>
      </c>
      <c r="E43">
        <f>VLOOKUP(A43,NYSEARCAVWO!A$2:G$506,6,0)</f>
        <v>8696210</v>
      </c>
      <c r="F43">
        <f>VLOOKUP(A43,NYSEARCABND!A$2:G$506,6,0)</f>
        <v>1422884</v>
      </c>
      <c r="G43">
        <f>VLOOKUP(A43,NYSEARCATIP!A$2:G$506,6,0)</f>
        <v>679868</v>
      </c>
      <c r="H43">
        <f>VLOOKUP(A43,NYSEARCAMUB!A$2:G$506,6,0)</f>
        <v>185735</v>
      </c>
      <c r="I43">
        <f>VLOOKUP(A43,NYSEARCAVNQ!A$2:G$506,6,0)</f>
        <v>3540725</v>
      </c>
      <c r="J43">
        <f>VLOOKUP(A43,NYSEARCARWX!A$2:G$506,6,0)</f>
        <v>867159</v>
      </c>
      <c r="K43">
        <f>VLOOKUP(A43,NYSEARCADBC!A$2:G$506,6,0)</f>
        <v>1044558</v>
      </c>
      <c r="L43">
        <f>VLOOKUP(A43,NYSEARCAGSG!A$2:G$506,6,0)</f>
        <v>109195</v>
      </c>
      <c r="M43">
        <f>VLOOKUP(A43,NYSEARCAGLD!A$2:G$506,6,0)</f>
        <v>10519791</v>
      </c>
      <c r="N43">
        <f>VLOOKUP(A43,NYSEBP!A$2:G$506,6,0)</f>
        <v>5668561</v>
      </c>
      <c r="O43">
        <f>VLOOKUP(A43,NASDAQYHOO!A$2:G$506,6,0)</f>
        <v>14861571</v>
      </c>
    </row>
    <row r="44" spans="1:15">
      <c r="A44" s="39">
        <v>42207</v>
      </c>
      <c r="B44">
        <v>6961551</v>
      </c>
      <c r="C44">
        <f>VLOOKUP(A44,NYSEARCAVTI!A$2:G$506,6,0)</f>
        <v>1852371</v>
      </c>
      <c r="D44">
        <f>VLOOKUP(A44,NYSEARCAVEU!A$2:G$506,6,0)</f>
        <v>979772</v>
      </c>
      <c r="E44">
        <f>VLOOKUP(A44,NYSEARCAVWO!A$2:G$506,6,0)</f>
        <v>9318073</v>
      </c>
      <c r="F44">
        <f>VLOOKUP(A44,NYSEARCABND!A$2:G$506,6,0)</f>
        <v>1624143</v>
      </c>
      <c r="G44">
        <f>VLOOKUP(A44,NYSEARCATIP!A$2:G$506,6,0)</f>
        <v>320311</v>
      </c>
      <c r="H44">
        <f>VLOOKUP(A44,NYSEARCAMUB!A$2:G$506,6,0)</f>
        <v>577611</v>
      </c>
      <c r="I44">
        <f>VLOOKUP(A44,NYSEARCAVNQ!A$2:G$506,6,0)</f>
        <v>2883484</v>
      </c>
      <c r="J44">
        <f>VLOOKUP(A44,NYSEARCARWX!A$2:G$506,6,0)</f>
        <v>1433174</v>
      </c>
      <c r="K44">
        <f>VLOOKUP(A44,NYSEARCADBC!A$2:G$506,6,0)</f>
        <v>2034141</v>
      </c>
      <c r="L44">
        <f>VLOOKUP(A44,NYSEARCAGSG!A$2:G$506,6,0)</f>
        <v>91116</v>
      </c>
      <c r="M44">
        <f>VLOOKUP(A44,NYSEARCAGLD!A$2:G$506,6,0)</f>
        <v>8349201</v>
      </c>
      <c r="N44">
        <f>VLOOKUP(A44,NYSEBP!A$2:G$506,6,0)</f>
        <v>6777905</v>
      </c>
      <c r="O44">
        <f>VLOOKUP(A44,NASDAQYHOO!A$2:G$506,6,0)</f>
        <v>17714798</v>
      </c>
    </row>
    <row r="45" spans="1:15">
      <c r="A45" s="39">
        <v>42208</v>
      </c>
      <c r="B45">
        <v>4252929</v>
      </c>
      <c r="C45">
        <f>VLOOKUP(A45,NYSEARCAVTI!A$2:G$506,6,0)</f>
        <v>1569545</v>
      </c>
      <c r="D45">
        <f>VLOOKUP(A45,NYSEARCAVEU!A$2:G$506,6,0)</f>
        <v>2210396</v>
      </c>
      <c r="E45">
        <f>VLOOKUP(A45,NYSEARCAVWO!A$2:G$506,6,0)</f>
        <v>9391079</v>
      </c>
      <c r="F45">
        <f>VLOOKUP(A45,NYSEARCABND!A$2:G$506,6,0)</f>
        <v>1178365</v>
      </c>
      <c r="G45">
        <f>VLOOKUP(A45,NYSEARCATIP!A$2:G$506,6,0)</f>
        <v>321020</v>
      </c>
      <c r="H45">
        <f>VLOOKUP(A45,NYSEARCAMUB!A$2:G$506,6,0)</f>
        <v>216614</v>
      </c>
      <c r="I45">
        <f>VLOOKUP(A45,NYSEARCAVNQ!A$2:G$506,6,0)</f>
        <v>3188934</v>
      </c>
      <c r="J45">
        <f>VLOOKUP(A45,NYSEARCARWX!A$2:G$506,6,0)</f>
        <v>290300</v>
      </c>
      <c r="K45">
        <f>VLOOKUP(A45,NYSEARCADBC!A$2:G$506,6,0)</f>
        <v>6627699</v>
      </c>
      <c r="L45">
        <f>VLOOKUP(A45,NYSEARCAGSG!A$2:G$506,6,0)</f>
        <v>74048</v>
      </c>
      <c r="M45">
        <f>VLOOKUP(A45,NYSEARCAGLD!A$2:G$506,6,0)</f>
        <v>5779289</v>
      </c>
      <c r="N45">
        <f>VLOOKUP(A45,NYSEBP!A$2:G$506,6,0)</f>
        <v>8620486</v>
      </c>
      <c r="O45">
        <f>VLOOKUP(A45,NASDAQYHOO!A$2:G$506,6,0)</f>
        <v>9267432</v>
      </c>
    </row>
    <row r="46" spans="1:15">
      <c r="A46" s="39">
        <v>42209</v>
      </c>
      <c r="B46">
        <v>5951117</v>
      </c>
      <c r="C46">
        <f>VLOOKUP(A46,NYSEARCAVTI!A$2:G$506,6,0)</f>
        <v>2073472</v>
      </c>
      <c r="D46">
        <f>VLOOKUP(A46,NYSEARCAVEU!A$2:G$506,6,0)</f>
        <v>1471819</v>
      </c>
      <c r="E46">
        <f>VLOOKUP(A46,NYSEARCAVWO!A$2:G$506,6,0)</f>
        <v>9799805</v>
      </c>
      <c r="F46">
        <f>VLOOKUP(A46,NYSEARCABND!A$2:G$506,6,0)</f>
        <v>804258</v>
      </c>
      <c r="G46">
        <f>VLOOKUP(A46,NYSEARCATIP!A$2:G$506,6,0)</f>
        <v>631990</v>
      </c>
      <c r="H46">
        <f>VLOOKUP(A46,NYSEARCAMUB!A$2:G$506,6,0)</f>
        <v>113457</v>
      </c>
      <c r="I46">
        <f>VLOOKUP(A46,NYSEARCAVNQ!A$2:G$506,6,0)</f>
        <v>2800285</v>
      </c>
      <c r="J46">
        <f>VLOOKUP(A46,NYSEARCARWX!A$2:G$506,6,0)</f>
        <v>507651</v>
      </c>
      <c r="K46">
        <f>VLOOKUP(A46,NYSEARCADBC!A$2:G$506,6,0)</f>
        <v>1264790</v>
      </c>
      <c r="L46">
        <f>VLOOKUP(A46,NYSEARCAGSG!A$2:G$506,6,0)</f>
        <v>80912</v>
      </c>
      <c r="M46">
        <f>VLOOKUP(A46,NYSEARCAGLD!A$2:G$506,6,0)</f>
        <v>11572679</v>
      </c>
      <c r="N46">
        <f>VLOOKUP(A46,NYSEBP!A$2:G$506,6,0)</f>
        <v>7304694</v>
      </c>
      <c r="O46">
        <f>VLOOKUP(A46,NASDAQYHOO!A$2:G$506,6,0)</f>
        <v>8590731</v>
      </c>
    </row>
    <row r="47" spans="1:15">
      <c r="A47" s="39">
        <v>42212</v>
      </c>
      <c r="B47">
        <v>6197584</v>
      </c>
      <c r="C47">
        <f>VLOOKUP(A47,NYSEARCAVTI!A$2:G$506,6,0)</f>
        <v>2958428</v>
      </c>
      <c r="D47">
        <f>VLOOKUP(A47,NYSEARCAVEU!A$2:G$506,6,0)</f>
        <v>1153558</v>
      </c>
      <c r="E47">
        <f>VLOOKUP(A47,NYSEARCAVWO!A$2:G$506,6,0)</f>
        <v>16577478</v>
      </c>
      <c r="F47">
        <f>VLOOKUP(A47,NYSEARCABND!A$2:G$506,6,0)</f>
        <v>2022824</v>
      </c>
      <c r="G47">
        <f>VLOOKUP(A47,NYSEARCATIP!A$2:G$506,6,0)</f>
        <v>396951</v>
      </c>
      <c r="H47">
        <f>VLOOKUP(A47,NYSEARCAMUB!A$2:G$506,6,0)</f>
        <v>269892</v>
      </c>
      <c r="I47">
        <f>VLOOKUP(A47,NYSEARCAVNQ!A$2:G$506,6,0)</f>
        <v>3003046</v>
      </c>
      <c r="J47">
        <f>VLOOKUP(A47,NYSEARCARWX!A$2:G$506,6,0)</f>
        <v>289853</v>
      </c>
      <c r="K47">
        <f>VLOOKUP(A47,NYSEARCADBC!A$2:G$506,6,0)</f>
        <v>2407206</v>
      </c>
      <c r="L47">
        <f>VLOOKUP(A47,NYSEARCAGSG!A$2:G$506,6,0)</f>
        <v>105803</v>
      </c>
      <c r="M47">
        <f>VLOOKUP(A47,NYSEARCAGLD!A$2:G$506,6,0)</f>
        <v>10690142</v>
      </c>
      <c r="N47">
        <f>VLOOKUP(A47,NYSEBP!A$2:G$506,6,0)</f>
        <v>9074451</v>
      </c>
      <c r="O47">
        <f>VLOOKUP(A47,NASDAQYHOO!A$2:G$506,6,0)</f>
        <v>12942727</v>
      </c>
    </row>
    <row r="48" spans="1:15">
      <c r="A48" s="39">
        <v>42213</v>
      </c>
      <c r="B48">
        <v>8592296</v>
      </c>
      <c r="C48">
        <f>VLOOKUP(A48,NYSEARCAVTI!A$2:G$506,6,0)</f>
        <v>2198632</v>
      </c>
      <c r="D48">
        <f>VLOOKUP(A48,NYSEARCAVEU!A$2:G$506,6,0)</f>
        <v>1205472</v>
      </c>
      <c r="E48">
        <f>VLOOKUP(A48,NYSEARCAVWO!A$2:G$506,6,0)</f>
        <v>17999548</v>
      </c>
      <c r="F48">
        <f>VLOOKUP(A48,NYSEARCABND!A$2:G$506,6,0)</f>
        <v>1434737</v>
      </c>
      <c r="G48">
        <f>VLOOKUP(A48,NYSEARCATIP!A$2:G$506,6,0)</f>
        <v>388996</v>
      </c>
      <c r="H48">
        <f>VLOOKUP(A48,NYSEARCAMUB!A$2:G$506,6,0)</f>
        <v>144497</v>
      </c>
      <c r="I48">
        <f>VLOOKUP(A48,NYSEARCAVNQ!A$2:G$506,6,0)</f>
        <v>2673997</v>
      </c>
      <c r="J48">
        <f>VLOOKUP(A48,NYSEARCARWX!A$2:G$506,6,0)</f>
        <v>308912</v>
      </c>
      <c r="K48">
        <f>VLOOKUP(A48,NYSEARCADBC!A$2:G$506,6,0)</f>
        <v>2157397</v>
      </c>
      <c r="L48">
        <f>VLOOKUP(A48,NYSEARCAGSG!A$2:G$506,6,0)</f>
        <v>549592</v>
      </c>
      <c r="M48">
        <f>VLOOKUP(A48,NYSEARCAGLD!A$2:G$506,6,0)</f>
        <v>5549222</v>
      </c>
      <c r="N48">
        <f>VLOOKUP(A48,NYSEBP!A$2:G$506,6,0)</f>
        <v>8220830</v>
      </c>
      <c r="O48">
        <f>VLOOKUP(A48,NASDAQYHOO!A$2:G$506,6,0)</f>
        <v>10333096</v>
      </c>
    </row>
    <row r="49" spans="1:15">
      <c r="A49" s="39">
        <v>42214</v>
      </c>
      <c r="B49">
        <v>4939670</v>
      </c>
      <c r="C49">
        <f>VLOOKUP(A49,NYSEARCAVTI!A$2:G$506,6,0)</f>
        <v>1624215</v>
      </c>
      <c r="D49">
        <f>VLOOKUP(A49,NYSEARCAVEU!A$2:G$506,6,0)</f>
        <v>4314553</v>
      </c>
      <c r="E49">
        <f>VLOOKUP(A49,NYSEARCAVWO!A$2:G$506,6,0)</f>
        <v>12955163</v>
      </c>
      <c r="F49">
        <f>VLOOKUP(A49,NYSEARCABND!A$2:G$506,6,0)</f>
        <v>1020519</v>
      </c>
      <c r="G49">
        <f>VLOOKUP(A49,NYSEARCATIP!A$2:G$506,6,0)</f>
        <v>382713</v>
      </c>
      <c r="H49">
        <f>VLOOKUP(A49,NYSEARCAMUB!A$2:G$506,6,0)</f>
        <v>110565</v>
      </c>
      <c r="I49">
        <f>VLOOKUP(A49,NYSEARCAVNQ!A$2:G$506,6,0)</f>
        <v>7988137</v>
      </c>
      <c r="J49">
        <f>VLOOKUP(A49,NYSEARCARWX!A$2:G$506,6,0)</f>
        <v>148941</v>
      </c>
      <c r="K49">
        <f>VLOOKUP(A49,NYSEARCADBC!A$2:G$506,6,0)</f>
        <v>1239665</v>
      </c>
      <c r="L49">
        <f>VLOOKUP(A49,NYSEARCAGSG!A$2:G$506,6,0)</f>
        <v>104761</v>
      </c>
      <c r="M49">
        <f>VLOOKUP(A49,NYSEARCAGLD!A$2:G$506,6,0)</f>
        <v>5616909</v>
      </c>
      <c r="N49">
        <f>VLOOKUP(A49,NYSEBP!A$2:G$506,6,0)</f>
        <v>6782793</v>
      </c>
      <c r="O49">
        <f>VLOOKUP(A49,NASDAQYHOO!A$2:G$506,6,0)</f>
        <v>10290604</v>
      </c>
    </row>
    <row r="50" spans="1:15">
      <c r="A50" s="39">
        <v>42215</v>
      </c>
      <c r="B50">
        <v>4604530</v>
      </c>
      <c r="C50">
        <f>VLOOKUP(A50,NYSEARCAVTI!A$2:G$506,6,0)</f>
        <v>1390381</v>
      </c>
      <c r="D50">
        <f>VLOOKUP(A50,NYSEARCAVEU!A$2:G$506,6,0)</f>
        <v>1950572</v>
      </c>
      <c r="E50">
        <f>VLOOKUP(A50,NYSEARCAVWO!A$2:G$506,6,0)</f>
        <v>10258135</v>
      </c>
      <c r="F50">
        <f>VLOOKUP(A50,NYSEARCABND!A$2:G$506,6,0)</f>
        <v>788049</v>
      </c>
      <c r="G50">
        <f>VLOOKUP(A50,NYSEARCATIP!A$2:G$506,6,0)</f>
        <v>290622</v>
      </c>
      <c r="H50">
        <f>VLOOKUP(A50,NYSEARCAMUB!A$2:G$506,6,0)</f>
        <v>162103</v>
      </c>
      <c r="I50">
        <f>VLOOKUP(A50,NYSEARCAVNQ!A$2:G$506,6,0)</f>
        <v>2932498</v>
      </c>
      <c r="J50">
        <f>VLOOKUP(A50,NYSEARCARWX!A$2:G$506,6,0)</f>
        <v>271186</v>
      </c>
      <c r="K50">
        <f>VLOOKUP(A50,NYSEARCADBC!A$2:G$506,6,0)</f>
        <v>997517</v>
      </c>
      <c r="L50">
        <f>VLOOKUP(A50,NYSEARCAGSG!A$2:G$506,6,0)</f>
        <v>94687</v>
      </c>
      <c r="M50">
        <f>VLOOKUP(A50,NYSEARCAGLD!A$2:G$506,6,0)</f>
        <v>6651960</v>
      </c>
      <c r="N50">
        <f>VLOOKUP(A50,NYSEBP!A$2:G$506,6,0)</f>
        <v>4731320</v>
      </c>
      <c r="O50">
        <f>VLOOKUP(A50,NASDAQYHOO!A$2:G$506,6,0)</f>
        <v>9542683</v>
      </c>
    </row>
    <row r="51" spans="1:15">
      <c r="A51" s="39">
        <v>42216</v>
      </c>
      <c r="B51">
        <v>7928371</v>
      </c>
      <c r="C51">
        <f>VLOOKUP(A51,NYSEARCAVTI!A$2:G$506,6,0)</f>
        <v>2422731</v>
      </c>
      <c r="D51">
        <f>VLOOKUP(A51,NYSEARCAVEU!A$2:G$506,6,0)</f>
        <v>963930</v>
      </c>
      <c r="E51">
        <f>VLOOKUP(A51,NYSEARCAVWO!A$2:G$506,6,0)</f>
        <v>16153208</v>
      </c>
      <c r="F51">
        <f>VLOOKUP(A51,NYSEARCABND!A$2:G$506,6,0)</f>
        <v>1589053</v>
      </c>
      <c r="G51">
        <f>VLOOKUP(A51,NYSEARCATIP!A$2:G$506,6,0)</f>
        <v>298985</v>
      </c>
      <c r="H51">
        <f>VLOOKUP(A51,NYSEARCAMUB!A$2:G$506,6,0)</f>
        <v>172346</v>
      </c>
      <c r="I51">
        <f>VLOOKUP(A51,NYSEARCAVNQ!A$2:G$506,6,0)</f>
        <v>5490420</v>
      </c>
      <c r="J51">
        <f>VLOOKUP(A51,NYSEARCARWX!A$2:G$506,6,0)</f>
        <v>326454</v>
      </c>
      <c r="K51">
        <f>VLOOKUP(A51,NYSEARCADBC!A$2:G$506,6,0)</f>
        <v>1807464</v>
      </c>
      <c r="L51">
        <f>VLOOKUP(A51,NYSEARCAGSG!A$2:G$506,6,0)</f>
        <v>536996</v>
      </c>
      <c r="M51">
        <f>VLOOKUP(A51,NYSEARCAGLD!A$2:G$506,6,0)</f>
        <v>6689175</v>
      </c>
      <c r="N51">
        <f>VLOOKUP(A51,NYSEBP!A$2:G$506,6,0)</f>
        <v>5669920</v>
      </c>
      <c r="O51">
        <f>VLOOKUP(A51,NASDAQYHOO!A$2:G$506,6,0)</f>
        <v>15446116</v>
      </c>
    </row>
    <row r="52" spans="1:15">
      <c r="A52" s="39">
        <v>42219</v>
      </c>
      <c r="B52">
        <v>5131845</v>
      </c>
      <c r="C52">
        <f>VLOOKUP(A52,NYSEARCAVTI!A$2:G$506,6,0)</f>
        <v>2654615</v>
      </c>
      <c r="D52">
        <f>VLOOKUP(A52,NYSEARCAVEU!A$2:G$506,6,0)</f>
        <v>1674402</v>
      </c>
      <c r="E52">
        <f>VLOOKUP(A52,NYSEARCAVWO!A$2:G$506,6,0)</f>
        <v>13893778</v>
      </c>
      <c r="F52">
        <f>VLOOKUP(A52,NYSEARCABND!A$2:G$506,6,0)</f>
        <v>2085780</v>
      </c>
      <c r="G52">
        <f>VLOOKUP(A52,NYSEARCATIP!A$2:G$506,6,0)</f>
        <v>1030490</v>
      </c>
      <c r="H52">
        <f>VLOOKUP(A52,NYSEARCAMUB!A$2:G$506,6,0)</f>
        <v>365498</v>
      </c>
      <c r="I52">
        <f>VLOOKUP(A52,NYSEARCAVNQ!A$2:G$506,6,0)</f>
        <v>3766413</v>
      </c>
      <c r="J52">
        <f>VLOOKUP(A52,NYSEARCARWX!A$2:G$506,6,0)</f>
        <v>448083</v>
      </c>
      <c r="K52">
        <f>VLOOKUP(A52,NYSEARCADBC!A$2:G$506,6,0)</f>
        <v>2939046</v>
      </c>
      <c r="L52">
        <f>VLOOKUP(A52,NYSEARCAGSG!A$2:G$506,6,0)</f>
        <v>221984</v>
      </c>
      <c r="M52">
        <f>VLOOKUP(A52,NYSEARCAGLD!A$2:G$506,6,0)</f>
        <v>3528596</v>
      </c>
      <c r="N52">
        <f>VLOOKUP(A52,NYSEBP!A$2:G$506,6,0)</f>
        <v>5564692</v>
      </c>
      <c r="O52">
        <f>VLOOKUP(A52,NASDAQYHOO!A$2:G$506,6,0)</f>
        <v>9887296</v>
      </c>
    </row>
    <row r="53" spans="1:15">
      <c r="A53" s="39">
        <v>42220</v>
      </c>
      <c r="B53">
        <v>5873371</v>
      </c>
      <c r="C53">
        <f>VLOOKUP(A53,NYSEARCAVTI!A$2:G$506,6,0)</f>
        <v>1600020</v>
      </c>
      <c r="D53">
        <f>VLOOKUP(A53,NYSEARCAVEU!A$2:G$506,6,0)</f>
        <v>1356266</v>
      </c>
      <c r="E53">
        <f>VLOOKUP(A53,NYSEARCAVWO!A$2:G$506,6,0)</f>
        <v>12430311</v>
      </c>
      <c r="F53">
        <f>VLOOKUP(A53,NYSEARCABND!A$2:G$506,6,0)</f>
        <v>1007295</v>
      </c>
      <c r="G53">
        <f>VLOOKUP(A53,NYSEARCATIP!A$2:G$506,6,0)</f>
        <v>2022438</v>
      </c>
      <c r="H53">
        <f>VLOOKUP(A53,NYSEARCAMUB!A$2:G$506,6,0)</f>
        <v>168255</v>
      </c>
      <c r="I53">
        <f>VLOOKUP(A53,NYSEARCAVNQ!A$2:G$506,6,0)</f>
        <v>4087323</v>
      </c>
      <c r="J53">
        <f>VLOOKUP(A53,NYSEARCARWX!A$2:G$506,6,0)</f>
        <v>458840</v>
      </c>
      <c r="K53">
        <f>VLOOKUP(A53,NYSEARCADBC!A$2:G$506,6,0)</f>
        <v>2741323</v>
      </c>
      <c r="L53">
        <f>VLOOKUP(A53,NYSEARCAGSG!A$2:G$506,6,0)</f>
        <v>151828</v>
      </c>
      <c r="M53">
        <f>VLOOKUP(A53,NYSEARCAGLD!A$2:G$506,6,0)</f>
        <v>3241016</v>
      </c>
      <c r="N53">
        <f>VLOOKUP(A53,NYSEBP!A$2:G$506,6,0)</f>
        <v>6401392</v>
      </c>
      <c r="O53">
        <f>VLOOKUP(A53,NASDAQYHOO!A$2:G$506,6,0)</f>
        <v>9051917</v>
      </c>
    </row>
    <row r="54" spans="1:15">
      <c r="A54" s="39">
        <v>42221</v>
      </c>
      <c r="B54">
        <v>8715807</v>
      </c>
      <c r="C54">
        <f>VLOOKUP(A54,NYSEARCAVTI!A$2:G$506,6,0)</f>
        <v>1253644</v>
      </c>
      <c r="D54">
        <f>VLOOKUP(A54,NYSEARCAVEU!A$2:G$506,6,0)</f>
        <v>1258166</v>
      </c>
      <c r="E54">
        <f>VLOOKUP(A54,NYSEARCAVWO!A$2:G$506,6,0)</f>
        <v>11748608</v>
      </c>
      <c r="F54">
        <f>VLOOKUP(A54,NYSEARCABND!A$2:G$506,6,0)</f>
        <v>2097032</v>
      </c>
      <c r="G54">
        <f>VLOOKUP(A54,NYSEARCATIP!A$2:G$506,6,0)</f>
        <v>424004</v>
      </c>
      <c r="H54">
        <f>VLOOKUP(A54,NYSEARCAMUB!A$2:G$506,6,0)</f>
        <v>163241</v>
      </c>
      <c r="I54">
        <f>VLOOKUP(A54,NYSEARCAVNQ!A$2:G$506,6,0)</f>
        <v>3783091</v>
      </c>
      <c r="J54">
        <f>VLOOKUP(A54,NYSEARCARWX!A$2:G$506,6,0)</f>
        <v>381676</v>
      </c>
      <c r="K54">
        <f>VLOOKUP(A54,NYSEARCADBC!A$2:G$506,6,0)</f>
        <v>1415233</v>
      </c>
      <c r="L54">
        <f>VLOOKUP(A54,NYSEARCAGSG!A$2:G$506,6,0)</f>
        <v>112106</v>
      </c>
      <c r="M54">
        <f>VLOOKUP(A54,NYSEARCAGLD!A$2:G$506,6,0)</f>
        <v>5041015</v>
      </c>
      <c r="N54">
        <f>VLOOKUP(A54,NYSEBP!A$2:G$506,6,0)</f>
        <v>6796331</v>
      </c>
      <c r="O54">
        <f>VLOOKUP(A54,NASDAQYHOO!A$2:G$506,6,0)</f>
        <v>6844018</v>
      </c>
    </row>
    <row r="55" spans="1:15">
      <c r="A55" s="39">
        <v>42222</v>
      </c>
      <c r="B55">
        <v>6367735</v>
      </c>
      <c r="C55">
        <f>VLOOKUP(A55,NYSEARCAVTI!A$2:G$506,6,0)</f>
        <v>1969453</v>
      </c>
      <c r="D55">
        <f>VLOOKUP(A55,NYSEARCAVEU!A$2:G$506,6,0)</f>
        <v>1206258</v>
      </c>
      <c r="E55">
        <f>VLOOKUP(A55,NYSEARCAVWO!A$2:G$506,6,0)</f>
        <v>12595136</v>
      </c>
      <c r="F55">
        <f>VLOOKUP(A55,NYSEARCABND!A$2:G$506,6,0)</f>
        <v>1173044</v>
      </c>
      <c r="G55">
        <f>VLOOKUP(A55,NYSEARCATIP!A$2:G$506,6,0)</f>
        <v>372211</v>
      </c>
      <c r="H55">
        <f>VLOOKUP(A55,NYSEARCAMUB!A$2:G$506,6,0)</f>
        <v>191457</v>
      </c>
      <c r="I55">
        <f>VLOOKUP(A55,NYSEARCAVNQ!A$2:G$506,6,0)</f>
        <v>3473260</v>
      </c>
      <c r="J55">
        <f>VLOOKUP(A55,NYSEARCARWX!A$2:G$506,6,0)</f>
        <v>1539080</v>
      </c>
      <c r="K55">
        <f>VLOOKUP(A55,NYSEARCADBC!A$2:G$506,6,0)</f>
        <v>1767144</v>
      </c>
      <c r="L55">
        <f>VLOOKUP(A55,NYSEARCAGSG!A$2:G$506,6,0)</f>
        <v>121424</v>
      </c>
      <c r="M55">
        <f>VLOOKUP(A55,NYSEARCAGLD!A$2:G$506,6,0)</f>
        <v>3908124</v>
      </c>
      <c r="N55">
        <f>VLOOKUP(A55,NYSEBP!A$2:G$506,6,0)</f>
        <v>8096094</v>
      </c>
      <c r="O55">
        <f>VLOOKUP(A55,NASDAQYHOO!A$2:G$506,6,0)</f>
        <v>12299702</v>
      </c>
    </row>
    <row r="56" spans="1:15">
      <c r="A56" s="39">
        <v>42223</v>
      </c>
      <c r="B56">
        <v>7797473</v>
      </c>
      <c r="C56">
        <f>VLOOKUP(A56,NYSEARCAVTI!A$2:G$506,6,0)</f>
        <v>3295124</v>
      </c>
      <c r="D56">
        <f>VLOOKUP(A56,NYSEARCAVEU!A$2:G$506,6,0)</f>
        <v>943464</v>
      </c>
      <c r="E56">
        <f>VLOOKUP(A56,NYSEARCAVWO!A$2:G$506,6,0)</f>
        <v>15026291</v>
      </c>
      <c r="F56">
        <f>VLOOKUP(A56,NYSEARCABND!A$2:G$506,6,0)</f>
        <v>1773813</v>
      </c>
      <c r="G56">
        <f>VLOOKUP(A56,NYSEARCATIP!A$2:G$506,6,0)</f>
        <v>475754</v>
      </c>
      <c r="H56">
        <f>VLOOKUP(A56,NYSEARCAMUB!A$2:G$506,6,0)</f>
        <v>272301</v>
      </c>
      <c r="I56">
        <f>VLOOKUP(A56,NYSEARCAVNQ!A$2:G$506,6,0)</f>
        <v>3942615</v>
      </c>
      <c r="J56">
        <f>VLOOKUP(A56,NYSEARCARWX!A$2:G$506,6,0)</f>
        <v>214302</v>
      </c>
      <c r="K56">
        <f>VLOOKUP(A56,NYSEARCADBC!A$2:G$506,6,0)</f>
        <v>1940404</v>
      </c>
      <c r="L56">
        <f>VLOOKUP(A56,NYSEARCAGSG!A$2:G$506,6,0)</f>
        <v>60192</v>
      </c>
      <c r="M56">
        <f>VLOOKUP(A56,NYSEARCAGLD!A$2:G$506,6,0)</f>
        <v>4400915</v>
      </c>
      <c r="N56">
        <f>VLOOKUP(A56,NYSEBP!A$2:G$506,6,0)</f>
        <v>4821859</v>
      </c>
      <c r="O56">
        <f>VLOOKUP(A56,NASDAQYHOO!A$2:G$506,6,0)</f>
        <v>11845497</v>
      </c>
    </row>
    <row r="57" spans="1:15">
      <c r="A57" s="39">
        <v>42226</v>
      </c>
      <c r="B57">
        <v>6020087</v>
      </c>
      <c r="C57">
        <f>VLOOKUP(A57,NYSEARCAVTI!A$2:G$506,6,0)</f>
        <v>1981326</v>
      </c>
      <c r="D57">
        <f>VLOOKUP(A57,NYSEARCAVEU!A$2:G$506,6,0)</f>
        <v>818416</v>
      </c>
      <c r="E57">
        <f>VLOOKUP(A57,NYSEARCAVWO!A$2:G$506,6,0)</f>
        <v>9670291</v>
      </c>
      <c r="F57">
        <f>VLOOKUP(A57,NYSEARCABND!A$2:G$506,6,0)</f>
        <v>1173282</v>
      </c>
      <c r="G57">
        <f>VLOOKUP(A57,NYSEARCATIP!A$2:G$506,6,0)</f>
        <v>486718</v>
      </c>
      <c r="H57">
        <f>VLOOKUP(A57,NYSEARCAMUB!A$2:G$506,6,0)</f>
        <v>337665</v>
      </c>
      <c r="I57">
        <f>VLOOKUP(A57,NYSEARCAVNQ!A$2:G$506,6,0)</f>
        <v>2605110</v>
      </c>
      <c r="J57">
        <f>VLOOKUP(A57,NYSEARCARWX!A$2:G$506,6,0)</f>
        <v>809210</v>
      </c>
      <c r="K57">
        <f>VLOOKUP(A57,NYSEARCADBC!A$2:G$506,6,0)</f>
        <v>2061632</v>
      </c>
      <c r="L57">
        <f>VLOOKUP(A57,NYSEARCAGSG!A$2:G$506,6,0)</f>
        <v>158549</v>
      </c>
      <c r="M57">
        <f>VLOOKUP(A57,NYSEARCAGLD!A$2:G$506,6,0)</f>
        <v>5892602</v>
      </c>
      <c r="N57">
        <f>VLOOKUP(A57,NYSEBP!A$2:G$506,6,0)</f>
        <v>6429577</v>
      </c>
      <c r="O57">
        <f>VLOOKUP(A57,NASDAQYHOO!A$2:G$506,6,0)</f>
        <v>11351419</v>
      </c>
    </row>
    <row r="58" spans="1:15">
      <c r="A58" s="39">
        <v>42227</v>
      </c>
      <c r="B58">
        <v>6829195</v>
      </c>
      <c r="C58">
        <f>VLOOKUP(A58,NYSEARCAVTI!A$2:G$506,6,0)</f>
        <v>1833141</v>
      </c>
      <c r="D58">
        <f>VLOOKUP(A58,NYSEARCAVEU!A$2:G$506,6,0)</f>
        <v>1120608</v>
      </c>
      <c r="E58">
        <f>VLOOKUP(A58,NYSEARCAVWO!A$2:G$506,6,0)</f>
        <v>13511040</v>
      </c>
      <c r="F58">
        <f>VLOOKUP(A58,NYSEARCABND!A$2:G$506,6,0)</f>
        <v>1424192</v>
      </c>
      <c r="G58">
        <f>VLOOKUP(A58,NYSEARCATIP!A$2:G$506,6,0)</f>
        <v>1401525</v>
      </c>
      <c r="H58">
        <f>VLOOKUP(A58,NYSEARCAMUB!A$2:G$506,6,0)</f>
        <v>201405</v>
      </c>
      <c r="I58">
        <f>VLOOKUP(A58,NYSEARCAVNQ!A$2:G$506,6,0)</f>
        <v>4539891</v>
      </c>
      <c r="J58">
        <f>VLOOKUP(A58,NYSEARCARWX!A$2:G$506,6,0)</f>
        <v>1445122</v>
      </c>
      <c r="K58">
        <f>VLOOKUP(A58,NYSEARCADBC!A$2:G$506,6,0)</f>
        <v>1092352</v>
      </c>
      <c r="L58">
        <f>VLOOKUP(A58,NYSEARCAGSG!A$2:G$506,6,0)</f>
        <v>859400</v>
      </c>
      <c r="M58">
        <f>VLOOKUP(A58,NYSEARCAGLD!A$2:G$506,6,0)</f>
        <v>4060892</v>
      </c>
      <c r="N58">
        <f>VLOOKUP(A58,NYSEBP!A$2:G$506,6,0)</f>
        <v>6132707</v>
      </c>
      <c r="O58">
        <f>VLOOKUP(A58,NASDAQYHOO!A$2:G$506,6,0)</f>
        <v>13833238</v>
      </c>
    </row>
    <row r="59" spans="1:15">
      <c r="A59" s="39">
        <v>42228</v>
      </c>
      <c r="B59">
        <v>8903056</v>
      </c>
      <c r="C59">
        <f>VLOOKUP(A59,NYSEARCAVTI!A$2:G$506,6,0)</f>
        <v>2611345</v>
      </c>
      <c r="D59">
        <f>VLOOKUP(A59,NYSEARCAVEU!A$2:G$506,6,0)</f>
        <v>1347193</v>
      </c>
      <c r="E59">
        <f>VLOOKUP(A59,NYSEARCAVWO!A$2:G$506,6,0)</f>
        <v>21512512</v>
      </c>
      <c r="F59">
        <f>VLOOKUP(A59,NYSEARCABND!A$2:G$506,6,0)</f>
        <v>1029723</v>
      </c>
      <c r="G59">
        <f>VLOOKUP(A59,NYSEARCATIP!A$2:G$506,6,0)</f>
        <v>461403</v>
      </c>
      <c r="H59">
        <f>VLOOKUP(A59,NYSEARCAMUB!A$2:G$506,6,0)</f>
        <v>187342</v>
      </c>
      <c r="I59">
        <f>VLOOKUP(A59,NYSEARCAVNQ!A$2:G$506,6,0)</f>
        <v>3229165</v>
      </c>
      <c r="J59">
        <f>VLOOKUP(A59,NYSEARCARWX!A$2:G$506,6,0)</f>
        <v>555093</v>
      </c>
      <c r="K59">
        <f>VLOOKUP(A59,NYSEARCADBC!A$2:G$506,6,0)</f>
        <v>1831901</v>
      </c>
      <c r="L59">
        <f>VLOOKUP(A59,NYSEARCAGSG!A$2:G$506,6,0)</f>
        <v>135691</v>
      </c>
      <c r="M59">
        <f>VLOOKUP(A59,NYSEARCAGLD!A$2:G$506,6,0)</f>
        <v>10022547</v>
      </c>
      <c r="N59">
        <f>VLOOKUP(A59,NYSEBP!A$2:G$506,6,0)</f>
        <v>6363412</v>
      </c>
      <c r="O59">
        <f>VLOOKUP(A59,NASDAQYHOO!A$2:G$506,6,0)</f>
        <v>31443155</v>
      </c>
    </row>
    <row r="60" spans="1:15">
      <c r="A60" s="39">
        <v>42229</v>
      </c>
      <c r="B60">
        <v>7652355</v>
      </c>
      <c r="C60">
        <f>VLOOKUP(A60,NYSEARCAVTI!A$2:G$506,6,0)</f>
        <v>3545402</v>
      </c>
      <c r="D60">
        <f>VLOOKUP(A60,NYSEARCAVEU!A$2:G$506,6,0)</f>
        <v>1275983</v>
      </c>
      <c r="E60">
        <f>VLOOKUP(A60,NYSEARCAVWO!A$2:G$506,6,0)</f>
        <v>10543284</v>
      </c>
      <c r="F60">
        <f>VLOOKUP(A60,NYSEARCABND!A$2:G$506,6,0)</f>
        <v>845481</v>
      </c>
      <c r="G60">
        <f>VLOOKUP(A60,NYSEARCATIP!A$2:G$506,6,0)</f>
        <v>447659</v>
      </c>
      <c r="H60">
        <f>VLOOKUP(A60,NYSEARCAMUB!A$2:G$506,6,0)</f>
        <v>260358</v>
      </c>
      <c r="I60">
        <f>VLOOKUP(A60,NYSEARCAVNQ!A$2:G$506,6,0)</f>
        <v>2381923</v>
      </c>
      <c r="J60">
        <f>VLOOKUP(A60,NYSEARCARWX!A$2:G$506,6,0)</f>
        <v>188427</v>
      </c>
      <c r="K60">
        <f>VLOOKUP(A60,NYSEARCADBC!A$2:G$506,6,0)</f>
        <v>1304423</v>
      </c>
      <c r="L60">
        <f>VLOOKUP(A60,NYSEARCAGSG!A$2:G$506,6,0)</f>
        <v>303139</v>
      </c>
      <c r="M60">
        <f>VLOOKUP(A60,NYSEARCAGLD!A$2:G$506,6,0)</f>
        <v>4761682</v>
      </c>
      <c r="N60">
        <f>VLOOKUP(A60,NYSEBP!A$2:G$506,6,0)</f>
        <v>5358721</v>
      </c>
      <c r="O60">
        <f>VLOOKUP(A60,NASDAQYHOO!A$2:G$506,6,0)</f>
        <v>28987668</v>
      </c>
    </row>
    <row r="61" spans="1:15">
      <c r="A61" s="39">
        <v>42230</v>
      </c>
      <c r="B61">
        <v>5912505</v>
      </c>
      <c r="C61">
        <f>VLOOKUP(A61,NYSEARCAVTI!A$2:G$506,6,0)</f>
        <v>1154508</v>
      </c>
      <c r="D61">
        <f>VLOOKUP(A61,NYSEARCAVEU!A$2:G$506,6,0)</f>
        <v>1364982</v>
      </c>
      <c r="E61">
        <f>VLOOKUP(A61,NYSEARCAVWO!A$2:G$506,6,0)</f>
        <v>8488483</v>
      </c>
      <c r="F61">
        <f>VLOOKUP(A61,NYSEARCABND!A$2:G$506,6,0)</f>
        <v>2279807</v>
      </c>
      <c r="G61">
        <f>VLOOKUP(A61,NYSEARCATIP!A$2:G$506,6,0)</f>
        <v>1885373</v>
      </c>
      <c r="H61">
        <f>VLOOKUP(A61,NYSEARCAMUB!A$2:G$506,6,0)</f>
        <v>159442</v>
      </c>
      <c r="I61">
        <f>VLOOKUP(A61,NYSEARCAVNQ!A$2:G$506,6,0)</f>
        <v>2558213</v>
      </c>
      <c r="J61">
        <f>VLOOKUP(A61,NYSEARCARWX!A$2:G$506,6,0)</f>
        <v>292373</v>
      </c>
      <c r="K61">
        <f>VLOOKUP(A61,NYSEARCADBC!A$2:G$506,6,0)</f>
        <v>876075</v>
      </c>
      <c r="L61">
        <f>VLOOKUP(A61,NYSEARCAGSG!A$2:G$506,6,0)</f>
        <v>110177</v>
      </c>
      <c r="M61">
        <f>VLOOKUP(A61,NYSEARCAGLD!A$2:G$506,6,0)</f>
        <v>3509238</v>
      </c>
      <c r="N61">
        <f>VLOOKUP(A61,NYSEBP!A$2:G$506,6,0)</f>
        <v>4661678</v>
      </c>
      <c r="O61">
        <f>VLOOKUP(A61,NASDAQYHOO!A$2:G$506,6,0)</f>
        <v>12241062</v>
      </c>
    </row>
    <row r="62" spans="1:15">
      <c r="A62" s="39">
        <v>42233</v>
      </c>
      <c r="B62">
        <v>7604423</v>
      </c>
      <c r="C62">
        <f>VLOOKUP(A62,NYSEARCAVTI!A$2:G$506,6,0)</f>
        <v>1739109</v>
      </c>
      <c r="D62">
        <f>VLOOKUP(A62,NYSEARCAVEU!A$2:G$506,6,0)</f>
        <v>864955</v>
      </c>
      <c r="E62">
        <f>VLOOKUP(A62,NYSEARCAVWO!A$2:G$506,6,0)</f>
        <v>11034328</v>
      </c>
      <c r="F62">
        <f>VLOOKUP(A62,NYSEARCABND!A$2:G$506,6,0)</f>
        <v>821871</v>
      </c>
      <c r="G62">
        <f>VLOOKUP(A62,NYSEARCATIP!A$2:G$506,6,0)</f>
        <v>393212</v>
      </c>
      <c r="H62">
        <f>VLOOKUP(A62,NYSEARCAMUB!A$2:G$506,6,0)</f>
        <v>204742</v>
      </c>
      <c r="I62">
        <f>VLOOKUP(A62,NYSEARCAVNQ!A$2:G$506,6,0)</f>
        <v>2912583</v>
      </c>
      <c r="J62">
        <f>VLOOKUP(A62,NYSEARCARWX!A$2:G$506,6,0)</f>
        <v>289687</v>
      </c>
      <c r="K62">
        <f>VLOOKUP(A62,NYSEARCADBC!A$2:G$506,6,0)</f>
        <v>1824407</v>
      </c>
      <c r="L62">
        <f>VLOOKUP(A62,NYSEARCAGSG!A$2:G$506,6,0)</f>
        <v>265889</v>
      </c>
      <c r="M62">
        <f>VLOOKUP(A62,NYSEARCAGLD!A$2:G$506,6,0)</f>
        <v>5769080</v>
      </c>
      <c r="N62">
        <f>VLOOKUP(A62,NYSEBP!A$2:G$506,6,0)</f>
        <v>5560066</v>
      </c>
      <c r="O62">
        <f>VLOOKUP(A62,NASDAQYHOO!A$2:G$506,6,0)</f>
        <v>7933557</v>
      </c>
    </row>
    <row r="63" spans="1:15">
      <c r="A63" s="39">
        <v>42234</v>
      </c>
      <c r="B63">
        <v>21314976</v>
      </c>
      <c r="C63">
        <f>VLOOKUP(A63,NYSEARCAVTI!A$2:G$506,6,0)</f>
        <v>2694955</v>
      </c>
      <c r="D63">
        <f>VLOOKUP(A63,NYSEARCAVEU!A$2:G$506,6,0)</f>
        <v>1047507</v>
      </c>
      <c r="E63">
        <f>VLOOKUP(A63,NYSEARCAVWO!A$2:G$506,6,0)</f>
        <v>10526830</v>
      </c>
      <c r="F63">
        <f>VLOOKUP(A63,NYSEARCABND!A$2:G$506,6,0)</f>
        <v>1083906</v>
      </c>
      <c r="G63">
        <f>VLOOKUP(A63,NYSEARCATIP!A$2:G$506,6,0)</f>
        <v>394934</v>
      </c>
      <c r="H63">
        <f>VLOOKUP(A63,NYSEARCAMUB!A$2:G$506,6,0)</f>
        <v>162139</v>
      </c>
      <c r="I63">
        <f>VLOOKUP(A63,NYSEARCAVNQ!A$2:G$506,6,0)</f>
        <v>2904785</v>
      </c>
      <c r="J63">
        <f>VLOOKUP(A63,NYSEARCARWX!A$2:G$506,6,0)</f>
        <v>273636</v>
      </c>
      <c r="K63">
        <f>VLOOKUP(A63,NYSEARCADBC!A$2:G$506,6,0)</f>
        <v>1641335</v>
      </c>
      <c r="L63">
        <f>VLOOKUP(A63,NYSEARCAGSG!A$2:G$506,6,0)</f>
        <v>189766</v>
      </c>
      <c r="M63">
        <f>VLOOKUP(A63,NYSEARCAGLD!A$2:G$506,6,0)</f>
        <v>4121839</v>
      </c>
      <c r="N63">
        <f>VLOOKUP(A63,NYSEBP!A$2:G$506,6,0)</f>
        <v>4461509</v>
      </c>
      <c r="O63">
        <f>VLOOKUP(A63,NASDAQYHOO!A$2:G$506,6,0)</f>
        <v>11445283</v>
      </c>
    </row>
    <row r="64" spans="1:15">
      <c r="A64" s="39">
        <v>42235</v>
      </c>
      <c r="B64">
        <v>16333364</v>
      </c>
      <c r="C64">
        <f>VLOOKUP(A64,NYSEARCAVTI!A$2:G$506,6,0)</f>
        <v>2183231</v>
      </c>
      <c r="D64">
        <f>VLOOKUP(A64,NYSEARCAVEU!A$2:G$506,6,0)</f>
        <v>1866927</v>
      </c>
      <c r="E64">
        <f>VLOOKUP(A64,NYSEARCAVWO!A$2:G$506,6,0)</f>
        <v>51010195</v>
      </c>
      <c r="F64">
        <f>VLOOKUP(A64,NYSEARCABND!A$2:G$506,6,0)</f>
        <v>1356579</v>
      </c>
      <c r="G64">
        <f>VLOOKUP(A64,NYSEARCATIP!A$2:G$506,6,0)</f>
        <v>500471</v>
      </c>
      <c r="H64">
        <f>VLOOKUP(A64,NYSEARCAMUB!A$2:G$506,6,0)</f>
        <v>328234</v>
      </c>
      <c r="I64">
        <f>VLOOKUP(A64,NYSEARCAVNQ!A$2:G$506,6,0)</f>
        <v>2400981</v>
      </c>
      <c r="J64">
        <f>VLOOKUP(A64,NYSEARCARWX!A$2:G$506,6,0)</f>
        <v>314362</v>
      </c>
      <c r="K64">
        <f>VLOOKUP(A64,NYSEARCADBC!A$2:G$506,6,0)</f>
        <v>1718482</v>
      </c>
      <c r="L64">
        <f>VLOOKUP(A64,NYSEARCAGSG!A$2:G$506,6,0)</f>
        <v>544232</v>
      </c>
      <c r="M64">
        <f>VLOOKUP(A64,NYSEARCAGLD!A$2:G$506,6,0)</f>
        <v>7035087</v>
      </c>
      <c r="N64">
        <f>VLOOKUP(A64,NYSEBP!A$2:G$506,6,0)</f>
        <v>6604359</v>
      </c>
      <c r="O64">
        <f>VLOOKUP(A64,NASDAQYHOO!A$2:G$506,6,0)</f>
        <v>8976684</v>
      </c>
    </row>
    <row r="65" spans="1:15">
      <c r="A65" s="39">
        <v>42236</v>
      </c>
      <c r="B65">
        <v>9849709</v>
      </c>
      <c r="C65">
        <f>VLOOKUP(A65,NYSEARCAVTI!A$2:G$506,6,0)</f>
        <v>4375919</v>
      </c>
      <c r="D65">
        <f>VLOOKUP(A65,NYSEARCAVEU!A$2:G$506,6,0)</f>
        <v>1757718</v>
      </c>
      <c r="E65">
        <f>VLOOKUP(A65,NYSEARCAVWO!A$2:G$506,6,0)</f>
        <v>24406713</v>
      </c>
      <c r="F65">
        <f>VLOOKUP(A65,NYSEARCABND!A$2:G$506,6,0)</f>
        <v>1536746</v>
      </c>
      <c r="G65">
        <f>VLOOKUP(A65,NYSEARCATIP!A$2:G$506,6,0)</f>
        <v>552318</v>
      </c>
      <c r="H65">
        <f>VLOOKUP(A65,NYSEARCAMUB!A$2:G$506,6,0)</f>
        <v>716121</v>
      </c>
      <c r="I65">
        <f>VLOOKUP(A65,NYSEARCAVNQ!A$2:G$506,6,0)</f>
        <v>3894139</v>
      </c>
      <c r="J65">
        <f>VLOOKUP(A65,NYSEARCARWX!A$2:G$506,6,0)</f>
        <v>1047604</v>
      </c>
      <c r="K65">
        <f>VLOOKUP(A65,NYSEARCADBC!A$2:G$506,6,0)</f>
        <v>4386192</v>
      </c>
      <c r="L65">
        <f>VLOOKUP(A65,NYSEARCAGSG!A$2:G$506,6,0)</f>
        <v>226776</v>
      </c>
      <c r="M65">
        <f>VLOOKUP(A65,NYSEARCAGLD!A$2:G$506,6,0)</f>
        <v>12474567</v>
      </c>
      <c r="N65">
        <f>VLOOKUP(A65,NYSEBP!A$2:G$506,6,0)</f>
        <v>6505869</v>
      </c>
      <c r="O65">
        <f>VLOOKUP(A65,NASDAQYHOO!A$2:G$506,6,0)</f>
        <v>15525775</v>
      </c>
    </row>
    <row r="66" spans="1:15">
      <c r="A66" s="39">
        <v>42237</v>
      </c>
      <c r="B66">
        <v>15681327</v>
      </c>
      <c r="C66">
        <f>VLOOKUP(A66,NYSEARCAVTI!A$2:G$506,6,0)</f>
        <v>9870342</v>
      </c>
      <c r="D66">
        <f>VLOOKUP(A66,NYSEARCAVEU!A$2:G$506,6,0)</f>
        <v>5927806</v>
      </c>
      <c r="E66">
        <f>VLOOKUP(A66,NYSEARCAVWO!A$2:G$506,6,0)</f>
        <v>28553554</v>
      </c>
      <c r="F66">
        <f>VLOOKUP(A66,NYSEARCABND!A$2:G$506,6,0)</f>
        <v>3459172</v>
      </c>
      <c r="G66">
        <f>VLOOKUP(A66,NYSEARCATIP!A$2:G$506,6,0)</f>
        <v>586312</v>
      </c>
      <c r="H66">
        <f>VLOOKUP(A66,NYSEARCAMUB!A$2:G$506,6,0)</f>
        <v>319435</v>
      </c>
      <c r="I66">
        <f>VLOOKUP(A66,NYSEARCAVNQ!A$2:G$506,6,0)</f>
        <v>4120553</v>
      </c>
      <c r="J66">
        <f>VLOOKUP(A66,NYSEARCARWX!A$2:G$506,6,0)</f>
        <v>865663</v>
      </c>
      <c r="K66">
        <f>VLOOKUP(A66,NYSEARCADBC!A$2:G$506,6,0)</f>
        <v>2750650</v>
      </c>
      <c r="L66">
        <f>VLOOKUP(A66,NYSEARCAGSG!A$2:G$506,6,0)</f>
        <v>229649</v>
      </c>
      <c r="M66">
        <f>VLOOKUP(A66,NYSEARCAGLD!A$2:G$506,6,0)</f>
        <v>13853508</v>
      </c>
      <c r="N66">
        <f>VLOOKUP(A66,NYSEBP!A$2:G$506,6,0)</f>
        <v>8650375</v>
      </c>
      <c r="O66">
        <f>VLOOKUP(A66,NASDAQYHOO!A$2:G$506,6,0)</f>
        <v>18271697</v>
      </c>
    </row>
    <row r="67" spans="1:15">
      <c r="A67" s="39">
        <v>42240</v>
      </c>
      <c r="B67">
        <v>22050214</v>
      </c>
      <c r="C67">
        <f>VLOOKUP(A67,NYSEARCAVTI!A$2:G$506,6,0)</f>
        <v>18128518</v>
      </c>
      <c r="D67">
        <f>VLOOKUP(A67,NYSEARCAVEU!A$2:G$506,6,0)</f>
        <v>6638581</v>
      </c>
      <c r="E67">
        <f>VLOOKUP(A67,NYSEARCAVWO!A$2:G$506,6,0)</f>
        <v>57266428</v>
      </c>
      <c r="F67">
        <f>VLOOKUP(A67,NYSEARCABND!A$2:G$506,6,0)</f>
        <v>4751764</v>
      </c>
      <c r="G67">
        <f>VLOOKUP(A67,NYSEARCATIP!A$2:G$506,6,0)</f>
        <v>960318</v>
      </c>
      <c r="H67">
        <f>VLOOKUP(A67,NYSEARCAMUB!A$2:G$506,6,0)</f>
        <v>641899</v>
      </c>
      <c r="I67">
        <f>VLOOKUP(A67,NYSEARCAVNQ!A$2:G$506,6,0)</f>
        <v>10864370</v>
      </c>
      <c r="J67">
        <f>VLOOKUP(A67,NYSEARCARWX!A$2:G$506,6,0)</f>
        <v>1316618</v>
      </c>
      <c r="K67">
        <f>VLOOKUP(A67,NYSEARCADBC!A$2:G$506,6,0)</f>
        <v>3776878</v>
      </c>
      <c r="L67">
        <f>VLOOKUP(A67,NYSEARCAGSG!A$2:G$506,6,0)</f>
        <v>730287</v>
      </c>
      <c r="M67">
        <f>VLOOKUP(A67,NYSEARCAGLD!A$2:G$506,6,0)</f>
        <v>18045519</v>
      </c>
      <c r="N67">
        <f>VLOOKUP(A67,NYSEBP!A$2:G$506,6,0)</f>
        <v>18484414</v>
      </c>
      <c r="O67">
        <f>VLOOKUP(A67,NASDAQYHOO!A$2:G$506,6,0)</f>
        <v>22876922</v>
      </c>
    </row>
    <row r="68" spans="1:15">
      <c r="A68" s="39">
        <v>42241</v>
      </c>
      <c r="B68">
        <v>14595099</v>
      </c>
      <c r="C68">
        <f>VLOOKUP(A68,NYSEARCAVTI!A$2:G$506,6,0)</f>
        <v>9211564</v>
      </c>
      <c r="D68">
        <f>VLOOKUP(A68,NYSEARCAVEU!A$2:G$506,6,0)</f>
        <v>5418506</v>
      </c>
      <c r="E68">
        <f>VLOOKUP(A68,NYSEARCAVWO!A$2:G$506,6,0)</f>
        <v>46410761</v>
      </c>
      <c r="F68">
        <f>VLOOKUP(A68,NYSEARCABND!A$2:G$506,6,0)</f>
        <v>5325145</v>
      </c>
      <c r="G68">
        <f>VLOOKUP(A68,NYSEARCATIP!A$2:G$506,6,0)</f>
        <v>1024542</v>
      </c>
      <c r="H68">
        <f>VLOOKUP(A68,NYSEARCAMUB!A$2:G$506,6,0)</f>
        <v>406193</v>
      </c>
      <c r="I68">
        <f>VLOOKUP(A68,NYSEARCAVNQ!A$2:G$506,6,0)</f>
        <v>9148939</v>
      </c>
      <c r="J68">
        <f>VLOOKUP(A68,NYSEARCARWX!A$2:G$506,6,0)</f>
        <v>1222993</v>
      </c>
      <c r="K68">
        <f>VLOOKUP(A68,NYSEARCADBC!A$2:G$506,6,0)</f>
        <v>3132687</v>
      </c>
      <c r="L68">
        <f>VLOOKUP(A68,NYSEARCAGSG!A$2:G$506,6,0)</f>
        <v>747399</v>
      </c>
      <c r="M68">
        <f>VLOOKUP(A68,NYSEARCAGLD!A$2:G$506,6,0)</f>
        <v>9158491</v>
      </c>
      <c r="N68">
        <f>VLOOKUP(A68,NYSEBP!A$2:G$506,6,0)</f>
        <v>12899270</v>
      </c>
      <c r="O68">
        <f>VLOOKUP(A68,NASDAQYHOO!A$2:G$506,6,0)</f>
        <v>15626118</v>
      </c>
    </row>
    <row r="69" spans="1:15">
      <c r="A69" s="39">
        <v>42242</v>
      </c>
      <c r="B69">
        <v>13903655</v>
      </c>
      <c r="C69">
        <f>VLOOKUP(A69,NYSEARCAVTI!A$2:G$506,6,0)</f>
        <v>8296858</v>
      </c>
      <c r="D69">
        <f>VLOOKUP(A69,NYSEARCAVEU!A$2:G$506,6,0)</f>
        <v>4884286</v>
      </c>
      <c r="E69">
        <f>VLOOKUP(A69,NYSEARCAVWO!A$2:G$506,6,0)</f>
        <v>41852367</v>
      </c>
      <c r="F69">
        <f>VLOOKUP(A69,NYSEARCABND!A$2:G$506,6,0)</f>
        <v>2742517</v>
      </c>
      <c r="G69">
        <f>VLOOKUP(A69,NYSEARCATIP!A$2:G$506,6,0)</f>
        <v>562063</v>
      </c>
      <c r="H69">
        <f>VLOOKUP(A69,NYSEARCAMUB!A$2:G$506,6,0)</f>
        <v>304117</v>
      </c>
      <c r="I69">
        <f>VLOOKUP(A69,NYSEARCAVNQ!A$2:G$506,6,0)</f>
        <v>5067430</v>
      </c>
      <c r="J69">
        <f>VLOOKUP(A69,NYSEARCARWX!A$2:G$506,6,0)</f>
        <v>716418</v>
      </c>
      <c r="K69">
        <f>VLOOKUP(A69,NYSEARCADBC!A$2:G$506,6,0)</f>
        <v>2180666</v>
      </c>
      <c r="L69">
        <f>VLOOKUP(A69,NYSEARCAGSG!A$2:G$506,6,0)</f>
        <v>176155</v>
      </c>
      <c r="M69">
        <f>VLOOKUP(A69,NYSEARCAGLD!A$2:G$506,6,0)</f>
        <v>10720637</v>
      </c>
      <c r="N69">
        <f>VLOOKUP(A69,NYSEBP!A$2:G$506,6,0)</f>
        <v>11923789</v>
      </c>
      <c r="O69">
        <f>VLOOKUP(A69,NASDAQYHOO!A$2:G$506,6,0)</f>
        <v>25375593</v>
      </c>
    </row>
    <row r="70" spans="1:15">
      <c r="A70" s="39">
        <v>42243</v>
      </c>
      <c r="B70">
        <v>13743197</v>
      </c>
      <c r="C70">
        <f>VLOOKUP(A70,NYSEARCAVTI!A$2:G$506,6,0)</f>
        <v>8779237</v>
      </c>
      <c r="D70">
        <f>VLOOKUP(A70,NYSEARCAVEU!A$2:G$506,6,0)</f>
        <v>4502460</v>
      </c>
      <c r="E70">
        <f>VLOOKUP(A70,NYSEARCAVWO!A$2:G$506,6,0)</f>
        <v>33427469</v>
      </c>
      <c r="F70">
        <f>VLOOKUP(A70,NYSEARCABND!A$2:G$506,6,0)</f>
        <v>2671020</v>
      </c>
      <c r="G70">
        <f>VLOOKUP(A70,NYSEARCATIP!A$2:G$506,6,0)</f>
        <v>601637</v>
      </c>
      <c r="H70">
        <f>VLOOKUP(A70,NYSEARCAMUB!A$2:G$506,6,0)</f>
        <v>265972</v>
      </c>
      <c r="I70">
        <f>VLOOKUP(A70,NYSEARCAVNQ!A$2:G$506,6,0)</f>
        <v>5627399</v>
      </c>
      <c r="J70">
        <f>VLOOKUP(A70,NYSEARCARWX!A$2:G$506,6,0)</f>
        <v>904175</v>
      </c>
      <c r="K70">
        <f>VLOOKUP(A70,NYSEARCADBC!A$2:G$506,6,0)</f>
        <v>2094792</v>
      </c>
      <c r="L70">
        <f>VLOOKUP(A70,NYSEARCAGSG!A$2:G$506,6,0)</f>
        <v>199529</v>
      </c>
      <c r="M70">
        <f>VLOOKUP(A70,NYSEARCAGLD!A$2:G$506,6,0)</f>
        <v>8065122</v>
      </c>
      <c r="N70">
        <f>VLOOKUP(A70,NYSEBP!A$2:G$506,6,0)</f>
        <v>12934561</v>
      </c>
      <c r="O70">
        <f>VLOOKUP(A70,NASDAQYHOO!A$2:G$506,6,0)</f>
        <v>18949155</v>
      </c>
    </row>
    <row r="71" spans="1:15">
      <c r="A71" s="39">
        <v>42244</v>
      </c>
      <c r="B71">
        <v>14299810</v>
      </c>
      <c r="C71">
        <f>VLOOKUP(A71,NYSEARCAVTI!A$2:G$506,6,0)</f>
        <v>5165569</v>
      </c>
      <c r="D71">
        <f>VLOOKUP(A71,NYSEARCAVEU!A$2:G$506,6,0)</f>
        <v>2947272</v>
      </c>
      <c r="E71">
        <f>VLOOKUP(A71,NYSEARCAVWO!A$2:G$506,6,0)</f>
        <v>38177381</v>
      </c>
      <c r="F71">
        <f>VLOOKUP(A71,NYSEARCABND!A$2:G$506,6,0)</f>
        <v>2723859</v>
      </c>
      <c r="G71">
        <f>VLOOKUP(A71,NYSEARCATIP!A$2:G$506,6,0)</f>
        <v>452672</v>
      </c>
      <c r="H71">
        <f>VLOOKUP(A71,NYSEARCAMUB!A$2:G$506,6,0)</f>
        <v>188390</v>
      </c>
      <c r="I71">
        <f>VLOOKUP(A71,NYSEARCAVNQ!A$2:G$506,6,0)</f>
        <v>3867557</v>
      </c>
      <c r="J71">
        <f>VLOOKUP(A71,NYSEARCARWX!A$2:G$506,6,0)</f>
        <v>554142</v>
      </c>
      <c r="K71">
        <f>VLOOKUP(A71,NYSEARCADBC!A$2:G$506,6,0)</f>
        <v>6212793</v>
      </c>
      <c r="L71">
        <f>VLOOKUP(A71,NYSEARCAGSG!A$2:G$506,6,0)</f>
        <v>198494</v>
      </c>
      <c r="M71">
        <f>VLOOKUP(A71,NYSEARCAGLD!A$2:G$506,6,0)</f>
        <v>7515493</v>
      </c>
      <c r="N71">
        <f>VLOOKUP(A71,NYSEBP!A$2:G$506,6,0)</f>
        <v>9076214</v>
      </c>
      <c r="O71">
        <f>VLOOKUP(A71,NASDAQYHOO!A$2:G$506,6,0)</f>
        <v>9359480</v>
      </c>
    </row>
    <row r="72" spans="1:15">
      <c r="A72" s="39">
        <v>42247</v>
      </c>
      <c r="B72">
        <v>8169068</v>
      </c>
      <c r="C72">
        <f>VLOOKUP(A72,NYSEARCAVTI!A$2:G$506,6,0)</f>
        <v>4525914</v>
      </c>
      <c r="D72">
        <f>VLOOKUP(A72,NYSEARCAVEU!A$2:G$506,6,0)</f>
        <v>2692525</v>
      </c>
      <c r="E72">
        <f>VLOOKUP(A72,NYSEARCAVWO!A$2:G$506,6,0)</f>
        <v>36191729</v>
      </c>
      <c r="F72">
        <f>VLOOKUP(A72,NYSEARCABND!A$2:G$506,6,0)</f>
        <v>3103188</v>
      </c>
      <c r="G72">
        <f>VLOOKUP(A72,NYSEARCATIP!A$2:G$506,6,0)</f>
        <v>3113851</v>
      </c>
      <c r="H72">
        <f>VLOOKUP(A72,NYSEARCAMUB!A$2:G$506,6,0)</f>
        <v>348143</v>
      </c>
      <c r="I72">
        <f>VLOOKUP(A72,NYSEARCAVNQ!A$2:G$506,6,0)</f>
        <v>6178545</v>
      </c>
      <c r="J72">
        <f>VLOOKUP(A72,NYSEARCARWX!A$2:G$506,6,0)</f>
        <v>581744</v>
      </c>
      <c r="K72">
        <f>VLOOKUP(A72,NYSEARCADBC!A$2:G$506,6,0)</f>
        <v>2227624</v>
      </c>
      <c r="L72">
        <f>VLOOKUP(A72,NYSEARCAGSG!A$2:G$506,6,0)</f>
        <v>1147617</v>
      </c>
      <c r="M72">
        <f>VLOOKUP(A72,NYSEARCAGLD!A$2:G$506,6,0)</f>
        <v>4258540</v>
      </c>
      <c r="N72">
        <f>VLOOKUP(A72,NYSEBP!A$2:G$506,6,0)</f>
        <v>7100141</v>
      </c>
      <c r="O72">
        <f>VLOOKUP(A72,NASDAQYHOO!A$2:G$506,6,0)</f>
        <v>13575090</v>
      </c>
    </row>
    <row r="73" spans="1:15">
      <c r="A73" s="39">
        <v>42248</v>
      </c>
      <c r="B73">
        <v>13374024</v>
      </c>
      <c r="C73">
        <f>VLOOKUP(A73,NYSEARCAVTI!A$2:G$506,6,0)</f>
        <v>9263029</v>
      </c>
      <c r="D73">
        <f>VLOOKUP(A73,NYSEARCAVEU!A$2:G$506,6,0)</f>
        <v>4400710</v>
      </c>
      <c r="E73">
        <f>VLOOKUP(A73,NYSEARCAVWO!A$2:G$506,6,0)</f>
        <v>38525814</v>
      </c>
      <c r="F73">
        <f>VLOOKUP(A73,NYSEARCABND!A$2:G$506,6,0)</f>
        <v>2577706</v>
      </c>
      <c r="G73">
        <f>VLOOKUP(A73,NYSEARCATIP!A$2:G$506,6,0)</f>
        <v>831342</v>
      </c>
      <c r="H73">
        <f>VLOOKUP(A73,NYSEARCAMUB!A$2:G$506,6,0)</f>
        <v>372503</v>
      </c>
      <c r="I73">
        <f>VLOOKUP(A73,NYSEARCAVNQ!A$2:G$506,6,0)</f>
        <v>7204170</v>
      </c>
      <c r="J73">
        <f>VLOOKUP(A73,NYSEARCARWX!A$2:G$506,6,0)</f>
        <v>757007</v>
      </c>
      <c r="K73">
        <f>VLOOKUP(A73,NYSEARCADBC!A$2:G$506,6,0)</f>
        <v>2493205</v>
      </c>
      <c r="L73">
        <f>VLOOKUP(A73,NYSEARCAGSG!A$2:G$506,6,0)</f>
        <v>339631</v>
      </c>
      <c r="M73">
        <f>VLOOKUP(A73,NYSEARCAGLD!A$2:G$506,6,0)</f>
        <v>7068364</v>
      </c>
      <c r="N73">
        <f>VLOOKUP(A73,NYSEBP!A$2:G$506,6,0)</f>
        <v>10775474</v>
      </c>
      <c r="O73">
        <f>VLOOKUP(A73,NASDAQYHOO!A$2:G$506,6,0)</f>
        <v>19828291</v>
      </c>
    </row>
    <row r="74" spans="1:15">
      <c r="A74" s="39">
        <v>42249</v>
      </c>
      <c r="B74">
        <v>9440451</v>
      </c>
      <c r="C74">
        <f>VLOOKUP(A74,NYSEARCAVTI!A$2:G$506,6,0)</f>
        <v>7677726</v>
      </c>
      <c r="D74">
        <f>VLOOKUP(A74,NYSEARCAVEU!A$2:G$506,6,0)</f>
        <v>3445153</v>
      </c>
      <c r="E74">
        <f>VLOOKUP(A74,NYSEARCAVWO!A$2:G$506,6,0)</f>
        <v>28057652</v>
      </c>
      <c r="F74">
        <f>VLOOKUP(A74,NYSEARCABND!A$2:G$506,6,0)</f>
        <v>1934683</v>
      </c>
      <c r="G74">
        <f>VLOOKUP(A74,NYSEARCATIP!A$2:G$506,6,0)</f>
        <v>2281911</v>
      </c>
      <c r="H74">
        <f>VLOOKUP(A74,NYSEARCAMUB!A$2:G$506,6,0)</f>
        <v>138608</v>
      </c>
      <c r="I74">
        <f>VLOOKUP(A74,NYSEARCAVNQ!A$2:G$506,6,0)</f>
        <v>5018509</v>
      </c>
      <c r="J74">
        <f>VLOOKUP(A74,NYSEARCARWX!A$2:G$506,6,0)</f>
        <v>410543</v>
      </c>
      <c r="K74">
        <f>VLOOKUP(A74,NYSEARCADBC!A$2:G$506,6,0)</f>
        <v>3646344</v>
      </c>
      <c r="L74">
        <f>VLOOKUP(A74,NYSEARCAGSG!A$2:G$506,6,0)</f>
        <v>631672</v>
      </c>
      <c r="M74">
        <f>VLOOKUP(A74,NYSEARCAGLD!A$2:G$506,6,0)</f>
        <v>4097891</v>
      </c>
      <c r="N74">
        <f>VLOOKUP(A74,NYSEBP!A$2:G$506,6,0)</f>
        <v>10635810</v>
      </c>
      <c r="O74">
        <f>VLOOKUP(A74,NASDAQYHOO!A$2:G$506,6,0)</f>
        <v>15551472</v>
      </c>
    </row>
    <row r="75" spans="1:15">
      <c r="A75" s="39">
        <v>42250</v>
      </c>
      <c r="B75">
        <v>8489593</v>
      </c>
      <c r="C75">
        <f>VLOOKUP(A75,NYSEARCAVTI!A$2:G$506,6,0)</f>
        <v>5151256</v>
      </c>
      <c r="D75">
        <f>VLOOKUP(A75,NYSEARCAVEU!A$2:G$506,6,0)</f>
        <v>2893784</v>
      </c>
      <c r="E75">
        <f>VLOOKUP(A75,NYSEARCAVWO!A$2:G$506,6,0)</f>
        <v>24314258</v>
      </c>
      <c r="F75">
        <f>VLOOKUP(A75,NYSEARCABND!A$2:G$506,6,0)</f>
        <v>2490832</v>
      </c>
      <c r="G75">
        <f>VLOOKUP(A75,NYSEARCATIP!A$2:G$506,6,0)</f>
        <v>478040</v>
      </c>
      <c r="H75">
        <f>VLOOKUP(A75,NYSEARCAMUB!A$2:G$506,6,0)</f>
        <v>280912</v>
      </c>
      <c r="I75">
        <f>VLOOKUP(A75,NYSEARCAVNQ!A$2:G$506,6,0)</f>
        <v>3712138</v>
      </c>
      <c r="J75">
        <f>VLOOKUP(A75,NYSEARCARWX!A$2:G$506,6,0)</f>
        <v>746934</v>
      </c>
      <c r="K75">
        <f>VLOOKUP(A75,NYSEARCADBC!A$2:G$506,6,0)</f>
        <v>1685784</v>
      </c>
      <c r="L75">
        <f>VLOOKUP(A75,NYSEARCAGSG!A$2:G$506,6,0)</f>
        <v>273115</v>
      </c>
      <c r="M75">
        <f>VLOOKUP(A75,NYSEARCAGLD!A$2:G$506,6,0)</f>
        <v>3842965</v>
      </c>
      <c r="N75">
        <f>VLOOKUP(A75,NYSEBP!A$2:G$506,6,0)</f>
        <v>7434320</v>
      </c>
      <c r="O75">
        <f>VLOOKUP(A75,NASDAQYHOO!A$2:G$506,6,0)</f>
        <v>13710679</v>
      </c>
    </row>
    <row r="76" spans="1:15">
      <c r="A76" s="39">
        <v>42251</v>
      </c>
      <c r="B76">
        <v>9181201</v>
      </c>
      <c r="C76">
        <f>VLOOKUP(A76,NYSEARCAVTI!A$2:G$506,6,0)</f>
        <v>4317820</v>
      </c>
      <c r="D76">
        <f>VLOOKUP(A76,NYSEARCAVEU!A$2:G$506,6,0)</f>
        <v>3172904</v>
      </c>
      <c r="E76">
        <f>VLOOKUP(A76,NYSEARCAVWO!A$2:G$506,6,0)</f>
        <v>31536801</v>
      </c>
      <c r="F76">
        <f>VLOOKUP(A76,NYSEARCABND!A$2:G$506,6,0)</f>
        <v>1213802</v>
      </c>
      <c r="G76">
        <f>VLOOKUP(A76,NYSEARCATIP!A$2:G$506,6,0)</f>
        <v>358206</v>
      </c>
      <c r="H76">
        <f>VLOOKUP(A76,NYSEARCAMUB!A$2:G$506,6,0)</f>
        <v>125730</v>
      </c>
      <c r="I76">
        <f>VLOOKUP(A76,NYSEARCAVNQ!A$2:G$506,6,0)</f>
        <v>4262666</v>
      </c>
      <c r="J76">
        <f>VLOOKUP(A76,NYSEARCARWX!A$2:G$506,6,0)</f>
        <v>385625</v>
      </c>
      <c r="K76">
        <f>VLOOKUP(A76,NYSEARCADBC!A$2:G$506,6,0)</f>
        <v>837725</v>
      </c>
      <c r="L76">
        <f>VLOOKUP(A76,NYSEARCAGSG!A$2:G$506,6,0)</f>
        <v>134585</v>
      </c>
      <c r="M76">
        <f>VLOOKUP(A76,NYSEARCAGLD!A$2:G$506,6,0)</f>
        <v>4020398</v>
      </c>
      <c r="N76">
        <f>VLOOKUP(A76,NYSEBP!A$2:G$506,6,0)</f>
        <v>16910629</v>
      </c>
      <c r="O76">
        <f>VLOOKUP(A76,NASDAQYHOO!A$2:G$506,6,0)</f>
        <v>13801026</v>
      </c>
    </row>
    <row r="77" spans="1:15">
      <c r="A77" s="39">
        <v>42255</v>
      </c>
      <c r="B77">
        <v>17632613</v>
      </c>
      <c r="C77">
        <f>VLOOKUP(A77,NYSEARCAVTI!A$2:G$506,6,0)</f>
        <v>3341826</v>
      </c>
      <c r="D77">
        <f>VLOOKUP(A77,NYSEARCAVEU!A$2:G$506,6,0)</f>
        <v>2435704</v>
      </c>
      <c r="E77">
        <f>VLOOKUP(A77,NYSEARCAVWO!A$2:G$506,6,0)</f>
        <v>27381723</v>
      </c>
      <c r="F77">
        <f>VLOOKUP(A77,NYSEARCABND!A$2:G$506,6,0)</f>
        <v>1194646</v>
      </c>
      <c r="G77">
        <f>VLOOKUP(A77,NYSEARCATIP!A$2:G$506,6,0)</f>
        <v>415900</v>
      </c>
      <c r="H77">
        <f>VLOOKUP(A77,NYSEARCAMUB!A$2:G$506,6,0)</f>
        <v>255160</v>
      </c>
      <c r="I77">
        <f>VLOOKUP(A77,NYSEARCAVNQ!A$2:G$506,6,0)</f>
        <v>3004455</v>
      </c>
      <c r="J77">
        <f>VLOOKUP(A77,NYSEARCARWX!A$2:G$506,6,0)</f>
        <v>858104</v>
      </c>
      <c r="K77">
        <f>VLOOKUP(A77,NYSEARCADBC!A$2:G$506,6,0)</f>
        <v>1277873</v>
      </c>
      <c r="L77">
        <f>VLOOKUP(A77,NYSEARCAGSG!A$2:G$506,6,0)</f>
        <v>159179</v>
      </c>
      <c r="M77">
        <f>VLOOKUP(A77,NYSEARCAGLD!A$2:G$506,6,0)</f>
        <v>5829059</v>
      </c>
      <c r="N77">
        <f>VLOOKUP(A77,NYSEBP!A$2:G$506,6,0)</f>
        <v>22886679</v>
      </c>
      <c r="O77">
        <f>VLOOKUP(A77,NASDAQYHOO!A$2:G$506,6,0)</f>
        <v>25238458</v>
      </c>
    </row>
    <row r="78" spans="1:15">
      <c r="A78" s="39">
        <v>42256</v>
      </c>
      <c r="B78">
        <v>9428764</v>
      </c>
      <c r="C78">
        <f>VLOOKUP(A78,NYSEARCAVTI!A$2:G$506,6,0)</f>
        <v>3690297</v>
      </c>
      <c r="D78">
        <f>VLOOKUP(A78,NYSEARCAVEU!A$2:G$506,6,0)</f>
        <v>2805820</v>
      </c>
      <c r="E78">
        <f>VLOOKUP(A78,NYSEARCAVWO!A$2:G$506,6,0)</f>
        <v>22798602</v>
      </c>
      <c r="F78">
        <f>VLOOKUP(A78,NYSEARCABND!A$2:G$506,6,0)</f>
        <v>4265412</v>
      </c>
      <c r="G78">
        <f>VLOOKUP(A78,NYSEARCATIP!A$2:G$506,6,0)</f>
        <v>429434</v>
      </c>
      <c r="H78">
        <f>VLOOKUP(A78,NYSEARCAMUB!A$2:G$506,6,0)</f>
        <v>298297</v>
      </c>
      <c r="I78">
        <f>VLOOKUP(A78,NYSEARCAVNQ!A$2:G$506,6,0)</f>
        <v>2999263</v>
      </c>
      <c r="J78">
        <f>VLOOKUP(A78,NYSEARCARWX!A$2:G$506,6,0)</f>
        <v>967214</v>
      </c>
      <c r="K78">
        <f>VLOOKUP(A78,NYSEARCADBC!A$2:G$506,6,0)</f>
        <v>1916981</v>
      </c>
      <c r="L78">
        <f>VLOOKUP(A78,NYSEARCAGSG!A$2:G$506,6,0)</f>
        <v>148664</v>
      </c>
      <c r="M78">
        <f>VLOOKUP(A78,NYSEARCAGLD!A$2:G$506,6,0)</f>
        <v>8835660</v>
      </c>
      <c r="N78">
        <f>VLOOKUP(A78,NYSEBP!A$2:G$506,6,0)</f>
        <v>12863667</v>
      </c>
      <c r="O78">
        <f>VLOOKUP(A78,NASDAQYHOO!A$2:G$506,6,0)</f>
        <v>46956972</v>
      </c>
    </row>
    <row r="79" spans="1:15">
      <c r="A79" s="39">
        <v>42257</v>
      </c>
      <c r="B79">
        <v>14518272</v>
      </c>
      <c r="C79">
        <f>VLOOKUP(A79,NYSEARCAVTI!A$2:G$506,6,0)</f>
        <v>3695957</v>
      </c>
      <c r="D79">
        <f>VLOOKUP(A79,NYSEARCAVEU!A$2:G$506,6,0)</f>
        <v>2967006</v>
      </c>
      <c r="E79">
        <f>VLOOKUP(A79,NYSEARCAVWO!A$2:G$506,6,0)</f>
        <v>17693724</v>
      </c>
      <c r="F79">
        <f>VLOOKUP(A79,NYSEARCABND!A$2:G$506,6,0)</f>
        <v>1889031</v>
      </c>
      <c r="G79">
        <f>VLOOKUP(A79,NYSEARCATIP!A$2:G$506,6,0)</f>
        <v>576035</v>
      </c>
      <c r="H79">
        <f>VLOOKUP(A79,NYSEARCAMUB!A$2:G$506,6,0)</f>
        <v>169083</v>
      </c>
      <c r="I79">
        <f>VLOOKUP(A79,NYSEARCAVNQ!A$2:G$506,6,0)</f>
        <v>4609548</v>
      </c>
      <c r="J79">
        <f>VLOOKUP(A79,NYSEARCARWX!A$2:G$506,6,0)</f>
        <v>420368</v>
      </c>
      <c r="K79">
        <f>VLOOKUP(A79,NYSEARCADBC!A$2:G$506,6,0)</f>
        <v>2398227</v>
      </c>
      <c r="L79">
        <f>VLOOKUP(A79,NYSEARCAGSG!A$2:G$506,6,0)</f>
        <v>122334</v>
      </c>
      <c r="M79">
        <f>VLOOKUP(A79,NYSEARCAGLD!A$2:G$506,6,0)</f>
        <v>5410432</v>
      </c>
      <c r="N79">
        <f>VLOOKUP(A79,NYSEBP!A$2:G$506,6,0)</f>
        <v>10553638</v>
      </c>
      <c r="O79">
        <f>VLOOKUP(A79,NASDAQYHOO!A$2:G$506,6,0)</f>
        <v>14287579</v>
      </c>
    </row>
    <row r="80" spans="1:15">
      <c r="A80" s="39">
        <v>42258</v>
      </c>
      <c r="B80">
        <v>8044527</v>
      </c>
      <c r="C80">
        <f>VLOOKUP(A80,NYSEARCAVTI!A$2:G$506,6,0)</f>
        <v>2005526</v>
      </c>
      <c r="D80">
        <f>VLOOKUP(A80,NYSEARCAVEU!A$2:G$506,6,0)</f>
        <v>1889089</v>
      </c>
      <c r="E80">
        <f>VLOOKUP(A80,NYSEARCAVWO!A$2:G$506,6,0)</f>
        <v>19755762</v>
      </c>
      <c r="F80">
        <f>VLOOKUP(A80,NYSEARCABND!A$2:G$506,6,0)</f>
        <v>1411467</v>
      </c>
      <c r="G80">
        <f>VLOOKUP(A80,NYSEARCATIP!A$2:G$506,6,0)</f>
        <v>1127594</v>
      </c>
      <c r="H80">
        <f>VLOOKUP(A80,NYSEARCAMUB!A$2:G$506,6,0)</f>
        <v>247108</v>
      </c>
      <c r="I80">
        <f>VLOOKUP(A80,NYSEARCAVNQ!A$2:G$506,6,0)</f>
        <v>3892267</v>
      </c>
      <c r="J80">
        <f>VLOOKUP(A80,NYSEARCARWX!A$2:G$506,6,0)</f>
        <v>226992</v>
      </c>
      <c r="K80">
        <f>VLOOKUP(A80,NYSEARCADBC!A$2:G$506,6,0)</f>
        <v>1160175</v>
      </c>
      <c r="L80">
        <f>VLOOKUP(A80,NYSEARCAGSG!A$2:G$506,6,0)</f>
        <v>113071</v>
      </c>
      <c r="M80">
        <f>VLOOKUP(A80,NYSEARCAGLD!A$2:G$506,6,0)</f>
        <v>4023312</v>
      </c>
      <c r="N80">
        <f>VLOOKUP(A80,NYSEBP!A$2:G$506,6,0)</f>
        <v>6216981</v>
      </c>
      <c r="O80">
        <f>VLOOKUP(A80,NASDAQYHOO!A$2:G$506,6,0)</f>
        <v>14312099</v>
      </c>
    </row>
    <row r="81" spans="1:15">
      <c r="A81" s="39">
        <v>42261</v>
      </c>
      <c r="B81">
        <v>6903527</v>
      </c>
      <c r="C81">
        <f>VLOOKUP(A81,NYSEARCAVTI!A$2:G$506,6,0)</f>
        <v>3711098</v>
      </c>
      <c r="D81">
        <f>VLOOKUP(A81,NYSEARCAVEU!A$2:G$506,6,0)</f>
        <v>2095350</v>
      </c>
      <c r="E81">
        <f>VLOOKUP(A81,NYSEARCAVWO!A$2:G$506,6,0)</f>
        <v>15522718</v>
      </c>
      <c r="F81">
        <f>VLOOKUP(A81,NYSEARCABND!A$2:G$506,6,0)</f>
        <v>905896</v>
      </c>
      <c r="G81">
        <f>VLOOKUP(A81,NYSEARCATIP!A$2:G$506,6,0)</f>
        <v>461643</v>
      </c>
      <c r="H81">
        <f>VLOOKUP(A81,NYSEARCAMUB!A$2:G$506,6,0)</f>
        <v>187498</v>
      </c>
      <c r="I81">
        <f>VLOOKUP(A81,NYSEARCAVNQ!A$2:G$506,6,0)</f>
        <v>3040480</v>
      </c>
      <c r="J81">
        <f>VLOOKUP(A81,NYSEARCARWX!A$2:G$506,6,0)</f>
        <v>295553</v>
      </c>
      <c r="K81">
        <f>VLOOKUP(A81,NYSEARCADBC!A$2:G$506,6,0)</f>
        <v>803955</v>
      </c>
      <c r="L81">
        <f>VLOOKUP(A81,NYSEARCAGSG!A$2:G$506,6,0)</f>
        <v>173152</v>
      </c>
      <c r="M81">
        <f>VLOOKUP(A81,NYSEARCAGLD!A$2:G$506,6,0)</f>
        <v>2349608</v>
      </c>
      <c r="N81">
        <f>VLOOKUP(A81,NYSEBP!A$2:G$506,6,0)</f>
        <v>5629714</v>
      </c>
      <c r="O81">
        <f>VLOOKUP(A81,NASDAQYHOO!A$2:G$506,6,0)</f>
        <v>21951514</v>
      </c>
    </row>
    <row r="82" spans="1:15">
      <c r="A82" s="39">
        <v>42262</v>
      </c>
      <c r="B82">
        <v>6807429</v>
      </c>
      <c r="C82">
        <f>VLOOKUP(A82,NYSEARCAVTI!A$2:G$506,6,0)</f>
        <v>2385603</v>
      </c>
      <c r="D82">
        <f>VLOOKUP(A82,NYSEARCAVEU!A$2:G$506,6,0)</f>
        <v>1759516</v>
      </c>
      <c r="E82">
        <f>VLOOKUP(A82,NYSEARCAVWO!A$2:G$506,6,0)</f>
        <v>11497900</v>
      </c>
      <c r="F82">
        <f>VLOOKUP(A82,NYSEARCABND!A$2:G$506,6,0)</f>
        <v>1697254</v>
      </c>
      <c r="G82">
        <f>VLOOKUP(A82,NYSEARCATIP!A$2:G$506,6,0)</f>
        <v>316337</v>
      </c>
      <c r="H82">
        <f>VLOOKUP(A82,NYSEARCAMUB!A$2:G$506,6,0)</f>
        <v>264702</v>
      </c>
      <c r="I82">
        <f>VLOOKUP(A82,NYSEARCAVNQ!A$2:G$506,6,0)</f>
        <v>2736777</v>
      </c>
      <c r="J82">
        <f>VLOOKUP(A82,NYSEARCARWX!A$2:G$506,6,0)</f>
        <v>463594</v>
      </c>
      <c r="K82">
        <f>VLOOKUP(A82,NYSEARCADBC!A$2:G$506,6,0)</f>
        <v>649245</v>
      </c>
      <c r="L82">
        <f>VLOOKUP(A82,NYSEARCAGSG!A$2:G$506,6,0)</f>
        <v>120953</v>
      </c>
      <c r="M82">
        <f>VLOOKUP(A82,NYSEARCAGLD!A$2:G$506,6,0)</f>
        <v>2897582</v>
      </c>
      <c r="N82">
        <f>VLOOKUP(A82,NYSEBP!A$2:G$506,6,0)</f>
        <v>5602127</v>
      </c>
      <c r="O82">
        <f>VLOOKUP(A82,NASDAQYHOO!A$2:G$506,6,0)</f>
        <v>25637648</v>
      </c>
    </row>
    <row r="83" spans="1:15">
      <c r="A83" s="39">
        <v>42263</v>
      </c>
      <c r="B83">
        <v>5624164</v>
      </c>
      <c r="C83">
        <f>VLOOKUP(A83,NYSEARCAVTI!A$2:G$506,6,0)</f>
        <v>2447394</v>
      </c>
      <c r="D83">
        <f>VLOOKUP(A83,NYSEARCAVEU!A$2:G$506,6,0)</f>
        <v>1012665</v>
      </c>
      <c r="E83">
        <f>VLOOKUP(A83,NYSEARCAVWO!A$2:G$506,6,0)</f>
        <v>19198029</v>
      </c>
      <c r="F83">
        <f>VLOOKUP(A83,NYSEARCABND!A$2:G$506,6,0)</f>
        <v>1578897</v>
      </c>
      <c r="G83">
        <f>VLOOKUP(A83,NYSEARCATIP!A$2:G$506,6,0)</f>
        <v>438780</v>
      </c>
      <c r="H83">
        <f>VLOOKUP(A83,NYSEARCAMUB!A$2:G$506,6,0)</f>
        <v>231955</v>
      </c>
      <c r="I83">
        <f>VLOOKUP(A83,NYSEARCAVNQ!A$2:G$506,6,0)</f>
        <v>3318529</v>
      </c>
      <c r="J83">
        <f>VLOOKUP(A83,NYSEARCARWX!A$2:G$506,6,0)</f>
        <v>352880</v>
      </c>
      <c r="K83">
        <f>VLOOKUP(A83,NYSEARCADBC!A$2:G$506,6,0)</f>
        <v>1766408</v>
      </c>
      <c r="L83">
        <f>VLOOKUP(A83,NYSEARCAGSG!A$2:G$506,6,0)</f>
        <v>160764</v>
      </c>
      <c r="M83">
        <f>VLOOKUP(A83,NYSEARCAGLD!A$2:G$506,6,0)</f>
        <v>5243361</v>
      </c>
      <c r="N83">
        <f>VLOOKUP(A83,NYSEBP!A$2:G$506,6,0)</f>
        <v>7825003</v>
      </c>
      <c r="O83">
        <f>VLOOKUP(A83,NASDAQYHOO!A$2:G$506,6,0)</f>
        <v>22171672</v>
      </c>
    </row>
    <row r="84" spans="1:15">
      <c r="A84" s="39">
        <v>42264</v>
      </c>
      <c r="B84">
        <v>7050309</v>
      </c>
      <c r="C84">
        <f>VLOOKUP(A84,NYSEARCAVTI!A$2:G$506,6,0)</f>
        <v>4723909</v>
      </c>
      <c r="D84">
        <f>VLOOKUP(A84,NYSEARCAVEU!A$2:G$506,6,0)</f>
        <v>2239673</v>
      </c>
      <c r="E84">
        <f>VLOOKUP(A84,NYSEARCAVWO!A$2:G$506,6,0)</f>
        <v>35484823</v>
      </c>
      <c r="F84">
        <f>VLOOKUP(A84,NYSEARCABND!A$2:G$506,6,0)</f>
        <v>1833183</v>
      </c>
      <c r="G84">
        <f>VLOOKUP(A84,NYSEARCATIP!A$2:G$506,6,0)</f>
        <v>380824</v>
      </c>
      <c r="H84">
        <f>VLOOKUP(A84,NYSEARCAMUB!A$2:G$506,6,0)</f>
        <v>280045</v>
      </c>
      <c r="I84">
        <f>VLOOKUP(A84,NYSEARCAVNQ!A$2:G$506,6,0)</f>
        <v>6337721</v>
      </c>
      <c r="J84">
        <f>VLOOKUP(A84,NYSEARCARWX!A$2:G$506,6,0)</f>
        <v>379563</v>
      </c>
      <c r="K84">
        <f>VLOOKUP(A84,NYSEARCADBC!A$2:G$506,6,0)</f>
        <v>1326677</v>
      </c>
      <c r="L84">
        <f>VLOOKUP(A84,NYSEARCAGSG!A$2:G$506,6,0)</f>
        <v>182794</v>
      </c>
      <c r="M84">
        <f>VLOOKUP(A84,NYSEARCAGLD!A$2:G$506,6,0)</f>
        <v>6817146</v>
      </c>
      <c r="N84">
        <f>VLOOKUP(A84,NYSEBP!A$2:G$506,6,0)</f>
        <v>8014692</v>
      </c>
      <c r="O84">
        <f>VLOOKUP(A84,NASDAQYHOO!A$2:G$506,6,0)</f>
        <v>16546884</v>
      </c>
    </row>
    <row r="85" spans="1:15">
      <c r="A85" s="39">
        <v>42265</v>
      </c>
      <c r="B85">
        <v>12843638</v>
      </c>
      <c r="C85">
        <f>VLOOKUP(A85,NYSEARCAVTI!A$2:G$506,6,0)</f>
        <v>3271473</v>
      </c>
      <c r="D85">
        <f>VLOOKUP(A85,NYSEARCAVEU!A$2:G$506,6,0)</f>
        <v>1995528</v>
      </c>
      <c r="E85">
        <f>VLOOKUP(A85,NYSEARCAVWO!A$2:G$506,6,0)</f>
        <v>25827095</v>
      </c>
      <c r="F85">
        <f>VLOOKUP(A85,NYSEARCABND!A$2:G$506,6,0)</f>
        <v>1639495</v>
      </c>
      <c r="G85">
        <f>VLOOKUP(A85,NYSEARCATIP!A$2:G$506,6,0)</f>
        <v>348357</v>
      </c>
      <c r="H85">
        <f>VLOOKUP(A85,NYSEARCAMUB!A$2:G$506,6,0)</f>
        <v>216265</v>
      </c>
      <c r="I85">
        <f>VLOOKUP(A85,NYSEARCAVNQ!A$2:G$506,6,0)</f>
        <v>5798278</v>
      </c>
      <c r="J85">
        <f>VLOOKUP(A85,NYSEARCARWX!A$2:G$506,6,0)</f>
        <v>741869</v>
      </c>
      <c r="K85">
        <f>VLOOKUP(A85,NYSEARCADBC!A$2:G$506,6,0)</f>
        <v>1211718</v>
      </c>
      <c r="L85">
        <f>VLOOKUP(A85,NYSEARCAGSG!A$2:G$506,6,0)</f>
        <v>152175</v>
      </c>
      <c r="M85">
        <f>VLOOKUP(A85,NYSEARCAGLD!A$2:G$506,6,0)</f>
        <v>6776306</v>
      </c>
      <c r="N85">
        <f>VLOOKUP(A85,NYSEBP!A$2:G$506,6,0)</f>
        <v>7815237</v>
      </c>
      <c r="O85">
        <f>VLOOKUP(A85,NASDAQYHOO!A$2:G$506,6,0)</f>
        <v>20144730</v>
      </c>
    </row>
    <row r="86" spans="1:15">
      <c r="A86" s="39">
        <v>42268</v>
      </c>
      <c r="B86">
        <v>7117576</v>
      </c>
      <c r="C86">
        <f>VLOOKUP(A86,NYSEARCAVTI!A$2:G$506,6,0)</f>
        <v>2680261</v>
      </c>
      <c r="D86">
        <f>VLOOKUP(A86,NYSEARCAVEU!A$2:G$506,6,0)</f>
        <v>1338901</v>
      </c>
      <c r="E86">
        <f>VLOOKUP(A86,NYSEARCAVWO!A$2:G$506,6,0)</f>
        <v>18833640</v>
      </c>
      <c r="F86">
        <f>VLOOKUP(A86,NYSEARCABND!A$2:G$506,6,0)</f>
        <v>933734</v>
      </c>
      <c r="G86">
        <f>VLOOKUP(A86,NYSEARCATIP!A$2:G$506,6,0)</f>
        <v>398471</v>
      </c>
      <c r="H86">
        <f>VLOOKUP(A86,NYSEARCAMUB!A$2:G$506,6,0)</f>
        <v>206822</v>
      </c>
      <c r="I86">
        <f>VLOOKUP(A86,NYSEARCAVNQ!A$2:G$506,6,0)</f>
        <v>3131948</v>
      </c>
      <c r="J86">
        <f>VLOOKUP(A86,NYSEARCARWX!A$2:G$506,6,0)</f>
        <v>283501</v>
      </c>
      <c r="K86">
        <f>VLOOKUP(A86,NYSEARCADBC!A$2:G$506,6,0)</f>
        <v>883555</v>
      </c>
      <c r="L86">
        <f>VLOOKUP(A86,NYSEARCAGSG!A$2:G$506,6,0)</f>
        <v>98125</v>
      </c>
      <c r="M86">
        <f>VLOOKUP(A86,NYSEARCAGLD!A$2:G$506,6,0)</f>
        <v>4073643</v>
      </c>
      <c r="N86">
        <f>VLOOKUP(A86,NYSEBP!A$2:G$506,6,0)</f>
        <v>5506222</v>
      </c>
      <c r="O86">
        <f>VLOOKUP(A86,NASDAQYHOO!A$2:G$506,6,0)</f>
        <v>18413401</v>
      </c>
    </row>
    <row r="87" spans="1:15">
      <c r="A87" s="39">
        <v>42269</v>
      </c>
      <c r="B87">
        <v>8606592</v>
      </c>
      <c r="C87">
        <f>VLOOKUP(A87,NYSEARCAVTI!A$2:G$506,6,0)</f>
        <v>3029287</v>
      </c>
      <c r="D87">
        <f>VLOOKUP(A87,NYSEARCAVEU!A$2:G$506,6,0)</f>
        <v>1859992</v>
      </c>
      <c r="E87">
        <f>VLOOKUP(A87,NYSEARCAVWO!A$2:G$506,6,0)</f>
        <v>22127117</v>
      </c>
      <c r="F87">
        <f>VLOOKUP(A87,NYSEARCABND!A$2:G$506,6,0)</f>
        <v>1444042</v>
      </c>
      <c r="G87">
        <f>VLOOKUP(A87,NYSEARCATIP!A$2:G$506,6,0)</f>
        <v>409415</v>
      </c>
      <c r="H87">
        <f>VLOOKUP(A87,NYSEARCAMUB!A$2:G$506,6,0)</f>
        <v>327687</v>
      </c>
      <c r="I87">
        <f>VLOOKUP(A87,NYSEARCAVNQ!A$2:G$506,6,0)</f>
        <v>2963525</v>
      </c>
      <c r="J87">
        <f>VLOOKUP(A87,NYSEARCARWX!A$2:G$506,6,0)</f>
        <v>1167322</v>
      </c>
      <c r="K87">
        <f>VLOOKUP(A87,NYSEARCADBC!A$2:G$506,6,0)</f>
        <v>1021441</v>
      </c>
      <c r="L87">
        <f>VLOOKUP(A87,NYSEARCAGSG!A$2:G$506,6,0)</f>
        <v>142090</v>
      </c>
      <c r="M87">
        <f>VLOOKUP(A87,NYSEARCAGLD!A$2:G$506,6,0)</f>
        <v>5478097</v>
      </c>
      <c r="N87">
        <f>VLOOKUP(A87,NYSEBP!A$2:G$506,6,0)</f>
        <v>10302079</v>
      </c>
      <c r="O87">
        <f>VLOOKUP(A87,NASDAQYHOO!A$2:G$506,6,0)</f>
        <v>15257012</v>
      </c>
    </row>
    <row r="88" spans="1:15">
      <c r="A88" s="39">
        <v>42270</v>
      </c>
      <c r="B88">
        <v>5856724</v>
      </c>
      <c r="C88">
        <f>VLOOKUP(A88,NYSEARCAVTI!A$2:G$506,6,0)</f>
        <v>1788923</v>
      </c>
      <c r="D88">
        <f>VLOOKUP(A88,NYSEARCAVEU!A$2:G$506,6,0)</f>
        <v>2530537</v>
      </c>
      <c r="E88">
        <f>VLOOKUP(A88,NYSEARCAVWO!A$2:G$506,6,0)</f>
        <v>16098688</v>
      </c>
      <c r="F88">
        <f>VLOOKUP(A88,NYSEARCABND!A$2:G$506,6,0)</f>
        <v>708980</v>
      </c>
      <c r="G88">
        <f>VLOOKUP(A88,NYSEARCATIP!A$2:G$506,6,0)</f>
        <v>254470</v>
      </c>
      <c r="H88">
        <f>VLOOKUP(A88,NYSEARCAMUB!A$2:G$506,6,0)</f>
        <v>128111</v>
      </c>
      <c r="I88">
        <f>VLOOKUP(A88,NYSEARCAVNQ!A$2:G$506,6,0)</f>
        <v>3708676</v>
      </c>
      <c r="J88">
        <f>VLOOKUP(A88,NYSEARCARWX!A$2:G$506,6,0)</f>
        <v>304133</v>
      </c>
      <c r="K88">
        <f>VLOOKUP(A88,NYSEARCADBC!A$2:G$506,6,0)</f>
        <v>1423666</v>
      </c>
      <c r="L88">
        <f>VLOOKUP(A88,NYSEARCAGSG!A$2:G$506,6,0)</f>
        <v>76255</v>
      </c>
      <c r="M88">
        <f>VLOOKUP(A88,NYSEARCAGLD!A$2:G$506,6,0)</f>
        <v>2730372</v>
      </c>
      <c r="N88">
        <f>VLOOKUP(A88,NYSEBP!A$2:G$506,6,0)</f>
        <v>7474766</v>
      </c>
      <c r="O88">
        <f>VLOOKUP(A88,NASDAQYHOO!A$2:G$506,6,0)</f>
        <v>12674674</v>
      </c>
    </row>
    <row r="89" spans="1:15">
      <c r="A89" s="39">
        <v>42271</v>
      </c>
      <c r="B89">
        <v>6913018</v>
      </c>
      <c r="C89">
        <f>VLOOKUP(A89,NYSEARCAVTI!A$2:G$506,6,0)</f>
        <v>3722711</v>
      </c>
      <c r="D89">
        <f>VLOOKUP(A89,NYSEARCAVEU!A$2:G$506,6,0)</f>
        <v>3206483</v>
      </c>
      <c r="E89">
        <f>VLOOKUP(A89,NYSEARCAVWO!A$2:G$506,6,0)</f>
        <v>37790593</v>
      </c>
      <c r="F89">
        <f>VLOOKUP(A89,NYSEARCABND!A$2:G$506,6,0)</f>
        <v>1454282</v>
      </c>
      <c r="G89">
        <f>VLOOKUP(A89,NYSEARCATIP!A$2:G$506,6,0)</f>
        <v>459448</v>
      </c>
      <c r="H89">
        <f>VLOOKUP(A89,NYSEARCAMUB!A$2:G$506,6,0)</f>
        <v>571561</v>
      </c>
      <c r="I89">
        <f>VLOOKUP(A89,NYSEARCAVNQ!A$2:G$506,6,0)</f>
        <v>3707516</v>
      </c>
      <c r="J89">
        <f>VLOOKUP(A89,NYSEARCARWX!A$2:G$506,6,0)</f>
        <v>426654</v>
      </c>
      <c r="K89">
        <f>VLOOKUP(A89,NYSEARCADBC!A$2:G$506,6,0)</f>
        <v>1711224</v>
      </c>
      <c r="L89">
        <f>VLOOKUP(A89,NYSEARCAGSG!A$2:G$506,6,0)</f>
        <v>132833</v>
      </c>
      <c r="M89">
        <f>VLOOKUP(A89,NYSEARCAGLD!A$2:G$506,6,0)</f>
        <v>9150787</v>
      </c>
      <c r="N89">
        <f>VLOOKUP(A89,NYSEBP!A$2:G$506,6,0)</f>
        <v>9738926</v>
      </c>
      <c r="O89">
        <f>VLOOKUP(A89,NASDAQYHOO!A$2:G$506,6,0)</f>
        <v>18723153</v>
      </c>
    </row>
    <row r="90" spans="1:15">
      <c r="A90" s="39">
        <v>42272</v>
      </c>
      <c r="B90">
        <v>7157639</v>
      </c>
      <c r="C90">
        <f>VLOOKUP(A90,NYSEARCAVTI!A$2:G$506,6,0)</f>
        <v>4937634</v>
      </c>
      <c r="D90">
        <f>VLOOKUP(A90,NYSEARCAVEU!A$2:G$506,6,0)</f>
        <v>1439567</v>
      </c>
      <c r="E90">
        <f>VLOOKUP(A90,NYSEARCAVWO!A$2:G$506,6,0)</f>
        <v>24882993</v>
      </c>
      <c r="F90">
        <f>VLOOKUP(A90,NYSEARCABND!A$2:G$506,6,0)</f>
        <v>1133970</v>
      </c>
      <c r="G90">
        <f>VLOOKUP(A90,NYSEARCATIP!A$2:G$506,6,0)</f>
        <v>436698</v>
      </c>
      <c r="H90">
        <f>VLOOKUP(A90,NYSEARCAMUB!A$2:G$506,6,0)</f>
        <v>240235</v>
      </c>
      <c r="I90">
        <f>VLOOKUP(A90,NYSEARCAVNQ!A$2:G$506,6,0)</f>
        <v>3330030</v>
      </c>
      <c r="J90">
        <f>VLOOKUP(A90,NYSEARCARWX!A$2:G$506,6,0)</f>
        <v>670680</v>
      </c>
      <c r="K90">
        <f>VLOOKUP(A90,NYSEARCADBC!A$2:G$506,6,0)</f>
        <v>1286655</v>
      </c>
      <c r="L90">
        <f>VLOOKUP(A90,NYSEARCAGSG!A$2:G$506,6,0)</f>
        <v>105691</v>
      </c>
      <c r="M90">
        <f>VLOOKUP(A90,NYSEARCAGLD!A$2:G$506,6,0)</f>
        <v>4987797</v>
      </c>
      <c r="N90">
        <f>VLOOKUP(A90,NYSEBP!A$2:G$506,6,0)</f>
        <v>6894716</v>
      </c>
      <c r="O90">
        <f>VLOOKUP(A90,NASDAQYHOO!A$2:G$506,6,0)</f>
        <v>11525302</v>
      </c>
    </row>
    <row r="91" spans="1:15">
      <c r="A91" s="39">
        <v>42275</v>
      </c>
      <c r="B91">
        <v>9262679</v>
      </c>
      <c r="C91">
        <f>VLOOKUP(A91,NYSEARCAVTI!A$2:G$506,6,0)</f>
        <v>5584696</v>
      </c>
      <c r="D91">
        <f>VLOOKUP(A91,NYSEARCAVEU!A$2:G$506,6,0)</f>
        <v>2276546</v>
      </c>
      <c r="E91">
        <f>VLOOKUP(A91,NYSEARCAVWO!A$2:G$506,6,0)</f>
        <v>26665084</v>
      </c>
      <c r="F91">
        <f>VLOOKUP(A91,NYSEARCABND!A$2:G$506,6,0)</f>
        <v>1304973</v>
      </c>
      <c r="G91">
        <f>VLOOKUP(A91,NYSEARCATIP!A$2:G$506,6,0)</f>
        <v>475582</v>
      </c>
      <c r="H91">
        <f>VLOOKUP(A91,NYSEARCAMUB!A$2:G$506,6,0)</f>
        <v>273715</v>
      </c>
      <c r="I91">
        <f>VLOOKUP(A91,NYSEARCAVNQ!A$2:G$506,6,0)</f>
        <v>4094553</v>
      </c>
      <c r="J91">
        <f>VLOOKUP(A91,NYSEARCARWX!A$2:G$506,6,0)</f>
        <v>367920</v>
      </c>
      <c r="K91">
        <f>VLOOKUP(A91,NYSEARCADBC!A$2:G$506,6,0)</f>
        <v>1424195</v>
      </c>
      <c r="L91">
        <f>VLOOKUP(A91,NYSEARCAGSG!A$2:G$506,6,0)</f>
        <v>85109</v>
      </c>
      <c r="M91">
        <f>VLOOKUP(A91,NYSEARCAGLD!A$2:G$506,6,0)</f>
        <v>3797090</v>
      </c>
      <c r="N91">
        <f>VLOOKUP(A91,NYSEBP!A$2:G$506,6,0)</f>
        <v>7858299</v>
      </c>
      <c r="O91">
        <f>VLOOKUP(A91,NASDAQYHOO!A$2:G$506,6,0)</f>
        <v>49088735</v>
      </c>
    </row>
    <row r="92" spans="1:15">
      <c r="A92" s="39">
        <v>42276</v>
      </c>
      <c r="B92">
        <v>7631149</v>
      </c>
      <c r="C92">
        <f>VLOOKUP(A92,NYSEARCAVTI!A$2:G$506,6,0)</f>
        <v>4547412</v>
      </c>
      <c r="D92">
        <f>VLOOKUP(A92,NYSEARCAVEU!A$2:G$506,6,0)</f>
        <v>3480423</v>
      </c>
      <c r="E92">
        <f>VLOOKUP(A92,NYSEARCAVWO!A$2:G$506,6,0)</f>
        <v>17911529</v>
      </c>
      <c r="F92">
        <f>VLOOKUP(A92,NYSEARCABND!A$2:G$506,6,0)</f>
        <v>1256182</v>
      </c>
      <c r="G92">
        <f>VLOOKUP(A92,NYSEARCATIP!A$2:G$506,6,0)</f>
        <v>373085</v>
      </c>
      <c r="H92">
        <f>VLOOKUP(A92,NYSEARCAMUB!A$2:G$506,6,0)</f>
        <v>361782</v>
      </c>
      <c r="I92">
        <f>VLOOKUP(A92,NYSEARCAVNQ!A$2:G$506,6,0)</f>
        <v>3784860</v>
      </c>
      <c r="J92">
        <f>VLOOKUP(A92,NYSEARCARWX!A$2:G$506,6,0)</f>
        <v>717639</v>
      </c>
      <c r="K92">
        <f>VLOOKUP(A92,NYSEARCADBC!A$2:G$506,6,0)</f>
        <v>1407473</v>
      </c>
      <c r="L92">
        <f>VLOOKUP(A92,NYSEARCAGSG!A$2:G$506,6,0)</f>
        <v>148343</v>
      </c>
      <c r="M92">
        <f>VLOOKUP(A92,NYSEARCAGLD!A$2:G$506,6,0)</f>
        <v>3989148</v>
      </c>
      <c r="N92">
        <f>VLOOKUP(A92,NYSEBP!A$2:G$506,6,0)</f>
        <v>8062927</v>
      </c>
      <c r="O92">
        <f>VLOOKUP(A92,NASDAQYHOO!A$2:G$506,6,0)</f>
        <v>41761626</v>
      </c>
    </row>
    <row r="93" spans="1:15">
      <c r="A93" s="39">
        <v>42277</v>
      </c>
      <c r="B93">
        <v>7907664</v>
      </c>
      <c r="C93">
        <f>VLOOKUP(A93,NYSEARCAVTI!A$2:G$506,6,0)</f>
        <v>3745744</v>
      </c>
      <c r="D93">
        <f>VLOOKUP(A93,NYSEARCAVEU!A$2:G$506,6,0)</f>
        <v>2885940</v>
      </c>
      <c r="E93">
        <f>VLOOKUP(A93,NYSEARCAVWO!A$2:G$506,6,0)</f>
        <v>24814553</v>
      </c>
      <c r="F93">
        <f>VLOOKUP(A93,NYSEARCABND!A$2:G$506,6,0)</f>
        <v>4431983</v>
      </c>
      <c r="G93">
        <f>VLOOKUP(A93,NYSEARCATIP!A$2:G$506,6,0)</f>
        <v>537936</v>
      </c>
      <c r="H93">
        <f>VLOOKUP(A93,NYSEARCAMUB!A$2:G$506,6,0)</f>
        <v>367468</v>
      </c>
      <c r="I93">
        <f>VLOOKUP(A93,NYSEARCAVNQ!A$2:G$506,6,0)</f>
        <v>6236989</v>
      </c>
      <c r="J93">
        <f>VLOOKUP(A93,NYSEARCARWX!A$2:G$506,6,0)</f>
        <v>568318</v>
      </c>
      <c r="K93">
        <f>VLOOKUP(A93,NYSEARCADBC!A$2:G$506,6,0)</f>
        <v>1466331</v>
      </c>
      <c r="L93">
        <f>VLOOKUP(A93,NYSEARCAGSG!A$2:G$506,6,0)</f>
        <v>434984</v>
      </c>
      <c r="M93">
        <f>VLOOKUP(A93,NYSEARCAGLD!A$2:G$506,6,0)</f>
        <v>7247913</v>
      </c>
      <c r="N93">
        <f>VLOOKUP(A93,NYSEBP!A$2:G$506,6,0)</f>
        <v>6143723</v>
      </c>
      <c r="O93">
        <f>VLOOKUP(A93,NASDAQYHOO!A$2:G$506,6,0)</f>
        <v>17861774</v>
      </c>
    </row>
    <row r="94" spans="1:15">
      <c r="A94" s="39">
        <v>42278</v>
      </c>
      <c r="B94">
        <v>7772086</v>
      </c>
      <c r="C94">
        <f>VLOOKUP(A94,NYSEARCAVTI!A$2:G$506,6,0)</f>
        <v>3808619</v>
      </c>
      <c r="D94">
        <f>VLOOKUP(A94,NYSEARCAVEU!A$2:G$506,6,0)</f>
        <v>4530550</v>
      </c>
      <c r="E94">
        <f>VLOOKUP(A94,NYSEARCAVWO!A$2:G$506,6,0)</f>
        <v>22868919</v>
      </c>
      <c r="F94">
        <f>VLOOKUP(A94,NYSEARCABND!A$2:G$506,6,0)</f>
        <v>2023674</v>
      </c>
      <c r="G94">
        <f>VLOOKUP(A94,NYSEARCATIP!A$2:G$506,6,0)</f>
        <v>529738</v>
      </c>
      <c r="H94">
        <f>VLOOKUP(A94,NYSEARCAMUB!A$2:G$506,6,0)</f>
        <v>1493695</v>
      </c>
      <c r="I94">
        <f>VLOOKUP(A94,NYSEARCAVNQ!A$2:G$506,6,0)</f>
        <v>4105109</v>
      </c>
      <c r="J94">
        <f>VLOOKUP(A94,NYSEARCARWX!A$2:G$506,6,0)</f>
        <v>632848</v>
      </c>
      <c r="K94">
        <f>VLOOKUP(A94,NYSEARCADBC!A$2:G$506,6,0)</f>
        <v>2237871</v>
      </c>
      <c r="L94">
        <f>VLOOKUP(A94,NYSEARCAGSG!A$2:G$506,6,0)</f>
        <v>347730</v>
      </c>
      <c r="M94">
        <f>VLOOKUP(A94,NYSEARCAGLD!A$2:G$506,6,0)</f>
        <v>4232628</v>
      </c>
      <c r="N94">
        <f>VLOOKUP(A94,NYSEBP!A$2:G$506,6,0)</f>
        <v>9626593</v>
      </c>
      <c r="O94">
        <f>VLOOKUP(A94,NASDAQYHOO!A$2:G$506,6,0)</f>
        <v>14459139</v>
      </c>
    </row>
    <row r="95" spans="1:15">
      <c r="A95" s="39">
        <v>42279</v>
      </c>
      <c r="B95">
        <v>7050708</v>
      </c>
      <c r="C95">
        <f>VLOOKUP(A95,NYSEARCAVTI!A$2:G$506,6,0)</f>
        <v>3652903</v>
      </c>
      <c r="D95">
        <f>VLOOKUP(A95,NYSEARCAVEU!A$2:G$506,6,0)</f>
        <v>1734012</v>
      </c>
      <c r="E95">
        <f>VLOOKUP(A95,NYSEARCAVWO!A$2:G$506,6,0)</f>
        <v>25143994</v>
      </c>
      <c r="F95">
        <f>VLOOKUP(A95,NYSEARCABND!A$2:G$506,6,0)</f>
        <v>1770429</v>
      </c>
      <c r="G95">
        <f>VLOOKUP(A95,NYSEARCATIP!A$2:G$506,6,0)</f>
        <v>771295</v>
      </c>
      <c r="H95">
        <f>VLOOKUP(A95,NYSEARCAMUB!A$2:G$506,6,0)</f>
        <v>425702</v>
      </c>
      <c r="I95">
        <f>VLOOKUP(A95,NYSEARCAVNQ!A$2:G$506,6,0)</f>
        <v>4601952</v>
      </c>
      <c r="J95">
        <f>VLOOKUP(A95,NYSEARCARWX!A$2:G$506,6,0)</f>
        <v>721450</v>
      </c>
      <c r="K95">
        <f>VLOOKUP(A95,NYSEARCADBC!A$2:G$506,6,0)</f>
        <v>4613605</v>
      </c>
      <c r="L95">
        <f>VLOOKUP(A95,NYSEARCAGSG!A$2:G$506,6,0)</f>
        <v>156298</v>
      </c>
      <c r="M95">
        <f>VLOOKUP(A95,NYSEARCAGLD!A$2:G$506,6,0)</f>
        <v>7715321</v>
      </c>
      <c r="N95">
        <f>VLOOKUP(A95,NYSEBP!A$2:G$506,6,0)</f>
        <v>12203623</v>
      </c>
      <c r="O95">
        <f>VLOOKUP(A95,NASDAQYHOO!A$2:G$506,6,0)</f>
        <v>29098539</v>
      </c>
    </row>
    <row r="96" spans="1:15">
      <c r="A96" s="39">
        <v>42282</v>
      </c>
      <c r="B96">
        <v>6107550</v>
      </c>
      <c r="C96">
        <f>VLOOKUP(A96,NYSEARCAVTI!A$2:G$506,6,0)</f>
        <v>3405636</v>
      </c>
      <c r="D96">
        <f>VLOOKUP(A96,NYSEARCAVEU!A$2:G$506,6,0)</f>
        <v>3253576</v>
      </c>
      <c r="E96">
        <f>VLOOKUP(A96,NYSEARCAVWO!A$2:G$506,6,0)</f>
        <v>20860394</v>
      </c>
      <c r="F96">
        <f>VLOOKUP(A96,NYSEARCABND!A$2:G$506,6,0)</f>
        <v>4199859</v>
      </c>
      <c r="G96">
        <f>VLOOKUP(A96,NYSEARCATIP!A$2:G$506,6,0)</f>
        <v>617638</v>
      </c>
      <c r="H96">
        <f>VLOOKUP(A96,NYSEARCAMUB!A$2:G$506,6,0)</f>
        <v>262289</v>
      </c>
      <c r="I96">
        <f>VLOOKUP(A96,NYSEARCAVNQ!A$2:G$506,6,0)</f>
        <v>5176458</v>
      </c>
      <c r="J96">
        <f>VLOOKUP(A96,NYSEARCARWX!A$2:G$506,6,0)</f>
        <v>1690334</v>
      </c>
      <c r="K96">
        <f>VLOOKUP(A96,NYSEARCADBC!A$2:G$506,6,0)</f>
        <v>1696136</v>
      </c>
      <c r="L96">
        <f>VLOOKUP(A96,NYSEARCAGSG!A$2:G$506,6,0)</f>
        <v>174413</v>
      </c>
      <c r="M96">
        <f>VLOOKUP(A96,NYSEARCAGLD!A$2:G$506,6,0)</f>
        <v>5489027</v>
      </c>
      <c r="N96">
        <f>VLOOKUP(A96,NYSEBP!A$2:G$506,6,0)</f>
        <v>10612098</v>
      </c>
      <c r="O96">
        <f>VLOOKUP(A96,NASDAQYHOO!A$2:G$506,6,0)</f>
        <v>12655008</v>
      </c>
    </row>
    <row r="97" spans="1:15">
      <c r="A97" s="39">
        <v>42283</v>
      </c>
      <c r="B97">
        <v>7315250</v>
      </c>
      <c r="C97">
        <f>VLOOKUP(A97,NYSEARCAVTI!A$2:G$506,6,0)</f>
        <v>2463019</v>
      </c>
      <c r="D97">
        <f>VLOOKUP(A97,NYSEARCAVEU!A$2:G$506,6,0)</f>
        <v>1478926</v>
      </c>
      <c r="E97">
        <f>VLOOKUP(A97,NYSEARCAVWO!A$2:G$506,6,0)</f>
        <v>19085252</v>
      </c>
      <c r="F97">
        <f>VLOOKUP(A97,NYSEARCABND!A$2:G$506,6,0)</f>
        <v>1925337</v>
      </c>
      <c r="G97">
        <f>VLOOKUP(A97,NYSEARCATIP!A$2:G$506,6,0)</f>
        <v>481154</v>
      </c>
      <c r="H97">
        <f>VLOOKUP(A97,NYSEARCAMUB!A$2:G$506,6,0)</f>
        <v>363078</v>
      </c>
      <c r="I97">
        <f>VLOOKUP(A97,NYSEARCAVNQ!A$2:G$506,6,0)</f>
        <v>3570660</v>
      </c>
      <c r="J97">
        <f>VLOOKUP(A97,NYSEARCARWX!A$2:G$506,6,0)</f>
        <v>721887</v>
      </c>
      <c r="K97">
        <f>VLOOKUP(A97,NYSEARCADBC!A$2:G$506,6,0)</f>
        <v>1805724</v>
      </c>
      <c r="L97">
        <f>VLOOKUP(A97,NYSEARCAGSG!A$2:G$506,6,0)</f>
        <v>545746</v>
      </c>
      <c r="M97">
        <f>VLOOKUP(A97,NYSEARCAGLD!A$2:G$506,6,0)</f>
        <v>7464661</v>
      </c>
      <c r="N97">
        <f>VLOOKUP(A97,NYSEBP!A$2:G$506,6,0)</f>
        <v>12414768</v>
      </c>
      <c r="O97">
        <f>VLOOKUP(A97,NASDAQYHOO!A$2:G$506,6,0)</f>
        <v>10572781</v>
      </c>
    </row>
    <row r="98" spans="1:15">
      <c r="A98" s="39">
        <v>42284</v>
      </c>
      <c r="B98">
        <v>7137243</v>
      </c>
      <c r="C98">
        <f>VLOOKUP(A98,NYSEARCAVTI!A$2:G$506,6,0)</f>
        <v>2583264</v>
      </c>
      <c r="D98">
        <f>VLOOKUP(A98,NYSEARCAVEU!A$2:G$506,6,0)</f>
        <v>2669374</v>
      </c>
      <c r="E98">
        <f>VLOOKUP(A98,NYSEARCAVWO!A$2:G$506,6,0)</f>
        <v>25465565</v>
      </c>
      <c r="F98">
        <f>VLOOKUP(A98,NYSEARCABND!A$2:G$506,6,0)</f>
        <v>1870977</v>
      </c>
      <c r="G98">
        <f>VLOOKUP(A98,NYSEARCATIP!A$2:G$506,6,0)</f>
        <v>458133</v>
      </c>
      <c r="H98">
        <f>VLOOKUP(A98,NYSEARCAMUB!A$2:G$506,6,0)</f>
        <v>300688</v>
      </c>
      <c r="I98">
        <f>VLOOKUP(A98,NYSEARCAVNQ!A$2:G$506,6,0)</f>
        <v>4211646</v>
      </c>
      <c r="J98">
        <f>VLOOKUP(A98,NYSEARCARWX!A$2:G$506,6,0)</f>
        <v>716116</v>
      </c>
      <c r="K98">
        <f>VLOOKUP(A98,NYSEARCADBC!A$2:G$506,6,0)</f>
        <v>1087664</v>
      </c>
      <c r="L98">
        <f>VLOOKUP(A98,NYSEARCAGSG!A$2:G$506,6,0)</f>
        <v>178301</v>
      </c>
      <c r="M98">
        <f>VLOOKUP(A98,NYSEARCAGLD!A$2:G$506,6,0)</f>
        <v>5355239</v>
      </c>
      <c r="N98">
        <f>VLOOKUP(A98,NYSEBP!A$2:G$506,6,0)</f>
        <v>24909722</v>
      </c>
      <c r="O98">
        <f>VLOOKUP(A98,NASDAQYHOO!A$2:G$506,6,0)</f>
        <v>11990979</v>
      </c>
    </row>
    <row r="99" spans="1:15">
      <c r="A99" s="39">
        <v>42285</v>
      </c>
      <c r="B99">
        <v>5940500</v>
      </c>
      <c r="C99">
        <f>VLOOKUP(A99,NYSEARCAVTI!A$2:G$506,6,0)</f>
        <v>2521034</v>
      </c>
      <c r="D99">
        <f>VLOOKUP(A99,NYSEARCAVEU!A$2:G$506,6,0)</f>
        <v>1762672</v>
      </c>
      <c r="E99">
        <f>VLOOKUP(A99,NYSEARCAVWO!A$2:G$506,6,0)</f>
        <v>19802350</v>
      </c>
      <c r="F99">
        <f>VLOOKUP(A99,NYSEARCABND!A$2:G$506,6,0)</f>
        <v>1118149</v>
      </c>
      <c r="G99">
        <f>VLOOKUP(A99,NYSEARCATIP!A$2:G$506,6,0)</f>
        <v>426974</v>
      </c>
      <c r="H99">
        <f>VLOOKUP(A99,NYSEARCAMUB!A$2:G$506,6,0)</f>
        <v>226352</v>
      </c>
      <c r="I99">
        <f>VLOOKUP(A99,NYSEARCAVNQ!A$2:G$506,6,0)</f>
        <v>3953200</v>
      </c>
      <c r="J99">
        <f>VLOOKUP(A99,NYSEARCARWX!A$2:G$506,6,0)</f>
        <v>595034</v>
      </c>
      <c r="K99">
        <f>VLOOKUP(A99,NYSEARCADBC!A$2:G$506,6,0)</f>
        <v>1294136</v>
      </c>
      <c r="L99">
        <f>VLOOKUP(A99,NYSEARCAGSG!A$2:G$506,6,0)</f>
        <v>218849</v>
      </c>
      <c r="M99">
        <f>VLOOKUP(A99,NYSEARCAGLD!A$2:G$506,6,0)</f>
        <v>4997821</v>
      </c>
      <c r="N99">
        <f>VLOOKUP(A99,NYSEBP!A$2:G$506,6,0)</f>
        <v>8488884</v>
      </c>
      <c r="O99">
        <f>VLOOKUP(A99,NASDAQYHOO!A$2:G$506,6,0)</f>
        <v>14239441</v>
      </c>
    </row>
    <row r="100" spans="1:15">
      <c r="A100" s="39">
        <v>42286</v>
      </c>
      <c r="B100">
        <v>6659137</v>
      </c>
      <c r="C100">
        <f>VLOOKUP(A100,NYSEARCAVTI!A$2:G$506,6,0)</f>
        <v>1649426</v>
      </c>
      <c r="D100">
        <f>VLOOKUP(A100,NYSEARCAVEU!A$2:G$506,6,0)</f>
        <v>2700551</v>
      </c>
      <c r="E100">
        <f>VLOOKUP(A100,NYSEARCAVWO!A$2:G$506,6,0)</f>
        <v>14719635</v>
      </c>
      <c r="F100">
        <f>VLOOKUP(A100,NYSEARCABND!A$2:G$506,6,0)</f>
        <v>1197445</v>
      </c>
      <c r="G100">
        <f>VLOOKUP(A100,NYSEARCATIP!A$2:G$506,6,0)</f>
        <v>607522</v>
      </c>
      <c r="H100">
        <f>VLOOKUP(A100,NYSEARCAMUB!A$2:G$506,6,0)</f>
        <v>238146</v>
      </c>
      <c r="I100">
        <f>VLOOKUP(A100,NYSEARCAVNQ!A$2:G$506,6,0)</f>
        <v>3102650</v>
      </c>
      <c r="J100">
        <f>VLOOKUP(A100,NYSEARCARWX!A$2:G$506,6,0)</f>
        <v>2508203</v>
      </c>
      <c r="K100">
        <f>VLOOKUP(A100,NYSEARCADBC!A$2:G$506,6,0)</f>
        <v>2042909</v>
      </c>
      <c r="L100">
        <f>VLOOKUP(A100,NYSEARCAGSG!A$2:G$506,6,0)</f>
        <v>91872</v>
      </c>
      <c r="M100">
        <f>VLOOKUP(A100,NYSEARCAGLD!A$2:G$506,6,0)</f>
        <v>6886452</v>
      </c>
      <c r="N100">
        <f>VLOOKUP(A100,NYSEBP!A$2:G$506,6,0)</f>
        <v>8812234</v>
      </c>
      <c r="O100">
        <f>VLOOKUP(A100,NASDAQYHOO!A$2:G$506,6,0)</f>
        <v>11822124</v>
      </c>
    </row>
    <row r="101" spans="1:15">
      <c r="A101" s="39">
        <v>42289</v>
      </c>
      <c r="B101">
        <v>5641765</v>
      </c>
      <c r="C101">
        <f>VLOOKUP(A101,NYSEARCAVTI!A$2:G$506,6,0)</f>
        <v>1680104</v>
      </c>
      <c r="D101">
        <f>VLOOKUP(A101,NYSEARCAVEU!A$2:G$506,6,0)</f>
        <v>2023145</v>
      </c>
      <c r="E101">
        <f>VLOOKUP(A101,NYSEARCAVWO!A$2:G$506,6,0)</f>
        <v>10790632</v>
      </c>
      <c r="F101">
        <f>VLOOKUP(A101,NYSEARCABND!A$2:G$506,6,0)</f>
        <v>864090</v>
      </c>
      <c r="G101">
        <f>VLOOKUP(A101,NYSEARCATIP!A$2:G$506,6,0)</f>
        <v>287721</v>
      </c>
      <c r="H101">
        <f>VLOOKUP(A101,NYSEARCAMUB!A$2:G$506,6,0)</f>
        <v>149447</v>
      </c>
      <c r="I101">
        <f>VLOOKUP(A101,NYSEARCAVNQ!A$2:G$506,6,0)</f>
        <v>3216534</v>
      </c>
      <c r="J101">
        <f>VLOOKUP(A101,NYSEARCARWX!A$2:G$506,6,0)</f>
        <v>163167</v>
      </c>
      <c r="K101">
        <f>VLOOKUP(A101,NYSEARCADBC!A$2:G$506,6,0)</f>
        <v>1072758</v>
      </c>
      <c r="L101">
        <f>VLOOKUP(A101,NYSEARCAGSG!A$2:G$506,6,0)</f>
        <v>210948</v>
      </c>
      <c r="M101">
        <f>VLOOKUP(A101,NYSEARCAGLD!A$2:G$506,6,0)</f>
        <v>5615037</v>
      </c>
      <c r="N101">
        <f>VLOOKUP(A101,NYSEBP!A$2:G$506,6,0)</f>
        <v>6988637</v>
      </c>
      <c r="O101">
        <f>VLOOKUP(A101,NASDAQYHOO!A$2:G$506,6,0)</f>
        <v>12565796</v>
      </c>
    </row>
    <row r="102" spans="1:15">
      <c r="A102" s="39">
        <v>42290</v>
      </c>
      <c r="B102">
        <v>8805687</v>
      </c>
      <c r="C102">
        <f>VLOOKUP(A102,NYSEARCAVTI!A$2:G$506,6,0)</f>
        <v>2218755</v>
      </c>
      <c r="D102">
        <f>VLOOKUP(A102,NYSEARCAVEU!A$2:G$506,6,0)</f>
        <v>3152930</v>
      </c>
      <c r="E102">
        <f>VLOOKUP(A102,NYSEARCAVWO!A$2:G$506,6,0)</f>
        <v>16355126</v>
      </c>
      <c r="F102">
        <f>VLOOKUP(A102,NYSEARCABND!A$2:G$506,6,0)</f>
        <v>971743</v>
      </c>
      <c r="G102">
        <f>VLOOKUP(A102,NYSEARCATIP!A$2:G$506,6,0)</f>
        <v>395497</v>
      </c>
      <c r="H102">
        <f>VLOOKUP(A102,NYSEARCAMUB!A$2:G$506,6,0)</f>
        <v>269761</v>
      </c>
      <c r="I102">
        <f>VLOOKUP(A102,NYSEARCAVNQ!A$2:G$506,6,0)</f>
        <v>2362743</v>
      </c>
      <c r="J102">
        <f>VLOOKUP(A102,NYSEARCARWX!A$2:G$506,6,0)</f>
        <v>414995</v>
      </c>
      <c r="K102">
        <f>VLOOKUP(A102,NYSEARCADBC!A$2:G$506,6,0)</f>
        <v>1571304</v>
      </c>
      <c r="L102">
        <f>VLOOKUP(A102,NYSEARCAGSG!A$2:G$506,6,0)</f>
        <v>87920</v>
      </c>
      <c r="M102">
        <f>VLOOKUP(A102,NYSEARCAGLD!A$2:G$506,6,0)</f>
        <v>4776688</v>
      </c>
      <c r="N102">
        <f>VLOOKUP(A102,NYSEBP!A$2:G$506,6,0)</f>
        <v>7085535</v>
      </c>
      <c r="O102">
        <f>VLOOKUP(A102,NASDAQYHOO!A$2:G$506,6,0)</f>
        <v>12610538</v>
      </c>
    </row>
    <row r="103" spans="1:15">
      <c r="A103" s="39">
        <v>42291</v>
      </c>
      <c r="B103">
        <v>80626370</v>
      </c>
      <c r="C103">
        <f>VLOOKUP(A103,NYSEARCAVTI!A$2:G$506,6,0)</f>
        <v>1902598</v>
      </c>
      <c r="D103">
        <f>VLOOKUP(A103,NYSEARCAVEU!A$2:G$506,6,0)</f>
        <v>2360080</v>
      </c>
      <c r="E103">
        <f>VLOOKUP(A103,NYSEARCAVWO!A$2:G$506,6,0)</f>
        <v>20822114</v>
      </c>
      <c r="F103">
        <f>VLOOKUP(A103,NYSEARCABND!A$2:G$506,6,0)</f>
        <v>786259</v>
      </c>
      <c r="G103">
        <f>VLOOKUP(A103,NYSEARCATIP!A$2:G$506,6,0)</f>
        <v>466367</v>
      </c>
      <c r="H103">
        <f>VLOOKUP(A103,NYSEARCAMUB!A$2:G$506,6,0)</f>
        <v>313422</v>
      </c>
      <c r="I103">
        <f>VLOOKUP(A103,NYSEARCAVNQ!A$2:G$506,6,0)</f>
        <v>3349195</v>
      </c>
      <c r="J103">
        <f>VLOOKUP(A103,NYSEARCARWX!A$2:G$506,6,0)</f>
        <v>370662</v>
      </c>
      <c r="K103">
        <f>VLOOKUP(A103,NYSEARCADBC!A$2:G$506,6,0)</f>
        <v>1495321</v>
      </c>
      <c r="L103">
        <f>VLOOKUP(A103,NYSEARCAGSG!A$2:G$506,6,0)</f>
        <v>76441</v>
      </c>
      <c r="M103">
        <f>VLOOKUP(A103,NYSEARCAGLD!A$2:G$506,6,0)</f>
        <v>9683388</v>
      </c>
      <c r="N103">
        <f>VLOOKUP(A103,NYSEBP!A$2:G$506,6,0)</f>
        <v>7460002</v>
      </c>
      <c r="O103">
        <f>VLOOKUP(A103,NASDAQYHOO!A$2:G$506,6,0)</f>
        <v>11277424</v>
      </c>
    </row>
    <row r="104" spans="1:15">
      <c r="A104" s="39">
        <v>42292</v>
      </c>
      <c r="B104">
        <v>45769175</v>
      </c>
      <c r="C104">
        <f>VLOOKUP(A104,NYSEARCAVTI!A$2:G$506,6,0)</f>
        <v>2215910</v>
      </c>
      <c r="D104">
        <f>VLOOKUP(A104,NYSEARCAVEU!A$2:G$506,6,0)</f>
        <v>2444283</v>
      </c>
      <c r="E104">
        <f>VLOOKUP(A104,NYSEARCAVWO!A$2:G$506,6,0)</f>
        <v>13701998</v>
      </c>
      <c r="F104">
        <f>VLOOKUP(A104,NYSEARCABND!A$2:G$506,6,0)</f>
        <v>2264342</v>
      </c>
      <c r="G104">
        <f>VLOOKUP(A104,NYSEARCATIP!A$2:G$506,6,0)</f>
        <v>1843825</v>
      </c>
      <c r="H104">
        <f>VLOOKUP(A104,NYSEARCAMUB!A$2:G$506,6,0)</f>
        <v>208203</v>
      </c>
      <c r="I104">
        <f>VLOOKUP(A104,NYSEARCAVNQ!A$2:G$506,6,0)</f>
        <v>2533336</v>
      </c>
      <c r="J104">
        <f>VLOOKUP(A104,NYSEARCARWX!A$2:G$506,6,0)</f>
        <v>353907</v>
      </c>
      <c r="K104">
        <f>VLOOKUP(A104,NYSEARCADBC!A$2:G$506,6,0)</f>
        <v>1624348</v>
      </c>
      <c r="L104">
        <f>VLOOKUP(A104,NYSEARCAGSG!A$2:G$506,6,0)</f>
        <v>147454</v>
      </c>
      <c r="M104">
        <f>VLOOKUP(A104,NYSEARCAGLD!A$2:G$506,6,0)</f>
        <v>13734146</v>
      </c>
      <c r="N104">
        <f>VLOOKUP(A104,NYSEBP!A$2:G$506,6,0)</f>
        <v>6105961</v>
      </c>
      <c r="O104">
        <f>VLOOKUP(A104,NASDAQYHOO!A$2:G$506,6,0)</f>
        <v>19370910</v>
      </c>
    </row>
    <row r="105" spans="1:15">
      <c r="A105" s="39">
        <v>42293</v>
      </c>
      <c r="B105">
        <v>25874873</v>
      </c>
      <c r="C105">
        <f>VLOOKUP(A105,NYSEARCAVTI!A$2:G$506,6,0)</f>
        <v>1901266</v>
      </c>
      <c r="D105">
        <f>VLOOKUP(A105,NYSEARCAVEU!A$2:G$506,6,0)</f>
        <v>2058669</v>
      </c>
      <c r="E105">
        <f>VLOOKUP(A105,NYSEARCAVWO!A$2:G$506,6,0)</f>
        <v>15282900</v>
      </c>
      <c r="F105">
        <f>VLOOKUP(A105,NYSEARCABND!A$2:G$506,6,0)</f>
        <v>1241326</v>
      </c>
      <c r="G105">
        <f>VLOOKUP(A105,NYSEARCATIP!A$2:G$506,6,0)</f>
        <v>467655</v>
      </c>
      <c r="H105">
        <f>VLOOKUP(A105,NYSEARCAMUB!A$2:G$506,6,0)</f>
        <v>144316</v>
      </c>
      <c r="I105">
        <f>VLOOKUP(A105,NYSEARCAVNQ!A$2:G$506,6,0)</f>
        <v>2873557</v>
      </c>
      <c r="J105">
        <f>VLOOKUP(A105,NYSEARCARWX!A$2:G$506,6,0)</f>
        <v>357087</v>
      </c>
      <c r="K105">
        <f>VLOOKUP(A105,NYSEARCADBC!A$2:G$506,6,0)</f>
        <v>1383386</v>
      </c>
      <c r="L105">
        <f>VLOOKUP(A105,NYSEARCAGSG!A$2:G$506,6,0)</f>
        <v>89604</v>
      </c>
      <c r="M105">
        <f>VLOOKUP(A105,NYSEARCAGLD!A$2:G$506,6,0)</f>
        <v>6678560</v>
      </c>
      <c r="N105">
        <f>VLOOKUP(A105,NYSEBP!A$2:G$506,6,0)</f>
        <v>5623725</v>
      </c>
      <c r="O105">
        <f>VLOOKUP(A105,NASDAQYHOO!A$2:G$506,6,0)</f>
        <v>12209312</v>
      </c>
    </row>
    <row r="106" spans="1:15">
      <c r="A106" s="39">
        <v>42296</v>
      </c>
      <c r="B106">
        <v>17692482</v>
      </c>
      <c r="C106">
        <f>VLOOKUP(A106,NYSEARCAVTI!A$2:G$506,6,0)</f>
        <v>1457904</v>
      </c>
      <c r="D106">
        <f>VLOOKUP(A106,NYSEARCAVEU!A$2:G$506,6,0)</f>
        <v>926595</v>
      </c>
      <c r="E106">
        <f>VLOOKUP(A106,NYSEARCAVWO!A$2:G$506,6,0)</f>
        <v>11931045</v>
      </c>
      <c r="F106">
        <f>VLOOKUP(A106,NYSEARCABND!A$2:G$506,6,0)</f>
        <v>840064</v>
      </c>
      <c r="G106">
        <f>VLOOKUP(A106,NYSEARCATIP!A$2:G$506,6,0)</f>
        <v>326618</v>
      </c>
      <c r="H106">
        <f>VLOOKUP(A106,NYSEARCAMUB!A$2:G$506,6,0)</f>
        <v>311464</v>
      </c>
      <c r="I106">
        <f>VLOOKUP(A106,NYSEARCAVNQ!A$2:G$506,6,0)</f>
        <v>3146051</v>
      </c>
      <c r="J106">
        <f>VLOOKUP(A106,NYSEARCARWX!A$2:G$506,6,0)</f>
        <v>237638</v>
      </c>
      <c r="K106">
        <f>VLOOKUP(A106,NYSEARCADBC!A$2:G$506,6,0)</f>
        <v>1160400</v>
      </c>
      <c r="L106">
        <f>VLOOKUP(A106,NYSEARCAGSG!A$2:G$506,6,0)</f>
        <v>79008</v>
      </c>
      <c r="M106">
        <f>VLOOKUP(A106,NYSEARCAGLD!A$2:G$506,6,0)</f>
        <v>3936314</v>
      </c>
      <c r="N106">
        <f>VLOOKUP(A106,NYSEBP!A$2:G$506,6,0)</f>
        <v>4918164</v>
      </c>
      <c r="O106">
        <f>VLOOKUP(A106,NASDAQYHOO!A$2:G$506,6,0)</f>
        <v>10836776</v>
      </c>
    </row>
    <row r="107" spans="1:15">
      <c r="A107" s="39">
        <v>42297</v>
      </c>
      <c r="B107">
        <v>10416379</v>
      </c>
      <c r="C107">
        <f>VLOOKUP(A107,NYSEARCAVTI!A$2:G$506,6,0)</f>
        <v>1806024</v>
      </c>
      <c r="D107">
        <f>VLOOKUP(A107,NYSEARCAVEU!A$2:G$506,6,0)</f>
        <v>2670256</v>
      </c>
      <c r="E107">
        <f>VLOOKUP(A107,NYSEARCAVWO!A$2:G$506,6,0)</f>
        <v>13382582</v>
      </c>
      <c r="F107">
        <f>VLOOKUP(A107,NYSEARCABND!A$2:G$506,6,0)</f>
        <v>1348214</v>
      </c>
      <c r="G107">
        <f>VLOOKUP(A107,NYSEARCATIP!A$2:G$506,6,0)</f>
        <v>420319</v>
      </c>
      <c r="H107">
        <f>VLOOKUP(A107,NYSEARCAMUB!A$2:G$506,6,0)</f>
        <v>243357</v>
      </c>
      <c r="I107">
        <f>VLOOKUP(A107,NYSEARCAVNQ!A$2:G$506,6,0)</f>
        <v>2781522</v>
      </c>
      <c r="J107">
        <f>VLOOKUP(A107,NYSEARCARWX!A$2:G$506,6,0)</f>
        <v>252593</v>
      </c>
      <c r="K107">
        <f>VLOOKUP(A107,NYSEARCADBC!A$2:G$506,6,0)</f>
        <v>1591223</v>
      </c>
      <c r="L107">
        <f>VLOOKUP(A107,NYSEARCAGSG!A$2:G$506,6,0)</f>
        <v>92140</v>
      </c>
      <c r="M107">
        <f>VLOOKUP(A107,NYSEARCAGLD!A$2:G$506,6,0)</f>
        <v>4890565</v>
      </c>
      <c r="N107">
        <f>VLOOKUP(A107,NYSEBP!A$2:G$506,6,0)</f>
        <v>5405602</v>
      </c>
      <c r="O107">
        <f>VLOOKUP(A107,NASDAQYHOO!A$2:G$506,6,0)</f>
        <v>18644884</v>
      </c>
    </row>
    <row r="108" spans="1:15">
      <c r="A108" s="39">
        <v>42298</v>
      </c>
      <c r="B108">
        <v>13121933</v>
      </c>
      <c r="C108">
        <f>VLOOKUP(A108,NYSEARCAVTI!A$2:G$506,6,0)</f>
        <v>1777504</v>
      </c>
      <c r="D108">
        <f>VLOOKUP(A108,NYSEARCAVEU!A$2:G$506,6,0)</f>
        <v>2199293</v>
      </c>
      <c r="E108">
        <f>VLOOKUP(A108,NYSEARCAVWO!A$2:G$506,6,0)</f>
        <v>18034856</v>
      </c>
      <c r="F108">
        <f>VLOOKUP(A108,NYSEARCABND!A$2:G$506,6,0)</f>
        <v>943545</v>
      </c>
      <c r="G108">
        <f>VLOOKUP(A108,NYSEARCATIP!A$2:G$506,6,0)</f>
        <v>371781</v>
      </c>
      <c r="H108">
        <f>VLOOKUP(A108,NYSEARCAMUB!A$2:G$506,6,0)</f>
        <v>210378</v>
      </c>
      <c r="I108">
        <f>VLOOKUP(A108,NYSEARCAVNQ!A$2:G$506,6,0)</f>
        <v>3460448</v>
      </c>
      <c r="J108">
        <f>VLOOKUP(A108,NYSEARCARWX!A$2:G$506,6,0)</f>
        <v>441918</v>
      </c>
      <c r="K108">
        <f>VLOOKUP(A108,NYSEARCADBC!A$2:G$506,6,0)</f>
        <v>2500879</v>
      </c>
      <c r="L108">
        <f>VLOOKUP(A108,NYSEARCAGSG!A$2:G$506,6,0)</f>
        <v>472145</v>
      </c>
      <c r="M108">
        <f>VLOOKUP(A108,NYSEARCAGLD!A$2:G$506,6,0)</f>
        <v>3890732</v>
      </c>
      <c r="N108">
        <f>VLOOKUP(A108,NYSEBP!A$2:G$506,6,0)</f>
        <v>6497615</v>
      </c>
      <c r="O108">
        <f>VLOOKUP(A108,NASDAQYHOO!A$2:G$506,6,0)</f>
        <v>30390422</v>
      </c>
    </row>
    <row r="109" spans="1:15">
      <c r="A109" s="39">
        <v>42299</v>
      </c>
      <c r="B109">
        <v>14569923</v>
      </c>
      <c r="C109">
        <f>VLOOKUP(A109,NYSEARCAVTI!A$2:G$506,6,0)</f>
        <v>1978172</v>
      </c>
      <c r="D109">
        <f>VLOOKUP(A109,NYSEARCAVEU!A$2:G$506,6,0)</f>
        <v>3662587</v>
      </c>
      <c r="E109">
        <f>VLOOKUP(A109,NYSEARCAVWO!A$2:G$506,6,0)</f>
        <v>13883452</v>
      </c>
      <c r="F109">
        <f>VLOOKUP(A109,NYSEARCABND!A$2:G$506,6,0)</f>
        <v>1100952</v>
      </c>
      <c r="G109">
        <f>VLOOKUP(A109,NYSEARCATIP!A$2:G$506,6,0)</f>
        <v>368372</v>
      </c>
      <c r="H109">
        <f>VLOOKUP(A109,NYSEARCAMUB!A$2:G$506,6,0)</f>
        <v>230146</v>
      </c>
      <c r="I109">
        <f>VLOOKUP(A109,NYSEARCAVNQ!A$2:G$506,6,0)</f>
        <v>3504133</v>
      </c>
      <c r="J109">
        <f>VLOOKUP(A109,NYSEARCARWX!A$2:G$506,6,0)</f>
        <v>1412170</v>
      </c>
      <c r="K109">
        <f>VLOOKUP(A109,NYSEARCADBC!A$2:G$506,6,0)</f>
        <v>1326864</v>
      </c>
      <c r="L109">
        <f>VLOOKUP(A109,NYSEARCAGSG!A$2:G$506,6,0)</f>
        <v>120798</v>
      </c>
      <c r="M109">
        <f>VLOOKUP(A109,NYSEARCAGLD!A$2:G$506,6,0)</f>
        <v>3432065</v>
      </c>
      <c r="N109">
        <f>VLOOKUP(A109,NYSEBP!A$2:G$506,6,0)</f>
        <v>8120264</v>
      </c>
      <c r="O109">
        <f>VLOOKUP(A109,NASDAQYHOO!A$2:G$506,6,0)</f>
        <v>18180546</v>
      </c>
    </row>
    <row r="110" spans="1:15">
      <c r="A110" s="39">
        <v>42300</v>
      </c>
      <c r="B110">
        <v>13030669</v>
      </c>
      <c r="C110">
        <f>VLOOKUP(A110,NYSEARCAVTI!A$2:G$506,6,0)</f>
        <v>2403395</v>
      </c>
      <c r="D110">
        <f>VLOOKUP(A110,NYSEARCAVEU!A$2:G$506,6,0)</f>
        <v>1893321</v>
      </c>
      <c r="E110">
        <f>VLOOKUP(A110,NYSEARCAVWO!A$2:G$506,6,0)</f>
        <v>13521674</v>
      </c>
      <c r="F110">
        <f>VLOOKUP(A110,NYSEARCABND!A$2:G$506,6,0)</f>
        <v>1367148</v>
      </c>
      <c r="G110">
        <f>VLOOKUP(A110,NYSEARCATIP!A$2:G$506,6,0)</f>
        <v>303989</v>
      </c>
      <c r="H110">
        <f>VLOOKUP(A110,NYSEARCAMUB!A$2:G$506,6,0)</f>
        <v>171597</v>
      </c>
      <c r="I110">
        <f>VLOOKUP(A110,NYSEARCAVNQ!A$2:G$506,6,0)</f>
        <v>3421193</v>
      </c>
      <c r="J110">
        <f>VLOOKUP(A110,NYSEARCARWX!A$2:G$506,6,0)</f>
        <v>444930</v>
      </c>
      <c r="K110">
        <f>VLOOKUP(A110,NYSEARCADBC!A$2:G$506,6,0)</f>
        <v>1362976</v>
      </c>
      <c r="L110">
        <f>VLOOKUP(A110,NYSEARCAGSG!A$2:G$506,6,0)</f>
        <v>120248</v>
      </c>
      <c r="M110">
        <f>VLOOKUP(A110,NYSEARCAGLD!A$2:G$506,6,0)</f>
        <v>4743030</v>
      </c>
      <c r="N110">
        <f>VLOOKUP(A110,NYSEBP!A$2:G$506,6,0)</f>
        <v>4749154</v>
      </c>
      <c r="O110">
        <f>VLOOKUP(A110,NASDAQYHOO!A$2:G$506,6,0)</f>
        <v>24286346</v>
      </c>
    </row>
    <row r="111" spans="1:15">
      <c r="A111" s="39">
        <v>42303</v>
      </c>
      <c r="B111">
        <v>10828025</v>
      </c>
      <c r="C111">
        <f>VLOOKUP(A111,NYSEARCAVTI!A$2:G$506,6,0)</f>
        <v>3078205</v>
      </c>
      <c r="D111">
        <f>VLOOKUP(A111,NYSEARCAVEU!A$2:G$506,6,0)</f>
        <v>1335726</v>
      </c>
      <c r="E111">
        <f>VLOOKUP(A111,NYSEARCAVWO!A$2:G$506,6,0)</f>
        <v>10645927</v>
      </c>
      <c r="F111">
        <f>VLOOKUP(A111,NYSEARCABND!A$2:G$506,6,0)</f>
        <v>1512205</v>
      </c>
      <c r="G111">
        <f>VLOOKUP(A111,NYSEARCATIP!A$2:G$506,6,0)</f>
        <v>256272</v>
      </c>
      <c r="H111">
        <f>VLOOKUP(A111,NYSEARCAMUB!A$2:G$506,6,0)</f>
        <v>213544</v>
      </c>
      <c r="I111">
        <f>VLOOKUP(A111,NYSEARCAVNQ!A$2:G$506,6,0)</f>
        <v>3279976</v>
      </c>
      <c r="J111">
        <f>VLOOKUP(A111,NYSEARCARWX!A$2:G$506,6,0)</f>
        <v>439592</v>
      </c>
      <c r="K111">
        <f>VLOOKUP(A111,NYSEARCADBC!A$2:G$506,6,0)</f>
        <v>1226475</v>
      </c>
      <c r="L111">
        <f>VLOOKUP(A111,NYSEARCAGSG!A$2:G$506,6,0)</f>
        <v>147753</v>
      </c>
      <c r="M111">
        <f>VLOOKUP(A111,NYSEARCAGLD!A$2:G$506,6,0)</f>
        <v>2570712</v>
      </c>
      <c r="N111">
        <f>VLOOKUP(A111,NYSEBP!A$2:G$506,6,0)</f>
        <v>5105227</v>
      </c>
      <c r="O111">
        <f>VLOOKUP(A111,NASDAQYHOO!A$2:G$506,6,0)</f>
        <v>15752355</v>
      </c>
    </row>
    <row r="112" spans="1:15">
      <c r="A112" s="39">
        <v>42304</v>
      </c>
      <c r="B112">
        <v>10501614</v>
      </c>
      <c r="C112">
        <f>VLOOKUP(A112,NYSEARCAVTI!A$2:G$506,6,0)</f>
        <v>1685859</v>
      </c>
      <c r="D112">
        <f>VLOOKUP(A112,NYSEARCAVEU!A$2:G$506,6,0)</f>
        <v>1443019</v>
      </c>
      <c r="E112">
        <f>VLOOKUP(A112,NYSEARCAVWO!A$2:G$506,6,0)</f>
        <v>25301749</v>
      </c>
      <c r="F112">
        <f>VLOOKUP(A112,NYSEARCABND!A$2:G$506,6,0)</f>
        <v>922880</v>
      </c>
      <c r="G112">
        <f>VLOOKUP(A112,NYSEARCATIP!A$2:G$506,6,0)</f>
        <v>312321</v>
      </c>
      <c r="H112">
        <f>VLOOKUP(A112,NYSEARCAMUB!A$2:G$506,6,0)</f>
        <v>181566</v>
      </c>
      <c r="I112">
        <f>VLOOKUP(A112,NYSEARCAVNQ!A$2:G$506,6,0)</f>
        <v>7133900</v>
      </c>
      <c r="J112">
        <f>VLOOKUP(A112,NYSEARCARWX!A$2:G$506,6,0)</f>
        <v>486671</v>
      </c>
      <c r="K112">
        <f>VLOOKUP(A112,NYSEARCADBC!A$2:G$506,6,0)</f>
        <v>1547054</v>
      </c>
      <c r="L112">
        <f>VLOOKUP(A112,NYSEARCAGSG!A$2:G$506,6,0)</f>
        <v>154074</v>
      </c>
      <c r="M112">
        <f>VLOOKUP(A112,NYSEARCAGLD!A$2:G$506,6,0)</f>
        <v>2644025</v>
      </c>
      <c r="N112">
        <f>VLOOKUP(A112,NYSEBP!A$2:G$506,6,0)</f>
        <v>10123884</v>
      </c>
      <c r="O112">
        <f>VLOOKUP(A112,NASDAQYHOO!A$2:G$506,6,0)</f>
        <v>26362111</v>
      </c>
    </row>
    <row r="113" spans="1:15">
      <c r="A113" s="39">
        <v>42305</v>
      </c>
      <c r="B113">
        <v>11821205</v>
      </c>
      <c r="C113">
        <f>VLOOKUP(A113,NYSEARCAVTI!A$2:G$506,6,0)</f>
        <v>2421223</v>
      </c>
      <c r="D113">
        <f>VLOOKUP(A113,NYSEARCAVEU!A$2:G$506,6,0)</f>
        <v>2177049</v>
      </c>
      <c r="E113">
        <f>VLOOKUP(A113,NYSEARCAVWO!A$2:G$506,6,0)</f>
        <v>22699984</v>
      </c>
      <c r="F113">
        <f>VLOOKUP(A113,NYSEARCABND!A$2:G$506,6,0)</f>
        <v>2617340</v>
      </c>
      <c r="G113">
        <f>VLOOKUP(A113,NYSEARCATIP!A$2:G$506,6,0)</f>
        <v>387497</v>
      </c>
      <c r="H113">
        <f>VLOOKUP(A113,NYSEARCAMUB!A$2:G$506,6,0)</f>
        <v>185563</v>
      </c>
      <c r="I113">
        <f>VLOOKUP(A113,NYSEARCAVNQ!A$2:G$506,6,0)</f>
        <v>4576414</v>
      </c>
      <c r="J113">
        <f>VLOOKUP(A113,NYSEARCARWX!A$2:G$506,6,0)</f>
        <v>554385</v>
      </c>
      <c r="K113">
        <f>VLOOKUP(A113,NYSEARCADBC!A$2:G$506,6,0)</f>
        <v>1690708</v>
      </c>
      <c r="L113">
        <f>VLOOKUP(A113,NYSEARCAGSG!A$2:G$506,6,0)</f>
        <v>84417</v>
      </c>
      <c r="M113">
        <f>VLOOKUP(A113,NYSEARCAGLD!A$2:G$506,6,0)</f>
        <v>8128546</v>
      </c>
      <c r="N113">
        <f>VLOOKUP(A113,NYSEBP!A$2:G$506,6,0)</f>
        <v>9626609</v>
      </c>
      <c r="O113">
        <f>VLOOKUP(A113,NASDAQYHOO!A$2:G$506,6,0)</f>
        <v>15050345</v>
      </c>
    </row>
    <row r="114" spans="1:15">
      <c r="A114" s="39">
        <v>42306</v>
      </c>
      <c r="B114">
        <v>12619478</v>
      </c>
      <c r="C114">
        <f>VLOOKUP(A114,NYSEARCAVTI!A$2:G$506,6,0)</f>
        <v>2666837</v>
      </c>
      <c r="D114">
        <f>VLOOKUP(A114,NYSEARCAVEU!A$2:G$506,6,0)</f>
        <v>1632473</v>
      </c>
      <c r="E114">
        <f>VLOOKUP(A114,NYSEARCAVWO!A$2:G$506,6,0)</f>
        <v>13551728</v>
      </c>
      <c r="F114">
        <f>VLOOKUP(A114,NYSEARCABND!A$2:G$506,6,0)</f>
        <v>943060</v>
      </c>
      <c r="G114">
        <f>VLOOKUP(A114,NYSEARCATIP!A$2:G$506,6,0)</f>
        <v>478224</v>
      </c>
      <c r="H114">
        <f>VLOOKUP(A114,NYSEARCAMUB!A$2:G$506,6,0)</f>
        <v>216925</v>
      </c>
      <c r="I114">
        <f>VLOOKUP(A114,NYSEARCAVNQ!A$2:G$506,6,0)</f>
        <v>3283007</v>
      </c>
      <c r="J114">
        <f>VLOOKUP(A114,NYSEARCARWX!A$2:G$506,6,0)</f>
        <v>606628</v>
      </c>
      <c r="K114">
        <f>VLOOKUP(A114,NYSEARCADBC!A$2:G$506,6,0)</f>
        <v>1501309</v>
      </c>
      <c r="L114">
        <f>VLOOKUP(A114,NYSEARCAGSG!A$2:G$506,6,0)</f>
        <v>97727</v>
      </c>
      <c r="M114">
        <f>VLOOKUP(A114,NYSEARCAGLD!A$2:G$506,6,0)</f>
        <v>5148315</v>
      </c>
      <c r="N114">
        <f>VLOOKUP(A114,NYSEBP!A$2:G$506,6,0)</f>
        <v>6965609</v>
      </c>
      <c r="O114">
        <f>VLOOKUP(A114,NASDAQYHOO!A$2:G$506,6,0)</f>
        <v>10788277</v>
      </c>
    </row>
    <row r="115" spans="1:15">
      <c r="A115" s="39">
        <v>42307</v>
      </c>
      <c r="B115">
        <v>15777001</v>
      </c>
      <c r="C115">
        <f>VLOOKUP(A115,NYSEARCAVTI!A$2:G$506,6,0)</f>
        <v>2203163</v>
      </c>
      <c r="D115">
        <f>VLOOKUP(A115,NYSEARCAVEU!A$2:G$506,6,0)</f>
        <v>1318831</v>
      </c>
      <c r="E115">
        <f>VLOOKUP(A115,NYSEARCAVWO!A$2:G$506,6,0)</f>
        <v>16265183</v>
      </c>
      <c r="F115">
        <f>VLOOKUP(A115,NYSEARCABND!A$2:G$506,6,0)</f>
        <v>1473678</v>
      </c>
      <c r="G115">
        <f>VLOOKUP(A115,NYSEARCATIP!A$2:G$506,6,0)</f>
        <v>807323</v>
      </c>
      <c r="H115">
        <f>VLOOKUP(A115,NYSEARCAMUB!A$2:G$506,6,0)</f>
        <v>191995</v>
      </c>
      <c r="I115">
        <f>VLOOKUP(A115,NYSEARCAVNQ!A$2:G$506,6,0)</f>
        <v>7057075</v>
      </c>
      <c r="J115">
        <f>VLOOKUP(A115,NYSEARCARWX!A$2:G$506,6,0)</f>
        <v>596951</v>
      </c>
      <c r="K115">
        <f>VLOOKUP(A115,NYSEARCADBC!A$2:G$506,6,0)</f>
        <v>1446457</v>
      </c>
      <c r="L115">
        <f>VLOOKUP(A115,NYSEARCAGSG!A$2:G$506,6,0)</f>
        <v>736415</v>
      </c>
      <c r="M115">
        <f>VLOOKUP(A115,NYSEARCAGLD!A$2:G$506,6,0)</f>
        <v>5540578</v>
      </c>
      <c r="N115">
        <f>VLOOKUP(A115,NYSEBP!A$2:G$506,6,0)</f>
        <v>5441985</v>
      </c>
      <c r="O115">
        <f>VLOOKUP(A115,NASDAQYHOO!A$2:G$506,6,0)</f>
        <v>17377221</v>
      </c>
    </row>
    <row r="116" spans="1:15">
      <c r="A116" s="39">
        <v>42310</v>
      </c>
      <c r="B116">
        <v>10714699</v>
      </c>
      <c r="C116">
        <f>VLOOKUP(A116,NYSEARCAVTI!A$2:G$506,6,0)</f>
        <v>3395778</v>
      </c>
      <c r="D116">
        <f>VLOOKUP(A116,NYSEARCAVEU!A$2:G$506,6,0)</f>
        <v>1896939</v>
      </c>
      <c r="E116">
        <f>VLOOKUP(A116,NYSEARCAVWO!A$2:G$506,6,0)</f>
        <v>14081092</v>
      </c>
      <c r="F116">
        <f>VLOOKUP(A116,NYSEARCABND!A$2:G$506,6,0)</f>
        <v>2939233</v>
      </c>
      <c r="G116">
        <f>VLOOKUP(A116,NYSEARCATIP!A$2:G$506,6,0)</f>
        <v>1376966</v>
      </c>
      <c r="H116">
        <f>VLOOKUP(A116,NYSEARCAMUB!A$2:G$506,6,0)</f>
        <v>373206</v>
      </c>
      <c r="I116">
        <f>VLOOKUP(A116,NYSEARCAVNQ!A$2:G$506,6,0)</f>
        <v>6869596</v>
      </c>
      <c r="J116">
        <f>VLOOKUP(A116,NYSEARCARWX!A$2:G$506,6,0)</f>
        <v>762170</v>
      </c>
      <c r="K116">
        <f>VLOOKUP(A116,NYSEARCADBC!A$2:G$506,6,0)</f>
        <v>2485489</v>
      </c>
      <c r="L116">
        <f>VLOOKUP(A116,NYSEARCAGSG!A$2:G$506,6,0)</f>
        <v>255234</v>
      </c>
      <c r="M116">
        <f>VLOOKUP(A116,NYSEARCAGLD!A$2:G$506,6,0)</f>
        <v>5833868</v>
      </c>
      <c r="N116">
        <f>VLOOKUP(A116,NYSEBP!A$2:G$506,6,0)</f>
        <v>7170543</v>
      </c>
      <c r="O116">
        <f>VLOOKUP(A116,NASDAQYHOO!A$2:G$506,6,0)</f>
        <v>15160315</v>
      </c>
    </row>
    <row r="117" spans="1:15">
      <c r="A117" s="39">
        <v>42311</v>
      </c>
      <c r="B117">
        <v>10230262</v>
      </c>
      <c r="C117">
        <f>VLOOKUP(A117,NYSEARCAVTI!A$2:G$506,6,0)</f>
        <v>3092221</v>
      </c>
      <c r="D117">
        <f>VLOOKUP(A117,NYSEARCAVEU!A$2:G$506,6,0)</f>
        <v>2090072</v>
      </c>
      <c r="E117">
        <f>VLOOKUP(A117,NYSEARCAVWO!A$2:G$506,6,0)</f>
        <v>10746374</v>
      </c>
      <c r="F117">
        <f>VLOOKUP(A117,NYSEARCABND!A$2:G$506,6,0)</f>
        <v>3997137</v>
      </c>
      <c r="G117">
        <f>VLOOKUP(A117,NYSEARCATIP!A$2:G$506,6,0)</f>
        <v>653657</v>
      </c>
      <c r="H117">
        <f>VLOOKUP(A117,NYSEARCAMUB!A$2:G$506,6,0)</f>
        <v>291201</v>
      </c>
      <c r="I117">
        <f>VLOOKUP(A117,NYSEARCAVNQ!A$2:G$506,6,0)</f>
        <v>5285316</v>
      </c>
      <c r="J117">
        <f>VLOOKUP(A117,NYSEARCARWX!A$2:G$506,6,0)</f>
        <v>460075</v>
      </c>
      <c r="K117">
        <f>VLOOKUP(A117,NYSEARCADBC!A$2:G$506,6,0)</f>
        <v>1988739</v>
      </c>
      <c r="L117">
        <f>VLOOKUP(A117,NYSEARCAGSG!A$2:G$506,6,0)</f>
        <v>217470</v>
      </c>
      <c r="M117">
        <f>VLOOKUP(A117,NYSEARCAGLD!A$2:G$506,6,0)</f>
        <v>7087371</v>
      </c>
      <c r="N117">
        <f>VLOOKUP(A117,NYSEBP!A$2:G$506,6,0)</f>
        <v>9908738</v>
      </c>
      <c r="O117">
        <f>VLOOKUP(A117,NASDAQYHOO!A$2:G$506,6,0)</f>
        <v>12388495</v>
      </c>
    </row>
    <row r="118" spans="1:15">
      <c r="A118" s="39">
        <v>42312</v>
      </c>
      <c r="B118">
        <v>10053692</v>
      </c>
      <c r="C118">
        <f>VLOOKUP(A118,NYSEARCAVTI!A$2:G$506,6,0)</f>
        <v>2893522</v>
      </c>
      <c r="D118">
        <f>VLOOKUP(A118,NYSEARCAVEU!A$2:G$506,6,0)</f>
        <v>1736231</v>
      </c>
      <c r="E118">
        <f>VLOOKUP(A118,NYSEARCAVWO!A$2:G$506,6,0)</f>
        <v>14083622</v>
      </c>
      <c r="F118">
        <f>VLOOKUP(A118,NYSEARCABND!A$2:G$506,6,0)</f>
        <v>3594403</v>
      </c>
      <c r="G118">
        <f>VLOOKUP(A118,NYSEARCATIP!A$2:G$506,6,0)</f>
        <v>533206</v>
      </c>
      <c r="H118">
        <f>VLOOKUP(A118,NYSEARCAMUB!A$2:G$506,6,0)</f>
        <v>234548</v>
      </c>
      <c r="I118">
        <f>VLOOKUP(A118,NYSEARCAVNQ!A$2:G$506,6,0)</f>
        <v>3165070</v>
      </c>
      <c r="J118">
        <f>VLOOKUP(A118,NYSEARCARWX!A$2:G$506,6,0)</f>
        <v>886164</v>
      </c>
      <c r="K118">
        <f>VLOOKUP(A118,NYSEARCADBC!A$2:G$506,6,0)</f>
        <v>1556920</v>
      </c>
      <c r="L118">
        <f>VLOOKUP(A118,NYSEARCAGSG!A$2:G$506,6,0)</f>
        <v>157428</v>
      </c>
      <c r="M118">
        <f>VLOOKUP(A118,NYSEARCAGLD!A$2:G$506,6,0)</f>
        <v>7396518</v>
      </c>
      <c r="N118">
        <f>VLOOKUP(A118,NYSEBP!A$2:G$506,6,0)</f>
        <v>8853030</v>
      </c>
      <c r="O118">
        <f>VLOOKUP(A118,NASDAQYHOO!A$2:G$506,6,0)</f>
        <v>17495852</v>
      </c>
    </row>
    <row r="119" spans="1:15">
      <c r="A119" s="39">
        <v>42313</v>
      </c>
      <c r="B119">
        <v>8827460</v>
      </c>
      <c r="C119">
        <f>VLOOKUP(A119,NYSEARCAVTI!A$2:G$506,6,0)</f>
        <v>2142438</v>
      </c>
      <c r="D119">
        <f>VLOOKUP(A119,NYSEARCAVEU!A$2:G$506,6,0)</f>
        <v>3388410</v>
      </c>
      <c r="E119">
        <f>VLOOKUP(A119,NYSEARCAVWO!A$2:G$506,6,0)</f>
        <v>11033733</v>
      </c>
      <c r="F119">
        <f>VLOOKUP(A119,NYSEARCABND!A$2:G$506,6,0)</f>
        <v>1715388</v>
      </c>
      <c r="G119">
        <f>VLOOKUP(A119,NYSEARCATIP!A$2:G$506,6,0)</f>
        <v>545277</v>
      </c>
      <c r="H119">
        <f>VLOOKUP(A119,NYSEARCAMUB!A$2:G$506,6,0)</f>
        <v>317285</v>
      </c>
      <c r="I119">
        <f>VLOOKUP(A119,NYSEARCAVNQ!A$2:G$506,6,0)</f>
        <v>2804126</v>
      </c>
      <c r="J119">
        <f>VLOOKUP(A119,NYSEARCARWX!A$2:G$506,6,0)</f>
        <v>604688</v>
      </c>
      <c r="K119">
        <f>VLOOKUP(A119,NYSEARCADBC!A$2:G$506,6,0)</f>
        <v>2661723</v>
      </c>
      <c r="L119">
        <f>VLOOKUP(A119,NYSEARCAGSG!A$2:G$506,6,0)</f>
        <v>317075</v>
      </c>
      <c r="M119">
        <f>VLOOKUP(A119,NYSEARCAGLD!A$2:G$506,6,0)</f>
        <v>5924922</v>
      </c>
      <c r="N119">
        <f>VLOOKUP(A119,NYSEBP!A$2:G$506,6,0)</f>
        <v>6412345</v>
      </c>
      <c r="O119">
        <f>VLOOKUP(A119,NASDAQYHOO!A$2:G$506,6,0)</f>
        <v>15677479</v>
      </c>
    </row>
    <row r="120" spans="1:15">
      <c r="A120" s="39">
        <v>42314</v>
      </c>
      <c r="B120">
        <v>9969273</v>
      </c>
      <c r="C120">
        <f>VLOOKUP(A120,NYSEARCAVTI!A$2:G$506,6,0)</f>
        <v>2077414</v>
      </c>
      <c r="D120">
        <f>VLOOKUP(A120,NYSEARCAVEU!A$2:G$506,6,0)</f>
        <v>3303204</v>
      </c>
      <c r="E120">
        <f>VLOOKUP(A120,NYSEARCAVWO!A$2:G$506,6,0)</f>
        <v>15823795</v>
      </c>
      <c r="F120">
        <f>VLOOKUP(A120,NYSEARCABND!A$2:G$506,6,0)</f>
        <v>1198654</v>
      </c>
      <c r="G120">
        <f>VLOOKUP(A120,NYSEARCATIP!A$2:G$506,6,0)</f>
        <v>455781</v>
      </c>
      <c r="H120">
        <f>VLOOKUP(A120,NYSEARCAMUB!A$2:G$506,6,0)</f>
        <v>267367</v>
      </c>
      <c r="I120">
        <f>VLOOKUP(A120,NYSEARCAVNQ!A$2:G$506,6,0)</f>
        <v>7070094</v>
      </c>
      <c r="J120">
        <f>VLOOKUP(A120,NYSEARCARWX!A$2:G$506,6,0)</f>
        <v>669064</v>
      </c>
      <c r="K120">
        <f>VLOOKUP(A120,NYSEARCADBC!A$2:G$506,6,0)</f>
        <v>786289</v>
      </c>
      <c r="L120">
        <f>VLOOKUP(A120,NYSEARCAGSG!A$2:G$506,6,0)</f>
        <v>96471</v>
      </c>
      <c r="M120">
        <f>VLOOKUP(A120,NYSEARCAGLD!A$2:G$506,6,0)</f>
        <v>8822009</v>
      </c>
      <c r="N120">
        <f>VLOOKUP(A120,NYSEBP!A$2:G$506,6,0)</f>
        <v>5820408</v>
      </c>
      <c r="O120">
        <f>VLOOKUP(A120,NASDAQYHOO!A$2:G$506,6,0)</f>
        <v>16593732</v>
      </c>
    </row>
    <row r="121" spans="1:15">
      <c r="A121" s="39">
        <v>42317</v>
      </c>
      <c r="B121">
        <v>8429842</v>
      </c>
      <c r="C121">
        <f>VLOOKUP(A121,NYSEARCAVTI!A$2:G$506,6,0)</f>
        <v>2620785</v>
      </c>
      <c r="D121">
        <f>VLOOKUP(A121,NYSEARCAVEU!A$2:G$506,6,0)</f>
        <v>2072153</v>
      </c>
      <c r="E121">
        <f>VLOOKUP(A121,NYSEARCAVWO!A$2:G$506,6,0)</f>
        <v>21176281</v>
      </c>
      <c r="F121">
        <f>VLOOKUP(A121,NYSEARCABND!A$2:G$506,6,0)</f>
        <v>2358244</v>
      </c>
      <c r="G121">
        <f>VLOOKUP(A121,NYSEARCATIP!A$2:G$506,6,0)</f>
        <v>549893</v>
      </c>
      <c r="H121">
        <f>VLOOKUP(A121,NYSEARCAMUB!A$2:G$506,6,0)</f>
        <v>387109</v>
      </c>
      <c r="I121">
        <f>VLOOKUP(A121,NYSEARCAVNQ!A$2:G$506,6,0)</f>
        <v>5918921</v>
      </c>
      <c r="J121">
        <f>VLOOKUP(A121,NYSEARCARWX!A$2:G$506,6,0)</f>
        <v>527284</v>
      </c>
      <c r="K121">
        <f>VLOOKUP(A121,NYSEARCADBC!A$2:G$506,6,0)</f>
        <v>2315496</v>
      </c>
      <c r="L121">
        <f>VLOOKUP(A121,NYSEARCAGSG!A$2:G$506,6,0)</f>
        <v>593749</v>
      </c>
      <c r="M121">
        <f>VLOOKUP(A121,NYSEARCAGLD!A$2:G$506,6,0)</f>
        <v>3890462</v>
      </c>
      <c r="N121">
        <f>VLOOKUP(A121,NYSEBP!A$2:G$506,6,0)</f>
        <v>5713600</v>
      </c>
      <c r="O121">
        <f>VLOOKUP(A121,NASDAQYHOO!A$2:G$506,6,0)</f>
        <v>13630285</v>
      </c>
    </row>
    <row r="122" spans="1:15">
      <c r="A122" s="39">
        <v>42318</v>
      </c>
      <c r="B122">
        <v>7598579</v>
      </c>
      <c r="C122">
        <f>VLOOKUP(A122,NYSEARCAVTI!A$2:G$506,6,0)</f>
        <v>1605331</v>
      </c>
      <c r="D122">
        <f>VLOOKUP(A122,NYSEARCAVEU!A$2:G$506,6,0)</f>
        <v>5203937</v>
      </c>
      <c r="E122">
        <f>VLOOKUP(A122,NYSEARCAVWO!A$2:G$506,6,0)</f>
        <v>19549771</v>
      </c>
      <c r="F122">
        <f>VLOOKUP(A122,NYSEARCABND!A$2:G$506,6,0)</f>
        <v>1421015</v>
      </c>
      <c r="G122">
        <f>VLOOKUP(A122,NYSEARCATIP!A$2:G$506,6,0)</f>
        <v>855966</v>
      </c>
      <c r="H122">
        <f>VLOOKUP(A122,NYSEARCAMUB!A$2:G$506,6,0)</f>
        <v>211316</v>
      </c>
      <c r="I122">
        <f>VLOOKUP(A122,NYSEARCAVNQ!A$2:G$506,6,0)</f>
        <v>4688603</v>
      </c>
      <c r="J122">
        <f>VLOOKUP(A122,NYSEARCARWX!A$2:G$506,6,0)</f>
        <v>2101678</v>
      </c>
      <c r="K122">
        <f>VLOOKUP(A122,NYSEARCADBC!A$2:G$506,6,0)</f>
        <v>1055475</v>
      </c>
      <c r="L122">
        <f>VLOOKUP(A122,NYSEARCAGSG!A$2:G$506,6,0)</f>
        <v>251258</v>
      </c>
      <c r="M122">
        <f>VLOOKUP(A122,NYSEARCAGLD!A$2:G$506,6,0)</f>
        <v>4427915</v>
      </c>
      <c r="N122">
        <f>VLOOKUP(A122,NYSEBP!A$2:G$506,6,0)</f>
        <v>4700908</v>
      </c>
      <c r="O122">
        <f>VLOOKUP(A122,NASDAQYHOO!A$2:G$506,6,0)</f>
        <v>11506089</v>
      </c>
    </row>
    <row r="123" spans="1:15">
      <c r="A123" s="39">
        <v>42319</v>
      </c>
      <c r="B123">
        <v>8673183</v>
      </c>
      <c r="C123">
        <f>VLOOKUP(A123,NYSEARCAVTI!A$2:G$506,6,0)</f>
        <v>1340498</v>
      </c>
      <c r="D123">
        <f>VLOOKUP(A123,NYSEARCAVEU!A$2:G$506,6,0)</f>
        <v>1105749</v>
      </c>
      <c r="E123">
        <f>VLOOKUP(A123,NYSEARCAVWO!A$2:G$506,6,0)</f>
        <v>9942167</v>
      </c>
      <c r="F123">
        <f>VLOOKUP(A123,NYSEARCABND!A$2:G$506,6,0)</f>
        <v>1303455</v>
      </c>
      <c r="G123">
        <f>VLOOKUP(A123,NYSEARCATIP!A$2:G$506,6,0)</f>
        <v>439240</v>
      </c>
      <c r="H123">
        <f>VLOOKUP(A123,NYSEARCAMUB!A$2:G$506,6,0)</f>
        <v>174663</v>
      </c>
      <c r="I123">
        <f>VLOOKUP(A123,NYSEARCAVNQ!A$2:G$506,6,0)</f>
        <v>2228288</v>
      </c>
      <c r="J123">
        <f>VLOOKUP(A123,NYSEARCARWX!A$2:G$506,6,0)</f>
        <v>274952</v>
      </c>
      <c r="K123">
        <f>VLOOKUP(A123,NYSEARCADBC!A$2:G$506,6,0)</f>
        <v>1133860</v>
      </c>
      <c r="L123">
        <f>VLOOKUP(A123,NYSEARCAGSG!A$2:G$506,6,0)</f>
        <v>101312</v>
      </c>
      <c r="M123">
        <f>VLOOKUP(A123,NYSEARCAGLD!A$2:G$506,6,0)</f>
        <v>3311432</v>
      </c>
      <c r="N123">
        <f>VLOOKUP(A123,NYSEBP!A$2:G$506,6,0)</f>
        <v>4630226</v>
      </c>
      <c r="O123">
        <f>VLOOKUP(A123,NASDAQYHOO!A$2:G$506,6,0)</f>
        <v>11804051</v>
      </c>
    </row>
    <row r="124" spans="1:15">
      <c r="A124" s="39">
        <v>42320</v>
      </c>
      <c r="B124">
        <v>9436603</v>
      </c>
      <c r="C124">
        <f>VLOOKUP(A124,NYSEARCAVTI!A$2:G$506,6,0)</f>
        <v>3081944</v>
      </c>
      <c r="D124">
        <f>VLOOKUP(A124,NYSEARCAVEU!A$2:G$506,6,0)</f>
        <v>2123591</v>
      </c>
      <c r="E124">
        <f>VLOOKUP(A124,NYSEARCAVWO!A$2:G$506,6,0)</f>
        <v>11942999</v>
      </c>
      <c r="F124">
        <f>VLOOKUP(A124,NYSEARCABND!A$2:G$506,6,0)</f>
        <v>1263972</v>
      </c>
      <c r="G124">
        <f>VLOOKUP(A124,NYSEARCATIP!A$2:G$506,6,0)</f>
        <v>569406</v>
      </c>
      <c r="H124">
        <f>VLOOKUP(A124,NYSEARCAMUB!A$2:G$506,6,0)</f>
        <v>463288</v>
      </c>
      <c r="I124">
        <f>VLOOKUP(A124,NYSEARCAVNQ!A$2:G$506,6,0)</f>
        <v>3212227</v>
      </c>
      <c r="J124">
        <f>VLOOKUP(A124,NYSEARCARWX!A$2:G$506,6,0)</f>
        <v>232944</v>
      </c>
      <c r="K124">
        <f>VLOOKUP(A124,NYSEARCADBC!A$2:G$506,6,0)</f>
        <v>1817348</v>
      </c>
      <c r="L124">
        <f>VLOOKUP(A124,NYSEARCAGSG!A$2:G$506,6,0)</f>
        <v>374695</v>
      </c>
      <c r="M124">
        <f>VLOOKUP(A124,NYSEARCAGLD!A$2:G$506,6,0)</f>
        <v>6297410</v>
      </c>
      <c r="N124">
        <f>VLOOKUP(A124,NYSEBP!A$2:G$506,6,0)</f>
        <v>6098476</v>
      </c>
      <c r="O124">
        <f>VLOOKUP(A124,NASDAQYHOO!A$2:G$506,6,0)</f>
        <v>14246234</v>
      </c>
    </row>
    <row r="125" spans="1:15">
      <c r="A125" s="39">
        <v>42321</v>
      </c>
      <c r="B125">
        <v>12497040</v>
      </c>
      <c r="C125">
        <f>VLOOKUP(A125,NYSEARCAVTI!A$2:G$506,6,0)</f>
        <v>3002484</v>
      </c>
      <c r="D125">
        <f>VLOOKUP(A125,NYSEARCAVEU!A$2:G$506,6,0)</f>
        <v>2269337</v>
      </c>
      <c r="E125">
        <f>VLOOKUP(A125,NYSEARCAVWO!A$2:G$506,6,0)</f>
        <v>21667005</v>
      </c>
      <c r="F125">
        <f>VLOOKUP(A125,NYSEARCABND!A$2:G$506,6,0)</f>
        <v>1583233</v>
      </c>
      <c r="G125">
        <f>VLOOKUP(A125,NYSEARCATIP!A$2:G$506,6,0)</f>
        <v>564487</v>
      </c>
      <c r="H125">
        <f>VLOOKUP(A125,NYSEARCAMUB!A$2:G$506,6,0)</f>
        <v>293007</v>
      </c>
      <c r="I125">
        <f>VLOOKUP(A125,NYSEARCAVNQ!A$2:G$506,6,0)</f>
        <v>4249350</v>
      </c>
      <c r="J125">
        <f>VLOOKUP(A125,NYSEARCARWX!A$2:G$506,6,0)</f>
        <v>354028</v>
      </c>
      <c r="K125">
        <f>VLOOKUP(A125,NYSEARCADBC!A$2:G$506,6,0)</f>
        <v>1517353</v>
      </c>
      <c r="L125">
        <f>VLOOKUP(A125,NYSEARCAGSG!A$2:G$506,6,0)</f>
        <v>172067</v>
      </c>
      <c r="M125">
        <f>VLOOKUP(A125,NYSEARCAGLD!A$2:G$506,6,0)</f>
        <v>3177545</v>
      </c>
      <c r="N125">
        <f>VLOOKUP(A125,NYSEBP!A$2:G$506,6,0)</f>
        <v>4777621</v>
      </c>
      <c r="O125">
        <f>VLOOKUP(A125,NASDAQYHOO!A$2:G$506,6,0)</f>
        <v>10874421</v>
      </c>
    </row>
    <row r="126" spans="1:15">
      <c r="A126" s="39">
        <v>42324</v>
      </c>
      <c r="B126">
        <v>13232149</v>
      </c>
      <c r="C126">
        <f>VLOOKUP(A126,NYSEARCAVTI!A$2:G$506,6,0)</f>
        <v>2634902</v>
      </c>
      <c r="D126">
        <f>VLOOKUP(A126,NYSEARCAVEU!A$2:G$506,6,0)</f>
        <v>2763296</v>
      </c>
      <c r="E126">
        <f>VLOOKUP(A126,NYSEARCAVWO!A$2:G$506,6,0)</f>
        <v>13815024</v>
      </c>
      <c r="F126">
        <f>VLOOKUP(A126,NYSEARCABND!A$2:G$506,6,0)</f>
        <v>949133</v>
      </c>
      <c r="G126">
        <f>VLOOKUP(A126,NYSEARCATIP!A$2:G$506,6,0)</f>
        <v>544333</v>
      </c>
      <c r="H126">
        <f>VLOOKUP(A126,NYSEARCAMUB!A$2:G$506,6,0)</f>
        <v>234985</v>
      </c>
      <c r="I126">
        <f>VLOOKUP(A126,NYSEARCAVNQ!A$2:G$506,6,0)</f>
        <v>3117899</v>
      </c>
      <c r="J126">
        <f>VLOOKUP(A126,NYSEARCARWX!A$2:G$506,6,0)</f>
        <v>316335</v>
      </c>
      <c r="K126">
        <f>VLOOKUP(A126,NYSEARCADBC!A$2:G$506,6,0)</f>
        <v>1107774</v>
      </c>
      <c r="L126">
        <f>VLOOKUP(A126,NYSEARCAGSG!A$2:G$506,6,0)</f>
        <v>239784</v>
      </c>
      <c r="M126">
        <f>VLOOKUP(A126,NYSEARCAGLD!A$2:G$506,6,0)</f>
        <v>2949509</v>
      </c>
      <c r="N126">
        <f>VLOOKUP(A126,NYSEBP!A$2:G$506,6,0)</f>
        <v>5826315</v>
      </c>
      <c r="O126">
        <f>VLOOKUP(A126,NASDAQYHOO!A$2:G$506,6,0)</f>
        <v>10977682</v>
      </c>
    </row>
    <row r="127" spans="1:15">
      <c r="A127" s="39">
        <v>42325</v>
      </c>
      <c r="B127">
        <v>24636905</v>
      </c>
      <c r="C127">
        <f>VLOOKUP(A127,NYSEARCAVTI!A$2:G$506,6,0)</f>
        <v>2243162</v>
      </c>
      <c r="D127">
        <f>VLOOKUP(A127,NYSEARCAVEU!A$2:G$506,6,0)</f>
        <v>2011641</v>
      </c>
      <c r="E127">
        <f>VLOOKUP(A127,NYSEARCAVWO!A$2:G$506,6,0)</f>
        <v>32173666</v>
      </c>
      <c r="F127">
        <f>VLOOKUP(A127,NYSEARCABND!A$2:G$506,6,0)</f>
        <v>1155931</v>
      </c>
      <c r="G127">
        <f>VLOOKUP(A127,NYSEARCATIP!A$2:G$506,6,0)</f>
        <v>810076</v>
      </c>
      <c r="H127">
        <f>VLOOKUP(A127,NYSEARCAMUB!A$2:G$506,6,0)</f>
        <v>317529</v>
      </c>
      <c r="I127">
        <f>VLOOKUP(A127,NYSEARCAVNQ!A$2:G$506,6,0)</f>
        <v>3845609</v>
      </c>
      <c r="J127">
        <f>VLOOKUP(A127,NYSEARCARWX!A$2:G$506,6,0)</f>
        <v>450753</v>
      </c>
      <c r="K127">
        <f>VLOOKUP(A127,NYSEARCADBC!A$2:G$506,6,0)</f>
        <v>1094820</v>
      </c>
      <c r="L127">
        <f>VLOOKUP(A127,NYSEARCAGSG!A$2:G$506,6,0)</f>
        <v>189498</v>
      </c>
      <c r="M127">
        <f>VLOOKUP(A127,NYSEARCAGLD!A$2:G$506,6,0)</f>
        <v>8591823</v>
      </c>
      <c r="N127">
        <f>VLOOKUP(A127,NYSEBP!A$2:G$506,6,0)</f>
        <v>4823806</v>
      </c>
      <c r="O127">
        <f>VLOOKUP(A127,NASDAQYHOO!A$2:G$506,6,0)</f>
        <v>10231651</v>
      </c>
    </row>
    <row r="128" spans="1:15">
      <c r="A128" s="39">
        <v>42326</v>
      </c>
      <c r="B128">
        <v>14748472</v>
      </c>
      <c r="C128">
        <f>VLOOKUP(A128,NYSEARCAVTI!A$2:G$506,6,0)</f>
        <v>1705524</v>
      </c>
      <c r="D128">
        <f>VLOOKUP(A128,NYSEARCAVEU!A$2:G$506,6,0)</f>
        <v>1626159</v>
      </c>
      <c r="E128">
        <f>VLOOKUP(A128,NYSEARCAVWO!A$2:G$506,6,0)</f>
        <v>17408227</v>
      </c>
      <c r="F128">
        <f>VLOOKUP(A128,NYSEARCABND!A$2:G$506,6,0)</f>
        <v>944059</v>
      </c>
      <c r="G128">
        <f>VLOOKUP(A128,NYSEARCATIP!A$2:G$506,6,0)</f>
        <v>558944</v>
      </c>
      <c r="H128">
        <f>VLOOKUP(A128,NYSEARCAMUB!A$2:G$506,6,0)</f>
        <v>262395</v>
      </c>
      <c r="I128">
        <f>VLOOKUP(A128,NYSEARCAVNQ!A$2:G$506,6,0)</f>
        <v>3429248</v>
      </c>
      <c r="J128">
        <f>VLOOKUP(A128,NYSEARCARWX!A$2:G$506,6,0)</f>
        <v>316026</v>
      </c>
      <c r="K128">
        <f>VLOOKUP(A128,NYSEARCADBC!A$2:G$506,6,0)</f>
        <v>1851031</v>
      </c>
      <c r="L128">
        <f>VLOOKUP(A128,NYSEARCAGSG!A$2:G$506,6,0)</f>
        <v>187327</v>
      </c>
      <c r="M128">
        <f>VLOOKUP(A128,NYSEARCAGLD!A$2:G$506,6,0)</f>
        <v>5038480</v>
      </c>
      <c r="N128">
        <f>VLOOKUP(A128,NYSEBP!A$2:G$506,6,0)</f>
        <v>7394607</v>
      </c>
      <c r="O128">
        <f>VLOOKUP(A128,NASDAQYHOO!A$2:G$506,6,0)</f>
        <v>10759423</v>
      </c>
    </row>
    <row r="129" spans="1:15">
      <c r="A129" s="39">
        <v>42327</v>
      </c>
      <c r="B129">
        <v>11486699</v>
      </c>
      <c r="C129">
        <f>VLOOKUP(A129,NYSEARCAVTI!A$2:G$506,6,0)</f>
        <v>1623427</v>
      </c>
      <c r="D129">
        <f>VLOOKUP(A129,NYSEARCAVEU!A$2:G$506,6,0)</f>
        <v>2102505</v>
      </c>
      <c r="E129">
        <f>VLOOKUP(A129,NYSEARCAVWO!A$2:G$506,6,0)</f>
        <v>16116387</v>
      </c>
      <c r="F129">
        <f>VLOOKUP(A129,NYSEARCABND!A$2:G$506,6,0)</f>
        <v>1085505</v>
      </c>
      <c r="G129">
        <f>VLOOKUP(A129,NYSEARCATIP!A$2:G$506,6,0)</f>
        <v>503992</v>
      </c>
      <c r="H129">
        <f>VLOOKUP(A129,NYSEARCAMUB!A$2:G$506,6,0)</f>
        <v>261972</v>
      </c>
      <c r="I129">
        <f>VLOOKUP(A129,NYSEARCAVNQ!A$2:G$506,6,0)</f>
        <v>3628076</v>
      </c>
      <c r="J129">
        <f>VLOOKUP(A129,NYSEARCARWX!A$2:G$506,6,0)</f>
        <v>739369</v>
      </c>
      <c r="K129">
        <f>VLOOKUP(A129,NYSEARCADBC!A$2:G$506,6,0)</f>
        <v>2045773</v>
      </c>
      <c r="L129">
        <f>VLOOKUP(A129,NYSEARCAGSG!A$2:G$506,6,0)</f>
        <v>146458</v>
      </c>
      <c r="M129">
        <f>VLOOKUP(A129,NYSEARCAGLD!A$2:G$506,6,0)</f>
        <v>4853529</v>
      </c>
      <c r="N129">
        <f>VLOOKUP(A129,NYSEBP!A$2:G$506,6,0)</f>
        <v>5796344</v>
      </c>
      <c r="O129">
        <f>VLOOKUP(A129,NASDAQYHOO!A$2:G$506,6,0)</f>
        <v>13978215</v>
      </c>
    </row>
    <row r="130" spans="1:15">
      <c r="A130" s="39">
        <v>42328</v>
      </c>
      <c r="B130">
        <v>12225158</v>
      </c>
      <c r="C130">
        <f>VLOOKUP(A130,NYSEARCAVTI!A$2:G$506,6,0)</f>
        <v>1563483</v>
      </c>
      <c r="D130">
        <f>VLOOKUP(A130,NYSEARCAVEU!A$2:G$506,6,0)</f>
        <v>2062959</v>
      </c>
      <c r="E130">
        <f>VLOOKUP(A130,NYSEARCAVWO!A$2:G$506,6,0)</f>
        <v>13749246</v>
      </c>
      <c r="F130">
        <f>VLOOKUP(A130,NYSEARCABND!A$2:G$506,6,0)</f>
        <v>1273826</v>
      </c>
      <c r="G130">
        <f>VLOOKUP(A130,NYSEARCATIP!A$2:G$506,6,0)</f>
        <v>445565</v>
      </c>
      <c r="H130">
        <f>VLOOKUP(A130,NYSEARCAMUB!A$2:G$506,6,0)</f>
        <v>224175</v>
      </c>
      <c r="I130">
        <f>VLOOKUP(A130,NYSEARCAVNQ!A$2:G$506,6,0)</f>
        <v>3964607</v>
      </c>
      <c r="J130">
        <f>VLOOKUP(A130,NYSEARCARWX!A$2:G$506,6,0)</f>
        <v>280237</v>
      </c>
      <c r="K130">
        <f>VLOOKUP(A130,NYSEARCADBC!A$2:G$506,6,0)</f>
        <v>2169472</v>
      </c>
      <c r="L130">
        <f>VLOOKUP(A130,NYSEARCAGSG!A$2:G$506,6,0)</f>
        <v>132148</v>
      </c>
      <c r="M130">
        <f>VLOOKUP(A130,NYSEARCAGLD!A$2:G$506,6,0)</f>
        <v>5780943</v>
      </c>
      <c r="N130">
        <f>VLOOKUP(A130,NYSEBP!A$2:G$506,6,0)</f>
        <v>5266412</v>
      </c>
      <c r="O130">
        <f>VLOOKUP(A130,NASDAQYHOO!A$2:G$506,6,0)</f>
        <v>12482636</v>
      </c>
    </row>
    <row r="131" spans="1:15">
      <c r="A131" s="39">
        <v>42331</v>
      </c>
      <c r="B131">
        <v>10572404</v>
      </c>
      <c r="C131">
        <f>VLOOKUP(A131,NYSEARCAVTI!A$2:G$506,6,0)</f>
        <v>3143800</v>
      </c>
      <c r="D131">
        <f>VLOOKUP(A131,NYSEARCAVEU!A$2:G$506,6,0)</f>
        <v>3238229</v>
      </c>
      <c r="E131">
        <f>VLOOKUP(A131,NYSEARCAVWO!A$2:G$506,6,0)</f>
        <v>19688068</v>
      </c>
      <c r="F131">
        <f>VLOOKUP(A131,NYSEARCABND!A$2:G$506,6,0)</f>
        <v>1647311</v>
      </c>
      <c r="G131">
        <f>VLOOKUP(A131,NYSEARCATIP!A$2:G$506,6,0)</f>
        <v>533221</v>
      </c>
      <c r="H131">
        <f>VLOOKUP(A131,NYSEARCAMUB!A$2:G$506,6,0)</f>
        <v>290656</v>
      </c>
      <c r="I131">
        <f>VLOOKUP(A131,NYSEARCAVNQ!A$2:G$506,6,0)</f>
        <v>2369382</v>
      </c>
      <c r="J131">
        <f>VLOOKUP(A131,NYSEARCARWX!A$2:G$506,6,0)</f>
        <v>735471</v>
      </c>
      <c r="K131">
        <f>VLOOKUP(A131,NYSEARCADBC!A$2:G$506,6,0)</f>
        <v>3993559</v>
      </c>
      <c r="L131">
        <f>VLOOKUP(A131,NYSEARCAGSG!A$2:G$506,6,0)</f>
        <v>173511</v>
      </c>
      <c r="M131">
        <f>VLOOKUP(A131,NYSEARCAGLD!A$2:G$506,6,0)</f>
        <v>4040696</v>
      </c>
      <c r="N131">
        <f>VLOOKUP(A131,NYSEBP!A$2:G$506,6,0)</f>
        <v>5145604</v>
      </c>
      <c r="O131">
        <f>VLOOKUP(A131,NASDAQYHOO!A$2:G$506,6,0)</f>
        <v>11899686</v>
      </c>
    </row>
    <row r="132" spans="1:15">
      <c r="A132" s="39">
        <v>42332</v>
      </c>
      <c r="B132">
        <v>12417331</v>
      </c>
      <c r="C132">
        <f>VLOOKUP(A132,NYSEARCAVTI!A$2:G$506,6,0)</f>
        <v>2032647</v>
      </c>
      <c r="D132">
        <f>VLOOKUP(A132,NYSEARCAVEU!A$2:G$506,6,0)</f>
        <v>4027155</v>
      </c>
      <c r="E132">
        <f>VLOOKUP(A132,NYSEARCAVWO!A$2:G$506,6,0)</f>
        <v>18208164</v>
      </c>
      <c r="F132">
        <f>VLOOKUP(A132,NYSEARCABND!A$2:G$506,6,0)</f>
        <v>1361902</v>
      </c>
      <c r="G132">
        <f>VLOOKUP(A132,NYSEARCATIP!A$2:G$506,6,0)</f>
        <v>578117</v>
      </c>
      <c r="H132">
        <f>VLOOKUP(A132,NYSEARCAMUB!A$2:G$506,6,0)</f>
        <v>225195</v>
      </c>
      <c r="I132">
        <f>VLOOKUP(A132,NYSEARCAVNQ!A$2:G$506,6,0)</f>
        <v>3498947</v>
      </c>
      <c r="J132">
        <f>VLOOKUP(A132,NYSEARCARWX!A$2:G$506,6,0)</f>
        <v>422291</v>
      </c>
      <c r="K132">
        <f>VLOOKUP(A132,NYSEARCADBC!A$2:G$506,6,0)</f>
        <v>1308999</v>
      </c>
      <c r="L132">
        <f>VLOOKUP(A132,NYSEARCAGSG!A$2:G$506,6,0)</f>
        <v>313534</v>
      </c>
      <c r="M132">
        <f>VLOOKUP(A132,NYSEARCAGLD!A$2:G$506,6,0)</f>
        <v>3479351</v>
      </c>
      <c r="N132">
        <f>VLOOKUP(A132,NYSEBP!A$2:G$506,6,0)</f>
        <v>6465585</v>
      </c>
      <c r="O132">
        <f>VLOOKUP(A132,NASDAQYHOO!A$2:G$506,6,0)</f>
        <v>13156391</v>
      </c>
    </row>
    <row r="133" spans="1:15">
      <c r="A133" s="39">
        <v>42333</v>
      </c>
      <c r="B133">
        <v>7821028</v>
      </c>
      <c r="C133">
        <f>VLOOKUP(A133,NYSEARCAVTI!A$2:G$506,6,0)</f>
        <v>1820310</v>
      </c>
      <c r="D133">
        <f>VLOOKUP(A133,NYSEARCAVEU!A$2:G$506,6,0)</f>
        <v>1650915</v>
      </c>
      <c r="E133">
        <f>VLOOKUP(A133,NYSEARCAVWO!A$2:G$506,6,0)</f>
        <v>14325580</v>
      </c>
      <c r="F133">
        <f>VLOOKUP(A133,NYSEARCABND!A$2:G$506,6,0)</f>
        <v>904601</v>
      </c>
      <c r="G133">
        <f>VLOOKUP(A133,NYSEARCATIP!A$2:G$506,6,0)</f>
        <v>567085</v>
      </c>
      <c r="H133">
        <f>VLOOKUP(A133,NYSEARCAMUB!A$2:G$506,6,0)</f>
        <v>257610</v>
      </c>
      <c r="I133">
        <f>VLOOKUP(A133,NYSEARCAVNQ!A$2:G$506,6,0)</f>
        <v>1959716</v>
      </c>
      <c r="J133">
        <f>VLOOKUP(A133,NYSEARCARWX!A$2:G$506,6,0)</f>
        <v>306978</v>
      </c>
      <c r="K133">
        <f>VLOOKUP(A133,NYSEARCADBC!A$2:G$506,6,0)</f>
        <v>1427294</v>
      </c>
      <c r="L133">
        <f>VLOOKUP(A133,NYSEARCAGSG!A$2:G$506,6,0)</f>
        <v>205415</v>
      </c>
      <c r="M133">
        <f>VLOOKUP(A133,NYSEARCAGLD!A$2:G$506,6,0)</f>
        <v>2931291</v>
      </c>
      <c r="N133">
        <f>VLOOKUP(A133,NYSEBP!A$2:G$506,6,0)</f>
        <v>5220101</v>
      </c>
      <c r="O133">
        <f>VLOOKUP(A133,NASDAQYHOO!A$2:G$506,6,0)</f>
        <v>13257985</v>
      </c>
    </row>
    <row r="134" spans="1:15">
      <c r="A134" s="39">
        <v>42335</v>
      </c>
      <c r="B134">
        <v>5340240</v>
      </c>
      <c r="C134">
        <f>VLOOKUP(A134,NYSEARCAVTI!A$2:G$506,6,0)</f>
        <v>552449</v>
      </c>
      <c r="D134">
        <f>VLOOKUP(A134,NYSEARCAVEU!A$2:G$506,6,0)</f>
        <v>686435</v>
      </c>
      <c r="E134">
        <f>VLOOKUP(A134,NYSEARCAVWO!A$2:G$506,6,0)</f>
        <v>11853104</v>
      </c>
      <c r="F134">
        <f>VLOOKUP(A134,NYSEARCABND!A$2:G$506,6,0)</f>
        <v>515956</v>
      </c>
      <c r="G134">
        <f>VLOOKUP(A134,NYSEARCATIP!A$2:G$506,6,0)</f>
        <v>308954</v>
      </c>
      <c r="H134">
        <f>VLOOKUP(A134,NYSEARCAMUB!A$2:G$506,6,0)</f>
        <v>118416</v>
      </c>
      <c r="I134">
        <f>VLOOKUP(A134,NYSEARCAVNQ!A$2:G$506,6,0)</f>
        <v>1348687</v>
      </c>
      <c r="J134">
        <f>VLOOKUP(A134,NYSEARCARWX!A$2:G$506,6,0)</f>
        <v>70503</v>
      </c>
      <c r="K134">
        <f>VLOOKUP(A134,NYSEARCADBC!A$2:G$506,6,0)</f>
        <v>1606839</v>
      </c>
      <c r="L134">
        <f>VLOOKUP(A134,NYSEARCAGSG!A$2:G$506,6,0)</f>
        <v>80418</v>
      </c>
      <c r="M134">
        <f>VLOOKUP(A134,NYSEARCAGLD!A$2:G$506,6,0)</f>
        <v>4992078</v>
      </c>
      <c r="N134">
        <f>VLOOKUP(A134,NYSEBP!A$2:G$506,6,0)</f>
        <v>2849642</v>
      </c>
      <c r="O134">
        <f>VLOOKUP(A134,NASDAQYHOO!A$2:G$506,6,0)</f>
        <v>5315555</v>
      </c>
    </row>
    <row r="135" spans="1:15">
      <c r="A135" s="39">
        <v>42338</v>
      </c>
      <c r="B135">
        <v>13792313</v>
      </c>
      <c r="C135">
        <f>VLOOKUP(A135,NYSEARCAVTI!A$2:G$506,6,0)</f>
        <v>3616912</v>
      </c>
      <c r="D135">
        <f>VLOOKUP(A135,NYSEARCAVEU!A$2:G$506,6,0)</f>
        <v>2997962</v>
      </c>
      <c r="E135">
        <f>VLOOKUP(A135,NYSEARCAVWO!A$2:G$506,6,0)</f>
        <v>20716472</v>
      </c>
      <c r="F135">
        <f>VLOOKUP(A135,NYSEARCABND!A$2:G$506,6,0)</f>
        <v>6285194</v>
      </c>
      <c r="G135">
        <f>VLOOKUP(A135,NYSEARCATIP!A$2:G$506,6,0)</f>
        <v>1383720</v>
      </c>
      <c r="H135">
        <f>VLOOKUP(A135,NYSEARCAMUB!A$2:G$506,6,0)</f>
        <v>212708</v>
      </c>
      <c r="I135">
        <f>VLOOKUP(A135,NYSEARCAVNQ!A$2:G$506,6,0)</f>
        <v>7043376</v>
      </c>
      <c r="J135">
        <f>VLOOKUP(A135,NYSEARCARWX!A$2:G$506,6,0)</f>
        <v>748367</v>
      </c>
      <c r="K135">
        <f>VLOOKUP(A135,NYSEARCADBC!A$2:G$506,6,0)</f>
        <v>2975400</v>
      </c>
      <c r="L135">
        <f>VLOOKUP(A135,NYSEARCAGSG!A$2:G$506,6,0)</f>
        <v>1151133</v>
      </c>
      <c r="M135">
        <f>VLOOKUP(A135,NYSEARCAGLD!A$2:G$506,6,0)</f>
        <v>6380688</v>
      </c>
      <c r="N135">
        <f>VLOOKUP(A135,NYSEBP!A$2:G$506,6,0)</f>
        <v>5587703</v>
      </c>
      <c r="O135">
        <f>VLOOKUP(A135,NASDAQYHOO!A$2:G$506,6,0)</f>
        <v>17363644</v>
      </c>
    </row>
    <row r="136" spans="1:15">
      <c r="A136" s="39">
        <v>42339</v>
      </c>
      <c r="B136">
        <v>12195492</v>
      </c>
      <c r="C136">
        <f>VLOOKUP(A136,NYSEARCAVTI!A$2:G$506,6,0)</f>
        <v>2444243</v>
      </c>
      <c r="D136">
        <f>VLOOKUP(A136,NYSEARCAVEU!A$2:G$506,6,0)</f>
        <v>3343156</v>
      </c>
      <c r="E136">
        <f>VLOOKUP(A136,NYSEARCAVWO!A$2:G$506,6,0)</f>
        <v>25153367</v>
      </c>
      <c r="F136">
        <f>VLOOKUP(A136,NYSEARCABND!A$2:G$506,6,0)</f>
        <v>1780195</v>
      </c>
      <c r="G136">
        <f>VLOOKUP(A136,NYSEARCATIP!A$2:G$506,6,0)</f>
        <v>1398596</v>
      </c>
      <c r="H136">
        <f>VLOOKUP(A136,NYSEARCAMUB!A$2:G$506,6,0)</f>
        <v>760882</v>
      </c>
      <c r="I136">
        <f>VLOOKUP(A136,NYSEARCAVNQ!A$2:G$506,6,0)</f>
        <v>3847326</v>
      </c>
      <c r="J136">
        <f>VLOOKUP(A136,NYSEARCARWX!A$2:G$506,6,0)</f>
        <v>450764</v>
      </c>
      <c r="K136">
        <f>VLOOKUP(A136,NYSEARCADBC!A$2:G$506,6,0)</f>
        <v>2226174</v>
      </c>
      <c r="L136">
        <f>VLOOKUP(A136,NYSEARCAGSG!A$2:G$506,6,0)</f>
        <v>341781</v>
      </c>
      <c r="M136">
        <f>VLOOKUP(A136,NYSEARCAGLD!A$2:G$506,6,0)</f>
        <v>4644136</v>
      </c>
      <c r="N136">
        <f>VLOOKUP(A136,NYSEBP!A$2:G$506,6,0)</f>
        <v>5622539</v>
      </c>
      <c r="O136">
        <f>VLOOKUP(A136,NASDAQYHOO!A$2:G$506,6,0)</f>
        <v>10862528</v>
      </c>
    </row>
    <row r="137" spans="1:15">
      <c r="A137" s="39">
        <v>42340</v>
      </c>
      <c r="B137">
        <v>13532618</v>
      </c>
      <c r="C137">
        <f>VLOOKUP(A137,NYSEARCAVTI!A$2:G$506,6,0)</f>
        <v>2937219</v>
      </c>
      <c r="D137">
        <f>VLOOKUP(A137,NYSEARCAVEU!A$2:G$506,6,0)</f>
        <v>2329480</v>
      </c>
      <c r="E137">
        <f>VLOOKUP(A137,NYSEARCAVWO!A$2:G$506,6,0)</f>
        <v>20783231</v>
      </c>
      <c r="F137">
        <f>VLOOKUP(A137,NYSEARCABND!A$2:G$506,6,0)</f>
        <v>1413685</v>
      </c>
      <c r="G137">
        <f>VLOOKUP(A137,NYSEARCATIP!A$2:G$506,6,0)</f>
        <v>838615</v>
      </c>
      <c r="H137">
        <f>VLOOKUP(A137,NYSEARCAMUB!A$2:G$506,6,0)</f>
        <v>376007</v>
      </c>
      <c r="I137">
        <f>VLOOKUP(A137,NYSEARCAVNQ!A$2:G$506,6,0)</f>
        <v>5713529</v>
      </c>
      <c r="J137">
        <f>VLOOKUP(A137,NYSEARCARWX!A$2:G$506,6,0)</f>
        <v>771864</v>
      </c>
      <c r="K137">
        <f>VLOOKUP(A137,NYSEARCADBC!A$2:G$506,6,0)</f>
        <v>2108818</v>
      </c>
      <c r="L137">
        <f>VLOOKUP(A137,NYSEARCAGSG!A$2:G$506,6,0)</f>
        <v>262465</v>
      </c>
      <c r="M137">
        <f>VLOOKUP(A137,NYSEARCAGLD!A$2:G$506,6,0)</f>
        <v>10205253</v>
      </c>
      <c r="N137">
        <f>VLOOKUP(A137,NYSEBP!A$2:G$506,6,0)</f>
        <v>7610752</v>
      </c>
      <c r="O137">
        <f>VLOOKUP(A137,NASDAQYHOO!A$2:G$506,6,0)</f>
        <v>56614011</v>
      </c>
    </row>
    <row r="138" spans="1:15">
      <c r="A138" s="39">
        <v>42341</v>
      </c>
      <c r="B138">
        <v>15844091</v>
      </c>
      <c r="C138">
        <f>VLOOKUP(A138,NYSEARCAVTI!A$2:G$506,6,0)</f>
        <v>3345637</v>
      </c>
      <c r="D138">
        <f>VLOOKUP(A138,NYSEARCAVEU!A$2:G$506,6,0)</f>
        <v>3761844</v>
      </c>
      <c r="E138">
        <f>VLOOKUP(A138,NYSEARCAVWO!A$2:G$506,6,0)</f>
        <v>18260775</v>
      </c>
      <c r="F138">
        <f>VLOOKUP(A138,NYSEARCABND!A$2:G$506,6,0)</f>
        <v>2510609</v>
      </c>
      <c r="G138">
        <f>VLOOKUP(A138,NYSEARCATIP!A$2:G$506,6,0)</f>
        <v>1903750</v>
      </c>
      <c r="H138">
        <f>VLOOKUP(A138,NYSEARCAMUB!A$2:G$506,6,0)</f>
        <v>330150</v>
      </c>
      <c r="I138">
        <f>VLOOKUP(A138,NYSEARCAVNQ!A$2:G$506,6,0)</f>
        <v>4737363</v>
      </c>
      <c r="J138">
        <f>VLOOKUP(A138,NYSEARCARWX!A$2:G$506,6,0)</f>
        <v>864729</v>
      </c>
      <c r="K138">
        <f>VLOOKUP(A138,NYSEARCADBC!A$2:G$506,6,0)</f>
        <v>2703411</v>
      </c>
      <c r="L138">
        <f>VLOOKUP(A138,NYSEARCAGSG!A$2:G$506,6,0)</f>
        <v>219389</v>
      </c>
      <c r="M138">
        <f>VLOOKUP(A138,NYSEARCAGLD!A$2:G$506,6,0)</f>
        <v>6499935</v>
      </c>
      <c r="N138">
        <f>VLOOKUP(A138,NYSEBP!A$2:G$506,6,0)</f>
        <v>6417580</v>
      </c>
      <c r="O138">
        <f>VLOOKUP(A138,NASDAQYHOO!A$2:G$506,6,0)</f>
        <v>17080482</v>
      </c>
    </row>
    <row r="139" spans="1:15">
      <c r="A139" s="39">
        <v>42342</v>
      </c>
      <c r="B139">
        <v>10435274</v>
      </c>
      <c r="C139">
        <f>VLOOKUP(A139,NYSEARCAVTI!A$2:G$506,6,0)</f>
        <v>4520885</v>
      </c>
      <c r="D139">
        <f>VLOOKUP(A139,NYSEARCAVEU!A$2:G$506,6,0)</f>
        <v>2811636</v>
      </c>
      <c r="E139">
        <f>VLOOKUP(A139,NYSEARCAVWO!A$2:G$506,6,0)</f>
        <v>21297043</v>
      </c>
      <c r="F139">
        <f>VLOOKUP(A139,NYSEARCABND!A$2:G$506,6,0)</f>
        <v>3815924</v>
      </c>
      <c r="G139">
        <f>VLOOKUP(A139,NYSEARCATIP!A$2:G$506,6,0)</f>
        <v>950466</v>
      </c>
      <c r="H139">
        <f>VLOOKUP(A139,NYSEARCAMUB!A$2:G$506,6,0)</f>
        <v>450886</v>
      </c>
      <c r="I139">
        <f>VLOOKUP(A139,NYSEARCAVNQ!A$2:G$506,6,0)</f>
        <v>3434099</v>
      </c>
      <c r="J139">
        <f>VLOOKUP(A139,NYSEARCARWX!A$2:G$506,6,0)</f>
        <v>609329</v>
      </c>
      <c r="K139">
        <f>VLOOKUP(A139,NYSEARCADBC!A$2:G$506,6,0)</f>
        <v>2145027</v>
      </c>
      <c r="L139">
        <f>VLOOKUP(A139,NYSEARCAGSG!A$2:G$506,6,0)</f>
        <v>576334</v>
      </c>
      <c r="M139">
        <f>VLOOKUP(A139,NYSEARCAGLD!A$2:G$506,6,0)</f>
        <v>10670249</v>
      </c>
      <c r="N139">
        <f>VLOOKUP(A139,NYSEBP!A$2:G$506,6,0)</f>
        <v>9127678</v>
      </c>
      <c r="O139">
        <f>VLOOKUP(A139,NASDAQYHOO!A$2:G$506,6,0)</f>
        <v>16109553</v>
      </c>
    </row>
    <row r="140" spans="1:15">
      <c r="A140" s="39">
        <v>42345</v>
      </c>
      <c r="B140">
        <v>11595928</v>
      </c>
      <c r="C140">
        <f>VLOOKUP(A140,NYSEARCAVTI!A$2:G$506,6,0)</f>
        <v>3000773</v>
      </c>
      <c r="D140">
        <f>VLOOKUP(A140,NYSEARCAVEU!A$2:G$506,6,0)</f>
        <v>2228356</v>
      </c>
      <c r="E140">
        <f>VLOOKUP(A140,NYSEARCAVWO!A$2:G$506,6,0)</f>
        <v>17519822</v>
      </c>
      <c r="F140">
        <f>VLOOKUP(A140,NYSEARCABND!A$2:G$506,6,0)</f>
        <v>1543294</v>
      </c>
      <c r="G140">
        <f>VLOOKUP(A140,NYSEARCATIP!A$2:G$506,6,0)</f>
        <v>456169</v>
      </c>
      <c r="H140">
        <f>VLOOKUP(A140,NYSEARCAMUB!A$2:G$506,6,0)</f>
        <v>310998</v>
      </c>
      <c r="I140">
        <f>VLOOKUP(A140,NYSEARCAVNQ!A$2:G$506,6,0)</f>
        <v>4195204</v>
      </c>
      <c r="J140">
        <f>VLOOKUP(A140,NYSEARCARWX!A$2:G$506,6,0)</f>
        <v>391273</v>
      </c>
      <c r="K140">
        <f>VLOOKUP(A140,NYSEARCADBC!A$2:G$506,6,0)</f>
        <v>2197030</v>
      </c>
      <c r="L140">
        <f>VLOOKUP(A140,NYSEARCAGSG!A$2:G$506,6,0)</f>
        <v>476927</v>
      </c>
      <c r="M140">
        <f>VLOOKUP(A140,NYSEARCAGLD!A$2:G$506,6,0)</f>
        <v>4393461</v>
      </c>
      <c r="N140">
        <f>VLOOKUP(A140,NYSEBP!A$2:G$506,6,0)</f>
        <v>12000774</v>
      </c>
      <c r="O140">
        <f>VLOOKUP(A140,NASDAQYHOO!A$2:G$506,6,0)</f>
        <v>12047935</v>
      </c>
    </row>
    <row r="141" spans="1:15">
      <c r="A141" s="39">
        <v>42346</v>
      </c>
      <c r="B141">
        <v>10377620</v>
      </c>
      <c r="C141">
        <f>VLOOKUP(A141,NYSEARCAVTI!A$2:G$506,6,0)</f>
        <v>3149595</v>
      </c>
      <c r="D141">
        <f>VLOOKUP(A141,NYSEARCAVEU!A$2:G$506,6,0)</f>
        <v>2410732</v>
      </c>
      <c r="E141">
        <f>VLOOKUP(A141,NYSEARCAVWO!A$2:G$506,6,0)</f>
        <v>27372754</v>
      </c>
      <c r="F141">
        <f>VLOOKUP(A141,NYSEARCABND!A$2:G$506,6,0)</f>
        <v>1687308</v>
      </c>
      <c r="G141">
        <f>VLOOKUP(A141,NYSEARCATIP!A$2:G$506,6,0)</f>
        <v>375517</v>
      </c>
      <c r="H141">
        <f>VLOOKUP(A141,NYSEARCAMUB!A$2:G$506,6,0)</f>
        <v>220242</v>
      </c>
      <c r="I141">
        <f>VLOOKUP(A141,NYSEARCAVNQ!A$2:G$506,6,0)</f>
        <v>3638648</v>
      </c>
      <c r="J141">
        <f>VLOOKUP(A141,NYSEARCARWX!A$2:G$506,6,0)</f>
        <v>742047</v>
      </c>
      <c r="K141">
        <f>VLOOKUP(A141,NYSEARCADBC!A$2:G$506,6,0)</f>
        <v>3011136</v>
      </c>
      <c r="L141">
        <f>VLOOKUP(A141,NYSEARCAGSG!A$2:G$506,6,0)</f>
        <v>308766</v>
      </c>
      <c r="M141">
        <f>VLOOKUP(A141,NYSEARCAGLD!A$2:G$506,6,0)</f>
        <v>3412291</v>
      </c>
      <c r="N141">
        <f>VLOOKUP(A141,NYSEBP!A$2:G$506,6,0)</f>
        <v>8913155</v>
      </c>
      <c r="O141">
        <f>VLOOKUP(A141,NASDAQYHOO!A$2:G$506,6,0)</f>
        <v>19852579</v>
      </c>
    </row>
    <row r="142" spans="1:15">
      <c r="A142" s="39">
        <v>42347</v>
      </c>
      <c r="B142">
        <v>8981982</v>
      </c>
      <c r="C142">
        <f>VLOOKUP(A142,NYSEARCAVTI!A$2:G$506,6,0)</f>
        <v>4180200</v>
      </c>
      <c r="D142">
        <f>VLOOKUP(A142,NYSEARCAVEU!A$2:G$506,6,0)</f>
        <v>3350074</v>
      </c>
      <c r="E142">
        <f>VLOOKUP(A142,NYSEARCAVWO!A$2:G$506,6,0)</f>
        <v>22757431</v>
      </c>
      <c r="F142">
        <f>VLOOKUP(A142,NYSEARCABND!A$2:G$506,6,0)</f>
        <v>2076935</v>
      </c>
      <c r="G142">
        <f>VLOOKUP(A142,NYSEARCATIP!A$2:G$506,6,0)</f>
        <v>531131</v>
      </c>
      <c r="H142">
        <f>VLOOKUP(A142,NYSEARCAMUB!A$2:G$506,6,0)</f>
        <v>472242</v>
      </c>
      <c r="I142">
        <f>VLOOKUP(A142,NYSEARCAVNQ!A$2:G$506,6,0)</f>
        <v>4219153</v>
      </c>
      <c r="J142">
        <f>VLOOKUP(A142,NYSEARCARWX!A$2:G$506,6,0)</f>
        <v>1102372</v>
      </c>
      <c r="K142">
        <f>VLOOKUP(A142,NYSEARCADBC!A$2:G$506,6,0)</f>
        <v>2688049</v>
      </c>
      <c r="L142">
        <f>VLOOKUP(A142,NYSEARCAGSG!A$2:G$506,6,0)</f>
        <v>370079</v>
      </c>
      <c r="M142">
        <f>VLOOKUP(A142,NYSEARCAGLD!A$2:G$506,6,0)</f>
        <v>6026283</v>
      </c>
      <c r="N142">
        <f>VLOOKUP(A142,NYSEBP!A$2:G$506,6,0)</f>
        <v>10269035</v>
      </c>
      <c r="O142">
        <f>VLOOKUP(A142,NASDAQYHOO!A$2:G$506,6,0)</f>
        <v>45101897</v>
      </c>
    </row>
    <row r="143" spans="1:15">
      <c r="A143" s="39">
        <v>42348</v>
      </c>
      <c r="B143">
        <v>11359446</v>
      </c>
      <c r="C143">
        <f>VLOOKUP(A143,NYSEARCAVTI!A$2:G$506,6,0)</f>
        <v>3685071</v>
      </c>
      <c r="D143">
        <f>VLOOKUP(A143,NYSEARCAVEU!A$2:G$506,6,0)</f>
        <v>3396338</v>
      </c>
      <c r="E143">
        <f>VLOOKUP(A143,NYSEARCAVWO!A$2:G$506,6,0)</f>
        <v>18375654</v>
      </c>
      <c r="F143">
        <f>VLOOKUP(A143,NYSEARCABND!A$2:G$506,6,0)</f>
        <v>2004401</v>
      </c>
      <c r="G143">
        <f>VLOOKUP(A143,NYSEARCATIP!A$2:G$506,6,0)</f>
        <v>392746</v>
      </c>
      <c r="H143">
        <f>VLOOKUP(A143,NYSEARCAMUB!A$2:G$506,6,0)</f>
        <v>413322</v>
      </c>
      <c r="I143">
        <f>VLOOKUP(A143,NYSEARCAVNQ!A$2:G$506,6,0)</f>
        <v>3464962</v>
      </c>
      <c r="J143">
        <f>VLOOKUP(A143,NYSEARCARWX!A$2:G$506,6,0)</f>
        <v>429188</v>
      </c>
      <c r="K143">
        <f>VLOOKUP(A143,NYSEARCADBC!A$2:G$506,6,0)</f>
        <v>2076633</v>
      </c>
      <c r="L143">
        <f>VLOOKUP(A143,NYSEARCAGSG!A$2:G$506,6,0)</f>
        <v>331691</v>
      </c>
      <c r="M143">
        <f>VLOOKUP(A143,NYSEARCAGLD!A$2:G$506,6,0)</f>
        <v>3853545</v>
      </c>
      <c r="N143">
        <f>VLOOKUP(A143,NYSEBP!A$2:G$506,6,0)</f>
        <v>7893956</v>
      </c>
      <c r="O143">
        <f>VLOOKUP(A143,NASDAQYHOO!A$2:G$506,6,0)</f>
        <v>16174180</v>
      </c>
    </row>
    <row r="144" spans="1:15">
      <c r="A144" s="39">
        <v>42349</v>
      </c>
      <c r="B144">
        <v>9744977</v>
      </c>
      <c r="C144">
        <f>VLOOKUP(A144,NYSEARCAVTI!A$2:G$506,6,0)</f>
        <v>5100745</v>
      </c>
      <c r="D144">
        <f>VLOOKUP(A144,NYSEARCAVEU!A$2:G$506,6,0)</f>
        <v>4914118</v>
      </c>
      <c r="E144">
        <f>VLOOKUP(A144,NYSEARCAVWO!A$2:G$506,6,0)</f>
        <v>35138973</v>
      </c>
      <c r="F144">
        <f>VLOOKUP(A144,NYSEARCABND!A$2:G$506,6,0)</f>
        <v>1994489</v>
      </c>
      <c r="G144">
        <f>VLOOKUP(A144,NYSEARCATIP!A$2:G$506,6,0)</f>
        <v>361781</v>
      </c>
      <c r="H144">
        <f>VLOOKUP(A144,NYSEARCAMUB!A$2:G$506,6,0)</f>
        <v>1575014</v>
      </c>
      <c r="I144">
        <f>VLOOKUP(A144,NYSEARCAVNQ!A$2:G$506,6,0)</f>
        <v>3420846</v>
      </c>
      <c r="J144">
        <f>VLOOKUP(A144,NYSEARCARWX!A$2:G$506,6,0)</f>
        <v>662216</v>
      </c>
      <c r="K144">
        <f>VLOOKUP(A144,NYSEARCADBC!A$2:G$506,6,0)</f>
        <v>4237899</v>
      </c>
      <c r="L144">
        <f>VLOOKUP(A144,NYSEARCAGSG!A$2:G$506,6,0)</f>
        <v>218921</v>
      </c>
      <c r="M144">
        <f>VLOOKUP(A144,NYSEARCAGLD!A$2:G$506,6,0)</f>
        <v>6798411</v>
      </c>
      <c r="N144">
        <f>VLOOKUP(A144,NYSEBP!A$2:G$506,6,0)</f>
        <v>8344281</v>
      </c>
      <c r="O144">
        <f>VLOOKUP(A144,NASDAQYHOO!A$2:G$506,6,0)</f>
        <v>14936195</v>
      </c>
    </row>
    <row r="145" spans="1:15">
      <c r="A145" s="39">
        <v>42352</v>
      </c>
      <c r="B145">
        <v>14491235</v>
      </c>
      <c r="C145">
        <f>VLOOKUP(A145,NYSEARCAVTI!A$2:G$506,6,0)</f>
        <v>7235740</v>
      </c>
      <c r="D145">
        <f>VLOOKUP(A145,NYSEARCAVEU!A$2:G$506,6,0)</f>
        <v>5136256</v>
      </c>
      <c r="E145">
        <f>VLOOKUP(A145,NYSEARCAVWO!A$2:G$506,6,0)</f>
        <v>34568526</v>
      </c>
      <c r="F145">
        <f>VLOOKUP(A145,NYSEARCABND!A$2:G$506,6,0)</f>
        <v>2967739</v>
      </c>
      <c r="G145">
        <f>VLOOKUP(A145,NYSEARCATIP!A$2:G$506,6,0)</f>
        <v>645133</v>
      </c>
      <c r="H145">
        <f>VLOOKUP(A145,NYSEARCAMUB!A$2:G$506,6,0)</f>
        <v>500304</v>
      </c>
      <c r="I145">
        <f>VLOOKUP(A145,NYSEARCAVNQ!A$2:G$506,6,0)</f>
        <v>4769633</v>
      </c>
      <c r="J145">
        <f>VLOOKUP(A145,NYSEARCARWX!A$2:G$506,6,0)</f>
        <v>775792</v>
      </c>
      <c r="K145">
        <f>VLOOKUP(A145,NYSEARCADBC!A$2:G$506,6,0)</f>
        <v>2627300</v>
      </c>
      <c r="L145">
        <f>VLOOKUP(A145,NYSEARCAGSG!A$2:G$506,6,0)</f>
        <v>770314</v>
      </c>
      <c r="M145">
        <f>VLOOKUP(A145,NYSEARCAGLD!A$2:G$506,6,0)</f>
        <v>5536914</v>
      </c>
      <c r="N145">
        <f>VLOOKUP(A145,NYSEBP!A$2:G$506,6,0)</f>
        <v>16879282</v>
      </c>
      <c r="O145">
        <f>VLOOKUP(A145,NASDAQYHOO!A$2:G$506,6,0)</f>
        <v>15949567</v>
      </c>
    </row>
    <row r="146" spans="1:15">
      <c r="A146" s="39">
        <v>42353</v>
      </c>
      <c r="B146">
        <v>14615439</v>
      </c>
      <c r="C146">
        <f>VLOOKUP(A146,NYSEARCAVTI!A$2:G$506,6,0)</f>
        <v>2918125</v>
      </c>
      <c r="D146">
        <f>VLOOKUP(A146,NYSEARCAVEU!A$2:G$506,6,0)</f>
        <v>4638353</v>
      </c>
      <c r="E146">
        <f>VLOOKUP(A146,NYSEARCAVWO!A$2:G$506,6,0)</f>
        <v>25302809</v>
      </c>
      <c r="F146">
        <f>VLOOKUP(A146,NYSEARCABND!A$2:G$506,6,0)</f>
        <v>1806320</v>
      </c>
      <c r="G146">
        <f>VLOOKUP(A146,NYSEARCATIP!A$2:G$506,6,0)</f>
        <v>1634593</v>
      </c>
      <c r="H146">
        <f>VLOOKUP(A146,NYSEARCAMUB!A$2:G$506,6,0)</f>
        <v>285658</v>
      </c>
      <c r="I146">
        <f>VLOOKUP(A146,NYSEARCAVNQ!A$2:G$506,6,0)</f>
        <v>3449103</v>
      </c>
      <c r="J146">
        <f>VLOOKUP(A146,NYSEARCARWX!A$2:G$506,6,0)</f>
        <v>836397</v>
      </c>
      <c r="K146">
        <f>VLOOKUP(A146,NYSEARCADBC!A$2:G$506,6,0)</f>
        <v>2862829</v>
      </c>
      <c r="L146">
        <f>VLOOKUP(A146,NYSEARCAGSG!A$2:G$506,6,0)</f>
        <v>1049391</v>
      </c>
      <c r="M146">
        <f>VLOOKUP(A146,NYSEARCAGLD!A$2:G$506,6,0)</f>
        <v>6831064</v>
      </c>
      <c r="N146">
        <f>VLOOKUP(A146,NYSEBP!A$2:G$506,6,0)</f>
        <v>13458022</v>
      </c>
      <c r="O146">
        <f>VLOOKUP(A146,NASDAQYHOO!A$2:G$506,6,0)</f>
        <v>16187259</v>
      </c>
    </row>
    <row r="147" spans="1:15">
      <c r="A147" s="39">
        <v>42354</v>
      </c>
      <c r="B147">
        <v>9960479</v>
      </c>
      <c r="C147">
        <f>VLOOKUP(A147,NYSEARCAVTI!A$2:G$506,6,0)</f>
        <v>5972417</v>
      </c>
      <c r="D147">
        <f>VLOOKUP(A147,NYSEARCAVEU!A$2:G$506,6,0)</f>
        <v>3587876</v>
      </c>
      <c r="E147">
        <f>VLOOKUP(A147,NYSEARCAVWO!A$2:G$506,6,0)</f>
        <v>27582488</v>
      </c>
      <c r="F147">
        <f>VLOOKUP(A147,NYSEARCABND!A$2:G$506,6,0)</f>
        <v>2332674</v>
      </c>
      <c r="G147">
        <f>VLOOKUP(A147,NYSEARCATIP!A$2:G$506,6,0)</f>
        <v>505117</v>
      </c>
      <c r="H147">
        <f>VLOOKUP(A147,NYSEARCAMUB!A$2:G$506,6,0)</f>
        <v>373983</v>
      </c>
      <c r="I147">
        <f>VLOOKUP(A147,NYSEARCAVNQ!A$2:G$506,6,0)</f>
        <v>4699255</v>
      </c>
      <c r="J147">
        <f>VLOOKUP(A147,NYSEARCARWX!A$2:G$506,6,0)</f>
        <v>855236</v>
      </c>
      <c r="K147">
        <f>VLOOKUP(A147,NYSEARCADBC!A$2:G$506,6,0)</f>
        <v>3436926</v>
      </c>
      <c r="L147">
        <f>VLOOKUP(A147,NYSEARCAGSG!A$2:G$506,6,0)</f>
        <v>1486517</v>
      </c>
      <c r="M147">
        <f>VLOOKUP(A147,NYSEARCAGLD!A$2:G$506,6,0)</f>
        <v>8292194</v>
      </c>
      <c r="N147">
        <f>VLOOKUP(A147,NYSEBP!A$2:G$506,6,0)</f>
        <v>9659653</v>
      </c>
      <c r="O147">
        <f>VLOOKUP(A147,NASDAQYHOO!A$2:G$506,6,0)</f>
        <v>12689442</v>
      </c>
    </row>
    <row r="148" spans="1:15">
      <c r="A148" s="39">
        <v>42355</v>
      </c>
      <c r="B148">
        <v>12976095</v>
      </c>
      <c r="C148">
        <f>VLOOKUP(A148,NYSEARCAVTI!A$2:G$506,6,0)</f>
        <v>4939856</v>
      </c>
      <c r="D148">
        <f>VLOOKUP(A148,NYSEARCAVEU!A$2:G$506,6,0)</f>
        <v>4807785</v>
      </c>
      <c r="E148">
        <f>VLOOKUP(A148,NYSEARCAVWO!A$2:G$506,6,0)</f>
        <v>25812334</v>
      </c>
      <c r="F148">
        <f>VLOOKUP(A148,NYSEARCABND!A$2:G$506,6,0)</f>
        <v>2290529</v>
      </c>
      <c r="G148">
        <f>VLOOKUP(A148,NYSEARCATIP!A$2:G$506,6,0)</f>
        <v>1722197</v>
      </c>
      <c r="H148">
        <f>VLOOKUP(A148,NYSEARCAMUB!A$2:G$506,6,0)</f>
        <v>468784</v>
      </c>
      <c r="I148">
        <f>VLOOKUP(A148,NYSEARCAVNQ!A$2:G$506,6,0)</f>
        <v>3726819</v>
      </c>
      <c r="J148">
        <f>VLOOKUP(A148,NYSEARCARWX!A$2:G$506,6,0)</f>
        <v>954659</v>
      </c>
      <c r="K148">
        <f>VLOOKUP(A148,NYSEARCADBC!A$2:G$506,6,0)</f>
        <v>8948480</v>
      </c>
      <c r="L148">
        <f>VLOOKUP(A148,NYSEARCAGSG!A$2:G$506,6,0)</f>
        <v>411444</v>
      </c>
      <c r="M148">
        <f>VLOOKUP(A148,NYSEARCAGLD!A$2:G$506,6,0)</f>
        <v>10156223</v>
      </c>
      <c r="N148">
        <f>VLOOKUP(A148,NYSEBP!A$2:G$506,6,0)</f>
        <v>7213920</v>
      </c>
      <c r="O148">
        <f>VLOOKUP(A148,NASDAQYHOO!A$2:G$506,6,0)</f>
        <v>13243513</v>
      </c>
    </row>
    <row r="149" spans="1:15">
      <c r="A149" s="39">
        <v>42356</v>
      </c>
      <c r="B149">
        <v>16256725</v>
      </c>
      <c r="C149">
        <f>VLOOKUP(A149,NYSEARCAVTI!A$2:G$506,6,0)</f>
        <v>4207675</v>
      </c>
      <c r="D149">
        <f>VLOOKUP(A149,NYSEARCAVEU!A$2:G$506,6,0)</f>
        <v>4403915</v>
      </c>
      <c r="E149">
        <f>VLOOKUP(A149,NYSEARCAVWO!A$2:G$506,6,0)</f>
        <v>25895541</v>
      </c>
      <c r="F149">
        <f>VLOOKUP(A149,NYSEARCABND!A$2:G$506,6,0)</f>
        <v>3211537</v>
      </c>
      <c r="G149">
        <f>VLOOKUP(A149,NYSEARCATIP!A$2:G$506,6,0)</f>
        <v>825900</v>
      </c>
      <c r="H149">
        <f>VLOOKUP(A149,NYSEARCAMUB!A$2:G$506,6,0)</f>
        <v>458998</v>
      </c>
      <c r="I149">
        <f>VLOOKUP(A149,NYSEARCAVNQ!A$2:G$506,6,0)</f>
        <v>5724431</v>
      </c>
      <c r="J149">
        <f>VLOOKUP(A149,NYSEARCARWX!A$2:G$506,6,0)</f>
        <v>1085777</v>
      </c>
      <c r="K149">
        <f>VLOOKUP(A149,NYSEARCADBC!A$2:G$506,6,0)</f>
        <v>2764153</v>
      </c>
      <c r="L149">
        <f>VLOOKUP(A149,NYSEARCAGSG!A$2:G$506,6,0)</f>
        <v>978119</v>
      </c>
      <c r="M149">
        <f>VLOOKUP(A149,NYSEARCAGLD!A$2:G$506,6,0)</f>
        <v>8345864</v>
      </c>
      <c r="N149">
        <f>VLOOKUP(A149,NYSEBP!A$2:G$506,6,0)</f>
        <v>7332119</v>
      </c>
      <c r="O149">
        <f>VLOOKUP(A149,NASDAQYHOO!A$2:G$506,6,0)</f>
        <v>16921825</v>
      </c>
    </row>
    <row r="150" spans="1:15">
      <c r="A150" s="39">
        <v>42359</v>
      </c>
      <c r="B150">
        <v>9645451</v>
      </c>
      <c r="C150">
        <f>VLOOKUP(A150,NYSEARCAVTI!A$2:G$506,6,0)</f>
        <v>3240650</v>
      </c>
      <c r="D150">
        <f>VLOOKUP(A150,NYSEARCAVEU!A$2:G$506,6,0)</f>
        <v>5320834</v>
      </c>
      <c r="E150">
        <f>VLOOKUP(A150,NYSEARCAVWO!A$2:G$506,6,0)</f>
        <v>27997319</v>
      </c>
      <c r="F150">
        <f>VLOOKUP(A150,NYSEARCABND!A$2:G$506,6,0)</f>
        <v>3158268</v>
      </c>
      <c r="G150">
        <f>VLOOKUP(A150,NYSEARCATIP!A$2:G$506,6,0)</f>
        <v>519734</v>
      </c>
      <c r="H150">
        <f>VLOOKUP(A150,NYSEARCAMUB!A$2:G$506,6,0)</f>
        <v>380457</v>
      </c>
      <c r="I150">
        <f>VLOOKUP(A150,NYSEARCAVNQ!A$2:G$506,6,0)</f>
        <v>4455436</v>
      </c>
      <c r="J150">
        <f>VLOOKUP(A150,NYSEARCARWX!A$2:G$506,6,0)</f>
        <v>643443</v>
      </c>
      <c r="K150">
        <f>VLOOKUP(A150,NYSEARCADBC!A$2:G$506,6,0)</f>
        <v>4462255</v>
      </c>
      <c r="L150">
        <f>VLOOKUP(A150,NYSEARCAGSG!A$2:G$506,6,0)</f>
        <v>347317</v>
      </c>
      <c r="M150">
        <f>VLOOKUP(A150,NYSEARCAGLD!A$2:G$506,6,0)</f>
        <v>6378892</v>
      </c>
      <c r="N150">
        <f>VLOOKUP(A150,NYSEBP!A$2:G$506,6,0)</f>
        <v>8577026</v>
      </c>
      <c r="O150">
        <f>VLOOKUP(A150,NASDAQYHOO!A$2:G$506,6,0)</f>
        <v>9106706</v>
      </c>
    </row>
    <row r="151" spans="1:15">
      <c r="A151" s="39">
        <v>42360</v>
      </c>
      <c r="B151">
        <v>9266299</v>
      </c>
      <c r="C151">
        <f>VLOOKUP(A151,NYSEARCAVTI!A$2:G$506,6,0)</f>
        <v>2876558</v>
      </c>
      <c r="D151">
        <f>VLOOKUP(A151,NYSEARCAVEU!A$2:G$506,6,0)</f>
        <v>5884126</v>
      </c>
      <c r="E151">
        <f>VLOOKUP(A151,NYSEARCAVWO!A$2:G$506,6,0)</f>
        <v>23691411</v>
      </c>
      <c r="F151">
        <f>VLOOKUP(A151,NYSEARCABND!A$2:G$506,6,0)</f>
        <v>2348555</v>
      </c>
      <c r="G151">
        <f>VLOOKUP(A151,NYSEARCATIP!A$2:G$506,6,0)</f>
        <v>758796</v>
      </c>
      <c r="H151">
        <f>VLOOKUP(A151,NYSEARCAMUB!A$2:G$506,6,0)</f>
        <v>568326</v>
      </c>
      <c r="I151">
        <f>VLOOKUP(A151,NYSEARCAVNQ!A$2:G$506,6,0)</f>
        <v>6484383</v>
      </c>
      <c r="J151">
        <f>VLOOKUP(A151,NYSEARCARWX!A$2:G$506,6,0)</f>
        <v>760366</v>
      </c>
      <c r="K151">
        <f>VLOOKUP(A151,NYSEARCADBC!A$2:G$506,6,0)</f>
        <v>3484305</v>
      </c>
      <c r="L151">
        <f>VLOOKUP(A151,NYSEARCAGSG!A$2:G$506,6,0)</f>
        <v>499315</v>
      </c>
      <c r="M151">
        <f>VLOOKUP(A151,NYSEARCAGLD!A$2:G$506,6,0)</f>
        <v>4123512</v>
      </c>
      <c r="N151">
        <f>VLOOKUP(A151,NYSEBP!A$2:G$506,6,0)</f>
        <v>7189199</v>
      </c>
      <c r="O151">
        <f>VLOOKUP(A151,NASDAQYHOO!A$2:G$506,6,0)</f>
        <v>15531275</v>
      </c>
    </row>
    <row r="152" spans="1:15">
      <c r="A152" s="39">
        <v>42361</v>
      </c>
      <c r="B152">
        <v>7519834</v>
      </c>
      <c r="C152">
        <f>VLOOKUP(A152,NYSEARCAVTI!A$2:G$506,6,0)</f>
        <v>3342450</v>
      </c>
      <c r="D152">
        <f>VLOOKUP(A152,NYSEARCAVEU!A$2:G$506,6,0)</f>
        <v>4694171</v>
      </c>
      <c r="E152">
        <f>VLOOKUP(A152,NYSEARCAVWO!A$2:G$506,6,0)</f>
        <v>26337262</v>
      </c>
      <c r="F152">
        <f>VLOOKUP(A152,NYSEARCABND!A$2:G$506,6,0)</f>
        <v>2538571</v>
      </c>
      <c r="G152">
        <f>VLOOKUP(A152,NYSEARCATIP!A$2:G$506,6,0)</f>
        <v>846886</v>
      </c>
      <c r="H152">
        <f>VLOOKUP(A152,NYSEARCAMUB!A$2:G$506,6,0)</f>
        <v>321391</v>
      </c>
      <c r="I152">
        <f>VLOOKUP(A152,NYSEARCAVNQ!A$2:G$506,6,0)</f>
        <v>4028968</v>
      </c>
      <c r="J152">
        <f>VLOOKUP(A152,NYSEARCARWX!A$2:G$506,6,0)</f>
        <v>903298</v>
      </c>
      <c r="K152">
        <f>VLOOKUP(A152,NYSEARCADBC!A$2:G$506,6,0)</f>
        <v>5518153</v>
      </c>
      <c r="L152">
        <f>VLOOKUP(A152,NYSEARCAGSG!A$2:G$506,6,0)</f>
        <v>657139</v>
      </c>
      <c r="M152">
        <f>VLOOKUP(A152,NYSEARCAGLD!A$2:G$506,6,0)</f>
        <v>2821380</v>
      </c>
      <c r="N152">
        <f>VLOOKUP(A152,NYSEBP!A$2:G$506,6,0)</f>
        <v>10147440</v>
      </c>
      <c r="O152">
        <f>VLOOKUP(A152,NASDAQYHOO!A$2:G$506,6,0)</f>
        <v>13469154</v>
      </c>
    </row>
    <row r="153" spans="1:15">
      <c r="A153" s="39">
        <v>42362</v>
      </c>
      <c r="B153">
        <v>2483121</v>
      </c>
      <c r="C153">
        <f>VLOOKUP(A153,NYSEARCAVTI!A$2:G$506,6,0)</f>
        <v>1460512</v>
      </c>
      <c r="D153">
        <f>VLOOKUP(A153,NYSEARCAVEU!A$2:G$506,6,0)</f>
        <v>1899963</v>
      </c>
      <c r="E153">
        <f>VLOOKUP(A153,NYSEARCAVWO!A$2:G$506,6,0)</f>
        <v>8553521</v>
      </c>
      <c r="F153">
        <f>VLOOKUP(A153,NYSEARCABND!A$2:G$506,6,0)</f>
        <v>1361676</v>
      </c>
      <c r="G153">
        <f>VLOOKUP(A153,NYSEARCATIP!A$2:G$506,6,0)</f>
        <v>302735</v>
      </c>
      <c r="H153">
        <f>VLOOKUP(A153,NYSEARCAMUB!A$2:G$506,6,0)</f>
        <v>201849</v>
      </c>
      <c r="I153">
        <f>VLOOKUP(A153,NYSEARCAVNQ!A$2:G$506,6,0)</f>
        <v>1425968</v>
      </c>
      <c r="J153">
        <f>VLOOKUP(A153,NYSEARCARWX!A$2:G$506,6,0)</f>
        <v>283328</v>
      </c>
      <c r="K153">
        <f>VLOOKUP(A153,NYSEARCADBC!A$2:G$506,6,0)</f>
        <v>1391689</v>
      </c>
      <c r="L153">
        <f>VLOOKUP(A153,NYSEARCAGSG!A$2:G$506,6,0)</f>
        <v>106780</v>
      </c>
      <c r="M153">
        <f>VLOOKUP(A153,NYSEARCAGLD!A$2:G$506,6,0)</f>
        <v>1710153</v>
      </c>
      <c r="N153">
        <f>VLOOKUP(A153,NYSEBP!A$2:G$506,6,0)</f>
        <v>3380957</v>
      </c>
      <c r="O153">
        <f>VLOOKUP(A153,NASDAQYHOO!A$2:G$506,6,0)</f>
        <v>3470658</v>
      </c>
    </row>
    <row r="154" spans="1:15">
      <c r="A154" s="39">
        <v>42366</v>
      </c>
      <c r="B154">
        <v>5421662</v>
      </c>
      <c r="C154">
        <f>VLOOKUP(A154,NYSEARCAVTI!A$2:G$506,6,0)</f>
        <v>3479620</v>
      </c>
      <c r="D154">
        <f>VLOOKUP(A154,NYSEARCAVEU!A$2:G$506,6,0)</f>
        <v>3660073</v>
      </c>
      <c r="E154">
        <f>VLOOKUP(A154,NYSEARCAVWO!A$2:G$506,6,0)</f>
        <v>22117029</v>
      </c>
      <c r="F154">
        <f>VLOOKUP(A154,NYSEARCABND!A$2:G$506,6,0)</f>
        <v>1580571</v>
      </c>
      <c r="G154">
        <f>VLOOKUP(A154,NYSEARCATIP!A$2:G$506,6,0)</f>
        <v>1356991</v>
      </c>
      <c r="H154">
        <f>VLOOKUP(A154,NYSEARCAMUB!A$2:G$506,6,0)</f>
        <v>435809</v>
      </c>
      <c r="I154">
        <f>VLOOKUP(A154,NYSEARCAVNQ!A$2:G$506,6,0)</f>
        <v>6628779</v>
      </c>
      <c r="J154">
        <f>VLOOKUP(A154,NYSEARCARWX!A$2:G$506,6,0)</f>
        <v>1246262</v>
      </c>
      <c r="K154">
        <f>VLOOKUP(A154,NYSEARCADBC!A$2:G$506,6,0)</f>
        <v>2958906</v>
      </c>
      <c r="L154">
        <f>VLOOKUP(A154,NYSEARCAGSG!A$2:G$506,6,0)</f>
        <v>855553</v>
      </c>
      <c r="M154">
        <f>VLOOKUP(A154,NYSEARCAGLD!A$2:G$506,6,0)</f>
        <v>3356190</v>
      </c>
      <c r="N154">
        <f>VLOOKUP(A154,NYSEBP!A$2:G$506,6,0)</f>
        <v>6177755</v>
      </c>
      <c r="O154">
        <f>VLOOKUP(A154,NASDAQYHOO!A$2:G$506,6,0)</f>
        <v>11020755</v>
      </c>
    </row>
    <row r="155" spans="1:15">
      <c r="A155" s="39">
        <v>42367</v>
      </c>
      <c r="B155">
        <v>7883635</v>
      </c>
      <c r="C155">
        <f>VLOOKUP(A155,NYSEARCAVTI!A$2:G$506,6,0)</f>
        <v>2508257</v>
      </c>
      <c r="D155">
        <f>VLOOKUP(A155,NYSEARCAVEU!A$2:G$506,6,0)</f>
        <v>4136354</v>
      </c>
      <c r="E155">
        <f>VLOOKUP(A155,NYSEARCAVWO!A$2:G$506,6,0)</f>
        <v>15829381</v>
      </c>
      <c r="F155">
        <f>VLOOKUP(A155,NYSEARCABND!A$2:G$506,6,0)</f>
        <v>2586645</v>
      </c>
      <c r="G155">
        <f>VLOOKUP(A155,NYSEARCATIP!A$2:G$506,6,0)</f>
        <v>682856</v>
      </c>
      <c r="H155">
        <f>VLOOKUP(A155,NYSEARCAMUB!A$2:G$506,6,0)</f>
        <v>345846</v>
      </c>
      <c r="I155">
        <f>VLOOKUP(A155,NYSEARCAVNQ!A$2:G$506,6,0)</f>
        <v>3499777</v>
      </c>
      <c r="J155">
        <f>VLOOKUP(A155,NYSEARCARWX!A$2:G$506,6,0)</f>
        <v>769792</v>
      </c>
      <c r="K155">
        <f>VLOOKUP(A155,NYSEARCADBC!A$2:G$506,6,0)</f>
        <v>5314700</v>
      </c>
      <c r="L155">
        <f>VLOOKUP(A155,NYSEARCAGSG!A$2:G$506,6,0)</f>
        <v>1328623</v>
      </c>
      <c r="M155">
        <f>VLOOKUP(A155,NYSEARCAGLD!A$2:G$506,6,0)</f>
        <v>2832238</v>
      </c>
      <c r="N155">
        <f>VLOOKUP(A155,NYSEBP!A$2:G$506,6,0)</f>
        <v>7064804</v>
      </c>
      <c r="O155">
        <f>VLOOKUP(A155,NASDAQYHOO!A$2:G$506,6,0)</f>
        <v>12621892</v>
      </c>
    </row>
    <row r="156" spans="1:15">
      <c r="A156" s="39">
        <v>42368</v>
      </c>
      <c r="B156">
        <v>5716745</v>
      </c>
      <c r="C156">
        <f>VLOOKUP(A156,NYSEARCAVTI!A$2:G$506,6,0)</f>
        <v>2406101</v>
      </c>
      <c r="D156">
        <f>VLOOKUP(A156,NYSEARCAVEU!A$2:G$506,6,0)</f>
        <v>3785085</v>
      </c>
      <c r="E156">
        <f>VLOOKUP(A156,NYSEARCAVWO!A$2:G$506,6,0)</f>
        <v>18923187</v>
      </c>
      <c r="F156">
        <f>VLOOKUP(A156,NYSEARCABND!A$2:G$506,6,0)</f>
        <v>2367188</v>
      </c>
      <c r="G156">
        <f>VLOOKUP(A156,NYSEARCATIP!A$2:G$506,6,0)</f>
        <v>574512</v>
      </c>
      <c r="H156">
        <f>VLOOKUP(A156,NYSEARCAMUB!A$2:G$506,6,0)</f>
        <v>657044</v>
      </c>
      <c r="I156">
        <f>VLOOKUP(A156,NYSEARCAVNQ!A$2:G$506,6,0)</f>
        <v>3114296</v>
      </c>
      <c r="J156">
        <f>VLOOKUP(A156,NYSEARCARWX!A$2:G$506,6,0)</f>
        <v>777980</v>
      </c>
      <c r="K156">
        <f>VLOOKUP(A156,NYSEARCADBC!A$2:G$506,6,0)</f>
        <v>3190170</v>
      </c>
      <c r="L156">
        <f>VLOOKUP(A156,NYSEARCAGSG!A$2:G$506,6,0)</f>
        <v>1629656</v>
      </c>
      <c r="M156">
        <f>VLOOKUP(A156,NYSEARCAGLD!A$2:G$506,6,0)</f>
        <v>3744959</v>
      </c>
      <c r="N156">
        <f>VLOOKUP(A156,NYSEBP!A$2:G$506,6,0)</f>
        <v>5536028</v>
      </c>
      <c r="O156">
        <f>VLOOKUP(A156,NASDAQYHOO!A$2:G$506,6,0)</f>
        <v>5933634</v>
      </c>
    </row>
    <row r="157" spans="1:15">
      <c r="A157" s="39">
        <v>42369</v>
      </c>
      <c r="B157">
        <v>6575142</v>
      </c>
      <c r="C157">
        <f>VLOOKUP(A157,NYSEARCAVTI!A$2:G$506,6,0)</f>
        <v>3652676</v>
      </c>
      <c r="D157">
        <f>VLOOKUP(A157,NYSEARCAVEU!A$2:G$506,6,0)</f>
        <v>4475701</v>
      </c>
      <c r="E157">
        <f>VLOOKUP(A157,NYSEARCAVWO!A$2:G$506,6,0)</f>
        <v>18736896</v>
      </c>
      <c r="F157">
        <f>VLOOKUP(A157,NYSEARCABND!A$2:G$506,6,0)</f>
        <v>2419717</v>
      </c>
      <c r="G157">
        <f>VLOOKUP(A157,NYSEARCATIP!A$2:G$506,6,0)</f>
        <v>553316</v>
      </c>
      <c r="H157">
        <f>VLOOKUP(A157,NYSEARCAMUB!A$2:G$506,6,0)</f>
        <v>519450</v>
      </c>
      <c r="I157">
        <f>VLOOKUP(A157,NYSEARCAVNQ!A$2:G$506,6,0)</f>
        <v>3292351</v>
      </c>
      <c r="J157">
        <f>VLOOKUP(A157,NYSEARCARWX!A$2:G$506,6,0)</f>
        <v>821932</v>
      </c>
      <c r="K157">
        <f>VLOOKUP(A157,NYSEARCADBC!A$2:G$506,6,0)</f>
        <v>2373178</v>
      </c>
      <c r="L157">
        <f>VLOOKUP(A157,NYSEARCAGSG!A$2:G$506,6,0)</f>
        <v>3796511</v>
      </c>
      <c r="M157">
        <f>VLOOKUP(A157,NYSEARCAGLD!A$2:G$506,6,0)</f>
        <v>3823564</v>
      </c>
      <c r="N157">
        <f>VLOOKUP(A157,NYSEBP!A$2:G$506,6,0)</f>
        <v>5812752</v>
      </c>
      <c r="O157">
        <f>VLOOKUP(A157,NASDAQYHOO!A$2:G$506,6,0)</f>
        <v>7423271</v>
      </c>
    </row>
    <row r="158" spans="1:15">
      <c r="A158" s="39">
        <v>42373</v>
      </c>
      <c r="B158">
        <v>11926062</v>
      </c>
      <c r="C158">
        <f>VLOOKUP(A158,NYSEARCAVTI!A$2:G$506,6,0)</f>
        <v>6137067</v>
      </c>
      <c r="D158">
        <f>VLOOKUP(A158,NYSEARCAVEU!A$2:G$506,6,0)</f>
        <v>4047793</v>
      </c>
      <c r="E158">
        <f>VLOOKUP(A158,NYSEARCAVWO!A$2:G$506,6,0)</f>
        <v>27116062</v>
      </c>
      <c r="F158">
        <f>VLOOKUP(A158,NYSEARCABND!A$2:G$506,6,0)</f>
        <v>2750474</v>
      </c>
      <c r="G158">
        <f>VLOOKUP(A158,NYSEARCATIP!A$2:G$506,6,0)</f>
        <v>1356211</v>
      </c>
      <c r="H158">
        <f>VLOOKUP(A158,NYSEARCAMUB!A$2:G$506,6,0)</f>
        <v>1653713</v>
      </c>
      <c r="I158">
        <f>VLOOKUP(A158,NYSEARCAVNQ!A$2:G$506,6,0)</f>
        <v>8843664</v>
      </c>
      <c r="J158">
        <f>VLOOKUP(A158,NYSEARCARWX!A$2:G$506,6,0)</f>
        <v>1013386</v>
      </c>
      <c r="K158">
        <f>VLOOKUP(A158,NYSEARCADBC!A$2:G$506,6,0)</f>
        <v>2307559</v>
      </c>
      <c r="L158">
        <f>VLOOKUP(A158,NYSEARCAGSG!A$2:G$506,6,0)</f>
        <v>359527</v>
      </c>
      <c r="M158">
        <f>VLOOKUP(A158,NYSEARCAGLD!A$2:G$506,6,0)</f>
        <v>6319555</v>
      </c>
      <c r="N158">
        <f>VLOOKUP(A158,NYSEBP!A$2:G$506,6,0)</f>
        <v>7576705</v>
      </c>
      <c r="O158">
        <f>VLOOKUP(A158,NASDAQYHOO!A$2:G$506,6,0)</f>
        <v>25176155</v>
      </c>
    </row>
    <row r="159" spans="1:15">
      <c r="A159" s="39">
        <v>42374</v>
      </c>
      <c r="B159">
        <v>13325958</v>
      </c>
      <c r="C159">
        <f>VLOOKUP(A159,NYSEARCAVTI!A$2:G$506,6,0)</f>
        <v>3652342</v>
      </c>
      <c r="D159">
        <f>VLOOKUP(A159,NYSEARCAVEU!A$2:G$506,6,0)</f>
        <v>2752213</v>
      </c>
      <c r="E159">
        <f>VLOOKUP(A159,NYSEARCAVWO!A$2:G$506,6,0)</f>
        <v>17664433</v>
      </c>
      <c r="F159">
        <f>VLOOKUP(A159,NYSEARCABND!A$2:G$506,6,0)</f>
        <v>1513577</v>
      </c>
      <c r="G159">
        <f>VLOOKUP(A159,NYSEARCATIP!A$2:G$506,6,0)</f>
        <v>647991</v>
      </c>
      <c r="H159">
        <f>VLOOKUP(A159,NYSEARCAMUB!A$2:G$506,6,0)</f>
        <v>389196</v>
      </c>
      <c r="I159">
        <f>VLOOKUP(A159,NYSEARCAVNQ!A$2:G$506,6,0)</f>
        <v>7114727</v>
      </c>
      <c r="J159">
        <f>VLOOKUP(A159,NYSEARCARWX!A$2:G$506,6,0)</f>
        <v>360737</v>
      </c>
      <c r="K159">
        <f>VLOOKUP(A159,NYSEARCADBC!A$2:G$506,6,0)</f>
        <v>1210003</v>
      </c>
      <c r="L159">
        <f>VLOOKUP(A159,NYSEARCAGSG!A$2:G$506,6,0)</f>
        <v>137735</v>
      </c>
      <c r="M159">
        <f>VLOOKUP(A159,NYSEARCAGLD!A$2:G$506,6,0)</f>
        <v>3500272</v>
      </c>
      <c r="N159">
        <f>VLOOKUP(A159,NYSEBP!A$2:G$506,6,0)</f>
        <v>7234417</v>
      </c>
      <c r="O159">
        <f>VLOOKUP(A159,NASDAQYHOO!A$2:G$506,6,0)</f>
        <v>14301076</v>
      </c>
    </row>
    <row r="160" spans="1:15">
      <c r="A160" s="39">
        <v>42375</v>
      </c>
      <c r="B160">
        <v>16564620</v>
      </c>
      <c r="C160">
        <f>VLOOKUP(A160,NYSEARCAVTI!A$2:G$506,6,0)</f>
        <v>3732756</v>
      </c>
      <c r="D160">
        <f>VLOOKUP(A160,NYSEARCAVEU!A$2:G$506,6,0)</f>
        <v>3007783</v>
      </c>
      <c r="E160">
        <f>VLOOKUP(A160,NYSEARCAVWO!A$2:G$506,6,0)</f>
        <v>19744825</v>
      </c>
      <c r="F160">
        <f>VLOOKUP(A160,NYSEARCABND!A$2:G$506,6,0)</f>
        <v>2391113</v>
      </c>
      <c r="G160">
        <f>VLOOKUP(A160,NYSEARCATIP!A$2:G$506,6,0)</f>
        <v>418180</v>
      </c>
      <c r="H160">
        <f>VLOOKUP(A160,NYSEARCAMUB!A$2:G$506,6,0)</f>
        <v>351155</v>
      </c>
      <c r="I160">
        <f>VLOOKUP(A160,NYSEARCAVNQ!A$2:G$506,6,0)</f>
        <v>5481163</v>
      </c>
      <c r="J160">
        <f>VLOOKUP(A160,NYSEARCARWX!A$2:G$506,6,0)</f>
        <v>1491240</v>
      </c>
      <c r="K160">
        <f>VLOOKUP(A160,NYSEARCADBC!A$2:G$506,6,0)</f>
        <v>2668634</v>
      </c>
      <c r="L160">
        <f>VLOOKUP(A160,NYSEARCAGSG!A$2:G$506,6,0)</f>
        <v>234984</v>
      </c>
      <c r="M160">
        <f>VLOOKUP(A160,NYSEARCAGLD!A$2:G$506,6,0)</f>
        <v>9316599</v>
      </c>
      <c r="N160">
        <f>VLOOKUP(A160,NYSEBP!A$2:G$506,6,0)</f>
        <v>10055076</v>
      </c>
      <c r="O160">
        <f>VLOOKUP(A160,NASDAQYHOO!A$2:G$506,6,0)</f>
        <v>16047757</v>
      </c>
    </row>
    <row r="161" spans="1:15">
      <c r="A161" s="39">
        <v>42376</v>
      </c>
      <c r="B161">
        <v>26430005</v>
      </c>
      <c r="C161">
        <f>VLOOKUP(A161,NYSEARCAVTI!A$2:G$506,6,0)</f>
        <v>9256180</v>
      </c>
      <c r="D161">
        <f>VLOOKUP(A161,NYSEARCAVEU!A$2:G$506,6,0)</f>
        <v>3711673</v>
      </c>
      <c r="E161">
        <f>VLOOKUP(A161,NYSEARCAVWO!A$2:G$506,6,0)</f>
        <v>29616412</v>
      </c>
      <c r="F161">
        <f>VLOOKUP(A161,NYSEARCABND!A$2:G$506,6,0)</f>
        <v>2792851</v>
      </c>
      <c r="G161">
        <f>VLOOKUP(A161,NYSEARCATIP!A$2:G$506,6,0)</f>
        <v>877622</v>
      </c>
      <c r="H161">
        <f>VLOOKUP(A161,NYSEARCAMUB!A$2:G$506,6,0)</f>
        <v>1011923</v>
      </c>
      <c r="I161">
        <f>VLOOKUP(A161,NYSEARCAVNQ!A$2:G$506,6,0)</f>
        <v>6297507</v>
      </c>
      <c r="J161">
        <f>VLOOKUP(A161,NYSEARCARWX!A$2:G$506,6,0)</f>
        <v>514794</v>
      </c>
      <c r="K161">
        <f>VLOOKUP(A161,NYSEARCADBC!A$2:G$506,6,0)</f>
        <v>10692460</v>
      </c>
      <c r="L161">
        <f>VLOOKUP(A161,NYSEARCAGSG!A$2:G$506,6,0)</f>
        <v>236783</v>
      </c>
      <c r="M161">
        <f>VLOOKUP(A161,NYSEARCAGLD!A$2:G$506,6,0)</f>
        <v>11730376</v>
      </c>
      <c r="N161">
        <f>VLOOKUP(A161,NYSEBP!A$2:G$506,6,0)</f>
        <v>15155999</v>
      </c>
      <c r="O161">
        <f>VLOOKUP(A161,NASDAQYHOO!A$2:G$506,6,0)</f>
        <v>21209071</v>
      </c>
    </row>
    <row r="162" spans="1:15">
      <c r="A162" s="39">
        <v>42377</v>
      </c>
      <c r="B162">
        <v>17767864</v>
      </c>
      <c r="C162">
        <f>VLOOKUP(A162,NYSEARCAVTI!A$2:G$506,6,0)</f>
        <v>7015831</v>
      </c>
      <c r="D162">
        <f>VLOOKUP(A162,NYSEARCAVEU!A$2:G$506,6,0)</f>
        <v>3974101</v>
      </c>
      <c r="E162">
        <f>VLOOKUP(A162,NYSEARCAVWO!A$2:G$506,6,0)</f>
        <v>32237435</v>
      </c>
      <c r="F162">
        <f>VLOOKUP(A162,NYSEARCABND!A$2:G$506,6,0)</f>
        <v>1405163</v>
      </c>
      <c r="G162">
        <f>VLOOKUP(A162,NYSEARCATIP!A$2:G$506,6,0)</f>
        <v>587326</v>
      </c>
      <c r="H162">
        <f>VLOOKUP(A162,NYSEARCAMUB!A$2:G$506,6,0)</f>
        <v>638253</v>
      </c>
      <c r="I162">
        <f>VLOOKUP(A162,NYSEARCAVNQ!A$2:G$506,6,0)</f>
        <v>4628638</v>
      </c>
      <c r="J162">
        <f>VLOOKUP(A162,NYSEARCARWX!A$2:G$506,6,0)</f>
        <v>670309</v>
      </c>
      <c r="K162">
        <f>VLOOKUP(A162,NYSEARCADBC!A$2:G$506,6,0)</f>
        <v>2809649</v>
      </c>
      <c r="L162">
        <f>VLOOKUP(A162,NYSEARCAGSG!A$2:G$506,6,0)</f>
        <v>552352</v>
      </c>
      <c r="M162">
        <f>VLOOKUP(A162,NYSEARCAGLD!A$2:G$506,6,0)</f>
        <v>7678153</v>
      </c>
      <c r="N162">
        <f>VLOOKUP(A162,NYSEBP!A$2:G$506,6,0)</f>
        <v>13901317</v>
      </c>
      <c r="O162">
        <f>VLOOKUP(A162,NASDAQYHOO!A$2:G$506,6,0)</f>
        <v>26322780</v>
      </c>
    </row>
    <row r="163" spans="1:15">
      <c r="A163" s="39">
        <v>42380</v>
      </c>
      <c r="B163">
        <v>12653762</v>
      </c>
      <c r="C163">
        <f>VLOOKUP(A163,NYSEARCAVTI!A$2:G$506,6,0)</f>
        <v>6863777</v>
      </c>
      <c r="D163">
        <f>VLOOKUP(A163,NYSEARCAVEU!A$2:G$506,6,0)</f>
        <v>4126041</v>
      </c>
      <c r="E163">
        <f>VLOOKUP(A163,NYSEARCAVWO!A$2:G$506,6,0)</f>
        <v>22946750</v>
      </c>
      <c r="F163">
        <f>VLOOKUP(A163,NYSEARCABND!A$2:G$506,6,0)</f>
        <v>2147099</v>
      </c>
      <c r="G163">
        <f>VLOOKUP(A163,NYSEARCATIP!A$2:G$506,6,0)</f>
        <v>758649</v>
      </c>
      <c r="H163">
        <f>VLOOKUP(A163,NYSEARCAMUB!A$2:G$506,6,0)</f>
        <v>498091</v>
      </c>
      <c r="I163">
        <f>VLOOKUP(A163,NYSEARCAVNQ!A$2:G$506,6,0)</f>
        <v>4956810</v>
      </c>
      <c r="J163">
        <f>VLOOKUP(A163,NYSEARCARWX!A$2:G$506,6,0)</f>
        <v>490610</v>
      </c>
      <c r="K163">
        <f>VLOOKUP(A163,NYSEARCADBC!A$2:G$506,6,0)</f>
        <v>2629099</v>
      </c>
      <c r="L163">
        <f>VLOOKUP(A163,NYSEARCAGSG!A$2:G$506,6,0)</f>
        <v>265497</v>
      </c>
      <c r="M163">
        <f>VLOOKUP(A163,NYSEARCAGLD!A$2:G$506,6,0)</f>
        <v>6272359</v>
      </c>
      <c r="N163">
        <f>VLOOKUP(A163,NYSEBP!A$2:G$506,6,0)</f>
        <v>7460090</v>
      </c>
      <c r="O163">
        <f>VLOOKUP(A163,NASDAQYHOO!A$2:G$506,6,0)</f>
        <v>17140122</v>
      </c>
    </row>
    <row r="164" spans="1:15">
      <c r="A164" s="39">
        <v>42381</v>
      </c>
      <c r="B164">
        <v>12195893</v>
      </c>
      <c r="C164">
        <f>VLOOKUP(A164,NYSEARCAVTI!A$2:G$506,6,0)</f>
        <v>4457335</v>
      </c>
      <c r="D164">
        <f>VLOOKUP(A164,NYSEARCAVEU!A$2:G$506,6,0)</f>
        <v>2702884</v>
      </c>
      <c r="E164">
        <f>VLOOKUP(A164,NYSEARCAVWO!A$2:G$506,6,0)</f>
        <v>18211707</v>
      </c>
      <c r="F164">
        <f>VLOOKUP(A164,NYSEARCABND!A$2:G$506,6,0)</f>
        <v>1645303</v>
      </c>
      <c r="G164">
        <f>VLOOKUP(A164,NYSEARCATIP!A$2:G$506,6,0)</f>
        <v>799111</v>
      </c>
      <c r="H164">
        <f>VLOOKUP(A164,NYSEARCAMUB!A$2:G$506,6,0)</f>
        <v>745099</v>
      </c>
      <c r="I164">
        <f>VLOOKUP(A164,NYSEARCAVNQ!A$2:G$506,6,0)</f>
        <v>5951947</v>
      </c>
      <c r="J164">
        <f>VLOOKUP(A164,NYSEARCARWX!A$2:G$506,6,0)</f>
        <v>458068</v>
      </c>
      <c r="K164">
        <f>VLOOKUP(A164,NYSEARCADBC!A$2:G$506,6,0)</f>
        <v>2398288</v>
      </c>
      <c r="L164">
        <f>VLOOKUP(A164,NYSEARCAGSG!A$2:G$506,6,0)</f>
        <v>143828</v>
      </c>
      <c r="M164">
        <f>VLOOKUP(A164,NYSEARCAGLD!A$2:G$506,6,0)</f>
        <v>5540231</v>
      </c>
      <c r="N164">
        <f>VLOOKUP(A164,NYSEBP!A$2:G$506,6,0)</f>
        <v>10629654</v>
      </c>
      <c r="O164">
        <f>VLOOKUP(A164,NASDAQYHOO!A$2:G$506,6,0)</f>
        <v>13198495</v>
      </c>
    </row>
    <row r="165" spans="1:15">
      <c r="A165" s="39">
        <v>42382</v>
      </c>
      <c r="B165">
        <v>13672904</v>
      </c>
      <c r="C165">
        <f>VLOOKUP(A165,NYSEARCAVTI!A$2:G$506,6,0)</f>
        <v>6158614</v>
      </c>
      <c r="D165">
        <f>VLOOKUP(A165,NYSEARCAVEU!A$2:G$506,6,0)</f>
        <v>3808599</v>
      </c>
      <c r="E165">
        <f>VLOOKUP(A165,NYSEARCAVWO!A$2:G$506,6,0)</f>
        <v>25800415</v>
      </c>
      <c r="F165">
        <f>VLOOKUP(A165,NYSEARCABND!A$2:G$506,6,0)</f>
        <v>2887790</v>
      </c>
      <c r="G165">
        <f>VLOOKUP(A165,NYSEARCATIP!A$2:G$506,6,0)</f>
        <v>544610</v>
      </c>
      <c r="H165">
        <f>VLOOKUP(A165,NYSEARCAMUB!A$2:G$506,6,0)</f>
        <v>490528</v>
      </c>
      <c r="I165">
        <f>VLOOKUP(A165,NYSEARCAVNQ!A$2:G$506,6,0)</f>
        <v>7679355</v>
      </c>
      <c r="J165">
        <f>VLOOKUP(A165,NYSEARCARWX!A$2:G$506,6,0)</f>
        <v>3128400</v>
      </c>
      <c r="K165">
        <f>VLOOKUP(A165,NYSEARCADBC!A$2:G$506,6,0)</f>
        <v>2554217</v>
      </c>
      <c r="L165">
        <f>VLOOKUP(A165,NYSEARCAGSG!A$2:G$506,6,0)</f>
        <v>862272</v>
      </c>
      <c r="M165">
        <f>VLOOKUP(A165,NYSEARCAGLD!A$2:G$506,6,0)</f>
        <v>6820813</v>
      </c>
      <c r="N165">
        <f>VLOOKUP(A165,NYSEBP!A$2:G$506,6,0)</f>
        <v>16896326</v>
      </c>
      <c r="O165">
        <f>VLOOKUP(A165,NASDAQYHOO!A$2:G$506,6,0)</f>
        <v>16593732</v>
      </c>
    </row>
    <row r="166" spans="1:15">
      <c r="A166" s="39">
        <v>42383</v>
      </c>
      <c r="B166">
        <v>12885473</v>
      </c>
      <c r="C166">
        <f>VLOOKUP(A166,NYSEARCAVTI!A$2:G$506,6,0)</f>
        <v>5084407</v>
      </c>
      <c r="D166">
        <f>VLOOKUP(A166,NYSEARCAVEU!A$2:G$506,6,0)</f>
        <v>3711844</v>
      </c>
      <c r="E166">
        <f>VLOOKUP(A166,NYSEARCAVWO!A$2:G$506,6,0)</f>
        <v>28401571</v>
      </c>
      <c r="F166">
        <f>VLOOKUP(A166,NYSEARCABND!A$2:G$506,6,0)</f>
        <v>4545777</v>
      </c>
      <c r="G166">
        <f>VLOOKUP(A166,NYSEARCATIP!A$2:G$506,6,0)</f>
        <v>1006215</v>
      </c>
      <c r="H166">
        <f>VLOOKUP(A166,NYSEARCAMUB!A$2:G$506,6,0)</f>
        <v>473024</v>
      </c>
      <c r="I166">
        <f>VLOOKUP(A166,NYSEARCAVNQ!A$2:G$506,6,0)</f>
        <v>5167498</v>
      </c>
      <c r="J166">
        <f>VLOOKUP(A166,NYSEARCARWX!A$2:G$506,6,0)</f>
        <v>528694</v>
      </c>
      <c r="K166">
        <f>VLOOKUP(A166,NYSEARCADBC!A$2:G$506,6,0)</f>
        <v>1813099</v>
      </c>
      <c r="L166">
        <f>VLOOKUP(A166,NYSEARCAGSG!A$2:G$506,6,0)</f>
        <v>175073</v>
      </c>
      <c r="M166">
        <f>VLOOKUP(A166,NYSEARCAGLD!A$2:G$506,6,0)</f>
        <v>9988880</v>
      </c>
      <c r="N166">
        <f>VLOOKUP(A166,NYSEBP!A$2:G$506,6,0)</f>
        <v>14718396</v>
      </c>
      <c r="O166">
        <f>VLOOKUP(A166,NASDAQYHOO!A$2:G$506,6,0)</f>
        <v>14995662</v>
      </c>
    </row>
    <row r="167" spans="1:15">
      <c r="A167" s="39">
        <v>42384</v>
      </c>
      <c r="B167">
        <v>15123957</v>
      </c>
      <c r="C167">
        <f>VLOOKUP(A167,NYSEARCAVTI!A$2:G$506,6,0)</f>
        <v>8049094</v>
      </c>
      <c r="D167">
        <f>VLOOKUP(A167,NYSEARCAVEU!A$2:G$506,6,0)</f>
        <v>4392195</v>
      </c>
      <c r="E167">
        <f>VLOOKUP(A167,NYSEARCAVWO!A$2:G$506,6,0)</f>
        <v>30549754</v>
      </c>
      <c r="F167">
        <f>VLOOKUP(A167,NYSEARCABND!A$2:G$506,6,0)</f>
        <v>1773875</v>
      </c>
      <c r="G167">
        <f>VLOOKUP(A167,NYSEARCATIP!A$2:G$506,6,0)</f>
        <v>851385</v>
      </c>
      <c r="H167">
        <f>VLOOKUP(A167,NYSEARCAMUB!A$2:G$506,6,0)</f>
        <v>549287</v>
      </c>
      <c r="I167">
        <f>VLOOKUP(A167,NYSEARCAVNQ!A$2:G$506,6,0)</f>
        <v>5571398</v>
      </c>
      <c r="J167">
        <f>VLOOKUP(A167,NYSEARCARWX!A$2:G$506,6,0)</f>
        <v>788724</v>
      </c>
      <c r="K167">
        <f>VLOOKUP(A167,NYSEARCADBC!A$2:G$506,6,0)</f>
        <v>1963468</v>
      </c>
      <c r="L167">
        <f>VLOOKUP(A167,NYSEARCAGSG!A$2:G$506,6,0)</f>
        <v>127831</v>
      </c>
      <c r="M167">
        <f>VLOOKUP(A167,NYSEARCAGLD!A$2:G$506,6,0)</f>
        <v>10042922</v>
      </c>
      <c r="N167">
        <f>VLOOKUP(A167,NYSEBP!A$2:G$506,6,0)</f>
        <v>11703035</v>
      </c>
      <c r="O167">
        <f>VLOOKUP(A167,NASDAQYHOO!A$2:G$506,6,0)</f>
        <v>17352014</v>
      </c>
    </row>
    <row r="168" spans="1:15">
      <c r="A168" s="39">
        <v>42388</v>
      </c>
      <c r="B168">
        <v>12357179</v>
      </c>
      <c r="C168">
        <f>VLOOKUP(A168,NYSEARCAVTI!A$2:G$506,6,0)</f>
        <v>7423379</v>
      </c>
      <c r="D168">
        <f>VLOOKUP(A168,NYSEARCAVEU!A$2:G$506,6,0)</f>
        <v>5505452</v>
      </c>
      <c r="E168">
        <f>VLOOKUP(A168,NYSEARCAVWO!A$2:G$506,6,0)</f>
        <v>26831202</v>
      </c>
      <c r="F168">
        <f>VLOOKUP(A168,NYSEARCABND!A$2:G$506,6,0)</f>
        <v>3856662</v>
      </c>
      <c r="G168">
        <f>VLOOKUP(A168,NYSEARCATIP!A$2:G$506,6,0)</f>
        <v>967863</v>
      </c>
      <c r="H168">
        <f>VLOOKUP(A168,NYSEARCAMUB!A$2:G$506,6,0)</f>
        <v>858329</v>
      </c>
      <c r="I168">
        <f>VLOOKUP(A168,NYSEARCAVNQ!A$2:G$506,6,0)</f>
        <v>4978063</v>
      </c>
      <c r="J168">
        <f>VLOOKUP(A168,NYSEARCARWX!A$2:G$506,6,0)</f>
        <v>782830</v>
      </c>
      <c r="K168">
        <f>VLOOKUP(A168,NYSEARCADBC!A$2:G$506,6,0)</f>
        <v>3776801</v>
      </c>
      <c r="L168">
        <f>VLOOKUP(A168,NYSEARCAGSG!A$2:G$506,6,0)</f>
        <v>312014</v>
      </c>
      <c r="M168">
        <f>VLOOKUP(A168,NYSEARCAGLD!A$2:G$506,6,0)</f>
        <v>4587773</v>
      </c>
      <c r="N168">
        <f>VLOOKUP(A168,NYSEBP!A$2:G$506,6,0)</f>
        <v>9345520</v>
      </c>
      <c r="O168">
        <f>VLOOKUP(A168,NASDAQYHOO!A$2:G$506,6,0)</f>
        <v>20036365</v>
      </c>
    </row>
    <row r="169" spans="1:15">
      <c r="A169" s="39">
        <v>42389</v>
      </c>
      <c r="B169">
        <v>17323116</v>
      </c>
      <c r="C169">
        <f>VLOOKUP(A169,NYSEARCAVTI!A$2:G$506,6,0)</f>
        <v>13844892</v>
      </c>
      <c r="D169">
        <f>VLOOKUP(A169,NYSEARCAVEU!A$2:G$506,6,0)</f>
        <v>6970516</v>
      </c>
      <c r="E169">
        <f>VLOOKUP(A169,NYSEARCAVWO!A$2:G$506,6,0)</f>
        <v>37732796</v>
      </c>
      <c r="F169">
        <f>VLOOKUP(A169,NYSEARCABND!A$2:G$506,6,0)</f>
        <v>7777908</v>
      </c>
      <c r="G169">
        <f>VLOOKUP(A169,NYSEARCATIP!A$2:G$506,6,0)</f>
        <v>784276</v>
      </c>
      <c r="H169">
        <f>VLOOKUP(A169,NYSEARCAMUB!A$2:G$506,6,0)</f>
        <v>513031</v>
      </c>
      <c r="I169">
        <f>VLOOKUP(A169,NYSEARCAVNQ!A$2:G$506,6,0)</f>
        <v>9085460</v>
      </c>
      <c r="J169">
        <f>VLOOKUP(A169,NYSEARCARWX!A$2:G$506,6,0)</f>
        <v>5393263</v>
      </c>
      <c r="K169">
        <f>VLOOKUP(A169,NYSEARCADBC!A$2:G$506,6,0)</f>
        <v>2219021</v>
      </c>
      <c r="L169">
        <f>VLOOKUP(A169,NYSEARCAGSG!A$2:G$506,6,0)</f>
        <v>408312</v>
      </c>
      <c r="M169">
        <f>VLOOKUP(A169,NYSEARCAGLD!A$2:G$506,6,0)</f>
        <v>10099914</v>
      </c>
      <c r="N169">
        <f>VLOOKUP(A169,NYSEBP!A$2:G$506,6,0)</f>
        <v>15073877</v>
      </c>
      <c r="O169">
        <f>VLOOKUP(A169,NASDAQYHOO!A$2:G$506,6,0)</f>
        <v>20455096</v>
      </c>
    </row>
    <row r="170" spans="1:15">
      <c r="A170" s="39">
        <v>42390</v>
      </c>
      <c r="B170">
        <v>12056694</v>
      </c>
      <c r="C170">
        <f>VLOOKUP(A170,NYSEARCAVTI!A$2:G$506,6,0)</f>
        <v>7166778</v>
      </c>
      <c r="D170">
        <f>VLOOKUP(A170,NYSEARCAVEU!A$2:G$506,6,0)</f>
        <v>7529831</v>
      </c>
      <c r="E170">
        <f>VLOOKUP(A170,NYSEARCAVWO!A$2:G$506,6,0)</f>
        <v>35402894</v>
      </c>
      <c r="F170">
        <f>VLOOKUP(A170,NYSEARCABND!A$2:G$506,6,0)</f>
        <v>3062566</v>
      </c>
      <c r="G170">
        <f>VLOOKUP(A170,NYSEARCATIP!A$2:G$506,6,0)</f>
        <v>1344267</v>
      </c>
      <c r="H170">
        <f>VLOOKUP(A170,NYSEARCAMUB!A$2:G$506,6,0)</f>
        <v>706346</v>
      </c>
      <c r="I170">
        <f>VLOOKUP(A170,NYSEARCAVNQ!A$2:G$506,6,0)</f>
        <v>6849313</v>
      </c>
      <c r="J170">
        <f>VLOOKUP(A170,NYSEARCARWX!A$2:G$506,6,0)</f>
        <v>1912594</v>
      </c>
      <c r="K170">
        <f>VLOOKUP(A170,NYSEARCADBC!A$2:G$506,6,0)</f>
        <v>2564094</v>
      </c>
      <c r="L170">
        <f>VLOOKUP(A170,NYSEARCAGSG!A$2:G$506,6,0)</f>
        <v>784169</v>
      </c>
      <c r="M170">
        <f>VLOOKUP(A170,NYSEARCAGLD!A$2:G$506,6,0)</f>
        <v>5424168</v>
      </c>
      <c r="N170">
        <f>VLOOKUP(A170,NYSEBP!A$2:G$506,6,0)</f>
        <v>9914321</v>
      </c>
      <c r="O170">
        <f>VLOOKUP(A170,NASDAQYHOO!A$2:G$506,6,0)</f>
        <v>16073930</v>
      </c>
    </row>
    <row r="171" spans="1:15">
      <c r="A171" s="39">
        <v>42391</v>
      </c>
      <c r="B171">
        <v>9172062</v>
      </c>
      <c r="C171">
        <f>VLOOKUP(A171,NYSEARCAVTI!A$2:G$506,6,0)</f>
        <v>3700370</v>
      </c>
      <c r="D171">
        <f>VLOOKUP(A171,NYSEARCAVEU!A$2:G$506,6,0)</f>
        <v>4599454</v>
      </c>
      <c r="E171">
        <f>VLOOKUP(A171,NYSEARCAVWO!A$2:G$506,6,0)</f>
        <v>27700083</v>
      </c>
      <c r="F171">
        <f>VLOOKUP(A171,NYSEARCABND!A$2:G$506,6,0)</f>
        <v>3004117</v>
      </c>
      <c r="G171">
        <f>VLOOKUP(A171,NYSEARCATIP!A$2:G$506,6,0)</f>
        <v>1215188</v>
      </c>
      <c r="H171">
        <f>VLOOKUP(A171,NYSEARCAMUB!A$2:G$506,6,0)</f>
        <v>504842</v>
      </c>
      <c r="I171">
        <f>VLOOKUP(A171,NYSEARCAVNQ!A$2:G$506,6,0)</f>
        <v>4542016</v>
      </c>
      <c r="J171">
        <f>VLOOKUP(A171,NYSEARCARWX!A$2:G$506,6,0)</f>
        <v>1274792</v>
      </c>
      <c r="K171">
        <f>VLOOKUP(A171,NYSEARCADBC!A$2:G$506,6,0)</f>
        <v>1994486</v>
      </c>
      <c r="L171">
        <f>VLOOKUP(A171,NYSEARCAGSG!A$2:G$506,6,0)</f>
        <v>1624391</v>
      </c>
      <c r="M171">
        <f>VLOOKUP(A171,NYSEARCAGLD!A$2:G$506,6,0)</f>
        <v>4170785</v>
      </c>
      <c r="N171">
        <f>VLOOKUP(A171,NYSEBP!A$2:G$506,6,0)</f>
        <v>14913604</v>
      </c>
      <c r="O171">
        <f>VLOOKUP(A171,NASDAQYHOO!A$2:G$506,6,0)</f>
        <v>16272093</v>
      </c>
    </row>
    <row r="172" spans="1:15">
      <c r="A172" s="39">
        <v>42394</v>
      </c>
      <c r="B172">
        <v>12771089</v>
      </c>
      <c r="C172">
        <f>VLOOKUP(A172,NYSEARCAVTI!A$2:G$506,6,0)</f>
        <v>4469445</v>
      </c>
      <c r="D172">
        <f>VLOOKUP(A172,NYSEARCAVEU!A$2:G$506,6,0)</f>
        <v>3993487</v>
      </c>
      <c r="E172">
        <f>VLOOKUP(A172,NYSEARCAVWO!A$2:G$506,6,0)</f>
        <v>23226718</v>
      </c>
      <c r="F172">
        <f>VLOOKUP(A172,NYSEARCABND!A$2:G$506,6,0)</f>
        <v>2164714</v>
      </c>
      <c r="G172">
        <f>VLOOKUP(A172,NYSEARCATIP!A$2:G$506,6,0)</f>
        <v>810599</v>
      </c>
      <c r="H172">
        <f>VLOOKUP(A172,NYSEARCAMUB!A$2:G$506,6,0)</f>
        <v>329425</v>
      </c>
      <c r="I172">
        <f>VLOOKUP(A172,NYSEARCAVNQ!A$2:G$506,6,0)</f>
        <v>4669619</v>
      </c>
      <c r="J172">
        <f>VLOOKUP(A172,NYSEARCARWX!A$2:G$506,6,0)</f>
        <v>641766</v>
      </c>
      <c r="K172">
        <f>VLOOKUP(A172,NYSEARCADBC!A$2:G$506,6,0)</f>
        <v>1983060</v>
      </c>
      <c r="L172">
        <f>VLOOKUP(A172,NYSEARCAGSG!A$2:G$506,6,0)</f>
        <v>175154</v>
      </c>
      <c r="M172">
        <f>VLOOKUP(A172,NYSEARCAGLD!A$2:G$506,6,0)</f>
        <v>6809104</v>
      </c>
      <c r="N172">
        <f>VLOOKUP(A172,NYSEBP!A$2:G$506,6,0)</f>
        <v>8017143</v>
      </c>
      <c r="O172">
        <f>VLOOKUP(A172,NASDAQYHOO!A$2:G$506,6,0)</f>
        <v>23095495</v>
      </c>
    </row>
    <row r="173" spans="1:15">
      <c r="A173" s="39">
        <v>42395</v>
      </c>
      <c r="B173">
        <v>9176958</v>
      </c>
      <c r="C173">
        <f>VLOOKUP(A173,NYSEARCAVTI!A$2:G$506,6,0)</f>
        <v>3333211</v>
      </c>
      <c r="D173">
        <f>VLOOKUP(A173,NYSEARCAVEU!A$2:G$506,6,0)</f>
        <v>4070164</v>
      </c>
      <c r="E173">
        <f>VLOOKUP(A173,NYSEARCAVWO!A$2:G$506,6,0)</f>
        <v>19935526</v>
      </c>
      <c r="F173">
        <f>VLOOKUP(A173,NYSEARCABND!A$2:G$506,6,0)</f>
        <v>2659114</v>
      </c>
      <c r="G173">
        <f>VLOOKUP(A173,NYSEARCATIP!A$2:G$506,6,0)</f>
        <v>415130</v>
      </c>
      <c r="H173">
        <f>VLOOKUP(A173,NYSEARCAMUB!A$2:G$506,6,0)</f>
        <v>317187</v>
      </c>
      <c r="I173">
        <f>VLOOKUP(A173,NYSEARCAVNQ!A$2:G$506,6,0)</f>
        <v>5213715</v>
      </c>
      <c r="J173">
        <f>VLOOKUP(A173,NYSEARCARWX!A$2:G$506,6,0)</f>
        <v>440469</v>
      </c>
      <c r="K173">
        <f>VLOOKUP(A173,NYSEARCADBC!A$2:G$506,6,0)</f>
        <v>2014593</v>
      </c>
      <c r="L173">
        <f>VLOOKUP(A173,NYSEARCAGSG!A$2:G$506,6,0)</f>
        <v>500222</v>
      </c>
      <c r="M173">
        <f>VLOOKUP(A173,NYSEARCAGLD!A$2:G$506,6,0)</f>
        <v>8436866</v>
      </c>
      <c r="N173">
        <f>VLOOKUP(A173,NYSEBP!A$2:G$506,6,0)</f>
        <v>9613749</v>
      </c>
      <c r="O173">
        <f>VLOOKUP(A173,NASDAQYHOO!A$2:G$506,6,0)</f>
        <v>11422624</v>
      </c>
    </row>
    <row r="174" spans="1:15">
      <c r="A174" s="39">
        <v>42396</v>
      </c>
      <c r="B174">
        <v>10167482</v>
      </c>
      <c r="C174">
        <f>VLOOKUP(A174,NYSEARCAVTI!A$2:G$506,6,0)</f>
        <v>5201945</v>
      </c>
      <c r="D174">
        <f>VLOOKUP(A174,NYSEARCAVEU!A$2:G$506,6,0)</f>
        <v>2890178</v>
      </c>
      <c r="E174">
        <f>VLOOKUP(A174,NYSEARCAVWO!A$2:G$506,6,0)</f>
        <v>27058641</v>
      </c>
      <c r="F174">
        <f>VLOOKUP(A174,NYSEARCABND!A$2:G$506,6,0)</f>
        <v>1734400</v>
      </c>
      <c r="G174">
        <f>VLOOKUP(A174,NYSEARCATIP!A$2:G$506,6,0)</f>
        <v>567247</v>
      </c>
      <c r="H174">
        <f>VLOOKUP(A174,NYSEARCAMUB!A$2:G$506,6,0)</f>
        <v>294249</v>
      </c>
      <c r="I174">
        <f>VLOOKUP(A174,NYSEARCAVNQ!A$2:G$506,6,0)</f>
        <v>4883284</v>
      </c>
      <c r="J174">
        <f>VLOOKUP(A174,NYSEARCARWX!A$2:G$506,6,0)</f>
        <v>498519</v>
      </c>
      <c r="K174">
        <f>VLOOKUP(A174,NYSEARCADBC!A$2:G$506,6,0)</f>
        <v>1485174</v>
      </c>
      <c r="L174">
        <f>VLOOKUP(A174,NYSEARCAGSG!A$2:G$506,6,0)</f>
        <v>410215</v>
      </c>
      <c r="M174">
        <f>VLOOKUP(A174,NYSEARCAGLD!A$2:G$506,6,0)</f>
        <v>7571641</v>
      </c>
      <c r="N174">
        <f>VLOOKUP(A174,NYSEBP!A$2:G$506,6,0)</f>
        <v>9698666</v>
      </c>
      <c r="O174">
        <f>VLOOKUP(A174,NASDAQYHOO!A$2:G$506,6,0)</f>
        <v>13269873</v>
      </c>
    </row>
    <row r="175" spans="1:15">
      <c r="A175" s="39">
        <v>42397</v>
      </c>
      <c r="B175">
        <v>11260757</v>
      </c>
      <c r="C175">
        <f>VLOOKUP(A175,NYSEARCAVTI!A$2:G$506,6,0)</f>
        <v>4540658</v>
      </c>
      <c r="D175">
        <f>VLOOKUP(A175,NYSEARCAVEU!A$2:G$506,6,0)</f>
        <v>3130798</v>
      </c>
      <c r="E175">
        <f>VLOOKUP(A175,NYSEARCAVWO!A$2:G$506,6,0)</f>
        <v>24075895</v>
      </c>
      <c r="F175">
        <f>VLOOKUP(A175,NYSEARCABND!A$2:G$506,6,0)</f>
        <v>1487555</v>
      </c>
      <c r="G175">
        <f>VLOOKUP(A175,NYSEARCATIP!A$2:G$506,6,0)</f>
        <v>1020493</v>
      </c>
      <c r="H175">
        <f>VLOOKUP(A175,NYSEARCAMUB!A$2:G$506,6,0)</f>
        <v>260964</v>
      </c>
      <c r="I175">
        <f>VLOOKUP(A175,NYSEARCAVNQ!A$2:G$506,6,0)</f>
        <v>5580726</v>
      </c>
      <c r="J175">
        <f>VLOOKUP(A175,NYSEARCARWX!A$2:G$506,6,0)</f>
        <v>955687</v>
      </c>
      <c r="K175">
        <f>VLOOKUP(A175,NYSEARCADBC!A$2:G$506,6,0)</f>
        <v>1943231</v>
      </c>
      <c r="L175">
        <f>VLOOKUP(A175,NYSEARCAGSG!A$2:G$506,6,0)</f>
        <v>268445</v>
      </c>
      <c r="M175">
        <f>VLOOKUP(A175,NYSEARCAGLD!A$2:G$506,6,0)</f>
        <v>5912367</v>
      </c>
      <c r="N175">
        <f>VLOOKUP(A175,NYSEBP!A$2:G$506,6,0)</f>
        <v>11278723</v>
      </c>
      <c r="O175">
        <f>VLOOKUP(A175,NASDAQYHOO!A$2:G$506,6,0)</f>
        <v>15420511</v>
      </c>
    </row>
    <row r="176" spans="1:15">
      <c r="A176" s="39">
        <v>42398</v>
      </c>
      <c r="B176">
        <v>16298375</v>
      </c>
      <c r="C176">
        <f>VLOOKUP(A176,NYSEARCAVTI!A$2:G$506,6,0)</f>
        <v>5003751</v>
      </c>
      <c r="D176">
        <f>VLOOKUP(A176,NYSEARCAVEU!A$2:G$506,6,0)</f>
        <v>3833529</v>
      </c>
      <c r="E176">
        <f>VLOOKUP(A176,NYSEARCAVWO!A$2:G$506,6,0)</f>
        <v>26927110</v>
      </c>
      <c r="F176">
        <f>VLOOKUP(A176,NYSEARCABND!A$2:G$506,6,0)</f>
        <v>3634330</v>
      </c>
      <c r="G176">
        <f>VLOOKUP(A176,NYSEARCATIP!A$2:G$506,6,0)</f>
        <v>1017237</v>
      </c>
      <c r="H176">
        <f>VLOOKUP(A176,NYSEARCAMUB!A$2:G$506,6,0)</f>
        <v>431746</v>
      </c>
      <c r="I176">
        <f>VLOOKUP(A176,NYSEARCAVNQ!A$2:G$506,6,0)</f>
        <v>10927691</v>
      </c>
      <c r="J176">
        <f>VLOOKUP(A176,NYSEARCARWX!A$2:G$506,6,0)</f>
        <v>596720</v>
      </c>
      <c r="K176">
        <f>VLOOKUP(A176,NYSEARCADBC!A$2:G$506,6,0)</f>
        <v>2920583</v>
      </c>
      <c r="L176">
        <f>VLOOKUP(A176,NYSEARCAGSG!A$2:G$506,6,0)</f>
        <v>1919613</v>
      </c>
      <c r="M176">
        <f>VLOOKUP(A176,NYSEARCAGLD!A$2:G$506,6,0)</f>
        <v>8084942</v>
      </c>
      <c r="N176">
        <f>VLOOKUP(A176,NYSEBP!A$2:G$506,6,0)</f>
        <v>8811020</v>
      </c>
      <c r="O176">
        <f>VLOOKUP(A176,NASDAQYHOO!A$2:G$506,6,0)</f>
        <v>18718334</v>
      </c>
    </row>
    <row r="177" spans="1:15">
      <c r="A177" s="39">
        <v>42401</v>
      </c>
      <c r="B177">
        <v>14517677</v>
      </c>
      <c r="C177">
        <f>VLOOKUP(A177,NYSEARCAVTI!A$2:G$506,6,0)</f>
        <v>3868976</v>
      </c>
      <c r="D177">
        <f>VLOOKUP(A177,NYSEARCAVEU!A$2:G$506,6,0)</f>
        <v>3197013</v>
      </c>
      <c r="E177">
        <f>VLOOKUP(A177,NYSEARCAVWO!A$2:G$506,6,0)</f>
        <v>24699908</v>
      </c>
      <c r="F177">
        <f>VLOOKUP(A177,NYSEARCABND!A$2:G$506,6,0)</f>
        <v>2255310</v>
      </c>
      <c r="G177">
        <f>VLOOKUP(A177,NYSEARCATIP!A$2:G$506,6,0)</f>
        <v>1366716</v>
      </c>
      <c r="H177">
        <f>VLOOKUP(A177,NYSEARCAMUB!A$2:G$506,6,0)</f>
        <v>788080</v>
      </c>
      <c r="I177">
        <f>VLOOKUP(A177,NYSEARCAVNQ!A$2:G$506,6,0)</f>
        <v>6925313</v>
      </c>
      <c r="J177">
        <f>VLOOKUP(A177,NYSEARCARWX!A$2:G$506,6,0)</f>
        <v>649234</v>
      </c>
      <c r="K177">
        <f>VLOOKUP(A177,NYSEARCADBC!A$2:G$506,6,0)</f>
        <v>1724621</v>
      </c>
      <c r="L177">
        <f>VLOOKUP(A177,NYSEARCAGSG!A$2:G$506,6,0)</f>
        <v>636692</v>
      </c>
      <c r="M177">
        <f>VLOOKUP(A177,NYSEARCAGLD!A$2:G$506,6,0)</f>
        <v>10076082</v>
      </c>
      <c r="N177">
        <f>VLOOKUP(A177,NYSEBP!A$2:G$506,6,0)</f>
        <v>9461606</v>
      </c>
      <c r="O177">
        <f>VLOOKUP(A177,NASDAQYHOO!A$2:G$506,6,0)</f>
        <v>12865755</v>
      </c>
    </row>
    <row r="178" spans="1:15">
      <c r="A178" s="39">
        <v>42402</v>
      </c>
      <c r="B178">
        <v>13545337</v>
      </c>
      <c r="C178">
        <f>VLOOKUP(A178,NYSEARCAVTI!A$2:G$506,6,0)</f>
        <v>3276209</v>
      </c>
      <c r="D178">
        <f>VLOOKUP(A178,NYSEARCAVEU!A$2:G$506,6,0)</f>
        <v>3120434</v>
      </c>
      <c r="E178">
        <f>VLOOKUP(A178,NYSEARCAVWO!A$2:G$506,6,0)</f>
        <v>29716516</v>
      </c>
      <c r="F178">
        <f>VLOOKUP(A178,NYSEARCABND!A$2:G$506,6,0)</f>
        <v>2552916</v>
      </c>
      <c r="G178">
        <f>VLOOKUP(A178,NYSEARCATIP!A$2:G$506,6,0)</f>
        <v>1061820</v>
      </c>
      <c r="H178">
        <f>VLOOKUP(A178,NYSEARCAMUB!A$2:G$506,6,0)</f>
        <v>723649</v>
      </c>
      <c r="I178">
        <f>VLOOKUP(A178,NYSEARCAVNQ!A$2:G$506,6,0)</f>
        <v>6404965</v>
      </c>
      <c r="J178">
        <f>VLOOKUP(A178,NYSEARCARWX!A$2:G$506,6,0)</f>
        <v>653962</v>
      </c>
      <c r="K178">
        <f>VLOOKUP(A178,NYSEARCADBC!A$2:G$506,6,0)</f>
        <v>5602483</v>
      </c>
      <c r="L178">
        <f>VLOOKUP(A178,NYSEARCAGSG!A$2:G$506,6,0)</f>
        <v>434824</v>
      </c>
      <c r="M178">
        <f>VLOOKUP(A178,NYSEARCAGLD!A$2:G$506,6,0)</f>
        <v>6651733</v>
      </c>
      <c r="N178">
        <f>VLOOKUP(A178,NYSEBP!A$2:G$506,6,0)</f>
        <v>21306143</v>
      </c>
      <c r="O178">
        <f>VLOOKUP(A178,NASDAQYHOO!A$2:G$506,6,0)</f>
        <v>34088167</v>
      </c>
    </row>
    <row r="179" spans="1:15">
      <c r="A179" s="39">
        <v>42403</v>
      </c>
      <c r="B179">
        <v>12288808</v>
      </c>
      <c r="C179">
        <f>VLOOKUP(A179,NYSEARCAVTI!A$2:G$506,6,0)</f>
        <v>5457339</v>
      </c>
      <c r="D179">
        <f>VLOOKUP(A179,NYSEARCAVEU!A$2:G$506,6,0)</f>
        <v>4316156</v>
      </c>
      <c r="E179">
        <f>VLOOKUP(A179,NYSEARCAVWO!A$2:G$506,6,0)</f>
        <v>32564770</v>
      </c>
      <c r="F179">
        <f>VLOOKUP(A179,NYSEARCABND!A$2:G$506,6,0)</f>
        <v>3238116</v>
      </c>
      <c r="G179">
        <f>VLOOKUP(A179,NYSEARCATIP!A$2:G$506,6,0)</f>
        <v>822814</v>
      </c>
      <c r="H179">
        <f>VLOOKUP(A179,NYSEARCAMUB!A$2:G$506,6,0)</f>
        <v>356081</v>
      </c>
      <c r="I179">
        <f>VLOOKUP(A179,NYSEARCAVNQ!A$2:G$506,6,0)</f>
        <v>5729119</v>
      </c>
      <c r="J179">
        <f>VLOOKUP(A179,NYSEARCARWX!A$2:G$506,6,0)</f>
        <v>1459556</v>
      </c>
      <c r="K179">
        <f>VLOOKUP(A179,NYSEARCADBC!A$2:G$506,6,0)</f>
        <v>3106627</v>
      </c>
      <c r="L179">
        <f>VLOOKUP(A179,NYSEARCAGSG!A$2:G$506,6,0)</f>
        <v>407195</v>
      </c>
      <c r="M179">
        <f>VLOOKUP(A179,NYSEARCAGLD!A$2:G$506,6,0)</f>
        <v>15678540</v>
      </c>
      <c r="N179">
        <f>VLOOKUP(A179,NYSEBP!A$2:G$506,6,0)</f>
        <v>14295525</v>
      </c>
      <c r="O179">
        <f>VLOOKUP(A179,NASDAQYHOO!A$2:G$506,6,0)</f>
        <v>55527649</v>
      </c>
    </row>
    <row r="180" spans="1:15">
      <c r="A180" s="39">
        <v>42404</v>
      </c>
      <c r="B180">
        <v>12789931</v>
      </c>
      <c r="C180">
        <f>VLOOKUP(A180,NYSEARCAVTI!A$2:G$506,6,0)</f>
        <v>3431752</v>
      </c>
      <c r="D180">
        <f>VLOOKUP(A180,NYSEARCAVEU!A$2:G$506,6,0)</f>
        <v>3970880</v>
      </c>
      <c r="E180">
        <f>VLOOKUP(A180,NYSEARCAVWO!A$2:G$506,6,0)</f>
        <v>29315889</v>
      </c>
      <c r="F180">
        <f>VLOOKUP(A180,NYSEARCABND!A$2:G$506,6,0)</f>
        <v>1179221</v>
      </c>
      <c r="G180">
        <f>VLOOKUP(A180,NYSEARCATIP!A$2:G$506,6,0)</f>
        <v>607489</v>
      </c>
      <c r="H180">
        <f>VLOOKUP(A180,NYSEARCAMUB!A$2:G$506,6,0)</f>
        <v>464559</v>
      </c>
      <c r="I180">
        <f>VLOOKUP(A180,NYSEARCAVNQ!A$2:G$506,6,0)</f>
        <v>4286688</v>
      </c>
      <c r="J180">
        <f>VLOOKUP(A180,NYSEARCARWX!A$2:G$506,6,0)</f>
        <v>463882</v>
      </c>
      <c r="K180">
        <f>VLOOKUP(A180,NYSEARCADBC!A$2:G$506,6,0)</f>
        <v>2606409</v>
      </c>
      <c r="L180">
        <f>VLOOKUP(A180,NYSEARCAGSG!A$2:G$506,6,0)</f>
        <v>279874</v>
      </c>
      <c r="M180">
        <f>VLOOKUP(A180,NYSEARCAGLD!A$2:G$506,6,0)</f>
        <v>13204016</v>
      </c>
      <c r="N180">
        <f>VLOOKUP(A180,NYSEBP!A$2:G$506,6,0)</f>
        <v>11269070</v>
      </c>
      <c r="O180">
        <f>VLOOKUP(A180,NASDAQYHOO!A$2:G$506,6,0)</f>
        <v>28516992</v>
      </c>
    </row>
    <row r="181" spans="1:15">
      <c r="A181" s="39">
        <v>42405</v>
      </c>
      <c r="B181">
        <v>14122092</v>
      </c>
      <c r="C181">
        <f>VLOOKUP(A181,NYSEARCAVTI!A$2:G$506,6,0)</f>
        <v>3992571</v>
      </c>
      <c r="D181">
        <f>VLOOKUP(A181,NYSEARCAVEU!A$2:G$506,6,0)</f>
        <v>2233041</v>
      </c>
      <c r="E181">
        <f>VLOOKUP(A181,NYSEARCAVWO!A$2:G$506,6,0)</f>
        <v>21578653</v>
      </c>
      <c r="F181">
        <f>VLOOKUP(A181,NYSEARCABND!A$2:G$506,6,0)</f>
        <v>2360189</v>
      </c>
      <c r="G181">
        <f>VLOOKUP(A181,NYSEARCATIP!A$2:G$506,6,0)</f>
        <v>554809</v>
      </c>
      <c r="H181">
        <f>VLOOKUP(A181,NYSEARCAMUB!A$2:G$506,6,0)</f>
        <v>363897</v>
      </c>
      <c r="I181">
        <f>VLOOKUP(A181,NYSEARCAVNQ!A$2:G$506,6,0)</f>
        <v>4033760</v>
      </c>
      <c r="J181">
        <f>VLOOKUP(A181,NYSEARCARWX!A$2:G$506,6,0)</f>
        <v>903414</v>
      </c>
      <c r="K181">
        <f>VLOOKUP(A181,NYSEARCADBC!A$2:G$506,6,0)</f>
        <v>1709196</v>
      </c>
      <c r="L181">
        <f>VLOOKUP(A181,NYSEARCAGSG!A$2:G$506,6,0)</f>
        <v>695087</v>
      </c>
      <c r="M181">
        <f>VLOOKUP(A181,NYSEARCAGLD!A$2:G$506,6,0)</f>
        <v>14421700</v>
      </c>
      <c r="N181">
        <f>VLOOKUP(A181,NYSEBP!A$2:G$506,6,0)</f>
        <v>6774949</v>
      </c>
      <c r="O181">
        <f>VLOOKUP(A181,NASDAQYHOO!A$2:G$506,6,0)</f>
        <v>16077452</v>
      </c>
    </row>
    <row r="182" spans="1:15">
      <c r="A182" s="39">
        <v>42408</v>
      </c>
      <c r="B182">
        <v>18905952</v>
      </c>
      <c r="C182">
        <f>VLOOKUP(A182,NYSEARCAVTI!A$2:G$506,6,0)</f>
        <v>6302884</v>
      </c>
      <c r="D182">
        <f>VLOOKUP(A182,NYSEARCAVEU!A$2:G$506,6,0)</f>
        <v>3599904</v>
      </c>
      <c r="E182">
        <f>VLOOKUP(A182,NYSEARCAVWO!A$2:G$506,6,0)</f>
        <v>21018468</v>
      </c>
      <c r="F182">
        <f>VLOOKUP(A182,NYSEARCABND!A$2:G$506,6,0)</f>
        <v>2516473</v>
      </c>
      <c r="G182">
        <f>VLOOKUP(A182,NYSEARCATIP!A$2:G$506,6,0)</f>
        <v>782400</v>
      </c>
      <c r="H182">
        <f>VLOOKUP(A182,NYSEARCAMUB!A$2:G$506,6,0)</f>
        <v>402766</v>
      </c>
      <c r="I182">
        <f>VLOOKUP(A182,NYSEARCAVNQ!A$2:G$506,6,0)</f>
        <v>5440715</v>
      </c>
      <c r="J182">
        <f>VLOOKUP(A182,NYSEARCARWX!A$2:G$506,6,0)</f>
        <v>517474</v>
      </c>
      <c r="K182">
        <f>VLOOKUP(A182,NYSEARCADBC!A$2:G$506,6,0)</f>
        <v>1685762</v>
      </c>
      <c r="L182">
        <f>VLOOKUP(A182,NYSEARCAGSG!A$2:G$506,6,0)</f>
        <v>157353</v>
      </c>
      <c r="M182">
        <f>VLOOKUP(A182,NYSEARCAGLD!A$2:G$506,6,0)</f>
        <v>27072692</v>
      </c>
      <c r="N182">
        <f>VLOOKUP(A182,NYSEBP!A$2:G$506,6,0)</f>
        <v>8813130</v>
      </c>
      <c r="O182">
        <f>VLOOKUP(A182,NASDAQYHOO!A$2:G$506,6,0)</f>
        <v>24473574</v>
      </c>
    </row>
    <row r="183" spans="1:15">
      <c r="A183" s="39">
        <v>42409</v>
      </c>
      <c r="B183">
        <v>14184327</v>
      </c>
      <c r="C183">
        <f>VLOOKUP(A183,NYSEARCAVTI!A$2:G$506,6,0)</f>
        <v>4793910</v>
      </c>
      <c r="D183">
        <f>VLOOKUP(A183,NYSEARCAVEU!A$2:G$506,6,0)</f>
        <v>4065724</v>
      </c>
      <c r="E183">
        <f>VLOOKUP(A183,NYSEARCAVWO!A$2:G$506,6,0)</f>
        <v>22522778</v>
      </c>
      <c r="F183">
        <f>VLOOKUP(A183,NYSEARCABND!A$2:G$506,6,0)</f>
        <v>2354548</v>
      </c>
      <c r="G183">
        <f>VLOOKUP(A183,NYSEARCATIP!A$2:G$506,6,0)</f>
        <v>652077</v>
      </c>
      <c r="H183">
        <f>VLOOKUP(A183,NYSEARCAMUB!A$2:G$506,6,0)</f>
        <v>259142</v>
      </c>
      <c r="I183">
        <f>VLOOKUP(A183,NYSEARCAVNQ!A$2:G$506,6,0)</f>
        <v>8404641</v>
      </c>
      <c r="J183">
        <f>VLOOKUP(A183,NYSEARCARWX!A$2:G$506,6,0)</f>
        <v>2774142</v>
      </c>
      <c r="K183">
        <f>VLOOKUP(A183,NYSEARCADBC!A$2:G$506,6,0)</f>
        <v>2762879</v>
      </c>
      <c r="L183">
        <f>VLOOKUP(A183,NYSEARCAGSG!A$2:G$506,6,0)</f>
        <v>164120</v>
      </c>
      <c r="M183">
        <f>VLOOKUP(A183,NYSEARCAGLD!A$2:G$506,6,0)</f>
        <v>18053031</v>
      </c>
      <c r="N183">
        <f>VLOOKUP(A183,NYSEBP!A$2:G$506,6,0)</f>
        <v>9457946</v>
      </c>
      <c r="O183">
        <f>VLOOKUP(A183,NASDAQYHOO!A$2:G$506,6,0)</f>
        <v>13919057</v>
      </c>
    </row>
    <row r="184" spans="1:15">
      <c r="A184" s="39">
        <v>42410</v>
      </c>
      <c r="B184">
        <v>9699657</v>
      </c>
      <c r="C184">
        <f>VLOOKUP(A184,NYSEARCAVTI!A$2:G$506,6,0)</f>
        <v>3572765</v>
      </c>
      <c r="D184">
        <f>VLOOKUP(A184,NYSEARCAVEU!A$2:G$506,6,0)</f>
        <v>5174516</v>
      </c>
      <c r="E184">
        <f>VLOOKUP(A184,NYSEARCAVWO!A$2:G$506,6,0)</f>
        <v>24953144</v>
      </c>
      <c r="F184">
        <f>VLOOKUP(A184,NYSEARCABND!A$2:G$506,6,0)</f>
        <v>2553851</v>
      </c>
      <c r="G184">
        <f>VLOOKUP(A184,NYSEARCATIP!A$2:G$506,6,0)</f>
        <v>795334</v>
      </c>
      <c r="H184">
        <f>VLOOKUP(A184,NYSEARCAMUB!A$2:G$506,6,0)</f>
        <v>365426</v>
      </c>
      <c r="I184">
        <f>VLOOKUP(A184,NYSEARCAVNQ!A$2:G$506,6,0)</f>
        <v>3877078</v>
      </c>
      <c r="J184">
        <f>VLOOKUP(A184,NYSEARCARWX!A$2:G$506,6,0)</f>
        <v>385708</v>
      </c>
      <c r="K184">
        <f>VLOOKUP(A184,NYSEARCADBC!A$2:G$506,6,0)</f>
        <v>3157085</v>
      </c>
      <c r="L184">
        <f>VLOOKUP(A184,NYSEARCAGSG!A$2:G$506,6,0)</f>
        <v>339447</v>
      </c>
      <c r="M184">
        <f>VLOOKUP(A184,NYSEARCAGLD!A$2:G$506,6,0)</f>
        <v>13239875</v>
      </c>
      <c r="N184">
        <f>VLOOKUP(A184,NYSEBP!A$2:G$506,6,0)</f>
        <v>9802039</v>
      </c>
      <c r="O184">
        <f>VLOOKUP(A184,NASDAQYHOO!A$2:G$506,6,0)</f>
        <v>8933601</v>
      </c>
    </row>
    <row r="185" spans="1:15">
      <c r="A185" s="39">
        <v>42411</v>
      </c>
      <c r="B185">
        <v>11122686</v>
      </c>
      <c r="C185">
        <f>VLOOKUP(A185,NYSEARCAVTI!A$2:G$506,6,0)</f>
        <v>7238551</v>
      </c>
      <c r="D185">
        <f>VLOOKUP(A185,NYSEARCAVEU!A$2:G$506,6,0)</f>
        <v>5177560</v>
      </c>
      <c r="E185">
        <f>VLOOKUP(A185,NYSEARCAVWO!A$2:G$506,6,0)</f>
        <v>33509300</v>
      </c>
      <c r="F185">
        <f>VLOOKUP(A185,NYSEARCABND!A$2:G$506,6,0)</f>
        <v>1887598</v>
      </c>
      <c r="G185">
        <f>VLOOKUP(A185,NYSEARCATIP!A$2:G$506,6,0)</f>
        <v>1289622</v>
      </c>
      <c r="H185">
        <f>VLOOKUP(A185,NYSEARCAMUB!A$2:G$506,6,0)</f>
        <v>408011</v>
      </c>
      <c r="I185">
        <f>VLOOKUP(A185,NYSEARCAVNQ!A$2:G$506,6,0)</f>
        <v>4930687</v>
      </c>
      <c r="J185">
        <f>VLOOKUP(A185,NYSEARCARWX!A$2:G$506,6,0)</f>
        <v>373764</v>
      </c>
      <c r="K185">
        <f>VLOOKUP(A185,NYSEARCADBC!A$2:G$506,6,0)</f>
        <v>1966679</v>
      </c>
      <c r="L185">
        <f>VLOOKUP(A185,NYSEARCAGSG!A$2:G$506,6,0)</f>
        <v>290383</v>
      </c>
      <c r="M185">
        <f>VLOOKUP(A185,NYSEARCAGLD!A$2:G$506,6,0)</f>
        <v>48811875</v>
      </c>
      <c r="N185">
        <f>VLOOKUP(A185,NYSEBP!A$2:G$506,6,0)</f>
        <v>15031882</v>
      </c>
      <c r="O185">
        <f>VLOOKUP(A185,NASDAQYHOO!A$2:G$506,6,0)</f>
        <v>11154923</v>
      </c>
    </row>
    <row r="186" spans="1:15">
      <c r="A186" s="39">
        <v>42412</v>
      </c>
      <c r="B186">
        <v>9634057</v>
      </c>
      <c r="C186">
        <f>VLOOKUP(A186,NYSEARCAVTI!A$2:G$506,6,0)</f>
        <v>2946284</v>
      </c>
      <c r="D186">
        <f>VLOOKUP(A186,NYSEARCAVEU!A$2:G$506,6,0)</f>
        <v>2932094</v>
      </c>
      <c r="E186">
        <f>VLOOKUP(A186,NYSEARCAVWO!A$2:G$506,6,0)</f>
        <v>14751676</v>
      </c>
      <c r="F186">
        <f>VLOOKUP(A186,NYSEARCABND!A$2:G$506,6,0)</f>
        <v>1474650</v>
      </c>
      <c r="G186">
        <f>VLOOKUP(A186,NYSEARCATIP!A$2:G$506,6,0)</f>
        <v>626681</v>
      </c>
      <c r="H186">
        <f>VLOOKUP(A186,NYSEARCAMUB!A$2:G$506,6,0)</f>
        <v>458570</v>
      </c>
      <c r="I186">
        <f>VLOOKUP(A186,NYSEARCAVNQ!A$2:G$506,6,0)</f>
        <v>5067039</v>
      </c>
      <c r="J186">
        <f>VLOOKUP(A186,NYSEARCARWX!A$2:G$506,6,0)</f>
        <v>494019</v>
      </c>
      <c r="K186">
        <f>VLOOKUP(A186,NYSEARCADBC!A$2:G$506,6,0)</f>
        <v>3249397</v>
      </c>
      <c r="L186">
        <f>VLOOKUP(A186,NYSEARCAGSG!A$2:G$506,6,0)</f>
        <v>220579</v>
      </c>
      <c r="M186">
        <f>VLOOKUP(A186,NYSEARCAGLD!A$2:G$506,6,0)</f>
        <v>16962344</v>
      </c>
      <c r="N186">
        <f>VLOOKUP(A186,NYSEBP!A$2:G$506,6,0)</f>
        <v>10833281</v>
      </c>
      <c r="O186">
        <f>VLOOKUP(A186,NASDAQYHOO!A$2:G$506,6,0)</f>
        <v>12986151</v>
      </c>
    </row>
    <row r="187" spans="1:15">
      <c r="A187" s="39">
        <v>42416</v>
      </c>
      <c r="B187">
        <v>10671525</v>
      </c>
      <c r="C187">
        <f>VLOOKUP(A187,NYSEARCAVTI!A$2:G$506,6,0)</f>
        <v>3534201</v>
      </c>
      <c r="D187">
        <f>VLOOKUP(A187,NYSEARCAVEU!A$2:G$506,6,0)</f>
        <v>2648387</v>
      </c>
      <c r="E187">
        <f>VLOOKUP(A187,NYSEARCAVWO!A$2:G$506,6,0)</f>
        <v>15577164</v>
      </c>
      <c r="F187">
        <f>VLOOKUP(A187,NYSEARCABND!A$2:G$506,6,0)</f>
        <v>1488799</v>
      </c>
      <c r="G187">
        <f>VLOOKUP(A187,NYSEARCATIP!A$2:G$506,6,0)</f>
        <v>1349912</v>
      </c>
      <c r="H187">
        <f>VLOOKUP(A187,NYSEARCAMUB!A$2:G$506,6,0)</f>
        <v>325695</v>
      </c>
      <c r="I187">
        <f>VLOOKUP(A187,NYSEARCAVNQ!A$2:G$506,6,0)</f>
        <v>3888888</v>
      </c>
      <c r="J187">
        <f>VLOOKUP(A187,NYSEARCARWX!A$2:G$506,6,0)</f>
        <v>480667</v>
      </c>
      <c r="K187">
        <f>VLOOKUP(A187,NYSEARCADBC!A$2:G$506,6,0)</f>
        <v>3558856</v>
      </c>
      <c r="L187">
        <f>VLOOKUP(A187,NYSEARCAGSG!A$2:G$506,6,0)</f>
        <v>254258</v>
      </c>
      <c r="M187">
        <f>VLOOKUP(A187,NYSEARCAGLD!A$2:G$506,6,0)</f>
        <v>14482200</v>
      </c>
      <c r="N187">
        <f>VLOOKUP(A187,NYSEBP!A$2:G$506,6,0)</f>
        <v>8903055</v>
      </c>
      <c r="O187">
        <f>VLOOKUP(A187,NASDAQYHOO!A$2:G$506,6,0)</f>
        <v>20127286</v>
      </c>
    </row>
    <row r="188" spans="1:15">
      <c r="A188" s="39">
        <v>42417</v>
      </c>
      <c r="B188">
        <v>12380433</v>
      </c>
      <c r="C188">
        <f>VLOOKUP(A188,NYSEARCAVTI!A$2:G$506,6,0)</f>
        <v>3632804</v>
      </c>
      <c r="D188">
        <f>VLOOKUP(A188,NYSEARCAVEU!A$2:G$506,6,0)</f>
        <v>2130816</v>
      </c>
      <c r="E188">
        <f>VLOOKUP(A188,NYSEARCAVWO!A$2:G$506,6,0)</f>
        <v>14718663</v>
      </c>
      <c r="F188">
        <f>VLOOKUP(A188,NYSEARCABND!A$2:G$506,6,0)</f>
        <v>2158151</v>
      </c>
      <c r="G188">
        <f>VLOOKUP(A188,NYSEARCATIP!A$2:G$506,6,0)</f>
        <v>718611</v>
      </c>
      <c r="H188">
        <f>VLOOKUP(A188,NYSEARCAMUB!A$2:G$506,6,0)</f>
        <v>455167</v>
      </c>
      <c r="I188">
        <f>VLOOKUP(A188,NYSEARCAVNQ!A$2:G$506,6,0)</f>
        <v>3060921</v>
      </c>
      <c r="J188">
        <f>VLOOKUP(A188,NYSEARCARWX!A$2:G$506,6,0)</f>
        <v>510307</v>
      </c>
      <c r="K188">
        <f>VLOOKUP(A188,NYSEARCADBC!A$2:G$506,6,0)</f>
        <v>1704303</v>
      </c>
      <c r="L188">
        <f>VLOOKUP(A188,NYSEARCAGSG!A$2:G$506,6,0)</f>
        <v>135977</v>
      </c>
      <c r="M188">
        <f>VLOOKUP(A188,NYSEARCAGLD!A$2:G$506,6,0)</f>
        <v>10578173</v>
      </c>
      <c r="N188">
        <f>VLOOKUP(A188,NYSEBP!A$2:G$506,6,0)</f>
        <v>10349226</v>
      </c>
      <c r="O188">
        <f>VLOOKUP(A188,NASDAQYHOO!A$2:G$506,6,0)</f>
        <v>12891554</v>
      </c>
    </row>
    <row r="189" spans="1:15">
      <c r="A189" s="39">
        <v>42418</v>
      </c>
      <c r="B189">
        <v>27867466</v>
      </c>
      <c r="C189">
        <f>VLOOKUP(A189,NYSEARCAVTI!A$2:G$506,6,0)</f>
        <v>2396328</v>
      </c>
      <c r="D189">
        <f>VLOOKUP(A189,NYSEARCAVEU!A$2:G$506,6,0)</f>
        <v>1929517</v>
      </c>
      <c r="E189">
        <f>VLOOKUP(A189,NYSEARCAVWO!A$2:G$506,6,0)</f>
        <v>19042119</v>
      </c>
      <c r="F189">
        <f>VLOOKUP(A189,NYSEARCABND!A$2:G$506,6,0)</f>
        <v>1819213</v>
      </c>
      <c r="G189">
        <f>VLOOKUP(A189,NYSEARCATIP!A$2:G$506,6,0)</f>
        <v>987395</v>
      </c>
      <c r="H189">
        <f>VLOOKUP(A189,NYSEARCAMUB!A$2:G$506,6,0)</f>
        <v>551030</v>
      </c>
      <c r="I189">
        <f>VLOOKUP(A189,NYSEARCAVNQ!A$2:G$506,6,0)</f>
        <v>3539725</v>
      </c>
      <c r="J189">
        <f>VLOOKUP(A189,NYSEARCARWX!A$2:G$506,6,0)</f>
        <v>290109</v>
      </c>
      <c r="K189">
        <f>VLOOKUP(A189,NYSEARCADBC!A$2:G$506,6,0)</f>
        <v>2005534</v>
      </c>
      <c r="L189">
        <f>VLOOKUP(A189,NYSEARCAGSG!A$2:G$506,6,0)</f>
        <v>113845</v>
      </c>
      <c r="M189">
        <f>VLOOKUP(A189,NYSEARCAGLD!A$2:G$506,6,0)</f>
        <v>13430086</v>
      </c>
      <c r="N189">
        <f>VLOOKUP(A189,NYSEBP!A$2:G$506,6,0)</f>
        <v>9265584</v>
      </c>
      <c r="O189">
        <f>VLOOKUP(A189,NASDAQYHOO!A$2:G$506,6,0)</f>
        <v>15259369</v>
      </c>
    </row>
    <row r="190" spans="1:15">
      <c r="A190" s="39">
        <v>42419</v>
      </c>
      <c r="B190">
        <v>15430913</v>
      </c>
      <c r="C190">
        <f>VLOOKUP(A190,NYSEARCAVTI!A$2:G$506,6,0)</f>
        <v>2242995</v>
      </c>
      <c r="D190">
        <f>VLOOKUP(A190,NYSEARCAVEU!A$2:G$506,6,0)</f>
        <v>1695427</v>
      </c>
      <c r="E190">
        <f>VLOOKUP(A190,NYSEARCAVWO!A$2:G$506,6,0)</f>
        <v>12877292</v>
      </c>
      <c r="F190">
        <f>VLOOKUP(A190,NYSEARCABND!A$2:G$506,6,0)</f>
        <v>1862602</v>
      </c>
      <c r="G190">
        <f>VLOOKUP(A190,NYSEARCATIP!A$2:G$506,6,0)</f>
        <v>659445</v>
      </c>
      <c r="H190">
        <f>VLOOKUP(A190,NYSEARCAMUB!A$2:G$506,6,0)</f>
        <v>824822</v>
      </c>
      <c r="I190">
        <f>VLOOKUP(A190,NYSEARCAVNQ!A$2:G$506,6,0)</f>
        <v>2885537</v>
      </c>
      <c r="J190">
        <f>VLOOKUP(A190,NYSEARCARWX!A$2:G$506,6,0)</f>
        <v>228457</v>
      </c>
      <c r="K190">
        <f>VLOOKUP(A190,NYSEARCADBC!A$2:G$506,6,0)</f>
        <v>835454</v>
      </c>
      <c r="L190">
        <f>VLOOKUP(A190,NYSEARCAGSG!A$2:G$506,6,0)</f>
        <v>101169</v>
      </c>
      <c r="M190">
        <f>VLOOKUP(A190,NYSEARCAGLD!A$2:G$506,6,0)</f>
        <v>14888135</v>
      </c>
      <c r="N190">
        <f>VLOOKUP(A190,NYSEBP!A$2:G$506,6,0)</f>
        <v>5210504</v>
      </c>
      <c r="O190">
        <f>VLOOKUP(A190,NASDAQYHOO!A$2:G$506,6,0)</f>
        <v>20706072</v>
      </c>
    </row>
    <row r="191" spans="1:15">
      <c r="A191" s="39">
        <v>42422</v>
      </c>
      <c r="B191">
        <v>10351760</v>
      </c>
      <c r="C191">
        <f>VLOOKUP(A191,NYSEARCAVTI!A$2:G$506,6,0)</f>
        <v>2234930</v>
      </c>
      <c r="D191">
        <f>VLOOKUP(A191,NYSEARCAVEU!A$2:G$506,6,0)</f>
        <v>1536192</v>
      </c>
      <c r="E191">
        <f>VLOOKUP(A191,NYSEARCAVWO!A$2:G$506,6,0)</f>
        <v>11432267</v>
      </c>
      <c r="F191">
        <f>VLOOKUP(A191,NYSEARCABND!A$2:G$506,6,0)</f>
        <v>1596898</v>
      </c>
      <c r="G191">
        <f>VLOOKUP(A191,NYSEARCATIP!A$2:G$506,6,0)</f>
        <v>493422</v>
      </c>
      <c r="H191">
        <f>VLOOKUP(A191,NYSEARCAMUB!A$2:G$506,6,0)</f>
        <v>368522</v>
      </c>
      <c r="I191">
        <f>VLOOKUP(A191,NYSEARCAVNQ!A$2:G$506,6,0)</f>
        <v>2956575</v>
      </c>
      <c r="J191">
        <f>VLOOKUP(A191,NYSEARCARWX!A$2:G$506,6,0)</f>
        <v>1058137</v>
      </c>
      <c r="K191">
        <f>VLOOKUP(A191,NYSEARCADBC!A$2:G$506,6,0)</f>
        <v>719034</v>
      </c>
      <c r="L191">
        <f>VLOOKUP(A191,NYSEARCAGSG!A$2:G$506,6,0)</f>
        <v>201931</v>
      </c>
      <c r="M191">
        <f>VLOOKUP(A191,NYSEARCAGLD!A$2:G$506,6,0)</f>
        <v>9916675</v>
      </c>
      <c r="N191">
        <f>VLOOKUP(A191,NYSEBP!A$2:G$506,6,0)</f>
        <v>6075885</v>
      </c>
      <c r="O191">
        <f>VLOOKUP(A191,NASDAQYHOO!A$2:G$506,6,0)</f>
        <v>21455295</v>
      </c>
    </row>
    <row r="192" spans="1:15">
      <c r="A192" s="39">
        <v>42423</v>
      </c>
      <c r="B192">
        <v>11378334</v>
      </c>
      <c r="C192">
        <f>VLOOKUP(A192,NYSEARCAVTI!A$2:G$506,6,0)</f>
        <v>3197973</v>
      </c>
      <c r="D192">
        <f>VLOOKUP(A192,NYSEARCAVEU!A$2:G$506,6,0)</f>
        <v>2069291</v>
      </c>
      <c r="E192">
        <f>VLOOKUP(A192,NYSEARCAVWO!A$2:G$506,6,0)</f>
        <v>15057246</v>
      </c>
      <c r="F192">
        <f>VLOOKUP(A192,NYSEARCABND!A$2:G$506,6,0)</f>
        <v>2243671</v>
      </c>
      <c r="G192">
        <f>VLOOKUP(A192,NYSEARCATIP!A$2:G$506,6,0)</f>
        <v>497361</v>
      </c>
      <c r="H192">
        <f>VLOOKUP(A192,NYSEARCAMUB!A$2:G$506,6,0)</f>
        <v>509532</v>
      </c>
      <c r="I192">
        <f>VLOOKUP(A192,NYSEARCAVNQ!A$2:G$506,6,0)</f>
        <v>2608306</v>
      </c>
      <c r="J192">
        <f>VLOOKUP(A192,NYSEARCARWX!A$2:G$506,6,0)</f>
        <v>453150</v>
      </c>
      <c r="K192">
        <f>VLOOKUP(A192,NYSEARCADBC!A$2:G$506,6,0)</f>
        <v>1496750</v>
      </c>
      <c r="L192">
        <f>VLOOKUP(A192,NYSEARCAGSG!A$2:G$506,6,0)</f>
        <v>57242</v>
      </c>
      <c r="M192">
        <f>VLOOKUP(A192,NYSEARCAGLD!A$2:G$506,6,0)</f>
        <v>9012567</v>
      </c>
      <c r="N192">
        <f>VLOOKUP(A192,NYSEBP!A$2:G$506,6,0)</f>
        <v>7455029</v>
      </c>
      <c r="O192">
        <f>VLOOKUP(A192,NASDAQYHOO!A$2:G$506,6,0)</f>
        <v>16847456</v>
      </c>
    </row>
    <row r="193" spans="1:15">
      <c r="A193" s="39">
        <v>42424</v>
      </c>
      <c r="B193">
        <v>9852380</v>
      </c>
      <c r="C193">
        <f>VLOOKUP(A193,NYSEARCAVTI!A$2:G$506,6,0)</f>
        <v>3252914</v>
      </c>
      <c r="D193">
        <f>VLOOKUP(A193,NYSEARCAVEU!A$2:G$506,6,0)</f>
        <v>2110935</v>
      </c>
      <c r="E193">
        <f>VLOOKUP(A193,NYSEARCAVWO!A$2:G$506,6,0)</f>
        <v>26766446</v>
      </c>
      <c r="F193">
        <f>VLOOKUP(A193,NYSEARCABND!A$2:G$506,6,0)</f>
        <v>2434276</v>
      </c>
      <c r="G193">
        <f>VLOOKUP(A193,NYSEARCATIP!A$2:G$506,6,0)</f>
        <v>708603</v>
      </c>
      <c r="H193">
        <f>VLOOKUP(A193,NYSEARCAMUB!A$2:G$506,6,0)</f>
        <v>383969</v>
      </c>
      <c r="I193">
        <f>VLOOKUP(A193,NYSEARCAVNQ!A$2:G$506,6,0)</f>
        <v>2997528</v>
      </c>
      <c r="J193">
        <f>VLOOKUP(A193,NYSEARCARWX!A$2:G$506,6,0)</f>
        <v>522511</v>
      </c>
      <c r="K193">
        <f>VLOOKUP(A193,NYSEARCADBC!A$2:G$506,6,0)</f>
        <v>2438867</v>
      </c>
      <c r="L193">
        <f>VLOOKUP(A193,NYSEARCAGSG!A$2:G$506,6,0)</f>
        <v>93543</v>
      </c>
      <c r="M193">
        <f>VLOOKUP(A193,NYSEARCAGLD!A$2:G$506,6,0)</f>
        <v>17754973</v>
      </c>
      <c r="N193">
        <f>VLOOKUP(A193,NYSEBP!A$2:G$506,6,0)</f>
        <v>11234702</v>
      </c>
      <c r="O193">
        <f>VLOOKUP(A193,NASDAQYHOO!A$2:G$506,6,0)</f>
        <v>12612029</v>
      </c>
    </row>
    <row r="194" spans="1:15">
      <c r="A194" s="39">
        <v>42425</v>
      </c>
      <c r="B194">
        <v>9573563</v>
      </c>
      <c r="C194">
        <f>VLOOKUP(A194,NYSEARCAVTI!A$2:G$506,6,0)</f>
        <v>4960795</v>
      </c>
      <c r="D194">
        <f>VLOOKUP(A194,NYSEARCAVEU!A$2:G$506,6,0)</f>
        <v>1401362</v>
      </c>
      <c r="E194">
        <f>VLOOKUP(A194,NYSEARCAVWO!A$2:G$506,6,0)</f>
        <v>13854684</v>
      </c>
      <c r="F194">
        <f>VLOOKUP(A194,NYSEARCABND!A$2:G$506,6,0)</f>
        <v>2407556</v>
      </c>
      <c r="G194">
        <f>VLOOKUP(A194,NYSEARCATIP!A$2:G$506,6,0)</f>
        <v>1431315</v>
      </c>
      <c r="H194">
        <f>VLOOKUP(A194,NYSEARCAMUB!A$2:G$506,6,0)</f>
        <v>408834</v>
      </c>
      <c r="I194">
        <f>VLOOKUP(A194,NYSEARCAVNQ!A$2:G$506,6,0)</f>
        <v>3380685</v>
      </c>
      <c r="J194">
        <f>VLOOKUP(A194,NYSEARCARWX!A$2:G$506,6,0)</f>
        <v>327336</v>
      </c>
      <c r="K194">
        <f>VLOOKUP(A194,NYSEARCADBC!A$2:G$506,6,0)</f>
        <v>3589434</v>
      </c>
      <c r="L194">
        <f>VLOOKUP(A194,NYSEARCAGSG!A$2:G$506,6,0)</f>
        <v>138919</v>
      </c>
      <c r="M194">
        <f>VLOOKUP(A194,NYSEARCAGLD!A$2:G$506,6,0)</f>
        <v>12463602</v>
      </c>
      <c r="N194">
        <f>VLOOKUP(A194,NYSEBP!A$2:G$506,6,0)</f>
        <v>11297401</v>
      </c>
      <c r="O194">
        <f>VLOOKUP(A194,NASDAQYHOO!A$2:G$506,6,0)</f>
        <v>19842342</v>
      </c>
    </row>
    <row r="195" spans="1:15">
      <c r="A195" s="39">
        <v>42426</v>
      </c>
      <c r="B195">
        <v>10973655</v>
      </c>
      <c r="C195">
        <f>VLOOKUP(A195,NYSEARCAVTI!A$2:G$506,6,0)</f>
        <v>3194303</v>
      </c>
      <c r="D195">
        <f>VLOOKUP(A195,NYSEARCAVEU!A$2:G$506,6,0)</f>
        <v>1970872</v>
      </c>
      <c r="E195">
        <f>VLOOKUP(A195,NYSEARCAVWO!A$2:G$506,6,0)</f>
        <v>23966332</v>
      </c>
      <c r="F195">
        <f>VLOOKUP(A195,NYSEARCABND!A$2:G$506,6,0)</f>
        <v>1628369</v>
      </c>
      <c r="G195">
        <f>VLOOKUP(A195,NYSEARCATIP!A$2:G$506,6,0)</f>
        <v>860814</v>
      </c>
      <c r="H195">
        <f>VLOOKUP(A195,NYSEARCAMUB!A$2:G$506,6,0)</f>
        <v>427851</v>
      </c>
      <c r="I195">
        <f>VLOOKUP(A195,NYSEARCAVNQ!A$2:G$506,6,0)</f>
        <v>3180536</v>
      </c>
      <c r="J195">
        <f>VLOOKUP(A195,NYSEARCARWX!A$2:G$506,6,0)</f>
        <v>278944</v>
      </c>
      <c r="K195">
        <f>VLOOKUP(A195,NYSEARCADBC!A$2:G$506,6,0)</f>
        <v>1686545</v>
      </c>
      <c r="L195">
        <f>VLOOKUP(A195,NYSEARCAGSG!A$2:G$506,6,0)</f>
        <v>100484</v>
      </c>
      <c r="M195">
        <f>VLOOKUP(A195,NYSEARCAGLD!A$2:G$506,6,0)</f>
        <v>12493830</v>
      </c>
      <c r="N195">
        <f>VLOOKUP(A195,NYSEBP!A$2:G$506,6,0)</f>
        <v>6163215</v>
      </c>
      <c r="O195">
        <f>VLOOKUP(A195,NASDAQYHOO!A$2:G$506,6,0)</f>
        <v>16680156</v>
      </c>
    </row>
    <row r="196" spans="1:15">
      <c r="A196" s="39">
        <v>42429</v>
      </c>
      <c r="B196">
        <v>9303973</v>
      </c>
      <c r="C196">
        <f>VLOOKUP(A196,NYSEARCAVTI!A$2:G$506,6,0)</f>
        <v>2748264</v>
      </c>
      <c r="D196">
        <f>VLOOKUP(A196,NYSEARCAVEU!A$2:G$506,6,0)</f>
        <v>3419034</v>
      </c>
      <c r="E196">
        <f>VLOOKUP(A196,NYSEARCAVWO!A$2:G$506,6,0)</f>
        <v>15012509</v>
      </c>
      <c r="F196">
        <f>VLOOKUP(A196,NYSEARCABND!A$2:G$506,6,0)</f>
        <v>1827791</v>
      </c>
      <c r="G196">
        <f>VLOOKUP(A196,NYSEARCATIP!A$2:G$506,6,0)</f>
        <v>1823618</v>
      </c>
      <c r="H196">
        <f>VLOOKUP(A196,NYSEARCAMUB!A$2:G$506,6,0)</f>
        <v>456955</v>
      </c>
      <c r="I196">
        <f>VLOOKUP(A196,NYSEARCAVNQ!A$2:G$506,6,0)</f>
        <v>5057180</v>
      </c>
      <c r="J196">
        <f>VLOOKUP(A196,NYSEARCARWX!A$2:G$506,6,0)</f>
        <v>306915</v>
      </c>
      <c r="K196">
        <f>VLOOKUP(A196,NYSEARCADBC!A$2:G$506,6,0)</f>
        <v>1813965</v>
      </c>
      <c r="L196">
        <f>VLOOKUP(A196,NYSEARCAGSG!A$2:G$506,6,0)</f>
        <v>1508370</v>
      </c>
      <c r="M196">
        <f>VLOOKUP(A196,NYSEARCAGLD!A$2:G$506,6,0)</f>
        <v>11480531</v>
      </c>
      <c r="N196">
        <f>VLOOKUP(A196,NYSEBP!A$2:G$506,6,0)</f>
        <v>5406001</v>
      </c>
      <c r="O196">
        <f>VLOOKUP(A196,NASDAQYHOO!A$2:G$506,6,0)</f>
        <v>19208698</v>
      </c>
    </row>
    <row r="197" spans="1:15">
      <c r="A197" s="39">
        <v>42430</v>
      </c>
      <c r="B197">
        <v>10427175</v>
      </c>
      <c r="C197">
        <f>VLOOKUP(A197,NYSEARCAVTI!A$2:G$506,6,0)</f>
        <v>2954337</v>
      </c>
      <c r="D197">
        <f>VLOOKUP(A197,NYSEARCAVEU!A$2:G$506,6,0)</f>
        <v>2298591</v>
      </c>
      <c r="E197">
        <f>VLOOKUP(A197,NYSEARCAVWO!A$2:G$506,6,0)</f>
        <v>18666408</v>
      </c>
      <c r="F197">
        <f>VLOOKUP(A197,NYSEARCABND!A$2:G$506,6,0)</f>
        <v>2546305</v>
      </c>
      <c r="G197">
        <f>VLOOKUP(A197,NYSEARCATIP!A$2:G$506,6,0)</f>
        <v>3510570</v>
      </c>
      <c r="H197">
        <f>VLOOKUP(A197,NYSEARCAMUB!A$2:G$506,6,0)</f>
        <v>439281</v>
      </c>
      <c r="I197">
        <f>VLOOKUP(A197,NYSEARCAVNQ!A$2:G$506,6,0)</f>
        <v>5309506</v>
      </c>
      <c r="J197">
        <f>VLOOKUP(A197,NYSEARCARWX!A$2:G$506,6,0)</f>
        <v>555832</v>
      </c>
      <c r="K197">
        <f>VLOOKUP(A197,NYSEARCADBC!A$2:G$506,6,0)</f>
        <v>2144553</v>
      </c>
      <c r="L197">
        <f>VLOOKUP(A197,NYSEARCAGSG!A$2:G$506,6,0)</f>
        <v>381810</v>
      </c>
      <c r="M197">
        <f>VLOOKUP(A197,NYSEARCAGLD!A$2:G$506,6,0)</f>
        <v>14129531</v>
      </c>
      <c r="N197">
        <f>VLOOKUP(A197,NYSEBP!A$2:G$506,6,0)</f>
        <v>5613264</v>
      </c>
      <c r="O197">
        <f>VLOOKUP(A197,NASDAQYHOO!A$2:G$506,6,0)</f>
        <v>14833638</v>
      </c>
    </row>
    <row r="198" spans="1:15">
      <c r="A198" s="39">
        <v>42431</v>
      </c>
      <c r="B198">
        <v>9163208</v>
      </c>
      <c r="C198">
        <f>VLOOKUP(A198,NYSEARCAVTI!A$2:G$506,6,0)</f>
        <v>3591397</v>
      </c>
      <c r="D198">
        <f>VLOOKUP(A198,NYSEARCAVEU!A$2:G$506,6,0)</f>
        <v>2192017</v>
      </c>
      <c r="E198">
        <f>VLOOKUP(A198,NYSEARCAVWO!A$2:G$506,6,0)</f>
        <v>20574927</v>
      </c>
      <c r="F198">
        <f>VLOOKUP(A198,NYSEARCABND!A$2:G$506,6,0)</f>
        <v>2137294</v>
      </c>
      <c r="G198">
        <f>VLOOKUP(A198,NYSEARCATIP!A$2:G$506,6,0)</f>
        <v>2099776</v>
      </c>
      <c r="H198">
        <f>VLOOKUP(A198,NYSEARCAMUB!A$2:G$506,6,0)</f>
        <v>323911</v>
      </c>
      <c r="I198">
        <f>VLOOKUP(A198,NYSEARCAVNQ!A$2:G$506,6,0)</f>
        <v>3621658</v>
      </c>
      <c r="J198">
        <f>VLOOKUP(A198,NYSEARCARWX!A$2:G$506,6,0)</f>
        <v>1172536</v>
      </c>
      <c r="K198">
        <f>VLOOKUP(A198,NYSEARCADBC!A$2:G$506,6,0)</f>
        <v>4519730</v>
      </c>
      <c r="L198">
        <f>VLOOKUP(A198,NYSEARCAGSG!A$2:G$506,6,0)</f>
        <v>213396</v>
      </c>
      <c r="M198">
        <f>VLOOKUP(A198,NYSEARCAGLD!A$2:G$506,6,0)</f>
        <v>8632239</v>
      </c>
      <c r="N198">
        <f>VLOOKUP(A198,NYSEBP!A$2:G$506,6,0)</f>
        <v>7740140</v>
      </c>
      <c r="O198">
        <f>VLOOKUP(A198,NASDAQYHOO!A$2:G$506,6,0)</f>
        <v>10458566</v>
      </c>
    </row>
    <row r="199" spans="1:15">
      <c r="A199" s="39">
        <v>42432</v>
      </c>
      <c r="B199">
        <v>11844381</v>
      </c>
      <c r="C199">
        <f>VLOOKUP(A199,NYSEARCAVTI!A$2:G$506,6,0)</f>
        <v>2703325</v>
      </c>
      <c r="D199">
        <f>VLOOKUP(A199,NYSEARCAVEU!A$2:G$506,6,0)</f>
        <v>1579585</v>
      </c>
      <c r="E199">
        <f>VLOOKUP(A199,NYSEARCAVWO!A$2:G$506,6,0)</f>
        <v>21570653</v>
      </c>
      <c r="F199">
        <f>VLOOKUP(A199,NYSEARCABND!A$2:G$506,6,0)</f>
        <v>2750463</v>
      </c>
      <c r="G199">
        <f>VLOOKUP(A199,NYSEARCATIP!A$2:G$506,6,0)</f>
        <v>1068777</v>
      </c>
      <c r="H199">
        <f>VLOOKUP(A199,NYSEARCAMUB!A$2:G$506,6,0)</f>
        <v>353507</v>
      </c>
      <c r="I199">
        <f>VLOOKUP(A199,NYSEARCAVNQ!A$2:G$506,6,0)</f>
        <v>2906943</v>
      </c>
      <c r="J199">
        <f>VLOOKUP(A199,NYSEARCARWX!A$2:G$506,6,0)</f>
        <v>546648</v>
      </c>
      <c r="K199">
        <f>VLOOKUP(A199,NYSEARCADBC!A$2:G$506,6,0)</f>
        <v>1597034</v>
      </c>
      <c r="L199">
        <f>VLOOKUP(A199,NYSEARCAGSG!A$2:G$506,6,0)</f>
        <v>191589</v>
      </c>
      <c r="M199">
        <f>VLOOKUP(A199,NYSEARCAGLD!A$2:G$506,6,0)</f>
        <v>18670831</v>
      </c>
      <c r="N199">
        <f>VLOOKUP(A199,NYSEBP!A$2:G$506,6,0)</f>
        <v>8901518</v>
      </c>
      <c r="O199">
        <f>VLOOKUP(A199,NASDAQYHOO!A$2:G$506,6,0)</f>
        <v>11355589</v>
      </c>
    </row>
    <row r="200" spans="1:15">
      <c r="A200" s="39">
        <v>42433</v>
      </c>
      <c r="B200">
        <v>9863550</v>
      </c>
      <c r="C200">
        <f>VLOOKUP(A200,NYSEARCAVTI!A$2:G$506,6,0)</f>
        <v>2442158</v>
      </c>
      <c r="D200">
        <f>VLOOKUP(A200,NYSEARCAVEU!A$2:G$506,6,0)</f>
        <v>2270046</v>
      </c>
      <c r="E200">
        <f>VLOOKUP(A200,NYSEARCAVWO!A$2:G$506,6,0)</f>
        <v>27829287</v>
      </c>
      <c r="F200">
        <f>VLOOKUP(A200,NYSEARCABND!A$2:G$506,6,0)</f>
        <v>1147719</v>
      </c>
      <c r="G200">
        <f>VLOOKUP(A200,NYSEARCATIP!A$2:G$506,6,0)</f>
        <v>2049515</v>
      </c>
      <c r="H200">
        <f>VLOOKUP(A200,NYSEARCAMUB!A$2:G$506,6,0)</f>
        <v>367371</v>
      </c>
      <c r="I200">
        <f>VLOOKUP(A200,NYSEARCAVNQ!A$2:G$506,6,0)</f>
        <v>2740018</v>
      </c>
      <c r="J200">
        <f>VLOOKUP(A200,NYSEARCARWX!A$2:G$506,6,0)</f>
        <v>392746</v>
      </c>
      <c r="K200">
        <f>VLOOKUP(A200,NYSEARCADBC!A$2:G$506,6,0)</f>
        <v>2063861</v>
      </c>
      <c r="L200">
        <f>VLOOKUP(A200,NYSEARCAGSG!A$2:G$506,6,0)</f>
        <v>195576</v>
      </c>
      <c r="M200">
        <f>VLOOKUP(A200,NYSEARCAGLD!A$2:G$506,6,0)</f>
        <v>16253961</v>
      </c>
      <c r="N200">
        <f>VLOOKUP(A200,NYSEBP!A$2:G$506,6,0)</f>
        <v>8858068</v>
      </c>
      <c r="O200">
        <f>VLOOKUP(A200,NASDAQYHOO!A$2:G$506,6,0)</f>
        <v>22915205</v>
      </c>
    </row>
    <row r="201" spans="1:15">
      <c r="A201" s="39">
        <v>42436</v>
      </c>
      <c r="B201">
        <v>12821108</v>
      </c>
      <c r="C201">
        <f>VLOOKUP(A201,NYSEARCAVTI!A$2:G$506,6,0)</f>
        <v>2963940</v>
      </c>
      <c r="D201">
        <f>VLOOKUP(A201,NYSEARCAVEU!A$2:G$506,6,0)</f>
        <v>4217348</v>
      </c>
      <c r="E201">
        <f>VLOOKUP(A201,NYSEARCAVWO!A$2:G$506,6,0)</f>
        <v>20467466</v>
      </c>
      <c r="F201">
        <f>VLOOKUP(A201,NYSEARCABND!A$2:G$506,6,0)</f>
        <v>1303180</v>
      </c>
      <c r="G201">
        <f>VLOOKUP(A201,NYSEARCATIP!A$2:G$506,6,0)</f>
        <v>807474</v>
      </c>
      <c r="H201">
        <f>VLOOKUP(A201,NYSEARCAMUB!A$2:G$506,6,0)</f>
        <v>332916</v>
      </c>
      <c r="I201">
        <f>VLOOKUP(A201,NYSEARCAVNQ!A$2:G$506,6,0)</f>
        <v>3504622</v>
      </c>
      <c r="J201">
        <f>VLOOKUP(A201,NYSEARCARWX!A$2:G$506,6,0)</f>
        <v>528551</v>
      </c>
      <c r="K201">
        <f>VLOOKUP(A201,NYSEARCADBC!A$2:G$506,6,0)</f>
        <v>2785526</v>
      </c>
      <c r="L201">
        <f>VLOOKUP(A201,NYSEARCAGSG!A$2:G$506,6,0)</f>
        <v>318629</v>
      </c>
      <c r="M201">
        <f>VLOOKUP(A201,NYSEARCAGLD!A$2:G$506,6,0)</f>
        <v>9346336</v>
      </c>
      <c r="N201">
        <f>VLOOKUP(A201,NYSEBP!A$2:G$506,6,0)</f>
        <v>9145217</v>
      </c>
      <c r="O201">
        <f>VLOOKUP(A201,NASDAQYHOO!A$2:G$506,6,0)</f>
        <v>22923982</v>
      </c>
    </row>
    <row r="202" spans="1:15">
      <c r="A202" s="39">
        <v>42437</v>
      </c>
      <c r="B202">
        <v>9990166</v>
      </c>
      <c r="C202">
        <f>VLOOKUP(A202,NYSEARCAVTI!A$2:G$506,6,0)</f>
        <v>3435687</v>
      </c>
      <c r="D202">
        <f>VLOOKUP(A202,NYSEARCAVEU!A$2:G$506,6,0)</f>
        <v>1795637</v>
      </c>
      <c r="E202">
        <f>VLOOKUP(A202,NYSEARCAVWO!A$2:G$506,6,0)</f>
        <v>14888767</v>
      </c>
      <c r="F202">
        <f>VLOOKUP(A202,NYSEARCABND!A$2:G$506,6,0)</f>
        <v>1713062</v>
      </c>
      <c r="G202">
        <f>VLOOKUP(A202,NYSEARCATIP!A$2:G$506,6,0)</f>
        <v>763826</v>
      </c>
      <c r="H202">
        <f>VLOOKUP(A202,NYSEARCAMUB!A$2:G$506,6,0)</f>
        <v>408365</v>
      </c>
      <c r="I202">
        <f>VLOOKUP(A202,NYSEARCAVNQ!A$2:G$506,6,0)</f>
        <v>2829016</v>
      </c>
      <c r="J202">
        <f>VLOOKUP(A202,NYSEARCARWX!A$2:G$506,6,0)</f>
        <v>604920</v>
      </c>
      <c r="K202">
        <f>VLOOKUP(A202,NYSEARCADBC!A$2:G$506,6,0)</f>
        <v>2116396</v>
      </c>
      <c r="L202">
        <f>VLOOKUP(A202,NYSEARCAGSG!A$2:G$506,6,0)</f>
        <v>364059</v>
      </c>
      <c r="M202">
        <f>VLOOKUP(A202,NYSEARCAGLD!A$2:G$506,6,0)</f>
        <v>11519401</v>
      </c>
      <c r="N202">
        <f>VLOOKUP(A202,NYSEBP!A$2:G$506,6,0)</f>
        <v>9469896</v>
      </c>
      <c r="O202">
        <f>VLOOKUP(A202,NASDAQYHOO!A$2:G$506,6,0)</f>
        <v>21007332</v>
      </c>
    </row>
    <row r="203" spans="1:15">
      <c r="A203" s="39">
        <v>42438</v>
      </c>
      <c r="B203">
        <v>7824571</v>
      </c>
      <c r="C203">
        <f>VLOOKUP(A203,NYSEARCAVTI!A$2:G$506,6,0)</f>
        <v>2131714</v>
      </c>
      <c r="D203">
        <f>VLOOKUP(A203,NYSEARCAVEU!A$2:G$506,6,0)</f>
        <v>2048479</v>
      </c>
      <c r="E203">
        <f>VLOOKUP(A203,NYSEARCAVWO!A$2:G$506,6,0)</f>
        <v>22002781</v>
      </c>
      <c r="F203">
        <f>VLOOKUP(A203,NYSEARCABND!A$2:G$506,6,0)</f>
        <v>2010036</v>
      </c>
      <c r="G203">
        <f>VLOOKUP(A203,NYSEARCATIP!A$2:G$506,6,0)</f>
        <v>663978</v>
      </c>
      <c r="H203">
        <f>VLOOKUP(A203,NYSEARCAMUB!A$2:G$506,6,0)</f>
        <v>340632</v>
      </c>
      <c r="I203">
        <f>VLOOKUP(A203,NYSEARCAVNQ!A$2:G$506,6,0)</f>
        <v>3566715</v>
      </c>
      <c r="J203">
        <f>VLOOKUP(A203,NYSEARCARWX!A$2:G$506,6,0)</f>
        <v>1013014</v>
      </c>
      <c r="K203">
        <f>VLOOKUP(A203,NYSEARCADBC!A$2:G$506,6,0)</f>
        <v>2552678</v>
      </c>
      <c r="L203">
        <f>VLOOKUP(A203,NYSEARCAGSG!A$2:G$506,6,0)</f>
        <v>7435916</v>
      </c>
      <c r="M203">
        <f>VLOOKUP(A203,NYSEARCAGLD!A$2:G$506,6,0)</f>
        <v>8535774</v>
      </c>
      <c r="N203">
        <f>VLOOKUP(A203,NYSEBP!A$2:G$506,6,0)</f>
        <v>7031183</v>
      </c>
      <c r="O203">
        <f>VLOOKUP(A203,NASDAQYHOO!A$2:G$506,6,0)</f>
        <v>12647144</v>
      </c>
    </row>
    <row r="204" spans="1:15">
      <c r="A204" s="39">
        <v>42439</v>
      </c>
      <c r="B204">
        <v>9661997</v>
      </c>
      <c r="C204">
        <f>VLOOKUP(A204,NYSEARCAVTI!A$2:G$506,6,0)</f>
        <v>3702043</v>
      </c>
      <c r="D204">
        <f>VLOOKUP(A204,NYSEARCAVEU!A$2:G$506,6,0)</f>
        <v>3105795</v>
      </c>
      <c r="E204">
        <f>VLOOKUP(A204,NYSEARCAVWO!A$2:G$506,6,0)</f>
        <v>18410447</v>
      </c>
      <c r="F204">
        <f>VLOOKUP(A204,NYSEARCABND!A$2:G$506,6,0)</f>
        <v>1785645</v>
      </c>
      <c r="G204">
        <f>VLOOKUP(A204,NYSEARCATIP!A$2:G$506,6,0)</f>
        <v>1119663</v>
      </c>
      <c r="H204">
        <f>VLOOKUP(A204,NYSEARCAMUB!A$2:G$506,6,0)</f>
        <v>384569</v>
      </c>
      <c r="I204">
        <f>VLOOKUP(A204,NYSEARCAVNQ!A$2:G$506,6,0)</f>
        <v>2472538</v>
      </c>
      <c r="J204">
        <f>VLOOKUP(A204,NYSEARCARWX!A$2:G$506,6,0)</f>
        <v>245179</v>
      </c>
      <c r="K204">
        <f>VLOOKUP(A204,NYSEARCADBC!A$2:G$506,6,0)</f>
        <v>2836660</v>
      </c>
      <c r="L204">
        <f>VLOOKUP(A204,NYSEARCAGSG!A$2:G$506,6,0)</f>
        <v>497414</v>
      </c>
      <c r="M204">
        <f>VLOOKUP(A204,NYSEARCAGLD!A$2:G$506,6,0)</f>
        <v>18092635</v>
      </c>
      <c r="N204">
        <f>VLOOKUP(A204,NYSEBP!A$2:G$506,6,0)</f>
        <v>7940995</v>
      </c>
      <c r="O204">
        <f>VLOOKUP(A204,NASDAQYHOO!A$2:G$506,6,0)</f>
        <v>19451953</v>
      </c>
    </row>
    <row r="205" spans="1:15">
      <c r="A205" s="39">
        <v>42440</v>
      </c>
      <c r="B205">
        <v>8289188</v>
      </c>
      <c r="C205">
        <f>VLOOKUP(A205,NYSEARCAVTI!A$2:G$506,6,0)</f>
        <v>3250998</v>
      </c>
      <c r="D205">
        <f>VLOOKUP(A205,NYSEARCAVEU!A$2:G$506,6,0)</f>
        <v>1756443</v>
      </c>
      <c r="E205">
        <f>VLOOKUP(A205,NYSEARCAVWO!A$2:G$506,6,0)</f>
        <v>13728258</v>
      </c>
      <c r="F205">
        <f>VLOOKUP(A205,NYSEARCABND!A$2:G$506,6,0)</f>
        <v>1422269</v>
      </c>
      <c r="G205">
        <f>VLOOKUP(A205,NYSEARCATIP!A$2:G$506,6,0)</f>
        <v>580491</v>
      </c>
      <c r="H205">
        <f>VLOOKUP(A205,NYSEARCAMUB!A$2:G$506,6,0)</f>
        <v>263494</v>
      </c>
      <c r="I205">
        <f>VLOOKUP(A205,NYSEARCAVNQ!A$2:G$506,6,0)</f>
        <v>2520933</v>
      </c>
      <c r="J205">
        <f>VLOOKUP(A205,NYSEARCARWX!A$2:G$506,6,0)</f>
        <v>795008</v>
      </c>
      <c r="K205">
        <f>VLOOKUP(A205,NYSEARCADBC!A$2:G$506,6,0)</f>
        <v>1010876</v>
      </c>
      <c r="L205">
        <f>VLOOKUP(A205,NYSEARCAGSG!A$2:G$506,6,0)</f>
        <v>140064</v>
      </c>
      <c r="M205">
        <f>VLOOKUP(A205,NYSEARCAGLD!A$2:G$506,6,0)</f>
        <v>10285807</v>
      </c>
      <c r="N205">
        <f>VLOOKUP(A205,NYSEBP!A$2:G$506,6,0)</f>
        <v>10347567</v>
      </c>
      <c r="O205">
        <f>VLOOKUP(A205,NASDAQYHOO!A$2:G$506,6,0)</f>
        <v>11682714</v>
      </c>
    </row>
    <row r="206" spans="1:15">
      <c r="A206" s="39">
        <v>42443</v>
      </c>
      <c r="B206">
        <v>6710884</v>
      </c>
      <c r="C206">
        <f>VLOOKUP(A206,NYSEARCAVTI!A$2:G$506,6,0)</f>
        <v>2986164</v>
      </c>
      <c r="D206">
        <f>VLOOKUP(A206,NYSEARCAVEU!A$2:G$506,6,0)</f>
        <v>1552399</v>
      </c>
      <c r="E206">
        <f>VLOOKUP(A206,NYSEARCAVWO!A$2:G$506,6,0)</f>
        <v>11352639</v>
      </c>
      <c r="F206">
        <f>VLOOKUP(A206,NYSEARCABND!A$2:G$506,6,0)</f>
        <v>1534153</v>
      </c>
      <c r="G206">
        <f>VLOOKUP(A206,NYSEARCATIP!A$2:G$506,6,0)</f>
        <v>752010</v>
      </c>
      <c r="H206">
        <f>VLOOKUP(A206,NYSEARCAMUB!A$2:G$506,6,0)</f>
        <v>323134</v>
      </c>
      <c r="I206">
        <f>VLOOKUP(A206,NYSEARCAVNQ!A$2:G$506,6,0)</f>
        <v>2593869</v>
      </c>
      <c r="J206">
        <f>VLOOKUP(A206,NYSEARCARWX!A$2:G$506,6,0)</f>
        <v>302397</v>
      </c>
      <c r="K206">
        <f>VLOOKUP(A206,NYSEARCADBC!A$2:G$506,6,0)</f>
        <v>1062867</v>
      </c>
      <c r="L206">
        <f>VLOOKUP(A206,NYSEARCAGSG!A$2:G$506,6,0)</f>
        <v>151067</v>
      </c>
      <c r="M206">
        <f>VLOOKUP(A206,NYSEARCAGLD!A$2:G$506,6,0)</f>
        <v>14181810</v>
      </c>
      <c r="N206">
        <f>VLOOKUP(A206,NYSEBP!A$2:G$506,6,0)</f>
        <v>7378434</v>
      </c>
      <c r="O206">
        <f>VLOOKUP(A206,NASDAQYHOO!A$2:G$506,6,0)</f>
        <v>7960303</v>
      </c>
    </row>
    <row r="207" spans="1:15">
      <c r="A207" s="39">
        <v>42444</v>
      </c>
      <c r="B207">
        <v>7566895</v>
      </c>
      <c r="C207">
        <f>VLOOKUP(A207,NYSEARCAVTI!A$2:G$506,6,0)</f>
        <v>2992775</v>
      </c>
      <c r="D207">
        <f>VLOOKUP(A207,NYSEARCAVEU!A$2:G$506,6,0)</f>
        <v>1113245</v>
      </c>
      <c r="E207">
        <f>VLOOKUP(A207,NYSEARCAVWO!A$2:G$506,6,0)</f>
        <v>11979468</v>
      </c>
      <c r="F207">
        <f>VLOOKUP(A207,NYSEARCABND!A$2:G$506,6,0)</f>
        <v>1870201</v>
      </c>
      <c r="G207">
        <f>VLOOKUP(A207,NYSEARCATIP!A$2:G$506,6,0)</f>
        <v>828177</v>
      </c>
      <c r="H207">
        <f>VLOOKUP(A207,NYSEARCAMUB!A$2:G$506,6,0)</f>
        <v>209478</v>
      </c>
      <c r="I207">
        <f>VLOOKUP(A207,NYSEARCAVNQ!A$2:G$506,6,0)</f>
        <v>1898151</v>
      </c>
      <c r="J207">
        <f>VLOOKUP(A207,NYSEARCARWX!A$2:G$506,6,0)</f>
        <v>735489</v>
      </c>
      <c r="K207">
        <f>VLOOKUP(A207,NYSEARCADBC!A$2:G$506,6,0)</f>
        <v>1619163</v>
      </c>
      <c r="L207">
        <f>VLOOKUP(A207,NYSEARCAGSG!A$2:G$506,6,0)</f>
        <v>324796</v>
      </c>
      <c r="M207">
        <f>VLOOKUP(A207,NYSEARCAGLD!A$2:G$506,6,0)</f>
        <v>9941816</v>
      </c>
      <c r="N207">
        <f>VLOOKUP(A207,NYSEBP!A$2:G$506,6,0)</f>
        <v>9112599</v>
      </c>
      <c r="O207">
        <f>VLOOKUP(A207,NASDAQYHOO!A$2:G$506,6,0)</f>
        <v>10672318</v>
      </c>
    </row>
    <row r="208" spans="1:15">
      <c r="A208" s="39">
        <v>42445</v>
      </c>
      <c r="B208">
        <v>8214505</v>
      </c>
      <c r="C208">
        <f>VLOOKUP(A208,NYSEARCAVTI!A$2:G$506,6,0)</f>
        <v>3073226</v>
      </c>
      <c r="D208">
        <f>VLOOKUP(A208,NYSEARCAVEU!A$2:G$506,6,0)</f>
        <v>1469715</v>
      </c>
      <c r="E208">
        <f>VLOOKUP(A208,NYSEARCAVWO!A$2:G$506,6,0)</f>
        <v>13208168</v>
      </c>
      <c r="F208">
        <f>VLOOKUP(A208,NYSEARCABND!A$2:G$506,6,0)</f>
        <v>1402896</v>
      </c>
      <c r="G208">
        <f>VLOOKUP(A208,NYSEARCATIP!A$2:G$506,6,0)</f>
        <v>823525</v>
      </c>
      <c r="H208">
        <f>VLOOKUP(A208,NYSEARCAMUB!A$2:G$506,6,0)</f>
        <v>271346</v>
      </c>
      <c r="I208">
        <f>VLOOKUP(A208,NYSEARCAVNQ!A$2:G$506,6,0)</f>
        <v>3439585</v>
      </c>
      <c r="J208">
        <f>VLOOKUP(A208,NYSEARCARWX!A$2:G$506,6,0)</f>
        <v>480354</v>
      </c>
      <c r="K208">
        <f>VLOOKUP(A208,NYSEARCADBC!A$2:G$506,6,0)</f>
        <v>2430959</v>
      </c>
      <c r="L208">
        <f>VLOOKUP(A208,NYSEARCAGSG!A$2:G$506,6,0)</f>
        <v>191884</v>
      </c>
      <c r="M208">
        <f>VLOOKUP(A208,NYSEARCAGLD!A$2:G$506,6,0)</f>
        <v>17304837</v>
      </c>
      <c r="N208">
        <f>VLOOKUP(A208,NYSEBP!A$2:G$506,6,0)</f>
        <v>9334746</v>
      </c>
      <c r="O208">
        <f>VLOOKUP(A208,NASDAQYHOO!A$2:G$506,6,0)</f>
        <v>10975697</v>
      </c>
    </row>
    <row r="209" spans="1:15">
      <c r="A209" s="39">
        <v>42446</v>
      </c>
      <c r="B209">
        <v>11831599</v>
      </c>
      <c r="C209">
        <f>VLOOKUP(A209,NYSEARCAVTI!A$2:G$506,6,0)</f>
        <v>3471824</v>
      </c>
      <c r="D209">
        <f>VLOOKUP(A209,NYSEARCAVEU!A$2:G$506,6,0)</f>
        <v>2360982</v>
      </c>
      <c r="E209">
        <f>VLOOKUP(A209,NYSEARCAVWO!A$2:G$506,6,0)</f>
        <v>15863200</v>
      </c>
      <c r="F209">
        <f>VLOOKUP(A209,NYSEARCABND!A$2:G$506,6,0)</f>
        <v>1570971</v>
      </c>
      <c r="G209">
        <f>VLOOKUP(A209,NYSEARCATIP!A$2:G$506,6,0)</f>
        <v>1926719</v>
      </c>
      <c r="H209">
        <f>VLOOKUP(A209,NYSEARCAMUB!A$2:G$506,6,0)</f>
        <v>303012</v>
      </c>
      <c r="I209">
        <f>VLOOKUP(A209,NYSEARCAVNQ!A$2:G$506,6,0)</f>
        <v>5526429</v>
      </c>
      <c r="J209">
        <f>VLOOKUP(A209,NYSEARCARWX!A$2:G$506,6,0)</f>
        <v>791722</v>
      </c>
      <c r="K209">
        <f>VLOOKUP(A209,NYSEARCADBC!A$2:G$506,6,0)</f>
        <v>1000439</v>
      </c>
      <c r="L209">
        <f>VLOOKUP(A209,NYSEARCAGSG!A$2:G$506,6,0)</f>
        <v>5305289</v>
      </c>
      <c r="M209">
        <f>VLOOKUP(A209,NYSEARCAGLD!A$2:G$506,6,0)</f>
        <v>9716706</v>
      </c>
      <c r="N209">
        <f>VLOOKUP(A209,NYSEBP!A$2:G$506,6,0)</f>
        <v>9386293</v>
      </c>
      <c r="O209">
        <f>VLOOKUP(A209,NASDAQYHOO!A$2:G$506,6,0)</f>
        <v>9334078</v>
      </c>
    </row>
    <row r="210" spans="1:15">
      <c r="A210" s="39">
        <v>42447</v>
      </c>
      <c r="B210">
        <v>22927319</v>
      </c>
      <c r="C210">
        <f>VLOOKUP(A210,NYSEARCAVTI!A$2:G$506,6,0)</f>
        <v>2942342</v>
      </c>
      <c r="D210">
        <f>VLOOKUP(A210,NYSEARCAVEU!A$2:G$506,6,0)</f>
        <v>1871414</v>
      </c>
      <c r="E210">
        <f>VLOOKUP(A210,NYSEARCAVWO!A$2:G$506,6,0)</f>
        <v>16644208</v>
      </c>
      <c r="F210">
        <f>VLOOKUP(A210,NYSEARCABND!A$2:G$506,6,0)</f>
        <v>1219376</v>
      </c>
      <c r="G210">
        <f>VLOOKUP(A210,NYSEARCATIP!A$2:G$506,6,0)</f>
        <v>1320169</v>
      </c>
      <c r="H210">
        <f>VLOOKUP(A210,NYSEARCAMUB!A$2:G$506,6,0)</f>
        <v>345993</v>
      </c>
      <c r="I210">
        <f>VLOOKUP(A210,NYSEARCAVNQ!A$2:G$506,6,0)</f>
        <v>3274741</v>
      </c>
      <c r="J210">
        <f>VLOOKUP(A210,NYSEARCARWX!A$2:G$506,6,0)</f>
        <v>491292</v>
      </c>
      <c r="K210">
        <f>VLOOKUP(A210,NYSEARCADBC!A$2:G$506,6,0)</f>
        <v>1791070</v>
      </c>
      <c r="L210">
        <f>VLOOKUP(A210,NYSEARCAGSG!A$2:G$506,6,0)</f>
        <v>678340</v>
      </c>
      <c r="M210">
        <f>VLOOKUP(A210,NYSEARCAGLD!A$2:G$506,6,0)</f>
        <v>9451872</v>
      </c>
      <c r="N210">
        <f>VLOOKUP(A210,NYSEBP!A$2:G$506,6,0)</f>
        <v>8536850</v>
      </c>
      <c r="O210">
        <f>VLOOKUP(A210,NASDAQYHOO!A$2:G$506,6,0)</f>
        <v>20488334</v>
      </c>
    </row>
    <row r="211" spans="1:15">
      <c r="A211" s="39">
        <v>42450</v>
      </c>
      <c r="B211">
        <v>9401758</v>
      </c>
      <c r="C211">
        <f>VLOOKUP(A211,NYSEARCAVTI!A$2:G$506,6,0)</f>
        <v>2472898</v>
      </c>
      <c r="D211">
        <f>VLOOKUP(A211,NYSEARCAVEU!A$2:G$506,6,0)</f>
        <v>2075013</v>
      </c>
      <c r="E211">
        <f>VLOOKUP(A211,NYSEARCAVWO!A$2:G$506,6,0)</f>
        <v>10944407</v>
      </c>
      <c r="F211">
        <f>VLOOKUP(A211,NYSEARCABND!A$2:G$506,6,0)</f>
        <v>1613645</v>
      </c>
      <c r="G211">
        <f>VLOOKUP(A211,NYSEARCATIP!A$2:G$506,6,0)</f>
        <v>1011676</v>
      </c>
      <c r="H211">
        <f>VLOOKUP(A211,NYSEARCAMUB!A$2:G$506,6,0)</f>
        <v>355170</v>
      </c>
      <c r="I211">
        <f>VLOOKUP(A211,NYSEARCAVNQ!A$2:G$506,6,0)</f>
        <v>4342967</v>
      </c>
      <c r="J211">
        <f>VLOOKUP(A211,NYSEARCARWX!A$2:G$506,6,0)</f>
        <v>360665</v>
      </c>
      <c r="K211">
        <f>VLOOKUP(A211,NYSEARCADBC!A$2:G$506,6,0)</f>
        <v>9810500</v>
      </c>
      <c r="L211">
        <f>VLOOKUP(A211,NYSEARCAGSG!A$2:G$506,6,0)</f>
        <v>829438</v>
      </c>
      <c r="M211">
        <f>VLOOKUP(A211,NYSEARCAGLD!A$2:G$506,6,0)</f>
        <v>7238678</v>
      </c>
      <c r="N211">
        <f>VLOOKUP(A211,NYSEBP!A$2:G$506,6,0)</f>
        <v>7652415</v>
      </c>
      <c r="O211">
        <f>VLOOKUP(A211,NASDAQYHOO!A$2:G$506,6,0)</f>
        <v>13279376</v>
      </c>
    </row>
    <row r="212" spans="1:15">
      <c r="A212" s="39">
        <v>42451</v>
      </c>
      <c r="B212">
        <v>7497606</v>
      </c>
      <c r="C212">
        <f>VLOOKUP(A212,NYSEARCAVTI!A$2:G$506,6,0)</f>
        <v>1962641</v>
      </c>
      <c r="D212">
        <f>VLOOKUP(A212,NYSEARCAVEU!A$2:G$506,6,0)</f>
        <v>1850053</v>
      </c>
      <c r="E212">
        <f>VLOOKUP(A212,NYSEARCAVWO!A$2:G$506,6,0)</f>
        <v>16639749</v>
      </c>
      <c r="F212">
        <f>VLOOKUP(A212,NYSEARCABND!A$2:G$506,6,0)</f>
        <v>2150240</v>
      </c>
      <c r="G212">
        <f>VLOOKUP(A212,NYSEARCATIP!A$2:G$506,6,0)</f>
        <v>1028983</v>
      </c>
      <c r="H212">
        <f>VLOOKUP(A212,NYSEARCAMUB!A$2:G$506,6,0)</f>
        <v>291921</v>
      </c>
      <c r="I212">
        <f>VLOOKUP(A212,NYSEARCAVNQ!A$2:G$506,6,0)</f>
        <v>4791256</v>
      </c>
      <c r="J212">
        <f>VLOOKUP(A212,NYSEARCARWX!A$2:G$506,6,0)</f>
        <v>738262</v>
      </c>
      <c r="K212">
        <f>VLOOKUP(A212,NYSEARCADBC!A$2:G$506,6,0)</f>
        <v>1498785</v>
      </c>
      <c r="L212">
        <f>VLOOKUP(A212,NYSEARCAGSG!A$2:G$506,6,0)</f>
        <v>106579</v>
      </c>
      <c r="M212">
        <f>VLOOKUP(A212,NYSEARCAGLD!A$2:G$506,6,0)</f>
        <v>6448321</v>
      </c>
      <c r="N212">
        <f>VLOOKUP(A212,NYSEBP!A$2:G$506,6,0)</f>
        <v>5158397</v>
      </c>
      <c r="O212">
        <f>VLOOKUP(A212,NASDAQYHOO!A$2:G$506,6,0)</f>
        <v>11272275</v>
      </c>
    </row>
    <row r="213" spans="1:15">
      <c r="A213" s="39">
        <v>42452</v>
      </c>
      <c r="B213">
        <v>6092808</v>
      </c>
      <c r="C213">
        <f>VLOOKUP(A213,NYSEARCAVTI!A$2:G$506,6,0)</f>
        <v>6081892</v>
      </c>
      <c r="D213">
        <f>VLOOKUP(A213,NYSEARCAVEU!A$2:G$506,6,0)</f>
        <v>3724203</v>
      </c>
      <c r="E213">
        <f>VLOOKUP(A213,NYSEARCAVWO!A$2:G$506,6,0)</f>
        <v>11668000</v>
      </c>
      <c r="F213">
        <f>VLOOKUP(A213,NYSEARCABND!A$2:G$506,6,0)</f>
        <v>1234729</v>
      </c>
      <c r="G213">
        <f>VLOOKUP(A213,NYSEARCATIP!A$2:G$506,6,0)</f>
        <v>753489</v>
      </c>
      <c r="H213">
        <f>VLOOKUP(A213,NYSEARCAMUB!A$2:G$506,6,0)</f>
        <v>735463</v>
      </c>
      <c r="I213">
        <f>VLOOKUP(A213,NYSEARCAVNQ!A$2:G$506,6,0)</f>
        <v>2837464</v>
      </c>
      <c r="J213">
        <f>VLOOKUP(A213,NYSEARCARWX!A$2:G$506,6,0)</f>
        <v>489882</v>
      </c>
      <c r="K213">
        <f>VLOOKUP(A213,NYSEARCADBC!A$2:G$506,6,0)</f>
        <v>3167112</v>
      </c>
      <c r="L213">
        <f>VLOOKUP(A213,NYSEARCAGSG!A$2:G$506,6,0)</f>
        <v>135962</v>
      </c>
      <c r="M213">
        <f>VLOOKUP(A213,NYSEARCAGLD!A$2:G$506,6,0)</f>
        <v>15971287</v>
      </c>
      <c r="N213">
        <f>VLOOKUP(A213,NYSEBP!A$2:G$506,6,0)</f>
        <v>5838686</v>
      </c>
      <c r="O213">
        <f>VLOOKUP(A213,NASDAQYHOO!A$2:G$506,6,0)</f>
        <v>12192595</v>
      </c>
    </row>
    <row r="214" spans="1:15">
      <c r="A214" s="39">
        <v>42453</v>
      </c>
      <c r="B214">
        <v>6301598</v>
      </c>
      <c r="C214">
        <f>VLOOKUP(A214,NYSEARCAVTI!A$2:G$506,6,0)</f>
        <v>2173043</v>
      </c>
      <c r="D214">
        <f>VLOOKUP(A214,NYSEARCAVEU!A$2:G$506,6,0)</f>
        <v>1852347</v>
      </c>
      <c r="E214">
        <f>VLOOKUP(A214,NYSEARCAVWO!A$2:G$506,6,0)</f>
        <v>16494677</v>
      </c>
      <c r="F214">
        <f>VLOOKUP(A214,NYSEARCABND!A$2:G$506,6,0)</f>
        <v>1752328</v>
      </c>
      <c r="G214">
        <f>VLOOKUP(A214,NYSEARCATIP!A$2:G$506,6,0)</f>
        <v>1225531</v>
      </c>
      <c r="H214">
        <f>VLOOKUP(A214,NYSEARCAMUB!A$2:G$506,6,0)</f>
        <v>340976</v>
      </c>
      <c r="I214">
        <f>VLOOKUP(A214,NYSEARCAVNQ!A$2:G$506,6,0)</f>
        <v>2839380</v>
      </c>
      <c r="J214">
        <f>VLOOKUP(A214,NYSEARCARWX!A$2:G$506,6,0)</f>
        <v>322542</v>
      </c>
      <c r="K214">
        <f>VLOOKUP(A214,NYSEARCADBC!A$2:G$506,6,0)</f>
        <v>1838669</v>
      </c>
      <c r="L214">
        <f>VLOOKUP(A214,NYSEARCAGSG!A$2:G$506,6,0)</f>
        <v>446276</v>
      </c>
      <c r="M214">
        <f>VLOOKUP(A214,NYSEARCAGLD!A$2:G$506,6,0)</f>
        <v>6237227</v>
      </c>
      <c r="N214">
        <f>VLOOKUP(A214,NYSEBP!A$2:G$506,6,0)</f>
        <v>5326584</v>
      </c>
      <c r="O214">
        <f>VLOOKUP(A214,NASDAQYHOO!A$2:G$506,6,0)</f>
        <v>14101549</v>
      </c>
    </row>
    <row r="215" spans="1:15">
      <c r="A215" s="39">
        <v>42457</v>
      </c>
      <c r="B215">
        <v>5598390</v>
      </c>
      <c r="C215">
        <f>VLOOKUP(A215,NYSEARCAVTI!A$2:G$506,6,0)</f>
        <v>2103362</v>
      </c>
      <c r="D215">
        <f>VLOOKUP(A215,NYSEARCAVEU!A$2:G$506,6,0)</f>
        <v>1185669</v>
      </c>
      <c r="E215">
        <f>VLOOKUP(A215,NYSEARCAVWO!A$2:G$506,6,0)</f>
        <v>11695417</v>
      </c>
      <c r="F215">
        <f>VLOOKUP(A215,NYSEARCABND!A$2:G$506,6,0)</f>
        <v>2369635</v>
      </c>
      <c r="G215">
        <f>VLOOKUP(A215,NYSEARCATIP!A$2:G$506,6,0)</f>
        <v>877474</v>
      </c>
      <c r="H215">
        <f>VLOOKUP(A215,NYSEARCAMUB!A$2:G$506,6,0)</f>
        <v>515585</v>
      </c>
      <c r="I215">
        <f>VLOOKUP(A215,NYSEARCAVNQ!A$2:G$506,6,0)</f>
        <v>3885066</v>
      </c>
      <c r="J215">
        <f>VLOOKUP(A215,NYSEARCARWX!A$2:G$506,6,0)</f>
        <v>366733</v>
      </c>
      <c r="K215">
        <f>VLOOKUP(A215,NYSEARCADBC!A$2:G$506,6,0)</f>
        <v>1000269</v>
      </c>
      <c r="L215">
        <f>VLOOKUP(A215,NYSEARCAGSG!A$2:G$506,6,0)</f>
        <v>685636</v>
      </c>
      <c r="M215">
        <f>VLOOKUP(A215,NYSEARCAGLD!A$2:G$506,6,0)</f>
        <v>3736430</v>
      </c>
      <c r="N215">
        <f>VLOOKUP(A215,NYSEBP!A$2:G$506,6,0)</f>
        <v>3601654</v>
      </c>
      <c r="O215">
        <f>VLOOKUP(A215,NASDAQYHOO!A$2:G$506,6,0)</f>
        <v>12976815</v>
      </c>
    </row>
    <row r="216" spans="1:15">
      <c r="A216" s="39">
        <v>42458</v>
      </c>
      <c r="B216">
        <v>6490046</v>
      </c>
      <c r="C216">
        <f>VLOOKUP(A216,NYSEARCAVTI!A$2:G$506,6,0)</f>
        <v>2920301</v>
      </c>
      <c r="D216">
        <f>VLOOKUP(A216,NYSEARCAVEU!A$2:G$506,6,0)</f>
        <v>1620177</v>
      </c>
      <c r="E216">
        <f>VLOOKUP(A216,NYSEARCAVWO!A$2:G$506,6,0)</f>
        <v>16645772</v>
      </c>
      <c r="F216">
        <f>VLOOKUP(A216,NYSEARCABND!A$2:G$506,6,0)</f>
        <v>1841832</v>
      </c>
      <c r="G216">
        <f>VLOOKUP(A216,NYSEARCATIP!A$2:G$506,6,0)</f>
        <v>1530634</v>
      </c>
      <c r="H216">
        <f>VLOOKUP(A216,NYSEARCAMUB!A$2:G$506,6,0)</f>
        <v>313715</v>
      </c>
      <c r="I216">
        <f>VLOOKUP(A216,NYSEARCAVNQ!A$2:G$506,6,0)</f>
        <v>5023465</v>
      </c>
      <c r="J216">
        <f>VLOOKUP(A216,NYSEARCARWX!A$2:G$506,6,0)</f>
        <v>581098</v>
      </c>
      <c r="K216">
        <f>VLOOKUP(A216,NYSEARCADBC!A$2:G$506,6,0)</f>
        <v>2303626</v>
      </c>
      <c r="L216">
        <f>VLOOKUP(A216,NYSEARCAGSG!A$2:G$506,6,0)</f>
        <v>135408</v>
      </c>
      <c r="M216">
        <f>VLOOKUP(A216,NYSEARCAGLD!A$2:G$506,6,0)</f>
        <v>14206307</v>
      </c>
      <c r="N216">
        <f>VLOOKUP(A216,NYSEBP!A$2:G$506,6,0)</f>
        <v>7028302</v>
      </c>
      <c r="O216">
        <f>VLOOKUP(A216,NASDAQYHOO!A$2:G$506,6,0)</f>
        <v>23166544</v>
      </c>
    </row>
    <row r="217" spans="1:15">
      <c r="A217" s="39">
        <v>42459</v>
      </c>
      <c r="B217">
        <v>7204059</v>
      </c>
      <c r="C217">
        <f>VLOOKUP(A217,NYSEARCAVTI!A$2:G$506,6,0)</f>
        <v>2257814</v>
      </c>
      <c r="D217">
        <f>VLOOKUP(A217,NYSEARCAVEU!A$2:G$506,6,0)</f>
        <v>2923407</v>
      </c>
      <c r="E217">
        <f>VLOOKUP(A217,NYSEARCAVWO!A$2:G$506,6,0)</f>
        <v>12617715</v>
      </c>
      <c r="F217">
        <f>VLOOKUP(A217,NYSEARCABND!A$2:G$506,6,0)</f>
        <v>1624328</v>
      </c>
      <c r="G217">
        <f>VLOOKUP(A217,NYSEARCATIP!A$2:G$506,6,0)</f>
        <v>752090</v>
      </c>
      <c r="H217">
        <f>VLOOKUP(A217,NYSEARCAMUB!A$2:G$506,6,0)</f>
        <v>295301</v>
      </c>
      <c r="I217">
        <f>VLOOKUP(A217,NYSEARCAVNQ!A$2:G$506,6,0)</f>
        <v>3503133</v>
      </c>
      <c r="J217">
        <f>VLOOKUP(A217,NYSEARCARWX!A$2:G$506,6,0)</f>
        <v>361830</v>
      </c>
      <c r="K217">
        <f>VLOOKUP(A217,NYSEARCADBC!A$2:G$506,6,0)</f>
        <v>1336089</v>
      </c>
      <c r="L217">
        <f>VLOOKUP(A217,NYSEARCAGSG!A$2:G$506,6,0)</f>
        <v>181690</v>
      </c>
      <c r="M217">
        <f>VLOOKUP(A217,NYSEARCAGLD!A$2:G$506,6,0)</f>
        <v>10644748</v>
      </c>
      <c r="N217">
        <f>VLOOKUP(A217,NYSEBP!A$2:G$506,6,0)</f>
        <v>7305312</v>
      </c>
      <c r="O217">
        <f>VLOOKUP(A217,NASDAQYHOO!A$2:G$506,6,0)</f>
        <v>19836459</v>
      </c>
    </row>
    <row r="218" spans="1:15">
      <c r="A218" s="39">
        <v>42460</v>
      </c>
      <c r="B218">
        <v>6276436</v>
      </c>
      <c r="C218">
        <f>VLOOKUP(A218,NYSEARCAVTI!A$2:G$506,6,0)</f>
        <v>2229507</v>
      </c>
      <c r="D218">
        <f>VLOOKUP(A218,NYSEARCAVEU!A$2:G$506,6,0)</f>
        <v>1291445</v>
      </c>
      <c r="E218">
        <f>VLOOKUP(A218,NYSEARCAVWO!A$2:G$506,6,0)</f>
        <v>15572935</v>
      </c>
      <c r="F218">
        <f>VLOOKUP(A218,NYSEARCABND!A$2:G$506,6,0)</f>
        <v>3037550</v>
      </c>
      <c r="G218">
        <f>VLOOKUP(A218,NYSEARCATIP!A$2:G$506,6,0)</f>
        <v>1702848</v>
      </c>
      <c r="H218">
        <f>VLOOKUP(A218,NYSEARCAMUB!A$2:G$506,6,0)</f>
        <v>410980</v>
      </c>
      <c r="I218">
        <f>VLOOKUP(A218,NYSEARCAVNQ!A$2:G$506,6,0)</f>
        <v>7533927</v>
      </c>
      <c r="J218">
        <f>VLOOKUP(A218,NYSEARCARWX!A$2:G$506,6,0)</f>
        <v>422099</v>
      </c>
      <c r="K218">
        <f>VLOOKUP(A218,NYSEARCADBC!A$2:G$506,6,0)</f>
        <v>3581737</v>
      </c>
      <c r="L218">
        <f>VLOOKUP(A218,NYSEARCAGSG!A$2:G$506,6,0)</f>
        <v>664469</v>
      </c>
      <c r="M218">
        <f>VLOOKUP(A218,NYSEARCAGLD!A$2:G$506,6,0)</f>
        <v>9304476</v>
      </c>
      <c r="N218">
        <f>VLOOKUP(A218,NYSEBP!A$2:G$506,6,0)</f>
        <v>7225574</v>
      </c>
      <c r="O218">
        <f>VLOOKUP(A218,NASDAQYHOO!A$2:G$506,6,0)</f>
        <v>18666216</v>
      </c>
    </row>
    <row r="219" spans="1:15">
      <c r="A219" s="39">
        <v>42461</v>
      </c>
      <c r="B219">
        <v>6602027</v>
      </c>
      <c r="C219">
        <f>VLOOKUP(A219,NYSEARCAVTI!A$2:G$506,6,0)</f>
        <v>2994475</v>
      </c>
      <c r="D219">
        <f>VLOOKUP(A219,NYSEARCAVEU!A$2:G$506,6,0)</f>
        <v>2328729</v>
      </c>
      <c r="E219">
        <f>VLOOKUP(A219,NYSEARCAVWO!A$2:G$506,6,0)</f>
        <v>19357842</v>
      </c>
      <c r="F219">
        <f>VLOOKUP(A219,NYSEARCABND!A$2:G$506,6,0)</f>
        <v>3027385</v>
      </c>
      <c r="G219">
        <f>VLOOKUP(A219,NYSEARCATIP!A$2:G$506,6,0)</f>
        <v>2303571</v>
      </c>
      <c r="H219">
        <f>VLOOKUP(A219,NYSEARCAMUB!A$2:G$506,6,0)</f>
        <v>461520</v>
      </c>
      <c r="I219">
        <f>VLOOKUP(A219,NYSEARCAVNQ!A$2:G$506,6,0)</f>
        <v>5266687</v>
      </c>
      <c r="J219">
        <f>VLOOKUP(A219,NYSEARCARWX!A$2:G$506,6,0)</f>
        <v>633714</v>
      </c>
      <c r="K219">
        <f>VLOOKUP(A219,NYSEARCADBC!A$2:G$506,6,0)</f>
        <v>1170772</v>
      </c>
      <c r="L219">
        <f>VLOOKUP(A219,NYSEARCAGSG!A$2:G$506,6,0)</f>
        <v>117346</v>
      </c>
      <c r="M219">
        <f>VLOOKUP(A219,NYSEARCAGLD!A$2:G$506,6,0)</f>
        <v>10393016</v>
      </c>
      <c r="N219">
        <f>VLOOKUP(A219,NYSEBP!A$2:G$506,6,0)</f>
        <v>8886212</v>
      </c>
      <c r="O219">
        <f>VLOOKUP(A219,NASDAQYHOO!A$2:G$506,6,0)</f>
        <v>13650354</v>
      </c>
    </row>
    <row r="220" spans="1:15">
      <c r="A220" s="39">
        <v>42464</v>
      </c>
      <c r="B220">
        <v>6821546</v>
      </c>
      <c r="C220">
        <f>VLOOKUP(A220,NYSEARCAVTI!A$2:G$506,6,0)</f>
        <v>1846750</v>
      </c>
      <c r="D220">
        <f>VLOOKUP(A220,NYSEARCAVEU!A$2:G$506,6,0)</f>
        <v>996057</v>
      </c>
      <c r="E220">
        <f>VLOOKUP(A220,NYSEARCAVWO!A$2:G$506,6,0)</f>
        <v>8805351</v>
      </c>
      <c r="F220">
        <f>VLOOKUP(A220,NYSEARCABND!A$2:G$506,6,0)</f>
        <v>1452361</v>
      </c>
      <c r="G220">
        <f>VLOOKUP(A220,NYSEARCATIP!A$2:G$506,6,0)</f>
        <v>2679573</v>
      </c>
      <c r="H220">
        <f>VLOOKUP(A220,NYSEARCAMUB!A$2:G$506,6,0)</f>
        <v>793572</v>
      </c>
      <c r="I220">
        <f>VLOOKUP(A220,NYSEARCAVNQ!A$2:G$506,6,0)</f>
        <v>6908841</v>
      </c>
      <c r="J220">
        <f>VLOOKUP(A220,NYSEARCARWX!A$2:G$506,6,0)</f>
        <v>678041</v>
      </c>
      <c r="K220">
        <f>VLOOKUP(A220,NYSEARCADBC!A$2:G$506,6,0)</f>
        <v>4621633</v>
      </c>
      <c r="L220">
        <f>VLOOKUP(A220,NYSEARCAGSG!A$2:G$506,6,0)</f>
        <v>324372</v>
      </c>
      <c r="M220">
        <f>VLOOKUP(A220,NYSEARCAGLD!A$2:G$506,6,0)</f>
        <v>7272321</v>
      </c>
      <c r="N220">
        <f>VLOOKUP(A220,NYSEBP!A$2:G$506,6,0)</f>
        <v>4932053</v>
      </c>
      <c r="O220">
        <f>VLOOKUP(A220,NASDAQYHOO!A$2:G$506,6,0)</f>
        <v>20203233</v>
      </c>
    </row>
    <row r="221" spans="1:15">
      <c r="A221" s="39">
        <v>42465</v>
      </c>
      <c r="B221">
        <v>5775011</v>
      </c>
      <c r="C221">
        <f>VLOOKUP(A221,NYSEARCAVTI!A$2:G$506,6,0)</f>
        <v>2572077</v>
      </c>
      <c r="D221">
        <f>VLOOKUP(A221,NYSEARCAVEU!A$2:G$506,6,0)</f>
        <v>1422262</v>
      </c>
      <c r="E221">
        <f>VLOOKUP(A221,NYSEARCAVWO!A$2:G$506,6,0)</f>
        <v>16526374</v>
      </c>
      <c r="F221">
        <f>VLOOKUP(A221,NYSEARCABND!A$2:G$506,6,0)</f>
        <v>2148222</v>
      </c>
      <c r="G221">
        <f>VLOOKUP(A221,NYSEARCATIP!A$2:G$506,6,0)</f>
        <v>1817005</v>
      </c>
      <c r="H221">
        <f>VLOOKUP(A221,NYSEARCAMUB!A$2:G$506,6,0)</f>
        <v>425297</v>
      </c>
      <c r="I221">
        <f>VLOOKUP(A221,NYSEARCAVNQ!A$2:G$506,6,0)</f>
        <v>3251287</v>
      </c>
      <c r="J221">
        <f>VLOOKUP(A221,NYSEARCARWX!A$2:G$506,6,0)</f>
        <v>543448</v>
      </c>
      <c r="K221">
        <f>VLOOKUP(A221,NYSEARCADBC!A$2:G$506,6,0)</f>
        <v>1832986</v>
      </c>
      <c r="L221">
        <f>VLOOKUP(A221,NYSEARCAGSG!A$2:G$506,6,0)</f>
        <v>416763</v>
      </c>
      <c r="M221">
        <f>VLOOKUP(A221,NYSEARCAGLD!A$2:G$506,6,0)</f>
        <v>8855628</v>
      </c>
      <c r="N221">
        <f>VLOOKUP(A221,NYSEBP!A$2:G$506,6,0)</f>
        <v>7779455</v>
      </c>
      <c r="O221">
        <f>VLOOKUP(A221,NASDAQYHOO!A$2:G$506,6,0)</f>
        <v>12439202</v>
      </c>
    </row>
    <row r="222" spans="1:15">
      <c r="A222" s="39">
        <v>42466</v>
      </c>
      <c r="B222">
        <v>5299090</v>
      </c>
      <c r="C222">
        <f>VLOOKUP(A222,NYSEARCAVTI!A$2:G$506,6,0)</f>
        <v>2571124</v>
      </c>
      <c r="D222">
        <f>VLOOKUP(A222,NYSEARCAVEU!A$2:G$506,6,0)</f>
        <v>2493527</v>
      </c>
      <c r="E222">
        <f>VLOOKUP(A222,NYSEARCAVWO!A$2:G$506,6,0)</f>
        <v>11604688</v>
      </c>
      <c r="F222">
        <f>VLOOKUP(A222,NYSEARCABND!A$2:G$506,6,0)</f>
        <v>1833120</v>
      </c>
      <c r="G222">
        <f>VLOOKUP(A222,NYSEARCATIP!A$2:G$506,6,0)</f>
        <v>2700463</v>
      </c>
      <c r="H222">
        <f>VLOOKUP(A222,NYSEARCAMUB!A$2:G$506,6,0)</f>
        <v>304509</v>
      </c>
      <c r="I222">
        <f>VLOOKUP(A222,NYSEARCAVNQ!A$2:G$506,6,0)</f>
        <v>2940469</v>
      </c>
      <c r="J222">
        <f>VLOOKUP(A222,NYSEARCARWX!A$2:G$506,6,0)</f>
        <v>1873630</v>
      </c>
      <c r="K222">
        <f>VLOOKUP(A222,NYSEARCADBC!A$2:G$506,6,0)</f>
        <v>4849547</v>
      </c>
      <c r="L222">
        <f>VLOOKUP(A222,NYSEARCAGSG!A$2:G$506,6,0)</f>
        <v>165112</v>
      </c>
      <c r="M222">
        <f>VLOOKUP(A222,NYSEARCAGLD!A$2:G$506,6,0)</f>
        <v>7430116</v>
      </c>
      <c r="N222">
        <f>VLOOKUP(A222,NYSEBP!A$2:G$506,6,0)</f>
        <v>9248496</v>
      </c>
      <c r="O222">
        <f>VLOOKUP(A222,NASDAQYHOO!A$2:G$506,6,0)</f>
        <v>19418583</v>
      </c>
    </row>
    <row r="223" spans="1:15">
      <c r="A223" s="39">
        <v>42467</v>
      </c>
      <c r="B223">
        <v>6094018</v>
      </c>
      <c r="C223">
        <f>VLOOKUP(A223,NYSEARCAVTI!A$2:G$506,6,0)</f>
        <v>2134785</v>
      </c>
      <c r="D223">
        <f>VLOOKUP(A223,NYSEARCAVEU!A$2:G$506,6,0)</f>
        <v>1791147</v>
      </c>
      <c r="E223">
        <f>VLOOKUP(A223,NYSEARCAVWO!A$2:G$506,6,0)</f>
        <v>11248445</v>
      </c>
      <c r="F223">
        <f>VLOOKUP(A223,NYSEARCABND!A$2:G$506,6,0)</f>
        <v>1533335</v>
      </c>
      <c r="G223">
        <f>VLOOKUP(A223,NYSEARCATIP!A$2:G$506,6,0)</f>
        <v>1217313</v>
      </c>
      <c r="H223">
        <f>VLOOKUP(A223,NYSEARCAMUB!A$2:G$506,6,0)</f>
        <v>393711</v>
      </c>
      <c r="I223">
        <f>VLOOKUP(A223,NYSEARCAVNQ!A$2:G$506,6,0)</f>
        <v>2339433</v>
      </c>
      <c r="J223">
        <f>VLOOKUP(A223,NYSEARCARWX!A$2:G$506,6,0)</f>
        <v>1119550</v>
      </c>
      <c r="K223">
        <f>VLOOKUP(A223,NYSEARCADBC!A$2:G$506,6,0)</f>
        <v>1046189</v>
      </c>
      <c r="L223">
        <f>VLOOKUP(A223,NYSEARCAGSG!A$2:G$506,6,0)</f>
        <v>76492</v>
      </c>
      <c r="M223">
        <f>VLOOKUP(A223,NYSEARCAGLD!A$2:G$506,6,0)</f>
        <v>11807487</v>
      </c>
      <c r="N223">
        <f>VLOOKUP(A223,NYSEBP!A$2:G$506,6,0)</f>
        <v>6874549</v>
      </c>
      <c r="O223">
        <f>VLOOKUP(A223,NASDAQYHOO!A$2:G$506,6,0)</f>
        <v>38653774</v>
      </c>
    </row>
    <row r="224" spans="1:15">
      <c r="A224" s="39">
        <v>42468</v>
      </c>
      <c r="B224">
        <v>6022355</v>
      </c>
      <c r="C224">
        <f>VLOOKUP(A224,NYSEARCAVTI!A$2:G$506,6,0)</f>
        <v>2337002</v>
      </c>
      <c r="D224">
        <f>VLOOKUP(A224,NYSEARCAVEU!A$2:G$506,6,0)</f>
        <v>1940290</v>
      </c>
      <c r="E224">
        <f>VLOOKUP(A224,NYSEARCAVWO!A$2:G$506,6,0)</f>
        <v>14067081</v>
      </c>
      <c r="F224">
        <f>VLOOKUP(A224,NYSEARCABND!A$2:G$506,6,0)</f>
        <v>1402106</v>
      </c>
      <c r="G224">
        <f>VLOOKUP(A224,NYSEARCATIP!A$2:G$506,6,0)</f>
        <v>769487</v>
      </c>
      <c r="H224">
        <f>VLOOKUP(A224,NYSEARCAMUB!A$2:G$506,6,0)</f>
        <v>409043</v>
      </c>
      <c r="I224">
        <f>VLOOKUP(A224,NYSEARCAVNQ!A$2:G$506,6,0)</f>
        <v>3370305</v>
      </c>
      <c r="J224">
        <f>VLOOKUP(A224,NYSEARCARWX!A$2:G$506,6,0)</f>
        <v>339224</v>
      </c>
      <c r="K224">
        <f>VLOOKUP(A224,NYSEARCADBC!A$2:G$506,6,0)</f>
        <v>1298817</v>
      </c>
      <c r="L224">
        <f>VLOOKUP(A224,NYSEARCAGSG!A$2:G$506,6,0)</f>
        <v>246873</v>
      </c>
      <c r="M224">
        <f>VLOOKUP(A224,NYSEARCAGLD!A$2:G$506,6,0)</f>
        <v>9037877</v>
      </c>
      <c r="N224">
        <f>VLOOKUP(A224,NYSEBP!A$2:G$506,6,0)</f>
        <v>9855755</v>
      </c>
      <c r="O224">
        <f>VLOOKUP(A224,NASDAQYHOO!A$2:G$506,6,0)</f>
        <v>20251112</v>
      </c>
    </row>
    <row r="225" spans="1:15">
      <c r="A225" s="39">
        <v>42471</v>
      </c>
      <c r="B225">
        <v>7848157</v>
      </c>
      <c r="C225">
        <f>VLOOKUP(A225,NYSEARCAVTI!A$2:G$506,6,0)</f>
        <v>2275491</v>
      </c>
      <c r="D225">
        <f>VLOOKUP(A225,NYSEARCAVEU!A$2:G$506,6,0)</f>
        <v>1586932</v>
      </c>
      <c r="E225">
        <f>VLOOKUP(A225,NYSEARCAVWO!A$2:G$506,6,0)</f>
        <v>14099254</v>
      </c>
      <c r="F225">
        <f>VLOOKUP(A225,NYSEARCABND!A$2:G$506,6,0)</f>
        <v>1213937</v>
      </c>
      <c r="G225">
        <f>VLOOKUP(A225,NYSEARCATIP!A$2:G$506,6,0)</f>
        <v>685954</v>
      </c>
      <c r="H225">
        <f>VLOOKUP(A225,NYSEARCAMUB!A$2:G$506,6,0)</f>
        <v>276173</v>
      </c>
      <c r="I225">
        <f>VLOOKUP(A225,NYSEARCAVNQ!A$2:G$506,6,0)</f>
        <v>2848010</v>
      </c>
      <c r="J225">
        <f>VLOOKUP(A225,NYSEARCARWX!A$2:G$506,6,0)</f>
        <v>510119</v>
      </c>
      <c r="K225">
        <f>VLOOKUP(A225,NYSEARCADBC!A$2:G$506,6,0)</f>
        <v>1763810</v>
      </c>
      <c r="L225">
        <f>VLOOKUP(A225,NYSEARCAGSG!A$2:G$506,6,0)</f>
        <v>513588</v>
      </c>
      <c r="M225">
        <f>VLOOKUP(A225,NYSEARCAGLD!A$2:G$506,6,0)</f>
        <v>9828584</v>
      </c>
      <c r="N225">
        <f>VLOOKUP(A225,NYSEBP!A$2:G$506,6,0)</f>
        <v>7378323</v>
      </c>
      <c r="O225">
        <f>VLOOKUP(A225,NASDAQYHOO!A$2:G$506,6,0)</f>
        <v>13709569</v>
      </c>
    </row>
    <row r="226" spans="1:15">
      <c r="A226" s="39">
        <v>42472</v>
      </c>
      <c r="B226">
        <v>7732182</v>
      </c>
      <c r="C226">
        <f>VLOOKUP(A226,NYSEARCAVTI!A$2:G$506,6,0)</f>
        <v>2357534</v>
      </c>
      <c r="D226">
        <f>VLOOKUP(A226,NYSEARCAVEU!A$2:G$506,6,0)</f>
        <v>2178014</v>
      </c>
      <c r="E226">
        <f>VLOOKUP(A226,NYSEARCAVWO!A$2:G$506,6,0)</f>
        <v>15883573</v>
      </c>
      <c r="F226">
        <f>VLOOKUP(A226,NYSEARCABND!A$2:G$506,6,0)</f>
        <v>2388095</v>
      </c>
      <c r="G226">
        <f>VLOOKUP(A226,NYSEARCATIP!A$2:G$506,6,0)</f>
        <v>1314408</v>
      </c>
      <c r="H226">
        <f>VLOOKUP(A226,NYSEARCAMUB!A$2:G$506,6,0)</f>
        <v>301995</v>
      </c>
      <c r="I226">
        <f>VLOOKUP(A226,NYSEARCAVNQ!A$2:G$506,6,0)</f>
        <v>2504642</v>
      </c>
      <c r="J226">
        <f>VLOOKUP(A226,NYSEARCARWX!A$2:G$506,6,0)</f>
        <v>573969</v>
      </c>
      <c r="K226">
        <f>VLOOKUP(A226,NYSEARCADBC!A$2:G$506,6,0)</f>
        <v>2560067</v>
      </c>
      <c r="L226">
        <f>VLOOKUP(A226,NYSEARCAGSG!A$2:G$506,6,0)</f>
        <v>234918</v>
      </c>
      <c r="M226">
        <f>VLOOKUP(A226,NYSEARCAGLD!A$2:G$506,6,0)</f>
        <v>9618828</v>
      </c>
      <c r="N226">
        <f>VLOOKUP(A226,NYSEBP!A$2:G$506,6,0)</f>
        <v>10810235</v>
      </c>
      <c r="O226">
        <f>VLOOKUP(A226,NASDAQYHOO!A$2:G$506,6,0)</f>
        <v>10439369</v>
      </c>
    </row>
    <row r="227" spans="1:15">
      <c r="A227" s="39">
        <v>42473</v>
      </c>
      <c r="B227">
        <v>6262656</v>
      </c>
      <c r="C227">
        <f>VLOOKUP(A227,NYSEARCAVTI!A$2:G$506,6,0)</f>
        <v>2863497</v>
      </c>
      <c r="D227">
        <f>VLOOKUP(A227,NYSEARCAVEU!A$2:G$506,6,0)</f>
        <v>1940016</v>
      </c>
      <c r="E227">
        <f>VLOOKUP(A227,NYSEARCAVWO!A$2:G$506,6,0)</f>
        <v>20158612</v>
      </c>
      <c r="F227">
        <f>VLOOKUP(A227,NYSEARCABND!A$2:G$506,6,0)</f>
        <v>1747979</v>
      </c>
      <c r="G227">
        <f>VLOOKUP(A227,NYSEARCATIP!A$2:G$506,6,0)</f>
        <v>809638</v>
      </c>
      <c r="H227">
        <f>VLOOKUP(A227,NYSEARCAMUB!A$2:G$506,6,0)</f>
        <v>334220</v>
      </c>
      <c r="I227">
        <f>VLOOKUP(A227,NYSEARCAVNQ!A$2:G$506,6,0)</f>
        <v>2827279</v>
      </c>
      <c r="J227">
        <f>VLOOKUP(A227,NYSEARCARWX!A$2:G$506,6,0)</f>
        <v>474536</v>
      </c>
      <c r="K227">
        <f>VLOOKUP(A227,NYSEARCADBC!A$2:G$506,6,0)</f>
        <v>1907918</v>
      </c>
      <c r="L227">
        <f>VLOOKUP(A227,NYSEARCAGSG!A$2:G$506,6,0)</f>
        <v>103749</v>
      </c>
      <c r="M227">
        <f>VLOOKUP(A227,NYSEARCAGLD!A$2:G$506,6,0)</f>
        <v>8288382</v>
      </c>
      <c r="N227">
        <f>VLOOKUP(A227,NYSEBP!A$2:G$506,6,0)</f>
        <v>8929724</v>
      </c>
      <c r="O227">
        <f>VLOOKUP(A227,NASDAQYHOO!A$2:G$506,6,0)</f>
        <v>17158703</v>
      </c>
    </row>
    <row r="228" spans="1:15">
      <c r="A228" s="39">
        <v>42474</v>
      </c>
      <c r="B228">
        <v>6973069</v>
      </c>
      <c r="C228">
        <f>VLOOKUP(A228,NYSEARCAVTI!A$2:G$506,6,0)</f>
        <v>1666887</v>
      </c>
      <c r="D228">
        <f>VLOOKUP(A228,NYSEARCAVEU!A$2:G$506,6,0)</f>
        <v>1856241</v>
      </c>
      <c r="E228">
        <f>VLOOKUP(A228,NYSEARCAVWO!A$2:G$506,6,0)</f>
        <v>12682352</v>
      </c>
      <c r="F228">
        <f>VLOOKUP(A228,NYSEARCABND!A$2:G$506,6,0)</f>
        <v>1617265</v>
      </c>
      <c r="G228">
        <f>VLOOKUP(A228,NYSEARCATIP!A$2:G$506,6,0)</f>
        <v>1222492</v>
      </c>
      <c r="H228">
        <f>VLOOKUP(A228,NYSEARCAMUB!A$2:G$506,6,0)</f>
        <v>324194</v>
      </c>
      <c r="I228">
        <f>VLOOKUP(A228,NYSEARCAVNQ!A$2:G$506,6,0)</f>
        <v>2044232</v>
      </c>
      <c r="J228">
        <f>VLOOKUP(A228,NYSEARCARWX!A$2:G$506,6,0)</f>
        <v>343011</v>
      </c>
      <c r="K228">
        <f>VLOOKUP(A228,NYSEARCADBC!A$2:G$506,6,0)</f>
        <v>1084591</v>
      </c>
      <c r="L228">
        <f>VLOOKUP(A228,NYSEARCAGSG!A$2:G$506,6,0)</f>
        <v>572129</v>
      </c>
      <c r="M228">
        <f>VLOOKUP(A228,NYSEARCAGLD!A$2:G$506,6,0)</f>
        <v>13151278</v>
      </c>
      <c r="N228">
        <f>VLOOKUP(A228,NYSEBP!A$2:G$506,6,0)</f>
        <v>12677142</v>
      </c>
      <c r="O228">
        <f>VLOOKUP(A228,NASDAQYHOO!A$2:G$506,6,0)</f>
        <v>16608991</v>
      </c>
    </row>
    <row r="229" spans="1:15">
      <c r="A229" s="39">
        <v>42475</v>
      </c>
      <c r="B229">
        <v>7575462</v>
      </c>
      <c r="C229">
        <f>VLOOKUP(A229,NYSEARCAVTI!A$2:G$506,6,0)</f>
        <v>1622495</v>
      </c>
      <c r="D229">
        <f>VLOOKUP(A229,NYSEARCAVEU!A$2:G$506,6,0)</f>
        <v>1273226</v>
      </c>
      <c r="E229">
        <f>VLOOKUP(A229,NYSEARCAVWO!A$2:G$506,6,0)</f>
        <v>14448473</v>
      </c>
      <c r="F229">
        <f>VLOOKUP(A229,NYSEARCABND!A$2:G$506,6,0)</f>
        <v>1181034</v>
      </c>
      <c r="G229">
        <f>VLOOKUP(A229,NYSEARCATIP!A$2:G$506,6,0)</f>
        <v>541645</v>
      </c>
      <c r="H229">
        <f>VLOOKUP(A229,NYSEARCAMUB!A$2:G$506,6,0)</f>
        <v>366188</v>
      </c>
      <c r="I229">
        <f>VLOOKUP(A229,NYSEARCAVNQ!A$2:G$506,6,0)</f>
        <v>2429068</v>
      </c>
      <c r="J229">
        <f>VLOOKUP(A229,NYSEARCARWX!A$2:G$506,6,0)</f>
        <v>235253</v>
      </c>
      <c r="K229">
        <f>VLOOKUP(A229,NYSEARCADBC!A$2:G$506,6,0)</f>
        <v>879415</v>
      </c>
      <c r="L229">
        <f>VLOOKUP(A229,NYSEARCAGSG!A$2:G$506,6,0)</f>
        <v>2603911</v>
      </c>
      <c r="M229">
        <f>VLOOKUP(A229,NYSEARCAGLD!A$2:G$506,6,0)</f>
        <v>7751089</v>
      </c>
      <c r="N229">
        <f>VLOOKUP(A229,NYSEBP!A$2:G$506,6,0)</f>
        <v>14892785</v>
      </c>
      <c r="O229">
        <f>VLOOKUP(A229,NASDAQYHOO!A$2:G$506,6,0)</f>
        <v>19016188</v>
      </c>
    </row>
    <row r="230" spans="1:15">
      <c r="A230" s="39">
        <v>42478</v>
      </c>
      <c r="B230">
        <v>6620788</v>
      </c>
      <c r="C230">
        <f>VLOOKUP(A230,NYSEARCAVTI!A$2:G$506,6,0)</f>
        <v>1764647</v>
      </c>
      <c r="D230">
        <f>VLOOKUP(A230,NYSEARCAVEU!A$2:G$506,6,0)</f>
        <v>1796996</v>
      </c>
      <c r="E230">
        <f>VLOOKUP(A230,NYSEARCAVWO!A$2:G$506,6,0)</f>
        <v>14328235</v>
      </c>
      <c r="F230">
        <f>VLOOKUP(A230,NYSEARCABND!A$2:G$506,6,0)</f>
        <v>1395354</v>
      </c>
      <c r="G230">
        <f>VLOOKUP(A230,NYSEARCATIP!A$2:G$506,6,0)</f>
        <v>755036</v>
      </c>
      <c r="H230">
        <f>VLOOKUP(A230,NYSEARCAMUB!A$2:G$506,6,0)</f>
        <v>1008877</v>
      </c>
      <c r="I230">
        <f>VLOOKUP(A230,NYSEARCAVNQ!A$2:G$506,6,0)</f>
        <v>2347387</v>
      </c>
      <c r="J230">
        <f>VLOOKUP(A230,NYSEARCARWX!A$2:G$506,6,0)</f>
        <v>753347</v>
      </c>
      <c r="K230">
        <f>VLOOKUP(A230,NYSEARCADBC!A$2:G$506,6,0)</f>
        <v>1204652</v>
      </c>
      <c r="L230">
        <f>VLOOKUP(A230,NYSEARCAGSG!A$2:G$506,6,0)</f>
        <v>123075</v>
      </c>
      <c r="M230">
        <f>VLOOKUP(A230,NYSEARCAGLD!A$2:G$506,6,0)</f>
        <v>5798758</v>
      </c>
      <c r="N230">
        <f>VLOOKUP(A230,NYSEBP!A$2:G$506,6,0)</f>
        <v>11772189</v>
      </c>
      <c r="O230">
        <f>VLOOKUP(A230,NASDAQYHOO!A$2:G$506,6,0)</f>
        <v>17723026</v>
      </c>
    </row>
    <row r="231" spans="1:15">
      <c r="A231" s="39">
        <v>42479</v>
      </c>
      <c r="B231">
        <v>7701650</v>
      </c>
      <c r="C231">
        <f>VLOOKUP(A231,NYSEARCAVTI!A$2:G$506,6,0)</f>
        <v>2103737</v>
      </c>
      <c r="D231">
        <f>VLOOKUP(A231,NYSEARCAVEU!A$2:G$506,6,0)</f>
        <v>2017305</v>
      </c>
      <c r="E231">
        <f>VLOOKUP(A231,NYSEARCAVWO!A$2:G$506,6,0)</f>
        <v>14039487</v>
      </c>
      <c r="F231">
        <f>VLOOKUP(A231,NYSEARCABND!A$2:G$506,6,0)</f>
        <v>1163644</v>
      </c>
      <c r="G231">
        <f>VLOOKUP(A231,NYSEARCATIP!A$2:G$506,6,0)</f>
        <v>619630</v>
      </c>
      <c r="H231">
        <f>VLOOKUP(A231,NYSEARCAMUB!A$2:G$506,6,0)</f>
        <v>910568</v>
      </c>
      <c r="I231">
        <f>VLOOKUP(A231,NYSEARCAVNQ!A$2:G$506,6,0)</f>
        <v>3137230</v>
      </c>
      <c r="J231">
        <f>VLOOKUP(A231,NYSEARCARWX!A$2:G$506,6,0)</f>
        <v>616202</v>
      </c>
      <c r="K231">
        <f>VLOOKUP(A231,NYSEARCADBC!A$2:G$506,6,0)</f>
        <v>2226268</v>
      </c>
      <c r="L231">
        <f>VLOOKUP(A231,NYSEARCAGSG!A$2:G$506,6,0)</f>
        <v>101665</v>
      </c>
      <c r="M231">
        <f>VLOOKUP(A231,NYSEARCAGLD!A$2:G$506,6,0)</f>
        <v>20470789</v>
      </c>
      <c r="N231">
        <f>VLOOKUP(A231,NYSEBP!A$2:G$506,6,0)</f>
        <v>13438574</v>
      </c>
      <c r="O231">
        <f>VLOOKUP(A231,NASDAQYHOO!A$2:G$506,6,0)</f>
        <v>20014080</v>
      </c>
    </row>
    <row r="232" spans="1:15">
      <c r="A232" s="39">
        <v>42480</v>
      </c>
      <c r="B232">
        <v>5406370</v>
      </c>
      <c r="C232">
        <f>VLOOKUP(A232,NYSEARCAVTI!A$2:G$506,6,0)</f>
        <v>1958310</v>
      </c>
      <c r="D232">
        <f>VLOOKUP(A232,NYSEARCAVEU!A$2:G$506,6,0)</f>
        <v>1622155</v>
      </c>
      <c r="E232">
        <f>VLOOKUP(A232,NYSEARCAVWO!A$2:G$506,6,0)</f>
        <v>11243648</v>
      </c>
      <c r="F232">
        <f>VLOOKUP(A232,NYSEARCABND!A$2:G$506,6,0)</f>
        <v>2388630</v>
      </c>
      <c r="G232">
        <f>VLOOKUP(A232,NYSEARCATIP!A$2:G$506,6,0)</f>
        <v>631531</v>
      </c>
      <c r="H232">
        <f>VLOOKUP(A232,NYSEARCAMUB!A$2:G$506,6,0)</f>
        <v>325982</v>
      </c>
      <c r="I232">
        <f>VLOOKUP(A232,NYSEARCAVNQ!A$2:G$506,6,0)</f>
        <v>4085843</v>
      </c>
      <c r="J232">
        <f>VLOOKUP(A232,NYSEARCARWX!A$2:G$506,6,0)</f>
        <v>1598258</v>
      </c>
      <c r="K232">
        <f>VLOOKUP(A232,NYSEARCADBC!A$2:G$506,6,0)</f>
        <v>2408153</v>
      </c>
      <c r="L232">
        <f>VLOOKUP(A232,NYSEARCAGSG!A$2:G$506,6,0)</f>
        <v>188085</v>
      </c>
      <c r="M232">
        <f>VLOOKUP(A232,NYSEARCAGLD!A$2:G$506,6,0)</f>
        <v>10089103</v>
      </c>
      <c r="N232">
        <f>VLOOKUP(A232,NYSEBP!A$2:G$506,6,0)</f>
        <v>11856181</v>
      </c>
      <c r="O232">
        <f>VLOOKUP(A232,NASDAQYHOO!A$2:G$506,6,0)</f>
        <v>30758921</v>
      </c>
    </row>
    <row r="233" spans="1:15">
      <c r="A233" s="39">
        <v>42481</v>
      </c>
      <c r="B233">
        <v>6603796</v>
      </c>
      <c r="C233">
        <f>VLOOKUP(A233,NYSEARCAVTI!A$2:G$506,6,0)</f>
        <v>1674986</v>
      </c>
      <c r="D233">
        <f>VLOOKUP(A233,NYSEARCAVEU!A$2:G$506,6,0)</f>
        <v>2544364</v>
      </c>
      <c r="E233">
        <f>VLOOKUP(A233,NYSEARCAVWO!A$2:G$506,6,0)</f>
        <v>14503480</v>
      </c>
      <c r="F233">
        <f>VLOOKUP(A233,NYSEARCABND!A$2:G$506,6,0)</f>
        <v>1683859</v>
      </c>
      <c r="G233">
        <f>VLOOKUP(A233,NYSEARCATIP!A$2:G$506,6,0)</f>
        <v>837964</v>
      </c>
      <c r="H233">
        <f>VLOOKUP(A233,NYSEARCAMUB!A$2:G$506,6,0)</f>
        <v>378399</v>
      </c>
      <c r="I233">
        <f>VLOOKUP(A233,NYSEARCAVNQ!A$2:G$506,6,0)</f>
        <v>5046121</v>
      </c>
      <c r="J233">
        <f>VLOOKUP(A233,NYSEARCARWX!A$2:G$506,6,0)</f>
        <v>790163</v>
      </c>
      <c r="K233">
        <f>VLOOKUP(A233,NYSEARCADBC!A$2:G$506,6,0)</f>
        <v>2701963</v>
      </c>
      <c r="L233">
        <f>VLOOKUP(A233,NYSEARCAGSG!A$2:G$506,6,0)</f>
        <v>168142</v>
      </c>
      <c r="M233">
        <f>VLOOKUP(A233,NYSEARCAGLD!A$2:G$506,6,0)</f>
        <v>14591985</v>
      </c>
      <c r="N233">
        <f>VLOOKUP(A233,NYSEBP!A$2:G$506,6,0)</f>
        <v>7492456</v>
      </c>
      <c r="O233">
        <f>VLOOKUP(A233,NASDAQYHOO!A$2:G$506,6,0)</f>
        <v>11633739</v>
      </c>
    </row>
    <row r="234" spans="1:15">
      <c r="A234" s="39">
        <v>42482</v>
      </c>
      <c r="B234">
        <v>6215117</v>
      </c>
      <c r="C234">
        <f>VLOOKUP(A234,NYSEARCAVTI!A$2:G$506,6,0)</f>
        <v>1893723</v>
      </c>
      <c r="D234">
        <f>VLOOKUP(A234,NYSEARCAVEU!A$2:G$506,6,0)</f>
        <v>1485019</v>
      </c>
      <c r="E234">
        <f>VLOOKUP(A234,NYSEARCAVWO!A$2:G$506,6,0)</f>
        <v>13128275</v>
      </c>
      <c r="F234">
        <f>VLOOKUP(A234,NYSEARCABND!A$2:G$506,6,0)</f>
        <v>5115333</v>
      </c>
      <c r="G234">
        <f>VLOOKUP(A234,NYSEARCATIP!A$2:G$506,6,0)</f>
        <v>743287</v>
      </c>
      <c r="H234">
        <f>VLOOKUP(A234,NYSEARCAMUB!A$2:G$506,6,0)</f>
        <v>427746</v>
      </c>
      <c r="I234">
        <f>VLOOKUP(A234,NYSEARCAVNQ!A$2:G$506,6,0)</f>
        <v>3124388</v>
      </c>
      <c r="J234">
        <f>VLOOKUP(A234,NYSEARCARWX!A$2:G$506,6,0)</f>
        <v>514437</v>
      </c>
      <c r="K234">
        <f>VLOOKUP(A234,NYSEARCADBC!A$2:G$506,6,0)</f>
        <v>2134911</v>
      </c>
      <c r="L234">
        <f>VLOOKUP(A234,NYSEARCAGSG!A$2:G$506,6,0)</f>
        <v>113114</v>
      </c>
      <c r="M234">
        <f>VLOOKUP(A234,NYSEARCAGLD!A$2:G$506,6,0)</f>
        <v>9984027</v>
      </c>
      <c r="N234">
        <f>VLOOKUP(A234,NYSEBP!A$2:G$506,6,0)</f>
        <v>7099637</v>
      </c>
      <c r="O234">
        <f>VLOOKUP(A234,NASDAQYHOO!A$2:G$506,6,0)</f>
        <v>9071816</v>
      </c>
    </row>
    <row r="235" spans="1:15">
      <c r="A235" s="39">
        <v>42485</v>
      </c>
      <c r="B235">
        <v>5887629</v>
      </c>
      <c r="C235">
        <f>VLOOKUP(A235,NYSEARCAVTI!A$2:G$506,6,0)</f>
        <v>2088117</v>
      </c>
      <c r="D235">
        <f>VLOOKUP(A235,NYSEARCAVEU!A$2:G$506,6,0)</f>
        <v>1667685</v>
      </c>
      <c r="E235">
        <f>VLOOKUP(A235,NYSEARCAVWO!A$2:G$506,6,0)</f>
        <v>14106294</v>
      </c>
      <c r="F235">
        <f>VLOOKUP(A235,NYSEARCABND!A$2:G$506,6,0)</f>
        <v>2483327</v>
      </c>
      <c r="G235">
        <f>VLOOKUP(A235,NYSEARCATIP!A$2:G$506,6,0)</f>
        <v>1147964</v>
      </c>
      <c r="H235">
        <f>VLOOKUP(A235,NYSEARCAMUB!A$2:G$506,6,0)</f>
        <v>286028</v>
      </c>
      <c r="I235">
        <f>VLOOKUP(A235,NYSEARCAVNQ!A$2:G$506,6,0)</f>
        <v>2381352</v>
      </c>
      <c r="J235">
        <f>VLOOKUP(A235,NYSEARCARWX!A$2:G$506,6,0)</f>
        <v>393275</v>
      </c>
      <c r="K235">
        <f>VLOOKUP(A235,NYSEARCADBC!A$2:G$506,6,0)</f>
        <v>1574188</v>
      </c>
      <c r="L235">
        <f>VLOOKUP(A235,NYSEARCAGSG!A$2:G$506,6,0)</f>
        <v>87015</v>
      </c>
      <c r="M235">
        <f>VLOOKUP(A235,NYSEARCAGLD!A$2:G$506,6,0)</f>
        <v>4362444</v>
      </c>
      <c r="N235">
        <f>VLOOKUP(A235,NYSEBP!A$2:G$506,6,0)</f>
        <v>8228047</v>
      </c>
      <c r="O235">
        <f>VLOOKUP(A235,NASDAQYHOO!A$2:G$506,6,0)</f>
        <v>9823457</v>
      </c>
    </row>
    <row r="236" spans="1:15">
      <c r="A236" s="39">
        <v>42486</v>
      </c>
      <c r="B236">
        <v>6647873</v>
      </c>
      <c r="C236">
        <f>VLOOKUP(A236,NYSEARCAVTI!A$2:G$506,6,0)</f>
        <v>1744055</v>
      </c>
      <c r="D236">
        <f>VLOOKUP(A236,NYSEARCAVEU!A$2:G$506,6,0)</f>
        <v>1255935</v>
      </c>
      <c r="E236">
        <f>VLOOKUP(A236,NYSEARCAVWO!A$2:G$506,6,0)</f>
        <v>8723460</v>
      </c>
      <c r="F236">
        <f>VLOOKUP(A236,NYSEARCABND!A$2:G$506,6,0)</f>
        <v>1689567</v>
      </c>
      <c r="G236">
        <f>VLOOKUP(A236,NYSEARCATIP!A$2:G$506,6,0)</f>
        <v>816845</v>
      </c>
      <c r="H236">
        <f>VLOOKUP(A236,NYSEARCAMUB!A$2:G$506,6,0)</f>
        <v>237292</v>
      </c>
      <c r="I236">
        <f>VLOOKUP(A236,NYSEARCAVNQ!A$2:G$506,6,0)</f>
        <v>3190848</v>
      </c>
      <c r="J236">
        <f>VLOOKUP(A236,NYSEARCARWX!A$2:G$506,6,0)</f>
        <v>418979</v>
      </c>
      <c r="K236">
        <f>VLOOKUP(A236,NYSEARCADBC!A$2:G$506,6,0)</f>
        <v>1528322</v>
      </c>
      <c r="L236">
        <f>VLOOKUP(A236,NYSEARCAGSG!A$2:G$506,6,0)</f>
        <v>784522</v>
      </c>
      <c r="M236">
        <f>VLOOKUP(A236,NYSEARCAGLD!A$2:G$506,6,0)</f>
        <v>9881728</v>
      </c>
      <c r="N236">
        <f>VLOOKUP(A236,NYSEBP!A$2:G$506,6,0)</f>
        <v>15908530</v>
      </c>
      <c r="O236">
        <f>VLOOKUP(A236,NASDAQYHOO!A$2:G$506,6,0)</f>
        <v>10059564</v>
      </c>
    </row>
    <row r="237" spans="1:15">
      <c r="A237" s="39">
        <v>42487</v>
      </c>
      <c r="B237">
        <v>5141384</v>
      </c>
      <c r="C237">
        <f>VLOOKUP(A237,NYSEARCAVTI!A$2:G$506,6,0)</f>
        <v>2268054</v>
      </c>
      <c r="D237">
        <f>VLOOKUP(A237,NYSEARCAVEU!A$2:G$506,6,0)</f>
        <v>1672972</v>
      </c>
      <c r="E237">
        <f>VLOOKUP(A237,NYSEARCAVWO!A$2:G$506,6,0)</f>
        <v>17914209</v>
      </c>
      <c r="F237">
        <f>VLOOKUP(A237,NYSEARCABND!A$2:G$506,6,0)</f>
        <v>1456351</v>
      </c>
      <c r="G237">
        <f>VLOOKUP(A237,NYSEARCATIP!A$2:G$506,6,0)</f>
        <v>677912</v>
      </c>
      <c r="H237">
        <f>VLOOKUP(A237,NYSEARCAMUB!A$2:G$506,6,0)</f>
        <v>217540</v>
      </c>
      <c r="I237">
        <f>VLOOKUP(A237,NYSEARCAVNQ!A$2:G$506,6,0)</f>
        <v>3239838</v>
      </c>
      <c r="J237">
        <f>VLOOKUP(A237,NYSEARCARWX!A$2:G$506,6,0)</f>
        <v>294211</v>
      </c>
      <c r="K237">
        <f>VLOOKUP(A237,NYSEARCADBC!A$2:G$506,6,0)</f>
        <v>1682622</v>
      </c>
      <c r="L237">
        <f>VLOOKUP(A237,NYSEARCAGSG!A$2:G$506,6,0)</f>
        <v>186177</v>
      </c>
      <c r="M237">
        <f>VLOOKUP(A237,NYSEARCAGLD!A$2:G$506,6,0)</f>
        <v>7965623</v>
      </c>
      <c r="N237">
        <f>VLOOKUP(A237,NYSEBP!A$2:G$506,6,0)</f>
        <v>11215506</v>
      </c>
      <c r="O237">
        <f>VLOOKUP(A237,NASDAQYHOO!A$2:G$506,6,0)</f>
        <v>16391163</v>
      </c>
    </row>
    <row r="238" spans="1:15">
      <c r="A238" s="39">
        <v>42488</v>
      </c>
      <c r="B238">
        <v>4775873</v>
      </c>
      <c r="C238">
        <f>VLOOKUP(A238,NYSEARCAVTI!A$2:G$506,6,0)</f>
        <v>4833688</v>
      </c>
      <c r="D238">
        <f>VLOOKUP(A238,NYSEARCAVEU!A$2:G$506,6,0)</f>
        <v>1468057</v>
      </c>
      <c r="E238">
        <f>VLOOKUP(A238,NYSEARCAVWO!A$2:G$506,6,0)</f>
        <v>12803239</v>
      </c>
      <c r="F238">
        <f>VLOOKUP(A238,NYSEARCABND!A$2:G$506,6,0)</f>
        <v>1625803</v>
      </c>
      <c r="G238">
        <f>VLOOKUP(A238,NYSEARCATIP!A$2:G$506,6,0)</f>
        <v>1822250</v>
      </c>
      <c r="H238">
        <f>VLOOKUP(A238,NYSEARCAMUB!A$2:G$506,6,0)</f>
        <v>535722</v>
      </c>
      <c r="I238">
        <f>VLOOKUP(A238,NYSEARCAVNQ!A$2:G$506,6,0)</f>
        <v>2870579</v>
      </c>
      <c r="J238">
        <f>VLOOKUP(A238,NYSEARCARWX!A$2:G$506,6,0)</f>
        <v>662147</v>
      </c>
      <c r="K238">
        <f>VLOOKUP(A238,NYSEARCADBC!A$2:G$506,6,0)</f>
        <v>1944179</v>
      </c>
      <c r="L238">
        <f>VLOOKUP(A238,NYSEARCAGSG!A$2:G$506,6,0)</f>
        <v>114452</v>
      </c>
      <c r="M238">
        <f>VLOOKUP(A238,NYSEARCAGLD!A$2:G$506,6,0)</f>
        <v>15044339</v>
      </c>
      <c r="N238">
        <f>VLOOKUP(A238,NYSEBP!A$2:G$506,6,0)</f>
        <v>7985141</v>
      </c>
      <c r="O238">
        <f>VLOOKUP(A238,NASDAQYHOO!A$2:G$506,6,0)</f>
        <v>13148503</v>
      </c>
    </row>
    <row r="239" spans="1:15">
      <c r="A239" s="39">
        <v>42489</v>
      </c>
      <c r="B239">
        <v>12080334</v>
      </c>
      <c r="C239">
        <f>VLOOKUP(A239,NYSEARCAVTI!A$2:G$506,6,0)</f>
        <v>3067365</v>
      </c>
      <c r="D239">
        <f>VLOOKUP(A239,NYSEARCAVEU!A$2:G$506,6,0)</f>
        <v>1947397</v>
      </c>
      <c r="E239">
        <f>VLOOKUP(A239,NYSEARCAVWO!A$2:G$506,6,0)</f>
        <v>15633109</v>
      </c>
      <c r="F239">
        <f>VLOOKUP(A239,NYSEARCABND!A$2:G$506,6,0)</f>
        <v>2856894</v>
      </c>
      <c r="G239">
        <f>VLOOKUP(A239,NYSEARCATIP!A$2:G$506,6,0)</f>
        <v>798552</v>
      </c>
      <c r="H239">
        <f>VLOOKUP(A239,NYSEARCAMUB!A$2:G$506,6,0)</f>
        <v>319256</v>
      </c>
      <c r="I239">
        <f>VLOOKUP(A239,NYSEARCAVNQ!A$2:G$506,6,0)</f>
        <v>4115469</v>
      </c>
      <c r="J239">
        <f>VLOOKUP(A239,NYSEARCARWX!A$2:G$506,6,0)</f>
        <v>1336268</v>
      </c>
      <c r="K239">
        <f>VLOOKUP(A239,NYSEARCADBC!A$2:G$506,6,0)</f>
        <v>8719280</v>
      </c>
      <c r="L239">
        <f>VLOOKUP(A239,NYSEARCAGSG!A$2:G$506,6,0)</f>
        <v>3355540</v>
      </c>
      <c r="M239">
        <f>VLOOKUP(A239,NYSEARCAGLD!A$2:G$506,6,0)</f>
        <v>18687599</v>
      </c>
      <c r="N239">
        <f>VLOOKUP(A239,NYSEBP!A$2:G$506,6,0)</f>
        <v>9075469</v>
      </c>
      <c r="O239">
        <f>VLOOKUP(A239,NASDAQYHOO!A$2:G$506,6,0)</f>
        <v>11954114</v>
      </c>
    </row>
    <row r="240" spans="1:15">
      <c r="A240" s="39">
        <v>42492</v>
      </c>
      <c r="B240">
        <v>7602236</v>
      </c>
      <c r="C240">
        <f>VLOOKUP(A240,NYSEARCAVTI!A$2:G$506,6,0)</f>
        <v>2546076</v>
      </c>
      <c r="D240">
        <f>VLOOKUP(A240,NYSEARCAVEU!A$2:G$506,6,0)</f>
        <v>1454642</v>
      </c>
      <c r="E240">
        <f>VLOOKUP(A240,NYSEARCAVWO!A$2:G$506,6,0)</f>
        <v>14558493</v>
      </c>
      <c r="F240">
        <f>VLOOKUP(A240,NYSEARCABND!A$2:G$506,6,0)</f>
        <v>2443703</v>
      </c>
      <c r="G240">
        <f>VLOOKUP(A240,NYSEARCATIP!A$2:G$506,6,0)</f>
        <v>4130115</v>
      </c>
      <c r="H240">
        <f>VLOOKUP(A240,NYSEARCAMUB!A$2:G$506,6,0)</f>
        <v>429526</v>
      </c>
      <c r="I240">
        <f>VLOOKUP(A240,NYSEARCAVNQ!A$2:G$506,6,0)</f>
        <v>4008164</v>
      </c>
      <c r="J240">
        <f>VLOOKUP(A240,NYSEARCARWX!A$2:G$506,6,0)</f>
        <v>1208073</v>
      </c>
      <c r="K240">
        <f>VLOOKUP(A240,NYSEARCADBC!A$2:G$506,6,0)</f>
        <v>6749044</v>
      </c>
      <c r="L240">
        <f>VLOOKUP(A240,NYSEARCAGSG!A$2:G$506,6,0)</f>
        <v>265738</v>
      </c>
      <c r="M240">
        <f>VLOOKUP(A240,NYSEARCAGLD!A$2:G$506,6,0)</f>
        <v>12121320</v>
      </c>
      <c r="N240">
        <f>VLOOKUP(A240,NYSEBP!A$2:G$506,6,0)</f>
        <v>6533588</v>
      </c>
      <c r="O240">
        <f>VLOOKUP(A240,NASDAQYHOO!A$2:G$506,6,0)</f>
        <v>6581891</v>
      </c>
    </row>
    <row r="241" spans="1:15">
      <c r="A241" s="39">
        <v>42493</v>
      </c>
      <c r="B241">
        <v>5908863</v>
      </c>
      <c r="C241">
        <f>VLOOKUP(A241,NYSEARCAVTI!A$2:G$506,6,0)</f>
        <v>5172204</v>
      </c>
      <c r="D241">
        <f>VLOOKUP(A241,NYSEARCAVEU!A$2:G$506,6,0)</f>
        <v>2597947</v>
      </c>
      <c r="E241">
        <f>VLOOKUP(A241,NYSEARCAVWO!A$2:G$506,6,0)</f>
        <v>15472624</v>
      </c>
      <c r="F241">
        <f>VLOOKUP(A241,NYSEARCABND!A$2:G$506,6,0)</f>
        <v>1765505</v>
      </c>
      <c r="G241">
        <f>VLOOKUP(A241,NYSEARCATIP!A$2:G$506,6,0)</f>
        <v>2645803</v>
      </c>
      <c r="H241">
        <f>VLOOKUP(A241,NYSEARCAMUB!A$2:G$506,6,0)</f>
        <v>459086</v>
      </c>
      <c r="I241">
        <f>VLOOKUP(A241,NYSEARCAVNQ!A$2:G$506,6,0)</f>
        <v>3305703</v>
      </c>
      <c r="J241">
        <f>VLOOKUP(A241,NYSEARCARWX!A$2:G$506,6,0)</f>
        <v>716644</v>
      </c>
      <c r="K241">
        <f>VLOOKUP(A241,NYSEARCADBC!A$2:G$506,6,0)</f>
        <v>2723550</v>
      </c>
      <c r="L241">
        <f>VLOOKUP(A241,NYSEARCAGSG!A$2:G$506,6,0)</f>
        <v>881940</v>
      </c>
      <c r="M241">
        <f>VLOOKUP(A241,NYSEARCAGLD!A$2:G$506,6,0)</f>
        <v>9051137</v>
      </c>
      <c r="N241">
        <f>VLOOKUP(A241,NYSEBP!A$2:G$506,6,0)</f>
        <v>10075417</v>
      </c>
      <c r="O241">
        <f>VLOOKUP(A241,NASDAQYHOO!A$2:G$506,6,0)</f>
        <v>8774971</v>
      </c>
    </row>
    <row r="242" spans="1:15">
      <c r="A242" s="39">
        <v>42494</v>
      </c>
      <c r="B242">
        <v>5928286</v>
      </c>
      <c r="C242">
        <f>VLOOKUP(A242,NYSEARCAVTI!A$2:G$506,6,0)</f>
        <v>2578799</v>
      </c>
      <c r="D242">
        <f>VLOOKUP(A242,NYSEARCAVEU!A$2:G$506,6,0)</f>
        <v>2319167</v>
      </c>
      <c r="E242">
        <f>VLOOKUP(A242,NYSEARCAVWO!A$2:G$506,6,0)</f>
        <v>18128414</v>
      </c>
      <c r="F242">
        <f>VLOOKUP(A242,NYSEARCABND!A$2:G$506,6,0)</f>
        <v>2868489</v>
      </c>
      <c r="G242">
        <f>VLOOKUP(A242,NYSEARCATIP!A$2:G$506,6,0)</f>
        <v>1321342</v>
      </c>
      <c r="H242">
        <f>VLOOKUP(A242,NYSEARCAMUB!A$2:G$506,6,0)</f>
        <v>309968</v>
      </c>
      <c r="I242">
        <f>VLOOKUP(A242,NYSEARCAVNQ!A$2:G$506,6,0)</f>
        <v>4138251</v>
      </c>
      <c r="J242">
        <f>VLOOKUP(A242,NYSEARCARWX!A$2:G$506,6,0)</f>
        <v>748442</v>
      </c>
      <c r="K242">
        <f>VLOOKUP(A242,NYSEARCADBC!A$2:G$506,6,0)</f>
        <v>2020996</v>
      </c>
      <c r="L242">
        <f>VLOOKUP(A242,NYSEARCAGSG!A$2:G$506,6,0)</f>
        <v>150347</v>
      </c>
      <c r="M242">
        <f>VLOOKUP(A242,NYSEARCAGLD!A$2:G$506,6,0)</f>
        <v>9348660</v>
      </c>
      <c r="N242">
        <f>VLOOKUP(A242,NYSEBP!A$2:G$506,6,0)</f>
        <v>9814506</v>
      </c>
      <c r="O242">
        <f>VLOOKUP(A242,NASDAQYHOO!A$2:G$506,6,0)</f>
        <v>9649269</v>
      </c>
    </row>
    <row r="243" spans="1:15">
      <c r="A243" s="39">
        <v>42495</v>
      </c>
      <c r="B243">
        <v>8089700</v>
      </c>
      <c r="C243">
        <f>VLOOKUP(A243,NYSEARCAVTI!A$2:G$506,6,0)</f>
        <v>1600624</v>
      </c>
      <c r="D243">
        <f>VLOOKUP(A243,NYSEARCAVEU!A$2:G$506,6,0)</f>
        <v>2760151</v>
      </c>
      <c r="E243">
        <f>VLOOKUP(A243,NYSEARCAVWO!A$2:G$506,6,0)</f>
        <v>10408311</v>
      </c>
      <c r="F243">
        <f>VLOOKUP(A243,NYSEARCABND!A$2:G$506,6,0)</f>
        <v>1270665</v>
      </c>
      <c r="G243">
        <f>VLOOKUP(A243,NYSEARCATIP!A$2:G$506,6,0)</f>
        <v>2363871</v>
      </c>
      <c r="H243">
        <f>VLOOKUP(A243,NYSEARCAMUB!A$2:G$506,6,0)</f>
        <v>430492</v>
      </c>
      <c r="I243">
        <f>VLOOKUP(A243,NYSEARCAVNQ!A$2:G$506,6,0)</f>
        <v>3323682</v>
      </c>
      <c r="J243">
        <f>VLOOKUP(A243,NYSEARCARWX!A$2:G$506,6,0)</f>
        <v>518283</v>
      </c>
      <c r="K243">
        <f>VLOOKUP(A243,NYSEARCADBC!A$2:G$506,6,0)</f>
        <v>1184157</v>
      </c>
      <c r="L243">
        <f>VLOOKUP(A243,NYSEARCAGSG!A$2:G$506,6,0)</f>
        <v>70349</v>
      </c>
      <c r="M243">
        <f>VLOOKUP(A243,NYSEARCAGLD!A$2:G$506,6,0)</f>
        <v>8826999</v>
      </c>
      <c r="N243">
        <f>VLOOKUP(A243,NYSEBP!A$2:G$506,6,0)</f>
        <v>7738778</v>
      </c>
      <c r="O243">
        <f>VLOOKUP(A243,NASDAQYHOO!A$2:G$506,6,0)</f>
        <v>13699177</v>
      </c>
    </row>
    <row r="244" spans="1:15">
      <c r="A244" s="39">
        <v>42496</v>
      </c>
      <c r="B244">
        <v>9789090</v>
      </c>
      <c r="C244">
        <f>VLOOKUP(A244,NYSEARCAVTI!A$2:G$506,6,0)</f>
        <v>1757343</v>
      </c>
      <c r="D244">
        <f>VLOOKUP(A244,NYSEARCAVEU!A$2:G$506,6,0)</f>
        <v>2055000</v>
      </c>
      <c r="E244">
        <f>VLOOKUP(A244,NYSEARCAVWO!A$2:G$506,6,0)</f>
        <v>17872606</v>
      </c>
      <c r="F244">
        <f>VLOOKUP(A244,NYSEARCABND!A$2:G$506,6,0)</f>
        <v>1520589</v>
      </c>
      <c r="G244">
        <f>VLOOKUP(A244,NYSEARCATIP!A$2:G$506,6,0)</f>
        <v>1271875</v>
      </c>
      <c r="H244">
        <f>VLOOKUP(A244,NYSEARCAMUB!A$2:G$506,6,0)</f>
        <v>691120</v>
      </c>
      <c r="I244">
        <f>VLOOKUP(A244,NYSEARCAVNQ!A$2:G$506,6,0)</f>
        <v>3496429</v>
      </c>
      <c r="J244">
        <f>VLOOKUP(A244,NYSEARCARWX!A$2:G$506,6,0)</f>
        <v>734367</v>
      </c>
      <c r="K244">
        <f>VLOOKUP(A244,NYSEARCADBC!A$2:G$506,6,0)</f>
        <v>6854168</v>
      </c>
      <c r="L244">
        <f>VLOOKUP(A244,NYSEARCAGSG!A$2:G$506,6,0)</f>
        <v>110192</v>
      </c>
      <c r="M244">
        <f>VLOOKUP(A244,NYSEARCAGLD!A$2:G$506,6,0)</f>
        <v>11305739</v>
      </c>
      <c r="N244">
        <f>VLOOKUP(A244,NYSEBP!A$2:G$506,6,0)</f>
        <v>6256048</v>
      </c>
      <c r="O244">
        <f>VLOOKUP(A244,NASDAQYHOO!A$2:G$506,6,0)</f>
        <v>9208343</v>
      </c>
    </row>
    <row r="245" spans="1:15">
      <c r="A245" s="39">
        <v>42499</v>
      </c>
      <c r="B245">
        <v>8623834</v>
      </c>
      <c r="C245">
        <f>VLOOKUP(A245,NYSEARCAVTI!A$2:G$506,6,0)</f>
        <v>1747328</v>
      </c>
      <c r="D245">
        <f>VLOOKUP(A245,NYSEARCAVEU!A$2:G$506,6,0)</f>
        <v>1304872</v>
      </c>
      <c r="E245">
        <f>VLOOKUP(A245,NYSEARCAVWO!A$2:G$506,6,0)</f>
        <v>13902846</v>
      </c>
      <c r="F245">
        <f>VLOOKUP(A245,NYSEARCABND!A$2:G$506,6,0)</f>
        <v>1373191</v>
      </c>
      <c r="G245">
        <f>VLOOKUP(A245,NYSEARCATIP!A$2:G$506,6,0)</f>
        <v>1020590</v>
      </c>
      <c r="H245">
        <f>VLOOKUP(A245,NYSEARCAMUB!A$2:G$506,6,0)</f>
        <v>325107</v>
      </c>
      <c r="I245">
        <f>VLOOKUP(A245,NYSEARCAVNQ!A$2:G$506,6,0)</f>
        <v>4568701</v>
      </c>
      <c r="J245">
        <f>VLOOKUP(A245,NYSEARCARWX!A$2:G$506,6,0)</f>
        <v>712581</v>
      </c>
      <c r="K245">
        <f>VLOOKUP(A245,NYSEARCADBC!A$2:G$506,6,0)</f>
        <v>2163340</v>
      </c>
      <c r="L245">
        <f>VLOOKUP(A245,NYSEARCAGSG!A$2:G$506,6,0)</f>
        <v>160647</v>
      </c>
      <c r="M245">
        <f>VLOOKUP(A245,NYSEARCAGLD!A$2:G$506,6,0)</f>
        <v>9197684</v>
      </c>
      <c r="N245">
        <f>VLOOKUP(A245,NYSEBP!A$2:G$506,6,0)</f>
        <v>7236947</v>
      </c>
      <c r="O245">
        <f>VLOOKUP(A245,NASDAQYHOO!A$2:G$506,6,0)</f>
        <v>6149115</v>
      </c>
    </row>
    <row r="246" spans="1:15">
      <c r="A246" s="39">
        <v>42500</v>
      </c>
      <c r="B246">
        <v>6376428</v>
      </c>
      <c r="C246">
        <f>VLOOKUP(A246,NYSEARCAVTI!A$2:G$506,6,0)</f>
        <v>2400219</v>
      </c>
      <c r="D246">
        <f>VLOOKUP(A246,NYSEARCAVEU!A$2:G$506,6,0)</f>
        <v>1731492</v>
      </c>
      <c r="E246">
        <f>VLOOKUP(A246,NYSEARCAVWO!A$2:G$506,6,0)</f>
        <v>15832985</v>
      </c>
      <c r="F246">
        <f>VLOOKUP(A246,NYSEARCABND!A$2:G$506,6,0)</f>
        <v>1889312</v>
      </c>
      <c r="G246">
        <f>VLOOKUP(A246,NYSEARCATIP!A$2:G$506,6,0)</f>
        <v>1118077</v>
      </c>
      <c r="H246">
        <f>VLOOKUP(A246,NYSEARCAMUB!A$2:G$506,6,0)</f>
        <v>464389</v>
      </c>
      <c r="I246">
        <f>VLOOKUP(A246,NYSEARCAVNQ!A$2:G$506,6,0)</f>
        <v>4033767</v>
      </c>
      <c r="J246">
        <f>VLOOKUP(A246,NYSEARCARWX!A$2:G$506,6,0)</f>
        <v>441261</v>
      </c>
      <c r="K246">
        <f>VLOOKUP(A246,NYSEARCADBC!A$2:G$506,6,0)</f>
        <v>1420899</v>
      </c>
      <c r="L246">
        <f>VLOOKUP(A246,NYSEARCAGSG!A$2:G$506,6,0)</f>
        <v>113757</v>
      </c>
      <c r="M246">
        <f>VLOOKUP(A246,NYSEARCAGLD!A$2:G$506,6,0)</f>
        <v>9128616</v>
      </c>
      <c r="N246">
        <f>VLOOKUP(A246,NYSEBP!A$2:G$506,6,0)</f>
        <v>7213874</v>
      </c>
      <c r="O246">
        <f>VLOOKUP(A246,NASDAQYHOO!A$2:G$506,6,0)</f>
        <v>7171353</v>
      </c>
    </row>
    <row r="247" spans="1:15">
      <c r="A247" s="39">
        <v>42501</v>
      </c>
      <c r="B247">
        <v>14434682</v>
      </c>
      <c r="C247">
        <f>VLOOKUP(A247,NYSEARCAVTI!A$2:G$506,6,0)</f>
        <v>1531143</v>
      </c>
      <c r="D247">
        <f>VLOOKUP(A247,NYSEARCAVEU!A$2:G$506,6,0)</f>
        <v>1323113</v>
      </c>
      <c r="E247">
        <f>VLOOKUP(A247,NYSEARCAVWO!A$2:G$506,6,0)</f>
        <v>7523162</v>
      </c>
      <c r="F247">
        <f>VLOOKUP(A247,NYSEARCABND!A$2:G$506,6,0)</f>
        <v>2381020</v>
      </c>
      <c r="G247">
        <f>VLOOKUP(A247,NYSEARCATIP!A$2:G$506,6,0)</f>
        <v>3774151</v>
      </c>
      <c r="H247">
        <f>VLOOKUP(A247,NYSEARCAMUB!A$2:G$506,6,0)</f>
        <v>546063</v>
      </c>
      <c r="I247">
        <f>VLOOKUP(A247,NYSEARCAVNQ!A$2:G$506,6,0)</f>
        <v>4062435</v>
      </c>
      <c r="J247">
        <f>VLOOKUP(A247,NYSEARCARWX!A$2:G$506,6,0)</f>
        <v>308625</v>
      </c>
      <c r="K247">
        <f>VLOOKUP(A247,NYSEARCADBC!A$2:G$506,6,0)</f>
        <v>1851090</v>
      </c>
      <c r="L247">
        <f>VLOOKUP(A247,NYSEARCAGSG!A$2:G$506,6,0)</f>
        <v>170690</v>
      </c>
      <c r="M247">
        <f>VLOOKUP(A247,NYSEARCAGLD!A$2:G$506,6,0)</f>
        <v>7571323</v>
      </c>
      <c r="N247">
        <f>VLOOKUP(A247,NYSEBP!A$2:G$506,6,0)</f>
        <v>8148603</v>
      </c>
      <c r="O247">
        <f>VLOOKUP(A247,NASDAQYHOO!A$2:G$506,6,0)</f>
        <v>9997359</v>
      </c>
    </row>
    <row r="248" spans="1:15">
      <c r="A248" s="39">
        <v>42502</v>
      </c>
      <c r="B248">
        <v>9532401</v>
      </c>
      <c r="C248">
        <f>VLOOKUP(A248,NYSEARCAVTI!A$2:G$506,6,0)</f>
        <v>2469974</v>
      </c>
      <c r="D248">
        <f>VLOOKUP(A248,NYSEARCAVEU!A$2:G$506,6,0)</f>
        <v>1901359</v>
      </c>
      <c r="E248">
        <f>VLOOKUP(A248,NYSEARCAVWO!A$2:G$506,6,0)</f>
        <v>13447855</v>
      </c>
      <c r="F248">
        <f>VLOOKUP(A248,NYSEARCABND!A$2:G$506,6,0)</f>
        <v>1653269</v>
      </c>
      <c r="G248">
        <f>VLOOKUP(A248,NYSEARCATIP!A$2:G$506,6,0)</f>
        <v>1327856</v>
      </c>
      <c r="H248">
        <f>VLOOKUP(A248,NYSEARCAMUB!A$2:G$506,6,0)</f>
        <v>367905</v>
      </c>
      <c r="I248">
        <f>VLOOKUP(A248,NYSEARCAVNQ!A$2:G$506,6,0)</f>
        <v>3470957</v>
      </c>
      <c r="J248">
        <f>VLOOKUP(A248,NYSEARCARWX!A$2:G$506,6,0)</f>
        <v>374329</v>
      </c>
      <c r="K248">
        <f>VLOOKUP(A248,NYSEARCADBC!A$2:G$506,6,0)</f>
        <v>1270674</v>
      </c>
      <c r="L248">
        <f>VLOOKUP(A248,NYSEARCAGSG!A$2:G$506,6,0)</f>
        <v>293240</v>
      </c>
      <c r="M248">
        <f>VLOOKUP(A248,NYSEARCAGLD!A$2:G$506,6,0)</f>
        <v>7435863</v>
      </c>
      <c r="N248">
        <f>VLOOKUP(A248,NYSEBP!A$2:G$506,6,0)</f>
        <v>9018324</v>
      </c>
      <c r="O248">
        <f>VLOOKUP(A248,NASDAQYHOO!A$2:G$506,6,0)</f>
        <v>11169187</v>
      </c>
    </row>
    <row r="249" spans="1:15">
      <c r="A249" s="39">
        <v>42503</v>
      </c>
      <c r="B249">
        <v>13708409</v>
      </c>
      <c r="C249">
        <f>VLOOKUP(A249,NYSEARCAVTI!A$2:G$506,6,0)</f>
        <v>3754783</v>
      </c>
      <c r="D249">
        <f>VLOOKUP(A249,NYSEARCAVEU!A$2:G$506,6,0)</f>
        <v>1734377</v>
      </c>
      <c r="E249">
        <f>VLOOKUP(A249,NYSEARCAVWO!A$2:G$506,6,0)</f>
        <v>32199734</v>
      </c>
      <c r="F249">
        <f>VLOOKUP(A249,NYSEARCABND!A$2:G$506,6,0)</f>
        <v>1397400</v>
      </c>
      <c r="G249">
        <f>VLOOKUP(A249,NYSEARCATIP!A$2:G$506,6,0)</f>
        <v>769027</v>
      </c>
      <c r="H249">
        <f>VLOOKUP(A249,NYSEARCAMUB!A$2:G$506,6,0)</f>
        <v>364904</v>
      </c>
      <c r="I249">
        <f>VLOOKUP(A249,NYSEARCAVNQ!A$2:G$506,6,0)</f>
        <v>3991612</v>
      </c>
      <c r="J249">
        <f>VLOOKUP(A249,NYSEARCARWX!A$2:G$506,6,0)</f>
        <v>1052332</v>
      </c>
      <c r="K249">
        <f>VLOOKUP(A249,NYSEARCADBC!A$2:G$506,6,0)</f>
        <v>1550842</v>
      </c>
      <c r="L249">
        <f>VLOOKUP(A249,NYSEARCAGSG!A$2:G$506,6,0)</f>
        <v>62064</v>
      </c>
      <c r="M249">
        <f>VLOOKUP(A249,NYSEARCAGLD!A$2:G$506,6,0)</f>
        <v>7664769</v>
      </c>
      <c r="N249">
        <f>VLOOKUP(A249,NYSEBP!A$2:G$506,6,0)</f>
        <v>6686668</v>
      </c>
      <c r="O249">
        <f>VLOOKUP(A249,NASDAQYHOO!A$2:G$506,6,0)</f>
        <v>10996727</v>
      </c>
    </row>
    <row r="250" spans="1:15">
      <c r="A250" s="39">
        <v>42506</v>
      </c>
      <c r="B250">
        <v>10168754</v>
      </c>
      <c r="C250">
        <f>VLOOKUP(A250,NYSEARCAVTI!A$2:G$506,6,0)</f>
        <v>2069576</v>
      </c>
      <c r="D250">
        <f>VLOOKUP(A250,NYSEARCAVEU!A$2:G$506,6,0)</f>
        <v>1628634</v>
      </c>
      <c r="E250">
        <f>VLOOKUP(A250,NYSEARCAVWO!A$2:G$506,6,0)</f>
        <v>11871311</v>
      </c>
      <c r="F250">
        <f>VLOOKUP(A250,NYSEARCABND!A$2:G$506,6,0)</f>
        <v>3132006</v>
      </c>
      <c r="G250">
        <f>VLOOKUP(A250,NYSEARCATIP!A$2:G$506,6,0)</f>
        <v>704499</v>
      </c>
      <c r="H250">
        <f>VLOOKUP(A250,NYSEARCAMUB!A$2:G$506,6,0)</f>
        <v>280705</v>
      </c>
      <c r="I250">
        <f>VLOOKUP(A250,NYSEARCAVNQ!A$2:G$506,6,0)</f>
        <v>3374902</v>
      </c>
      <c r="J250">
        <f>VLOOKUP(A250,NYSEARCARWX!A$2:G$506,6,0)</f>
        <v>482654</v>
      </c>
      <c r="K250">
        <f>VLOOKUP(A250,NYSEARCADBC!A$2:G$506,6,0)</f>
        <v>3273513</v>
      </c>
      <c r="L250">
        <f>VLOOKUP(A250,NYSEARCAGSG!A$2:G$506,6,0)</f>
        <v>782886</v>
      </c>
      <c r="M250">
        <f>VLOOKUP(A250,NYSEARCAGLD!A$2:G$506,6,0)</f>
        <v>7069755</v>
      </c>
      <c r="N250">
        <f>VLOOKUP(A250,NYSEBP!A$2:G$506,6,0)</f>
        <v>5822873</v>
      </c>
      <c r="O250">
        <f>VLOOKUP(A250,NASDAQYHOO!A$2:G$506,6,0)</f>
        <v>16976456</v>
      </c>
    </row>
    <row r="251" spans="1:15">
      <c r="A251" s="39">
        <v>42507</v>
      </c>
      <c r="B251">
        <v>9250121</v>
      </c>
      <c r="C251">
        <f>VLOOKUP(A251,NYSEARCAVTI!A$2:G$506,6,0)</f>
        <v>2792158</v>
      </c>
      <c r="D251">
        <f>VLOOKUP(A251,NYSEARCAVEU!A$2:G$506,6,0)</f>
        <v>2621812</v>
      </c>
      <c r="E251">
        <f>VLOOKUP(A251,NYSEARCAVWO!A$2:G$506,6,0)</f>
        <v>11681995</v>
      </c>
      <c r="F251">
        <f>VLOOKUP(A251,NYSEARCABND!A$2:G$506,6,0)</f>
        <v>1735874</v>
      </c>
      <c r="G251">
        <f>VLOOKUP(A251,NYSEARCATIP!A$2:G$506,6,0)</f>
        <v>780993</v>
      </c>
      <c r="H251">
        <f>VLOOKUP(A251,NYSEARCAMUB!A$2:G$506,6,0)</f>
        <v>280469</v>
      </c>
      <c r="I251">
        <f>VLOOKUP(A251,NYSEARCAVNQ!A$2:G$506,6,0)</f>
        <v>4308320</v>
      </c>
      <c r="J251">
        <f>VLOOKUP(A251,NYSEARCARWX!A$2:G$506,6,0)</f>
        <v>356070</v>
      </c>
      <c r="K251">
        <f>VLOOKUP(A251,NYSEARCADBC!A$2:G$506,6,0)</f>
        <v>1425240</v>
      </c>
      <c r="L251">
        <f>VLOOKUP(A251,NYSEARCAGSG!A$2:G$506,6,0)</f>
        <v>454976</v>
      </c>
      <c r="M251">
        <f>VLOOKUP(A251,NYSEARCAGLD!A$2:G$506,6,0)</f>
        <v>8578494</v>
      </c>
      <c r="N251">
        <f>VLOOKUP(A251,NYSEBP!A$2:G$506,6,0)</f>
        <v>5761592</v>
      </c>
      <c r="O251">
        <f>VLOOKUP(A251,NASDAQYHOO!A$2:G$506,6,0)</f>
        <v>11335505</v>
      </c>
    </row>
    <row r="252" spans="1:15">
      <c r="A252" s="39">
        <v>42508</v>
      </c>
      <c r="B252">
        <v>22184048</v>
      </c>
      <c r="C252">
        <f>VLOOKUP(A252,NYSEARCAVTI!A$2:G$506,6,0)</f>
        <v>2797652</v>
      </c>
      <c r="D252">
        <f>VLOOKUP(A252,NYSEARCAVEU!A$2:G$506,6,0)</f>
        <v>2094079</v>
      </c>
      <c r="E252">
        <f>VLOOKUP(A252,NYSEARCAVWO!A$2:G$506,6,0)</f>
        <v>20859563</v>
      </c>
      <c r="F252">
        <f>VLOOKUP(A252,NYSEARCABND!A$2:G$506,6,0)</f>
        <v>1685902</v>
      </c>
      <c r="G252">
        <f>VLOOKUP(A252,NYSEARCATIP!A$2:G$506,6,0)</f>
        <v>1320619</v>
      </c>
      <c r="H252">
        <f>VLOOKUP(A252,NYSEARCAMUB!A$2:G$506,6,0)</f>
        <v>581566</v>
      </c>
      <c r="I252">
        <f>VLOOKUP(A252,NYSEARCAVNQ!A$2:G$506,6,0)</f>
        <v>4707456</v>
      </c>
      <c r="J252">
        <f>VLOOKUP(A252,NYSEARCARWX!A$2:G$506,6,0)</f>
        <v>407187</v>
      </c>
      <c r="K252">
        <f>VLOOKUP(A252,NYSEARCADBC!A$2:G$506,6,0)</f>
        <v>1987253</v>
      </c>
      <c r="L252">
        <f>VLOOKUP(A252,NYSEARCAGSG!A$2:G$506,6,0)</f>
        <v>408243</v>
      </c>
      <c r="M252">
        <f>VLOOKUP(A252,NYSEARCAGLD!A$2:G$506,6,0)</f>
        <v>13368732</v>
      </c>
      <c r="N252">
        <f>VLOOKUP(A252,NYSEBP!A$2:G$506,6,0)</f>
        <v>7719905</v>
      </c>
      <c r="O252">
        <f>VLOOKUP(A252,NASDAQYHOO!A$2:G$506,6,0)</f>
        <v>8465904</v>
      </c>
    </row>
    <row r="253" spans="1:15">
      <c r="A253" s="39">
        <v>42509</v>
      </c>
      <c r="B253">
        <v>34920530</v>
      </c>
      <c r="C253">
        <f>VLOOKUP(A253,NYSEARCAVTI!A$2:G$506,6,0)</f>
        <v>2616303</v>
      </c>
      <c r="D253">
        <f>VLOOKUP(A253,NYSEARCAVEU!A$2:G$506,6,0)</f>
        <v>2258219</v>
      </c>
      <c r="E253">
        <f>VLOOKUP(A253,NYSEARCAVWO!A$2:G$506,6,0)</f>
        <v>14302464</v>
      </c>
      <c r="F253">
        <f>VLOOKUP(A253,NYSEARCABND!A$2:G$506,6,0)</f>
        <v>1463982</v>
      </c>
      <c r="G253">
        <f>VLOOKUP(A253,NYSEARCATIP!A$2:G$506,6,0)</f>
        <v>795011</v>
      </c>
      <c r="H253">
        <f>VLOOKUP(A253,NYSEARCAMUB!A$2:G$506,6,0)</f>
        <v>354377</v>
      </c>
      <c r="I253">
        <f>VLOOKUP(A253,NYSEARCAVNQ!A$2:G$506,6,0)</f>
        <v>4315974</v>
      </c>
      <c r="J253">
        <f>VLOOKUP(A253,NYSEARCARWX!A$2:G$506,6,0)</f>
        <v>242886</v>
      </c>
      <c r="K253">
        <f>VLOOKUP(A253,NYSEARCADBC!A$2:G$506,6,0)</f>
        <v>5004334</v>
      </c>
      <c r="L253">
        <f>VLOOKUP(A253,NYSEARCAGSG!A$2:G$506,6,0)</f>
        <v>155305</v>
      </c>
      <c r="M253">
        <f>VLOOKUP(A253,NYSEARCAGLD!A$2:G$506,6,0)</f>
        <v>13604777</v>
      </c>
      <c r="N253">
        <f>VLOOKUP(A253,NYSEBP!A$2:G$506,6,0)</f>
        <v>7534237</v>
      </c>
      <c r="O253">
        <f>VLOOKUP(A253,NASDAQYHOO!A$2:G$506,6,0)</f>
        <v>7096480</v>
      </c>
    </row>
    <row r="254" spans="1:15">
      <c r="A254" s="39">
        <v>42510</v>
      </c>
      <c r="B254">
        <v>16680826</v>
      </c>
      <c r="C254">
        <f>VLOOKUP(A254,NYSEARCAVTI!A$2:G$506,6,0)</f>
        <v>2005731</v>
      </c>
      <c r="D254">
        <f>VLOOKUP(A254,NYSEARCAVEU!A$2:G$506,6,0)</f>
        <v>911981</v>
      </c>
      <c r="E254">
        <f>VLOOKUP(A254,NYSEARCAVWO!A$2:G$506,6,0)</f>
        <v>20352869</v>
      </c>
      <c r="F254">
        <f>VLOOKUP(A254,NYSEARCABND!A$2:G$506,6,0)</f>
        <v>2043950</v>
      </c>
      <c r="G254">
        <f>VLOOKUP(A254,NYSEARCATIP!A$2:G$506,6,0)</f>
        <v>818188</v>
      </c>
      <c r="H254">
        <f>VLOOKUP(A254,NYSEARCAMUB!A$2:G$506,6,0)</f>
        <v>292363</v>
      </c>
      <c r="I254">
        <f>VLOOKUP(A254,NYSEARCAVNQ!A$2:G$506,6,0)</f>
        <v>3295510</v>
      </c>
      <c r="J254">
        <f>VLOOKUP(A254,NYSEARCARWX!A$2:G$506,6,0)</f>
        <v>614109</v>
      </c>
      <c r="K254">
        <f>VLOOKUP(A254,NYSEARCADBC!A$2:G$506,6,0)</f>
        <v>3424840</v>
      </c>
      <c r="L254">
        <f>VLOOKUP(A254,NYSEARCAGSG!A$2:G$506,6,0)</f>
        <v>61403</v>
      </c>
      <c r="M254">
        <f>VLOOKUP(A254,NYSEARCAGLD!A$2:G$506,6,0)</f>
        <v>10371500</v>
      </c>
      <c r="N254">
        <f>VLOOKUP(A254,NYSEBP!A$2:G$506,6,0)</f>
        <v>6690129</v>
      </c>
      <c r="O254">
        <f>VLOOKUP(A254,NASDAQYHOO!A$2:G$506,6,0)</f>
        <v>34311031</v>
      </c>
    </row>
    <row r="255" spans="1:15">
      <c r="A255" s="39">
        <v>42513</v>
      </c>
      <c r="B255">
        <v>10093270</v>
      </c>
      <c r="C255">
        <f>VLOOKUP(A255,NYSEARCAVTI!A$2:G$506,6,0)</f>
        <v>1662163</v>
      </c>
      <c r="D255">
        <f>VLOOKUP(A255,NYSEARCAVEU!A$2:G$506,6,0)</f>
        <v>1061851</v>
      </c>
      <c r="E255">
        <f>VLOOKUP(A255,NYSEARCAVWO!A$2:G$506,6,0)</f>
        <v>16078532</v>
      </c>
      <c r="F255">
        <f>VLOOKUP(A255,NYSEARCABND!A$2:G$506,6,0)</f>
        <v>1310731</v>
      </c>
      <c r="G255">
        <f>VLOOKUP(A255,NYSEARCATIP!A$2:G$506,6,0)</f>
        <v>748611</v>
      </c>
      <c r="H255">
        <f>VLOOKUP(A255,NYSEARCAMUB!A$2:G$506,6,0)</f>
        <v>278257</v>
      </c>
      <c r="I255">
        <f>VLOOKUP(A255,NYSEARCAVNQ!A$2:G$506,6,0)</f>
        <v>2729391</v>
      </c>
      <c r="J255">
        <f>VLOOKUP(A255,NYSEARCARWX!A$2:G$506,6,0)</f>
        <v>394187</v>
      </c>
      <c r="K255">
        <f>VLOOKUP(A255,NYSEARCADBC!A$2:G$506,6,0)</f>
        <v>1290225</v>
      </c>
      <c r="L255">
        <f>VLOOKUP(A255,NYSEARCAGSG!A$2:G$506,6,0)</f>
        <v>323038</v>
      </c>
      <c r="M255">
        <f>VLOOKUP(A255,NYSEARCAGLD!A$2:G$506,6,0)</f>
        <v>8601563</v>
      </c>
      <c r="N255">
        <f>VLOOKUP(A255,NYSEBP!A$2:G$506,6,0)</f>
        <v>6472785</v>
      </c>
      <c r="O255">
        <f>VLOOKUP(A255,NASDAQYHOO!A$2:G$506,6,0)</f>
        <v>7768631</v>
      </c>
    </row>
    <row r="256" spans="1:15">
      <c r="A256" s="39">
        <v>42514</v>
      </c>
      <c r="B256">
        <v>8789919</v>
      </c>
      <c r="C256">
        <f>VLOOKUP(A256,NYSEARCAVTI!A$2:G$506,6,0)</f>
        <v>2409041</v>
      </c>
      <c r="D256">
        <f>VLOOKUP(A256,NYSEARCAVEU!A$2:G$506,6,0)</f>
        <v>1773919</v>
      </c>
      <c r="E256">
        <f>VLOOKUP(A256,NYSEARCAVWO!A$2:G$506,6,0)</f>
        <v>18077765</v>
      </c>
      <c r="F256">
        <f>VLOOKUP(A256,NYSEARCABND!A$2:G$506,6,0)</f>
        <v>2656760</v>
      </c>
      <c r="G256">
        <f>VLOOKUP(A256,NYSEARCATIP!A$2:G$506,6,0)</f>
        <v>456693</v>
      </c>
      <c r="H256">
        <f>VLOOKUP(A256,NYSEARCAMUB!A$2:G$506,6,0)</f>
        <v>333118</v>
      </c>
      <c r="I256">
        <f>VLOOKUP(A256,NYSEARCAVNQ!A$2:G$506,6,0)</f>
        <v>2998340</v>
      </c>
      <c r="J256">
        <f>VLOOKUP(A256,NYSEARCARWX!A$2:G$506,6,0)</f>
        <v>390159</v>
      </c>
      <c r="K256">
        <f>VLOOKUP(A256,NYSEARCADBC!A$2:G$506,6,0)</f>
        <v>964187</v>
      </c>
      <c r="L256">
        <f>VLOOKUP(A256,NYSEARCAGSG!A$2:G$506,6,0)</f>
        <v>176191</v>
      </c>
      <c r="M256">
        <f>VLOOKUP(A256,NYSEARCAGLD!A$2:G$506,6,0)</f>
        <v>12697313</v>
      </c>
      <c r="N256">
        <f>VLOOKUP(A256,NYSEBP!A$2:G$506,6,0)</f>
        <v>7706969</v>
      </c>
      <c r="O256">
        <f>VLOOKUP(A256,NASDAQYHOO!A$2:G$506,6,0)</f>
        <v>10601318</v>
      </c>
    </row>
    <row r="257" spans="1:15">
      <c r="A257" s="39">
        <v>42515</v>
      </c>
      <c r="B257">
        <v>7263246</v>
      </c>
      <c r="C257">
        <f>VLOOKUP(A257,NYSEARCAVTI!A$2:G$506,6,0)</f>
        <v>3267043</v>
      </c>
      <c r="D257">
        <f>VLOOKUP(A257,NYSEARCAVEU!A$2:G$506,6,0)</f>
        <v>1773786</v>
      </c>
      <c r="E257">
        <f>VLOOKUP(A257,NYSEARCAVWO!A$2:G$506,6,0)</f>
        <v>10387034</v>
      </c>
      <c r="F257">
        <f>VLOOKUP(A257,NYSEARCABND!A$2:G$506,6,0)</f>
        <v>1474825</v>
      </c>
      <c r="G257">
        <f>VLOOKUP(A257,NYSEARCATIP!A$2:G$506,6,0)</f>
        <v>546444</v>
      </c>
      <c r="H257">
        <f>VLOOKUP(A257,NYSEARCAMUB!A$2:G$506,6,0)</f>
        <v>283530</v>
      </c>
      <c r="I257">
        <f>VLOOKUP(A257,NYSEARCAVNQ!A$2:G$506,6,0)</f>
        <v>3289985</v>
      </c>
      <c r="J257">
        <f>VLOOKUP(A257,NYSEARCARWX!A$2:G$506,6,0)</f>
        <v>396542</v>
      </c>
      <c r="K257">
        <f>VLOOKUP(A257,NYSEARCADBC!A$2:G$506,6,0)</f>
        <v>1638538</v>
      </c>
      <c r="L257">
        <f>VLOOKUP(A257,NYSEARCAGSG!A$2:G$506,6,0)</f>
        <v>364413</v>
      </c>
      <c r="M257">
        <f>VLOOKUP(A257,NYSEARCAGLD!A$2:G$506,6,0)</f>
        <v>10487597</v>
      </c>
      <c r="N257">
        <f>VLOOKUP(A257,NYSEBP!A$2:G$506,6,0)</f>
        <v>13561583</v>
      </c>
      <c r="O257">
        <f>VLOOKUP(A257,NASDAQYHOO!A$2:G$506,6,0)</f>
        <v>33984864</v>
      </c>
    </row>
    <row r="258" spans="1:15">
      <c r="A258" s="39">
        <v>42516</v>
      </c>
      <c r="B258">
        <v>8688476</v>
      </c>
      <c r="C258">
        <f>VLOOKUP(A258,NYSEARCAVTI!A$2:G$506,6,0)</f>
        <v>1803643</v>
      </c>
      <c r="D258">
        <f>VLOOKUP(A258,NYSEARCAVEU!A$2:G$506,6,0)</f>
        <v>2196677</v>
      </c>
      <c r="E258">
        <f>VLOOKUP(A258,NYSEARCAVWO!A$2:G$506,6,0)</f>
        <v>9201009</v>
      </c>
      <c r="F258">
        <f>VLOOKUP(A258,NYSEARCABND!A$2:G$506,6,0)</f>
        <v>1571749</v>
      </c>
      <c r="G258">
        <f>VLOOKUP(A258,NYSEARCATIP!A$2:G$506,6,0)</f>
        <v>1096874</v>
      </c>
      <c r="H258">
        <f>VLOOKUP(A258,NYSEARCAMUB!A$2:G$506,6,0)</f>
        <v>304550</v>
      </c>
      <c r="I258">
        <f>VLOOKUP(A258,NYSEARCAVNQ!A$2:G$506,6,0)</f>
        <v>3045919</v>
      </c>
      <c r="J258">
        <f>VLOOKUP(A258,NYSEARCARWX!A$2:G$506,6,0)</f>
        <v>408018</v>
      </c>
      <c r="K258">
        <f>VLOOKUP(A258,NYSEARCADBC!A$2:G$506,6,0)</f>
        <v>1422519</v>
      </c>
      <c r="L258">
        <f>VLOOKUP(A258,NYSEARCAGSG!A$2:G$506,6,0)</f>
        <v>200421</v>
      </c>
      <c r="M258">
        <f>VLOOKUP(A258,NYSEARCAGLD!A$2:G$506,6,0)</f>
        <v>5886269</v>
      </c>
      <c r="N258">
        <f>VLOOKUP(A258,NYSEBP!A$2:G$506,6,0)</f>
        <v>8703672</v>
      </c>
      <c r="O258">
        <f>VLOOKUP(A258,NASDAQYHOO!A$2:G$506,6,0)</f>
        <v>16277866</v>
      </c>
    </row>
    <row r="259" spans="1:15">
      <c r="A259" s="39">
        <v>42517</v>
      </c>
      <c r="B259">
        <v>5772191</v>
      </c>
      <c r="C259">
        <f>VLOOKUP(A259,NYSEARCAVTI!A$2:G$506,6,0)</f>
        <v>1690877</v>
      </c>
      <c r="D259">
        <f>VLOOKUP(A259,NYSEARCAVEU!A$2:G$506,6,0)</f>
        <v>923130</v>
      </c>
      <c r="E259">
        <f>VLOOKUP(A259,NYSEARCAVWO!A$2:G$506,6,0)</f>
        <v>13249905</v>
      </c>
      <c r="F259">
        <f>VLOOKUP(A259,NYSEARCABND!A$2:G$506,6,0)</f>
        <v>2045573</v>
      </c>
      <c r="G259">
        <f>VLOOKUP(A259,NYSEARCATIP!A$2:G$506,6,0)</f>
        <v>532838</v>
      </c>
      <c r="H259">
        <f>VLOOKUP(A259,NYSEARCAMUB!A$2:G$506,6,0)</f>
        <v>244388</v>
      </c>
      <c r="I259">
        <f>VLOOKUP(A259,NYSEARCAVNQ!A$2:G$506,6,0)</f>
        <v>3006859</v>
      </c>
      <c r="J259">
        <f>VLOOKUP(A259,NYSEARCARWX!A$2:G$506,6,0)</f>
        <v>233408</v>
      </c>
      <c r="K259">
        <f>VLOOKUP(A259,NYSEARCADBC!A$2:G$506,6,0)</f>
        <v>1472520</v>
      </c>
      <c r="L259">
        <f>VLOOKUP(A259,NYSEARCAGSG!A$2:G$506,6,0)</f>
        <v>238198</v>
      </c>
      <c r="M259">
        <f>VLOOKUP(A259,NYSEARCAGLD!A$2:G$506,6,0)</f>
        <v>8677991</v>
      </c>
      <c r="N259">
        <f>VLOOKUP(A259,NYSEBP!A$2:G$506,6,0)</f>
        <v>6373289</v>
      </c>
      <c r="O259">
        <f>VLOOKUP(A259,NASDAQYHOO!A$2:G$506,6,0)</f>
        <v>14642533</v>
      </c>
    </row>
    <row r="260" spans="1:15">
      <c r="A260" s="39">
        <v>42521</v>
      </c>
      <c r="B260">
        <v>8390184</v>
      </c>
      <c r="C260">
        <f>VLOOKUP(A260,NYSEARCAVTI!A$2:G$506,6,0)</f>
        <v>2570879</v>
      </c>
      <c r="D260">
        <f>VLOOKUP(A260,NYSEARCAVEU!A$2:G$506,6,0)</f>
        <v>2318254</v>
      </c>
      <c r="E260">
        <f>VLOOKUP(A260,NYSEARCAVWO!A$2:G$506,6,0)</f>
        <v>23613793</v>
      </c>
      <c r="F260">
        <f>VLOOKUP(A260,NYSEARCABND!A$2:G$506,6,0)</f>
        <v>1361420</v>
      </c>
      <c r="G260">
        <f>VLOOKUP(A260,NYSEARCATIP!A$2:G$506,6,0)</f>
        <v>588762</v>
      </c>
      <c r="H260">
        <f>VLOOKUP(A260,NYSEARCAMUB!A$2:G$506,6,0)</f>
        <v>337284</v>
      </c>
      <c r="I260">
        <f>VLOOKUP(A260,NYSEARCAVNQ!A$2:G$506,6,0)</f>
        <v>4810900</v>
      </c>
      <c r="J260">
        <f>VLOOKUP(A260,NYSEARCARWX!A$2:G$506,6,0)</f>
        <v>719309</v>
      </c>
      <c r="K260">
        <f>VLOOKUP(A260,NYSEARCADBC!A$2:G$506,6,0)</f>
        <v>10014960</v>
      </c>
      <c r="L260">
        <f>VLOOKUP(A260,NYSEARCAGSG!A$2:G$506,6,0)</f>
        <v>1705738</v>
      </c>
      <c r="M260">
        <f>VLOOKUP(A260,NYSEARCAGLD!A$2:G$506,6,0)</f>
        <v>8187605</v>
      </c>
      <c r="N260">
        <f>VLOOKUP(A260,NYSEBP!A$2:G$506,6,0)</f>
        <v>14789996</v>
      </c>
      <c r="O260">
        <f>VLOOKUP(A260,NASDAQYHOO!A$2:G$506,6,0)</f>
        <v>12873630</v>
      </c>
    </row>
    <row r="261" spans="1:15">
      <c r="A261" s="39">
        <v>42522</v>
      </c>
      <c r="B261">
        <v>7221459</v>
      </c>
      <c r="C261">
        <f>VLOOKUP(A261,NYSEARCAVTI!A$2:G$506,6,0)</f>
        <v>2679647</v>
      </c>
      <c r="D261">
        <f>VLOOKUP(A261,NYSEARCAVEU!A$2:G$506,6,0)</f>
        <v>2616284</v>
      </c>
      <c r="E261">
        <f>VLOOKUP(A261,NYSEARCAVWO!A$2:G$506,6,0)</f>
        <v>16739148</v>
      </c>
      <c r="F261">
        <f>VLOOKUP(A261,NYSEARCABND!A$2:G$506,6,0)</f>
        <v>1625561</v>
      </c>
      <c r="G261">
        <f>VLOOKUP(A261,NYSEARCATIP!A$2:G$506,6,0)</f>
        <v>5882781</v>
      </c>
      <c r="H261">
        <f>VLOOKUP(A261,NYSEARCAMUB!A$2:G$506,6,0)</f>
        <v>307630</v>
      </c>
      <c r="I261">
        <f>VLOOKUP(A261,NYSEARCAVNQ!A$2:G$506,6,0)</f>
        <v>4417661</v>
      </c>
      <c r="J261">
        <f>VLOOKUP(A261,NYSEARCARWX!A$2:G$506,6,0)</f>
        <v>1505610</v>
      </c>
      <c r="K261">
        <f>VLOOKUP(A261,NYSEARCADBC!A$2:G$506,6,0)</f>
        <v>3179177</v>
      </c>
      <c r="L261">
        <f>VLOOKUP(A261,NYSEARCAGSG!A$2:G$506,6,0)</f>
        <v>628154</v>
      </c>
      <c r="M261">
        <f>VLOOKUP(A261,NYSEARCAGLD!A$2:G$506,6,0)</f>
        <v>8399598</v>
      </c>
      <c r="N261">
        <f>VLOOKUP(A261,NYSEBP!A$2:G$506,6,0)</f>
        <v>12611641</v>
      </c>
      <c r="O261">
        <f>VLOOKUP(A261,NASDAQYHOO!A$2:G$506,6,0)</f>
        <v>22177647</v>
      </c>
    </row>
    <row r="262" spans="1:15">
      <c r="A262" s="39">
        <v>42523</v>
      </c>
      <c r="B262">
        <v>6508681</v>
      </c>
      <c r="C262">
        <f>VLOOKUP(A262,NYSEARCAVTI!A$2:G$506,6,0)</f>
        <v>2112798</v>
      </c>
      <c r="D262">
        <f>VLOOKUP(A262,NYSEARCAVEU!A$2:G$506,6,0)</f>
        <v>2235658</v>
      </c>
      <c r="E262">
        <f>VLOOKUP(A262,NYSEARCAVWO!A$2:G$506,6,0)</f>
        <v>12816062</v>
      </c>
      <c r="F262">
        <f>VLOOKUP(A262,NYSEARCABND!A$2:G$506,6,0)</f>
        <v>1503350</v>
      </c>
      <c r="G262">
        <f>VLOOKUP(A262,NYSEARCATIP!A$2:G$506,6,0)</f>
        <v>1874267</v>
      </c>
      <c r="H262">
        <f>VLOOKUP(A262,NYSEARCAMUB!A$2:G$506,6,0)</f>
        <v>329988</v>
      </c>
      <c r="I262">
        <f>VLOOKUP(A262,NYSEARCAVNQ!A$2:G$506,6,0)</f>
        <v>8043493</v>
      </c>
      <c r="J262">
        <f>VLOOKUP(A262,NYSEARCARWX!A$2:G$506,6,0)</f>
        <v>528710</v>
      </c>
      <c r="K262">
        <f>VLOOKUP(A262,NYSEARCADBC!A$2:G$506,6,0)</f>
        <v>6854413</v>
      </c>
      <c r="L262">
        <f>VLOOKUP(A262,NYSEARCAGSG!A$2:G$506,6,0)</f>
        <v>235302</v>
      </c>
      <c r="M262">
        <f>VLOOKUP(A262,NYSEARCAGLD!A$2:G$506,6,0)</f>
        <v>4591562</v>
      </c>
      <c r="N262">
        <f>VLOOKUP(A262,NYSEBP!A$2:G$506,6,0)</f>
        <v>12669400</v>
      </c>
      <c r="O262">
        <f>VLOOKUP(A262,NASDAQYHOO!A$2:G$506,6,0)</f>
        <v>12179259</v>
      </c>
    </row>
    <row r="263" spans="1:15">
      <c r="A263" s="39">
        <v>42524</v>
      </c>
      <c r="B263">
        <v>6374529</v>
      </c>
      <c r="C263">
        <f>VLOOKUP(A263,NYSEARCAVTI!A$2:G$506,6,0)</f>
        <v>2502472</v>
      </c>
      <c r="D263">
        <f>VLOOKUP(A263,NYSEARCAVEU!A$2:G$506,6,0)</f>
        <v>1445172</v>
      </c>
      <c r="E263">
        <f>VLOOKUP(A263,NYSEARCAVWO!A$2:G$506,6,0)</f>
        <v>31195999</v>
      </c>
      <c r="F263">
        <f>VLOOKUP(A263,NYSEARCABND!A$2:G$506,6,0)</f>
        <v>1964454</v>
      </c>
      <c r="G263">
        <f>VLOOKUP(A263,NYSEARCATIP!A$2:G$506,6,0)</f>
        <v>580387</v>
      </c>
      <c r="H263">
        <f>VLOOKUP(A263,NYSEARCAMUB!A$2:G$506,6,0)</f>
        <v>309008</v>
      </c>
      <c r="I263">
        <f>VLOOKUP(A263,NYSEARCAVNQ!A$2:G$506,6,0)</f>
        <v>4295432</v>
      </c>
      <c r="J263">
        <f>VLOOKUP(A263,NYSEARCARWX!A$2:G$506,6,0)</f>
        <v>477288</v>
      </c>
      <c r="K263">
        <f>VLOOKUP(A263,NYSEARCADBC!A$2:G$506,6,0)</f>
        <v>2211324</v>
      </c>
      <c r="L263">
        <f>VLOOKUP(A263,NYSEARCAGSG!A$2:G$506,6,0)</f>
        <v>344733</v>
      </c>
      <c r="M263">
        <f>VLOOKUP(A263,NYSEARCAGLD!A$2:G$506,6,0)</f>
        <v>14605056</v>
      </c>
      <c r="N263">
        <f>VLOOKUP(A263,NYSEBP!A$2:G$506,6,0)</f>
        <v>12365767</v>
      </c>
      <c r="O263">
        <f>VLOOKUP(A263,NASDAQYHOO!A$2:G$506,6,0)</f>
        <v>12059105</v>
      </c>
    </row>
    <row r="264" spans="1:15">
      <c r="A264" s="39">
        <v>42527</v>
      </c>
      <c r="B264">
        <v>9017963</v>
      </c>
      <c r="C264">
        <f>VLOOKUP(A264,NYSEARCAVTI!A$2:G$506,6,0)</f>
        <v>1782262</v>
      </c>
      <c r="D264">
        <f>VLOOKUP(A264,NYSEARCAVEU!A$2:G$506,6,0)</f>
        <v>1831238</v>
      </c>
      <c r="E264">
        <f>VLOOKUP(A264,NYSEARCAVWO!A$2:G$506,6,0)</f>
        <v>14301291</v>
      </c>
      <c r="F264">
        <f>VLOOKUP(A264,NYSEARCABND!A$2:G$506,6,0)</f>
        <v>1603070</v>
      </c>
      <c r="G264">
        <f>VLOOKUP(A264,NYSEARCATIP!A$2:G$506,6,0)</f>
        <v>543755</v>
      </c>
      <c r="H264">
        <f>VLOOKUP(A264,NYSEARCAMUB!A$2:G$506,6,0)</f>
        <v>330671</v>
      </c>
      <c r="I264">
        <f>VLOOKUP(A264,NYSEARCAVNQ!A$2:G$506,6,0)</f>
        <v>3231941</v>
      </c>
      <c r="J264">
        <f>VLOOKUP(A264,NYSEARCARWX!A$2:G$506,6,0)</f>
        <v>337960</v>
      </c>
      <c r="K264">
        <f>VLOOKUP(A264,NYSEARCADBC!A$2:G$506,6,0)</f>
        <v>2936937</v>
      </c>
      <c r="L264">
        <f>VLOOKUP(A264,NYSEARCAGSG!A$2:G$506,6,0)</f>
        <v>315921</v>
      </c>
      <c r="M264">
        <f>VLOOKUP(A264,NYSEARCAGLD!A$2:G$506,6,0)</f>
        <v>9887863</v>
      </c>
      <c r="N264">
        <f>VLOOKUP(A264,NYSEBP!A$2:G$506,6,0)</f>
        <v>9159933</v>
      </c>
      <c r="O264">
        <f>VLOOKUP(A264,NASDAQYHOO!A$2:G$506,6,0)</f>
        <v>8426142</v>
      </c>
    </row>
    <row r="265" spans="1:15">
      <c r="A265" s="39">
        <v>42528</v>
      </c>
      <c r="B265">
        <v>7363374</v>
      </c>
      <c r="C265">
        <f>VLOOKUP(A265,NYSEARCAVTI!A$2:G$506,6,0)</f>
        <v>1271484</v>
      </c>
      <c r="D265">
        <f>VLOOKUP(A265,NYSEARCAVEU!A$2:G$506,6,0)</f>
        <v>1704999</v>
      </c>
      <c r="E265">
        <f>VLOOKUP(A265,NYSEARCAVWO!A$2:G$506,6,0)</f>
        <v>12981785</v>
      </c>
      <c r="F265">
        <f>VLOOKUP(A265,NYSEARCABND!A$2:G$506,6,0)</f>
        <v>1283150</v>
      </c>
      <c r="G265">
        <f>VLOOKUP(A265,NYSEARCATIP!A$2:G$506,6,0)</f>
        <v>1030607</v>
      </c>
      <c r="H265">
        <f>VLOOKUP(A265,NYSEARCAMUB!A$2:G$506,6,0)</f>
        <v>287608</v>
      </c>
      <c r="I265">
        <f>VLOOKUP(A265,NYSEARCAVNQ!A$2:G$506,6,0)</f>
        <v>2424578</v>
      </c>
      <c r="J265">
        <f>VLOOKUP(A265,NYSEARCARWX!A$2:G$506,6,0)</f>
        <v>223804</v>
      </c>
      <c r="K265">
        <f>VLOOKUP(A265,NYSEARCADBC!A$2:G$506,6,0)</f>
        <v>1394192</v>
      </c>
      <c r="L265">
        <f>VLOOKUP(A265,NYSEARCAGSG!A$2:G$506,6,0)</f>
        <v>101141</v>
      </c>
      <c r="M265">
        <f>VLOOKUP(A265,NYSEARCAGLD!A$2:G$506,6,0)</f>
        <v>4602865</v>
      </c>
      <c r="N265">
        <f>VLOOKUP(A265,NYSEBP!A$2:G$506,6,0)</f>
        <v>10862295</v>
      </c>
      <c r="O265">
        <f>VLOOKUP(A265,NASDAQYHOO!A$2:G$506,6,0)</f>
        <v>14757059</v>
      </c>
    </row>
    <row r="266" spans="1:15">
      <c r="A266" s="39">
        <v>42529</v>
      </c>
      <c r="B266">
        <v>6138989</v>
      </c>
      <c r="C266">
        <f>VLOOKUP(A266,NYSEARCAVTI!A$2:G$506,6,0)</f>
        <v>1286767</v>
      </c>
      <c r="D266">
        <f>VLOOKUP(A266,NYSEARCAVEU!A$2:G$506,6,0)</f>
        <v>1207850</v>
      </c>
      <c r="E266">
        <f>VLOOKUP(A266,NYSEARCAVWO!A$2:G$506,6,0)</f>
        <v>13666833</v>
      </c>
      <c r="F266">
        <f>VLOOKUP(A266,NYSEARCABND!A$2:G$506,6,0)</f>
        <v>1374484</v>
      </c>
      <c r="G266">
        <f>VLOOKUP(A266,NYSEARCATIP!A$2:G$506,6,0)</f>
        <v>1086538</v>
      </c>
      <c r="H266">
        <f>VLOOKUP(A266,NYSEARCAMUB!A$2:G$506,6,0)</f>
        <v>270968</v>
      </c>
      <c r="I266">
        <f>VLOOKUP(A266,NYSEARCAVNQ!A$2:G$506,6,0)</f>
        <v>3098992</v>
      </c>
      <c r="J266">
        <f>VLOOKUP(A266,NYSEARCARWX!A$2:G$506,6,0)</f>
        <v>722581</v>
      </c>
      <c r="K266">
        <f>VLOOKUP(A266,NYSEARCADBC!A$2:G$506,6,0)</f>
        <v>2748203</v>
      </c>
      <c r="L266">
        <f>VLOOKUP(A266,NYSEARCAGSG!A$2:G$506,6,0)</f>
        <v>499150</v>
      </c>
      <c r="M266">
        <f>VLOOKUP(A266,NYSEARCAGLD!A$2:G$506,6,0)</f>
        <v>11661736</v>
      </c>
      <c r="N266">
        <f>VLOOKUP(A266,NYSEBP!A$2:G$506,6,0)</f>
        <v>9341518</v>
      </c>
      <c r="O266">
        <f>VLOOKUP(A266,NASDAQYHOO!A$2:G$506,6,0)</f>
        <v>9181896</v>
      </c>
    </row>
    <row r="267" spans="1:15">
      <c r="A267" s="39">
        <v>42530</v>
      </c>
      <c r="B267">
        <v>6069859</v>
      </c>
      <c r="C267">
        <f>VLOOKUP(A267,NYSEARCAVTI!A$2:G$506,6,0)</f>
        <v>1743501</v>
      </c>
      <c r="D267">
        <f>VLOOKUP(A267,NYSEARCAVEU!A$2:G$506,6,0)</f>
        <v>2466351</v>
      </c>
      <c r="E267">
        <f>VLOOKUP(A267,NYSEARCAVWO!A$2:G$506,6,0)</f>
        <v>12983331</v>
      </c>
      <c r="F267">
        <f>VLOOKUP(A267,NYSEARCABND!A$2:G$506,6,0)</f>
        <v>1611200</v>
      </c>
      <c r="G267">
        <f>VLOOKUP(A267,NYSEARCATIP!A$2:G$506,6,0)</f>
        <v>535539</v>
      </c>
      <c r="H267">
        <f>VLOOKUP(A267,NYSEARCAMUB!A$2:G$506,6,0)</f>
        <v>525906</v>
      </c>
      <c r="I267">
        <f>VLOOKUP(A267,NYSEARCAVNQ!A$2:G$506,6,0)</f>
        <v>4132833</v>
      </c>
      <c r="J267">
        <f>VLOOKUP(A267,NYSEARCARWX!A$2:G$506,6,0)</f>
        <v>828599</v>
      </c>
      <c r="K267">
        <f>VLOOKUP(A267,NYSEARCADBC!A$2:G$506,6,0)</f>
        <v>3062151</v>
      </c>
      <c r="L267">
        <f>VLOOKUP(A267,NYSEARCAGSG!A$2:G$506,6,0)</f>
        <v>242330</v>
      </c>
      <c r="M267">
        <f>VLOOKUP(A267,NYSEARCAGLD!A$2:G$506,6,0)</f>
        <v>12173954</v>
      </c>
      <c r="N267">
        <f>VLOOKUP(A267,NYSEBP!A$2:G$506,6,0)</f>
        <v>5892897</v>
      </c>
      <c r="O267">
        <f>VLOOKUP(A267,NASDAQYHOO!A$2:G$506,6,0)</f>
        <v>14759107</v>
      </c>
    </row>
    <row r="268" spans="1:15">
      <c r="A268" s="39">
        <v>42531</v>
      </c>
      <c r="B268">
        <v>7511406</v>
      </c>
      <c r="C268">
        <f>VLOOKUP(A268,NYSEARCAVTI!A$2:G$506,6,0)</f>
        <v>1666944</v>
      </c>
      <c r="D268">
        <f>VLOOKUP(A268,NYSEARCAVEU!A$2:G$506,6,0)</f>
        <v>1826924</v>
      </c>
      <c r="E268">
        <f>VLOOKUP(A268,NYSEARCAVWO!A$2:G$506,6,0)</f>
        <v>13902715</v>
      </c>
      <c r="F268">
        <f>VLOOKUP(A268,NYSEARCABND!A$2:G$506,6,0)</f>
        <v>1575284</v>
      </c>
      <c r="G268">
        <f>VLOOKUP(A268,NYSEARCATIP!A$2:G$506,6,0)</f>
        <v>662572</v>
      </c>
      <c r="H268">
        <f>VLOOKUP(A268,NYSEARCAMUB!A$2:G$506,6,0)</f>
        <v>263596</v>
      </c>
      <c r="I268">
        <f>VLOOKUP(A268,NYSEARCAVNQ!A$2:G$506,6,0)</f>
        <v>2538441</v>
      </c>
      <c r="J268">
        <f>VLOOKUP(A268,NYSEARCARWX!A$2:G$506,6,0)</f>
        <v>375061</v>
      </c>
      <c r="K268">
        <f>VLOOKUP(A268,NYSEARCADBC!A$2:G$506,6,0)</f>
        <v>2965654</v>
      </c>
      <c r="L268">
        <f>VLOOKUP(A268,NYSEARCAGSG!A$2:G$506,6,0)</f>
        <v>177563</v>
      </c>
      <c r="M268">
        <f>VLOOKUP(A268,NYSEARCAGLD!A$2:G$506,6,0)</f>
        <v>13939966</v>
      </c>
      <c r="N268">
        <f>VLOOKUP(A268,NYSEBP!A$2:G$506,6,0)</f>
        <v>9327202</v>
      </c>
      <c r="O268">
        <f>VLOOKUP(A268,NASDAQYHOO!A$2:G$506,6,0)</f>
        <v>11216470</v>
      </c>
    </row>
    <row r="269" spans="1:15">
      <c r="A269" s="39">
        <v>42534</v>
      </c>
      <c r="B269">
        <v>7907562</v>
      </c>
      <c r="C269">
        <f>VLOOKUP(A269,NYSEARCAVTI!A$2:G$506,6,0)</f>
        <v>2378771</v>
      </c>
      <c r="D269">
        <f>VLOOKUP(A269,NYSEARCAVEU!A$2:G$506,6,0)</f>
        <v>3005248</v>
      </c>
      <c r="E269">
        <f>VLOOKUP(A269,NYSEARCAVWO!A$2:G$506,6,0)</f>
        <v>17217083</v>
      </c>
      <c r="F269">
        <f>VLOOKUP(A269,NYSEARCABND!A$2:G$506,6,0)</f>
        <v>1681537</v>
      </c>
      <c r="G269">
        <f>VLOOKUP(A269,NYSEARCATIP!A$2:G$506,6,0)</f>
        <v>650514</v>
      </c>
      <c r="H269">
        <f>VLOOKUP(A269,NYSEARCAMUB!A$2:G$506,6,0)</f>
        <v>281861</v>
      </c>
      <c r="I269">
        <f>VLOOKUP(A269,NYSEARCAVNQ!A$2:G$506,6,0)</f>
        <v>3250301</v>
      </c>
      <c r="J269">
        <f>VLOOKUP(A269,NYSEARCARWX!A$2:G$506,6,0)</f>
        <v>556884</v>
      </c>
      <c r="K269">
        <f>VLOOKUP(A269,NYSEARCADBC!A$2:G$506,6,0)</f>
        <v>1594553</v>
      </c>
      <c r="L269">
        <f>VLOOKUP(A269,NYSEARCAGSG!A$2:G$506,6,0)</f>
        <v>93309</v>
      </c>
      <c r="M269">
        <f>VLOOKUP(A269,NYSEARCAGLD!A$2:G$506,6,0)</f>
        <v>12594223</v>
      </c>
      <c r="N269">
        <f>VLOOKUP(A269,NYSEBP!A$2:G$506,6,0)</f>
        <v>8540462</v>
      </c>
      <c r="O269">
        <f>VLOOKUP(A269,NASDAQYHOO!A$2:G$506,6,0)</f>
        <v>6519751</v>
      </c>
    </row>
    <row r="270" spans="1:15">
      <c r="A270" s="39">
        <v>42535</v>
      </c>
      <c r="B270">
        <v>9066382</v>
      </c>
      <c r="C270">
        <f>VLOOKUP(A270,NYSEARCAVTI!A$2:G$506,6,0)</f>
        <v>2170479</v>
      </c>
      <c r="D270">
        <f>VLOOKUP(A270,NYSEARCAVEU!A$2:G$506,6,0)</f>
        <v>3031424</v>
      </c>
      <c r="E270">
        <f>VLOOKUP(A270,NYSEARCAVWO!A$2:G$506,6,0)</f>
        <v>21714412</v>
      </c>
      <c r="F270">
        <f>VLOOKUP(A270,NYSEARCABND!A$2:G$506,6,0)</f>
        <v>1524219</v>
      </c>
      <c r="G270">
        <f>VLOOKUP(A270,NYSEARCATIP!A$2:G$506,6,0)</f>
        <v>659131</v>
      </c>
      <c r="H270">
        <f>VLOOKUP(A270,NYSEARCAMUB!A$2:G$506,6,0)</f>
        <v>393134</v>
      </c>
      <c r="I270">
        <f>VLOOKUP(A270,NYSEARCAVNQ!A$2:G$506,6,0)</f>
        <v>3437361</v>
      </c>
      <c r="J270">
        <f>VLOOKUP(A270,NYSEARCARWX!A$2:G$506,6,0)</f>
        <v>367889</v>
      </c>
      <c r="K270">
        <f>VLOOKUP(A270,NYSEARCADBC!A$2:G$506,6,0)</f>
        <v>1276513</v>
      </c>
      <c r="L270">
        <f>VLOOKUP(A270,NYSEARCAGSG!A$2:G$506,6,0)</f>
        <v>103623</v>
      </c>
      <c r="M270">
        <f>VLOOKUP(A270,NYSEARCAGLD!A$2:G$506,6,0)</f>
        <v>11651694</v>
      </c>
      <c r="N270">
        <f>VLOOKUP(A270,NYSEBP!A$2:G$506,6,0)</f>
        <v>15171832</v>
      </c>
      <c r="O270">
        <f>VLOOKUP(A270,NASDAQYHOO!A$2:G$506,6,0)</f>
        <v>13023127</v>
      </c>
    </row>
    <row r="271" spans="1:15">
      <c r="A271" s="39">
        <v>42536</v>
      </c>
      <c r="B271">
        <v>8016982</v>
      </c>
      <c r="C271">
        <f>VLOOKUP(A271,NYSEARCAVTI!A$2:G$506,6,0)</f>
        <v>1841566</v>
      </c>
      <c r="D271">
        <f>VLOOKUP(A271,NYSEARCAVEU!A$2:G$506,6,0)</f>
        <v>2862186</v>
      </c>
      <c r="E271">
        <f>VLOOKUP(A271,NYSEARCAVWO!A$2:G$506,6,0)</f>
        <v>14844452</v>
      </c>
      <c r="F271">
        <f>VLOOKUP(A271,NYSEARCABND!A$2:G$506,6,0)</f>
        <v>1345093</v>
      </c>
      <c r="G271">
        <f>VLOOKUP(A271,NYSEARCATIP!A$2:G$506,6,0)</f>
        <v>1116532</v>
      </c>
      <c r="H271">
        <f>VLOOKUP(A271,NYSEARCAMUB!A$2:G$506,6,0)</f>
        <v>313588</v>
      </c>
      <c r="I271">
        <f>VLOOKUP(A271,NYSEARCAVNQ!A$2:G$506,6,0)</f>
        <v>2829449</v>
      </c>
      <c r="J271">
        <f>VLOOKUP(A271,NYSEARCARWX!A$2:G$506,6,0)</f>
        <v>957594</v>
      </c>
      <c r="K271">
        <f>VLOOKUP(A271,NYSEARCADBC!A$2:G$506,6,0)</f>
        <v>1829775</v>
      </c>
      <c r="L271">
        <f>VLOOKUP(A271,NYSEARCAGSG!A$2:G$506,6,0)</f>
        <v>534696</v>
      </c>
      <c r="M271">
        <f>VLOOKUP(A271,NYSEARCAGLD!A$2:G$506,6,0)</f>
        <v>15053005</v>
      </c>
      <c r="N271">
        <f>VLOOKUP(A271,NYSEBP!A$2:G$506,6,0)</f>
        <v>12399936</v>
      </c>
      <c r="O271">
        <f>VLOOKUP(A271,NASDAQYHOO!A$2:G$506,6,0)</f>
        <v>10213170</v>
      </c>
    </row>
    <row r="272" spans="1:15">
      <c r="A272" s="39">
        <v>42537</v>
      </c>
      <c r="B272">
        <v>6705181</v>
      </c>
      <c r="C272">
        <f>VLOOKUP(A272,NYSEARCAVTI!A$2:G$506,6,0)</f>
        <v>1884503</v>
      </c>
      <c r="D272">
        <f>VLOOKUP(A272,NYSEARCAVEU!A$2:G$506,6,0)</f>
        <v>2308247</v>
      </c>
      <c r="E272">
        <f>VLOOKUP(A272,NYSEARCAVWO!A$2:G$506,6,0)</f>
        <v>18044926</v>
      </c>
      <c r="F272">
        <f>VLOOKUP(A272,NYSEARCABND!A$2:G$506,6,0)</f>
        <v>1111567</v>
      </c>
      <c r="G272">
        <f>VLOOKUP(A272,NYSEARCATIP!A$2:G$506,6,0)</f>
        <v>567124</v>
      </c>
      <c r="H272">
        <f>VLOOKUP(A272,NYSEARCAMUB!A$2:G$506,6,0)</f>
        <v>290718</v>
      </c>
      <c r="I272">
        <f>VLOOKUP(A272,NYSEARCAVNQ!A$2:G$506,6,0)</f>
        <v>2827142</v>
      </c>
      <c r="J272">
        <f>VLOOKUP(A272,NYSEARCARWX!A$2:G$506,6,0)</f>
        <v>626576</v>
      </c>
      <c r="K272">
        <f>VLOOKUP(A272,NYSEARCADBC!A$2:G$506,6,0)</f>
        <v>1836490</v>
      </c>
      <c r="L272">
        <f>VLOOKUP(A272,NYSEARCAGSG!A$2:G$506,6,0)</f>
        <v>149484</v>
      </c>
      <c r="M272">
        <f>VLOOKUP(A272,NYSEARCAGLD!A$2:G$506,6,0)</f>
        <v>26635004</v>
      </c>
      <c r="N272">
        <f>VLOOKUP(A272,NYSEBP!A$2:G$506,6,0)</f>
        <v>13456445</v>
      </c>
      <c r="O272">
        <f>VLOOKUP(A272,NASDAQYHOO!A$2:G$506,6,0)</f>
        <v>10634046</v>
      </c>
    </row>
    <row r="273" spans="1:15">
      <c r="A273" s="39">
        <v>42538</v>
      </c>
      <c r="B273">
        <v>18059297</v>
      </c>
      <c r="C273">
        <f>VLOOKUP(A273,NYSEARCAVTI!A$2:G$506,6,0)</f>
        <v>1713104</v>
      </c>
      <c r="D273">
        <f>VLOOKUP(A273,NYSEARCAVEU!A$2:G$506,6,0)</f>
        <v>2697294</v>
      </c>
      <c r="E273">
        <f>VLOOKUP(A273,NYSEARCAVWO!A$2:G$506,6,0)</f>
        <v>25507626</v>
      </c>
      <c r="F273">
        <f>VLOOKUP(A273,NYSEARCABND!A$2:G$506,6,0)</f>
        <v>1860815</v>
      </c>
      <c r="G273">
        <f>VLOOKUP(A273,NYSEARCATIP!A$2:G$506,6,0)</f>
        <v>747933</v>
      </c>
      <c r="H273">
        <f>VLOOKUP(A273,NYSEARCAMUB!A$2:G$506,6,0)</f>
        <v>256363</v>
      </c>
      <c r="I273">
        <f>VLOOKUP(A273,NYSEARCAVNQ!A$2:G$506,6,0)</f>
        <v>4408434</v>
      </c>
      <c r="J273">
        <f>VLOOKUP(A273,NYSEARCARWX!A$2:G$506,6,0)</f>
        <v>383169</v>
      </c>
      <c r="K273">
        <f>VLOOKUP(A273,NYSEARCADBC!A$2:G$506,6,0)</f>
        <v>2476254</v>
      </c>
      <c r="L273">
        <f>VLOOKUP(A273,NYSEARCAGSG!A$2:G$506,6,0)</f>
        <v>215113</v>
      </c>
      <c r="M273">
        <f>VLOOKUP(A273,NYSEARCAGLD!A$2:G$506,6,0)</f>
        <v>15573825</v>
      </c>
      <c r="N273">
        <f>VLOOKUP(A273,NYSEBP!A$2:G$506,6,0)</f>
        <v>10576067</v>
      </c>
      <c r="O273">
        <f>VLOOKUP(A273,NASDAQYHOO!A$2:G$506,6,0)</f>
        <v>12593900</v>
      </c>
    </row>
    <row r="274" spans="1:15">
      <c r="A274" s="39">
        <v>42541</v>
      </c>
      <c r="B274">
        <v>7142522</v>
      </c>
      <c r="C274">
        <f>VLOOKUP(A274,NYSEARCAVTI!A$2:G$506,6,0)</f>
        <v>2403222</v>
      </c>
      <c r="D274">
        <f>VLOOKUP(A274,NYSEARCAVEU!A$2:G$506,6,0)</f>
        <v>1648728</v>
      </c>
      <c r="E274">
        <f>VLOOKUP(A274,NYSEARCAVWO!A$2:G$506,6,0)</f>
        <v>26054130</v>
      </c>
      <c r="F274">
        <f>VLOOKUP(A274,NYSEARCABND!A$2:G$506,6,0)</f>
        <v>2347501</v>
      </c>
      <c r="G274">
        <f>VLOOKUP(A274,NYSEARCATIP!A$2:G$506,6,0)</f>
        <v>955439</v>
      </c>
      <c r="H274">
        <f>VLOOKUP(A274,NYSEARCAMUB!A$2:G$506,6,0)</f>
        <v>372252</v>
      </c>
      <c r="I274">
        <f>VLOOKUP(A274,NYSEARCAVNQ!A$2:G$506,6,0)</f>
        <v>3987010</v>
      </c>
      <c r="J274">
        <f>VLOOKUP(A274,NYSEARCARWX!A$2:G$506,6,0)</f>
        <v>563072</v>
      </c>
      <c r="K274">
        <f>VLOOKUP(A274,NYSEARCADBC!A$2:G$506,6,0)</f>
        <v>1654100</v>
      </c>
      <c r="L274">
        <f>VLOOKUP(A274,NYSEARCAGSG!A$2:G$506,6,0)</f>
        <v>314142</v>
      </c>
      <c r="M274">
        <f>VLOOKUP(A274,NYSEARCAGLD!A$2:G$506,6,0)</f>
        <v>11866200</v>
      </c>
      <c r="N274">
        <f>VLOOKUP(A274,NYSEBP!A$2:G$506,6,0)</f>
        <v>11451704</v>
      </c>
      <c r="O274">
        <f>VLOOKUP(A274,NASDAQYHOO!A$2:G$506,6,0)</f>
        <v>8957313</v>
      </c>
    </row>
    <row r="275" spans="1:15">
      <c r="A275" s="39">
        <v>42542</v>
      </c>
      <c r="B275">
        <v>6674766</v>
      </c>
      <c r="C275">
        <f>VLOOKUP(A275,NYSEARCAVTI!A$2:G$506,6,0)</f>
        <v>2248555</v>
      </c>
      <c r="D275">
        <f>VLOOKUP(A275,NYSEARCAVEU!A$2:G$506,6,0)</f>
        <v>1554073</v>
      </c>
      <c r="E275">
        <f>VLOOKUP(A275,NYSEARCAVWO!A$2:G$506,6,0)</f>
        <v>17067170</v>
      </c>
      <c r="F275">
        <f>VLOOKUP(A275,NYSEARCABND!A$2:G$506,6,0)</f>
        <v>1785155</v>
      </c>
      <c r="G275">
        <f>VLOOKUP(A275,NYSEARCATIP!A$2:G$506,6,0)</f>
        <v>1413799</v>
      </c>
      <c r="H275">
        <f>VLOOKUP(A275,NYSEARCAMUB!A$2:G$506,6,0)</f>
        <v>238773</v>
      </c>
      <c r="I275">
        <f>VLOOKUP(A275,NYSEARCAVNQ!A$2:G$506,6,0)</f>
        <v>3614855</v>
      </c>
      <c r="J275">
        <f>VLOOKUP(A275,NYSEARCARWX!A$2:G$506,6,0)</f>
        <v>577844</v>
      </c>
      <c r="K275">
        <f>VLOOKUP(A275,NYSEARCADBC!A$2:G$506,6,0)</f>
        <v>1550514</v>
      </c>
      <c r="L275">
        <f>VLOOKUP(A275,NYSEARCAGSG!A$2:G$506,6,0)</f>
        <v>77847</v>
      </c>
      <c r="M275">
        <f>VLOOKUP(A275,NYSEARCAGLD!A$2:G$506,6,0)</f>
        <v>14585633</v>
      </c>
      <c r="N275">
        <f>VLOOKUP(A275,NYSEBP!A$2:G$506,6,0)</f>
        <v>11063515</v>
      </c>
      <c r="O275">
        <f>VLOOKUP(A275,NASDAQYHOO!A$2:G$506,6,0)</f>
        <v>5574603</v>
      </c>
    </row>
    <row r="276" spans="1:15">
      <c r="A276" s="39">
        <v>42543</v>
      </c>
      <c r="B276">
        <v>8457512</v>
      </c>
      <c r="C276">
        <f>VLOOKUP(A276,NYSEARCAVTI!A$2:G$506,6,0)</f>
        <v>2002747</v>
      </c>
      <c r="D276">
        <f>VLOOKUP(A276,NYSEARCAVEU!A$2:G$506,6,0)</f>
        <v>9720913</v>
      </c>
      <c r="E276">
        <f>VLOOKUP(A276,NYSEARCAVWO!A$2:G$506,6,0)</f>
        <v>30413968</v>
      </c>
      <c r="F276">
        <f>VLOOKUP(A276,NYSEARCABND!A$2:G$506,6,0)</f>
        <v>1337666</v>
      </c>
      <c r="G276">
        <f>VLOOKUP(A276,NYSEARCATIP!A$2:G$506,6,0)</f>
        <v>3495559</v>
      </c>
      <c r="H276">
        <f>VLOOKUP(A276,NYSEARCAMUB!A$2:G$506,6,0)</f>
        <v>430087</v>
      </c>
      <c r="I276">
        <f>VLOOKUP(A276,NYSEARCAVNQ!A$2:G$506,6,0)</f>
        <v>3994532</v>
      </c>
      <c r="J276">
        <f>VLOOKUP(A276,NYSEARCARWX!A$2:G$506,6,0)</f>
        <v>1156576</v>
      </c>
      <c r="K276">
        <f>VLOOKUP(A276,NYSEARCADBC!A$2:G$506,6,0)</f>
        <v>2251125</v>
      </c>
      <c r="L276">
        <f>VLOOKUP(A276,NYSEARCAGSG!A$2:G$506,6,0)</f>
        <v>229601</v>
      </c>
      <c r="M276">
        <f>VLOOKUP(A276,NYSEARCAGLD!A$2:G$506,6,0)</f>
        <v>7861000</v>
      </c>
      <c r="N276">
        <f>VLOOKUP(A276,NYSEBP!A$2:G$506,6,0)</f>
        <v>13470984</v>
      </c>
      <c r="O276">
        <f>VLOOKUP(A276,NASDAQYHOO!A$2:G$506,6,0)</f>
        <v>6279215</v>
      </c>
    </row>
    <row r="277" spans="1:15">
      <c r="A277" s="39">
        <v>42544</v>
      </c>
      <c r="B277">
        <v>6970182</v>
      </c>
      <c r="C277">
        <f>VLOOKUP(A277,NYSEARCAVTI!A$2:G$506,6,0)</f>
        <v>1622336</v>
      </c>
      <c r="D277">
        <f>VLOOKUP(A277,NYSEARCAVEU!A$2:G$506,6,0)</f>
        <v>2248900</v>
      </c>
      <c r="E277">
        <f>VLOOKUP(A277,NYSEARCAVWO!A$2:G$506,6,0)</f>
        <v>15544591</v>
      </c>
      <c r="F277">
        <f>VLOOKUP(A277,NYSEARCABND!A$2:G$506,6,0)</f>
        <v>1152760</v>
      </c>
      <c r="G277">
        <f>VLOOKUP(A277,NYSEARCATIP!A$2:G$506,6,0)</f>
        <v>510656</v>
      </c>
      <c r="H277">
        <f>VLOOKUP(A277,NYSEARCAMUB!A$2:G$506,6,0)</f>
        <v>729537</v>
      </c>
      <c r="I277">
        <f>VLOOKUP(A277,NYSEARCAVNQ!A$2:G$506,6,0)</f>
        <v>1672742</v>
      </c>
      <c r="J277">
        <f>VLOOKUP(A277,NYSEARCARWX!A$2:G$506,6,0)</f>
        <v>475309</v>
      </c>
      <c r="K277">
        <f>VLOOKUP(A277,NYSEARCADBC!A$2:G$506,6,0)</f>
        <v>1561522</v>
      </c>
      <c r="L277">
        <f>VLOOKUP(A277,NYSEARCAGSG!A$2:G$506,6,0)</f>
        <v>94905</v>
      </c>
      <c r="M277">
        <f>VLOOKUP(A277,NYSEARCAGLD!A$2:G$506,6,0)</f>
        <v>10704904</v>
      </c>
      <c r="N277">
        <f>VLOOKUP(A277,NYSEBP!A$2:G$506,6,0)</f>
        <v>10651173</v>
      </c>
      <c r="O277">
        <f>VLOOKUP(A277,NASDAQYHOO!A$2:G$506,6,0)</f>
        <v>7710892</v>
      </c>
    </row>
    <row r="278" spans="1:15">
      <c r="A278" s="39">
        <v>42545</v>
      </c>
      <c r="B278">
        <v>15120363</v>
      </c>
      <c r="C278">
        <f>VLOOKUP(A278,NYSEARCAVTI!A$2:G$506,6,0)</f>
        <v>7370404</v>
      </c>
      <c r="D278">
        <f>VLOOKUP(A278,NYSEARCAVEU!A$2:G$506,6,0)</f>
        <v>5920458</v>
      </c>
      <c r="E278">
        <f>VLOOKUP(A278,NYSEARCAVWO!A$2:G$506,6,0)</f>
        <v>33890654</v>
      </c>
      <c r="F278">
        <f>VLOOKUP(A278,NYSEARCABND!A$2:G$506,6,0)</f>
        <v>2030433</v>
      </c>
      <c r="G278">
        <f>VLOOKUP(A278,NYSEARCATIP!A$2:G$506,6,0)</f>
        <v>1366127</v>
      </c>
      <c r="H278">
        <f>VLOOKUP(A278,NYSEARCAMUB!A$2:G$506,6,0)</f>
        <v>518968</v>
      </c>
      <c r="I278">
        <f>VLOOKUP(A278,NYSEARCAVNQ!A$2:G$506,6,0)</f>
        <v>5661665</v>
      </c>
      <c r="J278">
        <f>VLOOKUP(A278,NYSEARCARWX!A$2:G$506,6,0)</f>
        <v>1359175</v>
      </c>
      <c r="K278">
        <f>VLOOKUP(A278,NYSEARCADBC!A$2:G$506,6,0)</f>
        <v>1582991</v>
      </c>
      <c r="L278">
        <f>VLOOKUP(A278,NYSEARCAGSG!A$2:G$506,6,0)</f>
        <v>577664</v>
      </c>
      <c r="M278">
        <f>VLOOKUP(A278,NYSEARCAGLD!A$2:G$506,6,0)</f>
        <v>35782892</v>
      </c>
      <c r="N278">
        <f>VLOOKUP(A278,NYSEBP!A$2:G$506,6,0)</f>
        <v>34583772</v>
      </c>
      <c r="O278">
        <f>VLOOKUP(A278,NASDAQYHOO!A$2:G$506,6,0)</f>
        <v>19657828</v>
      </c>
    </row>
    <row r="279" spans="1:15">
      <c r="A279" s="39">
        <v>42548</v>
      </c>
      <c r="B279">
        <v>11346061</v>
      </c>
      <c r="C279">
        <f>VLOOKUP(A279,NYSEARCAVTI!A$2:G$506,6,0)</f>
        <v>5218039</v>
      </c>
      <c r="D279">
        <f>VLOOKUP(A279,NYSEARCAVEU!A$2:G$506,6,0)</f>
        <v>5292412</v>
      </c>
      <c r="E279">
        <f>VLOOKUP(A279,NYSEARCAVWO!A$2:G$506,6,0)</f>
        <v>35826637</v>
      </c>
      <c r="F279">
        <f>VLOOKUP(A279,NYSEARCABND!A$2:G$506,6,0)</f>
        <v>2466088</v>
      </c>
      <c r="G279">
        <f>VLOOKUP(A279,NYSEARCATIP!A$2:G$506,6,0)</f>
        <v>826805</v>
      </c>
      <c r="H279">
        <f>VLOOKUP(A279,NYSEARCAMUB!A$2:G$506,6,0)</f>
        <v>517241</v>
      </c>
      <c r="I279">
        <f>VLOOKUP(A279,NYSEARCAVNQ!A$2:G$506,6,0)</f>
        <v>4770141</v>
      </c>
      <c r="J279">
        <f>VLOOKUP(A279,NYSEARCARWX!A$2:G$506,6,0)</f>
        <v>1327528</v>
      </c>
      <c r="K279">
        <f>VLOOKUP(A279,NYSEARCADBC!A$2:G$506,6,0)</f>
        <v>2276948</v>
      </c>
      <c r="L279">
        <f>VLOOKUP(A279,NYSEARCAGSG!A$2:G$506,6,0)</f>
        <v>439472</v>
      </c>
      <c r="M279">
        <f>VLOOKUP(A279,NYSEARCAGLD!A$2:G$506,6,0)</f>
        <v>21400484</v>
      </c>
      <c r="N279">
        <f>VLOOKUP(A279,NYSEBP!A$2:G$506,6,0)</f>
        <v>19465077</v>
      </c>
      <c r="O279">
        <f>VLOOKUP(A279,NASDAQYHOO!A$2:G$506,6,0)</f>
        <v>14157606</v>
      </c>
    </row>
    <row r="280" spans="1:15">
      <c r="A280" s="39">
        <v>42549</v>
      </c>
      <c r="B280">
        <v>8561177</v>
      </c>
      <c r="C280">
        <f>VLOOKUP(A280,NYSEARCAVTI!A$2:G$506,6,0)</f>
        <v>7569512</v>
      </c>
      <c r="D280">
        <f>VLOOKUP(A280,NYSEARCAVEU!A$2:G$506,6,0)</f>
        <v>4884352</v>
      </c>
      <c r="E280">
        <f>VLOOKUP(A280,NYSEARCAVWO!A$2:G$506,6,0)</f>
        <v>17853578</v>
      </c>
      <c r="F280">
        <f>VLOOKUP(A280,NYSEARCABND!A$2:G$506,6,0)</f>
        <v>2971802</v>
      </c>
      <c r="G280">
        <f>VLOOKUP(A280,NYSEARCATIP!A$2:G$506,6,0)</f>
        <v>729855</v>
      </c>
      <c r="H280">
        <f>VLOOKUP(A280,NYSEARCAMUB!A$2:G$506,6,0)</f>
        <v>279369</v>
      </c>
      <c r="I280">
        <f>VLOOKUP(A280,NYSEARCAVNQ!A$2:G$506,6,0)</f>
        <v>5128627</v>
      </c>
      <c r="J280">
        <f>VLOOKUP(A280,NYSEARCARWX!A$2:G$506,6,0)</f>
        <v>971899</v>
      </c>
      <c r="K280">
        <f>VLOOKUP(A280,NYSEARCADBC!A$2:G$506,6,0)</f>
        <v>1645774</v>
      </c>
      <c r="L280">
        <f>VLOOKUP(A280,NYSEARCAGSG!A$2:G$506,6,0)</f>
        <v>516537</v>
      </c>
      <c r="M280">
        <f>VLOOKUP(A280,NYSEARCAGLD!A$2:G$506,6,0)</f>
        <v>16001451</v>
      </c>
      <c r="N280">
        <f>VLOOKUP(A280,NYSEBP!A$2:G$506,6,0)</f>
        <v>9835894</v>
      </c>
      <c r="O280">
        <f>VLOOKUP(A280,NASDAQYHOO!A$2:G$506,6,0)</f>
        <v>10990713</v>
      </c>
    </row>
    <row r="281" spans="1:15">
      <c r="A281" s="39">
        <v>42550</v>
      </c>
      <c r="B281">
        <v>7014708</v>
      </c>
      <c r="C281">
        <f>VLOOKUP(A281,NYSEARCAVTI!A$2:G$506,6,0)</f>
        <v>2635744</v>
      </c>
      <c r="D281">
        <f>VLOOKUP(A281,NYSEARCAVEU!A$2:G$506,6,0)</f>
        <v>2334794</v>
      </c>
      <c r="E281">
        <f>VLOOKUP(A281,NYSEARCAVWO!A$2:G$506,6,0)</f>
        <v>16422251</v>
      </c>
      <c r="F281">
        <f>VLOOKUP(A281,NYSEARCABND!A$2:G$506,6,0)</f>
        <v>2425743</v>
      </c>
      <c r="G281">
        <f>VLOOKUP(A281,NYSEARCATIP!A$2:G$506,6,0)</f>
        <v>792168</v>
      </c>
      <c r="H281">
        <f>VLOOKUP(A281,NYSEARCAMUB!A$2:G$506,6,0)</f>
        <v>351634</v>
      </c>
      <c r="I281">
        <f>VLOOKUP(A281,NYSEARCAVNQ!A$2:G$506,6,0)</f>
        <v>4395608</v>
      </c>
      <c r="J281">
        <f>VLOOKUP(A281,NYSEARCARWX!A$2:G$506,6,0)</f>
        <v>506241</v>
      </c>
      <c r="K281">
        <f>VLOOKUP(A281,NYSEARCADBC!A$2:G$506,6,0)</f>
        <v>1671011</v>
      </c>
      <c r="L281">
        <f>VLOOKUP(A281,NYSEARCAGSG!A$2:G$506,6,0)</f>
        <v>1429775</v>
      </c>
      <c r="M281">
        <f>VLOOKUP(A281,NYSEARCAGLD!A$2:G$506,6,0)</f>
        <v>12218444</v>
      </c>
      <c r="N281">
        <f>VLOOKUP(A281,NYSEBP!A$2:G$506,6,0)</f>
        <v>17381260</v>
      </c>
      <c r="O281">
        <f>VLOOKUP(A281,NASDAQYHOO!A$2:G$506,6,0)</f>
        <v>10808162</v>
      </c>
    </row>
    <row r="282" spans="1:15">
      <c r="A282" s="39">
        <v>42551</v>
      </c>
      <c r="B282">
        <v>8713585</v>
      </c>
      <c r="C282">
        <f>VLOOKUP(A282,NYSEARCAVTI!A$2:G$506,6,0)</f>
        <v>5552335</v>
      </c>
      <c r="D282">
        <f>VLOOKUP(A282,NYSEARCAVEU!A$2:G$506,6,0)</f>
        <v>4357908</v>
      </c>
      <c r="E282">
        <f>VLOOKUP(A282,NYSEARCAVWO!A$2:G$506,6,0)</f>
        <v>24261575</v>
      </c>
      <c r="F282">
        <f>VLOOKUP(A282,NYSEARCABND!A$2:G$506,6,0)</f>
        <v>3362364</v>
      </c>
      <c r="G282">
        <f>VLOOKUP(A282,NYSEARCATIP!A$2:G$506,6,0)</f>
        <v>1322380</v>
      </c>
      <c r="H282">
        <f>VLOOKUP(A282,NYSEARCAMUB!A$2:G$506,6,0)</f>
        <v>728896</v>
      </c>
      <c r="I282">
        <f>VLOOKUP(A282,NYSEARCAVNQ!A$2:G$506,6,0)</f>
        <v>6555772</v>
      </c>
      <c r="J282">
        <f>VLOOKUP(A282,NYSEARCARWX!A$2:G$506,6,0)</f>
        <v>695796</v>
      </c>
      <c r="K282">
        <f>VLOOKUP(A282,NYSEARCADBC!A$2:G$506,6,0)</f>
        <v>2216115</v>
      </c>
      <c r="L282">
        <f>VLOOKUP(A282,NYSEARCAGSG!A$2:G$506,6,0)</f>
        <v>870486</v>
      </c>
      <c r="M282">
        <f>VLOOKUP(A282,NYSEARCAGLD!A$2:G$506,6,0)</f>
        <v>15981577</v>
      </c>
      <c r="N282">
        <f>VLOOKUP(A282,NYSEBP!A$2:G$506,6,0)</f>
        <v>14938392</v>
      </c>
      <c r="O282">
        <f>VLOOKUP(A282,NASDAQYHOO!A$2:G$506,6,0)</f>
        <v>15209878</v>
      </c>
    </row>
    <row r="283" spans="1:15">
      <c r="A283" s="39">
        <v>42552</v>
      </c>
      <c r="B283">
        <v>7638798</v>
      </c>
      <c r="C283">
        <f>VLOOKUP(A283,NYSEARCAVTI!A$2:G$506,6,0)</f>
        <v>2938114</v>
      </c>
      <c r="D283">
        <f>VLOOKUP(A283,NYSEARCAVEU!A$2:G$506,6,0)</f>
        <v>2173047</v>
      </c>
      <c r="E283">
        <f>VLOOKUP(A283,NYSEARCAVWO!A$2:G$506,6,0)</f>
        <v>18071329</v>
      </c>
      <c r="F283">
        <f>VLOOKUP(A283,NYSEARCABND!A$2:G$506,6,0)</f>
        <v>2531588</v>
      </c>
      <c r="G283">
        <f>VLOOKUP(A283,NYSEARCATIP!A$2:G$506,6,0)</f>
        <v>2362479</v>
      </c>
      <c r="H283">
        <f>VLOOKUP(A283,NYSEARCAMUB!A$2:G$506,6,0)</f>
        <v>456813</v>
      </c>
      <c r="I283">
        <f>VLOOKUP(A283,NYSEARCAVNQ!A$2:G$506,6,0)</f>
        <v>4731924</v>
      </c>
      <c r="J283">
        <f>VLOOKUP(A283,NYSEARCARWX!A$2:G$506,6,0)</f>
        <v>522038</v>
      </c>
      <c r="K283">
        <f>VLOOKUP(A283,NYSEARCADBC!A$2:G$506,6,0)</f>
        <v>3913561</v>
      </c>
      <c r="L283">
        <f>VLOOKUP(A283,NYSEARCAGSG!A$2:G$506,6,0)</f>
        <v>6641189</v>
      </c>
      <c r="M283">
        <f>VLOOKUP(A283,NYSEARCAGLD!A$2:G$506,6,0)</f>
        <v>14940706</v>
      </c>
      <c r="N283">
        <f>VLOOKUP(A283,NYSEBP!A$2:G$506,6,0)</f>
        <v>9620895</v>
      </c>
      <c r="O283">
        <f>VLOOKUP(A283,NASDAQYHOO!A$2:G$506,6,0)</f>
        <v>10602792</v>
      </c>
    </row>
    <row r="284" spans="1:15">
      <c r="A284" s="39">
        <v>42556</v>
      </c>
      <c r="B284">
        <v>10748626</v>
      </c>
      <c r="C284">
        <f>VLOOKUP(A284,NYSEARCAVTI!A$2:G$506,6,0)</f>
        <v>3019864</v>
      </c>
      <c r="D284">
        <f>VLOOKUP(A284,NYSEARCAVEU!A$2:G$506,6,0)</f>
        <v>1442208</v>
      </c>
      <c r="E284">
        <f>VLOOKUP(A284,NYSEARCAVWO!A$2:G$506,6,0)</f>
        <v>21404249</v>
      </c>
      <c r="F284">
        <f>VLOOKUP(A284,NYSEARCABND!A$2:G$506,6,0)</f>
        <v>3193762</v>
      </c>
      <c r="G284">
        <f>VLOOKUP(A284,NYSEARCATIP!A$2:G$506,6,0)</f>
        <v>691371</v>
      </c>
      <c r="H284">
        <f>VLOOKUP(A284,NYSEARCAMUB!A$2:G$506,6,0)</f>
        <v>321820</v>
      </c>
      <c r="I284">
        <f>VLOOKUP(A284,NYSEARCAVNQ!A$2:G$506,6,0)</f>
        <v>3808415</v>
      </c>
      <c r="J284">
        <f>VLOOKUP(A284,NYSEARCARWX!A$2:G$506,6,0)</f>
        <v>897792</v>
      </c>
      <c r="K284">
        <f>VLOOKUP(A284,NYSEARCADBC!A$2:G$506,6,0)</f>
        <v>4526763</v>
      </c>
      <c r="L284">
        <f>VLOOKUP(A284,NYSEARCAGSG!A$2:G$506,6,0)</f>
        <v>410601</v>
      </c>
      <c r="M284">
        <f>VLOOKUP(A284,NYSEARCAGLD!A$2:G$506,6,0)</f>
        <v>19026247</v>
      </c>
      <c r="N284">
        <f>VLOOKUP(A284,NYSEBP!A$2:G$506,6,0)</f>
        <v>10928347</v>
      </c>
      <c r="O284">
        <f>VLOOKUP(A284,NASDAQYHOO!A$2:G$506,6,0)</f>
        <v>8746735</v>
      </c>
    </row>
    <row r="285" spans="1:15">
      <c r="A285" s="39">
        <v>42557</v>
      </c>
      <c r="B285">
        <v>11062733</v>
      </c>
      <c r="C285">
        <f>VLOOKUP(A285,NYSEARCAVTI!A$2:G$506,6,0)</f>
        <v>1767721</v>
      </c>
      <c r="D285">
        <f>VLOOKUP(A285,NYSEARCAVEU!A$2:G$506,6,0)</f>
        <v>2238478</v>
      </c>
      <c r="E285">
        <f>VLOOKUP(A285,NYSEARCAVWO!A$2:G$506,6,0)</f>
        <v>19563624</v>
      </c>
      <c r="F285">
        <f>VLOOKUP(A285,NYSEARCABND!A$2:G$506,6,0)</f>
        <v>1936801</v>
      </c>
      <c r="G285">
        <f>VLOOKUP(A285,NYSEARCATIP!A$2:G$506,6,0)</f>
        <v>791316</v>
      </c>
      <c r="H285">
        <f>VLOOKUP(A285,NYSEARCAMUB!A$2:G$506,6,0)</f>
        <v>423770</v>
      </c>
      <c r="I285">
        <f>VLOOKUP(A285,NYSEARCAVNQ!A$2:G$506,6,0)</f>
        <v>4577173</v>
      </c>
      <c r="J285">
        <f>VLOOKUP(A285,NYSEARCARWX!A$2:G$506,6,0)</f>
        <v>983822</v>
      </c>
      <c r="K285">
        <f>VLOOKUP(A285,NYSEARCADBC!A$2:G$506,6,0)</f>
        <v>2535348</v>
      </c>
      <c r="L285">
        <f>VLOOKUP(A285,NYSEARCAGSG!A$2:G$506,6,0)</f>
        <v>342045</v>
      </c>
      <c r="M285">
        <f>VLOOKUP(A285,NYSEARCAGLD!A$2:G$506,6,0)</f>
        <v>17376671</v>
      </c>
      <c r="N285">
        <f>VLOOKUP(A285,NYSEBP!A$2:G$506,6,0)</f>
        <v>8823603</v>
      </c>
      <c r="O285">
        <f>VLOOKUP(A285,NASDAQYHOO!A$2:G$506,6,0)</f>
        <v>8328101</v>
      </c>
    </row>
    <row r="286" spans="1:15">
      <c r="A286" s="39">
        <v>42558</v>
      </c>
      <c r="B286">
        <v>7486861</v>
      </c>
      <c r="C286">
        <f>VLOOKUP(A286,NYSEARCAVTI!A$2:G$506,6,0)</f>
        <v>1669822</v>
      </c>
      <c r="D286">
        <f>VLOOKUP(A286,NYSEARCAVEU!A$2:G$506,6,0)</f>
        <v>1568444</v>
      </c>
      <c r="E286">
        <f>VLOOKUP(A286,NYSEARCAVWO!A$2:G$506,6,0)</f>
        <v>11178061</v>
      </c>
      <c r="F286">
        <f>VLOOKUP(A286,NYSEARCABND!A$2:G$506,6,0)</f>
        <v>2032485</v>
      </c>
      <c r="G286">
        <f>VLOOKUP(A286,NYSEARCATIP!A$2:G$506,6,0)</f>
        <v>1912699</v>
      </c>
      <c r="H286">
        <f>VLOOKUP(A286,NYSEARCAMUB!A$2:G$506,6,0)</f>
        <v>272535</v>
      </c>
      <c r="I286">
        <f>VLOOKUP(A286,NYSEARCAVNQ!A$2:G$506,6,0)</f>
        <v>5342038</v>
      </c>
      <c r="J286">
        <f>VLOOKUP(A286,NYSEARCARWX!A$2:G$506,6,0)</f>
        <v>1191328</v>
      </c>
      <c r="K286">
        <f>VLOOKUP(A286,NYSEARCADBC!A$2:G$506,6,0)</f>
        <v>3347877</v>
      </c>
      <c r="L286">
        <f>VLOOKUP(A286,NYSEARCAGSG!A$2:G$506,6,0)</f>
        <v>402892</v>
      </c>
      <c r="M286">
        <f>VLOOKUP(A286,NYSEARCAGLD!A$2:G$506,6,0)</f>
        <v>16508526</v>
      </c>
      <c r="N286">
        <f>VLOOKUP(A286,NYSEBP!A$2:G$506,6,0)</f>
        <v>8900911</v>
      </c>
      <c r="O286">
        <f>VLOOKUP(A286,NASDAQYHOO!A$2:G$506,6,0)</f>
        <v>9031440</v>
      </c>
    </row>
    <row r="287" spans="1:15">
      <c r="A287" s="39">
        <v>42559</v>
      </c>
      <c r="B287">
        <v>9127565</v>
      </c>
      <c r="C287">
        <f>VLOOKUP(A287,NYSEARCAVTI!A$2:G$506,6,0)</f>
        <v>2362227</v>
      </c>
      <c r="D287">
        <f>VLOOKUP(A287,NYSEARCAVEU!A$2:G$506,6,0)</f>
        <v>2148931</v>
      </c>
      <c r="E287">
        <f>VLOOKUP(A287,NYSEARCAVWO!A$2:G$506,6,0)</f>
        <v>9527197</v>
      </c>
      <c r="F287">
        <f>VLOOKUP(A287,NYSEARCABND!A$2:G$506,6,0)</f>
        <v>1748008</v>
      </c>
      <c r="G287">
        <f>VLOOKUP(A287,NYSEARCATIP!A$2:G$506,6,0)</f>
        <v>1047779</v>
      </c>
      <c r="H287">
        <f>VLOOKUP(A287,NYSEARCAMUB!A$2:G$506,6,0)</f>
        <v>373678</v>
      </c>
      <c r="I287">
        <f>VLOOKUP(A287,NYSEARCAVNQ!A$2:G$506,6,0)</f>
        <v>2663479</v>
      </c>
      <c r="J287">
        <f>VLOOKUP(A287,NYSEARCARWX!A$2:G$506,6,0)</f>
        <v>592110</v>
      </c>
      <c r="K287">
        <f>VLOOKUP(A287,NYSEARCADBC!A$2:G$506,6,0)</f>
        <v>1516755</v>
      </c>
      <c r="L287">
        <f>VLOOKUP(A287,NYSEARCAGSG!A$2:G$506,6,0)</f>
        <v>543405</v>
      </c>
      <c r="M287">
        <f>VLOOKUP(A287,NYSEARCAGLD!A$2:G$506,6,0)</f>
        <v>17634218</v>
      </c>
      <c r="N287">
        <f>VLOOKUP(A287,NYSEBP!A$2:G$506,6,0)</f>
        <v>7241239</v>
      </c>
      <c r="O287">
        <f>VLOOKUP(A287,NASDAQYHOO!A$2:G$506,6,0)</f>
        <v>8786614</v>
      </c>
    </row>
    <row r="288" spans="1:15">
      <c r="A288" s="39">
        <v>42562</v>
      </c>
      <c r="B288">
        <v>9040070</v>
      </c>
      <c r="C288">
        <f>VLOOKUP(A288,NYSEARCAVTI!A$2:G$506,6,0)</f>
        <v>3868296</v>
      </c>
      <c r="D288">
        <f>VLOOKUP(A288,NYSEARCAVEU!A$2:G$506,6,0)</f>
        <v>1603229</v>
      </c>
      <c r="E288">
        <f>VLOOKUP(A288,NYSEARCAVWO!A$2:G$506,6,0)</f>
        <v>15134357</v>
      </c>
      <c r="F288">
        <f>VLOOKUP(A288,NYSEARCABND!A$2:G$506,6,0)</f>
        <v>2617160</v>
      </c>
      <c r="G288">
        <f>VLOOKUP(A288,NYSEARCATIP!A$2:G$506,6,0)</f>
        <v>904645</v>
      </c>
      <c r="H288">
        <f>VLOOKUP(A288,NYSEARCAMUB!A$2:G$506,6,0)</f>
        <v>371421</v>
      </c>
      <c r="I288">
        <f>VLOOKUP(A288,NYSEARCAVNQ!A$2:G$506,6,0)</f>
        <v>3381362</v>
      </c>
      <c r="J288">
        <f>VLOOKUP(A288,NYSEARCARWX!A$2:G$506,6,0)</f>
        <v>485429</v>
      </c>
      <c r="K288">
        <f>VLOOKUP(A288,NYSEARCADBC!A$2:G$506,6,0)</f>
        <v>1756835</v>
      </c>
      <c r="L288">
        <f>VLOOKUP(A288,NYSEARCAGSG!A$2:G$506,6,0)</f>
        <v>116449</v>
      </c>
      <c r="M288">
        <f>VLOOKUP(A288,NYSEARCAGLD!A$2:G$506,6,0)</f>
        <v>10855630</v>
      </c>
      <c r="N288">
        <f>VLOOKUP(A288,NYSEBP!A$2:G$506,6,0)</f>
        <v>6900338</v>
      </c>
      <c r="O288">
        <f>VLOOKUP(A288,NASDAQYHOO!A$2:G$506,6,0)</f>
        <v>20342573</v>
      </c>
    </row>
    <row r="289" spans="1:15">
      <c r="A289" s="39">
        <v>42563</v>
      </c>
      <c r="B289">
        <v>12361175</v>
      </c>
      <c r="C289">
        <f>VLOOKUP(A289,NYSEARCAVTI!A$2:G$506,6,0)</f>
        <v>3222836</v>
      </c>
      <c r="D289">
        <f>VLOOKUP(A289,NYSEARCAVEU!A$2:G$506,6,0)</f>
        <v>1947337</v>
      </c>
      <c r="E289">
        <f>VLOOKUP(A289,NYSEARCAVWO!A$2:G$506,6,0)</f>
        <v>18160510</v>
      </c>
      <c r="F289">
        <f>VLOOKUP(A289,NYSEARCABND!A$2:G$506,6,0)</f>
        <v>1775380</v>
      </c>
      <c r="G289">
        <f>VLOOKUP(A289,NYSEARCATIP!A$2:G$506,6,0)</f>
        <v>894108</v>
      </c>
      <c r="H289">
        <f>VLOOKUP(A289,NYSEARCAMUB!A$2:G$506,6,0)</f>
        <v>427291</v>
      </c>
      <c r="I289">
        <f>VLOOKUP(A289,NYSEARCAVNQ!A$2:G$506,6,0)</f>
        <v>3727572</v>
      </c>
      <c r="J289">
        <f>VLOOKUP(A289,NYSEARCARWX!A$2:G$506,6,0)</f>
        <v>544854</v>
      </c>
      <c r="K289">
        <f>VLOOKUP(A289,NYSEARCADBC!A$2:G$506,6,0)</f>
        <v>1414892</v>
      </c>
      <c r="L289">
        <f>VLOOKUP(A289,NYSEARCAGSG!A$2:G$506,6,0)</f>
        <v>249910</v>
      </c>
      <c r="M289">
        <f>VLOOKUP(A289,NYSEARCAGLD!A$2:G$506,6,0)</f>
        <v>26459620</v>
      </c>
      <c r="N289">
        <f>VLOOKUP(A289,NYSEBP!A$2:G$506,6,0)</f>
        <v>12162570</v>
      </c>
      <c r="O289">
        <f>VLOOKUP(A289,NASDAQYHOO!A$2:G$506,6,0)</f>
        <v>15224047</v>
      </c>
    </row>
    <row r="290" spans="1:15">
      <c r="A290" s="39">
        <v>42564</v>
      </c>
      <c r="B290">
        <v>6398960</v>
      </c>
      <c r="C290">
        <f>VLOOKUP(A290,NYSEARCAVTI!A$2:G$506,6,0)</f>
        <v>1485745</v>
      </c>
      <c r="D290">
        <f>VLOOKUP(A290,NYSEARCAVEU!A$2:G$506,6,0)</f>
        <v>2579122</v>
      </c>
      <c r="E290">
        <f>VLOOKUP(A290,NYSEARCAVWO!A$2:G$506,6,0)</f>
        <v>15234626</v>
      </c>
      <c r="F290">
        <f>VLOOKUP(A290,NYSEARCABND!A$2:G$506,6,0)</f>
        <v>1352495</v>
      </c>
      <c r="G290">
        <f>VLOOKUP(A290,NYSEARCATIP!A$2:G$506,6,0)</f>
        <v>813218</v>
      </c>
      <c r="H290">
        <f>VLOOKUP(A290,NYSEARCAMUB!A$2:G$506,6,0)</f>
        <v>338555</v>
      </c>
      <c r="I290">
        <f>VLOOKUP(A290,NYSEARCAVNQ!A$2:G$506,6,0)</f>
        <v>4902939</v>
      </c>
      <c r="J290">
        <f>VLOOKUP(A290,NYSEARCARWX!A$2:G$506,6,0)</f>
        <v>533066</v>
      </c>
      <c r="K290">
        <f>VLOOKUP(A290,NYSEARCADBC!A$2:G$506,6,0)</f>
        <v>2742579</v>
      </c>
      <c r="L290">
        <f>VLOOKUP(A290,NYSEARCAGSG!A$2:G$506,6,0)</f>
        <v>63954</v>
      </c>
      <c r="M290">
        <f>VLOOKUP(A290,NYSEARCAGLD!A$2:G$506,6,0)</f>
        <v>7377686</v>
      </c>
      <c r="N290">
        <f>VLOOKUP(A290,NYSEBP!A$2:G$506,6,0)</f>
        <v>8622540</v>
      </c>
      <c r="O290">
        <f>VLOOKUP(A290,NASDAQYHOO!A$2:G$506,6,0)</f>
        <v>9566060</v>
      </c>
    </row>
    <row r="291" spans="1:15">
      <c r="A291" s="39">
        <v>42565</v>
      </c>
      <c r="B291">
        <v>6646403</v>
      </c>
      <c r="C291">
        <f>VLOOKUP(A291,NYSEARCAVTI!A$2:G$506,6,0)</f>
        <v>1561056</v>
      </c>
      <c r="D291">
        <f>VLOOKUP(A291,NYSEARCAVEU!A$2:G$506,6,0)</f>
        <v>2010907</v>
      </c>
      <c r="E291">
        <f>VLOOKUP(A291,NYSEARCAVWO!A$2:G$506,6,0)</f>
        <v>14575241</v>
      </c>
      <c r="F291">
        <f>VLOOKUP(A291,NYSEARCABND!A$2:G$506,6,0)</f>
        <v>1621560</v>
      </c>
      <c r="G291">
        <f>VLOOKUP(A291,NYSEARCATIP!A$2:G$506,6,0)</f>
        <v>860517</v>
      </c>
      <c r="H291">
        <f>VLOOKUP(A291,NYSEARCAMUB!A$2:G$506,6,0)</f>
        <v>365946</v>
      </c>
      <c r="I291">
        <f>VLOOKUP(A291,NYSEARCAVNQ!A$2:G$506,6,0)</f>
        <v>3060513</v>
      </c>
      <c r="J291">
        <f>VLOOKUP(A291,NYSEARCARWX!A$2:G$506,6,0)</f>
        <v>338752</v>
      </c>
      <c r="K291">
        <f>VLOOKUP(A291,NYSEARCADBC!A$2:G$506,6,0)</f>
        <v>1644964</v>
      </c>
      <c r="L291">
        <f>VLOOKUP(A291,NYSEARCAGSG!A$2:G$506,6,0)</f>
        <v>57427</v>
      </c>
      <c r="M291">
        <f>VLOOKUP(A291,NYSEARCAGLD!A$2:G$506,6,0)</f>
        <v>12132423</v>
      </c>
      <c r="N291">
        <f>VLOOKUP(A291,NYSEBP!A$2:G$506,6,0)</f>
        <v>5499881</v>
      </c>
      <c r="O291">
        <f>VLOOKUP(A291,NASDAQYHOO!A$2:G$506,6,0)</f>
        <v>10713015</v>
      </c>
    </row>
    <row r="292" spans="1:15">
      <c r="A292" s="39">
        <v>42566</v>
      </c>
      <c r="B292">
        <v>5994796</v>
      </c>
      <c r="C292">
        <f>VLOOKUP(A292,NYSEARCAVTI!A$2:G$506,6,0)</f>
        <v>1385464</v>
      </c>
      <c r="D292">
        <f>VLOOKUP(A292,NYSEARCAVEU!A$2:G$506,6,0)</f>
        <v>1608282</v>
      </c>
      <c r="E292">
        <f>VLOOKUP(A292,NYSEARCAVWO!A$2:G$506,6,0)</f>
        <v>16445928</v>
      </c>
      <c r="F292">
        <f>VLOOKUP(A292,NYSEARCABND!A$2:G$506,6,0)</f>
        <v>2233910</v>
      </c>
      <c r="G292">
        <f>VLOOKUP(A292,NYSEARCATIP!A$2:G$506,6,0)</f>
        <v>2211581</v>
      </c>
      <c r="H292">
        <f>VLOOKUP(A292,NYSEARCAMUB!A$2:G$506,6,0)</f>
        <v>414584</v>
      </c>
      <c r="I292">
        <f>VLOOKUP(A292,NYSEARCAVNQ!A$2:G$506,6,0)</f>
        <v>3345614</v>
      </c>
      <c r="J292">
        <f>VLOOKUP(A292,NYSEARCARWX!A$2:G$506,6,0)</f>
        <v>514256</v>
      </c>
      <c r="K292">
        <f>VLOOKUP(A292,NYSEARCADBC!A$2:G$506,6,0)</f>
        <v>1406839</v>
      </c>
      <c r="L292">
        <f>VLOOKUP(A292,NYSEARCAGSG!A$2:G$506,6,0)</f>
        <v>98382</v>
      </c>
      <c r="M292">
        <f>VLOOKUP(A292,NYSEARCAGLD!A$2:G$506,6,0)</f>
        <v>13892073</v>
      </c>
      <c r="N292">
        <f>VLOOKUP(A292,NYSEBP!A$2:G$506,6,0)</f>
        <v>6032430</v>
      </c>
      <c r="O292">
        <f>VLOOKUP(A292,NASDAQYHOO!A$2:G$506,6,0)</f>
        <v>13513375</v>
      </c>
    </row>
    <row r="293" spans="1:15">
      <c r="A293" s="39">
        <v>42569</v>
      </c>
      <c r="B293">
        <v>5457313</v>
      </c>
      <c r="C293">
        <f>VLOOKUP(A293,NYSEARCAVTI!A$2:G$506,6,0)</f>
        <v>1360000</v>
      </c>
      <c r="D293">
        <f>VLOOKUP(A293,NYSEARCAVEU!A$2:G$506,6,0)</f>
        <v>1769467</v>
      </c>
      <c r="E293">
        <f>VLOOKUP(A293,NYSEARCAVWO!A$2:G$506,6,0)</f>
        <v>10288418</v>
      </c>
      <c r="F293">
        <f>VLOOKUP(A293,NYSEARCABND!A$2:G$506,6,0)</f>
        <v>2155882</v>
      </c>
      <c r="G293">
        <f>VLOOKUP(A293,NYSEARCATIP!A$2:G$506,6,0)</f>
        <v>928189</v>
      </c>
      <c r="H293">
        <f>VLOOKUP(A293,NYSEARCAMUB!A$2:G$506,6,0)</f>
        <v>366421</v>
      </c>
      <c r="I293">
        <f>VLOOKUP(A293,NYSEARCAVNQ!A$2:G$506,6,0)</f>
        <v>2699729</v>
      </c>
      <c r="J293">
        <f>VLOOKUP(A293,NYSEARCARWX!A$2:G$506,6,0)</f>
        <v>339891</v>
      </c>
      <c r="K293">
        <f>VLOOKUP(A293,NYSEARCADBC!A$2:G$506,6,0)</f>
        <v>1465052</v>
      </c>
      <c r="L293">
        <f>VLOOKUP(A293,NYSEARCAGSG!A$2:G$506,6,0)</f>
        <v>365236</v>
      </c>
      <c r="M293">
        <f>VLOOKUP(A293,NYSEARCAGLD!A$2:G$506,6,0)</f>
        <v>8489677</v>
      </c>
      <c r="N293">
        <f>VLOOKUP(A293,NYSEBP!A$2:G$506,6,0)</f>
        <v>5608496</v>
      </c>
      <c r="O293">
        <f>VLOOKUP(A293,NASDAQYHOO!A$2:G$506,6,0)</f>
        <v>16046777</v>
      </c>
    </row>
    <row r="294" spans="1:15">
      <c r="A294" s="39">
        <v>42570</v>
      </c>
      <c r="B294">
        <v>4798083</v>
      </c>
      <c r="C294">
        <f>VLOOKUP(A294,NYSEARCAVTI!A$2:G$506,6,0)</f>
        <v>3154201</v>
      </c>
      <c r="D294">
        <f>VLOOKUP(A294,NYSEARCAVEU!A$2:G$506,6,0)</f>
        <v>888961</v>
      </c>
      <c r="E294">
        <f>VLOOKUP(A294,NYSEARCAVWO!A$2:G$506,6,0)</f>
        <v>10503759</v>
      </c>
      <c r="F294">
        <f>VLOOKUP(A294,NYSEARCABND!A$2:G$506,6,0)</f>
        <v>1559682</v>
      </c>
      <c r="G294">
        <f>VLOOKUP(A294,NYSEARCATIP!A$2:G$506,6,0)</f>
        <v>1040113</v>
      </c>
      <c r="H294">
        <f>VLOOKUP(A294,NYSEARCAMUB!A$2:G$506,6,0)</f>
        <v>278413</v>
      </c>
      <c r="I294">
        <f>VLOOKUP(A294,NYSEARCAVNQ!A$2:G$506,6,0)</f>
        <v>1916544</v>
      </c>
      <c r="J294">
        <f>VLOOKUP(A294,NYSEARCARWX!A$2:G$506,6,0)</f>
        <v>239172</v>
      </c>
      <c r="K294">
        <f>VLOOKUP(A294,NYSEARCADBC!A$2:G$506,6,0)</f>
        <v>854286</v>
      </c>
      <c r="L294">
        <f>VLOOKUP(A294,NYSEARCAGSG!A$2:G$506,6,0)</f>
        <v>204143</v>
      </c>
      <c r="M294">
        <f>VLOOKUP(A294,NYSEARCAGLD!A$2:G$506,6,0)</f>
        <v>5170665</v>
      </c>
      <c r="N294">
        <f>VLOOKUP(A294,NYSEBP!A$2:G$506,6,0)</f>
        <v>5346676</v>
      </c>
      <c r="O294">
        <f>VLOOKUP(A294,NASDAQYHOO!A$2:G$506,6,0)</f>
        <v>10393957</v>
      </c>
    </row>
    <row r="295" spans="1:15">
      <c r="A295" s="39">
        <v>42571</v>
      </c>
      <c r="B295">
        <v>5281986</v>
      </c>
      <c r="C295">
        <f>VLOOKUP(A295,NYSEARCAVTI!A$2:G$506,6,0)</f>
        <v>1135936</v>
      </c>
      <c r="D295">
        <f>VLOOKUP(A295,NYSEARCAVEU!A$2:G$506,6,0)</f>
        <v>1356446</v>
      </c>
      <c r="E295">
        <f>VLOOKUP(A295,NYSEARCAVWO!A$2:G$506,6,0)</f>
        <v>7415812</v>
      </c>
      <c r="F295">
        <f>VLOOKUP(A295,NYSEARCABND!A$2:G$506,6,0)</f>
        <v>1688080</v>
      </c>
      <c r="G295">
        <f>VLOOKUP(A295,NYSEARCATIP!A$2:G$506,6,0)</f>
        <v>789601</v>
      </c>
      <c r="H295">
        <f>VLOOKUP(A295,NYSEARCAMUB!A$2:G$506,6,0)</f>
        <v>367229</v>
      </c>
      <c r="I295">
        <f>VLOOKUP(A295,NYSEARCAVNQ!A$2:G$506,6,0)</f>
        <v>2100678</v>
      </c>
      <c r="J295">
        <f>VLOOKUP(A295,NYSEARCARWX!A$2:G$506,6,0)</f>
        <v>267895</v>
      </c>
      <c r="K295">
        <f>VLOOKUP(A295,NYSEARCADBC!A$2:G$506,6,0)</f>
        <v>1813094</v>
      </c>
      <c r="L295">
        <f>VLOOKUP(A295,NYSEARCAGSG!A$2:G$506,6,0)</f>
        <v>151042</v>
      </c>
      <c r="M295">
        <f>VLOOKUP(A295,NYSEARCAGLD!A$2:G$506,6,0)</f>
        <v>11777708</v>
      </c>
      <c r="N295">
        <f>VLOOKUP(A295,NYSEBP!A$2:G$506,6,0)</f>
        <v>5153621</v>
      </c>
      <c r="O295">
        <f>VLOOKUP(A295,NASDAQYHOO!A$2:G$506,6,0)</f>
        <v>8177973</v>
      </c>
    </row>
    <row r="296" spans="1:15">
      <c r="A296" s="39">
        <v>42572</v>
      </c>
      <c r="B296">
        <v>4432231</v>
      </c>
      <c r="C296">
        <f>VLOOKUP(A296,NYSEARCAVTI!A$2:G$506,6,0)</f>
        <v>3393453</v>
      </c>
      <c r="D296">
        <f>VLOOKUP(A296,NYSEARCAVEU!A$2:G$506,6,0)</f>
        <v>2575450</v>
      </c>
      <c r="E296">
        <f>VLOOKUP(A296,NYSEARCAVWO!A$2:G$506,6,0)</f>
        <v>10652254</v>
      </c>
      <c r="F296">
        <f>VLOOKUP(A296,NYSEARCABND!A$2:G$506,6,0)</f>
        <v>2076049</v>
      </c>
      <c r="G296">
        <f>VLOOKUP(A296,NYSEARCATIP!A$2:G$506,6,0)</f>
        <v>645943</v>
      </c>
      <c r="H296">
        <f>VLOOKUP(A296,NYSEARCAMUB!A$2:G$506,6,0)</f>
        <v>537450</v>
      </c>
      <c r="I296">
        <f>VLOOKUP(A296,NYSEARCAVNQ!A$2:G$506,6,0)</f>
        <v>2179581</v>
      </c>
      <c r="J296">
        <f>VLOOKUP(A296,NYSEARCARWX!A$2:G$506,6,0)</f>
        <v>1063848</v>
      </c>
      <c r="K296">
        <f>VLOOKUP(A296,NYSEARCADBC!A$2:G$506,6,0)</f>
        <v>1309034</v>
      </c>
      <c r="L296">
        <f>VLOOKUP(A296,NYSEARCAGSG!A$2:G$506,6,0)</f>
        <v>68152</v>
      </c>
      <c r="M296">
        <f>VLOOKUP(A296,NYSEARCAGLD!A$2:G$506,6,0)</f>
        <v>9399212</v>
      </c>
      <c r="N296">
        <f>VLOOKUP(A296,NYSEBP!A$2:G$506,6,0)</f>
        <v>4023135</v>
      </c>
      <c r="O296">
        <f>VLOOKUP(A296,NASDAQYHOO!A$2:G$506,6,0)</f>
        <v>7671760</v>
      </c>
    </row>
    <row r="297" spans="1:15">
      <c r="A297" s="39">
        <v>42573</v>
      </c>
      <c r="B297">
        <v>4316633</v>
      </c>
      <c r="C297">
        <f>VLOOKUP(A297,NYSEARCAVTI!A$2:G$506,6,0)</f>
        <v>3546728</v>
      </c>
      <c r="D297">
        <f>VLOOKUP(A297,NYSEARCAVEU!A$2:G$506,6,0)</f>
        <v>1573884</v>
      </c>
      <c r="E297">
        <f>VLOOKUP(A297,NYSEARCAVWO!A$2:G$506,6,0)</f>
        <v>13090061</v>
      </c>
      <c r="F297">
        <f>VLOOKUP(A297,NYSEARCABND!A$2:G$506,6,0)</f>
        <v>1611974</v>
      </c>
      <c r="G297">
        <f>VLOOKUP(A297,NYSEARCATIP!A$2:G$506,6,0)</f>
        <v>820558</v>
      </c>
      <c r="H297">
        <f>VLOOKUP(A297,NYSEARCAMUB!A$2:G$506,6,0)</f>
        <v>259156</v>
      </c>
      <c r="I297">
        <f>VLOOKUP(A297,NYSEARCAVNQ!A$2:G$506,6,0)</f>
        <v>2482896</v>
      </c>
      <c r="J297">
        <f>VLOOKUP(A297,NYSEARCARWX!A$2:G$506,6,0)</f>
        <v>325435</v>
      </c>
      <c r="K297">
        <f>VLOOKUP(A297,NYSEARCADBC!A$2:G$506,6,0)</f>
        <v>1728287</v>
      </c>
      <c r="L297">
        <f>VLOOKUP(A297,NYSEARCAGSG!A$2:G$506,6,0)</f>
        <v>353696</v>
      </c>
      <c r="M297">
        <f>VLOOKUP(A297,NYSEARCAGLD!A$2:G$506,6,0)</f>
        <v>7716032</v>
      </c>
      <c r="N297">
        <f>VLOOKUP(A297,NYSEBP!A$2:G$506,6,0)</f>
        <v>5635630</v>
      </c>
      <c r="O297">
        <f>VLOOKUP(A297,NASDAQYHOO!A$2:G$506,6,0)</f>
        <v>11325660</v>
      </c>
    </row>
    <row r="298" spans="1:15">
      <c r="A298" s="39">
        <v>42576</v>
      </c>
      <c r="B298">
        <v>4733956</v>
      </c>
      <c r="C298">
        <f>VLOOKUP(A298,NYSEARCAVTI!A$2:G$506,6,0)</f>
        <v>1394356</v>
      </c>
      <c r="D298">
        <f>VLOOKUP(A298,NYSEARCAVEU!A$2:G$506,6,0)</f>
        <v>940022</v>
      </c>
      <c r="E298">
        <f>VLOOKUP(A298,NYSEARCAVWO!A$2:G$506,6,0)</f>
        <v>7189158</v>
      </c>
      <c r="F298">
        <f>VLOOKUP(A298,NYSEARCABND!A$2:G$506,6,0)</f>
        <v>1204613</v>
      </c>
      <c r="G298">
        <f>VLOOKUP(A298,NYSEARCATIP!A$2:G$506,6,0)</f>
        <v>770015</v>
      </c>
      <c r="H298">
        <f>VLOOKUP(A298,NYSEARCAMUB!A$2:G$506,6,0)</f>
        <v>485975</v>
      </c>
      <c r="I298">
        <f>VLOOKUP(A298,NYSEARCAVNQ!A$2:G$506,6,0)</f>
        <v>2374746</v>
      </c>
      <c r="J298">
        <f>VLOOKUP(A298,NYSEARCARWX!A$2:G$506,6,0)</f>
        <v>268681</v>
      </c>
      <c r="K298">
        <f>VLOOKUP(A298,NYSEARCADBC!A$2:G$506,6,0)</f>
        <v>1248359</v>
      </c>
      <c r="L298">
        <f>VLOOKUP(A298,NYSEARCAGSG!A$2:G$506,6,0)</f>
        <v>98937</v>
      </c>
      <c r="M298">
        <f>VLOOKUP(A298,NYSEARCAGLD!A$2:G$506,6,0)</f>
        <v>13139408</v>
      </c>
      <c r="N298">
        <f>VLOOKUP(A298,NYSEBP!A$2:G$506,6,0)</f>
        <v>10941289</v>
      </c>
      <c r="O298">
        <f>VLOOKUP(A298,NASDAQYHOO!A$2:G$506,6,0)</f>
        <v>41814378</v>
      </c>
    </row>
    <row r="299" spans="1:15">
      <c r="A299" s="39">
        <v>42577</v>
      </c>
      <c r="B299">
        <v>5248283</v>
      </c>
      <c r="C299">
        <f>VLOOKUP(A299,NYSEARCAVTI!A$2:G$506,6,0)</f>
        <v>1432674</v>
      </c>
      <c r="D299">
        <f>VLOOKUP(A299,NYSEARCAVEU!A$2:G$506,6,0)</f>
        <v>1336952</v>
      </c>
      <c r="E299">
        <f>VLOOKUP(A299,NYSEARCAVWO!A$2:G$506,6,0)</f>
        <v>12670168</v>
      </c>
      <c r="F299">
        <f>VLOOKUP(A299,NYSEARCABND!A$2:G$506,6,0)</f>
        <v>2385382</v>
      </c>
      <c r="G299">
        <f>VLOOKUP(A299,NYSEARCATIP!A$2:G$506,6,0)</f>
        <v>928778</v>
      </c>
      <c r="H299">
        <f>VLOOKUP(A299,NYSEARCAMUB!A$2:G$506,6,0)</f>
        <v>412420</v>
      </c>
      <c r="I299">
        <f>VLOOKUP(A299,NYSEARCAVNQ!A$2:G$506,6,0)</f>
        <v>2460855</v>
      </c>
      <c r="J299">
        <f>VLOOKUP(A299,NYSEARCARWX!A$2:G$506,6,0)</f>
        <v>339088</v>
      </c>
      <c r="K299">
        <f>VLOOKUP(A299,NYSEARCADBC!A$2:G$506,6,0)</f>
        <v>1451602</v>
      </c>
      <c r="L299">
        <f>VLOOKUP(A299,NYSEARCAGSG!A$2:G$506,6,0)</f>
        <v>151189</v>
      </c>
      <c r="M299">
        <f>VLOOKUP(A299,NYSEARCAGLD!A$2:G$506,6,0)</f>
        <v>7613155</v>
      </c>
      <c r="N299">
        <f>VLOOKUP(A299,NYSEBP!A$2:G$506,6,0)</f>
        <v>8645952</v>
      </c>
      <c r="O299">
        <f>VLOOKUP(A299,NASDAQYHOO!A$2:G$506,6,0)</f>
        <v>15978647</v>
      </c>
    </row>
    <row r="300" spans="1:15">
      <c r="A300" s="39">
        <v>42578</v>
      </c>
      <c r="B300">
        <v>5777916</v>
      </c>
      <c r="C300">
        <f>VLOOKUP(A300,NYSEARCAVTI!A$2:G$506,6,0)</f>
        <v>1977540</v>
      </c>
      <c r="D300">
        <f>VLOOKUP(A300,NYSEARCAVEU!A$2:G$506,6,0)</f>
        <v>1710151</v>
      </c>
      <c r="E300">
        <f>VLOOKUP(A300,NYSEARCAVWO!A$2:G$506,6,0)</f>
        <v>13836348</v>
      </c>
      <c r="F300">
        <f>VLOOKUP(A300,NYSEARCABND!A$2:G$506,6,0)</f>
        <v>1575358</v>
      </c>
      <c r="G300">
        <f>VLOOKUP(A300,NYSEARCATIP!A$2:G$506,6,0)</f>
        <v>714230</v>
      </c>
      <c r="H300">
        <f>VLOOKUP(A300,NYSEARCAMUB!A$2:G$506,6,0)</f>
        <v>542022</v>
      </c>
      <c r="I300">
        <f>VLOOKUP(A300,NYSEARCAVNQ!A$2:G$506,6,0)</f>
        <v>3935234</v>
      </c>
      <c r="J300">
        <f>VLOOKUP(A300,NYSEARCARWX!A$2:G$506,6,0)</f>
        <v>441030</v>
      </c>
      <c r="K300">
        <f>VLOOKUP(A300,NYSEARCADBC!A$2:G$506,6,0)</f>
        <v>2628932</v>
      </c>
      <c r="L300">
        <f>VLOOKUP(A300,NYSEARCAGSG!A$2:G$506,6,0)</f>
        <v>780619</v>
      </c>
      <c r="M300">
        <f>VLOOKUP(A300,NYSEARCAGLD!A$2:G$506,6,0)</f>
        <v>17066363</v>
      </c>
      <c r="N300">
        <f>VLOOKUP(A300,NYSEBP!A$2:G$506,6,0)</f>
        <v>8424142</v>
      </c>
      <c r="O300">
        <f>VLOOKUP(A300,NASDAQYHOO!A$2:G$506,6,0)</f>
        <v>12148433</v>
      </c>
    </row>
    <row r="301" spans="1:15">
      <c r="A301" s="39">
        <v>42579</v>
      </c>
      <c r="B301">
        <v>4603167</v>
      </c>
      <c r="C301">
        <f>VLOOKUP(A301,NYSEARCAVTI!A$2:G$506,6,0)</f>
        <v>1945813</v>
      </c>
      <c r="D301">
        <f>VLOOKUP(A301,NYSEARCAVEU!A$2:G$506,6,0)</f>
        <v>783179</v>
      </c>
      <c r="E301">
        <f>VLOOKUP(A301,NYSEARCAVWO!A$2:G$506,6,0)</f>
        <v>8528456</v>
      </c>
      <c r="F301">
        <f>VLOOKUP(A301,NYSEARCABND!A$2:G$506,6,0)</f>
        <v>1418956</v>
      </c>
      <c r="G301">
        <f>VLOOKUP(A301,NYSEARCATIP!A$2:G$506,6,0)</f>
        <v>1113334</v>
      </c>
      <c r="H301">
        <f>VLOOKUP(A301,NYSEARCAMUB!A$2:G$506,6,0)</f>
        <v>328679</v>
      </c>
      <c r="I301">
        <f>VLOOKUP(A301,NYSEARCAVNQ!A$2:G$506,6,0)</f>
        <v>2853289</v>
      </c>
      <c r="J301">
        <f>VLOOKUP(A301,NYSEARCARWX!A$2:G$506,6,0)</f>
        <v>496513</v>
      </c>
      <c r="K301">
        <f>VLOOKUP(A301,NYSEARCADBC!A$2:G$506,6,0)</f>
        <v>1234980</v>
      </c>
      <c r="L301">
        <f>VLOOKUP(A301,NYSEARCAGSG!A$2:G$506,6,0)</f>
        <v>368868</v>
      </c>
      <c r="M301">
        <f>VLOOKUP(A301,NYSEARCAGLD!A$2:G$506,6,0)</f>
        <v>9261756</v>
      </c>
      <c r="N301">
        <f>VLOOKUP(A301,NYSEBP!A$2:G$506,6,0)</f>
        <v>9295001</v>
      </c>
      <c r="O301">
        <f>VLOOKUP(A301,NASDAQYHOO!A$2:G$506,6,0)</f>
        <v>7424404</v>
      </c>
    </row>
    <row r="302" spans="1:15">
      <c r="A302" s="39">
        <v>42580</v>
      </c>
      <c r="B302">
        <v>6302187</v>
      </c>
      <c r="C302">
        <f>VLOOKUP(A302,NYSEARCAVTI!A$2:G$506,6,0)</f>
        <v>1638362</v>
      </c>
      <c r="D302">
        <f>VLOOKUP(A302,NYSEARCAVEU!A$2:G$506,6,0)</f>
        <v>1787230</v>
      </c>
      <c r="E302">
        <f>VLOOKUP(A302,NYSEARCAVWO!A$2:G$506,6,0)</f>
        <v>17030811</v>
      </c>
      <c r="F302">
        <f>VLOOKUP(A302,NYSEARCABND!A$2:G$506,6,0)</f>
        <v>2758096</v>
      </c>
      <c r="G302">
        <f>VLOOKUP(A302,NYSEARCATIP!A$2:G$506,6,0)</f>
        <v>971805</v>
      </c>
      <c r="H302">
        <f>VLOOKUP(A302,NYSEARCAMUB!A$2:G$506,6,0)</f>
        <v>305969</v>
      </c>
      <c r="I302">
        <f>VLOOKUP(A302,NYSEARCAVNQ!A$2:G$506,6,0)</f>
        <v>3502575</v>
      </c>
      <c r="J302">
        <f>VLOOKUP(A302,NYSEARCARWX!A$2:G$506,6,0)</f>
        <v>518852</v>
      </c>
      <c r="K302">
        <f>VLOOKUP(A302,NYSEARCADBC!A$2:G$506,6,0)</f>
        <v>3017350</v>
      </c>
      <c r="L302">
        <f>VLOOKUP(A302,NYSEARCAGSG!A$2:G$506,6,0)</f>
        <v>3972440</v>
      </c>
      <c r="M302">
        <f>VLOOKUP(A302,NYSEARCAGLD!A$2:G$506,6,0)</f>
        <v>13708194</v>
      </c>
      <c r="N302">
        <f>VLOOKUP(A302,NYSEBP!A$2:G$506,6,0)</f>
        <v>6349495</v>
      </c>
      <c r="O302">
        <f>VLOOKUP(A302,NASDAQYHOO!A$2:G$506,6,0)</f>
        <v>13199145</v>
      </c>
    </row>
    <row r="303" spans="1:15">
      <c r="A303" s="39">
        <v>42583</v>
      </c>
      <c r="B303">
        <v>5868395</v>
      </c>
      <c r="C303">
        <f>VLOOKUP(A303,NYSEARCAVTI!A$2:G$506,6,0)</f>
        <v>2093446</v>
      </c>
      <c r="D303">
        <f>VLOOKUP(A303,NYSEARCAVEU!A$2:G$506,6,0)</f>
        <v>2300358</v>
      </c>
      <c r="E303">
        <f>VLOOKUP(A303,NYSEARCAVWO!A$2:G$506,6,0)</f>
        <v>11055040</v>
      </c>
      <c r="F303">
        <f>VLOOKUP(A303,NYSEARCABND!A$2:G$506,6,0)</f>
        <v>3705684</v>
      </c>
      <c r="G303">
        <f>VLOOKUP(A303,NYSEARCATIP!A$2:G$506,6,0)</f>
        <v>3330822</v>
      </c>
      <c r="H303">
        <f>VLOOKUP(A303,NYSEARCAMUB!A$2:G$506,6,0)</f>
        <v>396625</v>
      </c>
      <c r="I303">
        <f>VLOOKUP(A303,NYSEARCAVNQ!A$2:G$506,6,0)</f>
        <v>3335062</v>
      </c>
      <c r="J303">
        <f>VLOOKUP(A303,NYSEARCARWX!A$2:G$506,6,0)</f>
        <v>426380</v>
      </c>
      <c r="K303">
        <f>VLOOKUP(A303,NYSEARCADBC!A$2:G$506,6,0)</f>
        <v>4540620</v>
      </c>
      <c r="L303">
        <f>VLOOKUP(A303,NYSEARCAGSG!A$2:G$506,6,0)</f>
        <v>6065910</v>
      </c>
      <c r="M303">
        <f>VLOOKUP(A303,NYSEARCAGLD!A$2:G$506,6,0)</f>
        <v>7109898</v>
      </c>
      <c r="N303">
        <f>VLOOKUP(A303,NYSEBP!A$2:G$506,6,0)</f>
        <v>11808579</v>
      </c>
      <c r="O303">
        <f>VLOOKUP(A303,NASDAQYHOO!A$2:G$506,6,0)</f>
        <v>9605006</v>
      </c>
    </row>
    <row r="304" spans="1:15">
      <c r="A304" s="39">
        <v>42584</v>
      </c>
      <c r="B304">
        <v>6513056</v>
      </c>
      <c r="C304">
        <f>VLOOKUP(A304,NYSEARCAVTI!A$2:G$506,6,0)</f>
        <v>2473899</v>
      </c>
      <c r="D304">
        <f>VLOOKUP(A304,NYSEARCAVEU!A$2:G$506,6,0)</f>
        <v>2471107</v>
      </c>
      <c r="E304">
        <f>VLOOKUP(A304,NYSEARCAVWO!A$2:G$506,6,0)</f>
        <v>12871347</v>
      </c>
      <c r="F304">
        <f>VLOOKUP(A304,NYSEARCABND!A$2:G$506,6,0)</f>
        <v>4575748</v>
      </c>
      <c r="G304">
        <f>VLOOKUP(A304,NYSEARCATIP!A$2:G$506,6,0)</f>
        <v>1182506</v>
      </c>
      <c r="H304">
        <f>VLOOKUP(A304,NYSEARCAMUB!A$2:G$506,6,0)</f>
        <v>350732</v>
      </c>
      <c r="I304">
        <f>VLOOKUP(A304,NYSEARCAVNQ!A$2:G$506,6,0)</f>
        <v>3877133</v>
      </c>
      <c r="J304">
        <f>VLOOKUP(A304,NYSEARCARWX!A$2:G$506,6,0)</f>
        <v>477058</v>
      </c>
      <c r="K304">
        <f>VLOOKUP(A304,NYSEARCADBC!A$2:G$506,6,0)</f>
        <v>3700342</v>
      </c>
      <c r="L304">
        <f>VLOOKUP(A304,NYSEARCAGSG!A$2:G$506,6,0)</f>
        <v>1017669</v>
      </c>
      <c r="M304">
        <f>VLOOKUP(A304,NYSEARCAGLD!A$2:G$506,6,0)</f>
        <v>7652767</v>
      </c>
      <c r="N304">
        <f>VLOOKUP(A304,NYSEBP!A$2:G$506,6,0)</f>
        <v>9236016</v>
      </c>
      <c r="O304">
        <f>VLOOKUP(A304,NASDAQYHOO!A$2:G$506,6,0)</f>
        <v>7504721</v>
      </c>
    </row>
    <row r="305" spans="1:15">
      <c r="A305" s="39">
        <v>42585</v>
      </c>
      <c r="B305">
        <v>6568133</v>
      </c>
      <c r="C305">
        <f>VLOOKUP(A305,NYSEARCAVTI!A$2:G$506,6,0)</f>
        <v>1353615</v>
      </c>
      <c r="D305">
        <f>VLOOKUP(A305,NYSEARCAVEU!A$2:G$506,6,0)</f>
        <v>1514074</v>
      </c>
      <c r="E305">
        <f>VLOOKUP(A305,NYSEARCAVWO!A$2:G$506,6,0)</f>
        <v>14441652</v>
      </c>
      <c r="F305">
        <f>VLOOKUP(A305,NYSEARCABND!A$2:G$506,6,0)</f>
        <v>3472357</v>
      </c>
      <c r="G305">
        <f>VLOOKUP(A305,NYSEARCATIP!A$2:G$506,6,0)</f>
        <v>968519</v>
      </c>
      <c r="H305">
        <f>VLOOKUP(A305,NYSEARCAMUB!A$2:G$506,6,0)</f>
        <v>383080</v>
      </c>
      <c r="I305">
        <f>VLOOKUP(A305,NYSEARCAVNQ!A$2:G$506,6,0)</f>
        <v>3829397</v>
      </c>
      <c r="J305">
        <f>VLOOKUP(A305,NYSEARCARWX!A$2:G$506,6,0)</f>
        <v>562172</v>
      </c>
      <c r="K305">
        <f>VLOOKUP(A305,NYSEARCADBC!A$2:G$506,6,0)</f>
        <v>2559565</v>
      </c>
      <c r="L305">
        <f>VLOOKUP(A305,NYSEARCAGSG!A$2:G$506,6,0)</f>
        <v>167887</v>
      </c>
      <c r="M305">
        <f>VLOOKUP(A305,NYSEARCAGLD!A$2:G$506,6,0)</f>
        <v>5010703</v>
      </c>
      <c r="N305">
        <f>VLOOKUP(A305,NYSEBP!A$2:G$506,6,0)</f>
        <v>9514159</v>
      </c>
      <c r="O305">
        <f>VLOOKUP(A305,NASDAQYHOO!A$2:G$506,6,0)</f>
        <v>5890051</v>
      </c>
    </row>
    <row r="306" spans="1:15">
      <c r="A306" s="39">
        <v>42586</v>
      </c>
      <c r="B306">
        <v>4944907</v>
      </c>
      <c r="C306">
        <f>VLOOKUP(A306,NYSEARCAVTI!A$2:G$506,6,0)</f>
        <v>1113557</v>
      </c>
      <c r="D306">
        <f>VLOOKUP(A306,NYSEARCAVEU!A$2:G$506,6,0)</f>
        <v>953298</v>
      </c>
      <c r="E306">
        <f>VLOOKUP(A306,NYSEARCAVWO!A$2:G$506,6,0)</f>
        <v>17134115</v>
      </c>
      <c r="F306">
        <f>VLOOKUP(A306,NYSEARCABND!A$2:G$506,6,0)</f>
        <v>1202019</v>
      </c>
      <c r="G306">
        <f>VLOOKUP(A306,NYSEARCATIP!A$2:G$506,6,0)</f>
        <v>591008</v>
      </c>
      <c r="H306">
        <f>VLOOKUP(A306,NYSEARCAMUB!A$2:G$506,6,0)</f>
        <v>394657</v>
      </c>
      <c r="I306">
        <f>VLOOKUP(A306,NYSEARCAVNQ!A$2:G$506,6,0)</f>
        <v>2649733</v>
      </c>
      <c r="J306">
        <f>VLOOKUP(A306,NYSEARCARWX!A$2:G$506,6,0)</f>
        <v>482679</v>
      </c>
      <c r="K306">
        <f>VLOOKUP(A306,NYSEARCADBC!A$2:G$506,6,0)</f>
        <v>1414638</v>
      </c>
      <c r="L306">
        <f>VLOOKUP(A306,NYSEARCAGSG!A$2:G$506,6,0)</f>
        <v>375034</v>
      </c>
      <c r="M306">
        <f>VLOOKUP(A306,NYSEARCAGLD!A$2:G$506,6,0)</f>
        <v>4908131</v>
      </c>
      <c r="N306">
        <f>VLOOKUP(A306,NYSEBP!A$2:G$506,6,0)</f>
        <v>6920523</v>
      </c>
      <c r="O306">
        <f>VLOOKUP(A306,NASDAQYHOO!A$2:G$506,6,0)</f>
        <v>11000843</v>
      </c>
    </row>
    <row r="307" spans="1:15">
      <c r="A307" s="39">
        <v>42587</v>
      </c>
      <c r="B307">
        <v>5415442</v>
      </c>
      <c r="C307">
        <f>VLOOKUP(A307,NYSEARCAVTI!A$2:G$506,6,0)</f>
        <v>1379619</v>
      </c>
      <c r="D307">
        <f>VLOOKUP(A307,NYSEARCAVEU!A$2:G$506,6,0)</f>
        <v>4728053</v>
      </c>
      <c r="E307">
        <f>VLOOKUP(A307,NYSEARCAVWO!A$2:G$506,6,0)</f>
        <v>12316509</v>
      </c>
      <c r="F307">
        <f>VLOOKUP(A307,NYSEARCABND!A$2:G$506,6,0)</f>
        <v>2018671</v>
      </c>
      <c r="G307">
        <f>VLOOKUP(A307,NYSEARCATIP!A$2:G$506,6,0)</f>
        <v>628924</v>
      </c>
      <c r="H307">
        <f>VLOOKUP(A307,NYSEARCAMUB!A$2:G$506,6,0)</f>
        <v>270846</v>
      </c>
      <c r="I307">
        <f>VLOOKUP(A307,NYSEARCAVNQ!A$2:G$506,6,0)</f>
        <v>2941629</v>
      </c>
      <c r="J307">
        <f>VLOOKUP(A307,NYSEARCARWX!A$2:G$506,6,0)</f>
        <v>391466</v>
      </c>
      <c r="K307">
        <f>VLOOKUP(A307,NYSEARCADBC!A$2:G$506,6,0)</f>
        <v>2201449</v>
      </c>
      <c r="L307">
        <f>VLOOKUP(A307,NYSEARCAGSG!A$2:G$506,6,0)</f>
        <v>297111</v>
      </c>
      <c r="M307">
        <f>VLOOKUP(A307,NYSEARCAGLD!A$2:G$506,6,0)</f>
        <v>16205122</v>
      </c>
      <c r="N307">
        <f>VLOOKUP(A307,NYSEBP!A$2:G$506,6,0)</f>
        <v>6104672</v>
      </c>
      <c r="O307">
        <f>VLOOKUP(A307,NASDAQYHOO!A$2:G$506,6,0)</f>
        <v>9127094</v>
      </c>
    </row>
    <row r="308" spans="1:15">
      <c r="A308" s="39">
        <v>42590</v>
      </c>
      <c r="B308">
        <v>6577187</v>
      </c>
      <c r="C308">
        <f>VLOOKUP(A308,NYSEARCAVTI!A$2:G$506,6,0)</f>
        <v>1238769</v>
      </c>
      <c r="D308">
        <f>VLOOKUP(A308,NYSEARCAVEU!A$2:G$506,6,0)</f>
        <v>766695</v>
      </c>
      <c r="E308">
        <f>VLOOKUP(A308,NYSEARCAVWO!A$2:G$506,6,0)</f>
        <v>8541750</v>
      </c>
      <c r="F308">
        <f>VLOOKUP(A308,NYSEARCABND!A$2:G$506,6,0)</f>
        <v>1843105</v>
      </c>
      <c r="G308">
        <f>VLOOKUP(A308,NYSEARCATIP!A$2:G$506,6,0)</f>
        <v>881265</v>
      </c>
      <c r="H308">
        <f>VLOOKUP(A308,NYSEARCAMUB!A$2:G$506,6,0)</f>
        <v>389707</v>
      </c>
      <c r="I308">
        <f>VLOOKUP(A308,NYSEARCAVNQ!A$2:G$506,6,0)</f>
        <v>2240225</v>
      </c>
      <c r="J308">
        <f>VLOOKUP(A308,NYSEARCARWX!A$2:G$506,6,0)</f>
        <v>1109681</v>
      </c>
      <c r="K308">
        <f>VLOOKUP(A308,NYSEARCADBC!A$2:G$506,6,0)</f>
        <v>2999929</v>
      </c>
      <c r="L308">
        <f>VLOOKUP(A308,NYSEARCAGSG!A$2:G$506,6,0)</f>
        <v>227016</v>
      </c>
      <c r="M308">
        <f>VLOOKUP(A308,NYSEARCAGLD!A$2:G$506,6,0)</f>
        <v>6773804</v>
      </c>
      <c r="N308">
        <f>VLOOKUP(A308,NYSEBP!A$2:G$506,6,0)</f>
        <v>6020377</v>
      </c>
      <c r="O308">
        <f>VLOOKUP(A308,NASDAQYHOO!A$2:G$506,6,0)</f>
        <v>10131279</v>
      </c>
    </row>
    <row r="309" spans="1:15">
      <c r="A309" s="39">
        <v>42591</v>
      </c>
      <c r="B309">
        <v>6427875</v>
      </c>
      <c r="C309">
        <f>VLOOKUP(A309,NYSEARCAVTI!A$2:G$506,6,0)</f>
        <v>1032620</v>
      </c>
      <c r="D309">
        <f>VLOOKUP(A309,NYSEARCAVEU!A$2:G$506,6,0)</f>
        <v>1253065</v>
      </c>
      <c r="E309">
        <f>VLOOKUP(A309,NYSEARCAVWO!A$2:G$506,6,0)</f>
        <v>12643362</v>
      </c>
      <c r="F309">
        <f>VLOOKUP(A309,NYSEARCABND!A$2:G$506,6,0)</f>
        <v>2262683</v>
      </c>
      <c r="G309">
        <f>VLOOKUP(A309,NYSEARCATIP!A$2:G$506,6,0)</f>
        <v>633021</v>
      </c>
      <c r="H309">
        <f>VLOOKUP(A309,NYSEARCAMUB!A$2:G$506,6,0)</f>
        <v>548996</v>
      </c>
      <c r="I309">
        <f>VLOOKUP(A309,NYSEARCAVNQ!A$2:G$506,6,0)</f>
        <v>3474348</v>
      </c>
      <c r="J309">
        <f>VLOOKUP(A309,NYSEARCARWX!A$2:G$506,6,0)</f>
        <v>537380</v>
      </c>
      <c r="K309">
        <f>VLOOKUP(A309,NYSEARCADBC!A$2:G$506,6,0)</f>
        <v>1660337</v>
      </c>
      <c r="L309">
        <f>VLOOKUP(A309,NYSEARCAGSG!A$2:G$506,6,0)</f>
        <v>605733</v>
      </c>
      <c r="M309">
        <f>VLOOKUP(A309,NYSEARCAGLD!A$2:G$506,6,0)</f>
        <v>7500421</v>
      </c>
      <c r="N309">
        <f>VLOOKUP(A309,NYSEBP!A$2:G$506,6,0)</f>
        <v>5363815</v>
      </c>
      <c r="O309">
        <f>VLOOKUP(A309,NASDAQYHOO!A$2:G$506,6,0)</f>
        <v>5971530</v>
      </c>
    </row>
    <row r="310" spans="1:15">
      <c r="A310" s="39">
        <v>42592</v>
      </c>
      <c r="B310">
        <v>8052272</v>
      </c>
      <c r="C310">
        <f>VLOOKUP(A310,NYSEARCAVTI!A$2:G$506,6,0)</f>
        <v>1259054</v>
      </c>
      <c r="D310">
        <f>VLOOKUP(A310,NYSEARCAVEU!A$2:G$506,6,0)</f>
        <v>1427508</v>
      </c>
      <c r="E310">
        <f>VLOOKUP(A310,NYSEARCAVWO!A$2:G$506,6,0)</f>
        <v>12931265</v>
      </c>
      <c r="F310">
        <f>VLOOKUP(A310,NYSEARCABND!A$2:G$506,6,0)</f>
        <v>1672237</v>
      </c>
      <c r="G310">
        <f>VLOOKUP(A310,NYSEARCATIP!A$2:G$506,6,0)</f>
        <v>883824</v>
      </c>
      <c r="H310">
        <f>VLOOKUP(A310,NYSEARCAMUB!A$2:G$506,6,0)</f>
        <v>415916</v>
      </c>
      <c r="I310">
        <f>VLOOKUP(A310,NYSEARCAVNQ!A$2:G$506,6,0)</f>
        <v>5302858</v>
      </c>
      <c r="J310">
        <f>VLOOKUP(A310,NYSEARCARWX!A$2:G$506,6,0)</f>
        <v>522354</v>
      </c>
      <c r="K310">
        <f>VLOOKUP(A310,NYSEARCADBC!A$2:G$506,6,0)</f>
        <v>2213194</v>
      </c>
      <c r="L310">
        <f>VLOOKUP(A310,NYSEARCAGSG!A$2:G$506,6,0)</f>
        <v>90339</v>
      </c>
      <c r="M310">
        <f>VLOOKUP(A310,NYSEARCAGLD!A$2:G$506,6,0)</f>
        <v>6196202</v>
      </c>
      <c r="N310">
        <f>VLOOKUP(A310,NYSEBP!A$2:G$506,6,0)</f>
        <v>5060472</v>
      </c>
      <c r="O310">
        <f>VLOOKUP(A310,NASDAQYHOO!A$2:G$506,6,0)</f>
        <v>12981568</v>
      </c>
    </row>
    <row r="311" spans="1:15">
      <c r="A311" s="39">
        <v>42593</v>
      </c>
      <c r="B311">
        <v>6290331</v>
      </c>
      <c r="C311">
        <f>VLOOKUP(A311,NYSEARCAVTI!A$2:G$506,6,0)</f>
        <v>1378235</v>
      </c>
      <c r="D311">
        <f>VLOOKUP(A311,NYSEARCAVEU!A$2:G$506,6,0)</f>
        <v>1635592</v>
      </c>
      <c r="E311">
        <f>VLOOKUP(A311,NYSEARCAVWO!A$2:G$506,6,0)</f>
        <v>15284927</v>
      </c>
      <c r="F311">
        <f>VLOOKUP(A311,NYSEARCABND!A$2:G$506,6,0)</f>
        <v>1760145</v>
      </c>
      <c r="G311">
        <f>VLOOKUP(A311,NYSEARCATIP!A$2:G$506,6,0)</f>
        <v>691233</v>
      </c>
      <c r="H311">
        <f>VLOOKUP(A311,NYSEARCAMUB!A$2:G$506,6,0)</f>
        <v>726051</v>
      </c>
      <c r="I311">
        <f>VLOOKUP(A311,NYSEARCAVNQ!A$2:G$506,6,0)</f>
        <v>4788415</v>
      </c>
      <c r="J311">
        <f>VLOOKUP(A311,NYSEARCARWX!A$2:G$506,6,0)</f>
        <v>290517</v>
      </c>
      <c r="K311">
        <f>VLOOKUP(A311,NYSEARCADBC!A$2:G$506,6,0)</f>
        <v>1959253</v>
      </c>
      <c r="L311">
        <f>VLOOKUP(A311,NYSEARCAGSG!A$2:G$506,6,0)</f>
        <v>614115</v>
      </c>
      <c r="M311">
        <f>VLOOKUP(A311,NYSEARCAGLD!A$2:G$506,6,0)</f>
        <v>9763821</v>
      </c>
      <c r="N311">
        <f>VLOOKUP(A311,NYSEBP!A$2:G$506,6,0)</f>
        <v>6439699</v>
      </c>
      <c r="O311">
        <f>VLOOKUP(A311,NASDAQYHOO!A$2:G$506,6,0)</f>
        <v>23938864</v>
      </c>
    </row>
    <row r="312" spans="1:15">
      <c r="A312" s="39">
        <v>42594</v>
      </c>
      <c r="B312">
        <v>9994186</v>
      </c>
      <c r="C312">
        <f>VLOOKUP(A312,NYSEARCAVTI!A$2:G$506,6,0)</f>
        <v>1542922</v>
      </c>
      <c r="D312">
        <f>VLOOKUP(A312,NYSEARCAVEU!A$2:G$506,6,0)</f>
        <v>1405989</v>
      </c>
      <c r="E312">
        <f>VLOOKUP(A312,NYSEARCAVWO!A$2:G$506,6,0)</f>
        <v>10770347</v>
      </c>
      <c r="F312">
        <f>VLOOKUP(A312,NYSEARCABND!A$2:G$506,6,0)</f>
        <v>1605961</v>
      </c>
      <c r="G312">
        <f>VLOOKUP(A312,NYSEARCATIP!A$2:G$506,6,0)</f>
        <v>1798157</v>
      </c>
      <c r="H312">
        <f>VLOOKUP(A312,NYSEARCAMUB!A$2:G$506,6,0)</f>
        <v>335085</v>
      </c>
      <c r="I312">
        <f>VLOOKUP(A312,NYSEARCAVNQ!A$2:G$506,6,0)</f>
        <v>2972077</v>
      </c>
      <c r="J312">
        <f>VLOOKUP(A312,NYSEARCARWX!A$2:G$506,6,0)</f>
        <v>349322</v>
      </c>
      <c r="K312">
        <f>VLOOKUP(A312,NYSEARCADBC!A$2:G$506,6,0)</f>
        <v>1653703</v>
      </c>
      <c r="L312">
        <f>VLOOKUP(A312,NYSEARCAGSG!A$2:G$506,6,0)</f>
        <v>139672</v>
      </c>
      <c r="M312">
        <f>VLOOKUP(A312,NYSEARCAGLD!A$2:G$506,6,0)</f>
        <v>15395846</v>
      </c>
      <c r="N312">
        <f>VLOOKUP(A312,NYSEBP!A$2:G$506,6,0)</f>
        <v>4325017</v>
      </c>
      <c r="O312">
        <f>VLOOKUP(A312,NASDAQYHOO!A$2:G$506,6,0)</f>
        <v>25182851</v>
      </c>
    </row>
    <row r="313" spans="1:15">
      <c r="A313" s="39">
        <v>42597</v>
      </c>
      <c r="B313">
        <v>9636116</v>
      </c>
      <c r="C313">
        <f>VLOOKUP(A313,NYSEARCAVTI!A$2:G$506,6,0)</f>
        <v>1442990</v>
      </c>
      <c r="D313">
        <f>VLOOKUP(A313,NYSEARCAVEU!A$2:G$506,6,0)</f>
        <v>1281773</v>
      </c>
      <c r="E313">
        <f>VLOOKUP(A313,NYSEARCAVWO!A$2:G$506,6,0)</f>
        <v>9350448</v>
      </c>
      <c r="F313">
        <f>VLOOKUP(A313,NYSEARCABND!A$2:G$506,6,0)</f>
        <v>1942476</v>
      </c>
      <c r="G313">
        <f>VLOOKUP(A313,NYSEARCATIP!A$2:G$506,6,0)</f>
        <v>604734</v>
      </c>
      <c r="H313">
        <f>VLOOKUP(A313,NYSEARCAMUB!A$2:G$506,6,0)</f>
        <v>343253</v>
      </c>
      <c r="I313">
        <f>VLOOKUP(A313,NYSEARCAVNQ!A$2:G$506,6,0)</f>
        <v>2961648</v>
      </c>
      <c r="J313">
        <f>VLOOKUP(A313,NYSEARCARWX!A$2:G$506,6,0)</f>
        <v>383555</v>
      </c>
      <c r="K313">
        <f>VLOOKUP(A313,NYSEARCADBC!A$2:G$506,6,0)</f>
        <v>1281782</v>
      </c>
      <c r="L313">
        <f>VLOOKUP(A313,NYSEARCAGSG!A$2:G$506,6,0)</f>
        <v>340287</v>
      </c>
      <c r="M313">
        <f>VLOOKUP(A313,NYSEARCAGLD!A$2:G$506,6,0)</f>
        <v>4530841</v>
      </c>
      <c r="N313">
        <f>VLOOKUP(A313,NYSEBP!A$2:G$506,6,0)</f>
        <v>4214902</v>
      </c>
      <c r="O313">
        <f>VLOOKUP(A313,NASDAQYHOO!A$2:G$506,6,0)</f>
        <v>14441784</v>
      </c>
    </row>
    <row r="314" spans="1:15">
      <c r="A314" s="39">
        <v>42598</v>
      </c>
      <c r="B314">
        <v>9763349</v>
      </c>
      <c r="C314">
        <f>VLOOKUP(A314,NYSEARCAVTI!A$2:G$506,6,0)</f>
        <v>1229024</v>
      </c>
      <c r="D314">
        <f>VLOOKUP(A314,NYSEARCAVEU!A$2:G$506,6,0)</f>
        <v>1239076</v>
      </c>
      <c r="E314">
        <f>VLOOKUP(A314,NYSEARCAVWO!A$2:G$506,6,0)</f>
        <v>26223205</v>
      </c>
      <c r="F314">
        <f>VLOOKUP(A314,NYSEARCABND!A$2:G$506,6,0)</f>
        <v>2163229</v>
      </c>
      <c r="G314">
        <f>VLOOKUP(A314,NYSEARCATIP!A$2:G$506,6,0)</f>
        <v>800590</v>
      </c>
      <c r="H314">
        <f>VLOOKUP(A314,NYSEARCAMUB!A$2:G$506,6,0)</f>
        <v>457897</v>
      </c>
      <c r="I314">
        <f>VLOOKUP(A314,NYSEARCAVNQ!A$2:G$506,6,0)</f>
        <v>4166784</v>
      </c>
      <c r="J314">
        <f>VLOOKUP(A314,NYSEARCARWX!A$2:G$506,6,0)</f>
        <v>210477</v>
      </c>
      <c r="K314">
        <f>VLOOKUP(A314,NYSEARCADBC!A$2:G$506,6,0)</f>
        <v>3543353</v>
      </c>
      <c r="L314">
        <f>VLOOKUP(A314,NYSEARCAGSG!A$2:G$506,6,0)</f>
        <v>156385</v>
      </c>
      <c r="M314">
        <f>VLOOKUP(A314,NYSEARCAGLD!A$2:G$506,6,0)</f>
        <v>8678143</v>
      </c>
      <c r="N314">
        <f>VLOOKUP(A314,NYSEBP!A$2:G$506,6,0)</f>
        <v>6643698</v>
      </c>
      <c r="O314">
        <f>VLOOKUP(A314,NASDAQYHOO!A$2:G$506,6,0)</f>
        <v>13793794</v>
      </c>
    </row>
    <row r="315" spans="1:15">
      <c r="A315" s="39">
        <v>42599</v>
      </c>
      <c r="B315">
        <v>14343332</v>
      </c>
      <c r="C315">
        <f>VLOOKUP(A315,NYSEARCAVTI!A$2:G$506,6,0)</f>
        <v>2791730</v>
      </c>
      <c r="D315">
        <f>VLOOKUP(A315,NYSEARCAVEU!A$2:G$506,6,0)</f>
        <v>1423663</v>
      </c>
      <c r="E315">
        <f>VLOOKUP(A315,NYSEARCAVWO!A$2:G$506,6,0)</f>
        <v>22088566</v>
      </c>
      <c r="F315">
        <f>VLOOKUP(A315,NYSEARCABND!A$2:G$506,6,0)</f>
        <v>2024562</v>
      </c>
      <c r="G315">
        <f>VLOOKUP(A315,NYSEARCATIP!A$2:G$506,6,0)</f>
        <v>509484</v>
      </c>
      <c r="H315">
        <f>VLOOKUP(A315,NYSEARCAMUB!A$2:G$506,6,0)</f>
        <v>300446</v>
      </c>
      <c r="I315">
        <f>VLOOKUP(A315,NYSEARCAVNQ!A$2:G$506,6,0)</f>
        <v>5191979</v>
      </c>
      <c r="J315">
        <f>VLOOKUP(A315,NYSEARCARWX!A$2:G$506,6,0)</f>
        <v>216867</v>
      </c>
      <c r="K315">
        <f>VLOOKUP(A315,NYSEARCADBC!A$2:G$506,6,0)</f>
        <v>2806820</v>
      </c>
      <c r="L315">
        <f>VLOOKUP(A315,NYSEARCAGSG!A$2:G$506,6,0)</f>
        <v>263328</v>
      </c>
      <c r="M315">
        <f>VLOOKUP(A315,NYSEARCAGLD!A$2:G$506,6,0)</f>
        <v>12034752</v>
      </c>
      <c r="N315">
        <f>VLOOKUP(A315,NYSEBP!A$2:G$506,6,0)</f>
        <v>5000538</v>
      </c>
      <c r="O315">
        <f>VLOOKUP(A315,NASDAQYHOO!A$2:G$506,6,0)</f>
        <v>8571927</v>
      </c>
    </row>
    <row r="316" spans="1:15">
      <c r="A316" s="39">
        <v>42600</v>
      </c>
      <c r="B316">
        <v>26858329</v>
      </c>
      <c r="C316">
        <f>VLOOKUP(A316,NYSEARCAVTI!A$2:G$506,6,0)</f>
        <v>972068</v>
      </c>
      <c r="D316">
        <f>VLOOKUP(A316,NYSEARCAVEU!A$2:G$506,6,0)</f>
        <v>984472</v>
      </c>
      <c r="E316">
        <f>VLOOKUP(A316,NYSEARCAVWO!A$2:G$506,6,0)</f>
        <v>8914149</v>
      </c>
      <c r="F316">
        <f>VLOOKUP(A316,NYSEARCABND!A$2:G$506,6,0)</f>
        <v>1750992</v>
      </c>
      <c r="G316">
        <f>VLOOKUP(A316,NYSEARCATIP!A$2:G$506,6,0)</f>
        <v>895725</v>
      </c>
      <c r="H316">
        <f>VLOOKUP(A316,NYSEARCAMUB!A$2:G$506,6,0)</f>
        <v>372563</v>
      </c>
      <c r="I316">
        <f>VLOOKUP(A316,NYSEARCAVNQ!A$2:G$506,6,0)</f>
        <v>4074791</v>
      </c>
      <c r="J316">
        <f>VLOOKUP(A316,NYSEARCARWX!A$2:G$506,6,0)</f>
        <v>486239</v>
      </c>
      <c r="K316">
        <f>VLOOKUP(A316,NYSEARCADBC!A$2:G$506,6,0)</f>
        <v>1961535</v>
      </c>
      <c r="L316">
        <f>VLOOKUP(A316,NYSEARCAGSG!A$2:G$506,6,0)</f>
        <v>116380</v>
      </c>
      <c r="M316">
        <f>VLOOKUP(A316,NYSEARCAGLD!A$2:G$506,6,0)</f>
        <v>9500636</v>
      </c>
      <c r="N316">
        <f>VLOOKUP(A316,NYSEBP!A$2:G$506,6,0)</f>
        <v>4635078</v>
      </c>
      <c r="O316">
        <f>VLOOKUP(A316,NASDAQYHOO!A$2:G$506,6,0)</f>
        <v>11294419</v>
      </c>
    </row>
    <row r="317" spans="1:15">
      <c r="A317" s="39">
        <v>42601</v>
      </c>
      <c r="B317">
        <v>15346426</v>
      </c>
      <c r="C317">
        <f>VLOOKUP(A317,NYSEARCAVTI!A$2:G$506,6,0)</f>
        <v>1000647</v>
      </c>
      <c r="D317">
        <f>VLOOKUP(A317,NYSEARCAVEU!A$2:G$506,6,0)</f>
        <v>970778</v>
      </c>
      <c r="E317">
        <f>VLOOKUP(A317,NYSEARCAVWO!A$2:G$506,6,0)</f>
        <v>11658211</v>
      </c>
      <c r="F317">
        <f>VLOOKUP(A317,NYSEARCABND!A$2:G$506,6,0)</f>
        <v>1995133</v>
      </c>
      <c r="G317">
        <f>VLOOKUP(A317,NYSEARCATIP!A$2:G$506,6,0)</f>
        <v>501262</v>
      </c>
      <c r="H317">
        <f>VLOOKUP(A317,NYSEARCAMUB!A$2:G$506,6,0)</f>
        <v>458208</v>
      </c>
      <c r="I317">
        <f>VLOOKUP(A317,NYSEARCAVNQ!A$2:G$506,6,0)</f>
        <v>3284937</v>
      </c>
      <c r="J317">
        <f>VLOOKUP(A317,NYSEARCARWX!A$2:G$506,6,0)</f>
        <v>254413</v>
      </c>
      <c r="K317">
        <f>VLOOKUP(A317,NYSEARCADBC!A$2:G$506,6,0)</f>
        <v>1215368</v>
      </c>
      <c r="L317">
        <f>VLOOKUP(A317,NYSEARCAGSG!A$2:G$506,6,0)</f>
        <v>65079</v>
      </c>
      <c r="M317">
        <f>VLOOKUP(A317,NYSEARCAGLD!A$2:G$506,6,0)</f>
        <v>10660119</v>
      </c>
      <c r="N317">
        <f>VLOOKUP(A317,NYSEBP!A$2:G$506,6,0)</f>
        <v>4037959</v>
      </c>
      <c r="O317">
        <f>VLOOKUP(A317,NASDAQYHOO!A$2:G$506,6,0)</f>
        <v>9460753</v>
      </c>
    </row>
    <row r="318" spans="1:15">
      <c r="A318" s="39">
        <v>42604</v>
      </c>
      <c r="B318">
        <v>10312074</v>
      </c>
      <c r="C318">
        <f>VLOOKUP(A318,NYSEARCAVTI!A$2:G$506,6,0)</f>
        <v>1102386</v>
      </c>
      <c r="D318">
        <f>VLOOKUP(A318,NYSEARCAVEU!A$2:G$506,6,0)</f>
        <v>1076133</v>
      </c>
      <c r="E318">
        <f>VLOOKUP(A318,NYSEARCAVWO!A$2:G$506,6,0)</f>
        <v>12970200</v>
      </c>
      <c r="F318">
        <f>VLOOKUP(A318,NYSEARCABND!A$2:G$506,6,0)</f>
        <v>1388133</v>
      </c>
      <c r="G318">
        <f>VLOOKUP(A318,NYSEARCATIP!A$2:G$506,6,0)</f>
        <v>576610</v>
      </c>
      <c r="H318">
        <f>VLOOKUP(A318,NYSEARCAMUB!A$2:G$506,6,0)</f>
        <v>243111</v>
      </c>
      <c r="I318">
        <f>VLOOKUP(A318,NYSEARCAVNQ!A$2:G$506,6,0)</f>
        <v>3671284</v>
      </c>
      <c r="J318">
        <f>VLOOKUP(A318,NYSEARCARWX!A$2:G$506,6,0)</f>
        <v>1292349</v>
      </c>
      <c r="K318">
        <f>VLOOKUP(A318,NYSEARCADBC!A$2:G$506,6,0)</f>
        <v>931685</v>
      </c>
      <c r="L318">
        <f>VLOOKUP(A318,NYSEARCAGSG!A$2:G$506,6,0)</f>
        <v>195530</v>
      </c>
      <c r="M318">
        <f>VLOOKUP(A318,NYSEARCAGLD!A$2:G$506,6,0)</f>
        <v>8627222</v>
      </c>
      <c r="N318">
        <f>VLOOKUP(A318,NYSEBP!A$2:G$506,6,0)</f>
        <v>4264236</v>
      </c>
      <c r="O318">
        <f>VLOOKUP(A318,NASDAQYHOO!A$2:G$506,6,0)</f>
        <v>6229402</v>
      </c>
    </row>
    <row r="319" spans="1:15">
      <c r="A319" s="39">
        <v>42605</v>
      </c>
      <c r="B319">
        <v>9391390</v>
      </c>
      <c r="C319">
        <f>VLOOKUP(A319,NYSEARCAVTI!A$2:G$506,6,0)</f>
        <v>3252632</v>
      </c>
      <c r="D319">
        <f>VLOOKUP(A319,NYSEARCAVEU!A$2:G$506,6,0)</f>
        <v>2290080</v>
      </c>
      <c r="E319">
        <f>VLOOKUP(A319,NYSEARCAVWO!A$2:G$506,6,0)</f>
        <v>14133810</v>
      </c>
      <c r="F319">
        <f>VLOOKUP(A319,NYSEARCABND!A$2:G$506,6,0)</f>
        <v>1668316</v>
      </c>
      <c r="G319">
        <f>VLOOKUP(A319,NYSEARCATIP!A$2:G$506,6,0)</f>
        <v>1067799</v>
      </c>
      <c r="H319">
        <f>VLOOKUP(A319,NYSEARCAMUB!A$2:G$506,6,0)</f>
        <v>294458</v>
      </c>
      <c r="I319">
        <f>VLOOKUP(A319,NYSEARCAVNQ!A$2:G$506,6,0)</f>
        <v>6526075</v>
      </c>
      <c r="J319">
        <f>VLOOKUP(A319,NYSEARCARWX!A$2:G$506,6,0)</f>
        <v>2311015</v>
      </c>
      <c r="K319">
        <f>VLOOKUP(A319,NYSEARCADBC!A$2:G$506,6,0)</f>
        <v>934033</v>
      </c>
      <c r="L319">
        <f>VLOOKUP(A319,NYSEARCAGSG!A$2:G$506,6,0)</f>
        <v>145541</v>
      </c>
      <c r="M319">
        <f>VLOOKUP(A319,NYSEARCAGLD!A$2:G$506,6,0)</f>
        <v>9038482</v>
      </c>
      <c r="N319">
        <f>VLOOKUP(A319,NYSEBP!A$2:G$506,6,0)</f>
        <v>6767181</v>
      </c>
      <c r="O319">
        <f>VLOOKUP(A319,NASDAQYHOO!A$2:G$506,6,0)</f>
        <v>8963786</v>
      </c>
    </row>
    <row r="320" spans="1:15">
      <c r="A320" s="39">
        <v>42606</v>
      </c>
      <c r="B320">
        <v>10050690</v>
      </c>
      <c r="C320">
        <f>VLOOKUP(A320,NYSEARCAVTI!A$2:G$506,6,0)</f>
        <v>2267784</v>
      </c>
      <c r="D320">
        <f>VLOOKUP(A320,NYSEARCAVEU!A$2:G$506,6,0)</f>
        <v>3919449</v>
      </c>
      <c r="E320">
        <f>VLOOKUP(A320,NYSEARCAVWO!A$2:G$506,6,0)</f>
        <v>19142951</v>
      </c>
      <c r="F320">
        <f>VLOOKUP(A320,NYSEARCABND!A$2:G$506,6,0)</f>
        <v>2083316</v>
      </c>
      <c r="G320">
        <f>VLOOKUP(A320,NYSEARCATIP!A$2:G$506,6,0)</f>
        <v>914175</v>
      </c>
      <c r="H320">
        <f>VLOOKUP(A320,NYSEARCAMUB!A$2:G$506,6,0)</f>
        <v>233507</v>
      </c>
      <c r="I320">
        <f>VLOOKUP(A320,NYSEARCAVNQ!A$2:G$506,6,0)</f>
        <v>6064825</v>
      </c>
      <c r="J320">
        <f>VLOOKUP(A320,NYSEARCARWX!A$2:G$506,6,0)</f>
        <v>1576237</v>
      </c>
      <c r="K320">
        <f>VLOOKUP(A320,NYSEARCADBC!A$2:G$506,6,0)</f>
        <v>1471723</v>
      </c>
      <c r="L320">
        <f>VLOOKUP(A320,NYSEARCAGSG!A$2:G$506,6,0)</f>
        <v>152903</v>
      </c>
      <c r="M320">
        <f>VLOOKUP(A320,NYSEARCAGLD!A$2:G$506,6,0)</f>
        <v>13539655</v>
      </c>
      <c r="N320">
        <f>VLOOKUP(A320,NYSEBP!A$2:G$506,6,0)</f>
        <v>6293927</v>
      </c>
      <c r="O320">
        <f>VLOOKUP(A320,NASDAQYHOO!A$2:G$506,6,0)</f>
        <v>6930295</v>
      </c>
    </row>
    <row r="321" spans="1:15">
      <c r="A321" s="39">
        <v>42607</v>
      </c>
      <c r="B321">
        <v>10514203</v>
      </c>
      <c r="C321">
        <f>VLOOKUP(A321,NYSEARCAVTI!A$2:G$506,6,0)</f>
        <v>1205186</v>
      </c>
      <c r="D321">
        <f>VLOOKUP(A321,NYSEARCAVEU!A$2:G$506,6,0)</f>
        <v>1712494</v>
      </c>
      <c r="E321">
        <f>VLOOKUP(A321,NYSEARCAVWO!A$2:G$506,6,0)</f>
        <v>17293654</v>
      </c>
      <c r="F321">
        <f>VLOOKUP(A321,NYSEARCABND!A$2:G$506,6,0)</f>
        <v>1737848</v>
      </c>
      <c r="G321">
        <f>VLOOKUP(A321,NYSEARCATIP!A$2:G$506,6,0)</f>
        <v>1819610</v>
      </c>
      <c r="H321">
        <f>VLOOKUP(A321,NYSEARCAMUB!A$2:G$506,6,0)</f>
        <v>230114</v>
      </c>
      <c r="I321">
        <f>VLOOKUP(A321,NYSEARCAVNQ!A$2:G$506,6,0)</f>
        <v>3220013</v>
      </c>
      <c r="J321">
        <f>VLOOKUP(A321,NYSEARCARWX!A$2:G$506,6,0)</f>
        <v>553069</v>
      </c>
      <c r="K321">
        <f>VLOOKUP(A321,NYSEARCADBC!A$2:G$506,6,0)</f>
        <v>694634</v>
      </c>
      <c r="L321">
        <f>VLOOKUP(A321,NYSEARCAGSG!A$2:G$506,6,0)</f>
        <v>73276</v>
      </c>
      <c r="M321">
        <f>VLOOKUP(A321,NYSEARCAGLD!A$2:G$506,6,0)</f>
        <v>5926294</v>
      </c>
      <c r="N321">
        <f>VLOOKUP(A321,NYSEBP!A$2:G$506,6,0)</f>
        <v>4672038</v>
      </c>
      <c r="O321">
        <f>VLOOKUP(A321,NASDAQYHOO!A$2:G$506,6,0)</f>
        <v>5360912</v>
      </c>
    </row>
    <row r="322" spans="1:15">
      <c r="A322" s="39">
        <v>42608</v>
      </c>
      <c r="B322">
        <v>10038464</v>
      </c>
      <c r="C322">
        <f>VLOOKUP(A322,NYSEARCAVTI!A$2:G$506,6,0)</f>
        <v>1851082</v>
      </c>
      <c r="D322">
        <f>VLOOKUP(A322,NYSEARCAVEU!A$2:G$506,6,0)</f>
        <v>2744864</v>
      </c>
      <c r="E322">
        <f>VLOOKUP(A322,NYSEARCAVWO!A$2:G$506,6,0)</f>
        <v>24056088</v>
      </c>
      <c r="F322">
        <f>VLOOKUP(A322,NYSEARCABND!A$2:G$506,6,0)</f>
        <v>2874496</v>
      </c>
      <c r="G322">
        <f>VLOOKUP(A322,NYSEARCATIP!A$2:G$506,6,0)</f>
        <v>1004480</v>
      </c>
      <c r="H322">
        <f>VLOOKUP(A322,NYSEARCAMUB!A$2:G$506,6,0)</f>
        <v>411672</v>
      </c>
      <c r="I322">
        <f>VLOOKUP(A322,NYSEARCAVNQ!A$2:G$506,6,0)</f>
        <v>5844110</v>
      </c>
      <c r="J322">
        <f>VLOOKUP(A322,NYSEARCARWX!A$2:G$506,6,0)</f>
        <v>743069</v>
      </c>
      <c r="K322">
        <f>VLOOKUP(A322,NYSEARCADBC!A$2:G$506,6,0)</f>
        <v>808527</v>
      </c>
      <c r="L322">
        <f>VLOOKUP(A322,NYSEARCAGSG!A$2:G$506,6,0)</f>
        <v>79252</v>
      </c>
      <c r="M322">
        <f>VLOOKUP(A322,NYSEARCAGLD!A$2:G$506,6,0)</f>
        <v>17967738</v>
      </c>
      <c r="N322">
        <f>VLOOKUP(A322,NYSEBP!A$2:G$506,6,0)</f>
        <v>6267561</v>
      </c>
      <c r="O322">
        <f>VLOOKUP(A322,NASDAQYHOO!A$2:G$506,6,0)</f>
        <v>6327991</v>
      </c>
    </row>
    <row r="323" spans="1:15">
      <c r="A323" s="39">
        <v>42611</v>
      </c>
      <c r="B323">
        <v>7468105</v>
      </c>
      <c r="C323">
        <f>VLOOKUP(A323,NYSEARCAVTI!A$2:G$506,6,0)</f>
        <v>1071153</v>
      </c>
      <c r="D323">
        <f>VLOOKUP(A323,NYSEARCAVEU!A$2:G$506,6,0)</f>
        <v>1070061</v>
      </c>
      <c r="E323">
        <f>VLOOKUP(A323,NYSEARCAVWO!A$2:G$506,6,0)</f>
        <v>9128916</v>
      </c>
      <c r="F323">
        <f>VLOOKUP(A323,NYSEARCABND!A$2:G$506,6,0)</f>
        <v>1446779</v>
      </c>
      <c r="G323">
        <f>VLOOKUP(A323,NYSEARCATIP!A$2:G$506,6,0)</f>
        <v>696519</v>
      </c>
      <c r="H323">
        <f>VLOOKUP(A323,NYSEARCAMUB!A$2:G$506,6,0)</f>
        <v>275572</v>
      </c>
      <c r="I323">
        <f>VLOOKUP(A323,NYSEARCAVNQ!A$2:G$506,6,0)</f>
        <v>3318596</v>
      </c>
      <c r="J323">
        <f>VLOOKUP(A323,NYSEARCARWX!A$2:G$506,6,0)</f>
        <v>299181</v>
      </c>
      <c r="K323">
        <f>VLOOKUP(A323,NYSEARCADBC!A$2:G$506,6,0)</f>
        <v>841680</v>
      </c>
      <c r="L323">
        <f>VLOOKUP(A323,NYSEARCAGSG!A$2:G$506,6,0)</f>
        <v>86741</v>
      </c>
      <c r="M323">
        <f>VLOOKUP(A323,NYSEARCAGLD!A$2:G$506,6,0)</f>
        <v>5562409</v>
      </c>
      <c r="N323">
        <f>VLOOKUP(A323,NYSEBP!A$2:G$506,6,0)</f>
        <v>2849533</v>
      </c>
      <c r="O323">
        <f>VLOOKUP(A323,NASDAQYHOO!A$2:G$506,6,0)</f>
        <v>4555600</v>
      </c>
    </row>
    <row r="324" spans="1:15">
      <c r="A324" s="39">
        <v>42612</v>
      </c>
      <c r="B324">
        <v>5774180</v>
      </c>
      <c r="C324">
        <f>VLOOKUP(A324,NYSEARCAVTI!A$2:G$506,6,0)</f>
        <v>1534640</v>
      </c>
      <c r="D324">
        <f>VLOOKUP(A324,NYSEARCAVEU!A$2:G$506,6,0)</f>
        <v>1139799</v>
      </c>
      <c r="E324">
        <f>VLOOKUP(A324,NYSEARCAVWO!A$2:G$506,6,0)</f>
        <v>12146184</v>
      </c>
      <c r="F324">
        <f>VLOOKUP(A324,NYSEARCABND!A$2:G$506,6,0)</f>
        <v>4750675</v>
      </c>
      <c r="G324">
        <f>VLOOKUP(A324,NYSEARCATIP!A$2:G$506,6,0)</f>
        <v>579457</v>
      </c>
      <c r="H324">
        <f>VLOOKUP(A324,NYSEARCAMUB!A$2:G$506,6,0)</f>
        <v>337338</v>
      </c>
      <c r="I324">
        <f>VLOOKUP(A324,NYSEARCAVNQ!A$2:G$506,6,0)</f>
        <v>3432264</v>
      </c>
      <c r="J324">
        <f>VLOOKUP(A324,NYSEARCARWX!A$2:G$506,6,0)</f>
        <v>370865</v>
      </c>
      <c r="K324">
        <f>VLOOKUP(A324,NYSEARCADBC!A$2:G$506,6,0)</f>
        <v>1382281</v>
      </c>
      <c r="L324">
        <f>VLOOKUP(A324,NYSEARCAGSG!A$2:G$506,6,0)</f>
        <v>46783</v>
      </c>
      <c r="M324">
        <f>VLOOKUP(A324,NYSEARCAGLD!A$2:G$506,6,0)</f>
        <v>9877044</v>
      </c>
      <c r="N324">
        <f>VLOOKUP(A324,NYSEBP!A$2:G$506,6,0)</f>
        <v>4674975</v>
      </c>
      <c r="O324">
        <f>VLOOKUP(A324,NASDAQYHOO!A$2:G$506,6,0)</f>
        <v>5804080</v>
      </c>
    </row>
    <row r="325" spans="1:15">
      <c r="A325" s="39">
        <v>42613</v>
      </c>
      <c r="B325">
        <v>6311636</v>
      </c>
      <c r="C325">
        <f>VLOOKUP(A325,NYSEARCAVTI!A$2:G$506,6,0)</f>
        <v>1393758</v>
      </c>
      <c r="D325">
        <f>VLOOKUP(A325,NYSEARCAVEU!A$2:G$506,6,0)</f>
        <v>1378912</v>
      </c>
      <c r="E325">
        <f>VLOOKUP(A325,NYSEARCAVWO!A$2:G$506,6,0)</f>
        <v>20049844</v>
      </c>
      <c r="F325">
        <f>VLOOKUP(A325,NYSEARCABND!A$2:G$506,6,0)</f>
        <v>1911926</v>
      </c>
      <c r="G325">
        <f>VLOOKUP(A325,NYSEARCATIP!A$2:G$506,6,0)</f>
        <v>690939</v>
      </c>
      <c r="H325">
        <f>VLOOKUP(A325,NYSEARCAMUB!A$2:G$506,6,0)</f>
        <v>313466</v>
      </c>
      <c r="I325">
        <f>VLOOKUP(A325,NYSEARCAVNQ!A$2:G$506,6,0)</f>
        <v>5003247</v>
      </c>
      <c r="J325">
        <f>VLOOKUP(A325,NYSEARCARWX!A$2:G$506,6,0)</f>
        <v>532136</v>
      </c>
      <c r="K325">
        <f>VLOOKUP(A325,NYSEARCADBC!A$2:G$506,6,0)</f>
        <v>13259509</v>
      </c>
      <c r="L325">
        <f>VLOOKUP(A325,NYSEARCAGSG!A$2:G$506,6,0)</f>
        <v>257474</v>
      </c>
      <c r="M325">
        <f>VLOOKUP(A325,NYSEARCAGLD!A$2:G$506,6,0)</f>
        <v>13324105</v>
      </c>
      <c r="N325">
        <f>VLOOKUP(A325,NYSEBP!A$2:G$506,6,0)</f>
        <v>5018132</v>
      </c>
      <c r="O325">
        <f>VLOOKUP(A325,NASDAQYHOO!A$2:G$506,6,0)</f>
        <v>7715941</v>
      </c>
    </row>
    <row r="326" spans="1:15">
      <c r="A326" s="39">
        <v>42614</v>
      </c>
      <c r="B326">
        <v>11761356</v>
      </c>
      <c r="C326">
        <f>VLOOKUP(A326,NYSEARCAVTI!A$2:G$506,6,0)</f>
        <v>1670927</v>
      </c>
      <c r="D326">
        <f>VLOOKUP(A326,NYSEARCAVEU!A$2:G$506,6,0)</f>
        <v>1705406</v>
      </c>
      <c r="E326">
        <f>VLOOKUP(A326,NYSEARCAVWO!A$2:G$506,6,0)</f>
        <v>18507431</v>
      </c>
      <c r="F326">
        <f>VLOOKUP(A326,NYSEARCABND!A$2:G$506,6,0)</f>
        <v>3108572</v>
      </c>
      <c r="G326">
        <f>VLOOKUP(A326,NYSEARCATIP!A$2:G$506,6,0)</f>
        <v>3705563</v>
      </c>
      <c r="H326">
        <f>VLOOKUP(A326,NYSEARCAMUB!A$2:G$506,6,0)</f>
        <v>454816</v>
      </c>
      <c r="I326">
        <f>VLOOKUP(A326,NYSEARCAVNQ!A$2:G$506,6,0)</f>
        <v>4097989</v>
      </c>
      <c r="J326">
        <f>VLOOKUP(A326,NYSEARCARWX!A$2:G$506,6,0)</f>
        <v>322092</v>
      </c>
      <c r="K326">
        <f>VLOOKUP(A326,NYSEARCADBC!A$2:G$506,6,0)</f>
        <v>2226954</v>
      </c>
      <c r="L326">
        <f>VLOOKUP(A326,NYSEARCAGSG!A$2:G$506,6,0)</f>
        <v>275362</v>
      </c>
      <c r="M326">
        <f>VLOOKUP(A326,NYSEARCAGLD!A$2:G$506,6,0)</f>
        <v>12877745</v>
      </c>
      <c r="N326">
        <f>VLOOKUP(A326,NYSEBP!A$2:G$506,6,0)</f>
        <v>3742424</v>
      </c>
      <c r="O326">
        <f>VLOOKUP(A326,NASDAQYHOO!A$2:G$506,6,0)</f>
        <v>5575305</v>
      </c>
    </row>
    <row r="327" spans="1:15">
      <c r="A327" s="39">
        <v>42615</v>
      </c>
      <c r="B327">
        <v>8075299</v>
      </c>
      <c r="C327">
        <f>VLOOKUP(A327,NYSEARCAVTI!A$2:G$506,6,0)</f>
        <v>1563214</v>
      </c>
      <c r="D327">
        <f>VLOOKUP(A327,NYSEARCAVEU!A$2:G$506,6,0)</f>
        <v>1121924</v>
      </c>
      <c r="E327">
        <f>VLOOKUP(A327,NYSEARCAVWO!A$2:G$506,6,0)</f>
        <v>18235539</v>
      </c>
      <c r="F327">
        <f>VLOOKUP(A327,NYSEARCABND!A$2:G$506,6,0)</f>
        <v>1797490</v>
      </c>
      <c r="G327">
        <f>VLOOKUP(A327,NYSEARCATIP!A$2:G$506,6,0)</f>
        <v>987192</v>
      </c>
      <c r="H327">
        <f>VLOOKUP(A327,NYSEARCAMUB!A$2:G$506,6,0)</f>
        <v>304428</v>
      </c>
      <c r="I327">
        <f>VLOOKUP(A327,NYSEARCAVNQ!A$2:G$506,6,0)</f>
        <v>4439526</v>
      </c>
      <c r="J327">
        <f>VLOOKUP(A327,NYSEARCARWX!A$2:G$506,6,0)</f>
        <v>298975</v>
      </c>
      <c r="K327">
        <f>VLOOKUP(A327,NYSEARCADBC!A$2:G$506,6,0)</f>
        <v>3184424</v>
      </c>
      <c r="L327">
        <f>VLOOKUP(A327,NYSEARCAGSG!A$2:G$506,6,0)</f>
        <v>87913</v>
      </c>
      <c r="M327">
        <f>VLOOKUP(A327,NYSEARCAGLD!A$2:G$506,6,0)</f>
        <v>11278200</v>
      </c>
      <c r="N327">
        <f>VLOOKUP(A327,NYSEBP!A$2:G$506,6,0)</f>
        <v>6917694</v>
      </c>
      <c r="O327">
        <f>VLOOKUP(A327,NASDAQYHOO!A$2:G$506,6,0)</f>
        <v>7334914</v>
      </c>
    </row>
    <row r="328" spans="1:15">
      <c r="A328" s="39">
        <v>42619</v>
      </c>
      <c r="B328">
        <v>9570905</v>
      </c>
      <c r="C328">
        <f>VLOOKUP(A328,NYSEARCAVTI!A$2:G$506,6,0)</f>
        <v>4111656</v>
      </c>
      <c r="D328">
        <f>VLOOKUP(A328,NYSEARCAVEU!A$2:G$506,6,0)</f>
        <v>1376778</v>
      </c>
      <c r="E328">
        <f>VLOOKUP(A328,NYSEARCAVWO!A$2:G$506,6,0)</f>
        <v>20559890</v>
      </c>
      <c r="F328">
        <f>VLOOKUP(A328,NYSEARCABND!A$2:G$506,6,0)</f>
        <v>4316172</v>
      </c>
      <c r="G328">
        <f>VLOOKUP(A328,NYSEARCATIP!A$2:G$506,6,0)</f>
        <v>1671227</v>
      </c>
      <c r="H328">
        <f>VLOOKUP(A328,NYSEARCAMUB!A$2:G$506,6,0)</f>
        <v>359666</v>
      </c>
      <c r="I328">
        <f>VLOOKUP(A328,NYSEARCAVNQ!A$2:G$506,6,0)</f>
        <v>3874552</v>
      </c>
      <c r="J328">
        <f>VLOOKUP(A328,NYSEARCARWX!A$2:G$506,6,0)</f>
        <v>596444</v>
      </c>
      <c r="K328">
        <f>VLOOKUP(A328,NYSEARCADBC!A$2:G$506,6,0)</f>
        <v>1680225</v>
      </c>
      <c r="L328">
        <f>VLOOKUP(A328,NYSEARCAGSG!A$2:G$506,6,0)</f>
        <v>112872</v>
      </c>
      <c r="M328">
        <f>VLOOKUP(A328,NYSEARCAGLD!A$2:G$506,6,0)</f>
        <v>15115279</v>
      </c>
      <c r="N328">
        <f>VLOOKUP(A328,NYSEBP!A$2:G$506,6,0)</f>
        <v>4103561</v>
      </c>
      <c r="O328">
        <f>VLOOKUP(A328,NASDAQYHOO!A$2:G$506,6,0)</f>
        <v>18125776</v>
      </c>
    </row>
    <row r="329" spans="1:15">
      <c r="A329" s="39">
        <v>42620</v>
      </c>
      <c r="B329">
        <v>9618272</v>
      </c>
      <c r="C329">
        <f>VLOOKUP(A329,NYSEARCAVTI!A$2:G$506,6,0)</f>
        <v>1589960</v>
      </c>
      <c r="D329">
        <f>VLOOKUP(A329,NYSEARCAVEU!A$2:G$506,6,0)</f>
        <v>2929678</v>
      </c>
      <c r="E329">
        <f>VLOOKUP(A329,NYSEARCAVWO!A$2:G$506,6,0)</f>
        <v>15457783</v>
      </c>
      <c r="F329">
        <f>VLOOKUP(A329,NYSEARCABND!A$2:G$506,6,0)</f>
        <v>1849513</v>
      </c>
      <c r="G329">
        <f>VLOOKUP(A329,NYSEARCATIP!A$2:G$506,6,0)</f>
        <v>811775</v>
      </c>
      <c r="H329">
        <f>VLOOKUP(A329,NYSEARCAMUB!A$2:G$506,6,0)</f>
        <v>370493</v>
      </c>
      <c r="I329">
        <f>VLOOKUP(A329,NYSEARCAVNQ!A$2:G$506,6,0)</f>
        <v>2874237</v>
      </c>
      <c r="J329">
        <f>VLOOKUP(A329,NYSEARCARWX!A$2:G$506,6,0)</f>
        <v>464541</v>
      </c>
      <c r="K329">
        <f>VLOOKUP(A329,NYSEARCADBC!A$2:G$506,6,0)</f>
        <v>1148473</v>
      </c>
      <c r="L329">
        <f>VLOOKUP(A329,NYSEARCAGSG!A$2:G$506,6,0)</f>
        <v>469291</v>
      </c>
      <c r="M329">
        <f>VLOOKUP(A329,NYSEARCAGLD!A$2:G$506,6,0)</f>
        <v>8859847</v>
      </c>
      <c r="N329">
        <f>VLOOKUP(A329,NYSEBP!A$2:G$506,6,0)</f>
        <v>3917333</v>
      </c>
      <c r="O329">
        <f>VLOOKUP(A329,NASDAQYHOO!A$2:G$506,6,0)</f>
        <v>9109446</v>
      </c>
    </row>
    <row r="330" spans="1:15">
      <c r="A330" s="39">
        <v>42621</v>
      </c>
      <c r="B330">
        <v>9661224</v>
      </c>
      <c r="C330">
        <f>VLOOKUP(A330,NYSEARCAVTI!A$2:G$506,6,0)</f>
        <v>1152485</v>
      </c>
      <c r="D330">
        <f>VLOOKUP(A330,NYSEARCAVEU!A$2:G$506,6,0)</f>
        <v>2511929</v>
      </c>
      <c r="E330">
        <f>VLOOKUP(A330,NYSEARCAVWO!A$2:G$506,6,0)</f>
        <v>23677240</v>
      </c>
      <c r="F330">
        <f>VLOOKUP(A330,NYSEARCABND!A$2:G$506,6,0)</f>
        <v>3475942</v>
      </c>
      <c r="G330">
        <f>VLOOKUP(A330,NYSEARCATIP!A$2:G$506,6,0)</f>
        <v>668024</v>
      </c>
      <c r="H330">
        <f>VLOOKUP(A330,NYSEARCAMUB!A$2:G$506,6,0)</f>
        <v>313628</v>
      </c>
      <c r="I330">
        <f>VLOOKUP(A330,NYSEARCAVNQ!A$2:G$506,6,0)</f>
        <v>3123860</v>
      </c>
      <c r="J330">
        <f>VLOOKUP(A330,NYSEARCARWX!A$2:G$506,6,0)</f>
        <v>1412854</v>
      </c>
      <c r="K330">
        <f>VLOOKUP(A330,NYSEARCADBC!A$2:G$506,6,0)</f>
        <v>2248198</v>
      </c>
      <c r="L330">
        <f>VLOOKUP(A330,NYSEARCAGSG!A$2:G$506,6,0)</f>
        <v>98396</v>
      </c>
      <c r="M330">
        <f>VLOOKUP(A330,NYSEARCAGLD!A$2:G$506,6,0)</f>
        <v>10561791</v>
      </c>
      <c r="N330">
        <f>VLOOKUP(A330,NYSEBP!A$2:G$506,6,0)</f>
        <v>5196079</v>
      </c>
      <c r="O330">
        <f>VLOOKUP(A330,NASDAQYHOO!A$2:G$506,6,0)</f>
        <v>7882609</v>
      </c>
    </row>
    <row r="331" spans="1:15">
      <c r="A331" s="39">
        <v>42622</v>
      </c>
      <c r="B331">
        <v>12172571</v>
      </c>
      <c r="C331">
        <f>VLOOKUP(A331,NYSEARCAVTI!A$2:G$506,6,0)</f>
        <v>3337356</v>
      </c>
      <c r="D331">
        <f>VLOOKUP(A331,NYSEARCAVEU!A$2:G$506,6,0)</f>
        <v>2808637</v>
      </c>
      <c r="E331">
        <f>VLOOKUP(A331,NYSEARCAVWO!A$2:G$506,6,0)</f>
        <v>17067011</v>
      </c>
      <c r="F331">
        <f>VLOOKUP(A331,NYSEARCABND!A$2:G$506,6,0)</f>
        <v>2888916</v>
      </c>
      <c r="G331">
        <f>VLOOKUP(A331,NYSEARCATIP!A$2:G$506,6,0)</f>
        <v>863404</v>
      </c>
      <c r="H331">
        <f>VLOOKUP(A331,NYSEARCAMUB!A$2:G$506,6,0)</f>
        <v>538485</v>
      </c>
      <c r="I331">
        <f>VLOOKUP(A331,NYSEARCAVNQ!A$2:G$506,6,0)</f>
        <v>7589278</v>
      </c>
      <c r="J331">
        <f>VLOOKUP(A331,NYSEARCARWX!A$2:G$506,6,0)</f>
        <v>568090</v>
      </c>
      <c r="K331">
        <f>VLOOKUP(A331,NYSEARCADBC!A$2:G$506,6,0)</f>
        <v>2073164</v>
      </c>
      <c r="L331">
        <f>VLOOKUP(A331,NYSEARCAGSG!A$2:G$506,6,0)</f>
        <v>71895</v>
      </c>
      <c r="M331">
        <f>VLOOKUP(A331,NYSEARCAGLD!A$2:G$506,6,0)</f>
        <v>12485597</v>
      </c>
      <c r="N331">
        <f>VLOOKUP(A331,NYSEBP!A$2:G$506,6,0)</f>
        <v>5457864</v>
      </c>
      <c r="O331">
        <f>VLOOKUP(A331,NASDAQYHOO!A$2:G$506,6,0)</f>
        <v>12060737</v>
      </c>
    </row>
    <row r="332" spans="1:15">
      <c r="A332" s="39">
        <v>42625</v>
      </c>
      <c r="B332">
        <v>10864043</v>
      </c>
      <c r="C332">
        <f>VLOOKUP(A332,NYSEARCAVTI!A$2:G$506,6,0)</f>
        <v>3043671</v>
      </c>
      <c r="D332">
        <f>VLOOKUP(A332,NYSEARCAVEU!A$2:G$506,6,0)</f>
        <v>3385557</v>
      </c>
      <c r="E332">
        <f>VLOOKUP(A332,NYSEARCAVWO!A$2:G$506,6,0)</f>
        <v>18950394</v>
      </c>
      <c r="F332">
        <f>VLOOKUP(A332,NYSEARCABND!A$2:G$506,6,0)</f>
        <v>3190956</v>
      </c>
      <c r="G332">
        <f>VLOOKUP(A332,NYSEARCATIP!A$2:G$506,6,0)</f>
        <v>776051</v>
      </c>
      <c r="H332">
        <f>VLOOKUP(A332,NYSEARCAMUB!A$2:G$506,6,0)</f>
        <v>346162</v>
      </c>
      <c r="I332">
        <f>VLOOKUP(A332,NYSEARCAVNQ!A$2:G$506,6,0)</f>
        <v>7088248</v>
      </c>
      <c r="J332">
        <f>VLOOKUP(A332,NYSEARCARWX!A$2:G$506,6,0)</f>
        <v>560382</v>
      </c>
      <c r="K332">
        <f>VLOOKUP(A332,NYSEARCADBC!A$2:G$506,6,0)</f>
        <v>2022187</v>
      </c>
      <c r="L332">
        <f>VLOOKUP(A332,NYSEARCAGSG!A$2:G$506,6,0)</f>
        <v>58609</v>
      </c>
      <c r="M332">
        <f>VLOOKUP(A332,NYSEARCAGLD!A$2:G$506,6,0)</f>
        <v>11140336</v>
      </c>
      <c r="N332">
        <f>VLOOKUP(A332,NYSEBP!A$2:G$506,6,0)</f>
        <v>6385635</v>
      </c>
      <c r="O332">
        <f>VLOOKUP(A332,NASDAQYHOO!A$2:G$506,6,0)</f>
        <v>10808806</v>
      </c>
    </row>
    <row r="333" spans="1:15">
      <c r="A333" s="39">
        <v>42626</v>
      </c>
      <c r="B333">
        <v>7507915</v>
      </c>
      <c r="C333">
        <f>VLOOKUP(A333,NYSEARCAVTI!A$2:G$506,6,0)</f>
        <v>5122124</v>
      </c>
      <c r="D333">
        <f>VLOOKUP(A333,NYSEARCAVEU!A$2:G$506,6,0)</f>
        <v>3007788</v>
      </c>
      <c r="E333">
        <f>VLOOKUP(A333,NYSEARCAVWO!A$2:G$506,6,0)</f>
        <v>26155178</v>
      </c>
      <c r="F333">
        <f>VLOOKUP(A333,NYSEARCABND!A$2:G$506,6,0)</f>
        <v>2670139</v>
      </c>
      <c r="G333">
        <f>VLOOKUP(A333,NYSEARCATIP!A$2:G$506,6,0)</f>
        <v>1087821</v>
      </c>
      <c r="H333">
        <f>VLOOKUP(A333,NYSEARCAMUB!A$2:G$506,6,0)</f>
        <v>420286</v>
      </c>
      <c r="I333">
        <f>VLOOKUP(A333,NYSEARCAVNQ!A$2:G$506,6,0)</f>
        <v>7223001</v>
      </c>
      <c r="J333">
        <f>VLOOKUP(A333,NYSEARCARWX!A$2:G$506,6,0)</f>
        <v>629116</v>
      </c>
      <c r="K333">
        <f>VLOOKUP(A333,NYSEARCADBC!A$2:G$506,6,0)</f>
        <v>1215538</v>
      </c>
      <c r="L333">
        <f>VLOOKUP(A333,NYSEARCAGSG!A$2:G$506,6,0)</f>
        <v>47937</v>
      </c>
      <c r="M333">
        <f>VLOOKUP(A333,NYSEARCAGLD!A$2:G$506,6,0)</f>
        <v>8866372</v>
      </c>
      <c r="N333">
        <f>VLOOKUP(A333,NYSEBP!A$2:G$506,6,0)</f>
        <v>9231919</v>
      </c>
      <c r="O333">
        <f>VLOOKUP(A333,NASDAQYHOO!A$2:G$506,6,0)</f>
        <v>10132044</v>
      </c>
    </row>
    <row r="334" spans="1:15">
      <c r="A334" s="39">
        <v>42627</v>
      </c>
      <c r="B334">
        <v>6980495</v>
      </c>
      <c r="C334">
        <f>VLOOKUP(A334,NYSEARCAVTI!A$2:G$506,6,0)</f>
        <v>2041603</v>
      </c>
      <c r="D334">
        <f>VLOOKUP(A334,NYSEARCAVEU!A$2:G$506,6,0)</f>
        <v>2684875</v>
      </c>
      <c r="E334">
        <f>VLOOKUP(A334,NYSEARCAVWO!A$2:G$506,6,0)</f>
        <v>19857084</v>
      </c>
      <c r="F334">
        <f>VLOOKUP(A334,NYSEARCABND!A$2:G$506,6,0)</f>
        <v>2124546</v>
      </c>
      <c r="G334">
        <f>VLOOKUP(A334,NYSEARCATIP!A$2:G$506,6,0)</f>
        <v>688128</v>
      </c>
      <c r="H334">
        <f>VLOOKUP(A334,NYSEARCAMUB!A$2:G$506,6,0)</f>
        <v>376363</v>
      </c>
      <c r="I334">
        <f>VLOOKUP(A334,NYSEARCAVNQ!A$2:G$506,6,0)</f>
        <v>4781906</v>
      </c>
      <c r="J334">
        <f>VLOOKUP(A334,NYSEARCARWX!A$2:G$506,6,0)</f>
        <v>411882</v>
      </c>
      <c r="K334">
        <f>VLOOKUP(A334,NYSEARCADBC!A$2:G$506,6,0)</f>
        <v>1505157</v>
      </c>
      <c r="L334">
        <f>VLOOKUP(A334,NYSEARCAGSG!A$2:G$506,6,0)</f>
        <v>245073</v>
      </c>
      <c r="M334">
        <f>VLOOKUP(A334,NYSEARCAGLD!A$2:G$506,6,0)</f>
        <v>5820694</v>
      </c>
      <c r="N334">
        <f>VLOOKUP(A334,NYSEBP!A$2:G$506,6,0)</f>
        <v>6672947</v>
      </c>
      <c r="O334">
        <f>VLOOKUP(A334,NASDAQYHOO!A$2:G$506,6,0)</f>
        <v>11625287</v>
      </c>
    </row>
    <row r="335" spans="1:15">
      <c r="A335" s="39">
        <v>42628</v>
      </c>
      <c r="B335">
        <v>7331974</v>
      </c>
      <c r="C335">
        <f>VLOOKUP(A335,NYSEARCAVTI!A$2:G$506,6,0)</f>
        <v>2960402</v>
      </c>
      <c r="D335">
        <f>VLOOKUP(A335,NYSEARCAVEU!A$2:G$506,6,0)</f>
        <v>3221709</v>
      </c>
      <c r="E335">
        <f>VLOOKUP(A335,NYSEARCAVWO!A$2:G$506,6,0)</f>
        <v>15309330</v>
      </c>
      <c r="F335">
        <f>VLOOKUP(A335,NYSEARCABND!A$2:G$506,6,0)</f>
        <v>1817238</v>
      </c>
      <c r="G335">
        <f>VLOOKUP(A335,NYSEARCATIP!A$2:G$506,6,0)</f>
        <v>764910</v>
      </c>
      <c r="H335">
        <f>VLOOKUP(A335,NYSEARCAMUB!A$2:G$506,6,0)</f>
        <v>419090</v>
      </c>
      <c r="I335">
        <f>VLOOKUP(A335,NYSEARCAVNQ!A$2:G$506,6,0)</f>
        <v>5923163</v>
      </c>
      <c r="J335">
        <f>VLOOKUP(A335,NYSEARCARWX!A$2:G$506,6,0)</f>
        <v>367576</v>
      </c>
      <c r="K335">
        <f>VLOOKUP(A335,NYSEARCADBC!A$2:G$506,6,0)</f>
        <v>1056152</v>
      </c>
      <c r="L335">
        <f>VLOOKUP(A335,NYSEARCAGSG!A$2:G$506,6,0)</f>
        <v>59355</v>
      </c>
      <c r="M335">
        <f>VLOOKUP(A335,NYSEARCAGLD!A$2:G$506,6,0)</f>
        <v>12978856</v>
      </c>
      <c r="N335">
        <f>VLOOKUP(A335,NYSEBP!A$2:G$506,6,0)</f>
        <v>4707117</v>
      </c>
      <c r="O335">
        <f>VLOOKUP(A335,NASDAQYHOO!A$2:G$506,6,0)</f>
        <v>12535634</v>
      </c>
    </row>
    <row r="336" spans="1:15">
      <c r="A336" s="39">
        <v>42629</v>
      </c>
      <c r="B336">
        <v>13935682</v>
      </c>
      <c r="C336">
        <f>VLOOKUP(A336,NYSEARCAVTI!A$2:G$506,6,0)</f>
        <v>2779419</v>
      </c>
      <c r="D336">
        <f>VLOOKUP(A336,NYSEARCAVEU!A$2:G$506,6,0)</f>
        <v>2221357</v>
      </c>
      <c r="E336">
        <f>VLOOKUP(A336,NYSEARCAVWO!A$2:G$506,6,0)</f>
        <v>18397837</v>
      </c>
      <c r="F336">
        <f>VLOOKUP(A336,NYSEARCABND!A$2:G$506,6,0)</f>
        <v>1307912</v>
      </c>
      <c r="G336">
        <f>VLOOKUP(A336,NYSEARCATIP!A$2:G$506,6,0)</f>
        <v>1003228</v>
      </c>
      <c r="H336">
        <f>VLOOKUP(A336,NYSEARCAMUB!A$2:G$506,6,0)</f>
        <v>528175</v>
      </c>
      <c r="I336">
        <f>VLOOKUP(A336,NYSEARCAVNQ!A$2:G$506,6,0)</f>
        <v>6251809</v>
      </c>
      <c r="J336">
        <f>VLOOKUP(A336,NYSEARCARWX!A$2:G$506,6,0)</f>
        <v>469333</v>
      </c>
      <c r="K336">
        <f>VLOOKUP(A336,NYSEARCADBC!A$2:G$506,6,0)</f>
        <v>977827</v>
      </c>
      <c r="L336">
        <f>VLOOKUP(A336,NYSEARCAGSG!A$2:G$506,6,0)</f>
        <v>81728</v>
      </c>
      <c r="M336">
        <f>VLOOKUP(A336,NYSEARCAGLD!A$2:G$506,6,0)</f>
        <v>18995065</v>
      </c>
      <c r="N336">
        <f>VLOOKUP(A336,NYSEBP!A$2:G$506,6,0)</f>
        <v>5594561</v>
      </c>
      <c r="O336">
        <f>VLOOKUP(A336,NASDAQYHOO!A$2:G$506,6,0)</f>
        <v>19093930</v>
      </c>
    </row>
    <row r="337" spans="1:15">
      <c r="A337" s="39">
        <v>42632</v>
      </c>
      <c r="B337">
        <v>6920677</v>
      </c>
      <c r="C337">
        <f>VLOOKUP(A337,NYSEARCAVTI!A$2:G$506,6,0)</f>
        <v>3430165</v>
      </c>
      <c r="D337">
        <f>VLOOKUP(A337,NYSEARCAVEU!A$2:G$506,6,0)</f>
        <v>2475717</v>
      </c>
      <c r="E337">
        <f>VLOOKUP(A337,NYSEARCAVWO!A$2:G$506,6,0)</f>
        <v>12623872</v>
      </c>
      <c r="F337">
        <f>VLOOKUP(A337,NYSEARCABND!A$2:G$506,6,0)</f>
        <v>1558070</v>
      </c>
      <c r="G337">
        <f>VLOOKUP(A337,NYSEARCATIP!A$2:G$506,6,0)</f>
        <v>517843</v>
      </c>
      <c r="H337">
        <f>VLOOKUP(A337,NYSEARCAMUB!A$2:G$506,6,0)</f>
        <v>348230</v>
      </c>
      <c r="I337">
        <f>VLOOKUP(A337,NYSEARCAVNQ!A$2:G$506,6,0)</f>
        <v>3407692</v>
      </c>
      <c r="J337">
        <f>VLOOKUP(A337,NYSEARCARWX!A$2:G$506,6,0)</f>
        <v>333299</v>
      </c>
      <c r="K337">
        <f>VLOOKUP(A337,NYSEARCADBC!A$2:G$506,6,0)</f>
        <v>2235422</v>
      </c>
      <c r="L337">
        <f>VLOOKUP(A337,NYSEARCAGSG!A$2:G$506,6,0)</f>
        <v>68678</v>
      </c>
      <c r="M337">
        <f>VLOOKUP(A337,NYSEARCAGLD!A$2:G$506,6,0)</f>
        <v>4959637</v>
      </c>
      <c r="N337">
        <f>VLOOKUP(A337,NYSEBP!A$2:G$506,6,0)</f>
        <v>4741152</v>
      </c>
      <c r="O337">
        <f>VLOOKUP(A337,NASDAQYHOO!A$2:G$506,6,0)</f>
        <v>7887375</v>
      </c>
    </row>
    <row r="338" spans="1:15">
      <c r="A338" s="39">
        <v>42633</v>
      </c>
      <c r="B338">
        <v>5910577</v>
      </c>
      <c r="C338">
        <f>VLOOKUP(A338,NYSEARCAVTI!A$2:G$506,6,0)</f>
        <v>1603490</v>
      </c>
      <c r="D338">
        <f>VLOOKUP(A338,NYSEARCAVEU!A$2:G$506,6,0)</f>
        <v>1816700</v>
      </c>
      <c r="E338">
        <f>VLOOKUP(A338,NYSEARCAVWO!A$2:G$506,6,0)</f>
        <v>18862694</v>
      </c>
      <c r="F338">
        <f>VLOOKUP(A338,NYSEARCABND!A$2:G$506,6,0)</f>
        <v>1260941</v>
      </c>
      <c r="G338">
        <f>VLOOKUP(A338,NYSEARCATIP!A$2:G$506,6,0)</f>
        <v>485219</v>
      </c>
      <c r="H338">
        <f>VLOOKUP(A338,NYSEARCAMUB!A$2:G$506,6,0)</f>
        <v>217909</v>
      </c>
      <c r="I338">
        <f>VLOOKUP(A338,NYSEARCAVNQ!A$2:G$506,6,0)</f>
        <v>3905798</v>
      </c>
      <c r="J338">
        <f>VLOOKUP(A338,NYSEARCARWX!A$2:G$506,6,0)</f>
        <v>340971</v>
      </c>
      <c r="K338">
        <f>VLOOKUP(A338,NYSEARCADBC!A$2:G$506,6,0)</f>
        <v>1666737</v>
      </c>
      <c r="L338">
        <f>VLOOKUP(A338,NYSEARCAGSG!A$2:G$506,6,0)</f>
        <v>131791</v>
      </c>
      <c r="M338">
        <f>VLOOKUP(A338,NYSEARCAGLD!A$2:G$506,6,0)</f>
        <v>5672021</v>
      </c>
      <c r="N338">
        <f>VLOOKUP(A338,NYSEBP!A$2:G$506,6,0)</f>
        <v>4759870</v>
      </c>
      <c r="O338">
        <f>VLOOKUP(A338,NASDAQYHOO!A$2:G$506,6,0)</f>
        <v>9788923</v>
      </c>
    </row>
    <row r="339" spans="1:15">
      <c r="A339" s="39">
        <v>42634</v>
      </c>
      <c r="B339">
        <v>6675884</v>
      </c>
      <c r="C339">
        <f>VLOOKUP(A339,NYSEARCAVTI!A$2:G$506,6,0)</f>
        <v>1971782</v>
      </c>
      <c r="D339">
        <f>VLOOKUP(A339,NYSEARCAVEU!A$2:G$506,6,0)</f>
        <v>2112401</v>
      </c>
      <c r="E339">
        <f>VLOOKUP(A339,NYSEARCAVWO!A$2:G$506,6,0)</f>
        <v>25792764</v>
      </c>
      <c r="F339">
        <f>VLOOKUP(A339,NYSEARCABND!A$2:G$506,6,0)</f>
        <v>1979973</v>
      </c>
      <c r="G339">
        <f>VLOOKUP(A339,NYSEARCATIP!A$2:G$506,6,0)</f>
        <v>842634</v>
      </c>
      <c r="H339">
        <f>VLOOKUP(A339,NYSEARCAMUB!A$2:G$506,6,0)</f>
        <v>490935</v>
      </c>
      <c r="I339">
        <f>VLOOKUP(A339,NYSEARCAVNQ!A$2:G$506,6,0)</f>
        <v>6905007</v>
      </c>
      <c r="J339">
        <f>VLOOKUP(A339,NYSEARCARWX!A$2:G$506,6,0)</f>
        <v>1171942</v>
      </c>
      <c r="K339">
        <f>VLOOKUP(A339,NYSEARCADBC!A$2:G$506,6,0)</f>
        <v>1457681</v>
      </c>
      <c r="L339">
        <f>VLOOKUP(A339,NYSEARCAGSG!A$2:G$506,6,0)</f>
        <v>116831</v>
      </c>
      <c r="M339">
        <f>VLOOKUP(A339,NYSEARCAGLD!A$2:G$506,6,0)</f>
        <v>13646448</v>
      </c>
      <c r="N339">
        <f>VLOOKUP(A339,NYSEBP!A$2:G$506,6,0)</f>
        <v>6634783</v>
      </c>
      <c r="O339">
        <f>VLOOKUP(A339,NASDAQYHOO!A$2:G$506,6,0)</f>
        <v>12313680</v>
      </c>
    </row>
    <row r="340" spans="1:15">
      <c r="A340" s="39">
        <v>42635</v>
      </c>
      <c r="B340">
        <v>5871871</v>
      </c>
      <c r="C340">
        <f>VLOOKUP(A340,NYSEARCAVTI!A$2:G$506,6,0)</f>
        <v>1525436</v>
      </c>
      <c r="D340">
        <f>VLOOKUP(A340,NYSEARCAVEU!A$2:G$506,6,0)</f>
        <v>2494034</v>
      </c>
      <c r="E340">
        <f>VLOOKUP(A340,NYSEARCAVWO!A$2:G$506,6,0)</f>
        <v>15670373</v>
      </c>
      <c r="F340">
        <f>VLOOKUP(A340,NYSEARCABND!A$2:G$506,6,0)</f>
        <v>1473897</v>
      </c>
      <c r="G340">
        <f>VLOOKUP(A340,NYSEARCATIP!A$2:G$506,6,0)</f>
        <v>746852</v>
      </c>
      <c r="H340">
        <f>VLOOKUP(A340,NYSEARCAMUB!A$2:G$506,6,0)</f>
        <v>369958</v>
      </c>
      <c r="I340">
        <f>VLOOKUP(A340,NYSEARCAVNQ!A$2:G$506,6,0)</f>
        <v>3575735</v>
      </c>
      <c r="J340">
        <f>VLOOKUP(A340,NYSEARCARWX!A$2:G$506,6,0)</f>
        <v>571790</v>
      </c>
      <c r="K340">
        <f>VLOOKUP(A340,NYSEARCADBC!A$2:G$506,6,0)</f>
        <v>950566</v>
      </c>
      <c r="L340">
        <f>VLOOKUP(A340,NYSEARCAGSG!A$2:G$506,6,0)</f>
        <v>178571</v>
      </c>
      <c r="M340">
        <f>VLOOKUP(A340,NYSEARCAGLD!A$2:G$506,6,0)</f>
        <v>15188007</v>
      </c>
      <c r="N340">
        <f>VLOOKUP(A340,NYSEBP!A$2:G$506,6,0)</f>
        <v>8461869</v>
      </c>
      <c r="O340">
        <f>VLOOKUP(A340,NASDAQYHOO!A$2:G$506,6,0)</f>
        <v>33355616</v>
      </c>
    </row>
    <row r="341" spans="1:15">
      <c r="A341" s="39">
        <v>42636</v>
      </c>
      <c r="B341">
        <v>7696449</v>
      </c>
      <c r="C341">
        <f>VLOOKUP(A341,NYSEARCAVTI!A$2:G$506,6,0)</f>
        <v>1532059</v>
      </c>
      <c r="D341">
        <f>VLOOKUP(A341,NYSEARCAVEU!A$2:G$506,6,0)</f>
        <v>2810567</v>
      </c>
      <c r="E341">
        <f>VLOOKUP(A341,NYSEARCAVWO!A$2:G$506,6,0)</f>
        <v>11140518</v>
      </c>
      <c r="F341">
        <f>VLOOKUP(A341,NYSEARCABND!A$2:G$506,6,0)</f>
        <v>1441511</v>
      </c>
      <c r="G341">
        <f>VLOOKUP(A341,NYSEARCATIP!A$2:G$506,6,0)</f>
        <v>768390</v>
      </c>
      <c r="H341">
        <f>VLOOKUP(A341,NYSEARCAMUB!A$2:G$506,6,0)</f>
        <v>403766</v>
      </c>
      <c r="I341">
        <f>VLOOKUP(A341,NYSEARCAVNQ!A$2:G$506,6,0)</f>
        <v>4722530</v>
      </c>
      <c r="J341">
        <f>VLOOKUP(A341,NYSEARCARWX!A$2:G$506,6,0)</f>
        <v>324336</v>
      </c>
      <c r="K341">
        <f>VLOOKUP(A341,NYSEARCADBC!A$2:G$506,6,0)</f>
        <v>1551808</v>
      </c>
      <c r="L341">
        <f>VLOOKUP(A341,NYSEARCAGSG!A$2:G$506,6,0)</f>
        <v>73764</v>
      </c>
      <c r="M341">
        <f>VLOOKUP(A341,NYSEARCAGLD!A$2:G$506,6,0)</f>
        <v>7702291</v>
      </c>
      <c r="N341">
        <f>VLOOKUP(A341,NYSEBP!A$2:G$506,6,0)</f>
        <v>5138003</v>
      </c>
      <c r="O341">
        <f>VLOOKUP(A341,NASDAQYHOO!A$2:G$506,6,0)</f>
        <v>31888521</v>
      </c>
    </row>
    <row r="342" spans="1:15">
      <c r="A342" s="39">
        <v>42639</v>
      </c>
      <c r="B342">
        <v>5948719</v>
      </c>
      <c r="C342">
        <f>VLOOKUP(A342,NYSEARCAVTI!A$2:G$506,6,0)</f>
        <v>2136802</v>
      </c>
      <c r="D342">
        <f>VLOOKUP(A342,NYSEARCAVEU!A$2:G$506,6,0)</f>
        <v>1352035</v>
      </c>
      <c r="E342">
        <f>VLOOKUP(A342,NYSEARCAVWO!A$2:G$506,6,0)</f>
        <v>9973491</v>
      </c>
      <c r="F342">
        <f>VLOOKUP(A342,NYSEARCABND!A$2:G$506,6,0)</f>
        <v>1709285</v>
      </c>
      <c r="G342">
        <f>VLOOKUP(A342,NYSEARCATIP!A$2:G$506,6,0)</f>
        <v>813709</v>
      </c>
      <c r="H342">
        <f>VLOOKUP(A342,NYSEARCAMUB!A$2:G$506,6,0)</f>
        <v>307023</v>
      </c>
      <c r="I342">
        <f>VLOOKUP(A342,NYSEARCAVNQ!A$2:G$506,6,0)</f>
        <v>3440212</v>
      </c>
      <c r="J342">
        <f>VLOOKUP(A342,NYSEARCARWX!A$2:G$506,6,0)</f>
        <v>594662</v>
      </c>
      <c r="K342">
        <f>VLOOKUP(A342,NYSEARCADBC!A$2:G$506,6,0)</f>
        <v>1043909</v>
      </c>
      <c r="L342">
        <f>VLOOKUP(A342,NYSEARCAGSG!A$2:G$506,6,0)</f>
        <v>58063</v>
      </c>
      <c r="M342">
        <f>VLOOKUP(A342,NYSEARCAGLD!A$2:G$506,6,0)</f>
        <v>5842740</v>
      </c>
      <c r="N342">
        <f>VLOOKUP(A342,NYSEBP!A$2:G$506,6,0)</f>
        <v>4579521</v>
      </c>
      <c r="O342">
        <f>VLOOKUP(A342,NASDAQYHOO!A$2:G$506,6,0)</f>
        <v>12745119</v>
      </c>
    </row>
    <row r="343" spans="1:15">
      <c r="A343" s="39">
        <v>42640</v>
      </c>
      <c r="B343">
        <v>6344407</v>
      </c>
      <c r="C343">
        <f>VLOOKUP(A343,NYSEARCAVTI!A$2:G$506,6,0)</f>
        <v>1292748</v>
      </c>
      <c r="D343">
        <f>VLOOKUP(A343,NYSEARCAVEU!A$2:G$506,6,0)</f>
        <v>1597698</v>
      </c>
      <c r="E343">
        <f>VLOOKUP(A343,NYSEARCAVWO!A$2:G$506,6,0)</f>
        <v>11045813</v>
      </c>
      <c r="F343">
        <f>VLOOKUP(A343,NYSEARCABND!A$2:G$506,6,0)</f>
        <v>2458300</v>
      </c>
      <c r="G343">
        <f>VLOOKUP(A343,NYSEARCATIP!A$2:G$506,6,0)</f>
        <v>953076</v>
      </c>
      <c r="H343">
        <f>VLOOKUP(A343,NYSEARCAMUB!A$2:G$506,6,0)</f>
        <v>315075</v>
      </c>
      <c r="I343">
        <f>VLOOKUP(A343,NYSEARCAVNQ!A$2:G$506,6,0)</f>
        <v>6479844</v>
      </c>
      <c r="J343">
        <f>VLOOKUP(A343,NYSEARCARWX!A$2:G$506,6,0)</f>
        <v>372554</v>
      </c>
      <c r="K343">
        <f>VLOOKUP(A343,NYSEARCADBC!A$2:G$506,6,0)</f>
        <v>1133976</v>
      </c>
      <c r="L343">
        <f>VLOOKUP(A343,NYSEARCAGSG!A$2:G$506,6,0)</f>
        <v>110552</v>
      </c>
      <c r="M343">
        <f>VLOOKUP(A343,NYSEARCAGLD!A$2:G$506,6,0)</f>
        <v>6220662</v>
      </c>
      <c r="N343">
        <f>VLOOKUP(A343,NYSEBP!A$2:G$506,6,0)</f>
        <v>4171938</v>
      </c>
      <c r="O343">
        <f>VLOOKUP(A343,NASDAQYHOO!A$2:G$506,6,0)</f>
        <v>8765715</v>
      </c>
    </row>
    <row r="344" spans="1:15">
      <c r="A344" s="39">
        <v>42641</v>
      </c>
      <c r="B344">
        <v>6184932</v>
      </c>
      <c r="C344">
        <f>VLOOKUP(A344,NYSEARCAVTI!A$2:G$506,6,0)</f>
        <v>1439934</v>
      </c>
      <c r="D344">
        <f>VLOOKUP(A344,NYSEARCAVEU!A$2:G$506,6,0)</f>
        <v>1740475</v>
      </c>
      <c r="E344">
        <f>VLOOKUP(A344,NYSEARCAVWO!A$2:G$506,6,0)</f>
        <v>10150788</v>
      </c>
      <c r="F344">
        <f>VLOOKUP(A344,NYSEARCABND!A$2:G$506,6,0)</f>
        <v>2284595</v>
      </c>
      <c r="G344">
        <f>VLOOKUP(A344,NYSEARCATIP!A$2:G$506,6,0)</f>
        <v>1517411</v>
      </c>
      <c r="H344">
        <f>VLOOKUP(A344,NYSEARCAMUB!A$2:G$506,6,0)</f>
        <v>301911</v>
      </c>
      <c r="I344">
        <f>VLOOKUP(A344,NYSEARCAVNQ!A$2:G$506,6,0)</f>
        <v>2676283</v>
      </c>
      <c r="J344">
        <f>VLOOKUP(A344,NYSEARCARWX!A$2:G$506,6,0)</f>
        <v>366201</v>
      </c>
      <c r="K344">
        <f>VLOOKUP(A344,NYSEARCADBC!A$2:G$506,6,0)</f>
        <v>2413802</v>
      </c>
      <c r="L344">
        <f>VLOOKUP(A344,NYSEARCAGSG!A$2:G$506,6,0)</f>
        <v>233631</v>
      </c>
      <c r="M344">
        <f>VLOOKUP(A344,NYSEARCAGLD!A$2:G$506,6,0)</f>
        <v>6757652</v>
      </c>
      <c r="N344">
        <f>VLOOKUP(A344,NYSEBP!A$2:G$506,6,0)</f>
        <v>9765948</v>
      </c>
      <c r="O344">
        <f>VLOOKUP(A344,NASDAQYHOO!A$2:G$506,6,0)</f>
        <v>7418984</v>
      </c>
    </row>
    <row r="345" spans="1:15">
      <c r="A345" s="39">
        <v>42642</v>
      </c>
      <c r="B345">
        <v>7996767</v>
      </c>
      <c r="C345">
        <f>VLOOKUP(A345,NYSEARCAVTI!A$2:G$506,6,0)</f>
        <v>2037346</v>
      </c>
      <c r="D345">
        <f>VLOOKUP(A345,NYSEARCAVEU!A$2:G$506,6,0)</f>
        <v>1768688</v>
      </c>
      <c r="E345">
        <f>VLOOKUP(A345,NYSEARCAVWO!A$2:G$506,6,0)</f>
        <v>12570859</v>
      </c>
      <c r="F345">
        <f>VLOOKUP(A345,NYSEARCABND!A$2:G$506,6,0)</f>
        <v>2886223</v>
      </c>
      <c r="G345">
        <f>VLOOKUP(A345,NYSEARCATIP!A$2:G$506,6,0)</f>
        <v>973204</v>
      </c>
      <c r="H345">
        <f>VLOOKUP(A345,NYSEARCAMUB!A$2:G$506,6,0)</f>
        <v>561513</v>
      </c>
      <c r="I345">
        <f>VLOOKUP(A345,NYSEARCAVNQ!A$2:G$506,6,0)</f>
        <v>4662848</v>
      </c>
      <c r="J345">
        <f>VLOOKUP(A345,NYSEARCARWX!A$2:G$506,6,0)</f>
        <v>496445</v>
      </c>
      <c r="K345">
        <f>VLOOKUP(A345,NYSEARCADBC!A$2:G$506,6,0)</f>
        <v>1276937</v>
      </c>
      <c r="L345">
        <f>VLOOKUP(A345,NYSEARCAGSG!A$2:G$506,6,0)</f>
        <v>175007</v>
      </c>
      <c r="M345">
        <f>VLOOKUP(A345,NYSEARCAGLD!A$2:G$506,6,0)</f>
        <v>7448407</v>
      </c>
      <c r="N345">
        <f>VLOOKUP(A345,NYSEBP!A$2:G$506,6,0)</f>
        <v>9021686</v>
      </c>
      <c r="O345">
        <f>VLOOKUP(A345,NASDAQYHOO!A$2:G$506,6,0)</f>
        <v>13720746</v>
      </c>
    </row>
    <row r="346" spans="1:15">
      <c r="A346" s="39">
        <v>42643</v>
      </c>
      <c r="B346">
        <v>9982598</v>
      </c>
      <c r="C346">
        <f>VLOOKUP(A346,NYSEARCAVTI!A$2:G$506,6,0)</f>
        <v>1722614</v>
      </c>
      <c r="D346">
        <f>VLOOKUP(A346,NYSEARCAVEU!A$2:G$506,6,0)</f>
        <v>2118258</v>
      </c>
      <c r="E346">
        <f>VLOOKUP(A346,NYSEARCAVWO!A$2:G$506,6,0)</f>
        <v>19286690</v>
      </c>
      <c r="F346">
        <f>VLOOKUP(A346,NYSEARCABND!A$2:G$506,6,0)</f>
        <v>1663650</v>
      </c>
      <c r="G346">
        <f>VLOOKUP(A346,NYSEARCATIP!A$2:G$506,6,0)</f>
        <v>1450220</v>
      </c>
      <c r="H346">
        <f>VLOOKUP(A346,NYSEARCAMUB!A$2:G$506,6,0)</f>
        <v>508535</v>
      </c>
      <c r="I346">
        <f>VLOOKUP(A346,NYSEARCAVNQ!A$2:G$506,6,0)</f>
        <v>6718579</v>
      </c>
      <c r="J346">
        <f>VLOOKUP(A346,NYSEARCARWX!A$2:G$506,6,0)</f>
        <v>473712</v>
      </c>
      <c r="K346">
        <f>VLOOKUP(A346,NYSEARCADBC!A$2:G$506,6,0)</f>
        <v>1924025</v>
      </c>
      <c r="L346">
        <f>VLOOKUP(A346,NYSEARCAGSG!A$2:G$506,6,0)</f>
        <v>803461</v>
      </c>
      <c r="M346">
        <f>VLOOKUP(A346,NYSEARCAGLD!A$2:G$506,6,0)</f>
        <v>11204261</v>
      </c>
      <c r="N346">
        <f>VLOOKUP(A346,NYSEBP!A$2:G$506,6,0)</f>
        <v>6133653</v>
      </c>
      <c r="O346">
        <f>VLOOKUP(A346,NASDAQYHOO!A$2:G$506,6,0)</f>
        <v>10374757</v>
      </c>
    </row>
    <row r="347" spans="1:15">
      <c r="A347" s="39">
        <v>42646</v>
      </c>
      <c r="B347">
        <v>5857743</v>
      </c>
      <c r="C347">
        <f>VLOOKUP(A347,NYSEARCAVTI!A$2:G$506,6,0)</f>
        <v>2207599</v>
      </c>
      <c r="D347">
        <f>VLOOKUP(A347,NYSEARCAVEU!A$2:G$506,6,0)</f>
        <v>1485400</v>
      </c>
      <c r="E347">
        <f>VLOOKUP(A347,NYSEARCAVWO!A$2:G$506,6,0)</f>
        <v>23704658</v>
      </c>
      <c r="F347">
        <f>VLOOKUP(A347,NYSEARCABND!A$2:G$506,6,0)</f>
        <v>1509327</v>
      </c>
      <c r="G347">
        <f>VLOOKUP(A347,NYSEARCATIP!A$2:G$506,6,0)</f>
        <v>2319396</v>
      </c>
      <c r="H347">
        <f>VLOOKUP(A347,NYSEARCAMUB!A$2:G$506,6,0)</f>
        <v>579628</v>
      </c>
      <c r="I347">
        <f>VLOOKUP(A347,NYSEARCAVNQ!A$2:G$506,6,0)</f>
        <v>10473860</v>
      </c>
      <c r="J347">
        <f>VLOOKUP(A347,NYSEARCARWX!A$2:G$506,6,0)</f>
        <v>2034721</v>
      </c>
      <c r="K347">
        <f>VLOOKUP(A347,NYSEARCADBC!A$2:G$506,6,0)</f>
        <v>4734534</v>
      </c>
      <c r="L347">
        <f>VLOOKUP(A347,NYSEARCAGSG!A$2:G$506,6,0)</f>
        <v>241706</v>
      </c>
      <c r="M347">
        <f>VLOOKUP(A347,NYSEARCAGLD!A$2:G$506,6,0)</f>
        <v>9044105</v>
      </c>
      <c r="N347">
        <f>VLOOKUP(A347,NYSEBP!A$2:G$506,6,0)</f>
        <v>4873842</v>
      </c>
      <c r="O347">
        <f>VLOOKUP(A347,NASDAQYHOO!A$2:G$506,6,0)</f>
        <v>7965922</v>
      </c>
    </row>
    <row r="348" spans="1:15">
      <c r="A348" s="39">
        <v>42647</v>
      </c>
      <c r="B348">
        <v>6569284</v>
      </c>
      <c r="C348">
        <f>VLOOKUP(A348,NYSEARCAVTI!A$2:G$506,6,0)</f>
        <v>2701120</v>
      </c>
      <c r="D348">
        <f>VLOOKUP(A348,NYSEARCAVEU!A$2:G$506,6,0)</f>
        <v>2097814</v>
      </c>
      <c r="E348">
        <f>VLOOKUP(A348,NYSEARCAVWO!A$2:G$506,6,0)</f>
        <v>17833369</v>
      </c>
      <c r="F348">
        <f>VLOOKUP(A348,NYSEARCABND!A$2:G$506,6,0)</f>
        <v>1815729</v>
      </c>
      <c r="G348">
        <f>VLOOKUP(A348,NYSEARCATIP!A$2:G$506,6,0)</f>
        <v>3761684</v>
      </c>
      <c r="H348">
        <f>VLOOKUP(A348,NYSEARCAMUB!A$2:G$506,6,0)</f>
        <v>449843</v>
      </c>
      <c r="I348">
        <f>VLOOKUP(A348,NYSEARCAVNQ!A$2:G$506,6,0)</f>
        <v>7415651</v>
      </c>
      <c r="J348">
        <f>VLOOKUP(A348,NYSEARCARWX!A$2:G$506,6,0)</f>
        <v>1123081</v>
      </c>
      <c r="K348">
        <f>VLOOKUP(A348,NYSEARCADBC!A$2:G$506,6,0)</f>
        <v>1430624</v>
      </c>
      <c r="L348">
        <f>VLOOKUP(A348,NYSEARCAGSG!A$2:G$506,6,0)</f>
        <v>135817</v>
      </c>
      <c r="M348">
        <f>VLOOKUP(A348,NYSEARCAGLD!A$2:G$506,6,0)</f>
        <v>24372722</v>
      </c>
      <c r="N348">
        <f>VLOOKUP(A348,NYSEBP!A$2:G$506,6,0)</f>
        <v>8148075</v>
      </c>
      <c r="O348">
        <f>VLOOKUP(A348,NASDAQYHOO!A$2:G$506,6,0)</f>
        <v>8998384</v>
      </c>
    </row>
    <row r="349" spans="1:15">
      <c r="A349" s="39">
        <v>42648</v>
      </c>
      <c r="B349">
        <v>6464442</v>
      </c>
      <c r="C349">
        <f>VLOOKUP(A349,NYSEARCAVTI!A$2:G$506,6,0)</f>
        <v>2119016</v>
      </c>
      <c r="D349">
        <f>VLOOKUP(A349,NYSEARCAVEU!A$2:G$506,6,0)</f>
        <v>1412175</v>
      </c>
      <c r="E349">
        <f>VLOOKUP(A349,NYSEARCAVWO!A$2:G$506,6,0)</f>
        <v>11921861</v>
      </c>
      <c r="F349">
        <f>VLOOKUP(A349,NYSEARCABND!A$2:G$506,6,0)</f>
        <v>2666081</v>
      </c>
      <c r="G349">
        <f>VLOOKUP(A349,NYSEARCATIP!A$2:G$506,6,0)</f>
        <v>1071587</v>
      </c>
      <c r="H349">
        <f>VLOOKUP(A349,NYSEARCAMUB!A$2:G$506,6,0)</f>
        <v>599132</v>
      </c>
      <c r="I349">
        <f>VLOOKUP(A349,NYSEARCAVNQ!A$2:G$506,6,0)</f>
        <v>8125205</v>
      </c>
      <c r="J349">
        <f>VLOOKUP(A349,NYSEARCARWX!A$2:G$506,6,0)</f>
        <v>2016348</v>
      </c>
      <c r="K349">
        <f>VLOOKUP(A349,NYSEARCADBC!A$2:G$506,6,0)</f>
        <v>4075497</v>
      </c>
      <c r="L349">
        <f>VLOOKUP(A349,NYSEARCAGSG!A$2:G$506,6,0)</f>
        <v>472985</v>
      </c>
      <c r="M349">
        <f>VLOOKUP(A349,NYSEARCAGLD!A$2:G$506,6,0)</f>
        <v>14718120</v>
      </c>
      <c r="N349">
        <f>VLOOKUP(A349,NYSEBP!A$2:G$506,6,0)</f>
        <v>5394479</v>
      </c>
      <c r="O349">
        <f>VLOOKUP(A349,NASDAQYHOO!A$2:G$506,6,0)</f>
        <v>6118487</v>
      </c>
    </row>
    <row r="350" spans="1:15">
      <c r="A350" s="39">
        <v>42649</v>
      </c>
      <c r="B350">
        <v>20110251</v>
      </c>
      <c r="C350">
        <f>VLOOKUP(A350,NYSEARCAVTI!A$2:G$506,6,0)</f>
        <v>1067725</v>
      </c>
      <c r="D350">
        <f>VLOOKUP(A350,NYSEARCAVEU!A$2:G$506,6,0)</f>
        <v>1181720</v>
      </c>
      <c r="E350">
        <f>VLOOKUP(A350,NYSEARCAVWO!A$2:G$506,6,0)</f>
        <v>13547480</v>
      </c>
      <c r="F350">
        <f>VLOOKUP(A350,NYSEARCABND!A$2:G$506,6,0)</f>
        <v>1148648</v>
      </c>
      <c r="G350">
        <f>VLOOKUP(A350,NYSEARCATIP!A$2:G$506,6,0)</f>
        <v>820144</v>
      </c>
      <c r="H350">
        <f>VLOOKUP(A350,NYSEARCAMUB!A$2:G$506,6,0)</f>
        <v>473864</v>
      </c>
      <c r="I350">
        <f>VLOOKUP(A350,NYSEARCAVNQ!A$2:G$506,6,0)</f>
        <v>6760314</v>
      </c>
      <c r="J350">
        <f>VLOOKUP(A350,NYSEARCARWX!A$2:G$506,6,0)</f>
        <v>834627</v>
      </c>
      <c r="K350">
        <f>VLOOKUP(A350,NYSEARCADBC!A$2:G$506,6,0)</f>
        <v>1460074</v>
      </c>
      <c r="L350">
        <f>VLOOKUP(A350,NYSEARCAGSG!A$2:G$506,6,0)</f>
        <v>78940</v>
      </c>
      <c r="M350">
        <f>VLOOKUP(A350,NYSEARCAGLD!A$2:G$506,6,0)</f>
        <v>17917672</v>
      </c>
      <c r="N350">
        <f>VLOOKUP(A350,NYSEBP!A$2:G$506,6,0)</f>
        <v>4422073</v>
      </c>
      <c r="O350">
        <f>VLOOKUP(A350,NASDAQYHOO!A$2:G$506,6,0)</f>
        <v>6293908</v>
      </c>
    </row>
    <row r="351" spans="1:15">
      <c r="A351" s="39">
        <v>42650</v>
      </c>
      <c r="B351">
        <v>12653847</v>
      </c>
      <c r="C351">
        <f>VLOOKUP(A351,NYSEARCAVTI!A$2:G$506,6,0)</f>
        <v>1770625</v>
      </c>
      <c r="D351">
        <f>VLOOKUP(A351,NYSEARCAVEU!A$2:G$506,6,0)</f>
        <v>2380406</v>
      </c>
      <c r="E351">
        <f>VLOOKUP(A351,NYSEARCAVWO!A$2:G$506,6,0)</f>
        <v>17118566</v>
      </c>
      <c r="F351">
        <f>VLOOKUP(A351,NYSEARCABND!A$2:G$506,6,0)</f>
        <v>1783262</v>
      </c>
      <c r="G351">
        <f>VLOOKUP(A351,NYSEARCATIP!A$2:G$506,6,0)</f>
        <v>990066</v>
      </c>
      <c r="H351">
        <f>VLOOKUP(A351,NYSEARCAMUB!A$2:G$506,6,0)</f>
        <v>422595</v>
      </c>
      <c r="I351">
        <f>VLOOKUP(A351,NYSEARCAVNQ!A$2:G$506,6,0)</f>
        <v>6037109</v>
      </c>
      <c r="J351">
        <f>VLOOKUP(A351,NYSEARCARWX!A$2:G$506,6,0)</f>
        <v>1052796</v>
      </c>
      <c r="K351">
        <f>VLOOKUP(A351,NYSEARCADBC!A$2:G$506,6,0)</f>
        <v>1358428</v>
      </c>
      <c r="L351">
        <f>VLOOKUP(A351,NYSEARCAGSG!A$2:G$506,6,0)</f>
        <v>144090</v>
      </c>
      <c r="M351">
        <f>VLOOKUP(A351,NYSEARCAGLD!A$2:G$506,6,0)</f>
        <v>17907270</v>
      </c>
      <c r="N351">
        <f>VLOOKUP(A351,NYSEBP!A$2:G$506,6,0)</f>
        <v>4678797</v>
      </c>
      <c r="O351">
        <f>VLOOKUP(A351,NASDAQYHOO!A$2:G$506,6,0)</f>
        <v>8502112</v>
      </c>
    </row>
    <row r="352" spans="1:15">
      <c r="A352" s="39">
        <v>42653</v>
      </c>
      <c r="B352">
        <v>8988413</v>
      </c>
      <c r="C352">
        <f>VLOOKUP(A352,NYSEARCAVTI!A$2:G$506,6,0)</f>
        <v>1134961</v>
      </c>
      <c r="D352">
        <f>VLOOKUP(A352,NYSEARCAVEU!A$2:G$506,6,0)</f>
        <v>698358</v>
      </c>
      <c r="E352">
        <f>VLOOKUP(A352,NYSEARCAVWO!A$2:G$506,6,0)</f>
        <v>8509401</v>
      </c>
      <c r="F352">
        <f>VLOOKUP(A352,NYSEARCABND!A$2:G$506,6,0)</f>
        <v>1425493</v>
      </c>
      <c r="G352">
        <f>VLOOKUP(A352,NYSEARCATIP!A$2:G$506,6,0)</f>
        <v>912468</v>
      </c>
      <c r="H352">
        <f>VLOOKUP(A352,NYSEARCAMUB!A$2:G$506,6,0)</f>
        <v>216562</v>
      </c>
      <c r="I352">
        <f>VLOOKUP(A352,NYSEARCAVNQ!A$2:G$506,6,0)</f>
        <v>2818332</v>
      </c>
      <c r="J352">
        <f>VLOOKUP(A352,NYSEARCARWX!A$2:G$506,6,0)</f>
        <v>293968</v>
      </c>
      <c r="K352">
        <f>VLOOKUP(A352,NYSEARCADBC!A$2:G$506,6,0)</f>
        <v>1547945</v>
      </c>
      <c r="L352">
        <f>VLOOKUP(A352,NYSEARCAGSG!A$2:G$506,6,0)</f>
        <v>104022</v>
      </c>
      <c r="M352">
        <f>VLOOKUP(A352,NYSEARCAGLD!A$2:G$506,6,0)</f>
        <v>4514368</v>
      </c>
      <c r="N352">
        <f>VLOOKUP(A352,NYSEBP!A$2:G$506,6,0)</f>
        <v>4331936</v>
      </c>
      <c r="O352">
        <f>VLOOKUP(A352,NASDAQYHOO!A$2:G$506,6,0)</f>
        <v>6573631</v>
      </c>
    </row>
    <row r="353" spans="1:15">
      <c r="A353" s="39">
        <v>42654</v>
      </c>
      <c r="B353">
        <v>8591494</v>
      </c>
      <c r="C353">
        <f>VLOOKUP(A353,NYSEARCAVTI!A$2:G$506,6,0)</f>
        <v>1996992</v>
      </c>
      <c r="D353">
        <f>VLOOKUP(A353,NYSEARCAVEU!A$2:G$506,6,0)</f>
        <v>1412356</v>
      </c>
      <c r="E353">
        <f>VLOOKUP(A353,NYSEARCAVWO!A$2:G$506,6,0)</f>
        <v>19170672</v>
      </c>
      <c r="F353">
        <f>VLOOKUP(A353,NYSEARCABND!A$2:G$506,6,0)</f>
        <v>1476744</v>
      </c>
      <c r="G353">
        <f>VLOOKUP(A353,NYSEARCATIP!A$2:G$506,6,0)</f>
        <v>839602</v>
      </c>
      <c r="H353">
        <f>VLOOKUP(A353,NYSEARCAMUB!A$2:G$506,6,0)</f>
        <v>402131</v>
      </c>
      <c r="I353">
        <f>VLOOKUP(A353,NYSEARCAVNQ!A$2:G$506,6,0)</f>
        <v>4306576</v>
      </c>
      <c r="J353">
        <f>VLOOKUP(A353,NYSEARCARWX!A$2:G$506,6,0)</f>
        <v>926499</v>
      </c>
      <c r="K353">
        <f>VLOOKUP(A353,NYSEARCADBC!A$2:G$506,6,0)</f>
        <v>2989772</v>
      </c>
      <c r="L353">
        <f>VLOOKUP(A353,NYSEARCAGSG!A$2:G$506,6,0)</f>
        <v>154510</v>
      </c>
      <c r="M353">
        <f>VLOOKUP(A353,NYSEARCAGLD!A$2:G$506,6,0)</f>
        <v>6065330</v>
      </c>
      <c r="N353">
        <f>VLOOKUP(A353,NYSEBP!A$2:G$506,6,0)</f>
        <v>7250577</v>
      </c>
      <c r="O353">
        <f>VLOOKUP(A353,NASDAQYHOO!A$2:G$506,6,0)</f>
        <v>9513283</v>
      </c>
    </row>
    <row r="354" spans="1:15">
      <c r="A354" s="39">
        <v>42655</v>
      </c>
      <c r="B354">
        <v>8940655</v>
      </c>
      <c r="C354">
        <f>VLOOKUP(A354,NYSEARCAVTI!A$2:G$506,6,0)</f>
        <v>1849474</v>
      </c>
      <c r="D354">
        <f>VLOOKUP(A354,NYSEARCAVEU!A$2:G$506,6,0)</f>
        <v>1574044</v>
      </c>
      <c r="E354">
        <f>VLOOKUP(A354,NYSEARCAVWO!A$2:G$506,6,0)</f>
        <v>12309333</v>
      </c>
      <c r="F354">
        <f>VLOOKUP(A354,NYSEARCABND!A$2:G$506,6,0)</f>
        <v>1286551</v>
      </c>
      <c r="G354">
        <f>VLOOKUP(A354,NYSEARCATIP!A$2:G$506,6,0)</f>
        <v>627079</v>
      </c>
      <c r="H354">
        <f>VLOOKUP(A354,NYSEARCAMUB!A$2:G$506,6,0)</f>
        <v>284275</v>
      </c>
      <c r="I354">
        <f>VLOOKUP(A354,NYSEARCAVNQ!A$2:G$506,6,0)</f>
        <v>3492581</v>
      </c>
      <c r="J354">
        <f>VLOOKUP(A354,NYSEARCARWX!A$2:G$506,6,0)</f>
        <v>462590</v>
      </c>
      <c r="K354">
        <f>VLOOKUP(A354,NYSEARCADBC!A$2:G$506,6,0)</f>
        <v>3655832</v>
      </c>
      <c r="L354">
        <f>VLOOKUP(A354,NYSEARCAGSG!A$2:G$506,6,0)</f>
        <v>82902</v>
      </c>
      <c r="M354">
        <f>VLOOKUP(A354,NYSEARCAGLD!A$2:G$506,6,0)</f>
        <v>4848622</v>
      </c>
      <c r="N354">
        <f>VLOOKUP(A354,NYSEBP!A$2:G$506,6,0)</f>
        <v>4944480</v>
      </c>
      <c r="O354">
        <f>VLOOKUP(A354,NASDAQYHOO!A$2:G$506,6,0)</f>
        <v>7290843</v>
      </c>
    </row>
    <row r="355" spans="1:15">
      <c r="A355" s="39">
        <v>42656</v>
      </c>
      <c r="B355">
        <v>9193819</v>
      </c>
      <c r="C355">
        <f>VLOOKUP(A355,NYSEARCAVTI!A$2:G$506,6,0)</f>
        <v>1986165</v>
      </c>
      <c r="D355">
        <f>VLOOKUP(A355,NYSEARCAVEU!A$2:G$506,6,0)</f>
        <v>1775091</v>
      </c>
      <c r="E355">
        <f>VLOOKUP(A355,NYSEARCAVWO!A$2:G$506,6,0)</f>
        <v>12723285</v>
      </c>
      <c r="F355">
        <f>VLOOKUP(A355,NYSEARCABND!A$2:G$506,6,0)</f>
        <v>1625887</v>
      </c>
      <c r="G355">
        <f>VLOOKUP(A355,NYSEARCATIP!A$2:G$506,6,0)</f>
        <v>727670</v>
      </c>
      <c r="H355">
        <f>VLOOKUP(A355,NYSEARCAMUB!A$2:G$506,6,0)</f>
        <v>419271</v>
      </c>
      <c r="I355">
        <f>VLOOKUP(A355,NYSEARCAVNQ!A$2:G$506,6,0)</f>
        <v>3633602</v>
      </c>
      <c r="J355">
        <f>VLOOKUP(A355,NYSEARCARWX!A$2:G$506,6,0)</f>
        <v>602464</v>
      </c>
      <c r="K355">
        <f>VLOOKUP(A355,NYSEARCADBC!A$2:G$506,6,0)</f>
        <v>1197727</v>
      </c>
      <c r="L355">
        <f>VLOOKUP(A355,NYSEARCAGSG!A$2:G$506,6,0)</f>
        <v>240703</v>
      </c>
      <c r="M355">
        <f>VLOOKUP(A355,NYSEARCAGLD!A$2:G$506,6,0)</f>
        <v>7184647</v>
      </c>
      <c r="N355">
        <f>VLOOKUP(A355,NYSEBP!A$2:G$506,6,0)</f>
        <v>4434684</v>
      </c>
      <c r="O355">
        <f>VLOOKUP(A355,NASDAQYHOO!A$2:G$506,6,0)</f>
        <v>15689711</v>
      </c>
    </row>
    <row r="356" spans="1:15">
      <c r="A356" s="39">
        <v>42657</v>
      </c>
      <c r="B356">
        <v>6416018</v>
      </c>
      <c r="C356">
        <f>VLOOKUP(A356,NYSEARCAVTI!A$2:G$506,6,0)</f>
        <v>2673997</v>
      </c>
      <c r="D356">
        <f>VLOOKUP(A356,NYSEARCAVEU!A$2:G$506,6,0)</f>
        <v>1499917</v>
      </c>
      <c r="E356">
        <f>VLOOKUP(A356,NYSEARCAVWO!A$2:G$506,6,0)</f>
        <v>13522758</v>
      </c>
      <c r="F356">
        <f>VLOOKUP(A356,NYSEARCABND!A$2:G$506,6,0)</f>
        <v>1379899</v>
      </c>
      <c r="G356">
        <f>VLOOKUP(A356,NYSEARCATIP!A$2:G$506,6,0)</f>
        <v>753465</v>
      </c>
      <c r="H356">
        <f>VLOOKUP(A356,NYSEARCAMUB!A$2:G$506,6,0)</f>
        <v>319843</v>
      </c>
      <c r="I356">
        <f>VLOOKUP(A356,NYSEARCAVNQ!A$2:G$506,6,0)</f>
        <v>3187483</v>
      </c>
      <c r="J356">
        <f>VLOOKUP(A356,NYSEARCARWX!A$2:G$506,6,0)</f>
        <v>382487</v>
      </c>
      <c r="K356">
        <f>VLOOKUP(A356,NYSEARCADBC!A$2:G$506,6,0)</f>
        <v>1170069</v>
      </c>
      <c r="L356">
        <f>VLOOKUP(A356,NYSEARCAGSG!A$2:G$506,6,0)</f>
        <v>162246</v>
      </c>
      <c r="M356">
        <f>VLOOKUP(A356,NYSEARCAGLD!A$2:G$506,6,0)</f>
        <v>6577309</v>
      </c>
      <c r="N356">
        <f>VLOOKUP(A356,NYSEBP!A$2:G$506,6,0)</f>
        <v>3255572</v>
      </c>
      <c r="O356">
        <f>VLOOKUP(A356,NASDAQYHOO!A$2:G$506,6,0)</f>
        <v>7781258</v>
      </c>
    </row>
    <row r="357" spans="1:15">
      <c r="A357" s="39">
        <v>42660</v>
      </c>
      <c r="B357">
        <v>7493385</v>
      </c>
      <c r="C357">
        <f>VLOOKUP(A357,NYSEARCAVTI!A$2:G$506,6,0)</f>
        <v>2507712</v>
      </c>
      <c r="D357">
        <f>VLOOKUP(A357,NYSEARCAVEU!A$2:G$506,6,0)</f>
        <v>1394094</v>
      </c>
      <c r="E357">
        <f>VLOOKUP(A357,NYSEARCAVWO!A$2:G$506,6,0)</f>
        <v>13280126</v>
      </c>
      <c r="F357">
        <f>VLOOKUP(A357,NYSEARCABND!A$2:G$506,6,0)</f>
        <v>1008868</v>
      </c>
      <c r="G357">
        <f>VLOOKUP(A357,NYSEARCATIP!A$2:G$506,6,0)</f>
        <v>616567</v>
      </c>
      <c r="H357">
        <f>VLOOKUP(A357,NYSEARCAMUB!A$2:G$506,6,0)</f>
        <v>373910</v>
      </c>
      <c r="I357">
        <f>VLOOKUP(A357,NYSEARCAVNQ!A$2:G$506,6,0)</f>
        <v>3153983</v>
      </c>
      <c r="J357">
        <f>VLOOKUP(A357,NYSEARCARWX!A$2:G$506,6,0)</f>
        <v>275936</v>
      </c>
      <c r="K357">
        <f>VLOOKUP(A357,NYSEARCADBC!A$2:G$506,6,0)</f>
        <v>2010522</v>
      </c>
      <c r="L357">
        <f>VLOOKUP(A357,NYSEARCAGSG!A$2:G$506,6,0)</f>
        <v>161752</v>
      </c>
      <c r="M357">
        <f>VLOOKUP(A357,NYSEARCAGLD!A$2:G$506,6,0)</f>
        <v>4777878</v>
      </c>
      <c r="N357">
        <f>VLOOKUP(A357,NYSEBP!A$2:G$506,6,0)</f>
        <v>3488103</v>
      </c>
      <c r="O357">
        <f>VLOOKUP(A357,NASDAQYHOO!A$2:G$506,6,0)</f>
        <v>8620369</v>
      </c>
    </row>
    <row r="358" spans="1:15">
      <c r="A358" s="39">
        <v>42661</v>
      </c>
      <c r="B358">
        <v>7857699</v>
      </c>
      <c r="C358">
        <f>VLOOKUP(A358,NYSEARCAVTI!A$2:G$506,6,0)</f>
        <v>1635215</v>
      </c>
      <c r="D358">
        <f>VLOOKUP(A358,NYSEARCAVEU!A$2:G$506,6,0)</f>
        <v>2198344</v>
      </c>
      <c r="E358">
        <f>VLOOKUP(A358,NYSEARCAVWO!A$2:G$506,6,0)</f>
        <v>11709224</v>
      </c>
      <c r="F358">
        <f>VLOOKUP(A358,NYSEARCABND!A$2:G$506,6,0)</f>
        <v>1167303</v>
      </c>
      <c r="G358">
        <f>VLOOKUP(A358,NYSEARCATIP!A$2:G$506,6,0)</f>
        <v>945349</v>
      </c>
      <c r="H358">
        <f>VLOOKUP(A358,NYSEARCAMUB!A$2:G$506,6,0)</f>
        <v>359431</v>
      </c>
      <c r="I358">
        <f>VLOOKUP(A358,NYSEARCAVNQ!A$2:G$506,6,0)</f>
        <v>2533156</v>
      </c>
      <c r="J358">
        <f>VLOOKUP(A358,NYSEARCARWX!A$2:G$506,6,0)</f>
        <v>346782</v>
      </c>
      <c r="K358">
        <f>VLOOKUP(A358,NYSEARCADBC!A$2:G$506,6,0)</f>
        <v>786539</v>
      </c>
      <c r="L358">
        <f>VLOOKUP(A358,NYSEARCAGSG!A$2:G$506,6,0)</f>
        <v>122502</v>
      </c>
      <c r="M358">
        <f>VLOOKUP(A358,NYSEARCAGLD!A$2:G$506,6,0)</f>
        <v>4919730</v>
      </c>
      <c r="N358">
        <f>VLOOKUP(A358,NYSEBP!A$2:G$506,6,0)</f>
        <v>3642441</v>
      </c>
      <c r="O358">
        <f>VLOOKUP(A358,NASDAQYHOO!A$2:G$506,6,0)</f>
        <v>19360802</v>
      </c>
    </row>
    <row r="359" spans="1:15">
      <c r="A359" s="39">
        <v>42662</v>
      </c>
      <c r="B359">
        <v>7123273</v>
      </c>
      <c r="C359">
        <f>VLOOKUP(A359,NYSEARCAVTI!A$2:G$506,6,0)</f>
        <v>1408238</v>
      </c>
      <c r="D359">
        <f>VLOOKUP(A359,NYSEARCAVEU!A$2:G$506,6,0)</f>
        <v>809848</v>
      </c>
      <c r="E359">
        <f>VLOOKUP(A359,NYSEARCAVWO!A$2:G$506,6,0)</f>
        <v>10188146</v>
      </c>
      <c r="F359">
        <f>VLOOKUP(A359,NYSEARCABND!A$2:G$506,6,0)</f>
        <v>1546425</v>
      </c>
      <c r="G359">
        <f>VLOOKUP(A359,NYSEARCATIP!A$2:G$506,6,0)</f>
        <v>910922</v>
      </c>
      <c r="H359">
        <f>VLOOKUP(A359,NYSEARCAMUB!A$2:G$506,6,0)</f>
        <v>351242</v>
      </c>
      <c r="I359">
        <f>VLOOKUP(A359,NYSEARCAVNQ!A$2:G$506,6,0)</f>
        <v>2870992</v>
      </c>
      <c r="J359">
        <f>VLOOKUP(A359,NYSEARCARWX!A$2:G$506,6,0)</f>
        <v>488859</v>
      </c>
      <c r="K359">
        <f>VLOOKUP(A359,NYSEARCADBC!A$2:G$506,6,0)</f>
        <v>2279542</v>
      </c>
      <c r="L359">
        <f>VLOOKUP(A359,NYSEARCAGSG!A$2:G$506,6,0)</f>
        <v>168270</v>
      </c>
      <c r="M359">
        <f>VLOOKUP(A359,NYSEARCAGLD!A$2:G$506,6,0)</f>
        <v>6019772</v>
      </c>
      <c r="N359">
        <f>VLOOKUP(A359,NYSEBP!A$2:G$506,6,0)</f>
        <v>3886376</v>
      </c>
      <c r="O359">
        <f>VLOOKUP(A359,NASDAQYHOO!A$2:G$506,6,0)</f>
        <v>14532469</v>
      </c>
    </row>
    <row r="360" spans="1:15">
      <c r="A360" s="39">
        <v>42663</v>
      </c>
      <c r="B360">
        <v>6294027</v>
      </c>
      <c r="C360">
        <f>VLOOKUP(A360,NYSEARCAVTI!A$2:G$506,6,0)</f>
        <v>2016977</v>
      </c>
      <c r="D360">
        <f>VLOOKUP(A360,NYSEARCAVEU!A$2:G$506,6,0)</f>
        <v>1115053</v>
      </c>
      <c r="E360">
        <f>VLOOKUP(A360,NYSEARCAVWO!A$2:G$506,6,0)</f>
        <v>12620380</v>
      </c>
      <c r="F360">
        <f>VLOOKUP(A360,NYSEARCABND!A$2:G$506,6,0)</f>
        <v>1283228</v>
      </c>
      <c r="G360">
        <f>VLOOKUP(A360,NYSEARCATIP!A$2:G$506,6,0)</f>
        <v>824409</v>
      </c>
      <c r="H360">
        <f>VLOOKUP(A360,NYSEARCAMUB!A$2:G$506,6,0)</f>
        <v>402795</v>
      </c>
      <c r="I360">
        <f>VLOOKUP(A360,NYSEARCAVNQ!A$2:G$506,6,0)</f>
        <v>3261117</v>
      </c>
      <c r="J360">
        <f>VLOOKUP(A360,NYSEARCARWX!A$2:G$506,6,0)</f>
        <v>487131</v>
      </c>
      <c r="K360">
        <f>VLOOKUP(A360,NYSEARCADBC!A$2:G$506,6,0)</f>
        <v>1212886</v>
      </c>
      <c r="L360">
        <f>VLOOKUP(A360,NYSEARCAGSG!A$2:G$506,6,0)</f>
        <v>346040</v>
      </c>
      <c r="M360">
        <f>VLOOKUP(A360,NYSEARCAGLD!A$2:G$506,6,0)</f>
        <v>6496724</v>
      </c>
      <c r="N360">
        <f>VLOOKUP(A360,NYSEBP!A$2:G$506,6,0)</f>
        <v>4003119</v>
      </c>
      <c r="O360">
        <f>VLOOKUP(A360,NASDAQYHOO!A$2:G$506,6,0)</f>
        <v>11671022</v>
      </c>
    </row>
    <row r="361" spans="1:15">
      <c r="A361" s="39">
        <v>42664</v>
      </c>
      <c r="B361">
        <v>7844583</v>
      </c>
      <c r="C361">
        <f>VLOOKUP(A361,NYSEARCAVTI!A$2:G$506,6,0)</f>
        <v>1234425</v>
      </c>
      <c r="D361">
        <f>VLOOKUP(A361,NYSEARCAVEU!A$2:G$506,6,0)</f>
        <v>1111500</v>
      </c>
      <c r="E361">
        <f>VLOOKUP(A361,NYSEARCAVWO!A$2:G$506,6,0)</f>
        <v>6764069</v>
      </c>
      <c r="F361">
        <f>VLOOKUP(A361,NYSEARCABND!A$2:G$506,6,0)</f>
        <v>1018842</v>
      </c>
      <c r="G361">
        <f>VLOOKUP(A361,NYSEARCATIP!A$2:G$506,6,0)</f>
        <v>690381</v>
      </c>
      <c r="H361">
        <f>VLOOKUP(A361,NYSEARCAMUB!A$2:G$506,6,0)</f>
        <v>524308</v>
      </c>
      <c r="I361">
        <f>VLOOKUP(A361,NYSEARCAVNQ!A$2:G$506,6,0)</f>
        <v>3193761</v>
      </c>
      <c r="J361">
        <f>VLOOKUP(A361,NYSEARCARWX!A$2:G$506,6,0)</f>
        <v>313203</v>
      </c>
      <c r="K361">
        <f>VLOOKUP(A361,NYSEARCADBC!A$2:G$506,6,0)</f>
        <v>1034084</v>
      </c>
      <c r="L361">
        <f>VLOOKUP(A361,NYSEARCAGSG!A$2:G$506,6,0)</f>
        <v>458242</v>
      </c>
      <c r="M361">
        <f>VLOOKUP(A361,NYSEARCAGLD!A$2:G$506,6,0)</f>
        <v>6707783</v>
      </c>
      <c r="N361">
        <f>VLOOKUP(A361,NYSEBP!A$2:G$506,6,0)</f>
        <v>4214936</v>
      </c>
      <c r="O361">
        <f>VLOOKUP(A361,NASDAQYHOO!A$2:G$506,6,0)</f>
        <v>7194168</v>
      </c>
    </row>
    <row r="362" spans="1:15">
      <c r="A362" s="39">
        <v>42667</v>
      </c>
      <c r="B362">
        <v>7163632</v>
      </c>
      <c r="C362">
        <f>VLOOKUP(A362,NYSEARCAVTI!A$2:G$506,6,0)</f>
        <v>2004855</v>
      </c>
      <c r="D362">
        <f>VLOOKUP(A362,NYSEARCAVEU!A$2:G$506,6,0)</f>
        <v>1353283</v>
      </c>
      <c r="E362">
        <f>VLOOKUP(A362,NYSEARCAVWO!A$2:G$506,6,0)</f>
        <v>8127191</v>
      </c>
      <c r="F362">
        <f>VLOOKUP(A362,NYSEARCABND!A$2:G$506,6,0)</f>
        <v>1453955</v>
      </c>
      <c r="G362">
        <f>VLOOKUP(A362,NYSEARCATIP!A$2:G$506,6,0)</f>
        <v>947672</v>
      </c>
      <c r="H362">
        <f>VLOOKUP(A362,NYSEARCAMUB!A$2:G$506,6,0)</f>
        <v>361120</v>
      </c>
      <c r="I362">
        <f>VLOOKUP(A362,NYSEARCAVNQ!A$2:G$506,6,0)</f>
        <v>3948867</v>
      </c>
      <c r="J362">
        <f>VLOOKUP(A362,NYSEARCARWX!A$2:G$506,6,0)</f>
        <v>360231</v>
      </c>
      <c r="K362">
        <f>VLOOKUP(A362,NYSEARCADBC!A$2:G$506,6,0)</f>
        <v>1957219</v>
      </c>
      <c r="L362">
        <f>VLOOKUP(A362,NYSEARCAGSG!A$2:G$506,6,0)</f>
        <v>107105</v>
      </c>
      <c r="M362">
        <f>VLOOKUP(A362,NYSEARCAGLD!A$2:G$506,6,0)</f>
        <v>5481119</v>
      </c>
      <c r="N362">
        <f>VLOOKUP(A362,NYSEBP!A$2:G$506,6,0)</f>
        <v>4502665</v>
      </c>
      <c r="O362">
        <f>VLOOKUP(A362,NASDAQYHOO!A$2:G$506,6,0)</f>
        <v>4346851</v>
      </c>
    </row>
    <row r="363" spans="1:15">
      <c r="A363" s="39">
        <v>42668</v>
      </c>
      <c r="B363">
        <v>7629748</v>
      </c>
      <c r="C363">
        <f>VLOOKUP(A363,NYSEARCAVTI!A$2:G$506,6,0)</f>
        <v>2079087</v>
      </c>
      <c r="D363">
        <f>VLOOKUP(A363,NYSEARCAVEU!A$2:G$506,6,0)</f>
        <v>1200348</v>
      </c>
      <c r="E363">
        <f>VLOOKUP(A363,NYSEARCAVWO!A$2:G$506,6,0)</f>
        <v>7842510</v>
      </c>
      <c r="F363">
        <f>VLOOKUP(A363,NYSEARCABND!A$2:G$506,6,0)</f>
        <v>1462118</v>
      </c>
      <c r="G363">
        <f>VLOOKUP(A363,NYSEARCATIP!A$2:G$506,6,0)</f>
        <v>1259554</v>
      </c>
      <c r="H363">
        <f>VLOOKUP(A363,NYSEARCAMUB!A$2:G$506,6,0)</f>
        <v>437717</v>
      </c>
      <c r="I363">
        <f>VLOOKUP(A363,NYSEARCAVNQ!A$2:G$506,6,0)</f>
        <v>3161360</v>
      </c>
      <c r="J363">
        <f>VLOOKUP(A363,NYSEARCARWX!A$2:G$506,6,0)</f>
        <v>513973</v>
      </c>
      <c r="K363">
        <f>VLOOKUP(A363,NYSEARCADBC!A$2:G$506,6,0)</f>
        <v>1372440</v>
      </c>
      <c r="L363">
        <f>VLOOKUP(A363,NYSEARCAGSG!A$2:G$506,6,0)</f>
        <v>121420</v>
      </c>
      <c r="M363">
        <f>VLOOKUP(A363,NYSEARCAGLD!A$2:G$506,6,0)</f>
        <v>6141110</v>
      </c>
      <c r="N363">
        <f>VLOOKUP(A363,NYSEBP!A$2:G$506,6,0)</f>
        <v>4475795</v>
      </c>
      <c r="O363">
        <f>VLOOKUP(A363,NASDAQYHOO!A$2:G$506,6,0)</f>
        <v>5338875</v>
      </c>
    </row>
    <row r="364" spans="1:15">
      <c r="A364" s="39">
        <v>42669</v>
      </c>
      <c r="B364">
        <v>5050540</v>
      </c>
      <c r="C364">
        <f>VLOOKUP(A364,NYSEARCAVTI!A$2:G$506,6,0)</f>
        <v>1827448</v>
      </c>
      <c r="D364">
        <f>VLOOKUP(A364,NYSEARCAVEU!A$2:G$506,6,0)</f>
        <v>1150457</v>
      </c>
      <c r="E364">
        <f>VLOOKUP(A364,NYSEARCAVWO!A$2:G$506,6,0)</f>
        <v>8109171</v>
      </c>
      <c r="F364">
        <f>VLOOKUP(A364,NYSEARCABND!A$2:G$506,6,0)</f>
        <v>1144511</v>
      </c>
      <c r="G364">
        <f>VLOOKUP(A364,NYSEARCATIP!A$2:G$506,6,0)</f>
        <v>926089</v>
      </c>
      <c r="H364">
        <f>VLOOKUP(A364,NYSEARCAMUB!A$2:G$506,6,0)</f>
        <v>249714</v>
      </c>
      <c r="I364">
        <f>VLOOKUP(A364,NYSEARCAVNQ!A$2:G$506,6,0)</f>
        <v>4093093</v>
      </c>
      <c r="J364">
        <f>VLOOKUP(A364,NYSEARCARWX!A$2:G$506,6,0)</f>
        <v>717879</v>
      </c>
      <c r="K364">
        <f>VLOOKUP(A364,NYSEARCADBC!A$2:G$506,6,0)</f>
        <v>1892225</v>
      </c>
      <c r="L364">
        <f>VLOOKUP(A364,NYSEARCAGSG!A$2:G$506,6,0)</f>
        <v>351297</v>
      </c>
      <c r="M364">
        <f>VLOOKUP(A364,NYSEARCAGLD!A$2:G$506,6,0)</f>
        <v>3905914</v>
      </c>
      <c r="N364">
        <f>VLOOKUP(A364,NYSEBP!A$2:G$506,6,0)</f>
        <v>4279981</v>
      </c>
      <c r="O364">
        <f>VLOOKUP(A364,NASDAQYHOO!A$2:G$506,6,0)</f>
        <v>6123026</v>
      </c>
    </row>
    <row r="365" spans="1:15">
      <c r="A365" s="39">
        <v>42670</v>
      </c>
      <c r="B365">
        <v>7131613</v>
      </c>
      <c r="C365">
        <f>VLOOKUP(A365,NYSEARCAVTI!A$2:G$506,6,0)</f>
        <v>1598109</v>
      </c>
      <c r="D365">
        <f>VLOOKUP(A365,NYSEARCAVEU!A$2:G$506,6,0)</f>
        <v>1539171</v>
      </c>
      <c r="E365">
        <f>VLOOKUP(A365,NYSEARCAVWO!A$2:G$506,6,0)</f>
        <v>18351847</v>
      </c>
      <c r="F365">
        <f>VLOOKUP(A365,NYSEARCABND!A$2:G$506,6,0)</f>
        <v>1848247</v>
      </c>
      <c r="G365">
        <f>VLOOKUP(A365,NYSEARCATIP!A$2:G$506,6,0)</f>
        <v>1716501</v>
      </c>
      <c r="H365">
        <f>VLOOKUP(A365,NYSEARCAMUB!A$2:G$506,6,0)</f>
        <v>472391</v>
      </c>
      <c r="I365">
        <f>VLOOKUP(A365,NYSEARCAVNQ!A$2:G$506,6,0)</f>
        <v>5969332</v>
      </c>
      <c r="J365">
        <f>VLOOKUP(A365,NYSEARCARWX!A$2:G$506,6,0)</f>
        <v>542926</v>
      </c>
      <c r="K365">
        <f>VLOOKUP(A365,NYSEARCADBC!A$2:G$506,6,0)</f>
        <v>1052448</v>
      </c>
      <c r="L365">
        <f>VLOOKUP(A365,NYSEARCAGSG!A$2:G$506,6,0)</f>
        <v>84451</v>
      </c>
      <c r="M365">
        <f>VLOOKUP(A365,NYSEARCAGLD!A$2:G$506,6,0)</f>
        <v>4335994</v>
      </c>
      <c r="N365">
        <f>VLOOKUP(A365,NYSEBP!A$2:G$506,6,0)</f>
        <v>4174317</v>
      </c>
      <c r="O365">
        <f>VLOOKUP(A365,NASDAQYHOO!A$2:G$506,6,0)</f>
        <v>7240848</v>
      </c>
    </row>
    <row r="366" spans="1:15">
      <c r="A366" s="39">
        <v>42671</v>
      </c>
      <c r="B366">
        <v>6952858</v>
      </c>
      <c r="C366">
        <f>VLOOKUP(A366,NYSEARCAVTI!A$2:G$506,6,0)</f>
        <v>2868068</v>
      </c>
      <c r="D366">
        <f>VLOOKUP(A366,NYSEARCAVEU!A$2:G$506,6,0)</f>
        <v>3357382</v>
      </c>
      <c r="E366">
        <f>VLOOKUP(A366,NYSEARCAVWO!A$2:G$506,6,0)</f>
        <v>14379532</v>
      </c>
      <c r="F366">
        <f>VLOOKUP(A366,NYSEARCABND!A$2:G$506,6,0)</f>
        <v>1574393</v>
      </c>
      <c r="G366">
        <f>VLOOKUP(A366,NYSEARCATIP!A$2:G$506,6,0)</f>
        <v>2316532</v>
      </c>
      <c r="H366">
        <f>VLOOKUP(A366,NYSEARCAMUB!A$2:G$506,6,0)</f>
        <v>327223</v>
      </c>
      <c r="I366">
        <f>VLOOKUP(A366,NYSEARCAVNQ!A$2:G$506,6,0)</f>
        <v>4819067</v>
      </c>
      <c r="J366">
        <f>VLOOKUP(A366,NYSEARCARWX!A$2:G$506,6,0)</f>
        <v>565740</v>
      </c>
      <c r="K366">
        <f>VLOOKUP(A366,NYSEARCADBC!A$2:G$506,6,0)</f>
        <v>1447797</v>
      </c>
      <c r="L366">
        <f>VLOOKUP(A366,NYSEARCAGSG!A$2:G$506,6,0)</f>
        <v>76803</v>
      </c>
      <c r="M366">
        <f>VLOOKUP(A366,NYSEARCAGLD!A$2:G$506,6,0)</f>
        <v>11639887</v>
      </c>
      <c r="N366">
        <f>VLOOKUP(A366,NYSEBP!A$2:G$506,6,0)</f>
        <v>5057015</v>
      </c>
      <c r="O366">
        <f>VLOOKUP(A366,NASDAQYHOO!A$2:G$506,6,0)</f>
        <v>6197469</v>
      </c>
    </row>
    <row r="367" spans="1:15">
      <c r="A367" s="39">
        <v>42674</v>
      </c>
      <c r="B367">
        <v>6389047</v>
      </c>
      <c r="C367">
        <f>VLOOKUP(A367,NYSEARCAVTI!A$2:G$506,6,0)</f>
        <v>1913647</v>
      </c>
      <c r="D367">
        <f>VLOOKUP(A367,NYSEARCAVEU!A$2:G$506,6,0)</f>
        <v>2523464</v>
      </c>
      <c r="E367">
        <f>VLOOKUP(A367,NYSEARCAVWO!A$2:G$506,6,0)</f>
        <v>11070797</v>
      </c>
      <c r="F367">
        <f>VLOOKUP(A367,NYSEARCABND!A$2:G$506,6,0)</f>
        <v>1664698</v>
      </c>
      <c r="G367">
        <f>VLOOKUP(A367,NYSEARCATIP!A$2:G$506,6,0)</f>
        <v>2417253</v>
      </c>
      <c r="H367">
        <f>VLOOKUP(A367,NYSEARCAMUB!A$2:G$506,6,0)</f>
        <v>452946</v>
      </c>
      <c r="I367">
        <f>VLOOKUP(A367,NYSEARCAVNQ!A$2:G$506,6,0)</f>
        <v>5009666</v>
      </c>
      <c r="J367">
        <f>VLOOKUP(A367,NYSEARCARWX!A$2:G$506,6,0)</f>
        <v>639103</v>
      </c>
      <c r="K367">
        <f>VLOOKUP(A367,NYSEARCADBC!A$2:G$506,6,0)</f>
        <v>3300305</v>
      </c>
      <c r="L367">
        <f>VLOOKUP(A367,NYSEARCAGSG!A$2:G$506,6,0)</f>
        <v>404322</v>
      </c>
      <c r="M367">
        <f>VLOOKUP(A367,NYSEARCAGLD!A$2:G$506,6,0)</f>
        <v>7722055</v>
      </c>
      <c r="N367">
        <f>VLOOKUP(A367,NYSEBP!A$2:G$506,6,0)</f>
        <v>5420464</v>
      </c>
      <c r="O367">
        <f>VLOOKUP(A367,NASDAQYHOO!A$2:G$506,6,0)</f>
        <v>3749658</v>
      </c>
    </row>
    <row r="368" spans="1:15">
      <c r="A368" s="39">
        <v>42675</v>
      </c>
      <c r="B368">
        <v>8838603</v>
      </c>
      <c r="C368">
        <f>VLOOKUP(A368,NYSEARCAVTI!A$2:G$506,6,0)</f>
        <v>3169752</v>
      </c>
      <c r="D368">
        <f>VLOOKUP(A368,NYSEARCAVEU!A$2:G$506,6,0)</f>
        <v>2170221</v>
      </c>
      <c r="E368">
        <f>VLOOKUP(A368,NYSEARCAVWO!A$2:G$506,6,0)</f>
        <v>20149715</v>
      </c>
      <c r="F368">
        <f>VLOOKUP(A368,NYSEARCABND!A$2:G$506,6,0)</f>
        <v>1623628</v>
      </c>
      <c r="G368">
        <f>VLOOKUP(A368,NYSEARCATIP!A$2:G$506,6,0)</f>
        <v>6073461</v>
      </c>
      <c r="H368">
        <f>VLOOKUP(A368,NYSEARCAMUB!A$2:G$506,6,0)</f>
        <v>352244</v>
      </c>
      <c r="I368">
        <f>VLOOKUP(A368,NYSEARCAVNQ!A$2:G$506,6,0)</f>
        <v>7465173</v>
      </c>
      <c r="J368">
        <f>VLOOKUP(A368,NYSEARCARWX!A$2:G$506,6,0)</f>
        <v>1013159</v>
      </c>
      <c r="K368">
        <f>VLOOKUP(A368,NYSEARCADBC!A$2:G$506,6,0)</f>
        <v>4391042</v>
      </c>
      <c r="L368">
        <f>VLOOKUP(A368,NYSEARCAGSG!A$2:G$506,6,0)</f>
        <v>532100</v>
      </c>
      <c r="M368">
        <f>VLOOKUP(A368,NYSEARCAGLD!A$2:G$506,6,0)</f>
        <v>13384307</v>
      </c>
      <c r="N368">
        <f>VLOOKUP(A368,NYSEBP!A$2:G$506,6,0)</f>
        <v>11938819</v>
      </c>
      <c r="O368">
        <f>VLOOKUP(A368,NASDAQYHOO!A$2:G$506,6,0)</f>
        <v>11751521</v>
      </c>
    </row>
    <row r="369" spans="1:15">
      <c r="A369" s="39">
        <v>42676</v>
      </c>
      <c r="B369">
        <v>7645275</v>
      </c>
      <c r="C369">
        <f>VLOOKUP(A369,NYSEARCAVTI!A$2:G$506,6,0)</f>
        <v>2957396</v>
      </c>
      <c r="D369">
        <f>VLOOKUP(A369,NYSEARCAVEU!A$2:G$506,6,0)</f>
        <v>2047151</v>
      </c>
      <c r="E369">
        <f>VLOOKUP(A369,NYSEARCAVWO!A$2:G$506,6,0)</f>
        <v>29829962</v>
      </c>
      <c r="F369">
        <f>VLOOKUP(A369,NYSEARCABND!A$2:G$506,6,0)</f>
        <v>3138540</v>
      </c>
      <c r="G369">
        <f>VLOOKUP(A369,NYSEARCATIP!A$2:G$506,6,0)</f>
        <v>4758659</v>
      </c>
      <c r="H369">
        <f>VLOOKUP(A369,NYSEARCAMUB!A$2:G$506,6,0)</f>
        <v>539393</v>
      </c>
      <c r="I369">
        <f>VLOOKUP(A369,NYSEARCAVNQ!A$2:G$506,6,0)</f>
        <v>7847639</v>
      </c>
      <c r="J369">
        <f>VLOOKUP(A369,NYSEARCARWX!A$2:G$506,6,0)</f>
        <v>858875</v>
      </c>
      <c r="K369">
        <f>VLOOKUP(A369,NYSEARCADBC!A$2:G$506,6,0)</f>
        <v>3264598</v>
      </c>
      <c r="L369">
        <f>VLOOKUP(A369,NYSEARCAGSG!A$2:G$506,6,0)</f>
        <v>358585</v>
      </c>
      <c r="M369">
        <f>VLOOKUP(A369,NYSEARCAGLD!A$2:G$506,6,0)</f>
        <v>15692420</v>
      </c>
      <c r="N369">
        <f>VLOOKUP(A369,NYSEBP!A$2:G$506,6,0)</f>
        <v>7777965</v>
      </c>
      <c r="O369">
        <f>VLOOKUP(A369,NASDAQYHOO!A$2:G$506,6,0)</f>
        <v>13019956</v>
      </c>
    </row>
    <row r="370" spans="1:15">
      <c r="A370" s="39">
        <v>42677</v>
      </c>
      <c r="B370">
        <v>6803940</v>
      </c>
      <c r="C370">
        <f>VLOOKUP(A370,NYSEARCAVTI!A$2:G$506,6,0)</f>
        <v>2096498</v>
      </c>
      <c r="D370">
        <f>VLOOKUP(A370,NYSEARCAVEU!A$2:G$506,6,0)</f>
        <v>1698893</v>
      </c>
      <c r="E370">
        <f>VLOOKUP(A370,NYSEARCAVWO!A$2:G$506,6,0)</f>
        <v>24351203</v>
      </c>
      <c r="F370">
        <f>VLOOKUP(A370,NYSEARCABND!A$2:G$506,6,0)</f>
        <v>2335702</v>
      </c>
      <c r="G370">
        <f>VLOOKUP(A370,NYSEARCATIP!A$2:G$506,6,0)</f>
        <v>2430982</v>
      </c>
      <c r="H370">
        <f>VLOOKUP(A370,NYSEARCAMUB!A$2:G$506,6,0)</f>
        <v>420353</v>
      </c>
      <c r="I370">
        <f>VLOOKUP(A370,NYSEARCAVNQ!A$2:G$506,6,0)</f>
        <v>7221932</v>
      </c>
      <c r="J370">
        <f>VLOOKUP(A370,NYSEARCARWX!A$2:G$506,6,0)</f>
        <v>1751958</v>
      </c>
      <c r="K370">
        <f>VLOOKUP(A370,NYSEARCADBC!A$2:G$506,6,0)</f>
        <v>1884970</v>
      </c>
      <c r="L370">
        <f>VLOOKUP(A370,NYSEARCAGSG!A$2:G$506,6,0)</f>
        <v>159529</v>
      </c>
      <c r="M370">
        <f>VLOOKUP(A370,NYSEARCAGLD!A$2:G$506,6,0)</f>
        <v>10093107</v>
      </c>
      <c r="N370">
        <f>VLOOKUP(A370,NYSEBP!A$2:G$506,6,0)</f>
        <v>4876163</v>
      </c>
      <c r="O370">
        <f>VLOOKUP(A370,NASDAQYHOO!A$2:G$506,6,0)</f>
        <v>8112820</v>
      </c>
    </row>
    <row r="371" spans="1:15">
      <c r="A371" s="39">
        <v>42678</v>
      </c>
      <c r="B371">
        <v>7262105</v>
      </c>
      <c r="C371">
        <f>VLOOKUP(A371,NYSEARCAVTI!A$2:G$506,6,0)</f>
        <v>2805438</v>
      </c>
      <c r="D371">
        <f>VLOOKUP(A371,NYSEARCAVEU!A$2:G$506,6,0)</f>
        <v>2126975</v>
      </c>
      <c r="E371">
        <f>VLOOKUP(A371,NYSEARCAVWO!A$2:G$506,6,0)</f>
        <v>11795729</v>
      </c>
      <c r="F371">
        <f>VLOOKUP(A371,NYSEARCABND!A$2:G$506,6,0)</f>
        <v>1047314</v>
      </c>
      <c r="G371">
        <f>VLOOKUP(A371,NYSEARCATIP!A$2:G$506,6,0)</f>
        <v>1724140</v>
      </c>
      <c r="H371">
        <f>VLOOKUP(A371,NYSEARCAMUB!A$2:G$506,6,0)</f>
        <v>486349</v>
      </c>
      <c r="I371">
        <f>VLOOKUP(A371,NYSEARCAVNQ!A$2:G$506,6,0)</f>
        <v>4432577</v>
      </c>
      <c r="J371">
        <f>VLOOKUP(A371,NYSEARCARWX!A$2:G$506,6,0)</f>
        <v>615633</v>
      </c>
      <c r="K371">
        <f>VLOOKUP(A371,NYSEARCADBC!A$2:G$506,6,0)</f>
        <v>1725065</v>
      </c>
      <c r="L371">
        <f>VLOOKUP(A371,NYSEARCAGSG!A$2:G$506,6,0)</f>
        <v>140404</v>
      </c>
      <c r="M371">
        <f>VLOOKUP(A371,NYSEARCAGLD!A$2:G$506,6,0)</f>
        <v>8594613</v>
      </c>
      <c r="N371">
        <f>VLOOKUP(A371,NYSEBP!A$2:G$506,6,0)</f>
        <v>6029988</v>
      </c>
      <c r="O371">
        <f>VLOOKUP(A371,NASDAQYHOO!A$2:G$506,6,0)</f>
        <v>4579437</v>
      </c>
    </row>
    <row r="372" spans="1:15">
      <c r="A372" s="39">
        <v>42681</v>
      </c>
      <c r="B372">
        <v>9755441</v>
      </c>
      <c r="C372">
        <f>VLOOKUP(A372,NYSEARCAVTI!A$2:G$506,6,0)</f>
        <v>2527683</v>
      </c>
      <c r="D372">
        <f>VLOOKUP(A372,NYSEARCAVEU!A$2:G$506,6,0)</f>
        <v>1102969</v>
      </c>
      <c r="E372">
        <f>VLOOKUP(A372,NYSEARCAVWO!A$2:G$506,6,0)</f>
        <v>21821031</v>
      </c>
      <c r="F372">
        <f>VLOOKUP(A372,NYSEARCABND!A$2:G$506,6,0)</f>
        <v>1290171</v>
      </c>
      <c r="G372">
        <f>VLOOKUP(A372,NYSEARCATIP!A$2:G$506,6,0)</f>
        <v>1904970</v>
      </c>
      <c r="H372">
        <f>VLOOKUP(A372,NYSEARCAMUB!A$2:G$506,6,0)</f>
        <v>380409</v>
      </c>
      <c r="I372">
        <f>VLOOKUP(A372,NYSEARCAVNQ!A$2:G$506,6,0)</f>
        <v>5860533</v>
      </c>
      <c r="J372">
        <f>VLOOKUP(A372,NYSEARCARWX!A$2:G$506,6,0)</f>
        <v>498406</v>
      </c>
      <c r="K372">
        <f>VLOOKUP(A372,NYSEARCADBC!A$2:G$506,6,0)</f>
        <v>8293239</v>
      </c>
      <c r="L372">
        <f>VLOOKUP(A372,NYSEARCAGSG!A$2:G$506,6,0)</f>
        <v>241666</v>
      </c>
      <c r="M372">
        <f>VLOOKUP(A372,NYSEARCAGLD!A$2:G$506,6,0)</f>
        <v>10014986</v>
      </c>
      <c r="N372">
        <f>VLOOKUP(A372,NYSEBP!A$2:G$506,6,0)</f>
        <v>5863753</v>
      </c>
      <c r="O372">
        <f>VLOOKUP(A372,NASDAQYHOO!A$2:G$506,6,0)</f>
        <v>5430744</v>
      </c>
    </row>
    <row r="373" spans="1:15">
      <c r="A373" s="39">
        <v>42682</v>
      </c>
      <c r="B373">
        <v>7621295</v>
      </c>
      <c r="C373">
        <f>VLOOKUP(A373,NYSEARCAVTI!A$2:G$506,6,0)</f>
        <v>2074192</v>
      </c>
      <c r="D373">
        <f>VLOOKUP(A373,NYSEARCAVEU!A$2:G$506,6,0)</f>
        <v>1019587</v>
      </c>
      <c r="E373">
        <f>VLOOKUP(A373,NYSEARCAVWO!A$2:G$506,6,0)</f>
        <v>37954803</v>
      </c>
      <c r="F373">
        <f>VLOOKUP(A373,NYSEARCABND!A$2:G$506,6,0)</f>
        <v>2509098</v>
      </c>
      <c r="G373">
        <f>VLOOKUP(A373,NYSEARCATIP!A$2:G$506,6,0)</f>
        <v>1208188</v>
      </c>
      <c r="H373">
        <f>VLOOKUP(A373,NYSEARCAMUB!A$2:G$506,6,0)</f>
        <v>286838</v>
      </c>
      <c r="I373">
        <f>VLOOKUP(A373,NYSEARCAVNQ!A$2:G$506,6,0)</f>
        <v>4023315</v>
      </c>
      <c r="J373">
        <f>VLOOKUP(A373,NYSEARCARWX!A$2:G$506,6,0)</f>
        <v>934348</v>
      </c>
      <c r="K373">
        <f>VLOOKUP(A373,NYSEARCADBC!A$2:G$506,6,0)</f>
        <v>1254181</v>
      </c>
      <c r="L373">
        <f>VLOOKUP(A373,NYSEARCAGSG!A$2:G$506,6,0)</f>
        <v>249296</v>
      </c>
      <c r="M373">
        <f>VLOOKUP(A373,NYSEARCAGLD!A$2:G$506,6,0)</f>
        <v>9480647</v>
      </c>
      <c r="N373">
        <f>VLOOKUP(A373,NYSEBP!A$2:G$506,6,0)</f>
        <v>4865082</v>
      </c>
      <c r="O373">
        <f>VLOOKUP(A373,NASDAQYHOO!A$2:G$506,6,0)</f>
        <v>4229743</v>
      </c>
    </row>
    <row r="374" spans="1:15">
      <c r="A374" s="39">
        <v>42683</v>
      </c>
      <c r="B374">
        <v>16779465</v>
      </c>
      <c r="C374">
        <f>VLOOKUP(A374,NYSEARCAVTI!A$2:G$506,6,0)</f>
        <v>6482023</v>
      </c>
      <c r="D374">
        <f>VLOOKUP(A374,NYSEARCAVEU!A$2:G$506,6,0)</f>
        <v>3562320</v>
      </c>
      <c r="E374">
        <f>VLOOKUP(A374,NYSEARCAVWO!A$2:G$506,6,0)</f>
        <v>24617999</v>
      </c>
      <c r="F374">
        <f>VLOOKUP(A374,NYSEARCABND!A$2:G$506,6,0)</f>
        <v>3449200</v>
      </c>
      <c r="G374">
        <f>VLOOKUP(A374,NYSEARCATIP!A$2:G$506,6,0)</f>
        <v>2309179</v>
      </c>
      <c r="H374">
        <f>VLOOKUP(A374,NYSEARCAMUB!A$2:G$506,6,0)</f>
        <v>900258</v>
      </c>
      <c r="I374">
        <f>VLOOKUP(A374,NYSEARCAVNQ!A$2:G$506,6,0)</f>
        <v>10045793</v>
      </c>
      <c r="J374">
        <f>VLOOKUP(A374,NYSEARCARWX!A$2:G$506,6,0)</f>
        <v>645084</v>
      </c>
      <c r="K374">
        <f>VLOOKUP(A374,NYSEARCADBC!A$2:G$506,6,0)</f>
        <v>3111208</v>
      </c>
      <c r="L374">
        <f>VLOOKUP(A374,NYSEARCAGSG!A$2:G$506,6,0)</f>
        <v>164794</v>
      </c>
      <c r="M374">
        <f>VLOOKUP(A374,NYSEARCAGLD!A$2:G$506,6,0)</f>
        <v>18236450</v>
      </c>
      <c r="N374">
        <f>VLOOKUP(A374,NYSEBP!A$2:G$506,6,0)</f>
        <v>5587985</v>
      </c>
      <c r="O374">
        <f>VLOOKUP(A374,NASDAQYHOO!A$2:G$506,6,0)</f>
        <v>24000065</v>
      </c>
    </row>
    <row r="375" spans="1:15">
      <c r="A375" s="39">
        <v>42684</v>
      </c>
      <c r="B375">
        <v>14321300</v>
      </c>
      <c r="C375">
        <f>VLOOKUP(A375,NYSEARCAVTI!A$2:G$506,6,0)</f>
        <v>5083515</v>
      </c>
      <c r="D375">
        <f>VLOOKUP(A375,NYSEARCAVEU!A$2:G$506,6,0)</f>
        <v>2505300</v>
      </c>
      <c r="E375">
        <f>VLOOKUP(A375,NYSEARCAVWO!A$2:G$506,6,0)</f>
        <v>35285812</v>
      </c>
      <c r="F375">
        <f>VLOOKUP(A375,NYSEARCABND!A$2:G$506,6,0)</f>
        <v>2836025</v>
      </c>
      <c r="G375">
        <f>VLOOKUP(A375,NYSEARCATIP!A$2:G$506,6,0)</f>
        <v>3905943</v>
      </c>
      <c r="H375">
        <f>VLOOKUP(A375,NYSEARCAMUB!A$2:G$506,6,0)</f>
        <v>1483478</v>
      </c>
      <c r="I375">
        <f>VLOOKUP(A375,NYSEARCAVNQ!A$2:G$506,6,0)</f>
        <v>13504662</v>
      </c>
      <c r="J375">
        <f>VLOOKUP(A375,NYSEARCARWX!A$2:G$506,6,0)</f>
        <v>1443100</v>
      </c>
      <c r="K375">
        <f>VLOOKUP(A375,NYSEARCADBC!A$2:G$506,6,0)</f>
        <v>1535089</v>
      </c>
      <c r="L375">
        <f>VLOOKUP(A375,NYSEARCAGSG!A$2:G$506,6,0)</f>
        <v>166934</v>
      </c>
      <c r="M375">
        <f>VLOOKUP(A375,NYSEARCAGLD!A$2:G$506,6,0)</f>
        <v>22267962</v>
      </c>
      <c r="N375">
        <f>VLOOKUP(A375,NYSEBP!A$2:G$506,6,0)</f>
        <v>5210482</v>
      </c>
      <c r="O375">
        <f>VLOOKUP(A375,NASDAQYHOO!A$2:G$506,6,0)</f>
        <v>16443786</v>
      </c>
    </row>
    <row r="376" spans="1:15">
      <c r="A376" s="39">
        <v>42685</v>
      </c>
      <c r="B376">
        <v>8223872</v>
      </c>
      <c r="C376">
        <f>VLOOKUP(A376,NYSEARCAVTI!A$2:G$506,6,0)</f>
        <v>4005183</v>
      </c>
      <c r="D376">
        <f>VLOOKUP(A376,NYSEARCAVEU!A$2:G$506,6,0)</f>
        <v>1489584</v>
      </c>
      <c r="E376">
        <f>VLOOKUP(A376,NYSEARCAVWO!A$2:G$506,6,0)</f>
        <v>25373321</v>
      </c>
      <c r="F376">
        <f>VLOOKUP(A376,NYSEARCABND!A$2:G$506,6,0)</f>
        <v>1580858</v>
      </c>
      <c r="G376">
        <f>VLOOKUP(A376,NYSEARCATIP!A$2:G$506,6,0)</f>
        <v>2395229</v>
      </c>
      <c r="H376">
        <f>VLOOKUP(A376,NYSEARCAMUB!A$2:G$506,6,0)</f>
        <v>422160</v>
      </c>
      <c r="I376">
        <f>VLOOKUP(A376,NYSEARCAVNQ!A$2:G$506,6,0)</f>
        <v>5065957</v>
      </c>
      <c r="J376">
        <f>VLOOKUP(A376,NYSEARCARWX!A$2:G$506,6,0)</f>
        <v>410975</v>
      </c>
      <c r="K376">
        <f>VLOOKUP(A376,NYSEARCADBC!A$2:G$506,6,0)</f>
        <v>1701755</v>
      </c>
      <c r="L376">
        <f>VLOOKUP(A376,NYSEARCAGSG!A$2:G$506,6,0)</f>
        <v>128380</v>
      </c>
      <c r="M376">
        <f>VLOOKUP(A376,NYSEARCAGLD!A$2:G$506,6,0)</f>
        <v>20381828</v>
      </c>
      <c r="N376">
        <f>VLOOKUP(A376,NYSEBP!A$2:G$506,6,0)</f>
        <v>6598083</v>
      </c>
      <c r="O376">
        <f>VLOOKUP(A376,NASDAQYHOO!A$2:G$506,6,0)</f>
        <v>15178907</v>
      </c>
    </row>
    <row r="377" spans="1:15">
      <c r="A377" s="39">
        <v>42688</v>
      </c>
      <c r="B377">
        <v>12917474</v>
      </c>
      <c r="C377">
        <f>VLOOKUP(A377,NYSEARCAVTI!A$2:G$506,6,0)</f>
        <v>5234135</v>
      </c>
      <c r="D377">
        <f>VLOOKUP(A377,NYSEARCAVEU!A$2:G$506,6,0)</f>
        <v>3502207</v>
      </c>
      <c r="E377">
        <f>VLOOKUP(A377,NYSEARCAVWO!A$2:G$506,6,0)</f>
        <v>22905710</v>
      </c>
      <c r="F377">
        <f>VLOOKUP(A377,NYSEARCABND!A$2:G$506,6,0)</f>
        <v>2079369</v>
      </c>
      <c r="G377">
        <f>VLOOKUP(A377,NYSEARCATIP!A$2:G$506,6,0)</f>
        <v>2709659</v>
      </c>
      <c r="H377">
        <f>VLOOKUP(A377,NYSEARCAMUB!A$2:G$506,6,0)</f>
        <v>2206339</v>
      </c>
      <c r="I377">
        <f>VLOOKUP(A377,NYSEARCAVNQ!A$2:G$506,6,0)</f>
        <v>6755223</v>
      </c>
      <c r="J377">
        <f>VLOOKUP(A377,NYSEARCARWX!A$2:G$506,6,0)</f>
        <v>1033087</v>
      </c>
      <c r="K377">
        <f>VLOOKUP(A377,NYSEARCADBC!A$2:G$506,6,0)</f>
        <v>3068360</v>
      </c>
      <c r="L377">
        <f>VLOOKUP(A377,NYSEARCAGSG!A$2:G$506,6,0)</f>
        <v>461750</v>
      </c>
      <c r="M377">
        <f>VLOOKUP(A377,NYSEARCAGLD!A$2:G$506,6,0)</f>
        <v>20729377</v>
      </c>
      <c r="N377">
        <f>VLOOKUP(A377,NYSEBP!A$2:G$506,6,0)</f>
        <v>5449619</v>
      </c>
      <c r="O377">
        <f>VLOOKUP(A377,NASDAQYHOO!A$2:G$506,6,0)</f>
        <v>12692293</v>
      </c>
    </row>
    <row r="378" spans="1:15">
      <c r="A378" s="39">
        <v>42689</v>
      </c>
      <c r="B378">
        <v>9725063</v>
      </c>
      <c r="C378">
        <f>VLOOKUP(A378,NYSEARCAVTI!A$2:G$506,6,0)</f>
        <v>6037248</v>
      </c>
      <c r="D378">
        <f>VLOOKUP(A378,NYSEARCAVEU!A$2:G$506,6,0)</f>
        <v>2523670</v>
      </c>
      <c r="E378">
        <f>VLOOKUP(A378,NYSEARCAVWO!A$2:G$506,6,0)</f>
        <v>21154226</v>
      </c>
      <c r="F378">
        <f>VLOOKUP(A378,NYSEARCABND!A$2:G$506,6,0)</f>
        <v>2098125</v>
      </c>
      <c r="G378">
        <f>VLOOKUP(A378,NYSEARCATIP!A$2:G$506,6,0)</f>
        <v>1919968</v>
      </c>
      <c r="H378">
        <f>VLOOKUP(A378,NYSEARCAMUB!A$2:G$506,6,0)</f>
        <v>942658</v>
      </c>
      <c r="I378">
        <f>VLOOKUP(A378,NYSEARCAVNQ!A$2:G$506,6,0)</f>
        <v>7719935</v>
      </c>
      <c r="J378">
        <f>VLOOKUP(A378,NYSEARCARWX!A$2:G$506,6,0)</f>
        <v>479286</v>
      </c>
      <c r="K378">
        <f>VLOOKUP(A378,NYSEARCADBC!A$2:G$506,6,0)</f>
        <v>4373257</v>
      </c>
      <c r="L378">
        <f>VLOOKUP(A378,NYSEARCAGSG!A$2:G$506,6,0)</f>
        <v>109077</v>
      </c>
      <c r="M378">
        <f>VLOOKUP(A378,NYSEARCAGLD!A$2:G$506,6,0)</f>
        <v>9348572</v>
      </c>
      <c r="N378">
        <f>VLOOKUP(A378,NYSEBP!A$2:G$506,6,0)</f>
        <v>5679259</v>
      </c>
      <c r="O378">
        <f>VLOOKUP(A378,NASDAQYHOO!A$2:G$506,6,0)</f>
        <v>13364918</v>
      </c>
    </row>
    <row r="379" spans="1:15">
      <c r="A379" s="39">
        <v>42690</v>
      </c>
      <c r="B379">
        <v>11192448</v>
      </c>
      <c r="C379">
        <f>VLOOKUP(A379,NYSEARCAVTI!A$2:G$506,6,0)</f>
        <v>7113854</v>
      </c>
      <c r="D379">
        <f>VLOOKUP(A379,NYSEARCAVEU!A$2:G$506,6,0)</f>
        <v>1865690</v>
      </c>
      <c r="E379">
        <f>VLOOKUP(A379,NYSEARCAVWO!A$2:G$506,6,0)</f>
        <v>27749835</v>
      </c>
      <c r="F379">
        <f>VLOOKUP(A379,NYSEARCABND!A$2:G$506,6,0)</f>
        <v>1629295</v>
      </c>
      <c r="G379">
        <f>VLOOKUP(A379,NYSEARCATIP!A$2:G$506,6,0)</f>
        <v>1425997</v>
      </c>
      <c r="H379">
        <f>VLOOKUP(A379,NYSEARCAMUB!A$2:G$506,6,0)</f>
        <v>795664</v>
      </c>
      <c r="I379">
        <f>VLOOKUP(A379,NYSEARCAVNQ!A$2:G$506,6,0)</f>
        <v>10337129</v>
      </c>
      <c r="J379">
        <f>VLOOKUP(A379,NYSEARCARWX!A$2:G$506,6,0)</f>
        <v>420121</v>
      </c>
      <c r="K379">
        <f>VLOOKUP(A379,NYSEARCADBC!A$2:G$506,6,0)</f>
        <v>2186012</v>
      </c>
      <c r="L379">
        <f>VLOOKUP(A379,NYSEARCAGSG!A$2:G$506,6,0)</f>
        <v>142654</v>
      </c>
      <c r="M379">
        <f>VLOOKUP(A379,NYSEARCAGLD!A$2:G$506,6,0)</f>
        <v>5486129</v>
      </c>
      <c r="N379">
        <f>VLOOKUP(A379,NYSEBP!A$2:G$506,6,0)</f>
        <v>4985712</v>
      </c>
      <c r="O379">
        <f>VLOOKUP(A379,NASDAQYHOO!A$2:G$506,6,0)</f>
        <v>15609553</v>
      </c>
    </row>
    <row r="380" spans="1:15">
      <c r="A380" s="39">
        <v>42691</v>
      </c>
      <c r="B380">
        <v>23250871</v>
      </c>
      <c r="C380">
        <f>VLOOKUP(A380,NYSEARCAVTI!A$2:G$506,6,0)</f>
        <v>1874960</v>
      </c>
      <c r="D380">
        <f>VLOOKUP(A380,NYSEARCAVEU!A$2:G$506,6,0)</f>
        <v>2661116</v>
      </c>
      <c r="E380">
        <f>VLOOKUP(A380,NYSEARCAVWO!A$2:G$506,6,0)</f>
        <v>20662157</v>
      </c>
      <c r="F380">
        <f>VLOOKUP(A380,NYSEARCABND!A$2:G$506,6,0)</f>
        <v>1761691</v>
      </c>
      <c r="G380">
        <f>VLOOKUP(A380,NYSEARCATIP!A$2:G$506,6,0)</f>
        <v>1901087</v>
      </c>
      <c r="H380">
        <f>VLOOKUP(A380,NYSEARCAMUB!A$2:G$506,6,0)</f>
        <v>584230</v>
      </c>
      <c r="I380">
        <f>VLOOKUP(A380,NYSEARCAVNQ!A$2:G$506,6,0)</f>
        <v>3645439</v>
      </c>
      <c r="J380">
        <f>VLOOKUP(A380,NYSEARCARWX!A$2:G$506,6,0)</f>
        <v>933683</v>
      </c>
      <c r="K380">
        <f>VLOOKUP(A380,NYSEARCADBC!A$2:G$506,6,0)</f>
        <v>1104125</v>
      </c>
      <c r="L380">
        <f>VLOOKUP(A380,NYSEARCAGSG!A$2:G$506,6,0)</f>
        <v>132597</v>
      </c>
      <c r="M380">
        <f>VLOOKUP(A380,NYSEARCAGLD!A$2:G$506,6,0)</f>
        <v>10324091</v>
      </c>
      <c r="N380">
        <f>VLOOKUP(A380,NYSEBP!A$2:G$506,6,0)</f>
        <v>5367346</v>
      </c>
      <c r="O380">
        <f>VLOOKUP(A380,NASDAQYHOO!A$2:G$506,6,0)</f>
        <v>8692013</v>
      </c>
    </row>
    <row r="381" spans="1:15">
      <c r="A381" s="39">
        <v>42692</v>
      </c>
      <c r="B381">
        <v>11135265</v>
      </c>
      <c r="C381">
        <f>VLOOKUP(A381,NYSEARCAVTI!A$2:G$506,6,0)</f>
        <v>2298224</v>
      </c>
      <c r="D381">
        <f>VLOOKUP(A381,NYSEARCAVEU!A$2:G$506,6,0)</f>
        <v>1544878</v>
      </c>
      <c r="E381">
        <f>VLOOKUP(A381,NYSEARCAVWO!A$2:G$506,6,0)</f>
        <v>9265341</v>
      </c>
      <c r="F381">
        <f>VLOOKUP(A381,NYSEARCABND!A$2:G$506,6,0)</f>
        <v>1561763</v>
      </c>
      <c r="G381">
        <f>VLOOKUP(A381,NYSEARCATIP!A$2:G$506,6,0)</f>
        <v>2542768</v>
      </c>
      <c r="H381">
        <f>VLOOKUP(A381,NYSEARCAMUB!A$2:G$506,6,0)</f>
        <v>675506</v>
      </c>
      <c r="I381">
        <f>VLOOKUP(A381,NYSEARCAVNQ!A$2:G$506,6,0)</f>
        <v>3655648</v>
      </c>
      <c r="J381">
        <f>VLOOKUP(A381,NYSEARCARWX!A$2:G$506,6,0)</f>
        <v>678973</v>
      </c>
      <c r="K381">
        <f>VLOOKUP(A381,NYSEARCADBC!A$2:G$506,6,0)</f>
        <v>1603766</v>
      </c>
      <c r="L381">
        <f>VLOOKUP(A381,NYSEARCAGSG!A$2:G$506,6,0)</f>
        <v>111133</v>
      </c>
      <c r="M381">
        <f>VLOOKUP(A381,NYSEARCAGLD!A$2:G$506,6,0)</f>
        <v>10444285</v>
      </c>
      <c r="N381">
        <f>VLOOKUP(A381,NYSEBP!A$2:G$506,6,0)</f>
        <v>6682765</v>
      </c>
      <c r="O381">
        <f>VLOOKUP(A381,NASDAQYHOO!A$2:G$506,6,0)</f>
        <v>8138928</v>
      </c>
    </row>
    <row r="382" spans="1:15">
      <c r="A382" s="39">
        <v>42695</v>
      </c>
      <c r="B382">
        <v>8355966</v>
      </c>
      <c r="C382">
        <f>VLOOKUP(A382,NYSEARCAVTI!A$2:G$506,6,0)</f>
        <v>2493871</v>
      </c>
      <c r="D382">
        <f>VLOOKUP(A382,NYSEARCAVEU!A$2:G$506,6,0)</f>
        <v>1798183</v>
      </c>
      <c r="E382">
        <f>VLOOKUP(A382,NYSEARCAVWO!A$2:G$506,6,0)</f>
        <v>12332900</v>
      </c>
      <c r="F382">
        <f>VLOOKUP(A382,NYSEARCABND!A$2:G$506,6,0)</f>
        <v>2074043</v>
      </c>
      <c r="G382">
        <f>VLOOKUP(A382,NYSEARCATIP!A$2:G$506,6,0)</f>
        <v>2991832</v>
      </c>
      <c r="H382">
        <f>VLOOKUP(A382,NYSEARCAMUB!A$2:G$506,6,0)</f>
        <v>693827</v>
      </c>
      <c r="I382">
        <f>VLOOKUP(A382,NYSEARCAVNQ!A$2:G$506,6,0)</f>
        <v>3488233</v>
      </c>
      <c r="J382">
        <f>VLOOKUP(A382,NYSEARCARWX!A$2:G$506,6,0)</f>
        <v>1501455</v>
      </c>
      <c r="K382">
        <f>VLOOKUP(A382,NYSEARCADBC!A$2:G$506,6,0)</f>
        <v>10376262</v>
      </c>
      <c r="L382">
        <f>VLOOKUP(A382,NYSEARCAGSG!A$2:G$506,6,0)</f>
        <v>152380</v>
      </c>
      <c r="M382">
        <f>VLOOKUP(A382,NYSEARCAGLD!A$2:G$506,6,0)</f>
        <v>6654155</v>
      </c>
      <c r="N382">
        <f>VLOOKUP(A382,NYSEBP!A$2:G$506,6,0)</f>
        <v>5881734</v>
      </c>
      <c r="O382">
        <f>VLOOKUP(A382,NASDAQYHOO!A$2:G$506,6,0)</f>
        <v>11355856</v>
      </c>
    </row>
    <row r="383" spans="1:15">
      <c r="A383" s="39">
        <v>42696</v>
      </c>
      <c r="B383">
        <v>10984049</v>
      </c>
      <c r="C383">
        <f>VLOOKUP(A383,NYSEARCAVTI!A$2:G$506,6,0)</f>
        <v>2673635</v>
      </c>
      <c r="D383">
        <f>VLOOKUP(A383,NYSEARCAVEU!A$2:G$506,6,0)</f>
        <v>1971422</v>
      </c>
      <c r="E383">
        <f>VLOOKUP(A383,NYSEARCAVWO!A$2:G$506,6,0)</f>
        <v>17857007</v>
      </c>
      <c r="F383">
        <f>VLOOKUP(A383,NYSEARCABND!A$2:G$506,6,0)</f>
        <v>1866861</v>
      </c>
      <c r="G383">
        <f>VLOOKUP(A383,NYSEARCATIP!A$2:G$506,6,0)</f>
        <v>3390469</v>
      </c>
      <c r="H383">
        <f>VLOOKUP(A383,NYSEARCAMUB!A$2:G$506,6,0)</f>
        <v>952942</v>
      </c>
      <c r="I383">
        <f>VLOOKUP(A383,NYSEARCAVNQ!A$2:G$506,6,0)</f>
        <v>4226738</v>
      </c>
      <c r="J383">
        <f>VLOOKUP(A383,NYSEARCARWX!A$2:G$506,6,0)</f>
        <v>598239</v>
      </c>
      <c r="K383">
        <f>VLOOKUP(A383,NYSEARCADBC!A$2:G$506,6,0)</f>
        <v>2566423</v>
      </c>
      <c r="L383">
        <f>VLOOKUP(A383,NYSEARCAGSG!A$2:G$506,6,0)</f>
        <v>114310</v>
      </c>
      <c r="M383">
        <f>VLOOKUP(A383,NYSEARCAGLD!A$2:G$506,6,0)</f>
        <v>6391928</v>
      </c>
      <c r="N383">
        <f>VLOOKUP(A383,NYSEBP!A$2:G$506,6,0)</f>
        <v>6735892</v>
      </c>
      <c r="O383">
        <f>VLOOKUP(A383,NASDAQYHOO!A$2:G$506,6,0)</f>
        <v>8881541</v>
      </c>
    </row>
    <row r="384" spans="1:15">
      <c r="A384" s="39">
        <v>42697</v>
      </c>
      <c r="B384">
        <v>7442950</v>
      </c>
      <c r="C384">
        <f>VLOOKUP(A384,NYSEARCAVTI!A$2:G$506,6,0)</f>
        <v>1818707</v>
      </c>
      <c r="D384">
        <f>VLOOKUP(A384,NYSEARCAVEU!A$2:G$506,6,0)</f>
        <v>1507144</v>
      </c>
      <c r="E384">
        <f>VLOOKUP(A384,NYSEARCAVWO!A$2:G$506,6,0)</f>
        <v>13910964</v>
      </c>
      <c r="F384">
        <f>VLOOKUP(A384,NYSEARCABND!A$2:G$506,6,0)</f>
        <v>1643170</v>
      </c>
      <c r="G384">
        <f>VLOOKUP(A384,NYSEARCATIP!A$2:G$506,6,0)</f>
        <v>1824196</v>
      </c>
      <c r="H384">
        <f>VLOOKUP(A384,NYSEARCAMUB!A$2:G$506,6,0)</f>
        <v>1127938</v>
      </c>
      <c r="I384">
        <f>VLOOKUP(A384,NYSEARCAVNQ!A$2:G$506,6,0)</f>
        <v>6542068</v>
      </c>
      <c r="J384">
        <f>VLOOKUP(A384,NYSEARCARWX!A$2:G$506,6,0)</f>
        <v>724250</v>
      </c>
      <c r="K384">
        <f>VLOOKUP(A384,NYSEARCADBC!A$2:G$506,6,0)</f>
        <v>1863659</v>
      </c>
      <c r="L384">
        <f>VLOOKUP(A384,NYSEARCAGSG!A$2:G$506,6,0)</f>
        <v>216360</v>
      </c>
      <c r="M384">
        <f>VLOOKUP(A384,NYSEARCAGLD!A$2:G$506,6,0)</f>
        <v>20982117</v>
      </c>
      <c r="N384">
        <f>VLOOKUP(A384,NYSEBP!A$2:G$506,6,0)</f>
        <v>4277205</v>
      </c>
      <c r="O384">
        <f>VLOOKUP(A384,NASDAQYHOO!A$2:G$506,6,0)</f>
        <v>3719257</v>
      </c>
    </row>
    <row r="385" spans="1:15">
      <c r="A385" s="39">
        <v>42699</v>
      </c>
      <c r="B385">
        <v>4234383</v>
      </c>
      <c r="C385">
        <f>VLOOKUP(A385,NYSEARCAVTI!A$2:G$506,6,0)</f>
        <v>889818</v>
      </c>
      <c r="D385">
        <f>VLOOKUP(A385,NYSEARCAVEU!A$2:G$506,6,0)</f>
        <v>1605783</v>
      </c>
      <c r="E385">
        <f>VLOOKUP(A385,NYSEARCAVWO!A$2:G$506,6,0)</f>
        <v>3781715</v>
      </c>
      <c r="F385">
        <f>VLOOKUP(A385,NYSEARCABND!A$2:G$506,6,0)</f>
        <v>942670</v>
      </c>
      <c r="G385">
        <f>VLOOKUP(A385,NYSEARCATIP!A$2:G$506,6,0)</f>
        <v>1007644</v>
      </c>
      <c r="H385">
        <f>VLOOKUP(A385,NYSEARCAMUB!A$2:G$506,6,0)</f>
        <v>306339</v>
      </c>
      <c r="I385">
        <f>VLOOKUP(A385,NYSEARCAVNQ!A$2:G$506,6,0)</f>
        <v>1904505</v>
      </c>
      <c r="J385">
        <f>VLOOKUP(A385,NYSEARCARWX!A$2:G$506,6,0)</f>
        <v>251131</v>
      </c>
      <c r="K385">
        <f>VLOOKUP(A385,NYSEARCADBC!A$2:G$506,6,0)</f>
        <v>2590914</v>
      </c>
      <c r="L385">
        <f>VLOOKUP(A385,NYSEARCAGSG!A$2:G$506,6,0)</f>
        <v>555012</v>
      </c>
      <c r="M385">
        <f>VLOOKUP(A385,NYSEARCAGLD!A$2:G$506,6,0)</f>
        <v>5345889</v>
      </c>
      <c r="N385">
        <f>VLOOKUP(A385,NYSEBP!A$2:G$506,6,0)</f>
        <v>1899894</v>
      </c>
      <c r="O385">
        <f>VLOOKUP(A385,NASDAQYHOO!A$2:G$506,6,0)</f>
        <v>2586908</v>
      </c>
    </row>
    <row r="386" spans="1:15">
      <c r="A386" s="39">
        <v>42702</v>
      </c>
      <c r="B386">
        <v>7099193</v>
      </c>
      <c r="C386">
        <f>VLOOKUP(A386,NYSEARCAVTI!A$2:G$506,6,0)</f>
        <v>1849844</v>
      </c>
      <c r="D386">
        <f>VLOOKUP(A386,NYSEARCAVEU!A$2:G$506,6,0)</f>
        <v>2558281</v>
      </c>
      <c r="E386">
        <f>VLOOKUP(A386,NYSEARCAVWO!A$2:G$506,6,0)</f>
        <v>12095075</v>
      </c>
      <c r="F386">
        <f>VLOOKUP(A386,NYSEARCABND!A$2:G$506,6,0)</f>
        <v>1352630</v>
      </c>
      <c r="G386">
        <f>VLOOKUP(A386,NYSEARCATIP!A$2:G$506,6,0)</f>
        <v>1350989</v>
      </c>
      <c r="H386">
        <f>VLOOKUP(A386,NYSEARCAMUB!A$2:G$506,6,0)</f>
        <v>893820</v>
      </c>
      <c r="I386">
        <f>VLOOKUP(A386,NYSEARCAVNQ!A$2:G$506,6,0)</f>
        <v>4065993</v>
      </c>
      <c r="J386">
        <f>VLOOKUP(A386,NYSEARCARWX!A$2:G$506,6,0)</f>
        <v>493428</v>
      </c>
      <c r="K386">
        <f>VLOOKUP(A386,NYSEARCADBC!A$2:G$506,6,0)</f>
        <v>2835597</v>
      </c>
      <c r="L386">
        <f>VLOOKUP(A386,NYSEARCAGSG!A$2:G$506,6,0)</f>
        <v>172230</v>
      </c>
      <c r="M386">
        <f>VLOOKUP(A386,NYSEARCAGLD!A$2:G$506,6,0)</f>
        <v>5655402</v>
      </c>
      <c r="N386">
        <f>VLOOKUP(A386,NYSEBP!A$2:G$506,6,0)</f>
        <v>5430987</v>
      </c>
      <c r="O386">
        <f>VLOOKUP(A386,NASDAQYHOO!A$2:G$506,6,0)</f>
        <v>6836364</v>
      </c>
    </row>
    <row r="387" spans="1:15">
      <c r="A387" s="39">
        <v>42703</v>
      </c>
      <c r="B387">
        <v>7310092</v>
      </c>
      <c r="C387">
        <f>VLOOKUP(A387,NYSEARCAVTI!A$2:G$506,6,0)</f>
        <v>1544243</v>
      </c>
      <c r="D387">
        <f>VLOOKUP(A387,NYSEARCAVEU!A$2:G$506,6,0)</f>
        <v>2966929</v>
      </c>
      <c r="E387">
        <f>VLOOKUP(A387,NYSEARCAVWO!A$2:G$506,6,0)</f>
        <v>8356593</v>
      </c>
      <c r="F387">
        <f>VLOOKUP(A387,NYSEARCABND!A$2:G$506,6,0)</f>
        <v>1583577</v>
      </c>
      <c r="G387">
        <f>VLOOKUP(A387,NYSEARCATIP!A$2:G$506,6,0)</f>
        <v>1593690</v>
      </c>
      <c r="H387">
        <f>VLOOKUP(A387,NYSEARCAMUB!A$2:G$506,6,0)</f>
        <v>1435669</v>
      </c>
      <c r="I387">
        <f>VLOOKUP(A387,NYSEARCAVNQ!A$2:G$506,6,0)</f>
        <v>3754254</v>
      </c>
      <c r="J387">
        <f>VLOOKUP(A387,NYSEARCARWX!A$2:G$506,6,0)</f>
        <v>601834</v>
      </c>
      <c r="K387">
        <f>VLOOKUP(A387,NYSEARCADBC!A$2:G$506,6,0)</f>
        <v>6781684</v>
      </c>
      <c r="L387">
        <f>VLOOKUP(A387,NYSEARCAGSG!A$2:G$506,6,0)</f>
        <v>180525</v>
      </c>
      <c r="M387">
        <f>VLOOKUP(A387,NYSEARCAGLD!A$2:G$506,6,0)</f>
        <v>7438616</v>
      </c>
      <c r="N387">
        <f>VLOOKUP(A387,NYSEBP!A$2:G$506,6,0)</f>
        <v>5901633</v>
      </c>
      <c r="O387">
        <f>VLOOKUP(A387,NASDAQYHOO!A$2:G$506,6,0)</f>
        <v>13085981</v>
      </c>
    </row>
    <row r="388" spans="1:15">
      <c r="A388" s="39">
        <v>42704</v>
      </c>
      <c r="B388">
        <v>9326127</v>
      </c>
      <c r="C388">
        <f>VLOOKUP(A388,NYSEARCAVTI!A$2:G$506,6,0)</f>
        <v>4406342</v>
      </c>
      <c r="D388">
        <f>VLOOKUP(A388,NYSEARCAVEU!A$2:G$506,6,0)</f>
        <v>2325733</v>
      </c>
      <c r="E388">
        <f>VLOOKUP(A388,NYSEARCAVWO!A$2:G$506,6,0)</f>
        <v>22257923</v>
      </c>
      <c r="F388">
        <f>VLOOKUP(A388,NYSEARCABND!A$2:G$506,6,0)</f>
        <v>2372195</v>
      </c>
      <c r="G388">
        <f>VLOOKUP(A388,NYSEARCATIP!A$2:G$506,6,0)</f>
        <v>2367620</v>
      </c>
      <c r="H388">
        <f>VLOOKUP(A388,NYSEARCAMUB!A$2:G$506,6,0)</f>
        <v>1213923</v>
      </c>
      <c r="I388">
        <f>VLOOKUP(A388,NYSEARCAVNQ!A$2:G$506,6,0)</f>
        <v>6826365</v>
      </c>
      <c r="J388">
        <f>VLOOKUP(A388,NYSEARCARWX!A$2:G$506,6,0)</f>
        <v>1269509</v>
      </c>
      <c r="K388">
        <f>VLOOKUP(A388,NYSEARCADBC!A$2:G$506,6,0)</f>
        <v>5383671</v>
      </c>
      <c r="L388">
        <f>VLOOKUP(A388,NYSEARCAGSG!A$2:G$506,6,0)</f>
        <v>708244</v>
      </c>
      <c r="M388">
        <f>VLOOKUP(A388,NYSEARCAGLD!A$2:G$506,6,0)</f>
        <v>10925538</v>
      </c>
      <c r="N388">
        <f>VLOOKUP(A388,NYSEBP!A$2:G$506,6,0)</f>
        <v>11784765</v>
      </c>
      <c r="O388">
        <f>VLOOKUP(A388,NASDAQYHOO!A$2:G$506,6,0)</f>
        <v>7644360</v>
      </c>
    </row>
    <row r="389" spans="1:15">
      <c r="A389" s="39">
        <v>42705</v>
      </c>
      <c r="B389">
        <v>6849803</v>
      </c>
      <c r="C389">
        <f>VLOOKUP(A389,NYSEARCAVTI!A$2:G$506,6,0)</f>
        <v>2601218</v>
      </c>
      <c r="D389">
        <f>VLOOKUP(A389,NYSEARCAVEU!A$2:G$506,6,0)</f>
        <v>2339505</v>
      </c>
      <c r="E389">
        <f>VLOOKUP(A389,NYSEARCAVWO!A$2:G$506,6,0)</f>
        <v>18792785</v>
      </c>
      <c r="F389">
        <f>VLOOKUP(A389,NYSEARCABND!A$2:G$506,6,0)</f>
        <v>2998159</v>
      </c>
      <c r="G389">
        <f>VLOOKUP(A389,NYSEARCATIP!A$2:G$506,6,0)</f>
        <v>8524343</v>
      </c>
      <c r="H389">
        <f>VLOOKUP(A389,NYSEARCAMUB!A$2:G$506,6,0)</f>
        <v>1349606</v>
      </c>
      <c r="I389">
        <f>VLOOKUP(A389,NYSEARCAVNQ!A$2:G$506,6,0)</f>
        <v>6361853</v>
      </c>
      <c r="J389">
        <f>VLOOKUP(A389,NYSEARCARWX!A$2:G$506,6,0)</f>
        <v>610239</v>
      </c>
      <c r="K389">
        <f>VLOOKUP(A389,NYSEARCADBC!A$2:G$506,6,0)</f>
        <v>3661810</v>
      </c>
      <c r="L389">
        <f>VLOOKUP(A389,NYSEARCAGSG!A$2:G$506,6,0)</f>
        <v>346748</v>
      </c>
      <c r="M389">
        <f>VLOOKUP(A389,NYSEARCAGLD!A$2:G$506,6,0)</f>
        <v>10236970</v>
      </c>
      <c r="N389">
        <f>VLOOKUP(A389,NYSEBP!A$2:G$506,6,0)</f>
        <v>7802399</v>
      </c>
      <c r="O389">
        <f>VLOOKUP(A389,NASDAQYHOO!A$2:G$506,6,0)</f>
        <v>12624139</v>
      </c>
    </row>
    <row r="390" spans="1:15">
      <c r="A390" s="39">
        <v>42706</v>
      </c>
      <c r="B390">
        <v>6674206</v>
      </c>
      <c r="C390">
        <f>VLOOKUP(A390,NYSEARCAVTI!A$2:G$506,6,0)</f>
        <v>1755885</v>
      </c>
      <c r="D390">
        <f>VLOOKUP(A390,NYSEARCAVEU!A$2:G$506,6,0)</f>
        <v>1771671</v>
      </c>
      <c r="E390">
        <f>VLOOKUP(A390,NYSEARCAVWO!A$2:G$506,6,0)</f>
        <v>19213689</v>
      </c>
      <c r="F390">
        <f>VLOOKUP(A390,NYSEARCABND!A$2:G$506,6,0)</f>
        <v>1951435</v>
      </c>
      <c r="G390">
        <f>VLOOKUP(A390,NYSEARCATIP!A$2:G$506,6,0)</f>
        <v>1330615</v>
      </c>
      <c r="H390">
        <f>VLOOKUP(A390,NYSEARCAMUB!A$2:G$506,6,0)</f>
        <v>1279332</v>
      </c>
      <c r="I390">
        <f>VLOOKUP(A390,NYSEARCAVNQ!A$2:G$506,6,0)</f>
        <v>3696073</v>
      </c>
      <c r="J390">
        <f>VLOOKUP(A390,NYSEARCARWX!A$2:G$506,6,0)</f>
        <v>752065</v>
      </c>
      <c r="K390">
        <f>VLOOKUP(A390,NYSEARCADBC!A$2:G$506,6,0)</f>
        <v>2360493</v>
      </c>
      <c r="L390">
        <f>VLOOKUP(A390,NYSEARCAGSG!A$2:G$506,6,0)</f>
        <v>190312</v>
      </c>
      <c r="M390">
        <f>VLOOKUP(A390,NYSEARCAGLD!A$2:G$506,6,0)</f>
        <v>7416468</v>
      </c>
      <c r="N390">
        <f>VLOOKUP(A390,NYSEBP!A$2:G$506,6,0)</f>
        <v>5205923</v>
      </c>
      <c r="O390">
        <f>VLOOKUP(A390,NASDAQYHOO!A$2:G$506,6,0)</f>
        <v>8588544</v>
      </c>
    </row>
    <row r="391" spans="1:15">
      <c r="A391" s="39">
        <v>42709</v>
      </c>
      <c r="B391">
        <v>10527877</v>
      </c>
      <c r="C391">
        <f>VLOOKUP(A391,NYSEARCAVTI!A$2:G$506,6,0)</f>
        <v>3843070</v>
      </c>
      <c r="D391">
        <f>VLOOKUP(A391,NYSEARCAVEU!A$2:G$506,6,0)</f>
        <v>2544845</v>
      </c>
      <c r="E391">
        <f>VLOOKUP(A391,NYSEARCAVWO!A$2:G$506,6,0)</f>
        <v>11260617</v>
      </c>
      <c r="F391">
        <f>VLOOKUP(A391,NYSEARCABND!A$2:G$506,6,0)</f>
        <v>2479472</v>
      </c>
      <c r="G391">
        <f>VLOOKUP(A391,NYSEARCATIP!A$2:G$506,6,0)</f>
        <v>1701492</v>
      </c>
      <c r="H391">
        <f>VLOOKUP(A391,NYSEARCAMUB!A$2:G$506,6,0)</f>
        <v>1228835</v>
      </c>
      <c r="I391">
        <f>VLOOKUP(A391,NYSEARCAVNQ!A$2:G$506,6,0)</f>
        <v>3457161</v>
      </c>
      <c r="J391">
        <f>VLOOKUP(A391,NYSEARCARWX!A$2:G$506,6,0)</f>
        <v>1508576</v>
      </c>
      <c r="K391">
        <f>VLOOKUP(A391,NYSEARCADBC!A$2:G$506,6,0)</f>
        <v>3254713</v>
      </c>
      <c r="L391">
        <f>VLOOKUP(A391,NYSEARCAGSG!A$2:G$506,6,0)</f>
        <v>363983</v>
      </c>
      <c r="M391">
        <f>VLOOKUP(A391,NYSEARCAGLD!A$2:G$506,6,0)</f>
        <v>10187891</v>
      </c>
      <c r="N391">
        <f>VLOOKUP(A391,NYSEBP!A$2:G$506,6,0)</f>
        <v>4710189</v>
      </c>
      <c r="O391">
        <f>VLOOKUP(A391,NASDAQYHOO!A$2:G$506,6,0)</f>
        <v>4408407</v>
      </c>
    </row>
    <row r="392" spans="1:15">
      <c r="A392" s="39">
        <v>42710</v>
      </c>
      <c r="B392">
        <v>7778009</v>
      </c>
      <c r="C392">
        <f>VLOOKUP(A392,NYSEARCAVTI!A$2:G$506,6,0)</f>
        <v>2357053</v>
      </c>
      <c r="D392">
        <f>VLOOKUP(A392,NYSEARCAVEU!A$2:G$506,6,0)</f>
        <v>3044870</v>
      </c>
      <c r="E392">
        <f>VLOOKUP(A392,NYSEARCAVWO!A$2:G$506,6,0)</f>
        <v>19646321</v>
      </c>
      <c r="F392">
        <f>VLOOKUP(A392,NYSEARCABND!A$2:G$506,6,0)</f>
        <v>2337838</v>
      </c>
      <c r="G392">
        <f>VLOOKUP(A392,NYSEARCATIP!A$2:G$506,6,0)</f>
        <v>2123143</v>
      </c>
      <c r="H392">
        <f>VLOOKUP(A392,NYSEARCAMUB!A$2:G$506,6,0)</f>
        <v>2292913</v>
      </c>
      <c r="I392">
        <f>VLOOKUP(A392,NYSEARCAVNQ!A$2:G$506,6,0)</f>
        <v>4024824</v>
      </c>
      <c r="J392">
        <f>VLOOKUP(A392,NYSEARCARWX!A$2:G$506,6,0)</f>
        <v>792484</v>
      </c>
      <c r="K392">
        <f>VLOOKUP(A392,NYSEARCADBC!A$2:G$506,6,0)</f>
        <v>1398107</v>
      </c>
      <c r="L392">
        <f>VLOOKUP(A392,NYSEARCAGSG!A$2:G$506,6,0)</f>
        <v>136130</v>
      </c>
      <c r="M392">
        <f>VLOOKUP(A392,NYSEARCAGLD!A$2:G$506,6,0)</f>
        <v>5533689</v>
      </c>
      <c r="N392">
        <f>VLOOKUP(A392,NYSEBP!A$2:G$506,6,0)</f>
        <v>5386986</v>
      </c>
      <c r="O392">
        <f>VLOOKUP(A392,NASDAQYHOO!A$2:G$506,6,0)</f>
        <v>6987846</v>
      </c>
    </row>
    <row r="393" spans="1:15">
      <c r="A393" s="39">
        <v>42711</v>
      </c>
      <c r="B393">
        <v>6966249</v>
      </c>
      <c r="C393">
        <f>VLOOKUP(A393,NYSEARCAVTI!A$2:G$506,6,0)</f>
        <v>3999999</v>
      </c>
      <c r="D393">
        <f>VLOOKUP(A393,NYSEARCAVEU!A$2:G$506,6,0)</f>
        <v>2428685</v>
      </c>
      <c r="E393">
        <f>VLOOKUP(A393,NYSEARCAVWO!A$2:G$506,6,0)</f>
        <v>15254689</v>
      </c>
      <c r="F393">
        <f>VLOOKUP(A393,NYSEARCABND!A$2:G$506,6,0)</f>
        <v>4273070</v>
      </c>
      <c r="G393">
        <f>VLOOKUP(A393,NYSEARCATIP!A$2:G$506,6,0)</f>
        <v>1835409</v>
      </c>
      <c r="H393">
        <f>VLOOKUP(A393,NYSEARCAMUB!A$2:G$506,6,0)</f>
        <v>2364396</v>
      </c>
      <c r="I393">
        <f>VLOOKUP(A393,NYSEARCAVNQ!A$2:G$506,6,0)</f>
        <v>5754264</v>
      </c>
      <c r="J393">
        <f>VLOOKUP(A393,NYSEARCARWX!A$2:G$506,6,0)</f>
        <v>1195759</v>
      </c>
      <c r="K393">
        <f>VLOOKUP(A393,NYSEARCADBC!A$2:G$506,6,0)</f>
        <v>1842289</v>
      </c>
      <c r="L393">
        <f>VLOOKUP(A393,NYSEARCAGSG!A$2:G$506,6,0)</f>
        <v>228765</v>
      </c>
      <c r="M393">
        <f>VLOOKUP(A393,NYSEARCAGLD!A$2:G$506,6,0)</f>
        <v>4901840</v>
      </c>
      <c r="N393">
        <f>VLOOKUP(A393,NYSEBP!A$2:G$506,6,0)</f>
        <v>6006667</v>
      </c>
      <c r="O393">
        <f>VLOOKUP(A393,NASDAQYHOO!A$2:G$506,6,0)</f>
        <v>7208492</v>
      </c>
    </row>
    <row r="394" spans="1:15">
      <c r="A394" s="39">
        <v>42712</v>
      </c>
      <c r="B394">
        <v>6844217</v>
      </c>
      <c r="C394">
        <f>VLOOKUP(A394,NYSEARCAVTI!A$2:G$506,6,0)</f>
        <v>2679840</v>
      </c>
      <c r="D394">
        <f>VLOOKUP(A394,NYSEARCAVEU!A$2:G$506,6,0)</f>
        <v>3319439</v>
      </c>
      <c r="E394">
        <f>VLOOKUP(A394,NYSEARCAVWO!A$2:G$506,6,0)</f>
        <v>10455306</v>
      </c>
      <c r="F394">
        <f>VLOOKUP(A394,NYSEARCABND!A$2:G$506,6,0)</f>
        <v>2322978</v>
      </c>
      <c r="G394">
        <f>VLOOKUP(A394,NYSEARCATIP!A$2:G$506,6,0)</f>
        <v>1227582</v>
      </c>
      <c r="H394">
        <f>VLOOKUP(A394,NYSEARCAMUB!A$2:G$506,6,0)</f>
        <v>1899926</v>
      </c>
      <c r="I394">
        <f>VLOOKUP(A394,NYSEARCAVNQ!A$2:G$506,6,0)</f>
        <v>4404211</v>
      </c>
      <c r="J394">
        <f>VLOOKUP(A394,NYSEARCARWX!A$2:G$506,6,0)</f>
        <v>1458272</v>
      </c>
      <c r="K394">
        <f>VLOOKUP(A394,NYSEARCADBC!A$2:G$506,6,0)</f>
        <v>1692990</v>
      </c>
      <c r="L394">
        <f>VLOOKUP(A394,NYSEARCAGSG!A$2:G$506,6,0)</f>
        <v>489465</v>
      </c>
      <c r="M394">
        <f>VLOOKUP(A394,NYSEARCAGLD!A$2:G$506,6,0)</f>
        <v>5977792</v>
      </c>
      <c r="N394">
        <f>VLOOKUP(A394,NYSEBP!A$2:G$506,6,0)</f>
        <v>5107459</v>
      </c>
      <c r="O394">
        <f>VLOOKUP(A394,NASDAQYHOO!A$2:G$506,6,0)</f>
        <v>9171707</v>
      </c>
    </row>
    <row r="395" spans="1:15">
      <c r="A395" s="39">
        <v>42713</v>
      </c>
      <c r="B395">
        <v>10756653</v>
      </c>
      <c r="C395">
        <f>VLOOKUP(A395,NYSEARCAVTI!A$2:G$506,6,0)</f>
        <v>2310201</v>
      </c>
      <c r="D395">
        <f>VLOOKUP(A395,NYSEARCAVEU!A$2:G$506,6,0)</f>
        <v>2545366</v>
      </c>
      <c r="E395">
        <f>VLOOKUP(A395,NYSEARCAVWO!A$2:G$506,6,0)</f>
        <v>9646059</v>
      </c>
      <c r="F395">
        <f>VLOOKUP(A395,NYSEARCABND!A$2:G$506,6,0)</f>
        <v>2696981</v>
      </c>
      <c r="G395">
        <f>VLOOKUP(A395,NYSEARCATIP!A$2:G$506,6,0)</f>
        <v>2218756</v>
      </c>
      <c r="H395">
        <f>VLOOKUP(A395,NYSEARCAMUB!A$2:G$506,6,0)</f>
        <v>1437928</v>
      </c>
      <c r="I395">
        <f>VLOOKUP(A395,NYSEARCAVNQ!A$2:G$506,6,0)</f>
        <v>4506163</v>
      </c>
      <c r="J395">
        <f>VLOOKUP(A395,NYSEARCARWX!A$2:G$506,6,0)</f>
        <v>677453</v>
      </c>
      <c r="K395">
        <f>VLOOKUP(A395,NYSEARCADBC!A$2:G$506,6,0)</f>
        <v>2500597</v>
      </c>
      <c r="L395">
        <f>VLOOKUP(A395,NYSEARCAGSG!A$2:G$506,6,0)</f>
        <v>219574</v>
      </c>
      <c r="M395">
        <f>VLOOKUP(A395,NYSEARCAGLD!A$2:G$506,6,0)</f>
        <v>10507697</v>
      </c>
      <c r="N395">
        <f>VLOOKUP(A395,NYSEBP!A$2:G$506,6,0)</f>
        <v>4633089</v>
      </c>
      <c r="O395">
        <f>VLOOKUP(A395,NASDAQYHOO!A$2:G$506,6,0)</f>
        <v>6836112</v>
      </c>
    </row>
    <row r="396" spans="1:15">
      <c r="A396" s="39">
        <v>42716</v>
      </c>
      <c r="B396">
        <v>9084076</v>
      </c>
      <c r="C396">
        <f>VLOOKUP(A396,NYSEARCAVTI!A$2:G$506,6,0)</f>
        <v>4224688</v>
      </c>
      <c r="D396">
        <f>VLOOKUP(A396,NYSEARCAVEU!A$2:G$506,6,0)</f>
        <v>2567161</v>
      </c>
      <c r="E396">
        <f>VLOOKUP(A396,NYSEARCAVWO!A$2:G$506,6,0)</f>
        <v>8385573</v>
      </c>
      <c r="F396">
        <f>VLOOKUP(A396,NYSEARCABND!A$2:G$506,6,0)</f>
        <v>3464820</v>
      </c>
      <c r="G396">
        <f>VLOOKUP(A396,NYSEARCATIP!A$2:G$506,6,0)</f>
        <v>2026885</v>
      </c>
      <c r="H396">
        <f>VLOOKUP(A396,NYSEARCAMUB!A$2:G$506,6,0)</f>
        <v>1280813</v>
      </c>
      <c r="I396">
        <f>VLOOKUP(A396,NYSEARCAVNQ!A$2:G$506,6,0)</f>
        <v>3610718</v>
      </c>
      <c r="J396">
        <f>VLOOKUP(A396,NYSEARCARWX!A$2:G$506,6,0)</f>
        <v>635995</v>
      </c>
      <c r="K396">
        <f>VLOOKUP(A396,NYSEARCADBC!A$2:G$506,6,0)</f>
        <v>2873355</v>
      </c>
      <c r="L396">
        <f>VLOOKUP(A396,NYSEARCAGSG!A$2:G$506,6,0)</f>
        <v>381780</v>
      </c>
      <c r="M396">
        <f>VLOOKUP(A396,NYSEARCAGLD!A$2:G$506,6,0)</f>
        <v>6156717</v>
      </c>
      <c r="N396">
        <f>VLOOKUP(A396,NYSEBP!A$2:G$506,6,0)</f>
        <v>8416551</v>
      </c>
      <c r="O396">
        <f>VLOOKUP(A396,NASDAQYHOO!A$2:G$506,6,0)</f>
        <v>4451709</v>
      </c>
    </row>
    <row r="397" spans="1:15">
      <c r="A397" s="39">
        <v>42717</v>
      </c>
      <c r="B397">
        <v>8887510</v>
      </c>
      <c r="C397">
        <f>VLOOKUP(A397,NYSEARCAVTI!A$2:G$506,6,0)</f>
        <v>4394138</v>
      </c>
      <c r="D397">
        <f>VLOOKUP(A397,NYSEARCAVEU!A$2:G$506,6,0)</f>
        <v>2019780</v>
      </c>
      <c r="E397">
        <f>VLOOKUP(A397,NYSEARCAVWO!A$2:G$506,6,0)</f>
        <v>8788533</v>
      </c>
      <c r="F397">
        <f>VLOOKUP(A397,NYSEARCABND!A$2:G$506,6,0)</f>
        <v>4372600</v>
      </c>
      <c r="G397">
        <f>VLOOKUP(A397,NYSEARCATIP!A$2:G$506,6,0)</f>
        <v>1867529</v>
      </c>
      <c r="H397">
        <f>VLOOKUP(A397,NYSEARCAMUB!A$2:G$506,6,0)</f>
        <v>1491607</v>
      </c>
      <c r="I397">
        <f>VLOOKUP(A397,NYSEARCAVNQ!A$2:G$506,6,0)</f>
        <v>4015070</v>
      </c>
      <c r="J397">
        <f>VLOOKUP(A397,NYSEARCARWX!A$2:G$506,6,0)</f>
        <v>1040809</v>
      </c>
      <c r="K397">
        <f>VLOOKUP(A397,NYSEARCADBC!A$2:G$506,6,0)</f>
        <v>1381310</v>
      </c>
      <c r="L397">
        <f>VLOOKUP(A397,NYSEARCAGSG!A$2:G$506,6,0)</f>
        <v>209692</v>
      </c>
      <c r="M397">
        <f>VLOOKUP(A397,NYSEARCAGLD!A$2:G$506,6,0)</f>
        <v>7961600</v>
      </c>
      <c r="N397">
        <f>VLOOKUP(A397,NYSEBP!A$2:G$506,6,0)</f>
        <v>7504732</v>
      </c>
      <c r="O397">
        <f>VLOOKUP(A397,NASDAQYHOO!A$2:G$506,6,0)</f>
        <v>6564552</v>
      </c>
    </row>
    <row r="398" spans="1:15">
      <c r="A398" s="39">
        <v>42718</v>
      </c>
      <c r="B398">
        <v>8669378</v>
      </c>
      <c r="C398">
        <f>VLOOKUP(A398,NYSEARCAVTI!A$2:G$506,6,0)</f>
        <v>3885394</v>
      </c>
      <c r="D398">
        <f>VLOOKUP(A398,NYSEARCAVEU!A$2:G$506,6,0)</f>
        <v>2106254</v>
      </c>
      <c r="E398">
        <f>VLOOKUP(A398,NYSEARCAVWO!A$2:G$506,6,0)</f>
        <v>18577149</v>
      </c>
      <c r="F398">
        <f>VLOOKUP(A398,NYSEARCABND!A$2:G$506,6,0)</f>
        <v>2971699</v>
      </c>
      <c r="G398">
        <f>VLOOKUP(A398,NYSEARCATIP!A$2:G$506,6,0)</f>
        <v>1320233</v>
      </c>
      <c r="H398">
        <f>VLOOKUP(A398,NYSEARCAMUB!A$2:G$506,6,0)</f>
        <v>1488381</v>
      </c>
      <c r="I398">
        <f>VLOOKUP(A398,NYSEARCAVNQ!A$2:G$506,6,0)</f>
        <v>4857278</v>
      </c>
      <c r="J398">
        <f>VLOOKUP(A398,NYSEARCARWX!A$2:G$506,6,0)</f>
        <v>1134105</v>
      </c>
      <c r="K398">
        <f>VLOOKUP(A398,NYSEARCADBC!A$2:G$506,6,0)</f>
        <v>3129194</v>
      </c>
      <c r="L398">
        <f>VLOOKUP(A398,NYSEARCAGSG!A$2:G$506,6,0)</f>
        <v>308452</v>
      </c>
      <c r="M398">
        <f>VLOOKUP(A398,NYSEARCAGLD!A$2:G$506,6,0)</f>
        <v>12933647</v>
      </c>
      <c r="N398">
        <f>VLOOKUP(A398,NYSEBP!A$2:G$506,6,0)</f>
        <v>5699787</v>
      </c>
      <c r="O398">
        <f>VLOOKUP(A398,NASDAQYHOO!A$2:G$506,6,0)</f>
        <v>19555694</v>
      </c>
    </row>
    <row r="399" spans="1:15">
      <c r="A399" s="39">
        <v>42719</v>
      </c>
      <c r="B399">
        <v>7136295</v>
      </c>
      <c r="C399">
        <f>VLOOKUP(A399,NYSEARCAVTI!A$2:G$506,6,0)</f>
        <v>3343080</v>
      </c>
      <c r="D399">
        <f>VLOOKUP(A399,NYSEARCAVEU!A$2:G$506,6,0)</f>
        <v>1730546</v>
      </c>
      <c r="E399">
        <f>VLOOKUP(A399,NYSEARCAVWO!A$2:G$506,6,0)</f>
        <v>24969806</v>
      </c>
      <c r="F399">
        <f>VLOOKUP(A399,NYSEARCABND!A$2:G$506,6,0)</f>
        <v>2651224</v>
      </c>
      <c r="G399">
        <f>VLOOKUP(A399,NYSEARCATIP!A$2:G$506,6,0)</f>
        <v>2909014</v>
      </c>
      <c r="H399">
        <f>VLOOKUP(A399,NYSEARCAMUB!A$2:G$506,6,0)</f>
        <v>2051297</v>
      </c>
      <c r="I399">
        <f>VLOOKUP(A399,NYSEARCAVNQ!A$2:G$506,6,0)</f>
        <v>3915241</v>
      </c>
      <c r="J399">
        <f>VLOOKUP(A399,NYSEARCARWX!A$2:G$506,6,0)</f>
        <v>1015177</v>
      </c>
      <c r="K399">
        <f>VLOOKUP(A399,NYSEARCADBC!A$2:G$506,6,0)</f>
        <v>1580547</v>
      </c>
      <c r="L399">
        <f>VLOOKUP(A399,NYSEARCAGSG!A$2:G$506,6,0)</f>
        <v>202675</v>
      </c>
      <c r="M399">
        <f>VLOOKUP(A399,NYSEARCAGLD!A$2:G$506,6,0)</f>
        <v>14427539</v>
      </c>
      <c r="N399">
        <f>VLOOKUP(A399,NYSEBP!A$2:G$506,6,0)</f>
        <v>5093099</v>
      </c>
      <c r="O399">
        <f>VLOOKUP(A399,NASDAQYHOO!A$2:G$506,6,0)</f>
        <v>43669990</v>
      </c>
    </row>
    <row r="400" spans="1:15">
      <c r="A400" s="39">
        <v>42720</v>
      </c>
      <c r="B400">
        <v>17844831</v>
      </c>
      <c r="C400">
        <f>VLOOKUP(A400,NYSEARCAVTI!A$2:G$506,6,0)</f>
        <v>1991626</v>
      </c>
      <c r="D400">
        <f>VLOOKUP(A400,NYSEARCAVEU!A$2:G$506,6,0)</f>
        <v>1979937</v>
      </c>
      <c r="E400">
        <f>VLOOKUP(A400,NYSEARCAVWO!A$2:G$506,6,0)</f>
        <v>21234554</v>
      </c>
      <c r="F400">
        <f>VLOOKUP(A400,NYSEARCABND!A$2:G$506,6,0)</f>
        <v>3080074</v>
      </c>
      <c r="G400">
        <f>VLOOKUP(A400,NYSEARCATIP!A$2:G$506,6,0)</f>
        <v>1240787</v>
      </c>
      <c r="H400">
        <f>VLOOKUP(A400,NYSEARCAMUB!A$2:G$506,6,0)</f>
        <v>1431662</v>
      </c>
      <c r="I400">
        <f>VLOOKUP(A400,NYSEARCAVNQ!A$2:G$506,6,0)</f>
        <v>6581118</v>
      </c>
      <c r="J400">
        <f>VLOOKUP(A400,NYSEARCARWX!A$2:G$506,6,0)</f>
        <v>1185191</v>
      </c>
      <c r="K400">
        <f>VLOOKUP(A400,NYSEARCADBC!A$2:G$506,6,0)</f>
        <v>1148903</v>
      </c>
      <c r="L400">
        <f>VLOOKUP(A400,NYSEARCAGSG!A$2:G$506,6,0)</f>
        <v>271858</v>
      </c>
      <c r="M400">
        <f>VLOOKUP(A400,NYSEARCAGLD!A$2:G$506,6,0)</f>
        <v>10602807</v>
      </c>
      <c r="N400">
        <f>VLOOKUP(A400,NYSEBP!A$2:G$506,6,0)</f>
        <v>5517052</v>
      </c>
      <c r="O400">
        <f>VLOOKUP(A400,NASDAQYHOO!A$2:G$506,6,0)</f>
        <v>21694081</v>
      </c>
    </row>
    <row r="401" spans="1:15">
      <c r="A401" s="39">
        <v>42723</v>
      </c>
      <c r="B401">
        <v>5889328</v>
      </c>
      <c r="C401">
        <f>VLOOKUP(A401,NYSEARCAVTI!A$2:G$506,6,0)</f>
        <v>2405748</v>
      </c>
      <c r="D401">
        <f>VLOOKUP(A401,NYSEARCAVEU!A$2:G$506,6,0)</f>
        <v>2081211</v>
      </c>
      <c r="E401">
        <f>VLOOKUP(A401,NYSEARCAVWO!A$2:G$506,6,0)</f>
        <v>13079226</v>
      </c>
      <c r="F401">
        <f>VLOOKUP(A401,NYSEARCABND!A$2:G$506,6,0)</f>
        <v>2937185</v>
      </c>
      <c r="G401">
        <f>VLOOKUP(A401,NYSEARCATIP!A$2:G$506,6,0)</f>
        <v>1320386</v>
      </c>
      <c r="H401">
        <f>VLOOKUP(A401,NYSEARCAMUB!A$2:G$506,6,0)</f>
        <v>1901751</v>
      </c>
      <c r="I401">
        <f>VLOOKUP(A401,NYSEARCAVNQ!A$2:G$506,6,0)</f>
        <v>3663635</v>
      </c>
      <c r="J401">
        <f>VLOOKUP(A401,NYSEARCARWX!A$2:G$506,6,0)</f>
        <v>900571</v>
      </c>
      <c r="K401">
        <f>VLOOKUP(A401,NYSEARCADBC!A$2:G$506,6,0)</f>
        <v>1565667</v>
      </c>
      <c r="L401">
        <f>VLOOKUP(A401,NYSEARCAGSG!A$2:G$506,6,0)</f>
        <v>267452</v>
      </c>
      <c r="M401">
        <f>VLOOKUP(A401,NYSEARCAGLD!A$2:G$506,6,0)</f>
        <v>5339066</v>
      </c>
      <c r="N401">
        <f>VLOOKUP(A401,NYSEBP!A$2:G$506,6,0)</f>
        <v>4582033</v>
      </c>
      <c r="O401">
        <f>VLOOKUP(A401,NASDAQYHOO!A$2:G$506,6,0)</f>
        <v>13615511</v>
      </c>
    </row>
    <row r="402" spans="1:15">
      <c r="A402" s="39">
        <v>42724</v>
      </c>
      <c r="B402">
        <v>6108070</v>
      </c>
      <c r="C402">
        <f>VLOOKUP(A402,NYSEARCAVTI!A$2:G$506,6,0)</f>
        <v>2942518</v>
      </c>
      <c r="D402">
        <f>VLOOKUP(A402,NYSEARCAVEU!A$2:G$506,6,0)</f>
        <v>3143365</v>
      </c>
      <c r="E402">
        <f>VLOOKUP(A402,NYSEARCAVWO!A$2:G$506,6,0)</f>
        <v>13983521</v>
      </c>
      <c r="F402">
        <f>VLOOKUP(A402,NYSEARCABND!A$2:G$506,6,0)</f>
        <v>5853310</v>
      </c>
      <c r="G402">
        <f>VLOOKUP(A402,NYSEARCATIP!A$2:G$506,6,0)</f>
        <v>2541031</v>
      </c>
      <c r="H402">
        <f>VLOOKUP(A402,NYSEARCAMUB!A$2:G$506,6,0)</f>
        <v>2594331</v>
      </c>
      <c r="I402">
        <f>VLOOKUP(A402,NYSEARCAVNQ!A$2:G$506,6,0)</f>
        <v>5193553</v>
      </c>
      <c r="J402">
        <f>VLOOKUP(A402,NYSEARCARWX!A$2:G$506,6,0)</f>
        <v>1740910</v>
      </c>
      <c r="K402">
        <f>VLOOKUP(A402,NYSEARCADBC!A$2:G$506,6,0)</f>
        <v>2103516</v>
      </c>
      <c r="L402">
        <f>VLOOKUP(A402,NYSEARCAGSG!A$2:G$506,6,0)</f>
        <v>164053</v>
      </c>
      <c r="M402">
        <f>VLOOKUP(A402,NYSEARCAGLD!A$2:G$506,6,0)</f>
        <v>7321100</v>
      </c>
      <c r="N402">
        <f>VLOOKUP(A402,NYSEBP!A$2:G$506,6,0)</f>
        <v>4354722</v>
      </c>
      <c r="O402">
        <f>VLOOKUP(A402,NASDAQYHOO!A$2:G$506,6,0)</f>
        <v>25008427</v>
      </c>
    </row>
    <row r="403" spans="1:15">
      <c r="A403" s="39">
        <v>42725</v>
      </c>
      <c r="B403">
        <v>5100967</v>
      </c>
      <c r="C403">
        <f>VLOOKUP(A403,NYSEARCAVTI!A$2:G$506,6,0)</f>
        <v>2248950</v>
      </c>
      <c r="D403">
        <f>VLOOKUP(A403,NYSEARCAVEU!A$2:G$506,6,0)</f>
        <v>2371159</v>
      </c>
      <c r="E403">
        <f>VLOOKUP(A403,NYSEARCAVWO!A$2:G$506,6,0)</f>
        <v>12815285</v>
      </c>
      <c r="F403">
        <f>VLOOKUP(A403,NYSEARCABND!A$2:G$506,6,0)</f>
        <v>2752285</v>
      </c>
      <c r="G403">
        <f>VLOOKUP(A403,NYSEARCATIP!A$2:G$506,6,0)</f>
        <v>1438271</v>
      </c>
      <c r="H403">
        <f>VLOOKUP(A403,NYSEARCAMUB!A$2:G$506,6,0)</f>
        <v>1389677</v>
      </c>
      <c r="I403">
        <f>VLOOKUP(A403,NYSEARCAVNQ!A$2:G$506,6,0)</f>
        <v>4998424</v>
      </c>
      <c r="J403">
        <f>VLOOKUP(A403,NYSEARCARWX!A$2:G$506,6,0)</f>
        <v>2550690</v>
      </c>
      <c r="K403">
        <f>VLOOKUP(A403,NYSEARCADBC!A$2:G$506,6,0)</f>
        <v>4886523</v>
      </c>
      <c r="L403">
        <f>VLOOKUP(A403,NYSEARCAGSG!A$2:G$506,6,0)</f>
        <v>201088</v>
      </c>
      <c r="M403">
        <f>VLOOKUP(A403,NYSEARCAGLD!A$2:G$506,6,0)</f>
        <v>5188680</v>
      </c>
      <c r="N403">
        <f>VLOOKUP(A403,NYSEBP!A$2:G$506,6,0)</f>
        <v>4440475</v>
      </c>
      <c r="O403">
        <f>VLOOKUP(A403,NASDAQYHOO!A$2:G$506,6,0)</f>
        <v>8296515</v>
      </c>
    </row>
    <row r="404" spans="1:15">
      <c r="A404" s="39">
        <v>42726</v>
      </c>
      <c r="B404">
        <v>12106782</v>
      </c>
      <c r="C404">
        <f>VLOOKUP(A404,NYSEARCAVTI!A$2:G$506,6,0)</f>
        <v>3105779</v>
      </c>
      <c r="D404">
        <f>VLOOKUP(A404,NYSEARCAVEU!A$2:G$506,6,0)</f>
        <v>2396903</v>
      </c>
      <c r="E404">
        <f>VLOOKUP(A404,NYSEARCAVWO!A$2:G$506,6,0)</f>
        <v>16299899</v>
      </c>
      <c r="F404">
        <f>VLOOKUP(A404,NYSEARCABND!A$2:G$506,6,0)</f>
        <v>2851458</v>
      </c>
      <c r="G404">
        <f>VLOOKUP(A404,NYSEARCATIP!A$2:G$506,6,0)</f>
        <v>1563787</v>
      </c>
      <c r="H404">
        <f>VLOOKUP(A404,NYSEARCAMUB!A$2:G$506,6,0)</f>
        <v>1950248</v>
      </c>
      <c r="I404">
        <f>VLOOKUP(A404,NYSEARCAVNQ!A$2:G$506,6,0)</f>
        <v>3891681</v>
      </c>
      <c r="J404">
        <f>VLOOKUP(A404,NYSEARCARWX!A$2:G$506,6,0)</f>
        <v>1490452</v>
      </c>
      <c r="K404">
        <f>VLOOKUP(A404,NYSEARCADBC!A$2:G$506,6,0)</f>
        <v>3033765</v>
      </c>
      <c r="L404">
        <f>VLOOKUP(A404,NYSEARCAGSG!A$2:G$506,6,0)</f>
        <v>128160</v>
      </c>
      <c r="M404">
        <f>VLOOKUP(A404,NYSEARCAGLD!A$2:G$506,6,0)</f>
        <v>4942759</v>
      </c>
      <c r="N404">
        <f>VLOOKUP(A404,NYSEBP!A$2:G$506,6,0)</f>
        <v>7860528</v>
      </c>
      <c r="O404">
        <f>VLOOKUP(A404,NASDAQYHOO!A$2:G$506,6,0)</f>
        <v>11685650</v>
      </c>
    </row>
    <row r="405" spans="1:15">
      <c r="A405" s="39">
        <v>42727</v>
      </c>
      <c r="B405">
        <v>4803947</v>
      </c>
      <c r="C405">
        <f>VLOOKUP(A405,NYSEARCAVTI!A$2:G$506,6,0)</f>
        <v>2325820</v>
      </c>
      <c r="D405">
        <f>VLOOKUP(A405,NYSEARCAVEU!A$2:G$506,6,0)</f>
        <v>1869948</v>
      </c>
      <c r="E405">
        <f>VLOOKUP(A405,NYSEARCAVWO!A$2:G$506,6,0)</f>
        <v>9171428</v>
      </c>
      <c r="F405">
        <f>VLOOKUP(A405,NYSEARCABND!A$2:G$506,6,0)</f>
        <v>2096869</v>
      </c>
      <c r="G405">
        <f>VLOOKUP(A405,NYSEARCATIP!A$2:G$506,6,0)</f>
        <v>1777187</v>
      </c>
      <c r="H405">
        <f>VLOOKUP(A405,NYSEARCAMUB!A$2:G$506,6,0)</f>
        <v>1136650</v>
      </c>
      <c r="I405">
        <f>VLOOKUP(A405,NYSEARCAVNQ!A$2:G$506,6,0)</f>
        <v>4504471</v>
      </c>
      <c r="J405">
        <f>VLOOKUP(A405,NYSEARCARWX!A$2:G$506,6,0)</f>
        <v>1339501</v>
      </c>
      <c r="K405">
        <f>VLOOKUP(A405,NYSEARCADBC!A$2:G$506,6,0)</f>
        <v>1265417</v>
      </c>
      <c r="L405">
        <f>VLOOKUP(A405,NYSEARCAGSG!A$2:G$506,6,0)</f>
        <v>101681</v>
      </c>
      <c r="M405">
        <f>VLOOKUP(A405,NYSEARCAGLD!A$2:G$506,6,0)</f>
        <v>5012242</v>
      </c>
      <c r="N405">
        <f>VLOOKUP(A405,NYSEBP!A$2:G$506,6,0)</f>
        <v>3652931</v>
      </c>
      <c r="O405">
        <f>VLOOKUP(A405,NASDAQYHOO!A$2:G$506,6,0)</f>
        <v>3841245</v>
      </c>
    </row>
    <row r="406" spans="1:15">
      <c r="A406" s="39">
        <v>42731</v>
      </c>
      <c r="B406">
        <v>4435668</v>
      </c>
      <c r="C406">
        <f>VLOOKUP(A406,NYSEARCAVTI!A$2:G$506,6,0)</f>
        <v>3386903</v>
      </c>
      <c r="D406">
        <f>VLOOKUP(A406,NYSEARCAVEU!A$2:G$506,6,0)</f>
        <v>2337375</v>
      </c>
      <c r="E406">
        <f>VLOOKUP(A406,NYSEARCAVWO!A$2:G$506,6,0)</f>
        <v>12169125</v>
      </c>
      <c r="F406">
        <f>VLOOKUP(A406,NYSEARCABND!A$2:G$506,6,0)</f>
        <v>2178376</v>
      </c>
      <c r="G406">
        <f>VLOOKUP(A406,NYSEARCATIP!A$2:G$506,6,0)</f>
        <v>1666938</v>
      </c>
      <c r="H406">
        <f>VLOOKUP(A406,NYSEARCAMUB!A$2:G$506,6,0)</f>
        <v>1774274</v>
      </c>
      <c r="I406">
        <f>VLOOKUP(A406,NYSEARCAVNQ!A$2:G$506,6,0)</f>
        <v>3833037</v>
      </c>
      <c r="J406">
        <f>VLOOKUP(A406,NYSEARCARWX!A$2:G$506,6,0)</f>
        <v>2154211</v>
      </c>
      <c r="K406">
        <f>VLOOKUP(A406,NYSEARCADBC!A$2:G$506,6,0)</f>
        <v>1303612</v>
      </c>
      <c r="L406">
        <f>VLOOKUP(A406,NYSEARCAGSG!A$2:G$506,6,0)</f>
        <v>186554</v>
      </c>
      <c r="M406">
        <f>VLOOKUP(A406,NYSEARCAGLD!A$2:G$506,6,0)</f>
        <v>3685504</v>
      </c>
      <c r="N406">
        <f>VLOOKUP(A406,NYSEBP!A$2:G$506,6,0)</f>
        <v>3725613</v>
      </c>
      <c r="O406">
        <f>VLOOKUP(A406,NASDAQYHOO!A$2:G$506,6,0)</f>
        <v>4240285</v>
      </c>
    </row>
    <row r="407" spans="1:15">
      <c r="A407" s="39">
        <v>42732</v>
      </c>
      <c r="B407">
        <v>4875651</v>
      </c>
      <c r="C407">
        <f>VLOOKUP(A407,NYSEARCAVTI!A$2:G$506,6,0)</f>
        <v>2591078</v>
      </c>
      <c r="D407">
        <f>VLOOKUP(A407,NYSEARCAVEU!A$2:G$506,6,0)</f>
        <v>4064677</v>
      </c>
      <c r="E407">
        <f>VLOOKUP(A407,NYSEARCAVWO!A$2:G$506,6,0)</f>
        <v>13701896</v>
      </c>
      <c r="F407">
        <f>VLOOKUP(A407,NYSEARCABND!A$2:G$506,6,0)</f>
        <v>4097050</v>
      </c>
      <c r="G407">
        <f>VLOOKUP(A407,NYSEARCATIP!A$2:G$506,6,0)</f>
        <v>1290611</v>
      </c>
      <c r="H407">
        <f>VLOOKUP(A407,NYSEARCAMUB!A$2:G$506,6,0)</f>
        <v>2711009</v>
      </c>
      <c r="I407">
        <f>VLOOKUP(A407,NYSEARCAVNQ!A$2:G$506,6,0)</f>
        <v>3979496</v>
      </c>
      <c r="J407">
        <f>VLOOKUP(A407,NYSEARCARWX!A$2:G$506,6,0)</f>
        <v>1747685</v>
      </c>
      <c r="K407">
        <f>VLOOKUP(A407,NYSEARCADBC!A$2:G$506,6,0)</f>
        <v>1603200</v>
      </c>
      <c r="L407">
        <f>VLOOKUP(A407,NYSEARCAGSG!A$2:G$506,6,0)</f>
        <v>165061</v>
      </c>
      <c r="M407">
        <f>VLOOKUP(A407,NYSEARCAGLD!A$2:G$506,6,0)</f>
        <v>5091228</v>
      </c>
      <c r="N407">
        <f>VLOOKUP(A407,NYSEBP!A$2:G$506,6,0)</f>
        <v>6133371</v>
      </c>
      <c r="O407">
        <f>VLOOKUP(A407,NASDAQYHOO!A$2:G$506,6,0)</f>
        <v>4428368</v>
      </c>
    </row>
    <row r="408" spans="1:15">
      <c r="A408" s="39">
        <v>42733</v>
      </c>
      <c r="B408">
        <v>4298446</v>
      </c>
      <c r="C408">
        <f>VLOOKUP(A408,NYSEARCAVTI!A$2:G$506,6,0)</f>
        <v>1622737</v>
      </c>
      <c r="D408">
        <f>VLOOKUP(A408,NYSEARCAVEU!A$2:G$506,6,0)</f>
        <v>3168432</v>
      </c>
      <c r="E408">
        <f>VLOOKUP(A408,NYSEARCAVWO!A$2:G$506,6,0)</f>
        <v>11408403</v>
      </c>
      <c r="F408">
        <f>VLOOKUP(A408,NYSEARCABND!A$2:G$506,6,0)</f>
        <v>3116177</v>
      </c>
      <c r="G408">
        <f>VLOOKUP(A408,NYSEARCATIP!A$2:G$506,6,0)</f>
        <v>1297632</v>
      </c>
      <c r="H408">
        <f>VLOOKUP(A408,NYSEARCAMUB!A$2:G$506,6,0)</f>
        <v>2324878</v>
      </c>
      <c r="I408">
        <f>VLOOKUP(A408,NYSEARCAVNQ!A$2:G$506,6,0)</f>
        <v>4259426</v>
      </c>
      <c r="J408">
        <f>VLOOKUP(A408,NYSEARCARWX!A$2:G$506,6,0)</f>
        <v>2100387</v>
      </c>
      <c r="K408">
        <f>VLOOKUP(A408,NYSEARCADBC!A$2:G$506,6,0)</f>
        <v>1197987</v>
      </c>
      <c r="L408">
        <f>VLOOKUP(A408,NYSEARCAGSG!A$2:G$506,6,0)</f>
        <v>1517914</v>
      </c>
      <c r="M408">
        <f>VLOOKUP(A408,NYSEARCAGLD!A$2:G$506,6,0)</f>
        <v>7563896</v>
      </c>
      <c r="N408">
        <f>VLOOKUP(A408,NYSEBP!A$2:G$506,6,0)</f>
        <v>5015263</v>
      </c>
      <c r="O408">
        <f>VLOOKUP(A408,NASDAQYHOO!A$2:G$506,6,0)</f>
        <v>4170497</v>
      </c>
    </row>
    <row r="409" spans="1:15">
      <c r="A409" s="39">
        <v>42734</v>
      </c>
      <c r="B409">
        <v>6889488</v>
      </c>
      <c r="C409">
        <f>VLOOKUP(A409,NYSEARCAVTI!A$2:G$506,6,0)</f>
        <v>2910108</v>
      </c>
      <c r="D409">
        <f>VLOOKUP(A409,NYSEARCAVEU!A$2:G$506,6,0)</f>
        <v>3017729</v>
      </c>
      <c r="E409">
        <f>VLOOKUP(A409,NYSEARCAVWO!A$2:G$506,6,0)</f>
        <v>11522991</v>
      </c>
      <c r="F409">
        <f>VLOOKUP(A409,NYSEARCABND!A$2:G$506,6,0)</f>
        <v>2338228</v>
      </c>
      <c r="G409">
        <f>VLOOKUP(A409,NYSEARCATIP!A$2:G$506,6,0)</f>
        <v>1024216</v>
      </c>
      <c r="H409">
        <f>VLOOKUP(A409,NYSEARCAMUB!A$2:G$506,6,0)</f>
        <v>1382192</v>
      </c>
      <c r="I409">
        <f>VLOOKUP(A409,NYSEARCAVNQ!A$2:G$506,6,0)</f>
        <v>6673419</v>
      </c>
      <c r="J409">
        <f>VLOOKUP(A409,NYSEARCARWX!A$2:G$506,6,0)</f>
        <v>2084747</v>
      </c>
      <c r="K409">
        <f>VLOOKUP(A409,NYSEARCADBC!A$2:G$506,6,0)</f>
        <v>1623382</v>
      </c>
      <c r="L409">
        <f>VLOOKUP(A409,NYSEARCAGSG!A$2:G$506,6,0)</f>
        <v>1002916</v>
      </c>
      <c r="M409">
        <f>VLOOKUP(A409,NYSEARCAGLD!A$2:G$506,6,0)</f>
        <v>8873725</v>
      </c>
      <c r="N409">
        <f>VLOOKUP(A409,NYSEBP!A$2:G$506,6,0)</f>
        <v>5043883</v>
      </c>
      <c r="O409">
        <f>VLOOKUP(A409,NASDAQYHOO!A$2:G$506,6,0)</f>
        <v>6432792</v>
      </c>
    </row>
    <row r="410" spans="1:15">
      <c r="A410" s="39">
        <v>42738</v>
      </c>
      <c r="B410">
        <v>10473162</v>
      </c>
      <c r="C410">
        <f>VLOOKUP(A410,NYSEARCAVTI!A$2:G$506,6,0)</f>
        <v>2731646</v>
      </c>
      <c r="D410">
        <f>VLOOKUP(A410,NYSEARCAVEU!A$2:G$506,6,0)</f>
        <v>3659944</v>
      </c>
      <c r="E410">
        <f>VLOOKUP(A410,NYSEARCAVWO!A$2:G$506,6,0)</f>
        <v>18705170</v>
      </c>
      <c r="F410">
        <f>VLOOKUP(A410,NYSEARCABND!A$2:G$506,6,0)</f>
        <v>3312581</v>
      </c>
      <c r="G410">
        <f>VLOOKUP(A410,NYSEARCATIP!A$2:G$506,6,0)</f>
        <v>2957464</v>
      </c>
      <c r="H410">
        <f>VLOOKUP(A410,NYSEARCAMUB!A$2:G$506,6,0)</f>
        <v>1113914</v>
      </c>
      <c r="I410">
        <f>VLOOKUP(A410,NYSEARCAVNQ!A$2:G$506,6,0)</f>
        <v>9380344</v>
      </c>
      <c r="J410">
        <f>VLOOKUP(A410,NYSEARCARWX!A$2:G$506,6,0)</f>
        <v>1654521</v>
      </c>
      <c r="K410">
        <f>VLOOKUP(A410,NYSEARCADBC!A$2:G$506,6,0)</f>
        <v>5935170</v>
      </c>
      <c r="L410">
        <f>VLOOKUP(A410,NYSEARCAGSG!A$2:G$506,6,0)</f>
        <v>2415245</v>
      </c>
      <c r="M410">
        <f>VLOOKUP(A410,NYSEARCAGLD!A$2:G$506,6,0)</f>
        <v>7527353</v>
      </c>
      <c r="N410">
        <f>VLOOKUP(A410,NYSEBP!A$2:G$506,6,0)</f>
        <v>8779164</v>
      </c>
      <c r="O410">
        <f>VLOOKUP(A410,NASDAQYHOO!A$2:G$506,6,0)</f>
        <v>6084699</v>
      </c>
    </row>
    <row r="411" spans="1:15">
      <c r="A411" s="39">
        <v>42739</v>
      </c>
      <c r="B411">
        <v>7917952</v>
      </c>
      <c r="C411">
        <f>VLOOKUP(A411,NYSEARCAVTI!A$2:G$506,6,0)</f>
        <v>3228738</v>
      </c>
      <c r="D411">
        <f>VLOOKUP(A411,NYSEARCAVEU!A$2:G$506,6,0)</f>
        <v>2614490</v>
      </c>
      <c r="E411">
        <f>VLOOKUP(A411,NYSEARCAVWO!A$2:G$506,6,0)</f>
        <v>19171179</v>
      </c>
      <c r="F411">
        <f>VLOOKUP(A411,NYSEARCABND!A$2:G$506,6,0)</f>
        <v>3095025</v>
      </c>
      <c r="G411">
        <f>VLOOKUP(A411,NYSEARCATIP!A$2:G$506,6,0)</f>
        <v>2976245</v>
      </c>
      <c r="H411">
        <f>VLOOKUP(A411,NYSEARCAMUB!A$2:G$506,6,0)</f>
        <v>765650</v>
      </c>
      <c r="I411">
        <f>VLOOKUP(A411,NYSEARCAVNQ!A$2:G$506,6,0)</f>
        <v>6598743</v>
      </c>
      <c r="J411">
        <f>VLOOKUP(A411,NYSEARCARWX!A$2:G$506,6,0)</f>
        <v>784784</v>
      </c>
      <c r="K411">
        <f>VLOOKUP(A411,NYSEARCADBC!A$2:G$506,6,0)</f>
        <v>3281478</v>
      </c>
      <c r="L411">
        <f>VLOOKUP(A411,NYSEARCAGSG!A$2:G$506,6,0)</f>
        <v>426526</v>
      </c>
      <c r="M411">
        <f>VLOOKUP(A411,NYSEARCAGLD!A$2:G$506,6,0)</f>
        <v>4904119</v>
      </c>
      <c r="N411">
        <f>VLOOKUP(A411,NYSEBP!A$2:G$506,6,0)</f>
        <v>6883266</v>
      </c>
      <c r="O411">
        <f>VLOOKUP(A411,NASDAQYHOO!A$2:G$506,6,0)</f>
        <v>11759453</v>
      </c>
    </row>
    <row r="412" spans="1:15">
      <c r="A412" s="39">
        <v>42740</v>
      </c>
      <c r="B412">
        <v>7099170</v>
      </c>
      <c r="C412">
        <f>VLOOKUP(A412,NYSEARCAVTI!A$2:G$506,6,0)</f>
        <v>2604038</v>
      </c>
      <c r="D412">
        <f>VLOOKUP(A412,NYSEARCAVEU!A$2:G$506,6,0)</f>
        <v>1850756</v>
      </c>
      <c r="E412">
        <f>VLOOKUP(A412,NYSEARCAVWO!A$2:G$506,6,0)</f>
        <v>11923382</v>
      </c>
      <c r="F412">
        <f>VLOOKUP(A412,NYSEARCABND!A$2:G$506,6,0)</f>
        <v>3890365</v>
      </c>
      <c r="G412">
        <f>VLOOKUP(A412,NYSEARCATIP!A$2:G$506,6,0)</f>
        <v>1775608</v>
      </c>
      <c r="H412">
        <f>VLOOKUP(A412,NYSEARCAMUB!A$2:G$506,6,0)</f>
        <v>655805</v>
      </c>
      <c r="I412">
        <f>VLOOKUP(A412,NYSEARCAVNQ!A$2:G$506,6,0)</f>
        <v>8555674</v>
      </c>
      <c r="J412">
        <f>VLOOKUP(A412,NYSEARCARWX!A$2:G$506,6,0)</f>
        <v>2208855</v>
      </c>
      <c r="K412">
        <f>VLOOKUP(A412,NYSEARCADBC!A$2:G$506,6,0)</f>
        <v>28475953</v>
      </c>
      <c r="L412">
        <f>VLOOKUP(A412,NYSEARCAGSG!A$2:G$506,6,0)</f>
        <v>300036</v>
      </c>
      <c r="M412">
        <f>VLOOKUP(A412,NYSEARCAGLD!A$2:G$506,6,0)</f>
        <v>9606761</v>
      </c>
      <c r="N412">
        <f>VLOOKUP(A412,NYSEBP!A$2:G$506,6,0)</f>
        <v>6505685</v>
      </c>
      <c r="O412">
        <f>VLOOKUP(A412,NASDAQYHOO!A$2:G$506,6,0)</f>
        <v>13122100</v>
      </c>
    </row>
    <row r="413" spans="1:15">
      <c r="A413" s="39">
        <v>42741</v>
      </c>
      <c r="B413">
        <v>9491115</v>
      </c>
      <c r="C413">
        <f>VLOOKUP(A413,NYSEARCAVTI!A$2:G$506,6,0)</f>
        <v>2317806</v>
      </c>
      <c r="D413">
        <f>VLOOKUP(A413,NYSEARCAVEU!A$2:G$506,6,0)</f>
        <v>2030140</v>
      </c>
      <c r="E413">
        <f>VLOOKUP(A413,NYSEARCAVWO!A$2:G$506,6,0)</f>
        <v>13515274</v>
      </c>
      <c r="F413">
        <f>VLOOKUP(A413,NYSEARCABND!A$2:G$506,6,0)</f>
        <v>2287987</v>
      </c>
      <c r="G413">
        <f>VLOOKUP(A413,NYSEARCATIP!A$2:G$506,6,0)</f>
        <v>978173</v>
      </c>
      <c r="H413">
        <f>VLOOKUP(A413,NYSEARCAMUB!A$2:G$506,6,0)</f>
        <v>720790</v>
      </c>
      <c r="I413">
        <f>VLOOKUP(A413,NYSEARCAVNQ!A$2:G$506,6,0)</f>
        <v>3901163</v>
      </c>
      <c r="J413">
        <f>VLOOKUP(A413,NYSEARCARWX!A$2:G$506,6,0)</f>
        <v>747785</v>
      </c>
      <c r="K413">
        <f>VLOOKUP(A413,NYSEARCADBC!A$2:G$506,6,0)</f>
        <v>2782087</v>
      </c>
      <c r="L413">
        <f>VLOOKUP(A413,NYSEARCAGSG!A$2:G$506,6,0)</f>
        <v>193413</v>
      </c>
      <c r="M413">
        <f>VLOOKUP(A413,NYSEARCAGLD!A$2:G$506,6,0)</f>
        <v>7686070</v>
      </c>
      <c r="N413">
        <f>VLOOKUP(A413,NYSEBP!A$2:G$506,6,0)</f>
        <v>5800932</v>
      </c>
      <c r="O413">
        <f>VLOOKUP(A413,NASDAQYHOO!A$2:G$506,6,0)</f>
        <v>6087644</v>
      </c>
    </row>
    <row r="414" spans="1:15">
      <c r="A414" s="39">
        <v>42744</v>
      </c>
      <c r="B414">
        <v>8685232</v>
      </c>
      <c r="C414">
        <f>VLOOKUP(A414,NYSEARCAVTI!A$2:G$506,6,0)</f>
        <v>2461680</v>
      </c>
      <c r="D414">
        <f>VLOOKUP(A414,NYSEARCAVEU!A$2:G$506,6,0)</f>
        <v>2213759</v>
      </c>
      <c r="E414">
        <f>VLOOKUP(A414,NYSEARCAVWO!A$2:G$506,6,0)</f>
        <v>14763376</v>
      </c>
      <c r="F414">
        <f>VLOOKUP(A414,NYSEARCABND!A$2:G$506,6,0)</f>
        <v>1785910</v>
      </c>
      <c r="G414">
        <f>VLOOKUP(A414,NYSEARCATIP!A$2:G$506,6,0)</f>
        <v>1691574</v>
      </c>
      <c r="H414">
        <f>VLOOKUP(A414,NYSEARCAMUB!A$2:G$506,6,0)</f>
        <v>2183740</v>
      </c>
      <c r="I414">
        <f>VLOOKUP(A414,NYSEARCAVNQ!A$2:G$506,6,0)</f>
        <v>3546074</v>
      </c>
      <c r="J414">
        <f>VLOOKUP(A414,NYSEARCARWX!A$2:G$506,6,0)</f>
        <v>877132</v>
      </c>
      <c r="K414">
        <f>VLOOKUP(A414,NYSEARCADBC!A$2:G$506,6,0)</f>
        <v>3365965</v>
      </c>
      <c r="L414">
        <f>VLOOKUP(A414,NYSEARCAGSG!A$2:G$506,6,0)</f>
        <v>781688</v>
      </c>
      <c r="M414">
        <f>VLOOKUP(A414,NYSEARCAGLD!A$2:G$506,6,0)</f>
        <v>5674636</v>
      </c>
      <c r="N414">
        <f>VLOOKUP(A414,NYSEBP!A$2:G$506,6,0)</f>
        <v>5533626</v>
      </c>
      <c r="O414">
        <f>VLOOKUP(A414,NASDAQYHOO!A$2:G$506,6,0)</f>
        <v>7797445</v>
      </c>
    </row>
    <row r="415" spans="1:15">
      <c r="A415" s="39">
        <v>42745</v>
      </c>
      <c r="B415">
        <v>10256492</v>
      </c>
      <c r="C415">
        <f>VLOOKUP(A415,NYSEARCAVTI!A$2:G$506,6,0)</f>
        <v>2055428</v>
      </c>
      <c r="D415">
        <f>VLOOKUP(A415,NYSEARCAVEU!A$2:G$506,6,0)</f>
        <v>1620113</v>
      </c>
      <c r="E415">
        <f>VLOOKUP(A415,NYSEARCAVWO!A$2:G$506,6,0)</f>
        <v>12678364</v>
      </c>
      <c r="F415">
        <f>VLOOKUP(A415,NYSEARCABND!A$2:G$506,6,0)</f>
        <v>2250692</v>
      </c>
      <c r="G415">
        <f>VLOOKUP(A415,NYSEARCATIP!A$2:G$506,6,0)</f>
        <v>2508714</v>
      </c>
      <c r="H415">
        <f>VLOOKUP(A415,NYSEARCAMUB!A$2:G$506,6,0)</f>
        <v>921642</v>
      </c>
      <c r="I415">
        <f>VLOOKUP(A415,NYSEARCAVNQ!A$2:G$506,6,0)</f>
        <v>3959633</v>
      </c>
      <c r="J415">
        <f>VLOOKUP(A415,NYSEARCARWX!A$2:G$506,6,0)</f>
        <v>582049</v>
      </c>
      <c r="K415">
        <f>VLOOKUP(A415,NYSEARCADBC!A$2:G$506,6,0)</f>
        <v>1915147</v>
      </c>
      <c r="L415">
        <f>VLOOKUP(A415,NYSEARCAGSG!A$2:G$506,6,0)</f>
        <v>155178</v>
      </c>
      <c r="M415">
        <f>VLOOKUP(A415,NYSEARCAGLD!A$2:G$506,6,0)</f>
        <v>6093404</v>
      </c>
      <c r="N415">
        <f>VLOOKUP(A415,NYSEBP!A$2:G$506,6,0)</f>
        <v>3922015</v>
      </c>
      <c r="O415">
        <f>VLOOKUP(A415,NASDAQYHOO!A$2:G$506,6,0)</f>
        <v>8111079</v>
      </c>
    </row>
    <row r="416" spans="1:15">
      <c r="A416" s="39">
        <v>42746</v>
      </c>
      <c r="B416">
        <v>6697593</v>
      </c>
      <c r="C416">
        <f>VLOOKUP(A416,NYSEARCAVTI!A$2:G$506,6,0)</f>
        <v>2751838</v>
      </c>
      <c r="D416">
        <f>VLOOKUP(A416,NYSEARCAVEU!A$2:G$506,6,0)</f>
        <v>2437833</v>
      </c>
      <c r="E416">
        <f>VLOOKUP(A416,NYSEARCAVWO!A$2:G$506,6,0)</f>
        <v>13874603</v>
      </c>
      <c r="F416">
        <f>VLOOKUP(A416,NYSEARCABND!A$2:G$506,6,0)</f>
        <v>2327647</v>
      </c>
      <c r="G416">
        <f>VLOOKUP(A416,NYSEARCATIP!A$2:G$506,6,0)</f>
        <v>1169134</v>
      </c>
      <c r="H416">
        <f>VLOOKUP(A416,NYSEARCAMUB!A$2:G$506,6,0)</f>
        <v>1329305</v>
      </c>
      <c r="I416">
        <f>VLOOKUP(A416,NYSEARCAVNQ!A$2:G$506,6,0)</f>
        <v>4498021</v>
      </c>
      <c r="J416">
        <f>VLOOKUP(A416,NYSEARCARWX!A$2:G$506,6,0)</f>
        <v>1967206</v>
      </c>
      <c r="K416">
        <f>VLOOKUP(A416,NYSEARCADBC!A$2:G$506,6,0)</f>
        <v>2711922</v>
      </c>
      <c r="L416">
        <f>VLOOKUP(A416,NYSEARCAGSG!A$2:G$506,6,0)</f>
        <v>308269</v>
      </c>
      <c r="M416">
        <f>VLOOKUP(A416,NYSEARCAGLD!A$2:G$506,6,0)</f>
        <v>9918689</v>
      </c>
      <c r="N416">
        <f>VLOOKUP(A416,NYSEBP!A$2:G$506,6,0)</f>
        <v>4422586</v>
      </c>
      <c r="O416">
        <f>VLOOKUP(A416,NASDAQYHOO!A$2:G$506,6,0)</f>
        <v>6946237</v>
      </c>
    </row>
    <row r="417" spans="1:15">
      <c r="A417" s="39">
        <v>42747</v>
      </c>
      <c r="B417">
        <v>6544856</v>
      </c>
      <c r="C417">
        <f>VLOOKUP(A417,NYSEARCAVTI!A$2:G$506,6,0)</f>
        <v>2342402</v>
      </c>
      <c r="D417">
        <f>VLOOKUP(A417,NYSEARCAVEU!A$2:G$506,6,0)</f>
        <v>2443289</v>
      </c>
      <c r="E417">
        <f>VLOOKUP(A417,NYSEARCAVWO!A$2:G$506,6,0)</f>
        <v>11681915</v>
      </c>
      <c r="F417">
        <f>VLOOKUP(A417,NYSEARCABND!A$2:G$506,6,0)</f>
        <v>2981241</v>
      </c>
      <c r="G417">
        <f>VLOOKUP(A417,NYSEARCATIP!A$2:G$506,6,0)</f>
        <v>1014287</v>
      </c>
      <c r="H417">
        <f>VLOOKUP(A417,NYSEARCAMUB!A$2:G$506,6,0)</f>
        <v>1164053</v>
      </c>
      <c r="I417">
        <f>VLOOKUP(A417,NYSEARCAVNQ!A$2:G$506,6,0)</f>
        <v>4670739</v>
      </c>
      <c r="J417">
        <f>VLOOKUP(A417,NYSEARCARWX!A$2:G$506,6,0)</f>
        <v>2956061</v>
      </c>
      <c r="K417">
        <f>VLOOKUP(A417,NYSEARCADBC!A$2:G$506,6,0)</f>
        <v>1752715</v>
      </c>
      <c r="L417">
        <f>VLOOKUP(A417,NYSEARCAGSG!A$2:G$506,6,0)</f>
        <v>227914</v>
      </c>
      <c r="M417">
        <f>VLOOKUP(A417,NYSEARCAGLD!A$2:G$506,6,0)</f>
        <v>8457319</v>
      </c>
      <c r="N417">
        <f>VLOOKUP(A417,NYSEBP!A$2:G$506,6,0)</f>
        <v>4698473</v>
      </c>
      <c r="O417">
        <f>VLOOKUP(A417,NASDAQYHOO!A$2:G$506,6,0)</f>
        <v>6024900</v>
      </c>
    </row>
    <row r="418" spans="1:15">
      <c r="A418" s="39">
        <v>42748</v>
      </c>
      <c r="B418">
        <v>10012519</v>
      </c>
      <c r="C418">
        <f>VLOOKUP(A418,NYSEARCAVTI!A$2:G$506,6,0)</f>
        <v>2031780</v>
      </c>
      <c r="D418">
        <f>VLOOKUP(A418,NYSEARCAVEU!A$2:G$506,6,0)</f>
        <v>2576150</v>
      </c>
      <c r="E418">
        <f>VLOOKUP(A418,NYSEARCAVWO!A$2:G$506,6,0)</f>
        <v>11592575</v>
      </c>
      <c r="F418">
        <f>VLOOKUP(A418,NYSEARCABND!A$2:G$506,6,0)</f>
        <v>2424983</v>
      </c>
      <c r="G418">
        <f>VLOOKUP(A418,NYSEARCATIP!A$2:G$506,6,0)</f>
        <v>1920360</v>
      </c>
      <c r="H418">
        <f>VLOOKUP(A418,NYSEARCAMUB!A$2:G$506,6,0)</f>
        <v>859705</v>
      </c>
      <c r="I418">
        <f>VLOOKUP(A418,NYSEARCAVNQ!A$2:G$506,6,0)</f>
        <v>3658131</v>
      </c>
      <c r="J418">
        <f>VLOOKUP(A418,NYSEARCARWX!A$2:G$506,6,0)</f>
        <v>781710</v>
      </c>
      <c r="K418">
        <f>VLOOKUP(A418,NYSEARCADBC!A$2:G$506,6,0)</f>
        <v>1240969</v>
      </c>
      <c r="L418">
        <f>VLOOKUP(A418,NYSEARCAGSG!A$2:G$506,6,0)</f>
        <v>301527</v>
      </c>
      <c r="M418">
        <f>VLOOKUP(A418,NYSEARCAGLD!A$2:G$506,6,0)</f>
        <v>7261454</v>
      </c>
      <c r="N418">
        <f>VLOOKUP(A418,NYSEBP!A$2:G$506,6,0)</f>
        <v>3815512</v>
      </c>
      <c r="O418">
        <f>VLOOKUP(A418,NASDAQYHOO!A$2:G$506,6,0)</f>
        <v>4513026</v>
      </c>
    </row>
    <row r="419" spans="1:15">
      <c r="A419" s="39">
        <v>42752</v>
      </c>
      <c r="B419">
        <v>13167509</v>
      </c>
      <c r="C419">
        <f>VLOOKUP(A419,NYSEARCAVTI!A$2:G$506,6,0)</f>
        <v>2583709</v>
      </c>
      <c r="D419">
        <f>VLOOKUP(A419,NYSEARCAVEU!A$2:G$506,6,0)</f>
        <v>2435023</v>
      </c>
      <c r="E419">
        <f>VLOOKUP(A419,NYSEARCAVWO!A$2:G$506,6,0)</f>
        <v>8271669</v>
      </c>
      <c r="F419">
        <f>VLOOKUP(A419,NYSEARCABND!A$2:G$506,6,0)</f>
        <v>2188598</v>
      </c>
      <c r="G419">
        <f>VLOOKUP(A419,NYSEARCATIP!A$2:G$506,6,0)</f>
        <v>1440820</v>
      </c>
      <c r="H419">
        <f>VLOOKUP(A419,NYSEARCAMUB!A$2:G$506,6,0)</f>
        <v>1626372</v>
      </c>
      <c r="I419">
        <f>VLOOKUP(A419,NYSEARCAVNQ!A$2:G$506,6,0)</f>
        <v>4139242</v>
      </c>
      <c r="J419">
        <f>VLOOKUP(A419,NYSEARCARWX!A$2:G$506,6,0)</f>
        <v>630840</v>
      </c>
      <c r="K419">
        <f>VLOOKUP(A419,NYSEARCADBC!A$2:G$506,6,0)</f>
        <v>2168075</v>
      </c>
      <c r="L419">
        <f>VLOOKUP(A419,NYSEARCAGSG!A$2:G$506,6,0)</f>
        <v>172080</v>
      </c>
      <c r="M419">
        <f>VLOOKUP(A419,NYSEARCAGLD!A$2:G$506,6,0)</f>
        <v>9142370</v>
      </c>
      <c r="N419">
        <f>VLOOKUP(A419,NYSEBP!A$2:G$506,6,0)</f>
        <v>6172848</v>
      </c>
      <c r="O419">
        <f>VLOOKUP(A419,NASDAQYHOO!A$2:G$506,6,0)</f>
        <v>4779009</v>
      </c>
    </row>
    <row r="420" spans="1:15">
      <c r="A420" s="39">
        <v>42753</v>
      </c>
      <c r="B420">
        <v>7321456</v>
      </c>
      <c r="C420">
        <f>VLOOKUP(A420,NYSEARCAVTI!A$2:G$506,6,0)</f>
        <v>1901752</v>
      </c>
      <c r="D420">
        <f>VLOOKUP(A420,NYSEARCAVEU!A$2:G$506,6,0)</f>
        <v>1427893</v>
      </c>
      <c r="E420">
        <f>VLOOKUP(A420,NYSEARCAVWO!A$2:G$506,6,0)</f>
        <v>14802092</v>
      </c>
      <c r="F420">
        <f>VLOOKUP(A420,NYSEARCABND!A$2:G$506,6,0)</f>
        <v>1981696</v>
      </c>
      <c r="G420">
        <f>VLOOKUP(A420,NYSEARCATIP!A$2:G$506,6,0)</f>
        <v>1267225</v>
      </c>
      <c r="H420">
        <f>VLOOKUP(A420,NYSEARCAMUB!A$2:G$506,6,0)</f>
        <v>754713</v>
      </c>
      <c r="I420">
        <f>VLOOKUP(A420,NYSEARCAVNQ!A$2:G$506,6,0)</f>
        <v>3317394</v>
      </c>
      <c r="J420">
        <f>VLOOKUP(A420,NYSEARCARWX!A$2:G$506,6,0)</f>
        <v>4369704</v>
      </c>
      <c r="K420">
        <f>VLOOKUP(A420,NYSEARCADBC!A$2:G$506,6,0)</f>
        <v>1570600</v>
      </c>
      <c r="L420">
        <f>VLOOKUP(A420,NYSEARCAGSG!A$2:G$506,6,0)</f>
        <v>185088</v>
      </c>
      <c r="M420">
        <f>VLOOKUP(A420,NYSEARCAGLD!A$2:G$506,6,0)</f>
        <v>6498109</v>
      </c>
      <c r="N420">
        <f>VLOOKUP(A420,NYSEBP!A$2:G$506,6,0)</f>
        <v>5894192</v>
      </c>
      <c r="O420">
        <f>VLOOKUP(A420,NASDAQYHOO!A$2:G$506,6,0)</f>
        <v>3594963</v>
      </c>
    </row>
    <row r="421" spans="1:15">
      <c r="A421" s="39">
        <v>42754</v>
      </c>
      <c r="B421">
        <v>6821078</v>
      </c>
      <c r="C421">
        <f>VLOOKUP(A421,NYSEARCAVTI!A$2:G$506,6,0)</f>
        <v>1899267</v>
      </c>
      <c r="D421">
        <f>VLOOKUP(A421,NYSEARCAVEU!A$2:G$506,6,0)</f>
        <v>2017702</v>
      </c>
      <c r="E421">
        <f>VLOOKUP(A421,NYSEARCAVWO!A$2:G$506,6,0)</f>
        <v>13001318</v>
      </c>
      <c r="F421">
        <f>VLOOKUP(A421,NYSEARCABND!A$2:G$506,6,0)</f>
        <v>2121301</v>
      </c>
      <c r="G421">
        <f>VLOOKUP(A421,NYSEARCATIP!A$2:G$506,6,0)</f>
        <v>2081068</v>
      </c>
      <c r="H421">
        <f>VLOOKUP(A421,NYSEARCAMUB!A$2:G$506,6,0)</f>
        <v>1285018</v>
      </c>
      <c r="I421">
        <f>VLOOKUP(A421,NYSEARCAVNQ!A$2:G$506,6,0)</f>
        <v>3169244</v>
      </c>
      <c r="J421">
        <f>VLOOKUP(A421,NYSEARCARWX!A$2:G$506,6,0)</f>
        <v>3563842</v>
      </c>
      <c r="K421">
        <f>VLOOKUP(A421,NYSEARCADBC!A$2:G$506,6,0)</f>
        <v>2495886</v>
      </c>
      <c r="L421">
        <f>VLOOKUP(A421,NYSEARCAGSG!A$2:G$506,6,0)</f>
        <v>68454</v>
      </c>
      <c r="M421">
        <f>VLOOKUP(A421,NYSEARCAGLD!A$2:G$506,6,0)</f>
        <v>6437008</v>
      </c>
      <c r="N421">
        <f>VLOOKUP(A421,NYSEBP!A$2:G$506,6,0)</f>
        <v>5074223</v>
      </c>
      <c r="O421">
        <f>VLOOKUP(A421,NASDAQYHOO!A$2:G$506,6,0)</f>
        <v>6005615</v>
      </c>
    </row>
    <row r="422" spans="1:15">
      <c r="A422" s="39">
        <v>42755</v>
      </c>
      <c r="B422">
        <v>12054682</v>
      </c>
      <c r="C422">
        <f>VLOOKUP(A422,NYSEARCAVTI!A$2:G$506,6,0)</f>
        <v>2636114</v>
      </c>
      <c r="D422">
        <f>VLOOKUP(A422,NYSEARCAVEU!A$2:G$506,6,0)</f>
        <v>1382883</v>
      </c>
      <c r="E422">
        <f>VLOOKUP(A422,NYSEARCAVWO!A$2:G$506,6,0)</f>
        <v>10665078</v>
      </c>
      <c r="F422">
        <f>VLOOKUP(A422,NYSEARCABND!A$2:G$506,6,0)</f>
        <v>1836282</v>
      </c>
      <c r="G422">
        <f>VLOOKUP(A422,NYSEARCATIP!A$2:G$506,6,0)</f>
        <v>2925635</v>
      </c>
      <c r="H422">
        <f>VLOOKUP(A422,NYSEARCAMUB!A$2:G$506,6,0)</f>
        <v>1096762</v>
      </c>
      <c r="I422">
        <f>VLOOKUP(A422,NYSEARCAVNQ!A$2:G$506,6,0)</f>
        <v>3285567</v>
      </c>
      <c r="J422">
        <f>VLOOKUP(A422,NYSEARCARWX!A$2:G$506,6,0)</f>
        <v>4002907</v>
      </c>
      <c r="K422">
        <f>VLOOKUP(A422,NYSEARCADBC!A$2:G$506,6,0)</f>
        <v>1780932</v>
      </c>
      <c r="L422">
        <f>VLOOKUP(A422,NYSEARCAGSG!A$2:G$506,6,0)</f>
        <v>172197</v>
      </c>
      <c r="M422">
        <f>VLOOKUP(A422,NYSEARCAGLD!A$2:G$506,6,0)</f>
        <v>12261510</v>
      </c>
      <c r="N422">
        <f>VLOOKUP(A422,NYSEBP!A$2:G$506,6,0)</f>
        <v>5696303</v>
      </c>
      <c r="O422">
        <f>VLOOKUP(A422,NASDAQYHOO!A$2:G$506,6,0)</f>
        <v>5511713</v>
      </c>
    </row>
    <row r="423" spans="1:15">
      <c r="A423" s="39">
        <v>42758</v>
      </c>
      <c r="B423">
        <v>7951427</v>
      </c>
      <c r="C423">
        <f>VLOOKUP(A423,NYSEARCAVTI!A$2:G$506,6,0)</f>
        <v>1938950</v>
      </c>
      <c r="D423">
        <f>VLOOKUP(A423,NYSEARCAVEU!A$2:G$506,6,0)</f>
        <v>2017851</v>
      </c>
      <c r="E423">
        <f>VLOOKUP(A423,NYSEARCAVWO!A$2:G$506,6,0)</f>
        <v>11086631</v>
      </c>
      <c r="F423">
        <f>VLOOKUP(A423,NYSEARCABND!A$2:G$506,6,0)</f>
        <v>1490164</v>
      </c>
      <c r="G423">
        <f>VLOOKUP(A423,NYSEARCATIP!A$2:G$506,6,0)</f>
        <v>4172464</v>
      </c>
      <c r="H423">
        <f>VLOOKUP(A423,NYSEARCAMUB!A$2:G$506,6,0)</f>
        <v>1443647</v>
      </c>
      <c r="I423">
        <f>VLOOKUP(A423,NYSEARCAVNQ!A$2:G$506,6,0)</f>
        <v>3165576</v>
      </c>
      <c r="J423">
        <f>VLOOKUP(A423,NYSEARCARWX!A$2:G$506,6,0)</f>
        <v>786031</v>
      </c>
      <c r="K423">
        <f>VLOOKUP(A423,NYSEARCADBC!A$2:G$506,6,0)</f>
        <v>1390745</v>
      </c>
      <c r="L423">
        <f>VLOOKUP(A423,NYSEARCAGSG!A$2:G$506,6,0)</f>
        <v>172135</v>
      </c>
      <c r="M423">
        <f>VLOOKUP(A423,NYSEARCAGLD!A$2:G$506,6,0)</f>
        <v>6373102</v>
      </c>
      <c r="N423">
        <f>VLOOKUP(A423,NYSEBP!A$2:G$506,6,0)</f>
        <v>5470380</v>
      </c>
      <c r="O423">
        <f>VLOOKUP(A423,NASDAQYHOO!A$2:G$506,6,0)</f>
        <v>13662837</v>
      </c>
    </row>
    <row r="424" spans="1:15">
      <c r="A424" s="39">
        <v>42759</v>
      </c>
      <c r="B424">
        <v>10710616</v>
      </c>
      <c r="C424">
        <f>VLOOKUP(A424,NYSEARCAVTI!A$2:G$506,6,0)</f>
        <v>2165876</v>
      </c>
      <c r="D424">
        <f>VLOOKUP(A424,NYSEARCAVEU!A$2:G$506,6,0)</f>
        <v>2133320</v>
      </c>
      <c r="E424">
        <f>VLOOKUP(A424,NYSEARCAVWO!A$2:G$506,6,0)</f>
        <v>8260091</v>
      </c>
      <c r="F424">
        <f>VLOOKUP(A424,NYSEARCABND!A$2:G$506,6,0)</f>
        <v>2136042</v>
      </c>
      <c r="G424">
        <f>VLOOKUP(A424,NYSEARCATIP!A$2:G$506,6,0)</f>
        <v>1583480</v>
      </c>
      <c r="H424">
        <f>VLOOKUP(A424,NYSEARCAMUB!A$2:G$506,6,0)</f>
        <v>931039</v>
      </c>
      <c r="I424">
        <f>VLOOKUP(A424,NYSEARCAVNQ!A$2:G$506,6,0)</f>
        <v>4204177</v>
      </c>
      <c r="J424">
        <f>VLOOKUP(A424,NYSEARCARWX!A$2:G$506,6,0)</f>
        <v>706424</v>
      </c>
      <c r="K424">
        <f>VLOOKUP(A424,NYSEARCADBC!A$2:G$506,6,0)</f>
        <v>2219182</v>
      </c>
      <c r="L424">
        <f>VLOOKUP(A424,NYSEARCAGSG!A$2:G$506,6,0)</f>
        <v>308152</v>
      </c>
      <c r="M424">
        <f>VLOOKUP(A424,NYSEARCAGLD!A$2:G$506,6,0)</f>
        <v>5798840</v>
      </c>
      <c r="N424">
        <f>VLOOKUP(A424,NYSEBP!A$2:G$506,6,0)</f>
        <v>6519273</v>
      </c>
      <c r="O424">
        <f>VLOOKUP(A424,NASDAQYHOO!A$2:G$506,6,0)</f>
        <v>24933488</v>
      </c>
    </row>
    <row r="425" spans="1:15">
      <c r="A425" s="39">
        <v>42760</v>
      </c>
      <c r="B425">
        <v>8722855</v>
      </c>
      <c r="C425">
        <f>VLOOKUP(A425,NYSEARCAVTI!A$2:G$506,6,0)</f>
        <v>2427847</v>
      </c>
      <c r="D425">
        <f>VLOOKUP(A425,NYSEARCAVEU!A$2:G$506,6,0)</f>
        <v>1996364</v>
      </c>
      <c r="E425">
        <f>VLOOKUP(A425,NYSEARCAVWO!A$2:G$506,6,0)</f>
        <v>13756522</v>
      </c>
      <c r="F425">
        <f>VLOOKUP(A425,NYSEARCABND!A$2:G$506,6,0)</f>
        <v>1897825</v>
      </c>
      <c r="G425">
        <f>VLOOKUP(A425,NYSEARCATIP!A$2:G$506,6,0)</f>
        <v>2934806</v>
      </c>
      <c r="H425">
        <f>VLOOKUP(A425,NYSEARCAMUB!A$2:G$506,6,0)</f>
        <v>862024</v>
      </c>
      <c r="I425">
        <f>VLOOKUP(A425,NYSEARCAVNQ!A$2:G$506,6,0)</f>
        <v>3461494</v>
      </c>
      <c r="J425">
        <f>VLOOKUP(A425,NYSEARCARWX!A$2:G$506,6,0)</f>
        <v>1001980</v>
      </c>
      <c r="K425">
        <f>VLOOKUP(A425,NYSEARCADBC!A$2:G$506,6,0)</f>
        <v>1724204</v>
      </c>
      <c r="L425">
        <f>VLOOKUP(A425,NYSEARCAGSG!A$2:G$506,6,0)</f>
        <v>192837</v>
      </c>
      <c r="M425">
        <f>VLOOKUP(A425,NYSEARCAGLD!A$2:G$506,6,0)</f>
        <v>6697523</v>
      </c>
      <c r="N425">
        <f>VLOOKUP(A425,NYSEBP!A$2:G$506,6,0)</f>
        <v>3977420</v>
      </c>
      <c r="O425">
        <f>VLOOKUP(A425,NASDAQYHOO!A$2:G$506,6,0)</f>
        <v>14388287</v>
      </c>
    </row>
    <row r="426" spans="1:15">
      <c r="A426" s="39">
        <v>42761</v>
      </c>
      <c r="B426">
        <v>6504073</v>
      </c>
      <c r="C426">
        <f>VLOOKUP(A426,NYSEARCAVTI!A$2:G$506,6,0)</f>
        <v>2178512</v>
      </c>
      <c r="D426">
        <f>VLOOKUP(A426,NYSEARCAVEU!A$2:G$506,6,0)</f>
        <v>1802778</v>
      </c>
      <c r="E426">
        <f>VLOOKUP(A426,NYSEARCAVWO!A$2:G$506,6,0)</f>
        <v>10131928</v>
      </c>
      <c r="F426">
        <f>VLOOKUP(A426,NYSEARCABND!A$2:G$506,6,0)</f>
        <v>2381630</v>
      </c>
      <c r="G426">
        <f>VLOOKUP(A426,NYSEARCATIP!A$2:G$506,6,0)</f>
        <v>1958886</v>
      </c>
      <c r="H426">
        <f>VLOOKUP(A426,NYSEARCAMUB!A$2:G$506,6,0)</f>
        <v>1266488</v>
      </c>
      <c r="I426">
        <f>VLOOKUP(A426,NYSEARCAVNQ!A$2:G$506,6,0)</f>
        <v>4093711</v>
      </c>
      <c r="J426">
        <f>VLOOKUP(A426,NYSEARCARWX!A$2:G$506,6,0)</f>
        <v>780067</v>
      </c>
      <c r="K426">
        <f>VLOOKUP(A426,NYSEARCADBC!A$2:G$506,6,0)</f>
        <v>2201365</v>
      </c>
      <c r="L426">
        <f>VLOOKUP(A426,NYSEARCAGSG!A$2:G$506,6,0)</f>
        <v>196126</v>
      </c>
      <c r="M426">
        <f>VLOOKUP(A426,NYSEARCAGLD!A$2:G$506,6,0)</f>
        <v>5390463</v>
      </c>
      <c r="N426">
        <f>VLOOKUP(A426,NYSEBP!A$2:G$506,6,0)</f>
        <v>4450055</v>
      </c>
      <c r="O426">
        <f>VLOOKUP(A426,NASDAQYHOO!A$2:G$506,6,0)</f>
        <v>9974613</v>
      </c>
    </row>
    <row r="427" spans="1:15">
      <c r="A427" s="39">
        <v>42762</v>
      </c>
      <c r="B427">
        <v>13433629</v>
      </c>
      <c r="C427">
        <f>VLOOKUP(A427,NYSEARCAVTI!A$2:G$506,6,0)</f>
        <v>1479541</v>
      </c>
      <c r="D427">
        <f>VLOOKUP(A427,NYSEARCAVEU!A$2:G$506,6,0)</f>
        <v>1729930</v>
      </c>
      <c r="E427">
        <f>VLOOKUP(A427,NYSEARCAVWO!A$2:G$506,6,0)</f>
        <v>9442881</v>
      </c>
      <c r="F427">
        <f>VLOOKUP(A427,NYSEARCABND!A$2:G$506,6,0)</f>
        <v>1768665</v>
      </c>
      <c r="G427">
        <f>VLOOKUP(A427,NYSEARCATIP!A$2:G$506,6,0)</f>
        <v>2023029</v>
      </c>
      <c r="H427">
        <f>VLOOKUP(A427,NYSEARCAMUB!A$2:G$506,6,0)</f>
        <v>579427</v>
      </c>
      <c r="I427">
        <f>VLOOKUP(A427,NYSEARCAVNQ!A$2:G$506,6,0)</f>
        <v>2996199</v>
      </c>
      <c r="J427">
        <f>VLOOKUP(A427,NYSEARCARWX!A$2:G$506,6,0)</f>
        <v>618818</v>
      </c>
      <c r="K427">
        <f>VLOOKUP(A427,NYSEARCADBC!A$2:G$506,6,0)</f>
        <v>1835637</v>
      </c>
      <c r="L427">
        <f>VLOOKUP(A427,NYSEARCAGSG!A$2:G$506,6,0)</f>
        <v>163822</v>
      </c>
      <c r="M427">
        <f>VLOOKUP(A427,NYSEARCAGLD!A$2:G$506,6,0)</f>
        <v>6706570</v>
      </c>
      <c r="N427">
        <f>VLOOKUP(A427,NYSEBP!A$2:G$506,6,0)</f>
        <v>4242025</v>
      </c>
      <c r="O427">
        <f>VLOOKUP(A427,NASDAQYHOO!A$2:G$506,6,0)</f>
        <v>4943138</v>
      </c>
    </row>
    <row r="428" spans="1:15">
      <c r="A428" s="39">
        <v>42765</v>
      </c>
      <c r="B428">
        <v>8641511</v>
      </c>
      <c r="C428">
        <f>VLOOKUP(A428,NYSEARCAVTI!A$2:G$506,6,0)</f>
        <v>3006131</v>
      </c>
      <c r="D428">
        <f>VLOOKUP(A428,NYSEARCAVEU!A$2:G$506,6,0)</f>
        <v>1991675</v>
      </c>
      <c r="E428">
        <f>VLOOKUP(A428,NYSEARCAVWO!A$2:G$506,6,0)</f>
        <v>12465816</v>
      </c>
      <c r="F428">
        <f>VLOOKUP(A428,NYSEARCABND!A$2:G$506,6,0)</f>
        <v>2699524</v>
      </c>
      <c r="G428">
        <f>VLOOKUP(A428,NYSEARCATIP!A$2:G$506,6,0)</f>
        <v>1922839</v>
      </c>
      <c r="H428">
        <f>VLOOKUP(A428,NYSEARCAMUB!A$2:G$506,6,0)</f>
        <v>1129698</v>
      </c>
      <c r="I428">
        <f>VLOOKUP(A428,NYSEARCAVNQ!A$2:G$506,6,0)</f>
        <v>3182619</v>
      </c>
      <c r="J428">
        <f>VLOOKUP(A428,NYSEARCARWX!A$2:G$506,6,0)</f>
        <v>703754</v>
      </c>
      <c r="K428">
        <f>VLOOKUP(A428,NYSEARCADBC!A$2:G$506,6,0)</f>
        <v>4275017</v>
      </c>
      <c r="L428">
        <f>VLOOKUP(A428,NYSEARCAGSG!A$2:G$506,6,0)</f>
        <v>150232</v>
      </c>
      <c r="M428">
        <f>VLOOKUP(A428,NYSEARCAGLD!A$2:G$506,6,0)</f>
        <v>7687782</v>
      </c>
      <c r="N428">
        <f>VLOOKUP(A428,NYSEBP!A$2:G$506,6,0)</f>
        <v>7529379</v>
      </c>
      <c r="O428">
        <f>VLOOKUP(A428,NASDAQYHOO!A$2:G$506,6,0)</f>
        <v>6906121</v>
      </c>
    </row>
    <row r="429" spans="1:15">
      <c r="A429" s="39">
        <v>42766</v>
      </c>
      <c r="B429">
        <v>9320880</v>
      </c>
      <c r="C429">
        <f>VLOOKUP(A429,NYSEARCAVTI!A$2:G$506,6,0)</f>
        <v>3309743</v>
      </c>
      <c r="D429">
        <f>VLOOKUP(A429,NYSEARCAVEU!A$2:G$506,6,0)</f>
        <v>3433359</v>
      </c>
      <c r="E429">
        <f>VLOOKUP(A429,NYSEARCAVWO!A$2:G$506,6,0)</f>
        <v>15383950</v>
      </c>
      <c r="F429">
        <f>VLOOKUP(A429,NYSEARCABND!A$2:G$506,6,0)</f>
        <v>2857626</v>
      </c>
      <c r="G429">
        <f>VLOOKUP(A429,NYSEARCATIP!A$2:G$506,6,0)</f>
        <v>7613057</v>
      </c>
      <c r="H429">
        <f>VLOOKUP(A429,NYSEARCAMUB!A$2:G$506,6,0)</f>
        <v>901658</v>
      </c>
      <c r="I429">
        <f>VLOOKUP(A429,NYSEARCAVNQ!A$2:G$506,6,0)</f>
        <v>11091498</v>
      </c>
      <c r="J429">
        <f>VLOOKUP(A429,NYSEARCARWX!A$2:G$506,6,0)</f>
        <v>1185144</v>
      </c>
      <c r="K429">
        <f>VLOOKUP(A429,NYSEARCADBC!A$2:G$506,6,0)</f>
        <v>14620186</v>
      </c>
      <c r="L429">
        <f>VLOOKUP(A429,NYSEARCAGSG!A$2:G$506,6,0)</f>
        <v>363451</v>
      </c>
      <c r="M429">
        <f>VLOOKUP(A429,NYSEARCAGLD!A$2:G$506,6,0)</f>
        <v>10421882</v>
      </c>
      <c r="N429">
        <f>VLOOKUP(A429,NYSEBP!A$2:G$506,6,0)</f>
        <v>5467434</v>
      </c>
      <c r="O429">
        <f>VLOOKUP(A429,NASDAQYHOO!A$2:G$506,6,0)</f>
        <v>5153697</v>
      </c>
    </row>
    <row r="430" spans="1:15">
      <c r="A430" s="39">
        <v>42767</v>
      </c>
      <c r="B430">
        <v>9049972</v>
      </c>
      <c r="C430">
        <f>VLOOKUP(A430,NYSEARCAVTI!A$2:G$506,6,0)</f>
        <v>2614514</v>
      </c>
      <c r="D430">
        <f>VLOOKUP(A430,NYSEARCAVEU!A$2:G$506,6,0)</f>
        <v>2878028</v>
      </c>
      <c r="E430">
        <f>VLOOKUP(A430,NYSEARCAVWO!A$2:G$506,6,0)</f>
        <v>11604741</v>
      </c>
      <c r="F430">
        <f>VLOOKUP(A430,NYSEARCABND!A$2:G$506,6,0)</f>
        <v>2313445</v>
      </c>
      <c r="G430">
        <f>VLOOKUP(A430,NYSEARCATIP!A$2:G$506,6,0)</f>
        <v>1777719</v>
      </c>
      <c r="H430">
        <f>VLOOKUP(A430,NYSEARCAMUB!A$2:G$506,6,0)</f>
        <v>1536399</v>
      </c>
      <c r="I430">
        <f>VLOOKUP(A430,NYSEARCAVNQ!A$2:G$506,6,0)</f>
        <v>4555854</v>
      </c>
      <c r="J430">
        <f>VLOOKUP(A430,NYSEARCARWX!A$2:G$506,6,0)</f>
        <v>1441996</v>
      </c>
      <c r="K430">
        <f>VLOOKUP(A430,NYSEARCADBC!A$2:G$506,6,0)</f>
        <v>4732012</v>
      </c>
      <c r="L430">
        <f>VLOOKUP(A430,NYSEARCAGSG!A$2:G$506,6,0)</f>
        <v>4234965</v>
      </c>
      <c r="M430">
        <f>VLOOKUP(A430,NYSEARCAGLD!A$2:G$506,6,0)</f>
        <v>6932889</v>
      </c>
      <c r="N430">
        <f>VLOOKUP(A430,NYSEBP!A$2:G$506,6,0)</f>
        <v>7160611</v>
      </c>
      <c r="O430">
        <f>VLOOKUP(A430,NASDAQYHOO!A$2:G$506,6,0)</f>
        <v>5307216</v>
      </c>
    </row>
    <row r="431" spans="1:15">
      <c r="A431" s="39">
        <v>42768</v>
      </c>
      <c r="B431">
        <v>8998739</v>
      </c>
      <c r="C431">
        <f>VLOOKUP(A431,NYSEARCAVTI!A$2:G$506,6,0)</f>
        <v>1745302</v>
      </c>
      <c r="D431">
        <f>VLOOKUP(A431,NYSEARCAVEU!A$2:G$506,6,0)</f>
        <v>2262766</v>
      </c>
      <c r="E431">
        <f>VLOOKUP(A431,NYSEARCAVWO!A$2:G$506,6,0)</f>
        <v>10856109</v>
      </c>
      <c r="F431">
        <f>VLOOKUP(A431,NYSEARCABND!A$2:G$506,6,0)</f>
        <v>1745432</v>
      </c>
      <c r="G431">
        <f>VLOOKUP(A431,NYSEARCATIP!A$2:G$506,6,0)</f>
        <v>3938790</v>
      </c>
      <c r="H431">
        <f>VLOOKUP(A431,NYSEARCAMUB!A$2:G$506,6,0)</f>
        <v>680436</v>
      </c>
      <c r="I431">
        <f>VLOOKUP(A431,NYSEARCAVNQ!A$2:G$506,6,0)</f>
        <v>4754825</v>
      </c>
      <c r="J431">
        <f>VLOOKUP(A431,NYSEARCARWX!A$2:G$506,6,0)</f>
        <v>843240</v>
      </c>
      <c r="K431">
        <f>VLOOKUP(A431,NYSEARCADBC!A$2:G$506,6,0)</f>
        <v>3617149</v>
      </c>
      <c r="L431">
        <f>VLOOKUP(A431,NYSEARCAGSG!A$2:G$506,6,0)</f>
        <v>775579</v>
      </c>
      <c r="M431">
        <f>VLOOKUP(A431,NYSEARCAGLD!A$2:G$506,6,0)</f>
        <v>7189461</v>
      </c>
      <c r="N431">
        <f>VLOOKUP(A431,NYSEBP!A$2:G$506,6,0)</f>
        <v>7642634</v>
      </c>
      <c r="O431">
        <f>VLOOKUP(A431,NASDAQYHOO!A$2:G$506,6,0)</f>
        <v>5065117</v>
      </c>
    </row>
    <row r="432" spans="1:15">
      <c r="A432" s="39">
        <v>42769</v>
      </c>
      <c r="B432">
        <v>7625330</v>
      </c>
      <c r="C432">
        <f>VLOOKUP(A432,NYSEARCAVTI!A$2:G$506,6,0)</f>
        <v>1837627</v>
      </c>
      <c r="D432">
        <f>VLOOKUP(A432,NYSEARCAVEU!A$2:G$506,6,0)</f>
        <v>1471660</v>
      </c>
      <c r="E432">
        <f>VLOOKUP(A432,NYSEARCAVWO!A$2:G$506,6,0)</f>
        <v>8619346</v>
      </c>
      <c r="F432">
        <f>VLOOKUP(A432,NYSEARCABND!A$2:G$506,6,0)</f>
        <v>2398917</v>
      </c>
      <c r="G432">
        <f>VLOOKUP(A432,NYSEARCATIP!A$2:G$506,6,0)</f>
        <v>1376829</v>
      </c>
      <c r="H432">
        <f>VLOOKUP(A432,NYSEARCAMUB!A$2:G$506,6,0)</f>
        <v>1627865</v>
      </c>
      <c r="I432">
        <f>VLOOKUP(A432,NYSEARCAVNQ!A$2:G$506,6,0)</f>
        <v>4165139</v>
      </c>
      <c r="J432">
        <f>VLOOKUP(A432,NYSEARCARWX!A$2:G$506,6,0)</f>
        <v>650302</v>
      </c>
      <c r="K432">
        <f>VLOOKUP(A432,NYSEARCADBC!A$2:G$506,6,0)</f>
        <v>2433534</v>
      </c>
      <c r="L432">
        <f>VLOOKUP(A432,NYSEARCAGSG!A$2:G$506,6,0)</f>
        <v>334792</v>
      </c>
      <c r="M432">
        <f>VLOOKUP(A432,NYSEARCAGLD!A$2:G$506,6,0)</f>
        <v>9455464</v>
      </c>
      <c r="N432">
        <f>VLOOKUP(A432,NYSEBP!A$2:G$506,6,0)</f>
        <v>5070434</v>
      </c>
      <c r="O432">
        <f>VLOOKUP(A432,NASDAQYHOO!A$2:G$506,6,0)</f>
        <v>6422438</v>
      </c>
    </row>
    <row r="433" spans="1:15">
      <c r="A433" s="39">
        <v>42772</v>
      </c>
      <c r="B433">
        <v>9097238</v>
      </c>
      <c r="C433">
        <f>VLOOKUP(A433,NYSEARCAVTI!A$2:G$506,6,0)</f>
        <v>1598846</v>
      </c>
      <c r="D433">
        <f>VLOOKUP(A433,NYSEARCAVEU!A$2:G$506,6,0)</f>
        <v>1255117</v>
      </c>
      <c r="E433">
        <f>VLOOKUP(A433,NYSEARCAVWO!A$2:G$506,6,0)</f>
        <v>10007476</v>
      </c>
      <c r="F433">
        <f>VLOOKUP(A433,NYSEARCABND!A$2:G$506,6,0)</f>
        <v>3238073</v>
      </c>
      <c r="G433">
        <f>VLOOKUP(A433,NYSEARCATIP!A$2:G$506,6,0)</f>
        <v>1786385</v>
      </c>
      <c r="H433">
        <f>VLOOKUP(A433,NYSEARCAMUB!A$2:G$506,6,0)</f>
        <v>1471172</v>
      </c>
      <c r="I433">
        <f>VLOOKUP(A433,NYSEARCAVNQ!A$2:G$506,6,0)</f>
        <v>2985824</v>
      </c>
      <c r="J433">
        <f>VLOOKUP(A433,NYSEARCARWX!A$2:G$506,6,0)</f>
        <v>534219</v>
      </c>
      <c r="K433">
        <f>VLOOKUP(A433,NYSEARCADBC!A$2:G$506,6,0)</f>
        <v>2332827</v>
      </c>
      <c r="L433">
        <f>VLOOKUP(A433,NYSEARCAGSG!A$2:G$506,6,0)</f>
        <v>200057</v>
      </c>
      <c r="M433">
        <f>VLOOKUP(A433,NYSEARCAGLD!A$2:G$506,6,0)</f>
        <v>8547843</v>
      </c>
      <c r="N433">
        <f>VLOOKUP(A433,NYSEBP!A$2:G$506,6,0)</f>
        <v>5848046</v>
      </c>
      <c r="O433">
        <f>VLOOKUP(A433,NASDAQYHOO!A$2:G$506,6,0)</f>
        <v>7308775</v>
      </c>
    </row>
    <row r="434" spans="1:15">
      <c r="A434" s="39">
        <v>42773</v>
      </c>
      <c r="B434">
        <v>5805722</v>
      </c>
      <c r="C434">
        <f>VLOOKUP(A434,NYSEARCAVTI!A$2:G$506,6,0)</f>
        <v>3366070</v>
      </c>
      <c r="D434">
        <f>VLOOKUP(A434,NYSEARCAVEU!A$2:G$506,6,0)</f>
        <v>1220938</v>
      </c>
      <c r="E434">
        <f>VLOOKUP(A434,NYSEARCAVWO!A$2:G$506,6,0)</f>
        <v>10258043</v>
      </c>
      <c r="F434">
        <f>VLOOKUP(A434,NYSEARCABND!A$2:G$506,6,0)</f>
        <v>5239327</v>
      </c>
      <c r="G434">
        <f>VLOOKUP(A434,NYSEARCATIP!A$2:G$506,6,0)</f>
        <v>1462337</v>
      </c>
      <c r="H434">
        <f>VLOOKUP(A434,NYSEARCAMUB!A$2:G$506,6,0)</f>
        <v>751603</v>
      </c>
      <c r="I434">
        <f>VLOOKUP(A434,NYSEARCAVNQ!A$2:G$506,6,0)</f>
        <v>3250658</v>
      </c>
      <c r="J434">
        <f>VLOOKUP(A434,NYSEARCARWX!A$2:G$506,6,0)</f>
        <v>531321</v>
      </c>
      <c r="K434">
        <f>VLOOKUP(A434,NYSEARCADBC!A$2:G$506,6,0)</f>
        <v>2026529</v>
      </c>
      <c r="L434">
        <f>VLOOKUP(A434,NYSEARCAGSG!A$2:G$506,6,0)</f>
        <v>906440</v>
      </c>
      <c r="M434">
        <f>VLOOKUP(A434,NYSEARCAGLD!A$2:G$506,6,0)</f>
        <v>8621039</v>
      </c>
      <c r="N434">
        <f>VLOOKUP(A434,NYSEBP!A$2:G$506,6,0)</f>
        <v>17843224</v>
      </c>
      <c r="O434">
        <f>VLOOKUP(A434,NASDAQYHOO!A$2:G$506,6,0)</f>
        <v>4445846</v>
      </c>
    </row>
    <row r="435" spans="1:15">
      <c r="A435" s="39">
        <v>42774</v>
      </c>
      <c r="B435">
        <v>7660755</v>
      </c>
      <c r="C435">
        <f>VLOOKUP(A435,NYSEARCAVTI!A$2:G$506,6,0)</f>
        <v>1835984</v>
      </c>
      <c r="D435">
        <f>VLOOKUP(A435,NYSEARCAVEU!A$2:G$506,6,0)</f>
        <v>1151922</v>
      </c>
      <c r="E435">
        <f>VLOOKUP(A435,NYSEARCAVWO!A$2:G$506,6,0)</f>
        <v>7498771</v>
      </c>
      <c r="F435">
        <f>VLOOKUP(A435,NYSEARCABND!A$2:G$506,6,0)</f>
        <v>2172725</v>
      </c>
      <c r="G435">
        <f>VLOOKUP(A435,NYSEARCATIP!A$2:G$506,6,0)</f>
        <v>1456432</v>
      </c>
      <c r="H435">
        <f>VLOOKUP(A435,NYSEARCAMUB!A$2:G$506,6,0)</f>
        <v>727005</v>
      </c>
      <c r="I435">
        <f>VLOOKUP(A435,NYSEARCAVNQ!A$2:G$506,6,0)</f>
        <v>3316789</v>
      </c>
      <c r="J435">
        <f>VLOOKUP(A435,NYSEARCARWX!A$2:G$506,6,0)</f>
        <v>894733</v>
      </c>
      <c r="K435">
        <f>VLOOKUP(A435,NYSEARCADBC!A$2:G$506,6,0)</f>
        <v>2314612</v>
      </c>
      <c r="L435">
        <f>VLOOKUP(A435,NYSEARCAGSG!A$2:G$506,6,0)</f>
        <v>234016</v>
      </c>
      <c r="M435">
        <f>VLOOKUP(A435,NYSEARCAGLD!A$2:G$506,6,0)</f>
        <v>9633443</v>
      </c>
      <c r="N435">
        <f>VLOOKUP(A435,NYSEBP!A$2:G$506,6,0)</f>
        <v>8322899</v>
      </c>
      <c r="O435">
        <f>VLOOKUP(A435,NASDAQYHOO!A$2:G$506,6,0)</f>
        <v>6531000</v>
      </c>
    </row>
    <row r="436" spans="1:15">
      <c r="A436" s="39">
        <v>42775</v>
      </c>
      <c r="B436">
        <v>11080479</v>
      </c>
      <c r="C436">
        <f>VLOOKUP(A436,NYSEARCAVTI!A$2:G$506,6,0)</f>
        <v>1635319</v>
      </c>
      <c r="D436">
        <f>VLOOKUP(A436,NYSEARCAVEU!A$2:G$506,6,0)</f>
        <v>1354424</v>
      </c>
      <c r="E436">
        <f>VLOOKUP(A436,NYSEARCAVWO!A$2:G$506,6,0)</f>
        <v>10809285</v>
      </c>
      <c r="F436">
        <f>VLOOKUP(A436,NYSEARCABND!A$2:G$506,6,0)</f>
        <v>3410760</v>
      </c>
      <c r="G436">
        <f>VLOOKUP(A436,NYSEARCATIP!A$2:G$506,6,0)</f>
        <v>1045277</v>
      </c>
      <c r="H436">
        <f>VLOOKUP(A436,NYSEARCAMUB!A$2:G$506,6,0)</f>
        <v>502658</v>
      </c>
      <c r="I436">
        <f>VLOOKUP(A436,NYSEARCAVNQ!A$2:G$506,6,0)</f>
        <v>2806990</v>
      </c>
      <c r="J436">
        <f>VLOOKUP(A436,NYSEARCARWX!A$2:G$506,6,0)</f>
        <v>917795</v>
      </c>
      <c r="K436">
        <f>VLOOKUP(A436,NYSEARCADBC!A$2:G$506,6,0)</f>
        <v>1669716</v>
      </c>
      <c r="L436">
        <f>VLOOKUP(A436,NYSEARCAGSG!A$2:G$506,6,0)</f>
        <v>156688</v>
      </c>
      <c r="M436">
        <f>VLOOKUP(A436,NYSEARCAGLD!A$2:G$506,6,0)</f>
        <v>8177210</v>
      </c>
      <c r="N436">
        <f>VLOOKUP(A436,NYSEBP!A$2:G$506,6,0)</f>
        <v>8939965</v>
      </c>
      <c r="O436">
        <f>VLOOKUP(A436,NASDAQYHOO!A$2:G$506,6,0)</f>
        <v>3769280</v>
      </c>
    </row>
    <row r="437" spans="1:15">
      <c r="A437" s="39">
        <v>42776</v>
      </c>
      <c r="B437">
        <v>12445633</v>
      </c>
      <c r="C437">
        <f>VLOOKUP(A437,NYSEARCAVTI!A$2:G$506,6,0)</f>
        <v>1837821</v>
      </c>
      <c r="D437">
        <f>VLOOKUP(A437,NYSEARCAVEU!A$2:G$506,6,0)</f>
        <v>1445026</v>
      </c>
      <c r="E437">
        <f>VLOOKUP(A437,NYSEARCAVWO!A$2:G$506,6,0)</f>
        <v>9271635</v>
      </c>
      <c r="F437">
        <f>VLOOKUP(A437,NYSEARCABND!A$2:G$506,6,0)</f>
        <v>2011917</v>
      </c>
      <c r="G437">
        <f>VLOOKUP(A437,NYSEARCATIP!A$2:G$506,6,0)</f>
        <v>1585636</v>
      </c>
      <c r="H437">
        <f>VLOOKUP(A437,NYSEARCAMUB!A$2:G$506,6,0)</f>
        <v>458341</v>
      </c>
      <c r="I437">
        <f>VLOOKUP(A437,NYSEARCAVNQ!A$2:G$506,6,0)</f>
        <v>2983820</v>
      </c>
      <c r="J437">
        <f>VLOOKUP(A437,NYSEARCARWX!A$2:G$506,6,0)</f>
        <v>369410</v>
      </c>
      <c r="K437">
        <f>VLOOKUP(A437,NYSEARCADBC!A$2:G$506,6,0)</f>
        <v>2768614</v>
      </c>
      <c r="L437">
        <f>VLOOKUP(A437,NYSEARCAGSG!A$2:G$506,6,0)</f>
        <v>133844</v>
      </c>
      <c r="M437">
        <f>VLOOKUP(A437,NYSEARCAGLD!A$2:G$506,6,0)</f>
        <v>9072146</v>
      </c>
      <c r="N437">
        <f>VLOOKUP(A437,NYSEBP!A$2:G$506,6,0)</f>
        <v>6389815</v>
      </c>
      <c r="O437">
        <f>VLOOKUP(A437,NASDAQYHOO!A$2:G$506,6,0)</f>
        <v>4158744</v>
      </c>
    </row>
    <row r="438" spans="1:15">
      <c r="A438" s="39">
        <v>42779</v>
      </c>
      <c r="B438">
        <v>8374307</v>
      </c>
      <c r="C438">
        <f>VLOOKUP(A438,NYSEARCAVTI!A$2:G$506,6,0)</f>
        <v>1985570</v>
      </c>
      <c r="D438">
        <f>VLOOKUP(A438,NYSEARCAVEU!A$2:G$506,6,0)</f>
        <v>1780130</v>
      </c>
      <c r="E438">
        <f>VLOOKUP(A438,NYSEARCAVWO!A$2:G$506,6,0)</f>
        <v>8548695</v>
      </c>
      <c r="F438">
        <f>VLOOKUP(A438,NYSEARCABND!A$2:G$506,6,0)</f>
        <v>1863017</v>
      </c>
      <c r="G438">
        <f>VLOOKUP(A438,NYSEARCATIP!A$2:G$506,6,0)</f>
        <v>1002396</v>
      </c>
      <c r="H438">
        <f>VLOOKUP(A438,NYSEARCAMUB!A$2:G$506,6,0)</f>
        <v>613729</v>
      </c>
      <c r="I438">
        <f>VLOOKUP(A438,NYSEARCAVNQ!A$2:G$506,6,0)</f>
        <v>3968165</v>
      </c>
      <c r="J438">
        <f>VLOOKUP(A438,NYSEARCARWX!A$2:G$506,6,0)</f>
        <v>443683</v>
      </c>
      <c r="K438">
        <f>VLOOKUP(A438,NYSEARCADBC!A$2:G$506,6,0)</f>
        <v>1122521</v>
      </c>
      <c r="L438">
        <f>VLOOKUP(A438,NYSEARCAGSG!A$2:G$506,6,0)</f>
        <v>214038</v>
      </c>
      <c r="M438">
        <f>VLOOKUP(A438,NYSEARCAGLD!A$2:G$506,6,0)</f>
        <v>7354924</v>
      </c>
      <c r="N438">
        <f>VLOOKUP(A438,NYSEBP!A$2:G$506,6,0)</f>
        <v>6899224</v>
      </c>
      <c r="O438">
        <f>VLOOKUP(A438,NASDAQYHOO!A$2:G$506,6,0)</f>
        <v>7491311</v>
      </c>
    </row>
    <row r="439" spans="1:15">
      <c r="A439" s="39">
        <v>42780</v>
      </c>
      <c r="B439">
        <v>8462328</v>
      </c>
      <c r="C439">
        <f>VLOOKUP(A439,NYSEARCAVTI!A$2:G$506,6,0)</f>
        <v>2051179</v>
      </c>
      <c r="D439">
        <f>VLOOKUP(A439,NYSEARCAVEU!A$2:G$506,6,0)</f>
        <v>1857832</v>
      </c>
      <c r="E439">
        <f>VLOOKUP(A439,NYSEARCAVWO!A$2:G$506,6,0)</f>
        <v>11946252</v>
      </c>
      <c r="F439">
        <f>VLOOKUP(A439,NYSEARCABND!A$2:G$506,6,0)</f>
        <v>2178328</v>
      </c>
      <c r="G439">
        <f>VLOOKUP(A439,NYSEARCATIP!A$2:G$506,6,0)</f>
        <v>1012084</v>
      </c>
      <c r="H439">
        <f>VLOOKUP(A439,NYSEARCAMUB!A$2:G$506,6,0)</f>
        <v>492348</v>
      </c>
      <c r="I439">
        <f>VLOOKUP(A439,NYSEARCAVNQ!A$2:G$506,6,0)</f>
        <v>2688061</v>
      </c>
      <c r="J439">
        <f>VLOOKUP(A439,NYSEARCARWX!A$2:G$506,6,0)</f>
        <v>626971</v>
      </c>
      <c r="K439">
        <f>VLOOKUP(A439,NYSEARCADBC!A$2:G$506,6,0)</f>
        <v>1679740</v>
      </c>
      <c r="L439">
        <f>VLOOKUP(A439,NYSEARCAGSG!A$2:G$506,6,0)</f>
        <v>274066</v>
      </c>
      <c r="M439">
        <f>VLOOKUP(A439,NYSEARCAGLD!A$2:G$506,6,0)</f>
        <v>6927842</v>
      </c>
      <c r="N439">
        <f>VLOOKUP(A439,NYSEBP!A$2:G$506,6,0)</f>
        <v>8026463</v>
      </c>
      <c r="O439">
        <f>VLOOKUP(A439,NASDAQYHOO!A$2:G$506,6,0)</f>
        <v>6676842</v>
      </c>
    </row>
    <row r="440" spans="1:15">
      <c r="A440" s="39">
        <v>42781</v>
      </c>
      <c r="B440">
        <v>8563295</v>
      </c>
      <c r="C440">
        <f>VLOOKUP(A440,NYSEARCAVTI!A$2:G$506,6,0)</f>
        <v>1998213</v>
      </c>
      <c r="D440">
        <f>VLOOKUP(A440,NYSEARCAVEU!A$2:G$506,6,0)</f>
        <v>3694444</v>
      </c>
      <c r="E440">
        <f>VLOOKUP(A440,NYSEARCAVWO!A$2:G$506,6,0)</f>
        <v>10624712</v>
      </c>
      <c r="F440">
        <f>VLOOKUP(A440,NYSEARCABND!A$2:G$506,6,0)</f>
        <v>1503728</v>
      </c>
      <c r="G440">
        <f>VLOOKUP(A440,NYSEARCATIP!A$2:G$506,6,0)</f>
        <v>1131948</v>
      </c>
      <c r="H440">
        <f>VLOOKUP(A440,NYSEARCAMUB!A$2:G$506,6,0)</f>
        <v>788032</v>
      </c>
      <c r="I440">
        <f>VLOOKUP(A440,NYSEARCAVNQ!A$2:G$506,6,0)</f>
        <v>3687277</v>
      </c>
      <c r="J440">
        <f>VLOOKUP(A440,NYSEARCARWX!A$2:G$506,6,0)</f>
        <v>3006634</v>
      </c>
      <c r="K440">
        <f>VLOOKUP(A440,NYSEARCADBC!A$2:G$506,6,0)</f>
        <v>1350379</v>
      </c>
      <c r="L440">
        <f>VLOOKUP(A440,NYSEARCAGSG!A$2:G$506,6,0)</f>
        <v>179394</v>
      </c>
      <c r="M440">
        <f>VLOOKUP(A440,NYSEARCAGLD!A$2:G$506,6,0)</f>
        <v>7088419</v>
      </c>
      <c r="N440">
        <f>VLOOKUP(A440,NYSEBP!A$2:G$506,6,0)</f>
        <v>7675121</v>
      </c>
      <c r="O440">
        <f>VLOOKUP(A440,NASDAQYHOO!A$2:G$506,6,0)</f>
        <v>22509206</v>
      </c>
    </row>
    <row r="441" spans="1:15">
      <c r="A441" s="39">
        <v>42782</v>
      </c>
      <c r="B441">
        <v>8413787</v>
      </c>
      <c r="C441">
        <f>VLOOKUP(A441,NYSEARCAVTI!A$2:G$506,6,0)</f>
        <v>2034805</v>
      </c>
      <c r="D441">
        <f>VLOOKUP(A441,NYSEARCAVEU!A$2:G$506,6,0)</f>
        <v>1870974</v>
      </c>
      <c r="E441">
        <f>VLOOKUP(A441,NYSEARCAVWO!A$2:G$506,6,0)</f>
        <v>9897237</v>
      </c>
      <c r="F441">
        <f>VLOOKUP(A441,NYSEARCABND!A$2:G$506,6,0)</f>
        <v>3290696</v>
      </c>
      <c r="G441">
        <f>VLOOKUP(A441,NYSEARCATIP!A$2:G$506,6,0)</f>
        <v>1171052</v>
      </c>
      <c r="H441">
        <f>VLOOKUP(A441,NYSEARCAMUB!A$2:G$506,6,0)</f>
        <v>570178</v>
      </c>
      <c r="I441">
        <f>VLOOKUP(A441,NYSEARCAVNQ!A$2:G$506,6,0)</f>
        <v>3097815</v>
      </c>
      <c r="J441">
        <f>VLOOKUP(A441,NYSEARCARWX!A$2:G$506,6,0)</f>
        <v>1052245</v>
      </c>
      <c r="K441">
        <f>VLOOKUP(A441,NYSEARCADBC!A$2:G$506,6,0)</f>
        <v>1300268</v>
      </c>
      <c r="L441">
        <f>VLOOKUP(A441,NYSEARCAGSG!A$2:G$506,6,0)</f>
        <v>133908</v>
      </c>
      <c r="M441">
        <f>VLOOKUP(A441,NYSEARCAGLD!A$2:G$506,6,0)</f>
        <v>6378650</v>
      </c>
      <c r="N441">
        <f>VLOOKUP(A441,NYSEBP!A$2:G$506,6,0)</f>
        <v>7511192</v>
      </c>
      <c r="O441">
        <f>VLOOKUP(A441,NASDAQYHOO!A$2:G$506,6,0)</f>
        <v>8972022</v>
      </c>
    </row>
    <row r="442" spans="1:15">
      <c r="A442" s="39">
        <v>42783</v>
      </c>
      <c r="B442">
        <v>12837447</v>
      </c>
      <c r="C442">
        <f>VLOOKUP(A442,NYSEARCAVTI!A$2:G$506,6,0)</f>
        <v>1948471</v>
      </c>
      <c r="D442">
        <f>VLOOKUP(A442,NYSEARCAVEU!A$2:G$506,6,0)</f>
        <v>2025551</v>
      </c>
      <c r="E442">
        <f>VLOOKUP(A442,NYSEARCAVWO!A$2:G$506,6,0)</f>
        <v>8944643</v>
      </c>
      <c r="F442">
        <f>VLOOKUP(A442,NYSEARCABND!A$2:G$506,6,0)</f>
        <v>1520021</v>
      </c>
      <c r="G442">
        <f>VLOOKUP(A442,NYSEARCATIP!A$2:G$506,6,0)</f>
        <v>983008</v>
      </c>
      <c r="H442">
        <f>VLOOKUP(A442,NYSEARCAMUB!A$2:G$506,6,0)</f>
        <v>405450</v>
      </c>
      <c r="I442">
        <f>VLOOKUP(A442,NYSEARCAVNQ!A$2:G$506,6,0)</f>
        <v>2624200</v>
      </c>
      <c r="J442">
        <f>VLOOKUP(A442,NYSEARCARWX!A$2:G$506,6,0)</f>
        <v>638666</v>
      </c>
      <c r="K442">
        <f>VLOOKUP(A442,NYSEARCADBC!A$2:G$506,6,0)</f>
        <v>2265544</v>
      </c>
      <c r="L442">
        <f>VLOOKUP(A442,NYSEARCAGSG!A$2:G$506,6,0)</f>
        <v>278144</v>
      </c>
      <c r="M442">
        <f>VLOOKUP(A442,NYSEARCAGLD!A$2:G$506,6,0)</f>
        <v>7338065</v>
      </c>
      <c r="N442">
        <f>VLOOKUP(A442,NYSEBP!A$2:G$506,6,0)</f>
        <v>6428329</v>
      </c>
      <c r="O442">
        <f>VLOOKUP(A442,NASDAQYHOO!A$2:G$506,6,0)</f>
        <v>9417191</v>
      </c>
    </row>
    <row r="443" spans="1:15">
      <c r="A443" s="39">
        <v>42787</v>
      </c>
      <c r="B443">
        <v>22412893</v>
      </c>
      <c r="C443">
        <f>VLOOKUP(A443,NYSEARCAVTI!A$2:G$506,6,0)</f>
        <v>2423039</v>
      </c>
      <c r="D443">
        <f>VLOOKUP(A443,NYSEARCAVEU!A$2:G$506,6,0)</f>
        <v>2401986</v>
      </c>
      <c r="E443">
        <f>VLOOKUP(A443,NYSEARCAVWO!A$2:G$506,6,0)</f>
        <v>6873383</v>
      </c>
      <c r="F443">
        <f>VLOOKUP(A443,NYSEARCABND!A$2:G$506,6,0)</f>
        <v>1811284</v>
      </c>
      <c r="G443">
        <f>VLOOKUP(A443,NYSEARCATIP!A$2:G$506,6,0)</f>
        <v>1061085</v>
      </c>
      <c r="H443">
        <f>VLOOKUP(A443,NYSEARCAMUB!A$2:G$506,6,0)</f>
        <v>508254</v>
      </c>
      <c r="I443">
        <f>VLOOKUP(A443,NYSEARCAVNQ!A$2:G$506,6,0)</f>
        <v>5646684</v>
      </c>
      <c r="J443">
        <f>VLOOKUP(A443,NYSEARCARWX!A$2:G$506,6,0)</f>
        <v>2890682</v>
      </c>
      <c r="K443">
        <f>VLOOKUP(A443,NYSEARCADBC!A$2:G$506,6,0)</f>
        <v>1838728</v>
      </c>
      <c r="L443">
        <f>VLOOKUP(A443,NYSEARCAGSG!A$2:G$506,6,0)</f>
        <v>223275</v>
      </c>
      <c r="M443">
        <f>VLOOKUP(A443,NYSEARCAGLD!A$2:G$506,6,0)</f>
        <v>6166875</v>
      </c>
      <c r="N443">
        <f>VLOOKUP(A443,NYSEBP!A$2:G$506,6,0)</f>
        <v>8189056</v>
      </c>
      <c r="O443">
        <f>VLOOKUP(A443,NASDAQYHOO!A$2:G$506,6,0)</f>
        <v>8115953</v>
      </c>
    </row>
    <row r="444" spans="1:15">
      <c r="A444" s="39">
        <v>42788</v>
      </c>
      <c r="B444">
        <v>15242674</v>
      </c>
      <c r="C444">
        <f>VLOOKUP(A444,NYSEARCAVTI!A$2:G$506,6,0)</f>
        <v>1973959</v>
      </c>
      <c r="D444">
        <f>VLOOKUP(A444,NYSEARCAVEU!A$2:G$506,6,0)</f>
        <v>1978209</v>
      </c>
      <c r="E444">
        <f>VLOOKUP(A444,NYSEARCAVWO!A$2:G$506,6,0)</f>
        <v>7027835</v>
      </c>
      <c r="F444">
        <f>VLOOKUP(A444,NYSEARCABND!A$2:G$506,6,0)</f>
        <v>1965822</v>
      </c>
      <c r="G444">
        <f>VLOOKUP(A444,NYSEARCATIP!A$2:G$506,6,0)</f>
        <v>1082649</v>
      </c>
      <c r="H444">
        <f>VLOOKUP(A444,NYSEARCAMUB!A$2:G$506,6,0)</f>
        <v>473407</v>
      </c>
      <c r="I444">
        <f>VLOOKUP(A444,NYSEARCAVNQ!A$2:G$506,6,0)</f>
        <v>3464404</v>
      </c>
      <c r="J444">
        <f>VLOOKUP(A444,NYSEARCARWX!A$2:G$506,6,0)</f>
        <v>1380473</v>
      </c>
      <c r="K444">
        <f>VLOOKUP(A444,NYSEARCADBC!A$2:G$506,6,0)</f>
        <v>2480686</v>
      </c>
      <c r="L444">
        <f>VLOOKUP(A444,NYSEARCAGSG!A$2:G$506,6,0)</f>
        <v>191698</v>
      </c>
      <c r="M444">
        <f>VLOOKUP(A444,NYSEARCAGLD!A$2:G$506,6,0)</f>
        <v>6057179</v>
      </c>
      <c r="N444">
        <f>VLOOKUP(A444,NYSEBP!A$2:G$506,6,0)</f>
        <v>6011139</v>
      </c>
      <c r="O444">
        <f>VLOOKUP(A444,NASDAQYHOO!A$2:G$506,6,0)</f>
        <v>7730221</v>
      </c>
    </row>
    <row r="445" spans="1:15">
      <c r="A445" s="39">
        <v>42789</v>
      </c>
      <c r="B445">
        <v>12799700</v>
      </c>
      <c r="C445">
        <f>VLOOKUP(A445,NYSEARCAVTI!A$2:G$506,6,0)</f>
        <v>2024945</v>
      </c>
      <c r="D445">
        <f>VLOOKUP(A445,NYSEARCAVEU!A$2:G$506,6,0)</f>
        <v>1727952</v>
      </c>
      <c r="E445">
        <f>VLOOKUP(A445,NYSEARCAVWO!A$2:G$506,6,0)</f>
        <v>15360207</v>
      </c>
      <c r="F445">
        <f>VLOOKUP(A445,NYSEARCABND!A$2:G$506,6,0)</f>
        <v>1590520</v>
      </c>
      <c r="G445">
        <f>VLOOKUP(A445,NYSEARCATIP!A$2:G$506,6,0)</f>
        <v>1042115</v>
      </c>
      <c r="H445">
        <f>VLOOKUP(A445,NYSEARCAMUB!A$2:G$506,6,0)</f>
        <v>473113</v>
      </c>
      <c r="I445">
        <f>VLOOKUP(A445,NYSEARCAVNQ!A$2:G$506,6,0)</f>
        <v>3430911</v>
      </c>
      <c r="J445">
        <f>VLOOKUP(A445,NYSEARCARWX!A$2:G$506,6,0)</f>
        <v>469581</v>
      </c>
      <c r="K445">
        <f>VLOOKUP(A445,NYSEARCADBC!A$2:G$506,6,0)</f>
        <v>2209653</v>
      </c>
      <c r="L445">
        <f>VLOOKUP(A445,NYSEARCAGSG!A$2:G$506,6,0)</f>
        <v>89783</v>
      </c>
      <c r="M445">
        <f>VLOOKUP(A445,NYSEARCAGLD!A$2:G$506,6,0)</f>
        <v>7523304</v>
      </c>
      <c r="N445">
        <f>VLOOKUP(A445,NYSEBP!A$2:G$506,6,0)</f>
        <v>6922516</v>
      </c>
      <c r="O445">
        <f>VLOOKUP(A445,NASDAQYHOO!A$2:G$506,6,0)</f>
        <v>7812053</v>
      </c>
    </row>
    <row r="446" spans="1:15">
      <c r="A446" s="39">
        <v>42790</v>
      </c>
      <c r="B446">
        <v>13889852</v>
      </c>
      <c r="C446">
        <f>VLOOKUP(A446,NYSEARCAVTI!A$2:G$506,6,0)</f>
        <v>2962944</v>
      </c>
      <c r="D446">
        <f>VLOOKUP(A446,NYSEARCAVEU!A$2:G$506,6,0)</f>
        <v>1628183</v>
      </c>
      <c r="E446">
        <f>VLOOKUP(A446,NYSEARCAVWO!A$2:G$506,6,0)</f>
        <v>12380087</v>
      </c>
      <c r="F446">
        <f>VLOOKUP(A446,NYSEARCABND!A$2:G$506,6,0)</f>
        <v>1703834</v>
      </c>
      <c r="G446">
        <f>VLOOKUP(A446,NYSEARCATIP!A$2:G$506,6,0)</f>
        <v>2409071</v>
      </c>
      <c r="H446">
        <f>VLOOKUP(A446,NYSEARCAMUB!A$2:G$506,6,0)</f>
        <v>669755</v>
      </c>
      <c r="I446">
        <f>VLOOKUP(A446,NYSEARCAVNQ!A$2:G$506,6,0)</f>
        <v>3667437</v>
      </c>
      <c r="J446">
        <f>VLOOKUP(A446,NYSEARCARWX!A$2:G$506,6,0)</f>
        <v>329976</v>
      </c>
      <c r="K446">
        <f>VLOOKUP(A446,NYSEARCADBC!A$2:G$506,6,0)</f>
        <v>1371642</v>
      </c>
      <c r="L446">
        <f>VLOOKUP(A446,NYSEARCAGSG!A$2:G$506,6,0)</f>
        <v>153449</v>
      </c>
      <c r="M446">
        <f>VLOOKUP(A446,NYSEARCAGLD!A$2:G$506,6,0)</f>
        <v>9808957</v>
      </c>
      <c r="N446">
        <f>VLOOKUP(A446,NYSEBP!A$2:G$506,6,0)</f>
        <v>6159755</v>
      </c>
      <c r="O446">
        <f>VLOOKUP(A446,NASDAQYHOO!A$2:G$506,6,0)</f>
        <v>3714785</v>
      </c>
    </row>
    <row r="447" spans="1:15">
      <c r="A447" s="39">
        <v>42793</v>
      </c>
      <c r="B447">
        <v>9254685</v>
      </c>
      <c r="C447">
        <f>VLOOKUP(A447,NYSEARCAVTI!A$2:G$506,6,0)</f>
        <v>2625148</v>
      </c>
      <c r="D447">
        <f>VLOOKUP(A447,NYSEARCAVEU!A$2:G$506,6,0)</f>
        <v>1769078</v>
      </c>
      <c r="E447">
        <f>VLOOKUP(A447,NYSEARCAVWO!A$2:G$506,6,0)</f>
        <v>8300763</v>
      </c>
      <c r="F447">
        <f>VLOOKUP(A447,NYSEARCABND!A$2:G$506,6,0)</f>
        <v>2005647</v>
      </c>
      <c r="G447">
        <f>VLOOKUP(A447,NYSEARCATIP!A$2:G$506,6,0)</f>
        <v>2523849</v>
      </c>
      <c r="H447">
        <f>VLOOKUP(A447,NYSEARCAMUB!A$2:G$506,6,0)</f>
        <v>1103026</v>
      </c>
      <c r="I447">
        <f>VLOOKUP(A447,NYSEARCAVNQ!A$2:G$506,6,0)</f>
        <v>3326666</v>
      </c>
      <c r="J447">
        <f>VLOOKUP(A447,NYSEARCARWX!A$2:G$506,6,0)</f>
        <v>632196</v>
      </c>
      <c r="K447">
        <f>VLOOKUP(A447,NYSEARCADBC!A$2:G$506,6,0)</f>
        <v>1914255</v>
      </c>
      <c r="L447">
        <f>VLOOKUP(A447,NYSEARCAGSG!A$2:G$506,6,0)</f>
        <v>133105</v>
      </c>
      <c r="M447">
        <f>VLOOKUP(A447,NYSEARCAGLD!A$2:G$506,6,0)</f>
        <v>9263499</v>
      </c>
      <c r="N447">
        <f>VLOOKUP(A447,NYSEBP!A$2:G$506,6,0)</f>
        <v>8594123</v>
      </c>
      <c r="O447">
        <f>VLOOKUP(A447,NASDAQYHOO!A$2:G$506,6,0)</f>
        <v>4006922</v>
      </c>
    </row>
    <row r="448" spans="1:15">
      <c r="A448" s="39">
        <v>42794</v>
      </c>
      <c r="B448">
        <v>15952573</v>
      </c>
      <c r="C448">
        <f>VLOOKUP(A448,NYSEARCAVTI!A$2:G$506,6,0)</f>
        <v>2231827</v>
      </c>
      <c r="D448">
        <f>VLOOKUP(A448,NYSEARCAVEU!A$2:G$506,6,0)</f>
        <v>1705772</v>
      </c>
      <c r="E448">
        <f>VLOOKUP(A448,NYSEARCAVWO!A$2:G$506,6,0)</f>
        <v>12186333</v>
      </c>
      <c r="F448">
        <f>VLOOKUP(A448,NYSEARCABND!A$2:G$506,6,0)</f>
        <v>1975726</v>
      </c>
      <c r="G448">
        <f>VLOOKUP(A448,NYSEARCATIP!A$2:G$506,6,0)</f>
        <v>1599687</v>
      </c>
      <c r="H448">
        <f>VLOOKUP(A448,NYSEARCAMUB!A$2:G$506,6,0)</f>
        <v>556220</v>
      </c>
      <c r="I448">
        <f>VLOOKUP(A448,NYSEARCAVNQ!A$2:G$506,6,0)</f>
        <v>5778083</v>
      </c>
      <c r="J448">
        <f>VLOOKUP(A448,NYSEARCARWX!A$2:G$506,6,0)</f>
        <v>585050</v>
      </c>
      <c r="K448">
        <f>VLOOKUP(A448,NYSEARCADBC!A$2:G$506,6,0)</f>
        <v>2321025</v>
      </c>
      <c r="L448">
        <f>VLOOKUP(A448,NYSEARCAGSG!A$2:G$506,6,0)</f>
        <v>426951</v>
      </c>
      <c r="M448">
        <f>VLOOKUP(A448,NYSEARCAGLD!A$2:G$506,6,0)</f>
        <v>8727832</v>
      </c>
      <c r="N448">
        <f>VLOOKUP(A448,NYSEBP!A$2:G$506,6,0)</f>
        <v>7412665</v>
      </c>
      <c r="O448">
        <f>VLOOKUP(A448,NASDAQYHOO!A$2:G$506,6,0)</f>
        <v>7201973</v>
      </c>
    </row>
    <row r="449" spans="1:15">
      <c r="A449" s="39">
        <v>42795</v>
      </c>
      <c r="B449">
        <v>13522717</v>
      </c>
      <c r="C449">
        <f>VLOOKUP(A449,NYSEARCAVTI!A$2:G$506,6,0)</f>
        <v>2874677</v>
      </c>
      <c r="D449">
        <f>VLOOKUP(A449,NYSEARCAVEU!A$2:G$506,6,0)</f>
        <v>1729098</v>
      </c>
      <c r="E449">
        <f>VLOOKUP(A449,NYSEARCAVWO!A$2:G$506,6,0)</f>
        <v>14624731</v>
      </c>
      <c r="F449">
        <f>VLOOKUP(A449,NYSEARCABND!A$2:G$506,6,0)</f>
        <v>2954358</v>
      </c>
      <c r="G449">
        <f>VLOOKUP(A449,NYSEARCATIP!A$2:G$506,6,0)</f>
        <v>3412197</v>
      </c>
      <c r="H449">
        <f>VLOOKUP(A449,NYSEARCAMUB!A$2:G$506,6,0)</f>
        <v>896992</v>
      </c>
      <c r="I449">
        <f>VLOOKUP(A449,NYSEARCAVNQ!A$2:G$506,6,0)</f>
        <v>6282779</v>
      </c>
      <c r="J449">
        <f>VLOOKUP(A449,NYSEARCARWX!A$2:G$506,6,0)</f>
        <v>502952</v>
      </c>
      <c r="K449">
        <f>VLOOKUP(A449,NYSEARCADBC!A$2:G$506,6,0)</f>
        <v>2324044</v>
      </c>
      <c r="L449">
        <f>VLOOKUP(A449,NYSEARCAGSG!A$2:G$506,6,0)</f>
        <v>445027</v>
      </c>
      <c r="M449">
        <f>VLOOKUP(A449,NYSEARCAGLD!A$2:G$506,6,0)</f>
        <v>8679637</v>
      </c>
      <c r="N449">
        <f>VLOOKUP(A449,NYSEBP!A$2:G$506,6,0)</f>
        <v>7408313</v>
      </c>
      <c r="O449">
        <f>VLOOKUP(A449,NASDAQYHOO!A$2:G$506,6,0)</f>
        <v>7258451</v>
      </c>
    </row>
    <row r="450" spans="1:15">
      <c r="A450" s="39">
        <v>42796</v>
      </c>
      <c r="B450">
        <v>8916264</v>
      </c>
      <c r="C450">
        <f>VLOOKUP(A450,NYSEARCAVTI!A$2:G$506,6,0)</f>
        <v>2421598</v>
      </c>
      <c r="D450">
        <f>VLOOKUP(A450,NYSEARCAVEU!A$2:G$506,6,0)</f>
        <v>1771382</v>
      </c>
      <c r="E450">
        <f>VLOOKUP(A450,NYSEARCAVWO!A$2:G$506,6,0)</f>
        <v>13656104</v>
      </c>
      <c r="F450">
        <f>VLOOKUP(A450,NYSEARCABND!A$2:G$506,6,0)</f>
        <v>2077305</v>
      </c>
      <c r="G450">
        <f>VLOOKUP(A450,NYSEARCATIP!A$2:G$506,6,0)</f>
        <v>1967215</v>
      </c>
      <c r="H450">
        <f>VLOOKUP(A450,NYSEARCAMUB!A$2:G$506,6,0)</f>
        <v>445167</v>
      </c>
      <c r="I450">
        <f>VLOOKUP(A450,NYSEARCAVNQ!A$2:G$506,6,0)</f>
        <v>3060437</v>
      </c>
      <c r="J450">
        <f>VLOOKUP(A450,NYSEARCARWX!A$2:G$506,6,0)</f>
        <v>414787</v>
      </c>
      <c r="K450">
        <f>VLOOKUP(A450,NYSEARCADBC!A$2:G$506,6,0)</f>
        <v>1381236</v>
      </c>
      <c r="L450">
        <f>VLOOKUP(A450,NYSEARCAGSG!A$2:G$506,6,0)</f>
        <v>187114</v>
      </c>
      <c r="M450">
        <f>VLOOKUP(A450,NYSEARCAGLD!A$2:G$506,6,0)</f>
        <v>10986262</v>
      </c>
      <c r="N450">
        <f>VLOOKUP(A450,NYSEBP!A$2:G$506,6,0)</f>
        <v>5373370</v>
      </c>
      <c r="O450">
        <f>VLOOKUP(A450,NASDAQYHOO!A$2:G$506,6,0)</f>
        <v>7017056</v>
      </c>
    </row>
    <row r="451" spans="1:15">
      <c r="A451" s="39">
        <v>42797</v>
      </c>
      <c r="B451">
        <v>9303591</v>
      </c>
      <c r="C451">
        <f>VLOOKUP(A451,NYSEARCAVTI!A$2:G$506,6,0)</f>
        <v>1651644</v>
      </c>
      <c r="D451">
        <f>VLOOKUP(A451,NYSEARCAVEU!A$2:G$506,6,0)</f>
        <v>2168516</v>
      </c>
      <c r="E451">
        <f>VLOOKUP(A451,NYSEARCAVWO!A$2:G$506,6,0)</f>
        <v>10081081</v>
      </c>
      <c r="F451">
        <f>VLOOKUP(A451,NYSEARCABND!A$2:G$506,6,0)</f>
        <v>2242758</v>
      </c>
      <c r="G451">
        <f>VLOOKUP(A451,NYSEARCATIP!A$2:G$506,6,0)</f>
        <v>2882492</v>
      </c>
      <c r="H451">
        <f>VLOOKUP(A451,NYSEARCAMUB!A$2:G$506,6,0)</f>
        <v>477767</v>
      </c>
      <c r="I451">
        <f>VLOOKUP(A451,NYSEARCAVNQ!A$2:G$506,6,0)</f>
        <v>4177733</v>
      </c>
      <c r="J451">
        <f>VLOOKUP(A451,NYSEARCARWX!A$2:G$506,6,0)</f>
        <v>997619</v>
      </c>
      <c r="K451">
        <f>VLOOKUP(A451,NYSEARCADBC!A$2:G$506,6,0)</f>
        <v>1805581</v>
      </c>
      <c r="L451">
        <f>VLOOKUP(A451,NYSEARCAGSG!A$2:G$506,6,0)</f>
        <v>105342</v>
      </c>
      <c r="M451">
        <f>VLOOKUP(A451,NYSEARCAGLD!A$2:G$506,6,0)</f>
        <v>10665818</v>
      </c>
      <c r="N451">
        <f>VLOOKUP(A451,NYSEBP!A$2:G$506,6,0)</f>
        <v>5293890</v>
      </c>
      <c r="O451">
        <f>VLOOKUP(A451,NASDAQYHOO!A$2:G$506,6,0)</f>
        <v>6758310</v>
      </c>
    </row>
    <row r="452" spans="1:15">
      <c r="A452" s="39">
        <v>42800</v>
      </c>
      <c r="B452">
        <v>9182575</v>
      </c>
      <c r="C452">
        <f>VLOOKUP(A452,NYSEARCAVTI!A$2:G$506,6,0)</f>
        <v>1716343</v>
      </c>
      <c r="D452">
        <f>VLOOKUP(A452,NYSEARCAVEU!A$2:G$506,6,0)</f>
        <v>1474415</v>
      </c>
      <c r="E452">
        <f>VLOOKUP(A452,NYSEARCAVWO!A$2:G$506,6,0)</f>
        <v>8232767</v>
      </c>
      <c r="F452">
        <f>VLOOKUP(A452,NYSEARCABND!A$2:G$506,6,0)</f>
        <v>1880936</v>
      </c>
      <c r="G452">
        <f>VLOOKUP(A452,NYSEARCATIP!A$2:G$506,6,0)</f>
        <v>1553620</v>
      </c>
      <c r="H452">
        <f>VLOOKUP(A452,NYSEARCAMUB!A$2:G$506,6,0)</f>
        <v>513448</v>
      </c>
      <c r="I452">
        <f>VLOOKUP(A452,NYSEARCAVNQ!A$2:G$506,6,0)</f>
        <v>3237738</v>
      </c>
      <c r="J452">
        <f>VLOOKUP(A452,NYSEARCARWX!A$2:G$506,6,0)</f>
        <v>321689</v>
      </c>
      <c r="K452">
        <f>VLOOKUP(A452,NYSEARCADBC!A$2:G$506,6,0)</f>
        <v>1297766</v>
      </c>
      <c r="L452">
        <f>VLOOKUP(A452,NYSEARCAGSG!A$2:G$506,6,0)</f>
        <v>116380</v>
      </c>
      <c r="M452">
        <f>VLOOKUP(A452,NYSEARCAGLD!A$2:G$506,6,0)</f>
        <v>4883547</v>
      </c>
      <c r="N452">
        <f>VLOOKUP(A452,NYSEBP!A$2:G$506,6,0)</f>
        <v>4984533</v>
      </c>
      <c r="O452">
        <f>VLOOKUP(A452,NASDAQYHOO!A$2:G$506,6,0)</f>
        <v>6694863</v>
      </c>
    </row>
    <row r="453" spans="1:15">
      <c r="A453" s="39">
        <v>42801</v>
      </c>
      <c r="B453">
        <v>7282861</v>
      </c>
      <c r="C453">
        <f>VLOOKUP(A453,NYSEARCAVTI!A$2:G$506,6,0)</f>
        <v>1612658</v>
      </c>
      <c r="D453">
        <f>VLOOKUP(A453,NYSEARCAVEU!A$2:G$506,6,0)</f>
        <v>1284590</v>
      </c>
      <c r="E453">
        <f>VLOOKUP(A453,NYSEARCAVWO!A$2:G$506,6,0)</f>
        <v>14789719</v>
      </c>
      <c r="F453">
        <f>VLOOKUP(A453,NYSEARCABND!A$2:G$506,6,0)</f>
        <v>1644855</v>
      </c>
      <c r="G453">
        <f>VLOOKUP(A453,NYSEARCATIP!A$2:G$506,6,0)</f>
        <v>1545161</v>
      </c>
      <c r="H453">
        <f>VLOOKUP(A453,NYSEARCAMUB!A$2:G$506,6,0)</f>
        <v>423118</v>
      </c>
      <c r="I453">
        <f>VLOOKUP(A453,NYSEARCAVNQ!A$2:G$506,6,0)</f>
        <v>4658035</v>
      </c>
      <c r="J453">
        <f>VLOOKUP(A453,NYSEARCARWX!A$2:G$506,6,0)</f>
        <v>689886</v>
      </c>
      <c r="K453">
        <f>VLOOKUP(A453,NYSEARCADBC!A$2:G$506,6,0)</f>
        <v>1468045</v>
      </c>
      <c r="L453">
        <f>VLOOKUP(A453,NYSEARCAGSG!A$2:G$506,6,0)</f>
        <v>113599</v>
      </c>
      <c r="M453">
        <f>VLOOKUP(A453,NYSEARCAGLD!A$2:G$506,6,0)</f>
        <v>6846277</v>
      </c>
      <c r="N453">
        <f>VLOOKUP(A453,NYSEBP!A$2:G$506,6,0)</f>
        <v>4198765</v>
      </c>
      <c r="O453">
        <f>VLOOKUP(A453,NASDAQYHOO!A$2:G$506,6,0)</f>
        <v>5116841</v>
      </c>
    </row>
    <row r="454" spans="1:15">
      <c r="A454" s="39">
        <v>42802</v>
      </c>
      <c r="B454">
        <v>7979841</v>
      </c>
      <c r="C454">
        <f>VLOOKUP(A454,NYSEARCAVTI!A$2:G$506,6,0)</f>
        <v>2374579</v>
      </c>
      <c r="D454">
        <f>VLOOKUP(A454,NYSEARCAVEU!A$2:G$506,6,0)</f>
        <v>2458292</v>
      </c>
      <c r="E454">
        <f>VLOOKUP(A454,NYSEARCAVWO!A$2:G$506,6,0)</f>
        <v>15602239</v>
      </c>
      <c r="F454">
        <f>VLOOKUP(A454,NYSEARCABND!A$2:G$506,6,0)</f>
        <v>2173044</v>
      </c>
      <c r="G454">
        <f>VLOOKUP(A454,NYSEARCATIP!A$2:G$506,6,0)</f>
        <v>1357160</v>
      </c>
      <c r="H454">
        <f>VLOOKUP(A454,NYSEARCAMUB!A$2:G$506,6,0)</f>
        <v>837738</v>
      </c>
      <c r="I454">
        <f>VLOOKUP(A454,NYSEARCAVNQ!A$2:G$506,6,0)</f>
        <v>4814124</v>
      </c>
      <c r="J454">
        <f>VLOOKUP(A454,NYSEARCARWX!A$2:G$506,6,0)</f>
        <v>1292860</v>
      </c>
      <c r="K454">
        <f>VLOOKUP(A454,NYSEARCADBC!A$2:G$506,6,0)</f>
        <v>4012228</v>
      </c>
      <c r="L454">
        <f>VLOOKUP(A454,NYSEARCAGSG!A$2:G$506,6,0)</f>
        <v>219692</v>
      </c>
      <c r="M454">
        <f>VLOOKUP(A454,NYSEARCAGLD!A$2:G$506,6,0)</f>
        <v>7620924</v>
      </c>
      <c r="N454">
        <f>VLOOKUP(A454,NYSEBP!A$2:G$506,6,0)</f>
        <v>6736987</v>
      </c>
      <c r="O454">
        <f>VLOOKUP(A454,NASDAQYHOO!A$2:G$506,6,0)</f>
        <v>3331722</v>
      </c>
    </row>
    <row r="455" spans="1:15">
      <c r="A455" s="39">
        <v>42803</v>
      </c>
      <c r="B455">
        <v>7564480</v>
      </c>
      <c r="C455">
        <f>VLOOKUP(A455,NYSEARCAVTI!A$2:G$506,6,0)</f>
        <v>3852842</v>
      </c>
      <c r="D455">
        <f>VLOOKUP(A455,NYSEARCAVEU!A$2:G$506,6,0)</f>
        <v>2591914</v>
      </c>
      <c r="E455">
        <f>VLOOKUP(A455,NYSEARCAVWO!A$2:G$506,6,0)</f>
        <v>12131881</v>
      </c>
      <c r="F455">
        <f>VLOOKUP(A455,NYSEARCABND!A$2:G$506,6,0)</f>
        <v>2761256</v>
      </c>
      <c r="G455">
        <f>VLOOKUP(A455,NYSEARCATIP!A$2:G$506,6,0)</f>
        <v>1098293</v>
      </c>
      <c r="H455">
        <f>VLOOKUP(A455,NYSEARCAMUB!A$2:G$506,6,0)</f>
        <v>527646</v>
      </c>
      <c r="I455">
        <f>VLOOKUP(A455,NYSEARCAVNQ!A$2:G$506,6,0)</f>
        <v>5604251</v>
      </c>
      <c r="J455">
        <f>VLOOKUP(A455,NYSEARCARWX!A$2:G$506,6,0)</f>
        <v>585418</v>
      </c>
      <c r="K455">
        <f>VLOOKUP(A455,NYSEARCADBC!A$2:G$506,6,0)</f>
        <v>4657754</v>
      </c>
      <c r="L455">
        <f>VLOOKUP(A455,NYSEARCAGSG!A$2:G$506,6,0)</f>
        <v>300049</v>
      </c>
      <c r="M455">
        <f>VLOOKUP(A455,NYSEARCAGLD!A$2:G$506,6,0)</f>
        <v>6410916</v>
      </c>
      <c r="N455">
        <f>VLOOKUP(A455,NYSEBP!A$2:G$506,6,0)</f>
        <v>7067995</v>
      </c>
      <c r="O455">
        <f>VLOOKUP(A455,NASDAQYHOO!A$2:G$506,6,0)</f>
        <v>3767567</v>
      </c>
    </row>
    <row r="456" spans="1:15">
      <c r="A456" s="39">
        <v>42804</v>
      </c>
      <c r="B456">
        <v>7098829</v>
      </c>
      <c r="C456">
        <f>VLOOKUP(A456,NYSEARCAVTI!A$2:G$506,6,0)</f>
        <v>2987473</v>
      </c>
      <c r="D456">
        <f>VLOOKUP(A456,NYSEARCAVEU!A$2:G$506,6,0)</f>
        <v>1811419</v>
      </c>
      <c r="E456">
        <f>VLOOKUP(A456,NYSEARCAVWO!A$2:G$506,6,0)</f>
        <v>14955555</v>
      </c>
      <c r="F456">
        <f>VLOOKUP(A456,NYSEARCABND!A$2:G$506,6,0)</f>
        <v>3430937</v>
      </c>
      <c r="G456">
        <f>VLOOKUP(A456,NYSEARCATIP!A$2:G$506,6,0)</f>
        <v>2424480</v>
      </c>
      <c r="H456">
        <f>VLOOKUP(A456,NYSEARCAMUB!A$2:G$506,6,0)</f>
        <v>554886</v>
      </c>
      <c r="I456">
        <f>VLOOKUP(A456,NYSEARCAVNQ!A$2:G$506,6,0)</f>
        <v>6278799</v>
      </c>
      <c r="J456">
        <f>VLOOKUP(A456,NYSEARCARWX!A$2:G$506,6,0)</f>
        <v>504888</v>
      </c>
      <c r="K456">
        <f>VLOOKUP(A456,NYSEARCADBC!A$2:G$506,6,0)</f>
        <v>4163741</v>
      </c>
      <c r="L456">
        <f>VLOOKUP(A456,NYSEARCAGSG!A$2:G$506,6,0)</f>
        <v>209661</v>
      </c>
      <c r="M456">
        <f>VLOOKUP(A456,NYSEARCAGLD!A$2:G$506,6,0)</f>
        <v>7929500</v>
      </c>
      <c r="N456">
        <f>VLOOKUP(A456,NYSEBP!A$2:G$506,6,0)</f>
        <v>20585934</v>
      </c>
      <c r="O456">
        <f>VLOOKUP(A456,NASDAQYHOO!A$2:G$506,6,0)</f>
        <v>3824529</v>
      </c>
    </row>
    <row r="457" spans="1:15">
      <c r="A457" s="39">
        <v>42807</v>
      </c>
      <c r="B457">
        <v>6802511</v>
      </c>
      <c r="C457">
        <f>VLOOKUP(A457,NYSEARCAVTI!A$2:G$506,6,0)</f>
        <v>2003857</v>
      </c>
      <c r="D457">
        <f>VLOOKUP(A457,NYSEARCAVEU!A$2:G$506,6,0)</f>
        <v>1757000</v>
      </c>
      <c r="E457">
        <f>VLOOKUP(A457,NYSEARCAVWO!A$2:G$506,6,0)</f>
        <v>9506818</v>
      </c>
      <c r="F457">
        <f>VLOOKUP(A457,NYSEARCABND!A$2:G$506,6,0)</f>
        <v>2164621</v>
      </c>
      <c r="G457">
        <f>VLOOKUP(A457,NYSEARCATIP!A$2:G$506,6,0)</f>
        <v>1040345</v>
      </c>
      <c r="H457">
        <f>VLOOKUP(A457,NYSEARCAMUB!A$2:G$506,6,0)</f>
        <v>467162</v>
      </c>
      <c r="I457">
        <f>VLOOKUP(A457,NYSEARCAVNQ!A$2:G$506,6,0)</f>
        <v>4691167</v>
      </c>
      <c r="J457">
        <f>VLOOKUP(A457,NYSEARCARWX!A$2:G$506,6,0)</f>
        <v>1138902</v>
      </c>
      <c r="K457">
        <f>VLOOKUP(A457,NYSEARCADBC!A$2:G$506,6,0)</f>
        <v>2701206</v>
      </c>
      <c r="L457">
        <f>VLOOKUP(A457,NYSEARCAGSG!A$2:G$506,6,0)</f>
        <v>411081</v>
      </c>
      <c r="M457">
        <f>VLOOKUP(A457,NYSEARCAGLD!A$2:G$506,6,0)</f>
        <v>5807391</v>
      </c>
      <c r="N457">
        <f>VLOOKUP(A457,NYSEBP!A$2:G$506,6,0)</f>
        <v>7785945</v>
      </c>
      <c r="O457">
        <f>VLOOKUP(A457,NASDAQYHOO!A$2:G$506,6,0)</f>
        <v>4702990</v>
      </c>
    </row>
    <row r="458" spans="1:15">
      <c r="A458" s="39">
        <v>42808</v>
      </c>
      <c r="B458">
        <v>9958370</v>
      </c>
      <c r="C458">
        <f>VLOOKUP(A458,NYSEARCAVTI!A$2:G$506,6,0)</f>
        <v>2269587</v>
      </c>
      <c r="D458">
        <f>VLOOKUP(A458,NYSEARCAVEU!A$2:G$506,6,0)</f>
        <v>942164</v>
      </c>
      <c r="E458">
        <f>VLOOKUP(A458,NYSEARCAVWO!A$2:G$506,6,0)</f>
        <v>12217694</v>
      </c>
      <c r="F458">
        <f>VLOOKUP(A458,NYSEARCABND!A$2:G$506,6,0)</f>
        <v>3620704</v>
      </c>
      <c r="G458">
        <f>VLOOKUP(A458,NYSEARCATIP!A$2:G$506,6,0)</f>
        <v>951381</v>
      </c>
      <c r="H458">
        <f>VLOOKUP(A458,NYSEARCAMUB!A$2:G$506,6,0)</f>
        <v>530707</v>
      </c>
      <c r="I458">
        <f>VLOOKUP(A458,NYSEARCAVNQ!A$2:G$506,6,0)</f>
        <v>4582403</v>
      </c>
      <c r="J458">
        <f>VLOOKUP(A458,NYSEARCARWX!A$2:G$506,6,0)</f>
        <v>391456</v>
      </c>
      <c r="K458">
        <f>VLOOKUP(A458,NYSEARCADBC!A$2:G$506,6,0)</f>
        <v>2946350</v>
      </c>
      <c r="L458">
        <f>VLOOKUP(A458,NYSEARCAGSG!A$2:G$506,6,0)</f>
        <v>537930</v>
      </c>
      <c r="M458">
        <f>VLOOKUP(A458,NYSEARCAGLD!A$2:G$506,6,0)</f>
        <v>5301810</v>
      </c>
      <c r="N458">
        <f>VLOOKUP(A458,NYSEBP!A$2:G$506,6,0)</f>
        <v>8722622</v>
      </c>
      <c r="O458">
        <f>VLOOKUP(A458,NASDAQYHOO!A$2:G$506,6,0)</f>
        <v>3800294</v>
      </c>
    </row>
    <row r="459" spans="1:15">
      <c r="A459" s="39">
        <v>42809</v>
      </c>
      <c r="B459">
        <v>8813794</v>
      </c>
      <c r="C459">
        <f>VLOOKUP(A459,NYSEARCAVTI!A$2:G$506,6,0)</f>
        <v>1892226</v>
      </c>
      <c r="D459">
        <f>VLOOKUP(A459,NYSEARCAVEU!A$2:G$506,6,0)</f>
        <v>1749764</v>
      </c>
      <c r="E459">
        <f>VLOOKUP(A459,NYSEARCAVWO!A$2:G$506,6,0)</f>
        <v>22872746</v>
      </c>
      <c r="F459">
        <f>VLOOKUP(A459,NYSEARCABND!A$2:G$506,6,0)</f>
        <v>2281368</v>
      </c>
      <c r="G459">
        <f>VLOOKUP(A459,NYSEARCATIP!A$2:G$506,6,0)</f>
        <v>1990028</v>
      </c>
      <c r="H459">
        <f>VLOOKUP(A459,NYSEARCAMUB!A$2:G$506,6,0)</f>
        <v>705211</v>
      </c>
      <c r="I459">
        <f>VLOOKUP(A459,NYSEARCAVNQ!A$2:G$506,6,0)</f>
        <v>7177832</v>
      </c>
      <c r="J459">
        <f>VLOOKUP(A459,NYSEARCARWX!A$2:G$506,6,0)</f>
        <v>625970</v>
      </c>
      <c r="K459">
        <f>VLOOKUP(A459,NYSEARCADBC!A$2:G$506,6,0)</f>
        <v>3442653</v>
      </c>
      <c r="L459">
        <f>VLOOKUP(A459,NYSEARCAGSG!A$2:G$506,6,0)</f>
        <v>324261</v>
      </c>
      <c r="M459">
        <f>VLOOKUP(A459,NYSEARCAGLD!A$2:G$506,6,0)</f>
        <v>13524082</v>
      </c>
      <c r="N459">
        <f>VLOOKUP(A459,NYSEBP!A$2:G$506,6,0)</f>
        <v>8938962</v>
      </c>
      <c r="O459">
        <f>VLOOKUP(A459,NASDAQYHOO!A$2:G$506,6,0)</f>
        <v>6279298</v>
      </c>
    </row>
    <row r="460" spans="1:15">
      <c r="A460" s="39">
        <v>42810</v>
      </c>
      <c r="B460">
        <v>7060977</v>
      </c>
      <c r="C460">
        <f>VLOOKUP(A460,NYSEARCAVTI!A$2:G$506,6,0)</f>
        <v>2050110</v>
      </c>
      <c r="D460">
        <f>VLOOKUP(A460,NYSEARCAVEU!A$2:G$506,6,0)</f>
        <v>1670615</v>
      </c>
      <c r="E460">
        <f>VLOOKUP(A460,NYSEARCAVWO!A$2:G$506,6,0)</f>
        <v>28561489</v>
      </c>
      <c r="F460">
        <f>VLOOKUP(A460,NYSEARCABND!A$2:G$506,6,0)</f>
        <v>2617769</v>
      </c>
      <c r="G460">
        <f>VLOOKUP(A460,NYSEARCATIP!A$2:G$506,6,0)</f>
        <v>2883656</v>
      </c>
      <c r="H460">
        <f>VLOOKUP(A460,NYSEARCAMUB!A$2:G$506,6,0)</f>
        <v>354473</v>
      </c>
      <c r="I460">
        <f>VLOOKUP(A460,NYSEARCAVNQ!A$2:G$506,6,0)</f>
        <v>4456696</v>
      </c>
      <c r="J460">
        <f>VLOOKUP(A460,NYSEARCARWX!A$2:G$506,6,0)</f>
        <v>408836</v>
      </c>
      <c r="K460">
        <f>VLOOKUP(A460,NYSEARCADBC!A$2:G$506,6,0)</f>
        <v>2088325</v>
      </c>
      <c r="L460">
        <f>VLOOKUP(A460,NYSEARCAGSG!A$2:G$506,6,0)</f>
        <v>434558</v>
      </c>
      <c r="M460">
        <f>VLOOKUP(A460,NYSEARCAGLD!A$2:G$506,6,0)</f>
        <v>9322018</v>
      </c>
      <c r="N460">
        <f>VLOOKUP(A460,NYSEBP!A$2:G$506,6,0)</f>
        <v>7129466</v>
      </c>
      <c r="O460">
        <f>VLOOKUP(A460,NASDAQYHOO!A$2:G$506,6,0)</f>
        <v>3627081</v>
      </c>
    </row>
    <row r="461" spans="1:15">
      <c r="A461" s="39">
        <v>42811</v>
      </c>
      <c r="B461">
        <v>14078353</v>
      </c>
      <c r="C461">
        <f>VLOOKUP(A461,NYSEARCAVTI!A$2:G$506,6,0)</f>
        <v>1973987</v>
      </c>
      <c r="D461">
        <f>VLOOKUP(A461,NYSEARCAVEU!A$2:G$506,6,0)</f>
        <v>1411025</v>
      </c>
      <c r="E461">
        <f>VLOOKUP(A461,NYSEARCAVWO!A$2:G$506,6,0)</f>
        <v>17399445</v>
      </c>
      <c r="F461">
        <f>VLOOKUP(A461,NYSEARCABND!A$2:G$506,6,0)</f>
        <v>1292991</v>
      </c>
      <c r="G461">
        <f>VLOOKUP(A461,NYSEARCATIP!A$2:G$506,6,0)</f>
        <v>1115400</v>
      </c>
      <c r="H461">
        <f>VLOOKUP(A461,NYSEARCAMUB!A$2:G$506,6,0)</f>
        <v>388580</v>
      </c>
      <c r="I461">
        <f>VLOOKUP(A461,NYSEARCAVNQ!A$2:G$506,6,0)</f>
        <v>4380626</v>
      </c>
      <c r="J461">
        <f>VLOOKUP(A461,NYSEARCARWX!A$2:G$506,6,0)</f>
        <v>317050</v>
      </c>
      <c r="K461">
        <f>VLOOKUP(A461,NYSEARCADBC!A$2:G$506,6,0)</f>
        <v>1161788</v>
      </c>
      <c r="L461">
        <f>VLOOKUP(A461,NYSEARCAGSG!A$2:G$506,6,0)</f>
        <v>376946</v>
      </c>
      <c r="M461">
        <f>VLOOKUP(A461,NYSEARCAGLD!A$2:G$506,6,0)</f>
        <v>4683039</v>
      </c>
      <c r="N461">
        <f>VLOOKUP(A461,NYSEBP!A$2:G$506,6,0)</f>
        <v>4572084</v>
      </c>
      <c r="O461">
        <f>VLOOKUP(A461,NASDAQYHOO!A$2:G$506,6,0)</f>
        <v>6192404</v>
      </c>
    </row>
    <row r="462" spans="1:15">
      <c r="A462" s="39">
        <v>42814</v>
      </c>
      <c r="B462">
        <v>7466226</v>
      </c>
      <c r="C462">
        <f>VLOOKUP(A462,NYSEARCAVTI!A$2:G$506,6,0)</f>
        <v>3239871</v>
      </c>
      <c r="D462">
        <f>VLOOKUP(A462,NYSEARCAVEU!A$2:G$506,6,0)</f>
        <v>1639510</v>
      </c>
      <c r="E462">
        <f>VLOOKUP(A462,NYSEARCAVWO!A$2:G$506,6,0)</f>
        <v>13336341</v>
      </c>
      <c r="F462">
        <f>VLOOKUP(A462,NYSEARCABND!A$2:G$506,6,0)</f>
        <v>1510931</v>
      </c>
      <c r="G462">
        <f>VLOOKUP(A462,NYSEARCATIP!A$2:G$506,6,0)</f>
        <v>791565</v>
      </c>
      <c r="H462">
        <f>VLOOKUP(A462,NYSEARCAMUB!A$2:G$506,6,0)</f>
        <v>341931</v>
      </c>
      <c r="I462">
        <f>VLOOKUP(A462,NYSEARCAVNQ!A$2:G$506,6,0)</f>
        <v>2748459</v>
      </c>
      <c r="J462">
        <f>VLOOKUP(A462,NYSEARCARWX!A$2:G$506,6,0)</f>
        <v>504280</v>
      </c>
      <c r="K462">
        <f>VLOOKUP(A462,NYSEARCADBC!A$2:G$506,6,0)</f>
        <v>2166405</v>
      </c>
      <c r="L462">
        <f>VLOOKUP(A462,NYSEARCAGSG!A$2:G$506,6,0)</f>
        <v>213293</v>
      </c>
      <c r="M462">
        <f>VLOOKUP(A462,NYSEARCAGLD!A$2:G$506,6,0)</f>
        <v>4000202</v>
      </c>
      <c r="N462">
        <f>VLOOKUP(A462,NYSEBP!A$2:G$506,6,0)</f>
        <v>4048851</v>
      </c>
      <c r="O462">
        <f>VLOOKUP(A462,NASDAQYHOO!A$2:G$506,6,0)</f>
        <v>5822991</v>
      </c>
    </row>
    <row r="463" spans="1:15">
      <c r="A463" s="39">
        <v>42815</v>
      </c>
      <c r="B463">
        <v>8746812</v>
      </c>
      <c r="C463">
        <f>VLOOKUP(A463,NYSEARCAVTI!A$2:G$506,6,0)</f>
        <v>3355145</v>
      </c>
      <c r="D463">
        <f>VLOOKUP(A463,NYSEARCAVEU!A$2:G$506,6,0)</f>
        <v>1920712</v>
      </c>
      <c r="E463">
        <f>VLOOKUP(A463,NYSEARCAVWO!A$2:G$506,6,0)</f>
        <v>17365941</v>
      </c>
      <c r="F463">
        <f>VLOOKUP(A463,NYSEARCABND!A$2:G$506,6,0)</f>
        <v>2078954</v>
      </c>
      <c r="G463">
        <f>VLOOKUP(A463,NYSEARCATIP!A$2:G$506,6,0)</f>
        <v>1479301</v>
      </c>
      <c r="H463">
        <f>VLOOKUP(A463,NYSEARCAMUB!A$2:G$506,6,0)</f>
        <v>537378</v>
      </c>
      <c r="I463">
        <f>VLOOKUP(A463,NYSEARCAVNQ!A$2:G$506,6,0)</f>
        <v>6969660</v>
      </c>
      <c r="J463">
        <f>VLOOKUP(A463,NYSEARCARWX!A$2:G$506,6,0)</f>
        <v>721100</v>
      </c>
      <c r="K463">
        <f>VLOOKUP(A463,NYSEARCADBC!A$2:G$506,6,0)</f>
        <v>1882036</v>
      </c>
      <c r="L463">
        <f>VLOOKUP(A463,NYSEARCAGSG!A$2:G$506,6,0)</f>
        <v>383950</v>
      </c>
      <c r="M463">
        <f>VLOOKUP(A463,NYSEARCAGLD!A$2:G$506,6,0)</f>
        <v>9567932</v>
      </c>
      <c r="N463">
        <f>VLOOKUP(A463,NYSEBP!A$2:G$506,6,0)</f>
        <v>5606138</v>
      </c>
      <c r="O463">
        <f>VLOOKUP(A463,NASDAQYHOO!A$2:G$506,6,0)</f>
        <v>6469439</v>
      </c>
    </row>
    <row r="464" spans="1:15">
      <c r="A464" s="39">
        <v>42816</v>
      </c>
      <c r="B464">
        <v>6455594</v>
      </c>
      <c r="C464">
        <f>VLOOKUP(A464,NYSEARCAVTI!A$2:G$506,6,0)</f>
        <v>2896603</v>
      </c>
      <c r="D464">
        <f>VLOOKUP(A464,NYSEARCAVEU!A$2:G$506,6,0)</f>
        <v>2242054</v>
      </c>
      <c r="E464">
        <f>VLOOKUP(A464,NYSEARCAVWO!A$2:G$506,6,0)</f>
        <v>14085437</v>
      </c>
      <c r="F464">
        <f>VLOOKUP(A464,NYSEARCABND!A$2:G$506,6,0)</f>
        <v>1339572</v>
      </c>
      <c r="G464">
        <f>VLOOKUP(A464,NYSEARCATIP!A$2:G$506,6,0)</f>
        <v>824502</v>
      </c>
      <c r="H464">
        <f>VLOOKUP(A464,NYSEARCAMUB!A$2:G$506,6,0)</f>
        <v>408529</v>
      </c>
      <c r="I464">
        <f>VLOOKUP(A464,NYSEARCAVNQ!A$2:G$506,6,0)</f>
        <v>4618023</v>
      </c>
      <c r="J464">
        <f>VLOOKUP(A464,NYSEARCARWX!A$2:G$506,6,0)</f>
        <v>732824</v>
      </c>
      <c r="K464">
        <f>VLOOKUP(A464,NYSEARCADBC!A$2:G$506,6,0)</f>
        <v>1921486</v>
      </c>
      <c r="L464">
        <f>VLOOKUP(A464,NYSEARCAGSG!A$2:G$506,6,0)</f>
        <v>323838</v>
      </c>
      <c r="M464">
        <f>VLOOKUP(A464,NYSEARCAGLD!A$2:G$506,6,0)</f>
        <v>7287350</v>
      </c>
      <c r="N464">
        <f>VLOOKUP(A464,NYSEBP!A$2:G$506,6,0)</f>
        <v>4983389</v>
      </c>
      <c r="O464">
        <f>VLOOKUP(A464,NASDAQYHOO!A$2:G$506,6,0)</f>
        <v>6773395</v>
      </c>
    </row>
    <row r="465" spans="1:15">
      <c r="A465" s="39">
        <v>42817</v>
      </c>
      <c r="B465">
        <v>6898774</v>
      </c>
      <c r="C465">
        <f>VLOOKUP(A465,NYSEARCAVTI!A$2:G$506,6,0)</f>
        <v>2257114</v>
      </c>
      <c r="D465">
        <f>VLOOKUP(A465,NYSEARCAVEU!A$2:G$506,6,0)</f>
        <v>1767117</v>
      </c>
      <c r="E465">
        <f>VLOOKUP(A465,NYSEARCAVWO!A$2:G$506,6,0)</f>
        <v>12783255</v>
      </c>
      <c r="F465">
        <f>VLOOKUP(A465,NYSEARCABND!A$2:G$506,6,0)</f>
        <v>1790362</v>
      </c>
      <c r="G465">
        <f>VLOOKUP(A465,NYSEARCATIP!A$2:G$506,6,0)</f>
        <v>913094</v>
      </c>
      <c r="H465">
        <f>VLOOKUP(A465,NYSEARCAMUB!A$2:G$506,6,0)</f>
        <v>1096631</v>
      </c>
      <c r="I465">
        <f>VLOOKUP(A465,NYSEARCAVNQ!A$2:G$506,6,0)</f>
        <v>7610221</v>
      </c>
      <c r="J465">
        <f>VLOOKUP(A465,NYSEARCARWX!A$2:G$506,6,0)</f>
        <v>435030</v>
      </c>
      <c r="K465">
        <f>VLOOKUP(A465,NYSEARCADBC!A$2:G$506,6,0)</f>
        <v>1511520</v>
      </c>
      <c r="L465">
        <f>VLOOKUP(A465,NYSEARCAGSG!A$2:G$506,6,0)</f>
        <v>106151</v>
      </c>
      <c r="M465">
        <f>VLOOKUP(A465,NYSEARCAGLD!A$2:G$506,6,0)</f>
        <v>6201129</v>
      </c>
      <c r="N465">
        <f>VLOOKUP(A465,NYSEBP!A$2:G$506,6,0)</f>
        <v>5184255</v>
      </c>
      <c r="O465">
        <f>VLOOKUP(A465,NASDAQYHOO!A$2:G$506,6,0)</f>
        <v>8297815</v>
      </c>
    </row>
    <row r="466" spans="1:15">
      <c r="A466" s="39">
        <v>42818</v>
      </c>
      <c r="B466">
        <v>5858968</v>
      </c>
      <c r="C466">
        <f>VLOOKUP(A466,NYSEARCAVTI!A$2:G$506,6,0)</f>
        <v>2305692</v>
      </c>
      <c r="D466">
        <f>VLOOKUP(A466,NYSEARCAVEU!A$2:G$506,6,0)</f>
        <v>1524520</v>
      </c>
      <c r="E466">
        <f>VLOOKUP(A466,NYSEARCAVWO!A$2:G$506,6,0)</f>
        <v>12544024</v>
      </c>
      <c r="F466">
        <f>VLOOKUP(A466,NYSEARCABND!A$2:G$506,6,0)</f>
        <v>3736682</v>
      </c>
      <c r="G466">
        <f>VLOOKUP(A466,NYSEARCATIP!A$2:G$506,6,0)</f>
        <v>1379056</v>
      </c>
      <c r="H466">
        <f>VLOOKUP(A466,NYSEARCAMUB!A$2:G$506,6,0)</f>
        <v>612202</v>
      </c>
      <c r="I466">
        <f>VLOOKUP(A466,NYSEARCAVNQ!A$2:G$506,6,0)</f>
        <v>4399217</v>
      </c>
      <c r="J466">
        <f>VLOOKUP(A466,NYSEARCARWX!A$2:G$506,6,0)</f>
        <v>451514</v>
      </c>
      <c r="K466">
        <f>VLOOKUP(A466,NYSEARCADBC!A$2:G$506,6,0)</f>
        <v>1372420</v>
      </c>
      <c r="L466">
        <f>VLOOKUP(A466,NYSEARCAGSG!A$2:G$506,6,0)</f>
        <v>261302</v>
      </c>
      <c r="M466">
        <f>VLOOKUP(A466,NYSEARCAGLD!A$2:G$506,6,0)</f>
        <v>6879634</v>
      </c>
      <c r="N466">
        <f>VLOOKUP(A466,NYSEBP!A$2:G$506,6,0)</f>
        <v>4488634</v>
      </c>
      <c r="O466">
        <f>VLOOKUP(A466,NASDAQYHOO!A$2:G$506,6,0)</f>
        <v>5607667</v>
      </c>
    </row>
    <row r="467" spans="1:15">
      <c r="A467" s="39">
        <v>42821</v>
      </c>
      <c r="B467">
        <v>5792586</v>
      </c>
      <c r="C467">
        <f>VLOOKUP(A467,NYSEARCAVTI!A$2:G$506,6,0)</f>
        <v>2927702</v>
      </c>
      <c r="D467">
        <f>VLOOKUP(A467,NYSEARCAVEU!A$2:G$506,6,0)</f>
        <v>1497092</v>
      </c>
      <c r="E467">
        <f>VLOOKUP(A467,NYSEARCAVWO!A$2:G$506,6,0)</f>
        <v>12759625</v>
      </c>
      <c r="F467">
        <f>VLOOKUP(A467,NYSEARCABND!A$2:G$506,6,0)</f>
        <v>1870514</v>
      </c>
      <c r="G467">
        <f>VLOOKUP(A467,NYSEARCATIP!A$2:G$506,6,0)</f>
        <v>1078204</v>
      </c>
      <c r="H467">
        <f>VLOOKUP(A467,NYSEARCAMUB!A$2:G$506,6,0)</f>
        <v>439626</v>
      </c>
      <c r="I467">
        <f>VLOOKUP(A467,NYSEARCAVNQ!A$2:G$506,6,0)</f>
        <v>4555963</v>
      </c>
      <c r="J467">
        <f>VLOOKUP(A467,NYSEARCARWX!A$2:G$506,6,0)</f>
        <v>855535</v>
      </c>
      <c r="K467">
        <f>VLOOKUP(A467,NYSEARCADBC!A$2:G$506,6,0)</f>
        <v>2123961</v>
      </c>
      <c r="L467">
        <f>VLOOKUP(A467,NYSEARCAGSG!A$2:G$506,6,0)</f>
        <v>208876</v>
      </c>
      <c r="M467">
        <f>VLOOKUP(A467,NYSEARCAGLD!A$2:G$506,6,0)</f>
        <v>8519573</v>
      </c>
      <c r="N467">
        <f>VLOOKUP(A467,NYSEBP!A$2:G$506,6,0)</f>
        <v>3404986</v>
      </c>
      <c r="O467">
        <f>VLOOKUP(A467,NASDAQYHOO!A$2:G$506,6,0)</f>
        <v>6016624</v>
      </c>
    </row>
    <row r="468" spans="1:15">
      <c r="A468" s="39">
        <v>42822</v>
      </c>
      <c r="B468">
        <v>7252189</v>
      </c>
      <c r="C468">
        <f>VLOOKUP(A468,NYSEARCAVTI!A$2:G$506,6,0)</f>
        <v>2699241</v>
      </c>
      <c r="D468">
        <f>VLOOKUP(A468,NYSEARCAVEU!A$2:G$506,6,0)</f>
        <v>1902183</v>
      </c>
      <c r="E468">
        <f>VLOOKUP(A468,NYSEARCAVWO!A$2:G$506,6,0)</f>
        <v>14136345</v>
      </c>
      <c r="F468">
        <f>VLOOKUP(A468,NYSEARCABND!A$2:G$506,6,0)</f>
        <v>1990824</v>
      </c>
      <c r="G468">
        <f>VLOOKUP(A468,NYSEARCATIP!A$2:G$506,6,0)</f>
        <v>1658761</v>
      </c>
      <c r="H468">
        <f>VLOOKUP(A468,NYSEARCAMUB!A$2:G$506,6,0)</f>
        <v>467875</v>
      </c>
      <c r="I468">
        <f>VLOOKUP(A468,NYSEARCAVNQ!A$2:G$506,6,0)</f>
        <v>4231891</v>
      </c>
      <c r="J468">
        <f>VLOOKUP(A468,NYSEARCARWX!A$2:G$506,6,0)</f>
        <v>591110</v>
      </c>
      <c r="K468">
        <f>VLOOKUP(A468,NYSEARCADBC!A$2:G$506,6,0)</f>
        <v>1713273</v>
      </c>
      <c r="L468">
        <f>VLOOKUP(A468,NYSEARCAGSG!A$2:G$506,6,0)</f>
        <v>144629</v>
      </c>
      <c r="M468">
        <f>VLOOKUP(A468,NYSEARCAGLD!A$2:G$506,6,0)</f>
        <v>7112787</v>
      </c>
      <c r="N468">
        <f>VLOOKUP(A468,NYSEBP!A$2:G$506,6,0)</f>
        <v>5863586</v>
      </c>
      <c r="O468">
        <f>VLOOKUP(A468,NASDAQYHOO!A$2:G$506,6,0)</f>
        <v>4630801</v>
      </c>
    </row>
    <row r="469" spans="1:15">
      <c r="A469" s="39">
        <v>42823</v>
      </c>
      <c r="B469">
        <v>6991046</v>
      </c>
      <c r="C469">
        <f>VLOOKUP(A469,NYSEARCAVTI!A$2:G$506,6,0)</f>
        <v>3196549</v>
      </c>
      <c r="D469">
        <f>VLOOKUP(A469,NYSEARCAVEU!A$2:G$506,6,0)</f>
        <v>1531746</v>
      </c>
      <c r="E469">
        <f>VLOOKUP(A469,NYSEARCAVWO!A$2:G$506,6,0)</f>
        <v>8453012</v>
      </c>
      <c r="F469">
        <f>VLOOKUP(A469,NYSEARCABND!A$2:G$506,6,0)</f>
        <v>1356818</v>
      </c>
      <c r="G469">
        <f>VLOOKUP(A469,NYSEARCATIP!A$2:G$506,6,0)</f>
        <v>933858</v>
      </c>
      <c r="H469">
        <f>VLOOKUP(A469,NYSEARCAMUB!A$2:G$506,6,0)</f>
        <v>402373</v>
      </c>
      <c r="I469">
        <f>VLOOKUP(A469,NYSEARCAVNQ!A$2:G$506,6,0)</f>
        <v>3123293</v>
      </c>
      <c r="J469">
        <f>VLOOKUP(A469,NYSEARCARWX!A$2:G$506,6,0)</f>
        <v>334474</v>
      </c>
      <c r="K469">
        <f>VLOOKUP(A469,NYSEARCADBC!A$2:G$506,6,0)</f>
        <v>2552967</v>
      </c>
      <c r="L469">
        <f>VLOOKUP(A469,NYSEARCAGSG!A$2:G$506,6,0)</f>
        <v>462892</v>
      </c>
      <c r="M469">
        <f>VLOOKUP(A469,NYSEARCAGLD!A$2:G$506,6,0)</f>
        <v>4911042</v>
      </c>
      <c r="N469">
        <f>VLOOKUP(A469,NYSEBP!A$2:G$506,6,0)</f>
        <v>5369612</v>
      </c>
      <c r="O469">
        <f>VLOOKUP(A469,NASDAQYHOO!A$2:G$506,6,0)</f>
        <v>4403402</v>
      </c>
    </row>
    <row r="470" spans="1:15">
      <c r="A470" s="39">
        <v>42824</v>
      </c>
      <c r="B470">
        <v>8141535</v>
      </c>
      <c r="C470">
        <f>VLOOKUP(A470,NYSEARCAVTI!A$2:G$506,6,0)</f>
        <v>2076852</v>
      </c>
      <c r="D470">
        <f>VLOOKUP(A470,NYSEARCAVEU!A$2:G$506,6,0)</f>
        <v>1306761</v>
      </c>
      <c r="E470">
        <f>VLOOKUP(A470,NYSEARCAVWO!A$2:G$506,6,0)</f>
        <v>7377953</v>
      </c>
      <c r="F470">
        <f>VLOOKUP(A470,NYSEARCABND!A$2:G$506,6,0)</f>
        <v>1403541</v>
      </c>
      <c r="G470">
        <f>VLOOKUP(A470,NYSEARCATIP!A$2:G$506,6,0)</f>
        <v>996199</v>
      </c>
      <c r="H470">
        <f>VLOOKUP(A470,NYSEARCAMUB!A$2:G$506,6,0)</f>
        <v>550147</v>
      </c>
      <c r="I470">
        <f>VLOOKUP(A470,NYSEARCAVNQ!A$2:G$506,6,0)</f>
        <v>4593334</v>
      </c>
      <c r="J470">
        <f>VLOOKUP(A470,NYSEARCARWX!A$2:G$506,6,0)</f>
        <v>383958</v>
      </c>
      <c r="K470">
        <f>VLOOKUP(A470,NYSEARCADBC!A$2:G$506,6,0)</f>
        <v>1325058</v>
      </c>
      <c r="L470">
        <f>VLOOKUP(A470,NYSEARCAGSG!A$2:G$506,6,0)</f>
        <v>115106</v>
      </c>
      <c r="M470">
        <f>VLOOKUP(A470,NYSEARCAGLD!A$2:G$506,6,0)</f>
        <v>6894572</v>
      </c>
      <c r="N470">
        <f>VLOOKUP(A470,NYSEBP!A$2:G$506,6,0)</f>
        <v>5921137</v>
      </c>
      <c r="O470">
        <f>VLOOKUP(A470,NASDAQYHOO!A$2:G$506,6,0)</f>
        <v>3449091</v>
      </c>
    </row>
    <row r="471" spans="1:15">
      <c r="A471" s="39">
        <v>42825</v>
      </c>
      <c r="B471">
        <v>9939780</v>
      </c>
      <c r="C471">
        <f>VLOOKUP(A471,NYSEARCAVTI!A$2:G$506,6,0)</f>
        <v>1815860</v>
      </c>
      <c r="D471">
        <f>VLOOKUP(A471,NYSEARCAVEU!A$2:G$506,6,0)</f>
        <v>1193233</v>
      </c>
      <c r="E471">
        <f>VLOOKUP(A471,NYSEARCAVWO!A$2:G$506,6,0)</f>
        <v>12271783</v>
      </c>
      <c r="F471">
        <f>VLOOKUP(A471,NYSEARCABND!A$2:G$506,6,0)</f>
        <v>2399459</v>
      </c>
      <c r="G471">
        <f>VLOOKUP(A471,NYSEARCATIP!A$2:G$506,6,0)</f>
        <v>899413</v>
      </c>
      <c r="H471">
        <f>VLOOKUP(A471,NYSEARCAMUB!A$2:G$506,6,0)</f>
        <v>347458</v>
      </c>
      <c r="I471">
        <f>VLOOKUP(A471,NYSEARCAVNQ!A$2:G$506,6,0)</f>
        <v>7167920</v>
      </c>
      <c r="J471">
        <f>VLOOKUP(A471,NYSEARCARWX!A$2:G$506,6,0)</f>
        <v>301611</v>
      </c>
      <c r="K471">
        <f>VLOOKUP(A471,NYSEARCADBC!A$2:G$506,6,0)</f>
        <v>3000072</v>
      </c>
      <c r="L471">
        <f>VLOOKUP(A471,NYSEARCAGSG!A$2:G$506,6,0)</f>
        <v>2539133</v>
      </c>
      <c r="M471">
        <f>VLOOKUP(A471,NYSEARCAGLD!A$2:G$506,6,0)</f>
        <v>8520847</v>
      </c>
      <c r="N471">
        <f>VLOOKUP(A471,NYSEBP!A$2:G$506,6,0)</f>
        <v>4835262</v>
      </c>
      <c r="O471">
        <f>VLOOKUP(A471,NASDAQYHOO!A$2:G$506,6,0)</f>
        <v>7814123</v>
      </c>
    </row>
    <row r="472" spans="1:15">
      <c r="A472" s="39">
        <v>42828</v>
      </c>
      <c r="B472">
        <v>8291283</v>
      </c>
      <c r="C472">
        <f>VLOOKUP(A472,NYSEARCAVTI!A$2:G$506,6,0)</f>
        <v>3103060</v>
      </c>
      <c r="D472">
        <f>VLOOKUP(A472,NYSEARCAVEU!A$2:G$506,6,0)</f>
        <v>2729192</v>
      </c>
      <c r="E472">
        <f>VLOOKUP(A472,NYSEARCAVWO!A$2:G$506,6,0)</f>
        <v>15366434</v>
      </c>
      <c r="F472">
        <f>VLOOKUP(A472,NYSEARCABND!A$2:G$506,6,0)</f>
        <v>2142715</v>
      </c>
      <c r="G472">
        <f>VLOOKUP(A472,NYSEARCATIP!A$2:G$506,6,0)</f>
        <v>3097452</v>
      </c>
      <c r="H472">
        <f>VLOOKUP(A472,NYSEARCAMUB!A$2:G$506,6,0)</f>
        <v>1884541</v>
      </c>
      <c r="I472">
        <f>VLOOKUP(A472,NYSEARCAVNQ!A$2:G$506,6,0)</f>
        <v>7468996</v>
      </c>
      <c r="J472">
        <f>VLOOKUP(A472,NYSEARCARWX!A$2:G$506,6,0)</f>
        <v>534346</v>
      </c>
      <c r="K472">
        <f>VLOOKUP(A472,NYSEARCADBC!A$2:G$506,6,0)</f>
        <v>4604322</v>
      </c>
      <c r="L472">
        <f>VLOOKUP(A472,NYSEARCAGSG!A$2:G$506,6,0)</f>
        <v>4192150</v>
      </c>
      <c r="M472">
        <f>VLOOKUP(A472,NYSEARCAGLD!A$2:G$506,6,0)</f>
        <v>6105704</v>
      </c>
      <c r="N472">
        <f>VLOOKUP(A472,NYSEBP!A$2:G$506,6,0)</f>
        <v>5370420</v>
      </c>
      <c r="O472">
        <f>VLOOKUP(A472,NASDAQYHOO!A$2:G$506,6,0)</f>
        <v>7675378</v>
      </c>
    </row>
    <row r="473" spans="1:15">
      <c r="A473" s="39">
        <v>42829</v>
      </c>
      <c r="B473">
        <v>5567317</v>
      </c>
      <c r="C473">
        <f>VLOOKUP(A473,NYSEARCAVTI!A$2:G$506,6,0)</f>
        <v>2462645</v>
      </c>
      <c r="D473">
        <f>VLOOKUP(A473,NYSEARCAVEU!A$2:G$506,6,0)</f>
        <v>2006765</v>
      </c>
      <c r="E473">
        <f>VLOOKUP(A473,NYSEARCAVWO!A$2:G$506,6,0)</f>
        <v>9319594</v>
      </c>
      <c r="F473">
        <f>VLOOKUP(A473,NYSEARCABND!A$2:G$506,6,0)</f>
        <v>1983228</v>
      </c>
      <c r="G473">
        <f>VLOOKUP(A473,NYSEARCATIP!A$2:G$506,6,0)</f>
        <v>1064941</v>
      </c>
      <c r="H473">
        <f>VLOOKUP(A473,NYSEARCAMUB!A$2:G$506,6,0)</f>
        <v>559776</v>
      </c>
      <c r="I473">
        <f>VLOOKUP(A473,NYSEARCAVNQ!A$2:G$506,6,0)</f>
        <v>5359286</v>
      </c>
      <c r="J473">
        <f>VLOOKUP(A473,NYSEARCARWX!A$2:G$506,6,0)</f>
        <v>468811</v>
      </c>
      <c r="K473">
        <f>VLOOKUP(A473,NYSEARCADBC!A$2:G$506,6,0)</f>
        <v>4604387</v>
      </c>
      <c r="L473">
        <f>VLOOKUP(A473,NYSEARCAGSG!A$2:G$506,6,0)</f>
        <v>317934</v>
      </c>
      <c r="M473">
        <f>VLOOKUP(A473,NYSEARCAGLD!A$2:G$506,6,0)</f>
        <v>4687301</v>
      </c>
      <c r="N473">
        <f>VLOOKUP(A473,NYSEBP!A$2:G$506,6,0)</f>
        <v>5367846</v>
      </c>
      <c r="O473">
        <f>VLOOKUP(A473,NASDAQYHOO!A$2:G$506,6,0)</f>
        <v>4758401</v>
      </c>
    </row>
    <row r="474" spans="1:15">
      <c r="A474" s="39">
        <v>42830</v>
      </c>
      <c r="B474">
        <v>6354492</v>
      </c>
      <c r="C474">
        <f>VLOOKUP(A474,NYSEARCAVTI!A$2:G$506,6,0)</f>
        <v>3905750</v>
      </c>
      <c r="D474">
        <f>VLOOKUP(A474,NYSEARCAVEU!A$2:G$506,6,0)</f>
        <v>2306961</v>
      </c>
      <c r="E474">
        <f>VLOOKUP(A474,NYSEARCAVWO!A$2:G$506,6,0)</f>
        <v>12539596</v>
      </c>
      <c r="F474">
        <f>VLOOKUP(A474,NYSEARCABND!A$2:G$506,6,0)</f>
        <v>2050810</v>
      </c>
      <c r="G474">
        <f>VLOOKUP(A474,NYSEARCATIP!A$2:G$506,6,0)</f>
        <v>1460593</v>
      </c>
      <c r="H474">
        <f>VLOOKUP(A474,NYSEARCAMUB!A$2:G$506,6,0)</f>
        <v>528431</v>
      </c>
      <c r="I474">
        <f>VLOOKUP(A474,NYSEARCAVNQ!A$2:G$506,6,0)</f>
        <v>4738723</v>
      </c>
      <c r="J474">
        <f>VLOOKUP(A474,NYSEARCARWX!A$2:G$506,6,0)</f>
        <v>1684768</v>
      </c>
      <c r="K474">
        <f>VLOOKUP(A474,NYSEARCADBC!A$2:G$506,6,0)</f>
        <v>4604593</v>
      </c>
      <c r="L474">
        <f>VLOOKUP(A474,NYSEARCAGSG!A$2:G$506,6,0)</f>
        <v>1736468</v>
      </c>
      <c r="M474">
        <f>VLOOKUP(A474,NYSEARCAGLD!A$2:G$506,6,0)</f>
        <v>8105952</v>
      </c>
      <c r="N474">
        <f>VLOOKUP(A474,NYSEBP!A$2:G$506,6,0)</f>
        <v>7381383</v>
      </c>
      <c r="O474">
        <f>VLOOKUP(A474,NASDAQYHOO!A$2:G$506,6,0)</f>
        <v>4840299</v>
      </c>
    </row>
    <row r="475" spans="1:15">
      <c r="A475" s="39">
        <v>42831</v>
      </c>
      <c r="B475">
        <v>5941103</v>
      </c>
      <c r="C475">
        <f>VLOOKUP(A475,NYSEARCAVTI!A$2:G$506,6,0)</f>
        <v>2056068</v>
      </c>
      <c r="D475">
        <f>VLOOKUP(A475,NYSEARCAVEU!A$2:G$506,6,0)</f>
        <v>2522960</v>
      </c>
      <c r="E475">
        <f>VLOOKUP(A475,NYSEARCAVWO!A$2:G$506,6,0)</f>
        <v>9571414</v>
      </c>
      <c r="F475">
        <f>VLOOKUP(A475,NYSEARCABND!A$2:G$506,6,0)</f>
        <v>1855272</v>
      </c>
      <c r="G475">
        <f>VLOOKUP(A475,NYSEARCATIP!A$2:G$506,6,0)</f>
        <v>774696</v>
      </c>
      <c r="H475">
        <f>VLOOKUP(A475,NYSEARCAMUB!A$2:G$506,6,0)</f>
        <v>595847</v>
      </c>
      <c r="I475">
        <f>VLOOKUP(A475,NYSEARCAVNQ!A$2:G$506,6,0)</f>
        <v>4711527</v>
      </c>
      <c r="J475">
        <f>VLOOKUP(A475,NYSEARCARWX!A$2:G$506,6,0)</f>
        <v>1695329</v>
      </c>
      <c r="K475">
        <f>VLOOKUP(A475,NYSEARCADBC!A$2:G$506,6,0)</f>
        <v>2856183</v>
      </c>
      <c r="L475">
        <f>VLOOKUP(A475,NYSEARCAGSG!A$2:G$506,6,0)</f>
        <v>121172</v>
      </c>
      <c r="M475">
        <f>VLOOKUP(A475,NYSEARCAGLD!A$2:G$506,6,0)</f>
        <v>4633470</v>
      </c>
      <c r="N475">
        <f>VLOOKUP(A475,NYSEBP!A$2:G$506,6,0)</f>
        <v>5873693</v>
      </c>
      <c r="O475">
        <f>VLOOKUP(A475,NASDAQYHOO!A$2:G$506,6,0)</f>
        <v>4124602</v>
      </c>
    </row>
    <row r="476" spans="1:15">
      <c r="A476" s="39">
        <v>42832</v>
      </c>
      <c r="B476">
        <v>10768016</v>
      </c>
      <c r="C476">
        <f>VLOOKUP(A476,NYSEARCAVTI!A$2:G$506,6,0)</f>
        <v>1997440</v>
      </c>
      <c r="D476">
        <f>VLOOKUP(A476,NYSEARCAVEU!A$2:G$506,6,0)</f>
        <v>1580473</v>
      </c>
      <c r="E476">
        <f>VLOOKUP(A476,NYSEARCAVWO!A$2:G$506,6,0)</f>
        <v>9168485</v>
      </c>
      <c r="F476">
        <f>VLOOKUP(A476,NYSEARCABND!A$2:G$506,6,0)</f>
        <v>1608178</v>
      </c>
      <c r="G476">
        <f>VLOOKUP(A476,NYSEARCATIP!A$2:G$506,6,0)</f>
        <v>858494</v>
      </c>
      <c r="H476">
        <f>VLOOKUP(A476,NYSEARCAMUB!A$2:G$506,6,0)</f>
        <v>686399</v>
      </c>
      <c r="I476">
        <f>VLOOKUP(A476,NYSEARCAVNQ!A$2:G$506,6,0)</f>
        <v>4483834</v>
      </c>
      <c r="J476">
        <f>VLOOKUP(A476,NYSEARCARWX!A$2:G$506,6,0)</f>
        <v>356823</v>
      </c>
      <c r="K476">
        <f>VLOOKUP(A476,NYSEARCADBC!A$2:G$506,6,0)</f>
        <v>6227130</v>
      </c>
      <c r="L476">
        <f>VLOOKUP(A476,NYSEARCAGSG!A$2:G$506,6,0)</f>
        <v>193594</v>
      </c>
      <c r="M476">
        <f>VLOOKUP(A476,NYSEARCAGLD!A$2:G$506,6,0)</f>
        <v>12351114</v>
      </c>
      <c r="N476">
        <f>VLOOKUP(A476,NYSEBP!A$2:G$506,6,0)</f>
        <v>4186844</v>
      </c>
      <c r="O476">
        <f>VLOOKUP(A476,NASDAQYHOO!A$2:G$506,6,0)</f>
        <v>4629814</v>
      </c>
    </row>
    <row r="477" spans="1:15">
      <c r="A477" s="39">
        <v>42835</v>
      </c>
      <c r="B477">
        <v>7495948</v>
      </c>
      <c r="C477">
        <f>VLOOKUP(A477,NYSEARCAVTI!A$2:G$506,6,0)</f>
        <v>1669475</v>
      </c>
      <c r="D477">
        <f>VLOOKUP(A477,NYSEARCAVEU!A$2:G$506,6,0)</f>
        <v>1042868</v>
      </c>
      <c r="E477">
        <f>VLOOKUP(A477,NYSEARCAVWO!A$2:G$506,6,0)</f>
        <v>9915821</v>
      </c>
      <c r="F477">
        <f>VLOOKUP(A477,NYSEARCABND!A$2:G$506,6,0)</f>
        <v>1481751</v>
      </c>
      <c r="G477">
        <f>VLOOKUP(A477,NYSEARCATIP!A$2:G$506,6,0)</f>
        <v>752758</v>
      </c>
      <c r="H477">
        <f>VLOOKUP(A477,NYSEARCAMUB!A$2:G$506,6,0)</f>
        <v>514524</v>
      </c>
      <c r="I477">
        <f>VLOOKUP(A477,NYSEARCAVNQ!A$2:G$506,6,0)</f>
        <v>2547820</v>
      </c>
      <c r="J477">
        <f>VLOOKUP(A477,NYSEARCARWX!A$2:G$506,6,0)</f>
        <v>296971</v>
      </c>
      <c r="K477">
        <f>VLOOKUP(A477,NYSEARCADBC!A$2:G$506,6,0)</f>
        <v>945755</v>
      </c>
      <c r="L477">
        <f>VLOOKUP(A477,NYSEARCAGSG!A$2:G$506,6,0)</f>
        <v>173860</v>
      </c>
      <c r="M477">
        <f>VLOOKUP(A477,NYSEARCAGLD!A$2:G$506,6,0)</f>
        <v>4623673</v>
      </c>
      <c r="N477">
        <f>VLOOKUP(A477,NYSEBP!A$2:G$506,6,0)</f>
        <v>5072492</v>
      </c>
      <c r="O477">
        <f>VLOOKUP(A477,NASDAQYHOO!A$2:G$506,6,0)</f>
        <v>7818042</v>
      </c>
    </row>
    <row r="478" spans="1:15">
      <c r="A478" s="39">
        <v>42836</v>
      </c>
      <c r="B478">
        <v>5810458</v>
      </c>
      <c r="C478">
        <f>VLOOKUP(A478,NYSEARCAVTI!A$2:G$506,6,0)</f>
        <v>2895455</v>
      </c>
      <c r="D478">
        <f>VLOOKUP(A478,NYSEARCAVEU!A$2:G$506,6,0)</f>
        <v>1884299</v>
      </c>
      <c r="E478">
        <f>VLOOKUP(A478,NYSEARCAVWO!A$2:G$506,6,0)</f>
        <v>9421641</v>
      </c>
      <c r="F478">
        <f>VLOOKUP(A478,NYSEARCABND!A$2:G$506,6,0)</f>
        <v>1340521</v>
      </c>
      <c r="G478">
        <f>VLOOKUP(A478,NYSEARCATIP!A$2:G$506,6,0)</f>
        <v>1540922</v>
      </c>
      <c r="H478">
        <f>VLOOKUP(A478,NYSEARCAMUB!A$2:G$506,6,0)</f>
        <v>541300</v>
      </c>
      <c r="I478">
        <f>VLOOKUP(A478,NYSEARCAVNQ!A$2:G$506,6,0)</f>
        <v>3864186</v>
      </c>
      <c r="J478">
        <f>VLOOKUP(A478,NYSEARCARWX!A$2:G$506,6,0)</f>
        <v>408522</v>
      </c>
      <c r="K478">
        <f>VLOOKUP(A478,NYSEARCADBC!A$2:G$506,6,0)</f>
        <v>1391664</v>
      </c>
      <c r="L478">
        <f>VLOOKUP(A478,NYSEARCAGSG!A$2:G$506,6,0)</f>
        <v>263855</v>
      </c>
      <c r="M478">
        <f>VLOOKUP(A478,NYSEARCAGLD!A$2:G$506,6,0)</f>
        <v>12455294</v>
      </c>
      <c r="N478">
        <f>VLOOKUP(A478,NYSEBP!A$2:G$506,6,0)</f>
        <v>7661436</v>
      </c>
      <c r="O478">
        <f>VLOOKUP(A478,NASDAQYHOO!A$2:G$506,6,0)</f>
        <v>5593867</v>
      </c>
    </row>
    <row r="479" spans="1:15">
      <c r="A479" s="39">
        <v>42837</v>
      </c>
      <c r="B479">
        <v>6627297</v>
      </c>
      <c r="C479">
        <f>VLOOKUP(A479,NYSEARCAVTI!A$2:G$506,6,0)</f>
        <v>1967393</v>
      </c>
      <c r="D479">
        <f>VLOOKUP(A479,NYSEARCAVEU!A$2:G$506,6,0)</f>
        <v>1694025</v>
      </c>
      <c r="E479">
        <f>VLOOKUP(A479,NYSEARCAVWO!A$2:G$506,6,0)</f>
        <v>15934706</v>
      </c>
      <c r="F479">
        <f>VLOOKUP(A479,NYSEARCABND!A$2:G$506,6,0)</f>
        <v>1801558</v>
      </c>
      <c r="G479">
        <f>VLOOKUP(A479,NYSEARCATIP!A$2:G$506,6,0)</f>
        <v>1050774</v>
      </c>
      <c r="H479">
        <f>VLOOKUP(A479,NYSEARCAMUB!A$2:G$506,6,0)</f>
        <v>554174</v>
      </c>
      <c r="I479">
        <f>VLOOKUP(A479,NYSEARCAVNQ!A$2:G$506,6,0)</f>
        <v>3526946</v>
      </c>
      <c r="J479">
        <f>VLOOKUP(A479,NYSEARCARWX!A$2:G$506,6,0)</f>
        <v>763212</v>
      </c>
      <c r="K479">
        <f>VLOOKUP(A479,NYSEARCADBC!A$2:G$506,6,0)</f>
        <v>1429337</v>
      </c>
      <c r="L479">
        <f>VLOOKUP(A479,NYSEARCAGSG!A$2:G$506,6,0)</f>
        <v>75876</v>
      </c>
      <c r="M479">
        <f>VLOOKUP(A479,NYSEARCAGLD!A$2:G$506,6,0)</f>
        <v>9502540</v>
      </c>
      <c r="N479">
        <f>VLOOKUP(A479,NYSEBP!A$2:G$506,6,0)</f>
        <v>6585917</v>
      </c>
      <c r="O479">
        <f>VLOOKUP(A479,NASDAQYHOO!A$2:G$506,6,0)</f>
        <v>5127330</v>
      </c>
    </row>
    <row r="480" spans="1:15">
      <c r="A480" s="39">
        <v>42838</v>
      </c>
      <c r="B480">
        <v>5336428</v>
      </c>
      <c r="C480">
        <f>VLOOKUP(A480,NYSEARCAVTI!A$2:G$506,6,0)</f>
        <v>2852219</v>
      </c>
      <c r="D480">
        <f>VLOOKUP(A480,NYSEARCAVEU!A$2:G$506,6,0)</f>
        <v>1067794</v>
      </c>
      <c r="E480">
        <f>VLOOKUP(A480,NYSEARCAVWO!A$2:G$506,6,0)</f>
        <v>7977147</v>
      </c>
      <c r="F480">
        <f>VLOOKUP(A480,NYSEARCABND!A$2:G$506,6,0)</f>
        <v>1393521</v>
      </c>
      <c r="G480">
        <f>VLOOKUP(A480,NYSEARCATIP!A$2:G$506,6,0)</f>
        <v>2870539</v>
      </c>
      <c r="H480">
        <f>VLOOKUP(A480,NYSEARCAMUB!A$2:G$506,6,0)</f>
        <v>338831</v>
      </c>
      <c r="I480">
        <f>VLOOKUP(A480,NYSEARCAVNQ!A$2:G$506,6,0)</f>
        <v>2759502</v>
      </c>
      <c r="J480">
        <f>VLOOKUP(A480,NYSEARCARWX!A$2:G$506,6,0)</f>
        <v>614656</v>
      </c>
      <c r="K480">
        <f>VLOOKUP(A480,NYSEARCADBC!A$2:G$506,6,0)</f>
        <v>2122972</v>
      </c>
      <c r="L480">
        <f>VLOOKUP(A480,NYSEARCAGSG!A$2:G$506,6,0)</f>
        <v>125494</v>
      </c>
      <c r="M480">
        <f>VLOOKUP(A480,NYSEARCAGLD!A$2:G$506,6,0)</f>
        <v>9892641</v>
      </c>
      <c r="N480">
        <f>VLOOKUP(A480,NYSEBP!A$2:G$506,6,0)</f>
        <v>8907208</v>
      </c>
      <c r="O480">
        <f>VLOOKUP(A480,NASDAQYHOO!A$2:G$506,6,0)</f>
        <v>3762132</v>
      </c>
    </row>
    <row r="481" spans="1:15">
      <c r="A481" s="39">
        <v>42842</v>
      </c>
      <c r="B481">
        <v>5465408</v>
      </c>
      <c r="C481">
        <f>VLOOKUP(A481,NYSEARCAVTI!A$2:G$506,6,0)</f>
        <v>3198909</v>
      </c>
      <c r="D481">
        <f>VLOOKUP(A481,NYSEARCAVEU!A$2:G$506,6,0)</f>
        <v>1278098</v>
      </c>
      <c r="E481">
        <f>VLOOKUP(A481,NYSEARCAVWO!A$2:G$506,6,0)</f>
        <v>8196614</v>
      </c>
      <c r="F481">
        <f>VLOOKUP(A481,NYSEARCABND!A$2:G$506,6,0)</f>
        <v>1494596</v>
      </c>
      <c r="G481">
        <f>VLOOKUP(A481,NYSEARCATIP!A$2:G$506,6,0)</f>
        <v>954373</v>
      </c>
      <c r="H481">
        <f>VLOOKUP(A481,NYSEARCAMUB!A$2:G$506,6,0)</f>
        <v>449215</v>
      </c>
      <c r="I481">
        <f>VLOOKUP(A481,NYSEARCAVNQ!A$2:G$506,6,0)</f>
        <v>3875010</v>
      </c>
      <c r="J481">
        <f>VLOOKUP(A481,NYSEARCARWX!A$2:G$506,6,0)</f>
        <v>260035</v>
      </c>
      <c r="K481">
        <f>VLOOKUP(A481,NYSEARCADBC!A$2:G$506,6,0)</f>
        <v>1866010</v>
      </c>
      <c r="L481">
        <f>VLOOKUP(A481,NYSEARCAGSG!A$2:G$506,6,0)</f>
        <v>172356</v>
      </c>
      <c r="M481">
        <f>VLOOKUP(A481,NYSEARCAGLD!A$2:G$506,6,0)</f>
        <v>8469580</v>
      </c>
      <c r="N481">
        <f>VLOOKUP(A481,NYSEBP!A$2:G$506,6,0)</f>
        <v>5283144</v>
      </c>
      <c r="O481">
        <f>VLOOKUP(A481,NASDAQYHOO!A$2:G$506,6,0)</f>
        <v>3857065</v>
      </c>
    </row>
    <row r="482" spans="1:15">
      <c r="A482" s="39">
        <v>42843</v>
      </c>
      <c r="B482">
        <v>6627986</v>
      </c>
      <c r="C482">
        <f>VLOOKUP(A482,NYSEARCAVTI!A$2:G$506,6,0)</f>
        <v>1865766</v>
      </c>
      <c r="D482">
        <f>VLOOKUP(A482,NYSEARCAVEU!A$2:G$506,6,0)</f>
        <v>1597393</v>
      </c>
      <c r="E482">
        <f>VLOOKUP(A482,NYSEARCAVWO!A$2:G$506,6,0)</f>
        <v>9943552</v>
      </c>
      <c r="F482">
        <f>VLOOKUP(A482,NYSEARCABND!A$2:G$506,6,0)</f>
        <v>1783017</v>
      </c>
      <c r="G482">
        <f>VLOOKUP(A482,NYSEARCATIP!A$2:G$506,6,0)</f>
        <v>1609743</v>
      </c>
      <c r="H482">
        <f>VLOOKUP(A482,NYSEARCAMUB!A$2:G$506,6,0)</f>
        <v>927397</v>
      </c>
      <c r="I482">
        <f>VLOOKUP(A482,NYSEARCAVNQ!A$2:G$506,6,0)</f>
        <v>2807318</v>
      </c>
      <c r="J482">
        <f>VLOOKUP(A482,NYSEARCARWX!A$2:G$506,6,0)</f>
        <v>417184</v>
      </c>
      <c r="K482">
        <f>VLOOKUP(A482,NYSEARCADBC!A$2:G$506,6,0)</f>
        <v>1462969</v>
      </c>
      <c r="L482">
        <f>VLOOKUP(A482,NYSEARCAGSG!A$2:G$506,6,0)</f>
        <v>145549</v>
      </c>
      <c r="M482">
        <f>VLOOKUP(A482,NYSEARCAGLD!A$2:G$506,6,0)</f>
        <v>10903701</v>
      </c>
      <c r="N482">
        <f>VLOOKUP(A482,NYSEBP!A$2:G$506,6,0)</f>
        <v>6567270</v>
      </c>
      <c r="O482">
        <f>VLOOKUP(A482,NASDAQYHOO!A$2:G$506,6,0)</f>
        <v>9341939</v>
      </c>
    </row>
    <row r="483" spans="1:15">
      <c r="A483" s="39">
        <v>42844</v>
      </c>
      <c r="B483">
        <v>5940609</v>
      </c>
      <c r="C483">
        <f>VLOOKUP(A483,NYSEARCAVTI!A$2:G$506,6,0)</f>
        <v>1807017</v>
      </c>
      <c r="D483">
        <f>VLOOKUP(A483,NYSEARCAVEU!A$2:G$506,6,0)</f>
        <v>1188674</v>
      </c>
      <c r="E483">
        <f>VLOOKUP(A483,NYSEARCAVWO!A$2:G$506,6,0)</f>
        <v>9400560</v>
      </c>
      <c r="F483">
        <f>VLOOKUP(A483,NYSEARCABND!A$2:G$506,6,0)</f>
        <v>1437089</v>
      </c>
      <c r="G483">
        <f>VLOOKUP(A483,NYSEARCATIP!A$2:G$506,6,0)</f>
        <v>1057812</v>
      </c>
      <c r="H483">
        <f>VLOOKUP(A483,NYSEARCAMUB!A$2:G$506,6,0)</f>
        <v>462859</v>
      </c>
      <c r="I483">
        <f>VLOOKUP(A483,NYSEARCAVNQ!A$2:G$506,6,0)</f>
        <v>3622934</v>
      </c>
      <c r="J483">
        <f>VLOOKUP(A483,NYSEARCARWX!A$2:G$506,6,0)</f>
        <v>334895</v>
      </c>
      <c r="K483">
        <f>VLOOKUP(A483,NYSEARCADBC!A$2:G$506,6,0)</f>
        <v>2094492</v>
      </c>
      <c r="L483">
        <f>VLOOKUP(A483,NYSEARCAGSG!A$2:G$506,6,0)</f>
        <v>241100</v>
      </c>
      <c r="M483">
        <f>VLOOKUP(A483,NYSEARCAGLD!A$2:G$506,6,0)</f>
        <v>8472702</v>
      </c>
      <c r="N483">
        <f>VLOOKUP(A483,NYSEBP!A$2:G$506,6,0)</f>
        <v>7082771</v>
      </c>
      <c r="O483">
        <f>VLOOKUP(A483,NASDAQYHOO!A$2:G$506,6,0)</f>
        <v>12179541</v>
      </c>
    </row>
    <row r="484" spans="1:15">
      <c r="A484" s="39">
        <v>42845</v>
      </c>
      <c r="B484">
        <v>7681252</v>
      </c>
      <c r="C484">
        <f>VLOOKUP(A484,NYSEARCAVTI!A$2:G$506,6,0)</f>
        <v>1783429</v>
      </c>
      <c r="D484">
        <f>VLOOKUP(A484,NYSEARCAVEU!A$2:G$506,6,0)</f>
        <v>1202625</v>
      </c>
      <c r="E484">
        <f>VLOOKUP(A484,NYSEARCAVWO!A$2:G$506,6,0)</f>
        <v>10125175</v>
      </c>
      <c r="F484">
        <f>VLOOKUP(A484,NYSEARCABND!A$2:G$506,6,0)</f>
        <v>1425716</v>
      </c>
      <c r="G484">
        <f>VLOOKUP(A484,NYSEARCATIP!A$2:G$506,6,0)</f>
        <v>1082450</v>
      </c>
      <c r="H484">
        <f>VLOOKUP(A484,NYSEARCAMUB!A$2:G$506,6,0)</f>
        <v>950120</v>
      </c>
      <c r="I484">
        <f>VLOOKUP(A484,NYSEARCAVNQ!A$2:G$506,6,0)</f>
        <v>3109054</v>
      </c>
      <c r="J484">
        <f>VLOOKUP(A484,NYSEARCARWX!A$2:G$506,6,0)</f>
        <v>1691607</v>
      </c>
      <c r="K484">
        <f>VLOOKUP(A484,NYSEARCADBC!A$2:G$506,6,0)</f>
        <v>1847358</v>
      </c>
      <c r="L484">
        <f>VLOOKUP(A484,NYSEARCAGSG!A$2:G$506,6,0)</f>
        <v>194919</v>
      </c>
      <c r="M484">
        <f>VLOOKUP(A484,NYSEARCAGLD!A$2:G$506,6,0)</f>
        <v>11787330</v>
      </c>
      <c r="N484">
        <f>VLOOKUP(A484,NYSEBP!A$2:G$506,6,0)</f>
        <v>5689632</v>
      </c>
      <c r="O484">
        <f>VLOOKUP(A484,NASDAQYHOO!A$2:G$506,6,0)</f>
        <v>10925101</v>
      </c>
    </row>
    <row r="485" spans="1:15">
      <c r="A485" s="39">
        <v>42846</v>
      </c>
      <c r="B485">
        <v>5755691</v>
      </c>
      <c r="C485">
        <f>VLOOKUP(A485,NYSEARCAVTI!A$2:G$506,6,0)</f>
        <v>2006549</v>
      </c>
      <c r="D485">
        <f>VLOOKUP(A485,NYSEARCAVEU!A$2:G$506,6,0)</f>
        <v>1060130</v>
      </c>
      <c r="E485">
        <f>VLOOKUP(A485,NYSEARCAVWO!A$2:G$506,6,0)</f>
        <v>15182196</v>
      </c>
      <c r="F485">
        <f>VLOOKUP(A485,NYSEARCABND!A$2:G$506,6,0)</f>
        <v>1241682</v>
      </c>
      <c r="G485">
        <f>VLOOKUP(A485,NYSEARCATIP!A$2:G$506,6,0)</f>
        <v>700525</v>
      </c>
      <c r="H485">
        <f>VLOOKUP(A485,NYSEARCAMUB!A$2:G$506,6,0)</f>
        <v>538969</v>
      </c>
      <c r="I485">
        <f>VLOOKUP(A485,NYSEARCAVNQ!A$2:G$506,6,0)</f>
        <v>3261924</v>
      </c>
      <c r="J485">
        <f>VLOOKUP(A485,NYSEARCARWX!A$2:G$506,6,0)</f>
        <v>453807</v>
      </c>
      <c r="K485">
        <f>VLOOKUP(A485,NYSEARCADBC!A$2:G$506,6,0)</f>
        <v>1585084</v>
      </c>
      <c r="L485">
        <f>VLOOKUP(A485,NYSEARCAGSG!A$2:G$506,6,0)</f>
        <v>346968</v>
      </c>
      <c r="M485">
        <f>VLOOKUP(A485,NYSEARCAGLD!A$2:G$506,6,0)</f>
        <v>15608031</v>
      </c>
      <c r="N485">
        <f>VLOOKUP(A485,NYSEBP!A$2:G$506,6,0)</f>
        <v>5437766</v>
      </c>
      <c r="O485">
        <f>VLOOKUP(A485,NASDAQYHOO!A$2:G$506,6,0)</f>
        <v>7054995</v>
      </c>
    </row>
    <row r="486" spans="1:15">
      <c r="A486" s="39">
        <v>42849</v>
      </c>
      <c r="B486">
        <v>7812524</v>
      </c>
      <c r="C486">
        <f>VLOOKUP(A486,NYSEARCAVTI!A$2:G$506,6,0)</f>
        <v>2178763</v>
      </c>
      <c r="D486">
        <f>VLOOKUP(A486,NYSEARCAVEU!A$2:G$506,6,0)</f>
        <v>1763796</v>
      </c>
      <c r="E486">
        <f>VLOOKUP(A486,NYSEARCAVWO!A$2:G$506,6,0)</f>
        <v>12490842</v>
      </c>
      <c r="F486">
        <f>VLOOKUP(A486,NYSEARCABND!A$2:G$506,6,0)</f>
        <v>2665681</v>
      </c>
      <c r="G486">
        <f>VLOOKUP(A486,NYSEARCATIP!A$2:G$506,6,0)</f>
        <v>949288</v>
      </c>
      <c r="H486">
        <f>VLOOKUP(A486,NYSEARCAMUB!A$2:G$506,6,0)</f>
        <v>638061</v>
      </c>
      <c r="I486">
        <f>VLOOKUP(A486,NYSEARCAVNQ!A$2:G$506,6,0)</f>
        <v>6595301</v>
      </c>
      <c r="J486">
        <f>VLOOKUP(A486,NYSEARCARWX!A$2:G$506,6,0)</f>
        <v>517339</v>
      </c>
      <c r="K486">
        <f>VLOOKUP(A486,NYSEARCADBC!A$2:G$506,6,0)</f>
        <v>1767648</v>
      </c>
      <c r="L486">
        <f>VLOOKUP(A486,NYSEARCAGSG!A$2:G$506,6,0)</f>
        <v>141245</v>
      </c>
      <c r="M486">
        <f>VLOOKUP(A486,NYSEARCAGLD!A$2:G$506,6,0)</f>
        <v>11053559</v>
      </c>
      <c r="N486">
        <f>VLOOKUP(A486,NYSEBP!A$2:G$506,6,0)</f>
        <v>4980421</v>
      </c>
      <c r="O486">
        <f>VLOOKUP(A486,NASDAQYHOO!A$2:G$506,6,0)</f>
        <v>9860363</v>
      </c>
    </row>
    <row r="487" spans="1:15">
      <c r="A487" s="39">
        <v>42850</v>
      </c>
      <c r="B487">
        <v>5720364</v>
      </c>
      <c r="C487">
        <f>VLOOKUP(A487,NYSEARCAVTI!A$2:G$506,6,0)</f>
        <v>2145193</v>
      </c>
      <c r="D487">
        <f>VLOOKUP(A487,NYSEARCAVEU!A$2:G$506,6,0)</f>
        <v>1406827</v>
      </c>
      <c r="E487">
        <f>VLOOKUP(A487,NYSEARCAVWO!A$2:G$506,6,0)</f>
        <v>14389042</v>
      </c>
      <c r="F487">
        <f>VLOOKUP(A487,NYSEARCABND!A$2:G$506,6,0)</f>
        <v>1670922</v>
      </c>
      <c r="G487">
        <f>VLOOKUP(A487,NYSEARCATIP!A$2:G$506,6,0)</f>
        <v>926560</v>
      </c>
      <c r="H487">
        <f>VLOOKUP(A487,NYSEARCAMUB!A$2:G$506,6,0)</f>
        <v>446512</v>
      </c>
      <c r="I487">
        <f>VLOOKUP(A487,NYSEARCAVNQ!A$2:G$506,6,0)</f>
        <v>3412276</v>
      </c>
      <c r="J487">
        <f>VLOOKUP(A487,NYSEARCARWX!A$2:G$506,6,0)</f>
        <v>277523</v>
      </c>
      <c r="K487">
        <f>VLOOKUP(A487,NYSEARCADBC!A$2:G$506,6,0)</f>
        <v>1586409</v>
      </c>
      <c r="L487">
        <f>VLOOKUP(A487,NYSEARCAGSG!A$2:G$506,6,0)</f>
        <v>328969</v>
      </c>
      <c r="M487">
        <f>VLOOKUP(A487,NYSEARCAGLD!A$2:G$506,6,0)</f>
        <v>10344784</v>
      </c>
      <c r="N487">
        <f>VLOOKUP(A487,NYSEBP!A$2:G$506,6,0)</f>
        <v>4428868</v>
      </c>
      <c r="O487">
        <f>VLOOKUP(A487,NASDAQYHOO!A$2:G$506,6,0)</f>
        <v>10288234</v>
      </c>
    </row>
    <row r="488" spans="1:15">
      <c r="A488" s="39">
        <v>42851</v>
      </c>
      <c r="B488">
        <v>6948460</v>
      </c>
      <c r="C488">
        <f>VLOOKUP(A488,NYSEARCAVTI!A$2:G$506,6,0)</f>
        <v>3080062</v>
      </c>
      <c r="D488">
        <f>VLOOKUP(A488,NYSEARCAVEU!A$2:G$506,6,0)</f>
        <v>3264074</v>
      </c>
      <c r="E488">
        <f>VLOOKUP(A488,NYSEARCAVWO!A$2:G$506,6,0)</f>
        <v>14912855</v>
      </c>
      <c r="F488">
        <f>VLOOKUP(A488,NYSEARCABND!A$2:G$506,6,0)</f>
        <v>1876229</v>
      </c>
      <c r="G488">
        <f>VLOOKUP(A488,NYSEARCATIP!A$2:G$506,6,0)</f>
        <v>819301</v>
      </c>
      <c r="H488">
        <f>VLOOKUP(A488,NYSEARCAMUB!A$2:G$506,6,0)</f>
        <v>473719</v>
      </c>
      <c r="I488">
        <f>VLOOKUP(A488,NYSEARCAVNQ!A$2:G$506,6,0)</f>
        <v>4185489</v>
      </c>
      <c r="J488">
        <f>VLOOKUP(A488,NYSEARCARWX!A$2:G$506,6,0)</f>
        <v>302610</v>
      </c>
      <c r="K488">
        <f>VLOOKUP(A488,NYSEARCADBC!A$2:G$506,6,0)</f>
        <v>5213778</v>
      </c>
      <c r="L488">
        <f>VLOOKUP(A488,NYSEARCAGSG!A$2:G$506,6,0)</f>
        <v>1198413</v>
      </c>
      <c r="M488">
        <f>VLOOKUP(A488,NYSEARCAGLD!A$2:G$506,6,0)</f>
        <v>9758844</v>
      </c>
      <c r="N488">
        <f>VLOOKUP(A488,NYSEBP!A$2:G$506,6,0)</f>
        <v>6208108</v>
      </c>
      <c r="O488">
        <f>VLOOKUP(A488,NASDAQYHOO!A$2:G$506,6,0)</f>
        <v>4053137</v>
      </c>
    </row>
    <row r="489" spans="1:15">
      <c r="A489" s="39">
        <v>42852</v>
      </c>
      <c r="B489">
        <v>6052219</v>
      </c>
      <c r="C489">
        <f>VLOOKUP(A489,NYSEARCAVTI!A$2:G$506,6,0)</f>
        <v>1867838</v>
      </c>
      <c r="D489">
        <f>VLOOKUP(A489,NYSEARCAVEU!A$2:G$506,6,0)</f>
        <v>1220193</v>
      </c>
      <c r="E489">
        <f>VLOOKUP(A489,NYSEARCAVWO!A$2:G$506,6,0)</f>
        <v>9172730</v>
      </c>
      <c r="F489">
        <f>VLOOKUP(A489,NYSEARCABND!A$2:G$506,6,0)</f>
        <v>1543129</v>
      </c>
      <c r="G489">
        <f>VLOOKUP(A489,NYSEARCATIP!A$2:G$506,6,0)</f>
        <v>2010317</v>
      </c>
      <c r="H489">
        <f>VLOOKUP(A489,NYSEARCAMUB!A$2:G$506,6,0)</f>
        <v>352649</v>
      </c>
      <c r="I489">
        <f>VLOOKUP(A489,NYSEARCAVNQ!A$2:G$506,6,0)</f>
        <v>4822219</v>
      </c>
      <c r="J489">
        <f>VLOOKUP(A489,NYSEARCARWX!A$2:G$506,6,0)</f>
        <v>293996</v>
      </c>
      <c r="K489">
        <f>VLOOKUP(A489,NYSEARCADBC!A$2:G$506,6,0)</f>
        <v>919028</v>
      </c>
      <c r="L489">
        <f>VLOOKUP(A489,NYSEARCAGSG!A$2:G$506,6,0)</f>
        <v>249550</v>
      </c>
      <c r="M489">
        <f>VLOOKUP(A489,NYSEARCAGLD!A$2:G$506,6,0)</f>
        <v>8266954</v>
      </c>
      <c r="N489">
        <f>VLOOKUP(A489,NYSEBP!A$2:G$506,6,0)</f>
        <v>5884790</v>
      </c>
      <c r="O489">
        <f>VLOOKUP(A489,NASDAQYHOO!A$2:G$506,6,0)</f>
        <v>10635392</v>
      </c>
    </row>
    <row r="490" spans="1:15">
      <c r="A490" s="39">
        <v>42853</v>
      </c>
      <c r="B490">
        <v>7330420</v>
      </c>
      <c r="C490">
        <f>VLOOKUP(A490,NYSEARCAVTI!A$2:G$506,6,0)</f>
        <v>1795827</v>
      </c>
      <c r="D490">
        <f>VLOOKUP(A490,NYSEARCAVEU!A$2:G$506,6,0)</f>
        <v>1245121</v>
      </c>
      <c r="E490">
        <f>VLOOKUP(A490,NYSEARCAVWO!A$2:G$506,6,0)</f>
        <v>11072591</v>
      </c>
      <c r="F490">
        <f>VLOOKUP(A490,NYSEARCABND!A$2:G$506,6,0)</f>
        <v>2100002</v>
      </c>
      <c r="G490">
        <f>VLOOKUP(A490,NYSEARCATIP!A$2:G$506,6,0)</f>
        <v>2351009</v>
      </c>
      <c r="H490">
        <f>VLOOKUP(A490,NYSEARCAMUB!A$2:G$506,6,0)</f>
        <v>519533</v>
      </c>
      <c r="I490">
        <f>VLOOKUP(A490,NYSEARCAVNQ!A$2:G$506,6,0)</f>
        <v>5983748</v>
      </c>
      <c r="J490">
        <f>VLOOKUP(A490,NYSEARCARWX!A$2:G$506,6,0)</f>
        <v>627183</v>
      </c>
      <c r="K490">
        <f>VLOOKUP(A490,NYSEARCADBC!A$2:G$506,6,0)</f>
        <v>2065889</v>
      </c>
      <c r="L490">
        <f>VLOOKUP(A490,NYSEARCAGSG!A$2:G$506,6,0)</f>
        <v>219381</v>
      </c>
      <c r="M490">
        <f>VLOOKUP(A490,NYSEARCAGLD!A$2:G$506,6,0)</f>
        <v>9134246</v>
      </c>
      <c r="N490">
        <f>VLOOKUP(A490,NYSEBP!A$2:G$506,6,0)</f>
        <v>4257851</v>
      </c>
      <c r="O490">
        <f>VLOOKUP(A490,NASDAQYHOO!A$2:G$506,6,0)</f>
        <v>4925538</v>
      </c>
    </row>
    <row r="491" spans="1:15">
      <c r="A491" s="39">
        <v>42856</v>
      </c>
      <c r="B491">
        <v>6165912</v>
      </c>
      <c r="C491">
        <f>VLOOKUP(A491,NYSEARCAVTI!A$2:G$506,6,0)</f>
        <v>1983507</v>
      </c>
      <c r="D491">
        <f>VLOOKUP(A491,NYSEARCAVEU!A$2:G$506,6,0)</f>
        <v>1676487</v>
      </c>
      <c r="E491">
        <f>VLOOKUP(A491,NYSEARCAVWO!A$2:G$506,6,0)</f>
        <v>11578862</v>
      </c>
      <c r="F491">
        <f>VLOOKUP(A491,NYSEARCABND!A$2:G$506,6,0)</f>
        <v>1478157</v>
      </c>
      <c r="G491">
        <f>VLOOKUP(A491,NYSEARCATIP!A$2:G$506,6,0)</f>
        <v>1221900</v>
      </c>
      <c r="H491">
        <f>VLOOKUP(A491,NYSEARCAMUB!A$2:G$506,6,0)</f>
        <v>546642</v>
      </c>
      <c r="I491">
        <f>VLOOKUP(A491,NYSEARCAVNQ!A$2:G$506,6,0)</f>
        <v>6003561</v>
      </c>
      <c r="J491">
        <f>VLOOKUP(A491,NYSEARCARWX!A$2:G$506,6,0)</f>
        <v>1129086</v>
      </c>
      <c r="K491">
        <f>VLOOKUP(A491,NYSEARCADBC!A$2:G$506,6,0)</f>
        <v>3598660</v>
      </c>
      <c r="L491">
        <f>VLOOKUP(A491,NYSEARCAGSG!A$2:G$506,6,0)</f>
        <v>343581</v>
      </c>
      <c r="M491">
        <f>VLOOKUP(A491,NYSEARCAGLD!A$2:G$506,6,0)</f>
        <v>9331809</v>
      </c>
      <c r="N491">
        <f>VLOOKUP(A491,NYSEBP!A$2:G$506,6,0)</f>
        <v>5488794</v>
      </c>
      <c r="O491">
        <f>VLOOKUP(A491,NASDAQYHOO!A$2:G$506,6,0)</f>
        <v>6386542</v>
      </c>
    </row>
    <row r="492" spans="1:15">
      <c r="A492" s="39">
        <v>42857</v>
      </c>
      <c r="B492">
        <v>7318362</v>
      </c>
      <c r="C492">
        <f>VLOOKUP(A492,NYSEARCAVTI!A$2:G$506,6,0)</f>
        <v>1756917</v>
      </c>
      <c r="D492">
        <f>VLOOKUP(A492,NYSEARCAVEU!A$2:G$506,6,0)</f>
        <v>1277386</v>
      </c>
      <c r="E492">
        <f>VLOOKUP(A492,NYSEARCAVWO!A$2:G$506,6,0)</f>
        <v>12444461</v>
      </c>
      <c r="F492">
        <f>VLOOKUP(A492,NYSEARCABND!A$2:G$506,6,0)</f>
        <v>1664291</v>
      </c>
      <c r="G492">
        <f>VLOOKUP(A492,NYSEARCATIP!A$2:G$506,6,0)</f>
        <v>1102120</v>
      </c>
      <c r="H492">
        <f>VLOOKUP(A492,NYSEARCAMUB!A$2:G$506,6,0)</f>
        <v>420798</v>
      </c>
      <c r="I492">
        <f>VLOOKUP(A492,NYSEARCAVNQ!A$2:G$506,6,0)</f>
        <v>4930021</v>
      </c>
      <c r="J492">
        <f>VLOOKUP(A492,NYSEARCARWX!A$2:G$506,6,0)</f>
        <v>545552</v>
      </c>
      <c r="K492">
        <f>VLOOKUP(A492,NYSEARCADBC!A$2:G$506,6,0)</f>
        <v>3161977</v>
      </c>
      <c r="L492">
        <f>VLOOKUP(A492,NYSEARCAGSG!A$2:G$506,6,0)</f>
        <v>165291</v>
      </c>
      <c r="M492">
        <f>VLOOKUP(A492,NYSEARCAGLD!A$2:G$506,6,0)</f>
        <v>4900784</v>
      </c>
      <c r="N492">
        <f>VLOOKUP(A492,NYSEBP!A$2:G$506,6,0)</f>
        <v>8663514</v>
      </c>
      <c r="O492">
        <f>VLOOKUP(A492,NASDAQYHOO!A$2:G$506,6,0)</f>
        <v>6106265</v>
      </c>
    </row>
    <row r="493" spans="1:15">
      <c r="A493" s="39">
        <v>42858</v>
      </c>
      <c r="B493">
        <v>5523624</v>
      </c>
      <c r="C493">
        <f>VLOOKUP(A493,NYSEARCAVTI!A$2:G$506,6,0)</f>
        <v>3690976</v>
      </c>
      <c r="D493">
        <f>VLOOKUP(A493,NYSEARCAVEU!A$2:G$506,6,0)</f>
        <v>1223836</v>
      </c>
      <c r="E493">
        <f>VLOOKUP(A493,NYSEARCAVWO!A$2:G$506,6,0)</f>
        <v>11621678</v>
      </c>
      <c r="F493">
        <f>VLOOKUP(A493,NYSEARCABND!A$2:G$506,6,0)</f>
        <v>2948426</v>
      </c>
      <c r="G493">
        <f>VLOOKUP(A493,NYSEARCATIP!A$2:G$506,6,0)</f>
        <v>908044</v>
      </c>
      <c r="H493">
        <f>VLOOKUP(A493,NYSEARCAMUB!A$2:G$506,6,0)</f>
        <v>397336</v>
      </c>
      <c r="I493">
        <f>VLOOKUP(A493,NYSEARCAVNQ!A$2:G$506,6,0)</f>
        <v>6207577</v>
      </c>
      <c r="J493">
        <f>VLOOKUP(A493,NYSEARCARWX!A$2:G$506,6,0)</f>
        <v>437142</v>
      </c>
      <c r="K493">
        <f>VLOOKUP(A493,NYSEARCADBC!A$2:G$506,6,0)</f>
        <v>2146443</v>
      </c>
      <c r="L493">
        <f>VLOOKUP(A493,NYSEARCAGSG!A$2:G$506,6,0)</f>
        <v>84991</v>
      </c>
      <c r="M493">
        <f>VLOOKUP(A493,NYSEARCAGLD!A$2:G$506,6,0)</f>
        <v>10811052</v>
      </c>
      <c r="N493">
        <f>VLOOKUP(A493,NYSEBP!A$2:G$506,6,0)</f>
        <v>5648174</v>
      </c>
      <c r="O493">
        <f>VLOOKUP(A493,NASDAQYHOO!A$2:G$506,6,0)</f>
        <v>4702411</v>
      </c>
    </row>
    <row r="494" spans="1:15">
      <c r="A494" s="39">
        <v>42859</v>
      </c>
      <c r="B494">
        <v>5500802</v>
      </c>
      <c r="C494">
        <f>VLOOKUP(A494,NYSEARCAVTI!A$2:G$506,6,0)</f>
        <v>1564459</v>
      </c>
      <c r="D494">
        <f>VLOOKUP(A494,NYSEARCAVEU!A$2:G$506,6,0)</f>
        <v>1127750</v>
      </c>
      <c r="E494">
        <f>VLOOKUP(A494,NYSEARCAVWO!A$2:G$506,6,0)</f>
        <v>8595272</v>
      </c>
      <c r="F494">
        <f>VLOOKUP(A494,NYSEARCABND!A$2:G$506,6,0)</f>
        <v>1216082</v>
      </c>
      <c r="G494">
        <f>VLOOKUP(A494,NYSEARCATIP!A$2:G$506,6,0)</f>
        <v>865044</v>
      </c>
      <c r="H494">
        <f>VLOOKUP(A494,NYSEARCAMUB!A$2:G$506,6,0)</f>
        <v>450384</v>
      </c>
      <c r="I494">
        <f>VLOOKUP(A494,NYSEARCAVNQ!A$2:G$506,6,0)</f>
        <v>8025099</v>
      </c>
      <c r="J494">
        <f>VLOOKUP(A494,NYSEARCARWX!A$2:G$506,6,0)</f>
        <v>424654</v>
      </c>
      <c r="K494">
        <f>VLOOKUP(A494,NYSEARCADBC!A$2:G$506,6,0)</f>
        <v>3352873</v>
      </c>
      <c r="L494">
        <f>VLOOKUP(A494,NYSEARCAGSG!A$2:G$506,6,0)</f>
        <v>90057</v>
      </c>
      <c r="M494">
        <f>VLOOKUP(A494,NYSEARCAGLD!A$2:G$506,6,0)</f>
        <v>12406931</v>
      </c>
      <c r="N494">
        <f>VLOOKUP(A494,NYSEBP!A$2:G$506,6,0)</f>
        <v>5219771</v>
      </c>
      <c r="O494">
        <f>VLOOKUP(A494,NASDAQYHOO!A$2:G$506,6,0)</f>
        <v>6208893</v>
      </c>
    </row>
    <row r="495" spans="1:15">
      <c r="A495" s="39">
        <v>42860</v>
      </c>
      <c r="B495">
        <v>5597759</v>
      </c>
      <c r="C495">
        <f>VLOOKUP(A495,NYSEARCAVTI!A$2:G$506,6,0)</f>
        <v>2057663</v>
      </c>
      <c r="D495">
        <f>VLOOKUP(A495,NYSEARCAVEU!A$2:G$506,6,0)</f>
        <v>1275385</v>
      </c>
      <c r="E495">
        <f>VLOOKUP(A495,NYSEARCAVWO!A$2:G$506,6,0)</f>
        <v>12179682</v>
      </c>
      <c r="F495">
        <f>VLOOKUP(A495,NYSEARCABND!A$2:G$506,6,0)</f>
        <v>1658920</v>
      </c>
      <c r="G495">
        <f>VLOOKUP(A495,NYSEARCATIP!A$2:G$506,6,0)</f>
        <v>632838</v>
      </c>
      <c r="H495">
        <f>VLOOKUP(A495,NYSEARCAMUB!A$2:G$506,6,0)</f>
        <v>293553</v>
      </c>
      <c r="I495">
        <f>VLOOKUP(A495,NYSEARCAVNQ!A$2:G$506,6,0)</f>
        <v>5458059</v>
      </c>
      <c r="J495">
        <f>VLOOKUP(A495,NYSEARCARWX!A$2:G$506,6,0)</f>
        <v>317210</v>
      </c>
      <c r="K495">
        <f>VLOOKUP(A495,NYSEARCADBC!A$2:G$506,6,0)</f>
        <v>2436220</v>
      </c>
      <c r="L495">
        <f>VLOOKUP(A495,NYSEARCAGSG!A$2:G$506,6,0)</f>
        <v>210232</v>
      </c>
      <c r="M495">
        <f>VLOOKUP(A495,NYSEARCAGLD!A$2:G$506,6,0)</f>
        <v>7127199</v>
      </c>
      <c r="N495">
        <f>VLOOKUP(A495,NYSEBP!A$2:G$506,6,0)</f>
        <v>6863475</v>
      </c>
      <c r="O495">
        <f>VLOOKUP(A495,NASDAQYHOO!A$2:G$506,6,0)</f>
        <v>7835467</v>
      </c>
    </row>
    <row r="496" spans="1:15">
      <c r="A496" s="39">
        <v>42863</v>
      </c>
      <c r="B496">
        <v>6512180</v>
      </c>
      <c r="C496">
        <f>VLOOKUP(A496,NYSEARCAVTI!A$2:G$506,6,0)</f>
        <v>2150873</v>
      </c>
      <c r="D496">
        <f>VLOOKUP(A496,NYSEARCAVEU!A$2:G$506,6,0)</f>
        <v>1707045</v>
      </c>
      <c r="E496">
        <f>VLOOKUP(A496,NYSEARCAVWO!A$2:G$506,6,0)</f>
        <v>11275723</v>
      </c>
      <c r="F496">
        <f>VLOOKUP(A496,NYSEARCABND!A$2:G$506,6,0)</f>
        <v>1832262</v>
      </c>
      <c r="G496">
        <f>VLOOKUP(A496,NYSEARCATIP!A$2:G$506,6,0)</f>
        <v>1983487</v>
      </c>
      <c r="H496">
        <f>VLOOKUP(A496,NYSEARCAMUB!A$2:G$506,6,0)</f>
        <v>428579</v>
      </c>
      <c r="I496">
        <f>VLOOKUP(A496,NYSEARCAVNQ!A$2:G$506,6,0)</f>
        <v>3940834</v>
      </c>
      <c r="J496">
        <f>VLOOKUP(A496,NYSEARCARWX!A$2:G$506,6,0)</f>
        <v>979392</v>
      </c>
      <c r="K496">
        <f>VLOOKUP(A496,NYSEARCADBC!A$2:G$506,6,0)</f>
        <v>1583092</v>
      </c>
      <c r="L496">
        <f>VLOOKUP(A496,NYSEARCAGSG!A$2:G$506,6,0)</f>
        <v>55334</v>
      </c>
      <c r="M496">
        <f>VLOOKUP(A496,NYSEARCAGLD!A$2:G$506,6,0)</f>
        <v>5438375</v>
      </c>
      <c r="N496">
        <f>VLOOKUP(A496,NYSEBP!A$2:G$506,6,0)</f>
        <v>5413162</v>
      </c>
      <c r="O496">
        <f>VLOOKUP(A496,NASDAQYHOO!A$2:G$506,6,0)</f>
        <v>10059557</v>
      </c>
    </row>
    <row r="497" spans="1:15">
      <c r="A497" s="39">
        <v>42864</v>
      </c>
      <c r="B497">
        <v>8255282</v>
      </c>
      <c r="C497">
        <f>VLOOKUP(A497,NYSEARCAVTI!A$2:G$506,6,0)</f>
        <v>1846216</v>
      </c>
      <c r="D497">
        <f>VLOOKUP(A497,NYSEARCAVEU!A$2:G$506,6,0)</f>
        <v>2404019</v>
      </c>
      <c r="E497">
        <f>VLOOKUP(A497,NYSEARCAVWO!A$2:G$506,6,0)</f>
        <v>11585195</v>
      </c>
      <c r="F497">
        <f>VLOOKUP(A497,NYSEARCABND!A$2:G$506,6,0)</f>
        <v>2532184</v>
      </c>
      <c r="G497">
        <f>VLOOKUP(A497,NYSEARCATIP!A$2:G$506,6,0)</f>
        <v>1319156</v>
      </c>
      <c r="H497">
        <f>VLOOKUP(A497,NYSEARCAMUB!A$2:G$506,6,0)</f>
        <v>463070</v>
      </c>
      <c r="I497">
        <f>VLOOKUP(A497,NYSEARCAVNQ!A$2:G$506,6,0)</f>
        <v>5790894</v>
      </c>
      <c r="J497">
        <f>VLOOKUP(A497,NYSEARCARWX!A$2:G$506,6,0)</f>
        <v>365438</v>
      </c>
      <c r="K497">
        <f>VLOOKUP(A497,NYSEARCADBC!A$2:G$506,6,0)</f>
        <v>1472964</v>
      </c>
      <c r="L497">
        <f>VLOOKUP(A497,NYSEARCAGSG!A$2:G$506,6,0)</f>
        <v>85858</v>
      </c>
      <c r="M497">
        <f>VLOOKUP(A497,NYSEARCAGLD!A$2:G$506,6,0)</f>
        <v>6801280</v>
      </c>
      <c r="N497">
        <f>VLOOKUP(A497,NYSEBP!A$2:G$506,6,0)</f>
        <v>6777182</v>
      </c>
      <c r="O497">
        <f>VLOOKUP(A497,NASDAQYHOO!A$2:G$506,6,0)</f>
        <v>10279065</v>
      </c>
    </row>
    <row r="498" spans="1:15">
      <c r="A498" s="39">
        <v>42865</v>
      </c>
      <c r="B498">
        <v>7511921</v>
      </c>
      <c r="C498">
        <f>VLOOKUP(A498,NYSEARCAVTI!A$2:G$506,6,0)</f>
        <v>1468633</v>
      </c>
      <c r="D498">
        <f>VLOOKUP(A498,NYSEARCAVEU!A$2:G$506,6,0)</f>
        <v>1283289</v>
      </c>
      <c r="E498">
        <f>VLOOKUP(A498,NYSEARCAVWO!A$2:G$506,6,0)</f>
        <v>11575636</v>
      </c>
      <c r="F498">
        <f>VLOOKUP(A498,NYSEARCABND!A$2:G$506,6,0)</f>
        <v>1845536</v>
      </c>
      <c r="G498">
        <f>VLOOKUP(A498,NYSEARCATIP!A$2:G$506,6,0)</f>
        <v>3910100</v>
      </c>
      <c r="H498">
        <f>VLOOKUP(A498,NYSEARCAMUB!A$2:G$506,6,0)</f>
        <v>511064</v>
      </c>
      <c r="I498">
        <f>VLOOKUP(A498,NYSEARCAVNQ!A$2:G$506,6,0)</f>
        <v>3801407</v>
      </c>
      <c r="J498">
        <f>VLOOKUP(A498,NYSEARCARWX!A$2:G$506,6,0)</f>
        <v>553671</v>
      </c>
      <c r="K498">
        <f>VLOOKUP(A498,NYSEARCADBC!A$2:G$506,6,0)</f>
        <v>2232071</v>
      </c>
      <c r="L498">
        <f>VLOOKUP(A498,NYSEARCAGSG!A$2:G$506,6,0)</f>
        <v>75247</v>
      </c>
      <c r="M498">
        <f>VLOOKUP(A498,NYSEARCAGLD!A$2:G$506,6,0)</f>
        <v>4290459</v>
      </c>
      <c r="N498">
        <f>VLOOKUP(A498,NYSEBP!A$2:G$506,6,0)</f>
        <v>5699130</v>
      </c>
      <c r="O498">
        <f>VLOOKUP(A498,NASDAQYHOO!A$2:G$506,6,0)</f>
        <v>8360446</v>
      </c>
    </row>
    <row r="499" spans="1:15">
      <c r="A499" s="39">
        <v>42866</v>
      </c>
      <c r="B499">
        <v>8349403</v>
      </c>
      <c r="C499">
        <f>VLOOKUP(A499,NYSEARCAVTI!A$2:G$506,6,0)</f>
        <v>1500018</v>
      </c>
      <c r="D499">
        <f>VLOOKUP(A499,NYSEARCAVEU!A$2:G$506,6,0)</f>
        <v>1548461</v>
      </c>
      <c r="E499">
        <f>VLOOKUP(A499,NYSEARCAVWO!A$2:G$506,6,0)</f>
        <v>15037444</v>
      </c>
      <c r="F499">
        <f>VLOOKUP(A499,NYSEARCABND!A$2:G$506,6,0)</f>
        <v>1421523</v>
      </c>
      <c r="G499">
        <f>VLOOKUP(A499,NYSEARCATIP!A$2:G$506,6,0)</f>
        <v>1350301</v>
      </c>
      <c r="H499">
        <f>VLOOKUP(A499,NYSEARCAMUB!A$2:G$506,6,0)</f>
        <v>410968</v>
      </c>
      <c r="I499">
        <f>VLOOKUP(A499,NYSEARCAVNQ!A$2:G$506,6,0)</f>
        <v>3542814</v>
      </c>
      <c r="J499">
        <f>VLOOKUP(A499,NYSEARCARWX!A$2:G$506,6,0)</f>
        <v>549813</v>
      </c>
      <c r="K499">
        <f>VLOOKUP(A499,NYSEARCADBC!A$2:G$506,6,0)</f>
        <v>1312198</v>
      </c>
      <c r="L499">
        <f>VLOOKUP(A499,NYSEARCAGSG!A$2:G$506,6,0)</f>
        <v>47958</v>
      </c>
      <c r="M499">
        <f>VLOOKUP(A499,NYSEARCAGLD!A$2:G$506,6,0)</f>
        <v>6274368</v>
      </c>
      <c r="N499">
        <f>VLOOKUP(A499,NYSEBP!A$2:G$506,6,0)</f>
        <v>6670568</v>
      </c>
      <c r="O499">
        <f>VLOOKUP(A499,NASDAQYHOO!A$2:G$506,6,0)</f>
        <v>6142929</v>
      </c>
    </row>
    <row r="500" spans="1:15">
      <c r="A500" s="39">
        <v>42867</v>
      </c>
      <c r="B500">
        <v>5892910</v>
      </c>
      <c r="C500">
        <f>VLOOKUP(A500,NYSEARCAVTI!A$2:G$506,6,0)</f>
        <v>1235304</v>
      </c>
      <c r="D500">
        <f>VLOOKUP(A500,NYSEARCAVEU!A$2:G$506,6,0)</f>
        <v>1174404</v>
      </c>
      <c r="E500">
        <f>VLOOKUP(A500,NYSEARCAVWO!A$2:G$506,6,0)</f>
        <v>12963923</v>
      </c>
      <c r="F500">
        <f>VLOOKUP(A500,NYSEARCABND!A$2:G$506,6,0)</f>
        <v>1510314</v>
      </c>
      <c r="G500">
        <f>VLOOKUP(A500,NYSEARCATIP!A$2:G$506,6,0)</f>
        <v>778621</v>
      </c>
      <c r="H500">
        <f>VLOOKUP(A500,NYSEARCAMUB!A$2:G$506,6,0)</f>
        <v>320256</v>
      </c>
      <c r="I500">
        <f>VLOOKUP(A500,NYSEARCAVNQ!A$2:G$506,6,0)</f>
        <v>3115409</v>
      </c>
      <c r="J500">
        <f>VLOOKUP(A500,NYSEARCARWX!A$2:G$506,6,0)</f>
        <v>661064</v>
      </c>
      <c r="K500">
        <f>VLOOKUP(A500,NYSEARCADBC!A$2:G$506,6,0)</f>
        <v>788714</v>
      </c>
      <c r="L500">
        <f>VLOOKUP(A500,NYSEARCAGSG!A$2:G$506,6,0)</f>
        <v>948136</v>
      </c>
      <c r="M500">
        <f>VLOOKUP(A500,NYSEARCAGLD!A$2:G$506,6,0)</f>
        <v>5434477</v>
      </c>
      <c r="N500">
        <f>VLOOKUP(A500,NYSEBP!A$2:G$506,6,0)</f>
        <v>4780470</v>
      </c>
      <c r="O500">
        <f>VLOOKUP(A500,NASDAQYHOO!A$2:G$506,6,0)</f>
        <v>6185780</v>
      </c>
    </row>
    <row r="501" spans="1:15">
      <c r="A501" s="39">
        <v>42870</v>
      </c>
      <c r="B501">
        <v>8843873</v>
      </c>
      <c r="C501">
        <f>VLOOKUP(A501,NYSEARCAVTI!A$2:G$506,6,0)</f>
        <v>3097149</v>
      </c>
      <c r="D501">
        <f>VLOOKUP(A501,NYSEARCAVEU!A$2:G$506,6,0)</f>
        <v>1830096</v>
      </c>
      <c r="E501">
        <f>VLOOKUP(A501,NYSEARCAVWO!A$2:G$506,6,0)</f>
        <v>11248335</v>
      </c>
      <c r="F501">
        <f>VLOOKUP(A501,NYSEARCABND!A$2:G$506,6,0)</f>
        <v>1823465</v>
      </c>
      <c r="G501">
        <f>VLOOKUP(A501,NYSEARCATIP!A$2:G$506,6,0)</f>
        <v>733287</v>
      </c>
      <c r="H501">
        <f>VLOOKUP(A501,NYSEARCAMUB!A$2:G$506,6,0)</f>
        <v>448582</v>
      </c>
      <c r="I501">
        <f>VLOOKUP(A501,NYSEARCAVNQ!A$2:G$506,6,0)</f>
        <v>3263946</v>
      </c>
      <c r="J501">
        <f>VLOOKUP(A501,NYSEARCARWX!A$2:G$506,6,0)</f>
        <v>203418</v>
      </c>
      <c r="K501">
        <f>VLOOKUP(A501,NYSEARCADBC!A$2:G$506,6,0)</f>
        <v>893761</v>
      </c>
      <c r="L501">
        <f>VLOOKUP(A501,NYSEARCAGSG!A$2:G$506,6,0)</f>
        <v>349289</v>
      </c>
      <c r="M501">
        <f>VLOOKUP(A501,NYSEARCAGLD!A$2:G$506,6,0)</f>
        <v>5019589</v>
      </c>
      <c r="N501">
        <f>VLOOKUP(A501,NYSEBP!A$2:G$506,6,0)</f>
        <v>8786220</v>
      </c>
      <c r="O501">
        <f>VLOOKUP(A501,NASDAQYHOO!A$2:G$506,6,0)</f>
        <v>9129285</v>
      </c>
    </row>
    <row r="502" spans="1:15">
      <c r="A502" s="39">
        <v>42871</v>
      </c>
      <c r="B502">
        <v>8371802</v>
      </c>
      <c r="C502">
        <f>VLOOKUP(A502,NYSEARCAVTI!A$2:G$506,6,0)</f>
        <v>2128403</v>
      </c>
      <c r="D502">
        <f>VLOOKUP(A502,NYSEARCAVEU!A$2:G$506,6,0)</f>
        <v>2110313</v>
      </c>
      <c r="E502">
        <f>VLOOKUP(A502,NYSEARCAVWO!A$2:G$506,6,0)</f>
        <v>12030940</v>
      </c>
      <c r="F502">
        <f>VLOOKUP(A502,NYSEARCABND!A$2:G$506,6,0)</f>
        <v>1760573</v>
      </c>
      <c r="G502">
        <f>VLOOKUP(A502,NYSEARCATIP!A$2:G$506,6,0)</f>
        <v>651269</v>
      </c>
      <c r="H502">
        <f>VLOOKUP(A502,NYSEARCAMUB!A$2:G$506,6,0)</f>
        <v>438502</v>
      </c>
      <c r="I502">
        <f>VLOOKUP(A502,NYSEARCAVNQ!A$2:G$506,6,0)</f>
        <v>4338574</v>
      </c>
      <c r="J502">
        <f>VLOOKUP(A502,NYSEARCARWX!A$2:G$506,6,0)</f>
        <v>481453</v>
      </c>
      <c r="K502">
        <f>VLOOKUP(A502,NYSEARCADBC!A$2:G$506,6,0)</f>
        <v>755684</v>
      </c>
      <c r="L502">
        <f>VLOOKUP(A502,NYSEARCAGSG!A$2:G$506,6,0)</f>
        <v>221456</v>
      </c>
      <c r="M502">
        <f>VLOOKUP(A502,NYSEARCAGLD!A$2:G$506,6,0)</f>
        <v>4942822</v>
      </c>
      <c r="N502">
        <f>VLOOKUP(A502,NYSEBP!A$2:G$506,6,0)</f>
        <v>9797626</v>
      </c>
      <c r="O502">
        <f>VLOOKUP(A502,NASDAQYHOO!A$2:G$506,6,0)</f>
        <v>19423578</v>
      </c>
    </row>
    <row r="503" spans="1:15">
      <c r="A503" s="39">
        <v>42872</v>
      </c>
      <c r="B503">
        <v>10970970</v>
      </c>
      <c r="C503">
        <f>VLOOKUP(A503,NYSEARCAVTI!A$2:G$506,6,0)</f>
        <v>3703517</v>
      </c>
      <c r="D503">
        <f>VLOOKUP(A503,NYSEARCAVEU!A$2:G$506,6,0)</f>
        <v>2262366</v>
      </c>
      <c r="E503">
        <f>VLOOKUP(A503,NYSEARCAVWO!A$2:G$506,6,0)</f>
        <v>15453262</v>
      </c>
      <c r="F503">
        <f>VLOOKUP(A503,NYSEARCABND!A$2:G$506,6,0)</f>
        <v>1987109</v>
      </c>
      <c r="G503">
        <f>VLOOKUP(A503,NYSEARCATIP!A$2:G$506,6,0)</f>
        <v>1044218</v>
      </c>
      <c r="H503">
        <f>VLOOKUP(A503,NYSEARCAMUB!A$2:G$506,6,0)</f>
        <v>813762</v>
      </c>
      <c r="I503">
        <f>VLOOKUP(A503,NYSEARCAVNQ!A$2:G$506,6,0)</f>
        <v>7243679</v>
      </c>
      <c r="J503">
        <f>VLOOKUP(A503,NYSEARCARWX!A$2:G$506,6,0)</f>
        <v>757931</v>
      </c>
      <c r="K503">
        <f>VLOOKUP(A503,NYSEARCADBC!A$2:G$506,6,0)</f>
        <v>3215022</v>
      </c>
      <c r="L503">
        <f>VLOOKUP(A503,NYSEARCAGSG!A$2:G$506,6,0)</f>
        <v>430352</v>
      </c>
      <c r="M503">
        <f>VLOOKUP(A503,NYSEARCAGLD!A$2:G$506,6,0)</f>
        <v>13936876</v>
      </c>
      <c r="N503">
        <f>VLOOKUP(A503,NYSEBP!A$2:G$506,6,0)</f>
        <v>9600977</v>
      </c>
      <c r="O503">
        <f>VLOOKUP(A503,NASDAQYHOO!A$2:G$506,6,0)</f>
        <v>20954125</v>
      </c>
    </row>
    <row r="504" spans="1:15">
      <c r="A504" s="39">
        <v>42873</v>
      </c>
      <c r="B504">
        <v>19166801</v>
      </c>
      <c r="C504">
        <f>VLOOKUP(A504,NYSEARCAVTI!A$2:G$506,6,0)</f>
        <v>2883455</v>
      </c>
      <c r="D504">
        <f>VLOOKUP(A504,NYSEARCAVEU!A$2:G$506,6,0)</f>
        <v>3195011</v>
      </c>
      <c r="E504">
        <f>VLOOKUP(A504,NYSEARCAVWO!A$2:G$506,6,0)</f>
        <v>28731150</v>
      </c>
      <c r="F504">
        <f>VLOOKUP(A504,NYSEARCABND!A$2:G$506,6,0)</f>
        <v>1881841</v>
      </c>
      <c r="G504">
        <f>VLOOKUP(A504,NYSEARCATIP!A$2:G$506,6,0)</f>
        <v>2719626</v>
      </c>
      <c r="H504">
        <f>VLOOKUP(A504,NYSEARCAMUB!A$2:G$506,6,0)</f>
        <v>326153</v>
      </c>
      <c r="I504">
        <f>VLOOKUP(A504,NYSEARCAVNQ!A$2:G$506,6,0)</f>
        <v>4128222</v>
      </c>
      <c r="J504">
        <f>VLOOKUP(A504,NYSEARCARWX!A$2:G$506,6,0)</f>
        <v>730265</v>
      </c>
      <c r="K504">
        <f>VLOOKUP(A504,NYSEARCADBC!A$2:G$506,6,0)</f>
        <v>841738</v>
      </c>
      <c r="L504">
        <f>VLOOKUP(A504,NYSEARCAGSG!A$2:G$506,6,0)</f>
        <v>177079</v>
      </c>
      <c r="M504">
        <f>VLOOKUP(A504,NYSEARCAGLD!A$2:G$506,6,0)</f>
        <v>10341141</v>
      </c>
      <c r="N504">
        <f>VLOOKUP(A504,NYSEBP!A$2:G$506,6,0)</f>
        <v>10847060</v>
      </c>
      <c r="O504">
        <f>VLOOKUP(A504,NASDAQYHOO!A$2:G$506,6,0)</f>
        <v>13737509</v>
      </c>
    </row>
    <row r="505" spans="1:15">
      <c r="A505" s="39">
        <v>42874</v>
      </c>
      <c r="B505">
        <v>18581717</v>
      </c>
      <c r="C505">
        <f>VLOOKUP(A505,NYSEARCAVTI!A$2:G$506,6,0)</f>
        <v>2144173</v>
      </c>
      <c r="D505">
        <f>VLOOKUP(A505,NYSEARCAVEU!A$2:G$506,6,0)</f>
        <v>1554436</v>
      </c>
      <c r="E505">
        <f>VLOOKUP(A505,NYSEARCAVWO!A$2:G$506,6,0)</f>
        <v>13669292</v>
      </c>
      <c r="F505">
        <f>VLOOKUP(A505,NYSEARCABND!A$2:G$506,6,0)</f>
        <v>1394681</v>
      </c>
      <c r="G505">
        <f>VLOOKUP(A505,NYSEARCATIP!A$2:G$506,6,0)</f>
        <v>712674</v>
      </c>
      <c r="H505">
        <f>VLOOKUP(A505,NYSEARCAMUB!A$2:G$506,6,0)</f>
        <v>340487</v>
      </c>
      <c r="I505">
        <f>VLOOKUP(A505,NYSEARCAVNQ!A$2:G$506,6,0)</f>
        <v>6390302</v>
      </c>
      <c r="J505">
        <f>VLOOKUP(A505,NYSEARCARWX!A$2:G$506,6,0)</f>
        <v>236674</v>
      </c>
      <c r="K505">
        <f>VLOOKUP(A505,NYSEARCADBC!A$2:G$506,6,0)</f>
        <v>736627</v>
      </c>
      <c r="L505">
        <f>VLOOKUP(A505,NYSEARCAGSG!A$2:G$506,6,0)</f>
        <v>135458</v>
      </c>
      <c r="M505">
        <f>VLOOKUP(A505,NYSEARCAGLD!A$2:G$506,6,0)</f>
        <v>6787254</v>
      </c>
      <c r="N505">
        <f>VLOOKUP(A505,NYSEBP!A$2:G$506,6,0)</f>
        <v>6528239</v>
      </c>
      <c r="O505">
        <f>VLOOKUP(A505,NASDAQYHOO!A$2:G$506,6,0)</f>
        <v>11181962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05"/>
  <sheetViews>
    <sheetView workbookViewId="0"/>
  </sheetViews>
  <sheetFormatPr defaultRowHeight="15"/>
  <cols>
    <col min="1" max="1" width="10.42578125" bestFit="1" customWidth="1"/>
  </cols>
  <sheetData>
    <row r="1" spans="1:15">
      <c r="A1" t="s">
        <v>26</v>
      </c>
      <c r="B1" t="s">
        <v>63</v>
      </c>
      <c r="C1" t="s">
        <v>39</v>
      </c>
      <c r="D1" t="s">
        <v>41</v>
      </c>
      <c r="E1" t="s">
        <v>43</v>
      </c>
      <c r="F1" t="s">
        <v>45</v>
      </c>
      <c r="G1" t="s">
        <v>47</v>
      </c>
      <c r="H1" t="s">
        <v>49</v>
      </c>
      <c r="I1" t="s">
        <v>51</v>
      </c>
      <c r="J1" t="s">
        <v>53</v>
      </c>
      <c r="K1" t="s">
        <v>55</v>
      </c>
      <c r="L1" t="s">
        <v>57</v>
      </c>
      <c r="M1" t="s">
        <v>59</v>
      </c>
      <c r="N1" t="s">
        <v>66</v>
      </c>
      <c r="O1" t="s">
        <v>70</v>
      </c>
    </row>
    <row r="2" spans="1:15">
      <c r="A2" s="39">
        <v>42145</v>
      </c>
      <c r="C2">
        <f>VLOOKUP(A2,NYSEARCAVTI!A$2:G$506,7,0)</f>
        <v>0</v>
      </c>
      <c r="D2">
        <f>VLOOKUP(A2,NYSEARCAVEU!A$2:G$506,7,0)</f>
        <v>0</v>
      </c>
      <c r="E2">
        <f>VLOOKUP(A2,NYSEARCAVWO!A$2:G$506,7,0)</f>
        <v>0</v>
      </c>
      <c r="F2">
        <f>VLOOKUP(A2,NYSEARCABND!A$2:G$506,7,0)</f>
        <v>0</v>
      </c>
      <c r="G2">
        <f>VLOOKUP(A2,NYSEARCATIP!A$2:G$506,7,0)</f>
        <v>0</v>
      </c>
      <c r="H2">
        <f>VLOOKUP(A2,NYSEARCAMUB!A$2:G$506,7,0)</f>
        <v>0</v>
      </c>
      <c r="I2">
        <f>VLOOKUP(A2,NYSEARCAVNQ!A$2:G$506,7,0)</f>
        <v>0</v>
      </c>
      <c r="J2">
        <f>VLOOKUP(A2,NYSEARCARWX!A$2:G$506,7,0)</f>
        <v>0</v>
      </c>
      <c r="K2">
        <f>VLOOKUP(A2,NYSEARCADBC!A$2:G$506,7,0)</f>
        <v>0</v>
      </c>
      <c r="L2">
        <f>VLOOKUP(A2,NYSEARCAGSG!A$2:G$506,7,0)</f>
        <v>0</v>
      </c>
      <c r="M2">
        <f>VLOOKUP(A2,NYSEARCAGLD!A$2:G$506,7,0)</f>
        <v>0</v>
      </c>
      <c r="N2">
        <f>VLOOKUP(A2,NYSEBP!A$2:G$506,7,0)</f>
        <v>0</v>
      </c>
      <c r="O2">
        <f>VLOOKUP(A2,NASDAQYHOO!A$2:G$506,7,0)</f>
        <v>0</v>
      </c>
    </row>
    <row r="3" spans="1:15">
      <c r="A3" s="39">
        <v>42146</v>
      </c>
      <c r="C3">
        <f>VLOOKUP(A3,NYSEARCAVTI!A$2:G$506,7,0)</f>
        <v>0</v>
      </c>
      <c r="D3">
        <f>VLOOKUP(A3,NYSEARCAVEU!A$2:G$506,7,0)</f>
        <v>0</v>
      </c>
      <c r="E3">
        <f>VLOOKUP(A3,NYSEARCAVWO!A$2:G$506,7,0)</f>
        <v>0</v>
      </c>
      <c r="F3">
        <f>VLOOKUP(A3,NYSEARCABND!A$2:G$506,7,0)</f>
        <v>0</v>
      </c>
      <c r="G3">
        <f>VLOOKUP(A3,NYSEARCATIP!A$2:G$506,7,0)</f>
        <v>0</v>
      </c>
      <c r="H3">
        <f>VLOOKUP(A3,NYSEARCAMUB!A$2:G$506,7,0)</f>
        <v>0</v>
      </c>
      <c r="I3">
        <f>VLOOKUP(A3,NYSEARCAVNQ!A$2:G$506,7,0)</f>
        <v>0</v>
      </c>
      <c r="J3">
        <f>VLOOKUP(A3,NYSEARCARWX!A$2:G$506,7,0)</f>
        <v>0</v>
      </c>
      <c r="K3">
        <f>VLOOKUP(A3,NYSEARCADBC!A$2:G$506,7,0)</f>
        <v>0</v>
      </c>
      <c r="L3">
        <f>VLOOKUP(A3,NYSEARCAGSG!A$2:G$506,7,0)</f>
        <v>0</v>
      </c>
      <c r="M3">
        <f>VLOOKUP(A3,NYSEARCAGLD!A$2:G$506,7,0)</f>
        <v>0</v>
      </c>
      <c r="N3">
        <f>VLOOKUP(A3,NYSEBP!A$2:G$506,7,0)</f>
        <v>0</v>
      </c>
      <c r="O3">
        <f>VLOOKUP(A3,NASDAQYHOO!A$2:G$506,7,0)</f>
        <v>0</v>
      </c>
    </row>
    <row r="4" spans="1:15">
      <c r="A4" s="39">
        <v>42150</v>
      </c>
      <c r="C4">
        <f>VLOOKUP(A4,NYSEARCAVTI!A$2:G$506,7,0)</f>
        <v>0</v>
      </c>
      <c r="D4">
        <f>VLOOKUP(A4,NYSEARCAVEU!A$2:G$506,7,0)</f>
        <v>0</v>
      </c>
      <c r="E4">
        <f>VLOOKUP(A4,NYSEARCAVWO!A$2:G$506,7,0)</f>
        <v>0</v>
      </c>
      <c r="F4">
        <f>VLOOKUP(A4,NYSEARCABND!A$2:G$506,7,0)</f>
        <v>0</v>
      </c>
      <c r="G4">
        <f>VLOOKUP(A4,NYSEARCATIP!A$2:G$506,7,0)</f>
        <v>0</v>
      </c>
      <c r="H4">
        <f>VLOOKUP(A4,NYSEARCAMUB!A$2:G$506,7,0)</f>
        <v>0</v>
      </c>
      <c r="I4">
        <f>VLOOKUP(A4,NYSEARCAVNQ!A$2:G$506,7,0)</f>
        <v>0</v>
      </c>
      <c r="J4">
        <f>VLOOKUP(A4,NYSEARCARWX!A$2:G$506,7,0)</f>
        <v>0</v>
      </c>
      <c r="K4">
        <f>VLOOKUP(A4,NYSEARCADBC!A$2:G$506,7,0)</f>
        <v>0</v>
      </c>
      <c r="L4">
        <f>VLOOKUP(A4,NYSEARCAGSG!A$2:G$506,7,0)</f>
        <v>0</v>
      </c>
      <c r="M4">
        <f>VLOOKUP(A4,NYSEARCAGLD!A$2:G$506,7,0)</f>
        <v>0</v>
      </c>
      <c r="N4">
        <f>VLOOKUP(A4,NYSEBP!A$2:G$506,7,0)</f>
        <v>0</v>
      </c>
      <c r="O4">
        <f>VLOOKUP(A4,NASDAQYHOO!A$2:G$506,7,0)</f>
        <v>0</v>
      </c>
    </row>
    <row r="5" spans="1:15">
      <c r="A5" s="39">
        <v>42151</v>
      </c>
      <c r="C5">
        <f>VLOOKUP(A5,NYSEARCAVTI!A$2:G$506,7,0)</f>
        <v>0</v>
      </c>
      <c r="D5">
        <f>VLOOKUP(A5,NYSEARCAVEU!A$2:G$506,7,0)</f>
        <v>0</v>
      </c>
      <c r="E5">
        <f>VLOOKUP(A5,NYSEARCAVWO!A$2:G$506,7,0)</f>
        <v>0</v>
      </c>
      <c r="F5">
        <f>VLOOKUP(A5,NYSEARCABND!A$2:G$506,7,0)</f>
        <v>0</v>
      </c>
      <c r="G5">
        <f>VLOOKUP(A5,NYSEARCATIP!A$2:G$506,7,0)</f>
        <v>0</v>
      </c>
      <c r="H5">
        <f>VLOOKUP(A5,NYSEARCAMUB!A$2:G$506,7,0)</f>
        <v>0</v>
      </c>
      <c r="I5">
        <f>VLOOKUP(A5,NYSEARCAVNQ!A$2:G$506,7,0)</f>
        <v>0</v>
      </c>
      <c r="J5">
        <f>VLOOKUP(A5,NYSEARCARWX!A$2:G$506,7,0)</f>
        <v>0</v>
      </c>
      <c r="K5">
        <f>VLOOKUP(A5,NYSEARCADBC!A$2:G$506,7,0)</f>
        <v>0</v>
      </c>
      <c r="L5">
        <f>VLOOKUP(A5,NYSEARCAGSG!A$2:G$506,7,0)</f>
        <v>0</v>
      </c>
      <c r="M5">
        <f>VLOOKUP(A5,NYSEARCAGLD!A$2:G$506,7,0)</f>
        <v>0</v>
      </c>
      <c r="N5">
        <f>VLOOKUP(A5,NYSEBP!A$2:G$506,7,0)</f>
        <v>0</v>
      </c>
      <c r="O5">
        <f>VLOOKUP(A5,NASDAQYHOO!A$2:G$506,7,0)</f>
        <v>0</v>
      </c>
    </row>
    <row r="6" spans="1:15">
      <c r="A6" s="39">
        <v>42152</v>
      </c>
      <c r="C6">
        <f>VLOOKUP(A6,NYSEARCAVTI!A$2:G$506,7,0)</f>
        <v>0</v>
      </c>
      <c r="D6">
        <f>VLOOKUP(A6,NYSEARCAVEU!A$2:G$506,7,0)</f>
        <v>0</v>
      </c>
      <c r="E6">
        <f>VLOOKUP(A6,NYSEARCAVWO!A$2:G$506,7,0)</f>
        <v>0</v>
      </c>
      <c r="F6">
        <f>VLOOKUP(A6,NYSEARCABND!A$2:G$506,7,0)</f>
        <v>0</v>
      </c>
      <c r="G6">
        <f>VLOOKUP(A6,NYSEARCATIP!A$2:G$506,7,0)</f>
        <v>0</v>
      </c>
      <c r="H6">
        <f>VLOOKUP(A6,NYSEARCAMUB!A$2:G$506,7,0)</f>
        <v>0</v>
      </c>
      <c r="I6">
        <f>VLOOKUP(A6,NYSEARCAVNQ!A$2:G$506,7,0)</f>
        <v>0</v>
      </c>
      <c r="J6">
        <f>VLOOKUP(A6,NYSEARCARWX!A$2:G$506,7,0)</f>
        <v>0</v>
      </c>
      <c r="K6">
        <f>VLOOKUP(A6,NYSEARCADBC!A$2:G$506,7,0)</f>
        <v>0</v>
      </c>
      <c r="L6">
        <f>VLOOKUP(A6,NYSEARCAGSG!A$2:G$506,7,0)</f>
        <v>0</v>
      </c>
      <c r="M6">
        <f>VLOOKUP(A6,NYSEARCAGLD!A$2:G$506,7,0)</f>
        <v>0</v>
      </c>
      <c r="N6">
        <f>VLOOKUP(A6,NYSEBP!A$2:G$506,7,0)</f>
        <v>0</v>
      </c>
      <c r="O6">
        <f>VLOOKUP(A6,NASDAQYHOO!A$2:G$506,7,0)</f>
        <v>0</v>
      </c>
    </row>
    <row r="7" spans="1:15">
      <c r="A7" s="39">
        <v>42153</v>
      </c>
      <c r="C7">
        <f>VLOOKUP(A7,NYSEARCAVTI!A$2:G$506,7,0)</f>
        <v>0</v>
      </c>
      <c r="D7">
        <f>VLOOKUP(A7,NYSEARCAVEU!A$2:G$506,7,0)</f>
        <v>0</v>
      </c>
      <c r="E7">
        <f>VLOOKUP(A7,NYSEARCAVWO!A$2:G$506,7,0)</f>
        <v>0</v>
      </c>
      <c r="F7">
        <f>VLOOKUP(A7,NYSEARCABND!A$2:G$506,7,0)</f>
        <v>0</v>
      </c>
      <c r="G7">
        <f>VLOOKUP(A7,NYSEARCATIP!A$2:G$506,7,0)</f>
        <v>0</v>
      </c>
      <c r="H7">
        <f>VLOOKUP(A7,NYSEARCAMUB!A$2:G$506,7,0)</f>
        <v>0</v>
      </c>
      <c r="I7">
        <f>VLOOKUP(A7,NYSEARCAVNQ!A$2:G$506,7,0)</f>
        <v>0</v>
      </c>
      <c r="J7">
        <f>VLOOKUP(A7,NYSEARCARWX!A$2:G$506,7,0)</f>
        <v>0</v>
      </c>
      <c r="K7">
        <f>VLOOKUP(A7,NYSEARCADBC!A$2:G$506,7,0)</f>
        <v>0</v>
      </c>
      <c r="L7">
        <f>VLOOKUP(A7,NYSEARCAGSG!A$2:G$506,7,0)</f>
        <v>0</v>
      </c>
      <c r="M7">
        <f>VLOOKUP(A7,NYSEARCAGLD!A$2:G$506,7,0)</f>
        <v>0</v>
      </c>
      <c r="N7">
        <f>VLOOKUP(A7,NYSEBP!A$2:G$506,7,0)</f>
        <v>0</v>
      </c>
      <c r="O7">
        <f>VLOOKUP(A7,NASDAQYHOO!A$2:G$506,7,0)</f>
        <v>0</v>
      </c>
    </row>
    <row r="8" spans="1:15">
      <c r="A8" s="39">
        <v>42156</v>
      </c>
      <c r="C8">
        <f>VLOOKUP(A8,NYSEARCAVTI!A$2:G$506,7,0)</f>
        <v>0</v>
      </c>
      <c r="D8">
        <f>VLOOKUP(A8,NYSEARCAVEU!A$2:G$506,7,0)</f>
        <v>0</v>
      </c>
      <c r="E8">
        <f>VLOOKUP(A8,NYSEARCAVWO!A$2:G$506,7,0)</f>
        <v>0</v>
      </c>
      <c r="F8">
        <f>VLOOKUP(A8,NYSEARCABND!A$2:G$506,7,0)</f>
        <v>0</v>
      </c>
      <c r="G8">
        <f>VLOOKUP(A8,NYSEARCATIP!A$2:G$506,7,0)</f>
        <v>0</v>
      </c>
      <c r="H8">
        <f>VLOOKUP(A8,NYSEARCAMUB!A$2:G$506,7,0)</f>
        <v>0</v>
      </c>
      <c r="I8">
        <f>VLOOKUP(A8,NYSEARCAVNQ!A$2:G$506,7,0)</f>
        <v>0</v>
      </c>
      <c r="J8">
        <f>VLOOKUP(A8,NYSEARCARWX!A$2:G$506,7,0)</f>
        <v>0</v>
      </c>
      <c r="K8">
        <f>VLOOKUP(A8,NYSEARCADBC!A$2:G$506,7,0)</f>
        <v>0</v>
      </c>
      <c r="L8">
        <f>VLOOKUP(A8,NYSEARCAGSG!A$2:G$506,7,0)</f>
        <v>0</v>
      </c>
      <c r="M8">
        <f>VLOOKUP(A8,NYSEARCAGLD!A$2:G$506,7,0)</f>
        <v>0</v>
      </c>
      <c r="N8">
        <f>VLOOKUP(A8,NYSEBP!A$2:G$506,7,0)</f>
        <v>0</v>
      </c>
      <c r="O8">
        <f>VLOOKUP(A8,NASDAQYHOO!A$2:G$506,7,0)</f>
        <v>0</v>
      </c>
    </row>
    <row r="9" spans="1:15">
      <c r="A9" s="39">
        <v>42157</v>
      </c>
      <c r="C9">
        <f>VLOOKUP(A9,NYSEARCAVTI!A$2:G$506,7,0)</f>
        <v>0</v>
      </c>
      <c r="D9">
        <f>VLOOKUP(A9,NYSEARCAVEU!A$2:G$506,7,0)</f>
        <v>0</v>
      </c>
      <c r="E9">
        <f>VLOOKUP(A9,NYSEARCAVWO!A$2:G$506,7,0)</f>
        <v>0</v>
      </c>
      <c r="F9">
        <f>VLOOKUP(A9,NYSEARCABND!A$2:G$506,7,0)</f>
        <v>0</v>
      </c>
      <c r="G9">
        <f>VLOOKUP(A9,NYSEARCATIP!A$2:G$506,7,0)</f>
        <v>0</v>
      </c>
      <c r="H9">
        <f>VLOOKUP(A9,NYSEARCAMUB!A$2:G$506,7,0)</f>
        <v>0</v>
      </c>
      <c r="I9">
        <f>VLOOKUP(A9,NYSEARCAVNQ!A$2:G$506,7,0)</f>
        <v>0</v>
      </c>
      <c r="J9">
        <f>VLOOKUP(A9,NYSEARCARWX!A$2:G$506,7,0)</f>
        <v>0</v>
      </c>
      <c r="K9">
        <f>VLOOKUP(A9,NYSEARCADBC!A$2:G$506,7,0)</f>
        <v>0</v>
      </c>
      <c r="L9">
        <f>VLOOKUP(A9,NYSEARCAGSG!A$2:G$506,7,0)</f>
        <v>0</v>
      </c>
      <c r="M9">
        <f>VLOOKUP(A9,NYSEARCAGLD!A$2:G$506,7,0)</f>
        <v>0</v>
      </c>
      <c r="N9">
        <f>VLOOKUP(A9,NYSEBP!A$2:G$506,7,0)</f>
        <v>0</v>
      </c>
      <c r="O9">
        <f>VLOOKUP(A9,NASDAQYHOO!A$2:G$506,7,0)</f>
        <v>0</v>
      </c>
    </row>
    <row r="10" spans="1:15">
      <c r="A10" s="39">
        <v>42158</v>
      </c>
      <c r="C10">
        <f>VLOOKUP(A10,NYSEARCAVTI!A$2:G$506,7,0)</f>
        <v>0</v>
      </c>
      <c r="D10">
        <f>VLOOKUP(A10,NYSEARCAVEU!A$2:G$506,7,0)</f>
        <v>0</v>
      </c>
      <c r="E10">
        <f>VLOOKUP(A10,NYSEARCAVWO!A$2:G$506,7,0)</f>
        <v>0</v>
      </c>
      <c r="F10">
        <f>VLOOKUP(A10,NYSEARCABND!A$2:G$506,7,0)</f>
        <v>0</v>
      </c>
      <c r="G10">
        <f>VLOOKUP(A10,NYSEARCATIP!A$2:G$506,7,0)</f>
        <v>0</v>
      </c>
      <c r="H10">
        <f>VLOOKUP(A10,NYSEARCAMUB!A$2:G$506,7,0)</f>
        <v>0</v>
      </c>
      <c r="I10">
        <f>VLOOKUP(A10,NYSEARCAVNQ!A$2:G$506,7,0)</f>
        <v>0</v>
      </c>
      <c r="J10">
        <f>VLOOKUP(A10,NYSEARCARWX!A$2:G$506,7,0)</f>
        <v>0</v>
      </c>
      <c r="K10">
        <f>VLOOKUP(A10,NYSEARCADBC!A$2:G$506,7,0)</f>
        <v>0</v>
      </c>
      <c r="L10">
        <f>VLOOKUP(A10,NYSEARCAGSG!A$2:G$506,7,0)</f>
        <v>0</v>
      </c>
      <c r="M10">
        <f>VLOOKUP(A10,NYSEARCAGLD!A$2:G$506,7,0)</f>
        <v>0</v>
      </c>
      <c r="N10">
        <f>VLOOKUP(A10,NYSEBP!A$2:G$506,7,0)</f>
        <v>0</v>
      </c>
      <c r="O10">
        <f>VLOOKUP(A10,NASDAQYHOO!A$2:G$506,7,0)</f>
        <v>0</v>
      </c>
    </row>
    <row r="11" spans="1:15">
      <c r="A11" s="39">
        <v>42159</v>
      </c>
      <c r="C11">
        <f>VLOOKUP(A11,NYSEARCAVTI!A$2:G$506,7,0)</f>
        <v>0</v>
      </c>
      <c r="D11">
        <f>VLOOKUP(A11,NYSEARCAVEU!A$2:G$506,7,0)</f>
        <v>0</v>
      </c>
      <c r="E11">
        <f>VLOOKUP(A11,NYSEARCAVWO!A$2:G$506,7,0)</f>
        <v>0</v>
      </c>
      <c r="F11">
        <f>VLOOKUP(A11,NYSEARCABND!A$2:G$506,7,0)</f>
        <v>0</v>
      </c>
      <c r="G11">
        <f>VLOOKUP(A11,NYSEARCATIP!A$2:G$506,7,0)</f>
        <v>0</v>
      </c>
      <c r="H11">
        <f>VLOOKUP(A11,NYSEARCAMUB!A$2:G$506,7,0)</f>
        <v>0</v>
      </c>
      <c r="I11">
        <f>VLOOKUP(A11,NYSEARCAVNQ!A$2:G$506,7,0)</f>
        <v>0</v>
      </c>
      <c r="J11">
        <f>VLOOKUP(A11,NYSEARCARWX!A$2:G$506,7,0)</f>
        <v>0</v>
      </c>
      <c r="K11">
        <f>VLOOKUP(A11,NYSEARCADBC!A$2:G$506,7,0)</f>
        <v>0</v>
      </c>
      <c r="L11">
        <f>VLOOKUP(A11,NYSEARCAGSG!A$2:G$506,7,0)</f>
        <v>0</v>
      </c>
      <c r="M11">
        <f>VLOOKUP(A11,NYSEARCAGLD!A$2:G$506,7,0)</f>
        <v>0</v>
      </c>
      <c r="N11">
        <f>VLOOKUP(A11,NYSEBP!A$2:G$506,7,0)</f>
        <v>0</v>
      </c>
      <c r="O11">
        <f>VLOOKUP(A11,NASDAQYHOO!A$2:G$506,7,0)</f>
        <v>0</v>
      </c>
    </row>
    <row r="12" spans="1:15">
      <c r="A12" s="39">
        <v>42160</v>
      </c>
      <c r="C12">
        <f>VLOOKUP(A12,NYSEARCAVTI!A$2:G$506,7,0)</f>
        <v>0</v>
      </c>
      <c r="D12">
        <f>VLOOKUP(A12,NYSEARCAVEU!A$2:G$506,7,0)</f>
        <v>0</v>
      </c>
      <c r="E12">
        <f>VLOOKUP(A12,NYSEARCAVWO!A$2:G$506,7,0)</f>
        <v>0</v>
      </c>
      <c r="F12">
        <f>VLOOKUP(A12,NYSEARCABND!A$2:G$506,7,0)</f>
        <v>0</v>
      </c>
      <c r="G12">
        <f>VLOOKUP(A12,NYSEARCATIP!A$2:G$506,7,0)</f>
        <v>0</v>
      </c>
      <c r="H12">
        <f>VLOOKUP(A12,NYSEARCAMUB!A$2:G$506,7,0)</f>
        <v>0</v>
      </c>
      <c r="I12">
        <f>VLOOKUP(A12,NYSEARCAVNQ!A$2:G$506,7,0)</f>
        <v>0</v>
      </c>
      <c r="J12">
        <f>VLOOKUP(A12,NYSEARCARWX!A$2:G$506,7,0)</f>
        <v>0</v>
      </c>
      <c r="K12">
        <f>VLOOKUP(A12,NYSEARCADBC!A$2:G$506,7,0)</f>
        <v>0</v>
      </c>
      <c r="L12">
        <f>VLOOKUP(A12,NYSEARCAGSG!A$2:G$506,7,0)</f>
        <v>0</v>
      </c>
      <c r="M12">
        <f>VLOOKUP(A12,NYSEARCAGLD!A$2:G$506,7,0)</f>
        <v>0</v>
      </c>
      <c r="N12">
        <f>VLOOKUP(A12,NYSEBP!A$2:G$506,7,0)</f>
        <v>0</v>
      </c>
      <c r="O12">
        <f>VLOOKUP(A12,NASDAQYHOO!A$2:G$506,7,0)</f>
        <v>0</v>
      </c>
    </row>
    <row r="13" spans="1:15">
      <c r="A13" s="39">
        <v>42163</v>
      </c>
      <c r="C13">
        <f>VLOOKUP(A13,NYSEARCAVTI!A$2:G$506,7,0)</f>
        <v>0</v>
      </c>
      <c r="D13">
        <f>VLOOKUP(A13,NYSEARCAVEU!A$2:G$506,7,0)</f>
        <v>0</v>
      </c>
      <c r="E13">
        <f>VLOOKUP(A13,NYSEARCAVWO!A$2:G$506,7,0)</f>
        <v>0</v>
      </c>
      <c r="F13">
        <f>VLOOKUP(A13,NYSEARCABND!A$2:G$506,7,0)</f>
        <v>0</v>
      </c>
      <c r="G13">
        <f>VLOOKUP(A13,NYSEARCATIP!A$2:G$506,7,0)</f>
        <v>0</v>
      </c>
      <c r="H13">
        <f>VLOOKUP(A13,NYSEARCAMUB!A$2:G$506,7,0)</f>
        <v>0</v>
      </c>
      <c r="I13">
        <f>VLOOKUP(A13,NYSEARCAVNQ!A$2:G$506,7,0)</f>
        <v>0</v>
      </c>
      <c r="J13">
        <f>VLOOKUP(A13,NYSEARCARWX!A$2:G$506,7,0)</f>
        <v>0</v>
      </c>
      <c r="K13">
        <f>VLOOKUP(A13,NYSEARCADBC!A$2:G$506,7,0)</f>
        <v>0</v>
      </c>
      <c r="L13">
        <f>VLOOKUP(A13,NYSEARCAGSG!A$2:G$506,7,0)</f>
        <v>0</v>
      </c>
      <c r="M13">
        <f>VLOOKUP(A13,NYSEARCAGLD!A$2:G$506,7,0)</f>
        <v>0</v>
      </c>
      <c r="N13">
        <f>VLOOKUP(A13,NYSEBP!A$2:G$506,7,0)</f>
        <v>0</v>
      </c>
      <c r="O13">
        <f>VLOOKUP(A13,NASDAQYHOO!A$2:G$506,7,0)</f>
        <v>0</v>
      </c>
    </row>
    <row r="14" spans="1:15">
      <c r="A14" s="39">
        <v>42164</v>
      </c>
      <c r="C14">
        <f>VLOOKUP(A14,NYSEARCAVTI!A$2:G$506,7,0)</f>
        <v>0</v>
      </c>
      <c r="D14">
        <f>VLOOKUP(A14,NYSEARCAVEU!A$2:G$506,7,0)</f>
        <v>0</v>
      </c>
      <c r="E14">
        <f>VLOOKUP(A14,NYSEARCAVWO!A$2:G$506,7,0)</f>
        <v>0</v>
      </c>
      <c r="F14">
        <f>VLOOKUP(A14,NYSEARCABND!A$2:G$506,7,0)</f>
        <v>0</v>
      </c>
      <c r="G14">
        <f>VLOOKUP(A14,NYSEARCATIP!A$2:G$506,7,0)</f>
        <v>0</v>
      </c>
      <c r="H14">
        <f>VLOOKUP(A14,NYSEARCAMUB!A$2:G$506,7,0)</f>
        <v>0</v>
      </c>
      <c r="I14">
        <f>VLOOKUP(A14,NYSEARCAVNQ!A$2:G$506,7,0)</f>
        <v>0</v>
      </c>
      <c r="J14">
        <f>VLOOKUP(A14,NYSEARCARWX!A$2:G$506,7,0)</f>
        <v>0</v>
      </c>
      <c r="K14">
        <f>VLOOKUP(A14,NYSEARCADBC!A$2:G$506,7,0)</f>
        <v>0</v>
      </c>
      <c r="L14">
        <f>VLOOKUP(A14,NYSEARCAGSG!A$2:G$506,7,0)</f>
        <v>0</v>
      </c>
      <c r="M14">
        <f>VLOOKUP(A14,NYSEARCAGLD!A$2:G$506,7,0)</f>
        <v>0</v>
      </c>
      <c r="N14">
        <f>VLOOKUP(A14,NYSEBP!A$2:G$506,7,0)</f>
        <v>0</v>
      </c>
      <c r="O14">
        <f>VLOOKUP(A14,NASDAQYHOO!A$2:G$506,7,0)</f>
        <v>0</v>
      </c>
    </row>
    <row r="15" spans="1:15">
      <c r="A15" s="39">
        <v>42165</v>
      </c>
      <c r="C15">
        <f>VLOOKUP(A15,NYSEARCAVTI!A$2:G$506,7,0)</f>
        <v>0</v>
      </c>
      <c r="D15">
        <f>VLOOKUP(A15,NYSEARCAVEU!A$2:G$506,7,0)</f>
        <v>0</v>
      </c>
      <c r="E15">
        <f>VLOOKUP(A15,NYSEARCAVWO!A$2:G$506,7,0)</f>
        <v>0</v>
      </c>
      <c r="F15">
        <f>VLOOKUP(A15,NYSEARCABND!A$2:G$506,7,0)</f>
        <v>0</v>
      </c>
      <c r="G15">
        <f>VLOOKUP(A15,NYSEARCATIP!A$2:G$506,7,0)</f>
        <v>0</v>
      </c>
      <c r="H15">
        <f>VLOOKUP(A15,NYSEARCAMUB!A$2:G$506,7,0)</f>
        <v>0</v>
      </c>
      <c r="I15">
        <f>VLOOKUP(A15,NYSEARCAVNQ!A$2:G$506,7,0)</f>
        <v>0</v>
      </c>
      <c r="J15">
        <f>VLOOKUP(A15,NYSEARCARWX!A$2:G$506,7,0)</f>
        <v>0</v>
      </c>
      <c r="K15">
        <f>VLOOKUP(A15,NYSEARCADBC!A$2:G$506,7,0)</f>
        <v>0</v>
      </c>
      <c r="L15">
        <f>VLOOKUP(A15,NYSEARCAGSG!A$2:G$506,7,0)</f>
        <v>0</v>
      </c>
      <c r="M15">
        <f>VLOOKUP(A15,NYSEARCAGLD!A$2:G$506,7,0)</f>
        <v>0</v>
      </c>
      <c r="N15">
        <f>VLOOKUP(A15,NYSEBP!A$2:G$506,7,0)</f>
        <v>0</v>
      </c>
      <c r="O15">
        <f>VLOOKUP(A15,NASDAQYHOO!A$2:G$506,7,0)</f>
        <v>0</v>
      </c>
    </row>
    <row r="16" spans="1:15">
      <c r="A16" s="39">
        <v>42166</v>
      </c>
      <c r="C16">
        <f>VLOOKUP(A16,NYSEARCAVTI!A$2:G$506,7,0)</f>
        <v>0</v>
      </c>
      <c r="D16">
        <f>VLOOKUP(A16,NYSEARCAVEU!A$2:G$506,7,0)</f>
        <v>0</v>
      </c>
      <c r="E16">
        <f>VLOOKUP(A16,NYSEARCAVWO!A$2:G$506,7,0)</f>
        <v>0</v>
      </c>
      <c r="F16">
        <f>VLOOKUP(A16,NYSEARCABND!A$2:G$506,7,0)</f>
        <v>0</v>
      </c>
      <c r="G16">
        <f>VLOOKUP(A16,NYSEARCATIP!A$2:G$506,7,0)</f>
        <v>0</v>
      </c>
      <c r="H16">
        <f>VLOOKUP(A16,NYSEARCAMUB!A$2:G$506,7,0)</f>
        <v>0</v>
      </c>
      <c r="I16">
        <f>VLOOKUP(A16,NYSEARCAVNQ!A$2:G$506,7,0)</f>
        <v>0</v>
      </c>
      <c r="J16">
        <f>VLOOKUP(A16,NYSEARCARWX!A$2:G$506,7,0)</f>
        <v>0</v>
      </c>
      <c r="K16">
        <f>VLOOKUP(A16,NYSEARCADBC!A$2:G$506,7,0)</f>
        <v>0</v>
      </c>
      <c r="L16">
        <f>VLOOKUP(A16,NYSEARCAGSG!A$2:G$506,7,0)</f>
        <v>0</v>
      </c>
      <c r="M16">
        <f>VLOOKUP(A16,NYSEARCAGLD!A$2:G$506,7,0)</f>
        <v>0</v>
      </c>
      <c r="N16">
        <f>VLOOKUP(A16,NYSEBP!A$2:G$506,7,0)</f>
        <v>0</v>
      </c>
      <c r="O16">
        <f>VLOOKUP(A16,NASDAQYHOO!A$2:G$506,7,0)</f>
        <v>0</v>
      </c>
    </row>
    <row r="17" spans="1:15">
      <c r="A17" s="39">
        <v>42167</v>
      </c>
      <c r="C17">
        <f>VLOOKUP(A17,NYSEARCAVTI!A$2:G$506,7,0)</f>
        <v>0</v>
      </c>
      <c r="D17">
        <f>VLOOKUP(A17,NYSEARCAVEU!A$2:G$506,7,0)</f>
        <v>0</v>
      </c>
      <c r="E17">
        <f>VLOOKUP(A17,NYSEARCAVWO!A$2:G$506,7,0)</f>
        <v>0</v>
      </c>
      <c r="F17">
        <f>VLOOKUP(A17,NYSEARCABND!A$2:G$506,7,0)</f>
        <v>0</v>
      </c>
      <c r="G17">
        <f>VLOOKUP(A17,NYSEARCATIP!A$2:G$506,7,0)</f>
        <v>0</v>
      </c>
      <c r="H17">
        <f>VLOOKUP(A17,NYSEARCAMUB!A$2:G$506,7,0)</f>
        <v>0</v>
      </c>
      <c r="I17">
        <f>VLOOKUP(A17,NYSEARCAVNQ!A$2:G$506,7,0)</f>
        <v>0</v>
      </c>
      <c r="J17">
        <f>VLOOKUP(A17,NYSEARCARWX!A$2:G$506,7,0)</f>
        <v>0</v>
      </c>
      <c r="K17">
        <f>VLOOKUP(A17,NYSEARCADBC!A$2:G$506,7,0)</f>
        <v>0</v>
      </c>
      <c r="L17">
        <f>VLOOKUP(A17,NYSEARCAGSG!A$2:G$506,7,0)</f>
        <v>0</v>
      </c>
      <c r="M17">
        <f>VLOOKUP(A17,NYSEARCAGLD!A$2:G$506,7,0)</f>
        <v>0</v>
      </c>
      <c r="N17">
        <f>VLOOKUP(A17,NYSEBP!A$2:G$506,7,0)</f>
        <v>0</v>
      </c>
      <c r="O17">
        <f>VLOOKUP(A17,NASDAQYHOO!A$2:G$506,7,0)</f>
        <v>0</v>
      </c>
    </row>
    <row r="18" spans="1:15">
      <c r="A18" s="39">
        <v>42170</v>
      </c>
      <c r="C18">
        <f>VLOOKUP(A18,NYSEARCAVTI!A$2:G$506,7,0)</f>
        <v>0</v>
      </c>
      <c r="D18">
        <f>VLOOKUP(A18,NYSEARCAVEU!A$2:G$506,7,0)</f>
        <v>0</v>
      </c>
      <c r="E18">
        <f>VLOOKUP(A18,NYSEARCAVWO!A$2:G$506,7,0)</f>
        <v>0</v>
      </c>
      <c r="F18">
        <f>VLOOKUP(A18,NYSEARCABND!A$2:G$506,7,0)</f>
        <v>0</v>
      </c>
      <c r="G18">
        <f>VLOOKUP(A18,NYSEARCATIP!A$2:G$506,7,0)</f>
        <v>0</v>
      </c>
      <c r="H18">
        <f>VLOOKUP(A18,NYSEARCAMUB!A$2:G$506,7,0)</f>
        <v>0</v>
      </c>
      <c r="I18">
        <f>VLOOKUP(A18,NYSEARCAVNQ!A$2:G$506,7,0)</f>
        <v>0</v>
      </c>
      <c r="J18">
        <f>VLOOKUP(A18,NYSEARCARWX!A$2:G$506,7,0)</f>
        <v>0</v>
      </c>
      <c r="K18">
        <f>VLOOKUP(A18,NYSEARCADBC!A$2:G$506,7,0)</f>
        <v>0</v>
      </c>
      <c r="L18">
        <f>VLOOKUP(A18,NYSEARCAGSG!A$2:G$506,7,0)</f>
        <v>0</v>
      </c>
      <c r="M18">
        <f>VLOOKUP(A18,NYSEARCAGLD!A$2:G$506,7,0)</f>
        <v>0</v>
      </c>
      <c r="N18">
        <f>VLOOKUP(A18,NYSEBP!A$2:G$506,7,0)</f>
        <v>0</v>
      </c>
      <c r="O18">
        <f>VLOOKUP(A18,NASDAQYHOO!A$2:G$506,7,0)</f>
        <v>0</v>
      </c>
    </row>
    <row r="19" spans="1:15">
      <c r="A19" s="39">
        <v>42171</v>
      </c>
      <c r="C19">
        <f>VLOOKUP(A19,NYSEARCAVTI!A$2:G$506,7,0)</f>
        <v>0</v>
      </c>
      <c r="D19">
        <f>VLOOKUP(A19,NYSEARCAVEU!A$2:G$506,7,0)</f>
        <v>0</v>
      </c>
      <c r="E19">
        <f>VLOOKUP(A19,NYSEARCAVWO!A$2:G$506,7,0)</f>
        <v>0</v>
      </c>
      <c r="F19">
        <f>VLOOKUP(A19,NYSEARCABND!A$2:G$506,7,0)</f>
        <v>0</v>
      </c>
      <c r="G19">
        <f>VLOOKUP(A19,NYSEARCATIP!A$2:G$506,7,0)</f>
        <v>0</v>
      </c>
      <c r="H19">
        <f>VLOOKUP(A19,NYSEARCAMUB!A$2:G$506,7,0)</f>
        <v>0</v>
      </c>
      <c r="I19">
        <f>VLOOKUP(A19,NYSEARCAVNQ!A$2:G$506,7,0)</f>
        <v>0</v>
      </c>
      <c r="J19">
        <f>VLOOKUP(A19,NYSEARCARWX!A$2:G$506,7,0)</f>
        <v>0</v>
      </c>
      <c r="K19">
        <f>VLOOKUP(A19,NYSEARCADBC!A$2:G$506,7,0)</f>
        <v>0</v>
      </c>
      <c r="L19">
        <f>VLOOKUP(A19,NYSEARCAGSG!A$2:G$506,7,0)</f>
        <v>0</v>
      </c>
      <c r="M19">
        <f>VLOOKUP(A19,NYSEARCAGLD!A$2:G$506,7,0)</f>
        <v>0</v>
      </c>
      <c r="N19">
        <f>VLOOKUP(A19,NYSEBP!A$2:G$506,7,0)</f>
        <v>0</v>
      </c>
      <c r="O19">
        <f>VLOOKUP(A19,NASDAQYHOO!A$2:G$506,7,0)</f>
        <v>0</v>
      </c>
    </row>
    <row r="20" spans="1:15">
      <c r="A20" s="39">
        <v>42172</v>
      </c>
      <c r="C20">
        <f>VLOOKUP(A20,NYSEARCAVTI!A$2:G$506,7,0)</f>
        <v>0</v>
      </c>
      <c r="D20">
        <f>VLOOKUP(A20,NYSEARCAVEU!A$2:G$506,7,0)</f>
        <v>0</v>
      </c>
      <c r="E20">
        <f>VLOOKUP(A20,NYSEARCAVWO!A$2:G$506,7,0)</f>
        <v>0</v>
      </c>
      <c r="F20">
        <f>VLOOKUP(A20,NYSEARCABND!A$2:G$506,7,0)</f>
        <v>0</v>
      </c>
      <c r="G20">
        <f>VLOOKUP(A20,NYSEARCATIP!A$2:G$506,7,0)</f>
        <v>0</v>
      </c>
      <c r="H20">
        <f>VLOOKUP(A20,NYSEARCAMUB!A$2:G$506,7,0)</f>
        <v>0</v>
      </c>
      <c r="I20">
        <f>VLOOKUP(A20,NYSEARCAVNQ!A$2:G$506,7,0)</f>
        <v>0</v>
      </c>
      <c r="J20">
        <f>VLOOKUP(A20,NYSEARCARWX!A$2:G$506,7,0)</f>
        <v>0</v>
      </c>
      <c r="K20">
        <f>VLOOKUP(A20,NYSEARCADBC!A$2:G$506,7,0)</f>
        <v>0</v>
      </c>
      <c r="L20">
        <f>VLOOKUP(A20,NYSEARCAGSG!A$2:G$506,7,0)</f>
        <v>0</v>
      </c>
      <c r="M20">
        <f>VLOOKUP(A20,NYSEARCAGLD!A$2:G$506,7,0)</f>
        <v>0</v>
      </c>
      <c r="N20">
        <f>VLOOKUP(A20,NYSEBP!A$2:G$506,7,0)</f>
        <v>0</v>
      </c>
      <c r="O20">
        <f>VLOOKUP(A20,NASDAQYHOO!A$2:G$506,7,0)</f>
        <v>0</v>
      </c>
    </row>
    <row r="21" spans="1:15">
      <c r="A21" s="39">
        <v>42173</v>
      </c>
      <c r="C21">
        <f>VLOOKUP(A21,NYSEARCAVTI!A$2:G$506,7,0)</f>
        <v>0</v>
      </c>
      <c r="D21">
        <f>VLOOKUP(A21,NYSEARCAVEU!A$2:G$506,7,0)</f>
        <v>0</v>
      </c>
      <c r="E21">
        <f>VLOOKUP(A21,NYSEARCAVWO!A$2:G$506,7,0)</f>
        <v>0</v>
      </c>
      <c r="F21">
        <f>VLOOKUP(A21,NYSEARCABND!A$2:G$506,7,0)</f>
        <v>0</v>
      </c>
      <c r="G21">
        <f>VLOOKUP(A21,NYSEARCATIP!A$2:G$506,7,0)</f>
        <v>0</v>
      </c>
      <c r="H21">
        <f>VLOOKUP(A21,NYSEARCAMUB!A$2:G$506,7,0)</f>
        <v>0</v>
      </c>
      <c r="I21">
        <f>VLOOKUP(A21,NYSEARCAVNQ!A$2:G$506,7,0)</f>
        <v>0</v>
      </c>
      <c r="J21">
        <f>VLOOKUP(A21,NYSEARCARWX!A$2:G$506,7,0)</f>
        <v>0</v>
      </c>
      <c r="K21">
        <f>VLOOKUP(A21,NYSEARCADBC!A$2:G$506,7,0)</f>
        <v>0</v>
      </c>
      <c r="L21">
        <f>VLOOKUP(A21,NYSEARCAGSG!A$2:G$506,7,0)</f>
        <v>0</v>
      </c>
      <c r="M21">
        <f>VLOOKUP(A21,NYSEARCAGLD!A$2:G$506,7,0)</f>
        <v>0</v>
      </c>
      <c r="N21">
        <f>VLOOKUP(A21,NYSEBP!A$2:G$506,7,0)</f>
        <v>0</v>
      </c>
      <c r="O21">
        <f>VLOOKUP(A21,NASDAQYHOO!A$2:G$506,7,0)</f>
        <v>0</v>
      </c>
    </row>
    <row r="22" spans="1:15">
      <c r="A22" s="39">
        <v>42174</v>
      </c>
      <c r="C22">
        <f>VLOOKUP(A22,NYSEARCAVTI!A$2:G$506,7,0)</f>
        <v>0</v>
      </c>
      <c r="D22">
        <f>VLOOKUP(A22,NYSEARCAVEU!A$2:G$506,7,0)</f>
        <v>0</v>
      </c>
      <c r="E22">
        <f>VLOOKUP(A22,NYSEARCAVWO!A$2:G$506,7,0)</f>
        <v>0</v>
      </c>
      <c r="F22">
        <f>VLOOKUP(A22,NYSEARCABND!A$2:G$506,7,0)</f>
        <v>0</v>
      </c>
      <c r="G22">
        <f>VLOOKUP(A22,NYSEARCATIP!A$2:G$506,7,0)</f>
        <v>0</v>
      </c>
      <c r="H22">
        <f>VLOOKUP(A22,NYSEARCAMUB!A$2:G$506,7,0)</f>
        <v>0</v>
      </c>
      <c r="I22">
        <f>VLOOKUP(A22,NYSEARCAVNQ!A$2:G$506,7,0)</f>
        <v>0</v>
      </c>
      <c r="J22">
        <f>VLOOKUP(A22,NYSEARCARWX!A$2:G$506,7,0)</f>
        <v>0</v>
      </c>
      <c r="K22">
        <f>VLOOKUP(A22,NYSEARCADBC!A$2:G$506,7,0)</f>
        <v>0</v>
      </c>
      <c r="L22">
        <f>VLOOKUP(A22,NYSEARCAGSG!A$2:G$506,7,0)</f>
        <v>0</v>
      </c>
      <c r="M22">
        <f>VLOOKUP(A22,NYSEARCAGLD!A$2:G$506,7,0)</f>
        <v>0</v>
      </c>
      <c r="N22">
        <f>VLOOKUP(A22,NYSEBP!A$2:G$506,7,0)</f>
        <v>0</v>
      </c>
      <c r="O22">
        <f>VLOOKUP(A22,NASDAQYHOO!A$2:G$506,7,0)</f>
        <v>0</v>
      </c>
    </row>
    <row r="23" spans="1:15">
      <c r="A23" s="39">
        <v>42177</v>
      </c>
      <c r="C23">
        <f>VLOOKUP(A23,NYSEARCAVTI!A$2:G$506,7,0)</f>
        <v>0</v>
      </c>
      <c r="D23">
        <f>VLOOKUP(A23,NYSEARCAVEU!A$2:G$506,7,0)</f>
        <v>0</v>
      </c>
      <c r="E23">
        <f>VLOOKUP(A23,NYSEARCAVWO!A$2:G$506,7,0)</f>
        <v>0</v>
      </c>
      <c r="F23">
        <f>VLOOKUP(A23,NYSEARCABND!A$2:G$506,7,0)</f>
        <v>0</v>
      </c>
      <c r="G23">
        <f>VLOOKUP(A23,NYSEARCATIP!A$2:G$506,7,0)</f>
        <v>0</v>
      </c>
      <c r="H23">
        <f>VLOOKUP(A23,NYSEARCAMUB!A$2:G$506,7,0)</f>
        <v>0</v>
      </c>
      <c r="I23">
        <f>VLOOKUP(A23,NYSEARCAVNQ!A$2:G$506,7,0)</f>
        <v>0</v>
      </c>
      <c r="J23">
        <f>VLOOKUP(A23,NYSEARCARWX!A$2:G$506,7,0)</f>
        <v>0</v>
      </c>
      <c r="K23">
        <f>VLOOKUP(A23,NYSEARCADBC!A$2:G$506,7,0)</f>
        <v>0</v>
      </c>
      <c r="L23">
        <f>VLOOKUP(A23,NYSEARCAGSG!A$2:G$506,7,0)</f>
        <v>0</v>
      </c>
      <c r="M23">
        <f>VLOOKUP(A23,NYSEARCAGLD!A$2:G$506,7,0)</f>
        <v>0</v>
      </c>
      <c r="N23">
        <f>VLOOKUP(A23,NYSEBP!A$2:G$506,7,0)</f>
        <v>0</v>
      </c>
      <c r="O23">
        <f>VLOOKUP(A23,NASDAQYHOO!A$2:G$506,7,0)</f>
        <v>0</v>
      </c>
    </row>
    <row r="24" spans="1:15">
      <c r="A24" s="39">
        <v>42178</v>
      </c>
      <c r="C24">
        <f>VLOOKUP(A24,NYSEARCAVTI!A$2:G$506,7,0)</f>
        <v>0</v>
      </c>
      <c r="D24">
        <f>VLOOKUP(A24,NYSEARCAVEU!A$2:G$506,7,0)</f>
        <v>0</v>
      </c>
      <c r="E24">
        <f>VLOOKUP(A24,NYSEARCAVWO!A$2:G$506,7,0)</f>
        <v>0</v>
      </c>
      <c r="F24">
        <f>VLOOKUP(A24,NYSEARCABND!A$2:G$506,7,0)</f>
        <v>0</v>
      </c>
      <c r="G24">
        <f>VLOOKUP(A24,NYSEARCATIP!A$2:G$506,7,0)</f>
        <v>0</v>
      </c>
      <c r="H24">
        <f>VLOOKUP(A24,NYSEARCAMUB!A$2:G$506,7,0)</f>
        <v>0</v>
      </c>
      <c r="I24">
        <f>VLOOKUP(A24,NYSEARCAVNQ!A$2:G$506,7,0)</f>
        <v>0</v>
      </c>
      <c r="J24">
        <f>VLOOKUP(A24,NYSEARCARWX!A$2:G$506,7,0)</f>
        <v>0</v>
      </c>
      <c r="K24">
        <f>VLOOKUP(A24,NYSEARCADBC!A$2:G$506,7,0)</f>
        <v>0</v>
      </c>
      <c r="L24">
        <f>VLOOKUP(A24,NYSEARCAGSG!A$2:G$506,7,0)</f>
        <v>0</v>
      </c>
      <c r="M24">
        <f>VLOOKUP(A24,NYSEARCAGLD!A$2:G$506,7,0)</f>
        <v>0</v>
      </c>
      <c r="N24">
        <f>VLOOKUP(A24,NYSEBP!A$2:G$506,7,0)</f>
        <v>0</v>
      </c>
      <c r="O24">
        <f>VLOOKUP(A24,NASDAQYHOO!A$2:G$506,7,0)</f>
        <v>0</v>
      </c>
    </row>
    <row r="25" spans="1:15">
      <c r="A25" s="39">
        <v>42179</v>
      </c>
      <c r="C25">
        <f>VLOOKUP(A25,NYSEARCAVTI!A$2:G$506,7,0)</f>
        <v>0</v>
      </c>
      <c r="D25">
        <f>VLOOKUP(A25,NYSEARCAVEU!A$2:G$506,7,0)</f>
        <v>0</v>
      </c>
      <c r="E25">
        <f>VLOOKUP(A25,NYSEARCAVWO!A$2:G$506,7,0)</f>
        <v>0</v>
      </c>
      <c r="F25">
        <f>VLOOKUP(A25,NYSEARCABND!A$2:G$506,7,0)</f>
        <v>0</v>
      </c>
      <c r="G25">
        <f>VLOOKUP(A25,NYSEARCATIP!A$2:G$506,7,0)</f>
        <v>0</v>
      </c>
      <c r="H25">
        <f>VLOOKUP(A25,NYSEARCAMUB!A$2:G$506,7,0)</f>
        <v>0</v>
      </c>
      <c r="I25">
        <f>VLOOKUP(A25,NYSEARCAVNQ!A$2:G$506,7,0)</f>
        <v>0</v>
      </c>
      <c r="J25">
        <f>VLOOKUP(A25,NYSEARCARWX!A$2:G$506,7,0)</f>
        <v>0</v>
      </c>
      <c r="K25">
        <f>VLOOKUP(A25,NYSEARCADBC!A$2:G$506,7,0)</f>
        <v>0</v>
      </c>
      <c r="L25">
        <f>VLOOKUP(A25,NYSEARCAGSG!A$2:G$506,7,0)</f>
        <v>0</v>
      </c>
      <c r="M25">
        <f>VLOOKUP(A25,NYSEARCAGLD!A$2:G$506,7,0)</f>
        <v>0</v>
      </c>
      <c r="N25">
        <f>VLOOKUP(A25,NYSEBP!A$2:G$506,7,0)</f>
        <v>0</v>
      </c>
      <c r="O25">
        <f>VLOOKUP(A25,NASDAQYHOO!A$2:G$506,7,0)</f>
        <v>0</v>
      </c>
    </row>
    <row r="26" spans="1:15">
      <c r="A26" s="39">
        <v>42180</v>
      </c>
      <c r="C26">
        <f>VLOOKUP(A26,NYSEARCAVTI!A$2:G$506,7,0)</f>
        <v>0</v>
      </c>
      <c r="D26">
        <f>VLOOKUP(A26,NYSEARCAVEU!A$2:G$506,7,0)</f>
        <v>0</v>
      </c>
      <c r="E26">
        <f>VLOOKUP(A26,NYSEARCAVWO!A$2:G$506,7,0)</f>
        <v>0</v>
      </c>
      <c r="F26">
        <f>VLOOKUP(A26,NYSEARCABND!A$2:G$506,7,0)</f>
        <v>0</v>
      </c>
      <c r="G26">
        <f>VLOOKUP(A26,NYSEARCATIP!A$2:G$506,7,0)</f>
        <v>0</v>
      </c>
      <c r="H26">
        <f>VLOOKUP(A26,NYSEARCAMUB!A$2:G$506,7,0)</f>
        <v>0</v>
      </c>
      <c r="I26">
        <f>VLOOKUP(A26,NYSEARCAVNQ!A$2:G$506,7,0)</f>
        <v>0</v>
      </c>
      <c r="J26">
        <f>VLOOKUP(A26,NYSEARCARWX!A$2:G$506,7,0)</f>
        <v>0</v>
      </c>
      <c r="K26">
        <f>VLOOKUP(A26,NYSEARCADBC!A$2:G$506,7,0)</f>
        <v>0</v>
      </c>
      <c r="L26">
        <f>VLOOKUP(A26,NYSEARCAGSG!A$2:G$506,7,0)</f>
        <v>0</v>
      </c>
      <c r="M26">
        <f>VLOOKUP(A26,NYSEARCAGLD!A$2:G$506,7,0)</f>
        <v>0</v>
      </c>
      <c r="N26">
        <f>VLOOKUP(A26,NYSEBP!A$2:G$506,7,0)</f>
        <v>0</v>
      </c>
      <c r="O26">
        <f>VLOOKUP(A26,NASDAQYHOO!A$2:G$506,7,0)</f>
        <v>0</v>
      </c>
    </row>
    <row r="27" spans="1:15">
      <c r="A27" s="39">
        <v>42181</v>
      </c>
      <c r="C27">
        <f>VLOOKUP(A27,NYSEARCAVTI!A$2:G$506,7,0)</f>
        <v>0</v>
      </c>
      <c r="D27">
        <f>VLOOKUP(A27,NYSEARCAVEU!A$2:G$506,7,0)</f>
        <v>0</v>
      </c>
      <c r="E27">
        <f>VLOOKUP(A27,NYSEARCAVWO!A$2:G$506,7,0)</f>
        <v>0</v>
      </c>
      <c r="F27">
        <f>VLOOKUP(A27,NYSEARCABND!A$2:G$506,7,0)</f>
        <v>0</v>
      </c>
      <c r="G27">
        <f>VLOOKUP(A27,NYSEARCATIP!A$2:G$506,7,0)</f>
        <v>0</v>
      </c>
      <c r="H27">
        <f>VLOOKUP(A27,NYSEARCAMUB!A$2:G$506,7,0)</f>
        <v>0</v>
      </c>
      <c r="I27">
        <f>VLOOKUP(A27,NYSEARCAVNQ!A$2:G$506,7,0)</f>
        <v>0</v>
      </c>
      <c r="J27">
        <f>VLOOKUP(A27,NYSEARCARWX!A$2:G$506,7,0)</f>
        <v>0</v>
      </c>
      <c r="K27">
        <f>VLOOKUP(A27,NYSEARCADBC!A$2:G$506,7,0)</f>
        <v>0</v>
      </c>
      <c r="L27">
        <f>VLOOKUP(A27,NYSEARCAGSG!A$2:G$506,7,0)</f>
        <v>0</v>
      </c>
      <c r="M27">
        <f>VLOOKUP(A27,NYSEARCAGLD!A$2:G$506,7,0)</f>
        <v>0</v>
      </c>
      <c r="N27">
        <f>VLOOKUP(A27,NYSEBP!A$2:G$506,7,0)</f>
        <v>0</v>
      </c>
      <c r="O27">
        <f>VLOOKUP(A27,NASDAQYHOO!A$2:G$506,7,0)</f>
        <v>0</v>
      </c>
    </row>
    <row r="28" spans="1:15">
      <c r="A28" s="39">
        <v>42184</v>
      </c>
      <c r="C28">
        <f>VLOOKUP(A28,NYSEARCAVTI!A$2:G$506,7,0)</f>
        <v>0</v>
      </c>
      <c r="D28">
        <f>VLOOKUP(A28,NYSEARCAVEU!A$2:G$506,7,0)</f>
        <v>0</v>
      </c>
      <c r="E28">
        <f>VLOOKUP(A28,NYSEARCAVWO!A$2:G$506,7,0)</f>
        <v>0</v>
      </c>
      <c r="F28">
        <f>VLOOKUP(A28,NYSEARCABND!A$2:G$506,7,0)</f>
        <v>0</v>
      </c>
      <c r="G28">
        <f>VLOOKUP(A28,NYSEARCATIP!A$2:G$506,7,0)</f>
        <v>0</v>
      </c>
      <c r="H28">
        <f>VLOOKUP(A28,NYSEARCAMUB!A$2:G$506,7,0)</f>
        <v>0</v>
      </c>
      <c r="I28">
        <f>VLOOKUP(A28,NYSEARCAVNQ!A$2:G$506,7,0)</f>
        <v>0</v>
      </c>
      <c r="J28">
        <f>VLOOKUP(A28,NYSEARCARWX!A$2:G$506,7,0)</f>
        <v>0</v>
      </c>
      <c r="K28">
        <f>VLOOKUP(A28,NYSEARCADBC!A$2:G$506,7,0)</f>
        <v>0</v>
      </c>
      <c r="L28">
        <f>VLOOKUP(A28,NYSEARCAGSG!A$2:G$506,7,0)</f>
        <v>0</v>
      </c>
      <c r="M28">
        <f>VLOOKUP(A28,NYSEARCAGLD!A$2:G$506,7,0)</f>
        <v>0</v>
      </c>
      <c r="N28">
        <f>VLOOKUP(A28,NYSEBP!A$2:G$506,7,0)</f>
        <v>0</v>
      </c>
      <c r="O28">
        <f>VLOOKUP(A28,NASDAQYHOO!A$2:G$506,7,0)</f>
        <v>0</v>
      </c>
    </row>
    <row r="29" spans="1:15">
      <c r="A29" s="39">
        <v>42185</v>
      </c>
      <c r="C29">
        <f>VLOOKUP(A29,NYSEARCAVTI!A$2:G$506,7,0)</f>
        <v>0</v>
      </c>
      <c r="D29">
        <f>VLOOKUP(A29,NYSEARCAVEU!A$2:G$506,7,0)</f>
        <v>0</v>
      </c>
      <c r="E29">
        <f>VLOOKUP(A29,NYSEARCAVWO!A$2:G$506,7,0)</f>
        <v>0</v>
      </c>
      <c r="F29">
        <f>VLOOKUP(A29,NYSEARCABND!A$2:G$506,7,0)</f>
        <v>0</v>
      </c>
      <c r="G29">
        <f>VLOOKUP(A29,NYSEARCATIP!A$2:G$506,7,0)</f>
        <v>0</v>
      </c>
      <c r="H29">
        <f>VLOOKUP(A29,NYSEARCAMUB!A$2:G$506,7,0)</f>
        <v>0</v>
      </c>
      <c r="I29">
        <f>VLOOKUP(A29,NYSEARCAVNQ!A$2:G$506,7,0)</f>
        <v>0</v>
      </c>
      <c r="J29">
        <f>VLOOKUP(A29,NYSEARCARWX!A$2:G$506,7,0)</f>
        <v>0</v>
      </c>
      <c r="K29">
        <f>VLOOKUP(A29,NYSEARCADBC!A$2:G$506,7,0)</f>
        <v>0</v>
      </c>
      <c r="L29">
        <f>VLOOKUP(A29,NYSEARCAGSG!A$2:G$506,7,0)</f>
        <v>0</v>
      </c>
      <c r="M29">
        <f>VLOOKUP(A29,NYSEARCAGLD!A$2:G$506,7,0)</f>
        <v>0</v>
      </c>
      <c r="N29">
        <f>VLOOKUP(A29,NYSEBP!A$2:G$506,7,0)</f>
        <v>0</v>
      </c>
      <c r="O29">
        <f>VLOOKUP(A29,NASDAQYHOO!A$2:G$506,7,0)</f>
        <v>0</v>
      </c>
    </row>
    <row r="30" spans="1:15">
      <c r="A30" s="39">
        <v>42186</v>
      </c>
      <c r="C30">
        <f>VLOOKUP(A30,NYSEARCAVTI!A$2:G$506,7,0)</f>
        <v>0</v>
      </c>
      <c r="D30">
        <f>VLOOKUP(A30,NYSEARCAVEU!A$2:G$506,7,0)</f>
        <v>0</v>
      </c>
      <c r="E30">
        <f>VLOOKUP(A30,NYSEARCAVWO!A$2:G$506,7,0)</f>
        <v>0</v>
      </c>
      <c r="F30">
        <f>VLOOKUP(A30,NYSEARCABND!A$2:G$506,7,0)</f>
        <v>0</v>
      </c>
      <c r="G30">
        <f>VLOOKUP(A30,NYSEARCATIP!A$2:G$506,7,0)</f>
        <v>0</v>
      </c>
      <c r="H30">
        <f>VLOOKUP(A30,NYSEARCAMUB!A$2:G$506,7,0)</f>
        <v>0</v>
      </c>
      <c r="I30">
        <f>VLOOKUP(A30,NYSEARCAVNQ!A$2:G$506,7,0)</f>
        <v>0</v>
      </c>
      <c r="J30">
        <f>VLOOKUP(A30,NYSEARCARWX!A$2:G$506,7,0)</f>
        <v>0</v>
      </c>
      <c r="K30">
        <f>VLOOKUP(A30,NYSEARCADBC!A$2:G$506,7,0)</f>
        <v>0</v>
      </c>
      <c r="L30">
        <f>VLOOKUP(A30,NYSEARCAGSG!A$2:G$506,7,0)</f>
        <v>0</v>
      </c>
      <c r="M30">
        <f>VLOOKUP(A30,NYSEARCAGLD!A$2:G$506,7,0)</f>
        <v>0</v>
      </c>
      <c r="N30">
        <f>VLOOKUP(A30,NYSEBP!A$2:G$506,7,0)</f>
        <v>0</v>
      </c>
      <c r="O30">
        <f>VLOOKUP(A30,NASDAQYHOO!A$2:G$506,7,0)</f>
        <v>0</v>
      </c>
    </row>
    <row r="31" spans="1:15">
      <c r="A31" s="39">
        <v>42187</v>
      </c>
      <c r="C31">
        <f>VLOOKUP(A31,NYSEARCAVTI!A$2:G$506,7,0)</f>
        <v>0</v>
      </c>
      <c r="D31">
        <f>VLOOKUP(A31,NYSEARCAVEU!A$2:G$506,7,0)</f>
        <v>0</v>
      </c>
      <c r="E31">
        <f>VLOOKUP(A31,NYSEARCAVWO!A$2:G$506,7,0)</f>
        <v>0</v>
      </c>
      <c r="F31">
        <f>VLOOKUP(A31,NYSEARCABND!A$2:G$506,7,0)</f>
        <v>0</v>
      </c>
      <c r="G31">
        <f>VLOOKUP(A31,NYSEARCATIP!A$2:G$506,7,0)</f>
        <v>0</v>
      </c>
      <c r="H31">
        <f>VLOOKUP(A31,NYSEARCAMUB!A$2:G$506,7,0)</f>
        <v>0</v>
      </c>
      <c r="I31">
        <f>VLOOKUP(A31,NYSEARCAVNQ!A$2:G$506,7,0)</f>
        <v>0</v>
      </c>
      <c r="J31">
        <f>VLOOKUP(A31,NYSEARCARWX!A$2:G$506,7,0)</f>
        <v>0</v>
      </c>
      <c r="K31">
        <f>VLOOKUP(A31,NYSEARCADBC!A$2:G$506,7,0)</f>
        <v>0</v>
      </c>
      <c r="L31">
        <f>VLOOKUP(A31,NYSEARCAGSG!A$2:G$506,7,0)</f>
        <v>0</v>
      </c>
      <c r="M31">
        <f>VLOOKUP(A31,NYSEARCAGLD!A$2:G$506,7,0)</f>
        <v>0</v>
      </c>
      <c r="N31">
        <f>VLOOKUP(A31,NYSEBP!A$2:G$506,7,0)</f>
        <v>0</v>
      </c>
      <c r="O31">
        <f>VLOOKUP(A31,NASDAQYHOO!A$2:G$506,7,0)</f>
        <v>0</v>
      </c>
    </row>
    <row r="32" spans="1:15">
      <c r="A32" s="39">
        <v>42191</v>
      </c>
      <c r="C32">
        <f>VLOOKUP(A32,NYSEARCAVTI!A$2:G$506,7,0)</f>
        <v>0</v>
      </c>
      <c r="D32">
        <f>VLOOKUP(A32,NYSEARCAVEU!A$2:G$506,7,0)</f>
        <v>0</v>
      </c>
      <c r="E32">
        <f>VLOOKUP(A32,NYSEARCAVWO!A$2:G$506,7,0)</f>
        <v>0</v>
      </c>
      <c r="F32">
        <f>VLOOKUP(A32,NYSEARCABND!A$2:G$506,7,0)</f>
        <v>0</v>
      </c>
      <c r="G32">
        <f>VLOOKUP(A32,NYSEARCATIP!A$2:G$506,7,0)</f>
        <v>0</v>
      </c>
      <c r="H32">
        <f>VLOOKUP(A32,NYSEARCAMUB!A$2:G$506,7,0)</f>
        <v>0</v>
      </c>
      <c r="I32">
        <f>VLOOKUP(A32,NYSEARCAVNQ!A$2:G$506,7,0)</f>
        <v>0</v>
      </c>
      <c r="J32">
        <f>VLOOKUP(A32,NYSEARCARWX!A$2:G$506,7,0)</f>
        <v>0</v>
      </c>
      <c r="K32">
        <f>VLOOKUP(A32,NYSEARCADBC!A$2:G$506,7,0)</f>
        <v>0</v>
      </c>
      <c r="L32">
        <f>VLOOKUP(A32,NYSEARCAGSG!A$2:G$506,7,0)</f>
        <v>0</v>
      </c>
      <c r="M32">
        <f>VLOOKUP(A32,NYSEARCAGLD!A$2:G$506,7,0)</f>
        <v>0</v>
      </c>
      <c r="N32">
        <f>VLOOKUP(A32,NYSEBP!A$2:G$506,7,0)</f>
        <v>0</v>
      </c>
      <c r="O32">
        <f>VLOOKUP(A32,NASDAQYHOO!A$2:G$506,7,0)</f>
        <v>0</v>
      </c>
    </row>
    <row r="33" spans="1:15">
      <c r="A33" s="39">
        <v>42192</v>
      </c>
      <c r="C33">
        <f>VLOOKUP(A33,NYSEARCAVTI!A$2:G$506,7,0)</f>
        <v>0</v>
      </c>
      <c r="D33">
        <f>VLOOKUP(A33,NYSEARCAVEU!A$2:G$506,7,0)</f>
        <v>0</v>
      </c>
      <c r="E33">
        <f>VLOOKUP(A33,NYSEARCAVWO!A$2:G$506,7,0)</f>
        <v>0</v>
      </c>
      <c r="F33">
        <f>VLOOKUP(A33,NYSEARCABND!A$2:G$506,7,0)</f>
        <v>0</v>
      </c>
      <c r="G33">
        <f>VLOOKUP(A33,NYSEARCATIP!A$2:G$506,7,0)</f>
        <v>0</v>
      </c>
      <c r="H33">
        <f>VLOOKUP(A33,NYSEARCAMUB!A$2:G$506,7,0)</f>
        <v>0</v>
      </c>
      <c r="I33">
        <f>VLOOKUP(A33,NYSEARCAVNQ!A$2:G$506,7,0)</f>
        <v>0</v>
      </c>
      <c r="J33">
        <f>VLOOKUP(A33,NYSEARCARWX!A$2:G$506,7,0)</f>
        <v>0</v>
      </c>
      <c r="K33">
        <f>VLOOKUP(A33,NYSEARCADBC!A$2:G$506,7,0)</f>
        <v>0</v>
      </c>
      <c r="L33">
        <f>VLOOKUP(A33,NYSEARCAGSG!A$2:G$506,7,0)</f>
        <v>0</v>
      </c>
      <c r="M33">
        <f>VLOOKUP(A33,NYSEARCAGLD!A$2:G$506,7,0)</f>
        <v>0</v>
      </c>
      <c r="N33">
        <f>VLOOKUP(A33,NYSEBP!A$2:G$506,7,0)</f>
        <v>0</v>
      </c>
      <c r="O33">
        <f>VLOOKUP(A33,NASDAQYHOO!A$2:G$506,7,0)</f>
        <v>0</v>
      </c>
    </row>
    <row r="34" spans="1:15">
      <c r="A34" s="39">
        <v>42193</v>
      </c>
      <c r="C34">
        <f>VLOOKUP(A34,NYSEARCAVTI!A$2:G$506,7,0)</f>
        <v>0</v>
      </c>
      <c r="D34">
        <f>VLOOKUP(A34,NYSEARCAVEU!A$2:G$506,7,0)</f>
        <v>0</v>
      </c>
      <c r="E34">
        <f>VLOOKUP(A34,NYSEARCAVWO!A$2:G$506,7,0)</f>
        <v>0</v>
      </c>
      <c r="F34">
        <f>VLOOKUP(A34,NYSEARCABND!A$2:G$506,7,0)</f>
        <v>0</v>
      </c>
      <c r="G34">
        <f>VLOOKUP(A34,NYSEARCATIP!A$2:G$506,7,0)</f>
        <v>0</v>
      </c>
      <c r="H34">
        <f>VLOOKUP(A34,NYSEARCAMUB!A$2:G$506,7,0)</f>
        <v>0</v>
      </c>
      <c r="I34">
        <f>VLOOKUP(A34,NYSEARCAVNQ!A$2:G$506,7,0)</f>
        <v>0</v>
      </c>
      <c r="J34">
        <f>VLOOKUP(A34,NYSEARCARWX!A$2:G$506,7,0)</f>
        <v>0</v>
      </c>
      <c r="K34">
        <f>VLOOKUP(A34,NYSEARCADBC!A$2:G$506,7,0)</f>
        <v>0</v>
      </c>
      <c r="L34">
        <f>VLOOKUP(A34,NYSEARCAGSG!A$2:G$506,7,0)</f>
        <v>0</v>
      </c>
      <c r="M34">
        <f>VLOOKUP(A34,NYSEARCAGLD!A$2:G$506,7,0)</f>
        <v>0</v>
      </c>
      <c r="N34">
        <f>VLOOKUP(A34,NYSEBP!A$2:G$506,7,0)</f>
        <v>0</v>
      </c>
      <c r="O34">
        <f>VLOOKUP(A34,NASDAQYHOO!A$2:G$506,7,0)</f>
        <v>0</v>
      </c>
    </row>
    <row r="35" spans="1:15">
      <c r="A35" s="39">
        <v>42194</v>
      </c>
      <c r="C35">
        <f>VLOOKUP(A35,NYSEARCAVTI!A$2:G$506,7,0)</f>
        <v>0</v>
      </c>
      <c r="D35">
        <f>VLOOKUP(A35,NYSEARCAVEU!A$2:G$506,7,0)</f>
        <v>0</v>
      </c>
      <c r="E35">
        <f>VLOOKUP(A35,NYSEARCAVWO!A$2:G$506,7,0)</f>
        <v>0</v>
      </c>
      <c r="F35">
        <f>VLOOKUP(A35,NYSEARCABND!A$2:G$506,7,0)</f>
        <v>0</v>
      </c>
      <c r="G35">
        <f>VLOOKUP(A35,NYSEARCATIP!A$2:G$506,7,0)</f>
        <v>0</v>
      </c>
      <c r="H35">
        <f>VLOOKUP(A35,NYSEARCAMUB!A$2:G$506,7,0)</f>
        <v>0</v>
      </c>
      <c r="I35">
        <f>VLOOKUP(A35,NYSEARCAVNQ!A$2:G$506,7,0)</f>
        <v>0</v>
      </c>
      <c r="J35">
        <f>VLOOKUP(A35,NYSEARCARWX!A$2:G$506,7,0)</f>
        <v>0</v>
      </c>
      <c r="K35">
        <f>VLOOKUP(A35,NYSEARCADBC!A$2:G$506,7,0)</f>
        <v>0</v>
      </c>
      <c r="L35">
        <f>VLOOKUP(A35,NYSEARCAGSG!A$2:G$506,7,0)</f>
        <v>0</v>
      </c>
      <c r="M35">
        <f>VLOOKUP(A35,NYSEARCAGLD!A$2:G$506,7,0)</f>
        <v>0</v>
      </c>
      <c r="N35">
        <f>VLOOKUP(A35,NYSEBP!A$2:G$506,7,0)</f>
        <v>0</v>
      </c>
      <c r="O35">
        <f>VLOOKUP(A35,NASDAQYHOO!A$2:G$506,7,0)</f>
        <v>0</v>
      </c>
    </row>
    <row r="36" spans="1:15">
      <c r="A36" s="39">
        <v>42195</v>
      </c>
      <c r="C36">
        <f>VLOOKUP(A36,NYSEARCAVTI!A$2:G$506,7,0)</f>
        <v>0</v>
      </c>
      <c r="D36">
        <f>VLOOKUP(A36,NYSEARCAVEU!A$2:G$506,7,0)</f>
        <v>0</v>
      </c>
      <c r="E36">
        <f>VLOOKUP(A36,NYSEARCAVWO!A$2:G$506,7,0)</f>
        <v>0</v>
      </c>
      <c r="F36">
        <f>VLOOKUP(A36,NYSEARCABND!A$2:G$506,7,0)</f>
        <v>0</v>
      </c>
      <c r="G36">
        <f>VLOOKUP(A36,NYSEARCATIP!A$2:G$506,7,0)</f>
        <v>0</v>
      </c>
      <c r="H36">
        <f>VLOOKUP(A36,NYSEARCAMUB!A$2:G$506,7,0)</f>
        <v>0</v>
      </c>
      <c r="I36">
        <f>VLOOKUP(A36,NYSEARCAVNQ!A$2:G$506,7,0)</f>
        <v>0</v>
      </c>
      <c r="J36">
        <f>VLOOKUP(A36,NYSEARCARWX!A$2:G$506,7,0)</f>
        <v>0</v>
      </c>
      <c r="K36">
        <f>VLOOKUP(A36,NYSEARCADBC!A$2:G$506,7,0)</f>
        <v>0</v>
      </c>
      <c r="L36">
        <f>VLOOKUP(A36,NYSEARCAGSG!A$2:G$506,7,0)</f>
        <v>0</v>
      </c>
      <c r="M36">
        <f>VLOOKUP(A36,NYSEARCAGLD!A$2:G$506,7,0)</f>
        <v>0</v>
      </c>
      <c r="N36">
        <f>VLOOKUP(A36,NYSEBP!A$2:G$506,7,0)</f>
        <v>0</v>
      </c>
      <c r="O36">
        <f>VLOOKUP(A36,NASDAQYHOO!A$2:G$506,7,0)</f>
        <v>0</v>
      </c>
    </row>
    <row r="37" spans="1:15">
      <c r="A37" s="39">
        <v>42198</v>
      </c>
      <c r="C37">
        <f>VLOOKUP(A37,NYSEARCAVTI!A$2:G$506,7,0)</f>
        <v>0</v>
      </c>
      <c r="D37">
        <f>VLOOKUP(A37,NYSEARCAVEU!A$2:G$506,7,0)</f>
        <v>0</v>
      </c>
      <c r="E37">
        <f>VLOOKUP(A37,NYSEARCAVWO!A$2:G$506,7,0)</f>
        <v>0</v>
      </c>
      <c r="F37">
        <f>VLOOKUP(A37,NYSEARCABND!A$2:G$506,7,0)</f>
        <v>0</v>
      </c>
      <c r="G37">
        <f>VLOOKUP(A37,NYSEARCATIP!A$2:G$506,7,0)</f>
        <v>0</v>
      </c>
      <c r="H37">
        <f>VLOOKUP(A37,NYSEARCAMUB!A$2:G$506,7,0)</f>
        <v>0</v>
      </c>
      <c r="I37">
        <f>VLOOKUP(A37,NYSEARCAVNQ!A$2:G$506,7,0)</f>
        <v>0</v>
      </c>
      <c r="J37">
        <f>VLOOKUP(A37,NYSEARCARWX!A$2:G$506,7,0)</f>
        <v>0</v>
      </c>
      <c r="K37">
        <f>VLOOKUP(A37,NYSEARCADBC!A$2:G$506,7,0)</f>
        <v>0</v>
      </c>
      <c r="L37">
        <f>VLOOKUP(A37,NYSEARCAGSG!A$2:G$506,7,0)</f>
        <v>0</v>
      </c>
      <c r="M37">
        <f>VLOOKUP(A37,NYSEARCAGLD!A$2:G$506,7,0)</f>
        <v>0</v>
      </c>
      <c r="N37">
        <f>VLOOKUP(A37,NYSEBP!A$2:G$506,7,0)</f>
        <v>0</v>
      </c>
      <c r="O37">
        <f>VLOOKUP(A37,NASDAQYHOO!A$2:G$506,7,0)</f>
        <v>0</v>
      </c>
    </row>
    <row r="38" spans="1:15">
      <c r="A38" s="39">
        <v>42199</v>
      </c>
      <c r="C38">
        <f>VLOOKUP(A38,NYSEARCAVTI!A$2:G$506,7,0)</f>
        <v>0</v>
      </c>
      <c r="D38">
        <f>VLOOKUP(A38,NYSEARCAVEU!A$2:G$506,7,0)</f>
        <v>0</v>
      </c>
      <c r="E38">
        <f>VLOOKUP(A38,NYSEARCAVWO!A$2:G$506,7,0)</f>
        <v>0</v>
      </c>
      <c r="F38">
        <f>VLOOKUP(A38,NYSEARCABND!A$2:G$506,7,0)</f>
        <v>0</v>
      </c>
      <c r="G38">
        <f>VLOOKUP(A38,NYSEARCATIP!A$2:G$506,7,0)</f>
        <v>0</v>
      </c>
      <c r="H38">
        <f>VLOOKUP(A38,NYSEARCAMUB!A$2:G$506,7,0)</f>
        <v>0</v>
      </c>
      <c r="I38">
        <f>VLOOKUP(A38,NYSEARCAVNQ!A$2:G$506,7,0)</f>
        <v>0</v>
      </c>
      <c r="J38">
        <f>VLOOKUP(A38,NYSEARCARWX!A$2:G$506,7,0)</f>
        <v>0</v>
      </c>
      <c r="K38">
        <f>VLOOKUP(A38,NYSEARCADBC!A$2:G$506,7,0)</f>
        <v>0</v>
      </c>
      <c r="L38">
        <f>VLOOKUP(A38,NYSEARCAGSG!A$2:G$506,7,0)</f>
        <v>0</v>
      </c>
      <c r="M38">
        <f>VLOOKUP(A38,NYSEARCAGLD!A$2:G$506,7,0)</f>
        <v>0</v>
      </c>
      <c r="N38">
        <f>VLOOKUP(A38,NYSEBP!A$2:G$506,7,0)</f>
        <v>0</v>
      </c>
      <c r="O38">
        <f>VLOOKUP(A38,NASDAQYHOO!A$2:G$506,7,0)</f>
        <v>0</v>
      </c>
    </row>
    <row r="39" spans="1:15">
      <c r="A39" s="39">
        <v>42200</v>
      </c>
      <c r="C39">
        <f>VLOOKUP(A39,NYSEARCAVTI!A$2:G$506,7,0)</f>
        <v>0</v>
      </c>
      <c r="D39">
        <f>VLOOKUP(A39,NYSEARCAVEU!A$2:G$506,7,0)</f>
        <v>0</v>
      </c>
      <c r="E39">
        <f>VLOOKUP(A39,NYSEARCAVWO!A$2:G$506,7,0)</f>
        <v>0</v>
      </c>
      <c r="F39">
        <f>VLOOKUP(A39,NYSEARCABND!A$2:G$506,7,0)</f>
        <v>0</v>
      </c>
      <c r="G39">
        <f>VLOOKUP(A39,NYSEARCATIP!A$2:G$506,7,0)</f>
        <v>0</v>
      </c>
      <c r="H39">
        <f>VLOOKUP(A39,NYSEARCAMUB!A$2:G$506,7,0)</f>
        <v>0</v>
      </c>
      <c r="I39">
        <f>VLOOKUP(A39,NYSEARCAVNQ!A$2:G$506,7,0)</f>
        <v>0</v>
      </c>
      <c r="J39">
        <f>VLOOKUP(A39,NYSEARCARWX!A$2:G$506,7,0)</f>
        <v>0</v>
      </c>
      <c r="K39">
        <f>VLOOKUP(A39,NYSEARCADBC!A$2:G$506,7,0)</f>
        <v>0</v>
      </c>
      <c r="L39">
        <f>VLOOKUP(A39,NYSEARCAGSG!A$2:G$506,7,0)</f>
        <v>0</v>
      </c>
      <c r="M39">
        <f>VLOOKUP(A39,NYSEARCAGLD!A$2:G$506,7,0)</f>
        <v>0</v>
      </c>
      <c r="N39">
        <f>VLOOKUP(A39,NYSEBP!A$2:G$506,7,0)</f>
        <v>0</v>
      </c>
      <c r="O39">
        <f>VLOOKUP(A39,NASDAQYHOO!A$2:G$506,7,0)</f>
        <v>0</v>
      </c>
    </row>
    <row r="40" spans="1:15">
      <c r="A40" s="39">
        <v>42201</v>
      </c>
      <c r="C40">
        <f>VLOOKUP(A40,NYSEARCAVTI!A$2:G$506,7,0)</f>
        <v>0</v>
      </c>
      <c r="D40">
        <f>VLOOKUP(A40,NYSEARCAVEU!A$2:G$506,7,0)</f>
        <v>0</v>
      </c>
      <c r="E40">
        <f>VLOOKUP(A40,NYSEARCAVWO!A$2:G$506,7,0)</f>
        <v>0</v>
      </c>
      <c r="F40">
        <f>VLOOKUP(A40,NYSEARCABND!A$2:G$506,7,0)</f>
        <v>0</v>
      </c>
      <c r="G40">
        <f>VLOOKUP(A40,NYSEARCATIP!A$2:G$506,7,0)</f>
        <v>0</v>
      </c>
      <c r="H40">
        <f>VLOOKUP(A40,NYSEARCAMUB!A$2:G$506,7,0)</f>
        <v>0</v>
      </c>
      <c r="I40">
        <f>VLOOKUP(A40,NYSEARCAVNQ!A$2:G$506,7,0)</f>
        <v>0</v>
      </c>
      <c r="J40">
        <f>VLOOKUP(A40,NYSEARCARWX!A$2:G$506,7,0)</f>
        <v>0</v>
      </c>
      <c r="K40">
        <f>VLOOKUP(A40,NYSEARCADBC!A$2:G$506,7,0)</f>
        <v>0</v>
      </c>
      <c r="L40">
        <f>VLOOKUP(A40,NYSEARCAGSG!A$2:G$506,7,0)</f>
        <v>0</v>
      </c>
      <c r="M40">
        <f>VLOOKUP(A40,NYSEARCAGLD!A$2:G$506,7,0)</f>
        <v>0</v>
      </c>
      <c r="N40">
        <f>VLOOKUP(A40,NYSEBP!A$2:G$506,7,0)</f>
        <v>0</v>
      </c>
      <c r="O40">
        <f>VLOOKUP(A40,NASDAQYHOO!A$2:G$506,7,0)</f>
        <v>0</v>
      </c>
    </row>
    <row r="41" spans="1:15">
      <c r="A41" s="39">
        <v>42202</v>
      </c>
      <c r="C41">
        <f>VLOOKUP(A41,NYSEARCAVTI!A$2:G$506,7,0)</f>
        <v>0</v>
      </c>
      <c r="D41">
        <f>VLOOKUP(A41,NYSEARCAVEU!A$2:G$506,7,0)</f>
        <v>0</v>
      </c>
      <c r="E41">
        <f>VLOOKUP(A41,NYSEARCAVWO!A$2:G$506,7,0)</f>
        <v>0</v>
      </c>
      <c r="F41">
        <f>VLOOKUP(A41,NYSEARCABND!A$2:G$506,7,0)</f>
        <v>0</v>
      </c>
      <c r="G41">
        <f>VLOOKUP(A41,NYSEARCATIP!A$2:G$506,7,0)</f>
        <v>0</v>
      </c>
      <c r="H41">
        <f>VLOOKUP(A41,NYSEARCAMUB!A$2:G$506,7,0)</f>
        <v>0</v>
      </c>
      <c r="I41">
        <f>VLOOKUP(A41,NYSEARCAVNQ!A$2:G$506,7,0)</f>
        <v>0</v>
      </c>
      <c r="J41">
        <f>VLOOKUP(A41,NYSEARCARWX!A$2:G$506,7,0)</f>
        <v>0</v>
      </c>
      <c r="K41">
        <f>VLOOKUP(A41,NYSEARCADBC!A$2:G$506,7,0)</f>
        <v>0</v>
      </c>
      <c r="L41">
        <f>VLOOKUP(A41,NYSEARCAGSG!A$2:G$506,7,0)</f>
        <v>0</v>
      </c>
      <c r="M41">
        <f>VLOOKUP(A41,NYSEARCAGLD!A$2:G$506,7,0)</f>
        <v>0</v>
      </c>
      <c r="N41">
        <f>VLOOKUP(A41,NYSEBP!A$2:G$506,7,0)</f>
        <v>0</v>
      </c>
      <c r="O41">
        <f>VLOOKUP(A41,NASDAQYHOO!A$2:G$506,7,0)</f>
        <v>0</v>
      </c>
    </row>
    <row r="42" spans="1:15">
      <c r="A42" s="39">
        <v>42205</v>
      </c>
      <c r="C42">
        <f>VLOOKUP(A42,NYSEARCAVTI!A$2:G$506,7,0)</f>
        <v>0</v>
      </c>
      <c r="D42">
        <f>VLOOKUP(A42,NYSEARCAVEU!A$2:G$506,7,0)</f>
        <v>0</v>
      </c>
      <c r="E42">
        <f>VLOOKUP(A42,NYSEARCAVWO!A$2:G$506,7,0)</f>
        <v>0</v>
      </c>
      <c r="F42">
        <f>VLOOKUP(A42,NYSEARCABND!A$2:G$506,7,0)</f>
        <v>0</v>
      </c>
      <c r="G42">
        <f>VLOOKUP(A42,NYSEARCATIP!A$2:G$506,7,0)</f>
        <v>0</v>
      </c>
      <c r="H42">
        <f>VLOOKUP(A42,NYSEARCAMUB!A$2:G$506,7,0)</f>
        <v>0</v>
      </c>
      <c r="I42">
        <f>VLOOKUP(A42,NYSEARCAVNQ!A$2:G$506,7,0)</f>
        <v>0</v>
      </c>
      <c r="J42">
        <f>VLOOKUP(A42,NYSEARCARWX!A$2:G$506,7,0)</f>
        <v>0</v>
      </c>
      <c r="K42">
        <f>VLOOKUP(A42,NYSEARCADBC!A$2:G$506,7,0)</f>
        <v>0</v>
      </c>
      <c r="L42">
        <f>VLOOKUP(A42,NYSEARCAGSG!A$2:G$506,7,0)</f>
        <v>0</v>
      </c>
      <c r="M42">
        <f>VLOOKUP(A42,NYSEARCAGLD!A$2:G$506,7,0)</f>
        <v>0</v>
      </c>
      <c r="N42">
        <f>VLOOKUP(A42,NYSEBP!A$2:G$506,7,0)</f>
        <v>0</v>
      </c>
      <c r="O42">
        <f>VLOOKUP(A42,NASDAQYHOO!A$2:G$506,7,0)</f>
        <v>0</v>
      </c>
    </row>
    <row r="43" spans="1:15">
      <c r="A43" s="39">
        <v>42206</v>
      </c>
      <c r="C43">
        <f>VLOOKUP(A43,NYSEARCAVTI!A$2:G$506,7,0)</f>
        <v>0</v>
      </c>
      <c r="D43">
        <f>VLOOKUP(A43,NYSEARCAVEU!A$2:G$506,7,0)</f>
        <v>0</v>
      </c>
      <c r="E43">
        <f>VLOOKUP(A43,NYSEARCAVWO!A$2:G$506,7,0)</f>
        <v>0</v>
      </c>
      <c r="F43">
        <f>VLOOKUP(A43,NYSEARCABND!A$2:G$506,7,0)</f>
        <v>0</v>
      </c>
      <c r="G43">
        <f>VLOOKUP(A43,NYSEARCATIP!A$2:G$506,7,0)</f>
        <v>0</v>
      </c>
      <c r="H43">
        <f>VLOOKUP(A43,NYSEARCAMUB!A$2:G$506,7,0)</f>
        <v>0</v>
      </c>
      <c r="I43">
        <f>VLOOKUP(A43,NYSEARCAVNQ!A$2:G$506,7,0)</f>
        <v>0</v>
      </c>
      <c r="J43">
        <f>VLOOKUP(A43,NYSEARCARWX!A$2:G$506,7,0)</f>
        <v>0</v>
      </c>
      <c r="K43">
        <f>VLOOKUP(A43,NYSEARCADBC!A$2:G$506,7,0)</f>
        <v>0</v>
      </c>
      <c r="L43">
        <f>VLOOKUP(A43,NYSEARCAGSG!A$2:G$506,7,0)</f>
        <v>0</v>
      </c>
      <c r="M43">
        <f>VLOOKUP(A43,NYSEARCAGLD!A$2:G$506,7,0)</f>
        <v>0</v>
      </c>
      <c r="N43">
        <f>VLOOKUP(A43,NYSEBP!A$2:G$506,7,0)</f>
        <v>0</v>
      </c>
      <c r="O43">
        <f>VLOOKUP(A43,NASDAQYHOO!A$2:G$506,7,0)</f>
        <v>0</v>
      </c>
    </row>
    <row r="44" spans="1:15">
      <c r="A44" s="39">
        <v>42207</v>
      </c>
      <c r="C44">
        <f>VLOOKUP(A44,NYSEARCAVTI!A$2:G$506,7,0)</f>
        <v>0</v>
      </c>
      <c r="D44">
        <f>VLOOKUP(A44,NYSEARCAVEU!A$2:G$506,7,0)</f>
        <v>0</v>
      </c>
      <c r="E44">
        <f>VLOOKUP(A44,NYSEARCAVWO!A$2:G$506,7,0)</f>
        <v>0</v>
      </c>
      <c r="F44">
        <f>VLOOKUP(A44,NYSEARCABND!A$2:G$506,7,0)</f>
        <v>0</v>
      </c>
      <c r="G44">
        <f>VLOOKUP(A44,NYSEARCATIP!A$2:G$506,7,0)</f>
        <v>0</v>
      </c>
      <c r="H44">
        <f>VLOOKUP(A44,NYSEARCAMUB!A$2:G$506,7,0)</f>
        <v>0</v>
      </c>
      <c r="I44">
        <f>VLOOKUP(A44,NYSEARCAVNQ!A$2:G$506,7,0)</f>
        <v>0</v>
      </c>
      <c r="J44">
        <f>VLOOKUP(A44,NYSEARCARWX!A$2:G$506,7,0)</f>
        <v>0</v>
      </c>
      <c r="K44">
        <f>VLOOKUP(A44,NYSEARCADBC!A$2:G$506,7,0)</f>
        <v>0</v>
      </c>
      <c r="L44">
        <f>VLOOKUP(A44,NYSEARCAGSG!A$2:G$506,7,0)</f>
        <v>0</v>
      </c>
      <c r="M44">
        <f>VLOOKUP(A44,NYSEARCAGLD!A$2:G$506,7,0)</f>
        <v>0</v>
      </c>
      <c r="N44">
        <f>VLOOKUP(A44,NYSEBP!A$2:G$506,7,0)</f>
        <v>0</v>
      </c>
      <c r="O44">
        <f>VLOOKUP(A44,NASDAQYHOO!A$2:G$506,7,0)</f>
        <v>0</v>
      </c>
    </row>
    <row r="45" spans="1:15">
      <c r="A45" s="39">
        <v>42208</v>
      </c>
      <c r="C45">
        <f>VLOOKUP(A45,NYSEARCAVTI!A$2:G$506,7,0)</f>
        <v>0</v>
      </c>
      <c r="D45">
        <f>VLOOKUP(A45,NYSEARCAVEU!A$2:G$506,7,0)</f>
        <v>0</v>
      </c>
      <c r="E45">
        <f>VLOOKUP(A45,NYSEARCAVWO!A$2:G$506,7,0)</f>
        <v>0</v>
      </c>
      <c r="F45">
        <f>VLOOKUP(A45,NYSEARCABND!A$2:G$506,7,0)</f>
        <v>0</v>
      </c>
      <c r="G45">
        <f>VLOOKUP(A45,NYSEARCATIP!A$2:G$506,7,0)</f>
        <v>0</v>
      </c>
      <c r="H45">
        <f>VLOOKUP(A45,NYSEARCAMUB!A$2:G$506,7,0)</f>
        <v>0</v>
      </c>
      <c r="I45">
        <f>VLOOKUP(A45,NYSEARCAVNQ!A$2:G$506,7,0)</f>
        <v>0</v>
      </c>
      <c r="J45">
        <f>VLOOKUP(A45,NYSEARCARWX!A$2:G$506,7,0)</f>
        <v>0</v>
      </c>
      <c r="K45">
        <f>VLOOKUP(A45,NYSEARCADBC!A$2:G$506,7,0)</f>
        <v>0</v>
      </c>
      <c r="L45">
        <f>VLOOKUP(A45,NYSEARCAGSG!A$2:G$506,7,0)</f>
        <v>0</v>
      </c>
      <c r="M45">
        <f>VLOOKUP(A45,NYSEARCAGLD!A$2:G$506,7,0)</f>
        <v>0</v>
      </c>
      <c r="N45">
        <f>VLOOKUP(A45,NYSEBP!A$2:G$506,7,0)</f>
        <v>0</v>
      </c>
      <c r="O45">
        <f>VLOOKUP(A45,NASDAQYHOO!A$2:G$506,7,0)</f>
        <v>0</v>
      </c>
    </row>
    <row r="46" spans="1:15">
      <c r="A46" s="39">
        <v>42209</v>
      </c>
      <c r="C46">
        <f>VLOOKUP(A46,NYSEARCAVTI!A$2:G$506,7,0)</f>
        <v>0</v>
      </c>
      <c r="D46">
        <f>VLOOKUP(A46,NYSEARCAVEU!A$2:G$506,7,0)</f>
        <v>0</v>
      </c>
      <c r="E46">
        <f>VLOOKUP(A46,NYSEARCAVWO!A$2:G$506,7,0)</f>
        <v>0</v>
      </c>
      <c r="F46">
        <f>VLOOKUP(A46,NYSEARCABND!A$2:G$506,7,0)</f>
        <v>0</v>
      </c>
      <c r="G46">
        <f>VLOOKUP(A46,NYSEARCATIP!A$2:G$506,7,0)</f>
        <v>0</v>
      </c>
      <c r="H46">
        <f>VLOOKUP(A46,NYSEARCAMUB!A$2:G$506,7,0)</f>
        <v>0</v>
      </c>
      <c r="I46">
        <f>VLOOKUP(A46,NYSEARCAVNQ!A$2:G$506,7,0)</f>
        <v>0</v>
      </c>
      <c r="J46">
        <f>VLOOKUP(A46,NYSEARCARWX!A$2:G$506,7,0)</f>
        <v>0</v>
      </c>
      <c r="K46">
        <f>VLOOKUP(A46,NYSEARCADBC!A$2:G$506,7,0)</f>
        <v>0</v>
      </c>
      <c r="L46">
        <f>VLOOKUP(A46,NYSEARCAGSG!A$2:G$506,7,0)</f>
        <v>0</v>
      </c>
      <c r="M46">
        <f>VLOOKUP(A46,NYSEARCAGLD!A$2:G$506,7,0)</f>
        <v>0</v>
      </c>
      <c r="N46">
        <f>VLOOKUP(A46,NYSEBP!A$2:G$506,7,0)</f>
        <v>0</v>
      </c>
      <c r="O46">
        <f>VLOOKUP(A46,NASDAQYHOO!A$2:G$506,7,0)</f>
        <v>0</v>
      </c>
    </row>
    <row r="47" spans="1:15">
      <c r="A47" s="39">
        <v>42212</v>
      </c>
      <c r="C47">
        <f>VLOOKUP(A47,NYSEARCAVTI!A$2:G$506,7,0)</f>
        <v>0</v>
      </c>
      <c r="D47">
        <f>VLOOKUP(A47,NYSEARCAVEU!A$2:G$506,7,0)</f>
        <v>0</v>
      </c>
      <c r="E47">
        <f>VLOOKUP(A47,NYSEARCAVWO!A$2:G$506,7,0)</f>
        <v>0</v>
      </c>
      <c r="F47">
        <f>VLOOKUP(A47,NYSEARCABND!A$2:G$506,7,0)</f>
        <v>0</v>
      </c>
      <c r="G47">
        <f>VLOOKUP(A47,NYSEARCATIP!A$2:G$506,7,0)</f>
        <v>0</v>
      </c>
      <c r="H47">
        <f>VLOOKUP(A47,NYSEARCAMUB!A$2:G$506,7,0)</f>
        <v>0</v>
      </c>
      <c r="I47">
        <f>VLOOKUP(A47,NYSEARCAVNQ!A$2:G$506,7,0)</f>
        <v>0</v>
      </c>
      <c r="J47">
        <f>VLOOKUP(A47,NYSEARCARWX!A$2:G$506,7,0)</f>
        <v>0</v>
      </c>
      <c r="K47">
        <f>VLOOKUP(A47,NYSEARCADBC!A$2:G$506,7,0)</f>
        <v>0</v>
      </c>
      <c r="L47">
        <f>VLOOKUP(A47,NYSEARCAGSG!A$2:G$506,7,0)</f>
        <v>0</v>
      </c>
      <c r="M47">
        <f>VLOOKUP(A47,NYSEARCAGLD!A$2:G$506,7,0)</f>
        <v>0</v>
      </c>
      <c r="N47">
        <f>VLOOKUP(A47,NYSEBP!A$2:G$506,7,0)</f>
        <v>0</v>
      </c>
      <c r="O47">
        <f>VLOOKUP(A47,NASDAQYHOO!A$2:G$506,7,0)</f>
        <v>0</v>
      </c>
    </row>
    <row r="48" spans="1:15">
      <c r="A48" s="39">
        <v>42213</v>
      </c>
      <c r="C48">
        <f>VLOOKUP(A48,NYSEARCAVTI!A$2:G$506,7,0)</f>
        <v>0</v>
      </c>
      <c r="D48">
        <f>VLOOKUP(A48,NYSEARCAVEU!A$2:G$506,7,0)</f>
        <v>0</v>
      </c>
      <c r="E48">
        <f>VLOOKUP(A48,NYSEARCAVWO!A$2:G$506,7,0)</f>
        <v>0</v>
      </c>
      <c r="F48">
        <f>VLOOKUP(A48,NYSEARCABND!A$2:G$506,7,0)</f>
        <v>0</v>
      </c>
      <c r="G48">
        <f>VLOOKUP(A48,NYSEARCATIP!A$2:G$506,7,0)</f>
        <v>0</v>
      </c>
      <c r="H48">
        <f>VLOOKUP(A48,NYSEARCAMUB!A$2:G$506,7,0)</f>
        <v>0</v>
      </c>
      <c r="I48">
        <f>VLOOKUP(A48,NYSEARCAVNQ!A$2:G$506,7,0)</f>
        <v>0</v>
      </c>
      <c r="J48">
        <f>VLOOKUP(A48,NYSEARCARWX!A$2:G$506,7,0)</f>
        <v>0</v>
      </c>
      <c r="K48">
        <f>VLOOKUP(A48,NYSEARCADBC!A$2:G$506,7,0)</f>
        <v>0</v>
      </c>
      <c r="L48">
        <f>VLOOKUP(A48,NYSEARCAGSG!A$2:G$506,7,0)</f>
        <v>0</v>
      </c>
      <c r="M48">
        <f>VLOOKUP(A48,NYSEARCAGLD!A$2:G$506,7,0)</f>
        <v>0</v>
      </c>
      <c r="N48">
        <f>VLOOKUP(A48,NYSEBP!A$2:G$506,7,0)</f>
        <v>0</v>
      </c>
      <c r="O48">
        <f>VLOOKUP(A48,NASDAQYHOO!A$2:G$506,7,0)</f>
        <v>0</v>
      </c>
    </row>
    <row r="49" spans="1:15">
      <c r="A49" s="39">
        <v>42214</v>
      </c>
      <c r="C49">
        <f>VLOOKUP(A49,NYSEARCAVTI!A$2:G$506,7,0)</f>
        <v>0</v>
      </c>
      <c r="D49">
        <f>VLOOKUP(A49,NYSEARCAVEU!A$2:G$506,7,0)</f>
        <v>0</v>
      </c>
      <c r="E49">
        <f>VLOOKUP(A49,NYSEARCAVWO!A$2:G$506,7,0)</f>
        <v>0</v>
      </c>
      <c r="F49">
        <f>VLOOKUP(A49,NYSEARCABND!A$2:G$506,7,0)</f>
        <v>0</v>
      </c>
      <c r="G49">
        <f>VLOOKUP(A49,NYSEARCATIP!A$2:G$506,7,0)</f>
        <v>0</v>
      </c>
      <c r="H49">
        <f>VLOOKUP(A49,NYSEARCAMUB!A$2:G$506,7,0)</f>
        <v>0</v>
      </c>
      <c r="I49">
        <f>VLOOKUP(A49,NYSEARCAVNQ!A$2:G$506,7,0)</f>
        <v>0</v>
      </c>
      <c r="J49">
        <f>VLOOKUP(A49,NYSEARCARWX!A$2:G$506,7,0)</f>
        <v>0</v>
      </c>
      <c r="K49">
        <f>VLOOKUP(A49,NYSEARCADBC!A$2:G$506,7,0)</f>
        <v>0</v>
      </c>
      <c r="L49">
        <f>VLOOKUP(A49,NYSEARCAGSG!A$2:G$506,7,0)</f>
        <v>0</v>
      </c>
      <c r="M49">
        <f>VLOOKUP(A49,NYSEARCAGLD!A$2:G$506,7,0)</f>
        <v>0</v>
      </c>
      <c r="N49">
        <f>VLOOKUP(A49,NYSEBP!A$2:G$506,7,0)</f>
        <v>0</v>
      </c>
      <c r="O49">
        <f>VLOOKUP(A49,NASDAQYHOO!A$2:G$506,7,0)</f>
        <v>0</v>
      </c>
    </row>
    <row r="50" spans="1:15">
      <c r="A50" s="39">
        <v>42215</v>
      </c>
      <c r="C50">
        <f>VLOOKUP(A50,NYSEARCAVTI!A$2:G$506,7,0)</f>
        <v>0</v>
      </c>
      <c r="D50">
        <f>VLOOKUP(A50,NYSEARCAVEU!A$2:G$506,7,0)</f>
        <v>0</v>
      </c>
      <c r="E50">
        <f>VLOOKUP(A50,NYSEARCAVWO!A$2:G$506,7,0)</f>
        <v>0</v>
      </c>
      <c r="F50">
        <f>VLOOKUP(A50,NYSEARCABND!A$2:G$506,7,0)</f>
        <v>0</v>
      </c>
      <c r="G50">
        <f>VLOOKUP(A50,NYSEARCATIP!A$2:G$506,7,0)</f>
        <v>0</v>
      </c>
      <c r="H50">
        <f>VLOOKUP(A50,NYSEARCAMUB!A$2:G$506,7,0)</f>
        <v>0</v>
      </c>
      <c r="I50">
        <f>VLOOKUP(A50,NYSEARCAVNQ!A$2:G$506,7,0)</f>
        <v>0</v>
      </c>
      <c r="J50">
        <f>VLOOKUP(A50,NYSEARCARWX!A$2:G$506,7,0)</f>
        <v>0</v>
      </c>
      <c r="K50">
        <f>VLOOKUP(A50,NYSEARCADBC!A$2:G$506,7,0)</f>
        <v>0</v>
      </c>
      <c r="L50">
        <f>VLOOKUP(A50,NYSEARCAGSG!A$2:G$506,7,0)</f>
        <v>0</v>
      </c>
      <c r="M50">
        <f>VLOOKUP(A50,NYSEARCAGLD!A$2:G$506,7,0)</f>
        <v>0</v>
      </c>
      <c r="N50">
        <f>VLOOKUP(A50,NYSEBP!A$2:G$506,7,0)</f>
        <v>0</v>
      </c>
      <c r="O50">
        <f>VLOOKUP(A50,NASDAQYHOO!A$2:G$506,7,0)</f>
        <v>0</v>
      </c>
    </row>
    <row r="51" spans="1:15">
      <c r="A51" s="39">
        <v>42216</v>
      </c>
      <c r="C51">
        <f>VLOOKUP(A51,NYSEARCAVTI!A$2:G$506,7,0)</f>
        <v>0</v>
      </c>
      <c r="D51">
        <f>VLOOKUP(A51,NYSEARCAVEU!A$2:G$506,7,0)</f>
        <v>0</v>
      </c>
      <c r="E51">
        <f>VLOOKUP(A51,NYSEARCAVWO!A$2:G$506,7,0)</f>
        <v>0</v>
      </c>
      <c r="F51">
        <f>VLOOKUP(A51,NYSEARCABND!A$2:G$506,7,0)</f>
        <v>0</v>
      </c>
      <c r="G51">
        <f>VLOOKUP(A51,NYSEARCATIP!A$2:G$506,7,0)</f>
        <v>0</v>
      </c>
      <c r="H51">
        <f>VLOOKUP(A51,NYSEARCAMUB!A$2:G$506,7,0)</f>
        <v>0</v>
      </c>
      <c r="I51">
        <f>VLOOKUP(A51,NYSEARCAVNQ!A$2:G$506,7,0)</f>
        <v>0</v>
      </c>
      <c r="J51">
        <f>VLOOKUP(A51,NYSEARCARWX!A$2:G$506,7,0)</f>
        <v>0</v>
      </c>
      <c r="K51">
        <f>VLOOKUP(A51,NYSEARCADBC!A$2:G$506,7,0)</f>
        <v>0</v>
      </c>
      <c r="L51">
        <f>VLOOKUP(A51,NYSEARCAGSG!A$2:G$506,7,0)</f>
        <v>0</v>
      </c>
      <c r="M51">
        <f>VLOOKUP(A51,NYSEARCAGLD!A$2:G$506,7,0)</f>
        <v>0</v>
      </c>
      <c r="N51">
        <f>VLOOKUP(A51,NYSEBP!A$2:G$506,7,0)</f>
        <v>0</v>
      </c>
      <c r="O51">
        <f>VLOOKUP(A51,NASDAQYHOO!A$2:G$506,7,0)</f>
        <v>0</v>
      </c>
    </row>
    <row r="52" spans="1:15">
      <c r="A52" s="39">
        <v>42219</v>
      </c>
      <c r="C52">
        <f>VLOOKUP(A52,NYSEARCAVTI!A$2:G$506,7,0)</f>
        <v>0</v>
      </c>
      <c r="D52">
        <f>VLOOKUP(A52,NYSEARCAVEU!A$2:G$506,7,0)</f>
        <v>0</v>
      </c>
      <c r="E52">
        <f>VLOOKUP(A52,NYSEARCAVWO!A$2:G$506,7,0)</f>
        <v>0</v>
      </c>
      <c r="F52">
        <f>VLOOKUP(A52,NYSEARCABND!A$2:G$506,7,0)</f>
        <v>0</v>
      </c>
      <c r="G52">
        <f>VLOOKUP(A52,NYSEARCATIP!A$2:G$506,7,0)</f>
        <v>0</v>
      </c>
      <c r="H52">
        <f>VLOOKUP(A52,NYSEARCAMUB!A$2:G$506,7,0)</f>
        <v>0</v>
      </c>
      <c r="I52">
        <f>VLOOKUP(A52,NYSEARCAVNQ!A$2:G$506,7,0)</f>
        <v>0</v>
      </c>
      <c r="J52">
        <f>VLOOKUP(A52,NYSEARCARWX!A$2:G$506,7,0)</f>
        <v>0</v>
      </c>
      <c r="K52">
        <f>VLOOKUP(A52,NYSEARCADBC!A$2:G$506,7,0)</f>
        <v>0</v>
      </c>
      <c r="L52">
        <f>VLOOKUP(A52,NYSEARCAGSG!A$2:G$506,7,0)</f>
        <v>0</v>
      </c>
      <c r="M52">
        <f>VLOOKUP(A52,NYSEARCAGLD!A$2:G$506,7,0)</f>
        <v>0</v>
      </c>
      <c r="N52">
        <f>VLOOKUP(A52,NYSEBP!A$2:G$506,7,0)</f>
        <v>0</v>
      </c>
      <c r="O52">
        <f>VLOOKUP(A52,NASDAQYHOO!A$2:G$506,7,0)</f>
        <v>0</v>
      </c>
    </row>
    <row r="53" spans="1:15">
      <c r="A53" s="39">
        <v>42220</v>
      </c>
      <c r="C53">
        <f>VLOOKUP(A53,NYSEARCAVTI!A$2:G$506,7,0)</f>
        <v>0</v>
      </c>
      <c r="D53">
        <f>VLOOKUP(A53,NYSEARCAVEU!A$2:G$506,7,0)</f>
        <v>0</v>
      </c>
      <c r="E53">
        <f>VLOOKUP(A53,NYSEARCAVWO!A$2:G$506,7,0)</f>
        <v>0</v>
      </c>
      <c r="F53">
        <f>VLOOKUP(A53,NYSEARCABND!A$2:G$506,7,0)</f>
        <v>0</v>
      </c>
      <c r="G53">
        <f>VLOOKUP(A53,NYSEARCATIP!A$2:G$506,7,0)</f>
        <v>0</v>
      </c>
      <c r="H53">
        <f>VLOOKUP(A53,NYSEARCAMUB!A$2:G$506,7,0)</f>
        <v>0</v>
      </c>
      <c r="I53">
        <f>VLOOKUP(A53,NYSEARCAVNQ!A$2:G$506,7,0)</f>
        <v>0</v>
      </c>
      <c r="J53">
        <f>VLOOKUP(A53,NYSEARCARWX!A$2:G$506,7,0)</f>
        <v>0</v>
      </c>
      <c r="K53">
        <f>VLOOKUP(A53,NYSEARCADBC!A$2:G$506,7,0)</f>
        <v>0</v>
      </c>
      <c r="L53">
        <f>VLOOKUP(A53,NYSEARCAGSG!A$2:G$506,7,0)</f>
        <v>0</v>
      </c>
      <c r="M53">
        <f>VLOOKUP(A53,NYSEARCAGLD!A$2:G$506,7,0)</f>
        <v>0</v>
      </c>
      <c r="N53">
        <f>VLOOKUP(A53,NYSEBP!A$2:G$506,7,0)</f>
        <v>0</v>
      </c>
      <c r="O53">
        <f>VLOOKUP(A53,NASDAQYHOO!A$2:G$506,7,0)</f>
        <v>0</v>
      </c>
    </row>
    <row r="54" spans="1:15">
      <c r="A54" s="39">
        <v>42221</v>
      </c>
      <c r="C54">
        <f>VLOOKUP(A54,NYSEARCAVTI!A$2:G$506,7,0)</f>
        <v>0</v>
      </c>
      <c r="D54">
        <f>VLOOKUP(A54,NYSEARCAVEU!A$2:G$506,7,0)</f>
        <v>0</v>
      </c>
      <c r="E54">
        <f>VLOOKUP(A54,NYSEARCAVWO!A$2:G$506,7,0)</f>
        <v>0</v>
      </c>
      <c r="F54">
        <f>VLOOKUP(A54,NYSEARCABND!A$2:G$506,7,0)</f>
        <v>0</v>
      </c>
      <c r="G54">
        <f>VLOOKUP(A54,NYSEARCATIP!A$2:G$506,7,0)</f>
        <v>0</v>
      </c>
      <c r="H54">
        <f>VLOOKUP(A54,NYSEARCAMUB!A$2:G$506,7,0)</f>
        <v>0</v>
      </c>
      <c r="I54">
        <f>VLOOKUP(A54,NYSEARCAVNQ!A$2:G$506,7,0)</f>
        <v>0</v>
      </c>
      <c r="J54">
        <f>VLOOKUP(A54,NYSEARCARWX!A$2:G$506,7,0)</f>
        <v>0</v>
      </c>
      <c r="K54">
        <f>VLOOKUP(A54,NYSEARCADBC!A$2:G$506,7,0)</f>
        <v>0</v>
      </c>
      <c r="L54">
        <f>VLOOKUP(A54,NYSEARCAGSG!A$2:G$506,7,0)</f>
        <v>0</v>
      </c>
      <c r="M54">
        <f>VLOOKUP(A54,NYSEARCAGLD!A$2:G$506,7,0)</f>
        <v>0</v>
      </c>
      <c r="N54">
        <f>VLOOKUP(A54,NYSEBP!A$2:G$506,7,0)</f>
        <v>0</v>
      </c>
      <c r="O54">
        <f>VLOOKUP(A54,NASDAQYHOO!A$2:G$506,7,0)</f>
        <v>0</v>
      </c>
    </row>
    <row r="55" spans="1:15">
      <c r="A55" s="39">
        <v>42222</v>
      </c>
      <c r="C55">
        <f>VLOOKUP(A55,NYSEARCAVTI!A$2:G$506,7,0)</f>
        <v>0</v>
      </c>
      <c r="D55">
        <f>VLOOKUP(A55,NYSEARCAVEU!A$2:G$506,7,0)</f>
        <v>0</v>
      </c>
      <c r="E55">
        <f>VLOOKUP(A55,NYSEARCAVWO!A$2:G$506,7,0)</f>
        <v>0</v>
      </c>
      <c r="F55">
        <f>VLOOKUP(A55,NYSEARCABND!A$2:G$506,7,0)</f>
        <v>0</v>
      </c>
      <c r="G55">
        <f>VLOOKUP(A55,NYSEARCATIP!A$2:G$506,7,0)</f>
        <v>0</v>
      </c>
      <c r="H55">
        <f>VLOOKUP(A55,NYSEARCAMUB!A$2:G$506,7,0)</f>
        <v>0</v>
      </c>
      <c r="I55">
        <f>VLOOKUP(A55,NYSEARCAVNQ!A$2:G$506,7,0)</f>
        <v>0</v>
      </c>
      <c r="J55">
        <f>VLOOKUP(A55,NYSEARCARWX!A$2:G$506,7,0)</f>
        <v>0</v>
      </c>
      <c r="K55">
        <f>VLOOKUP(A55,NYSEARCADBC!A$2:G$506,7,0)</f>
        <v>0</v>
      </c>
      <c r="L55">
        <f>VLOOKUP(A55,NYSEARCAGSG!A$2:G$506,7,0)</f>
        <v>0</v>
      </c>
      <c r="M55">
        <f>VLOOKUP(A55,NYSEARCAGLD!A$2:G$506,7,0)</f>
        <v>0</v>
      </c>
      <c r="N55">
        <f>VLOOKUP(A55,NYSEBP!A$2:G$506,7,0)</f>
        <v>0</v>
      </c>
      <c r="O55">
        <f>VLOOKUP(A55,NASDAQYHOO!A$2:G$506,7,0)</f>
        <v>0</v>
      </c>
    </row>
    <row r="56" spans="1:15">
      <c r="A56" s="39">
        <v>42223</v>
      </c>
      <c r="C56">
        <f>VLOOKUP(A56,NYSEARCAVTI!A$2:G$506,7,0)</f>
        <v>0</v>
      </c>
      <c r="D56">
        <f>VLOOKUP(A56,NYSEARCAVEU!A$2:G$506,7,0)</f>
        <v>0</v>
      </c>
      <c r="E56">
        <f>VLOOKUP(A56,NYSEARCAVWO!A$2:G$506,7,0)</f>
        <v>0</v>
      </c>
      <c r="F56">
        <f>VLOOKUP(A56,NYSEARCABND!A$2:G$506,7,0)</f>
        <v>0</v>
      </c>
      <c r="G56">
        <f>VLOOKUP(A56,NYSEARCATIP!A$2:G$506,7,0)</f>
        <v>0</v>
      </c>
      <c r="H56">
        <f>VLOOKUP(A56,NYSEARCAMUB!A$2:G$506,7,0)</f>
        <v>0</v>
      </c>
      <c r="I56">
        <f>VLOOKUP(A56,NYSEARCAVNQ!A$2:G$506,7,0)</f>
        <v>0</v>
      </c>
      <c r="J56">
        <f>VLOOKUP(A56,NYSEARCARWX!A$2:G$506,7,0)</f>
        <v>0</v>
      </c>
      <c r="K56">
        <f>VLOOKUP(A56,NYSEARCADBC!A$2:G$506,7,0)</f>
        <v>0</v>
      </c>
      <c r="L56">
        <f>VLOOKUP(A56,NYSEARCAGSG!A$2:G$506,7,0)</f>
        <v>0</v>
      </c>
      <c r="M56">
        <f>VLOOKUP(A56,NYSEARCAGLD!A$2:G$506,7,0)</f>
        <v>0</v>
      </c>
      <c r="N56">
        <f>VLOOKUP(A56,NYSEBP!A$2:G$506,7,0)</f>
        <v>0</v>
      </c>
      <c r="O56">
        <f>VLOOKUP(A56,NASDAQYHOO!A$2:G$506,7,0)</f>
        <v>0</v>
      </c>
    </row>
    <row r="57" spans="1:15">
      <c r="A57" s="39">
        <v>42226</v>
      </c>
      <c r="C57">
        <f>VLOOKUP(A57,NYSEARCAVTI!A$2:G$506,7,0)</f>
        <v>0</v>
      </c>
      <c r="D57">
        <f>VLOOKUP(A57,NYSEARCAVEU!A$2:G$506,7,0)</f>
        <v>0</v>
      </c>
      <c r="E57">
        <f>VLOOKUP(A57,NYSEARCAVWO!A$2:G$506,7,0)</f>
        <v>0</v>
      </c>
      <c r="F57">
        <f>VLOOKUP(A57,NYSEARCABND!A$2:G$506,7,0)</f>
        <v>0</v>
      </c>
      <c r="G57">
        <f>VLOOKUP(A57,NYSEARCATIP!A$2:G$506,7,0)</f>
        <v>0</v>
      </c>
      <c r="H57">
        <f>VLOOKUP(A57,NYSEARCAMUB!A$2:G$506,7,0)</f>
        <v>0</v>
      </c>
      <c r="I57">
        <f>VLOOKUP(A57,NYSEARCAVNQ!A$2:G$506,7,0)</f>
        <v>0</v>
      </c>
      <c r="J57">
        <f>VLOOKUP(A57,NYSEARCARWX!A$2:G$506,7,0)</f>
        <v>0</v>
      </c>
      <c r="K57">
        <f>VLOOKUP(A57,NYSEARCADBC!A$2:G$506,7,0)</f>
        <v>0</v>
      </c>
      <c r="L57">
        <f>VLOOKUP(A57,NYSEARCAGSG!A$2:G$506,7,0)</f>
        <v>0</v>
      </c>
      <c r="M57">
        <f>VLOOKUP(A57,NYSEARCAGLD!A$2:G$506,7,0)</f>
        <v>0</v>
      </c>
      <c r="N57">
        <f>VLOOKUP(A57,NYSEBP!A$2:G$506,7,0)</f>
        <v>0</v>
      </c>
      <c r="O57">
        <f>VLOOKUP(A57,NASDAQYHOO!A$2:G$506,7,0)</f>
        <v>0</v>
      </c>
    </row>
    <row r="58" spans="1:15">
      <c r="A58" s="39">
        <v>42227</v>
      </c>
      <c r="C58">
        <f>VLOOKUP(A58,NYSEARCAVTI!A$2:G$506,7,0)</f>
        <v>0</v>
      </c>
      <c r="D58">
        <f>VLOOKUP(A58,NYSEARCAVEU!A$2:G$506,7,0)</f>
        <v>0</v>
      </c>
      <c r="E58">
        <f>VLOOKUP(A58,NYSEARCAVWO!A$2:G$506,7,0)</f>
        <v>0</v>
      </c>
      <c r="F58">
        <f>VLOOKUP(A58,NYSEARCABND!A$2:G$506,7,0)</f>
        <v>0</v>
      </c>
      <c r="G58">
        <f>VLOOKUP(A58,NYSEARCATIP!A$2:G$506,7,0)</f>
        <v>0</v>
      </c>
      <c r="H58">
        <f>VLOOKUP(A58,NYSEARCAMUB!A$2:G$506,7,0)</f>
        <v>0</v>
      </c>
      <c r="I58">
        <f>VLOOKUP(A58,NYSEARCAVNQ!A$2:G$506,7,0)</f>
        <v>0</v>
      </c>
      <c r="J58">
        <f>VLOOKUP(A58,NYSEARCARWX!A$2:G$506,7,0)</f>
        <v>0</v>
      </c>
      <c r="K58">
        <f>VLOOKUP(A58,NYSEARCADBC!A$2:G$506,7,0)</f>
        <v>0</v>
      </c>
      <c r="L58">
        <f>VLOOKUP(A58,NYSEARCAGSG!A$2:G$506,7,0)</f>
        <v>0</v>
      </c>
      <c r="M58">
        <f>VLOOKUP(A58,NYSEARCAGLD!A$2:G$506,7,0)</f>
        <v>0</v>
      </c>
      <c r="N58">
        <f>VLOOKUP(A58,NYSEBP!A$2:G$506,7,0)</f>
        <v>0</v>
      </c>
      <c r="O58">
        <f>VLOOKUP(A58,NASDAQYHOO!A$2:G$506,7,0)</f>
        <v>0</v>
      </c>
    </row>
    <row r="59" spans="1:15">
      <c r="A59" s="39">
        <v>42228</v>
      </c>
      <c r="C59">
        <f>VLOOKUP(A59,NYSEARCAVTI!A$2:G$506,7,0)</f>
        <v>0</v>
      </c>
      <c r="D59">
        <f>VLOOKUP(A59,NYSEARCAVEU!A$2:G$506,7,0)</f>
        <v>0</v>
      </c>
      <c r="E59">
        <f>VLOOKUP(A59,NYSEARCAVWO!A$2:G$506,7,0)</f>
        <v>0</v>
      </c>
      <c r="F59">
        <f>VLOOKUP(A59,NYSEARCABND!A$2:G$506,7,0)</f>
        <v>0</v>
      </c>
      <c r="G59">
        <f>VLOOKUP(A59,NYSEARCATIP!A$2:G$506,7,0)</f>
        <v>0</v>
      </c>
      <c r="H59">
        <f>VLOOKUP(A59,NYSEARCAMUB!A$2:G$506,7,0)</f>
        <v>0</v>
      </c>
      <c r="I59">
        <f>VLOOKUP(A59,NYSEARCAVNQ!A$2:G$506,7,0)</f>
        <v>0</v>
      </c>
      <c r="J59">
        <f>VLOOKUP(A59,NYSEARCARWX!A$2:G$506,7,0)</f>
        <v>0</v>
      </c>
      <c r="K59">
        <f>VLOOKUP(A59,NYSEARCADBC!A$2:G$506,7,0)</f>
        <v>0</v>
      </c>
      <c r="L59">
        <f>VLOOKUP(A59,NYSEARCAGSG!A$2:G$506,7,0)</f>
        <v>0</v>
      </c>
      <c r="M59">
        <f>VLOOKUP(A59,NYSEARCAGLD!A$2:G$506,7,0)</f>
        <v>0</v>
      </c>
      <c r="N59">
        <f>VLOOKUP(A59,NYSEBP!A$2:G$506,7,0)</f>
        <v>0</v>
      </c>
      <c r="O59">
        <f>VLOOKUP(A59,NASDAQYHOO!A$2:G$506,7,0)</f>
        <v>0</v>
      </c>
    </row>
    <row r="60" spans="1:15">
      <c r="A60" s="39">
        <v>42229</v>
      </c>
      <c r="C60">
        <f>VLOOKUP(A60,NYSEARCAVTI!A$2:G$506,7,0)</f>
        <v>0</v>
      </c>
      <c r="D60">
        <f>VLOOKUP(A60,NYSEARCAVEU!A$2:G$506,7,0)</f>
        <v>0</v>
      </c>
      <c r="E60">
        <f>VLOOKUP(A60,NYSEARCAVWO!A$2:G$506,7,0)</f>
        <v>0</v>
      </c>
      <c r="F60">
        <f>VLOOKUP(A60,NYSEARCABND!A$2:G$506,7,0)</f>
        <v>0</v>
      </c>
      <c r="G60">
        <f>VLOOKUP(A60,NYSEARCATIP!A$2:G$506,7,0)</f>
        <v>0</v>
      </c>
      <c r="H60">
        <f>VLOOKUP(A60,NYSEARCAMUB!A$2:G$506,7,0)</f>
        <v>0</v>
      </c>
      <c r="I60">
        <f>VLOOKUP(A60,NYSEARCAVNQ!A$2:G$506,7,0)</f>
        <v>0</v>
      </c>
      <c r="J60">
        <f>VLOOKUP(A60,NYSEARCARWX!A$2:G$506,7,0)</f>
        <v>0</v>
      </c>
      <c r="K60">
        <f>VLOOKUP(A60,NYSEARCADBC!A$2:G$506,7,0)</f>
        <v>0</v>
      </c>
      <c r="L60">
        <f>VLOOKUP(A60,NYSEARCAGSG!A$2:G$506,7,0)</f>
        <v>0</v>
      </c>
      <c r="M60">
        <f>VLOOKUP(A60,NYSEARCAGLD!A$2:G$506,7,0)</f>
        <v>0</v>
      </c>
      <c r="N60">
        <f>VLOOKUP(A60,NYSEBP!A$2:G$506,7,0)</f>
        <v>0</v>
      </c>
      <c r="O60">
        <f>VLOOKUP(A60,NASDAQYHOO!A$2:G$506,7,0)</f>
        <v>0</v>
      </c>
    </row>
    <row r="61" spans="1:15">
      <c r="A61" s="39">
        <v>42230</v>
      </c>
      <c r="C61">
        <f>VLOOKUP(A61,NYSEARCAVTI!A$2:G$506,7,0)</f>
        <v>0</v>
      </c>
      <c r="D61">
        <f>VLOOKUP(A61,NYSEARCAVEU!A$2:G$506,7,0)</f>
        <v>0</v>
      </c>
      <c r="E61">
        <f>VLOOKUP(A61,NYSEARCAVWO!A$2:G$506,7,0)</f>
        <v>0</v>
      </c>
      <c r="F61">
        <f>VLOOKUP(A61,NYSEARCABND!A$2:G$506,7,0)</f>
        <v>0</v>
      </c>
      <c r="G61">
        <f>VLOOKUP(A61,NYSEARCATIP!A$2:G$506,7,0)</f>
        <v>0</v>
      </c>
      <c r="H61">
        <f>VLOOKUP(A61,NYSEARCAMUB!A$2:G$506,7,0)</f>
        <v>0</v>
      </c>
      <c r="I61">
        <f>VLOOKUP(A61,NYSEARCAVNQ!A$2:G$506,7,0)</f>
        <v>0</v>
      </c>
      <c r="J61">
        <f>VLOOKUP(A61,NYSEARCARWX!A$2:G$506,7,0)</f>
        <v>0</v>
      </c>
      <c r="K61">
        <f>VLOOKUP(A61,NYSEARCADBC!A$2:G$506,7,0)</f>
        <v>0</v>
      </c>
      <c r="L61">
        <f>VLOOKUP(A61,NYSEARCAGSG!A$2:G$506,7,0)</f>
        <v>0</v>
      </c>
      <c r="M61">
        <f>VLOOKUP(A61,NYSEARCAGLD!A$2:G$506,7,0)</f>
        <v>0</v>
      </c>
      <c r="N61">
        <f>VLOOKUP(A61,NYSEBP!A$2:G$506,7,0)</f>
        <v>0</v>
      </c>
      <c r="O61">
        <f>VLOOKUP(A61,NASDAQYHOO!A$2:G$506,7,0)</f>
        <v>0</v>
      </c>
    </row>
    <row r="62" spans="1:15">
      <c r="A62" s="39">
        <v>42233</v>
      </c>
      <c r="C62">
        <f>VLOOKUP(A62,NYSEARCAVTI!A$2:G$506,7,0)</f>
        <v>0</v>
      </c>
      <c r="D62">
        <f>VLOOKUP(A62,NYSEARCAVEU!A$2:G$506,7,0)</f>
        <v>0</v>
      </c>
      <c r="E62">
        <f>VLOOKUP(A62,NYSEARCAVWO!A$2:G$506,7,0)</f>
        <v>0</v>
      </c>
      <c r="F62">
        <f>VLOOKUP(A62,NYSEARCABND!A$2:G$506,7,0)</f>
        <v>0</v>
      </c>
      <c r="G62">
        <f>VLOOKUP(A62,NYSEARCATIP!A$2:G$506,7,0)</f>
        <v>0</v>
      </c>
      <c r="H62">
        <f>VLOOKUP(A62,NYSEARCAMUB!A$2:G$506,7,0)</f>
        <v>0</v>
      </c>
      <c r="I62">
        <f>VLOOKUP(A62,NYSEARCAVNQ!A$2:G$506,7,0)</f>
        <v>0</v>
      </c>
      <c r="J62">
        <f>VLOOKUP(A62,NYSEARCARWX!A$2:G$506,7,0)</f>
        <v>0</v>
      </c>
      <c r="K62">
        <f>VLOOKUP(A62,NYSEARCADBC!A$2:G$506,7,0)</f>
        <v>0</v>
      </c>
      <c r="L62">
        <f>VLOOKUP(A62,NYSEARCAGSG!A$2:G$506,7,0)</f>
        <v>0</v>
      </c>
      <c r="M62">
        <f>VLOOKUP(A62,NYSEARCAGLD!A$2:G$506,7,0)</f>
        <v>0</v>
      </c>
      <c r="N62">
        <f>VLOOKUP(A62,NYSEBP!A$2:G$506,7,0)</f>
        <v>0</v>
      </c>
      <c r="O62">
        <f>VLOOKUP(A62,NASDAQYHOO!A$2:G$506,7,0)</f>
        <v>0</v>
      </c>
    </row>
    <row r="63" spans="1:15">
      <c r="A63" s="39">
        <v>42234</v>
      </c>
      <c r="C63">
        <f>VLOOKUP(A63,NYSEARCAVTI!A$2:G$506,7,0)</f>
        <v>0</v>
      </c>
      <c r="D63">
        <f>VLOOKUP(A63,NYSEARCAVEU!A$2:G$506,7,0)</f>
        <v>0</v>
      </c>
      <c r="E63">
        <f>VLOOKUP(A63,NYSEARCAVWO!A$2:G$506,7,0)</f>
        <v>0</v>
      </c>
      <c r="F63">
        <f>VLOOKUP(A63,NYSEARCABND!A$2:G$506,7,0)</f>
        <v>0</v>
      </c>
      <c r="G63">
        <f>VLOOKUP(A63,NYSEARCATIP!A$2:G$506,7,0)</f>
        <v>0</v>
      </c>
      <c r="H63">
        <f>VLOOKUP(A63,NYSEARCAMUB!A$2:G$506,7,0)</f>
        <v>0</v>
      </c>
      <c r="I63">
        <f>VLOOKUP(A63,NYSEARCAVNQ!A$2:G$506,7,0)</f>
        <v>0</v>
      </c>
      <c r="J63">
        <f>VLOOKUP(A63,NYSEARCARWX!A$2:G$506,7,0)</f>
        <v>0</v>
      </c>
      <c r="K63">
        <f>VLOOKUP(A63,NYSEARCADBC!A$2:G$506,7,0)</f>
        <v>0</v>
      </c>
      <c r="L63">
        <f>VLOOKUP(A63,NYSEARCAGSG!A$2:G$506,7,0)</f>
        <v>0</v>
      </c>
      <c r="M63">
        <f>VLOOKUP(A63,NYSEARCAGLD!A$2:G$506,7,0)</f>
        <v>0</v>
      </c>
      <c r="N63">
        <f>VLOOKUP(A63,NYSEBP!A$2:G$506,7,0)</f>
        <v>0</v>
      </c>
      <c r="O63">
        <f>VLOOKUP(A63,NASDAQYHOO!A$2:G$506,7,0)</f>
        <v>0</v>
      </c>
    </row>
    <row r="64" spans="1:15">
      <c r="A64" s="39">
        <v>42235</v>
      </c>
      <c r="C64">
        <f>VLOOKUP(A64,NYSEARCAVTI!A$2:G$506,7,0)</f>
        <v>0</v>
      </c>
      <c r="D64">
        <f>VLOOKUP(A64,NYSEARCAVEU!A$2:G$506,7,0)</f>
        <v>0</v>
      </c>
      <c r="E64">
        <f>VLOOKUP(A64,NYSEARCAVWO!A$2:G$506,7,0)</f>
        <v>0</v>
      </c>
      <c r="F64">
        <f>VLOOKUP(A64,NYSEARCABND!A$2:G$506,7,0)</f>
        <v>0</v>
      </c>
      <c r="G64">
        <f>VLOOKUP(A64,NYSEARCATIP!A$2:G$506,7,0)</f>
        <v>0</v>
      </c>
      <c r="H64">
        <f>VLOOKUP(A64,NYSEARCAMUB!A$2:G$506,7,0)</f>
        <v>0</v>
      </c>
      <c r="I64">
        <f>VLOOKUP(A64,NYSEARCAVNQ!A$2:G$506,7,0)</f>
        <v>0</v>
      </c>
      <c r="J64">
        <f>VLOOKUP(A64,NYSEARCARWX!A$2:G$506,7,0)</f>
        <v>0</v>
      </c>
      <c r="K64">
        <f>VLOOKUP(A64,NYSEARCADBC!A$2:G$506,7,0)</f>
        <v>0</v>
      </c>
      <c r="L64">
        <f>VLOOKUP(A64,NYSEARCAGSG!A$2:G$506,7,0)</f>
        <v>0</v>
      </c>
      <c r="M64">
        <f>VLOOKUP(A64,NYSEARCAGLD!A$2:G$506,7,0)</f>
        <v>0</v>
      </c>
      <c r="N64">
        <f>VLOOKUP(A64,NYSEBP!A$2:G$506,7,0)</f>
        <v>0</v>
      </c>
      <c r="O64">
        <f>VLOOKUP(A64,NASDAQYHOO!A$2:G$506,7,0)</f>
        <v>0</v>
      </c>
    </row>
    <row r="65" spans="1:15">
      <c r="A65" s="39">
        <v>42236</v>
      </c>
      <c r="C65">
        <f>VLOOKUP(A65,NYSEARCAVTI!A$2:G$506,7,0)</f>
        <v>0</v>
      </c>
      <c r="D65">
        <f>VLOOKUP(A65,NYSEARCAVEU!A$2:G$506,7,0)</f>
        <v>0</v>
      </c>
      <c r="E65">
        <f>VLOOKUP(A65,NYSEARCAVWO!A$2:G$506,7,0)</f>
        <v>0</v>
      </c>
      <c r="F65">
        <f>VLOOKUP(A65,NYSEARCABND!A$2:G$506,7,0)</f>
        <v>0</v>
      </c>
      <c r="G65">
        <f>VLOOKUP(A65,NYSEARCATIP!A$2:G$506,7,0)</f>
        <v>0</v>
      </c>
      <c r="H65">
        <f>VLOOKUP(A65,NYSEARCAMUB!A$2:G$506,7,0)</f>
        <v>0</v>
      </c>
      <c r="I65">
        <f>VLOOKUP(A65,NYSEARCAVNQ!A$2:G$506,7,0)</f>
        <v>0</v>
      </c>
      <c r="J65">
        <f>VLOOKUP(A65,NYSEARCARWX!A$2:G$506,7,0)</f>
        <v>0</v>
      </c>
      <c r="K65">
        <f>VLOOKUP(A65,NYSEARCADBC!A$2:G$506,7,0)</f>
        <v>0</v>
      </c>
      <c r="L65">
        <f>VLOOKUP(A65,NYSEARCAGSG!A$2:G$506,7,0)</f>
        <v>0</v>
      </c>
      <c r="M65">
        <f>VLOOKUP(A65,NYSEARCAGLD!A$2:G$506,7,0)</f>
        <v>0</v>
      </c>
      <c r="N65">
        <f>VLOOKUP(A65,NYSEBP!A$2:G$506,7,0)</f>
        <v>0</v>
      </c>
      <c r="O65">
        <f>VLOOKUP(A65,NASDAQYHOO!A$2:G$506,7,0)</f>
        <v>0</v>
      </c>
    </row>
    <row r="66" spans="1:15">
      <c r="A66" s="39">
        <v>42237</v>
      </c>
      <c r="C66">
        <f>VLOOKUP(A66,NYSEARCAVTI!A$2:G$506,7,0)</f>
        <v>0</v>
      </c>
      <c r="D66">
        <f>VLOOKUP(A66,NYSEARCAVEU!A$2:G$506,7,0)</f>
        <v>0</v>
      </c>
      <c r="E66">
        <f>VLOOKUP(A66,NYSEARCAVWO!A$2:G$506,7,0)</f>
        <v>0</v>
      </c>
      <c r="F66">
        <f>VLOOKUP(A66,NYSEARCABND!A$2:G$506,7,0)</f>
        <v>0</v>
      </c>
      <c r="G66">
        <f>VLOOKUP(A66,NYSEARCATIP!A$2:G$506,7,0)</f>
        <v>0</v>
      </c>
      <c r="H66">
        <f>VLOOKUP(A66,NYSEARCAMUB!A$2:G$506,7,0)</f>
        <v>0</v>
      </c>
      <c r="I66">
        <f>VLOOKUP(A66,NYSEARCAVNQ!A$2:G$506,7,0)</f>
        <v>0</v>
      </c>
      <c r="J66">
        <f>VLOOKUP(A66,NYSEARCARWX!A$2:G$506,7,0)</f>
        <v>0</v>
      </c>
      <c r="K66">
        <f>VLOOKUP(A66,NYSEARCADBC!A$2:G$506,7,0)</f>
        <v>0</v>
      </c>
      <c r="L66">
        <f>VLOOKUP(A66,NYSEARCAGSG!A$2:G$506,7,0)</f>
        <v>0</v>
      </c>
      <c r="M66">
        <f>VLOOKUP(A66,NYSEARCAGLD!A$2:G$506,7,0)</f>
        <v>0</v>
      </c>
      <c r="N66">
        <f>VLOOKUP(A66,NYSEBP!A$2:G$506,7,0)</f>
        <v>0</v>
      </c>
      <c r="O66">
        <f>VLOOKUP(A66,NASDAQYHOO!A$2:G$506,7,0)</f>
        <v>0</v>
      </c>
    </row>
    <row r="67" spans="1:15">
      <c r="A67" s="39">
        <v>42240</v>
      </c>
      <c r="C67">
        <f>VLOOKUP(A67,NYSEARCAVTI!A$2:G$506,7,0)</f>
        <v>0</v>
      </c>
      <c r="D67">
        <f>VLOOKUP(A67,NYSEARCAVEU!A$2:G$506,7,0)</f>
        <v>0</v>
      </c>
      <c r="E67">
        <f>VLOOKUP(A67,NYSEARCAVWO!A$2:G$506,7,0)</f>
        <v>0</v>
      </c>
      <c r="F67">
        <f>VLOOKUP(A67,NYSEARCABND!A$2:G$506,7,0)</f>
        <v>0</v>
      </c>
      <c r="G67">
        <f>VLOOKUP(A67,NYSEARCATIP!A$2:G$506,7,0)</f>
        <v>0</v>
      </c>
      <c r="H67">
        <f>VLOOKUP(A67,NYSEARCAMUB!A$2:G$506,7,0)</f>
        <v>0</v>
      </c>
      <c r="I67">
        <f>VLOOKUP(A67,NYSEARCAVNQ!A$2:G$506,7,0)</f>
        <v>0</v>
      </c>
      <c r="J67">
        <f>VLOOKUP(A67,NYSEARCARWX!A$2:G$506,7,0)</f>
        <v>0</v>
      </c>
      <c r="K67">
        <f>VLOOKUP(A67,NYSEARCADBC!A$2:G$506,7,0)</f>
        <v>0</v>
      </c>
      <c r="L67">
        <f>VLOOKUP(A67,NYSEARCAGSG!A$2:G$506,7,0)</f>
        <v>0</v>
      </c>
      <c r="M67">
        <f>VLOOKUP(A67,NYSEARCAGLD!A$2:G$506,7,0)</f>
        <v>0</v>
      </c>
      <c r="N67">
        <f>VLOOKUP(A67,NYSEBP!A$2:G$506,7,0)</f>
        <v>0</v>
      </c>
      <c r="O67">
        <f>VLOOKUP(A67,NASDAQYHOO!A$2:G$506,7,0)</f>
        <v>0</v>
      </c>
    </row>
    <row r="68" spans="1:15">
      <c r="A68" s="39">
        <v>42241</v>
      </c>
      <c r="C68">
        <f>VLOOKUP(A68,NYSEARCAVTI!A$2:G$506,7,0)</f>
        <v>0</v>
      </c>
      <c r="D68">
        <f>VLOOKUP(A68,NYSEARCAVEU!A$2:G$506,7,0)</f>
        <v>0</v>
      </c>
      <c r="E68">
        <f>VLOOKUP(A68,NYSEARCAVWO!A$2:G$506,7,0)</f>
        <v>0</v>
      </c>
      <c r="F68">
        <f>VLOOKUP(A68,NYSEARCABND!A$2:G$506,7,0)</f>
        <v>0</v>
      </c>
      <c r="G68">
        <f>VLOOKUP(A68,NYSEARCATIP!A$2:G$506,7,0)</f>
        <v>0</v>
      </c>
      <c r="H68">
        <f>VLOOKUP(A68,NYSEARCAMUB!A$2:G$506,7,0)</f>
        <v>0</v>
      </c>
      <c r="I68">
        <f>VLOOKUP(A68,NYSEARCAVNQ!A$2:G$506,7,0)</f>
        <v>0</v>
      </c>
      <c r="J68">
        <f>VLOOKUP(A68,NYSEARCARWX!A$2:G$506,7,0)</f>
        <v>0</v>
      </c>
      <c r="K68">
        <f>VLOOKUP(A68,NYSEARCADBC!A$2:G$506,7,0)</f>
        <v>0</v>
      </c>
      <c r="L68">
        <f>VLOOKUP(A68,NYSEARCAGSG!A$2:G$506,7,0)</f>
        <v>0</v>
      </c>
      <c r="M68">
        <f>VLOOKUP(A68,NYSEARCAGLD!A$2:G$506,7,0)</f>
        <v>0</v>
      </c>
      <c r="N68">
        <f>VLOOKUP(A68,NYSEBP!A$2:G$506,7,0)</f>
        <v>0</v>
      </c>
      <c r="O68">
        <f>VLOOKUP(A68,NASDAQYHOO!A$2:G$506,7,0)</f>
        <v>0</v>
      </c>
    </row>
    <row r="69" spans="1:15">
      <c r="A69" s="39">
        <v>42242</v>
      </c>
      <c r="C69">
        <f>VLOOKUP(A69,NYSEARCAVTI!A$2:G$506,7,0)</f>
        <v>0</v>
      </c>
      <c r="D69">
        <f>VLOOKUP(A69,NYSEARCAVEU!A$2:G$506,7,0)</f>
        <v>0</v>
      </c>
      <c r="E69">
        <f>VLOOKUP(A69,NYSEARCAVWO!A$2:G$506,7,0)</f>
        <v>0</v>
      </c>
      <c r="F69">
        <f>VLOOKUP(A69,NYSEARCABND!A$2:G$506,7,0)</f>
        <v>0</v>
      </c>
      <c r="G69">
        <f>VLOOKUP(A69,NYSEARCATIP!A$2:G$506,7,0)</f>
        <v>0</v>
      </c>
      <c r="H69">
        <f>VLOOKUP(A69,NYSEARCAMUB!A$2:G$506,7,0)</f>
        <v>0</v>
      </c>
      <c r="I69">
        <f>VLOOKUP(A69,NYSEARCAVNQ!A$2:G$506,7,0)</f>
        <v>0</v>
      </c>
      <c r="J69">
        <f>VLOOKUP(A69,NYSEARCARWX!A$2:G$506,7,0)</f>
        <v>0</v>
      </c>
      <c r="K69">
        <f>VLOOKUP(A69,NYSEARCADBC!A$2:G$506,7,0)</f>
        <v>0</v>
      </c>
      <c r="L69">
        <f>VLOOKUP(A69,NYSEARCAGSG!A$2:G$506,7,0)</f>
        <v>0</v>
      </c>
      <c r="M69">
        <f>VLOOKUP(A69,NYSEARCAGLD!A$2:G$506,7,0)</f>
        <v>0</v>
      </c>
      <c r="N69">
        <f>VLOOKUP(A69,NYSEBP!A$2:G$506,7,0)</f>
        <v>0</v>
      </c>
      <c r="O69">
        <f>VLOOKUP(A69,NASDAQYHOO!A$2:G$506,7,0)</f>
        <v>0</v>
      </c>
    </row>
    <row r="70" spans="1:15">
      <c r="A70" s="39">
        <v>42243</v>
      </c>
      <c r="C70">
        <f>VLOOKUP(A70,NYSEARCAVTI!A$2:G$506,7,0)</f>
        <v>0</v>
      </c>
      <c r="D70">
        <f>VLOOKUP(A70,NYSEARCAVEU!A$2:G$506,7,0)</f>
        <v>0</v>
      </c>
      <c r="E70">
        <f>VLOOKUP(A70,NYSEARCAVWO!A$2:G$506,7,0)</f>
        <v>0</v>
      </c>
      <c r="F70">
        <f>VLOOKUP(A70,NYSEARCABND!A$2:G$506,7,0)</f>
        <v>0</v>
      </c>
      <c r="G70">
        <f>VLOOKUP(A70,NYSEARCATIP!A$2:G$506,7,0)</f>
        <v>0</v>
      </c>
      <c r="H70">
        <f>VLOOKUP(A70,NYSEARCAMUB!A$2:G$506,7,0)</f>
        <v>0</v>
      </c>
      <c r="I70">
        <f>VLOOKUP(A70,NYSEARCAVNQ!A$2:G$506,7,0)</f>
        <v>0</v>
      </c>
      <c r="J70">
        <f>VLOOKUP(A70,NYSEARCARWX!A$2:G$506,7,0)</f>
        <v>0</v>
      </c>
      <c r="K70">
        <f>VLOOKUP(A70,NYSEARCADBC!A$2:G$506,7,0)</f>
        <v>0</v>
      </c>
      <c r="L70">
        <f>VLOOKUP(A70,NYSEARCAGSG!A$2:G$506,7,0)</f>
        <v>0</v>
      </c>
      <c r="M70">
        <f>VLOOKUP(A70,NYSEARCAGLD!A$2:G$506,7,0)</f>
        <v>0</v>
      </c>
      <c r="N70">
        <f>VLOOKUP(A70,NYSEBP!A$2:G$506,7,0)</f>
        <v>0</v>
      </c>
      <c r="O70">
        <f>VLOOKUP(A70,NASDAQYHOO!A$2:G$506,7,0)</f>
        <v>0</v>
      </c>
    </row>
    <row r="71" spans="1:15">
      <c r="A71" s="39">
        <v>42244</v>
      </c>
      <c r="C71">
        <f>VLOOKUP(A71,NYSEARCAVTI!A$2:G$506,7,0)</f>
        <v>0</v>
      </c>
      <c r="D71">
        <f>VLOOKUP(A71,NYSEARCAVEU!A$2:G$506,7,0)</f>
        <v>0</v>
      </c>
      <c r="E71">
        <f>VLOOKUP(A71,NYSEARCAVWO!A$2:G$506,7,0)</f>
        <v>0</v>
      </c>
      <c r="F71">
        <f>VLOOKUP(A71,NYSEARCABND!A$2:G$506,7,0)</f>
        <v>0</v>
      </c>
      <c r="G71">
        <f>VLOOKUP(A71,NYSEARCATIP!A$2:G$506,7,0)</f>
        <v>0</v>
      </c>
      <c r="H71">
        <f>VLOOKUP(A71,NYSEARCAMUB!A$2:G$506,7,0)</f>
        <v>0</v>
      </c>
      <c r="I71">
        <f>VLOOKUP(A71,NYSEARCAVNQ!A$2:G$506,7,0)</f>
        <v>0</v>
      </c>
      <c r="J71">
        <f>VLOOKUP(A71,NYSEARCARWX!A$2:G$506,7,0)</f>
        <v>0</v>
      </c>
      <c r="K71">
        <f>VLOOKUP(A71,NYSEARCADBC!A$2:G$506,7,0)</f>
        <v>0</v>
      </c>
      <c r="L71">
        <f>VLOOKUP(A71,NYSEARCAGSG!A$2:G$506,7,0)</f>
        <v>0</v>
      </c>
      <c r="M71">
        <f>VLOOKUP(A71,NYSEARCAGLD!A$2:G$506,7,0)</f>
        <v>0</v>
      </c>
      <c r="N71">
        <f>VLOOKUP(A71,NYSEBP!A$2:G$506,7,0)</f>
        <v>0</v>
      </c>
      <c r="O71">
        <f>VLOOKUP(A71,NASDAQYHOO!A$2:G$506,7,0)</f>
        <v>0</v>
      </c>
    </row>
    <row r="72" spans="1:15">
      <c r="A72" s="39">
        <v>42247</v>
      </c>
      <c r="C72">
        <f>VLOOKUP(A72,NYSEARCAVTI!A$2:G$506,7,0)</f>
        <v>0</v>
      </c>
      <c r="D72">
        <f>VLOOKUP(A72,NYSEARCAVEU!A$2:G$506,7,0)</f>
        <v>0</v>
      </c>
      <c r="E72">
        <f>VLOOKUP(A72,NYSEARCAVWO!A$2:G$506,7,0)</f>
        <v>0</v>
      </c>
      <c r="F72">
        <f>VLOOKUP(A72,NYSEARCABND!A$2:G$506,7,0)</f>
        <v>0</v>
      </c>
      <c r="G72">
        <f>VLOOKUP(A72,NYSEARCATIP!A$2:G$506,7,0)</f>
        <v>0</v>
      </c>
      <c r="H72">
        <f>VLOOKUP(A72,NYSEARCAMUB!A$2:G$506,7,0)</f>
        <v>0</v>
      </c>
      <c r="I72">
        <f>VLOOKUP(A72,NYSEARCAVNQ!A$2:G$506,7,0)</f>
        <v>0</v>
      </c>
      <c r="J72">
        <f>VLOOKUP(A72,NYSEARCARWX!A$2:G$506,7,0)</f>
        <v>0</v>
      </c>
      <c r="K72">
        <f>VLOOKUP(A72,NYSEARCADBC!A$2:G$506,7,0)</f>
        <v>0</v>
      </c>
      <c r="L72">
        <f>VLOOKUP(A72,NYSEARCAGSG!A$2:G$506,7,0)</f>
        <v>0</v>
      </c>
      <c r="M72">
        <f>VLOOKUP(A72,NYSEARCAGLD!A$2:G$506,7,0)</f>
        <v>0</v>
      </c>
      <c r="N72">
        <f>VLOOKUP(A72,NYSEBP!A$2:G$506,7,0)</f>
        <v>0</v>
      </c>
      <c r="O72">
        <f>VLOOKUP(A72,NASDAQYHOO!A$2:G$506,7,0)</f>
        <v>0</v>
      </c>
    </row>
    <row r="73" spans="1:15">
      <c r="A73" s="39">
        <v>42248</v>
      </c>
      <c r="C73">
        <f>VLOOKUP(A73,NYSEARCAVTI!A$2:G$506,7,0)</f>
        <v>0</v>
      </c>
      <c r="D73">
        <f>VLOOKUP(A73,NYSEARCAVEU!A$2:G$506,7,0)</f>
        <v>0</v>
      </c>
      <c r="E73">
        <f>VLOOKUP(A73,NYSEARCAVWO!A$2:G$506,7,0)</f>
        <v>0</v>
      </c>
      <c r="F73">
        <f>VLOOKUP(A73,NYSEARCABND!A$2:G$506,7,0)</f>
        <v>0</v>
      </c>
      <c r="G73">
        <f>VLOOKUP(A73,NYSEARCATIP!A$2:G$506,7,0)</f>
        <v>0</v>
      </c>
      <c r="H73">
        <f>VLOOKUP(A73,NYSEARCAMUB!A$2:G$506,7,0)</f>
        <v>0</v>
      </c>
      <c r="I73">
        <f>VLOOKUP(A73,NYSEARCAVNQ!A$2:G$506,7,0)</f>
        <v>0</v>
      </c>
      <c r="J73">
        <f>VLOOKUP(A73,NYSEARCARWX!A$2:G$506,7,0)</f>
        <v>0</v>
      </c>
      <c r="K73">
        <f>VLOOKUP(A73,NYSEARCADBC!A$2:G$506,7,0)</f>
        <v>0</v>
      </c>
      <c r="L73">
        <f>VLOOKUP(A73,NYSEARCAGSG!A$2:G$506,7,0)</f>
        <v>0</v>
      </c>
      <c r="M73">
        <f>VLOOKUP(A73,NYSEARCAGLD!A$2:G$506,7,0)</f>
        <v>0</v>
      </c>
      <c r="N73">
        <f>VLOOKUP(A73,NYSEBP!A$2:G$506,7,0)</f>
        <v>0</v>
      </c>
      <c r="O73">
        <f>VLOOKUP(A73,NASDAQYHOO!A$2:G$506,7,0)</f>
        <v>0</v>
      </c>
    </row>
    <row r="74" spans="1:15">
      <c r="A74" s="39">
        <v>42249</v>
      </c>
      <c r="C74">
        <f>VLOOKUP(A74,NYSEARCAVTI!A$2:G$506,7,0)</f>
        <v>0</v>
      </c>
      <c r="D74">
        <f>VLOOKUP(A74,NYSEARCAVEU!A$2:G$506,7,0)</f>
        <v>0</v>
      </c>
      <c r="E74">
        <f>VLOOKUP(A74,NYSEARCAVWO!A$2:G$506,7,0)</f>
        <v>0</v>
      </c>
      <c r="F74">
        <f>VLOOKUP(A74,NYSEARCABND!A$2:G$506,7,0)</f>
        <v>0</v>
      </c>
      <c r="G74">
        <f>VLOOKUP(A74,NYSEARCATIP!A$2:G$506,7,0)</f>
        <v>0</v>
      </c>
      <c r="H74">
        <f>VLOOKUP(A74,NYSEARCAMUB!A$2:G$506,7,0)</f>
        <v>0</v>
      </c>
      <c r="I74">
        <f>VLOOKUP(A74,NYSEARCAVNQ!A$2:G$506,7,0)</f>
        <v>0</v>
      </c>
      <c r="J74">
        <f>VLOOKUP(A74,NYSEARCARWX!A$2:G$506,7,0)</f>
        <v>0</v>
      </c>
      <c r="K74">
        <f>VLOOKUP(A74,NYSEARCADBC!A$2:G$506,7,0)</f>
        <v>0</v>
      </c>
      <c r="L74">
        <f>VLOOKUP(A74,NYSEARCAGSG!A$2:G$506,7,0)</f>
        <v>0</v>
      </c>
      <c r="M74">
        <f>VLOOKUP(A74,NYSEARCAGLD!A$2:G$506,7,0)</f>
        <v>0</v>
      </c>
      <c r="N74">
        <f>VLOOKUP(A74,NYSEBP!A$2:G$506,7,0)</f>
        <v>0</v>
      </c>
      <c r="O74">
        <f>VLOOKUP(A74,NASDAQYHOO!A$2:G$506,7,0)</f>
        <v>0</v>
      </c>
    </row>
    <row r="75" spans="1:15">
      <c r="A75" s="39">
        <v>42250</v>
      </c>
      <c r="C75">
        <f>VLOOKUP(A75,NYSEARCAVTI!A$2:G$506,7,0)</f>
        <v>0</v>
      </c>
      <c r="D75">
        <f>VLOOKUP(A75,NYSEARCAVEU!A$2:G$506,7,0)</f>
        <v>0</v>
      </c>
      <c r="E75">
        <f>VLOOKUP(A75,NYSEARCAVWO!A$2:G$506,7,0)</f>
        <v>0</v>
      </c>
      <c r="F75">
        <f>VLOOKUP(A75,NYSEARCABND!A$2:G$506,7,0)</f>
        <v>0</v>
      </c>
      <c r="G75">
        <f>VLOOKUP(A75,NYSEARCATIP!A$2:G$506,7,0)</f>
        <v>0</v>
      </c>
      <c r="H75">
        <f>VLOOKUP(A75,NYSEARCAMUB!A$2:G$506,7,0)</f>
        <v>0</v>
      </c>
      <c r="I75">
        <f>VLOOKUP(A75,NYSEARCAVNQ!A$2:G$506,7,0)</f>
        <v>0</v>
      </c>
      <c r="J75">
        <f>VLOOKUP(A75,NYSEARCARWX!A$2:G$506,7,0)</f>
        <v>0</v>
      </c>
      <c r="K75">
        <f>VLOOKUP(A75,NYSEARCADBC!A$2:G$506,7,0)</f>
        <v>0</v>
      </c>
      <c r="L75">
        <f>VLOOKUP(A75,NYSEARCAGSG!A$2:G$506,7,0)</f>
        <v>0</v>
      </c>
      <c r="M75">
        <f>VLOOKUP(A75,NYSEARCAGLD!A$2:G$506,7,0)</f>
        <v>0</v>
      </c>
      <c r="N75">
        <f>VLOOKUP(A75,NYSEBP!A$2:G$506,7,0)</f>
        <v>0</v>
      </c>
      <c r="O75">
        <f>VLOOKUP(A75,NASDAQYHOO!A$2:G$506,7,0)</f>
        <v>0</v>
      </c>
    </row>
    <row r="76" spans="1:15">
      <c r="A76" s="39">
        <v>42251</v>
      </c>
      <c r="C76">
        <f>VLOOKUP(A76,NYSEARCAVTI!A$2:G$506,7,0)</f>
        <v>0</v>
      </c>
      <c r="D76">
        <f>VLOOKUP(A76,NYSEARCAVEU!A$2:G$506,7,0)</f>
        <v>0</v>
      </c>
      <c r="E76">
        <f>VLOOKUP(A76,NYSEARCAVWO!A$2:G$506,7,0)</f>
        <v>0</v>
      </c>
      <c r="F76">
        <f>VLOOKUP(A76,NYSEARCABND!A$2:G$506,7,0)</f>
        <v>0</v>
      </c>
      <c r="G76">
        <f>VLOOKUP(A76,NYSEARCATIP!A$2:G$506,7,0)</f>
        <v>0</v>
      </c>
      <c r="H76">
        <f>VLOOKUP(A76,NYSEARCAMUB!A$2:G$506,7,0)</f>
        <v>0</v>
      </c>
      <c r="I76">
        <f>VLOOKUP(A76,NYSEARCAVNQ!A$2:G$506,7,0)</f>
        <v>0</v>
      </c>
      <c r="J76">
        <f>VLOOKUP(A76,NYSEARCARWX!A$2:G$506,7,0)</f>
        <v>0</v>
      </c>
      <c r="K76">
        <f>VLOOKUP(A76,NYSEARCADBC!A$2:G$506,7,0)</f>
        <v>0</v>
      </c>
      <c r="L76">
        <f>VLOOKUP(A76,NYSEARCAGSG!A$2:G$506,7,0)</f>
        <v>0</v>
      </c>
      <c r="M76">
        <f>VLOOKUP(A76,NYSEARCAGLD!A$2:G$506,7,0)</f>
        <v>0</v>
      </c>
      <c r="N76">
        <f>VLOOKUP(A76,NYSEBP!A$2:G$506,7,0)</f>
        <v>0</v>
      </c>
      <c r="O76">
        <f>VLOOKUP(A76,NASDAQYHOO!A$2:G$506,7,0)</f>
        <v>0</v>
      </c>
    </row>
    <row r="77" spans="1:15">
      <c r="A77" s="39">
        <v>42255</v>
      </c>
      <c r="C77">
        <f>VLOOKUP(A77,NYSEARCAVTI!A$2:G$506,7,0)</f>
        <v>0</v>
      </c>
      <c r="D77">
        <f>VLOOKUP(A77,NYSEARCAVEU!A$2:G$506,7,0)</f>
        <v>0</v>
      </c>
      <c r="E77">
        <f>VLOOKUP(A77,NYSEARCAVWO!A$2:G$506,7,0)</f>
        <v>0</v>
      </c>
      <c r="F77">
        <f>VLOOKUP(A77,NYSEARCABND!A$2:G$506,7,0)</f>
        <v>0</v>
      </c>
      <c r="G77">
        <f>VLOOKUP(A77,NYSEARCATIP!A$2:G$506,7,0)</f>
        <v>0</v>
      </c>
      <c r="H77">
        <f>VLOOKUP(A77,NYSEARCAMUB!A$2:G$506,7,0)</f>
        <v>0</v>
      </c>
      <c r="I77">
        <f>VLOOKUP(A77,NYSEARCAVNQ!A$2:G$506,7,0)</f>
        <v>0</v>
      </c>
      <c r="J77">
        <f>VLOOKUP(A77,NYSEARCARWX!A$2:G$506,7,0)</f>
        <v>0</v>
      </c>
      <c r="K77">
        <f>VLOOKUP(A77,NYSEARCADBC!A$2:G$506,7,0)</f>
        <v>0</v>
      </c>
      <c r="L77">
        <f>VLOOKUP(A77,NYSEARCAGSG!A$2:G$506,7,0)</f>
        <v>0</v>
      </c>
      <c r="M77">
        <f>VLOOKUP(A77,NYSEARCAGLD!A$2:G$506,7,0)</f>
        <v>0</v>
      </c>
      <c r="N77">
        <f>VLOOKUP(A77,NYSEBP!A$2:G$506,7,0)</f>
        <v>0</v>
      </c>
      <c r="O77">
        <f>VLOOKUP(A77,NASDAQYHOO!A$2:G$506,7,0)</f>
        <v>0</v>
      </c>
    </row>
    <row r="78" spans="1:15">
      <c r="A78" s="39">
        <v>42256</v>
      </c>
      <c r="C78">
        <f>VLOOKUP(A78,NYSEARCAVTI!A$2:G$506,7,0)</f>
        <v>0</v>
      </c>
      <c r="D78">
        <f>VLOOKUP(A78,NYSEARCAVEU!A$2:G$506,7,0)</f>
        <v>0</v>
      </c>
      <c r="E78">
        <f>VLOOKUP(A78,NYSEARCAVWO!A$2:G$506,7,0)</f>
        <v>0</v>
      </c>
      <c r="F78">
        <f>VLOOKUP(A78,NYSEARCABND!A$2:G$506,7,0)</f>
        <v>0</v>
      </c>
      <c r="G78">
        <f>VLOOKUP(A78,NYSEARCATIP!A$2:G$506,7,0)</f>
        <v>0</v>
      </c>
      <c r="H78">
        <f>VLOOKUP(A78,NYSEARCAMUB!A$2:G$506,7,0)</f>
        <v>0</v>
      </c>
      <c r="I78">
        <f>VLOOKUP(A78,NYSEARCAVNQ!A$2:G$506,7,0)</f>
        <v>0</v>
      </c>
      <c r="J78">
        <f>VLOOKUP(A78,NYSEARCARWX!A$2:G$506,7,0)</f>
        <v>0</v>
      </c>
      <c r="K78">
        <f>VLOOKUP(A78,NYSEARCADBC!A$2:G$506,7,0)</f>
        <v>0</v>
      </c>
      <c r="L78">
        <f>VLOOKUP(A78,NYSEARCAGSG!A$2:G$506,7,0)</f>
        <v>0</v>
      </c>
      <c r="M78">
        <f>VLOOKUP(A78,NYSEARCAGLD!A$2:G$506,7,0)</f>
        <v>0</v>
      </c>
      <c r="N78">
        <f>VLOOKUP(A78,NYSEBP!A$2:G$506,7,0)</f>
        <v>0</v>
      </c>
      <c r="O78">
        <f>VLOOKUP(A78,NASDAQYHOO!A$2:G$506,7,0)</f>
        <v>0</v>
      </c>
    </row>
    <row r="79" spans="1:15">
      <c r="A79" s="39">
        <v>42257</v>
      </c>
      <c r="C79">
        <f>VLOOKUP(A79,NYSEARCAVTI!A$2:G$506,7,0)</f>
        <v>0</v>
      </c>
      <c r="D79">
        <f>VLOOKUP(A79,NYSEARCAVEU!A$2:G$506,7,0)</f>
        <v>0</v>
      </c>
      <c r="E79">
        <f>VLOOKUP(A79,NYSEARCAVWO!A$2:G$506,7,0)</f>
        <v>0</v>
      </c>
      <c r="F79">
        <f>VLOOKUP(A79,NYSEARCABND!A$2:G$506,7,0)</f>
        <v>0</v>
      </c>
      <c r="G79">
        <f>VLOOKUP(A79,NYSEARCATIP!A$2:G$506,7,0)</f>
        <v>0</v>
      </c>
      <c r="H79">
        <f>VLOOKUP(A79,NYSEARCAMUB!A$2:G$506,7,0)</f>
        <v>0</v>
      </c>
      <c r="I79">
        <f>VLOOKUP(A79,NYSEARCAVNQ!A$2:G$506,7,0)</f>
        <v>0</v>
      </c>
      <c r="J79">
        <f>VLOOKUP(A79,NYSEARCARWX!A$2:G$506,7,0)</f>
        <v>0</v>
      </c>
      <c r="K79">
        <f>VLOOKUP(A79,NYSEARCADBC!A$2:G$506,7,0)</f>
        <v>0</v>
      </c>
      <c r="L79">
        <f>VLOOKUP(A79,NYSEARCAGSG!A$2:G$506,7,0)</f>
        <v>0</v>
      </c>
      <c r="M79">
        <f>VLOOKUP(A79,NYSEARCAGLD!A$2:G$506,7,0)</f>
        <v>0</v>
      </c>
      <c r="N79">
        <f>VLOOKUP(A79,NYSEBP!A$2:G$506,7,0)</f>
        <v>0</v>
      </c>
      <c r="O79">
        <f>VLOOKUP(A79,NASDAQYHOO!A$2:G$506,7,0)</f>
        <v>0</v>
      </c>
    </row>
    <row r="80" spans="1:15">
      <c r="A80" s="39">
        <v>42258</v>
      </c>
      <c r="C80">
        <f>VLOOKUP(A80,NYSEARCAVTI!A$2:G$506,7,0)</f>
        <v>0</v>
      </c>
      <c r="D80">
        <f>VLOOKUP(A80,NYSEARCAVEU!A$2:G$506,7,0)</f>
        <v>0</v>
      </c>
      <c r="E80">
        <f>VLOOKUP(A80,NYSEARCAVWO!A$2:G$506,7,0)</f>
        <v>0</v>
      </c>
      <c r="F80">
        <f>VLOOKUP(A80,NYSEARCABND!A$2:G$506,7,0)</f>
        <v>0</v>
      </c>
      <c r="G80">
        <f>VLOOKUP(A80,NYSEARCATIP!A$2:G$506,7,0)</f>
        <v>0</v>
      </c>
      <c r="H80">
        <f>VLOOKUP(A80,NYSEARCAMUB!A$2:G$506,7,0)</f>
        <v>0</v>
      </c>
      <c r="I80">
        <f>VLOOKUP(A80,NYSEARCAVNQ!A$2:G$506,7,0)</f>
        <v>0</v>
      </c>
      <c r="J80">
        <f>VLOOKUP(A80,NYSEARCARWX!A$2:G$506,7,0)</f>
        <v>0</v>
      </c>
      <c r="K80">
        <f>VLOOKUP(A80,NYSEARCADBC!A$2:G$506,7,0)</f>
        <v>0</v>
      </c>
      <c r="L80">
        <f>VLOOKUP(A80,NYSEARCAGSG!A$2:G$506,7,0)</f>
        <v>0</v>
      </c>
      <c r="M80">
        <f>VLOOKUP(A80,NYSEARCAGLD!A$2:G$506,7,0)</f>
        <v>0</v>
      </c>
      <c r="N80">
        <f>VLOOKUP(A80,NYSEBP!A$2:G$506,7,0)</f>
        <v>0</v>
      </c>
      <c r="O80">
        <f>VLOOKUP(A80,NASDAQYHOO!A$2:G$506,7,0)</f>
        <v>0</v>
      </c>
    </row>
    <row r="81" spans="1:15">
      <c r="A81" s="39">
        <v>42261</v>
      </c>
      <c r="C81">
        <f>VLOOKUP(A81,NYSEARCAVTI!A$2:G$506,7,0)</f>
        <v>0</v>
      </c>
      <c r="D81">
        <f>VLOOKUP(A81,NYSEARCAVEU!A$2:G$506,7,0)</f>
        <v>0</v>
      </c>
      <c r="E81">
        <f>VLOOKUP(A81,NYSEARCAVWO!A$2:G$506,7,0)</f>
        <v>0</v>
      </c>
      <c r="F81">
        <f>VLOOKUP(A81,NYSEARCABND!A$2:G$506,7,0)</f>
        <v>0</v>
      </c>
      <c r="G81">
        <f>VLOOKUP(A81,NYSEARCATIP!A$2:G$506,7,0)</f>
        <v>0</v>
      </c>
      <c r="H81">
        <f>VLOOKUP(A81,NYSEARCAMUB!A$2:G$506,7,0)</f>
        <v>0</v>
      </c>
      <c r="I81">
        <f>VLOOKUP(A81,NYSEARCAVNQ!A$2:G$506,7,0)</f>
        <v>0</v>
      </c>
      <c r="J81">
        <f>VLOOKUP(A81,NYSEARCARWX!A$2:G$506,7,0)</f>
        <v>0</v>
      </c>
      <c r="K81">
        <f>VLOOKUP(A81,NYSEARCADBC!A$2:G$506,7,0)</f>
        <v>0</v>
      </c>
      <c r="L81">
        <f>VLOOKUP(A81,NYSEARCAGSG!A$2:G$506,7,0)</f>
        <v>0</v>
      </c>
      <c r="M81">
        <f>VLOOKUP(A81,NYSEARCAGLD!A$2:G$506,7,0)</f>
        <v>0</v>
      </c>
      <c r="N81">
        <f>VLOOKUP(A81,NYSEBP!A$2:G$506,7,0)</f>
        <v>0</v>
      </c>
      <c r="O81">
        <f>VLOOKUP(A81,NASDAQYHOO!A$2:G$506,7,0)</f>
        <v>0</v>
      </c>
    </row>
    <row r="82" spans="1:15">
      <c r="A82" s="39">
        <v>42262</v>
      </c>
      <c r="C82">
        <f>VLOOKUP(A82,NYSEARCAVTI!A$2:G$506,7,0)</f>
        <v>0</v>
      </c>
      <c r="D82">
        <f>VLOOKUP(A82,NYSEARCAVEU!A$2:G$506,7,0)</f>
        <v>0</v>
      </c>
      <c r="E82">
        <f>VLOOKUP(A82,NYSEARCAVWO!A$2:G$506,7,0)</f>
        <v>0</v>
      </c>
      <c r="F82">
        <f>VLOOKUP(A82,NYSEARCABND!A$2:G$506,7,0)</f>
        <v>0</v>
      </c>
      <c r="G82">
        <f>VLOOKUP(A82,NYSEARCATIP!A$2:G$506,7,0)</f>
        <v>0</v>
      </c>
      <c r="H82">
        <f>VLOOKUP(A82,NYSEARCAMUB!A$2:G$506,7,0)</f>
        <v>0</v>
      </c>
      <c r="I82">
        <f>VLOOKUP(A82,NYSEARCAVNQ!A$2:G$506,7,0)</f>
        <v>0</v>
      </c>
      <c r="J82">
        <f>VLOOKUP(A82,NYSEARCARWX!A$2:G$506,7,0)</f>
        <v>0</v>
      </c>
      <c r="K82">
        <f>VLOOKUP(A82,NYSEARCADBC!A$2:G$506,7,0)</f>
        <v>0</v>
      </c>
      <c r="L82">
        <f>VLOOKUP(A82,NYSEARCAGSG!A$2:G$506,7,0)</f>
        <v>0</v>
      </c>
      <c r="M82">
        <f>VLOOKUP(A82,NYSEARCAGLD!A$2:G$506,7,0)</f>
        <v>0</v>
      </c>
      <c r="N82">
        <f>VLOOKUP(A82,NYSEBP!A$2:G$506,7,0)</f>
        <v>0</v>
      </c>
      <c r="O82">
        <f>VLOOKUP(A82,NASDAQYHOO!A$2:G$506,7,0)</f>
        <v>0</v>
      </c>
    </row>
    <row r="83" spans="1:15">
      <c r="A83" s="39">
        <v>42263</v>
      </c>
      <c r="C83">
        <f>VLOOKUP(A83,NYSEARCAVTI!A$2:G$506,7,0)</f>
        <v>0</v>
      </c>
      <c r="D83">
        <f>VLOOKUP(A83,NYSEARCAVEU!A$2:G$506,7,0)</f>
        <v>0</v>
      </c>
      <c r="E83">
        <f>VLOOKUP(A83,NYSEARCAVWO!A$2:G$506,7,0)</f>
        <v>0</v>
      </c>
      <c r="F83">
        <f>VLOOKUP(A83,NYSEARCABND!A$2:G$506,7,0)</f>
        <v>0</v>
      </c>
      <c r="G83">
        <f>VLOOKUP(A83,NYSEARCATIP!A$2:G$506,7,0)</f>
        <v>0</v>
      </c>
      <c r="H83">
        <f>VLOOKUP(A83,NYSEARCAMUB!A$2:G$506,7,0)</f>
        <v>0</v>
      </c>
      <c r="I83">
        <f>VLOOKUP(A83,NYSEARCAVNQ!A$2:G$506,7,0)</f>
        <v>0</v>
      </c>
      <c r="J83">
        <f>VLOOKUP(A83,NYSEARCARWX!A$2:G$506,7,0)</f>
        <v>0</v>
      </c>
      <c r="K83">
        <f>VLOOKUP(A83,NYSEARCADBC!A$2:G$506,7,0)</f>
        <v>0</v>
      </c>
      <c r="L83">
        <f>VLOOKUP(A83,NYSEARCAGSG!A$2:G$506,7,0)</f>
        <v>0</v>
      </c>
      <c r="M83">
        <f>VLOOKUP(A83,NYSEARCAGLD!A$2:G$506,7,0)</f>
        <v>0</v>
      </c>
      <c r="N83">
        <f>VLOOKUP(A83,NYSEBP!A$2:G$506,7,0)</f>
        <v>0</v>
      </c>
      <c r="O83">
        <f>VLOOKUP(A83,NASDAQYHOO!A$2:G$506,7,0)</f>
        <v>0</v>
      </c>
    </row>
    <row r="84" spans="1:15">
      <c r="A84" s="39">
        <v>42264</v>
      </c>
      <c r="C84">
        <f>VLOOKUP(A84,NYSEARCAVTI!A$2:G$506,7,0)</f>
        <v>0</v>
      </c>
      <c r="D84">
        <f>VLOOKUP(A84,NYSEARCAVEU!A$2:G$506,7,0)</f>
        <v>0</v>
      </c>
      <c r="E84">
        <f>VLOOKUP(A84,NYSEARCAVWO!A$2:G$506,7,0)</f>
        <v>0</v>
      </c>
      <c r="F84">
        <f>VLOOKUP(A84,NYSEARCABND!A$2:G$506,7,0)</f>
        <v>0</v>
      </c>
      <c r="G84">
        <f>VLOOKUP(A84,NYSEARCATIP!A$2:G$506,7,0)</f>
        <v>0</v>
      </c>
      <c r="H84">
        <f>VLOOKUP(A84,NYSEARCAMUB!A$2:G$506,7,0)</f>
        <v>0</v>
      </c>
      <c r="I84">
        <f>VLOOKUP(A84,NYSEARCAVNQ!A$2:G$506,7,0)</f>
        <v>0</v>
      </c>
      <c r="J84">
        <f>VLOOKUP(A84,NYSEARCARWX!A$2:G$506,7,0)</f>
        <v>0</v>
      </c>
      <c r="K84">
        <f>VLOOKUP(A84,NYSEARCADBC!A$2:G$506,7,0)</f>
        <v>0</v>
      </c>
      <c r="L84">
        <f>VLOOKUP(A84,NYSEARCAGSG!A$2:G$506,7,0)</f>
        <v>0</v>
      </c>
      <c r="M84">
        <f>VLOOKUP(A84,NYSEARCAGLD!A$2:G$506,7,0)</f>
        <v>0</v>
      </c>
      <c r="N84">
        <f>VLOOKUP(A84,NYSEBP!A$2:G$506,7,0)</f>
        <v>0</v>
      </c>
      <c r="O84">
        <f>VLOOKUP(A84,NASDAQYHOO!A$2:G$506,7,0)</f>
        <v>0</v>
      </c>
    </row>
    <row r="85" spans="1:15">
      <c r="A85" s="39">
        <v>42265</v>
      </c>
      <c r="C85">
        <f>VLOOKUP(A85,NYSEARCAVTI!A$2:G$506,7,0)</f>
        <v>0</v>
      </c>
      <c r="D85">
        <f>VLOOKUP(A85,NYSEARCAVEU!A$2:G$506,7,0)</f>
        <v>0</v>
      </c>
      <c r="E85">
        <f>VLOOKUP(A85,NYSEARCAVWO!A$2:G$506,7,0)</f>
        <v>0</v>
      </c>
      <c r="F85">
        <f>VLOOKUP(A85,NYSEARCABND!A$2:G$506,7,0)</f>
        <v>0</v>
      </c>
      <c r="G85">
        <f>VLOOKUP(A85,NYSEARCATIP!A$2:G$506,7,0)</f>
        <v>0</v>
      </c>
      <c r="H85">
        <f>VLOOKUP(A85,NYSEARCAMUB!A$2:G$506,7,0)</f>
        <v>0</v>
      </c>
      <c r="I85">
        <f>VLOOKUP(A85,NYSEARCAVNQ!A$2:G$506,7,0)</f>
        <v>0</v>
      </c>
      <c r="J85">
        <f>VLOOKUP(A85,NYSEARCARWX!A$2:G$506,7,0)</f>
        <v>0</v>
      </c>
      <c r="K85">
        <f>VLOOKUP(A85,NYSEARCADBC!A$2:G$506,7,0)</f>
        <v>0</v>
      </c>
      <c r="L85">
        <f>VLOOKUP(A85,NYSEARCAGSG!A$2:G$506,7,0)</f>
        <v>0</v>
      </c>
      <c r="M85">
        <f>VLOOKUP(A85,NYSEARCAGLD!A$2:G$506,7,0)</f>
        <v>0</v>
      </c>
      <c r="N85">
        <f>VLOOKUP(A85,NYSEBP!A$2:G$506,7,0)</f>
        <v>0</v>
      </c>
      <c r="O85">
        <f>VLOOKUP(A85,NASDAQYHOO!A$2:G$506,7,0)</f>
        <v>0</v>
      </c>
    </row>
    <row r="86" spans="1:15">
      <c r="A86" s="39">
        <v>42268</v>
      </c>
      <c r="C86">
        <f>VLOOKUP(A86,NYSEARCAVTI!A$2:G$506,7,0)</f>
        <v>0</v>
      </c>
      <c r="D86">
        <f>VLOOKUP(A86,NYSEARCAVEU!A$2:G$506,7,0)</f>
        <v>0</v>
      </c>
      <c r="E86">
        <f>VLOOKUP(A86,NYSEARCAVWO!A$2:G$506,7,0)</f>
        <v>0</v>
      </c>
      <c r="F86">
        <f>VLOOKUP(A86,NYSEARCABND!A$2:G$506,7,0)</f>
        <v>0</v>
      </c>
      <c r="G86">
        <f>VLOOKUP(A86,NYSEARCATIP!A$2:G$506,7,0)</f>
        <v>0</v>
      </c>
      <c r="H86">
        <f>VLOOKUP(A86,NYSEARCAMUB!A$2:G$506,7,0)</f>
        <v>0</v>
      </c>
      <c r="I86">
        <f>VLOOKUP(A86,NYSEARCAVNQ!A$2:G$506,7,0)</f>
        <v>0</v>
      </c>
      <c r="J86">
        <f>VLOOKUP(A86,NYSEARCARWX!A$2:G$506,7,0)</f>
        <v>0</v>
      </c>
      <c r="K86">
        <f>VLOOKUP(A86,NYSEARCADBC!A$2:G$506,7,0)</f>
        <v>0</v>
      </c>
      <c r="L86">
        <f>VLOOKUP(A86,NYSEARCAGSG!A$2:G$506,7,0)</f>
        <v>0</v>
      </c>
      <c r="M86">
        <f>VLOOKUP(A86,NYSEARCAGLD!A$2:G$506,7,0)</f>
        <v>0</v>
      </c>
      <c r="N86">
        <f>VLOOKUP(A86,NYSEBP!A$2:G$506,7,0)</f>
        <v>0</v>
      </c>
      <c r="O86">
        <f>VLOOKUP(A86,NASDAQYHOO!A$2:G$506,7,0)</f>
        <v>0</v>
      </c>
    </row>
    <row r="87" spans="1:15">
      <c r="A87" s="39">
        <v>42269</v>
      </c>
      <c r="C87">
        <f>VLOOKUP(A87,NYSEARCAVTI!A$2:G$506,7,0)</f>
        <v>0</v>
      </c>
      <c r="D87">
        <f>VLOOKUP(A87,NYSEARCAVEU!A$2:G$506,7,0)</f>
        <v>0</v>
      </c>
      <c r="E87">
        <f>VLOOKUP(A87,NYSEARCAVWO!A$2:G$506,7,0)</f>
        <v>0</v>
      </c>
      <c r="F87">
        <f>VLOOKUP(A87,NYSEARCABND!A$2:G$506,7,0)</f>
        <v>0</v>
      </c>
      <c r="G87">
        <f>VLOOKUP(A87,NYSEARCATIP!A$2:G$506,7,0)</f>
        <v>0</v>
      </c>
      <c r="H87">
        <f>VLOOKUP(A87,NYSEARCAMUB!A$2:G$506,7,0)</f>
        <v>0</v>
      </c>
      <c r="I87">
        <f>VLOOKUP(A87,NYSEARCAVNQ!A$2:G$506,7,0)</f>
        <v>0</v>
      </c>
      <c r="J87">
        <f>VLOOKUP(A87,NYSEARCARWX!A$2:G$506,7,0)</f>
        <v>0</v>
      </c>
      <c r="K87">
        <f>VLOOKUP(A87,NYSEARCADBC!A$2:G$506,7,0)</f>
        <v>0</v>
      </c>
      <c r="L87">
        <f>VLOOKUP(A87,NYSEARCAGSG!A$2:G$506,7,0)</f>
        <v>0</v>
      </c>
      <c r="M87">
        <f>VLOOKUP(A87,NYSEARCAGLD!A$2:G$506,7,0)</f>
        <v>0</v>
      </c>
      <c r="N87">
        <f>VLOOKUP(A87,NYSEBP!A$2:G$506,7,0)</f>
        <v>0</v>
      </c>
      <c r="O87">
        <f>VLOOKUP(A87,NASDAQYHOO!A$2:G$506,7,0)</f>
        <v>0</v>
      </c>
    </row>
    <row r="88" spans="1:15">
      <c r="A88" s="39">
        <v>42270</v>
      </c>
      <c r="C88">
        <f>VLOOKUP(A88,NYSEARCAVTI!A$2:G$506,7,0)</f>
        <v>0</v>
      </c>
      <c r="D88">
        <f>VLOOKUP(A88,NYSEARCAVEU!A$2:G$506,7,0)</f>
        <v>0</v>
      </c>
      <c r="E88">
        <f>VLOOKUP(A88,NYSEARCAVWO!A$2:G$506,7,0)</f>
        <v>0</v>
      </c>
      <c r="F88">
        <f>VLOOKUP(A88,NYSEARCABND!A$2:G$506,7,0)</f>
        <v>0</v>
      </c>
      <c r="G88">
        <f>VLOOKUP(A88,NYSEARCATIP!A$2:G$506,7,0)</f>
        <v>0</v>
      </c>
      <c r="H88">
        <f>VLOOKUP(A88,NYSEARCAMUB!A$2:G$506,7,0)</f>
        <v>0</v>
      </c>
      <c r="I88">
        <f>VLOOKUP(A88,NYSEARCAVNQ!A$2:G$506,7,0)</f>
        <v>0</v>
      </c>
      <c r="J88">
        <f>VLOOKUP(A88,NYSEARCARWX!A$2:G$506,7,0)</f>
        <v>0</v>
      </c>
      <c r="K88">
        <f>VLOOKUP(A88,NYSEARCADBC!A$2:G$506,7,0)</f>
        <v>0</v>
      </c>
      <c r="L88">
        <f>VLOOKUP(A88,NYSEARCAGSG!A$2:G$506,7,0)</f>
        <v>0</v>
      </c>
      <c r="M88">
        <f>VLOOKUP(A88,NYSEARCAGLD!A$2:G$506,7,0)</f>
        <v>0</v>
      </c>
      <c r="N88">
        <f>VLOOKUP(A88,NYSEBP!A$2:G$506,7,0)</f>
        <v>0</v>
      </c>
      <c r="O88">
        <f>VLOOKUP(A88,NASDAQYHOO!A$2:G$506,7,0)</f>
        <v>0</v>
      </c>
    </row>
    <row r="89" spans="1:15">
      <c r="A89" s="39">
        <v>42271</v>
      </c>
      <c r="C89">
        <f>VLOOKUP(A89,NYSEARCAVTI!A$2:G$506,7,0)</f>
        <v>0</v>
      </c>
      <c r="D89">
        <f>VLOOKUP(A89,NYSEARCAVEU!A$2:G$506,7,0)</f>
        <v>0</v>
      </c>
      <c r="E89">
        <f>VLOOKUP(A89,NYSEARCAVWO!A$2:G$506,7,0)</f>
        <v>0</v>
      </c>
      <c r="F89">
        <f>VLOOKUP(A89,NYSEARCABND!A$2:G$506,7,0)</f>
        <v>0</v>
      </c>
      <c r="G89">
        <f>VLOOKUP(A89,NYSEARCATIP!A$2:G$506,7,0)</f>
        <v>0</v>
      </c>
      <c r="H89">
        <f>VLOOKUP(A89,NYSEARCAMUB!A$2:G$506,7,0)</f>
        <v>0</v>
      </c>
      <c r="I89">
        <f>VLOOKUP(A89,NYSEARCAVNQ!A$2:G$506,7,0)</f>
        <v>0</v>
      </c>
      <c r="J89">
        <f>VLOOKUP(A89,NYSEARCARWX!A$2:G$506,7,0)</f>
        <v>0</v>
      </c>
      <c r="K89">
        <f>VLOOKUP(A89,NYSEARCADBC!A$2:G$506,7,0)</f>
        <v>0</v>
      </c>
      <c r="L89">
        <f>VLOOKUP(A89,NYSEARCAGSG!A$2:G$506,7,0)</f>
        <v>0</v>
      </c>
      <c r="M89">
        <f>VLOOKUP(A89,NYSEARCAGLD!A$2:G$506,7,0)</f>
        <v>0</v>
      </c>
      <c r="N89">
        <f>VLOOKUP(A89,NYSEBP!A$2:G$506,7,0)</f>
        <v>0</v>
      </c>
      <c r="O89">
        <f>VLOOKUP(A89,NASDAQYHOO!A$2:G$506,7,0)</f>
        <v>0</v>
      </c>
    </row>
    <row r="90" spans="1:15">
      <c r="A90" s="39">
        <v>42272</v>
      </c>
      <c r="C90">
        <f>VLOOKUP(A90,NYSEARCAVTI!A$2:G$506,7,0)</f>
        <v>0</v>
      </c>
      <c r="D90">
        <f>VLOOKUP(A90,NYSEARCAVEU!A$2:G$506,7,0)</f>
        <v>0</v>
      </c>
      <c r="E90">
        <f>VLOOKUP(A90,NYSEARCAVWO!A$2:G$506,7,0)</f>
        <v>0</v>
      </c>
      <c r="F90">
        <f>VLOOKUP(A90,NYSEARCABND!A$2:G$506,7,0)</f>
        <v>0</v>
      </c>
      <c r="G90">
        <f>VLOOKUP(A90,NYSEARCATIP!A$2:G$506,7,0)</f>
        <v>0</v>
      </c>
      <c r="H90">
        <f>VLOOKUP(A90,NYSEARCAMUB!A$2:G$506,7,0)</f>
        <v>0</v>
      </c>
      <c r="I90">
        <f>VLOOKUP(A90,NYSEARCAVNQ!A$2:G$506,7,0)</f>
        <v>0</v>
      </c>
      <c r="J90">
        <f>VLOOKUP(A90,NYSEARCARWX!A$2:G$506,7,0)</f>
        <v>0</v>
      </c>
      <c r="K90">
        <f>VLOOKUP(A90,NYSEARCADBC!A$2:G$506,7,0)</f>
        <v>0</v>
      </c>
      <c r="L90">
        <f>VLOOKUP(A90,NYSEARCAGSG!A$2:G$506,7,0)</f>
        <v>0</v>
      </c>
      <c r="M90">
        <f>VLOOKUP(A90,NYSEARCAGLD!A$2:G$506,7,0)</f>
        <v>0</v>
      </c>
      <c r="N90">
        <f>VLOOKUP(A90,NYSEBP!A$2:G$506,7,0)</f>
        <v>0</v>
      </c>
      <c r="O90">
        <f>VLOOKUP(A90,NASDAQYHOO!A$2:G$506,7,0)</f>
        <v>0</v>
      </c>
    </row>
    <row r="91" spans="1:15">
      <c r="A91" s="39">
        <v>42275</v>
      </c>
      <c r="C91">
        <f>VLOOKUP(A91,NYSEARCAVTI!A$2:G$506,7,0)</f>
        <v>0</v>
      </c>
      <c r="D91">
        <f>VLOOKUP(A91,NYSEARCAVEU!A$2:G$506,7,0)</f>
        <v>0</v>
      </c>
      <c r="E91">
        <f>VLOOKUP(A91,NYSEARCAVWO!A$2:G$506,7,0)</f>
        <v>0</v>
      </c>
      <c r="F91">
        <f>VLOOKUP(A91,NYSEARCABND!A$2:G$506,7,0)</f>
        <v>0</v>
      </c>
      <c r="G91">
        <f>VLOOKUP(A91,NYSEARCATIP!A$2:G$506,7,0)</f>
        <v>0</v>
      </c>
      <c r="H91">
        <f>VLOOKUP(A91,NYSEARCAMUB!A$2:G$506,7,0)</f>
        <v>0</v>
      </c>
      <c r="I91">
        <f>VLOOKUP(A91,NYSEARCAVNQ!A$2:G$506,7,0)</f>
        <v>0</v>
      </c>
      <c r="J91">
        <f>VLOOKUP(A91,NYSEARCARWX!A$2:G$506,7,0)</f>
        <v>0</v>
      </c>
      <c r="K91">
        <f>VLOOKUP(A91,NYSEARCADBC!A$2:G$506,7,0)</f>
        <v>0</v>
      </c>
      <c r="L91">
        <f>VLOOKUP(A91,NYSEARCAGSG!A$2:G$506,7,0)</f>
        <v>0</v>
      </c>
      <c r="M91">
        <f>VLOOKUP(A91,NYSEARCAGLD!A$2:G$506,7,0)</f>
        <v>0</v>
      </c>
      <c r="N91">
        <f>VLOOKUP(A91,NYSEBP!A$2:G$506,7,0)</f>
        <v>0</v>
      </c>
      <c r="O91">
        <f>VLOOKUP(A91,NASDAQYHOO!A$2:G$506,7,0)</f>
        <v>0</v>
      </c>
    </row>
    <row r="92" spans="1:15">
      <c r="A92" s="39">
        <v>42276</v>
      </c>
      <c r="C92">
        <f>VLOOKUP(A92,NYSEARCAVTI!A$2:G$506,7,0)</f>
        <v>0</v>
      </c>
      <c r="D92">
        <f>VLOOKUP(A92,NYSEARCAVEU!A$2:G$506,7,0)</f>
        <v>0</v>
      </c>
      <c r="E92">
        <f>VLOOKUP(A92,NYSEARCAVWO!A$2:G$506,7,0)</f>
        <v>0</v>
      </c>
      <c r="F92">
        <f>VLOOKUP(A92,NYSEARCABND!A$2:G$506,7,0)</f>
        <v>0</v>
      </c>
      <c r="G92">
        <f>VLOOKUP(A92,NYSEARCATIP!A$2:G$506,7,0)</f>
        <v>0</v>
      </c>
      <c r="H92">
        <f>VLOOKUP(A92,NYSEARCAMUB!A$2:G$506,7,0)</f>
        <v>0</v>
      </c>
      <c r="I92">
        <f>VLOOKUP(A92,NYSEARCAVNQ!A$2:G$506,7,0)</f>
        <v>0</v>
      </c>
      <c r="J92">
        <f>VLOOKUP(A92,NYSEARCARWX!A$2:G$506,7,0)</f>
        <v>0</v>
      </c>
      <c r="K92">
        <f>VLOOKUP(A92,NYSEARCADBC!A$2:G$506,7,0)</f>
        <v>0</v>
      </c>
      <c r="L92">
        <f>VLOOKUP(A92,NYSEARCAGSG!A$2:G$506,7,0)</f>
        <v>0</v>
      </c>
      <c r="M92">
        <f>VLOOKUP(A92,NYSEARCAGLD!A$2:G$506,7,0)</f>
        <v>0</v>
      </c>
      <c r="N92">
        <f>VLOOKUP(A92,NYSEBP!A$2:G$506,7,0)</f>
        <v>0</v>
      </c>
      <c r="O92">
        <f>VLOOKUP(A92,NASDAQYHOO!A$2:G$506,7,0)</f>
        <v>0</v>
      </c>
    </row>
    <row r="93" spans="1:15">
      <c r="A93" s="39">
        <v>42277</v>
      </c>
      <c r="C93">
        <f>VLOOKUP(A93,NYSEARCAVTI!A$2:G$506,7,0)</f>
        <v>0</v>
      </c>
      <c r="D93">
        <f>VLOOKUP(A93,NYSEARCAVEU!A$2:G$506,7,0)</f>
        <v>0</v>
      </c>
      <c r="E93">
        <f>VLOOKUP(A93,NYSEARCAVWO!A$2:G$506,7,0)</f>
        <v>0</v>
      </c>
      <c r="F93">
        <f>VLOOKUP(A93,NYSEARCABND!A$2:G$506,7,0)</f>
        <v>0</v>
      </c>
      <c r="G93">
        <f>VLOOKUP(A93,NYSEARCATIP!A$2:G$506,7,0)</f>
        <v>0</v>
      </c>
      <c r="H93">
        <f>VLOOKUP(A93,NYSEARCAMUB!A$2:G$506,7,0)</f>
        <v>0</v>
      </c>
      <c r="I93">
        <f>VLOOKUP(A93,NYSEARCAVNQ!A$2:G$506,7,0)</f>
        <v>0</v>
      </c>
      <c r="J93">
        <f>VLOOKUP(A93,NYSEARCARWX!A$2:G$506,7,0)</f>
        <v>0</v>
      </c>
      <c r="K93">
        <f>VLOOKUP(A93,NYSEARCADBC!A$2:G$506,7,0)</f>
        <v>0</v>
      </c>
      <c r="L93">
        <f>VLOOKUP(A93,NYSEARCAGSG!A$2:G$506,7,0)</f>
        <v>0</v>
      </c>
      <c r="M93">
        <f>VLOOKUP(A93,NYSEARCAGLD!A$2:G$506,7,0)</f>
        <v>0</v>
      </c>
      <c r="N93">
        <f>VLOOKUP(A93,NYSEBP!A$2:G$506,7,0)</f>
        <v>0</v>
      </c>
      <c r="O93">
        <f>VLOOKUP(A93,NASDAQYHOO!A$2:G$506,7,0)</f>
        <v>0</v>
      </c>
    </row>
    <row r="94" spans="1:15">
      <c r="A94" s="39">
        <v>42278</v>
      </c>
      <c r="C94">
        <f>VLOOKUP(A94,NYSEARCAVTI!A$2:G$506,7,0)</f>
        <v>0</v>
      </c>
      <c r="D94">
        <f>VLOOKUP(A94,NYSEARCAVEU!A$2:G$506,7,0)</f>
        <v>0</v>
      </c>
      <c r="E94">
        <f>VLOOKUP(A94,NYSEARCAVWO!A$2:G$506,7,0)</f>
        <v>0</v>
      </c>
      <c r="F94">
        <f>VLOOKUP(A94,NYSEARCABND!A$2:G$506,7,0)</f>
        <v>0</v>
      </c>
      <c r="G94">
        <f>VLOOKUP(A94,NYSEARCATIP!A$2:G$506,7,0)</f>
        <v>0</v>
      </c>
      <c r="H94">
        <f>VLOOKUP(A94,NYSEARCAMUB!A$2:G$506,7,0)</f>
        <v>0</v>
      </c>
      <c r="I94">
        <f>VLOOKUP(A94,NYSEARCAVNQ!A$2:G$506,7,0)</f>
        <v>0</v>
      </c>
      <c r="J94">
        <f>VLOOKUP(A94,NYSEARCARWX!A$2:G$506,7,0)</f>
        <v>0</v>
      </c>
      <c r="K94">
        <f>VLOOKUP(A94,NYSEARCADBC!A$2:G$506,7,0)</f>
        <v>0</v>
      </c>
      <c r="L94">
        <f>VLOOKUP(A94,NYSEARCAGSG!A$2:G$506,7,0)</f>
        <v>0</v>
      </c>
      <c r="M94">
        <f>VLOOKUP(A94,NYSEARCAGLD!A$2:G$506,7,0)</f>
        <v>0</v>
      </c>
      <c r="N94">
        <f>VLOOKUP(A94,NYSEBP!A$2:G$506,7,0)</f>
        <v>0</v>
      </c>
      <c r="O94">
        <f>VLOOKUP(A94,NASDAQYHOO!A$2:G$506,7,0)</f>
        <v>0</v>
      </c>
    </row>
    <row r="95" spans="1:15">
      <c r="A95" s="39">
        <v>42279</v>
      </c>
      <c r="C95">
        <f>VLOOKUP(A95,NYSEARCAVTI!A$2:G$506,7,0)</f>
        <v>0</v>
      </c>
      <c r="D95">
        <f>VLOOKUP(A95,NYSEARCAVEU!A$2:G$506,7,0)</f>
        <v>0</v>
      </c>
      <c r="E95">
        <f>VLOOKUP(A95,NYSEARCAVWO!A$2:G$506,7,0)</f>
        <v>0</v>
      </c>
      <c r="F95">
        <f>VLOOKUP(A95,NYSEARCABND!A$2:G$506,7,0)</f>
        <v>0</v>
      </c>
      <c r="G95">
        <f>VLOOKUP(A95,NYSEARCATIP!A$2:G$506,7,0)</f>
        <v>0</v>
      </c>
      <c r="H95">
        <f>VLOOKUP(A95,NYSEARCAMUB!A$2:G$506,7,0)</f>
        <v>0</v>
      </c>
      <c r="I95">
        <f>VLOOKUP(A95,NYSEARCAVNQ!A$2:G$506,7,0)</f>
        <v>0</v>
      </c>
      <c r="J95">
        <f>VLOOKUP(A95,NYSEARCARWX!A$2:G$506,7,0)</f>
        <v>0</v>
      </c>
      <c r="K95">
        <f>VLOOKUP(A95,NYSEARCADBC!A$2:G$506,7,0)</f>
        <v>0</v>
      </c>
      <c r="L95">
        <f>VLOOKUP(A95,NYSEARCAGSG!A$2:G$506,7,0)</f>
        <v>0</v>
      </c>
      <c r="M95">
        <f>VLOOKUP(A95,NYSEARCAGLD!A$2:G$506,7,0)</f>
        <v>0</v>
      </c>
      <c r="N95">
        <f>VLOOKUP(A95,NYSEBP!A$2:G$506,7,0)</f>
        <v>0</v>
      </c>
      <c r="O95">
        <f>VLOOKUP(A95,NASDAQYHOO!A$2:G$506,7,0)</f>
        <v>0</v>
      </c>
    </row>
    <row r="96" spans="1:15">
      <c r="A96" s="39">
        <v>42282</v>
      </c>
      <c r="C96">
        <f>VLOOKUP(A96,NYSEARCAVTI!A$2:G$506,7,0)</f>
        <v>0</v>
      </c>
      <c r="D96">
        <f>VLOOKUP(A96,NYSEARCAVEU!A$2:G$506,7,0)</f>
        <v>0</v>
      </c>
      <c r="E96">
        <f>VLOOKUP(A96,NYSEARCAVWO!A$2:G$506,7,0)</f>
        <v>0</v>
      </c>
      <c r="F96">
        <f>VLOOKUP(A96,NYSEARCABND!A$2:G$506,7,0)</f>
        <v>0</v>
      </c>
      <c r="G96">
        <f>VLOOKUP(A96,NYSEARCATIP!A$2:G$506,7,0)</f>
        <v>0</v>
      </c>
      <c r="H96">
        <f>VLOOKUP(A96,NYSEARCAMUB!A$2:G$506,7,0)</f>
        <v>0</v>
      </c>
      <c r="I96">
        <f>VLOOKUP(A96,NYSEARCAVNQ!A$2:G$506,7,0)</f>
        <v>0</v>
      </c>
      <c r="J96">
        <f>VLOOKUP(A96,NYSEARCARWX!A$2:G$506,7,0)</f>
        <v>0</v>
      </c>
      <c r="K96">
        <f>VLOOKUP(A96,NYSEARCADBC!A$2:G$506,7,0)</f>
        <v>0</v>
      </c>
      <c r="L96">
        <f>VLOOKUP(A96,NYSEARCAGSG!A$2:G$506,7,0)</f>
        <v>0</v>
      </c>
      <c r="M96">
        <f>VLOOKUP(A96,NYSEARCAGLD!A$2:G$506,7,0)</f>
        <v>0</v>
      </c>
      <c r="N96">
        <f>VLOOKUP(A96,NYSEBP!A$2:G$506,7,0)</f>
        <v>0</v>
      </c>
      <c r="O96">
        <f>VLOOKUP(A96,NASDAQYHOO!A$2:G$506,7,0)</f>
        <v>0</v>
      </c>
    </row>
    <row r="97" spans="1:15">
      <c r="A97" s="39">
        <v>42283</v>
      </c>
      <c r="C97">
        <f>VLOOKUP(A97,NYSEARCAVTI!A$2:G$506,7,0)</f>
        <v>0</v>
      </c>
      <c r="D97">
        <f>VLOOKUP(A97,NYSEARCAVEU!A$2:G$506,7,0)</f>
        <v>0</v>
      </c>
      <c r="E97">
        <f>VLOOKUP(A97,NYSEARCAVWO!A$2:G$506,7,0)</f>
        <v>0</v>
      </c>
      <c r="F97">
        <f>VLOOKUP(A97,NYSEARCABND!A$2:G$506,7,0)</f>
        <v>0</v>
      </c>
      <c r="G97">
        <f>VLOOKUP(A97,NYSEARCATIP!A$2:G$506,7,0)</f>
        <v>0</v>
      </c>
      <c r="H97">
        <f>VLOOKUP(A97,NYSEARCAMUB!A$2:G$506,7,0)</f>
        <v>0</v>
      </c>
      <c r="I97">
        <f>VLOOKUP(A97,NYSEARCAVNQ!A$2:G$506,7,0)</f>
        <v>0</v>
      </c>
      <c r="J97">
        <f>VLOOKUP(A97,NYSEARCARWX!A$2:G$506,7,0)</f>
        <v>0</v>
      </c>
      <c r="K97">
        <f>VLOOKUP(A97,NYSEARCADBC!A$2:G$506,7,0)</f>
        <v>0</v>
      </c>
      <c r="L97">
        <f>VLOOKUP(A97,NYSEARCAGSG!A$2:G$506,7,0)</f>
        <v>0</v>
      </c>
      <c r="M97">
        <f>VLOOKUP(A97,NYSEARCAGLD!A$2:G$506,7,0)</f>
        <v>0</v>
      </c>
      <c r="N97">
        <f>VLOOKUP(A97,NYSEBP!A$2:G$506,7,0)</f>
        <v>0</v>
      </c>
      <c r="O97">
        <f>VLOOKUP(A97,NASDAQYHOO!A$2:G$506,7,0)</f>
        <v>0</v>
      </c>
    </row>
    <row r="98" spans="1:15">
      <c r="A98" s="39">
        <v>42284</v>
      </c>
      <c r="C98">
        <f>VLOOKUP(A98,NYSEARCAVTI!A$2:G$506,7,0)</f>
        <v>0</v>
      </c>
      <c r="D98">
        <f>VLOOKUP(A98,NYSEARCAVEU!A$2:G$506,7,0)</f>
        <v>0</v>
      </c>
      <c r="E98">
        <f>VLOOKUP(A98,NYSEARCAVWO!A$2:G$506,7,0)</f>
        <v>0</v>
      </c>
      <c r="F98">
        <f>VLOOKUP(A98,NYSEARCABND!A$2:G$506,7,0)</f>
        <v>0</v>
      </c>
      <c r="G98">
        <f>VLOOKUP(A98,NYSEARCATIP!A$2:G$506,7,0)</f>
        <v>0</v>
      </c>
      <c r="H98">
        <f>VLOOKUP(A98,NYSEARCAMUB!A$2:G$506,7,0)</f>
        <v>0</v>
      </c>
      <c r="I98">
        <f>VLOOKUP(A98,NYSEARCAVNQ!A$2:G$506,7,0)</f>
        <v>0</v>
      </c>
      <c r="J98">
        <f>VLOOKUP(A98,NYSEARCARWX!A$2:G$506,7,0)</f>
        <v>0</v>
      </c>
      <c r="K98">
        <f>VLOOKUP(A98,NYSEARCADBC!A$2:G$506,7,0)</f>
        <v>0</v>
      </c>
      <c r="L98">
        <f>VLOOKUP(A98,NYSEARCAGSG!A$2:G$506,7,0)</f>
        <v>0</v>
      </c>
      <c r="M98">
        <f>VLOOKUP(A98,NYSEARCAGLD!A$2:G$506,7,0)</f>
        <v>0</v>
      </c>
      <c r="N98">
        <f>VLOOKUP(A98,NYSEBP!A$2:G$506,7,0)</f>
        <v>0</v>
      </c>
      <c r="O98">
        <f>VLOOKUP(A98,NASDAQYHOO!A$2:G$506,7,0)</f>
        <v>0</v>
      </c>
    </row>
    <row r="99" spans="1:15">
      <c r="A99" s="39">
        <v>42285</v>
      </c>
      <c r="C99">
        <f>VLOOKUP(A99,NYSEARCAVTI!A$2:G$506,7,0)</f>
        <v>0</v>
      </c>
      <c r="D99">
        <f>VLOOKUP(A99,NYSEARCAVEU!A$2:G$506,7,0)</f>
        <v>0</v>
      </c>
      <c r="E99">
        <f>VLOOKUP(A99,NYSEARCAVWO!A$2:G$506,7,0)</f>
        <v>0</v>
      </c>
      <c r="F99">
        <f>VLOOKUP(A99,NYSEARCABND!A$2:G$506,7,0)</f>
        <v>0</v>
      </c>
      <c r="G99">
        <f>VLOOKUP(A99,NYSEARCATIP!A$2:G$506,7,0)</f>
        <v>0</v>
      </c>
      <c r="H99">
        <f>VLOOKUP(A99,NYSEARCAMUB!A$2:G$506,7,0)</f>
        <v>0</v>
      </c>
      <c r="I99">
        <f>VLOOKUP(A99,NYSEARCAVNQ!A$2:G$506,7,0)</f>
        <v>0</v>
      </c>
      <c r="J99">
        <f>VLOOKUP(A99,NYSEARCARWX!A$2:G$506,7,0)</f>
        <v>0</v>
      </c>
      <c r="K99">
        <f>VLOOKUP(A99,NYSEARCADBC!A$2:G$506,7,0)</f>
        <v>0</v>
      </c>
      <c r="L99">
        <f>VLOOKUP(A99,NYSEARCAGSG!A$2:G$506,7,0)</f>
        <v>0</v>
      </c>
      <c r="M99">
        <f>VLOOKUP(A99,NYSEARCAGLD!A$2:G$506,7,0)</f>
        <v>0</v>
      </c>
      <c r="N99">
        <f>VLOOKUP(A99,NYSEBP!A$2:G$506,7,0)</f>
        <v>0</v>
      </c>
      <c r="O99">
        <f>VLOOKUP(A99,NASDAQYHOO!A$2:G$506,7,0)</f>
        <v>0</v>
      </c>
    </row>
    <row r="100" spans="1:15">
      <c r="A100" s="39">
        <v>42286</v>
      </c>
      <c r="C100">
        <f>VLOOKUP(A100,NYSEARCAVTI!A$2:G$506,7,0)</f>
        <v>0</v>
      </c>
      <c r="D100">
        <f>VLOOKUP(A100,NYSEARCAVEU!A$2:G$506,7,0)</f>
        <v>0</v>
      </c>
      <c r="E100">
        <f>VLOOKUP(A100,NYSEARCAVWO!A$2:G$506,7,0)</f>
        <v>0</v>
      </c>
      <c r="F100">
        <f>VLOOKUP(A100,NYSEARCABND!A$2:G$506,7,0)</f>
        <v>0</v>
      </c>
      <c r="G100">
        <f>VLOOKUP(A100,NYSEARCATIP!A$2:G$506,7,0)</f>
        <v>0</v>
      </c>
      <c r="H100">
        <f>VLOOKUP(A100,NYSEARCAMUB!A$2:G$506,7,0)</f>
        <v>0</v>
      </c>
      <c r="I100">
        <f>VLOOKUP(A100,NYSEARCAVNQ!A$2:G$506,7,0)</f>
        <v>0</v>
      </c>
      <c r="J100">
        <f>VLOOKUP(A100,NYSEARCARWX!A$2:G$506,7,0)</f>
        <v>0</v>
      </c>
      <c r="K100">
        <f>VLOOKUP(A100,NYSEARCADBC!A$2:G$506,7,0)</f>
        <v>0</v>
      </c>
      <c r="L100">
        <f>VLOOKUP(A100,NYSEARCAGSG!A$2:G$506,7,0)</f>
        <v>0</v>
      </c>
      <c r="M100">
        <f>VLOOKUP(A100,NYSEARCAGLD!A$2:G$506,7,0)</f>
        <v>0</v>
      </c>
      <c r="N100">
        <f>VLOOKUP(A100,NYSEBP!A$2:G$506,7,0)</f>
        <v>0</v>
      </c>
      <c r="O100">
        <f>VLOOKUP(A100,NASDAQYHOO!A$2:G$506,7,0)</f>
        <v>0</v>
      </c>
    </row>
    <row r="101" spans="1:15">
      <c r="A101" s="39">
        <v>42289</v>
      </c>
      <c r="C101">
        <f>VLOOKUP(A101,NYSEARCAVTI!A$2:G$506,7,0)</f>
        <v>0</v>
      </c>
      <c r="D101">
        <f>VLOOKUP(A101,NYSEARCAVEU!A$2:G$506,7,0)</f>
        <v>0</v>
      </c>
      <c r="E101">
        <f>VLOOKUP(A101,NYSEARCAVWO!A$2:G$506,7,0)</f>
        <v>0</v>
      </c>
      <c r="F101">
        <f>VLOOKUP(A101,NYSEARCABND!A$2:G$506,7,0)</f>
        <v>0</v>
      </c>
      <c r="G101">
        <f>VLOOKUP(A101,NYSEARCATIP!A$2:G$506,7,0)</f>
        <v>0</v>
      </c>
      <c r="H101">
        <f>VLOOKUP(A101,NYSEARCAMUB!A$2:G$506,7,0)</f>
        <v>0</v>
      </c>
      <c r="I101">
        <f>VLOOKUP(A101,NYSEARCAVNQ!A$2:G$506,7,0)</f>
        <v>0</v>
      </c>
      <c r="J101">
        <f>VLOOKUP(A101,NYSEARCARWX!A$2:G$506,7,0)</f>
        <v>0</v>
      </c>
      <c r="K101">
        <f>VLOOKUP(A101,NYSEARCADBC!A$2:G$506,7,0)</f>
        <v>0</v>
      </c>
      <c r="L101">
        <f>VLOOKUP(A101,NYSEARCAGSG!A$2:G$506,7,0)</f>
        <v>0</v>
      </c>
      <c r="M101">
        <f>VLOOKUP(A101,NYSEARCAGLD!A$2:G$506,7,0)</f>
        <v>0</v>
      </c>
      <c r="N101">
        <f>VLOOKUP(A101,NYSEBP!A$2:G$506,7,0)</f>
        <v>0</v>
      </c>
      <c r="O101">
        <f>VLOOKUP(A101,NASDAQYHOO!A$2:G$506,7,0)</f>
        <v>0</v>
      </c>
    </row>
    <row r="102" spans="1:15">
      <c r="A102" s="39">
        <v>42290</v>
      </c>
      <c r="C102">
        <f>VLOOKUP(A102,NYSEARCAVTI!A$2:G$506,7,0)</f>
        <v>0</v>
      </c>
      <c r="D102">
        <f>VLOOKUP(A102,NYSEARCAVEU!A$2:G$506,7,0)</f>
        <v>0</v>
      </c>
      <c r="E102">
        <f>VLOOKUP(A102,NYSEARCAVWO!A$2:G$506,7,0)</f>
        <v>0</v>
      </c>
      <c r="F102">
        <f>VLOOKUP(A102,NYSEARCABND!A$2:G$506,7,0)</f>
        <v>0</v>
      </c>
      <c r="G102">
        <f>VLOOKUP(A102,NYSEARCATIP!A$2:G$506,7,0)</f>
        <v>0</v>
      </c>
      <c r="H102">
        <f>VLOOKUP(A102,NYSEARCAMUB!A$2:G$506,7,0)</f>
        <v>0</v>
      </c>
      <c r="I102">
        <f>VLOOKUP(A102,NYSEARCAVNQ!A$2:G$506,7,0)</f>
        <v>0</v>
      </c>
      <c r="J102">
        <f>VLOOKUP(A102,NYSEARCARWX!A$2:G$506,7,0)</f>
        <v>0</v>
      </c>
      <c r="K102">
        <f>VLOOKUP(A102,NYSEARCADBC!A$2:G$506,7,0)</f>
        <v>0</v>
      </c>
      <c r="L102">
        <f>VLOOKUP(A102,NYSEARCAGSG!A$2:G$506,7,0)</f>
        <v>0</v>
      </c>
      <c r="M102">
        <f>VLOOKUP(A102,NYSEARCAGLD!A$2:G$506,7,0)</f>
        <v>0</v>
      </c>
      <c r="N102">
        <f>VLOOKUP(A102,NYSEBP!A$2:G$506,7,0)</f>
        <v>0</v>
      </c>
      <c r="O102">
        <f>VLOOKUP(A102,NASDAQYHOO!A$2:G$506,7,0)</f>
        <v>0</v>
      </c>
    </row>
    <row r="103" spans="1:15">
      <c r="A103" s="39">
        <v>42291</v>
      </c>
      <c r="C103">
        <f>VLOOKUP(A103,NYSEARCAVTI!A$2:G$506,7,0)</f>
        <v>0</v>
      </c>
      <c r="D103">
        <f>VLOOKUP(A103,NYSEARCAVEU!A$2:G$506,7,0)</f>
        <v>0</v>
      </c>
      <c r="E103">
        <f>VLOOKUP(A103,NYSEARCAVWO!A$2:G$506,7,0)</f>
        <v>0</v>
      </c>
      <c r="F103">
        <f>VLOOKUP(A103,NYSEARCABND!A$2:G$506,7,0)</f>
        <v>0</v>
      </c>
      <c r="G103">
        <f>VLOOKUP(A103,NYSEARCATIP!A$2:G$506,7,0)</f>
        <v>0</v>
      </c>
      <c r="H103">
        <f>VLOOKUP(A103,NYSEARCAMUB!A$2:G$506,7,0)</f>
        <v>0</v>
      </c>
      <c r="I103">
        <f>VLOOKUP(A103,NYSEARCAVNQ!A$2:G$506,7,0)</f>
        <v>0</v>
      </c>
      <c r="J103">
        <f>VLOOKUP(A103,NYSEARCARWX!A$2:G$506,7,0)</f>
        <v>0</v>
      </c>
      <c r="K103">
        <f>VLOOKUP(A103,NYSEARCADBC!A$2:G$506,7,0)</f>
        <v>0</v>
      </c>
      <c r="L103">
        <f>VLOOKUP(A103,NYSEARCAGSG!A$2:G$506,7,0)</f>
        <v>0</v>
      </c>
      <c r="M103">
        <f>VLOOKUP(A103,NYSEARCAGLD!A$2:G$506,7,0)</f>
        <v>0</v>
      </c>
      <c r="N103">
        <f>VLOOKUP(A103,NYSEBP!A$2:G$506,7,0)</f>
        <v>0</v>
      </c>
      <c r="O103">
        <f>VLOOKUP(A103,NASDAQYHOO!A$2:G$506,7,0)</f>
        <v>0</v>
      </c>
    </row>
    <row r="104" spans="1:15">
      <c r="A104" s="39">
        <v>42292</v>
      </c>
      <c r="C104">
        <f>VLOOKUP(A104,NYSEARCAVTI!A$2:G$506,7,0)</f>
        <v>0</v>
      </c>
      <c r="D104">
        <f>VLOOKUP(A104,NYSEARCAVEU!A$2:G$506,7,0)</f>
        <v>0</v>
      </c>
      <c r="E104">
        <f>VLOOKUP(A104,NYSEARCAVWO!A$2:G$506,7,0)</f>
        <v>0</v>
      </c>
      <c r="F104">
        <f>VLOOKUP(A104,NYSEARCABND!A$2:G$506,7,0)</f>
        <v>0</v>
      </c>
      <c r="G104">
        <f>VLOOKUP(A104,NYSEARCATIP!A$2:G$506,7,0)</f>
        <v>0</v>
      </c>
      <c r="H104">
        <f>VLOOKUP(A104,NYSEARCAMUB!A$2:G$506,7,0)</f>
        <v>0</v>
      </c>
      <c r="I104">
        <f>VLOOKUP(A104,NYSEARCAVNQ!A$2:G$506,7,0)</f>
        <v>0</v>
      </c>
      <c r="J104">
        <f>VLOOKUP(A104,NYSEARCARWX!A$2:G$506,7,0)</f>
        <v>0</v>
      </c>
      <c r="K104">
        <f>VLOOKUP(A104,NYSEARCADBC!A$2:G$506,7,0)</f>
        <v>0</v>
      </c>
      <c r="L104">
        <f>VLOOKUP(A104,NYSEARCAGSG!A$2:G$506,7,0)</f>
        <v>0</v>
      </c>
      <c r="M104">
        <f>VLOOKUP(A104,NYSEARCAGLD!A$2:G$506,7,0)</f>
        <v>0</v>
      </c>
      <c r="N104">
        <f>VLOOKUP(A104,NYSEBP!A$2:G$506,7,0)</f>
        <v>0</v>
      </c>
      <c r="O104">
        <f>VLOOKUP(A104,NASDAQYHOO!A$2:G$506,7,0)</f>
        <v>0</v>
      </c>
    </row>
    <row r="105" spans="1:15">
      <c r="A105" s="39">
        <v>42293</v>
      </c>
      <c r="C105">
        <f>VLOOKUP(A105,NYSEARCAVTI!A$2:G$506,7,0)</f>
        <v>0</v>
      </c>
      <c r="D105">
        <f>VLOOKUP(A105,NYSEARCAVEU!A$2:G$506,7,0)</f>
        <v>0</v>
      </c>
      <c r="E105">
        <f>VLOOKUP(A105,NYSEARCAVWO!A$2:G$506,7,0)</f>
        <v>0</v>
      </c>
      <c r="F105">
        <f>VLOOKUP(A105,NYSEARCABND!A$2:G$506,7,0)</f>
        <v>0</v>
      </c>
      <c r="G105">
        <f>VLOOKUP(A105,NYSEARCATIP!A$2:G$506,7,0)</f>
        <v>0</v>
      </c>
      <c r="H105">
        <f>VLOOKUP(A105,NYSEARCAMUB!A$2:G$506,7,0)</f>
        <v>0</v>
      </c>
      <c r="I105">
        <f>VLOOKUP(A105,NYSEARCAVNQ!A$2:G$506,7,0)</f>
        <v>0</v>
      </c>
      <c r="J105">
        <f>VLOOKUP(A105,NYSEARCARWX!A$2:G$506,7,0)</f>
        <v>0</v>
      </c>
      <c r="K105">
        <f>VLOOKUP(A105,NYSEARCADBC!A$2:G$506,7,0)</f>
        <v>0</v>
      </c>
      <c r="L105">
        <f>VLOOKUP(A105,NYSEARCAGSG!A$2:G$506,7,0)</f>
        <v>0</v>
      </c>
      <c r="M105">
        <f>VLOOKUP(A105,NYSEARCAGLD!A$2:G$506,7,0)</f>
        <v>0</v>
      </c>
      <c r="N105">
        <f>VLOOKUP(A105,NYSEBP!A$2:G$506,7,0)</f>
        <v>0</v>
      </c>
      <c r="O105">
        <f>VLOOKUP(A105,NASDAQYHOO!A$2:G$506,7,0)</f>
        <v>0</v>
      </c>
    </row>
    <row r="106" spans="1:15">
      <c r="A106" s="39">
        <v>42296</v>
      </c>
      <c r="C106">
        <f>VLOOKUP(A106,NYSEARCAVTI!A$2:G$506,7,0)</f>
        <v>0</v>
      </c>
      <c r="D106">
        <f>VLOOKUP(A106,NYSEARCAVEU!A$2:G$506,7,0)</f>
        <v>0</v>
      </c>
      <c r="E106">
        <f>VLOOKUP(A106,NYSEARCAVWO!A$2:G$506,7,0)</f>
        <v>0</v>
      </c>
      <c r="F106">
        <f>VLOOKUP(A106,NYSEARCABND!A$2:G$506,7,0)</f>
        <v>0</v>
      </c>
      <c r="G106">
        <f>VLOOKUP(A106,NYSEARCATIP!A$2:G$506,7,0)</f>
        <v>0</v>
      </c>
      <c r="H106">
        <f>VLOOKUP(A106,NYSEARCAMUB!A$2:G$506,7,0)</f>
        <v>0</v>
      </c>
      <c r="I106">
        <f>VLOOKUP(A106,NYSEARCAVNQ!A$2:G$506,7,0)</f>
        <v>0</v>
      </c>
      <c r="J106">
        <f>VLOOKUP(A106,NYSEARCARWX!A$2:G$506,7,0)</f>
        <v>0</v>
      </c>
      <c r="K106">
        <f>VLOOKUP(A106,NYSEARCADBC!A$2:G$506,7,0)</f>
        <v>0</v>
      </c>
      <c r="L106">
        <f>VLOOKUP(A106,NYSEARCAGSG!A$2:G$506,7,0)</f>
        <v>0</v>
      </c>
      <c r="M106">
        <f>VLOOKUP(A106,NYSEARCAGLD!A$2:G$506,7,0)</f>
        <v>0</v>
      </c>
      <c r="N106">
        <f>VLOOKUP(A106,NYSEBP!A$2:G$506,7,0)</f>
        <v>0</v>
      </c>
      <c r="O106">
        <f>VLOOKUP(A106,NASDAQYHOO!A$2:G$506,7,0)</f>
        <v>0</v>
      </c>
    </row>
    <row r="107" spans="1:15">
      <c r="A107" s="39">
        <v>42297</v>
      </c>
      <c r="C107">
        <f>VLOOKUP(A107,NYSEARCAVTI!A$2:G$506,7,0)</f>
        <v>0</v>
      </c>
      <c r="D107">
        <f>VLOOKUP(A107,NYSEARCAVEU!A$2:G$506,7,0)</f>
        <v>0</v>
      </c>
      <c r="E107">
        <f>VLOOKUP(A107,NYSEARCAVWO!A$2:G$506,7,0)</f>
        <v>0</v>
      </c>
      <c r="F107">
        <f>VLOOKUP(A107,NYSEARCABND!A$2:G$506,7,0)</f>
        <v>0</v>
      </c>
      <c r="G107">
        <f>VLOOKUP(A107,NYSEARCATIP!A$2:G$506,7,0)</f>
        <v>0</v>
      </c>
      <c r="H107">
        <f>VLOOKUP(A107,NYSEARCAMUB!A$2:G$506,7,0)</f>
        <v>0</v>
      </c>
      <c r="I107">
        <f>VLOOKUP(A107,NYSEARCAVNQ!A$2:G$506,7,0)</f>
        <v>0</v>
      </c>
      <c r="J107">
        <f>VLOOKUP(A107,NYSEARCARWX!A$2:G$506,7,0)</f>
        <v>0</v>
      </c>
      <c r="K107">
        <f>VLOOKUP(A107,NYSEARCADBC!A$2:G$506,7,0)</f>
        <v>0</v>
      </c>
      <c r="L107">
        <f>VLOOKUP(A107,NYSEARCAGSG!A$2:G$506,7,0)</f>
        <v>0</v>
      </c>
      <c r="M107">
        <f>VLOOKUP(A107,NYSEARCAGLD!A$2:G$506,7,0)</f>
        <v>0</v>
      </c>
      <c r="N107">
        <f>VLOOKUP(A107,NYSEBP!A$2:G$506,7,0)</f>
        <v>0</v>
      </c>
      <c r="O107">
        <f>VLOOKUP(A107,NASDAQYHOO!A$2:G$506,7,0)</f>
        <v>0</v>
      </c>
    </row>
    <row r="108" spans="1:15">
      <c r="A108" s="39">
        <v>42298</v>
      </c>
      <c r="C108">
        <f>VLOOKUP(A108,NYSEARCAVTI!A$2:G$506,7,0)</f>
        <v>0</v>
      </c>
      <c r="D108">
        <f>VLOOKUP(A108,NYSEARCAVEU!A$2:G$506,7,0)</f>
        <v>0</v>
      </c>
      <c r="E108">
        <f>VLOOKUP(A108,NYSEARCAVWO!A$2:G$506,7,0)</f>
        <v>0</v>
      </c>
      <c r="F108">
        <f>VLOOKUP(A108,NYSEARCABND!A$2:G$506,7,0)</f>
        <v>0</v>
      </c>
      <c r="G108">
        <f>VLOOKUP(A108,NYSEARCATIP!A$2:G$506,7,0)</f>
        <v>0</v>
      </c>
      <c r="H108">
        <f>VLOOKUP(A108,NYSEARCAMUB!A$2:G$506,7,0)</f>
        <v>0</v>
      </c>
      <c r="I108">
        <f>VLOOKUP(A108,NYSEARCAVNQ!A$2:G$506,7,0)</f>
        <v>0</v>
      </c>
      <c r="J108">
        <f>VLOOKUP(A108,NYSEARCARWX!A$2:G$506,7,0)</f>
        <v>0</v>
      </c>
      <c r="K108">
        <f>VLOOKUP(A108,NYSEARCADBC!A$2:G$506,7,0)</f>
        <v>0</v>
      </c>
      <c r="L108">
        <f>VLOOKUP(A108,NYSEARCAGSG!A$2:G$506,7,0)</f>
        <v>0</v>
      </c>
      <c r="M108">
        <f>VLOOKUP(A108,NYSEARCAGLD!A$2:G$506,7,0)</f>
        <v>0</v>
      </c>
      <c r="N108">
        <f>VLOOKUP(A108,NYSEBP!A$2:G$506,7,0)</f>
        <v>0</v>
      </c>
      <c r="O108">
        <f>VLOOKUP(A108,NASDAQYHOO!A$2:G$506,7,0)</f>
        <v>0</v>
      </c>
    </row>
    <row r="109" spans="1:15">
      <c r="A109" s="39">
        <v>42299</v>
      </c>
      <c r="C109">
        <f>VLOOKUP(A109,NYSEARCAVTI!A$2:G$506,7,0)</f>
        <v>0</v>
      </c>
      <c r="D109">
        <f>VLOOKUP(A109,NYSEARCAVEU!A$2:G$506,7,0)</f>
        <v>0</v>
      </c>
      <c r="E109">
        <f>VLOOKUP(A109,NYSEARCAVWO!A$2:G$506,7,0)</f>
        <v>0</v>
      </c>
      <c r="F109">
        <f>VLOOKUP(A109,NYSEARCABND!A$2:G$506,7,0)</f>
        <v>0</v>
      </c>
      <c r="G109">
        <f>VLOOKUP(A109,NYSEARCATIP!A$2:G$506,7,0)</f>
        <v>0</v>
      </c>
      <c r="H109">
        <f>VLOOKUP(A109,NYSEARCAMUB!A$2:G$506,7,0)</f>
        <v>0</v>
      </c>
      <c r="I109">
        <f>VLOOKUP(A109,NYSEARCAVNQ!A$2:G$506,7,0)</f>
        <v>0</v>
      </c>
      <c r="J109">
        <f>VLOOKUP(A109,NYSEARCARWX!A$2:G$506,7,0)</f>
        <v>0</v>
      </c>
      <c r="K109">
        <f>VLOOKUP(A109,NYSEARCADBC!A$2:G$506,7,0)</f>
        <v>0</v>
      </c>
      <c r="L109">
        <f>VLOOKUP(A109,NYSEARCAGSG!A$2:G$506,7,0)</f>
        <v>0</v>
      </c>
      <c r="M109">
        <f>VLOOKUP(A109,NYSEARCAGLD!A$2:G$506,7,0)</f>
        <v>0</v>
      </c>
      <c r="N109">
        <f>VLOOKUP(A109,NYSEBP!A$2:G$506,7,0)</f>
        <v>0</v>
      </c>
      <c r="O109">
        <f>VLOOKUP(A109,NASDAQYHOO!A$2:G$506,7,0)</f>
        <v>0</v>
      </c>
    </row>
    <row r="110" spans="1:15">
      <c r="A110" s="39">
        <v>42300</v>
      </c>
      <c r="C110">
        <f>VLOOKUP(A110,NYSEARCAVTI!A$2:G$506,7,0)</f>
        <v>0</v>
      </c>
      <c r="D110">
        <f>VLOOKUP(A110,NYSEARCAVEU!A$2:G$506,7,0)</f>
        <v>0</v>
      </c>
      <c r="E110">
        <f>VLOOKUP(A110,NYSEARCAVWO!A$2:G$506,7,0)</f>
        <v>0</v>
      </c>
      <c r="F110">
        <f>VLOOKUP(A110,NYSEARCABND!A$2:G$506,7,0)</f>
        <v>0</v>
      </c>
      <c r="G110">
        <f>VLOOKUP(A110,NYSEARCATIP!A$2:G$506,7,0)</f>
        <v>0</v>
      </c>
      <c r="H110">
        <f>VLOOKUP(A110,NYSEARCAMUB!A$2:G$506,7,0)</f>
        <v>0</v>
      </c>
      <c r="I110">
        <f>VLOOKUP(A110,NYSEARCAVNQ!A$2:G$506,7,0)</f>
        <v>0</v>
      </c>
      <c r="J110">
        <f>VLOOKUP(A110,NYSEARCARWX!A$2:G$506,7,0)</f>
        <v>0</v>
      </c>
      <c r="K110">
        <f>VLOOKUP(A110,NYSEARCADBC!A$2:G$506,7,0)</f>
        <v>0</v>
      </c>
      <c r="L110">
        <f>VLOOKUP(A110,NYSEARCAGSG!A$2:G$506,7,0)</f>
        <v>0</v>
      </c>
      <c r="M110">
        <f>VLOOKUP(A110,NYSEARCAGLD!A$2:G$506,7,0)</f>
        <v>0</v>
      </c>
      <c r="N110">
        <f>VLOOKUP(A110,NYSEBP!A$2:G$506,7,0)</f>
        <v>0</v>
      </c>
      <c r="O110">
        <f>VLOOKUP(A110,NASDAQYHOO!A$2:G$506,7,0)</f>
        <v>0</v>
      </c>
    </row>
    <row r="111" spans="1:15">
      <c r="A111" s="39">
        <v>42303</v>
      </c>
      <c r="C111">
        <f>VLOOKUP(A111,NYSEARCAVTI!A$2:G$506,7,0)</f>
        <v>0</v>
      </c>
      <c r="D111">
        <f>VLOOKUP(A111,NYSEARCAVEU!A$2:G$506,7,0)</f>
        <v>0</v>
      </c>
      <c r="E111">
        <f>VLOOKUP(A111,NYSEARCAVWO!A$2:G$506,7,0)</f>
        <v>0</v>
      </c>
      <c r="F111">
        <f>VLOOKUP(A111,NYSEARCABND!A$2:G$506,7,0)</f>
        <v>0</v>
      </c>
      <c r="G111">
        <f>VLOOKUP(A111,NYSEARCATIP!A$2:G$506,7,0)</f>
        <v>0</v>
      </c>
      <c r="H111">
        <f>VLOOKUP(A111,NYSEARCAMUB!A$2:G$506,7,0)</f>
        <v>0</v>
      </c>
      <c r="I111">
        <f>VLOOKUP(A111,NYSEARCAVNQ!A$2:G$506,7,0)</f>
        <v>0</v>
      </c>
      <c r="J111">
        <f>VLOOKUP(A111,NYSEARCARWX!A$2:G$506,7,0)</f>
        <v>0</v>
      </c>
      <c r="K111">
        <f>VLOOKUP(A111,NYSEARCADBC!A$2:G$506,7,0)</f>
        <v>0</v>
      </c>
      <c r="L111">
        <f>VLOOKUP(A111,NYSEARCAGSG!A$2:G$506,7,0)</f>
        <v>0</v>
      </c>
      <c r="M111">
        <f>VLOOKUP(A111,NYSEARCAGLD!A$2:G$506,7,0)</f>
        <v>0</v>
      </c>
      <c r="N111">
        <f>VLOOKUP(A111,NYSEBP!A$2:G$506,7,0)</f>
        <v>0</v>
      </c>
      <c r="O111">
        <f>VLOOKUP(A111,NASDAQYHOO!A$2:G$506,7,0)</f>
        <v>0</v>
      </c>
    </row>
    <row r="112" spans="1:15">
      <c r="A112" s="39">
        <v>42304</v>
      </c>
      <c r="C112">
        <f>VLOOKUP(A112,NYSEARCAVTI!A$2:G$506,7,0)</f>
        <v>0</v>
      </c>
      <c r="D112">
        <f>VLOOKUP(A112,NYSEARCAVEU!A$2:G$506,7,0)</f>
        <v>0</v>
      </c>
      <c r="E112">
        <f>VLOOKUP(A112,NYSEARCAVWO!A$2:G$506,7,0)</f>
        <v>0</v>
      </c>
      <c r="F112">
        <f>VLOOKUP(A112,NYSEARCABND!A$2:G$506,7,0)</f>
        <v>0</v>
      </c>
      <c r="G112">
        <f>VLOOKUP(A112,NYSEARCATIP!A$2:G$506,7,0)</f>
        <v>0</v>
      </c>
      <c r="H112">
        <f>VLOOKUP(A112,NYSEARCAMUB!A$2:G$506,7,0)</f>
        <v>0</v>
      </c>
      <c r="I112">
        <f>VLOOKUP(A112,NYSEARCAVNQ!A$2:G$506,7,0)</f>
        <v>0</v>
      </c>
      <c r="J112">
        <f>VLOOKUP(A112,NYSEARCARWX!A$2:G$506,7,0)</f>
        <v>0</v>
      </c>
      <c r="K112">
        <f>VLOOKUP(A112,NYSEARCADBC!A$2:G$506,7,0)</f>
        <v>0</v>
      </c>
      <c r="L112">
        <f>VLOOKUP(A112,NYSEARCAGSG!A$2:G$506,7,0)</f>
        <v>0</v>
      </c>
      <c r="M112">
        <f>VLOOKUP(A112,NYSEARCAGLD!A$2:G$506,7,0)</f>
        <v>0</v>
      </c>
      <c r="N112">
        <f>VLOOKUP(A112,NYSEBP!A$2:G$506,7,0)</f>
        <v>0</v>
      </c>
      <c r="O112">
        <f>VLOOKUP(A112,NASDAQYHOO!A$2:G$506,7,0)</f>
        <v>0</v>
      </c>
    </row>
    <row r="113" spans="1:15">
      <c r="A113" s="39">
        <v>42305</v>
      </c>
      <c r="C113">
        <f>VLOOKUP(A113,NYSEARCAVTI!A$2:G$506,7,0)</f>
        <v>0</v>
      </c>
      <c r="D113">
        <f>VLOOKUP(A113,NYSEARCAVEU!A$2:G$506,7,0)</f>
        <v>0</v>
      </c>
      <c r="E113">
        <f>VLOOKUP(A113,NYSEARCAVWO!A$2:G$506,7,0)</f>
        <v>0</v>
      </c>
      <c r="F113">
        <f>VLOOKUP(A113,NYSEARCABND!A$2:G$506,7,0)</f>
        <v>0</v>
      </c>
      <c r="G113">
        <f>VLOOKUP(A113,NYSEARCATIP!A$2:G$506,7,0)</f>
        <v>0</v>
      </c>
      <c r="H113">
        <f>VLOOKUP(A113,NYSEARCAMUB!A$2:G$506,7,0)</f>
        <v>0</v>
      </c>
      <c r="I113">
        <f>VLOOKUP(A113,NYSEARCAVNQ!A$2:G$506,7,0)</f>
        <v>0</v>
      </c>
      <c r="J113">
        <f>VLOOKUP(A113,NYSEARCARWX!A$2:G$506,7,0)</f>
        <v>0</v>
      </c>
      <c r="K113">
        <f>VLOOKUP(A113,NYSEARCADBC!A$2:G$506,7,0)</f>
        <v>0</v>
      </c>
      <c r="L113">
        <f>VLOOKUP(A113,NYSEARCAGSG!A$2:G$506,7,0)</f>
        <v>0</v>
      </c>
      <c r="M113">
        <f>VLOOKUP(A113,NYSEARCAGLD!A$2:G$506,7,0)</f>
        <v>0</v>
      </c>
      <c r="N113">
        <f>VLOOKUP(A113,NYSEBP!A$2:G$506,7,0)</f>
        <v>0</v>
      </c>
      <c r="O113">
        <f>VLOOKUP(A113,NASDAQYHOO!A$2:G$506,7,0)</f>
        <v>0</v>
      </c>
    </row>
    <row r="114" spans="1:15">
      <c r="A114" s="39">
        <v>42306</v>
      </c>
      <c r="C114">
        <f>VLOOKUP(A114,NYSEARCAVTI!A$2:G$506,7,0)</f>
        <v>0</v>
      </c>
      <c r="D114">
        <f>VLOOKUP(A114,NYSEARCAVEU!A$2:G$506,7,0)</f>
        <v>0</v>
      </c>
      <c r="E114">
        <f>VLOOKUP(A114,NYSEARCAVWO!A$2:G$506,7,0)</f>
        <v>0</v>
      </c>
      <c r="F114">
        <f>VLOOKUP(A114,NYSEARCABND!A$2:G$506,7,0)</f>
        <v>0</v>
      </c>
      <c r="G114">
        <f>VLOOKUP(A114,NYSEARCATIP!A$2:G$506,7,0)</f>
        <v>0</v>
      </c>
      <c r="H114">
        <f>VLOOKUP(A114,NYSEARCAMUB!A$2:G$506,7,0)</f>
        <v>0</v>
      </c>
      <c r="I114">
        <f>VLOOKUP(A114,NYSEARCAVNQ!A$2:G$506,7,0)</f>
        <v>0</v>
      </c>
      <c r="J114">
        <f>VLOOKUP(A114,NYSEARCARWX!A$2:G$506,7,0)</f>
        <v>0</v>
      </c>
      <c r="K114">
        <f>VLOOKUP(A114,NYSEARCADBC!A$2:G$506,7,0)</f>
        <v>0</v>
      </c>
      <c r="L114">
        <f>VLOOKUP(A114,NYSEARCAGSG!A$2:G$506,7,0)</f>
        <v>0</v>
      </c>
      <c r="M114">
        <f>VLOOKUP(A114,NYSEARCAGLD!A$2:G$506,7,0)</f>
        <v>0</v>
      </c>
      <c r="N114">
        <f>VLOOKUP(A114,NYSEBP!A$2:G$506,7,0)</f>
        <v>0</v>
      </c>
      <c r="O114">
        <f>VLOOKUP(A114,NASDAQYHOO!A$2:G$506,7,0)</f>
        <v>0</v>
      </c>
    </row>
    <row r="115" spans="1:15">
      <c r="A115" s="39">
        <v>42307</v>
      </c>
      <c r="C115">
        <f>VLOOKUP(A115,NYSEARCAVTI!A$2:G$506,7,0)</f>
        <v>0</v>
      </c>
      <c r="D115">
        <f>VLOOKUP(A115,NYSEARCAVEU!A$2:G$506,7,0)</f>
        <v>0</v>
      </c>
      <c r="E115">
        <f>VLOOKUP(A115,NYSEARCAVWO!A$2:G$506,7,0)</f>
        <v>0</v>
      </c>
      <c r="F115">
        <f>VLOOKUP(A115,NYSEARCABND!A$2:G$506,7,0)</f>
        <v>0</v>
      </c>
      <c r="G115">
        <f>VLOOKUP(A115,NYSEARCATIP!A$2:G$506,7,0)</f>
        <v>0</v>
      </c>
      <c r="H115">
        <f>VLOOKUP(A115,NYSEARCAMUB!A$2:G$506,7,0)</f>
        <v>0</v>
      </c>
      <c r="I115">
        <f>VLOOKUP(A115,NYSEARCAVNQ!A$2:G$506,7,0)</f>
        <v>0</v>
      </c>
      <c r="J115">
        <f>VLOOKUP(A115,NYSEARCARWX!A$2:G$506,7,0)</f>
        <v>0</v>
      </c>
      <c r="K115">
        <f>VLOOKUP(A115,NYSEARCADBC!A$2:G$506,7,0)</f>
        <v>0</v>
      </c>
      <c r="L115">
        <f>VLOOKUP(A115,NYSEARCAGSG!A$2:G$506,7,0)</f>
        <v>0</v>
      </c>
      <c r="M115">
        <f>VLOOKUP(A115,NYSEARCAGLD!A$2:G$506,7,0)</f>
        <v>0</v>
      </c>
      <c r="N115">
        <f>VLOOKUP(A115,NYSEBP!A$2:G$506,7,0)</f>
        <v>0</v>
      </c>
      <c r="O115">
        <f>VLOOKUP(A115,NASDAQYHOO!A$2:G$506,7,0)</f>
        <v>0</v>
      </c>
    </row>
    <row r="116" spans="1:15">
      <c r="A116" s="39">
        <v>42310</v>
      </c>
      <c r="C116">
        <f>VLOOKUP(A116,NYSEARCAVTI!A$2:G$506,7,0)</f>
        <v>0</v>
      </c>
      <c r="D116">
        <f>VLOOKUP(A116,NYSEARCAVEU!A$2:G$506,7,0)</f>
        <v>0</v>
      </c>
      <c r="E116">
        <f>VLOOKUP(A116,NYSEARCAVWO!A$2:G$506,7,0)</f>
        <v>0</v>
      </c>
      <c r="F116">
        <f>VLOOKUP(A116,NYSEARCABND!A$2:G$506,7,0)</f>
        <v>0</v>
      </c>
      <c r="G116">
        <f>VLOOKUP(A116,NYSEARCATIP!A$2:G$506,7,0)</f>
        <v>0</v>
      </c>
      <c r="H116">
        <f>VLOOKUP(A116,NYSEARCAMUB!A$2:G$506,7,0)</f>
        <v>0</v>
      </c>
      <c r="I116">
        <f>VLOOKUP(A116,NYSEARCAVNQ!A$2:G$506,7,0)</f>
        <v>0</v>
      </c>
      <c r="J116">
        <f>VLOOKUP(A116,NYSEARCARWX!A$2:G$506,7,0)</f>
        <v>0</v>
      </c>
      <c r="K116">
        <f>VLOOKUP(A116,NYSEARCADBC!A$2:G$506,7,0)</f>
        <v>0</v>
      </c>
      <c r="L116">
        <f>VLOOKUP(A116,NYSEARCAGSG!A$2:G$506,7,0)</f>
        <v>0</v>
      </c>
      <c r="M116">
        <f>VLOOKUP(A116,NYSEARCAGLD!A$2:G$506,7,0)</f>
        <v>0</v>
      </c>
      <c r="N116">
        <f>VLOOKUP(A116,NYSEBP!A$2:G$506,7,0)</f>
        <v>0</v>
      </c>
      <c r="O116">
        <f>VLOOKUP(A116,NASDAQYHOO!A$2:G$506,7,0)</f>
        <v>0</v>
      </c>
    </row>
    <row r="117" spans="1:15">
      <c r="A117" s="39">
        <v>42311</v>
      </c>
      <c r="C117">
        <f>VLOOKUP(A117,NYSEARCAVTI!A$2:G$506,7,0)</f>
        <v>0</v>
      </c>
      <c r="D117">
        <f>VLOOKUP(A117,NYSEARCAVEU!A$2:G$506,7,0)</f>
        <v>0</v>
      </c>
      <c r="E117">
        <f>VLOOKUP(A117,NYSEARCAVWO!A$2:G$506,7,0)</f>
        <v>0</v>
      </c>
      <c r="F117">
        <f>VLOOKUP(A117,NYSEARCABND!A$2:G$506,7,0)</f>
        <v>0</v>
      </c>
      <c r="G117">
        <f>VLOOKUP(A117,NYSEARCATIP!A$2:G$506,7,0)</f>
        <v>0</v>
      </c>
      <c r="H117">
        <f>VLOOKUP(A117,NYSEARCAMUB!A$2:G$506,7,0)</f>
        <v>0</v>
      </c>
      <c r="I117">
        <f>VLOOKUP(A117,NYSEARCAVNQ!A$2:G$506,7,0)</f>
        <v>0</v>
      </c>
      <c r="J117">
        <f>VLOOKUP(A117,NYSEARCARWX!A$2:G$506,7,0)</f>
        <v>0</v>
      </c>
      <c r="K117">
        <f>VLOOKUP(A117,NYSEARCADBC!A$2:G$506,7,0)</f>
        <v>0</v>
      </c>
      <c r="L117">
        <f>VLOOKUP(A117,NYSEARCAGSG!A$2:G$506,7,0)</f>
        <v>0</v>
      </c>
      <c r="M117">
        <f>VLOOKUP(A117,NYSEARCAGLD!A$2:G$506,7,0)</f>
        <v>0</v>
      </c>
      <c r="N117">
        <f>VLOOKUP(A117,NYSEBP!A$2:G$506,7,0)</f>
        <v>0</v>
      </c>
      <c r="O117">
        <f>VLOOKUP(A117,NASDAQYHOO!A$2:G$506,7,0)</f>
        <v>0</v>
      </c>
    </row>
    <row r="118" spans="1:15">
      <c r="A118" s="39">
        <v>42312</v>
      </c>
      <c r="C118">
        <f>VLOOKUP(A118,NYSEARCAVTI!A$2:G$506,7,0)</f>
        <v>0</v>
      </c>
      <c r="D118">
        <f>VLOOKUP(A118,NYSEARCAVEU!A$2:G$506,7,0)</f>
        <v>0</v>
      </c>
      <c r="E118">
        <f>VLOOKUP(A118,NYSEARCAVWO!A$2:G$506,7,0)</f>
        <v>0</v>
      </c>
      <c r="F118">
        <f>VLOOKUP(A118,NYSEARCABND!A$2:G$506,7,0)</f>
        <v>0</v>
      </c>
      <c r="G118">
        <f>VLOOKUP(A118,NYSEARCATIP!A$2:G$506,7,0)</f>
        <v>0</v>
      </c>
      <c r="H118">
        <f>VLOOKUP(A118,NYSEARCAMUB!A$2:G$506,7,0)</f>
        <v>0</v>
      </c>
      <c r="I118">
        <f>VLOOKUP(A118,NYSEARCAVNQ!A$2:G$506,7,0)</f>
        <v>0</v>
      </c>
      <c r="J118">
        <f>VLOOKUP(A118,NYSEARCARWX!A$2:G$506,7,0)</f>
        <v>0</v>
      </c>
      <c r="K118">
        <f>VLOOKUP(A118,NYSEARCADBC!A$2:G$506,7,0)</f>
        <v>0</v>
      </c>
      <c r="L118">
        <f>VLOOKUP(A118,NYSEARCAGSG!A$2:G$506,7,0)</f>
        <v>0</v>
      </c>
      <c r="M118">
        <f>VLOOKUP(A118,NYSEARCAGLD!A$2:G$506,7,0)</f>
        <v>0</v>
      </c>
      <c r="N118">
        <f>VLOOKUP(A118,NYSEBP!A$2:G$506,7,0)</f>
        <v>0</v>
      </c>
      <c r="O118">
        <f>VLOOKUP(A118,NASDAQYHOO!A$2:G$506,7,0)</f>
        <v>0</v>
      </c>
    </row>
    <row r="119" spans="1:15">
      <c r="A119" s="39">
        <v>42313</v>
      </c>
      <c r="C119">
        <f>VLOOKUP(A119,NYSEARCAVTI!A$2:G$506,7,0)</f>
        <v>0</v>
      </c>
      <c r="D119">
        <f>VLOOKUP(A119,NYSEARCAVEU!A$2:G$506,7,0)</f>
        <v>0</v>
      </c>
      <c r="E119">
        <f>VLOOKUP(A119,NYSEARCAVWO!A$2:G$506,7,0)</f>
        <v>0</v>
      </c>
      <c r="F119">
        <f>VLOOKUP(A119,NYSEARCABND!A$2:G$506,7,0)</f>
        <v>0</v>
      </c>
      <c r="G119">
        <f>VLOOKUP(A119,NYSEARCATIP!A$2:G$506,7,0)</f>
        <v>0</v>
      </c>
      <c r="H119">
        <f>VLOOKUP(A119,NYSEARCAMUB!A$2:G$506,7,0)</f>
        <v>0</v>
      </c>
      <c r="I119">
        <f>VLOOKUP(A119,NYSEARCAVNQ!A$2:G$506,7,0)</f>
        <v>0</v>
      </c>
      <c r="J119">
        <f>VLOOKUP(A119,NYSEARCARWX!A$2:G$506,7,0)</f>
        <v>0</v>
      </c>
      <c r="K119">
        <f>VLOOKUP(A119,NYSEARCADBC!A$2:G$506,7,0)</f>
        <v>0</v>
      </c>
      <c r="L119">
        <f>VLOOKUP(A119,NYSEARCAGSG!A$2:G$506,7,0)</f>
        <v>0</v>
      </c>
      <c r="M119">
        <f>VLOOKUP(A119,NYSEARCAGLD!A$2:G$506,7,0)</f>
        <v>0</v>
      </c>
      <c r="N119">
        <f>VLOOKUP(A119,NYSEBP!A$2:G$506,7,0)</f>
        <v>0</v>
      </c>
      <c r="O119">
        <f>VLOOKUP(A119,NASDAQYHOO!A$2:G$506,7,0)</f>
        <v>0</v>
      </c>
    </row>
    <row r="120" spans="1:15">
      <c r="A120" s="39">
        <v>42314</v>
      </c>
      <c r="C120">
        <f>VLOOKUP(A120,NYSEARCAVTI!A$2:G$506,7,0)</f>
        <v>0</v>
      </c>
      <c r="D120">
        <f>VLOOKUP(A120,NYSEARCAVEU!A$2:G$506,7,0)</f>
        <v>0</v>
      </c>
      <c r="E120">
        <f>VLOOKUP(A120,NYSEARCAVWO!A$2:G$506,7,0)</f>
        <v>0</v>
      </c>
      <c r="F120">
        <f>VLOOKUP(A120,NYSEARCABND!A$2:G$506,7,0)</f>
        <v>0</v>
      </c>
      <c r="G120">
        <f>VLOOKUP(A120,NYSEARCATIP!A$2:G$506,7,0)</f>
        <v>0</v>
      </c>
      <c r="H120">
        <f>VLOOKUP(A120,NYSEARCAMUB!A$2:G$506,7,0)</f>
        <v>0</v>
      </c>
      <c r="I120">
        <f>VLOOKUP(A120,NYSEARCAVNQ!A$2:G$506,7,0)</f>
        <v>0</v>
      </c>
      <c r="J120">
        <f>VLOOKUP(A120,NYSEARCARWX!A$2:G$506,7,0)</f>
        <v>0</v>
      </c>
      <c r="K120">
        <f>VLOOKUP(A120,NYSEARCADBC!A$2:G$506,7,0)</f>
        <v>0</v>
      </c>
      <c r="L120">
        <f>VLOOKUP(A120,NYSEARCAGSG!A$2:G$506,7,0)</f>
        <v>0</v>
      </c>
      <c r="M120">
        <f>VLOOKUP(A120,NYSEARCAGLD!A$2:G$506,7,0)</f>
        <v>0</v>
      </c>
      <c r="N120">
        <f>VLOOKUP(A120,NYSEBP!A$2:G$506,7,0)</f>
        <v>0</v>
      </c>
      <c r="O120">
        <f>VLOOKUP(A120,NASDAQYHOO!A$2:G$506,7,0)</f>
        <v>0</v>
      </c>
    </row>
    <row r="121" spans="1:15">
      <c r="A121" s="39">
        <v>42317</v>
      </c>
      <c r="C121">
        <f>VLOOKUP(A121,NYSEARCAVTI!A$2:G$506,7,0)</f>
        <v>0</v>
      </c>
      <c r="D121">
        <f>VLOOKUP(A121,NYSEARCAVEU!A$2:G$506,7,0)</f>
        <v>0</v>
      </c>
      <c r="E121">
        <f>VLOOKUP(A121,NYSEARCAVWO!A$2:G$506,7,0)</f>
        <v>0</v>
      </c>
      <c r="F121">
        <f>VLOOKUP(A121,NYSEARCABND!A$2:G$506,7,0)</f>
        <v>0</v>
      </c>
      <c r="G121">
        <f>VLOOKUP(A121,NYSEARCATIP!A$2:G$506,7,0)</f>
        <v>0</v>
      </c>
      <c r="H121">
        <f>VLOOKUP(A121,NYSEARCAMUB!A$2:G$506,7,0)</f>
        <v>0</v>
      </c>
      <c r="I121">
        <f>VLOOKUP(A121,NYSEARCAVNQ!A$2:G$506,7,0)</f>
        <v>0</v>
      </c>
      <c r="J121">
        <f>VLOOKUP(A121,NYSEARCARWX!A$2:G$506,7,0)</f>
        <v>0</v>
      </c>
      <c r="K121">
        <f>VLOOKUP(A121,NYSEARCADBC!A$2:G$506,7,0)</f>
        <v>0</v>
      </c>
      <c r="L121">
        <f>VLOOKUP(A121,NYSEARCAGSG!A$2:G$506,7,0)</f>
        <v>0</v>
      </c>
      <c r="M121">
        <f>VLOOKUP(A121,NYSEARCAGLD!A$2:G$506,7,0)</f>
        <v>0</v>
      </c>
      <c r="N121">
        <f>VLOOKUP(A121,NYSEBP!A$2:G$506,7,0)</f>
        <v>0</v>
      </c>
      <c r="O121">
        <f>VLOOKUP(A121,NASDAQYHOO!A$2:G$506,7,0)</f>
        <v>0</v>
      </c>
    </row>
    <row r="122" spans="1:15">
      <c r="A122" s="39">
        <v>42318</v>
      </c>
      <c r="C122">
        <f>VLOOKUP(A122,NYSEARCAVTI!A$2:G$506,7,0)</f>
        <v>0</v>
      </c>
      <c r="D122">
        <f>VLOOKUP(A122,NYSEARCAVEU!A$2:G$506,7,0)</f>
        <v>0</v>
      </c>
      <c r="E122">
        <f>VLOOKUP(A122,NYSEARCAVWO!A$2:G$506,7,0)</f>
        <v>0</v>
      </c>
      <c r="F122">
        <f>VLOOKUP(A122,NYSEARCABND!A$2:G$506,7,0)</f>
        <v>0</v>
      </c>
      <c r="G122">
        <f>VLOOKUP(A122,NYSEARCATIP!A$2:G$506,7,0)</f>
        <v>0</v>
      </c>
      <c r="H122">
        <f>VLOOKUP(A122,NYSEARCAMUB!A$2:G$506,7,0)</f>
        <v>0</v>
      </c>
      <c r="I122">
        <f>VLOOKUP(A122,NYSEARCAVNQ!A$2:G$506,7,0)</f>
        <v>0</v>
      </c>
      <c r="J122">
        <f>VLOOKUP(A122,NYSEARCARWX!A$2:G$506,7,0)</f>
        <v>0</v>
      </c>
      <c r="K122">
        <f>VLOOKUP(A122,NYSEARCADBC!A$2:G$506,7,0)</f>
        <v>0</v>
      </c>
      <c r="L122">
        <f>VLOOKUP(A122,NYSEARCAGSG!A$2:G$506,7,0)</f>
        <v>0</v>
      </c>
      <c r="M122">
        <f>VLOOKUP(A122,NYSEARCAGLD!A$2:G$506,7,0)</f>
        <v>0</v>
      </c>
      <c r="N122">
        <f>VLOOKUP(A122,NYSEBP!A$2:G$506,7,0)</f>
        <v>0</v>
      </c>
      <c r="O122">
        <f>VLOOKUP(A122,NASDAQYHOO!A$2:G$506,7,0)</f>
        <v>0</v>
      </c>
    </row>
    <row r="123" spans="1:15">
      <c r="A123" s="39">
        <v>42319</v>
      </c>
      <c r="C123">
        <f>VLOOKUP(A123,NYSEARCAVTI!A$2:G$506,7,0)</f>
        <v>0</v>
      </c>
      <c r="D123">
        <f>VLOOKUP(A123,NYSEARCAVEU!A$2:G$506,7,0)</f>
        <v>0</v>
      </c>
      <c r="E123">
        <f>VLOOKUP(A123,NYSEARCAVWO!A$2:G$506,7,0)</f>
        <v>0</v>
      </c>
      <c r="F123">
        <f>VLOOKUP(A123,NYSEARCABND!A$2:G$506,7,0)</f>
        <v>0</v>
      </c>
      <c r="G123">
        <f>VLOOKUP(A123,NYSEARCATIP!A$2:G$506,7,0)</f>
        <v>0</v>
      </c>
      <c r="H123">
        <f>VLOOKUP(A123,NYSEARCAMUB!A$2:G$506,7,0)</f>
        <v>0</v>
      </c>
      <c r="I123">
        <f>VLOOKUP(A123,NYSEARCAVNQ!A$2:G$506,7,0)</f>
        <v>0</v>
      </c>
      <c r="J123">
        <f>VLOOKUP(A123,NYSEARCARWX!A$2:G$506,7,0)</f>
        <v>0</v>
      </c>
      <c r="K123">
        <f>VLOOKUP(A123,NYSEARCADBC!A$2:G$506,7,0)</f>
        <v>0</v>
      </c>
      <c r="L123">
        <f>VLOOKUP(A123,NYSEARCAGSG!A$2:G$506,7,0)</f>
        <v>0</v>
      </c>
      <c r="M123">
        <f>VLOOKUP(A123,NYSEARCAGLD!A$2:G$506,7,0)</f>
        <v>0</v>
      </c>
      <c r="N123">
        <f>VLOOKUP(A123,NYSEBP!A$2:G$506,7,0)</f>
        <v>0</v>
      </c>
      <c r="O123">
        <f>VLOOKUP(A123,NASDAQYHOO!A$2:G$506,7,0)</f>
        <v>0</v>
      </c>
    </row>
    <row r="124" spans="1:15">
      <c r="A124" s="39">
        <v>42320</v>
      </c>
      <c r="C124">
        <f>VLOOKUP(A124,NYSEARCAVTI!A$2:G$506,7,0)</f>
        <v>0</v>
      </c>
      <c r="D124">
        <f>VLOOKUP(A124,NYSEARCAVEU!A$2:G$506,7,0)</f>
        <v>0</v>
      </c>
      <c r="E124">
        <f>VLOOKUP(A124,NYSEARCAVWO!A$2:G$506,7,0)</f>
        <v>0</v>
      </c>
      <c r="F124">
        <f>VLOOKUP(A124,NYSEARCABND!A$2:G$506,7,0)</f>
        <v>0</v>
      </c>
      <c r="G124">
        <f>VLOOKUP(A124,NYSEARCATIP!A$2:G$506,7,0)</f>
        <v>0</v>
      </c>
      <c r="H124">
        <f>VLOOKUP(A124,NYSEARCAMUB!A$2:G$506,7,0)</f>
        <v>0</v>
      </c>
      <c r="I124">
        <f>VLOOKUP(A124,NYSEARCAVNQ!A$2:G$506,7,0)</f>
        <v>0</v>
      </c>
      <c r="J124">
        <f>VLOOKUP(A124,NYSEARCARWX!A$2:G$506,7,0)</f>
        <v>0</v>
      </c>
      <c r="K124">
        <f>VLOOKUP(A124,NYSEARCADBC!A$2:G$506,7,0)</f>
        <v>0</v>
      </c>
      <c r="L124">
        <f>VLOOKUP(A124,NYSEARCAGSG!A$2:G$506,7,0)</f>
        <v>0</v>
      </c>
      <c r="M124">
        <f>VLOOKUP(A124,NYSEARCAGLD!A$2:G$506,7,0)</f>
        <v>0</v>
      </c>
      <c r="N124">
        <f>VLOOKUP(A124,NYSEBP!A$2:G$506,7,0)</f>
        <v>0</v>
      </c>
      <c r="O124">
        <f>VLOOKUP(A124,NASDAQYHOO!A$2:G$506,7,0)</f>
        <v>0</v>
      </c>
    </row>
    <row r="125" spans="1:15">
      <c r="A125" s="39">
        <v>42321</v>
      </c>
      <c r="C125">
        <f>VLOOKUP(A125,NYSEARCAVTI!A$2:G$506,7,0)</f>
        <v>0</v>
      </c>
      <c r="D125">
        <f>VLOOKUP(A125,NYSEARCAVEU!A$2:G$506,7,0)</f>
        <v>0</v>
      </c>
      <c r="E125">
        <f>VLOOKUP(A125,NYSEARCAVWO!A$2:G$506,7,0)</f>
        <v>0</v>
      </c>
      <c r="F125">
        <f>VLOOKUP(A125,NYSEARCABND!A$2:G$506,7,0)</f>
        <v>0</v>
      </c>
      <c r="G125">
        <f>VLOOKUP(A125,NYSEARCATIP!A$2:G$506,7,0)</f>
        <v>0</v>
      </c>
      <c r="H125">
        <f>VLOOKUP(A125,NYSEARCAMUB!A$2:G$506,7,0)</f>
        <v>0</v>
      </c>
      <c r="I125">
        <f>VLOOKUP(A125,NYSEARCAVNQ!A$2:G$506,7,0)</f>
        <v>0</v>
      </c>
      <c r="J125">
        <f>VLOOKUP(A125,NYSEARCARWX!A$2:G$506,7,0)</f>
        <v>0</v>
      </c>
      <c r="K125">
        <f>VLOOKUP(A125,NYSEARCADBC!A$2:G$506,7,0)</f>
        <v>0</v>
      </c>
      <c r="L125">
        <f>VLOOKUP(A125,NYSEARCAGSG!A$2:G$506,7,0)</f>
        <v>0</v>
      </c>
      <c r="M125">
        <f>VLOOKUP(A125,NYSEARCAGLD!A$2:G$506,7,0)</f>
        <v>0</v>
      </c>
      <c r="N125">
        <f>VLOOKUP(A125,NYSEBP!A$2:G$506,7,0)</f>
        <v>0</v>
      </c>
      <c r="O125">
        <f>VLOOKUP(A125,NASDAQYHOO!A$2:G$506,7,0)</f>
        <v>0</v>
      </c>
    </row>
    <row r="126" spans="1:15">
      <c r="A126" s="39">
        <v>42324</v>
      </c>
      <c r="C126">
        <f>VLOOKUP(A126,NYSEARCAVTI!A$2:G$506,7,0)</f>
        <v>0</v>
      </c>
      <c r="D126">
        <f>VLOOKUP(A126,NYSEARCAVEU!A$2:G$506,7,0)</f>
        <v>0</v>
      </c>
      <c r="E126">
        <f>VLOOKUP(A126,NYSEARCAVWO!A$2:G$506,7,0)</f>
        <v>0</v>
      </c>
      <c r="F126">
        <f>VLOOKUP(A126,NYSEARCABND!A$2:G$506,7,0)</f>
        <v>0</v>
      </c>
      <c r="G126">
        <f>VLOOKUP(A126,NYSEARCATIP!A$2:G$506,7,0)</f>
        <v>0</v>
      </c>
      <c r="H126">
        <f>VLOOKUP(A126,NYSEARCAMUB!A$2:G$506,7,0)</f>
        <v>0</v>
      </c>
      <c r="I126">
        <f>VLOOKUP(A126,NYSEARCAVNQ!A$2:G$506,7,0)</f>
        <v>0</v>
      </c>
      <c r="J126">
        <f>VLOOKUP(A126,NYSEARCARWX!A$2:G$506,7,0)</f>
        <v>0</v>
      </c>
      <c r="K126">
        <f>VLOOKUP(A126,NYSEARCADBC!A$2:G$506,7,0)</f>
        <v>0</v>
      </c>
      <c r="L126">
        <f>VLOOKUP(A126,NYSEARCAGSG!A$2:G$506,7,0)</f>
        <v>0</v>
      </c>
      <c r="M126">
        <f>VLOOKUP(A126,NYSEARCAGLD!A$2:G$506,7,0)</f>
        <v>0</v>
      </c>
      <c r="N126">
        <f>VLOOKUP(A126,NYSEBP!A$2:G$506,7,0)</f>
        <v>0</v>
      </c>
      <c r="O126">
        <f>VLOOKUP(A126,NASDAQYHOO!A$2:G$506,7,0)</f>
        <v>0</v>
      </c>
    </row>
    <row r="127" spans="1:15">
      <c r="A127" s="39">
        <v>42325</v>
      </c>
      <c r="C127">
        <f>VLOOKUP(A127,NYSEARCAVTI!A$2:G$506,7,0)</f>
        <v>0</v>
      </c>
      <c r="D127">
        <f>VLOOKUP(A127,NYSEARCAVEU!A$2:G$506,7,0)</f>
        <v>0</v>
      </c>
      <c r="E127">
        <f>VLOOKUP(A127,NYSEARCAVWO!A$2:G$506,7,0)</f>
        <v>0</v>
      </c>
      <c r="F127">
        <f>VLOOKUP(A127,NYSEARCABND!A$2:G$506,7,0)</f>
        <v>0</v>
      </c>
      <c r="G127">
        <f>VLOOKUP(A127,NYSEARCATIP!A$2:G$506,7,0)</f>
        <v>0</v>
      </c>
      <c r="H127">
        <f>VLOOKUP(A127,NYSEARCAMUB!A$2:G$506,7,0)</f>
        <v>0</v>
      </c>
      <c r="I127">
        <f>VLOOKUP(A127,NYSEARCAVNQ!A$2:G$506,7,0)</f>
        <v>0</v>
      </c>
      <c r="J127">
        <f>VLOOKUP(A127,NYSEARCARWX!A$2:G$506,7,0)</f>
        <v>0</v>
      </c>
      <c r="K127">
        <f>VLOOKUP(A127,NYSEARCADBC!A$2:G$506,7,0)</f>
        <v>0</v>
      </c>
      <c r="L127">
        <f>VLOOKUP(A127,NYSEARCAGSG!A$2:G$506,7,0)</f>
        <v>0</v>
      </c>
      <c r="M127">
        <f>VLOOKUP(A127,NYSEARCAGLD!A$2:G$506,7,0)</f>
        <v>0</v>
      </c>
      <c r="N127">
        <f>VLOOKUP(A127,NYSEBP!A$2:G$506,7,0)</f>
        <v>0</v>
      </c>
      <c r="O127">
        <f>VLOOKUP(A127,NASDAQYHOO!A$2:G$506,7,0)</f>
        <v>0</v>
      </c>
    </row>
    <row r="128" spans="1:15">
      <c r="A128" s="39">
        <v>42326</v>
      </c>
      <c r="C128">
        <f>VLOOKUP(A128,NYSEARCAVTI!A$2:G$506,7,0)</f>
        <v>0</v>
      </c>
      <c r="D128">
        <f>VLOOKUP(A128,NYSEARCAVEU!A$2:G$506,7,0)</f>
        <v>0</v>
      </c>
      <c r="E128">
        <f>VLOOKUP(A128,NYSEARCAVWO!A$2:G$506,7,0)</f>
        <v>0</v>
      </c>
      <c r="F128">
        <f>VLOOKUP(A128,NYSEARCABND!A$2:G$506,7,0)</f>
        <v>0</v>
      </c>
      <c r="G128">
        <f>VLOOKUP(A128,NYSEARCATIP!A$2:G$506,7,0)</f>
        <v>0</v>
      </c>
      <c r="H128">
        <f>VLOOKUP(A128,NYSEARCAMUB!A$2:G$506,7,0)</f>
        <v>0</v>
      </c>
      <c r="I128">
        <f>VLOOKUP(A128,NYSEARCAVNQ!A$2:G$506,7,0)</f>
        <v>0</v>
      </c>
      <c r="J128">
        <f>VLOOKUP(A128,NYSEARCARWX!A$2:G$506,7,0)</f>
        <v>0</v>
      </c>
      <c r="K128">
        <f>VLOOKUP(A128,NYSEARCADBC!A$2:G$506,7,0)</f>
        <v>0</v>
      </c>
      <c r="L128">
        <f>VLOOKUP(A128,NYSEARCAGSG!A$2:G$506,7,0)</f>
        <v>0</v>
      </c>
      <c r="M128">
        <f>VLOOKUP(A128,NYSEARCAGLD!A$2:G$506,7,0)</f>
        <v>0</v>
      </c>
      <c r="N128">
        <f>VLOOKUP(A128,NYSEBP!A$2:G$506,7,0)</f>
        <v>0</v>
      </c>
      <c r="O128">
        <f>VLOOKUP(A128,NASDAQYHOO!A$2:G$506,7,0)</f>
        <v>0</v>
      </c>
    </row>
    <row r="129" spans="1:15">
      <c r="A129" s="39">
        <v>42327</v>
      </c>
      <c r="C129">
        <f>VLOOKUP(A129,NYSEARCAVTI!A$2:G$506,7,0)</f>
        <v>0</v>
      </c>
      <c r="D129">
        <f>VLOOKUP(A129,NYSEARCAVEU!A$2:G$506,7,0)</f>
        <v>0</v>
      </c>
      <c r="E129">
        <f>VLOOKUP(A129,NYSEARCAVWO!A$2:G$506,7,0)</f>
        <v>0</v>
      </c>
      <c r="F129">
        <f>VLOOKUP(A129,NYSEARCABND!A$2:G$506,7,0)</f>
        <v>0</v>
      </c>
      <c r="G129">
        <f>VLOOKUP(A129,NYSEARCATIP!A$2:G$506,7,0)</f>
        <v>0</v>
      </c>
      <c r="H129">
        <f>VLOOKUP(A129,NYSEARCAMUB!A$2:G$506,7,0)</f>
        <v>0</v>
      </c>
      <c r="I129">
        <f>VLOOKUP(A129,NYSEARCAVNQ!A$2:G$506,7,0)</f>
        <v>0</v>
      </c>
      <c r="J129">
        <f>VLOOKUP(A129,NYSEARCARWX!A$2:G$506,7,0)</f>
        <v>0</v>
      </c>
      <c r="K129">
        <f>VLOOKUP(A129,NYSEARCADBC!A$2:G$506,7,0)</f>
        <v>0</v>
      </c>
      <c r="L129">
        <f>VLOOKUP(A129,NYSEARCAGSG!A$2:G$506,7,0)</f>
        <v>0</v>
      </c>
      <c r="M129">
        <f>VLOOKUP(A129,NYSEARCAGLD!A$2:G$506,7,0)</f>
        <v>0</v>
      </c>
      <c r="N129">
        <f>VLOOKUP(A129,NYSEBP!A$2:G$506,7,0)</f>
        <v>0</v>
      </c>
      <c r="O129">
        <f>VLOOKUP(A129,NASDAQYHOO!A$2:G$506,7,0)</f>
        <v>0</v>
      </c>
    </row>
    <row r="130" spans="1:15">
      <c r="A130" s="39">
        <v>42328</v>
      </c>
      <c r="C130">
        <f>VLOOKUP(A130,NYSEARCAVTI!A$2:G$506,7,0)</f>
        <v>0</v>
      </c>
      <c r="D130">
        <f>VLOOKUP(A130,NYSEARCAVEU!A$2:G$506,7,0)</f>
        <v>0</v>
      </c>
      <c r="E130">
        <f>VLOOKUP(A130,NYSEARCAVWO!A$2:G$506,7,0)</f>
        <v>0</v>
      </c>
      <c r="F130">
        <f>VLOOKUP(A130,NYSEARCABND!A$2:G$506,7,0)</f>
        <v>0</v>
      </c>
      <c r="G130">
        <f>VLOOKUP(A130,NYSEARCATIP!A$2:G$506,7,0)</f>
        <v>0</v>
      </c>
      <c r="H130">
        <f>VLOOKUP(A130,NYSEARCAMUB!A$2:G$506,7,0)</f>
        <v>0</v>
      </c>
      <c r="I130">
        <f>VLOOKUP(A130,NYSEARCAVNQ!A$2:G$506,7,0)</f>
        <v>0</v>
      </c>
      <c r="J130">
        <f>VLOOKUP(A130,NYSEARCARWX!A$2:G$506,7,0)</f>
        <v>0</v>
      </c>
      <c r="K130">
        <f>VLOOKUP(A130,NYSEARCADBC!A$2:G$506,7,0)</f>
        <v>0</v>
      </c>
      <c r="L130">
        <f>VLOOKUP(A130,NYSEARCAGSG!A$2:G$506,7,0)</f>
        <v>0</v>
      </c>
      <c r="M130">
        <f>VLOOKUP(A130,NYSEARCAGLD!A$2:G$506,7,0)</f>
        <v>0</v>
      </c>
      <c r="N130">
        <f>VLOOKUP(A130,NYSEBP!A$2:G$506,7,0)</f>
        <v>0</v>
      </c>
      <c r="O130">
        <f>VLOOKUP(A130,NASDAQYHOO!A$2:G$506,7,0)</f>
        <v>0</v>
      </c>
    </row>
    <row r="131" spans="1:15">
      <c r="A131" s="39">
        <v>42331</v>
      </c>
      <c r="C131">
        <f>VLOOKUP(A131,NYSEARCAVTI!A$2:G$506,7,0)</f>
        <v>0</v>
      </c>
      <c r="D131">
        <f>VLOOKUP(A131,NYSEARCAVEU!A$2:G$506,7,0)</f>
        <v>0</v>
      </c>
      <c r="E131">
        <f>VLOOKUP(A131,NYSEARCAVWO!A$2:G$506,7,0)</f>
        <v>0</v>
      </c>
      <c r="F131">
        <f>VLOOKUP(A131,NYSEARCABND!A$2:G$506,7,0)</f>
        <v>0</v>
      </c>
      <c r="G131">
        <f>VLOOKUP(A131,NYSEARCATIP!A$2:G$506,7,0)</f>
        <v>0</v>
      </c>
      <c r="H131">
        <f>VLOOKUP(A131,NYSEARCAMUB!A$2:G$506,7,0)</f>
        <v>0</v>
      </c>
      <c r="I131">
        <f>VLOOKUP(A131,NYSEARCAVNQ!A$2:G$506,7,0)</f>
        <v>0</v>
      </c>
      <c r="J131">
        <f>VLOOKUP(A131,NYSEARCARWX!A$2:G$506,7,0)</f>
        <v>0</v>
      </c>
      <c r="K131">
        <f>VLOOKUP(A131,NYSEARCADBC!A$2:G$506,7,0)</f>
        <v>0</v>
      </c>
      <c r="L131">
        <f>VLOOKUP(A131,NYSEARCAGSG!A$2:G$506,7,0)</f>
        <v>0</v>
      </c>
      <c r="M131">
        <f>VLOOKUP(A131,NYSEARCAGLD!A$2:G$506,7,0)</f>
        <v>0</v>
      </c>
      <c r="N131">
        <f>VLOOKUP(A131,NYSEBP!A$2:G$506,7,0)</f>
        <v>0</v>
      </c>
      <c r="O131">
        <f>VLOOKUP(A131,NASDAQYHOO!A$2:G$506,7,0)</f>
        <v>0</v>
      </c>
    </row>
    <row r="132" spans="1:15">
      <c r="A132" s="39">
        <v>42332</v>
      </c>
      <c r="C132">
        <f>VLOOKUP(A132,NYSEARCAVTI!A$2:G$506,7,0)</f>
        <v>0</v>
      </c>
      <c r="D132">
        <f>VLOOKUP(A132,NYSEARCAVEU!A$2:G$506,7,0)</f>
        <v>0</v>
      </c>
      <c r="E132">
        <f>VLOOKUP(A132,NYSEARCAVWO!A$2:G$506,7,0)</f>
        <v>0</v>
      </c>
      <c r="F132">
        <f>VLOOKUP(A132,NYSEARCABND!A$2:G$506,7,0)</f>
        <v>0</v>
      </c>
      <c r="G132">
        <f>VLOOKUP(A132,NYSEARCATIP!A$2:G$506,7,0)</f>
        <v>0</v>
      </c>
      <c r="H132">
        <f>VLOOKUP(A132,NYSEARCAMUB!A$2:G$506,7,0)</f>
        <v>0</v>
      </c>
      <c r="I132">
        <f>VLOOKUP(A132,NYSEARCAVNQ!A$2:G$506,7,0)</f>
        <v>0</v>
      </c>
      <c r="J132">
        <f>VLOOKUP(A132,NYSEARCARWX!A$2:G$506,7,0)</f>
        <v>0</v>
      </c>
      <c r="K132">
        <f>VLOOKUP(A132,NYSEARCADBC!A$2:G$506,7,0)</f>
        <v>0</v>
      </c>
      <c r="L132">
        <f>VLOOKUP(A132,NYSEARCAGSG!A$2:G$506,7,0)</f>
        <v>0</v>
      </c>
      <c r="M132">
        <f>VLOOKUP(A132,NYSEARCAGLD!A$2:G$506,7,0)</f>
        <v>0</v>
      </c>
      <c r="N132">
        <f>VLOOKUP(A132,NYSEBP!A$2:G$506,7,0)</f>
        <v>0</v>
      </c>
      <c r="O132">
        <f>VLOOKUP(A132,NASDAQYHOO!A$2:G$506,7,0)</f>
        <v>0</v>
      </c>
    </row>
    <row r="133" spans="1:15">
      <c r="A133" s="39">
        <v>42333</v>
      </c>
      <c r="C133">
        <f>VLOOKUP(A133,NYSEARCAVTI!A$2:G$506,7,0)</f>
        <v>0</v>
      </c>
      <c r="D133">
        <f>VLOOKUP(A133,NYSEARCAVEU!A$2:G$506,7,0)</f>
        <v>0</v>
      </c>
      <c r="E133">
        <f>VLOOKUP(A133,NYSEARCAVWO!A$2:G$506,7,0)</f>
        <v>0</v>
      </c>
      <c r="F133">
        <f>VLOOKUP(A133,NYSEARCABND!A$2:G$506,7,0)</f>
        <v>0</v>
      </c>
      <c r="G133">
        <f>VLOOKUP(A133,NYSEARCATIP!A$2:G$506,7,0)</f>
        <v>0</v>
      </c>
      <c r="H133">
        <f>VLOOKUP(A133,NYSEARCAMUB!A$2:G$506,7,0)</f>
        <v>0</v>
      </c>
      <c r="I133">
        <f>VLOOKUP(A133,NYSEARCAVNQ!A$2:G$506,7,0)</f>
        <v>0</v>
      </c>
      <c r="J133">
        <f>VLOOKUP(A133,NYSEARCARWX!A$2:G$506,7,0)</f>
        <v>0</v>
      </c>
      <c r="K133">
        <f>VLOOKUP(A133,NYSEARCADBC!A$2:G$506,7,0)</f>
        <v>0</v>
      </c>
      <c r="L133">
        <f>VLOOKUP(A133,NYSEARCAGSG!A$2:G$506,7,0)</f>
        <v>0</v>
      </c>
      <c r="M133">
        <f>VLOOKUP(A133,NYSEARCAGLD!A$2:G$506,7,0)</f>
        <v>0</v>
      </c>
      <c r="N133">
        <f>VLOOKUP(A133,NYSEBP!A$2:G$506,7,0)</f>
        <v>0</v>
      </c>
      <c r="O133">
        <f>VLOOKUP(A133,NASDAQYHOO!A$2:G$506,7,0)</f>
        <v>0</v>
      </c>
    </row>
    <row r="134" spans="1:15">
      <c r="A134" s="39">
        <v>42335</v>
      </c>
      <c r="C134">
        <f>VLOOKUP(A134,NYSEARCAVTI!A$2:G$506,7,0)</f>
        <v>0</v>
      </c>
      <c r="D134">
        <f>VLOOKUP(A134,NYSEARCAVEU!A$2:G$506,7,0)</f>
        <v>0</v>
      </c>
      <c r="E134">
        <f>VLOOKUP(A134,NYSEARCAVWO!A$2:G$506,7,0)</f>
        <v>0</v>
      </c>
      <c r="F134">
        <f>VLOOKUP(A134,NYSEARCABND!A$2:G$506,7,0)</f>
        <v>0</v>
      </c>
      <c r="G134">
        <f>VLOOKUP(A134,NYSEARCATIP!A$2:G$506,7,0)</f>
        <v>0</v>
      </c>
      <c r="H134">
        <f>VLOOKUP(A134,NYSEARCAMUB!A$2:G$506,7,0)</f>
        <v>0</v>
      </c>
      <c r="I134">
        <f>VLOOKUP(A134,NYSEARCAVNQ!A$2:G$506,7,0)</f>
        <v>0</v>
      </c>
      <c r="J134">
        <f>VLOOKUP(A134,NYSEARCARWX!A$2:G$506,7,0)</f>
        <v>0</v>
      </c>
      <c r="K134">
        <f>VLOOKUP(A134,NYSEARCADBC!A$2:G$506,7,0)</f>
        <v>0</v>
      </c>
      <c r="L134">
        <f>VLOOKUP(A134,NYSEARCAGSG!A$2:G$506,7,0)</f>
        <v>0</v>
      </c>
      <c r="M134">
        <f>VLOOKUP(A134,NYSEARCAGLD!A$2:G$506,7,0)</f>
        <v>0</v>
      </c>
      <c r="N134">
        <f>VLOOKUP(A134,NYSEBP!A$2:G$506,7,0)</f>
        <v>0</v>
      </c>
      <c r="O134">
        <f>VLOOKUP(A134,NASDAQYHOO!A$2:G$506,7,0)</f>
        <v>0</v>
      </c>
    </row>
    <row r="135" spans="1:15">
      <c r="A135" s="39">
        <v>42338</v>
      </c>
      <c r="C135">
        <f>VLOOKUP(A135,NYSEARCAVTI!A$2:G$506,7,0)</f>
        <v>0</v>
      </c>
      <c r="D135">
        <f>VLOOKUP(A135,NYSEARCAVEU!A$2:G$506,7,0)</f>
        <v>0</v>
      </c>
      <c r="E135">
        <f>VLOOKUP(A135,NYSEARCAVWO!A$2:G$506,7,0)</f>
        <v>0</v>
      </c>
      <c r="F135">
        <f>VLOOKUP(A135,NYSEARCABND!A$2:G$506,7,0)</f>
        <v>0</v>
      </c>
      <c r="G135">
        <f>VLOOKUP(A135,NYSEARCATIP!A$2:G$506,7,0)</f>
        <v>0</v>
      </c>
      <c r="H135">
        <f>VLOOKUP(A135,NYSEARCAMUB!A$2:G$506,7,0)</f>
        <v>0</v>
      </c>
      <c r="I135">
        <f>VLOOKUP(A135,NYSEARCAVNQ!A$2:G$506,7,0)</f>
        <v>0</v>
      </c>
      <c r="J135">
        <f>VLOOKUP(A135,NYSEARCARWX!A$2:G$506,7,0)</f>
        <v>0</v>
      </c>
      <c r="K135">
        <f>VLOOKUP(A135,NYSEARCADBC!A$2:G$506,7,0)</f>
        <v>0</v>
      </c>
      <c r="L135">
        <f>VLOOKUP(A135,NYSEARCAGSG!A$2:G$506,7,0)</f>
        <v>0</v>
      </c>
      <c r="M135">
        <f>VLOOKUP(A135,NYSEARCAGLD!A$2:G$506,7,0)</f>
        <v>0</v>
      </c>
      <c r="N135">
        <f>VLOOKUP(A135,NYSEBP!A$2:G$506,7,0)</f>
        <v>0</v>
      </c>
      <c r="O135">
        <f>VLOOKUP(A135,NASDAQYHOO!A$2:G$506,7,0)</f>
        <v>0</v>
      </c>
    </row>
    <row r="136" spans="1:15">
      <c r="A136" s="39">
        <v>42339</v>
      </c>
      <c r="C136">
        <f>VLOOKUP(A136,NYSEARCAVTI!A$2:G$506,7,0)</f>
        <v>0</v>
      </c>
      <c r="D136">
        <f>VLOOKUP(A136,NYSEARCAVEU!A$2:G$506,7,0)</f>
        <v>0</v>
      </c>
      <c r="E136">
        <f>VLOOKUP(A136,NYSEARCAVWO!A$2:G$506,7,0)</f>
        <v>0</v>
      </c>
      <c r="F136">
        <f>VLOOKUP(A136,NYSEARCABND!A$2:G$506,7,0)</f>
        <v>0</v>
      </c>
      <c r="G136">
        <f>VLOOKUP(A136,NYSEARCATIP!A$2:G$506,7,0)</f>
        <v>0</v>
      </c>
      <c r="H136">
        <f>VLOOKUP(A136,NYSEARCAMUB!A$2:G$506,7,0)</f>
        <v>0</v>
      </c>
      <c r="I136">
        <f>VLOOKUP(A136,NYSEARCAVNQ!A$2:G$506,7,0)</f>
        <v>0</v>
      </c>
      <c r="J136">
        <f>VLOOKUP(A136,NYSEARCARWX!A$2:G$506,7,0)</f>
        <v>0</v>
      </c>
      <c r="K136">
        <f>VLOOKUP(A136,NYSEARCADBC!A$2:G$506,7,0)</f>
        <v>0</v>
      </c>
      <c r="L136">
        <f>VLOOKUP(A136,NYSEARCAGSG!A$2:G$506,7,0)</f>
        <v>0</v>
      </c>
      <c r="M136">
        <f>VLOOKUP(A136,NYSEARCAGLD!A$2:G$506,7,0)</f>
        <v>0</v>
      </c>
      <c r="N136">
        <f>VLOOKUP(A136,NYSEBP!A$2:G$506,7,0)</f>
        <v>0</v>
      </c>
      <c r="O136">
        <f>VLOOKUP(A136,NASDAQYHOO!A$2:G$506,7,0)</f>
        <v>0</v>
      </c>
    </row>
    <row r="137" spans="1:15">
      <c r="A137" s="39">
        <v>42340</v>
      </c>
      <c r="C137">
        <f>VLOOKUP(A137,NYSEARCAVTI!A$2:G$506,7,0)</f>
        <v>0</v>
      </c>
      <c r="D137">
        <f>VLOOKUP(A137,NYSEARCAVEU!A$2:G$506,7,0)</f>
        <v>0</v>
      </c>
      <c r="E137">
        <f>VLOOKUP(A137,NYSEARCAVWO!A$2:G$506,7,0)</f>
        <v>0</v>
      </c>
      <c r="F137">
        <f>VLOOKUP(A137,NYSEARCABND!A$2:G$506,7,0)</f>
        <v>0</v>
      </c>
      <c r="G137">
        <f>VLOOKUP(A137,NYSEARCATIP!A$2:G$506,7,0)</f>
        <v>0</v>
      </c>
      <c r="H137">
        <f>VLOOKUP(A137,NYSEARCAMUB!A$2:G$506,7,0)</f>
        <v>0</v>
      </c>
      <c r="I137">
        <f>VLOOKUP(A137,NYSEARCAVNQ!A$2:G$506,7,0)</f>
        <v>0</v>
      </c>
      <c r="J137">
        <f>VLOOKUP(A137,NYSEARCARWX!A$2:G$506,7,0)</f>
        <v>0</v>
      </c>
      <c r="K137">
        <f>VLOOKUP(A137,NYSEARCADBC!A$2:G$506,7,0)</f>
        <v>0</v>
      </c>
      <c r="L137">
        <f>VLOOKUP(A137,NYSEARCAGSG!A$2:G$506,7,0)</f>
        <v>0</v>
      </c>
      <c r="M137">
        <f>VLOOKUP(A137,NYSEARCAGLD!A$2:G$506,7,0)</f>
        <v>0</v>
      </c>
      <c r="N137">
        <f>VLOOKUP(A137,NYSEBP!A$2:G$506,7,0)</f>
        <v>0</v>
      </c>
      <c r="O137">
        <f>VLOOKUP(A137,NASDAQYHOO!A$2:G$506,7,0)</f>
        <v>0</v>
      </c>
    </row>
    <row r="138" spans="1:15">
      <c r="A138" s="39">
        <v>42341</v>
      </c>
      <c r="C138">
        <f>VLOOKUP(A138,NYSEARCAVTI!A$2:G$506,7,0)</f>
        <v>0</v>
      </c>
      <c r="D138">
        <f>VLOOKUP(A138,NYSEARCAVEU!A$2:G$506,7,0)</f>
        <v>0</v>
      </c>
      <c r="E138">
        <f>VLOOKUP(A138,NYSEARCAVWO!A$2:G$506,7,0)</f>
        <v>0</v>
      </c>
      <c r="F138">
        <f>VLOOKUP(A138,NYSEARCABND!A$2:G$506,7,0)</f>
        <v>0</v>
      </c>
      <c r="G138">
        <f>VLOOKUP(A138,NYSEARCATIP!A$2:G$506,7,0)</f>
        <v>0</v>
      </c>
      <c r="H138">
        <f>VLOOKUP(A138,NYSEARCAMUB!A$2:G$506,7,0)</f>
        <v>0</v>
      </c>
      <c r="I138">
        <f>VLOOKUP(A138,NYSEARCAVNQ!A$2:G$506,7,0)</f>
        <v>0</v>
      </c>
      <c r="J138">
        <f>VLOOKUP(A138,NYSEARCARWX!A$2:G$506,7,0)</f>
        <v>0</v>
      </c>
      <c r="K138">
        <f>VLOOKUP(A138,NYSEARCADBC!A$2:G$506,7,0)</f>
        <v>0</v>
      </c>
      <c r="L138">
        <f>VLOOKUP(A138,NYSEARCAGSG!A$2:G$506,7,0)</f>
        <v>0</v>
      </c>
      <c r="M138">
        <f>VLOOKUP(A138,NYSEARCAGLD!A$2:G$506,7,0)</f>
        <v>0</v>
      </c>
      <c r="N138">
        <f>VLOOKUP(A138,NYSEBP!A$2:G$506,7,0)</f>
        <v>0</v>
      </c>
      <c r="O138">
        <f>VLOOKUP(A138,NASDAQYHOO!A$2:G$506,7,0)</f>
        <v>0</v>
      </c>
    </row>
    <row r="139" spans="1:15">
      <c r="A139" s="39">
        <v>42342</v>
      </c>
      <c r="C139">
        <f>VLOOKUP(A139,NYSEARCAVTI!A$2:G$506,7,0)</f>
        <v>0</v>
      </c>
      <c r="D139">
        <f>VLOOKUP(A139,NYSEARCAVEU!A$2:G$506,7,0)</f>
        <v>0</v>
      </c>
      <c r="E139">
        <f>VLOOKUP(A139,NYSEARCAVWO!A$2:G$506,7,0)</f>
        <v>0</v>
      </c>
      <c r="F139">
        <f>VLOOKUP(A139,NYSEARCABND!A$2:G$506,7,0)</f>
        <v>0</v>
      </c>
      <c r="G139">
        <f>VLOOKUP(A139,NYSEARCATIP!A$2:G$506,7,0)</f>
        <v>0</v>
      </c>
      <c r="H139">
        <f>VLOOKUP(A139,NYSEARCAMUB!A$2:G$506,7,0)</f>
        <v>0</v>
      </c>
      <c r="I139">
        <f>VLOOKUP(A139,NYSEARCAVNQ!A$2:G$506,7,0)</f>
        <v>0</v>
      </c>
      <c r="J139">
        <f>VLOOKUP(A139,NYSEARCARWX!A$2:G$506,7,0)</f>
        <v>0</v>
      </c>
      <c r="K139">
        <f>VLOOKUP(A139,NYSEARCADBC!A$2:G$506,7,0)</f>
        <v>0</v>
      </c>
      <c r="L139">
        <f>VLOOKUP(A139,NYSEARCAGSG!A$2:G$506,7,0)</f>
        <v>0</v>
      </c>
      <c r="M139">
        <f>VLOOKUP(A139,NYSEARCAGLD!A$2:G$506,7,0)</f>
        <v>0</v>
      </c>
      <c r="N139">
        <f>VLOOKUP(A139,NYSEBP!A$2:G$506,7,0)</f>
        <v>0</v>
      </c>
      <c r="O139">
        <f>VLOOKUP(A139,NASDAQYHOO!A$2:G$506,7,0)</f>
        <v>0</v>
      </c>
    </row>
    <row r="140" spans="1:15">
      <c r="A140" s="39">
        <v>42345</v>
      </c>
      <c r="C140">
        <f>VLOOKUP(A140,NYSEARCAVTI!A$2:G$506,7,0)</f>
        <v>0</v>
      </c>
      <c r="D140">
        <f>VLOOKUP(A140,NYSEARCAVEU!A$2:G$506,7,0)</f>
        <v>0</v>
      </c>
      <c r="E140">
        <f>VLOOKUP(A140,NYSEARCAVWO!A$2:G$506,7,0)</f>
        <v>0</v>
      </c>
      <c r="F140">
        <f>VLOOKUP(A140,NYSEARCABND!A$2:G$506,7,0)</f>
        <v>0</v>
      </c>
      <c r="G140">
        <f>VLOOKUP(A140,NYSEARCATIP!A$2:G$506,7,0)</f>
        <v>0</v>
      </c>
      <c r="H140">
        <f>VLOOKUP(A140,NYSEARCAMUB!A$2:G$506,7,0)</f>
        <v>0</v>
      </c>
      <c r="I140">
        <f>VLOOKUP(A140,NYSEARCAVNQ!A$2:G$506,7,0)</f>
        <v>0</v>
      </c>
      <c r="J140">
        <f>VLOOKUP(A140,NYSEARCARWX!A$2:G$506,7,0)</f>
        <v>0</v>
      </c>
      <c r="K140">
        <f>VLOOKUP(A140,NYSEARCADBC!A$2:G$506,7,0)</f>
        <v>0</v>
      </c>
      <c r="L140">
        <f>VLOOKUP(A140,NYSEARCAGSG!A$2:G$506,7,0)</f>
        <v>0</v>
      </c>
      <c r="M140">
        <f>VLOOKUP(A140,NYSEARCAGLD!A$2:G$506,7,0)</f>
        <v>0</v>
      </c>
      <c r="N140">
        <f>VLOOKUP(A140,NYSEBP!A$2:G$506,7,0)</f>
        <v>0</v>
      </c>
      <c r="O140">
        <f>VLOOKUP(A140,NASDAQYHOO!A$2:G$506,7,0)</f>
        <v>0</v>
      </c>
    </row>
    <row r="141" spans="1:15">
      <c r="A141" s="39">
        <v>42346</v>
      </c>
      <c r="C141">
        <f>VLOOKUP(A141,NYSEARCAVTI!A$2:G$506,7,0)</f>
        <v>0</v>
      </c>
      <c r="D141">
        <f>VLOOKUP(A141,NYSEARCAVEU!A$2:G$506,7,0)</f>
        <v>0</v>
      </c>
      <c r="E141">
        <f>VLOOKUP(A141,NYSEARCAVWO!A$2:G$506,7,0)</f>
        <v>0</v>
      </c>
      <c r="F141">
        <f>VLOOKUP(A141,NYSEARCABND!A$2:G$506,7,0)</f>
        <v>0</v>
      </c>
      <c r="G141">
        <f>VLOOKUP(A141,NYSEARCATIP!A$2:G$506,7,0)</f>
        <v>0</v>
      </c>
      <c r="H141">
        <f>VLOOKUP(A141,NYSEARCAMUB!A$2:G$506,7,0)</f>
        <v>0</v>
      </c>
      <c r="I141">
        <f>VLOOKUP(A141,NYSEARCAVNQ!A$2:G$506,7,0)</f>
        <v>0</v>
      </c>
      <c r="J141">
        <f>VLOOKUP(A141,NYSEARCARWX!A$2:G$506,7,0)</f>
        <v>0</v>
      </c>
      <c r="K141">
        <f>VLOOKUP(A141,NYSEARCADBC!A$2:G$506,7,0)</f>
        <v>0</v>
      </c>
      <c r="L141">
        <f>VLOOKUP(A141,NYSEARCAGSG!A$2:G$506,7,0)</f>
        <v>0</v>
      </c>
      <c r="M141">
        <f>VLOOKUP(A141,NYSEARCAGLD!A$2:G$506,7,0)</f>
        <v>0</v>
      </c>
      <c r="N141">
        <f>VLOOKUP(A141,NYSEBP!A$2:G$506,7,0)</f>
        <v>0</v>
      </c>
      <c r="O141">
        <f>VLOOKUP(A141,NASDAQYHOO!A$2:G$506,7,0)</f>
        <v>0</v>
      </c>
    </row>
    <row r="142" spans="1:15">
      <c r="A142" s="39">
        <v>42347</v>
      </c>
      <c r="C142">
        <f>VLOOKUP(A142,NYSEARCAVTI!A$2:G$506,7,0)</f>
        <v>0</v>
      </c>
      <c r="D142">
        <f>VLOOKUP(A142,NYSEARCAVEU!A$2:G$506,7,0)</f>
        <v>0</v>
      </c>
      <c r="E142">
        <f>VLOOKUP(A142,NYSEARCAVWO!A$2:G$506,7,0)</f>
        <v>0</v>
      </c>
      <c r="F142">
        <f>VLOOKUP(A142,NYSEARCABND!A$2:G$506,7,0)</f>
        <v>0</v>
      </c>
      <c r="G142">
        <f>VLOOKUP(A142,NYSEARCATIP!A$2:G$506,7,0)</f>
        <v>0</v>
      </c>
      <c r="H142">
        <f>VLOOKUP(A142,NYSEARCAMUB!A$2:G$506,7,0)</f>
        <v>0</v>
      </c>
      <c r="I142">
        <f>VLOOKUP(A142,NYSEARCAVNQ!A$2:G$506,7,0)</f>
        <v>0</v>
      </c>
      <c r="J142">
        <f>VLOOKUP(A142,NYSEARCARWX!A$2:G$506,7,0)</f>
        <v>0</v>
      </c>
      <c r="K142">
        <f>VLOOKUP(A142,NYSEARCADBC!A$2:G$506,7,0)</f>
        <v>0</v>
      </c>
      <c r="L142">
        <f>VLOOKUP(A142,NYSEARCAGSG!A$2:G$506,7,0)</f>
        <v>0</v>
      </c>
      <c r="M142">
        <f>VLOOKUP(A142,NYSEARCAGLD!A$2:G$506,7,0)</f>
        <v>0</v>
      </c>
      <c r="N142">
        <f>VLOOKUP(A142,NYSEBP!A$2:G$506,7,0)</f>
        <v>0</v>
      </c>
      <c r="O142">
        <f>VLOOKUP(A142,NASDAQYHOO!A$2:G$506,7,0)</f>
        <v>0</v>
      </c>
    </row>
    <row r="143" spans="1:15">
      <c r="A143" s="39">
        <v>42348</v>
      </c>
      <c r="C143">
        <f>VLOOKUP(A143,NYSEARCAVTI!A$2:G$506,7,0)</f>
        <v>0</v>
      </c>
      <c r="D143">
        <f>VLOOKUP(A143,NYSEARCAVEU!A$2:G$506,7,0)</f>
        <v>0</v>
      </c>
      <c r="E143">
        <f>VLOOKUP(A143,NYSEARCAVWO!A$2:G$506,7,0)</f>
        <v>0</v>
      </c>
      <c r="F143">
        <f>VLOOKUP(A143,NYSEARCABND!A$2:G$506,7,0)</f>
        <v>0</v>
      </c>
      <c r="G143">
        <f>VLOOKUP(A143,NYSEARCATIP!A$2:G$506,7,0)</f>
        <v>0</v>
      </c>
      <c r="H143">
        <f>VLOOKUP(A143,NYSEARCAMUB!A$2:G$506,7,0)</f>
        <v>0</v>
      </c>
      <c r="I143">
        <f>VLOOKUP(A143,NYSEARCAVNQ!A$2:G$506,7,0)</f>
        <v>0</v>
      </c>
      <c r="J143">
        <f>VLOOKUP(A143,NYSEARCARWX!A$2:G$506,7,0)</f>
        <v>0</v>
      </c>
      <c r="K143">
        <f>VLOOKUP(A143,NYSEARCADBC!A$2:G$506,7,0)</f>
        <v>0</v>
      </c>
      <c r="L143">
        <f>VLOOKUP(A143,NYSEARCAGSG!A$2:G$506,7,0)</f>
        <v>0</v>
      </c>
      <c r="M143">
        <f>VLOOKUP(A143,NYSEARCAGLD!A$2:G$506,7,0)</f>
        <v>0</v>
      </c>
      <c r="N143">
        <f>VLOOKUP(A143,NYSEBP!A$2:G$506,7,0)</f>
        <v>0</v>
      </c>
      <c r="O143">
        <f>VLOOKUP(A143,NASDAQYHOO!A$2:G$506,7,0)</f>
        <v>0</v>
      </c>
    </row>
    <row r="144" spans="1:15">
      <c r="A144" s="39">
        <v>42349</v>
      </c>
      <c r="C144">
        <f>VLOOKUP(A144,NYSEARCAVTI!A$2:G$506,7,0)</f>
        <v>0</v>
      </c>
      <c r="D144">
        <f>VLOOKUP(A144,NYSEARCAVEU!A$2:G$506,7,0)</f>
        <v>0</v>
      </c>
      <c r="E144">
        <f>VLOOKUP(A144,NYSEARCAVWO!A$2:G$506,7,0)</f>
        <v>0</v>
      </c>
      <c r="F144">
        <f>VLOOKUP(A144,NYSEARCABND!A$2:G$506,7,0)</f>
        <v>0</v>
      </c>
      <c r="G144">
        <f>VLOOKUP(A144,NYSEARCATIP!A$2:G$506,7,0)</f>
        <v>0</v>
      </c>
      <c r="H144">
        <f>VLOOKUP(A144,NYSEARCAMUB!A$2:G$506,7,0)</f>
        <v>0</v>
      </c>
      <c r="I144">
        <f>VLOOKUP(A144,NYSEARCAVNQ!A$2:G$506,7,0)</f>
        <v>0</v>
      </c>
      <c r="J144">
        <f>VLOOKUP(A144,NYSEARCARWX!A$2:G$506,7,0)</f>
        <v>0</v>
      </c>
      <c r="K144">
        <f>VLOOKUP(A144,NYSEARCADBC!A$2:G$506,7,0)</f>
        <v>0</v>
      </c>
      <c r="L144">
        <f>VLOOKUP(A144,NYSEARCAGSG!A$2:G$506,7,0)</f>
        <v>0</v>
      </c>
      <c r="M144">
        <f>VLOOKUP(A144,NYSEARCAGLD!A$2:G$506,7,0)</f>
        <v>0</v>
      </c>
      <c r="N144">
        <f>VLOOKUP(A144,NYSEBP!A$2:G$506,7,0)</f>
        <v>0</v>
      </c>
      <c r="O144">
        <f>VLOOKUP(A144,NASDAQYHOO!A$2:G$506,7,0)</f>
        <v>0</v>
      </c>
    </row>
    <row r="145" spans="1:15">
      <c r="A145" s="39">
        <v>42352</v>
      </c>
      <c r="C145">
        <f>VLOOKUP(A145,NYSEARCAVTI!A$2:G$506,7,0)</f>
        <v>0</v>
      </c>
      <c r="D145">
        <f>VLOOKUP(A145,NYSEARCAVEU!A$2:G$506,7,0)</f>
        <v>0</v>
      </c>
      <c r="E145">
        <f>VLOOKUP(A145,NYSEARCAVWO!A$2:G$506,7,0)</f>
        <v>0</v>
      </c>
      <c r="F145">
        <f>VLOOKUP(A145,NYSEARCABND!A$2:G$506,7,0)</f>
        <v>0</v>
      </c>
      <c r="G145">
        <f>VLOOKUP(A145,NYSEARCATIP!A$2:G$506,7,0)</f>
        <v>0</v>
      </c>
      <c r="H145">
        <f>VLOOKUP(A145,NYSEARCAMUB!A$2:G$506,7,0)</f>
        <v>0</v>
      </c>
      <c r="I145">
        <f>VLOOKUP(A145,NYSEARCAVNQ!A$2:G$506,7,0)</f>
        <v>0</v>
      </c>
      <c r="J145">
        <f>VLOOKUP(A145,NYSEARCARWX!A$2:G$506,7,0)</f>
        <v>0</v>
      </c>
      <c r="K145">
        <f>VLOOKUP(A145,NYSEARCADBC!A$2:G$506,7,0)</f>
        <v>0</v>
      </c>
      <c r="L145">
        <f>VLOOKUP(A145,NYSEARCAGSG!A$2:G$506,7,0)</f>
        <v>0</v>
      </c>
      <c r="M145">
        <f>VLOOKUP(A145,NYSEARCAGLD!A$2:G$506,7,0)</f>
        <v>0</v>
      </c>
      <c r="N145">
        <f>VLOOKUP(A145,NYSEBP!A$2:G$506,7,0)</f>
        <v>0</v>
      </c>
      <c r="O145">
        <f>VLOOKUP(A145,NASDAQYHOO!A$2:G$506,7,0)</f>
        <v>0</v>
      </c>
    </row>
    <row r="146" spans="1:15">
      <c r="A146" s="39">
        <v>42353</v>
      </c>
      <c r="C146">
        <f>VLOOKUP(A146,NYSEARCAVTI!A$2:G$506,7,0)</f>
        <v>0</v>
      </c>
      <c r="D146">
        <f>VLOOKUP(A146,NYSEARCAVEU!A$2:G$506,7,0)</f>
        <v>0</v>
      </c>
      <c r="E146">
        <f>VLOOKUP(A146,NYSEARCAVWO!A$2:G$506,7,0)</f>
        <v>0</v>
      </c>
      <c r="F146">
        <f>VLOOKUP(A146,NYSEARCABND!A$2:G$506,7,0)</f>
        <v>0</v>
      </c>
      <c r="G146">
        <f>VLOOKUP(A146,NYSEARCATIP!A$2:G$506,7,0)</f>
        <v>0</v>
      </c>
      <c r="H146">
        <f>VLOOKUP(A146,NYSEARCAMUB!A$2:G$506,7,0)</f>
        <v>0</v>
      </c>
      <c r="I146">
        <f>VLOOKUP(A146,NYSEARCAVNQ!A$2:G$506,7,0)</f>
        <v>0</v>
      </c>
      <c r="J146">
        <f>VLOOKUP(A146,NYSEARCARWX!A$2:G$506,7,0)</f>
        <v>0</v>
      </c>
      <c r="K146">
        <f>VLOOKUP(A146,NYSEARCADBC!A$2:G$506,7,0)</f>
        <v>0</v>
      </c>
      <c r="L146">
        <f>VLOOKUP(A146,NYSEARCAGSG!A$2:G$506,7,0)</f>
        <v>0</v>
      </c>
      <c r="M146">
        <f>VLOOKUP(A146,NYSEARCAGLD!A$2:G$506,7,0)</f>
        <v>0</v>
      </c>
      <c r="N146">
        <f>VLOOKUP(A146,NYSEBP!A$2:G$506,7,0)</f>
        <v>0</v>
      </c>
      <c r="O146">
        <f>VLOOKUP(A146,NASDAQYHOO!A$2:G$506,7,0)</f>
        <v>0</v>
      </c>
    </row>
    <row r="147" spans="1:15">
      <c r="A147" s="39">
        <v>42354</v>
      </c>
      <c r="C147">
        <f>VLOOKUP(A147,NYSEARCAVTI!A$2:G$506,7,0)</f>
        <v>0</v>
      </c>
      <c r="D147">
        <f>VLOOKUP(A147,NYSEARCAVEU!A$2:G$506,7,0)</f>
        <v>0</v>
      </c>
      <c r="E147">
        <f>VLOOKUP(A147,NYSEARCAVWO!A$2:G$506,7,0)</f>
        <v>0</v>
      </c>
      <c r="F147">
        <f>VLOOKUP(A147,NYSEARCABND!A$2:G$506,7,0)</f>
        <v>0</v>
      </c>
      <c r="G147">
        <f>VLOOKUP(A147,NYSEARCATIP!A$2:G$506,7,0)</f>
        <v>0</v>
      </c>
      <c r="H147">
        <f>VLOOKUP(A147,NYSEARCAMUB!A$2:G$506,7,0)</f>
        <v>0</v>
      </c>
      <c r="I147">
        <f>VLOOKUP(A147,NYSEARCAVNQ!A$2:G$506,7,0)</f>
        <v>0</v>
      </c>
      <c r="J147">
        <f>VLOOKUP(A147,NYSEARCARWX!A$2:G$506,7,0)</f>
        <v>0</v>
      </c>
      <c r="K147">
        <f>VLOOKUP(A147,NYSEARCADBC!A$2:G$506,7,0)</f>
        <v>0</v>
      </c>
      <c r="L147">
        <f>VLOOKUP(A147,NYSEARCAGSG!A$2:G$506,7,0)</f>
        <v>0</v>
      </c>
      <c r="M147">
        <f>VLOOKUP(A147,NYSEARCAGLD!A$2:G$506,7,0)</f>
        <v>0</v>
      </c>
      <c r="N147">
        <f>VLOOKUP(A147,NYSEBP!A$2:G$506,7,0)</f>
        <v>0</v>
      </c>
      <c r="O147">
        <f>VLOOKUP(A147,NASDAQYHOO!A$2:G$506,7,0)</f>
        <v>0</v>
      </c>
    </row>
    <row r="148" spans="1:15">
      <c r="A148" s="39">
        <v>42355</v>
      </c>
      <c r="C148">
        <f>VLOOKUP(A148,NYSEARCAVTI!A$2:G$506,7,0)</f>
        <v>0</v>
      </c>
      <c r="D148">
        <f>VLOOKUP(A148,NYSEARCAVEU!A$2:G$506,7,0)</f>
        <v>0</v>
      </c>
      <c r="E148">
        <f>VLOOKUP(A148,NYSEARCAVWO!A$2:G$506,7,0)</f>
        <v>0</v>
      </c>
      <c r="F148">
        <f>VLOOKUP(A148,NYSEARCABND!A$2:G$506,7,0)</f>
        <v>0</v>
      </c>
      <c r="G148">
        <f>VLOOKUP(A148,NYSEARCATIP!A$2:G$506,7,0)</f>
        <v>0</v>
      </c>
      <c r="H148">
        <f>VLOOKUP(A148,NYSEARCAMUB!A$2:G$506,7,0)</f>
        <v>0</v>
      </c>
      <c r="I148">
        <f>VLOOKUP(A148,NYSEARCAVNQ!A$2:G$506,7,0)</f>
        <v>0</v>
      </c>
      <c r="J148">
        <f>VLOOKUP(A148,NYSEARCARWX!A$2:G$506,7,0)</f>
        <v>0</v>
      </c>
      <c r="K148">
        <f>VLOOKUP(A148,NYSEARCADBC!A$2:G$506,7,0)</f>
        <v>0</v>
      </c>
      <c r="L148">
        <f>VLOOKUP(A148,NYSEARCAGSG!A$2:G$506,7,0)</f>
        <v>0</v>
      </c>
      <c r="M148">
        <f>VLOOKUP(A148,NYSEARCAGLD!A$2:G$506,7,0)</f>
        <v>0</v>
      </c>
      <c r="N148">
        <f>VLOOKUP(A148,NYSEBP!A$2:G$506,7,0)</f>
        <v>0</v>
      </c>
      <c r="O148">
        <f>VLOOKUP(A148,NASDAQYHOO!A$2:G$506,7,0)</f>
        <v>0</v>
      </c>
    </row>
    <row r="149" spans="1:15">
      <c r="A149" s="39">
        <v>42356</v>
      </c>
      <c r="C149">
        <f>VLOOKUP(A149,NYSEARCAVTI!A$2:G$506,7,0)</f>
        <v>0</v>
      </c>
      <c r="D149">
        <f>VLOOKUP(A149,NYSEARCAVEU!A$2:G$506,7,0)</f>
        <v>0</v>
      </c>
      <c r="E149">
        <f>VLOOKUP(A149,NYSEARCAVWO!A$2:G$506,7,0)</f>
        <v>0</v>
      </c>
      <c r="F149">
        <f>VLOOKUP(A149,NYSEARCABND!A$2:G$506,7,0)</f>
        <v>0</v>
      </c>
      <c r="G149">
        <f>VLOOKUP(A149,NYSEARCATIP!A$2:G$506,7,0)</f>
        <v>0</v>
      </c>
      <c r="H149">
        <f>VLOOKUP(A149,NYSEARCAMUB!A$2:G$506,7,0)</f>
        <v>0</v>
      </c>
      <c r="I149">
        <f>VLOOKUP(A149,NYSEARCAVNQ!A$2:G$506,7,0)</f>
        <v>0</v>
      </c>
      <c r="J149">
        <f>VLOOKUP(A149,NYSEARCARWX!A$2:G$506,7,0)</f>
        <v>0</v>
      </c>
      <c r="K149">
        <f>VLOOKUP(A149,NYSEARCADBC!A$2:G$506,7,0)</f>
        <v>0</v>
      </c>
      <c r="L149">
        <f>VLOOKUP(A149,NYSEARCAGSG!A$2:G$506,7,0)</f>
        <v>0</v>
      </c>
      <c r="M149">
        <f>VLOOKUP(A149,NYSEARCAGLD!A$2:G$506,7,0)</f>
        <v>0</v>
      </c>
      <c r="N149">
        <f>VLOOKUP(A149,NYSEBP!A$2:G$506,7,0)</f>
        <v>0</v>
      </c>
      <c r="O149">
        <f>VLOOKUP(A149,NASDAQYHOO!A$2:G$506,7,0)</f>
        <v>0</v>
      </c>
    </row>
    <row r="150" spans="1:15">
      <c r="A150" s="39">
        <v>42359</v>
      </c>
      <c r="C150">
        <f>VLOOKUP(A150,NYSEARCAVTI!A$2:G$506,7,0)</f>
        <v>0</v>
      </c>
      <c r="D150">
        <f>VLOOKUP(A150,NYSEARCAVEU!A$2:G$506,7,0)</f>
        <v>0</v>
      </c>
      <c r="E150">
        <f>VLOOKUP(A150,NYSEARCAVWO!A$2:G$506,7,0)</f>
        <v>0</v>
      </c>
      <c r="F150">
        <f>VLOOKUP(A150,NYSEARCABND!A$2:G$506,7,0)</f>
        <v>0</v>
      </c>
      <c r="G150">
        <f>VLOOKUP(A150,NYSEARCATIP!A$2:G$506,7,0)</f>
        <v>0</v>
      </c>
      <c r="H150">
        <f>VLOOKUP(A150,NYSEARCAMUB!A$2:G$506,7,0)</f>
        <v>0</v>
      </c>
      <c r="I150">
        <f>VLOOKUP(A150,NYSEARCAVNQ!A$2:G$506,7,0)</f>
        <v>0</v>
      </c>
      <c r="J150">
        <f>VLOOKUP(A150,NYSEARCARWX!A$2:G$506,7,0)</f>
        <v>0</v>
      </c>
      <c r="K150">
        <f>VLOOKUP(A150,NYSEARCADBC!A$2:G$506,7,0)</f>
        <v>0</v>
      </c>
      <c r="L150">
        <f>VLOOKUP(A150,NYSEARCAGSG!A$2:G$506,7,0)</f>
        <v>0</v>
      </c>
      <c r="M150">
        <f>VLOOKUP(A150,NYSEARCAGLD!A$2:G$506,7,0)</f>
        <v>0</v>
      </c>
      <c r="N150">
        <f>VLOOKUP(A150,NYSEBP!A$2:G$506,7,0)</f>
        <v>0</v>
      </c>
      <c r="O150">
        <f>VLOOKUP(A150,NASDAQYHOO!A$2:G$506,7,0)</f>
        <v>0</v>
      </c>
    </row>
    <row r="151" spans="1:15">
      <c r="A151" s="39">
        <v>42360</v>
      </c>
      <c r="C151">
        <f>VLOOKUP(A151,NYSEARCAVTI!A$2:G$506,7,0)</f>
        <v>0</v>
      </c>
      <c r="D151">
        <f>VLOOKUP(A151,NYSEARCAVEU!A$2:G$506,7,0)</f>
        <v>0</v>
      </c>
      <c r="E151">
        <f>VLOOKUP(A151,NYSEARCAVWO!A$2:G$506,7,0)</f>
        <v>0</v>
      </c>
      <c r="F151">
        <f>VLOOKUP(A151,NYSEARCABND!A$2:G$506,7,0)</f>
        <v>0</v>
      </c>
      <c r="G151">
        <f>VLOOKUP(A151,NYSEARCATIP!A$2:G$506,7,0)</f>
        <v>0</v>
      </c>
      <c r="H151">
        <f>VLOOKUP(A151,NYSEARCAMUB!A$2:G$506,7,0)</f>
        <v>0</v>
      </c>
      <c r="I151">
        <f>VLOOKUP(A151,NYSEARCAVNQ!A$2:G$506,7,0)</f>
        <v>0</v>
      </c>
      <c r="J151">
        <f>VLOOKUP(A151,NYSEARCARWX!A$2:G$506,7,0)</f>
        <v>0</v>
      </c>
      <c r="K151">
        <f>VLOOKUP(A151,NYSEARCADBC!A$2:G$506,7,0)</f>
        <v>0</v>
      </c>
      <c r="L151">
        <f>VLOOKUP(A151,NYSEARCAGSG!A$2:G$506,7,0)</f>
        <v>0</v>
      </c>
      <c r="M151">
        <f>VLOOKUP(A151,NYSEARCAGLD!A$2:G$506,7,0)</f>
        <v>0</v>
      </c>
      <c r="N151">
        <f>VLOOKUP(A151,NYSEBP!A$2:G$506,7,0)</f>
        <v>0</v>
      </c>
      <c r="O151">
        <f>VLOOKUP(A151,NASDAQYHOO!A$2:G$506,7,0)</f>
        <v>0</v>
      </c>
    </row>
    <row r="152" spans="1:15">
      <c r="A152" s="39">
        <v>42361</v>
      </c>
      <c r="C152">
        <f>VLOOKUP(A152,NYSEARCAVTI!A$2:G$506,7,0)</f>
        <v>0</v>
      </c>
      <c r="D152">
        <f>VLOOKUP(A152,NYSEARCAVEU!A$2:G$506,7,0)</f>
        <v>0</v>
      </c>
      <c r="E152">
        <f>VLOOKUP(A152,NYSEARCAVWO!A$2:G$506,7,0)</f>
        <v>0</v>
      </c>
      <c r="F152">
        <f>VLOOKUP(A152,NYSEARCABND!A$2:G$506,7,0)</f>
        <v>0</v>
      </c>
      <c r="G152">
        <f>VLOOKUP(A152,NYSEARCATIP!A$2:G$506,7,0)</f>
        <v>0</v>
      </c>
      <c r="H152">
        <f>VLOOKUP(A152,NYSEARCAMUB!A$2:G$506,7,0)</f>
        <v>0</v>
      </c>
      <c r="I152">
        <f>VLOOKUP(A152,NYSEARCAVNQ!A$2:G$506,7,0)</f>
        <v>0</v>
      </c>
      <c r="J152">
        <f>VLOOKUP(A152,NYSEARCARWX!A$2:G$506,7,0)</f>
        <v>0</v>
      </c>
      <c r="K152">
        <f>VLOOKUP(A152,NYSEARCADBC!A$2:G$506,7,0)</f>
        <v>0</v>
      </c>
      <c r="L152">
        <f>VLOOKUP(A152,NYSEARCAGSG!A$2:G$506,7,0)</f>
        <v>0</v>
      </c>
      <c r="M152">
        <f>VLOOKUP(A152,NYSEARCAGLD!A$2:G$506,7,0)</f>
        <v>0</v>
      </c>
      <c r="N152">
        <f>VLOOKUP(A152,NYSEBP!A$2:G$506,7,0)</f>
        <v>0</v>
      </c>
      <c r="O152">
        <f>VLOOKUP(A152,NASDAQYHOO!A$2:G$506,7,0)</f>
        <v>0</v>
      </c>
    </row>
    <row r="153" spans="1:15">
      <c r="A153" s="39">
        <v>42362</v>
      </c>
      <c r="C153">
        <f>VLOOKUP(A153,NYSEARCAVTI!A$2:G$506,7,0)</f>
        <v>0</v>
      </c>
      <c r="D153">
        <f>VLOOKUP(A153,NYSEARCAVEU!A$2:G$506,7,0)</f>
        <v>0</v>
      </c>
      <c r="E153">
        <f>VLOOKUP(A153,NYSEARCAVWO!A$2:G$506,7,0)</f>
        <v>0</v>
      </c>
      <c r="F153">
        <f>VLOOKUP(A153,NYSEARCABND!A$2:G$506,7,0)</f>
        <v>0</v>
      </c>
      <c r="G153">
        <f>VLOOKUP(A153,NYSEARCATIP!A$2:G$506,7,0)</f>
        <v>0</v>
      </c>
      <c r="H153">
        <f>VLOOKUP(A153,NYSEARCAMUB!A$2:G$506,7,0)</f>
        <v>0</v>
      </c>
      <c r="I153">
        <f>VLOOKUP(A153,NYSEARCAVNQ!A$2:G$506,7,0)</f>
        <v>0</v>
      </c>
      <c r="J153">
        <f>VLOOKUP(A153,NYSEARCARWX!A$2:G$506,7,0)</f>
        <v>0</v>
      </c>
      <c r="K153">
        <f>VLOOKUP(A153,NYSEARCADBC!A$2:G$506,7,0)</f>
        <v>0</v>
      </c>
      <c r="L153">
        <f>VLOOKUP(A153,NYSEARCAGSG!A$2:G$506,7,0)</f>
        <v>0</v>
      </c>
      <c r="M153">
        <f>VLOOKUP(A153,NYSEARCAGLD!A$2:G$506,7,0)</f>
        <v>0</v>
      </c>
      <c r="N153">
        <f>VLOOKUP(A153,NYSEBP!A$2:G$506,7,0)</f>
        <v>0</v>
      </c>
      <c r="O153">
        <f>VLOOKUP(A153,NASDAQYHOO!A$2:G$506,7,0)</f>
        <v>0</v>
      </c>
    </row>
    <row r="154" spans="1:15">
      <c r="A154" s="39">
        <v>42366</v>
      </c>
      <c r="C154">
        <f>VLOOKUP(A154,NYSEARCAVTI!A$2:G$506,7,0)</f>
        <v>0</v>
      </c>
      <c r="D154">
        <f>VLOOKUP(A154,NYSEARCAVEU!A$2:G$506,7,0)</f>
        <v>0</v>
      </c>
      <c r="E154">
        <f>VLOOKUP(A154,NYSEARCAVWO!A$2:G$506,7,0)</f>
        <v>0</v>
      </c>
      <c r="F154">
        <f>VLOOKUP(A154,NYSEARCABND!A$2:G$506,7,0)</f>
        <v>0</v>
      </c>
      <c r="G154">
        <f>VLOOKUP(A154,NYSEARCATIP!A$2:G$506,7,0)</f>
        <v>0</v>
      </c>
      <c r="H154">
        <f>VLOOKUP(A154,NYSEARCAMUB!A$2:G$506,7,0)</f>
        <v>0</v>
      </c>
      <c r="I154">
        <f>VLOOKUP(A154,NYSEARCAVNQ!A$2:G$506,7,0)</f>
        <v>0</v>
      </c>
      <c r="J154">
        <f>VLOOKUP(A154,NYSEARCARWX!A$2:G$506,7,0)</f>
        <v>0</v>
      </c>
      <c r="K154">
        <f>VLOOKUP(A154,NYSEARCADBC!A$2:G$506,7,0)</f>
        <v>0</v>
      </c>
      <c r="L154">
        <f>VLOOKUP(A154,NYSEARCAGSG!A$2:G$506,7,0)</f>
        <v>0</v>
      </c>
      <c r="M154">
        <f>VLOOKUP(A154,NYSEARCAGLD!A$2:G$506,7,0)</f>
        <v>0</v>
      </c>
      <c r="N154">
        <f>VLOOKUP(A154,NYSEBP!A$2:G$506,7,0)</f>
        <v>0</v>
      </c>
      <c r="O154">
        <f>VLOOKUP(A154,NASDAQYHOO!A$2:G$506,7,0)</f>
        <v>0</v>
      </c>
    </row>
    <row r="155" spans="1:15">
      <c r="A155" s="39">
        <v>42367</v>
      </c>
      <c r="C155">
        <f>VLOOKUP(A155,NYSEARCAVTI!A$2:G$506,7,0)</f>
        <v>0</v>
      </c>
      <c r="D155">
        <f>VLOOKUP(A155,NYSEARCAVEU!A$2:G$506,7,0)</f>
        <v>0</v>
      </c>
      <c r="E155">
        <f>VLOOKUP(A155,NYSEARCAVWO!A$2:G$506,7,0)</f>
        <v>0</v>
      </c>
      <c r="F155">
        <f>VLOOKUP(A155,NYSEARCABND!A$2:G$506,7,0)</f>
        <v>0</v>
      </c>
      <c r="G155">
        <f>VLOOKUP(A155,NYSEARCATIP!A$2:G$506,7,0)</f>
        <v>0</v>
      </c>
      <c r="H155">
        <f>VLOOKUP(A155,NYSEARCAMUB!A$2:G$506,7,0)</f>
        <v>0</v>
      </c>
      <c r="I155">
        <f>VLOOKUP(A155,NYSEARCAVNQ!A$2:G$506,7,0)</f>
        <v>0</v>
      </c>
      <c r="J155">
        <f>VLOOKUP(A155,NYSEARCARWX!A$2:G$506,7,0)</f>
        <v>0</v>
      </c>
      <c r="K155">
        <f>VLOOKUP(A155,NYSEARCADBC!A$2:G$506,7,0)</f>
        <v>0</v>
      </c>
      <c r="L155">
        <f>VLOOKUP(A155,NYSEARCAGSG!A$2:G$506,7,0)</f>
        <v>0</v>
      </c>
      <c r="M155">
        <f>VLOOKUP(A155,NYSEARCAGLD!A$2:G$506,7,0)</f>
        <v>0</v>
      </c>
      <c r="N155">
        <f>VLOOKUP(A155,NYSEBP!A$2:G$506,7,0)</f>
        <v>0</v>
      </c>
      <c r="O155">
        <f>VLOOKUP(A155,NASDAQYHOO!A$2:G$506,7,0)</f>
        <v>0</v>
      </c>
    </row>
    <row r="156" spans="1:15">
      <c r="A156" s="39">
        <v>42368</v>
      </c>
      <c r="C156">
        <f>VLOOKUP(A156,NYSEARCAVTI!A$2:G$506,7,0)</f>
        <v>0</v>
      </c>
      <c r="D156">
        <f>VLOOKUP(A156,NYSEARCAVEU!A$2:G$506,7,0)</f>
        <v>0</v>
      </c>
      <c r="E156">
        <f>VLOOKUP(A156,NYSEARCAVWO!A$2:G$506,7,0)</f>
        <v>0</v>
      </c>
      <c r="F156">
        <f>VLOOKUP(A156,NYSEARCABND!A$2:G$506,7,0)</f>
        <v>0</v>
      </c>
      <c r="G156">
        <f>VLOOKUP(A156,NYSEARCATIP!A$2:G$506,7,0)</f>
        <v>0</v>
      </c>
      <c r="H156">
        <f>VLOOKUP(A156,NYSEARCAMUB!A$2:G$506,7,0)</f>
        <v>0</v>
      </c>
      <c r="I156">
        <f>VLOOKUP(A156,NYSEARCAVNQ!A$2:G$506,7,0)</f>
        <v>0</v>
      </c>
      <c r="J156">
        <f>VLOOKUP(A156,NYSEARCARWX!A$2:G$506,7,0)</f>
        <v>0</v>
      </c>
      <c r="K156">
        <f>VLOOKUP(A156,NYSEARCADBC!A$2:G$506,7,0)</f>
        <v>0</v>
      </c>
      <c r="L156">
        <f>VLOOKUP(A156,NYSEARCAGSG!A$2:G$506,7,0)</f>
        <v>0</v>
      </c>
      <c r="M156">
        <f>VLOOKUP(A156,NYSEARCAGLD!A$2:G$506,7,0)</f>
        <v>0</v>
      </c>
      <c r="N156">
        <f>VLOOKUP(A156,NYSEBP!A$2:G$506,7,0)</f>
        <v>0</v>
      </c>
      <c r="O156">
        <f>VLOOKUP(A156,NASDAQYHOO!A$2:G$506,7,0)</f>
        <v>0</v>
      </c>
    </row>
    <row r="157" spans="1:15">
      <c r="A157" s="39">
        <v>42369</v>
      </c>
      <c r="C157">
        <f>VLOOKUP(A157,NYSEARCAVTI!A$2:G$506,7,0)</f>
        <v>0</v>
      </c>
      <c r="D157">
        <f>VLOOKUP(A157,NYSEARCAVEU!A$2:G$506,7,0)</f>
        <v>0</v>
      </c>
      <c r="E157">
        <f>VLOOKUP(A157,NYSEARCAVWO!A$2:G$506,7,0)</f>
        <v>0</v>
      </c>
      <c r="F157">
        <f>VLOOKUP(A157,NYSEARCABND!A$2:G$506,7,0)</f>
        <v>0</v>
      </c>
      <c r="G157">
        <f>VLOOKUP(A157,NYSEARCATIP!A$2:G$506,7,0)</f>
        <v>0</v>
      </c>
      <c r="H157">
        <f>VLOOKUP(A157,NYSEARCAMUB!A$2:G$506,7,0)</f>
        <v>0</v>
      </c>
      <c r="I157">
        <f>VLOOKUP(A157,NYSEARCAVNQ!A$2:G$506,7,0)</f>
        <v>0</v>
      </c>
      <c r="J157">
        <f>VLOOKUP(A157,NYSEARCARWX!A$2:G$506,7,0)</f>
        <v>0</v>
      </c>
      <c r="K157">
        <f>VLOOKUP(A157,NYSEARCADBC!A$2:G$506,7,0)</f>
        <v>0</v>
      </c>
      <c r="L157">
        <f>VLOOKUP(A157,NYSEARCAGSG!A$2:G$506,7,0)</f>
        <v>0</v>
      </c>
      <c r="M157">
        <f>VLOOKUP(A157,NYSEARCAGLD!A$2:G$506,7,0)</f>
        <v>0</v>
      </c>
      <c r="N157">
        <f>VLOOKUP(A157,NYSEBP!A$2:G$506,7,0)</f>
        <v>0</v>
      </c>
      <c r="O157">
        <f>VLOOKUP(A157,NASDAQYHOO!A$2:G$506,7,0)</f>
        <v>0</v>
      </c>
    </row>
    <row r="158" spans="1:15">
      <c r="A158" s="39">
        <v>42373</v>
      </c>
      <c r="C158">
        <f>VLOOKUP(A158,NYSEARCAVTI!A$2:G$506,7,0)</f>
        <v>0</v>
      </c>
      <c r="D158">
        <f>VLOOKUP(A158,NYSEARCAVEU!A$2:G$506,7,0)</f>
        <v>0</v>
      </c>
      <c r="E158">
        <f>VLOOKUP(A158,NYSEARCAVWO!A$2:G$506,7,0)</f>
        <v>0</v>
      </c>
      <c r="F158">
        <f>VLOOKUP(A158,NYSEARCABND!A$2:G$506,7,0)</f>
        <v>0</v>
      </c>
      <c r="G158">
        <f>VLOOKUP(A158,NYSEARCATIP!A$2:G$506,7,0)</f>
        <v>0</v>
      </c>
      <c r="H158">
        <f>VLOOKUP(A158,NYSEARCAMUB!A$2:G$506,7,0)</f>
        <v>0</v>
      </c>
      <c r="I158">
        <f>VLOOKUP(A158,NYSEARCAVNQ!A$2:G$506,7,0)</f>
        <v>0</v>
      </c>
      <c r="J158">
        <f>VLOOKUP(A158,NYSEARCARWX!A$2:G$506,7,0)</f>
        <v>0</v>
      </c>
      <c r="K158">
        <f>VLOOKUP(A158,NYSEARCADBC!A$2:G$506,7,0)</f>
        <v>0</v>
      </c>
      <c r="L158">
        <f>VLOOKUP(A158,NYSEARCAGSG!A$2:G$506,7,0)</f>
        <v>0</v>
      </c>
      <c r="M158">
        <f>VLOOKUP(A158,NYSEARCAGLD!A$2:G$506,7,0)</f>
        <v>0</v>
      </c>
      <c r="N158">
        <f>VLOOKUP(A158,NYSEBP!A$2:G$506,7,0)</f>
        <v>0</v>
      </c>
      <c r="O158">
        <f>VLOOKUP(A158,NASDAQYHOO!A$2:G$506,7,0)</f>
        <v>0</v>
      </c>
    </row>
    <row r="159" spans="1:15">
      <c r="A159" s="39">
        <v>42374</v>
      </c>
      <c r="C159">
        <f>VLOOKUP(A159,NYSEARCAVTI!A$2:G$506,7,0)</f>
        <v>0</v>
      </c>
      <c r="D159">
        <f>VLOOKUP(A159,NYSEARCAVEU!A$2:G$506,7,0)</f>
        <v>0</v>
      </c>
      <c r="E159">
        <f>VLOOKUP(A159,NYSEARCAVWO!A$2:G$506,7,0)</f>
        <v>0</v>
      </c>
      <c r="F159">
        <f>VLOOKUP(A159,NYSEARCABND!A$2:G$506,7,0)</f>
        <v>0</v>
      </c>
      <c r="G159">
        <f>VLOOKUP(A159,NYSEARCATIP!A$2:G$506,7,0)</f>
        <v>0</v>
      </c>
      <c r="H159">
        <f>VLOOKUP(A159,NYSEARCAMUB!A$2:G$506,7,0)</f>
        <v>0</v>
      </c>
      <c r="I159">
        <f>VLOOKUP(A159,NYSEARCAVNQ!A$2:G$506,7,0)</f>
        <v>0</v>
      </c>
      <c r="J159">
        <f>VLOOKUP(A159,NYSEARCARWX!A$2:G$506,7,0)</f>
        <v>0</v>
      </c>
      <c r="K159">
        <f>VLOOKUP(A159,NYSEARCADBC!A$2:G$506,7,0)</f>
        <v>0</v>
      </c>
      <c r="L159">
        <f>VLOOKUP(A159,NYSEARCAGSG!A$2:G$506,7,0)</f>
        <v>0</v>
      </c>
      <c r="M159">
        <f>VLOOKUP(A159,NYSEARCAGLD!A$2:G$506,7,0)</f>
        <v>0</v>
      </c>
      <c r="N159">
        <f>VLOOKUP(A159,NYSEBP!A$2:G$506,7,0)</f>
        <v>0</v>
      </c>
      <c r="O159">
        <f>VLOOKUP(A159,NASDAQYHOO!A$2:G$506,7,0)</f>
        <v>0</v>
      </c>
    </row>
    <row r="160" spans="1:15">
      <c r="A160" s="39">
        <v>42375</v>
      </c>
      <c r="C160">
        <f>VLOOKUP(A160,NYSEARCAVTI!A$2:G$506,7,0)</f>
        <v>0</v>
      </c>
      <c r="D160">
        <f>VLOOKUP(A160,NYSEARCAVEU!A$2:G$506,7,0)</f>
        <v>0</v>
      </c>
      <c r="E160">
        <f>VLOOKUP(A160,NYSEARCAVWO!A$2:G$506,7,0)</f>
        <v>0</v>
      </c>
      <c r="F160">
        <f>VLOOKUP(A160,NYSEARCABND!A$2:G$506,7,0)</f>
        <v>0</v>
      </c>
      <c r="G160">
        <f>VLOOKUP(A160,NYSEARCATIP!A$2:G$506,7,0)</f>
        <v>0</v>
      </c>
      <c r="H160">
        <f>VLOOKUP(A160,NYSEARCAMUB!A$2:G$506,7,0)</f>
        <v>0</v>
      </c>
      <c r="I160">
        <f>VLOOKUP(A160,NYSEARCAVNQ!A$2:G$506,7,0)</f>
        <v>0</v>
      </c>
      <c r="J160">
        <f>VLOOKUP(A160,NYSEARCARWX!A$2:G$506,7,0)</f>
        <v>0</v>
      </c>
      <c r="K160">
        <f>VLOOKUP(A160,NYSEARCADBC!A$2:G$506,7,0)</f>
        <v>0</v>
      </c>
      <c r="L160">
        <f>VLOOKUP(A160,NYSEARCAGSG!A$2:G$506,7,0)</f>
        <v>0</v>
      </c>
      <c r="M160">
        <f>VLOOKUP(A160,NYSEARCAGLD!A$2:G$506,7,0)</f>
        <v>0</v>
      </c>
      <c r="N160">
        <f>VLOOKUP(A160,NYSEBP!A$2:G$506,7,0)</f>
        <v>0</v>
      </c>
      <c r="O160">
        <f>VLOOKUP(A160,NASDAQYHOO!A$2:G$506,7,0)</f>
        <v>0</v>
      </c>
    </row>
    <row r="161" spans="1:15">
      <c r="A161" s="39">
        <v>42376</v>
      </c>
      <c r="C161">
        <f>VLOOKUP(A161,NYSEARCAVTI!A$2:G$506,7,0)</f>
        <v>0</v>
      </c>
      <c r="D161">
        <f>VLOOKUP(A161,NYSEARCAVEU!A$2:G$506,7,0)</f>
        <v>0</v>
      </c>
      <c r="E161">
        <f>VLOOKUP(A161,NYSEARCAVWO!A$2:G$506,7,0)</f>
        <v>0</v>
      </c>
      <c r="F161">
        <f>VLOOKUP(A161,NYSEARCABND!A$2:G$506,7,0)</f>
        <v>0</v>
      </c>
      <c r="G161">
        <f>VLOOKUP(A161,NYSEARCATIP!A$2:G$506,7,0)</f>
        <v>0</v>
      </c>
      <c r="H161">
        <f>VLOOKUP(A161,NYSEARCAMUB!A$2:G$506,7,0)</f>
        <v>0</v>
      </c>
      <c r="I161">
        <f>VLOOKUP(A161,NYSEARCAVNQ!A$2:G$506,7,0)</f>
        <v>0</v>
      </c>
      <c r="J161">
        <f>VLOOKUP(A161,NYSEARCARWX!A$2:G$506,7,0)</f>
        <v>0</v>
      </c>
      <c r="K161">
        <f>VLOOKUP(A161,NYSEARCADBC!A$2:G$506,7,0)</f>
        <v>0</v>
      </c>
      <c r="L161">
        <f>VLOOKUP(A161,NYSEARCAGSG!A$2:G$506,7,0)</f>
        <v>0</v>
      </c>
      <c r="M161">
        <f>VLOOKUP(A161,NYSEARCAGLD!A$2:G$506,7,0)</f>
        <v>0</v>
      </c>
      <c r="N161">
        <f>VLOOKUP(A161,NYSEBP!A$2:G$506,7,0)</f>
        <v>0</v>
      </c>
      <c r="O161">
        <f>VLOOKUP(A161,NASDAQYHOO!A$2:G$506,7,0)</f>
        <v>0</v>
      </c>
    </row>
    <row r="162" spans="1:15">
      <c r="A162" s="39">
        <v>42377</v>
      </c>
      <c r="C162">
        <f>VLOOKUP(A162,NYSEARCAVTI!A$2:G$506,7,0)</f>
        <v>0</v>
      </c>
      <c r="D162">
        <f>VLOOKUP(A162,NYSEARCAVEU!A$2:G$506,7,0)</f>
        <v>0</v>
      </c>
      <c r="E162">
        <f>VLOOKUP(A162,NYSEARCAVWO!A$2:G$506,7,0)</f>
        <v>0</v>
      </c>
      <c r="F162">
        <f>VLOOKUP(A162,NYSEARCABND!A$2:G$506,7,0)</f>
        <v>0</v>
      </c>
      <c r="G162">
        <f>VLOOKUP(A162,NYSEARCATIP!A$2:G$506,7,0)</f>
        <v>0</v>
      </c>
      <c r="H162">
        <f>VLOOKUP(A162,NYSEARCAMUB!A$2:G$506,7,0)</f>
        <v>0</v>
      </c>
      <c r="I162">
        <f>VLOOKUP(A162,NYSEARCAVNQ!A$2:G$506,7,0)</f>
        <v>0</v>
      </c>
      <c r="J162">
        <f>VLOOKUP(A162,NYSEARCARWX!A$2:G$506,7,0)</f>
        <v>0</v>
      </c>
      <c r="K162">
        <f>VLOOKUP(A162,NYSEARCADBC!A$2:G$506,7,0)</f>
        <v>0</v>
      </c>
      <c r="L162">
        <f>VLOOKUP(A162,NYSEARCAGSG!A$2:G$506,7,0)</f>
        <v>0</v>
      </c>
      <c r="M162">
        <f>VLOOKUP(A162,NYSEARCAGLD!A$2:G$506,7,0)</f>
        <v>0</v>
      </c>
      <c r="N162">
        <f>VLOOKUP(A162,NYSEBP!A$2:G$506,7,0)</f>
        <v>0</v>
      </c>
      <c r="O162">
        <f>VLOOKUP(A162,NASDAQYHOO!A$2:G$506,7,0)</f>
        <v>0</v>
      </c>
    </row>
    <row r="163" spans="1:15">
      <c r="A163" s="39">
        <v>42380</v>
      </c>
      <c r="C163">
        <f>VLOOKUP(A163,NYSEARCAVTI!A$2:G$506,7,0)</f>
        <v>0</v>
      </c>
      <c r="D163">
        <f>VLOOKUP(A163,NYSEARCAVEU!A$2:G$506,7,0)</f>
        <v>0</v>
      </c>
      <c r="E163">
        <f>VLOOKUP(A163,NYSEARCAVWO!A$2:G$506,7,0)</f>
        <v>0</v>
      </c>
      <c r="F163">
        <f>VLOOKUP(A163,NYSEARCABND!A$2:G$506,7,0)</f>
        <v>0</v>
      </c>
      <c r="G163">
        <f>VLOOKUP(A163,NYSEARCATIP!A$2:G$506,7,0)</f>
        <v>0</v>
      </c>
      <c r="H163">
        <f>VLOOKUP(A163,NYSEARCAMUB!A$2:G$506,7,0)</f>
        <v>0</v>
      </c>
      <c r="I163">
        <f>VLOOKUP(A163,NYSEARCAVNQ!A$2:G$506,7,0)</f>
        <v>0</v>
      </c>
      <c r="J163">
        <f>VLOOKUP(A163,NYSEARCARWX!A$2:G$506,7,0)</f>
        <v>0</v>
      </c>
      <c r="K163">
        <f>VLOOKUP(A163,NYSEARCADBC!A$2:G$506,7,0)</f>
        <v>0</v>
      </c>
      <c r="L163">
        <f>VLOOKUP(A163,NYSEARCAGSG!A$2:G$506,7,0)</f>
        <v>0</v>
      </c>
      <c r="M163">
        <f>VLOOKUP(A163,NYSEARCAGLD!A$2:G$506,7,0)</f>
        <v>0</v>
      </c>
      <c r="N163">
        <f>VLOOKUP(A163,NYSEBP!A$2:G$506,7,0)</f>
        <v>0</v>
      </c>
      <c r="O163">
        <f>VLOOKUP(A163,NASDAQYHOO!A$2:G$506,7,0)</f>
        <v>0</v>
      </c>
    </row>
    <row r="164" spans="1:15">
      <c r="A164" s="39">
        <v>42381</v>
      </c>
      <c r="C164">
        <f>VLOOKUP(A164,NYSEARCAVTI!A$2:G$506,7,0)</f>
        <v>0</v>
      </c>
      <c r="D164">
        <f>VLOOKUP(A164,NYSEARCAVEU!A$2:G$506,7,0)</f>
        <v>0</v>
      </c>
      <c r="E164">
        <f>VLOOKUP(A164,NYSEARCAVWO!A$2:G$506,7,0)</f>
        <v>0</v>
      </c>
      <c r="F164">
        <f>VLOOKUP(A164,NYSEARCABND!A$2:G$506,7,0)</f>
        <v>0</v>
      </c>
      <c r="G164">
        <f>VLOOKUP(A164,NYSEARCATIP!A$2:G$506,7,0)</f>
        <v>0</v>
      </c>
      <c r="H164">
        <f>VLOOKUP(A164,NYSEARCAMUB!A$2:G$506,7,0)</f>
        <v>0</v>
      </c>
      <c r="I164">
        <f>VLOOKUP(A164,NYSEARCAVNQ!A$2:G$506,7,0)</f>
        <v>0</v>
      </c>
      <c r="J164">
        <f>VLOOKUP(A164,NYSEARCARWX!A$2:G$506,7,0)</f>
        <v>0</v>
      </c>
      <c r="K164">
        <f>VLOOKUP(A164,NYSEARCADBC!A$2:G$506,7,0)</f>
        <v>0</v>
      </c>
      <c r="L164">
        <f>VLOOKUP(A164,NYSEARCAGSG!A$2:G$506,7,0)</f>
        <v>0</v>
      </c>
      <c r="M164">
        <f>VLOOKUP(A164,NYSEARCAGLD!A$2:G$506,7,0)</f>
        <v>0</v>
      </c>
      <c r="N164">
        <f>VLOOKUP(A164,NYSEBP!A$2:G$506,7,0)</f>
        <v>0</v>
      </c>
      <c r="O164">
        <f>VLOOKUP(A164,NASDAQYHOO!A$2:G$506,7,0)</f>
        <v>0</v>
      </c>
    </row>
    <row r="165" spans="1:15">
      <c r="A165" s="39">
        <v>42382</v>
      </c>
      <c r="C165">
        <f>VLOOKUP(A165,NYSEARCAVTI!A$2:G$506,7,0)</f>
        <v>0</v>
      </c>
      <c r="D165">
        <f>VLOOKUP(A165,NYSEARCAVEU!A$2:G$506,7,0)</f>
        <v>0</v>
      </c>
      <c r="E165">
        <f>VLOOKUP(A165,NYSEARCAVWO!A$2:G$506,7,0)</f>
        <v>0</v>
      </c>
      <c r="F165">
        <f>VLOOKUP(A165,NYSEARCABND!A$2:G$506,7,0)</f>
        <v>0</v>
      </c>
      <c r="G165">
        <f>VLOOKUP(A165,NYSEARCATIP!A$2:G$506,7,0)</f>
        <v>0</v>
      </c>
      <c r="H165">
        <f>VLOOKUP(A165,NYSEARCAMUB!A$2:G$506,7,0)</f>
        <v>0</v>
      </c>
      <c r="I165">
        <f>VLOOKUP(A165,NYSEARCAVNQ!A$2:G$506,7,0)</f>
        <v>0</v>
      </c>
      <c r="J165">
        <f>VLOOKUP(A165,NYSEARCARWX!A$2:G$506,7,0)</f>
        <v>0</v>
      </c>
      <c r="K165">
        <f>VLOOKUP(A165,NYSEARCADBC!A$2:G$506,7,0)</f>
        <v>0</v>
      </c>
      <c r="L165">
        <f>VLOOKUP(A165,NYSEARCAGSG!A$2:G$506,7,0)</f>
        <v>0</v>
      </c>
      <c r="M165">
        <f>VLOOKUP(A165,NYSEARCAGLD!A$2:G$506,7,0)</f>
        <v>0</v>
      </c>
      <c r="N165">
        <f>VLOOKUP(A165,NYSEBP!A$2:G$506,7,0)</f>
        <v>0</v>
      </c>
      <c r="O165">
        <f>VLOOKUP(A165,NASDAQYHOO!A$2:G$506,7,0)</f>
        <v>0</v>
      </c>
    </row>
    <row r="166" spans="1:15">
      <c r="A166" s="39">
        <v>42383</v>
      </c>
      <c r="C166">
        <f>VLOOKUP(A166,NYSEARCAVTI!A$2:G$506,7,0)</f>
        <v>0</v>
      </c>
      <c r="D166">
        <f>VLOOKUP(A166,NYSEARCAVEU!A$2:G$506,7,0)</f>
        <v>0</v>
      </c>
      <c r="E166">
        <f>VLOOKUP(A166,NYSEARCAVWO!A$2:G$506,7,0)</f>
        <v>0</v>
      </c>
      <c r="F166">
        <f>VLOOKUP(A166,NYSEARCABND!A$2:G$506,7,0)</f>
        <v>0</v>
      </c>
      <c r="G166">
        <f>VLOOKUP(A166,NYSEARCATIP!A$2:G$506,7,0)</f>
        <v>0</v>
      </c>
      <c r="H166">
        <f>VLOOKUP(A166,NYSEARCAMUB!A$2:G$506,7,0)</f>
        <v>0</v>
      </c>
      <c r="I166">
        <f>VLOOKUP(A166,NYSEARCAVNQ!A$2:G$506,7,0)</f>
        <v>0</v>
      </c>
      <c r="J166">
        <f>VLOOKUP(A166,NYSEARCARWX!A$2:G$506,7,0)</f>
        <v>0</v>
      </c>
      <c r="K166">
        <f>VLOOKUP(A166,NYSEARCADBC!A$2:G$506,7,0)</f>
        <v>0</v>
      </c>
      <c r="L166">
        <f>VLOOKUP(A166,NYSEARCAGSG!A$2:G$506,7,0)</f>
        <v>0</v>
      </c>
      <c r="M166">
        <f>VLOOKUP(A166,NYSEARCAGLD!A$2:G$506,7,0)</f>
        <v>0</v>
      </c>
      <c r="N166">
        <f>VLOOKUP(A166,NYSEBP!A$2:G$506,7,0)</f>
        <v>0</v>
      </c>
      <c r="O166">
        <f>VLOOKUP(A166,NASDAQYHOO!A$2:G$506,7,0)</f>
        <v>0</v>
      </c>
    </row>
    <row r="167" spans="1:15">
      <c r="A167" s="39">
        <v>42384</v>
      </c>
      <c r="C167">
        <f>VLOOKUP(A167,NYSEARCAVTI!A$2:G$506,7,0)</f>
        <v>0</v>
      </c>
      <c r="D167">
        <f>VLOOKUP(A167,NYSEARCAVEU!A$2:G$506,7,0)</f>
        <v>0</v>
      </c>
      <c r="E167">
        <f>VLOOKUP(A167,NYSEARCAVWO!A$2:G$506,7,0)</f>
        <v>0</v>
      </c>
      <c r="F167">
        <f>VLOOKUP(A167,NYSEARCABND!A$2:G$506,7,0)</f>
        <v>0</v>
      </c>
      <c r="G167">
        <f>VLOOKUP(A167,NYSEARCATIP!A$2:G$506,7,0)</f>
        <v>0</v>
      </c>
      <c r="H167">
        <f>VLOOKUP(A167,NYSEARCAMUB!A$2:G$506,7,0)</f>
        <v>0</v>
      </c>
      <c r="I167">
        <f>VLOOKUP(A167,NYSEARCAVNQ!A$2:G$506,7,0)</f>
        <v>0</v>
      </c>
      <c r="J167">
        <f>VLOOKUP(A167,NYSEARCARWX!A$2:G$506,7,0)</f>
        <v>0</v>
      </c>
      <c r="K167">
        <f>VLOOKUP(A167,NYSEARCADBC!A$2:G$506,7,0)</f>
        <v>0</v>
      </c>
      <c r="L167">
        <f>VLOOKUP(A167,NYSEARCAGSG!A$2:G$506,7,0)</f>
        <v>0</v>
      </c>
      <c r="M167">
        <f>VLOOKUP(A167,NYSEARCAGLD!A$2:G$506,7,0)</f>
        <v>0</v>
      </c>
      <c r="N167">
        <f>VLOOKUP(A167,NYSEBP!A$2:G$506,7,0)</f>
        <v>0</v>
      </c>
      <c r="O167">
        <f>VLOOKUP(A167,NASDAQYHOO!A$2:G$506,7,0)</f>
        <v>0</v>
      </c>
    </row>
    <row r="168" spans="1:15">
      <c r="A168" s="39">
        <v>42388</v>
      </c>
      <c r="C168">
        <f>VLOOKUP(A168,NYSEARCAVTI!A$2:G$506,7,0)</f>
        <v>0</v>
      </c>
      <c r="D168">
        <f>VLOOKUP(A168,NYSEARCAVEU!A$2:G$506,7,0)</f>
        <v>0</v>
      </c>
      <c r="E168">
        <f>VLOOKUP(A168,NYSEARCAVWO!A$2:G$506,7,0)</f>
        <v>0</v>
      </c>
      <c r="F168">
        <f>VLOOKUP(A168,NYSEARCABND!A$2:G$506,7,0)</f>
        <v>0</v>
      </c>
      <c r="G168">
        <f>VLOOKUP(A168,NYSEARCATIP!A$2:G$506,7,0)</f>
        <v>0</v>
      </c>
      <c r="H168">
        <f>VLOOKUP(A168,NYSEARCAMUB!A$2:G$506,7,0)</f>
        <v>0</v>
      </c>
      <c r="I168">
        <f>VLOOKUP(A168,NYSEARCAVNQ!A$2:G$506,7,0)</f>
        <v>0</v>
      </c>
      <c r="J168">
        <f>VLOOKUP(A168,NYSEARCARWX!A$2:G$506,7,0)</f>
        <v>0</v>
      </c>
      <c r="K168">
        <f>VLOOKUP(A168,NYSEARCADBC!A$2:G$506,7,0)</f>
        <v>0</v>
      </c>
      <c r="L168">
        <f>VLOOKUP(A168,NYSEARCAGSG!A$2:G$506,7,0)</f>
        <v>0</v>
      </c>
      <c r="M168">
        <f>VLOOKUP(A168,NYSEARCAGLD!A$2:G$506,7,0)</f>
        <v>0</v>
      </c>
      <c r="N168">
        <f>VLOOKUP(A168,NYSEBP!A$2:G$506,7,0)</f>
        <v>0</v>
      </c>
      <c r="O168">
        <f>VLOOKUP(A168,NASDAQYHOO!A$2:G$506,7,0)</f>
        <v>0</v>
      </c>
    </row>
    <row r="169" spans="1:15">
      <c r="A169" s="39">
        <v>42389</v>
      </c>
      <c r="C169">
        <f>VLOOKUP(A169,NYSEARCAVTI!A$2:G$506,7,0)</f>
        <v>0</v>
      </c>
      <c r="D169">
        <f>VLOOKUP(A169,NYSEARCAVEU!A$2:G$506,7,0)</f>
        <v>0</v>
      </c>
      <c r="E169">
        <f>VLOOKUP(A169,NYSEARCAVWO!A$2:G$506,7,0)</f>
        <v>0</v>
      </c>
      <c r="F169">
        <f>VLOOKUP(A169,NYSEARCABND!A$2:G$506,7,0)</f>
        <v>0</v>
      </c>
      <c r="G169">
        <f>VLOOKUP(A169,NYSEARCATIP!A$2:G$506,7,0)</f>
        <v>0</v>
      </c>
      <c r="H169">
        <f>VLOOKUP(A169,NYSEARCAMUB!A$2:G$506,7,0)</f>
        <v>0</v>
      </c>
      <c r="I169">
        <f>VLOOKUP(A169,NYSEARCAVNQ!A$2:G$506,7,0)</f>
        <v>0</v>
      </c>
      <c r="J169">
        <f>VLOOKUP(A169,NYSEARCARWX!A$2:G$506,7,0)</f>
        <v>0</v>
      </c>
      <c r="K169">
        <f>VLOOKUP(A169,NYSEARCADBC!A$2:G$506,7,0)</f>
        <v>0</v>
      </c>
      <c r="L169">
        <f>VLOOKUP(A169,NYSEARCAGSG!A$2:G$506,7,0)</f>
        <v>0</v>
      </c>
      <c r="M169">
        <f>VLOOKUP(A169,NYSEARCAGLD!A$2:G$506,7,0)</f>
        <v>0</v>
      </c>
      <c r="N169">
        <f>VLOOKUP(A169,NYSEBP!A$2:G$506,7,0)</f>
        <v>0</v>
      </c>
      <c r="O169">
        <f>VLOOKUP(A169,NASDAQYHOO!A$2:G$506,7,0)</f>
        <v>0</v>
      </c>
    </row>
    <row r="170" spans="1:15">
      <c r="A170" s="39">
        <v>42390</v>
      </c>
      <c r="C170">
        <f>VLOOKUP(A170,NYSEARCAVTI!A$2:G$506,7,0)</f>
        <v>0</v>
      </c>
      <c r="D170">
        <f>VLOOKUP(A170,NYSEARCAVEU!A$2:G$506,7,0)</f>
        <v>0</v>
      </c>
      <c r="E170">
        <f>VLOOKUP(A170,NYSEARCAVWO!A$2:G$506,7,0)</f>
        <v>0</v>
      </c>
      <c r="F170">
        <f>VLOOKUP(A170,NYSEARCABND!A$2:G$506,7,0)</f>
        <v>0</v>
      </c>
      <c r="G170">
        <f>VLOOKUP(A170,NYSEARCATIP!A$2:G$506,7,0)</f>
        <v>0</v>
      </c>
      <c r="H170">
        <f>VLOOKUP(A170,NYSEARCAMUB!A$2:G$506,7,0)</f>
        <v>0</v>
      </c>
      <c r="I170">
        <f>VLOOKUP(A170,NYSEARCAVNQ!A$2:G$506,7,0)</f>
        <v>0</v>
      </c>
      <c r="J170">
        <f>VLOOKUP(A170,NYSEARCARWX!A$2:G$506,7,0)</f>
        <v>0</v>
      </c>
      <c r="K170">
        <f>VLOOKUP(A170,NYSEARCADBC!A$2:G$506,7,0)</f>
        <v>0</v>
      </c>
      <c r="L170">
        <f>VLOOKUP(A170,NYSEARCAGSG!A$2:G$506,7,0)</f>
        <v>0</v>
      </c>
      <c r="M170">
        <f>VLOOKUP(A170,NYSEARCAGLD!A$2:G$506,7,0)</f>
        <v>0</v>
      </c>
      <c r="N170">
        <f>VLOOKUP(A170,NYSEBP!A$2:G$506,7,0)</f>
        <v>0</v>
      </c>
      <c r="O170">
        <f>VLOOKUP(A170,NASDAQYHOO!A$2:G$506,7,0)</f>
        <v>0</v>
      </c>
    </row>
    <row r="171" spans="1:15">
      <c r="A171" s="39">
        <v>42391</v>
      </c>
      <c r="C171">
        <f>VLOOKUP(A171,NYSEARCAVTI!A$2:G$506,7,0)</f>
        <v>0</v>
      </c>
      <c r="D171">
        <f>VLOOKUP(A171,NYSEARCAVEU!A$2:G$506,7,0)</f>
        <v>0</v>
      </c>
      <c r="E171">
        <f>VLOOKUP(A171,NYSEARCAVWO!A$2:G$506,7,0)</f>
        <v>0</v>
      </c>
      <c r="F171">
        <f>VLOOKUP(A171,NYSEARCABND!A$2:G$506,7,0)</f>
        <v>0</v>
      </c>
      <c r="G171">
        <f>VLOOKUP(A171,NYSEARCATIP!A$2:G$506,7,0)</f>
        <v>0</v>
      </c>
      <c r="H171">
        <f>VLOOKUP(A171,NYSEARCAMUB!A$2:G$506,7,0)</f>
        <v>0</v>
      </c>
      <c r="I171">
        <f>VLOOKUP(A171,NYSEARCAVNQ!A$2:G$506,7,0)</f>
        <v>0</v>
      </c>
      <c r="J171">
        <f>VLOOKUP(A171,NYSEARCARWX!A$2:G$506,7,0)</f>
        <v>0</v>
      </c>
      <c r="K171">
        <f>VLOOKUP(A171,NYSEARCADBC!A$2:G$506,7,0)</f>
        <v>0</v>
      </c>
      <c r="L171">
        <f>VLOOKUP(A171,NYSEARCAGSG!A$2:G$506,7,0)</f>
        <v>0</v>
      </c>
      <c r="M171">
        <f>VLOOKUP(A171,NYSEARCAGLD!A$2:G$506,7,0)</f>
        <v>0</v>
      </c>
      <c r="N171">
        <f>VLOOKUP(A171,NYSEBP!A$2:G$506,7,0)</f>
        <v>0</v>
      </c>
      <c r="O171">
        <f>VLOOKUP(A171,NASDAQYHOO!A$2:G$506,7,0)</f>
        <v>0</v>
      </c>
    </row>
    <row r="172" spans="1:15">
      <c r="A172" s="39">
        <v>42394</v>
      </c>
      <c r="C172">
        <f>VLOOKUP(A172,NYSEARCAVTI!A$2:G$506,7,0)</f>
        <v>0</v>
      </c>
      <c r="D172">
        <f>VLOOKUP(A172,NYSEARCAVEU!A$2:G$506,7,0)</f>
        <v>0</v>
      </c>
      <c r="E172">
        <f>VLOOKUP(A172,NYSEARCAVWO!A$2:G$506,7,0)</f>
        <v>0</v>
      </c>
      <c r="F172">
        <f>VLOOKUP(A172,NYSEARCABND!A$2:G$506,7,0)</f>
        <v>0</v>
      </c>
      <c r="G172">
        <f>VLOOKUP(A172,NYSEARCATIP!A$2:G$506,7,0)</f>
        <v>0</v>
      </c>
      <c r="H172">
        <f>VLOOKUP(A172,NYSEARCAMUB!A$2:G$506,7,0)</f>
        <v>0</v>
      </c>
      <c r="I172">
        <f>VLOOKUP(A172,NYSEARCAVNQ!A$2:G$506,7,0)</f>
        <v>0</v>
      </c>
      <c r="J172">
        <f>VLOOKUP(A172,NYSEARCARWX!A$2:G$506,7,0)</f>
        <v>0</v>
      </c>
      <c r="K172">
        <f>VLOOKUP(A172,NYSEARCADBC!A$2:G$506,7,0)</f>
        <v>0</v>
      </c>
      <c r="L172">
        <f>VLOOKUP(A172,NYSEARCAGSG!A$2:G$506,7,0)</f>
        <v>0</v>
      </c>
      <c r="M172">
        <f>VLOOKUP(A172,NYSEARCAGLD!A$2:G$506,7,0)</f>
        <v>0</v>
      </c>
      <c r="N172">
        <f>VLOOKUP(A172,NYSEBP!A$2:G$506,7,0)</f>
        <v>0</v>
      </c>
      <c r="O172">
        <f>VLOOKUP(A172,NASDAQYHOO!A$2:G$506,7,0)</f>
        <v>0</v>
      </c>
    </row>
    <row r="173" spans="1:15">
      <c r="A173" s="39">
        <v>42395</v>
      </c>
      <c r="C173">
        <f>VLOOKUP(A173,NYSEARCAVTI!A$2:G$506,7,0)</f>
        <v>0</v>
      </c>
      <c r="D173">
        <f>VLOOKUP(A173,NYSEARCAVEU!A$2:G$506,7,0)</f>
        <v>0</v>
      </c>
      <c r="E173">
        <f>VLOOKUP(A173,NYSEARCAVWO!A$2:G$506,7,0)</f>
        <v>0</v>
      </c>
      <c r="F173">
        <f>VLOOKUP(A173,NYSEARCABND!A$2:G$506,7,0)</f>
        <v>0</v>
      </c>
      <c r="G173">
        <f>VLOOKUP(A173,NYSEARCATIP!A$2:G$506,7,0)</f>
        <v>0</v>
      </c>
      <c r="H173">
        <f>VLOOKUP(A173,NYSEARCAMUB!A$2:G$506,7,0)</f>
        <v>0</v>
      </c>
      <c r="I173">
        <f>VLOOKUP(A173,NYSEARCAVNQ!A$2:G$506,7,0)</f>
        <v>0</v>
      </c>
      <c r="J173">
        <f>VLOOKUP(A173,NYSEARCARWX!A$2:G$506,7,0)</f>
        <v>0</v>
      </c>
      <c r="K173">
        <f>VLOOKUP(A173,NYSEARCADBC!A$2:G$506,7,0)</f>
        <v>0</v>
      </c>
      <c r="L173">
        <f>VLOOKUP(A173,NYSEARCAGSG!A$2:G$506,7,0)</f>
        <v>0</v>
      </c>
      <c r="M173">
        <f>VLOOKUP(A173,NYSEARCAGLD!A$2:G$506,7,0)</f>
        <v>0</v>
      </c>
      <c r="N173">
        <f>VLOOKUP(A173,NYSEBP!A$2:G$506,7,0)</f>
        <v>0</v>
      </c>
      <c r="O173">
        <f>VLOOKUP(A173,NASDAQYHOO!A$2:G$506,7,0)</f>
        <v>0</v>
      </c>
    </row>
    <row r="174" spans="1:15">
      <c r="A174" s="39">
        <v>42396</v>
      </c>
      <c r="C174">
        <f>VLOOKUP(A174,NYSEARCAVTI!A$2:G$506,7,0)</f>
        <v>0</v>
      </c>
      <c r="D174">
        <f>VLOOKUP(A174,NYSEARCAVEU!A$2:G$506,7,0)</f>
        <v>0</v>
      </c>
      <c r="E174">
        <f>VLOOKUP(A174,NYSEARCAVWO!A$2:G$506,7,0)</f>
        <v>0</v>
      </c>
      <c r="F174">
        <f>VLOOKUP(A174,NYSEARCABND!A$2:G$506,7,0)</f>
        <v>0</v>
      </c>
      <c r="G174">
        <f>VLOOKUP(A174,NYSEARCATIP!A$2:G$506,7,0)</f>
        <v>0</v>
      </c>
      <c r="H174">
        <f>VLOOKUP(A174,NYSEARCAMUB!A$2:G$506,7,0)</f>
        <v>0</v>
      </c>
      <c r="I174">
        <f>VLOOKUP(A174,NYSEARCAVNQ!A$2:G$506,7,0)</f>
        <v>0</v>
      </c>
      <c r="J174">
        <f>VLOOKUP(A174,NYSEARCARWX!A$2:G$506,7,0)</f>
        <v>0</v>
      </c>
      <c r="K174">
        <f>VLOOKUP(A174,NYSEARCADBC!A$2:G$506,7,0)</f>
        <v>0</v>
      </c>
      <c r="L174">
        <f>VLOOKUP(A174,NYSEARCAGSG!A$2:G$506,7,0)</f>
        <v>0</v>
      </c>
      <c r="M174">
        <f>VLOOKUP(A174,NYSEARCAGLD!A$2:G$506,7,0)</f>
        <v>0</v>
      </c>
      <c r="N174">
        <f>VLOOKUP(A174,NYSEBP!A$2:G$506,7,0)</f>
        <v>0</v>
      </c>
      <c r="O174">
        <f>VLOOKUP(A174,NASDAQYHOO!A$2:G$506,7,0)</f>
        <v>0</v>
      </c>
    </row>
    <row r="175" spans="1:15">
      <c r="A175" s="39">
        <v>42397</v>
      </c>
      <c r="C175">
        <f>VLOOKUP(A175,NYSEARCAVTI!A$2:G$506,7,0)</f>
        <v>0</v>
      </c>
      <c r="D175">
        <f>VLOOKUP(A175,NYSEARCAVEU!A$2:G$506,7,0)</f>
        <v>0</v>
      </c>
      <c r="E175">
        <f>VLOOKUP(A175,NYSEARCAVWO!A$2:G$506,7,0)</f>
        <v>0</v>
      </c>
      <c r="F175">
        <f>VLOOKUP(A175,NYSEARCABND!A$2:G$506,7,0)</f>
        <v>0</v>
      </c>
      <c r="G175">
        <f>VLOOKUP(A175,NYSEARCATIP!A$2:G$506,7,0)</f>
        <v>0</v>
      </c>
      <c r="H175">
        <f>VLOOKUP(A175,NYSEARCAMUB!A$2:G$506,7,0)</f>
        <v>0</v>
      </c>
      <c r="I175">
        <f>VLOOKUP(A175,NYSEARCAVNQ!A$2:G$506,7,0)</f>
        <v>0</v>
      </c>
      <c r="J175">
        <f>VLOOKUP(A175,NYSEARCARWX!A$2:G$506,7,0)</f>
        <v>0</v>
      </c>
      <c r="K175">
        <f>VLOOKUP(A175,NYSEARCADBC!A$2:G$506,7,0)</f>
        <v>0</v>
      </c>
      <c r="L175">
        <f>VLOOKUP(A175,NYSEARCAGSG!A$2:G$506,7,0)</f>
        <v>0</v>
      </c>
      <c r="M175">
        <f>VLOOKUP(A175,NYSEARCAGLD!A$2:G$506,7,0)</f>
        <v>0</v>
      </c>
      <c r="N175">
        <f>VLOOKUP(A175,NYSEBP!A$2:G$506,7,0)</f>
        <v>0</v>
      </c>
      <c r="O175">
        <f>VLOOKUP(A175,NASDAQYHOO!A$2:G$506,7,0)</f>
        <v>0</v>
      </c>
    </row>
    <row r="176" spans="1:15">
      <c r="A176" s="39">
        <v>42398</v>
      </c>
      <c r="C176">
        <f>VLOOKUP(A176,NYSEARCAVTI!A$2:G$506,7,0)</f>
        <v>0</v>
      </c>
      <c r="D176">
        <f>VLOOKUP(A176,NYSEARCAVEU!A$2:G$506,7,0)</f>
        <v>0</v>
      </c>
      <c r="E176">
        <f>VLOOKUP(A176,NYSEARCAVWO!A$2:G$506,7,0)</f>
        <v>0</v>
      </c>
      <c r="F176">
        <f>VLOOKUP(A176,NYSEARCABND!A$2:G$506,7,0)</f>
        <v>0</v>
      </c>
      <c r="G176">
        <f>VLOOKUP(A176,NYSEARCATIP!A$2:G$506,7,0)</f>
        <v>0</v>
      </c>
      <c r="H176">
        <f>VLOOKUP(A176,NYSEARCAMUB!A$2:G$506,7,0)</f>
        <v>0</v>
      </c>
      <c r="I176">
        <f>VLOOKUP(A176,NYSEARCAVNQ!A$2:G$506,7,0)</f>
        <v>0</v>
      </c>
      <c r="J176">
        <f>VLOOKUP(A176,NYSEARCARWX!A$2:G$506,7,0)</f>
        <v>0</v>
      </c>
      <c r="K176">
        <f>VLOOKUP(A176,NYSEARCADBC!A$2:G$506,7,0)</f>
        <v>0</v>
      </c>
      <c r="L176">
        <f>VLOOKUP(A176,NYSEARCAGSG!A$2:G$506,7,0)</f>
        <v>0</v>
      </c>
      <c r="M176">
        <f>VLOOKUP(A176,NYSEARCAGLD!A$2:G$506,7,0)</f>
        <v>0</v>
      </c>
      <c r="N176">
        <f>VLOOKUP(A176,NYSEBP!A$2:G$506,7,0)</f>
        <v>0</v>
      </c>
      <c r="O176">
        <f>VLOOKUP(A176,NASDAQYHOO!A$2:G$506,7,0)</f>
        <v>0</v>
      </c>
    </row>
    <row r="177" spans="1:15">
      <c r="A177" s="39">
        <v>42401</v>
      </c>
      <c r="C177">
        <f>VLOOKUP(A177,NYSEARCAVTI!A$2:G$506,7,0)</f>
        <v>0</v>
      </c>
      <c r="D177">
        <f>VLOOKUP(A177,NYSEARCAVEU!A$2:G$506,7,0)</f>
        <v>0</v>
      </c>
      <c r="E177">
        <f>VLOOKUP(A177,NYSEARCAVWO!A$2:G$506,7,0)</f>
        <v>0</v>
      </c>
      <c r="F177">
        <f>VLOOKUP(A177,NYSEARCABND!A$2:G$506,7,0)</f>
        <v>0</v>
      </c>
      <c r="G177">
        <f>VLOOKUP(A177,NYSEARCATIP!A$2:G$506,7,0)</f>
        <v>0</v>
      </c>
      <c r="H177">
        <f>VLOOKUP(A177,NYSEARCAMUB!A$2:G$506,7,0)</f>
        <v>0</v>
      </c>
      <c r="I177">
        <f>VLOOKUP(A177,NYSEARCAVNQ!A$2:G$506,7,0)</f>
        <v>0</v>
      </c>
      <c r="J177">
        <f>VLOOKUP(A177,NYSEARCARWX!A$2:G$506,7,0)</f>
        <v>0</v>
      </c>
      <c r="K177">
        <f>VLOOKUP(A177,NYSEARCADBC!A$2:G$506,7,0)</f>
        <v>0</v>
      </c>
      <c r="L177">
        <f>VLOOKUP(A177,NYSEARCAGSG!A$2:G$506,7,0)</f>
        <v>0</v>
      </c>
      <c r="M177">
        <f>VLOOKUP(A177,NYSEARCAGLD!A$2:G$506,7,0)</f>
        <v>0</v>
      </c>
      <c r="N177">
        <f>VLOOKUP(A177,NYSEBP!A$2:G$506,7,0)</f>
        <v>0</v>
      </c>
      <c r="O177">
        <f>VLOOKUP(A177,NASDAQYHOO!A$2:G$506,7,0)</f>
        <v>0</v>
      </c>
    </row>
    <row r="178" spans="1:15">
      <c r="A178" s="39">
        <v>42402</v>
      </c>
      <c r="C178">
        <f>VLOOKUP(A178,NYSEARCAVTI!A$2:G$506,7,0)</f>
        <v>0</v>
      </c>
      <c r="D178">
        <f>VLOOKUP(A178,NYSEARCAVEU!A$2:G$506,7,0)</f>
        <v>0</v>
      </c>
      <c r="E178">
        <f>VLOOKUP(A178,NYSEARCAVWO!A$2:G$506,7,0)</f>
        <v>0</v>
      </c>
      <c r="F178">
        <f>VLOOKUP(A178,NYSEARCABND!A$2:G$506,7,0)</f>
        <v>0</v>
      </c>
      <c r="G178">
        <f>VLOOKUP(A178,NYSEARCATIP!A$2:G$506,7,0)</f>
        <v>0</v>
      </c>
      <c r="H178">
        <f>VLOOKUP(A178,NYSEARCAMUB!A$2:G$506,7,0)</f>
        <v>0</v>
      </c>
      <c r="I178">
        <f>VLOOKUP(A178,NYSEARCAVNQ!A$2:G$506,7,0)</f>
        <v>0</v>
      </c>
      <c r="J178">
        <f>VLOOKUP(A178,NYSEARCARWX!A$2:G$506,7,0)</f>
        <v>0</v>
      </c>
      <c r="K178">
        <f>VLOOKUP(A178,NYSEARCADBC!A$2:G$506,7,0)</f>
        <v>0</v>
      </c>
      <c r="L178">
        <f>VLOOKUP(A178,NYSEARCAGSG!A$2:G$506,7,0)</f>
        <v>0</v>
      </c>
      <c r="M178">
        <f>VLOOKUP(A178,NYSEARCAGLD!A$2:G$506,7,0)</f>
        <v>0</v>
      </c>
      <c r="N178">
        <f>VLOOKUP(A178,NYSEBP!A$2:G$506,7,0)</f>
        <v>0</v>
      </c>
      <c r="O178">
        <f>VLOOKUP(A178,NASDAQYHOO!A$2:G$506,7,0)</f>
        <v>0</v>
      </c>
    </row>
    <row r="179" spans="1:15">
      <c r="A179" s="39">
        <v>42403</v>
      </c>
      <c r="C179">
        <f>VLOOKUP(A179,NYSEARCAVTI!A$2:G$506,7,0)</f>
        <v>0</v>
      </c>
      <c r="D179">
        <f>VLOOKUP(A179,NYSEARCAVEU!A$2:G$506,7,0)</f>
        <v>0</v>
      </c>
      <c r="E179">
        <f>VLOOKUP(A179,NYSEARCAVWO!A$2:G$506,7,0)</f>
        <v>0</v>
      </c>
      <c r="F179">
        <f>VLOOKUP(A179,NYSEARCABND!A$2:G$506,7,0)</f>
        <v>0</v>
      </c>
      <c r="G179">
        <f>VLOOKUP(A179,NYSEARCATIP!A$2:G$506,7,0)</f>
        <v>0</v>
      </c>
      <c r="H179">
        <f>VLOOKUP(A179,NYSEARCAMUB!A$2:G$506,7,0)</f>
        <v>0</v>
      </c>
      <c r="I179">
        <f>VLOOKUP(A179,NYSEARCAVNQ!A$2:G$506,7,0)</f>
        <v>0</v>
      </c>
      <c r="J179">
        <f>VLOOKUP(A179,NYSEARCARWX!A$2:G$506,7,0)</f>
        <v>0</v>
      </c>
      <c r="K179">
        <f>VLOOKUP(A179,NYSEARCADBC!A$2:G$506,7,0)</f>
        <v>0</v>
      </c>
      <c r="L179">
        <f>VLOOKUP(A179,NYSEARCAGSG!A$2:G$506,7,0)</f>
        <v>0</v>
      </c>
      <c r="M179">
        <f>VLOOKUP(A179,NYSEARCAGLD!A$2:G$506,7,0)</f>
        <v>0</v>
      </c>
      <c r="N179">
        <f>VLOOKUP(A179,NYSEBP!A$2:G$506,7,0)</f>
        <v>0</v>
      </c>
      <c r="O179">
        <f>VLOOKUP(A179,NASDAQYHOO!A$2:G$506,7,0)</f>
        <v>0</v>
      </c>
    </row>
    <row r="180" spans="1:15">
      <c r="A180" s="39">
        <v>42404</v>
      </c>
      <c r="C180">
        <f>VLOOKUP(A180,NYSEARCAVTI!A$2:G$506,7,0)</f>
        <v>0</v>
      </c>
      <c r="D180">
        <f>VLOOKUP(A180,NYSEARCAVEU!A$2:G$506,7,0)</f>
        <v>0</v>
      </c>
      <c r="E180">
        <f>VLOOKUP(A180,NYSEARCAVWO!A$2:G$506,7,0)</f>
        <v>0</v>
      </c>
      <c r="F180">
        <f>VLOOKUP(A180,NYSEARCABND!A$2:G$506,7,0)</f>
        <v>0</v>
      </c>
      <c r="G180">
        <f>VLOOKUP(A180,NYSEARCATIP!A$2:G$506,7,0)</f>
        <v>0</v>
      </c>
      <c r="H180">
        <f>VLOOKUP(A180,NYSEARCAMUB!A$2:G$506,7,0)</f>
        <v>0</v>
      </c>
      <c r="I180">
        <f>VLOOKUP(A180,NYSEARCAVNQ!A$2:G$506,7,0)</f>
        <v>0</v>
      </c>
      <c r="J180">
        <f>VLOOKUP(A180,NYSEARCARWX!A$2:G$506,7,0)</f>
        <v>0</v>
      </c>
      <c r="K180">
        <f>VLOOKUP(A180,NYSEARCADBC!A$2:G$506,7,0)</f>
        <v>0</v>
      </c>
      <c r="L180">
        <f>VLOOKUP(A180,NYSEARCAGSG!A$2:G$506,7,0)</f>
        <v>0</v>
      </c>
      <c r="M180">
        <f>VLOOKUP(A180,NYSEARCAGLD!A$2:G$506,7,0)</f>
        <v>0</v>
      </c>
      <c r="N180">
        <f>VLOOKUP(A180,NYSEBP!A$2:G$506,7,0)</f>
        <v>0</v>
      </c>
      <c r="O180">
        <f>VLOOKUP(A180,NASDAQYHOO!A$2:G$506,7,0)</f>
        <v>0</v>
      </c>
    </row>
    <row r="181" spans="1:15">
      <c r="A181" s="39">
        <v>42405</v>
      </c>
      <c r="C181">
        <f>VLOOKUP(A181,NYSEARCAVTI!A$2:G$506,7,0)</f>
        <v>0</v>
      </c>
      <c r="D181">
        <f>VLOOKUP(A181,NYSEARCAVEU!A$2:G$506,7,0)</f>
        <v>0</v>
      </c>
      <c r="E181">
        <f>VLOOKUP(A181,NYSEARCAVWO!A$2:G$506,7,0)</f>
        <v>0</v>
      </c>
      <c r="F181">
        <f>VLOOKUP(A181,NYSEARCABND!A$2:G$506,7,0)</f>
        <v>0</v>
      </c>
      <c r="G181">
        <f>VLOOKUP(A181,NYSEARCATIP!A$2:G$506,7,0)</f>
        <v>0</v>
      </c>
      <c r="H181">
        <f>VLOOKUP(A181,NYSEARCAMUB!A$2:G$506,7,0)</f>
        <v>0</v>
      </c>
      <c r="I181">
        <f>VLOOKUP(A181,NYSEARCAVNQ!A$2:G$506,7,0)</f>
        <v>0</v>
      </c>
      <c r="J181">
        <f>VLOOKUP(A181,NYSEARCARWX!A$2:G$506,7,0)</f>
        <v>0</v>
      </c>
      <c r="K181">
        <f>VLOOKUP(A181,NYSEARCADBC!A$2:G$506,7,0)</f>
        <v>0</v>
      </c>
      <c r="L181">
        <f>VLOOKUP(A181,NYSEARCAGSG!A$2:G$506,7,0)</f>
        <v>0</v>
      </c>
      <c r="M181">
        <f>VLOOKUP(A181,NYSEARCAGLD!A$2:G$506,7,0)</f>
        <v>0</v>
      </c>
      <c r="N181">
        <f>VLOOKUP(A181,NYSEBP!A$2:G$506,7,0)</f>
        <v>0</v>
      </c>
      <c r="O181">
        <f>VLOOKUP(A181,NASDAQYHOO!A$2:G$506,7,0)</f>
        <v>0</v>
      </c>
    </row>
    <row r="182" spans="1:15">
      <c r="A182" s="39">
        <v>42408</v>
      </c>
      <c r="C182">
        <f>VLOOKUP(A182,NYSEARCAVTI!A$2:G$506,7,0)</f>
        <v>0</v>
      </c>
      <c r="D182">
        <f>VLOOKUP(A182,NYSEARCAVEU!A$2:G$506,7,0)</f>
        <v>0</v>
      </c>
      <c r="E182">
        <f>VLOOKUP(A182,NYSEARCAVWO!A$2:G$506,7,0)</f>
        <v>0</v>
      </c>
      <c r="F182">
        <f>VLOOKUP(A182,NYSEARCABND!A$2:G$506,7,0)</f>
        <v>0</v>
      </c>
      <c r="G182">
        <f>VLOOKUP(A182,NYSEARCATIP!A$2:G$506,7,0)</f>
        <v>0</v>
      </c>
      <c r="H182">
        <f>VLOOKUP(A182,NYSEARCAMUB!A$2:G$506,7,0)</f>
        <v>0</v>
      </c>
      <c r="I182">
        <f>VLOOKUP(A182,NYSEARCAVNQ!A$2:G$506,7,0)</f>
        <v>0</v>
      </c>
      <c r="J182">
        <f>VLOOKUP(A182,NYSEARCARWX!A$2:G$506,7,0)</f>
        <v>0</v>
      </c>
      <c r="K182">
        <f>VLOOKUP(A182,NYSEARCADBC!A$2:G$506,7,0)</f>
        <v>0</v>
      </c>
      <c r="L182">
        <f>VLOOKUP(A182,NYSEARCAGSG!A$2:G$506,7,0)</f>
        <v>0</v>
      </c>
      <c r="M182">
        <f>VLOOKUP(A182,NYSEARCAGLD!A$2:G$506,7,0)</f>
        <v>0</v>
      </c>
      <c r="N182">
        <f>VLOOKUP(A182,NYSEBP!A$2:G$506,7,0)</f>
        <v>0</v>
      </c>
      <c r="O182">
        <f>VLOOKUP(A182,NASDAQYHOO!A$2:G$506,7,0)</f>
        <v>0</v>
      </c>
    </row>
    <row r="183" spans="1:15">
      <c r="A183" s="39">
        <v>42409</v>
      </c>
      <c r="C183">
        <f>VLOOKUP(A183,NYSEARCAVTI!A$2:G$506,7,0)</f>
        <v>0</v>
      </c>
      <c r="D183">
        <f>VLOOKUP(A183,NYSEARCAVEU!A$2:G$506,7,0)</f>
        <v>0</v>
      </c>
      <c r="E183">
        <f>VLOOKUP(A183,NYSEARCAVWO!A$2:G$506,7,0)</f>
        <v>0</v>
      </c>
      <c r="F183">
        <f>VLOOKUP(A183,NYSEARCABND!A$2:G$506,7,0)</f>
        <v>0</v>
      </c>
      <c r="G183">
        <f>VLOOKUP(A183,NYSEARCATIP!A$2:G$506,7,0)</f>
        <v>0</v>
      </c>
      <c r="H183">
        <f>VLOOKUP(A183,NYSEARCAMUB!A$2:G$506,7,0)</f>
        <v>0</v>
      </c>
      <c r="I183">
        <f>VLOOKUP(A183,NYSEARCAVNQ!A$2:G$506,7,0)</f>
        <v>0</v>
      </c>
      <c r="J183">
        <f>VLOOKUP(A183,NYSEARCARWX!A$2:G$506,7,0)</f>
        <v>0</v>
      </c>
      <c r="K183">
        <f>VLOOKUP(A183,NYSEARCADBC!A$2:G$506,7,0)</f>
        <v>0</v>
      </c>
      <c r="L183">
        <f>VLOOKUP(A183,NYSEARCAGSG!A$2:G$506,7,0)</f>
        <v>0</v>
      </c>
      <c r="M183">
        <f>VLOOKUP(A183,NYSEARCAGLD!A$2:G$506,7,0)</f>
        <v>0</v>
      </c>
      <c r="N183">
        <f>VLOOKUP(A183,NYSEBP!A$2:G$506,7,0)</f>
        <v>0</v>
      </c>
      <c r="O183">
        <f>VLOOKUP(A183,NASDAQYHOO!A$2:G$506,7,0)</f>
        <v>0</v>
      </c>
    </row>
    <row r="184" spans="1:15">
      <c r="A184" s="39">
        <v>42410</v>
      </c>
      <c r="C184">
        <f>VLOOKUP(A184,NYSEARCAVTI!A$2:G$506,7,0)</f>
        <v>0</v>
      </c>
      <c r="D184">
        <f>VLOOKUP(A184,NYSEARCAVEU!A$2:G$506,7,0)</f>
        <v>0</v>
      </c>
      <c r="E184">
        <f>VLOOKUP(A184,NYSEARCAVWO!A$2:G$506,7,0)</f>
        <v>0</v>
      </c>
      <c r="F184">
        <f>VLOOKUP(A184,NYSEARCABND!A$2:G$506,7,0)</f>
        <v>0</v>
      </c>
      <c r="G184">
        <f>VLOOKUP(A184,NYSEARCATIP!A$2:G$506,7,0)</f>
        <v>0</v>
      </c>
      <c r="H184">
        <f>VLOOKUP(A184,NYSEARCAMUB!A$2:G$506,7,0)</f>
        <v>0</v>
      </c>
      <c r="I184">
        <f>VLOOKUP(A184,NYSEARCAVNQ!A$2:G$506,7,0)</f>
        <v>0</v>
      </c>
      <c r="J184">
        <f>VLOOKUP(A184,NYSEARCARWX!A$2:G$506,7,0)</f>
        <v>0</v>
      </c>
      <c r="K184">
        <f>VLOOKUP(A184,NYSEARCADBC!A$2:G$506,7,0)</f>
        <v>0</v>
      </c>
      <c r="L184">
        <f>VLOOKUP(A184,NYSEARCAGSG!A$2:G$506,7,0)</f>
        <v>0</v>
      </c>
      <c r="M184">
        <f>VLOOKUP(A184,NYSEARCAGLD!A$2:G$506,7,0)</f>
        <v>0</v>
      </c>
      <c r="N184">
        <f>VLOOKUP(A184,NYSEBP!A$2:G$506,7,0)</f>
        <v>0</v>
      </c>
      <c r="O184">
        <f>VLOOKUP(A184,NASDAQYHOO!A$2:G$506,7,0)</f>
        <v>0</v>
      </c>
    </row>
    <row r="185" spans="1:15">
      <c r="A185" s="39">
        <v>42411</v>
      </c>
      <c r="C185">
        <f>VLOOKUP(A185,NYSEARCAVTI!A$2:G$506,7,0)</f>
        <v>0</v>
      </c>
      <c r="D185">
        <f>VLOOKUP(A185,NYSEARCAVEU!A$2:G$506,7,0)</f>
        <v>0</v>
      </c>
      <c r="E185">
        <f>VLOOKUP(A185,NYSEARCAVWO!A$2:G$506,7,0)</f>
        <v>0</v>
      </c>
      <c r="F185">
        <f>VLOOKUP(A185,NYSEARCABND!A$2:G$506,7,0)</f>
        <v>0</v>
      </c>
      <c r="G185">
        <f>VLOOKUP(A185,NYSEARCATIP!A$2:G$506,7,0)</f>
        <v>0</v>
      </c>
      <c r="H185">
        <f>VLOOKUP(A185,NYSEARCAMUB!A$2:G$506,7,0)</f>
        <v>0</v>
      </c>
      <c r="I185">
        <f>VLOOKUP(A185,NYSEARCAVNQ!A$2:G$506,7,0)</f>
        <v>0</v>
      </c>
      <c r="J185">
        <f>VLOOKUP(A185,NYSEARCARWX!A$2:G$506,7,0)</f>
        <v>0</v>
      </c>
      <c r="K185">
        <f>VLOOKUP(A185,NYSEARCADBC!A$2:G$506,7,0)</f>
        <v>0</v>
      </c>
      <c r="L185">
        <f>VLOOKUP(A185,NYSEARCAGSG!A$2:G$506,7,0)</f>
        <v>0</v>
      </c>
      <c r="M185">
        <f>VLOOKUP(A185,NYSEARCAGLD!A$2:G$506,7,0)</f>
        <v>0</v>
      </c>
      <c r="N185">
        <f>VLOOKUP(A185,NYSEBP!A$2:G$506,7,0)</f>
        <v>0</v>
      </c>
      <c r="O185">
        <f>VLOOKUP(A185,NASDAQYHOO!A$2:G$506,7,0)</f>
        <v>0</v>
      </c>
    </row>
    <row r="186" spans="1:15">
      <c r="A186" s="39">
        <v>42412</v>
      </c>
      <c r="C186">
        <f>VLOOKUP(A186,NYSEARCAVTI!A$2:G$506,7,0)</f>
        <v>0</v>
      </c>
      <c r="D186">
        <f>VLOOKUP(A186,NYSEARCAVEU!A$2:G$506,7,0)</f>
        <v>0</v>
      </c>
      <c r="E186">
        <f>VLOOKUP(A186,NYSEARCAVWO!A$2:G$506,7,0)</f>
        <v>0</v>
      </c>
      <c r="F186">
        <f>VLOOKUP(A186,NYSEARCABND!A$2:G$506,7,0)</f>
        <v>0</v>
      </c>
      <c r="G186">
        <f>VLOOKUP(A186,NYSEARCATIP!A$2:G$506,7,0)</f>
        <v>0</v>
      </c>
      <c r="H186">
        <f>VLOOKUP(A186,NYSEARCAMUB!A$2:G$506,7,0)</f>
        <v>0</v>
      </c>
      <c r="I186">
        <f>VLOOKUP(A186,NYSEARCAVNQ!A$2:G$506,7,0)</f>
        <v>0</v>
      </c>
      <c r="J186">
        <f>VLOOKUP(A186,NYSEARCARWX!A$2:G$506,7,0)</f>
        <v>0</v>
      </c>
      <c r="K186">
        <f>VLOOKUP(A186,NYSEARCADBC!A$2:G$506,7,0)</f>
        <v>0</v>
      </c>
      <c r="L186">
        <f>VLOOKUP(A186,NYSEARCAGSG!A$2:G$506,7,0)</f>
        <v>0</v>
      </c>
      <c r="M186">
        <f>VLOOKUP(A186,NYSEARCAGLD!A$2:G$506,7,0)</f>
        <v>0</v>
      </c>
      <c r="N186">
        <f>VLOOKUP(A186,NYSEBP!A$2:G$506,7,0)</f>
        <v>0</v>
      </c>
      <c r="O186">
        <f>VLOOKUP(A186,NASDAQYHOO!A$2:G$506,7,0)</f>
        <v>0</v>
      </c>
    </row>
    <row r="187" spans="1:15">
      <c r="A187" s="39">
        <v>42416</v>
      </c>
      <c r="C187">
        <f>VLOOKUP(A187,NYSEARCAVTI!A$2:G$506,7,0)</f>
        <v>0</v>
      </c>
      <c r="D187">
        <f>VLOOKUP(A187,NYSEARCAVEU!A$2:G$506,7,0)</f>
        <v>0</v>
      </c>
      <c r="E187">
        <f>VLOOKUP(A187,NYSEARCAVWO!A$2:G$506,7,0)</f>
        <v>0</v>
      </c>
      <c r="F187">
        <f>VLOOKUP(A187,NYSEARCABND!A$2:G$506,7,0)</f>
        <v>0</v>
      </c>
      <c r="G187">
        <f>VLOOKUP(A187,NYSEARCATIP!A$2:G$506,7,0)</f>
        <v>0</v>
      </c>
      <c r="H187">
        <f>VLOOKUP(A187,NYSEARCAMUB!A$2:G$506,7,0)</f>
        <v>0</v>
      </c>
      <c r="I187">
        <f>VLOOKUP(A187,NYSEARCAVNQ!A$2:G$506,7,0)</f>
        <v>0</v>
      </c>
      <c r="J187">
        <f>VLOOKUP(A187,NYSEARCARWX!A$2:G$506,7,0)</f>
        <v>0</v>
      </c>
      <c r="K187">
        <f>VLOOKUP(A187,NYSEARCADBC!A$2:G$506,7,0)</f>
        <v>0</v>
      </c>
      <c r="L187">
        <f>VLOOKUP(A187,NYSEARCAGSG!A$2:G$506,7,0)</f>
        <v>0</v>
      </c>
      <c r="M187">
        <f>VLOOKUP(A187,NYSEARCAGLD!A$2:G$506,7,0)</f>
        <v>0</v>
      </c>
      <c r="N187">
        <f>VLOOKUP(A187,NYSEBP!A$2:G$506,7,0)</f>
        <v>0</v>
      </c>
      <c r="O187">
        <f>VLOOKUP(A187,NASDAQYHOO!A$2:G$506,7,0)</f>
        <v>0</v>
      </c>
    </row>
    <row r="188" spans="1:15">
      <c r="A188" s="39">
        <v>42417</v>
      </c>
      <c r="C188">
        <f>VLOOKUP(A188,NYSEARCAVTI!A$2:G$506,7,0)</f>
        <v>0</v>
      </c>
      <c r="D188">
        <f>VLOOKUP(A188,NYSEARCAVEU!A$2:G$506,7,0)</f>
        <v>0</v>
      </c>
      <c r="E188">
        <f>VLOOKUP(A188,NYSEARCAVWO!A$2:G$506,7,0)</f>
        <v>0</v>
      </c>
      <c r="F188">
        <f>VLOOKUP(A188,NYSEARCABND!A$2:G$506,7,0)</f>
        <v>0</v>
      </c>
      <c r="G188">
        <f>VLOOKUP(A188,NYSEARCATIP!A$2:G$506,7,0)</f>
        <v>0</v>
      </c>
      <c r="H188">
        <f>VLOOKUP(A188,NYSEARCAMUB!A$2:G$506,7,0)</f>
        <v>0</v>
      </c>
      <c r="I188">
        <f>VLOOKUP(A188,NYSEARCAVNQ!A$2:G$506,7,0)</f>
        <v>0</v>
      </c>
      <c r="J188">
        <f>VLOOKUP(A188,NYSEARCARWX!A$2:G$506,7,0)</f>
        <v>0</v>
      </c>
      <c r="K188">
        <f>VLOOKUP(A188,NYSEARCADBC!A$2:G$506,7,0)</f>
        <v>0</v>
      </c>
      <c r="L188">
        <f>VLOOKUP(A188,NYSEARCAGSG!A$2:G$506,7,0)</f>
        <v>0</v>
      </c>
      <c r="M188">
        <f>VLOOKUP(A188,NYSEARCAGLD!A$2:G$506,7,0)</f>
        <v>0</v>
      </c>
      <c r="N188">
        <f>VLOOKUP(A188,NYSEBP!A$2:G$506,7,0)</f>
        <v>0</v>
      </c>
      <c r="O188">
        <f>VLOOKUP(A188,NASDAQYHOO!A$2:G$506,7,0)</f>
        <v>0</v>
      </c>
    </row>
    <row r="189" spans="1:15">
      <c r="A189" s="39">
        <v>42418</v>
      </c>
      <c r="C189">
        <f>VLOOKUP(A189,NYSEARCAVTI!A$2:G$506,7,0)</f>
        <v>0</v>
      </c>
      <c r="D189">
        <f>VLOOKUP(A189,NYSEARCAVEU!A$2:G$506,7,0)</f>
        <v>0</v>
      </c>
      <c r="E189">
        <f>VLOOKUP(A189,NYSEARCAVWO!A$2:G$506,7,0)</f>
        <v>0</v>
      </c>
      <c r="F189">
        <f>VLOOKUP(A189,NYSEARCABND!A$2:G$506,7,0)</f>
        <v>0</v>
      </c>
      <c r="G189">
        <f>VLOOKUP(A189,NYSEARCATIP!A$2:G$506,7,0)</f>
        <v>0</v>
      </c>
      <c r="H189">
        <f>VLOOKUP(A189,NYSEARCAMUB!A$2:G$506,7,0)</f>
        <v>0</v>
      </c>
      <c r="I189">
        <f>VLOOKUP(A189,NYSEARCAVNQ!A$2:G$506,7,0)</f>
        <v>0</v>
      </c>
      <c r="J189">
        <f>VLOOKUP(A189,NYSEARCARWX!A$2:G$506,7,0)</f>
        <v>0</v>
      </c>
      <c r="K189">
        <f>VLOOKUP(A189,NYSEARCADBC!A$2:G$506,7,0)</f>
        <v>0</v>
      </c>
      <c r="L189">
        <f>VLOOKUP(A189,NYSEARCAGSG!A$2:G$506,7,0)</f>
        <v>0</v>
      </c>
      <c r="M189">
        <f>VLOOKUP(A189,NYSEARCAGLD!A$2:G$506,7,0)</f>
        <v>0</v>
      </c>
      <c r="N189">
        <f>VLOOKUP(A189,NYSEBP!A$2:G$506,7,0)</f>
        <v>0</v>
      </c>
      <c r="O189">
        <f>VLOOKUP(A189,NASDAQYHOO!A$2:G$506,7,0)</f>
        <v>0</v>
      </c>
    </row>
    <row r="190" spans="1:15">
      <c r="A190" s="39">
        <v>42419</v>
      </c>
      <c r="C190">
        <f>VLOOKUP(A190,NYSEARCAVTI!A$2:G$506,7,0)</f>
        <v>0</v>
      </c>
      <c r="D190">
        <f>VLOOKUP(A190,NYSEARCAVEU!A$2:G$506,7,0)</f>
        <v>0</v>
      </c>
      <c r="E190">
        <f>VLOOKUP(A190,NYSEARCAVWO!A$2:G$506,7,0)</f>
        <v>0</v>
      </c>
      <c r="F190">
        <f>VLOOKUP(A190,NYSEARCABND!A$2:G$506,7,0)</f>
        <v>0</v>
      </c>
      <c r="G190">
        <f>VLOOKUP(A190,NYSEARCATIP!A$2:G$506,7,0)</f>
        <v>0</v>
      </c>
      <c r="H190">
        <f>VLOOKUP(A190,NYSEARCAMUB!A$2:G$506,7,0)</f>
        <v>0</v>
      </c>
      <c r="I190">
        <f>VLOOKUP(A190,NYSEARCAVNQ!A$2:G$506,7,0)</f>
        <v>0</v>
      </c>
      <c r="J190">
        <f>VLOOKUP(A190,NYSEARCARWX!A$2:G$506,7,0)</f>
        <v>0</v>
      </c>
      <c r="K190">
        <f>VLOOKUP(A190,NYSEARCADBC!A$2:G$506,7,0)</f>
        <v>0</v>
      </c>
      <c r="L190">
        <f>VLOOKUP(A190,NYSEARCAGSG!A$2:G$506,7,0)</f>
        <v>0</v>
      </c>
      <c r="M190">
        <f>VLOOKUP(A190,NYSEARCAGLD!A$2:G$506,7,0)</f>
        <v>0</v>
      </c>
      <c r="N190">
        <f>VLOOKUP(A190,NYSEBP!A$2:G$506,7,0)</f>
        <v>0</v>
      </c>
      <c r="O190">
        <f>VLOOKUP(A190,NASDAQYHOO!A$2:G$506,7,0)</f>
        <v>0</v>
      </c>
    </row>
    <row r="191" spans="1:15">
      <c r="A191" s="39">
        <v>42422</v>
      </c>
      <c r="C191">
        <f>VLOOKUP(A191,NYSEARCAVTI!A$2:G$506,7,0)</f>
        <v>0</v>
      </c>
      <c r="D191">
        <f>VLOOKUP(A191,NYSEARCAVEU!A$2:G$506,7,0)</f>
        <v>0</v>
      </c>
      <c r="E191">
        <f>VLOOKUP(A191,NYSEARCAVWO!A$2:G$506,7,0)</f>
        <v>0</v>
      </c>
      <c r="F191">
        <f>VLOOKUP(A191,NYSEARCABND!A$2:G$506,7,0)</f>
        <v>0</v>
      </c>
      <c r="G191">
        <f>VLOOKUP(A191,NYSEARCATIP!A$2:G$506,7,0)</f>
        <v>0</v>
      </c>
      <c r="H191">
        <f>VLOOKUP(A191,NYSEARCAMUB!A$2:G$506,7,0)</f>
        <v>0</v>
      </c>
      <c r="I191">
        <f>VLOOKUP(A191,NYSEARCAVNQ!A$2:G$506,7,0)</f>
        <v>0</v>
      </c>
      <c r="J191">
        <f>VLOOKUP(A191,NYSEARCARWX!A$2:G$506,7,0)</f>
        <v>0</v>
      </c>
      <c r="K191">
        <f>VLOOKUP(A191,NYSEARCADBC!A$2:G$506,7,0)</f>
        <v>0</v>
      </c>
      <c r="L191">
        <f>VLOOKUP(A191,NYSEARCAGSG!A$2:G$506,7,0)</f>
        <v>0</v>
      </c>
      <c r="M191">
        <f>VLOOKUP(A191,NYSEARCAGLD!A$2:G$506,7,0)</f>
        <v>0</v>
      </c>
      <c r="N191">
        <f>VLOOKUP(A191,NYSEBP!A$2:G$506,7,0)</f>
        <v>0</v>
      </c>
      <c r="O191">
        <f>VLOOKUP(A191,NASDAQYHOO!A$2:G$506,7,0)</f>
        <v>0</v>
      </c>
    </row>
    <row r="192" spans="1:15">
      <c r="A192" s="39">
        <v>42423</v>
      </c>
      <c r="C192">
        <f>VLOOKUP(A192,NYSEARCAVTI!A$2:G$506,7,0)</f>
        <v>0</v>
      </c>
      <c r="D192">
        <f>VLOOKUP(A192,NYSEARCAVEU!A$2:G$506,7,0)</f>
        <v>0</v>
      </c>
      <c r="E192">
        <f>VLOOKUP(A192,NYSEARCAVWO!A$2:G$506,7,0)</f>
        <v>0</v>
      </c>
      <c r="F192">
        <f>VLOOKUP(A192,NYSEARCABND!A$2:G$506,7,0)</f>
        <v>0</v>
      </c>
      <c r="G192">
        <f>VLOOKUP(A192,NYSEARCATIP!A$2:G$506,7,0)</f>
        <v>0</v>
      </c>
      <c r="H192">
        <f>VLOOKUP(A192,NYSEARCAMUB!A$2:G$506,7,0)</f>
        <v>0</v>
      </c>
      <c r="I192">
        <f>VLOOKUP(A192,NYSEARCAVNQ!A$2:G$506,7,0)</f>
        <v>0</v>
      </c>
      <c r="J192">
        <f>VLOOKUP(A192,NYSEARCARWX!A$2:G$506,7,0)</f>
        <v>0</v>
      </c>
      <c r="K192">
        <f>VLOOKUP(A192,NYSEARCADBC!A$2:G$506,7,0)</f>
        <v>0</v>
      </c>
      <c r="L192">
        <f>VLOOKUP(A192,NYSEARCAGSG!A$2:G$506,7,0)</f>
        <v>0</v>
      </c>
      <c r="M192">
        <f>VLOOKUP(A192,NYSEARCAGLD!A$2:G$506,7,0)</f>
        <v>0</v>
      </c>
      <c r="N192">
        <f>VLOOKUP(A192,NYSEBP!A$2:G$506,7,0)</f>
        <v>0</v>
      </c>
      <c r="O192">
        <f>VLOOKUP(A192,NASDAQYHOO!A$2:G$506,7,0)</f>
        <v>0</v>
      </c>
    </row>
    <row r="193" spans="1:15">
      <c r="A193" s="39">
        <v>42424</v>
      </c>
      <c r="C193">
        <f>VLOOKUP(A193,NYSEARCAVTI!A$2:G$506,7,0)</f>
        <v>0</v>
      </c>
      <c r="D193">
        <f>VLOOKUP(A193,NYSEARCAVEU!A$2:G$506,7,0)</f>
        <v>0</v>
      </c>
      <c r="E193">
        <f>VLOOKUP(A193,NYSEARCAVWO!A$2:G$506,7,0)</f>
        <v>0</v>
      </c>
      <c r="F193">
        <f>VLOOKUP(A193,NYSEARCABND!A$2:G$506,7,0)</f>
        <v>0</v>
      </c>
      <c r="G193">
        <f>VLOOKUP(A193,NYSEARCATIP!A$2:G$506,7,0)</f>
        <v>0</v>
      </c>
      <c r="H193">
        <f>VLOOKUP(A193,NYSEARCAMUB!A$2:G$506,7,0)</f>
        <v>0</v>
      </c>
      <c r="I193">
        <f>VLOOKUP(A193,NYSEARCAVNQ!A$2:G$506,7,0)</f>
        <v>0</v>
      </c>
      <c r="J193">
        <f>VLOOKUP(A193,NYSEARCARWX!A$2:G$506,7,0)</f>
        <v>0</v>
      </c>
      <c r="K193">
        <f>VLOOKUP(A193,NYSEARCADBC!A$2:G$506,7,0)</f>
        <v>0</v>
      </c>
      <c r="L193">
        <f>VLOOKUP(A193,NYSEARCAGSG!A$2:G$506,7,0)</f>
        <v>0</v>
      </c>
      <c r="M193">
        <f>VLOOKUP(A193,NYSEARCAGLD!A$2:G$506,7,0)</f>
        <v>0</v>
      </c>
      <c r="N193">
        <f>VLOOKUP(A193,NYSEBP!A$2:G$506,7,0)</f>
        <v>0</v>
      </c>
      <c r="O193">
        <f>VLOOKUP(A193,NASDAQYHOO!A$2:G$506,7,0)</f>
        <v>0</v>
      </c>
    </row>
    <row r="194" spans="1:15">
      <c r="A194" s="39">
        <v>42425</v>
      </c>
      <c r="C194">
        <f>VLOOKUP(A194,NYSEARCAVTI!A$2:G$506,7,0)</f>
        <v>0</v>
      </c>
      <c r="D194">
        <f>VLOOKUP(A194,NYSEARCAVEU!A$2:G$506,7,0)</f>
        <v>0</v>
      </c>
      <c r="E194">
        <f>VLOOKUP(A194,NYSEARCAVWO!A$2:G$506,7,0)</f>
        <v>0</v>
      </c>
      <c r="F194">
        <f>VLOOKUP(A194,NYSEARCABND!A$2:G$506,7,0)</f>
        <v>0</v>
      </c>
      <c r="G194">
        <f>VLOOKUP(A194,NYSEARCATIP!A$2:G$506,7,0)</f>
        <v>0</v>
      </c>
      <c r="H194">
        <f>VLOOKUP(A194,NYSEARCAMUB!A$2:G$506,7,0)</f>
        <v>0</v>
      </c>
      <c r="I194">
        <f>VLOOKUP(A194,NYSEARCAVNQ!A$2:G$506,7,0)</f>
        <v>0</v>
      </c>
      <c r="J194">
        <f>VLOOKUP(A194,NYSEARCARWX!A$2:G$506,7,0)</f>
        <v>0</v>
      </c>
      <c r="K194">
        <f>VLOOKUP(A194,NYSEARCADBC!A$2:G$506,7,0)</f>
        <v>0</v>
      </c>
      <c r="L194">
        <f>VLOOKUP(A194,NYSEARCAGSG!A$2:G$506,7,0)</f>
        <v>0</v>
      </c>
      <c r="M194">
        <f>VLOOKUP(A194,NYSEARCAGLD!A$2:G$506,7,0)</f>
        <v>0</v>
      </c>
      <c r="N194">
        <f>VLOOKUP(A194,NYSEBP!A$2:G$506,7,0)</f>
        <v>0</v>
      </c>
      <c r="O194">
        <f>VLOOKUP(A194,NASDAQYHOO!A$2:G$506,7,0)</f>
        <v>0</v>
      </c>
    </row>
    <row r="195" spans="1:15">
      <c r="A195" s="39">
        <v>42426</v>
      </c>
      <c r="C195">
        <f>VLOOKUP(A195,NYSEARCAVTI!A$2:G$506,7,0)</f>
        <v>0</v>
      </c>
      <c r="D195">
        <f>VLOOKUP(A195,NYSEARCAVEU!A$2:G$506,7,0)</f>
        <v>0</v>
      </c>
      <c r="E195">
        <f>VLOOKUP(A195,NYSEARCAVWO!A$2:G$506,7,0)</f>
        <v>0</v>
      </c>
      <c r="F195">
        <f>VLOOKUP(A195,NYSEARCABND!A$2:G$506,7,0)</f>
        <v>0</v>
      </c>
      <c r="G195">
        <f>VLOOKUP(A195,NYSEARCATIP!A$2:G$506,7,0)</f>
        <v>0</v>
      </c>
      <c r="H195">
        <f>VLOOKUP(A195,NYSEARCAMUB!A$2:G$506,7,0)</f>
        <v>0</v>
      </c>
      <c r="I195">
        <f>VLOOKUP(A195,NYSEARCAVNQ!A$2:G$506,7,0)</f>
        <v>0</v>
      </c>
      <c r="J195">
        <f>VLOOKUP(A195,NYSEARCARWX!A$2:G$506,7,0)</f>
        <v>0</v>
      </c>
      <c r="K195">
        <f>VLOOKUP(A195,NYSEARCADBC!A$2:G$506,7,0)</f>
        <v>0</v>
      </c>
      <c r="L195">
        <f>VLOOKUP(A195,NYSEARCAGSG!A$2:G$506,7,0)</f>
        <v>0</v>
      </c>
      <c r="M195">
        <f>VLOOKUP(A195,NYSEARCAGLD!A$2:G$506,7,0)</f>
        <v>0</v>
      </c>
      <c r="N195">
        <f>VLOOKUP(A195,NYSEBP!A$2:G$506,7,0)</f>
        <v>0</v>
      </c>
      <c r="O195">
        <f>VLOOKUP(A195,NASDAQYHOO!A$2:G$506,7,0)</f>
        <v>0</v>
      </c>
    </row>
    <row r="196" spans="1:15">
      <c r="A196" s="39">
        <v>42429</v>
      </c>
      <c r="C196">
        <f>VLOOKUP(A196,NYSEARCAVTI!A$2:G$506,7,0)</f>
        <v>0</v>
      </c>
      <c r="D196">
        <f>VLOOKUP(A196,NYSEARCAVEU!A$2:G$506,7,0)</f>
        <v>0</v>
      </c>
      <c r="E196">
        <f>VLOOKUP(A196,NYSEARCAVWO!A$2:G$506,7,0)</f>
        <v>0</v>
      </c>
      <c r="F196">
        <f>VLOOKUP(A196,NYSEARCABND!A$2:G$506,7,0)</f>
        <v>0</v>
      </c>
      <c r="G196">
        <f>VLOOKUP(A196,NYSEARCATIP!A$2:G$506,7,0)</f>
        <v>0</v>
      </c>
      <c r="H196">
        <f>VLOOKUP(A196,NYSEARCAMUB!A$2:G$506,7,0)</f>
        <v>0</v>
      </c>
      <c r="I196">
        <f>VLOOKUP(A196,NYSEARCAVNQ!A$2:G$506,7,0)</f>
        <v>0</v>
      </c>
      <c r="J196">
        <f>VLOOKUP(A196,NYSEARCARWX!A$2:G$506,7,0)</f>
        <v>0</v>
      </c>
      <c r="K196">
        <f>VLOOKUP(A196,NYSEARCADBC!A$2:G$506,7,0)</f>
        <v>0</v>
      </c>
      <c r="L196">
        <f>VLOOKUP(A196,NYSEARCAGSG!A$2:G$506,7,0)</f>
        <v>0</v>
      </c>
      <c r="M196">
        <f>VLOOKUP(A196,NYSEARCAGLD!A$2:G$506,7,0)</f>
        <v>0</v>
      </c>
      <c r="N196">
        <f>VLOOKUP(A196,NYSEBP!A$2:G$506,7,0)</f>
        <v>0</v>
      </c>
      <c r="O196">
        <f>VLOOKUP(A196,NASDAQYHOO!A$2:G$506,7,0)</f>
        <v>0</v>
      </c>
    </row>
    <row r="197" spans="1:15">
      <c r="A197" s="39">
        <v>42430</v>
      </c>
      <c r="C197">
        <f>VLOOKUP(A197,NYSEARCAVTI!A$2:G$506,7,0)</f>
        <v>0</v>
      </c>
      <c r="D197">
        <f>VLOOKUP(A197,NYSEARCAVEU!A$2:G$506,7,0)</f>
        <v>0</v>
      </c>
      <c r="E197">
        <f>VLOOKUP(A197,NYSEARCAVWO!A$2:G$506,7,0)</f>
        <v>0</v>
      </c>
      <c r="F197">
        <f>VLOOKUP(A197,NYSEARCABND!A$2:G$506,7,0)</f>
        <v>0</v>
      </c>
      <c r="G197">
        <f>VLOOKUP(A197,NYSEARCATIP!A$2:G$506,7,0)</f>
        <v>0</v>
      </c>
      <c r="H197">
        <f>VLOOKUP(A197,NYSEARCAMUB!A$2:G$506,7,0)</f>
        <v>0</v>
      </c>
      <c r="I197">
        <f>VLOOKUP(A197,NYSEARCAVNQ!A$2:G$506,7,0)</f>
        <v>0</v>
      </c>
      <c r="J197">
        <f>VLOOKUP(A197,NYSEARCARWX!A$2:G$506,7,0)</f>
        <v>0</v>
      </c>
      <c r="K197">
        <f>VLOOKUP(A197,NYSEARCADBC!A$2:G$506,7,0)</f>
        <v>0</v>
      </c>
      <c r="L197">
        <f>VLOOKUP(A197,NYSEARCAGSG!A$2:G$506,7,0)</f>
        <v>0</v>
      </c>
      <c r="M197">
        <f>VLOOKUP(A197,NYSEARCAGLD!A$2:G$506,7,0)</f>
        <v>0</v>
      </c>
      <c r="N197">
        <f>VLOOKUP(A197,NYSEBP!A$2:G$506,7,0)</f>
        <v>0</v>
      </c>
      <c r="O197">
        <f>VLOOKUP(A197,NASDAQYHOO!A$2:G$506,7,0)</f>
        <v>0</v>
      </c>
    </row>
    <row r="198" spans="1:15">
      <c r="A198" s="39">
        <v>42431</v>
      </c>
      <c r="C198">
        <f>VLOOKUP(A198,NYSEARCAVTI!A$2:G$506,7,0)</f>
        <v>0</v>
      </c>
      <c r="D198">
        <f>VLOOKUP(A198,NYSEARCAVEU!A$2:G$506,7,0)</f>
        <v>0</v>
      </c>
      <c r="E198">
        <f>VLOOKUP(A198,NYSEARCAVWO!A$2:G$506,7,0)</f>
        <v>0</v>
      </c>
      <c r="F198">
        <f>VLOOKUP(A198,NYSEARCABND!A$2:G$506,7,0)</f>
        <v>0</v>
      </c>
      <c r="G198">
        <f>VLOOKUP(A198,NYSEARCATIP!A$2:G$506,7,0)</f>
        <v>0</v>
      </c>
      <c r="H198">
        <f>VLOOKUP(A198,NYSEARCAMUB!A$2:G$506,7,0)</f>
        <v>0</v>
      </c>
      <c r="I198">
        <f>VLOOKUP(A198,NYSEARCAVNQ!A$2:G$506,7,0)</f>
        <v>0</v>
      </c>
      <c r="J198">
        <f>VLOOKUP(A198,NYSEARCARWX!A$2:G$506,7,0)</f>
        <v>0</v>
      </c>
      <c r="K198">
        <f>VLOOKUP(A198,NYSEARCADBC!A$2:G$506,7,0)</f>
        <v>0</v>
      </c>
      <c r="L198">
        <f>VLOOKUP(A198,NYSEARCAGSG!A$2:G$506,7,0)</f>
        <v>0</v>
      </c>
      <c r="M198">
        <f>VLOOKUP(A198,NYSEARCAGLD!A$2:G$506,7,0)</f>
        <v>0</v>
      </c>
      <c r="N198">
        <f>VLOOKUP(A198,NYSEBP!A$2:G$506,7,0)</f>
        <v>0</v>
      </c>
      <c r="O198">
        <f>VLOOKUP(A198,NASDAQYHOO!A$2:G$506,7,0)</f>
        <v>0</v>
      </c>
    </row>
    <row r="199" spans="1:15">
      <c r="A199" s="39">
        <v>42432</v>
      </c>
      <c r="C199">
        <f>VLOOKUP(A199,NYSEARCAVTI!A$2:G$506,7,0)</f>
        <v>0</v>
      </c>
      <c r="D199">
        <f>VLOOKUP(A199,NYSEARCAVEU!A$2:G$506,7,0)</f>
        <v>0</v>
      </c>
      <c r="E199">
        <f>VLOOKUP(A199,NYSEARCAVWO!A$2:G$506,7,0)</f>
        <v>0</v>
      </c>
      <c r="F199">
        <f>VLOOKUP(A199,NYSEARCABND!A$2:G$506,7,0)</f>
        <v>0</v>
      </c>
      <c r="G199">
        <f>VLOOKUP(A199,NYSEARCATIP!A$2:G$506,7,0)</f>
        <v>0</v>
      </c>
      <c r="H199">
        <f>VLOOKUP(A199,NYSEARCAMUB!A$2:G$506,7,0)</f>
        <v>0</v>
      </c>
      <c r="I199">
        <f>VLOOKUP(A199,NYSEARCAVNQ!A$2:G$506,7,0)</f>
        <v>0</v>
      </c>
      <c r="J199">
        <f>VLOOKUP(A199,NYSEARCARWX!A$2:G$506,7,0)</f>
        <v>0</v>
      </c>
      <c r="K199">
        <f>VLOOKUP(A199,NYSEARCADBC!A$2:G$506,7,0)</f>
        <v>0</v>
      </c>
      <c r="L199">
        <f>VLOOKUP(A199,NYSEARCAGSG!A$2:G$506,7,0)</f>
        <v>0</v>
      </c>
      <c r="M199">
        <f>VLOOKUP(A199,NYSEARCAGLD!A$2:G$506,7,0)</f>
        <v>0</v>
      </c>
      <c r="N199">
        <f>VLOOKUP(A199,NYSEBP!A$2:G$506,7,0)</f>
        <v>0</v>
      </c>
      <c r="O199">
        <f>VLOOKUP(A199,NASDAQYHOO!A$2:G$506,7,0)</f>
        <v>0</v>
      </c>
    </row>
    <row r="200" spans="1:15">
      <c r="A200" s="39">
        <v>42433</v>
      </c>
      <c r="C200">
        <f>VLOOKUP(A200,NYSEARCAVTI!A$2:G$506,7,0)</f>
        <v>0</v>
      </c>
      <c r="D200">
        <f>VLOOKUP(A200,NYSEARCAVEU!A$2:G$506,7,0)</f>
        <v>0</v>
      </c>
      <c r="E200">
        <f>VLOOKUP(A200,NYSEARCAVWO!A$2:G$506,7,0)</f>
        <v>0</v>
      </c>
      <c r="F200">
        <f>VLOOKUP(A200,NYSEARCABND!A$2:G$506,7,0)</f>
        <v>0</v>
      </c>
      <c r="G200">
        <f>VLOOKUP(A200,NYSEARCATIP!A$2:G$506,7,0)</f>
        <v>0</v>
      </c>
      <c r="H200">
        <f>VLOOKUP(A200,NYSEARCAMUB!A$2:G$506,7,0)</f>
        <v>0</v>
      </c>
      <c r="I200">
        <f>VLOOKUP(A200,NYSEARCAVNQ!A$2:G$506,7,0)</f>
        <v>0</v>
      </c>
      <c r="J200">
        <f>VLOOKUP(A200,NYSEARCARWX!A$2:G$506,7,0)</f>
        <v>0</v>
      </c>
      <c r="K200">
        <f>VLOOKUP(A200,NYSEARCADBC!A$2:G$506,7,0)</f>
        <v>0</v>
      </c>
      <c r="L200">
        <f>VLOOKUP(A200,NYSEARCAGSG!A$2:G$506,7,0)</f>
        <v>0</v>
      </c>
      <c r="M200">
        <f>VLOOKUP(A200,NYSEARCAGLD!A$2:G$506,7,0)</f>
        <v>0</v>
      </c>
      <c r="N200">
        <f>VLOOKUP(A200,NYSEBP!A$2:G$506,7,0)</f>
        <v>0</v>
      </c>
      <c r="O200">
        <f>VLOOKUP(A200,NASDAQYHOO!A$2:G$506,7,0)</f>
        <v>0</v>
      </c>
    </row>
    <row r="201" spans="1:15">
      <c r="A201" s="39">
        <v>42436</v>
      </c>
      <c r="C201">
        <f>VLOOKUP(A201,NYSEARCAVTI!A$2:G$506,7,0)</f>
        <v>0</v>
      </c>
      <c r="D201">
        <f>VLOOKUP(A201,NYSEARCAVEU!A$2:G$506,7,0)</f>
        <v>0</v>
      </c>
      <c r="E201">
        <f>VLOOKUP(A201,NYSEARCAVWO!A$2:G$506,7,0)</f>
        <v>0</v>
      </c>
      <c r="F201">
        <f>VLOOKUP(A201,NYSEARCABND!A$2:G$506,7,0)</f>
        <v>0</v>
      </c>
      <c r="G201">
        <f>VLOOKUP(A201,NYSEARCATIP!A$2:G$506,7,0)</f>
        <v>0</v>
      </c>
      <c r="H201">
        <f>VLOOKUP(A201,NYSEARCAMUB!A$2:G$506,7,0)</f>
        <v>0</v>
      </c>
      <c r="I201">
        <f>VLOOKUP(A201,NYSEARCAVNQ!A$2:G$506,7,0)</f>
        <v>0</v>
      </c>
      <c r="J201">
        <f>VLOOKUP(A201,NYSEARCARWX!A$2:G$506,7,0)</f>
        <v>0</v>
      </c>
      <c r="K201">
        <f>VLOOKUP(A201,NYSEARCADBC!A$2:G$506,7,0)</f>
        <v>0</v>
      </c>
      <c r="L201">
        <f>VLOOKUP(A201,NYSEARCAGSG!A$2:G$506,7,0)</f>
        <v>0</v>
      </c>
      <c r="M201">
        <f>VLOOKUP(A201,NYSEARCAGLD!A$2:G$506,7,0)</f>
        <v>0</v>
      </c>
      <c r="N201">
        <f>VLOOKUP(A201,NYSEBP!A$2:G$506,7,0)</f>
        <v>0</v>
      </c>
      <c r="O201">
        <f>VLOOKUP(A201,NASDAQYHOO!A$2:G$506,7,0)</f>
        <v>0</v>
      </c>
    </row>
    <row r="202" spans="1:15">
      <c r="A202" s="39">
        <v>42437</v>
      </c>
      <c r="C202">
        <f>VLOOKUP(A202,NYSEARCAVTI!A$2:G$506,7,0)</f>
        <v>0</v>
      </c>
      <c r="D202">
        <f>VLOOKUP(A202,NYSEARCAVEU!A$2:G$506,7,0)</f>
        <v>0</v>
      </c>
      <c r="E202">
        <f>VLOOKUP(A202,NYSEARCAVWO!A$2:G$506,7,0)</f>
        <v>0</v>
      </c>
      <c r="F202">
        <f>VLOOKUP(A202,NYSEARCABND!A$2:G$506,7,0)</f>
        <v>0</v>
      </c>
      <c r="G202">
        <f>VLOOKUP(A202,NYSEARCATIP!A$2:G$506,7,0)</f>
        <v>0</v>
      </c>
      <c r="H202">
        <f>VLOOKUP(A202,NYSEARCAMUB!A$2:G$506,7,0)</f>
        <v>0</v>
      </c>
      <c r="I202">
        <f>VLOOKUP(A202,NYSEARCAVNQ!A$2:G$506,7,0)</f>
        <v>0</v>
      </c>
      <c r="J202">
        <f>VLOOKUP(A202,NYSEARCARWX!A$2:G$506,7,0)</f>
        <v>0</v>
      </c>
      <c r="K202">
        <f>VLOOKUP(A202,NYSEARCADBC!A$2:G$506,7,0)</f>
        <v>0</v>
      </c>
      <c r="L202">
        <f>VLOOKUP(A202,NYSEARCAGSG!A$2:G$506,7,0)</f>
        <v>0</v>
      </c>
      <c r="M202">
        <f>VLOOKUP(A202,NYSEARCAGLD!A$2:G$506,7,0)</f>
        <v>0</v>
      </c>
      <c r="N202">
        <f>VLOOKUP(A202,NYSEBP!A$2:G$506,7,0)</f>
        <v>0</v>
      </c>
      <c r="O202">
        <f>VLOOKUP(A202,NASDAQYHOO!A$2:G$506,7,0)</f>
        <v>0</v>
      </c>
    </row>
    <row r="203" spans="1:15">
      <c r="A203" s="39">
        <v>42438</v>
      </c>
      <c r="C203">
        <f>VLOOKUP(A203,NYSEARCAVTI!A$2:G$506,7,0)</f>
        <v>0</v>
      </c>
      <c r="D203">
        <f>VLOOKUP(A203,NYSEARCAVEU!A$2:G$506,7,0)</f>
        <v>0</v>
      </c>
      <c r="E203">
        <f>VLOOKUP(A203,NYSEARCAVWO!A$2:G$506,7,0)</f>
        <v>0</v>
      </c>
      <c r="F203">
        <f>VLOOKUP(A203,NYSEARCABND!A$2:G$506,7,0)</f>
        <v>0</v>
      </c>
      <c r="G203">
        <f>VLOOKUP(A203,NYSEARCATIP!A$2:G$506,7,0)</f>
        <v>0</v>
      </c>
      <c r="H203">
        <f>VLOOKUP(A203,NYSEARCAMUB!A$2:G$506,7,0)</f>
        <v>0</v>
      </c>
      <c r="I203">
        <f>VLOOKUP(A203,NYSEARCAVNQ!A$2:G$506,7,0)</f>
        <v>0</v>
      </c>
      <c r="J203">
        <f>VLOOKUP(A203,NYSEARCARWX!A$2:G$506,7,0)</f>
        <v>0</v>
      </c>
      <c r="K203">
        <f>VLOOKUP(A203,NYSEARCADBC!A$2:G$506,7,0)</f>
        <v>0</v>
      </c>
      <c r="L203">
        <f>VLOOKUP(A203,NYSEARCAGSG!A$2:G$506,7,0)</f>
        <v>0</v>
      </c>
      <c r="M203">
        <f>VLOOKUP(A203,NYSEARCAGLD!A$2:G$506,7,0)</f>
        <v>0</v>
      </c>
      <c r="N203">
        <f>VLOOKUP(A203,NYSEBP!A$2:G$506,7,0)</f>
        <v>0</v>
      </c>
      <c r="O203">
        <f>VLOOKUP(A203,NASDAQYHOO!A$2:G$506,7,0)</f>
        <v>0</v>
      </c>
    </row>
    <row r="204" spans="1:15">
      <c r="A204" s="39">
        <v>42439</v>
      </c>
      <c r="C204">
        <f>VLOOKUP(A204,NYSEARCAVTI!A$2:G$506,7,0)</f>
        <v>0</v>
      </c>
      <c r="D204">
        <f>VLOOKUP(A204,NYSEARCAVEU!A$2:G$506,7,0)</f>
        <v>0</v>
      </c>
      <c r="E204">
        <f>VLOOKUP(A204,NYSEARCAVWO!A$2:G$506,7,0)</f>
        <v>0</v>
      </c>
      <c r="F204">
        <f>VLOOKUP(A204,NYSEARCABND!A$2:G$506,7,0)</f>
        <v>0</v>
      </c>
      <c r="G204">
        <f>VLOOKUP(A204,NYSEARCATIP!A$2:G$506,7,0)</f>
        <v>0</v>
      </c>
      <c r="H204">
        <f>VLOOKUP(A204,NYSEARCAMUB!A$2:G$506,7,0)</f>
        <v>0</v>
      </c>
      <c r="I204">
        <f>VLOOKUP(A204,NYSEARCAVNQ!A$2:G$506,7,0)</f>
        <v>0</v>
      </c>
      <c r="J204">
        <f>VLOOKUP(A204,NYSEARCARWX!A$2:G$506,7,0)</f>
        <v>0</v>
      </c>
      <c r="K204">
        <f>VLOOKUP(A204,NYSEARCADBC!A$2:G$506,7,0)</f>
        <v>0</v>
      </c>
      <c r="L204">
        <f>VLOOKUP(A204,NYSEARCAGSG!A$2:G$506,7,0)</f>
        <v>0</v>
      </c>
      <c r="M204">
        <f>VLOOKUP(A204,NYSEARCAGLD!A$2:G$506,7,0)</f>
        <v>0</v>
      </c>
      <c r="N204">
        <f>VLOOKUP(A204,NYSEBP!A$2:G$506,7,0)</f>
        <v>0</v>
      </c>
      <c r="O204">
        <f>VLOOKUP(A204,NASDAQYHOO!A$2:G$506,7,0)</f>
        <v>0</v>
      </c>
    </row>
    <row r="205" spans="1:15">
      <c r="A205" s="39">
        <v>42440</v>
      </c>
      <c r="C205">
        <f>VLOOKUP(A205,NYSEARCAVTI!A$2:G$506,7,0)</f>
        <v>0</v>
      </c>
      <c r="D205">
        <f>VLOOKUP(A205,NYSEARCAVEU!A$2:G$506,7,0)</f>
        <v>0</v>
      </c>
      <c r="E205">
        <f>VLOOKUP(A205,NYSEARCAVWO!A$2:G$506,7,0)</f>
        <v>0</v>
      </c>
      <c r="F205">
        <f>VLOOKUP(A205,NYSEARCABND!A$2:G$506,7,0)</f>
        <v>0</v>
      </c>
      <c r="G205">
        <f>VLOOKUP(A205,NYSEARCATIP!A$2:G$506,7,0)</f>
        <v>0</v>
      </c>
      <c r="H205">
        <f>VLOOKUP(A205,NYSEARCAMUB!A$2:G$506,7,0)</f>
        <v>0</v>
      </c>
      <c r="I205">
        <f>VLOOKUP(A205,NYSEARCAVNQ!A$2:G$506,7,0)</f>
        <v>0</v>
      </c>
      <c r="J205">
        <f>VLOOKUP(A205,NYSEARCARWX!A$2:G$506,7,0)</f>
        <v>0</v>
      </c>
      <c r="K205">
        <f>VLOOKUP(A205,NYSEARCADBC!A$2:G$506,7,0)</f>
        <v>0</v>
      </c>
      <c r="L205">
        <f>VLOOKUP(A205,NYSEARCAGSG!A$2:G$506,7,0)</f>
        <v>0</v>
      </c>
      <c r="M205">
        <f>VLOOKUP(A205,NYSEARCAGLD!A$2:G$506,7,0)</f>
        <v>0</v>
      </c>
      <c r="N205">
        <f>VLOOKUP(A205,NYSEBP!A$2:G$506,7,0)</f>
        <v>0</v>
      </c>
      <c r="O205">
        <f>VLOOKUP(A205,NASDAQYHOO!A$2:G$506,7,0)</f>
        <v>0</v>
      </c>
    </row>
    <row r="206" spans="1:15">
      <c r="A206" s="39">
        <v>42443</v>
      </c>
      <c r="C206">
        <f>VLOOKUP(A206,NYSEARCAVTI!A$2:G$506,7,0)</f>
        <v>0</v>
      </c>
      <c r="D206">
        <f>VLOOKUP(A206,NYSEARCAVEU!A$2:G$506,7,0)</f>
        <v>0</v>
      </c>
      <c r="E206">
        <f>VLOOKUP(A206,NYSEARCAVWO!A$2:G$506,7,0)</f>
        <v>0</v>
      </c>
      <c r="F206">
        <f>VLOOKUP(A206,NYSEARCABND!A$2:G$506,7,0)</f>
        <v>0</v>
      </c>
      <c r="G206">
        <f>VLOOKUP(A206,NYSEARCATIP!A$2:G$506,7,0)</f>
        <v>0</v>
      </c>
      <c r="H206">
        <f>VLOOKUP(A206,NYSEARCAMUB!A$2:G$506,7,0)</f>
        <v>0</v>
      </c>
      <c r="I206">
        <f>VLOOKUP(A206,NYSEARCAVNQ!A$2:G$506,7,0)</f>
        <v>0</v>
      </c>
      <c r="J206">
        <f>VLOOKUP(A206,NYSEARCARWX!A$2:G$506,7,0)</f>
        <v>0</v>
      </c>
      <c r="K206">
        <f>VLOOKUP(A206,NYSEARCADBC!A$2:G$506,7,0)</f>
        <v>0</v>
      </c>
      <c r="L206">
        <f>VLOOKUP(A206,NYSEARCAGSG!A$2:G$506,7,0)</f>
        <v>0</v>
      </c>
      <c r="M206">
        <f>VLOOKUP(A206,NYSEARCAGLD!A$2:G$506,7,0)</f>
        <v>0</v>
      </c>
      <c r="N206">
        <f>VLOOKUP(A206,NYSEBP!A$2:G$506,7,0)</f>
        <v>0</v>
      </c>
      <c r="O206">
        <f>VLOOKUP(A206,NASDAQYHOO!A$2:G$506,7,0)</f>
        <v>0</v>
      </c>
    </row>
    <row r="207" spans="1:15">
      <c r="A207" s="39">
        <v>42444</v>
      </c>
      <c r="C207">
        <f>VLOOKUP(A207,NYSEARCAVTI!A$2:G$506,7,0)</f>
        <v>0</v>
      </c>
      <c r="D207">
        <f>VLOOKUP(A207,NYSEARCAVEU!A$2:G$506,7,0)</f>
        <v>0</v>
      </c>
      <c r="E207">
        <f>VLOOKUP(A207,NYSEARCAVWO!A$2:G$506,7,0)</f>
        <v>0</v>
      </c>
      <c r="F207">
        <f>VLOOKUP(A207,NYSEARCABND!A$2:G$506,7,0)</f>
        <v>0</v>
      </c>
      <c r="G207">
        <f>VLOOKUP(A207,NYSEARCATIP!A$2:G$506,7,0)</f>
        <v>0</v>
      </c>
      <c r="H207">
        <f>VLOOKUP(A207,NYSEARCAMUB!A$2:G$506,7,0)</f>
        <v>0</v>
      </c>
      <c r="I207">
        <f>VLOOKUP(A207,NYSEARCAVNQ!A$2:G$506,7,0)</f>
        <v>0</v>
      </c>
      <c r="J207">
        <f>VLOOKUP(A207,NYSEARCARWX!A$2:G$506,7,0)</f>
        <v>0</v>
      </c>
      <c r="K207">
        <f>VLOOKUP(A207,NYSEARCADBC!A$2:G$506,7,0)</f>
        <v>0</v>
      </c>
      <c r="L207">
        <f>VLOOKUP(A207,NYSEARCAGSG!A$2:G$506,7,0)</f>
        <v>0</v>
      </c>
      <c r="M207">
        <f>VLOOKUP(A207,NYSEARCAGLD!A$2:G$506,7,0)</f>
        <v>0</v>
      </c>
      <c r="N207">
        <f>VLOOKUP(A207,NYSEBP!A$2:G$506,7,0)</f>
        <v>0</v>
      </c>
      <c r="O207">
        <f>VLOOKUP(A207,NASDAQYHOO!A$2:G$506,7,0)</f>
        <v>0</v>
      </c>
    </row>
    <row r="208" spans="1:15">
      <c r="A208" s="39">
        <v>42445</v>
      </c>
      <c r="C208">
        <f>VLOOKUP(A208,NYSEARCAVTI!A$2:G$506,7,0)</f>
        <v>0</v>
      </c>
      <c r="D208">
        <f>VLOOKUP(A208,NYSEARCAVEU!A$2:G$506,7,0)</f>
        <v>0</v>
      </c>
      <c r="E208">
        <f>VLOOKUP(A208,NYSEARCAVWO!A$2:G$506,7,0)</f>
        <v>0</v>
      </c>
      <c r="F208">
        <f>VLOOKUP(A208,NYSEARCABND!A$2:G$506,7,0)</f>
        <v>0</v>
      </c>
      <c r="G208">
        <f>VLOOKUP(A208,NYSEARCATIP!A$2:G$506,7,0)</f>
        <v>0</v>
      </c>
      <c r="H208">
        <f>VLOOKUP(A208,NYSEARCAMUB!A$2:G$506,7,0)</f>
        <v>0</v>
      </c>
      <c r="I208">
        <f>VLOOKUP(A208,NYSEARCAVNQ!A$2:G$506,7,0)</f>
        <v>0</v>
      </c>
      <c r="J208">
        <f>VLOOKUP(A208,NYSEARCARWX!A$2:G$506,7,0)</f>
        <v>0</v>
      </c>
      <c r="K208">
        <f>VLOOKUP(A208,NYSEARCADBC!A$2:G$506,7,0)</f>
        <v>0</v>
      </c>
      <c r="L208">
        <f>VLOOKUP(A208,NYSEARCAGSG!A$2:G$506,7,0)</f>
        <v>0</v>
      </c>
      <c r="M208">
        <f>VLOOKUP(A208,NYSEARCAGLD!A$2:G$506,7,0)</f>
        <v>0</v>
      </c>
      <c r="N208">
        <f>VLOOKUP(A208,NYSEBP!A$2:G$506,7,0)</f>
        <v>0</v>
      </c>
      <c r="O208">
        <f>VLOOKUP(A208,NASDAQYHOO!A$2:G$506,7,0)</f>
        <v>0</v>
      </c>
    </row>
    <row r="209" spans="1:15">
      <c r="A209" s="39">
        <v>42446</v>
      </c>
      <c r="C209">
        <f>VLOOKUP(A209,NYSEARCAVTI!A$2:G$506,7,0)</f>
        <v>0</v>
      </c>
      <c r="D209">
        <f>VLOOKUP(A209,NYSEARCAVEU!A$2:G$506,7,0)</f>
        <v>0</v>
      </c>
      <c r="E209">
        <f>VLOOKUP(A209,NYSEARCAVWO!A$2:G$506,7,0)</f>
        <v>0</v>
      </c>
      <c r="F209">
        <f>VLOOKUP(A209,NYSEARCABND!A$2:G$506,7,0)</f>
        <v>0</v>
      </c>
      <c r="G209">
        <f>VLOOKUP(A209,NYSEARCATIP!A$2:G$506,7,0)</f>
        <v>0</v>
      </c>
      <c r="H209">
        <f>VLOOKUP(A209,NYSEARCAMUB!A$2:G$506,7,0)</f>
        <v>0</v>
      </c>
      <c r="I209">
        <f>VLOOKUP(A209,NYSEARCAVNQ!A$2:G$506,7,0)</f>
        <v>0</v>
      </c>
      <c r="J209">
        <f>VLOOKUP(A209,NYSEARCARWX!A$2:G$506,7,0)</f>
        <v>0</v>
      </c>
      <c r="K209">
        <f>VLOOKUP(A209,NYSEARCADBC!A$2:G$506,7,0)</f>
        <v>0</v>
      </c>
      <c r="L209">
        <f>VLOOKUP(A209,NYSEARCAGSG!A$2:G$506,7,0)</f>
        <v>0</v>
      </c>
      <c r="M209">
        <f>VLOOKUP(A209,NYSEARCAGLD!A$2:G$506,7,0)</f>
        <v>0</v>
      </c>
      <c r="N209">
        <f>VLOOKUP(A209,NYSEBP!A$2:G$506,7,0)</f>
        <v>0</v>
      </c>
      <c r="O209">
        <f>VLOOKUP(A209,NASDAQYHOO!A$2:G$506,7,0)</f>
        <v>0</v>
      </c>
    </row>
    <row r="210" spans="1:15">
      <c r="A210" s="39">
        <v>42447</v>
      </c>
      <c r="C210">
        <f>VLOOKUP(A210,NYSEARCAVTI!A$2:G$506,7,0)</f>
        <v>0</v>
      </c>
      <c r="D210">
        <f>VLOOKUP(A210,NYSEARCAVEU!A$2:G$506,7,0)</f>
        <v>0</v>
      </c>
      <c r="E210">
        <f>VLOOKUP(A210,NYSEARCAVWO!A$2:G$506,7,0)</f>
        <v>0</v>
      </c>
      <c r="F210">
        <f>VLOOKUP(A210,NYSEARCABND!A$2:G$506,7,0)</f>
        <v>0</v>
      </c>
      <c r="G210">
        <f>VLOOKUP(A210,NYSEARCATIP!A$2:G$506,7,0)</f>
        <v>0</v>
      </c>
      <c r="H210">
        <f>VLOOKUP(A210,NYSEARCAMUB!A$2:G$506,7,0)</f>
        <v>0</v>
      </c>
      <c r="I210">
        <f>VLOOKUP(A210,NYSEARCAVNQ!A$2:G$506,7,0)</f>
        <v>0</v>
      </c>
      <c r="J210">
        <f>VLOOKUP(A210,NYSEARCARWX!A$2:G$506,7,0)</f>
        <v>0</v>
      </c>
      <c r="K210">
        <f>VLOOKUP(A210,NYSEARCADBC!A$2:G$506,7,0)</f>
        <v>0</v>
      </c>
      <c r="L210">
        <f>VLOOKUP(A210,NYSEARCAGSG!A$2:G$506,7,0)</f>
        <v>0</v>
      </c>
      <c r="M210">
        <f>VLOOKUP(A210,NYSEARCAGLD!A$2:G$506,7,0)</f>
        <v>0</v>
      </c>
      <c r="N210">
        <f>VLOOKUP(A210,NYSEBP!A$2:G$506,7,0)</f>
        <v>0</v>
      </c>
      <c r="O210">
        <f>VLOOKUP(A210,NASDAQYHOO!A$2:G$506,7,0)</f>
        <v>0</v>
      </c>
    </row>
    <row r="211" spans="1:15">
      <c r="A211" s="39">
        <v>42450</v>
      </c>
      <c r="C211">
        <f>VLOOKUP(A211,NYSEARCAVTI!A$2:G$506,7,0)</f>
        <v>0</v>
      </c>
      <c r="D211">
        <f>VLOOKUP(A211,NYSEARCAVEU!A$2:G$506,7,0)</f>
        <v>0</v>
      </c>
      <c r="E211">
        <f>VLOOKUP(A211,NYSEARCAVWO!A$2:G$506,7,0)</f>
        <v>0</v>
      </c>
      <c r="F211">
        <f>VLOOKUP(A211,NYSEARCABND!A$2:G$506,7,0)</f>
        <v>0</v>
      </c>
      <c r="G211">
        <f>VLOOKUP(A211,NYSEARCATIP!A$2:G$506,7,0)</f>
        <v>0</v>
      </c>
      <c r="H211">
        <f>VLOOKUP(A211,NYSEARCAMUB!A$2:G$506,7,0)</f>
        <v>0</v>
      </c>
      <c r="I211">
        <f>VLOOKUP(A211,NYSEARCAVNQ!A$2:G$506,7,0)</f>
        <v>0</v>
      </c>
      <c r="J211">
        <f>VLOOKUP(A211,NYSEARCARWX!A$2:G$506,7,0)</f>
        <v>0</v>
      </c>
      <c r="K211">
        <f>VLOOKUP(A211,NYSEARCADBC!A$2:G$506,7,0)</f>
        <v>0</v>
      </c>
      <c r="L211">
        <f>VLOOKUP(A211,NYSEARCAGSG!A$2:G$506,7,0)</f>
        <v>0</v>
      </c>
      <c r="M211">
        <f>VLOOKUP(A211,NYSEARCAGLD!A$2:G$506,7,0)</f>
        <v>0</v>
      </c>
      <c r="N211">
        <f>VLOOKUP(A211,NYSEBP!A$2:G$506,7,0)</f>
        <v>0</v>
      </c>
      <c r="O211">
        <f>VLOOKUP(A211,NASDAQYHOO!A$2:G$506,7,0)</f>
        <v>0</v>
      </c>
    </row>
    <row r="212" spans="1:15">
      <c r="A212" s="39">
        <v>42451</v>
      </c>
      <c r="C212">
        <f>VLOOKUP(A212,NYSEARCAVTI!A$2:G$506,7,0)</f>
        <v>0</v>
      </c>
      <c r="D212">
        <f>VLOOKUP(A212,NYSEARCAVEU!A$2:G$506,7,0)</f>
        <v>0</v>
      </c>
      <c r="E212">
        <f>VLOOKUP(A212,NYSEARCAVWO!A$2:G$506,7,0)</f>
        <v>0</v>
      </c>
      <c r="F212">
        <f>VLOOKUP(A212,NYSEARCABND!A$2:G$506,7,0)</f>
        <v>0</v>
      </c>
      <c r="G212">
        <f>VLOOKUP(A212,NYSEARCATIP!A$2:G$506,7,0)</f>
        <v>0</v>
      </c>
      <c r="H212">
        <f>VLOOKUP(A212,NYSEARCAMUB!A$2:G$506,7,0)</f>
        <v>0</v>
      </c>
      <c r="I212">
        <f>VLOOKUP(A212,NYSEARCAVNQ!A$2:G$506,7,0)</f>
        <v>0</v>
      </c>
      <c r="J212">
        <f>VLOOKUP(A212,NYSEARCARWX!A$2:G$506,7,0)</f>
        <v>0</v>
      </c>
      <c r="K212">
        <f>VLOOKUP(A212,NYSEARCADBC!A$2:G$506,7,0)</f>
        <v>0</v>
      </c>
      <c r="L212">
        <f>VLOOKUP(A212,NYSEARCAGSG!A$2:G$506,7,0)</f>
        <v>0</v>
      </c>
      <c r="M212">
        <f>VLOOKUP(A212,NYSEARCAGLD!A$2:G$506,7,0)</f>
        <v>0</v>
      </c>
      <c r="N212">
        <f>VLOOKUP(A212,NYSEBP!A$2:G$506,7,0)</f>
        <v>0</v>
      </c>
      <c r="O212">
        <f>VLOOKUP(A212,NASDAQYHOO!A$2:G$506,7,0)</f>
        <v>0</v>
      </c>
    </row>
    <row r="213" spans="1:15">
      <c r="A213" s="39">
        <v>42452</v>
      </c>
      <c r="C213">
        <f>VLOOKUP(A213,NYSEARCAVTI!A$2:G$506,7,0)</f>
        <v>0</v>
      </c>
      <c r="D213">
        <f>VLOOKUP(A213,NYSEARCAVEU!A$2:G$506,7,0)</f>
        <v>0</v>
      </c>
      <c r="E213">
        <f>VLOOKUP(A213,NYSEARCAVWO!A$2:G$506,7,0)</f>
        <v>0</v>
      </c>
      <c r="F213">
        <f>VLOOKUP(A213,NYSEARCABND!A$2:G$506,7,0)</f>
        <v>0</v>
      </c>
      <c r="G213">
        <f>VLOOKUP(A213,NYSEARCATIP!A$2:G$506,7,0)</f>
        <v>0</v>
      </c>
      <c r="H213">
        <f>VLOOKUP(A213,NYSEARCAMUB!A$2:G$506,7,0)</f>
        <v>0</v>
      </c>
      <c r="I213">
        <f>VLOOKUP(A213,NYSEARCAVNQ!A$2:G$506,7,0)</f>
        <v>0</v>
      </c>
      <c r="J213">
        <f>VLOOKUP(A213,NYSEARCARWX!A$2:G$506,7,0)</f>
        <v>0</v>
      </c>
      <c r="K213">
        <f>VLOOKUP(A213,NYSEARCADBC!A$2:G$506,7,0)</f>
        <v>0</v>
      </c>
      <c r="L213">
        <f>VLOOKUP(A213,NYSEARCAGSG!A$2:G$506,7,0)</f>
        <v>0</v>
      </c>
      <c r="M213">
        <f>VLOOKUP(A213,NYSEARCAGLD!A$2:G$506,7,0)</f>
        <v>0</v>
      </c>
      <c r="N213">
        <f>VLOOKUP(A213,NYSEBP!A$2:G$506,7,0)</f>
        <v>0</v>
      </c>
      <c r="O213">
        <f>VLOOKUP(A213,NASDAQYHOO!A$2:G$506,7,0)</f>
        <v>0</v>
      </c>
    </row>
    <row r="214" spans="1:15">
      <c r="A214" s="39">
        <v>42453</v>
      </c>
      <c r="C214">
        <f>VLOOKUP(A214,NYSEARCAVTI!A$2:G$506,7,0)</f>
        <v>0</v>
      </c>
      <c r="D214">
        <f>VLOOKUP(A214,NYSEARCAVEU!A$2:G$506,7,0)</f>
        <v>0</v>
      </c>
      <c r="E214">
        <f>VLOOKUP(A214,NYSEARCAVWO!A$2:G$506,7,0)</f>
        <v>0</v>
      </c>
      <c r="F214">
        <f>VLOOKUP(A214,NYSEARCABND!A$2:G$506,7,0)</f>
        <v>0</v>
      </c>
      <c r="G214">
        <f>VLOOKUP(A214,NYSEARCATIP!A$2:G$506,7,0)</f>
        <v>0</v>
      </c>
      <c r="H214">
        <f>VLOOKUP(A214,NYSEARCAMUB!A$2:G$506,7,0)</f>
        <v>0</v>
      </c>
      <c r="I214">
        <f>VLOOKUP(A214,NYSEARCAVNQ!A$2:G$506,7,0)</f>
        <v>0</v>
      </c>
      <c r="J214">
        <f>VLOOKUP(A214,NYSEARCARWX!A$2:G$506,7,0)</f>
        <v>0</v>
      </c>
      <c r="K214">
        <f>VLOOKUP(A214,NYSEARCADBC!A$2:G$506,7,0)</f>
        <v>0</v>
      </c>
      <c r="L214">
        <f>VLOOKUP(A214,NYSEARCAGSG!A$2:G$506,7,0)</f>
        <v>0</v>
      </c>
      <c r="M214">
        <f>VLOOKUP(A214,NYSEARCAGLD!A$2:G$506,7,0)</f>
        <v>0</v>
      </c>
      <c r="N214">
        <f>VLOOKUP(A214,NYSEBP!A$2:G$506,7,0)</f>
        <v>0</v>
      </c>
      <c r="O214">
        <f>VLOOKUP(A214,NASDAQYHOO!A$2:G$506,7,0)</f>
        <v>0</v>
      </c>
    </row>
    <row r="215" spans="1:15">
      <c r="A215" s="39">
        <v>42457</v>
      </c>
      <c r="C215">
        <f>VLOOKUP(A215,NYSEARCAVTI!A$2:G$506,7,0)</f>
        <v>0</v>
      </c>
      <c r="D215">
        <f>VLOOKUP(A215,NYSEARCAVEU!A$2:G$506,7,0)</f>
        <v>0</v>
      </c>
      <c r="E215">
        <f>VLOOKUP(A215,NYSEARCAVWO!A$2:G$506,7,0)</f>
        <v>0</v>
      </c>
      <c r="F215">
        <f>VLOOKUP(A215,NYSEARCABND!A$2:G$506,7,0)</f>
        <v>0</v>
      </c>
      <c r="G215">
        <f>VLOOKUP(A215,NYSEARCATIP!A$2:G$506,7,0)</f>
        <v>0</v>
      </c>
      <c r="H215">
        <f>VLOOKUP(A215,NYSEARCAMUB!A$2:G$506,7,0)</f>
        <v>0</v>
      </c>
      <c r="I215">
        <f>VLOOKUP(A215,NYSEARCAVNQ!A$2:G$506,7,0)</f>
        <v>0</v>
      </c>
      <c r="J215">
        <f>VLOOKUP(A215,NYSEARCARWX!A$2:G$506,7,0)</f>
        <v>0</v>
      </c>
      <c r="K215">
        <f>VLOOKUP(A215,NYSEARCADBC!A$2:G$506,7,0)</f>
        <v>0</v>
      </c>
      <c r="L215">
        <f>VLOOKUP(A215,NYSEARCAGSG!A$2:G$506,7,0)</f>
        <v>0</v>
      </c>
      <c r="M215">
        <f>VLOOKUP(A215,NYSEARCAGLD!A$2:G$506,7,0)</f>
        <v>0</v>
      </c>
      <c r="N215">
        <f>VLOOKUP(A215,NYSEBP!A$2:G$506,7,0)</f>
        <v>0</v>
      </c>
      <c r="O215">
        <f>VLOOKUP(A215,NASDAQYHOO!A$2:G$506,7,0)</f>
        <v>0</v>
      </c>
    </row>
    <row r="216" spans="1:15">
      <c r="A216" s="39">
        <v>42458</v>
      </c>
      <c r="C216">
        <f>VLOOKUP(A216,NYSEARCAVTI!A$2:G$506,7,0)</f>
        <v>0</v>
      </c>
      <c r="D216">
        <f>VLOOKUP(A216,NYSEARCAVEU!A$2:G$506,7,0)</f>
        <v>0</v>
      </c>
      <c r="E216">
        <f>VLOOKUP(A216,NYSEARCAVWO!A$2:G$506,7,0)</f>
        <v>0</v>
      </c>
      <c r="F216">
        <f>VLOOKUP(A216,NYSEARCABND!A$2:G$506,7,0)</f>
        <v>0</v>
      </c>
      <c r="G216">
        <f>VLOOKUP(A216,NYSEARCATIP!A$2:G$506,7,0)</f>
        <v>0</v>
      </c>
      <c r="H216">
        <f>VLOOKUP(A216,NYSEARCAMUB!A$2:G$506,7,0)</f>
        <v>0</v>
      </c>
      <c r="I216">
        <f>VLOOKUP(A216,NYSEARCAVNQ!A$2:G$506,7,0)</f>
        <v>0</v>
      </c>
      <c r="J216">
        <f>VLOOKUP(A216,NYSEARCARWX!A$2:G$506,7,0)</f>
        <v>0</v>
      </c>
      <c r="K216">
        <f>VLOOKUP(A216,NYSEARCADBC!A$2:G$506,7,0)</f>
        <v>0</v>
      </c>
      <c r="L216">
        <f>VLOOKUP(A216,NYSEARCAGSG!A$2:G$506,7,0)</f>
        <v>0</v>
      </c>
      <c r="M216">
        <f>VLOOKUP(A216,NYSEARCAGLD!A$2:G$506,7,0)</f>
        <v>0</v>
      </c>
      <c r="N216">
        <f>VLOOKUP(A216,NYSEBP!A$2:G$506,7,0)</f>
        <v>0</v>
      </c>
      <c r="O216">
        <f>VLOOKUP(A216,NASDAQYHOO!A$2:G$506,7,0)</f>
        <v>0</v>
      </c>
    </row>
    <row r="217" spans="1:15">
      <c r="A217" s="39">
        <v>42459</v>
      </c>
      <c r="C217">
        <f>VLOOKUP(A217,NYSEARCAVTI!A$2:G$506,7,0)</f>
        <v>0</v>
      </c>
      <c r="D217">
        <f>VLOOKUP(A217,NYSEARCAVEU!A$2:G$506,7,0)</f>
        <v>0</v>
      </c>
      <c r="E217">
        <f>VLOOKUP(A217,NYSEARCAVWO!A$2:G$506,7,0)</f>
        <v>0</v>
      </c>
      <c r="F217">
        <f>VLOOKUP(A217,NYSEARCABND!A$2:G$506,7,0)</f>
        <v>0</v>
      </c>
      <c r="G217">
        <f>VLOOKUP(A217,NYSEARCATIP!A$2:G$506,7,0)</f>
        <v>0</v>
      </c>
      <c r="H217">
        <f>VLOOKUP(A217,NYSEARCAMUB!A$2:G$506,7,0)</f>
        <v>0</v>
      </c>
      <c r="I217">
        <f>VLOOKUP(A217,NYSEARCAVNQ!A$2:G$506,7,0)</f>
        <v>0</v>
      </c>
      <c r="J217">
        <f>VLOOKUP(A217,NYSEARCARWX!A$2:G$506,7,0)</f>
        <v>0</v>
      </c>
      <c r="K217">
        <f>VLOOKUP(A217,NYSEARCADBC!A$2:G$506,7,0)</f>
        <v>0</v>
      </c>
      <c r="L217">
        <f>VLOOKUP(A217,NYSEARCAGSG!A$2:G$506,7,0)</f>
        <v>0</v>
      </c>
      <c r="M217">
        <f>VLOOKUP(A217,NYSEARCAGLD!A$2:G$506,7,0)</f>
        <v>0</v>
      </c>
      <c r="N217">
        <f>VLOOKUP(A217,NYSEBP!A$2:G$506,7,0)</f>
        <v>0</v>
      </c>
      <c r="O217">
        <f>VLOOKUP(A217,NASDAQYHOO!A$2:G$506,7,0)</f>
        <v>0</v>
      </c>
    </row>
    <row r="218" spans="1:15">
      <c r="A218" s="39">
        <v>42460</v>
      </c>
      <c r="C218">
        <f>VLOOKUP(A218,NYSEARCAVTI!A$2:G$506,7,0)</f>
        <v>0</v>
      </c>
      <c r="D218">
        <f>VLOOKUP(A218,NYSEARCAVEU!A$2:G$506,7,0)</f>
        <v>0</v>
      </c>
      <c r="E218">
        <f>VLOOKUP(A218,NYSEARCAVWO!A$2:G$506,7,0)</f>
        <v>0</v>
      </c>
      <c r="F218">
        <f>VLOOKUP(A218,NYSEARCABND!A$2:G$506,7,0)</f>
        <v>0</v>
      </c>
      <c r="G218">
        <f>VLOOKUP(A218,NYSEARCATIP!A$2:G$506,7,0)</f>
        <v>0</v>
      </c>
      <c r="H218">
        <f>VLOOKUP(A218,NYSEARCAMUB!A$2:G$506,7,0)</f>
        <v>0</v>
      </c>
      <c r="I218">
        <f>VLOOKUP(A218,NYSEARCAVNQ!A$2:G$506,7,0)</f>
        <v>0</v>
      </c>
      <c r="J218">
        <f>VLOOKUP(A218,NYSEARCARWX!A$2:G$506,7,0)</f>
        <v>0</v>
      </c>
      <c r="K218">
        <f>VLOOKUP(A218,NYSEARCADBC!A$2:G$506,7,0)</f>
        <v>0</v>
      </c>
      <c r="L218">
        <f>VLOOKUP(A218,NYSEARCAGSG!A$2:G$506,7,0)</f>
        <v>0</v>
      </c>
      <c r="M218">
        <f>VLOOKUP(A218,NYSEARCAGLD!A$2:G$506,7,0)</f>
        <v>0</v>
      </c>
      <c r="N218">
        <f>VLOOKUP(A218,NYSEBP!A$2:G$506,7,0)</f>
        <v>0</v>
      </c>
      <c r="O218">
        <f>VLOOKUP(A218,NASDAQYHOO!A$2:G$506,7,0)</f>
        <v>0</v>
      </c>
    </row>
    <row r="219" spans="1:15">
      <c r="A219" s="39">
        <v>42461</v>
      </c>
      <c r="C219">
        <f>VLOOKUP(A219,NYSEARCAVTI!A$2:G$506,7,0)</f>
        <v>0</v>
      </c>
      <c r="D219">
        <f>VLOOKUP(A219,NYSEARCAVEU!A$2:G$506,7,0)</f>
        <v>0</v>
      </c>
      <c r="E219">
        <f>VLOOKUP(A219,NYSEARCAVWO!A$2:G$506,7,0)</f>
        <v>0</v>
      </c>
      <c r="F219">
        <f>VLOOKUP(A219,NYSEARCABND!A$2:G$506,7,0)</f>
        <v>0</v>
      </c>
      <c r="G219">
        <f>VLOOKUP(A219,NYSEARCATIP!A$2:G$506,7,0)</f>
        <v>0</v>
      </c>
      <c r="H219">
        <f>VLOOKUP(A219,NYSEARCAMUB!A$2:G$506,7,0)</f>
        <v>0</v>
      </c>
      <c r="I219">
        <f>VLOOKUP(A219,NYSEARCAVNQ!A$2:G$506,7,0)</f>
        <v>0</v>
      </c>
      <c r="J219">
        <f>VLOOKUP(A219,NYSEARCARWX!A$2:G$506,7,0)</f>
        <v>0</v>
      </c>
      <c r="K219">
        <f>VLOOKUP(A219,NYSEARCADBC!A$2:G$506,7,0)</f>
        <v>0</v>
      </c>
      <c r="L219">
        <f>VLOOKUP(A219,NYSEARCAGSG!A$2:G$506,7,0)</f>
        <v>0</v>
      </c>
      <c r="M219">
        <f>VLOOKUP(A219,NYSEARCAGLD!A$2:G$506,7,0)</f>
        <v>0</v>
      </c>
      <c r="N219">
        <f>VLOOKUP(A219,NYSEBP!A$2:G$506,7,0)</f>
        <v>0</v>
      </c>
      <c r="O219">
        <f>VLOOKUP(A219,NASDAQYHOO!A$2:G$506,7,0)</f>
        <v>0</v>
      </c>
    </row>
    <row r="220" spans="1:15">
      <c r="A220" s="39">
        <v>42464</v>
      </c>
      <c r="C220">
        <f>VLOOKUP(A220,NYSEARCAVTI!A$2:G$506,7,0)</f>
        <v>0</v>
      </c>
      <c r="D220">
        <f>VLOOKUP(A220,NYSEARCAVEU!A$2:G$506,7,0)</f>
        <v>0</v>
      </c>
      <c r="E220">
        <f>VLOOKUP(A220,NYSEARCAVWO!A$2:G$506,7,0)</f>
        <v>0</v>
      </c>
      <c r="F220">
        <f>VLOOKUP(A220,NYSEARCABND!A$2:G$506,7,0)</f>
        <v>0</v>
      </c>
      <c r="G220">
        <f>VLOOKUP(A220,NYSEARCATIP!A$2:G$506,7,0)</f>
        <v>0</v>
      </c>
      <c r="H220">
        <f>VLOOKUP(A220,NYSEARCAMUB!A$2:G$506,7,0)</f>
        <v>0</v>
      </c>
      <c r="I220">
        <f>VLOOKUP(A220,NYSEARCAVNQ!A$2:G$506,7,0)</f>
        <v>0</v>
      </c>
      <c r="J220">
        <f>VLOOKUP(A220,NYSEARCARWX!A$2:G$506,7,0)</f>
        <v>0</v>
      </c>
      <c r="K220">
        <f>VLOOKUP(A220,NYSEARCADBC!A$2:G$506,7,0)</f>
        <v>0</v>
      </c>
      <c r="L220">
        <f>VLOOKUP(A220,NYSEARCAGSG!A$2:G$506,7,0)</f>
        <v>0</v>
      </c>
      <c r="M220">
        <f>VLOOKUP(A220,NYSEARCAGLD!A$2:G$506,7,0)</f>
        <v>0</v>
      </c>
      <c r="N220">
        <f>VLOOKUP(A220,NYSEBP!A$2:G$506,7,0)</f>
        <v>0</v>
      </c>
      <c r="O220">
        <f>VLOOKUP(A220,NASDAQYHOO!A$2:G$506,7,0)</f>
        <v>0</v>
      </c>
    </row>
    <row r="221" spans="1:15">
      <c r="A221" s="39">
        <v>42465</v>
      </c>
      <c r="C221">
        <f>VLOOKUP(A221,NYSEARCAVTI!A$2:G$506,7,0)</f>
        <v>0</v>
      </c>
      <c r="D221">
        <f>VLOOKUP(A221,NYSEARCAVEU!A$2:G$506,7,0)</f>
        <v>0</v>
      </c>
      <c r="E221">
        <f>VLOOKUP(A221,NYSEARCAVWO!A$2:G$506,7,0)</f>
        <v>0</v>
      </c>
      <c r="F221">
        <f>VLOOKUP(A221,NYSEARCABND!A$2:G$506,7,0)</f>
        <v>0</v>
      </c>
      <c r="G221">
        <f>VLOOKUP(A221,NYSEARCATIP!A$2:G$506,7,0)</f>
        <v>0</v>
      </c>
      <c r="H221">
        <f>VLOOKUP(A221,NYSEARCAMUB!A$2:G$506,7,0)</f>
        <v>0</v>
      </c>
      <c r="I221">
        <f>VLOOKUP(A221,NYSEARCAVNQ!A$2:G$506,7,0)</f>
        <v>0</v>
      </c>
      <c r="J221">
        <f>VLOOKUP(A221,NYSEARCARWX!A$2:G$506,7,0)</f>
        <v>0</v>
      </c>
      <c r="K221">
        <f>VLOOKUP(A221,NYSEARCADBC!A$2:G$506,7,0)</f>
        <v>0</v>
      </c>
      <c r="L221">
        <f>VLOOKUP(A221,NYSEARCAGSG!A$2:G$506,7,0)</f>
        <v>0</v>
      </c>
      <c r="M221">
        <f>VLOOKUP(A221,NYSEARCAGLD!A$2:G$506,7,0)</f>
        <v>0</v>
      </c>
      <c r="N221">
        <f>VLOOKUP(A221,NYSEBP!A$2:G$506,7,0)</f>
        <v>0</v>
      </c>
      <c r="O221">
        <f>VLOOKUP(A221,NASDAQYHOO!A$2:G$506,7,0)</f>
        <v>0</v>
      </c>
    </row>
    <row r="222" spans="1:15">
      <c r="A222" s="39">
        <v>42466</v>
      </c>
      <c r="C222">
        <f>VLOOKUP(A222,NYSEARCAVTI!A$2:G$506,7,0)</f>
        <v>0</v>
      </c>
      <c r="D222">
        <f>VLOOKUP(A222,NYSEARCAVEU!A$2:G$506,7,0)</f>
        <v>0</v>
      </c>
      <c r="E222">
        <f>VLOOKUP(A222,NYSEARCAVWO!A$2:G$506,7,0)</f>
        <v>0</v>
      </c>
      <c r="F222">
        <f>VLOOKUP(A222,NYSEARCABND!A$2:G$506,7,0)</f>
        <v>0</v>
      </c>
      <c r="G222">
        <f>VLOOKUP(A222,NYSEARCATIP!A$2:G$506,7,0)</f>
        <v>0</v>
      </c>
      <c r="H222">
        <f>VLOOKUP(A222,NYSEARCAMUB!A$2:G$506,7,0)</f>
        <v>0</v>
      </c>
      <c r="I222">
        <f>VLOOKUP(A222,NYSEARCAVNQ!A$2:G$506,7,0)</f>
        <v>0</v>
      </c>
      <c r="J222">
        <f>VLOOKUP(A222,NYSEARCARWX!A$2:G$506,7,0)</f>
        <v>0</v>
      </c>
      <c r="K222">
        <f>VLOOKUP(A222,NYSEARCADBC!A$2:G$506,7,0)</f>
        <v>0</v>
      </c>
      <c r="L222">
        <f>VLOOKUP(A222,NYSEARCAGSG!A$2:G$506,7,0)</f>
        <v>0</v>
      </c>
      <c r="M222">
        <f>VLOOKUP(A222,NYSEARCAGLD!A$2:G$506,7,0)</f>
        <v>0</v>
      </c>
      <c r="N222">
        <f>VLOOKUP(A222,NYSEBP!A$2:G$506,7,0)</f>
        <v>0</v>
      </c>
      <c r="O222">
        <f>VLOOKUP(A222,NASDAQYHOO!A$2:G$506,7,0)</f>
        <v>0</v>
      </c>
    </row>
    <row r="223" spans="1:15">
      <c r="A223" s="39">
        <v>42467</v>
      </c>
      <c r="C223">
        <f>VLOOKUP(A223,NYSEARCAVTI!A$2:G$506,7,0)</f>
        <v>0</v>
      </c>
      <c r="D223">
        <f>VLOOKUP(A223,NYSEARCAVEU!A$2:G$506,7,0)</f>
        <v>0</v>
      </c>
      <c r="E223">
        <f>VLOOKUP(A223,NYSEARCAVWO!A$2:G$506,7,0)</f>
        <v>0</v>
      </c>
      <c r="F223">
        <f>VLOOKUP(A223,NYSEARCABND!A$2:G$506,7,0)</f>
        <v>0</v>
      </c>
      <c r="G223">
        <f>VLOOKUP(A223,NYSEARCATIP!A$2:G$506,7,0)</f>
        <v>0</v>
      </c>
      <c r="H223">
        <f>VLOOKUP(A223,NYSEARCAMUB!A$2:G$506,7,0)</f>
        <v>0</v>
      </c>
      <c r="I223">
        <f>VLOOKUP(A223,NYSEARCAVNQ!A$2:G$506,7,0)</f>
        <v>0</v>
      </c>
      <c r="J223">
        <f>VLOOKUP(A223,NYSEARCARWX!A$2:G$506,7,0)</f>
        <v>0</v>
      </c>
      <c r="K223">
        <f>VLOOKUP(A223,NYSEARCADBC!A$2:G$506,7,0)</f>
        <v>0</v>
      </c>
      <c r="L223">
        <f>VLOOKUP(A223,NYSEARCAGSG!A$2:G$506,7,0)</f>
        <v>0</v>
      </c>
      <c r="M223">
        <f>VLOOKUP(A223,NYSEARCAGLD!A$2:G$506,7,0)</f>
        <v>0</v>
      </c>
      <c r="N223">
        <f>VLOOKUP(A223,NYSEBP!A$2:G$506,7,0)</f>
        <v>0</v>
      </c>
      <c r="O223">
        <f>VLOOKUP(A223,NASDAQYHOO!A$2:G$506,7,0)</f>
        <v>0</v>
      </c>
    </row>
    <row r="224" spans="1:15">
      <c r="A224" s="39">
        <v>42468</v>
      </c>
      <c r="C224">
        <f>VLOOKUP(A224,NYSEARCAVTI!A$2:G$506,7,0)</f>
        <v>0</v>
      </c>
      <c r="D224">
        <f>VLOOKUP(A224,NYSEARCAVEU!A$2:G$506,7,0)</f>
        <v>0</v>
      </c>
      <c r="E224">
        <f>VLOOKUP(A224,NYSEARCAVWO!A$2:G$506,7,0)</f>
        <v>0</v>
      </c>
      <c r="F224">
        <f>VLOOKUP(A224,NYSEARCABND!A$2:G$506,7,0)</f>
        <v>0</v>
      </c>
      <c r="G224">
        <f>VLOOKUP(A224,NYSEARCATIP!A$2:G$506,7,0)</f>
        <v>0</v>
      </c>
      <c r="H224">
        <f>VLOOKUP(A224,NYSEARCAMUB!A$2:G$506,7,0)</f>
        <v>0</v>
      </c>
      <c r="I224">
        <f>VLOOKUP(A224,NYSEARCAVNQ!A$2:G$506,7,0)</f>
        <v>0</v>
      </c>
      <c r="J224">
        <f>VLOOKUP(A224,NYSEARCARWX!A$2:G$506,7,0)</f>
        <v>0</v>
      </c>
      <c r="K224">
        <f>VLOOKUP(A224,NYSEARCADBC!A$2:G$506,7,0)</f>
        <v>0</v>
      </c>
      <c r="L224">
        <f>VLOOKUP(A224,NYSEARCAGSG!A$2:G$506,7,0)</f>
        <v>0</v>
      </c>
      <c r="M224">
        <f>VLOOKUP(A224,NYSEARCAGLD!A$2:G$506,7,0)</f>
        <v>0</v>
      </c>
      <c r="N224">
        <f>VLOOKUP(A224,NYSEBP!A$2:G$506,7,0)</f>
        <v>0</v>
      </c>
      <c r="O224">
        <f>VLOOKUP(A224,NASDAQYHOO!A$2:G$506,7,0)</f>
        <v>0</v>
      </c>
    </row>
    <row r="225" spans="1:15">
      <c r="A225" s="39">
        <v>42471</v>
      </c>
      <c r="C225">
        <f>VLOOKUP(A225,NYSEARCAVTI!A$2:G$506,7,0)</f>
        <v>0</v>
      </c>
      <c r="D225">
        <f>VLOOKUP(A225,NYSEARCAVEU!A$2:G$506,7,0)</f>
        <v>0</v>
      </c>
      <c r="E225">
        <f>VLOOKUP(A225,NYSEARCAVWO!A$2:G$506,7,0)</f>
        <v>0</v>
      </c>
      <c r="F225">
        <f>VLOOKUP(A225,NYSEARCABND!A$2:G$506,7,0)</f>
        <v>0</v>
      </c>
      <c r="G225">
        <f>VLOOKUP(A225,NYSEARCATIP!A$2:G$506,7,0)</f>
        <v>0</v>
      </c>
      <c r="H225">
        <f>VLOOKUP(A225,NYSEARCAMUB!A$2:G$506,7,0)</f>
        <v>0</v>
      </c>
      <c r="I225">
        <f>VLOOKUP(A225,NYSEARCAVNQ!A$2:G$506,7,0)</f>
        <v>0</v>
      </c>
      <c r="J225">
        <f>VLOOKUP(A225,NYSEARCARWX!A$2:G$506,7,0)</f>
        <v>0</v>
      </c>
      <c r="K225">
        <f>VLOOKUP(A225,NYSEARCADBC!A$2:G$506,7,0)</f>
        <v>0</v>
      </c>
      <c r="L225">
        <f>VLOOKUP(A225,NYSEARCAGSG!A$2:G$506,7,0)</f>
        <v>0</v>
      </c>
      <c r="M225">
        <f>VLOOKUP(A225,NYSEARCAGLD!A$2:G$506,7,0)</f>
        <v>0</v>
      </c>
      <c r="N225">
        <f>VLOOKUP(A225,NYSEBP!A$2:G$506,7,0)</f>
        <v>0</v>
      </c>
      <c r="O225">
        <f>VLOOKUP(A225,NASDAQYHOO!A$2:G$506,7,0)</f>
        <v>0</v>
      </c>
    </row>
    <row r="226" spans="1:15">
      <c r="A226" s="39">
        <v>42472</v>
      </c>
      <c r="C226">
        <f>VLOOKUP(A226,NYSEARCAVTI!A$2:G$506,7,0)</f>
        <v>0</v>
      </c>
      <c r="D226">
        <f>VLOOKUP(A226,NYSEARCAVEU!A$2:G$506,7,0)</f>
        <v>0</v>
      </c>
      <c r="E226">
        <f>VLOOKUP(A226,NYSEARCAVWO!A$2:G$506,7,0)</f>
        <v>0</v>
      </c>
      <c r="F226">
        <f>VLOOKUP(A226,NYSEARCABND!A$2:G$506,7,0)</f>
        <v>0</v>
      </c>
      <c r="G226">
        <f>VLOOKUP(A226,NYSEARCATIP!A$2:G$506,7,0)</f>
        <v>0</v>
      </c>
      <c r="H226">
        <f>VLOOKUP(A226,NYSEARCAMUB!A$2:G$506,7,0)</f>
        <v>0</v>
      </c>
      <c r="I226">
        <f>VLOOKUP(A226,NYSEARCAVNQ!A$2:G$506,7,0)</f>
        <v>0</v>
      </c>
      <c r="J226">
        <f>VLOOKUP(A226,NYSEARCARWX!A$2:G$506,7,0)</f>
        <v>0</v>
      </c>
      <c r="K226">
        <f>VLOOKUP(A226,NYSEARCADBC!A$2:G$506,7,0)</f>
        <v>0</v>
      </c>
      <c r="L226">
        <f>VLOOKUP(A226,NYSEARCAGSG!A$2:G$506,7,0)</f>
        <v>0</v>
      </c>
      <c r="M226">
        <f>VLOOKUP(A226,NYSEARCAGLD!A$2:G$506,7,0)</f>
        <v>0</v>
      </c>
      <c r="N226">
        <f>VLOOKUP(A226,NYSEBP!A$2:G$506,7,0)</f>
        <v>0</v>
      </c>
      <c r="O226">
        <f>VLOOKUP(A226,NASDAQYHOO!A$2:G$506,7,0)</f>
        <v>0</v>
      </c>
    </row>
    <row r="227" spans="1:15">
      <c r="A227" s="39">
        <v>42473</v>
      </c>
      <c r="C227">
        <f>VLOOKUP(A227,NYSEARCAVTI!A$2:G$506,7,0)</f>
        <v>0</v>
      </c>
      <c r="D227">
        <f>VLOOKUP(A227,NYSEARCAVEU!A$2:G$506,7,0)</f>
        <v>0</v>
      </c>
      <c r="E227">
        <f>VLOOKUP(A227,NYSEARCAVWO!A$2:G$506,7,0)</f>
        <v>0</v>
      </c>
      <c r="F227">
        <f>VLOOKUP(A227,NYSEARCABND!A$2:G$506,7,0)</f>
        <v>0</v>
      </c>
      <c r="G227">
        <f>VLOOKUP(A227,NYSEARCATIP!A$2:G$506,7,0)</f>
        <v>0</v>
      </c>
      <c r="H227">
        <f>VLOOKUP(A227,NYSEARCAMUB!A$2:G$506,7,0)</f>
        <v>0</v>
      </c>
      <c r="I227">
        <f>VLOOKUP(A227,NYSEARCAVNQ!A$2:G$506,7,0)</f>
        <v>0</v>
      </c>
      <c r="J227">
        <f>VLOOKUP(A227,NYSEARCARWX!A$2:G$506,7,0)</f>
        <v>0</v>
      </c>
      <c r="K227">
        <f>VLOOKUP(A227,NYSEARCADBC!A$2:G$506,7,0)</f>
        <v>0</v>
      </c>
      <c r="L227">
        <f>VLOOKUP(A227,NYSEARCAGSG!A$2:G$506,7,0)</f>
        <v>0</v>
      </c>
      <c r="M227">
        <f>VLOOKUP(A227,NYSEARCAGLD!A$2:G$506,7,0)</f>
        <v>0</v>
      </c>
      <c r="N227">
        <f>VLOOKUP(A227,NYSEBP!A$2:G$506,7,0)</f>
        <v>0</v>
      </c>
      <c r="O227">
        <f>VLOOKUP(A227,NASDAQYHOO!A$2:G$506,7,0)</f>
        <v>0</v>
      </c>
    </row>
    <row r="228" spans="1:15">
      <c r="A228" s="39">
        <v>42474</v>
      </c>
      <c r="C228">
        <f>VLOOKUP(A228,NYSEARCAVTI!A$2:G$506,7,0)</f>
        <v>0</v>
      </c>
      <c r="D228">
        <f>VLOOKUP(A228,NYSEARCAVEU!A$2:G$506,7,0)</f>
        <v>0</v>
      </c>
      <c r="E228">
        <f>VLOOKUP(A228,NYSEARCAVWO!A$2:G$506,7,0)</f>
        <v>0</v>
      </c>
      <c r="F228">
        <f>VLOOKUP(A228,NYSEARCABND!A$2:G$506,7,0)</f>
        <v>0</v>
      </c>
      <c r="G228">
        <f>VLOOKUP(A228,NYSEARCATIP!A$2:G$506,7,0)</f>
        <v>0</v>
      </c>
      <c r="H228">
        <f>VLOOKUP(A228,NYSEARCAMUB!A$2:G$506,7,0)</f>
        <v>0</v>
      </c>
      <c r="I228">
        <f>VLOOKUP(A228,NYSEARCAVNQ!A$2:G$506,7,0)</f>
        <v>0</v>
      </c>
      <c r="J228">
        <f>VLOOKUP(A228,NYSEARCARWX!A$2:G$506,7,0)</f>
        <v>0</v>
      </c>
      <c r="K228">
        <f>VLOOKUP(A228,NYSEARCADBC!A$2:G$506,7,0)</f>
        <v>0</v>
      </c>
      <c r="L228">
        <f>VLOOKUP(A228,NYSEARCAGSG!A$2:G$506,7,0)</f>
        <v>0</v>
      </c>
      <c r="M228">
        <f>VLOOKUP(A228,NYSEARCAGLD!A$2:G$506,7,0)</f>
        <v>0</v>
      </c>
      <c r="N228">
        <f>VLOOKUP(A228,NYSEBP!A$2:G$506,7,0)</f>
        <v>0</v>
      </c>
      <c r="O228">
        <f>VLOOKUP(A228,NASDAQYHOO!A$2:G$506,7,0)</f>
        <v>0</v>
      </c>
    </row>
    <row r="229" spans="1:15">
      <c r="A229" s="39">
        <v>42475</v>
      </c>
      <c r="C229">
        <f>VLOOKUP(A229,NYSEARCAVTI!A$2:G$506,7,0)</f>
        <v>0</v>
      </c>
      <c r="D229">
        <f>VLOOKUP(A229,NYSEARCAVEU!A$2:G$506,7,0)</f>
        <v>0</v>
      </c>
      <c r="E229">
        <f>VLOOKUP(A229,NYSEARCAVWO!A$2:G$506,7,0)</f>
        <v>0</v>
      </c>
      <c r="F229">
        <f>VLOOKUP(A229,NYSEARCABND!A$2:G$506,7,0)</f>
        <v>0</v>
      </c>
      <c r="G229">
        <f>VLOOKUP(A229,NYSEARCATIP!A$2:G$506,7,0)</f>
        <v>0</v>
      </c>
      <c r="H229">
        <f>VLOOKUP(A229,NYSEARCAMUB!A$2:G$506,7,0)</f>
        <v>0</v>
      </c>
      <c r="I229">
        <f>VLOOKUP(A229,NYSEARCAVNQ!A$2:G$506,7,0)</f>
        <v>0</v>
      </c>
      <c r="J229">
        <f>VLOOKUP(A229,NYSEARCARWX!A$2:G$506,7,0)</f>
        <v>0</v>
      </c>
      <c r="K229">
        <f>VLOOKUP(A229,NYSEARCADBC!A$2:G$506,7,0)</f>
        <v>0</v>
      </c>
      <c r="L229">
        <f>VLOOKUP(A229,NYSEARCAGSG!A$2:G$506,7,0)</f>
        <v>0</v>
      </c>
      <c r="M229">
        <f>VLOOKUP(A229,NYSEARCAGLD!A$2:G$506,7,0)</f>
        <v>0</v>
      </c>
      <c r="N229">
        <f>VLOOKUP(A229,NYSEBP!A$2:G$506,7,0)</f>
        <v>0</v>
      </c>
      <c r="O229">
        <f>VLOOKUP(A229,NASDAQYHOO!A$2:G$506,7,0)</f>
        <v>0</v>
      </c>
    </row>
    <row r="230" spans="1:15">
      <c r="A230" s="39">
        <v>42478</v>
      </c>
      <c r="C230">
        <f>VLOOKUP(A230,NYSEARCAVTI!A$2:G$506,7,0)</f>
        <v>0</v>
      </c>
      <c r="D230">
        <f>VLOOKUP(A230,NYSEARCAVEU!A$2:G$506,7,0)</f>
        <v>0</v>
      </c>
      <c r="E230">
        <f>VLOOKUP(A230,NYSEARCAVWO!A$2:G$506,7,0)</f>
        <v>0</v>
      </c>
      <c r="F230">
        <f>VLOOKUP(A230,NYSEARCABND!A$2:G$506,7,0)</f>
        <v>0</v>
      </c>
      <c r="G230">
        <f>VLOOKUP(A230,NYSEARCATIP!A$2:G$506,7,0)</f>
        <v>0</v>
      </c>
      <c r="H230">
        <f>VLOOKUP(A230,NYSEARCAMUB!A$2:G$506,7,0)</f>
        <v>0</v>
      </c>
      <c r="I230">
        <f>VLOOKUP(A230,NYSEARCAVNQ!A$2:G$506,7,0)</f>
        <v>0</v>
      </c>
      <c r="J230">
        <f>VLOOKUP(A230,NYSEARCARWX!A$2:G$506,7,0)</f>
        <v>0</v>
      </c>
      <c r="K230">
        <f>VLOOKUP(A230,NYSEARCADBC!A$2:G$506,7,0)</f>
        <v>0</v>
      </c>
      <c r="L230">
        <f>VLOOKUP(A230,NYSEARCAGSG!A$2:G$506,7,0)</f>
        <v>0</v>
      </c>
      <c r="M230">
        <f>VLOOKUP(A230,NYSEARCAGLD!A$2:G$506,7,0)</f>
        <v>0</v>
      </c>
      <c r="N230">
        <f>VLOOKUP(A230,NYSEBP!A$2:G$506,7,0)</f>
        <v>0</v>
      </c>
      <c r="O230">
        <f>VLOOKUP(A230,NASDAQYHOO!A$2:G$506,7,0)</f>
        <v>0</v>
      </c>
    </row>
    <row r="231" spans="1:15">
      <c r="A231" s="39">
        <v>42479</v>
      </c>
      <c r="C231">
        <f>VLOOKUP(A231,NYSEARCAVTI!A$2:G$506,7,0)</f>
        <v>0</v>
      </c>
      <c r="D231">
        <f>VLOOKUP(A231,NYSEARCAVEU!A$2:G$506,7,0)</f>
        <v>0</v>
      </c>
      <c r="E231">
        <f>VLOOKUP(A231,NYSEARCAVWO!A$2:G$506,7,0)</f>
        <v>0</v>
      </c>
      <c r="F231">
        <f>VLOOKUP(A231,NYSEARCABND!A$2:G$506,7,0)</f>
        <v>0</v>
      </c>
      <c r="G231">
        <f>VLOOKUP(A231,NYSEARCATIP!A$2:G$506,7,0)</f>
        <v>0</v>
      </c>
      <c r="H231">
        <f>VLOOKUP(A231,NYSEARCAMUB!A$2:G$506,7,0)</f>
        <v>0</v>
      </c>
      <c r="I231">
        <f>VLOOKUP(A231,NYSEARCAVNQ!A$2:G$506,7,0)</f>
        <v>0</v>
      </c>
      <c r="J231">
        <f>VLOOKUP(A231,NYSEARCARWX!A$2:G$506,7,0)</f>
        <v>0</v>
      </c>
      <c r="K231">
        <f>VLOOKUP(A231,NYSEARCADBC!A$2:G$506,7,0)</f>
        <v>0</v>
      </c>
      <c r="L231">
        <f>VLOOKUP(A231,NYSEARCAGSG!A$2:G$506,7,0)</f>
        <v>0</v>
      </c>
      <c r="M231">
        <f>VLOOKUP(A231,NYSEARCAGLD!A$2:G$506,7,0)</f>
        <v>0</v>
      </c>
      <c r="N231">
        <f>VLOOKUP(A231,NYSEBP!A$2:G$506,7,0)</f>
        <v>0</v>
      </c>
      <c r="O231">
        <f>VLOOKUP(A231,NASDAQYHOO!A$2:G$506,7,0)</f>
        <v>0</v>
      </c>
    </row>
    <row r="232" spans="1:15">
      <c r="A232" s="39">
        <v>42480</v>
      </c>
      <c r="C232">
        <f>VLOOKUP(A232,NYSEARCAVTI!A$2:G$506,7,0)</f>
        <v>0</v>
      </c>
      <c r="D232">
        <f>VLOOKUP(A232,NYSEARCAVEU!A$2:G$506,7,0)</f>
        <v>0</v>
      </c>
      <c r="E232">
        <f>VLOOKUP(A232,NYSEARCAVWO!A$2:G$506,7,0)</f>
        <v>0</v>
      </c>
      <c r="F232">
        <f>VLOOKUP(A232,NYSEARCABND!A$2:G$506,7,0)</f>
        <v>0</v>
      </c>
      <c r="G232">
        <f>VLOOKUP(A232,NYSEARCATIP!A$2:G$506,7,0)</f>
        <v>0</v>
      </c>
      <c r="H232">
        <f>VLOOKUP(A232,NYSEARCAMUB!A$2:G$506,7,0)</f>
        <v>0</v>
      </c>
      <c r="I232">
        <f>VLOOKUP(A232,NYSEARCAVNQ!A$2:G$506,7,0)</f>
        <v>0</v>
      </c>
      <c r="J232">
        <f>VLOOKUP(A232,NYSEARCARWX!A$2:G$506,7,0)</f>
        <v>0</v>
      </c>
      <c r="K232">
        <f>VLOOKUP(A232,NYSEARCADBC!A$2:G$506,7,0)</f>
        <v>0</v>
      </c>
      <c r="L232">
        <f>VLOOKUP(A232,NYSEARCAGSG!A$2:G$506,7,0)</f>
        <v>0</v>
      </c>
      <c r="M232">
        <f>VLOOKUP(A232,NYSEARCAGLD!A$2:G$506,7,0)</f>
        <v>0</v>
      </c>
      <c r="N232">
        <f>VLOOKUP(A232,NYSEBP!A$2:G$506,7,0)</f>
        <v>0</v>
      </c>
      <c r="O232">
        <f>VLOOKUP(A232,NASDAQYHOO!A$2:G$506,7,0)</f>
        <v>0</v>
      </c>
    </row>
    <row r="233" spans="1:15">
      <c r="A233" s="39">
        <v>42481</v>
      </c>
      <c r="C233">
        <f>VLOOKUP(A233,NYSEARCAVTI!A$2:G$506,7,0)</f>
        <v>0</v>
      </c>
      <c r="D233">
        <f>VLOOKUP(A233,NYSEARCAVEU!A$2:G$506,7,0)</f>
        <v>0</v>
      </c>
      <c r="E233">
        <f>VLOOKUP(A233,NYSEARCAVWO!A$2:G$506,7,0)</f>
        <v>0</v>
      </c>
      <c r="F233">
        <f>VLOOKUP(A233,NYSEARCABND!A$2:G$506,7,0)</f>
        <v>0</v>
      </c>
      <c r="G233">
        <f>VLOOKUP(A233,NYSEARCATIP!A$2:G$506,7,0)</f>
        <v>0</v>
      </c>
      <c r="H233">
        <f>VLOOKUP(A233,NYSEARCAMUB!A$2:G$506,7,0)</f>
        <v>0</v>
      </c>
      <c r="I233">
        <f>VLOOKUP(A233,NYSEARCAVNQ!A$2:G$506,7,0)</f>
        <v>0</v>
      </c>
      <c r="J233">
        <f>VLOOKUP(A233,NYSEARCARWX!A$2:G$506,7,0)</f>
        <v>0</v>
      </c>
      <c r="K233">
        <f>VLOOKUP(A233,NYSEARCADBC!A$2:G$506,7,0)</f>
        <v>0</v>
      </c>
      <c r="L233">
        <f>VLOOKUP(A233,NYSEARCAGSG!A$2:G$506,7,0)</f>
        <v>0</v>
      </c>
      <c r="M233">
        <f>VLOOKUP(A233,NYSEARCAGLD!A$2:G$506,7,0)</f>
        <v>0</v>
      </c>
      <c r="N233">
        <f>VLOOKUP(A233,NYSEBP!A$2:G$506,7,0)</f>
        <v>0</v>
      </c>
      <c r="O233">
        <f>VLOOKUP(A233,NASDAQYHOO!A$2:G$506,7,0)</f>
        <v>0</v>
      </c>
    </row>
    <row r="234" spans="1:15">
      <c r="A234" s="39">
        <v>42482</v>
      </c>
      <c r="C234">
        <f>VLOOKUP(A234,NYSEARCAVTI!A$2:G$506,7,0)</f>
        <v>0</v>
      </c>
      <c r="D234">
        <f>VLOOKUP(A234,NYSEARCAVEU!A$2:G$506,7,0)</f>
        <v>0</v>
      </c>
      <c r="E234">
        <f>VLOOKUP(A234,NYSEARCAVWO!A$2:G$506,7,0)</f>
        <v>0</v>
      </c>
      <c r="F234">
        <f>VLOOKUP(A234,NYSEARCABND!A$2:G$506,7,0)</f>
        <v>0</v>
      </c>
      <c r="G234">
        <f>VLOOKUP(A234,NYSEARCATIP!A$2:G$506,7,0)</f>
        <v>0</v>
      </c>
      <c r="H234">
        <f>VLOOKUP(A234,NYSEARCAMUB!A$2:G$506,7,0)</f>
        <v>0</v>
      </c>
      <c r="I234">
        <f>VLOOKUP(A234,NYSEARCAVNQ!A$2:G$506,7,0)</f>
        <v>0</v>
      </c>
      <c r="J234">
        <f>VLOOKUP(A234,NYSEARCARWX!A$2:G$506,7,0)</f>
        <v>0</v>
      </c>
      <c r="K234">
        <f>VLOOKUP(A234,NYSEARCADBC!A$2:G$506,7,0)</f>
        <v>0</v>
      </c>
      <c r="L234">
        <f>VLOOKUP(A234,NYSEARCAGSG!A$2:G$506,7,0)</f>
        <v>0</v>
      </c>
      <c r="M234">
        <f>VLOOKUP(A234,NYSEARCAGLD!A$2:G$506,7,0)</f>
        <v>0</v>
      </c>
      <c r="N234">
        <f>VLOOKUP(A234,NYSEBP!A$2:G$506,7,0)</f>
        <v>0</v>
      </c>
      <c r="O234">
        <f>VLOOKUP(A234,NASDAQYHOO!A$2:G$506,7,0)</f>
        <v>0</v>
      </c>
    </row>
    <row r="235" spans="1:15">
      <c r="A235" s="39">
        <v>42485</v>
      </c>
      <c r="C235">
        <f>VLOOKUP(A235,NYSEARCAVTI!A$2:G$506,7,0)</f>
        <v>0</v>
      </c>
      <c r="D235">
        <f>VLOOKUP(A235,NYSEARCAVEU!A$2:G$506,7,0)</f>
        <v>0</v>
      </c>
      <c r="E235">
        <f>VLOOKUP(A235,NYSEARCAVWO!A$2:G$506,7,0)</f>
        <v>0</v>
      </c>
      <c r="F235">
        <f>VLOOKUP(A235,NYSEARCABND!A$2:G$506,7,0)</f>
        <v>0</v>
      </c>
      <c r="G235">
        <f>VLOOKUP(A235,NYSEARCATIP!A$2:G$506,7,0)</f>
        <v>0</v>
      </c>
      <c r="H235">
        <f>VLOOKUP(A235,NYSEARCAMUB!A$2:G$506,7,0)</f>
        <v>0</v>
      </c>
      <c r="I235">
        <f>VLOOKUP(A235,NYSEARCAVNQ!A$2:G$506,7,0)</f>
        <v>0</v>
      </c>
      <c r="J235">
        <f>VLOOKUP(A235,NYSEARCARWX!A$2:G$506,7,0)</f>
        <v>0</v>
      </c>
      <c r="K235">
        <f>VLOOKUP(A235,NYSEARCADBC!A$2:G$506,7,0)</f>
        <v>0</v>
      </c>
      <c r="L235">
        <f>VLOOKUP(A235,NYSEARCAGSG!A$2:G$506,7,0)</f>
        <v>0</v>
      </c>
      <c r="M235">
        <f>VLOOKUP(A235,NYSEARCAGLD!A$2:G$506,7,0)</f>
        <v>0</v>
      </c>
      <c r="N235">
        <f>VLOOKUP(A235,NYSEBP!A$2:G$506,7,0)</f>
        <v>0</v>
      </c>
      <c r="O235">
        <f>VLOOKUP(A235,NASDAQYHOO!A$2:G$506,7,0)</f>
        <v>0</v>
      </c>
    </row>
    <row r="236" spans="1:15">
      <c r="A236" s="39">
        <v>42486</v>
      </c>
      <c r="C236">
        <f>VLOOKUP(A236,NYSEARCAVTI!A$2:G$506,7,0)</f>
        <v>0</v>
      </c>
      <c r="D236">
        <f>VLOOKUP(A236,NYSEARCAVEU!A$2:G$506,7,0)</f>
        <v>0</v>
      </c>
      <c r="E236">
        <f>VLOOKUP(A236,NYSEARCAVWO!A$2:G$506,7,0)</f>
        <v>0</v>
      </c>
      <c r="F236">
        <f>VLOOKUP(A236,NYSEARCABND!A$2:G$506,7,0)</f>
        <v>0</v>
      </c>
      <c r="G236">
        <f>VLOOKUP(A236,NYSEARCATIP!A$2:G$506,7,0)</f>
        <v>0</v>
      </c>
      <c r="H236">
        <f>VLOOKUP(A236,NYSEARCAMUB!A$2:G$506,7,0)</f>
        <v>0</v>
      </c>
      <c r="I236">
        <f>VLOOKUP(A236,NYSEARCAVNQ!A$2:G$506,7,0)</f>
        <v>0</v>
      </c>
      <c r="J236">
        <f>VLOOKUP(A236,NYSEARCARWX!A$2:G$506,7,0)</f>
        <v>0</v>
      </c>
      <c r="K236">
        <f>VLOOKUP(A236,NYSEARCADBC!A$2:G$506,7,0)</f>
        <v>0</v>
      </c>
      <c r="L236">
        <f>VLOOKUP(A236,NYSEARCAGSG!A$2:G$506,7,0)</f>
        <v>0</v>
      </c>
      <c r="M236">
        <f>VLOOKUP(A236,NYSEARCAGLD!A$2:G$506,7,0)</f>
        <v>0</v>
      </c>
      <c r="N236">
        <f>VLOOKUP(A236,NYSEBP!A$2:G$506,7,0)</f>
        <v>0</v>
      </c>
      <c r="O236">
        <f>VLOOKUP(A236,NASDAQYHOO!A$2:G$506,7,0)</f>
        <v>0</v>
      </c>
    </row>
    <row r="237" spans="1:15">
      <c r="A237" s="39">
        <v>42487</v>
      </c>
      <c r="C237">
        <f>VLOOKUP(A237,NYSEARCAVTI!A$2:G$506,7,0)</f>
        <v>0</v>
      </c>
      <c r="D237">
        <f>VLOOKUP(A237,NYSEARCAVEU!A$2:G$506,7,0)</f>
        <v>0</v>
      </c>
      <c r="E237">
        <f>VLOOKUP(A237,NYSEARCAVWO!A$2:G$506,7,0)</f>
        <v>0</v>
      </c>
      <c r="F237">
        <f>VLOOKUP(A237,NYSEARCABND!A$2:G$506,7,0)</f>
        <v>0</v>
      </c>
      <c r="G237">
        <f>VLOOKUP(A237,NYSEARCATIP!A$2:G$506,7,0)</f>
        <v>0</v>
      </c>
      <c r="H237">
        <f>VLOOKUP(A237,NYSEARCAMUB!A$2:G$506,7,0)</f>
        <v>0</v>
      </c>
      <c r="I237">
        <f>VLOOKUP(A237,NYSEARCAVNQ!A$2:G$506,7,0)</f>
        <v>0</v>
      </c>
      <c r="J237">
        <f>VLOOKUP(A237,NYSEARCARWX!A$2:G$506,7,0)</f>
        <v>0</v>
      </c>
      <c r="K237">
        <f>VLOOKUP(A237,NYSEARCADBC!A$2:G$506,7,0)</f>
        <v>0</v>
      </c>
      <c r="L237">
        <f>VLOOKUP(A237,NYSEARCAGSG!A$2:G$506,7,0)</f>
        <v>0</v>
      </c>
      <c r="M237">
        <f>VLOOKUP(A237,NYSEARCAGLD!A$2:G$506,7,0)</f>
        <v>0</v>
      </c>
      <c r="N237">
        <f>VLOOKUP(A237,NYSEBP!A$2:G$506,7,0)</f>
        <v>0</v>
      </c>
      <c r="O237">
        <f>VLOOKUP(A237,NASDAQYHOO!A$2:G$506,7,0)</f>
        <v>0</v>
      </c>
    </row>
    <row r="238" spans="1:15">
      <c r="A238" s="39">
        <v>42488</v>
      </c>
      <c r="C238">
        <f>VLOOKUP(A238,NYSEARCAVTI!A$2:G$506,7,0)</f>
        <v>0</v>
      </c>
      <c r="D238">
        <f>VLOOKUP(A238,NYSEARCAVEU!A$2:G$506,7,0)</f>
        <v>0</v>
      </c>
      <c r="E238">
        <f>VLOOKUP(A238,NYSEARCAVWO!A$2:G$506,7,0)</f>
        <v>0</v>
      </c>
      <c r="F238">
        <f>VLOOKUP(A238,NYSEARCABND!A$2:G$506,7,0)</f>
        <v>0</v>
      </c>
      <c r="G238">
        <f>VLOOKUP(A238,NYSEARCATIP!A$2:G$506,7,0)</f>
        <v>0</v>
      </c>
      <c r="H238">
        <f>VLOOKUP(A238,NYSEARCAMUB!A$2:G$506,7,0)</f>
        <v>0</v>
      </c>
      <c r="I238">
        <f>VLOOKUP(A238,NYSEARCAVNQ!A$2:G$506,7,0)</f>
        <v>0</v>
      </c>
      <c r="J238">
        <f>VLOOKUP(A238,NYSEARCARWX!A$2:G$506,7,0)</f>
        <v>0</v>
      </c>
      <c r="K238">
        <f>VLOOKUP(A238,NYSEARCADBC!A$2:G$506,7,0)</f>
        <v>0</v>
      </c>
      <c r="L238">
        <f>VLOOKUP(A238,NYSEARCAGSG!A$2:G$506,7,0)</f>
        <v>0</v>
      </c>
      <c r="M238">
        <f>VLOOKUP(A238,NYSEARCAGLD!A$2:G$506,7,0)</f>
        <v>0</v>
      </c>
      <c r="N238">
        <f>VLOOKUP(A238,NYSEBP!A$2:G$506,7,0)</f>
        <v>0</v>
      </c>
      <c r="O238">
        <f>VLOOKUP(A238,NASDAQYHOO!A$2:G$506,7,0)</f>
        <v>0</v>
      </c>
    </row>
    <row r="239" spans="1:15">
      <c r="A239" s="39">
        <v>42489</v>
      </c>
      <c r="C239">
        <f>VLOOKUP(A239,NYSEARCAVTI!A$2:G$506,7,0)</f>
        <v>0</v>
      </c>
      <c r="D239">
        <f>VLOOKUP(A239,NYSEARCAVEU!A$2:G$506,7,0)</f>
        <v>0</v>
      </c>
      <c r="E239">
        <f>VLOOKUP(A239,NYSEARCAVWO!A$2:G$506,7,0)</f>
        <v>0</v>
      </c>
      <c r="F239">
        <f>VLOOKUP(A239,NYSEARCABND!A$2:G$506,7,0)</f>
        <v>0</v>
      </c>
      <c r="G239">
        <f>VLOOKUP(A239,NYSEARCATIP!A$2:G$506,7,0)</f>
        <v>0</v>
      </c>
      <c r="H239">
        <f>VLOOKUP(A239,NYSEARCAMUB!A$2:G$506,7,0)</f>
        <v>0</v>
      </c>
      <c r="I239">
        <f>VLOOKUP(A239,NYSEARCAVNQ!A$2:G$506,7,0)</f>
        <v>0</v>
      </c>
      <c r="J239">
        <f>VLOOKUP(A239,NYSEARCARWX!A$2:G$506,7,0)</f>
        <v>0</v>
      </c>
      <c r="K239">
        <f>VLOOKUP(A239,NYSEARCADBC!A$2:G$506,7,0)</f>
        <v>0</v>
      </c>
      <c r="L239">
        <f>VLOOKUP(A239,NYSEARCAGSG!A$2:G$506,7,0)</f>
        <v>0</v>
      </c>
      <c r="M239">
        <f>VLOOKUP(A239,NYSEARCAGLD!A$2:G$506,7,0)</f>
        <v>0</v>
      </c>
      <c r="N239">
        <f>VLOOKUP(A239,NYSEBP!A$2:G$506,7,0)</f>
        <v>0</v>
      </c>
      <c r="O239">
        <f>VLOOKUP(A239,NASDAQYHOO!A$2:G$506,7,0)</f>
        <v>0</v>
      </c>
    </row>
    <row r="240" spans="1:15">
      <c r="A240" s="39">
        <v>42492</v>
      </c>
      <c r="C240">
        <f>VLOOKUP(A240,NYSEARCAVTI!A$2:G$506,7,0)</f>
        <v>0</v>
      </c>
      <c r="D240">
        <f>VLOOKUP(A240,NYSEARCAVEU!A$2:G$506,7,0)</f>
        <v>0</v>
      </c>
      <c r="E240">
        <f>VLOOKUP(A240,NYSEARCAVWO!A$2:G$506,7,0)</f>
        <v>0</v>
      </c>
      <c r="F240">
        <f>VLOOKUP(A240,NYSEARCABND!A$2:G$506,7,0)</f>
        <v>0</v>
      </c>
      <c r="G240">
        <f>VLOOKUP(A240,NYSEARCATIP!A$2:G$506,7,0)</f>
        <v>0</v>
      </c>
      <c r="H240">
        <f>VLOOKUP(A240,NYSEARCAMUB!A$2:G$506,7,0)</f>
        <v>0</v>
      </c>
      <c r="I240">
        <f>VLOOKUP(A240,NYSEARCAVNQ!A$2:G$506,7,0)</f>
        <v>0</v>
      </c>
      <c r="J240">
        <f>VLOOKUP(A240,NYSEARCARWX!A$2:G$506,7,0)</f>
        <v>0</v>
      </c>
      <c r="K240">
        <f>VLOOKUP(A240,NYSEARCADBC!A$2:G$506,7,0)</f>
        <v>0</v>
      </c>
      <c r="L240">
        <f>VLOOKUP(A240,NYSEARCAGSG!A$2:G$506,7,0)</f>
        <v>0</v>
      </c>
      <c r="M240">
        <f>VLOOKUP(A240,NYSEARCAGLD!A$2:G$506,7,0)</f>
        <v>0</v>
      </c>
      <c r="N240">
        <f>VLOOKUP(A240,NYSEBP!A$2:G$506,7,0)</f>
        <v>0</v>
      </c>
      <c r="O240">
        <f>VLOOKUP(A240,NASDAQYHOO!A$2:G$506,7,0)</f>
        <v>0</v>
      </c>
    </row>
    <row r="241" spans="1:15">
      <c r="A241" s="39">
        <v>42493</v>
      </c>
      <c r="C241">
        <f>VLOOKUP(A241,NYSEARCAVTI!A$2:G$506,7,0)</f>
        <v>0</v>
      </c>
      <c r="D241">
        <f>VLOOKUP(A241,NYSEARCAVEU!A$2:G$506,7,0)</f>
        <v>0</v>
      </c>
      <c r="E241">
        <f>VLOOKUP(A241,NYSEARCAVWO!A$2:G$506,7,0)</f>
        <v>0</v>
      </c>
      <c r="F241">
        <f>VLOOKUP(A241,NYSEARCABND!A$2:G$506,7,0)</f>
        <v>0</v>
      </c>
      <c r="G241">
        <f>VLOOKUP(A241,NYSEARCATIP!A$2:G$506,7,0)</f>
        <v>0</v>
      </c>
      <c r="H241">
        <f>VLOOKUP(A241,NYSEARCAMUB!A$2:G$506,7,0)</f>
        <v>0</v>
      </c>
      <c r="I241">
        <f>VLOOKUP(A241,NYSEARCAVNQ!A$2:G$506,7,0)</f>
        <v>0</v>
      </c>
      <c r="J241">
        <f>VLOOKUP(A241,NYSEARCARWX!A$2:G$506,7,0)</f>
        <v>0</v>
      </c>
      <c r="K241">
        <f>VLOOKUP(A241,NYSEARCADBC!A$2:G$506,7,0)</f>
        <v>0</v>
      </c>
      <c r="L241">
        <f>VLOOKUP(A241,NYSEARCAGSG!A$2:G$506,7,0)</f>
        <v>0</v>
      </c>
      <c r="M241">
        <f>VLOOKUP(A241,NYSEARCAGLD!A$2:G$506,7,0)</f>
        <v>0</v>
      </c>
      <c r="N241">
        <f>VLOOKUP(A241,NYSEBP!A$2:G$506,7,0)</f>
        <v>0</v>
      </c>
      <c r="O241">
        <f>VLOOKUP(A241,NASDAQYHOO!A$2:G$506,7,0)</f>
        <v>0</v>
      </c>
    </row>
    <row r="242" spans="1:15">
      <c r="A242" s="39">
        <v>42494</v>
      </c>
      <c r="C242">
        <f>VLOOKUP(A242,NYSEARCAVTI!A$2:G$506,7,0)</f>
        <v>0</v>
      </c>
      <c r="D242">
        <f>VLOOKUP(A242,NYSEARCAVEU!A$2:G$506,7,0)</f>
        <v>0</v>
      </c>
      <c r="E242">
        <f>VLOOKUP(A242,NYSEARCAVWO!A$2:G$506,7,0)</f>
        <v>0</v>
      </c>
      <c r="F242">
        <f>VLOOKUP(A242,NYSEARCABND!A$2:G$506,7,0)</f>
        <v>0</v>
      </c>
      <c r="G242">
        <f>VLOOKUP(A242,NYSEARCATIP!A$2:G$506,7,0)</f>
        <v>0</v>
      </c>
      <c r="H242">
        <f>VLOOKUP(A242,NYSEARCAMUB!A$2:G$506,7,0)</f>
        <v>0</v>
      </c>
      <c r="I242">
        <f>VLOOKUP(A242,NYSEARCAVNQ!A$2:G$506,7,0)</f>
        <v>0</v>
      </c>
      <c r="J242">
        <f>VLOOKUP(A242,NYSEARCARWX!A$2:G$506,7,0)</f>
        <v>0</v>
      </c>
      <c r="K242">
        <f>VLOOKUP(A242,NYSEARCADBC!A$2:G$506,7,0)</f>
        <v>0</v>
      </c>
      <c r="L242">
        <f>VLOOKUP(A242,NYSEARCAGSG!A$2:G$506,7,0)</f>
        <v>0</v>
      </c>
      <c r="M242">
        <f>VLOOKUP(A242,NYSEARCAGLD!A$2:G$506,7,0)</f>
        <v>0</v>
      </c>
      <c r="N242">
        <f>VLOOKUP(A242,NYSEBP!A$2:G$506,7,0)</f>
        <v>0</v>
      </c>
      <c r="O242">
        <f>VLOOKUP(A242,NASDAQYHOO!A$2:G$506,7,0)</f>
        <v>0</v>
      </c>
    </row>
    <row r="243" spans="1:15">
      <c r="A243" s="39">
        <v>42495</v>
      </c>
      <c r="C243">
        <f>VLOOKUP(A243,NYSEARCAVTI!A$2:G$506,7,0)</f>
        <v>0</v>
      </c>
      <c r="D243">
        <f>VLOOKUP(A243,NYSEARCAVEU!A$2:G$506,7,0)</f>
        <v>0</v>
      </c>
      <c r="E243">
        <f>VLOOKUP(A243,NYSEARCAVWO!A$2:G$506,7,0)</f>
        <v>0</v>
      </c>
      <c r="F243">
        <f>VLOOKUP(A243,NYSEARCABND!A$2:G$506,7,0)</f>
        <v>0</v>
      </c>
      <c r="G243">
        <f>VLOOKUP(A243,NYSEARCATIP!A$2:G$506,7,0)</f>
        <v>0</v>
      </c>
      <c r="H243">
        <f>VLOOKUP(A243,NYSEARCAMUB!A$2:G$506,7,0)</f>
        <v>0</v>
      </c>
      <c r="I243">
        <f>VLOOKUP(A243,NYSEARCAVNQ!A$2:G$506,7,0)</f>
        <v>0</v>
      </c>
      <c r="J243">
        <f>VLOOKUP(A243,NYSEARCARWX!A$2:G$506,7,0)</f>
        <v>0</v>
      </c>
      <c r="K243">
        <f>VLOOKUP(A243,NYSEARCADBC!A$2:G$506,7,0)</f>
        <v>0</v>
      </c>
      <c r="L243">
        <f>VLOOKUP(A243,NYSEARCAGSG!A$2:G$506,7,0)</f>
        <v>0</v>
      </c>
      <c r="M243">
        <f>VLOOKUP(A243,NYSEARCAGLD!A$2:G$506,7,0)</f>
        <v>0</v>
      </c>
      <c r="N243">
        <f>VLOOKUP(A243,NYSEBP!A$2:G$506,7,0)</f>
        <v>0</v>
      </c>
      <c r="O243">
        <f>VLOOKUP(A243,NASDAQYHOO!A$2:G$506,7,0)</f>
        <v>0</v>
      </c>
    </row>
    <row r="244" spans="1:15">
      <c r="A244" s="39">
        <v>42496</v>
      </c>
      <c r="C244">
        <f>VLOOKUP(A244,NYSEARCAVTI!A$2:G$506,7,0)</f>
        <v>0</v>
      </c>
      <c r="D244">
        <f>VLOOKUP(A244,NYSEARCAVEU!A$2:G$506,7,0)</f>
        <v>0</v>
      </c>
      <c r="E244">
        <f>VLOOKUP(A244,NYSEARCAVWO!A$2:G$506,7,0)</f>
        <v>0</v>
      </c>
      <c r="F244">
        <f>VLOOKUP(A244,NYSEARCABND!A$2:G$506,7,0)</f>
        <v>0</v>
      </c>
      <c r="G244">
        <f>VLOOKUP(A244,NYSEARCATIP!A$2:G$506,7,0)</f>
        <v>0</v>
      </c>
      <c r="H244">
        <f>VLOOKUP(A244,NYSEARCAMUB!A$2:G$506,7,0)</f>
        <v>0</v>
      </c>
      <c r="I244">
        <f>VLOOKUP(A244,NYSEARCAVNQ!A$2:G$506,7,0)</f>
        <v>0</v>
      </c>
      <c r="J244">
        <f>VLOOKUP(A244,NYSEARCARWX!A$2:G$506,7,0)</f>
        <v>0</v>
      </c>
      <c r="K244">
        <f>VLOOKUP(A244,NYSEARCADBC!A$2:G$506,7,0)</f>
        <v>0</v>
      </c>
      <c r="L244">
        <f>VLOOKUP(A244,NYSEARCAGSG!A$2:G$506,7,0)</f>
        <v>0</v>
      </c>
      <c r="M244">
        <f>VLOOKUP(A244,NYSEARCAGLD!A$2:G$506,7,0)</f>
        <v>0</v>
      </c>
      <c r="N244">
        <f>VLOOKUP(A244,NYSEBP!A$2:G$506,7,0)</f>
        <v>0</v>
      </c>
      <c r="O244">
        <f>VLOOKUP(A244,NASDAQYHOO!A$2:G$506,7,0)</f>
        <v>0</v>
      </c>
    </row>
    <row r="245" spans="1:15">
      <c r="A245" s="39">
        <v>42499</v>
      </c>
      <c r="C245">
        <f>VLOOKUP(A245,NYSEARCAVTI!A$2:G$506,7,0)</f>
        <v>0</v>
      </c>
      <c r="D245">
        <f>VLOOKUP(A245,NYSEARCAVEU!A$2:G$506,7,0)</f>
        <v>0</v>
      </c>
      <c r="E245">
        <f>VLOOKUP(A245,NYSEARCAVWO!A$2:G$506,7,0)</f>
        <v>0</v>
      </c>
      <c r="F245">
        <f>VLOOKUP(A245,NYSEARCABND!A$2:G$506,7,0)</f>
        <v>0</v>
      </c>
      <c r="G245">
        <f>VLOOKUP(A245,NYSEARCATIP!A$2:G$506,7,0)</f>
        <v>0</v>
      </c>
      <c r="H245">
        <f>VLOOKUP(A245,NYSEARCAMUB!A$2:G$506,7,0)</f>
        <v>0</v>
      </c>
      <c r="I245">
        <f>VLOOKUP(A245,NYSEARCAVNQ!A$2:G$506,7,0)</f>
        <v>0</v>
      </c>
      <c r="J245">
        <f>VLOOKUP(A245,NYSEARCARWX!A$2:G$506,7,0)</f>
        <v>0</v>
      </c>
      <c r="K245">
        <f>VLOOKUP(A245,NYSEARCADBC!A$2:G$506,7,0)</f>
        <v>0</v>
      </c>
      <c r="L245">
        <f>VLOOKUP(A245,NYSEARCAGSG!A$2:G$506,7,0)</f>
        <v>0</v>
      </c>
      <c r="M245">
        <f>VLOOKUP(A245,NYSEARCAGLD!A$2:G$506,7,0)</f>
        <v>0</v>
      </c>
      <c r="N245">
        <f>VLOOKUP(A245,NYSEBP!A$2:G$506,7,0)</f>
        <v>0</v>
      </c>
      <c r="O245">
        <f>VLOOKUP(A245,NASDAQYHOO!A$2:G$506,7,0)</f>
        <v>0</v>
      </c>
    </row>
    <row r="246" spans="1:15">
      <c r="A246" s="39">
        <v>42500</v>
      </c>
      <c r="C246">
        <f>VLOOKUP(A246,NYSEARCAVTI!A$2:G$506,7,0)</f>
        <v>0</v>
      </c>
      <c r="D246">
        <f>VLOOKUP(A246,NYSEARCAVEU!A$2:G$506,7,0)</f>
        <v>0</v>
      </c>
      <c r="E246">
        <f>VLOOKUP(A246,NYSEARCAVWO!A$2:G$506,7,0)</f>
        <v>0</v>
      </c>
      <c r="F246">
        <f>VLOOKUP(A246,NYSEARCABND!A$2:G$506,7,0)</f>
        <v>0</v>
      </c>
      <c r="G246">
        <f>VLOOKUP(A246,NYSEARCATIP!A$2:G$506,7,0)</f>
        <v>0</v>
      </c>
      <c r="H246">
        <f>VLOOKUP(A246,NYSEARCAMUB!A$2:G$506,7,0)</f>
        <v>0</v>
      </c>
      <c r="I246">
        <f>VLOOKUP(A246,NYSEARCAVNQ!A$2:G$506,7,0)</f>
        <v>0</v>
      </c>
      <c r="J246">
        <f>VLOOKUP(A246,NYSEARCARWX!A$2:G$506,7,0)</f>
        <v>0</v>
      </c>
      <c r="K246">
        <f>VLOOKUP(A246,NYSEARCADBC!A$2:G$506,7,0)</f>
        <v>0</v>
      </c>
      <c r="L246">
        <f>VLOOKUP(A246,NYSEARCAGSG!A$2:G$506,7,0)</f>
        <v>0</v>
      </c>
      <c r="M246">
        <f>VLOOKUP(A246,NYSEARCAGLD!A$2:G$506,7,0)</f>
        <v>0</v>
      </c>
      <c r="N246">
        <f>VLOOKUP(A246,NYSEBP!A$2:G$506,7,0)</f>
        <v>0</v>
      </c>
      <c r="O246">
        <f>VLOOKUP(A246,NASDAQYHOO!A$2:G$506,7,0)</f>
        <v>0</v>
      </c>
    </row>
    <row r="247" spans="1:15">
      <c r="A247" s="39">
        <v>42501</v>
      </c>
      <c r="C247">
        <f>VLOOKUP(A247,NYSEARCAVTI!A$2:G$506,7,0)</f>
        <v>0</v>
      </c>
      <c r="D247">
        <f>VLOOKUP(A247,NYSEARCAVEU!A$2:G$506,7,0)</f>
        <v>0</v>
      </c>
      <c r="E247">
        <f>VLOOKUP(A247,NYSEARCAVWO!A$2:G$506,7,0)</f>
        <v>0</v>
      </c>
      <c r="F247">
        <f>VLOOKUP(A247,NYSEARCABND!A$2:G$506,7,0)</f>
        <v>0</v>
      </c>
      <c r="G247">
        <f>VLOOKUP(A247,NYSEARCATIP!A$2:G$506,7,0)</f>
        <v>0</v>
      </c>
      <c r="H247">
        <f>VLOOKUP(A247,NYSEARCAMUB!A$2:G$506,7,0)</f>
        <v>0</v>
      </c>
      <c r="I247">
        <f>VLOOKUP(A247,NYSEARCAVNQ!A$2:G$506,7,0)</f>
        <v>0</v>
      </c>
      <c r="J247">
        <f>VLOOKUP(A247,NYSEARCARWX!A$2:G$506,7,0)</f>
        <v>0</v>
      </c>
      <c r="K247">
        <f>VLOOKUP(A247,NYSEARCADBC!A$2:G$506,7,0)</f>
        <v>0</v>
      </c>
      <c r="L247">
        <f>VLOOKUP(A247,NYSEARCAGSG!A$2:G$506,7,0)</f>
        <v>0</v>
      </c>
      <c r="M247">
        <f>VLOOKUP(A247,NYSEARCAGLD!A$2:G$506,7,0)</f>
        <v>0</v>
      </c>
      <c r="N247">
        <f>VLOOKUP(A247,NYSEBP!A$2:G$506,7,0)</f>
        <v>0</v>
      </c>
      <c r="O247">
        <f>VLOOKUP(A247,NASDAQYHOO!A$2:G$506,7,0)</f>
        <v>0</v>
      </c>
    </row>
    <row r="248" spans="1:15">
      <c r="A248" s="39">
        <v>42502</v>
      </c>
      <c r="C248">
        <f>VLOOKUP(A248,NYSEARCAVTI!A$2:G$506,7,0)</f>
        <v>0</v>
      </c>
      <c r="D248">
        <f>VLOOKUP(A248,NYSEARCAVEU!A$2:G$506,7,0)</f>
        <v>0</v>
      </c>
      <c r="E248">
        <f>VLOOKUP(A248,NYSEARCAVWO!A$2:G$506,7,0)</f>
        <v>0</v>
      </c>
      <c r="F248">
        <f>VLOOKUP(A248,NYSEARCABND!A$2:G$506,7,0)</f>
        <v>0</v>
      </c>
      <c r="G248">
        <f>VLOOKUP(A248,NYSEARCATIP!A$2:G$506,7,0)</f>
        <v>0</v>
      </c>
      <c r="H248">
        <f>VLOOKUP(A248,NYSEARCAMUB!A$2:G$506,7,0)</f>
        <v>0</v>
      </c>
      <c r="I248">
        <f>VLOOKUP(A248,NYSEARCAVNQ!A$2:G$506,7,0)</f>
        <v>0</v>
      </c>
      <c r="J248">
        <f>VLOOKUP(A248,NYSEARCARWX!A$2:G$506,7,0)</f>
        <v>0</v>
      </c>
      <c r="K248">
        <f>VLOOKUP(A248,NYSEARCADBC!A$2:G$506,7,0)</f>
        <v>0</v>
      </c>
      <c r="L248">
        <f>VLOOKUP(A248,NYSEARCAGSG!A$2:G$506,7,0)</f>
        <v>0</v>
      </c>
      <c r="M248">
        <f>VLOOKUP(A248,NYSEARCAGLD!A$2:G$506,7,0)</f>
        <v>0</v>
      </c>
      <c r="N248">
        <f>VLOOKUP(A248,NYSEBP!A$2:G$506,7,0)</f>
        <v>0</v>
      </c>
      <c r="O248">
        <f>VLOOKUP(A248,NASDAQYHOO!A$2:G$506,7,0)</f>
        <v>0</v>
      </c>
    </row>
    <row r="249" spans="1:15">
      <c r="A249" s="39">
        <v>42503</v>
      </c>
      <c r="C249">
        <f>VLOOKUP(A249,NYSEARCAVTI!A$2:G$506,7,0)</f>
        <v>0</v>
      </c>
      <c r="D249">
        <f>VLOOKUP(A249,NYSEARCAVEU!A$2:G$506,7,0)</f>
        <v>0</v>
      </c>
      <c r="E249">
        <f>VLOOKUP(A249,NYSEARCAVWO!A$2:G$506,7,0)</f>
        <v>0</v>
      </c>
      <c r="F249">
        <f>VLOOKUP(A249,NYSEARCABND!A$2:G$506,7,0)</f>
        <v>0</v>
      </c>
      <c r="G249">
        <f>VLOOKUP(A249,NYSEARCATIP!A$2:G$506,7,0)</f>
        <v>0</v>
      </c>
      <c r="H249">
        <f>VLOOKUP(A249,NYSEARCAMUB!A$2:G$506,7,0)</f>
        <v>0</v>
      </c>
      <c r="I249">
        <f>VLOOKUP(A249,NYSEARCAVNQ!A$2:G$506,7,0)</f>
        <v>0</v>
      </c>
      <c r="J249">
        <f>VLOOKUP(A249,NYSEARCARWX!A$2:G$506,7,0)</f>
        <v>0</v>
      </c>
      <c r="K249">
        <f>VLOOKUP(A249,NYSEARCADBC!A$2:G$506,7,0)</f>
        <v>0</v>
      </c>
      <c r="L249">
        <f>VLOOKUP(A249,NYSEARCAGSG!A$2:G$506,7,0)</f>
        <v>0</v>
      </c>
      <c r="M249">
        <f>VLOOKUP(A249,NYSEARCAGLD!A$2:G$506,7,0)</f>
        <v>0</v>
      </c>
      <c r="N249">
        <f>VLOOKUP(A249,NYSEBP!A$2:G$506,7,0)</f>
        <v>0</v>
      </c>
      <c r="O249">
        <f>VLOOKUP(A249,NASDAQYHOO!A$2:G$506,7,0)</f>
        <v>0</v>
      </c>
    </row>
    <row r="250" spans="1:15">
      <c r="A250" s="39">
        <v>42506</v>
      </c>
      <c r="C250">
        <f>VLOOKUP(A250,NYSEARCAVTI!A$2:G$506,7,0)</f>
        <v>0</v>
      </c>
      <c r="D250">
        <f>VLOOKUP(A250,NYSEARCAVEU!A$2:G$506,7,0)</f>
        <v>0</v>
      </c>
      <c r="E250">
        <f>VLOOKUP(A250,NYSEARCAVWO!A$2:G$506,7,0)</f>
        <v>0</v>
      </c>
      <c r="F250">
        <f>VLOOKUP(A250,NYSEARCABND!A$2:G$506,7,0)</f>
        <v>0</v>
      </c>
      <c r="G250">
        <f>VLOOKUP(A250,NYSEARCATIP!A$2:G$506,7,0)</f>
        <v>0</v>
      </c>
      <c r="H250">
        <f>VLOOKUP(A250,NYSEARCAMUB!A$2:G$506,7,0)</f>
        <v>0</v>
      </c>
      <c r="I250">
        <f>VLOOKUP(A250,NYSEARCAVNQ!A$2:G$506,7,0)</f>
        <v>0</v>
      </c>
      <c r="J250">
        <f>VLOOKUP(A250,NYSEARCARWX!A$2:G$506,7,0)</f>
        <v>0</v>
      </c>
      <c r="K250">
        <f>VLOOKUP(A250,NYSEARCADBC!A$2:G$506,7,0)</f>
        <v>0</v>
      </c>
      <c r="L250">
        <f>VLOOKUP(A250,NYSEARCAGSG!A$2:G$506,7,0)</f>
        <v>0</v>
      </c>
      <c r="M250">
        <f>VLOOKUP(A250,NYSEARCAGLD!A$2:G$506,7,0)</f>
        <v>0</v>
      </c>
      <c r="N250">
        <f>VLOOKUP(A250,NYSEBP!A$2:G$506,7,0)</f>
        <v>0</v>
      </c>
      <c r="O250">
        <f>VLOOKUP(A250,NASDAQYHOO!A$2:G$506,7,0)</f>
        <v>0</v>
      </c>
    </row>
    <row r="251" spans="1:15">
      <c r="A251" s="39">
        <v>42507</v>
      </c>
      <c r="C251">
        <f>VLOOKUP(A251,NYSEARCAVTI!A$2:G$506,7,0)</f>
        <v>0</v>
      </c>
      <c r="D251">
        <f>VLOOKUP(A251,NYSEARCAVEU!A$2:G$506,7,0)</f>
        <v>0</v>
      </c>
      <c r="E251">
        <f>VLOOKUP(A251,NYSEARCAVWO!A$2:G$506,7,0)</f>
        <v>0</v>
      </c>
      <c r="F251">
        <f>VLOOKUP(A251,NYSEARCABND!A$2:G$506,7,0)</f>
        <v>0</v>
      </c>
      <c r="G251">
        <f>VLOOKUP(A251,NYSEARCATIP!A$2:G$506,7,0)</f>
        <v>0</v>
      </c>
      <c r="H251">
        <f>VLOOKUP(A251,NYSEARCAMUB!A$2:G$506,7,0)</f>
        <v>0</v>
      </c>
      <c r="I251">
        <f>VLOOKUP(A251,NYSEARCAVNQ!A$2:G$506,7,0)</f>
        <v>0</v>
      </c>
      <c r="J251">
        <f>VLOOKUP(A251,NYSEARCARWX!A$2:G$506,7,0)</f>
        <v>0</v>
      </c>
      <c r="K251">
        <f>VLOOKUP(A251,NYSEARCADBC!A$2:G$506,7,0)</f>
        <v>0</v>
      </c>
      <c r="L251">
        <f>VLOOKUP(A251,NYSEARCAGSG!A$2:G$506,7,0)</f>
        <v>0</v>
      </c>
      <c r="M251">
        <f>VLOOKUP(A251,NYSEARCAGLD!A$2:G$506,7,0)</f>
        <v>0</v>
      </c>
      <c r="N251">
        <f>VLOOKUP(A251,NYSEBP!A$2:G$506,7,0)</f>
        <v>0</v>
      </c>
      <c r="O251">
        <f>VLOOKUP(A251,NASDAQYHOO!A$2:G$506,7,0)</f>
        <v>0</v>
      </c>
    </row>
    <row r="252" spans="1:15">
      <c r="A252" s="39">
        <v>42508</v>
      </c>
      <c r="C252">
        <f>VLOOKUP(A252,NYSEARCAVTI!A$2:G$506,7,0)</f>
        <v>0</v>
      </c>
      <c r="D252">
        <f>VLOOKUP(A252,NYSEARCAVEU!A$2:G$506,7,0)</f>
        <v>0</v>
      </c>
      <c r="E252">
        <f>VLOOKUP(A252,NYSEARCAVWO!A$2:G$506,7,0)</f>
        <v>0</v>
      </c>
      <c r="F252">
        <f>VLOOKUP(A252,NYSEARCABND!A$2:G$506,7,0)</f>
        <v>0</v>
      </c>
      <c r="G252">
        <f>VLOOKUP(A252,NYSEARCATIP!A$2:G$506,7,0)</f>
        <v>0</v>
      </c>
      <c r="H252">
        <f>VLOOKUP(A252,NYSEARCAMUB!A$2:G$506,7,0)</f>
        <v>0</v>
      </c>
      <c r="I252">
        <f>VLOOKUP(A252,NYSEARCAVNQ!A$2:G$506,7,0)</f>
        <v>0</v>
      </c>
      <c r="J252">
        <f>VLOOKUP(A252,NYSEARCARWX!A$2:G$506,7,0)</f>
        <v>0</v>
      </c>
      <c r="K252">
        <f>VLOOKUP(A252,NYSEARCADBC!A$2:G$506,7,0)</f>
        <v>0</v>
      </c>
      <c r="L252">
        <f>VLOOKUP(A252,NYSEARCAGSG!A$2:G$506,7,0)</f>
        <v>0</v>
      </c>
      <c r="M252">
        <f>VLOOKUP(A252,NYSEARCAGLD!A$2:G$506,7,0)</f>
        <v>0</v>
      </c>
      <c r="N252">
        <f>VLOOKUP(A252,NYSEBP!A$2:G$506,7,0)</f>
        <v>0</v>
      </c>
      <c r="O252">
        <f>VLOOKUP(A252,NASDAQYHOO!A$2:G$506,7,0)</f>
        <v>0</v>
      </c>
    </row>
    <row r="253" spans="1:15">
      <c r="A253" s="39">
        <v>42509</v>
      </c>
      <c r="C253">
        <f>VLOOKUP(A253,NYSEARCAVTI!A$2:G$506,7,0)</f>
        <v>0</v>
      </c>
      <c r="D253">
        <f>VLOOKUP(A253,NYSEARCAVEU!A$2:G$506,7,0)</f>
        <v>0</v>
      </c>
      <c r="E253">
        <f>VLOOKUP(A253,NYSEARCAVWO!A$2:G$506,7,0)</f>
        <v>0</v>
      </c>
      <c r="F253">
        <f>VLOOKUP(A253,NYSEARCABND!A$2:G$506,7,0)</f>
        <v>0</v>
      </c>
      <c r="G253">
        <f>VLOOKUP(A253,NYSEARCATIP!A$2:G$506,7,0)</f>
        <v>0</v>
      </c>
      <c r="H253">
        <f>VLOOKUP(A253,NYSEARCAMUB!A$2:G$506,7,0)</f>
        <v>0</v>
      </c>
      <c r="I253">
        <f>VLOOKUP(A253,NYSEARCAVNQ!A$2:G$506,7,0)</f>
        <v>0</v>
      </c>
      <c r="J253">
        <f>VLOOKUP(A253,NYSEARCARWX!A$2:G$506,7,0)</f>
        <v>0</v>
      </c>
      <c r="K253">
        <f>VLOOKUP(A253,NYSEARCADBC!A$2:G$506,7,0)</f>
        <v>0</v>
      </c>
      <c r="L253">
        <f>VLOOKUP(A253,NYSEARCAGSG!A$2:G$506,7,0)</f>
        <v>0</v>
      </c>
      <c r="M253">
        <f>VLOOKUP(A253,NYSEARCAGLD!A$2:G$506,7,0)</f>
        <v>0</v>
      </c>
      <c r="N253">
        <f>VLOOKUP(A253,NYSEBP!A$2:G$506,7,0)</f>
        <v>0</v>
      </c>
      <c r="O253">
        <f>VLOOKUP(A253,NASDAQYHOO!A$2:G$506,7,0)</f>
        <v>0</v>
      </c>
    </row>
    <row r="254" spans="1:15">
      <c r="A254" s="39">
        <v>42510</v>
      </c>
      <c r="C254">
        <f>VLOOKUP(A254,NYSEARCAVTI!A$2:G$506,7,0)</f>
        <v>0</v>
      </c>
      <c r="D254">
        <f>VLOOKUP(A254,NYSEARCAVEU!A$2:G$506,7,0)</f>
        <v>0</v>
      </c>
      <c r="E254">
        <f>VLOOKUP(A254,NYSEARCAVWO!A$2:G$506,7,0)</f>
        <v>0</v>
      </c>
      <c r="F254">
        <f>VLOOKUP(A254,NYSEARCABND!A$2:G$506,7,0)</f>
        <v>0</v>
      </c>
      <c r="G254">
        <f>VLOOKUP(A254,NYSEARCATIP!A$2:G$506,7,0)</f>
        <v>0</v>
      </c>
      <c r="H254">
        <f>VLOOKUP(A254,NYSEARCAMUB!A$2:G$506,7,0)</f>
        <v>0</v>
      </c>
      <c r="I254">
        <f>VLOOKUP(A254,NYSEARCAVNQ!A$2:G$506,7,0)</f>
        <v>0</v>
      </c>
      <c r="J254">
        <f>VLOOKUP(A254,NYSEARCARWX!A$2:G$506,7,0)</f>
        <v>0</v>
      </c>
      <c r="K254">
        <f>VLOOKUP(A254,NYSEARCADBC!A$2:G$506,7,0)</f>
        <v>0</v>
      </c>
      <c r="L254">
        <f>VLOOKUP(A254,NYSEARCAGSG!A$2:G$506,7,0)</f>
        <v>0</v>
      </c>
      <c r="M254">
        <f>VLOOKUP(A254,NYSEARCAGLD!A$2:G$506,7,0)</f>
        <v>0</v>
      </c>
      <c r="N254">
        <f>VLOOKUP(A254,NYSEBP!A$2:G$506,7,0)</f>
        <v>0</v>
      </c>
      <c r="O254">
        <f>VLOOKUP(A254,NASDAQYHOO!A$2:G$506,7,0)</f>
        <v>0</v>
      </c>
    </row>
    <row r="255" spans="1:15">
      <c r="A255" s="39">
        <v>42513</v>
      </c>
      <c r="C255">
        <f>VLOOKUP(A255,NYSEARCAVTI!A$2:G$506,7,0)</f>
        <v>0</v>
      </c>
      <c r="D255">
        <f>VLOOKUP(A255,NYSEARCAVEU!A$2:G$506,7,0)</f>
        <v>0</v>
      </c>
      <c r="E255">
        <f>VLOOKUP(A255,NYSEARCAVWO!A$2:G$506,7,0)</f>
        <v>0</v>
      </c>
      <c r="F255">
        <f>VLOOKUP(A255,NYSEARCABND!A$2:G$506,7,0)</f>
        <v>0</v>
      </c>
      <c r="G255">
        <f>VLOOKUP(A255,NYSEARCATIP!A$2:G$506,7,0)</f>
        <v>0</v>
      </c>
      <c r="H255">
        <f>VLOOKUP(A255,NYSEARCAMUB!A$2:G$506,7,0)</f>
        <v>0</v>
      </c>
      <c r="I255">
        <f>VLOOKUP(A255,NYSEARCAVNQ!A$2:G$506,7,0)</f>
        <v>0</v>
      </c>
      <c r="J255">
        <f>VLOOKUP(A255,NYSEARCARWX!A$2:G$506,7,0)</f>
        <v>0</v>
      </c>
      <c r="K255">
        <f>VLOOKUP(A255,NYSEARCADBC!A$2:G$506,7,0)</f>
        <v>0</v>
      </c>
      <c r="L255">
        <f>VLOOKUP(A255,NYSEARCAGSG!A$2:G$506,7,0)</f>
        <v>0</v>
      </c>
      <c r="M255">
        <f>VLOOKUP(A255,NYSEARCAGLD!A$2:G$506,7,0)</f>
        <v>0</v>
      </c>
      <c r="N255">
        <f>VLOOKUP(A255,NYSEBP!A$2:G$506,7,0)</f>
        <v>0</v>
      </c>
      <c r="O255">
        <f>VLOOKUP(A255,NASDAQYHOO!A$2:G$506,7,0)</f>
        <v>0</v>
      </c>
    </row>
    <row r="256" spans="1:15">
      <c r="A256" s="39">
        <v>42514</v>
      </c>
      <c r="C256">
        <f>VLOOKUP(A256,NYSEARCAVTI!A$2:G$506,7,0)</f>
        <v>0</v>
      </c>
      <c r="D256">
        <f>VLOOKUP(A256,NYSEARCAVEU!A$2:G$506,7,0)</f>
        <v>0</v>
      </c>
      <c r="E256">
        <f>VLOOKUP(A256,NYSEARCAVWO!A$2:G$506,7,0)</f>
        <v>0</v>
      </c>
      <c r="F256">
        <f>VLOOKUP(A256,NYSEARCABND!A$2:G$506,7,0)</f>
        <v>0</v>
      </c>
      <c r="G256">
        <f>VLOOKUP(A256,NYSEARCATIP!A$2:G$506,7,0)</f>
        <v>0</v>
      </c>
      <c r="H256">
        <f>VLOOKUP(A256,NYSEARCAMUB!A$2:G$506,7,0)</f>
        <v>0</v>
      </c>
      <c r="I256">
        <f>VLOOKUP(A256,NYSEARCAVNQ!A$2:G$506,7,0)</f>
        <v>0</v>
      </c>
      <c r="J256">
        <f>VLOOKUP(A256,NYSEARCARWX!A$2:G$506,7,0)</f>
        <v>0</v>
      </c>
      <c r="K256">
        <f>VLOOKUP(A256,NYSEARCADBC!A$2:G$506,7,0)</f>
        <v>0</v>
      </c>
      <c r="L256">
        <f>VLOOKUP(A256,NYSEARCAGSG!A$2:G$506,7,0)</f>
        <v>0</v>
      </c>
      <c r="M256">
        <f>VLOOKUP(A256,NYSEARCAGLD!A$2:G$506,7,0)</f>
        <v>0</v>
      </c>
      <c r="N256">
        <f>VLOOKUP(A256,NYSEBP!A$2:G$506,7,0)</f>
        <v>0</v>
      </c>
      <c r="O256">
        <f>VLOOKUP(A256,NASDAQYHOO!A$2:G$506,7,0)</f>
        <v>0</v>
      </c>
    </row>
    <row r="257" spans="1:15">
      <c r="A257" s="39">
        <v>42515</v>
      </c>
      <c r="C257">
        <f>VLOOKUP(A257,NYSEARCAVTI!A$2:G$506,7,0)</f>
        <v>0</v>
      </c>
      <c r="D257">
        <f>VLOOKUP(A257,NYSEARCAVEU!A$2:G$506,7,0)</f>
        <v>0</v>
      </c>
      <c r="E257">
        <f>VLOOKUP(A257,NYSEARCAVWO!A$2:G$506,7,0)</f>
        <v>0</v>
      </c>
      <c r="F257">
        <f>VLOOKUP(A257,NYSEARCABND!A$2:G$506,7,0)</f>
        <v>0</v>
      </c>
      <c r="G257">
        <f>VLOOKUP(A257,NYSEARCATIP!A$2:G$506,7,0)</f>
        <v>0</v>
      </c>
      <c r="H257">
        <f>VLOOKUP(A257,NYSEARCAMUB!A$2:G$506,7,0)</f>
        <v>0</v>
      </c>
      <c r="I257">
        <f>VLOOKUP(A257,NYSEARCAVNQ!A$2:G$506,7,0)</f>
        <v>0</v>
      </c>
      <c r="J257">
        <f>VLOOKUP(A257,NYSEARCARWX!A$2:G$506,7,0)</f>
        <v>0</v>
      </c>
      <c r="K257">
        <f>VLOOKUP(A257,NYSEARCADBC!A$2:G$506,7,0)</f>
        <v>0</v>
      </c>
      <c r="L257">
        <f>VLOOKUP(A257,NYSEARCAGSG!A$2:G$506,7,0)</f>
        <v>0</v>
      </c>
      <c r="M257">
        <f>VLOOKUP(A257,NYSEARCAGLD!A$2:G$506,7,0)</f>
        <v>0</v>
      </c>
      <c r="N257">
        <f>VLOOKUP(A257,NYSEBP!A$2:G$506,7,0)</f>
        <v>0</v>
      </c>
      <c r="O257">
        <f>VLOOKUP(A257,NASDAQYHOO!A$2:G$506,7,0)</f>
        <v>0</v>
      </c>
    </row>
    <row r="258" spans="1:15">
      <c r="A258" s="39">
        <v>42516</v>
      </c>
      <c r="C258">
        <f>VLOOKUP(A258,NYSEARCAVTI!A$2:G$506,7,0)</f>
        <v>0</v>
      </c>
      <c r="D258">
        <f>VLOOKUP(A258,NYSEARCAVEU!A$2:G$506,7,0)</f>
        <v>0</v>
      </c>
      <c r="E258">
        <f>VLOOKUP(A258,NYSEARCAVWO!A$2:G$506,7,0)</f>
        <v>0</v>
      </c>
      <c r="F258">
        <f>VLOOKUP(A258,NYSEARCABND!A$2:G$506,7,0)</f>
        <v>0</v>
      </c>
      <c r="G258">
        <f>VLOOKUP(A258,NYSEARCATIP!A$2:G$506,7,0)</f>
        <v>0</v>
      </c>
      <c r="H258">
        <f>VLOOKUP(A258,NYSEARCAMUB!A$2:G$506,7,0)</f>
        <v>0</v>
      </c>
      <c r="I258">
        <f>VLOOKUP(A258,NYSEARCAVNQ!A$2:G$506,7,0)</f>
        <v>0</v>
      </c>
      <c r="J258">
        <f>VLOOKUP(A258,NYSEARCARWX!A$2:G$506,7,0)</f>
        <v>0</v>
      </c>
      <c r="K258">
        <f>VLOOKUP(A258,NYSEARCADBC!A$2:G$506,7,0)</f>
        <v>0</v>
      </c>
      <c r="L258">
        <f>VLOOKUP(A258,NYSEARCAGSG!A$2:G$506,7,0)</f>
        <v>0</v>
      </c>
      <c r="M258">
        <f>VLOOKUP(A258,NYSEARCAGLD!A$2:G$506,7,0)</f>
        <v>0</v>
      </c>
      <c r="N258">
        <f>VLOOKUP(A258,NYSEBP!A$2:G$506,7,0)</f>
        <v>0</v>
      </c>
      <c r="O258">
        <f>VLOOKUP(A258,NASDAQYHOO!A$2:G$506,7,0)</f>
        <v>0</v>
      </c>
    </row>
    <row r="259" spans="1:15">
      <c r="A259" s="39">
        <v>42517</v>
      </c>
      <c r="C259">
        <f>VLOOKUP(A259,NYSEARCAVTI!A$2:G$506,7,0)</f>
        <v>0</v>
      </c>
      <c r="D259">
        <f>VLOOKUP(A259,NYSEARCAVEU!A$2:G$506,7,0)</f>
        <v>0</v>
      </c>
      <c r="E259">
        <f>VLOOKUP(A259,NYSEARCAVWO!A$2:G$506,7,0)</f>
        <v>0</v>
      </c>
      <c r="F259">
        <f>VLOOKUP(A259,NYSEARCABND!A$2:G$506,7,0)</f>
        <v>0</v>
      </c>
      <c r="G259">
        <f>VLOOKUP(A259,NYSEARCATIP!A$2:G$506,7,0)</f>
        <v>0</v>
      </c>
      <c r="H259">
        <f>VLOOKUP(A259,NYSEARCAMUB!A$2:G$506,7,0)</f>
        <v>0</v>
      </c>
      <c r="I259">
        <f>VLOOKUP(A259,NYSEARCAVNQ!A$2:G$506,7,0)</f>
        <v>0</v>
      </c>
      <c r="J259">
        <f>VLOOKUP(A259,NYSEARCARWX!A$2:G$506,7,0)</f>
        <v>0</v>
      </c>
      <c r="K259">
        <f>VLOOKUP(A259,NYSEARCADBC!A$2:G$506,7,0)</f>
        <v>0</v>
      </c>
      <c r="L259">
        <f>VLOOKUP(A259,NYSEARCAGSG!A$2:G$506,7,0)</f>
        <v>0</v>
      </c>
      <c r="M259">
        <f>VLOOKUP(A259,NYSEARCAGLD!A$2:G$506,7,0)</f>
        <v>0</v>
      </c>
      <c r="N259">
        <f>VLOOKUP(A259,NYSEBP!A$2:G$506,7,0)</f>
        <v>0</v>
      </c>
      <c r="O259">
        <f>VLOOKUP(A259,NASDAQYHOO!A$2:G$506,7,0)</f>
        <v>0</v>
      </c>
    </row>
    <row r="260" spans="1:15">
      <c r="A260" s="39">
        <v>42521</v>
      </c>
      <c r="C260">
        <f>VLOOKUP(A260,NYSEARCAVTI!A$2:G$506,7,0)</f>
        <v>0</v>
      </c>
      <c r="D260">
        <f>VLOOKUP(A260,NYSEARCAVEU!A$2:G$506,7,0)</f>
        <v>0</v>
      </c>
      <c r="E260">
        <f>VLOOKUP(A260,NYSEARCAVWO!A$2:G$506,7,0)</f>
        <v>0</v>
      </c>
      <c r="F260">
        <f>VLOOKUP(A260,NYSEARCABND!A$2:G$506,7,0)</f>
        <v>0</v>
      </c>
      <c r="G260">
        <f>VLOOKUP(A260,NYSEARCATIP!A$2:G$506,7,0)</f>
        <v>0</v>
      </c>
      <c r="H260">
        <f>VLOOKUP(A260,NYSEARCAMUB!A$2:G$506,7,0)</f>
        <v>0</v>
      </c>
      <c r="I260">
        <f>VLOOKUP(A260,NYSEARCAVNQ!A$2:G$506,7,0)</f>
        <v>0</v>
      </c>
      <c r="J260">
        <f>VLOOKUP(A260,NYSEARCARWX!A$2:G$506,7,0)</f>
        <v>0</v>
      </c>
      <c r="K260">
        <f>VLOOKUP(A260,NYSEARCADBC!A$2:G$506,7,0)</f>
        <v>0</v>
      </c>
      <c r="L260">
        <f>VLOOKUP(A260,NYSEARCAGSG!A$2:G$506,7,0)</f>
        <v>0</v>
      </c>
      <c r="M260">
        <f>VLOOKUP(A260,NYSEARCAGLD!A$2:G$506,7,0)</f>
        <v>0</v>
      </c>
      <c r="N260">
        <f>VLOOKUP(A260,NYSEBP!A$2:G$506,7,0)</f>
        <v>0</v>
      </c>
      <c r="O260">
        <f>VLOOKUP(A260,NASDAQYHOO!A$2:G$506,7,0)</f>
        <v>0</v>
      </c>
    </row>
    <row r="261" spans="1:15">
      <c r="A261" s="39">
        <v>42522</v>
      </c>
      <c r="C261">
        <f>VLOOKUP(A261,NYSEARCAVTI!A$2:G$506,7,0)</f>
        <v>0</v>
      </c>
      <c r="D261">
        <f>VLOOKUP(A261,NYSEARCAVEU!A$2:G$506,7,0)</f>
        <v>0</v>
      </c>
      <c r="E261">
        <f>VLOOKUP(A261,NYSEARCAVWO!A$2:G$506,7,0)</f>
        <v>0</v>
      </c>
      <c r="F261">
        <f>VLOOKUP(A261,NYSEARCABND!A$2:G$506,7,0)</f>
        <v>0</v>
      </c>
      <c r="G261">
        <f>VLOOKUP(A261,NYSEARCATIP!A$2:G$506,7,0)</f>
        <v>0</v>
      </c>
      <c r="H261">
        <f>VLOOKUP(A261,NYSEARCAMUB!A$2:G$506,7,0)</f>
        <v>0</v>
      </c>
      <c r="I261">
        <f>VLOOKUP(A261,NYSEARCAVNQ!A$2:G$506,7,0)</f>
        <v>0</v>
      </c>
      <c r="J261">
        <f>VLOOKUP(A261,NYSEARCARWX!A$2:G$506,7,0)</f>
        <v>0</v>
      </c>
      <c r="K261">
        <f>VLOOKUP(A261,NYSEARCADBC!A$2:G$506,7,0)</f>
        <v>0</v>
      </c>
      <c r="L261">
        <f>VLOOKUP(A261,NYSEARCAGSG!A$2:G$506,7,0)</f>
        <v>0</v>
      </c>
      <c r="M261">
        <f>VLOOKUP(A261,NYSEARCAGLD!A$2:G$506,7,0)</f>
        <v>0</v>
      </c>
      <c r="N261">
        <f>VLOOKUP(A261,NYSEBP!A$2:G$506,7,0)</f>
        <v>0</v>
      </c>
      <c r="O261">
        <f>VLOOKUP(A261,NASDAQYHOO!A$2:G$506,7,0)</f>
        <v>0</v>
      </c>
    </row>
    <row r="262" spans="1:15">
      <c r="A262" s="39">
        <v>42523</v>
      </c>
      <c r="C262">
        <f>VLOOKUP(A262,NYSEARCAVTI!A$2:G$506,7,0)</f>
        <v>0</v>
      </c>
      <c r="D262">
        <f>VLOOKUP(A262,NYSEARCAVEU!A$2:G$506,7,0)</f>
        <v>0</v>
      </c>
      <c r="E262">
        <f>VLOOKUP(A262,NYSEARCAVWO!A$2:G$506,7,0)</f>
        <v>0</v>
      </c>
      <c r="F262">
        <f>VLOOKUP(A262,NYSEARCABND!A$2:G$506,7,0)</f>
        <v>0</v>
      </c>
      <c r="G262">
        <f>VLOOKUP(A262,NYSEARCATIP!A$2:G$506,7,0)</f>
        <v>0</v>
      </c>
      <c r="H262">
        <f>VLOOKUP(A262,NYSEARCAMUB!A$2:G$506,7,0)</f>
        <v>0</v>
      </c>
      <c r="I262">
        <f>VLOOKUP(A262,NYSEARCAVNQ!A$2:G$506,7,0)</f>
        <v>0</v>
      </c>
      <c r="J262">
        <f>VLOOKUP(A262,NYSEARCARWX!A$2:G$506,7,0)</f>
        <v>0</v>
      </c>
      <c r="K262">
        <f>VLOOKUP(A262,NYSEARCADBC!A$2:G$506,7,0)</f>
        <v>0</v>
      </c>
      <c r="L262">
        <f>VLOOKUP(A262,NYSEARCAGSG!A$2:G$506,7,0)</f>
        <v>0</v>
      </c>
      <c r="M262">
        <f>VLOOKUP(A262,NYSEARCAGLD!A$2:G$506,7,0)</f>
        <v>0</v>
      </c>
      <c r="N262">
        <f>VLOOKUP(A262,NYSEBP!A$2:G$506,7,0)</f>
        <v>0</v>
      </c>
      <c r="O262">
        <f>VLOOKUP(A262,NASDAQYHOO!A$2:G$506,7,0)</f>
        <v>0</v>
      </c>
    </row>
    <row r="263" spans="1:15">
      <c r="A263" s="39">
        <v>42524</v>
      </c>
      <c r="C263">
        <f>VLOOKUP(A263,NYSEARCAVTI!A$2:G$506,7,0)</f>
        <v>0</v>
      </c>
      <c r="D263">
        <f>VLOOKUP(A263,NYSEARCAVEU!A$2:G$506,7,0)</f>
        <v>0</v>
      </c>
      <c r="E263">
        <f>VLOOKUP(A263,NYSEARCAVWO!A$2:G$506,7,0)</f>
        <v>0</v>
      </c>
      <c r="F263">
        <f>VLOOKUP(A263,NYSEARCABND!A$2:G$506,7,0)</f>
        <v>0</v>
      </c>
      <c r="G263">
        <f>VLOOKUP(A263,NYSEARCATIP!A$2:G$506,7,0)</f>
        <v>0</v>
      </c>
      <c r="H263">
        <f>VLOOKUP(A263,NYSEARCAMUB!A$2:G$506,7,0)</f>
        <v>0</v>
      </c>
      <c r="I263">
        <f>VLOOKUP(A263,NYSEARCAVNQ!A$2:G$506,7,0)</f>
        <v>0</v>
      </c>
      <c r="J263">
        <f>VLOOKUP(A263,NYSEARCARWX!A$2:G$506,7,0)</f>
        <v>0</v>
      </c>
      <c r="K263">
        <f>VLOOKUP(A263,NYSEARCADBC!A$2:G$506,7,0)</f>
        <v>0</v>
      </c>
      <c r="L263">
        <f>VLOOKUP(A263,NYSEARCAGSG!A$2:G$506,7,0)</f>
        <v>0</v>
      </c>
      <c r="M263">
        <f>VLOOKUP(A263,NYSEARCAGLD!A$2:G$506,7,0)</f>
        <v>0</v>
      </c>
      <c r="N263">
        <f>VLOOKUP(A263,NYSEBP!A$2:G$506,7,0)</f>
        <v>0</v>
      </c>
      <c r="O263">
        <f>VLOOKUP(A263,NASDAQYHOO!A$2:G$506,7,0)</f>
        <v>0</v>
      </c>
    </row>
    <row r="264" spans="1:15">
      <c r="A264" s="39">
        <v>42527</v>
      </c>
      <c r="C264">
        <f>VLOOKUP(A264,NYSEARCAVTI!A$2:G$506,7,0)</f>
        <v>0</v>
      </c>
      <c r="D264">
        <f>VLOOKUP(A264,NYSEARCAVEU!A$2:G$506,7,0)</f>
        <v>0</v>
      </c>
      <c r="E264">
        <f>VLOOKUP(A264,NYSEARCAVWO!A$2:G$506,7,0)</f>
        <v>0</v>
      </c>
      <c r="F264">
        <f>VLOOKUP(A264,NYSEARCABND!A$2:G$506,7,0)</f>
        <v>0</v>
      </c>
      <c r="G264">
        <f>VLOOKUP(A264,NYSEARCATIP!A$2:G$506,7,0)</f>
        <v>0</v>
      </c>
      <c r="H264">
        <f>VLOOKUP(A264,NYSEARCAMUB!A$2:G$506,7,0)</f>
        <v>0</v>
      </c>
      <c r="I264">
        <f>VLOOKUP(A264,NYSEARCAVNQ!A$2:G$506,7,0)</f>
        <v>0</v>
      </c>
      <c r="J264">
        <f>VLOOKUP(A264,NYSEARCARWX!A$2:G$506,7,0)</f>
        <v>0</v>
      </c>
      <c r="K264">
        <f>VLOOKUP(A264,NYSEARCADBC!A$2:G$506,7,0)</f>
        <v>0</v>
      </c>
      <c r="L264">
        <f>VLOOKUP(A264,NYSEARCAGSG!A$2:G$506,7,0)</f>
        <v>0</v>
      </c>
      <c r="M264">
        <f>VLOOKUP(A264,NYSEARCAGLD!A$2:G$506,7,0)</f>
        <v>0</v>
      </c>
      <c r="N264">
        <f>VLOOKUP(A264,NYSEBP!A$2:G$506,7,0)</f>
        <v>0</v>
      </c>
      <c r="O264">
        <f>VLOOKUP(A264,NASDAQYHOO!A$2:G$506,7,0)</f>
        <v>0</v>
      </c>
    </row>
    <row r="265" spans="1:15">
      <c r="A265" s="39">
        <v>42528</v>
      </c>
      <c r="C265">
        <f>VLOOKUP(A265,NYSEARCAVTI!A$2:G$506,7,0)</f>
        <v>0</v>
      </c>
      <c r="D265">
        <f>VLOOKUP(A265,NYSEARCAVEU!A$2:G$506,7,0)</f>
        <v>0</v>
      </c>
      <c r="E265">
        <f>VLOOKUP(A265,NYSEARCAVWO!A$2:G$506,7,0)</f>
        <v>0</v>
      </c>
      <c r="F265">
        <f>VLOOKUP(A265,NYSEARCABND!A$2:G$506,7,0)</f>
        <v>0</v>
      </c>
      <c r="G265">
        <f>VLOOKUP(A265,NYSEARCATIP!A$2:G$506,7,0)</f>
        <v>0</v>
      </c>
      <c r="H265">
        <f>VLOOKUP(A265,NYSEARCAMUB!A$2:G$506,7,0)</f>
        <v>0</v>
      </c>
      <c r="I265">
        <f>VLOOKUP(A265,NYSEARCAVNQ!A$2:G$506,7,0)</f>
        <v>0</v>
      </c>
      <c r="J265">
        <f>VLOOKUP(A265,NYSEARCARWX!A$2:G$506,7,0)</f>
        <v>0</v>
      </c>
      <c r="K265">
        <f>VLOOKUP(A265,NYSEARCADBC!A$2:G$506,7,0)</f>
        <v>0</v>
      </c>
      <c r="L265">
        <f>VLOOKUP(A265,NYSEARCAGSG!A$2:G$506,7,0)</f>
        <v>0</v>
      </c>
      <c r="M265">
        <f>VLOOKUP(A265,NYSEARCAGLD!A$2:G$506,7,0)</f>
        <v>0</v>
      </c>
      <c r="N265">
        <f>VLOOKUP(A265,NYSEBP!A$2:G$506,7,0)</f>
        <v>0</v>
      </c>
      <c r="O265">
        <f>VLOOKUP(A265,NASDAQYHOO!A$2:G$506,7,0)</f>
        <v>0</v>
      </c>
    </row>
    <row r="266" spans="1:15">
      <c r="A266" s="39">
        <v>42529</v>
      </c>
      <c r="C266">
        <f>VLOOKUP(A266,NYSEARCAVTI!A$2:G$506,7,0)</f>
        <v>0</v>
      </c>
      <c r="D266">
        <f>VLOOKUP(A266,NYSEARCAVEU!A$2:G$506,7,0)</f>
        <v>0</v>
      </c>
      <c r="E266">
        <f>VLOOKUP(A266,NYSEARCAVWO!A$2:G$506,7,0)</f>
        <v>0</v>
      </c>
      <c r="F266">
        <f>VLOOKUP(A266,NYSEARCABND!A$2:G$506,7,0)</f>
        <v>0</v>
      </c>
      <c r="G266">
        <f>VLOOKUP(A266,NYSEARCATIP!A$2:G$506,7,0)</f>
        <v>0</v>
      </c>
      <c r="H266">
        <f>VLOOKUP(A266,NYSEARCAMUB!A$2:G$506,7,0)</f>
        <v>0</v>
      </c>
      <c r="I266">
        <f>VLOOKUP(A266,NYSEARCAVNQ!A$2:G$506,7,0)</f>
        <v>0</v>
      </c>
      <c r="J266">
        <f>VLOOKUP(A266,NYSEARCARWX!A$2:G$506,7,0)</f>
        <v>0</v>
      </c>
      <c r="K266">
        <f>VLOOKUP(A266,NYSEARCADBC!A$2:G$506,7,0)</f>
        <v>0</v>
      </c>
      <c r="L266">
        <f>VLOOKUP(A266,NYSEARCAGSG!A$2:G$506,7,0)</f>
        <v>0</v>
      </c>
      <c r="M266">
        <f>VLOOKUP(A266,NYSEARCAGLD!A$2:G$506,7,0)</f>
        <v>0</v>
      </c>
      <c r="N266">
        <f>VLOOKUP(A266,NYSEBP!A$2:G$506,7,0)</f>
        <v>0</v>
      </c>
      <c r="O266">
        <f>VLOOKUP(A266,NASDAQYHOO!A$2:G$506,7,0)</f>
        <v>0</v>
      </c>
    </row>
    <row r="267" spans="1:15">
      <c r="A267" s="39">
        <v>42530</v>
      </c>
      <c r="C267">
        <f>VLOOKUP(A267,NYSEARCAVTI!A$2:G$506,7,0)</f>
        <v>0</v>
      </c>
      <c r="D267">
        <f>VLOOKUP(A267,NYSEARCAVEU!A$2:G$506,7,0)</f>
        <v>0</v>
      </c>
      <c r="E267">
        <f>VLOOKUP(A267,NYSEARCAVWO!A$2:G$506,7,0)</f>
        <v>0</v>
      </c>
      <c r="F267">
        <f>VLOOKUP(A267,NYSEARCABND!A$2:G$506,7,0)</f>
        <v>0</v>
      </c>
      <c r="G267">
        <f>VLOOKUP(A267,NYSEARCATIP!A$2:G$506,7,0)</f>
        <v>0</v>
      </c>
      <c r="H267">
        <f>VLOOKUP(A267,NYSEARCAMUB!A$2:G$506,7,0)</f>
        <v>0</v>
      </c>
      <c r="I267">
        <f>VLOOKUP(A267,NYSEARCAVNQ!A$2:G$506,7,0)</f>
        <v>0</v>
      </c>
      <c r="J267">
        <f>VLOOKUP(A267,NYSEARCARWX!A$2:G$506,7,0)</f>
        <v>0</v>
      </c>
      <c r="K267">
        <f>VLOOKUP(A267,NYSEARCADBC!A$2:G$506,7,0)</f>
        <v>0</v>
      </c>
      <c r="L267">
        <f>VLOOKUP(A267,NYSEARCAGSG!A$2:G$506,7,0)</f>
        <v>0</v>
      </c>
      <c r="M267">
        <f>VLOOKUP(A267,NYSEARCAGLD!A$2:G$506,7,0)</f>
        <v>0</v>
      </c>
      <c r="N267">
        <f>VLOOKUP(A267,NYSEBP!A$2:G$506,7,0)</f>
        <v>0</v>
      </c>
      <c r="O267">
        <f>VLOOKUP(A267,NASDAQYHOO!A$2:G$506,7,0)</f>
        <v>0</v>
      </c>
    </row>
    <row r="268" spans="1:15">
      <c r="A268" s="39">
        <v>42531</v>
      </c>
      <c r="C268">
        <f>VLOOKUP(A268,NYSEARCAVTI!A$2:G$506,7,0)</f>
        <v>0</v>
      </c>
      <c r="D268">
        <f>VLOOKUP(A268,NYSEARCAVEU!A$2:G$506,7,0)</f>
        <v>0</v>
      </c>
      <c r="E268">
        <f>VLOOKUP(A268,NYSEARCAVWO!A$2:G$506,7,0)</f>
        <v>0</v>
      </c>
      <c r="F268">
        <f>VLOOKUP(A268,NYSEARCABND!A$2:G$506,7,0)</f>
        <v>0</v>
      </c>
      <c r="G268">
        <f>VLOOKUP(A268,NYSEARCATIP!A$2:G$506,7,0)</f>
        <v>0</v>
      </c>
      <c r="H268">
        <f>VLOOKUP(A268,NYSEARCAMUB!A$2:G$506,7,0)</f>
        <v>0</v>
      </c>
      <c r="I268">
        <f>VLOOKUP(A268,NYSEARCAVNQ!A$2:G$506,7,0)</f>
        <v>0</v>
      </c>
      <c r="J268">
        <f>VLOOKUP(A268,NYSEARCARWX!A$2:G$506,7,0)</f>
        <v>0</v>
      </c>
      <c r="K268">
        <f>VLOOKUP(A268,NYSEARCADBC!A$2:G$506,7,0)</f>
        <v>0</v>
      </c>
      <c r="L268">
        <f>VLOOKUP(A268,NYSEARCAGSG!A$2:G$506,7,0)</f>
        <v>0</v>
      </c>
      <c r="M268">
        <f>VLOOKUP(A268,NYSEARCAGLD!A$2:G$506,7,0)</f>
        <v>0</v>
      </c>
      <c r="N268">
        <f>VLOOKUP(A268,NYSEBP!A$2:G$506,7,0)</f>
        <v>0</v>
      </c>
      <c r="O268">
        <f>VLOOKUP(A268,NASDAQYHOO!A$2:G$506,7,0)</f>
        <v>0</v>
      </c>
    </row>
    <row r="269" spans="1:15">
      <c r="A269" s="39">
        <v>42534</v>
      </c>
      <c r="C269">
        <f>VLOOKUP(A269,NYSEARCAVTI!A$2:G$506,7,0)</f>
        <v>0</v>
      </c>
      <c r="D269">
        <f>VLOOKUP(A269,NYSEARCAVEU!A$2:G$506,7,0)</f>
        <v>0</v>
      </c>
      <c r="E269">
        <f>VLOOKUP(A269,NYSEARCAVWO!A$2:G$506,7,0)</f>
        <v>0</v>
      </c>
      <c r="F269">
        <f>VLOOKUP(A269,NYSEARCABND!A$2:G$506,7,0)</f>
        <v>0</v>
      </c>
      <c r="G269">
        <f>VLOOKUP(A269,NYSEARCATIP!A$2:G$506,7,0)</f>
        <v>0</v>
      </c>
      <c r="H269">
        <f>VLOOKUP(A269,NYSEARCAMUB!A$2:G$506,7,0)</f>
        <v>0</v>
      </c>
      <c r="I269">
        <f>VLOOKUP(A269,NYSEARCAVNQ!A$2:G$506,7,0)</f>
        <v>0</v>
      </c>
      <c r="J269">
        <f>VLOOKUP(A269,NYSEARCARWX!A$2:G$506,7,0)</f>
        <v>0</v>
      </c>
      <c r="K269">
        <f>VLOOKUP(A269,NYSEARCADBC!A$2:G$506,7,0)</f>
        <v>0</v>
      </c>
      <c r="L269">
        <f>VLOOKUP(A269,NYSEARCAGSG!A$2:G$506,7,0)</f>
        <v>0</v>
      </c>
      <c r="M269">
        <f>VLOOKUP(A269,NYSEARCAGLD!A$2:G$506,7,0)</f>
        <v>0</v>
      </c>
      <c r="N269">
        <f>VLOOKUP(A269,NYSEBP!A$2:G$506,7,0)</f>
        <v>0</v>
      </c>
      <c r="O269">
        <f>VLOOKUP(A269,NASDAQYHOO!A$2:G$506,7,0)</f>
        <v>0</v>
      </c>
    </row>
    <row r="270" spans="1:15">
      <c r="A270" s="39">
        <v>42535</v>
      </c>
      <c r="C270">
        <f>VLOOKUP(A270,NYSEARCAVTI!A$2:G$506,7,0)</f>
        <v>0</v>
      </c>
      <c r="D270">
        <f>VLOOKUP(A270,NYSEARCAVEU!A$2:G$506,7,0)</f>
        <v>0</v>
      </c>
      <c r="E270">
        <f>VLOOKUP(A270,NYSEARCAVWO!A$2:G$506,7,0)</f>
        <v>0</v>
      </c>
      <c r="F270">
        <f>VLOOKUP(A270,NYSEARCABND!A$2:G$506,7,0)</f>
        <v>0</v>
      </c>
      <c r="G270">
        <f>VLOOKUP(A270,NYSEARCATIP!A$2:G$506,7,0)</f>
        <v>0</v>
      </c>
      <c r="H270">
        <f>VLOOKUP(A270,NYSEARCAMUB!A$2:G$506,7,0)</f>
        <v>0</v>
      </c>
      <c r="I270">
        <f>VLOOKUP(A270,NYSEARCAVNQ!A$2:G$506,7,0)</f>
        <v>0</v>
      </c>
      <c r="J270">
        <f>VLOOKUP(A270,NYSEARCARWX!A$2:G$506,7,0)</f>
        <v>0</v>
      </c>
      <c r="K270">
        <f>VLOOKUP(A270,NYSEARCADBC!A$2:G$506,7,0)</f>
        <v>0</v>
      </c>
      <c r="L270">
        <f>VLOOKUP(A270,NYSEARCAGSG!A$2:G$506,7,0)</f>
        <v>0</v>
      </c>
      <c r="M270">
        <f>VLOOKUP(A270,NYSEARCAGLD!A$2:G$506,7,0)</f>
        <v>0</v>
      </c>
      <c r="N270">
        <f>VLOOKUP(A270,NYSEBP!A$2:G$506,7,0)</f>
        <v>0</v>
      </c>
      <c r="O270">
        <f>VLOOKUP(A270,NASDAQYHOO!A$2:G$506,7,0)</f>
        <v>0</v>
      </c>
    </row>
    <row r="271" spans="1:15">
      <c r="A271" s="39">
        <v>42536</v>
      </c>
      <c r="C271">
        <f>VLOOKUP(A271,NYSEARCAVTI!A$2:G$506,7,0)</f>
        <v>0</v>
      </c>
      <c r="D271">
        <f>VLOOKUP(A271,NYSEARCAVEU!A$2:G$506,7,0)</f>
        <v>0</v>
      </c>
      <c r="E271">
        <f>VLOOKUP(A271,NYSEARCAVWO!A$2:G$506,7,0)</f>
        <v>0</v>
      </c>
      <c r="F271">
        <f>VLOOKUP(A271,NYSEARCABND!A$2:G$506,7,0)</f>
        <v>0</v>
      </c>
      <c r="G271">
        <f>VLOOKUP(A271,NYSEARCATIP!A$2:G$506,7,0)</f>
        <v>0</v>
      </c>
      <c r="H271">
        <f>VLOOKUP(A271,NYSEARCAMUB!A$2:G$506,7,0)</f>
        <v>0</v>
      </c>
      <c r="I271">
        <f>VLOOKUP(A271,NYSEARCAVNQ!A$2:G$506,7,0)</f>
        <v>0</v>
      </c>
      <c r="J271">
        <f>VLOOKUP(A271,NYSEARCARWX!A$2:G$506,7,0)</f>
        <v>0</v>
      </c>
      <c r="K271">
        <f>VLOOKUP(A271,NYSEARCADBC!A$2:G$506,7,0)</f>
        <v>0</v>
      </c>
      <c r="L271">
        <f>VLOOKUP(A271,NYSEARCAGSG!A$2:G$506,7,0)</f>
        <v>0</v>
      </c>
      <c r="M271">
        <f>VLOOKUP(A271,NYSEARCAGLD!A$2:G$506,7,0)</f>
        <v>0</v>
      </c>
      <c r="N271">
        <f>VLOOKUP(A271,NYSEBP!A$2:G$506,7,0)</f>
        <v>0</v>
      </c>
      <c r="O271">
        <f>VLOOKUP(A271,NASDAQYHOO!A$2:G$506,7,0)</f>
        <v>0</v>
      </c>
    </row>
    <row r="272" spans="1:15">
      <c r="A272" s="39">
        <v>42537</v>
      </c>
      <c r="C272">
        <f>VLOOKUP(A272,NYSEARCAVTI!A$2:G$506,7,0)</f>
        <v>0</v>
      </c>
      <c r="D272">
        <f>VLOOKUP(A272,NYSEARCAVEU!A$2:G$506,7,0)</f>
        <v>0</v>
      </c>
      <c r="E272">
        <f>VLOOKUP(A272,NYSEARCAVWO!A$2:G$506,7,0)</f>
        <v>0</v>
      </c>
      <c r="F272">
        <f>VLOOKUP(A272,NYSEARCABND!A$2:G$506,7,0)</f>
        <v>0</v>
      </c>
      <c r="G272">
        <f>VLOOKUP(A272,NYSEARCATIP!A$2:G$506,7,0)</f>
        <v>0</v>
      </c>
      <c r="H272">
        <f>VLOOKUP(A272,NYSEARCAMUB!A$2:G$506,7,0)</f>
        <v>0</v>
      </c>
      <c r="I272">
        <f>VLOOKUP(A272,NYSEARCAVNQ!A$2:G$506,7,0)</f>
        <v>0</v>
      </c>
      <c r="J272">
        <f>VLOOKUP(A272,NYSEARCARWX!A$2:G$506,7,0)</f>
        <v>0</v>
      </c>
      <c r="K272">
        <f>VLOOKUP(A272,NYSEARCADBC!A$2:G$506,7,0)</f>
        <v>0</v>
      </c>
      <c r="L272">
        <f>VLOOKUP(A272,NYSEARCAGSG!A$2:G$506,7,0)</f>
        <v>0</v>
      </c>
      <c r="M272">
        <f>VLOOKUP(A272,NYSEARCAGLD!A$2:G$506,7,0)</f>
        <v>0</v>
      </c>
      <c r="N272">
        <f>VLOOKUP(A272,NYSEBP!A$2:G$506,7,0)</f>
        <v>0</v>
      </c>
      <c r="O272">
        <f>VLOOKUP(A272,NASDAQYHOO!A$2:G$506,7,0)</f>
        <v>0</v>
      </c>
    </row>
    <row r="273" spans="1:15">
      <c r="A273" s="39">
        <v>42538</v>
      </c>
      <c r="C273">
        <f>VLOOKUP(A273,NYSEARCAVTI!A$2:G$506,7,0)</f>
        <v>0</v>
      </c>
      <c r="D273">
        <f>VLOOKUP(A273,NYSEARCAVEU!A$2:G$506,7,0)</f>
        <v>0</v>
      </c>
      <c r="E273">
        <f>VLOOKUP(A273,NYSEARCAVWO!A$2:G$506,7,0)</f>
        <v>0</v>
      </c>
      <c r="F273">
        <f>VLOOKUP(A273,NYSEARCABND!A$2:G$506,7,0)</f>
        <v>0</v>
      </c>
      <c r="G273">
        <f>VLOOKUP(A273,NYSEARCATIP!A$2:G$506,7,0)</f>
        <v>0</v>
      </c>
      <c r="H273">
        <f>VLOOKUP(A273,NYSEARCAMUB!A$2:G$506,7,0)</f>
        <v>0</v>
      </c>
      <c r="I273">
        <f>VLOOKUP(A273,NYSEARCAVNQ!A$2:G$506,7,0)</f>
        <v>0</v>
      </c>
      <c r="J273">
        <f>VLOOKUP(A273,NYSEARCARWX!A$2:G$506,7,0)</f>
        <v>0</v>
      </c>
      <c r="K273">
        <f>VLOOKUP(A273,NYSEARCADBC!A$2:G$506,7,0)</f>
        <v>0</v>
      </c>
      <c r="L273">
        <f>VLOOKUP(A273,NYSEARCAGSG!A$2:G$506,7,0)</f>
        <v>0</v>
      </c>
      <c r="M273">
        <f>VLOOKUP(A273,NYSEARCAGLD!A$2:G$506,7,0)</f>
        <v>0</v>
      </c>
      <c r="N273">
        <f>VLOOKUP(A273,NYSEBP!A$2:G$506,7,0)</f>
        <v>0</v>
      </c>
      <c r="O273">
        <f>VLOOKUP(A273,NASDAQYHOO!A$2:G$506,7,0)</f>
        <v>0</v>
      </c>
    </row>
    <row r="274" spans="1:15">
      <c r="A274" s="39">
        <v>42541</v>
      </c>
      <c r="C274">
        <f>VLOOKUP(A274,NYSEARCAVTI!A$2:G$506,7,0)</f>
        <v>0</v>
      </c>
      <c r="D274">
        <f>VLOOKUP(A274,NYSEARCAVEU!A$2:G$506,7,0)</f>
        <v>0</v>
      </c>
      <c r="E274">
        <f>VLOOKUP(A274,NYSEARCAVWO!A$2:G$506,7,0)</f>
        <v>0</v>
      </c>
      <c r="F274">
        <f>VLOOKUP(A274,NYSEARCABND!A$2:G$506,7,0)</f>
        <v>0</v>
      </c>
      <c r="G274">
        <f>VLOOKUP(A274,NYSEARCATIP!A$2:G$506,7,0)</f>
        <v>0</v>
      </c>
      <c r="H274">
        <f>VLOOKUP(A274,NYSEARCAMUB!A$2:G$506,7,0)</f>
        <v>0</v>
      </c>
      <c r="I274">
        <f>VLOOKUP(A274,NYSEARCAVNQ!A$2:G$506,7,0)</f>
        <v>0</v>
      </c>
      <c r="J274">
        <f>VLOOKUP(A274,NYSEARCARWX!A$2:G$506,7,0)</f>
        <v>0</v>
      </c>
      <c r="K274">
        <f>VLOOKUP(A274,NYSEARCADBC!A$2:G$506,7,0)</f>
        <v>0</v>
      </c>
      <c r="L274">
        <f>VLOOKUP(A274,NYSEARCAGSG!A$2:G$506,7,0)</f>
        <v>0</v>
      </c>
      <c r="M274">
        <f>VLOOKUP(A274,NYSEARCAGLD!A$2:G$506,7,0)</f>
        <v>0</v>
      </c>
      <c r="N274">
        <f>VLOOKUP(A274,NYSEBP!A$2:G$506,7,0)</f>
        <v>0</v>
      </c>
      <c r="O274">
        <f>VLOOKUP(A274,NASDAQYHOO!A$2:G$506,7,0)</f>
        <v>0</v>
      </c>
    </row>
    <row r="275" spans="1:15">
      <c r="A275" s="39">
        <v>42542</v>
      </c>
      <c r="C275">
        <f>VLOOKUP(A275,NYSEARCAVTI!A$2:G$506,7,0)</f>
        <v>0</v>
      </c>
      <c r="D275">
        <f>VLOOKUP(A275,NYSEARCAVEU!A$2:G$506,7,0)</f>
        <v>0</v>
      </c>
      <c r="E275">
        <f>VLOOKUP(A275,NYSEARCAVWO!A$2:G$506,7,0)</f>
        <v>0</v>
      </c>
      <c r="F275">
        <f>VLOOKUP(A275,NYSEARCABND!A$2:G$506,7,0)</f>
        <v>0</v>
      </c>
      <c r="G275">
        <f>VLOOKUP(A275,NYSEARCATIP!A$2:G$506,7,0)</f>
        <v>0</v>
      </c>
      <c r="H275">
        <f>VLOOKUP(A275,NYSEARCAMUB!A$2:G$506,7,0)</f>
        <v>0</v>
      </c>
      <c r="I275">
        <f>VLOOKUP(A275,NYSEARCAVNQ!A$2:G$506,7,0)</f>
        <v>0</v>
      </c>
      <c r="J275">
        <f>VLOOKUP(A275,NYSEARCARWX!A$2:G$506,7,0)</f>
        <v>0</v>
      </c>
      <c r="K275">
        <f>VLOOKUP(A275,NYSEARCADBC!A$2:G$506,7,0)</f>
        <v>0</v>
      </c>
      <c r="L275">
        <f>VLOOKUP(A275,NYSEARCAGSG!A$2:G$506,7,0)</f>
        <v>0</v>
      </c>
      <c r="M275">
        <f>VLOOKUP(A275,NYSEARCAGLD!A$2:G$506,7,0)</f>
        <v>0</v>
      </c>
      <c r="N275">
        <f>VLOOKUP(A275,NYSEBP!A$2:G$506,7,0)</f>
        <v>0</v>
      </c>
      <c r="O275">
        <f>VLOOKUP(A275,NASDAQYHOO!A$2:G$506,7,0)</f>
        <v>0</v>
      </c>
    </row>
    <row r="276" spans="1:15">
      <c r="A276" s="39">
        <v>42543</v>
      </c>
      <c r="C276">
        <f>VLOOKUP(A276,NYSEARCAVTI!A$2:G$506,7,0)</f>
        <v>0</v>
      </c>
      <c r="D276">
        <f>VLOOKUP(A276,NYSEARCAVEU!A$2:G$506,7,0)</f>
        <v>0</v>
      </c>
      <c r="E276">
        <f>VLOOKUP(A276,NYSEARCAVWO!A$2:G$506,7,0)</f>
        <v>0</v>
      </c>
      <c r="F276">
        <f>VLOOKUP(A276,NYSEARCABND!A$2:G$506,7,0)</f>
        <v>0</v>
      </c>
      <c r="G276">
        <f>VLOOKUP(A276,NYSEARCATIP!A$2:G$506,7,0)</f>
        <v>0</v>
      </c>
      <c r="H276">
        <f>VLOOKUP(A276,NYSEARCAMUB!A$2:G$506,7,0)</f>
        <v>0</v>
      </c>
      <c r="I276">
        <f>VLOOKUP(A276,NYSEARCAVNQ!A$2:G$506,7,0)</f>
        <v>0</v>
      </c>
      <c r="J276">
        <f>VLOOKUP(A276,NYSEARCARWX!A$2:G$506,7,0)</f>
        <v>0</v>
      </c>
      <c r="K276">
        <f>VLOOKUP(A276,NYSEARCADBC!A$2:G$506,7,0)</f>
        <v>0</v>
      </c>
      <c r="L276">
        <f>VLOOKUP(A276,NYSEARCAGSG!A$2:G$506,7,0)</f>
        <v>0</v>
      </c>
      <c r="M276">
        <f>VLOOKUP(A276,NYSEARCAGLD!A$2:G$506,7,0)</f>
        <v>0</v>
      </c>
      <c r="N276">
        <f>VLOOKUP(A276,NYSEBP!A$2:G$506,7,0)</f>
        <v>0</v>
      </c>
      <c r="O276">
        <f>VLOOKUP(A276,NASDAQYHOO!A$2:G$506,7,0)</f>
        <v>0</v>
      </c>
    </row>
    <row r="277" spans="1:15">
      <c r="A277" s="39">
        <v>42544</v>
      </c>
      <c r="C277">
        <f>VLOOKUP(A277,NYSEARCAVTI!A$2:G$506,7,0)</f>
        <v>0</v>
      </c>
      <c r="D277">
        <f>VLOOKUP(A277,NYSEARCAVEU!A$2:G$506,7,0)</f>
        <v>0</v>
      </c>
      <c r="E277">
        <f>VLOOKUP(A277,NYSEARCAVWO!A$2:G$506,7,0)</f>
        <v>0</v>
      </c>
      <c r="F277">
        <f>VLOOKUP(A277,NYSEARCABND!A$2:G$506,7,0)</f>
        <v>0</v>
      </c>
      <c r="G277">
        <f>VLOOKUP(A277,NYSEARCATIP!A$2:G$506,7,0)</f>
        <v>0</v>
      </c>
      <c r="H277">
        <f>VLOOKUP(A277,NYSEARCAMUB!A$2:G$506,7,0)</f>
        <v>0</v>
      </c>
      <c r="I277">
        <f>VLOOKUP(A277,NYSEARCAVNQ!A$2:G$506,7,0)</f>
        <v>0</v>
      </c>
      <c r="J277">
        <f>VLOOKUP(A277,NYSEARCARWX!A$2:G$506,7,0)</f>
        <v>0</v>
      </c>
      <c r="K277">
        <f>VLOOKUP(A277,NYSEARCADBC!A$2:G$506,7,0)</f>
        <v>0</v>
      </c>
      <c r="L277">
        <f>VLOOKUP(A277,NYSEARCAGSG!A$2:G$506,7,0)</f>
        <v>0</v>
      </c>
      <c r="M277">
        <f>VLOOKUP(A277,NYSEARCAGLD!A$2:G$506,7,0)</f>
        <v>0</v>
      </c>
      <c r="N277">
        <f>VLOOKUP(A277,NYSEBP!A$2:G$506,7,0)</f>
        <v>0</v>
      </c>
      <c r="O277">
        <f>VLOOKUP(A277,NASDAQYHOO!A$2:G$506,7,0)</f>
        <v>0</v>
      </c>
    </row>
    <row r="278" spans="1:15">
      <c r="A278" s="39">
        <v>42545</v>
      </c>
      <c r="C278">
        <f>VLOOKUP(A278,NYSEARCAVTI!A$2:G$506,7,0)</f>
        <v>0</v>
      </c>
      <c r="D278">
        <f>VLOOKUP(A278,NYSEARCAVEU!A$2:G$506,7,0)</f>
        <v>0</v>
      </c>
      <c r="E278">
        <f>VLOOKUP(A278,NYSEARCAVWO!A$2:G$506,7,0)</f>
        <v>0</v>
      </c>
      <c r="F278">
        <f>VLOOKUP(A278,NYSEARCABND!A$2:G$506,7,0)</f>
        <v>0</v>
      </c>
      <c r="G278">
        <f>VLOOKUP(A278,NYSEARCATIP!A$2:G$506,7,0)</f>
        <v>0</v>
      </c>
      <c r="H278">
        <f>VLOOKUP(A278,NYSEARCAMUB!A$2:G$506,7,0)</f>
        <v>0</v>
      </c>
      <c r="I278">
        <f>VLOOKUP(A278,NYSEARCAVNQ!A$2:G$506,7,0)</f>
        <v>0</v>
      </c>
      <c r="J278">
        <f>VLOOKUP(A278,NYSEARCARWX!A$2:G$506,7,0)</f>
        <v>0</v>
      </c>
      <c r="K278">
        <f>VLOOKUP(A278,NYSEARCADBC!A$2:G$506,7,0)</f>
        <v>0</v>
      </c>
      <c r="L278">
        <f>VLOOKUP(A278,NYSEARCAGSG!A$2:G$506,7,0)</f>
        <v>0</v>
      </c>
      <c r="M278">
        <f>VLOOKUP(A278,NYSEARCAGLD!A$2:G$506,7,0)</f>
        <v>0</v>
      </c>
      <c r="N278">
        <f>VLOOKUP(A278,NYSEBP!A$2:G$506,7,0)</f>
        <v>0</v>
      </c>
      <c r="O278">
        <f>VLOOKUP(A278,NASDAQYHOO!A$2:G$506,7,0)</f>
        <v>0</v>
      </c>
    </row>
    <row r="279" spans="1:15">
      <c r="A279" s="39">
        <v>42548</v>
      </c>
      <c r="C279">
        <f>VLOOKUP(A279,NYSEARCAVTI!A$2:G$506,7,0)</f>
        <v>0</v>
      </c>
      <c r="D279">
        <f>VLOOKUP(A279,NYSEARCAVEU!A$2:G$506,7,0)</f>
        <v>0</v>
      </c>
      <c r="E279">
        <f>VLOOKUP(A279,NYSEARCAVWO!A$2:G$506,7,0)</f>
        <v>0</v>
      </c>
      <c r="F279">
        <f>VLOOKUP(A279,NYSEARCABND!A$2:G$506,7,0)</f>
        <v>0</v>
      </c>
      <c r="G279">
        <f>VLOOKUP(A279,NYSEARCATIP!A$2:G$506,7,0)</f>
        <v>0</v>
      </c>
      <c r="H279">
        <f>VLOOKUP(A279,NYSEARCAMUB!A$2:G$506,7,0)</f>
        <v>0</v>
      </c>
      <c r="I279">
        <f>VLOOKUP(A279,NYSEARCAVNQ!A$2:G$506,7,0)</f>
        <v>0</v>
      </c>
      <c r="J279">
        <f>VLOOKUP(A279,NYSEARCARWX!A$2:G$506,7,0)</f>
        <v>0</v>
      </c>
      <c r="K279">
        <f>VLOOKUP(A279,NYSEARCADBC!A$2:G$506,7,0)</f>
        <v>0</v>
      </c>
      <c r="L279">
        <f>VLOOKUP(A279,NYSEARCAGSG!A$2:G$506,7,0)</f>
        <v>0</v>
      </c>
      <c r="M279">
        <f>VLOOKUP(A279,NYSEARCAGLD!A$2:G$506,7,0)</f>
        <v>0</v>
      </c>
      <c r="N279">
        <f>VLOOKUP(A279,NYSEBP!A$2:G$506,7,0)</f>
        <v>0</v>
      </c>
      <c r="O279">
        <f>VLOOKUP(A279,NASDAQYHOO!A$2:G$506,7,0)</f>
        <v>0</v>
      </c>
    </row>
    <row r="280" spans="1:15">
      <c r="A280" s="39">
        <v>42549</v>
      </c>
      <c r="C280">
        <f>VLOOKUP(A280,NYSEARCAVTI!A$2:G$506,7,0)</f>
        <v>0</v>
      </c>
      <c r="D280">
        <f>VLOOKUP(A280,NYSEARCAVEU!A$2:G$506,7,0)</f>
        <v>0</v>
      </c>
      <c r="E280">
        <f>VLOOKUP(A280,NYSEARCAVWO!A$2:G$506,7,0)</f>
        <v>0</v>
      </c>
      <c r="F280">
        <f>VLOOKUP(A280,NYSEARCABND!A$2:G$506,7,0)</f>
        <v>0</v>
      </c>
      <c r="G280">
        <f>VLOOKUP(A280,NYSEARCATIP!A$2:G$506,7,0)</f>
        <v>0</v>
      </c>
      <c r="H280">
        <f>VLOOKUP(A280,NYSEARCAMUB!A$2:G$506,7,0)</f>
        <v>0</v>
      </c>
      <c r="I280">
        <f>VLOOKUP(A280,NYSEARCAVNQ!A$2:G$506,7,0)</f>
        <v>0</v>
      </c>
      <c r="J280">
        <f>VLOOKUP(A280,NYSEARCARWX!A$2:G$506,7,0)</f>
        <v>0</v>
      </c>
      <c r="K280">
        <f>VLOOKUP(A280,NYSEARCADBC!A$2:G$506,7,0)</f>
        <v>0</v>
      </c>
      <c r="L280">
        <f>VLOOKUP(A280,NYSEARCAGSG!A$2:G$506,7,0)</f>
        <v>0</v>
      </c>
      <c r="M280">
        <f>VLOOKUP(A280,NYSEARCAGLD!A$2:G$506,7,0)</f>
        <v>0</v>
      </c>
      <c r="N280">
        <f>VLOOKUP(A280,NYSEBP!A$2:G$506,7,0)</f>
        <v>0</v>
      </c>
      <c r="O280">
        <f>VLOOKUP(A280,NASDAQYHOO!A$2:G$506,7,0)</f>
        <v>0</v>
      </c>
    </row>
    <row r="281" spans="1:15">
      <c r="A281" s="39">
        <v>42550</v>
      </c>
      <c r="C281">
        <f>VLOOKUP(A281,NYSEARCAVTI!A$2:G$506,7,0)</f>
        <v>0</v>
      </c>
      <c r="D281">
        <f>VLOOKUP(A281,NYSEARCAVEU!A$2:G$506,7,0)</f>
        <v>0</v>
      </c>
      <c r="E281">
        <f>VLOOKUP(A281,NYSEARCAVWO!A$2:G$506,7,0)</f>
        <v>0</v>
      </c>
      <c r="F281">
        <f>VLOOKUP(A281,NYSEARCABND!A$2:G$506,7,0)</f>
        <v>0</v>
      </c>
      <c r="G281">
        <f>VLOOKUP(A281,NYSEARCATIP!A$2:G$506,7,0)</f>
        <v>0</v>
      </c>
      <c r="H281">
        <f>VLOOKUP(A281,NYSEARCAMUB!A$2:G$506,7,0)</f>
        <v>0</v>
      </c>
      <c r="I281">
        <f>VLOOKUP(A281,NYSEARCAVNQ!A$2:G$506,7,0)</f>
        <v>0</v>
      </c>
      <c r="J281">
        <f>VLOOKUP(A281,NYSEARCARWX!A$2:G$506,7,0)</f>
        <v>0</v>
      </c>
      <c r="K281">
        <f>VLOOKUP(A281,NYSEARCADBC!A$2:G$506,7,0)</f>
        <v>0</v>
      </c>
      <c r="L281">
        <f>VLOOKUP(A281,NYSEARCAGSG!A$2:G$506,7,0)</f>
        <v>0</v>
      </c>
      <c r="M281">
        <f>VLOOKUP(A281,NYSEARCAGLD!A$2:G$506,7,0)</f>
        <v>0</v>
      </c>
      <c r="N281">
        <f>VLOOKUP(A281,NYSEBP!A$2:G$506,7,0)</f>
        <v>0</v>
      </c>
      <c r="O281">
        <f>VLOOKUP(A281,NASDAQYHOO!A$2:G$506,7,0)</f>
        <v>0</v>
      </c>
    </row>
    <row r="282" spans="1:15">
      <c r="A282" s="39">
        <v>42551</v>
      </c>
      <c r="C282">
        <f>VLOOKUP(A282,NYSEARCAVTI!A$2:G$506,7,0)</f>
        <v>0</v>
      </c>
      <c r="D282">
        <f>VLOOKUP(A282,NYSEARCAVEU!A$2:G$506,7,0)</f>
        <v>0</v>
      </c>
      <c r="E282">
        <f>VLOOKUP(A282,NYSEARCAVWO!A$2:G$506,7,0)</f>
        <v>0</v>
      </c>
      <c r="F282">
        <f>VLOOKUP(A282,NYSEARCABND!A$2:G$506,7,0)</f>
        <v>0</v>
      </c>
      <c r="G282">
        <f>VLOOKUP(A282,NYSEARCATIP!A$2:G$506,7,0)</f>
        <v>0</v>
      </c>
      <c r="H282">
        <f>VLOOKUP(A282,NYSEARCAMUB!A$2:G$506,7,0)</f>
        <v>0</v>
      </c>
      <c r="I282">
        <f>VLOOKUP(A282,NYSEARCAVNQ!A$2:G$506,7,0)</f>
        <v>0</v>
      </c>
      <c r="J282">
        <f>VLOOKUP(A282,NYSEARCARWX!A$2:G$506,7,0)</f>
        <v>0</v>
      </c>
      <c r="K282">
        <f>VLOOKUP(A282,NYSEARCADBC!A$2:G$506,7,0)</f>
        <v>0</v>
      </c>
      <c r="L282">
        <f>VLOOKUP(A282,NYSEARCAGSG!A$2:G$506,7,0)</f>
        <v>0</v>
      </c>
      <c r="M282">
        <f>VLOOKUP(A282,NYSEARCAGLD!A$2:G$506,7,0)</f>
        <v>0</v>
      </c>
      <c r="N282">
        <f>VLOOKUP(A282,NYSEBP!A$2:G$506,7,0)</f>
        <v>0</v>
      </c>
      <c r="O282">
        <f>VLOOKUP(A282,NASDAQYHOO!A$2:G$506,7,0)</f>
        <v>0</v>
      </c>
    </row>
    <row r="283" spans="1:15">
      <c r="A283" s="39">
        <v>42552</v>
      </c>
      <c r="C283">
        <f>VLOOKUP(A283,NYSEARCAVTI!A$2:G$506,7,0)</f>
        <v>0</v>
      </c>
      <c r="D283">
        <f>VLOOKUP(A283,NYSEARCAVEU!A$2:G$506,7,0)</f>
        <v>0</v>
      </c>
      <c r="E283">
        <f>VLOOKUP(A283,NYSEARCAVWO!A$2:G$506,7,0)</f>
        <v>0</v>
      </c>
      <c r="F283">
        <f>VLOOKUP(A283,NYSEARCABND!A$2:G$506,7,0)</f>
        <v>0</v>
      </c>
      <c r="G283">
        <f>VLOOKUP(A283,NYSEARCATIP!A$2:G$506,7,0)</f>
        <v>0</v>
      </c>
      <c r="H283">
        <f>VLOOKUP(A283,NYSEARCAMUB!A$2:G$506,7,0)</f>
        <v>0</v>
      </c>
      <c r="I283">
        <f>VLOOKUP(A283,NYSEARCAVNQ!A$2:G$506,7,0)</f>
        <v>0</v>
      </c>
      <c r="J283">
        <f>VLOOKUP(A283,NYSEARCARWX!A$2:G$506,7,0)</f>
        <v>0</v>
      </c>
      <c r="K283">
        <f>VLOOKUP(A283,NYSEARCADBC!A$2:G$506,7,0)</f>
        <v>0</v>
      </c>
      <c r="L283">
        <f>VLOOKUP(A283,NYSEARCAGSG!A$2:G$506,7,0)</f>
        <v>0</v>
      </c>
      <c r="M283">
        <f>VLOOKUP(A283,NYSEARCAGLD!A$2:G$506,7,0)</f>
        <v>0</v>
      </c>
      <c r="N283">
        <f>VLOOKUP(A283,NYSEBP!A$2:G$506,7,0)</f>
        <v>0</v>
      </c>
      <c r="O283">
        <f>VLOOKUP(A283,NASDAQYHOO!A$2:G$506,7,0)</f>
        <v>0</v>
      </c>
    </row>
    <row r="284" spans="1:15">
      <c r="A284" s="39">
        <v>42556</v>
      </c>
      <c r="C284">
        <f>VLOOKUP(A284,NYSEARCAVTI!A$2:G$506,7,0)</f>
        <v>0</v>
      </c>
      <c r="D284">
        <f>VLOOKUP(A284,NYSEARCAVEU!A$2:G$506,7,0)</f>
        <v>0</v>
      </c>
      <c r="E284">
        <f>VLOOKUP(A284,NYSEARCAVWO!A$2:G$506,7,0)</f>
        <v>0</v>
      </c>
      <c r="F284">
        <f>VLOOKUP(A284,NYSEARCABND!A$2:G$506,7,0)</f>
        <v>0</v>
      </c>
      <c r="G284">
        <f>VLOOKUP(A284,NYSEARCATIP!A$2:G$506,7,0)</f>
        <v>0</v>
      </c>
      <c r="H284">
        <f>VLOOKUP(A284,NYSEARCAMUB!A$2:G$506,7,0)</f>
        <v>0</v>
      </c>
      <c r="I284">
        <f>VLOOKUP(A284,NYSEARCAVNQ!A$2:G$506,7,0)</f>
        <v>0</v>
      </c>
      <c r="J284">
        <f>VLOOKUP(A284,NYSEARCARWX!A$2:G$506,7,0)</f>
        <v>0</v>
      </c>
      <c r="K284">
        <f>VLOOKUP(A284,NYSEARCADBC!A$2:G$506,7,0)</f>
        <v>0</v>
      </c>
      <c r="L284">
        <f>VLOOKUP(A284,NYSEARCAGSG!A$2:G$506,7,0)</f>
        <v>0</v>
      </c>
      <c r="M284">
        <f>VLOOKUP(A284,NYSEARCAGLD!A$2:G$506,7,0)</f>
        <v>0</v>
      </c>
      <c r="N284">
        <f>VLOOKUP(A284,NYSEBP!A$2:G$506,7,0)</f>
        <v>0</v>
      </c>
      <c r="O284">
        <f>VLOOKUP(A284,NASDAQYHOO!A$2:G$506,7,0)</f>
        <v>0</v>
      </c>
    </row>
    <row r="285" spans="1:15">
      <c r="A285" s="39">
        <v>42557</v>
      </c>
      <c r="C285">
        <f>VLOOKUP(A285,NYSEARCAVTI!A$2:G$506,7,0)</f>
        <v>0</v>
      </c>
      <c r="D285">
        <f>VLOOKUP(A285,NYSEARCAVEU!A$2:G$506,7,0)</f>
        <v>0</v>
      </c>
      <c r="E285">
        <f>VLOOKUP(A285,NYSEARCAVWO!A$2:G$506,7,0)</f>
        <v>0</v>
      </c>
      <c r="F285">
        <f>VLOOKUP(A285,NYSEARCABND!A$2:G$506,7,0)</f>
        <v>0</v>
      </c>
      <c r="G285">
        <f>VLOOKUP(A285,NYSEARCATIP!A$2:G$506,7,0)</f>
        <v>0</v>
      </c>
      <c r="H285">
        <f>VLOOKUP(A285,NYSEARCAMUB!A$2:G$506,7,0)</f>
        <v>0</v>
      </c>
      <c r="I285">
        <f>VLOOKUP(A285,NYSEARCAVNQ!A$2:G$506,7,0)</f>
        <v>0</v>
      </c>
      <c r="J285">
        <f>VLOOKUP(A285,NYSEARCARWX!A$2:G$506,7,0)</f>
        <v>0</v>
      </c>
      <c r="K285">
        <f>VLOOKUP(A285,NYSEARCADBC!A$2:G$506,7,0)</f>
        <v>0</v>
      </c>
      <c r="L285">
        <f>VLOOKUP(A285,NYSEARCAGSG!A$2:G$506,7,0)</f>
        <v>0</v>
      </c>
      <c r="M285">
        <f>VLOOKUP(A285,NYSEARCAGLD!A$2:G$506,7,0)</f>
        <v>0</v>
      </c>
      <c r="N285">
        <f>VLOOKUP(A285,NYSEBP!A$2:G$506,7,0)</f>
        <v>0</v>
      </c>
      <c r="O285">
        <f>VLOOKUP(A285,NASDAQYHOO!A$2:G$506,7,0)</f>
        <v>0</v>
      </c>
    </row>
    <row r="286" spans="1:15">
      <c r="A286" s="39">
        <v>42558</v>
      </c>
      <c r="C286">
        <f>VLOOKUP(A286,NYSEARCAVTI!A$2:G$506,7,0)</f>
        <v>0</v>
      </c>
      <c r="D286">
        <f>VLOOKUP(A286,NYSEARCAVEU!A$2:G$506,7,0)</f>
        <v>0</v>
      </c>
      <c r="E286">
        <f>VLOOKUP(A286,NYSEARCAVWO!A$2:G$506,7,0)</f>
        <v>0</v>
      </c>
      <c r="F286">
        <f>VLOOKUP(A286,NYSEARCABND!A$2:G$506,7,0)</f>
        <v>0</v>
      </c>
      <c r="G286">
        <f>VLOOKUP(A286,NYSEARCATIP!A$2:G$506,7,0)</f>
        <v>0</v>
      </c>
      <c r="H286">
        <f>VLOOKUP(A286,NYSEARCAMUB!A$2:G$506,7,0)</f>
        <v>0</v>
      </c>
      <c r="I286">
        <f>VLOOKUP(A286,NYSEARCAVNQ!A$2:G$506,7,0)</f>
        <v>0</v>
      </c>
      <c r="J286">
        <f>VLOOKUP(A286,NYSEARCARWX!A$2:G$506,7,0)</f>
        <v>0</v>
      </c>
      <c r="K286">
        <f>VLOOKUP(A286,NYSEARCADBC!A$2:G$506,7,0)</f>
        <v>0</v>
      </c>
      <c r="L286">
        <f>VLOOKUP(A286,NYSEARCAGSG!A$2:G$506,7,0)</f>
        <v>0</v>
      </c>
      <c r="M286">
        <f>VLOOKUP(A286,NYSEARCAGLD!A$2:G$506,7,0)</f>
        <v>0</v>
      </c>
      <c r="N286">
        <f>VLOOKUP(A286,NYSEBP!A$2:G$506,7,0)</f>
        <v>0</v>
      </c>
      <c r="O286">
        <f>VLOOKUP(A286,NASDAQYHOO!A$2:G$506,7,0)</f>
        <v>0</v>
      </c>
    </row>
    <row r="287" spans="1:15">
      <c r="A287" s="39">
        <v>42559</v>
      </c>
      <c r="C287">
        <f>VLOOKUP(A287,NYSEARCAVTI!A$2:G$506,7,0)</f>
        <v>0</v>
      </c>
      <c r="D287">
        <f>VLOOKUP(A287,NYSEARCAVEU!A$2:G$506,7,0)</f>
        <v>0</v>
      </c>
      <c r="E287">
        <f>VLOOKUP(A287,NYSEARCAVWO!A$2:G$506,7,0)</f>
        <v>0</v>
      </c>
      <c r="F287">
        <f>VLOOKUP(A287,NYSEARCABND!A$2:G$506,7,0)</f>
        <v>0</v>
      </c>
      <c r="G287">
        <f>VLOOKUP(A287,NYSEARCATIP!A$2:G$506,7,0)</f>
        <v>0</v>
      </c>
      <c r="H287">
        <f>VLOOKUP(A287,NYSEARCAMUB!A$2:G$506,7,0)</f>
        <v>0</v>
      </c>
      <c r="I287">
        <f>VLOOKUP(A287,NYSEARCAVNQ!A$2:G$506,7,0)</f>
        <v>0</v>
      </c>
      <c r="J287">
        <f>VLOOKUP(A287,NYSEARCARWX!A$2:G$506,7,0)</f>
        <v>0</v>
      </c>
      <c r="K287">
        <f>VLOOKUP(A287,NYSEARCADBC!A$2:G$506,7,0)</f>
        <v>0</v>
      </c>
      <c r="L287">
        <f>VLOOKUP(A287,NYSEARCAGSG!A$2:G$506,7,0)</f>
        <v>0</v>
      </c>
      <c r="M287">
        <f>VLOOKUP(A287,NYSEARCAGLD!A$2:G$506,7,0)</f>
        <v>0</v>
      </c>
      <c r="N287">
        <f>VLOOKUP(A287,NYSEBP!A$2:G$506,7,0)</f>
        <v>0</v>
      </c>
      <c r="O287">
        <f>VLOOKUP(A287,NASDAQYHOO!A$2:G$506,7,0)</f>
        <v>0</v>
      </c>
    </row>
    <row r="288" spans="1:15">
      <c r="A288" s="39">
        <v>42562</v>
      </c>
      <c r="C288">
        <f>VLOOKUP(A288,NYSEARCAVTI!A$2:G$506,7,0)</f>
        <v>0</v>
      </c>
      <c r="D288">
        <f>VLOOKUP(A288,NYSEARCAVEU!A$2:G$506,7,0)</f>
        <v>0</v>
      </c>
      <c r="E288">
        <f>VLOOKUP(A288,NYSEARCAVWO!A$2:G$506,7,0)</f>
        <v>0</v>
      </c>
      <c r="F288">
        <f>VLOOKUP(A288,NYSEARCABND!A$2:G$506,7,0)</f>
        <v>0</v>
      </c>
      <c r="G288">
        <f>VLOOKUP(A288,NYSEARCATIP!A$2:G$506,7,0)</f>
        <v>0</v>
      </c>
      <c r="H288">
        <f>VLOOKUP(A288,NYSEARCAMUB!A$2:G$506,7,0)</f>
        <v>0</v>
      </c>
      <c r="I288">
        <f>VLOOKUP(A288,NYSEARCAVNQ!A$2:G$506,7,0)</f>
        <v>0</v>
      </c>
      <c r="J288">
        <f>VLOOKUP(A288,NYSEARCARWX!A$2:G$506,7,0)</f>
        <v>0</v>
      </c>
      <c r="K288">
        <f>VLOOKUP(A288,NYSEARCADBC!A$2:G$506,7,0)</f>
        <v>0</v>
      </c>
      <c r="L288">
        <f>VLOOKUP(A288,NYSEARCAGSG!A$2:G$506,7,0)</f>
        <v>0</v>
      </c>
      <c r="M288">
        <f>VLOOKUP(A288,NYSEARCAGLD!A$2:G$506,7,0)</f>
        <v>0</v>
      </c>
      <c r="N288">
        <f>VLOOKUP(A288,NYSEBP!A$2:G$506,7,0)</f>
        <v>0</v>
      </c>
      <c r="O288">
        <f>VLOOKUP(A288,NASDAQYHOO!A$2:G$506,7,0)</f>
        <v>0</v>
      </c>
    </row>
    <row r="289" spans="1:15">
      <c r="A289" s="39">
        <v>42563</v>
      </c>
      <c r="C289">
        <f>VLOOKUP(A289,NYSEARCAVTI!A$2:G$506,7,0)</f>
        <v>0</v>
      </c>
      <c r="D289">
        <f>VLOOKUP(A289,NYSEARCAVEU!A$2:G$506,7,0)</f>
        <v>0</v>
      </c>
      <c r="E289">
        <f>VLOOKUP(A289,NYSEARCAVWO!A$2:G$506,7,0)</f>
        <v>0</v>
      </c>
      <c r="F289">
        <f>VLOOKUP(A289,NYSEARCABND!A$2:G$506,7,0)</f>
        <v>0</v>
      </c>
      <c r="G289">
        <f>VLOOKUP(A289,NYSEARCATIP!A$2:G$506,7,0)</f>
        <v>0</v>
      </c>
      <c r="H289">
        <f>VLOOKUP(A289,NYSEARCAMUB!A$2:G$506,7,0)</f>
        <v>0</v>
      </c>
      <c r="I289">
        <f>VLOOKUP(A289,NYSEARCAVNQ!A$2:G$506,7,0)</f>
        <v>0</v>
      </c>
      <c r="J289">
        <f>VLOOKUP(A289,NYSEARCARWX!A$2:G$506,7,0)</f>
        <v>0</v>
      </c>
      <c r="K289">
        <f>VLOOKUP(A289,NYSEARCADBC!A$2:G$506,7,0)</f>
        <v>0</v>
      </c>
      <c r="L289">
        <f>VLOOKUP(A289,NYSEARCAGSG!A$2:G$506,7,0)</f>
        <v>0</v>
      </c>
      <c r="M289">
        <f>VLOOKUP(A289,NYSEARCAGLD!A$2:G$506,7,0)</f>
        <v>0</v>
      </c>
      <c r="N289">
        <f>VLOOKUP(A289,NYSEBP!A$2:G$506,7,0)</f>
        <v>0</v>
      </c>
      <c r="O289">
        <f>VLOOKUP(A289,NASDAQYHOO!A$2:G$506,7,0)</f>
        <v>0</v>
      </c>
    </row>
    <row r="290" spans="1:15">
      <c r="A290" s="39">
        <v>42564</v>
      </c>
      <c r="C290">
        <f>VLOOKUP(A290,NYSEARCAVTI!A$2:G$506,7,0)</f>
        <v>0</v>
      </c>
      <c r="D290">
        <f>VLOOKUP(A290,NYSEARCAVEU!A$2:G$506,7,0)</f>
        <v>0</v>
      </c>
      <c r="E290">
        <f>VLOOKUP(A290,NYSEARCAVWO!A$2:G$506,7,0)</f>
        <v>0</v>
      </c>
      <c r="F290">
        <f>VLOOKUP(A290,NYSEARCABND!A$2:G$506,7,0)</f>
        <v>0</v>
      </c>
      <c r="G290">
        <f>VLOOKUP(A290,NYSEARCATIP!A$2:G$506,7,0)</f>
        <v>0</v>
      </c>
      <c r="H290">
        <f>VLOOKUP(A290,NYSEARCAMUB!A$2:G$506,7,0)</f>
        <v>0</v>
      </c>
      <c r="I290">
        <f>VLOOKUP(A290,NYSEARCAVNQ!A$2:G$506,7,0)</f>
        <v>0</v>
      </c>
      <c r="J290">
        <f>VLOOKUP(A290,NYSEARCARWX!A$2:G$506,7,0)</f>
        <v>0</v>
      </c>
      <c r="K290">
        <f>VLOOKUP(A290,NYSEARCADBC!A$2:G$506,7,0)</f>
        <v>0</v>
      </c>
      <c r="L290">
        <f>VLOOKUP(A290,NYSEARCAGSG!A$2:G$506,7,0)</f>
        <v>0</v>
      </c>
      <c r="M290">
        <f>VLOOKUP(A290,NYSEARCAGLD!A$2:G$506,7,0)</f>
        <v>0</v>
      </c>
      <c r="N290">
        <f>VLOOKUP(A290,NYSEBP!A$2:G$506,7,0)</f>
        <v>0</v>
      </c>
      <c r="O290">
        <f>VLOOKUP(A290,NASDAQYHOO!A$2:G$506,7,0)</f>
        <v>0</v>
      </c>
    </row>
    <row r="291" spans="1:15">
      <c r="A291" s="39">
        <v>42565</v>
      </c>
      <c r="C291">
        <f>VLOOKUP(A291,NYSEARCAVTI!A$2:G$506,7,0)</f>
        <v>0</v>
      </c>
      <c r="D291">
        <f>VLOOKUP(A291,NYSEARCAVEU!A$2:G$506,7,0)</f>
        <v>0</v>
      </c>
      <c r="E291">
        <f>VLOOKUP(A291,NYSEARCAVWO!A$2:G$506,7,0)</f>
        <v>0</v>
      </c>
      <c r="F291">
        <f>VLOOKUP(A291,NYSEARCABND!A$2:G$506,7,0)</f>
        <v>0</v>
      </c>
      <c r="G291">
        <f>VLOOKUP(A291,NYSEARCATIP!A$2:G$506,7,0)</f>
        <v>0</v>
      </c>
      <c r="H291">
        <f>VLOOKUP(A291,NYSEARCAMUB!A$2:G$506,7,0)</f>
        <v>0</v>
      </c>
      <c r="I291">
        <f>VLOOKUP(A291,NYSEARCAVNQ!A$2:G$506,7,0)</f>
        <v>0</v>
      </c>
      <c r="J291">
        <f>VLOOKUP(A291,NYSEARCARWX!A$2:G$506,7,0)</f>
        <v>0</v>
      </c>
      <c r="K291">
        <f>VLOOKUP(A291,NYSEARCADBC!A$2:G$506,7,0)</f>
        <v>0</v>
      </c>
      <c r="L291">
        <f>VLOOKUP(A291,NYSEARCAGSG!A$2:G$506,7,0)</f>
        <v>0</v>
      </c>
      <c r="M291">
        <f>VLOOKUP(A291,NYSEARCAGLD!A$2:G$506,7,0)</f>
        <v>0</v>
      </c>
      <c r="N291">
        <f>VLOOKUP(A291,NYSEBP!A$2:G$506,7,0)</f>
        <v>0</v>
      </c>
      <c r="O291">
        <f>VLOOKUP(A291,NASDAQYHOO!A$2:G$506,7,0)</f>
        <v>0</v>
      </c>
    </row>
    <row r="292" spans="1:15">
      <c r="A292" s="39">
        <v>42566</v>
      </c>
      <c r="C292">
        <f>VLOOKUP(A292,NYSEARCAVTI!A$2:G$506,7,0)</f>
        <v>0</v>
      </c>
      <c r="D292">
        <f>VLOOKUP(A292,NYSEARCAVEU!A$2:G$506,7,0)</f>
        <v>0</v>
      </c>
      <c r="E292">
        <f>VLOOKUP(A292,NYSEARCAVWO!A$2:G$506,7,0)</f>
        <v>0</v>
      </c>
      <c r="F292">
        <f>VLOOKUP(A292,NYSEARCABND!A$2:G$506,7,0)</f>
        <v>0</v>
      </c>
      <c r="G292">
        <f>VLOOKUP(A292,NYSEARCATIP!A$2:G$506,7,0)</f>
        <v>0</v>
      </c>
      <c r="H292">
        <f>VLOOKUP(A292,NYSEARCAMUB!A$2:G$506,7,0)</f>
        <v>0</v>
      </c>
      <c r="I292">
        <f>VLOOKUP(A292,NYSEARCAVNQ!A$2:G$506,7,0)</f>
        <v>0</v>
      </c>
      <c r="J292">
        <f>VLOOKUP(A292,NYSEARCARWX!A$2:G$506,7,0)</f>
        <v>0</v>
      </c>
      <c r="K292">
        <f>VLOOKUP(A292,NYSEARCADBC!A$2:G$506,7,0)</f>
        <v>0</v>
      </c>
      <c r="L292">
        <f>VLOOKUP(A292,NYSEARCAGSG!A$2:G$506,7,0)</f>
        <v>0</v>
      </c>
      <c r="M292">
        <f>VLOOKUP(A292,NYSEARCAGLD!A$2:G$506,7,0)</f>
        <v>0</v>
      </c>
      <c r="N292">
        <f>VLOOKUP(A292,NYSEBP!A$2:G$506,7,0)</f>
        <v>0</v>
      </c>
      <c r="O292">
        <f>VLOOKUP(A292,NASDAQYHOO!A$2:G$506,7,0)</f>
        <v>0</v>
      </c>
    </row>
    <row r="293" spans="1:15">
      <c r="A293" s="39">
        <v>42569</v>
      </c>
      <c r="C293">
        <f>VLOOKUP(A293,NYSEARCAVTI!A$2:G$506,7,0)</f>
        <v>0</v>
      </c>
      <c r="D293">
        <f>VLOOKUP(A293,NYSEARCAVEU!A$2:G$506,7,0)</f>
        <v>0</v>
      </c>
      <c r="E293">
        <f>VLOOKUP(A293,NYSEARCAVWO!A$2:G$506,7,0)</f>
        <v>0</v>
      </c>
      <c r="F293">
        <f>VLOOKUP(A293,NYSEARCABND!A$2:G$506,7,0)</f>
        <v>0</v>
      </c>
      <c r="G293">
        <f>VLOOKUP(A293,NYSEARCATIP!A$2:G$506,7,0)</f>
        <v>0</v>
      </c>
      <c r="H293">
        <f>VLOOKUP(A293,NYSEARCAMUB!A$2:G$506,7,0)</f>
        <v>0</v>
      </c>
      <c r="I293">
        <f>VLOOKUP(A293,NYSEARCAVNQ!A$2:G$506,7,0)</f>
        <v>0</v>
      </c>
      <c r="J293">
        <f>VLOOKUP(A293,NYSEARCARWX!A$2:G$506,7,0)</f>
        <v>0</v>
      </c>
      <c r="K293">
        <f>VLOOKUP(A293,NYSEARCADBC!A$2:G$506,7,0)</f>
        <v>0</v>
      </c>
      <c r="L293">
        <f>VLOOKUP(A293,NYSEARCAGSG!A$2:G$506,7,0)</f>
        <v>0</v>
      </c>
      <c r="M293">
        <f>VLOOKUP(A293,NYSEARCAGLD!A$2:G$506,7,0)</f>
        <v>0</v>
      </c>
      <c r="N293">
        <f>VLOOKUP(A293,NYSEBP!A$2:G$506,7,0)</f>
        <v>0</v>
      </c>
      <c r="O293">
        <f>VLOOKUP(A293,NASDAQYHOO!A$2:G$506,7,0)</f>
        <v>0</v>
      </c>
    </row>
    <row r="294" spans="1:15">
      <c r="A294" s="39">
        <v>42570</v>
      </c>
      <c r="C294">
        <f>VLOOKUP(A294,NYSEARCAVTI!A$2:G$506,7,0)</f>
        <v>0</v>
      </c>
      <c r="D294">
        <f>VLOOKUP(A294,NYSEARCAVEU!A$2:G$506,7,0)</f>
        <v>0</v>
      </c>
      <c r="E294">
        <f>VLOOKUP(A294,NYSEARCAVWO!A$2:G$506,7,0)</f>
        <v>0</v>
      </c>
      <c r="F294">
        <f>VLOOKUP(A294,NYSEARCABND!A$2:G$506,7,0)</f>
        <v>0</v>
      </c>
      <c r="G294">
        <f>VLOOKUP(A294,NYSEARCATIP!A$2:G$506,7,0)</f>
        <v>0</v>
      </c>
      <c r="H294">
        <f>VLOOKUP(A294,NYSEARCAMUB!A$2:G$506,7,0)</f>
        <v>0</v>
      </c>
      <c r="I294">
        <f>VLOOKUP(A294,NYSEARCAVNQ!A$2:G$506,7,0)</f>
        <v>0</v>
      </c>
      <c r="J294">
        <f>VLOOKUP(A294,NYSEARCARWX!A$2:G$506,7,0)</f>
        <v>0</v>
      </c>
      <c r="K294">
        <f>VLOOKUP(A294,NYSEARCADBC!A$2:G$506,7,0)</f>
        <v>0</v>
      </c>
      <c r="L294">
        <f>VLOOKUP(A294,NYSEARCAGSG!A$2:G$506,7,0)</f>
        <v>0</v>
      </c>
      <c r="M294">
        <f>VLOOKUP(A294,NYSEARCAGLD!A$2:G$506,7,0)</f>
        <v>0</v>
      </c>
      <c r="N294">
        <f>VLOOKUP(A294,NYSEBP!A$2:G$506,7,0)</f>
        <v>0</v>
      </c>
      <c r="O294">
        <f>VLOOKUP(A294,NASDAQYHOO!A$2:G$506,7,0)</f>
        <v>0</v>
      </c>
    </row>
    <row r="295" spans="1:15">
      <c r="A295" s="39">
        <v>42571</v>
      </c>
      <c r="C295">
        <f>VLOOKUP(A295,NYSEARCAVTI!A$2:G$506,7,0)</f>
        <v>0</v>
      </c>
      <c r="D295">
        <f>VLOOKUP(A295,NYSEARCAVEU!A$2:G$506,7,0)</f>
        <v>0</v>
      </c>
      <c r="E295">
        <f>VLOOKUP(A295,NYSEARCAVWO!A$2:G$506,7,0)</f>
        <v>0</v>
      </c>
      <c r="F295">
        <f>VLOOKUP(A295,NYSEARCABND!A$2:G$506,7,0)</f>
        <v>0</v>
      </c>
      <c r="G295">
        <f>VLOOKUP(A295,NYSEARCATIP!A$2:G$506,7,0)</f>
        <v>0</v>
      </c>
      <c r="H295">
        <f>VLOOKUP(A295,NYSEARCAMUB!A$2:G$506,7,0)</f>
        <v>0</v>
      </c>
      <c r="I295">
        <f>VLOOKUP(A295,NYSEARCAVNQ!A$2:G$506,7,0)</f>
        <v>0</v>
      </c>
      <c r="J295">
        <f>VLOOKUP(A295,NYSEARCARWX!A$2:G$506,7,0)</f>
        <v>0</v>
      </c>
      <c r="K295">
        <f>VLOOKUP(A295,NYSEARCADBC!A$2:G$506,7,0)</f>
        <v>0</v>
      </c>
      <c r="L295">
        <f>VLOOKUP(A295,NYSEARCAGSG!A$2:G$506,7,0)</f>
        <v>0</v>
      </c>
      <c r="M295">
        <f>VLOOKUP(A295,NYSEARCAGLD!A$2:G$506,7,0)</f>
        <v>0</v>
      </c>
      <c r="N295">
        <f>VLOOKUP(A295,NYSEBP!A$2:G$506,7,0)</f>
        <v>0</v>
      </c>
      <c r="O295">
        <f>VLOOKUP(A295,NASDAQYHOO!A$2:G$506,7,0)</f>
        <v>0</v>
      </c>
    </row>
    <row r="296" spans="1:15">
      <c r="A296" s="39">
        <v>42572</v>
      </c>
      <c r="C296">
        <f>VLOOKUP(A296,NYSEARCAVTI!A$2:G$506,7,0)</f>
        <v>0</v>
      </c>
      <c r="D296">
        <f>VLOOKUP(A296,NYSEARCAVEU!A$2:G$506,7,0)</f>
        <v>0</v>
      </c>
      <c r="E296">
        <f>VLOOKUP(A296,NYSEARCAVWO!A$2:G$506,7,0)</f>
        <v>0</v>
      </c>
      <c r="F296">
        <f>VLOOKUP(A296,NYSEARCABND!A$2:G$506,7,0)</f>
        <v>0</v>
      </c>
      <c r="G296">
        <f>VLOOKUP(A296,NYSEARCATIP!A$2:G$506,7,0)</f>
        <v>0</v>
      </c>
      <c r="H296">
        <f>VLOOKUP(A296,NYSEARCAMUB!A$2:G$506,7,0)</f>
        <v>0</v>
      </c>
      <c r="I296">
        <f>VLOOKUP(A296,NYSEARCAVNQ!A$2:G$506,7,0)</f>
        <v>0</v>
      </c>
      <c r="J296">
        <f>VLOOKUP(A296,NYSEARCARWX!A$2:G$506,7,0)</f>
        <v>0</v>
      </c>
      <c r="K296">
        <f>VLOOKUP(A296,NYSEARCADBC!A$2:G$506,7,0)</f>
        <v>0</v>
      </c>
      <c r="L296">
        <f>VLOOKUP(A296,NYSEARCAGSG!A$2:G$506,7,0)</f>
        <v>0</v>
      </c>
      <c r="M296">
        <f>VLOOKUP(A296,NYSEARCAGLD!A$2:G$506,7,0)</f>
        <v>0</v>
      </c>
      <c r="N296">
        <f>VLOOKUP(A296,NYSEBP!A$2:G$506,7,0)</f>
        <v>0</v>
      </c>
      <c r="O296">
        <f>VLOOKUP(A296,NASDAQYHOO!A$2:G$506,7,0)</f>
        <v>0</v>
      </c>
    </row>
    <row r="297" spans="1:15">
      <c r="A297" s="39">
        <v>42573</v>
      </c>
      <c r="C297">
        <f>VLOOKUP(A297,NYSEARCAVTI!A$2:G$506,7,0)</f>
        <v>0</v>
      </c>
      <c r="D297">
        <f>VLOOKUP(A297,NYSEARCAVEU!A$2:G$506,7,0)</f>
        <v>0</v>
      </c>
      <c r="E297">
        <f>VLOOKUP(A297,NYSEARCAVWO!A$2:G$506,7,0)</f>
        <v>0</v>
      </c>
      <c r="F297">
        <f>VLOOKUP(A297,NYSEARCABND!A$2:G$506,7,0)</f>
        <v>0</v>
      </c>
      <c r="G297">
        <f>VLOOKUP(A297,NYSEARCATIP!A$2:G$506,7,0)</f>
        <v>0</v>
      </c>
      <c r="H297">
        <f>VLOOKUP(A297,NYSEARCAMUB!A$2:G$506,7,0)</f>
        <v>0</v>
      </c>
      <c r="I297">
        <f>VLOOKUP(A297,NYSEARCAVNQ!A$2:G$506,7,0)</f>
        <v>0</v>
      </c>
      <c r="J297">
        <f>VLOOKUP(A297,NYSEARCARWX!A$2:G$506,7,0)</f>
        <v>0</v>
      </c>
      <c r="K297">
        <f>VLOOKUP(A297,NYSEARCADBC!A$2:G$506,7,0)</f>
        <v>0</v>
      </c>
      <c r="L297">
        <f>VLOOKUP(A297,NYSEARCAGSG!A$2:G$506,7,0)</f>
        <v>0</v>
      </c>
      <c r="M297">
        <f>VLOOKUP(A297,NYSEARCAGLD!A$2:G$506,7,0)</f>
        <v>0</v>
      </c>
      <c r="N297">
        <f>VLOOKUP(A297,NYSEBP!A$2:G$506,7,0)</f>
        <v>0</v>
      </c>
      <c r="O297">
        <f>VLOOKUP(A297,NASDAQYHOO!A$2:G$506,7,0)</f>
        <v>0</v>
      </c>
    </row>
    <row r="298" spans="1:15">
      <c r="A298" s="39">
        <v>42576</v>
      </c>
      <c r="C298">
        <f>VLOOKUP(A298,NYSEARCAVTI!A$2:G$506,7,0)</f>
        <v>0</v>
      </c>
      <c r="D298">
        <f>VLOOKUP(A298,NYSEARCAVEU!A$2:G$506,7,0)</f>
        <v>0</v>
      </c>
      <c r="E298">
        <f>VLOOKUP(A298,NYSEARCAVWO!A$2:G$506,7,0)</f>
        <v>0</v>
      </c>
      <c r="F298">
        <f>VLOOKUP(A298,NYSEARCABND!A$2:G$506,7,0)</f>
        <v>0</v>
      </c>
      <c r="G298">
        <f>VLOOKUP(A298,NYSEARCATIP!A$2:G$506,7,0)</f>
        <v>0</v>
      </c>
      <c r="H298">
        <f>VLOOKUP(A298,NYSEARCAMUB!A$2:G$506,7,0)</f>
        <v>0</v>
      </c>
      <c r="I298">
        <f>VLOOKUP(A298,NYSEARCAVNQ!A$2:G$506,7,0)</f>
        <v>0</v>
      </c>
      <c r="J298">
        <f>VLOOKUP(A298,NYSEARCARWX!A$2:G$506,7,0)</f>
        <v>0</v>
      </c>
      <c r="K298">
        <f>VLOOKUP(A298,NYSEARCADBC!A$2:G$506,7,0)</f>
        <v>0</v>
      </c>
      <c r="L298">
        <f>VLOOKUP(A298,NYSEARCAGSG!A$2:G$506,7,0)</f>
        <v>0</v>
      </c>
      <c r="M298">
        <f>VLOOKUP(A298,NYSEARCAGLD!A$2:G$506,7,0)</f>
        <v>0</v>
      </c>
      <c r="N298">
        <f>VLOOKUP(A298,NYSEBP!A$2:G$506,7,0)</f>
        <v>0</v>
      </c>
      <c r="O298">
        <f>VLOOKUP(A298,NASDAQYHOO!A$2:G$506,7,0)</f>
        <v>0</v>
      </c>
    </row>
    <row r="299" spans="1:15">
      <c r="A299" s="39">
        <v>42577</v>
      </c>
      <c r="C299">
        <f>VLOOKUP(A299,NYSEARCAVTI!A$2:G$506,7,0)</f>
        <v>0</v>
      </c>
      <c r="D299">
        <f>VLOOKUP(A299,NYSEARCAVEU!A$2:G$506,7,0)</f>
        <v>0</v>
      </c>
      <c r="E299">
        <f>VLOOKUP(A299,NYSEARCAVWO!A$2:G$506,7,0)</f>
        <v>0</v>
      </c>
      <c r="F299">
        <f>VLOOKUP(A299,NYSEARCABND!A$2:G$506,7,0)</f>
        <v>0</v>
      </c>
      <c r="G299">
        <f>VLOOKUP(A299,NYSEARCATIP!A$2:G$506,7,0)</f>
        <v>0</v>
      </c>
      <c r="H299">
        <f>VLOOKUP(A299,NYSEARCAMUB!A$2:G$506,7,0)</f>
        <v>0</v>
      </c>
      <c r="I299">
        <f>VLOOKUP(A299,NYSEARCAVNQ!A$2:G$506,7,0)</f>
        <v>0</v>
      </c>
      <c r="J299">
        <f>VLOOKUP(A299,NYSEARCARWX!A$2:G$506,7,0)</f>
        <v>0</v>
      </c>
      <c r="K299">
        <f>VLOOKUP(A299,NYSEARCADBC!A$2:G$506,7,0)</f>
        <v>0</v>
      </c>
      <c r="L299">
        <f>VLOOKUP(A299,NYSEARCAGSG!A$2:G$506,7,0)</f>
        <v>0</v>
      </c>
      <c r="M299">
        <f>VLOOKUP(A299,NYSEARCAGLD!A$2:G$506,7,0)</f>
        <v>0</v>
      </c>
      <c r="N299">
        <f>VLOOKUP(A299,NYSEBP!A$2:G$506,7,0)</f>
        <v>0</v>
      </c>
      <c r="O299">
        <f>VLOOKUP(A299,NASDAQYHOO!A$2:G$506,7,0)</f>
        <v>0</v>
      </c>
    </row>
    <row r="300" spans="1:15">
      <c r="A300" s="39">
        <v>42578</v>
      </c>
      <c r="C300">
        <f>VLOOKUP(A300,NYSEARCAVTI!A$2:G$506,7,0)</f>
        <v>0</v>
      </c>
      <c r="D300">
        <f>VLOOKUP(A300,NYSEARCAVEU!A$2:G$506,7,0)</f>
        <v>0</v>
      </c>
      <c r="E300">
        <f>VLOOKUP(A300,NYSEARCAVWO!A$2:G$506,7,0)</f>
        <v>0</v>
      </c>
      <c r="F300">
        <f>VLOOKUP(A300,NYSEARCABND!A$2:G$506,7,0)</f>
        <v>0</v>
      </c>
      <c r="G300">
        <f>VLOOKUP(A300,NYSEARCATIP!A$2:G$506,7,0)</f>
        <v>0</v>
      </c>
      <c r="H300">
        <f>VLOOKUP(A300,NYSEARCAMUB!A$2:G$506,7,0)</f>
        <v>0</v>
      </c>
      <c r="I300">
        <f>VLOOKUP(A300,NYSEARCAVNQ!A$2:G$506,7,0)</f>
        <v>0</v>
      </c>
      <c r="J300">
        <f>VLOOKUP(A300,NYSEARCARWX!A$2:G$506,7,0)</f>
        <v>0</v>
      </c>
      <c r="K300">
        <f>VLOOKUP(A300,NYSEARCADBC!A$2:G$506,7,0)</f>
        <v>0</v>
      </c>
      <c r="L300">
        <f>VLOOKUP(A300,NYSEARCAGSG!A$2:G$506,7,0)</f>
        <v>0</v>
      </c>
      <c r="M300">
        <f>VLOOKUP(A300,NYSEARCAGLD!A$2:G$506,7,0)</f>
        <v>0</v>
      </c>
      <c r="N300">
        <f>VLOOKUP(A300,NYSEBP!A$2:G$506,7,0)</f>
        <v>0</v>
      </c>
      <c r="O300">
        <f>VLOOKUP(A300,NASDAQYHOO!A$2:G$506,7,0)</f>
        <v>0</v>
      </c>
    </row>
    <row r="301" spans="1:15">
      <c r="A301" s="39">
        <v>42579</v>
      </c>
      <c r="C301">
        <f>VLOOKUP(A301,NYSEARCAVTI!A$2:G$506,7,0)</f>
        <v>0</v>
      </c>
      <c r="D301">
        <f>VLOOKUP(A301,NYSEARCAVEU!A$2:G$506,7,0)</f>
        <v>0</v>
      </c>
      <c r="E301">
        <f>VLOOKUP(A301,NYSEARCAVWO!A$2:G$506,7,0)</f>
        <v>0</v>
      </c>
      <c r="F301">
        <f>VLOOKUP(A301,NYSEARCABND!A$2:G$506,7,0)</f>
        <v>0</v>
      </c>
      <c r="G301">
        <f>VLOOKUP(A301,NYSEARCATIP!A$2:G$506,7,0)</f>
        <v>0</v>
      </c>
      <c r="H301">
        <f>VLOOKUP(A301,NYSEARCAMUB!A$2:G$506,7,0)</f>
        <v>0</v>
      </c>
      <c r="I301">
        <f>VLOOKUP(A301,NYSEARCAVNQ!A$2:G$506,7,0)</f>
        <v>0</v>
      </c>
      <c r="J301">
        <f>VLOOKUP(A301,NYSEARCARWX!A$2:G$506,7,0)</f>
        <v>0</v>
      </c>
      <c r="K301">
        <f>VLOOKUP(A301,NYSEARCADBC!A$2:G$506,7,0)</f>
        <v>0</v>
      </c>
      <c r="L301">
        <f>VLOOKUP(A301,NYSEARCAGSG!A$2:G$506,7,0)</f>
        <v>0</v>
      </c>
      <c r="M301">
        <f>VLOOKUP(A301,NYSEARCAGLD!A$2:G$506,7,0)</f>
        <v>0</v>
      </c>
      <c r="N301">
        <f>VLOOKUP(A301,NYSEBP!A$2:G$506,7,0)</f>
        <v>0</v>
      </c>
      <c r="O301">
        <f>VLOOKUP(A301,NASDAQYHOO!A$2:G$506,7,0)</f>
        <v>0</v>
      </c>
    </row>
    <row r="302" spans="1:15">
      <c r="A302" s="39">
        <v>42580</v>
      </c>
      <c r="C302">
        <f>VLOOKUP(A302,NYSEARCAVTI!A$2:G$506,7,0)</f>
        <v>0</v>
      </c>
      <c r="D302">
        <f>VLOOKUP(A302,NYSEARCAVEU!A$2:G$506,7,0)</f>
        <v>0</v>
      </c>
      <c r="E302">
        <f>VLOOKUP(A302,NYSEARCAVWO!A$2:G$506,7,0)</f>
        <v>0</v>
      </c>
      <c r="F302">
        <f>VLOOKUP(A302,NYSEARCABND!A$2:G$506,7,0)</f>
        <v>0</v>
      </c>
      <c r="G302">
        <f>VLOOKUP(A302,NYSEARCATIP!A$2:G$506,7,0)</f>
        <v>0</v>
      </c>
      <c r="H302">
        <f>VLOOKUP(A302,NYSEARCAMUB!A$2:G$506,7,0)</f>
        <v>0</v>
      </c>
      <c r="I302">
        <f>VLOOKUP(A302,NYSEARCAVNQ!A$2:G$506,7,0)</f>
        <v>0</v>
      </c>
      <c r="J302">
        <f>VLOOKUP(A302,NYSEARCARWX!A$2:G$506,7,0)</f>
        <v>0</v>
      </c>
      <c r="K302">
        <f>VLOOKUP(A302,NYSEARCADBC!A$2:G$506,7,0)</f>
        <v>0</v>
      </c>
      <c r="L302">
        <f>VLOOKUP(A302,NYSEARCAGSG!A$2:G$506,7,0)</f>
        <v>0</v>
      </c>
      <c r="M302">
        <f>VLOOKUP(A302,NYSEARCAGLD!A$2:G$506,7,0)</f>
        <v>0</v>
      </c>
      <c r="N302">
        <f>VLOOKUP(A302,NYSEBP!A$2:G$506,7,0)</f>
        <v>0</v>
      </c>
      <c r="O302">
        <f>VLOOKUP(A302,NASDAQYHOO!A$2:G$506,7,0)</f>
        <v>0</v>
      </c>
    </row>
    <row r="303" spans="1:15">
      <c r="A303" s="39">
        <v>42583</v>
      </c>
      <c r="C303">
        <f>VLOOKUP(A303,NYSEARCAVTI!A$2:G$506,7,0)</f>
        <v>0</v>
      </c>
      <c r="D303">
        <f>VLOOKUP(A303,NYSEARCAVEU!A$2:G$506,7,0)</f>
        <v>0</v>
      </c>
      <c r="E303">
        <f>VLOOKUP(A303,NYSEARCAVWO!A$2:G$506,7,0)</f>
        <v>0</v>
      </c>
      <c r="F303">
        <f>VLOOKUP(A303,NYSEARCABND!A$2:G$506,7,0)</f>
        <v>0</v>
      </c>
      <c r="G303">
        <f>VLOOKUP(A303,NYSEARCATIP!A$2:G$506,7,0)</f>
        <v>0</v>
      </c>
      <c r="H303">
        <f>VLOOKUP(A303,NYSEARCAMUB!A$2:G$506,7,0)</f>
        <v>0</v>
      </c>
      <c r="I303">
        <f>VLOOKUP(A303,NYSEARCAVNQ!A$2:G$506,7,0)</f>
        <v>0</v>
      </c>
      <c r="J303">
        <f>VLOOKUP(A303,NYSEARCARWX!A$2:G$506,7,0)</f>
        <v>0</v>
      </c>
      <c r="K303">
        <f>VLOOKUP(A303,NYSEARCADBC!A$2:G$506,7,0)</f>
        <v>0</v>
      </c>
      <c r="L303">
        <f>VLOOKUP(A303,NYSEARCAGSG!A$2:G$506,7,0)</f>
        <v>0</v>
      </c>
      <c r="M303">
        <f>VLOOKUP(A303,NYSEARCAGLD!A$2:G$506,7,0)</f>
        <v>0</v>
      </c>
      <c r="N303">
        <f>VLOOKUP(A303,NYSEBP!A$2:G$506,7,0)</f>
        <v>0</v>
      </c>
      <c r="O303">
        <f>VLOOKUP(A303,NASDAQYHOO!A$2:G$506,7,0)</f>
        <v>0</v>
      </c>
    </row>
    <row r="304" spans="1:15">
      <c r="A304" s="39">
        <v>42584</v>
      </c>
      <c r="C304">
        <f>VLOOKUP(A304,NYSEARCAVTI!A$2:G$506,7,0)</f>
        <v>0</v>
      </c>
      <c r="D304">
        <f>VLOOKUP(A304,NYSEARCAVEU!A$2:G$506,7,0)</f>
        <v>0</v>
      </c>
      <c r="E304">
        <f>VLOOKUP(A304,NYSEARCAVWO!A$2:G$506,7,0)</f>
        <v>0</v>
      </c>
      <c r="F304">
        <f>VLOOKUP(A304,NYSEARCABND!A$2:G$506,7,0)</f>
        <v>0</v>
      </c>
      <c r="G304">
        <f>VLOOKUP(A304,NYSEARCATIP!A$2:G$506,7,0)</f>
        <v>0</v>
      </c>
      <c r="H304">
        <f>VLOOKUP(A304,NYSEARCAMUB!A$2:G$506,7,0)</f>
        <v>0</v>
      </c>
      <c r="I304">
        <f>VLOOKUP(A304,NYSEARCAVNQ!A$2:G$506,7,0)</f>
        <v>0</v>
      </c>
      <c r="J304">
        <f>VLOOKUP(A304,NYSEARCARWX!A$2:G$506,7,0)</f>
        <v>0</v>
      </c>
      <c r="K304">
        <f>VLOOKUP(A304,NYSEARCADBC!A$2:G$506,7,0)</f>
        <v>0</v>
      </c>
      <c r="L304">
        <f>VLOOKUP(A304,NYSEARCAGSG!A$2:G$506,7,0)</f>
        <v>0</v>
      </c>
      <c r="M304">
        <f>VLOOKUP(A304,NYSEARCAGLD!A$2:G$506,7,0)</f>
        <v>0</v>
      </c>
      <c r="N304">
        <f>VLOOKUP(A304,NYSEBP!A$2:G$506,7,0)</f>
        <v>0</v>
      </c>
      <c r="O304">
        <f>VLOOKUP(A304,NASDAQYHOO!A$2:G$506,7,0)</f>
        <v>0</v>
      </c>
    </row>
    <row r="305" spans="1:15">
      <c r="A305" s="39">
        <v>42585</v>
      </c>
      <c r="C305">
        <f>VLOOKUP(A305,NYSEARCAVTI!A$2:G$506,7,0)</f>
        <v>0</v>
      </c>
      <c r="D305">
        <f>VLOOKUP(A305,NYSEARCAVEU!A$2:G$506,7,0)</f>
        <v>0</v>
      </c>
      <c r="E305">
        <f>VLOOKUP(A305,NYSEARCAVWO!A$2:G$506,7,0)</f>
        <v>0</v>
      </c>
      <c r="F305">
        <f>VLOOKUP(A305,NYSEARCABND!A$2:G$506,7,0)</f>
        <v>0</v>
      </c>
      <c r="G305">
        <f>VLOOKUP(A305,NYSEARCATIP!A$2:G$506,7,0)</f>
        <v>0</v>
      </c>
      <c r="H305">
        <f>VLOOKUP(A305,NYSEARCAMUB!A$2:G$506,7,0)</f>
        <v>0</v>
      </c>
      <c r="I305">
        <f>VLOOKUP(A305,NYSEARCAVNQ!A$2:G$506,7,0)</f>
        <v>0</v>
      </c>
      <c r="J305">
        <f>VLOOKUP(A305,NYSEARCARWX!A$2:G$506,7,0)</f>
        <v>0</v>
      </c>
      <c r="K305">
        <f>VLOOKUP(A305,NYSEARCADBC!A$2:G$506,7,0)</f>
        <v>0</v>
      </c>
      <c r="L305">
        <f>VLOOKUP(A305,NYSEARCAGSG!A$2:G$506,7,0)</f>
        <v>0</v>
      </c>
      <c r="M305">
        <f>VLOOKUP(A305,NYSEARCAGLD!A$2:G$506,7,0)</f>
        <v>0</v>
      </c>
      <c r="N305">
        <f>VLOOKUP(A305,NYSEBP!A$2:G$506,7,0)</f>
        <v>0</v>
      </c>
      <c r="O305">
        <f>VLOOKUP(A305,NASDAQYHOO!A$2:G$506,7,0)</f>
        <v>0</v>
      </c>
    </row>
    <row r="306" spans="1:15">
      <c r="A306" s="39">
        <v>42586</v>
      </c>
      <c r="C306">
        <f>VLOOKUP(A306,NYSEARCAVTI!A$2:G$506,7,0)</f>
        <v>0</v>
      </c>
      <c r="D306">
        <f>VLOOKUP(A306,NYSEARCAVEU!A$2:G$506,7,0)</f>
        <v>0</v>
      </c>
      <c r="E306">
        <f>VLOOKUP(A306,NYSEARCAVWO!A$2:G$506,7,0)</f>
        <v>0</v>
      </c>
      <c r="F306">
        <f>VLOOKUP(A306,NYSEARCABND!A$2:G$506,7,0)</f>
        <v>0</v>
      </c>
      <c r="G306">
        <f>VLOOKUP(A306,NYSEARCATIP!A$2:G$506,7,0)</f>
        <v>0</v>
      </c>
      <c r="H306">
        <f>VLOOKUP(A306,NYSEARCAMUB!A$2:G$506,7,0)</f>
        <v>0</v>
      </c>
      <c r="I306">
        <f>VLOOKUP(A306,NYSEARCAVNQ!A$2:G$506,7,0)</f>
        <v>0</v>
      </c>
      <c r="J306">
        <f>VLOOKUP(A306,NYSEARCARWX!A$2:G$506,7,0)</f>
        <v>0</v>
      </c>
      <c r="K306">
        <f>VLOOKUP(A306,NYSEARCADBC!A$2:G$506,7,0)</f>
        <v>0</v>
      </c>
      <c r="L306">
        <f>VLOOKUP(A306,NYSEARCAGSG!A$2:G$506,7,0)</f>
        <v>0</v>
      </c>
      <c r="M306">
        <f>VLOOKUP(A306,NYSEARCAGLD!A$2:G$506,7,0)</f>
        <v>0</v>
      </c>
      <c r="N306">
        <f>VLOOKUP(A306,NYSEBP!A$2:G$506,7,0)</f>
        <v>0</v>
      </c>
      <c r="O306">
        <f>VLOOKUP(A306,NASDAQYHOO!A$2:G$506,7,0)</f>
        <v>0</v>
      </c>
    </row>
    <row r="307" spans="1:15">
      <c r="A307" s="39">
        <v>42587</v>
      </c>
      <c r="C307">
        <f>VLOOKUP(A307,NYSEARCAVTI!A$2:G$506,7,0)</f>
        <v>0</v>
      </c>
      <c r="D307">
        <f>VLOOKUP(A307,NYSEARCAVEU!A$2:G$506,7,0)</f>
        <v>0</v>
      </c>
      <c r="E307">
        <f>VLOOKUP(A307,NYSEARCAVWO!A$2:G$506,7,0)</f>
        <v>0</v>
      </c>
      <c r="F307">
        <f>VLOOKUP(A307,NYSEARCABND!A$2:G$506,7,0)</f>
        <v>0</v>
      </c>
      <c r="G307">
        <f>VLOOKUP(A307,NYSEARCATIP!A$2:G$506,7,0)</f>
        <v>0</v>
      </c>
      <c r="H307">
        <f>VLOOKUP(A307,NYSEARCAMUB!A$2:G$506,7,0)</f>
        <v>0</v>
      </c>
      <c r="I307">
        <f>VLOOKUP(A307,NYSEARCAVNQ!A$2:G$506,7,0)</f>
        <v>0</v>
      </c>
      <c r="J307">
        <f>VLOOKUP(A307,NYSEARCARWX!A$2:G$506,7,0)</f>
        <v>0</v>
      </c>
      <c r="K307">
        <f>VLOOKUP(A307,NYSEARCADBC!A$2:G$506,7,0)</f>
        <v>0</v>
      </c>
      <c r="L307">
        <f>VLOOKUP(A307,NYSEARCAGSG!A$2:G$506,7,0)</f>
        <v>0</v>
      </c>
      <c r="M307">
        <f>VLOOKUP(A307,NYSEARCAGLD!A$2:G$506,7,0)</f>
        <v>0</v>
      </c>
      <c r="N307">
        <f>VLOOKUP(A307,NYSEBP!A$2:G$506,7,0)</f>
        <v>0</v>
      </c>
      <c r="O307">
        <f>VLOOKUP(A307,NASDAQYHOO!A$2:G$506,7,0)</f>
        <v>0</v>
      </c>
    </row>
    <row r="308" spans="1:15">
      <c r="A308" s="39">
        <v>42590</v>
      </c>
      <c r="C308">
        <f>VLOOKUP(A308,NYSEARCAVTI!A$2:G$506,7,0)</f>
        <v>0</v>
      </c>
      <c r="D308">
        <f>VLOOKUP(A308,NYSEARCAVEU!A$2:G$506,7,0)</f>
        <v>0</v>
      </c>
      <c r="E308">
        <f>VLOOKUP(A308,NYSEARCAVWO!A$2:G$506,7,0)</f>
        <v>0</v>
      </c>
      <c r="F308">
        <f>VLOOKUP(A308,NYSEARCABND!A$2:G$506,7,0)</f>
        <v>0</v>
      </c>
      <c r="G308">
        <f>VLOOKUP(A308,NYSEARCATIP!A$2:G$506,7,0)</f>
        <v>0</v>
      </c>
      <c r="H308">
        <f>VLOOKUP(A308,NYSEARCAMUB!A$2:G$506,7,0)</f>
        <v>0</v>
      </c>
      <c r="I308">
        <f>VLOOKUP(A308,NYSEARCAVNQ!A$2:G$506,7,0)</f>
        <v>0</v>
      </c>
      <c r="J308">
        <f>VLOOKUP(A308,NYSEARCARWX!A$2:G$506,7,0)</f>
        <v>0</v>
      </c>
      <c r="K308">
        <f>VLOOKUP(A308,NYSEARCADBC!A$2:G$506,7,0)</f>
        <v>0</v>
      </c>
      <c r="L308">
        <f>VLOOKUP(A308,NYSEARCAGSG!A$2:G$506,7,0)</f>
        <v>0</v>
      </c>
      <c r="M308">
        <f>VLOOKUP(A308,NYSEARCAGLD!A$2:G$506,7,0)</f>
        <v>0</v>
      </c>
      <c r="N308">
        <f>VLOOKUP(A308,NYSEBP!A$2:G$506,7,0)</f>
        <v>0</v>
      </c>
      <c r="O308">
        <f>VLOOKUP(A308,NASDAQYHOO!A$2:G$506,7,0)</f>
        <v>0</v>
      </c>
    </row>
    <row r="309" spans="1:15">
      <c r="A309" s="39">
        <v>42591</v>
      </c>
      <c r="C309">
        <f>VLOOKUP(A309,NYSEARCAVTI!A$2:G$506,7,0)</f>
        <v>0</v>
      </c>
      <c r="D309">
        <f>VLOOKUP(A309,NYSEARCAVEU!A$2:G$506,7,0)</f>
        <v>0</v>
      </c>
      <c r="E309">
        <f>VLOOKUP(A309,NYSEARCAVWO!A$2:G$506,7,0)</f>
        <v>0</v>
      </c>
      <c r="F309">
        <f>VLOOKUP(A309,NYSEARCABND!A$2:G$506,7,0)</f>
        <v>0</v>
      </c>
      <c r="G309">
        <f>VLOOKUP(A309,NYSEARCATIP!A$2:G$506,7,0)</f>
        <v>0</v>
      </c>
      <c r="H309">
        <f>VLOOKUP(A309,NYSEARCAMUB!A$2:G$506,7,0)</f>
        <v>0</v>
      </c>
      <c r="I309">
        <f>VLOOKUP(A309,NYSEARCAVNQ!A$2:G$506,7,0)</f>
        <v>0</v>
      </c>
      <c r="J309">
        <f>VLOOKUP(A309,NYSEARCARWX!A$2:G$506,7,0)</f>
        <v>0</v>
      </c>
      <c r="K309">
        <f>VLOOKUP(A309,NYSEARCADBC!A$2:G$506,7,0)</f>
        <v>0</v>
      </c>
      <c r="L309">
        <f>VLOOKUP(A309,NYSEARCAGSG!A$2:G$506,7,0)</f>
        <v>0</v>
      </c>
      <c r="M309">
        <f>VLOOKUP(A309,NYSEARCAGLD!A$2:G$506,7,0)</f>
        <v>0</v>
      </c>
      <c r="N309">
        <f>VLOOKUP(A309,NYSEBP!A$2:G$506,7,0)</f>
        <v>0</v>
      </c>
      <c r="O309">
        <f>VLOOKUP(A309,NASDAQYHOO!A$2:G$506,7,0)</f>
        <v>0</v>
      </c>
    </row>
    <row r="310" spans="1:15">
      <c r="A310" s="39">
        <v>42592</v>
      </c>
      <c r="C310">
        <f>VLOOKUP(A310,NYSEARCAVTI!A$2:G$506,7,0)</f>
        <v>0</v>
      </c>
      <c r="D310">
        <f>VLOOKUP(A310,NYSEARCAVEU!A$2:G$506,7,0)</f>
        <v>0</v>
      </c>
      <c r="E310">
        <f>VLOOKUP(A310,NYSEARCAVWO!A$2:G$506,7,0)</f>
        <v>0</v>
      </c>
      <c r="F310">
        <f>VLOOKUP(A310,NYSEARCABND!A$2:G$506,7,0)</f>
        <v>0</v>
      </c>
      <c r="G310">
        <f>VLOOKUP(A310,NYSEARCATIP!A$2:G$506,7,0)</f>
        <v>0</v>
      </c>
      <c r="H310">
        <f>VLOOKUP(A310,NYSEARCAMUB!A$2:G$506,7,0)</f>
        <v>0</v>
      </c>
      <c r="I310">
        <f>VLOOKUP(A310,NYSEARCAVNQ!A$2:G$506,7,0)</f>
        <v>0</v>
      </c>
      <c r="J310">
        <f>VLOOKUP(A310,NYSEARCARWX!A$2:G$506,7,0)</f>
        <v>0</v>
      </c>
      <c r="K310">
        <f>VLOOKUP(A310,NYSEARCADBC!A$2:G$506,7,0)</f>
        <v>0</v>
      </c>
      <c r="L310">
        <f>VLOOKUP(A310,NYSEARCAGSG!A$2:G$506,7,0)</f>
        <v>0</v>
      </c>
      <c r="M310">
        <f>VLOOKUP(A310,NYSEARCAGLD!A$2:G$506,7,0)</f>
        <v>0</v>
      </c>
      <c r="N310">
        <f>VLOOKUP(A310,NYSEBP!A$2:G$506,7,0)</f>
        <v>0</v>
      </c>
      <c r="O310">
        <f>VLOOKUP(A310,NASDAQYHOO!A$2:G$506,7,0)</f>
        <v>0</v>
      </c>
    </row>
    <row r="311" spans="1:15">
      <c r="A311" s="39">
        <v>42593</v>
      </c>
      <c r="C311">
        <f>VLOOKUP(A311,NYSEARCAVTI!A$2:G$506,7,0)</f>
        <v>0</v>
      </c>
      <c r="D311">
        <f>VLOOKUP(A311,NYSEARCAVEU!A$2:G$506,7,0)</f>
        <v>0</v>
      </c>
      <c r="E311">
        <f>VLOOKUP(A311,NYSEARCAVWO!A$2:G$506,7,0)</f>
        <v>0</v>
      </c>
      <c r="F311">
        <f>VLOOKUP(A311,NYSEARCABND!A$2:G$506,7,0)</f>
        <v>0</v>
      </c>
      <c r="G311">
        <f>VLOOKUP(A311,NYSEARCATIP!A$2:G$506,7,0)</f>
        <v>0</v>
      </c>
      <c r="H311">
        <f>VLOOKUP(A311,NYSEARCAMUB!A$2:G$506,7,0)</f>
        <v>0</v>
      </c>
      <c r="I311">
        <f>VLOOKUP(A311,NYSEARCAVNQ!A$2:G$506,7,0)</f>
        <v>0</v>
      </c>
      <c r="J311">
        <f>VLOOKUP(A311,NYSEARCARWX!A$2:G$506,7,0)</f>
        <v>0</v>
      </c>
      <c r="K311">
        <f>VLOOKUP(A311,NYSEARCADBC!A$2:G$506,7,0)</f>
        <v>0</v>
      </c>
      <c r="L311">
        <f>VLOOKUP(A311,NYSEARCAGSG!A$2:G$506,7,0)</f>
        <v>0</v>
      </c>
      <c r="M311">
        <f>VLOOKUP(A311,NYSEARCAGLD!A$2:G$506,7,0)</f>
        <v>0</v>
      </c>
      <c r="N311">
        <f>VLOOKUP(A311,NYSEBP!A$2:G$506,7,0)</f>
        <v>0</v>
      </c>
      <c r="O311">
        <f>VLOOKUP(A311,NASDAQYHOO!A$2:G$506,7,0)</f>
        <v>0</v>
      </c>
    </row>
    <row r="312" spans="1:15">
      <c r="A312" s="39">
        <v>42594</v>
      </c>
      <c r="C312">
        <f>VLOOKUP(A312,NYSEARCAVTI!A$2:G$506,7,0)</f>
        <v>0</v>
      </c>
      <c r="D312">
        <f>VLOOKUP(A312,NYSEARCAVEU!A$2:G$506,7,0)</f>
        <v>0</v>
      </c>
      <c r="E312">
        <f>VLOOKUP(A312,NYSEARCAVWO!A$2:G$506,7,0)</f>
        <v>0</v>
      </c>
      <c r="F312">
        <f>VLOOKUP(A312,NYSEARCABND!A$2:G$506,7,0)</f>
        <v>0</v>
      </c>
      <c r="G312">
        <f>VLOOKUP(A312,NYSEARCATIP!A$2:G$506,7,0)</f>
        <v>0</v>
      </c>
      <c r="H312">
        <f>VLOOKUP(A312,NYSEARCAMUB!A$2:G$506,7,0)</f>
        <v>0</v>
      </c>
      <c r="I312">
        <f>VLOOKUP(A312,NYSEARCAVNQ!A$2:G$506,7,0)</f>
        <v>0</v>
      </c>
      <c r="J312">
        <f>VLOOKUP(A312,NYSEARCARWX!A$2:G$506,7,0)</f>
        <v>0</v>
      </c>
      <c r="K312">
        <f>VLOOKUP(A312,NYSEARCADBC!A$2:G$506,7,0)</f>
        <v>0</v>
      </c>
      <c r="L312">
        <f>VLOOKUP(A312,NYSEARCAGSG!A$2:G$506,7,0)</f>
        <v>0</v>
      </c>
      <c r="M312">
        <f>VLOOKUP(A312,NYSEARCAGLD!A$2:G$506,7,0)</f>
        <v>0</v>
      </c>
      <c r="N312">
        <f>VLOOKUP(A312,NYSEBP!A$2:G$506,7,0)</f>
        <v>0</v>
      </c>
      <c r="O312">
        <f>VLOOKUP(A312,NASDAQYHOO!A$2:G$506,7,0)</f>
        <v>0</v>
      </c>
    </row>
    <row r="313" spans="1:15">
      <c r="A313" s="39">
        <v>42597</v>
      </c>
      <c r="C313">
        <f>VLOOKUP(A313,NYSEARCAVTI!A$2:G$506,7,0)</f>
        <v>0</v>
      </c>
      <c r="D313">
        <f>VLOOKUP(A313,NYSEARCAVEU!A$2:G$506,7,0)</f>
        <v>0</v>
      </c>
      <c r="E313">
        <f>VLOOKUP(A313,NYSEARCAVWO!A$2:G$506,7,0)</f>
        <v>0</v>
      </c>
      <c r="F313">
        <f>VLOOKUP(A313,NYSEARCABND!A$2:G$506,7,0)</f>
        <v>0</v>
      </c>
      <c r="G313">
        <f>VLOOKUP(A313,NYSEARCATIP!A$2:G$506,7,0)</f>
        <v>0</v>
      </c>
      <c r="H313">
        <f>VLOOKUP(A313,NYSEARCAMUB!A$2:G$506,7,0)</f>
        <v>0</v>
      </c>
      <c r="I313">
        <f>VLOOKUP(A313,NYSEARCAVNQ!A$2:G$506,7,0)</f>
        <v>0</v>
      </c>
      <c r="J313">
        <f>VLOOKUP(A313,NYSEARCARWX!A$2:G$506,7,0)</f>
        <v>0</v>
      </c>
      <c r="K313">
        <f>VLOOKUP(A313,NYSEARCADBC!A$2:G$506,7,0)</f>
        <v>0</v>
      </c>
      <c r="L313">
        <f>VLOOKUP(A313,NYSEARCAGSG!A$2:G$506,7,0)</f>
        <v>0</v>
      </c>
      <c r="M313">
        <f>VLOOKUP(A313,NYSEARCAGLD!A$2:G$506,7,0)</f>
        <v>0</v>
      </c>
      <c r="N313">
        <f>VLOOKUP(A313,NYSEBP!A$2:G$506,7,0)</f>
        <v>0</v>
      </c>
      <c r="O313">
        <f>VLOOKUP(A313,NASDAQYHOO!A$2:G$506,7,0)</f>
        <v>0</v>
      </c>
    </row>
    <row r="314" spans="1:15">
      <c r="A314" s="39">
        <v>42598</v>
      </c>
      <c r="C314">
        <f>VLOOKUP(A314,NYSEARCAVTI!A$2:G$506,7,0)</f>
        <v>0</v>
      </c>
      <c r="D314">
        <f>VLOOKUP(A314,NYSEARCAVEU!A$2:G$506,7,0)</f>
        <v>0</v>
      </c>
      <c r="E314">
        <f>VLOOKUP(A314,NYSEARCAVWO!A$2:G$506,7,0)</f>
        <v>0</v>
      </c>
      <c r="F314">
        <f>VLOOKUP(A314,NYSEARCABND!A$2:G$506,7,0)</f>
        <v>0</v>
      </c>
      <c r="G314">
        <f>VLOOKUP(A314,NYSEARCATIP!A$2:G$506,7,0)</f>
        <v>0</v>
      </c>
      <c r="H314">
        <f>VLOOKUP(A314,NYSEARCAMUB!A$2:G$506,7,0)</f>
        <v>0</v>
      </c>
      <c r="I314">
        <f>VLOOKUP(A314,NYSEARCAVNQ!A$2:G$506,7,0)</f>
        <v>0</v>
      </c>
      <c r="J314">
        <f>VLOOKUP(A314,NYSEARCARWX!A$2:G$506,7,0)</f>
        <v>0</v>
      </c>
      <c r="K314">
        <f>VLOOKUP(A314,NYSEARCADBC!A$2:G$506,7,0)</f>
        <v>0</v>
      </c>
      <c r="L314">
        <f>VLOOKUP(A314,NYSEARCAGSG!A$2:G$506,7,0)</f>
        <v>0</v>
      </c>
      <c r="M314">
        <f>VLOOKUP(A314,NYSEARCAGLD!A$2:G$506,7,0)</f>
        <v>0</v>
      </c>
      <c r="N314">
        <f>VLOOKUP(A314,NYSEBP!A$2:G$506,7,0)</f>
        <v>0</v>
      </c>
      <c r="O314">
        <f>VLOOKUP(A314,NASDAQYHOO!A$2:G$506,7,0)</f>
        <v>0</v>
      </c>
    </row>
    <row r="315" spans="1:15">
      <c r="A315" s="39">
        <v>42599</v>
      </c>
      <c r="C315">
        <f>VLOOKUP(A315,NYSEARCAVTI!A$2:G$506,7,0)</f>
        <v>0</v>
      </c>
      <c r="D315">
        <f>VLOOKUP(A315,NYSEARCAVEU!A$2:G$506,7,0)</f>
        <v>0</v>
      </c>
      <c r="E315">
        <f>VLOOKUP(A315,NYSEARCAVWO!A$2:G$506,7,0)</f>
        <v>0</v>
      </c>
      <c r="F315">
        <f>VLOOKUP(A315,NYSEARCABND!A$2:G$506,7,0)</f>
        <v>0</v>
      </c>
      <c r="G315">
        <f>VLOOKUP(A315,NYSEARCATIP!A$2:G$506,7,0)</f>
        <v>0</v>
      </c>
      <c r="H315">
        <f>VLOOKUP(A315,NYSEARCAMUB!A$2:G$506,7,0)</f>
        <v>0</v>
      </c>
      <c r="I315">
        <f>VLOOKUP(A315,NYSEARCAVNQ!A$2:G$506,7,0)</f>
        <v>0</v>
      </c>
      <c r="J315">
        <f>VLOOKUP(A315,NYSEARCARWX!A$2:G$506,7,0)</f>
        <v>0</v>
      </c>
      <c r="K315">
        <f>VLOOKUP(A315,NYSEARCADBC!A$2:G$506,7,0)</f>
        <v>0</v>
      </c>
      <c r="L315">
        <f>VLOOKUP(A315,NYSEARCAGSG!A$2:G$506,7,0)</f>
        <v>0</v>
      </c>
      <c r="M315">
        <f>VLOOKUP(A315,NYSEARCAGLD!A$2:G$506,7,0)</f>
        <v>0</v>
      </c>
      <c r="N315">
        <f>VLOOKUP(A315,NYSEBP!A$2:G$506,7,0)</f>
        <v>0</v>
      </c>
      <c r="O315">
        <f>VLOOKUP(A315,NASDAQYHOO!A$2:G$506,7,0)</f>
        <v>0</v>
      </c>
    </row>
    <row r="316" spans="1:15">
      <c r="A316" s="39">
        <v>42600</v>
      </c>
      <c r="C316">
        <f>VLOOKUP(A316,NYSEARCAVTI!A$2:G$506,7,0)</f>
        <v>0</v>
      </c>
      <c r="D316">
        <f>VLOOKUP(A316,NYSEARCAVEU!A$2:G$506,7,0)</f>
        <v>0</v>
      </c>
      <c r="E316">
        <f>VLOOKUP(A316,NYSEARCAVWO!A$2:G$506,7,0)</f>
        <v>0</v>
      </c>
      <c r="F316">
        <f>VLOOKUP(A316,NYSEARCABND!A$2:G$506,7,0)</f>
        <v>0</v>
      </c>
      <c r="G316">
        <f>VLOOKUP(A316,NYSEARCATIP!A$2:G$506,7,0)</f>
        <v>0</v>
      </c>
      <c r="H316">
        <f>VLOOKUP(A316,NYSEARCAMUB!A$2:G$506,7,0)</f>
        <v>0</v>
      </c>
      <c r="I316">
        <f>VLOOKUP(A316,NYSEARCAVNQ!A$2:G$506,7,0)</f>
        <v>0</v>
      </c>
      <c r="J316">
        <f>VLOOKUP(A316,NYSEARCARWX!A$2:G$506,7,0)</f>
        <v>0</v>
      </c>
      <c r="K316">
        <f>VLOOKUP(A316,NYSEARCADBC!A$2:G$506,7,0)</f>
        <v>0</v>
      </c>
      <c r="L316">
        <f>VLOOKUP(A316,NYSEARCAGSG!A$2:G$506,7,0)</f>
        <v>0</v>
      </c>
      <c r="M316">
        <f>VLOOKUP(A316,NYSEARCAGLD!A$2:G$506,7,0)</f>
        <v>0</v>
      </c>
      <c r="N316">
        <f>VLOOKUP(A316,NYSEBP!A$2:G$506,7,0)</f>
        <v>0</v>
      </c>
      <c r="O316">
        <f>VLOOKUP(A316,NASDAQYHOO!A$2:G$506,7,0)</f>
        <v>0</v>
      </c>
    </row>
    <row r="317" spans="1:15">
      <c r="A317" s="39">
        <v>42601</v>
      </c>
      <c r="C317">
        <f>VLOOKUP(A317,NYSEARCAVTI!A$2:G$506,7,0)</f>
        <v>0</v>
      </c>
      <c r="D317">
        <f>VLOOKUP(A317,NYSEARCAVEU!A$2:G$506,7,0)</f>
        <v>0</v>
      </c>
      <c r="E317">
        <f>VLOOKUP(A317,NYSEARCAVWO!A$2:G$506,7,0)</f>
        <v>0</v>
      </c>
      <c r="F317">
        <f>VLOOKUP(A317,NYSEARCABND!A$2:G$506,7,0)</f>
        <v>0</v>
      </c>
      <c r="G317">
        <f>VLOOKUP(A317,NYSEARCATIP!A$2:G$506,7,0)</f>
        <v>0</v>
      </c>
      <c r="H317">
        <f>VLOOKUP(A317,NYSEARCAMUB!A$2:G$506,7,0)</f>
        <v>0</v>
      </c>
      <c r="I317">
        <f>VLOOKUP(A317,NYSEARCAVNQ!A$2:G$506,7,0)</f>
        <v>0</v>
      </c>
      <c r="J317">
        <f>VLOOKUP(A317,NYSEARCARWX!A$2:G$506,7,0)</f>
        <v>0</v>
      </c>
      <c r="K317">
        <f>VLOOKUP(A317,NYSEARCADBC!A$2:G$506,7,0)</f>
        <v>0</v>
      </c>
      <c r="L317">
        <f>VLOOKUP(A317,NYSEARCAGSG!A$2:G$506,7,0)</f>
        <v>0</v>
      </c>
      <c r="M317">
        <f>VLOOKUP(A317,NYSEARCAGLD!A$2:G$506,7,0)</f>
        <v>0</v>
      </c>
      <c r="N317">
        <f>VLOOKUP(A317,NYSEBP!A$2:G$506,7,0)</f>
        <v>0</v>
      </c>
      <c r="O317">
        <f>VLOOKUP(A317,NASDAQYHOO!A$2:G$506,7,0)</f>
        <v>0</v>
      </c>
    </row>
    <row r="318" spans="1:15">
      <c r="A318" s="39">
        <v>42604</v>
      </c>
      <c r="C318">
        <f>VLOOKUP(A318,NYSEARCAVTI!A$2:G$506,7,0)</f>
        <v>0</v>
      </c>
      <c r="D318">
        <f>VLOOKUP(A318,NYSEARCAVEU!A$2:G$506,7,0)</f>
        <v>0</v>
      </c>
      <c r="E318">
        <f>VLOOKUP(A318,NYSEARCAVWO!A$2:G$506,7,0)</f>
        <v>0</v>
      </c>
      <c r="F318">
        <f>VLOOKUP(A318,NYSEARCABND!A$2:G$506,7,0)</f>
        <v>0</v>
      </c>
      <c r="G318">
        <f>VLOOKUP(A318,NYSEARCATIP!A$2:G$506,7,0)</f>
        <v>0</v>
      </c>
      <c r="H318">
        <f>VLOOKUP(A318,NYSEARCAMUB!A$2:G$506,7,0)</f>
        <v>0</v>
      </c>
      <c r="I318">
        <f>VLOOKUP(A318,NYSEARCAVNQ!A$2:G$506,7,0)</f>
        <v>0</v>
      </c>
      <c r="J318">
        <f>VLOOKUP(A318,NYSEARCARWX!A$2:G$506,7,0)</f>
        <v>0</v>
      </c>
      <c r="K318">
        <f>VLOOKUP(A318,NYSEARCADBC!A$2:G$506,7,0)</f>
        <v>0</v>
      </c>
      <c r="L318">
        <f>VLOOKUP(A318,NYSEARCAGSG!A$2:G$506,7,0)</f>
        <v>0</v>
      </c>
      <c r="M318">
        <f>VLOOKUP(A318,NYSEARCAGLD!A$2:G$506,7,0)</f>
        <v>0</v>
      </c>
      <c r="N318">
        <f>VLOOKUP(A318,NYSEBP!A$2:G$506,7,0)</f>
        <v>0</v>
      </c>
      <c r="O318">
        <f>VLOOKUP(A318,NASDAQYHOO!A$2:G$506,7,0)</f>
        <v>0</v>
      </c>
    </row>
    <row r="319" spans="1:15">
      <c r="A319" s="39">
        <v>42605</v>
      </c>
      <c r="C319">
        <f>VLOOKUP(A319,NYSEARCAVTI!A$2:G$506,7,0)</f>
        <v>0</v>
      </c>
      <c r="D319">
        <f>VLOOKUP(A319,NYSEARCAVEU!A$2:G$506,7,0)</f>
        <v>0</v>
      </c>
      <c r="E319">
        <f>VLOOKUP(A319,NYSEARCAVWO!A$2:G$506,7,0)</f>
        <v>0</v>
      </c>
      <c r="F319">
        <f>VLOOKUP(A319,NYSEARCABND!A$2:G$506,7,0)</f>
        <v>0</v>
      </c>
      <c r="G319">
        <f>VLOOKUP(A319,NYSEARCATIP!A$2:G$506,7,0)</f>
        <v>0</v>
      </c>
      <c r="H319">
        <f>VLOOKUP(A319,NYSEARCAMUB!A$2:G$506,7,0)</f>
        <v>0</v>
      </c>
      <c r="I319">
        <f>VLOOKUP(A319,NYSEARCAVNQ!A$2:G$506,7,0)</f>
        <v>0</v>
      </c>
      <c r="J319">
        <f>VLOOKUP(A319,NYSEARCARWX!A$2:G$506,7,0)</f>
        <v>0</v>
      </c>
      <c r="K319">
        <f>VLOOKUP(A319,NYSEARCADBC!A$2:G$506,7,0)</f>
        <v>0</v>
      </c>
      <c r="L319">
        <f>VLOOKUP(A319,NYSEARCAGSG!A$2:G$506,7,0)</f>
        <v>0</v>
      </c>
      <c r="M319">
        <f>VLOOKUP(A319,NYSEARCAGLD!A$2:G$506,7,0)</f>
        <v>0</v>
      </c>
      <c r="N319">
        <f>VLOOKUP(A319,NYSEBP!A$2:G$506,7,0)</f>
        <v>0</v>
      </c>
      <c r="O319">
        <f>VLOOKUP(A319,NASDAQYHOO!A$2:G$506,7,0)</f>
        <v>0</v>
      </c>
    </row>
    <row r="320" spans="1:15">
      <c r="A320" s="39">
        <v>42606</v>
      </c>
      <c r="C320">
        <f>VLOOKUP(A320,NYSEARCAVTI!A$2:G$506,7,0)</f>
        <v>0</v>
      </c>
      <c r="D320">
        <f>VLOOKUP(A320,NYSEARCAVEU!A$2:G$506,7,0)</f>
        <v>0</v>
      </c>
      <c r="E320">
        <f>VLOOKUP(A320,NYSEARCAVWO!A$2:G$506,7,0)</f>
        <v>0</v>
      </c>
      <c r="F320">
        <f>VLOOKUP(A320,NYSEARCABND!A$2:G$506,7,0)</f>
        <v>0</v>
      </c>
      <c r="G320">
        <f>VLOOKUP(A320,NYSEARCATIP!A$2:G$506,7,0)</f>
        <v>0</v>
      </c>
      <c r="H320">
        <f>VLOOKUP(A320,NYSEARCAMUB!A$2:G$506,7,0)</f>
        <v>0</v>
      </c>
      <c r="I320">
        <f>VLOOKUP(A320,NYSEARCAVNQ!A$2:G$506,7,0)</f>
        <v>0</v>
      </c>
      <c r="J320">
        <f>VLOOKUP(A320,NYSEARCARWX!A$2:G$506,7,0)</f>
        <v>0</v>
      </c>
      <c r="K320">
        <f>VLOOKUP(A320,NYSEARCADBC!A$2:G$506,7,0)</f>
        <v>0</v>
      </c>
      <c r="L320">
        <f>VLOOKUP(A320,NYSEARCAGSG!A$2:G$506,7,0)</f>
        <v>0</v>
      </c>
      <c r="M320">
        <f>VLOOKUP(A320,NYSEARCAGLD!A$2:G$506,7,0)</f>
        <v>0</v>
      </c>
      <c r="N320">
        <f>VLOOKUP(A320,NYSEBP!A$2:G$506,7,0)</f>
        <v>0</v>
      </c>
      <c r="O320">
        <f>VLOOKUP(A320,NASDAQYHOO!A$2:G$506,7,0)</f>
        <v>0</v>
      </c>
    </row>
    <row r="321" spans="1:15">
      <c r="A321" s="39">
        <v>42607</v>
      </c>
      <c r="C321">
        <f>VLOOKUP(A321,NYSEARCAVTI!A$2:G$506,7,0)</f>
        <v>0</v>
      </c>
      <c r="D321">
        <f>VLOOKUP(A321,NYSEARCAVEU!A$2:G$506,7,0)</f>
        <v>0</v>
      </c>
      <c r="E321">
        <f>VLOOKUP(A321,NYSEARCAVWO!A$2:G$506,7,0)</f>
        <v>0</v>
      </c>
      <c r="F321">
        <f>VLOOKUP(A321,NYSEARCABND!A$2:G$506,7,0)</f>
        <v>0</v>
      </c>
      <c r="G321">
        <f>VLOOKUP(A321,NYSEARCATIP!A$2:G$506,7,0)</f>
        <v>0</v>
      </c>
      <c r="H321">
        <f>VLOOKUP(A321,NYSEARCAMUB!A$2:G$506,7,0)</f>
        <v>0</v>
      </c>
      <c r="I321">
        <f>VLOOKUP(A321,NYSEARCAVNQ!A$2:G$506,7,0)</f>
        <v>0</v>
      </c>
      <c r="J321">
        <f>VLOOKUP(A321,NYSEARCARWX!A$2:G$506,7,0)</f>
        <v>0</v>
      </c>
      <c r="K321">
        <f>VLOOKUP(A321,NYSEARCADBC!A$2:G$506,7,0)</f>
        <v>0</v>
      </c>
      <c r="L321">
        <f>VLOOKUP(A321,NYSEARCAGSG!A$2:G$506,7,0)</f>
        <v>0</v>
      </c>
      <c r="M321">
        <f>VLOOKUP(A321,NYSEARCAGLD!A$2:G$506,7,0)</f>
        <v>0</v>
      </c>
      <c r="N321">
        <f>VLOOKUP(A321,NYSEBP!A$2:G$506,7,0)</f>
        <v>0</v>
      </c>
      <c r="O321">
        <f>VLOOKUP(A321,NASDAQYHOO!A$2:G$506,7,0)</f>
        <v>0</v>
      </c>
    </row>
    <row r="322" spans="1:15">
      <c r="A322" s="39">
        <v>42608</v>
      </c>
      <c r="C322">
        <f>VLOOKUP(A322,NYSEARCAVTI!A$2:G$506,7,0)</f>
        <v>0</v>
      </c>
      <c r="D322">
        <f>VLOOKUP(A322,NYSEARCAVEU!A$2:G$506,7,0)</f>
        <v>0</v>
      </c>
      <c r="E322">
        <f>VLOOKUP(A322,NYSEARCAVWO!A$2:G$506,7,0)</f>
        <v>0</v>
      </c>
      <c r="F322">
        <f>VLOOKUP(A322,NYSEARCABND!A$2:G$506,7,0)</f>
        <v>0</v>
      </c>
      <c r="G322">
        <f>VLOOKUP(A322,NYSEARCATIP!A$2:G$506,7,0)</f>
        <v>0</v>
      </c>
      <c r="H322">
        <f>VLOOKUP(A322,NYSEARCAMUB!A$2:G$506,7,0)</f>
        <v>0</v>
      </c>
      <c r="I322">
        <f>VLOOKUP(A322,NYSEARCAVNQ!A$2:G$506,7,0)</f>
        <v>0</v>
      </c>
      <c r="J322">
        <f>VLOOKUP(A322,NYSEARCARWX!A$2:G$506,7,0)</f>
        <v>0</v>
      </c>
      <c r="K322">
        <f>VLOOKUP(A322,NYSEARCADBC!A$2:G$506,7,0)</f>
        <v>0</v>
      </c>
      <c r="L322">
        <f>VLOOKUP(A322,NYSEARCAGSG!A$2:G$506,7,0)</f>
        <v>0</v>
      </c>
      <c r="M322">
        <f>VLOOKUP(A322,NYSEARCAGLD!A$2:G$506,7,0)</f>
        <v>0</v>
      </c>
      <c r="N322">
        <f>VLOOKUP(A322,NYSEBP!A$2:G$506,7,0)</f>
        <v>0</v>
      </c>
      <c r="O322">
        <f>VLOOKUP(A322,NASDAQYHOO!A$2:G$506,7,0)</f>
        <v>0</v>
      </c>
    </row>
    <row r="323" spans="1:15">
      <c r="A323" s="39">
        <v>42611</v>
      </c>
      <c r="C323">
        <f>VLOOKUP(A323,NYSEARCAVTI!A$2:G$506,7,0)</f>
        <v>0</v>
      </c>
      <c r="D323">
        <f>VLOOKUP(A323,NYSEARCAVEU!A$2:G$506,7,0)</f>
        <v>0</v>
      </c>
      <c r="E323">
        <f>VLOOKUP(A323,NYSEARCAVWO!A$2:G$506,7,0)</f>
        <v>0</v>
      </c>
      <c r="F323">
        <f>VLOOKUP(A323,NYSEARCABND!A$2:G$506,7,0)</f>
        <v>0</v>
      </c>
      <c r="G323">
        <f>VLOOKUP(A323,NYSEARCATIP!A$2:G$506,7,0)</f>
        <v>0</v>
      </c>
      <c r="H323">
        <f>VLOOKUP(A323,NYSEARCAMUB!A$2:G$506,7,0)</f>
        <v>0</v>
      </c>
      <c r="I323">
        <f>VLOOKUP(A323,NYSEARCAVNQ!A$2:G$506,7,0)</f>
        <v>0</v>
      </c>
      <c r="J323">
        <f>VLOOKUP(A323,NYSEARCARWX!A$2:G$506,7,0)</f>
        <v>0</v>
      </c>
      <c r="K323">
        <f>VLOOKUP(A323,NYSEARCADBC!A$2:G$506,7,0)</f>
        <v>0</v>
      </c>
      <c r="L323">
        <f>VLOOKUP(A323,NYSEARCAGSG!A$2:G$506,7,0)</f>
        <v>0</v>
      </c>
      <c r="M323">
        <f>VLOOKUP(A323,NYSEARCAGLD!A$2:G$506,7,0)</f>
        <v>0</v>
      </c>
      <c r="N323">
        <f>VLOOKUP(A323,NYSEBP!A$2:G$506,7,0)</f>
        <v>0</v>
      </c>
      <c r="O323">
        <f>VLOOKUP(A323,NASDAQYHOO!A$2:G$506,7,0)</f>
        <v>0</v>
      </c>
    </row>
    <row r="324" spans="1:15">
      <c r="A324" s="39">
        <v>42612</v>
      </c>
      <c r="C324">
        <f>VLOOKUP(A324,NYSEARCAVTI!A$2:G$506,7,0)</f>
        <v>0</v>
      </c>
      <c r="D324">
        <f>VLOOKUP(A324,NYSEARCAVEU!A$2:G$506,7,0)</f>
        <v>0</v>
      </c>
      <c r="E324">
        <f>VLOOKUP(A324,NYSEARCAVWO!A$2:G$506,7,0)</f>
        <v>0</v>
      </c>
      <c r="F324">
        <f>VLOOKUP(A324,NYSEARCABND!A$2:G$506,7,0)</f>
        <v>0</v>
      </c>
      <c r="G324">
        <f>VLOOKUP(A324,NYSEARCATIP!A$2:G$506,7,0)</f>
        <v>0</v>
      </c>
      <c r="H324">
        <f>VLOOKUP(A324,NYSEARCAMUB!A$2:G$506,7,0)</f>
        <v>0</v>
      </c>
      <c r="I324">
        <f>VLOOKUP(A324,NYSEARCAVNQ!A$2:G$506,7,0)</f>
        <v>0</v>
      </c>
      <c r="J324">
        <f>VLOOKUP(A324,NYSEARCARWX!A$2:G$506,7,0)</f>
        <v>0</v>
      </c>
      <c r="K324">
        <f>VLOOKUP(A324,NYSEARCADBC!A$2:G$506,7,0)</f>
        <v>0</v>
      </c>
      <c r="L324">
        <f>VLOOKUP(A324,NYSEARCAGSG!A$2:G$506,7,0)</f>
        <v>0</v>
      </c>
      <c r="M324">
        <f>VLOOKUP(A324,NYSEARCAGLD!A$2:G$506,7,0)</f>
        <v>0</v>
      </c>
      <c r="N324">
        <f>VLOOKUP(A324,NYSEBP!A$2:G$506,7,0)</f>
        <v>0</v>
      </c>
      <c r="O324">
        <f>VLOOKUP(A324,NASDAQYHOO!A$2:G$506,7,0)</f>
        <v>0</v>
      </c>
    </row>
    <row r="325" spans="1:15">
      <c r="A325" s="39">
        <v>42613</v>
      </c>
      <c r="C325">
        <f>VLOOKUP(A325,NYSEARCAVTI!A$2:G$506,7,0)</f>
        <v>0</v>
      </c>
      <c r="D325">
        <f>VLOOKUP(A325,NYSEARCAVEU!A$2:G$506,7,0)</f>
        <v>0</v>
      </c>
      <c r="E325">
        <f>VLOOKUP(A325,NYSEARCAVWO!A$2:G$506,7,0)</f>
        <v>0</v>
      </c>
      <c r="F325">
        <f>VLOOKUP(A325,NYSEARCABND!A$2:G$506,7,0)</f>
        <v>0</v>
      </c>
      <c r="G325">
        <f>VLOOKUP(A325,NYSEARCATIP!A$2:G$506,7,0)</f>
        <v>0</v>
      </c>
      <c r="H325">
        <f>VLOOKUP(A325,NYSEARCAMUB!A$2:G$506,7,0)</f>
        <v>0</v>
      </c>
      <c r="I325">
        <f>VLOOKUP(A325,NYSEARCAVNQ!A$2:G$506,7,0)</f>
        <v>0</v>
      </c>
      <c r="J325">
        <f>VLOOKUP(A325,NYSEARCARWX!A$2:G$506,7,0)</f>
        <v>0</v>
      </c>
      <c r="K325">
        <f>VLOOKUP(A325,NYSEARCADBC!A$2:G$506,7,0)</f>
        <v>0</v>
      </c>
      <c r="L325">
        <f>VLOOKUP(A325,NYSEARCAGSG!A$2:G$506,7,0)</f>
        <v>0</v>
      </c>
      <c r="M325">
        <f>VLOOKUP(A325,NYSEARCAGLD!A$2:G$506,7,0)</f>
        <v>0</v>
      </c>
      <c r="N325">
        <f>VLOOKUP(A325,NYSEBP!A$2:G$506,7,0)</f>
        <v>0</v>
      </c>
      <c r="O325">
        <f>VLOOKUP(A325,NASDAQYHOO!A$2:G$506,7,0)</f>
        <v>0</v>
      </c>
    </row>
    <row r="326" spans="1:15">
      <c r="A326" s="39">
        <v>42614</v>
      </c>
      <c r="C326">
        <f>VLOOKUP(A326,NYSEARCAVTI!A$2:G$506,7,0)</f>
        <v>0</v>
      </c>
      <c r="D326">
        <f>VLOOKUP(A326,NYSEARCAVEU!A$2:G$506,7,0)</f>
        <v>0</v>
      </c>
      <c r="E326">
        <f>VLOOKUP(A326,NYSEARCAVWO!A$2:G$506,7,0)</f>
        <v>0</v>
      </c>
      <c r="F326">
        <f>VLOOKUP(A326,NYSEARCABND!A$2:G$506,7,0)</f>
        <v>0</v>
      </c>
      <c r="G326">
        <f>VLOOKUP(A326,NYSEARCATIP!A$2:G$506,7,0)</f>
        <v>0</v>
      </c>
      <c r="H326">
        <f>VLOOKUP(A326,NYSEARCAMUB!A$2:G$506,7,0)</f>
        <v>0</v>
      </c>
      <c r="I326">
        <f>VLOOKUP(A326,NYSEARCAVNQ!A$2:G$506,7,0)</f>
        <v>0</v>
      </c>
      <c r="J326">
        <f>VLOOKUP(A326,NYSEARCARWX!A$2:G$506,7,0)</f>
        <v>0</v>
      </c>
      <c r="K326">
        <f>VLOOKUP(A326,NYSEARCADBC!A$2:G$506,7,0)</f>
        <v>0</v>
      </c>
      <c r="L326">
        <f>VLOOKUP(A326,NYSEARCAGSG!A$2:G$506,7,0)</f>
        <v>0</v>
      </c>
      <c r="M326">
        <f>VLOOKUP(A326,NYSEARCAGLD!A$2:G$506,7,0)</f>
        <v>0</v>
      </c>
      <c r="N326">
        <f>VLOOKUP(A326,NYSEBP!A$2:G$506,7,0)</f>
        <v>0</v>
      </c>
      <c r="O326">
        <f>VLOOKUP(A326,NASDAQYHOO!A$2:G$506,7,0)</f>
        <v>0</v>
      </c>
    </row>
    <row r="327" spans="1:15">
      <c r="A327" s="39">
        <v>42615</v>
      </c>
      <c r="C327">
        <f>VLOOKUP(A327,NYSEARCAVTI!A$2:G$506,7,0)</f>
        <v>0</v>
      </c>
      <c r="D327">
        <f>VLOOKUP(A327,NYSEARCAVEU!A$2:G$506,7,0)</f>
        <v>0</v>
      </c>
      <c r="E327">
        <f>VLOOKUP(A327,NYSEARCAVWO!A$2:G$506,7,0)</f>
        <v>0</v>
      </c>
      <c r="F327">
        <f>VLOOKUP(A327,NYSEARCABND!A$2:G$506,7,0)</f>
        <v>0</v>
      </c>
      <c r="G327">
        <f>VLOOKUP(A327,NYSEARCATIP!A$2:G$506,7,0)</f>
        <v>0</v>
      </c>
      <c r="H327">
        <f>VLOOKUP(A327,NYSEARCAMUB!A$2:G$506,7,0)</f>
        <v>0</v>
      </c>
      <c r="I327">
        <f>VLOOKUP(A327,NYSEARCAVNQ!A$2:G$506,7,0)</f>
        <v>0</v>
      </c>
      <c r="J327">
        <f>VLOOKUP(A327,NYSEARCARWX!A$2:G$506,7,0)</f>
        <v>0</v>
      </c>
      <c r="K327">
        <f>VLOOKUP(A327,NYSEARCADBC!A$2:G$506,7,0)</f>
        <v>0</v>
      </c>
      <c r="L327">
        <f>VLOOKUP(A327,NYSEARCAGSG!A$2:G$506,7,0)</f>
        <v>0</v>
      </c>
      <c r="M327">
        <f>VLOOKUP(A327,NYSEARCAGLD!A$2:G$506,7,0)</f>
        <v>0</v>
      </c>
      <c r="N327">
        <f>VLOOKUP(A327,NYSEBP!A$2:G$506,7,0)</f>
        <v>0</v>
      </c>
      <c r="O327">
        <f>VLOOKUP(A327,NASDAQYHOO!A$2:G$506,7,0)</f>
        <v>0</v>
      </c>
    </row>
    <row r="328" spans="1:15">
      <c r="A328" s="39">
        <v>42619</v>
      </c>
      <c r="C328">
        <f>VLOOKUP(A328,NYSEARCAVTI!A$2:G$506,7,0)</f>
        <v>0</v>
      </c>
      <c r="D328">
        <f>VLOOKUP(A328,NYSEARCAVEU!A$2:G$506,7,0)</f>
        <v>0</v>
      </c>
      <c r="E328">
        <f>VLOOKUP(A328,NYSEARCAVWO!A$2:G$506,7,0)</f>
        <v>0</v>
      </c>
      <c r="F328">
        <f>VLOOKUP(A328,NYSEARCABND!A$2:G$506,7,0)</f>
        <v>0</v>
      </c>
      <c r="G328">
        <f>VLOOKUP(A328,NYSEARCATIP!A$2:G$506,7,0)</f>
        <v>0</v>
      </c>
      <c r="H328">
        <f>VLOOKUP(A328,NYSEARCAMUB!A$2:G$506,7,0)</f>
        <v>0</v>
      </c>
      <c r="I328">
        <f>VLOOKUP(A328,NYSEARCAVNQ!A$2:G$506,7,0)</f>
        <v>0</v>
      </c>
      <c r="J328">
        <f>VLOOKUP(A328,NYSEARCARWX!A$2:G$506,7,0)</f>
        <v>0</v>
      </c>
      <c r="K328">
        <f>VLOOKUP(A328,NYSEARCADBC!A$2:G$506,7,0)</f>
        <v>0</v>
      </c>
      <c r="L328">
        <f>VLOOKUP(A328,NYSEARCAGSG!A$2:G$506,7,0)</f>
        <v>0</v>
      </c>
      <c r="M328">
        <f>VLOOKUP(A328,NYSEARCAGLD!A$2:G$506,7,0)</f>
        <v>0</v>
      </c>
      <c r="N328">
        <f>VLOOKUP(A328,NYSEBP!A$2:G$506,7,0)</f>
        <v>0</v>
      </c>
      <c r="O328">
        <f>VLOOKUP(A328,NASDAQYHOO!A$2:G$506,7,0)</f>
        <v>0</v>
      </c>
    </row>
    <row r="329" spans="1:15">
      <c r="A329" s="39">
        <v>42620</v>
      </c>
      <c r="C329">
        <f>VLOOKUP(A329,NYSEARCAVTI!A$2:G$506,7,0)</f>
        <v>0</v>
      </c>
      <c r="D329">
        <f>VLOOKUP(A329,NYSEARCAVEU!A$2:G$506,7,0)</f>
        <v>0</v>
      </c>
      <c r="E329">
        <f>VLOOKUP(A329,NYSEARCAVWO!A$2:G$506,7,0)</f>
        <v>0</v>
      </c>
      <c r="F329">
        <f>VLOOKUP(A329,NYSEARCABND!A$2:G$506,7,0)</f>
        <v>0</v>
      </c>
      <c r="G329">
        <f>VLOOKUP(A329,NYSEARCATIP!A$2:G$506,7,0)</f>
        <v>0</v>
      </c>
      <c r="H329">
        <f>VLOOKUP(A329,NYSEARCAMUB!A$2:G$506,7,0)</f>
        <v>0</v>
      </c>
      <c r="I329">
        <f>VLOOKUP(A329,NYSEARCAVNQ!A$2:G$506,7,0)</f>
        <v>0</v>
      </c>
      <c r="J329">
        <f>VLOOKUP(A329,NYSEARCARWX!A$2:G$506,7,0)</f>
        <v>0</v>
      </c>
      <c r="K329">
        <f>VLOOKUP(A329,NYSEARCADBC!A$2:G$506,7,0)</f>
        <v>0</v>
      </c>
      <c r="L329">
        <f>VLOOKUP(A329,NYSEARCAGSG!A$2:G$506,7,0)</f>
        <v>0</v>
      </c>
      <c r="M329">
        <f>VLOOKUP(A329,NYSEARCAGLD!A$2:G$506,7,0)</f>
        <v>0</v>
      </c>
      <c r="N329">
        <f>VLOOKUP(A329,NYSEBP!A$2:G$506,7,0)</f>
        <v>0</v>
      </c>
      <c r="O329">
        <f>VLOOKUP(A329,NASDAQYHOO!A$2:G$506,7,0)</f>
        <v>0</v>
      </c>
    </row>
    <row r="330" spans="1:15">
      <c r="A330" s="39">
        <v>42621</v>
      </c>
      <c r="C330">
        <f>VLOOKUP(A330,NYSEARCAVTI!A$2:G$506,7,0)</f>
        <v>0</v>
      </c>
      <c r="D330">
        <f>VLOOKUP(A330,NYSEARCAVEU!A$2:G$506,7,0)</f>
        <v>0</v>
      </c>
      <c r="E330">
        <f>VLOOKUP(A330,NYSEARCAVWO!A$2:G$506,7,0)</f>
        <v>0</v>
      </c>
      <c r="F330">
        <f>VLOOKUP(A330,NYSEARCABND!A$2:G$506,7,0)</f>
        <v>0</v>
      </c>
      <c r="G330">
        <f>VLOOKUP(A330,NYSEARCATIP!A$2:G$506,7,0)</f>
        <v>0</v>
      </c>
      <c r="H330">
        <f>VLOOKUP(A330,NYSEARCAMUB!A$2:G$506,7,0)</f>
        <v>0</v>
      </c>
      <c r="I330">
        <f>VLOOKUP(A330,NYSEARCAVNQ!A$2:G$506,7,0)</f>
        <v>0</v>
      </c>
      <c r="J330">
        <f>VLOOKUP(A330,NYSEARCARWX!A$2:G$506,7,0)</f>
        <v>0</v>
      </c>
      <c r="K330">
        <f>VLOOKUP(A330,NYSEARCADBC!A$2:G$506,7,0)</f>
        <v>0</v>
      </c>
      <c r="L330">
        <f>VLOOKUP(A330,NYSEARCAGSG!A$2:G$506,7,0)</f>
        <v>0</v>
      </c>
      <c r="M330">
        <f>VLOOKUP(A330,NYSEARCAGLD!A$2:G$506,7,0)</f>
        <v>0</v>
      </c>
      <c r="N330">
        <f>VLOOKUP(A330,NYSEBP!A$2:G$506,7,0)</f>
        <v>0</v>
      </c>
      <c r="O330">
        <f>VLOOKUP(A330,NASDAQYHOO!A$2:G$506,7,0)</f>
        <v>0</v>
      </c>
    </row>
    <row r="331" spans="1:15">
      <c r="A331" s="39">
        <v>42622</v>
      </c>
      <c r="C331">
        <f>VLOOKUP(A331,NYSEARCAVTI!A$2:G$506,7,0)</f>
        <v>0</v>
      </c>
      <c r="D331">
        <f>VLOOKUP(A331,NYSEARCAVEU!A$2:G$506,7,0)</f>
        <v>0</v>
      </c>
      <c r="E331">
        <f>VLOOKUP(A331,NYSEARCAVWO!A$2:G$506,7,0)</f>
        <v>0</v>
      </c>
      <c r="F331">
        <f>VLOOKUP(A331,NYSEARCABND!A$2:G$506,7,0)</f>
        <v>0</v>
      </c>
      <c r="G331">
        <f>VLOOKUP(A331,NYSEARCATIP!A$2:G$506,7,0)</f>
        <v>0</v>
      </c>
      <c r="H331">
        <f>VLOOKUP(A331,NYSEARCAMUB!A$2:G$506,7,0)</f>
        <v>0</v>
      </c>
      <c r="I331">
        <f>VLOOKUP(A331,NYSEARCAVNQ!A$2:G$506,7,0)</f>
        <v>0</v>
      </c>
      <c r="J331">
        <f>VLOOKUP(A331,NYSEARCARWX!A$2:G$506,7,0)</f>
        <v>0</v>
      </c>
      <c r="K331">
        <f>VLOOKUP(A331,NYSEARCADBC!A$2:G$506,7,0)</f>
        <v>0</v>
      </c>
      <c r="L331">
        <f>VLOOKUP(A331,NYSEARCAGSG!A$2:G$506,7,0)</f>
        <v>0</v>
      </c>
      <c r="M331">
        <f>VLOOKUP(A331,NYSEARCAGLD!A$2:G$506,7,0)</f>
        <v>0</v>
      </c>
      <c r="N331">
        <f>VLOOKUP(A331,NYSEBP!A$2:G$506,7,0)</f>
        <v>0</v>
      </c>
      <c r="O331">
        <f>VLOOKUP(A331,NASDAQYHOO!A$2:G$506,7,0)</f>
        <v>0</v>
      </c>
    </row>
    <row r="332" spans="1:15">
      <c r="A332" s="39">
        <v>42625</v>
      </c>
      <c r="C332">
        <f>VLOOKUP(A332,NYSEARCAVTI!A$2:G$506,7,0)</f>
        <v>0</v>
      </c>
      <c r="D332">
        <f>VLOOKUP(A332,NYSEARCAVEU!A$2:G$506,7,0)</f>
        <v>0</v>
      </c>
      <c r="E332">
        <f>VLOOKUP(A332,NYSEARCAVWO!A$2:G$506,7,0)</f>
        <v>0</v>
      </c>
      <c r="F332">
        <f>VLOOKUP(A332,NYSEARCABND!A$2:G$506,7,0)</f>
        <v>0</v>
      </c>
      <c r="G332">
        <f>VLOOKUP(A332,NYSEARCATIP!A$2:G$506,7,0)</f>
        <v>0</v>
      </c>
      <c r="H332">
        <f>VLOOKUP(A332,NYSEARCAMUB!A$2:G$506,7,0)</f>
        <v>0</v>
      </c>
      <c r="I332">
        <f>VLOOKUP(A332,NYSEARCAVNQ!A$2:G$506,7,0)</f>
        <v>0</v>
      </c>
      <c r="J332">
        <f>VLOOKUP(A332,NYSEARCARWX!A$2:G$506,7,0)</f>
        <v>0</v>
      </c>
      <c r="K332">
        <f>VLOOKUP(A332,NYSEARCADBC!A$2:G$506,7,0)</f>
        <v>0</v>
      </c>
      <c r="L332">
        <f>VLOOKUP(A332,NYSEARCAGSG!A$2:G$506,7,0)</f>
        <v>0</v>
      </c>
      <c r="M332">
        <f>VLOOKUP(A332,NYSEARCAGLD!A$2:G$506,7,0)</f>
        <v>0</v>
      </c>
      <c r="N332">
        <f>VLOOKUP(A332,NYSEBP!A$2:G$506,7,0)</f>
        <v>0</v>
      </c>
      <c r="O332">
        <f>VLOOKUP(A332,NASDAQYHOO!A$2:G$506,7,0)</f>
        <v>0</v>
      </c>
    </row>
    <row r="333" spans="1:15">
      <c r="A333" s="39">
        <v>42626</v>
      </c>
      <c r="C333">
        <f>VLOOKUP(A333,NYSEARCAVTI!A$2:G$506,7,0)</f>
        <v>0</v>
      </c>
      <c r="D333">
        <f>VLOOKUP(A333,NYSEARCAVEU!A$2:G$506,7,0)</f>
        <v>0</v>
      </c>
      <c r="E333">
        <f>VLOOKUP(A333,NYSEARCAVWO!A$2:G$506,7,0)</f>
        <v>0</v>
      </c>
      <c r="F333">
        <f>VLOOKUP(A333,NYSEARCABND!A$2:G$506,7,0)</f>
        <v>0</v>
      </c>
      <c r="G333">
        <f>VLOOKUP(A333,NYSEARCATIP!A$2:G$506,7,0)</f>
        <v>0</v>
      </c>
      <c r="H333">
        <f>VLOOKUP(A333,NYSEARCAMUB!A$2:G$506,7,0)</f>
        <v>0</v>
      </c>
      <c r="I333">
        <f>VLOOKUP(A333,NYSEARCAVNQ!A$2:G$506,7,0)</f>
        <v>0</v>
      </c>
      <c r="J333">
        <f>VLOOKUP(A333,NYSEARCARWX!A$2:G$506,7,0)</f>
        <v>0</v>
      </c>
      <c r="K333">
        <f>VLOOKUP(A333,NYSEARCADBC!A$2:G$506,7,0)</f>
        <v>0</v>
      </c>
      <c r="L333">
        <f>VLOOKUP(A333,NYSEARCAGSG!A$2:G$506,7,0)</f>
        <v>0</v>
      </c>
      <c r="M333">
        <f>VLOOKUP(A333,NYSEARCAGLD!A$2:G$506,7,0)</f>
        <v>0</v>
      </c>
      <c r="N333">
        <f>VLOOKUP(A333,NYSEBP!A$2:G$506,7,0)</f>
        <v>0</v>
      </c>
      <c r="O333">
        <f>VLOOKUP(A333,NASDAQYHOO!A$2:G$506,7,0)</f>
        <v>0</v>
      </c>
    </row>
    <row r="334" spans="1:15">
      <c r="A334" s="39">
        <v>42627</v>
      </c>
      <c r="C334">
        <f>VLOOKUP(A334,NYSEARCAVTI!A$2:G$506,7,0)</f>
        <v>0</v>
      </c>
      <c r="D334">
        <f>VLOOKUP(A334,NYSEARCAVEU!A$2:G$506,7,0)</f>
        <v>0</v>
      </c>
      <c r="E334">
        <f>VLOOKUP(A334,NYSEARCAVWO!A$2:G$506,7,0)</f>
        <v>0</v>
      </c>
      <c r="F334">
        <f>VLOOKUP(A334,NYSEARCABND!A$2:G$506,7,0)</f>
        <v>0</v>
      </c>
      <c r="G334">
        <f>VLOOKUP(A334,NYSEARCATIP!A$2:G$506,7,0)</f>
        <v>0</v>
      </c>
      <c r="H334">
        <f>VLOOKUP(A334,NYSEARCAMUB!A$2:G$506,7,0)</f>
        <v>0</v>
      </c>
      <c r="I334">
        <f>VLOOKUP(A334,NYSEARCAVNQ!A$2:G$506,7,0)</f>
        <v>0</v>
      </c>
      <c r="J334">
        <f>VLOOKUP(A334,NYSEARCARWX!A$2:G$506,7,0)</f>
        <v>0</v>
      </c>
      <c r="K334">
        <f>VLOOKUP(A334,NYSEARCADBC!A$2:G$506,7,0)</f>
        <v>0</v>
      </c>
      <c r="L334">
        <f>VLOOKUP(A334,NYSEARCAGSG!A$2:G$506,7,0)</f>
        <v>0</v>
      </c>
      <c r="M334">
        <f>VLOOKUP(A334,NYSEARCAGLD!A$2:G$506,7,0)</f>
        <v>0</v>
      </c>
      <c r="N334">
        <f>VLOOKUP(A334,NYSEBP!A$2:G$506,7,0)</f>
        <v>0</v>
      </c>
      <c r="O334">
        <f>VLOOKUP(A334,NASDAQYHOO!A$2:G$506,7,0)</f>
        <v>0</v>
      </c>
    </row>
    <row r="335" spans="1:15">
      <c r="A335" s="39">
        <v>42628</v>
      </c>
      <c r="C335">
        <f>VLOOKUP(A335,NYSEARCAVTI!A$2:G$506,7,0)</f>
        <v>0</v>
      </c>
      <c r="D335">
        <f>VLOOKUP(A335,NYSEARCAVEU!A$2:G$506,7,0)</f>
        <v>0</v>
      </c>
      <c r="E335">
        <f>VLOOKUP(A335,NYSEARCAVWO!A$2:G$506,7,0)</f>
        <v>0</v>
      </c>
      <c r="F335">
        <f>VLOOKUP(A335,NYSEARCABND!A$2:G$506,7,0)</f>
        <v>0</v>
      </c>
      <c r="G335">
        <f>VLOOKUP(A335,NYSEARCATIP!A$2:G$506,7,0)</f>
        <v>0</v>
      </c>
      <c r="H335">
        <f>VLOOKUP(A335,NYSEARCAMUB!A$2:G$506,7,0)</f>
        <v>0</v>
      </c>
      <c r="I335">
        <f>VLOOKUP(A335,NYSEARCAVNQ!A$2:G$506,7,0)</f>
        <v>0</v>
      </c>
      <c r="J335">
        <f>VLOOKUP(A335,NYSEARCARWX!A$2:G$506,7,0)</f>
        <v>0</v>
      </c>
      <c r="K335">
        <f>VLOOKUP(A335,NYSEARCADBC!A$2:G$506,7,0)</f>
        <v>0</v>
      </c>
      <c r="L335">
        <f>VLOOKUP(A335,NYSEARCAGSG!A$2:G$506,7,0)</f>
        <v>0</v>
      </c>
      <c r="M335">
        <f>VLOOKUP(A335,NYSEARCAGLD!A$2:G$506,7,0)</f>
        <v>0</v>
      </c>
      <c r="N335">
        <f>VLOOKUP(A335,NYSEBP!A$2:G$506,7,0)</f>
        <v>0</v>
      </c>
      <c r="O335">
        <f>VLOOKUP(A335,NASDAQYHOO!A$2:G$506,7,0)</f>
        <v>0</v>
      </c>
    </row>
    <row r="336" spans="1:15">
      <c r="A336" s="39">
        <v>42629</v>
      </c>
      <c r="C336">
        <f>VLOOKUP(A336,NYSEARCAVTI!A$2:G$506,7,0)</f>
        <v>0</v>
      </c>
      <c r="D336">
        <f>VLOOKUP(A336,NYSEARCAVEU!A$2:G$506,7,0)</f>
        <v>0</v>
      </c>
      <c r="E336">
        <f>VLOOKUP(A336,NYSEARCAVWO!A$2:G$506,7,0)</f>
        <v>0</v>
      </c>
      <c r="F336">
        <f>VLOOKUP(A336,NYSEARCABND!A$2:G$506,7,0)</f>
        <v>0</v>
      </c>
      <c r="G336">
        <f>VLOOKUP(A336,NYSEARCATIP!A$2:G$506,7,0)</f>
        <v>0</v>
      </c>
      <c r="H336">
        <f>VLOOKUP(A336,NYSEARCAMUB!A$2:G$506,7,0)</f>
        <v>0</v>
      </c>
      <c r="I336">
        <f>VLOOKUP(A336,NYSEARCAVNQ!A$2:G$506,7,0)</f>
        <v>0</v>
      </c>
      <c r="J336">
        <f>VLOOKUP(A336,NYSEARCARWX!A$2:G$506,7,0)</f>
        <v>0</v>
      </c>
      <c r="K336">
        <f>VLOOKUP(A336,NYSEARCADBC!A$2:G$506,7,0)</f>
        <v>0</v>
      </c>
      <c r="L336">
        <f>VLOOKUP(A336,NYSEARCAGSG!A$2:G$506,7,0)</f>
        <v>0</v>
      </c>
      <c r="M336">
        <f>VLOOKUP(A336,NYSEARCAGLD!A$2:G$506,7,0)</f>
        <v>0</v>
      </c>
      <c r="N336">
        <f>VLOOKUP(A336,NYSEBP!A$2:G$506,7,0)</f>
        <v>0</v>
      </c>
      <c r="O336">
        <f>VLOOKUP(A336,NASDAQYHOO!A$2:G$506,7,0)</f>
        <v>0</v>
      </c>
    </row>
    <row r="337" spans="1:15">
      <c r="A337" s="39">
        <v>42632</v>
      </c>
      <c r="C337">
        <f>VLOOKUP(A337,NYSEARCAVTI!A$2:G$506,7,0)</f>
        <v>0</v>
      </c>
      <c r="D337">
        <f>VLOOKUP(A337,NYSEARCAVEU!A$2:G$506,7,0)</f>
        <v>0</v>
      </c>
      <c r="E337">
        <f>VLOOKUP(A337,NYSEARCAVWO!A$2:G$506,7,0)</f>
        <v>0</v>
      </c>
      <c r="F337">
        <f>VLOOKUP(A337,NYSEARCABND!A$2:G$506,7,0)</f>
        <v>0</v>
      </c>
      <c r="G337">
        <f>VLOOKUP(A337,NYSEARCATIP!A$2:G$506,7,0)</f>
        <v>0</v>
      </c>
      <c r="H337">
        <f>VLOOKUP(A337,NYSEARCAMUB!A$2:G$506,7,0)</f>
        <v>0</v>
      </c>
      <c r="I337">
        <f>VLOOKUP(A337,NYSEARCAVNQ!A$2:G$506,7,0)</f>
        <v>0</v>
      </c>
      <c r="J337">
        <f>VLOOKUP(A337,NYSEARCARWX!A$2:G$506,7,0)</f>
        <v>0</v>
      </c>
      <c r="K337">
        <f>VLOOKUP(A337,NYSEARCADBC!A$2:G$506,7,0)</f>
        <v>0</v>
      </c>
      <c r="L337">
        <f>VLOOKUP(A337,NYSEARCAGSG!A$2:G$506,7,0)</f>
        <v>0</v>
      </c>
      <c r="M337">
        <f>VLOOKUP(A337,NYSEARCAGLD!A$2:G$506,7,0)</f>
        <v>0</v>
      </c>
      <c r="N337">
        <f>VLOOKUP(A337,NYSEBP!A$2:G$506,7,0)</f>
        <v>0</v>
      </c>
      <c r="O337">
        <f>VLOOKUP(A337,NASDAQYHOO!A$2:G$506,7,0)</f>
        <v>0</v>
      </c>
    </row>
    <row r="338" spans="1:15">
      <c r="A338" s="39">
        <v>42633</v>
      </c>
      <c r="C338">
        <f>VLOOKUP(A338,NYSEARCAVTI!A$2:G$506,7,0)</f>
        <v>0</v>
      </c>
      <c r="D338">
        <f>VLOOKUP(A338,NYSEARCAVEU!A$2:G$506,7,0)</f>
        <v>0</v>
      </c>
      <c r="E338">
        <f>VLOOKUP(A338,NYSEARCAVWO!A$2:G$506,7,0)</f>
        <v>0</v>
      </c>
      <c r="F338">
        <f>VLOOKUP(A338,NYSEARCABND!A$2:G$506,7,0)</f>
        <v>0</v>
      </c>
      <c r="G338">
        <f>VLOOKUP(A338,NYSEARCATIP!A$2:G$506,7,0)</f>
        <v>0</v>
      </c>
      <c r="H338">
        <f>VLOOKUP(A338,NYSEARCAMUB!A$2:G$506,7,0)</f>
        <v>0</v>
      </c>
      <c r="I338">
        <f>VLOOKUP(A338,NYSEARCAVNQ!A$2:G$506,7,0)</f>
        <v>0</v>
      </c>
      <c r="J338">
        <f>VLOOKUP(A338,NYSEARCARWX!A$2:G$506,7,0)</f>
        <v>0</v>
      </c>
      <c r="K338">
        <f>VLOOKUP(A338,NYSEARCADBC!A$2:G$506,7,0)</f>
        <v>0</v>
      </c>
      <c r="L338">
        <f>VLOOKUP(A338,NYSEARCAGSG!A$2:G$506,7,0)</f>
        <v>0</v>
      </c>
      <c r="M338">
        <f>VLOOKUP(A338,NYSEARCAGLD!A$2:G$506,7,0)</f>
        <v>0</v>
      </c>
      <c r="N338">
        <f>VLOOKUP(A338,NYSEBP!A$2:G$506,7,0)</f>
        <v>0</v>
      </c>
      <c r="O338">
        <f>VLOOKUP(A338,NASDAQYHOO!A$2:G$506,7,0)</f>
        <v>0</v>
      </c>
    </row>
    <row r="339" spans="1:15">
      <c r="A339" s="39">
        <v>42634</v>
      </c>
      <c r="C339">
        <f>VLOOKUP(A339,NYSEARCAVTI!A$2:G$506,7,0)</f>
        <v>0</v>
      </c>
      <c r="D339">
        <f>VLOOKUP(A339,NYSEARCAVEU!A$2:G$506,7,0)</f>
        <v>0</v>
      </c>
      <c r="E339">
        <f>VLOOKUP(A339,NYSEARCAVWO!A$2:G$506,7,0)</f>
        <v>0</v>
      </c>
      <c r="F339">
        <f>VLOOKUP(A339,NYSEARCABND!A$2:G$506,7,0)</f>
        <v>0</v>
      </c>
      <c r="G339">
        <f>VLOOKUP(A339,NYSEARCATIP!A$2:G$506,7,0)</f>
        <v>0</v>
      </c>
      <c r="H339">
        <f>VLOOKUP(A339,NYSEARCAMUB!A$2:G$506,7,0)</f>
        <v>0</v>
      </c>
      <c r="I339">
        <f>VLOOKUP(A339,NYSEARCAVNQ!A$2:G$506,7,0)</f>
        <v>0</v>
      </c>
      <c r="J339">
        <f>VLOOKUP(A339,NYSEARCARWX!A$2:G$506,7,0)</f>
        <v>0</v>
      </c>
      <c r="K339">
        <f>VLOOKUP(A339,NYSEARCADBC!A$2:G$506,7,0)</f>
        <v>0</v>
      </c>
      <c r="L339">
        <f>VLOOKUP(A339,NYSEARCAGSG!A$2:G$506,7,0)</f>
        <v>0</v>
      </c>
      <c r="M339">
        <f>VLOOKUP(A339,NYSEARCAGLD!A$2:G$506,7,0)</f>
        <v>0</v>
      </c>
      <c r="N339">
        <f>VLOOKUP(A339,NYSEBP!A$2:G$506,7,0)</f>
        <v>0</v>
      </c>
      <c r="O339">
        <f>VLOOKUP(A339,NASDAQYHOO!A$2:G$506,7,0)</f>
        <v>0</v>
      </c>
    </row>
    <row r="340" spans="1:15">
      <c r="A340" s="39">
        <v>42635</v>
      </c>
      <c r="C340">
        <f>VLOOKUP(A340,NYSEARCAVTI!A$2:G$506,7,0)</f>
        <v>0</v>
      </c>
      <c r="D340">
        <f>VLOOKUP(A340,NYSEARCAVEU!A$2:G$506,7,0)</f>
        <v>0</v>
      </c>
      <c r="E340">
        <f>VLOOKUP(A340,NYSEARCAVWO!A$2:G$506,7,0)</f>
        <v>0</v>
      </c>
      <c r="F340">
        <f>VLOOKUP(A340,NYSEARCABND!A$2:G$506,7,0)</f>
        <v>0</v>
      </c>
      <c r="G340">
        <f>VLOOKUP(A340,NYSEARCATIP!A$2:G$506,7,0)</f>
        <v>0</v>
      </c>
      <c r="H340">
        <f>VLOOKUP(A340,NYSEARCAMUB!A$2:G$506,7,0)</f>
        <v>0</v>
      </c>
      <c r="I340">
        <f>VLOOKUP(A340,NYSEARCAVNQ!A$2:G$506,7,0)</f>
        <v>0</v>
      </c>
      <c r="J340">
        <f>VLOOKUP(A340,NYSEARCARWX!A$2:G$506,7,0)</f>
        <v>0</v>
      </c>
      <c r="K340">
        <f>VLOOKUP(A340,NYSEARCADBC!A$2:G$506,7,0)</f>
        <v>0</v>
      </c>
      <c r="L340">
        <f>VLOOKUP(A340,NYSEARCAGSG!A$2:G$506,7,0)</f>
        <v>0</v>
      </c>
      <c r="M340">
        <f>VLOOKUP(A340,NYSEARCAGLD!A$2:G$506,7,0)</f>
        <v>0</v>
      </c>
      <c r="N340">
        <f>VLOOKUP(A340,NYSEBP!A$2:G$506,7,0)</f>
        <v>0</v>
      </c>
      <c r="O340">
        <f>VLOOKUP(A340,NASDAQYHOO!A$2:G$506,7,0)</f>
        <v>0</v>
      </c>
    </row>
    <row r="341" spans="1:15">
      <c r="A341" s="39">
        <v>42636</v>
      </c>
      <c r="C341">
        <f>VLOOKUP(A341,NYSEARCAVTI!A$2:G$506,7,0)</f>
        <v>0</v>
      </c>
      <c r="D341">
        <f>VLOOKUP(A341,NYSEARCAVEU!A$2:G$506,7,0)</f>
        <v>0</v>
      </c>
      <c r="E341">
        <f>VLOOKUP(A341,NYSEARCAVWO!A$2:G$506,7,0)</f>
        <v>0</v>
      </c>
      <c r="F341">
        <f>VLOOKUP(A341,NYSEARCABND!A$2:G$506,7,0)</f>
        <v>0</v>
      </c>
      <c r="G341">
        <f>VLOOKUP(A341,NYSEARCATIP!A$2:G$506,7,0)</f>
        <v>0</v>
      </c>
      <c r="H341">
        <f>VLOOKUP(A341,NYSEARCAMUB!A$2:G$506,7,0)</f>
        <v>0</v>
      </c>
      <c r="I341">
        <f>VLOOKUP(A341,NYSEARCAVNQ!A$2:G$506,7,0)</f>
        <v>0</v>
      </c>
      <c r="J341">
        <f>VLOOKUP(A341,NYSEARCARWX!A$2:G$506,7,0)</f>
        <v>0</v>
      </c>
      <c r="K341">
        <f>VLOOKUP(A341,NYSEARCADBC!A$2:G$506,7,0)</f>
        <v>0</v>
      </c>
      <c r="L341">
        <f>VLOOKUP(A341,NYSEARCAGSG!A$2:G$506,7,0)</f>
        <v>0</v>
      </c>
      <c r="M341">
        <f>VLOOKUP(A341,NYSEARCAGLD!A$2:G$506,7,0)</f>
        <v>0</v>
      </c>
      <c r="N341">
        <f>VLOOKUP(A341,NYSEBP!A$2:G$506,7,0)</f>
        <v>0</v>
      </c>
      <c r="O341">
        <f>VLOOKUP(A341,NASDAQYHOO!A$2:G$506,7,0)</f>
        <v>0</v>
      </c>
    </row>
    <row r="342" spans="1:15">
      <c r="A342" s="39">
        <v>42639</v>
      </c>
      <c r="C342">
        <f>VLOOKUP(A342,NYSEARCAVTI!A$2:G$506,7,0)</f>
        <v>0</v>
      </c>
      <c r="D342">
        <f>VLOOKUP(A342,NYSEARCAVEU!A$2:G$506,7,0)</f>
        <v>0</v>
      </c>
      <c r="E342">
        <f>VLOOKUP(A342,NYSEARCAVWO!A$2:G$506,7,0)</f>
        <v>0</v>
      </c>
      <c r="F342">
        <f>VLOOKUP(A342,NYSEARCABND!A$2:G$506,7,0)</f>
        <v>0</v>
      </c>
      <c r="G342">
        <f>VLOOKUP(A342,NYSEARCATIP!A$2:G$506,7,0)</f>
        <v>0</v>
      </c>
      <c r="H342">
        <f>VLOOKUP(A342,NYSEARCAMUB!A$2:G$506,7,0)</f>
        <v>0</v>
      </c>
      <c r="I342">
        <f>VLOOKUP(A342,NYSEARCAVNQ!A$2:G$506,7,0)</f>
        <v>0</v>
      </c>
      <c r="J342">
        <f>VLOOKUP(A342,NYSEARCARWX!A$2:G$506,7,0)</f>
        <v>0</v>
      </c>
      <c r="K342">
        <f>VLOOKUP(A342,NYSEARCADBC!A$2:G$506,7,0)</f>
        <v>0</v>
      </c>
      <c r="L342">
        <f>VLOOKUP(A342,NYSEARCAGSG!A$2:G$506,7,0)</f>
        <v>0</v>
      </c>
      <c r="M342">
        <f>VLOOKUP(A342,NYSEARCAGLD!A$2:G$506,7,0)</f>
        <v>0</v>
      </c>
      <c r="N342">
        <f>VLOOKUP(A342,NYSEBP!A$2:G$506,7,0)</f>
        <v>0</v>
      </c>
      <c r="O342">
        <f>VLOOKUP(A342,NASDAQYHOO!A$2:G$506,7,0)</f>
        <v>0</v>
      </c>
    </row>
    <row r="343" spans="1:15">
      <c r="A343" s="39">
        <v>42640</v>
      </c>
      <c r="C343">
        <f>VLOOKUP(A343,NYSEARCAVTI!A$2:G$506,7,0)</f>
        <v>0</v>
      </c>
      <c r="D343">
        <f>VLOOKUP(A343,NYSEARCAVEU!A$2:G$506,7,0)</f>
        <v>0</v>
      </c>
      <c r="E343">
        <f>VLOOKUP(A343,NYSEARCAVWO!A$2:G$506,7,0)</f>
        <v>0</v>
      </c>
      <c r="F343">
        <f>VLOOKUP(A343,NYSEARCABND!A$2:G$506,7,0)</f>
        <v>0</v>
      </c>
      <c r="G343">
        <f>VLOOKUP(A343,NYSEARCATIP!A$2:G$506,7,0)</f>
        <v>0</v>
      </c>
      <c r="H343">
        <f>VLOOKUP(A343,NYSEARCAMUB!A$2:G$506,7,0)</f>
        <v>0</v>
      </c>
      <c r="I343">
        <f>VLOOKUP(A343,NYSEARCAVNQ!A$2:G$506,7,0)</f>
        <v>0</v>
      </c>
      <c r="J343">
        <f>VLOOKUP(A343,NYSEARCARWX!A$2:G$506,7,0)</f>
        <v>0</v>
      </c>
      <c r="K343">
        <f>VLOOKUP(A343,NYSEARCADBC!A$2:G$506,7,0)</f>
        <v>0</v>
      </c>
      <c r="L343">
        <f>VLOOKUP(A343,NYSEARCAGSG!A$2:G$506,7,0)</f>
        <v>0</v>
      </c>
      <c r="M343">
        <f>VLOOKUP(A343,NYSEARCAGLD!A$2:G$506,7,0)</f>
        <v>0</v>
      </c>
      <c r="N343">
        <f>VLOOKUP(A343,NYSEBP!A$2:G$506,7,0)</f>
        <v>0</v>
      </c>
      <c r="O343">
        <f>VLOOKUP(A343,NASDAQYHOO!A$2:G$506,7,0)</f>
        <v>0</v>
      </c>
    </row>
    <row r="344" spans="1:15">
      <c r="A344" s="39">
        <v>42641</v>
      </c>
      <c r="C344">
        <f>VLOOKUP(A344,NYSEARCAVTI!A$2:G$506,7,0)</f>
        <v>0</v>
      </c>
      <c r="D344">
        <f>VLOOKUP(A344,NYSEARCAVEU!A$2:G$506,7,0)</f>
        <v>0</v>
      </c>
      <c r="E344">
        <f>VLOOKUP(A344,NYSEARCAVWO!A$2:G$506,7,0)</f>
        <v>0</v>
      </c>
      <c r="F344">
        <f>VLOOKUP(A344,NYSEARCABND!A$2:G$506,7,0)</f>
        <v>0</v>
      </c>
      <c r="G344">
        <f>VLOOKUP(A344,NYSEARCATIP!A$2:G$506,7,0)</f>
        <v>0</v>
      </c>
      <c r="H344">
        <f>VLOOKUP(A344,NYSEARCAMUB!A$2:G$506,7,0)</f>
        <v>0</v>
      </c>
      <c r="I344">
        <f>VLOOKUP(A344,NYSEARCAVNQ!A$2:G$506,7,0)</f>
        <v>0</v>
      </c>
      <c r="J344">
        <f>VLOOKUP(A344,NYSEARCARWX!A$2:G$506,7,0)</f>
        <v>0</v>
      </c>
      <c r="K344">
        <f>VLOOKUP(A344,NYSEARCADBC!A$2:G$506,7,0)</f>
        <v>0</v>
      </c>
      <c r="L344">
        <f>VLOOKUP(A344,NYSEARCAGSG!A$2:G$506,7,0)</f>
        <v>0</v>
      </c>
      <c r="M344">
        <f>VLOOKUP(A344,NYSEARCAGLD!A$2:G$506,7,0)</f>
        <v>0</v>
      </c>
      <c r="N344">
        <f>VLOOKUP(A344,NYSEBP!A$2:G$506,7,0)</f>
        <v>0</v>
      </c>
      <c r="O344">
        <f>VLOOKUP(A344,NASDAQYHOO!A$2:G$506,7,0)</f>
        <v>0</v>
      </c>
    </row>
    <row r="345" spans="1:15">
      <c r="A345" s="39">
        <v>42642</v>
      </c>
      <c r="C345">
        <f>VLOOKUP(A345,NYSEARCAVTI!A$2:G$506,7,0)</f>
        <v>0</v>
      </c>
      <c r="D345">
        <f>VLOOKUP(A345,NYSEARCAVEU!A$2:G$506,7,0)</f>
        <v>0</v>
      </c>
      <c r="E345">
        <f>VLOOKUP(A345,NYSEARCAVWO!A$2:G$506,7,0)</f>
        <v>0</v>
      </c>
      <c r="F345">
        <f>VLOOKUP(A345,NYSEARCABND!A$2:G$506,7,0)</f>
        <v>0</v>
      </c>
      <c r="G345">
        <f>VLOOKUP(A345,NYSEARCATIP!A$2:G$506,7,0)</f>
        <v>0</v>
      </c>
      <c r="H345">
        <f>VLOOKUP(A345,NYSEARCAMUB!A$2:G$506,7,0)</f>
        <v>0</v>
      </c>
      <c r="I345">
        <f>VLOOKUP(A345,NYSEARCAVNQ!A$2:G$506,7,0)</f>
        <v>0</v>
      </c>
      <c r="J345">
        <f>VLOOKUP(A345,NYSEARCARWX!A$2:G$506,7,0)</f>
        <v>0</v>
      </c>
      <c r="K345">
        <f>VLOOKUP(A345,NYSEARCADBC!A$2:G$506,7,0)</f>
        <v>0</v>
      </c>
      <c r="L345">
        <f>VLOOKUP(A345,NYSEARCAGSG!A$2:G$506,7,0)</f>
        <v>0</v>
      </c>
      <c r="M345">
        <f>VLOOKUP(A345,NYSEARCAGLD!A$2:G$506,7,0)</f>
        <v>0</v>
      </c>
      <c r="N345">
        <f>VLOOKUP(A345,NYSEBP!A$2:G$506,7,0)</f>
        <v>0</v>
      </c>
      <c r="O345">
        <f>VLOOKUP(A345,NASDAQYHOO!A$2:G$506,7,0)</f>
        <v>0</v>
      </c>
    </row>
    <row r="346" spans="1:15">
      <c r="A346" s="39">
        <v>42643</v>
      </c>
      <c r="C346">
        <f>VLOOKUP(A346,NYSEARCAVTI!A$2:G$506,7,0)</f>
        <v>0</v>
      </c>
      <c r="D346">
        <f>VLOOKUP(A346,NYSEARCAVEU!A$2:G$506,7,0)</f>
        <v>0</v>
      </c>
      <c r="E346">
        <f>VLOOKUP(A346,NYSEARCAVWO!A$2:G$506,7,0)</f>
        <v>0</v>
      </c>
      <c r="F346">
        <f>VLOOKUP(A346,NYSEARCABND!A$2:G$506,7,0)</f>
        <v>0</v>
      </c>
      <c r="G346">
        <f>VLOOKUP(A346,NYSEARCATIP!A$2:G$506,7,0)</f>
        <v>0</v>
      </c>
      <c r="H346">
        <f>VLOOKUP(A346,NYSEARCAMUB!A$2:G$506,7,0)</f>
        <v>0</v>
      </c>
      <c r="I346">
        <f>VLOOKUP(A346,NYSEARCAVNQ!A$2:G$506,7,0)</f>
        <v>0</v>
      </c>
      <c r="J346">
        <f>VLOOKUP(A346,NYSEARCARWX!A$2:G$506,7,0)</f>
        <v>0</v>
      </c>
      <c r="K346">
        <f>VLOOKUP(A346,NYSEARCADBC!A$2:G$506,7,0)</f>
        <v>0</v>
      </c>
      <c r="L346">
        <f>VLOOKUP(A346,NYSEARCAGSG!A$2:G$506,7,0)</f>
        <v>0</v>
      </c>
      <c r="M346">
        <f>VLOOKUP(A346,NYSEARCAGLD!A$2:G$506,7,0)</f>
        <v>0</v>
      </c>
      <c r="N346">
        <f>VLOOKUP(A346,NYSEBP!A$2:G$506,7,0)</f>
        <v>0</v>
      </c>
      <c r="O346">
        <f>VLOOKUP(A346,NASDAQYHOO!A$2:G$506,7,0)</f>
        <v>0</v>
      </c>
    </row>
    <row r="347" spans="1:15">
      <c r="A347" s="39">
        <v>42646</v>
      </c>
      <c r="C347">
        <f>VLOOKUP(A347,NYSEARCAVTI!A$2:G$506,7,0)</f>
        <v>0</v>
      </c>
      <c r="D347">
        <f>VLOOKUP(A347,NYSEARCAVEU!A$2:G$506,7,0)</f>
        <v>0</v>
      </c>
      <c r="E347">
        <f>VLOOKUP(A347,NYSEARCAVWO!A$2:G$506,7,0)</f>
        <v>0</v>
      </c>
      <c r="F347">
        <f>VLOOKUP(A347,NYSEARCABND!A$2:G$506,7,0)</f>
        <v>0</v>
      </c>
      <c r="G347">
        <f>VLOOKUP(A347,NYSEARCATIP!A$2:G$506,7,0)</f>
        <v>0</v>
      </c>
      <c r="H347">
        <f>VLOOKUP(A347,NYSEARCAMUB!A$2:G$506,7,0)</f>
        <v>0</v>
      </c>
      <c r="I347">
        <f>VLOOKUP(A347,NYSEARCAVNQ!A$2:G$506,7,0)</f>
        <v>0</v>
      </c>
      <c r="J347">
        <f>VLOOKUP(A347,NYSEARCARWX!A$2:G$506,7,0)</f>
        <v>0</v>
      </c>
      <c r="K347">
        <f>VLOOKUP(A347,NYSEARCADBC!A$2:G$506,7,0)</f>
        <v>0</v>
      </c>
      <c r="L347">
        <f>VLOOKUP(A347,NYSEARCAGSG!A$2:G$506,7,0)</f>
        <v>0</v>
      </c>
      <c r="M347">
        <f>VLOOKUP(A347,NYSEARCAGLD!A$2:G$506,7,0)</f>
        <v>0</v>
      </c>
      <c r="N347">
        <f>VLOOKUP(A347,NYSEBP!A$2:G$506,7,0)</f>
        <v>0</v>
      </c>
      <c r="O347">
        <f>VLOOKUP(A347,NASDAQYHOO!A$2:G$506,7,0)</f>
        <v>0</v>
      </c>
    </row>
    <row r="348" spans="1:15">
      <c r="A348" s="39">
        <v>42647</v>
      </c>
      <c r="C348">
        <f>VLOOKUP(A348,NYSEARCAVTI!A$2:G$506,7,0)</f>
        <v>0</v>
      </c>
      <c r="D348">
        <f>VLOOKUP(A348,NYSEARCAVEU!A$2:G$506,7,0)</f>
        <v>0</v>
      </c>
      <c r="E348">
        <f>VLOOKUP(A348,NYSEARCAVWO!A$2:G$506,7,0)</f>
        <v>0</v>
      </c>
      <c r="F348">
        <f>VLOOKUP(A348,NYSEARCABND!A$2:G$506,7,0)</f>
        <v>0</v>
      </c>
      <c r="G348">
        <f>VLOOKUP(A348,NYSEARCATIP!A$2:G$506,7,0)</f>
        <v>0</v>
      </c>
      <c r="H348">
        <f>VLOOKUP(A348,NYSEARCAMUB!A$2:G$506,7,0)</f>
        <v>0</v>
      </c>
      <c r="I348">
        <f>VLOOKUP(A348,NYSEARCAVNQ!A$2:G$506,7,0)</f>
        <v>0</v>
      </c>
      <c r="J348">
        <f>VLOOKUP(A348,NYSEARCARWX!A$2:G$506,7,0)</f>
        <v>0</v>
      </c>
      <c r="K348">
        <f>VLOOKUP(A348,NYSEARCADBC!A$2:G$506,7,0)</f>
        <v>0</v>
      </c>
      <c r="L348">
        <f>VLOOKUP(A348,NYSEARCAGSG!A$2:G$506,7,0)</f>
        <v>0</v>
      </c>
      <c r="M348">
        <f>VLOOKUP(A348,NYSEARCAGLD!A$2:G$506,7,0)</f>
        <v>0</v>
      </c>
      <c r="N348">
        <f>VLOOKUP(A348,NYSEBP!A$2:G$506,7,0)</f>
        <v>0</v>
      </c>
      <c r="O348">
        <f>VLOOKUP(A348,NASDAQYHOO!A$2:G$506,7,0)</f>
        <v>0</v>
      </c>
    </row>
    <row r="349" spans="1:15">
      <c r="A349" s="39">
        <v>42648</v>
      </c>
      <c r="C349">
        <f>VLOOKUP(A349,NYSEARCAVTI!A$2:G$506,7,0)</f>
        <v>0</v>
      </c>
      <c r="D349">
        <f>VLOOKUP(A349,NYSEARCAVEU!A$2:G$506,7,0)</f>
        <v>0</v>
      </c>
      <c r="E349">
        <f>VLOOKUP(A349,NYSEARCAVWO!A$2:G$506,7,0)</f>
        <v>0</v>
      </c>
      <c r="F349">
        <f>VLOOKUP(A349,NYSEARCABND!A$2:G$506,7,0)</f>
        <v>0</v>
      </c>
      <c r="G349">
        <f>VLOOKUP(A349,NYSEARCATIP!A$2:G$506,7,0)</f>
        <v>0</v>
      </c>
      <c r="H349">
        <f>VLOOKUP(A349,NYSEARCAMUB!A$2:G$506,7,0)</f>
        <v>0</v>
      </c>
      <c r="I349">
        <f>VLOOKUP(A349,NYSEARCAVNQ!A$2:G$506,7,0)</f>
        <v>0</v>
      </c>
      <c r="J349">
        <f>VLOOKUP(A349,NYSEARCARWX!A$2:G$506,7,0)</f>
        <v>0</v>
      </c>
      <c r="K349">
        <f>VLOOKUP(A349,NYSEARCADBC!A$2:G$506,7,0)</f>
        <v>0</v>
      </c>
      <c r="L349">
        <f>VLOOKUP(A349,NYSEARCAGSG!A$2:G$506,7,0)</f>
        <v>0</v>
      </c>
      <c r="M349">
        <f>VLOOKUP(A349,NYSEARCAGLD!A$2:G$506,7,0)</f>
        <v>0</v>
      </c>
      <c r="N349">
        <f>VLOOKUP(A349,NYSEBP!A$2:G$506,7,0)</f>
        <v>0</v>
      </c>
      <c r="O349">
        <f>VLOOKUP(A349,NASDAQYHOO!A$2:G$506,7,0)</f>
        <v>0</v>
      </c>
    </row>
    <row r="350" spans="1:15">
      <c r="A350" s="39">
        <v>42649</v>
      </c>
      <c r="C350">
        <f>VLOOKUP(A350,NYSEARCAVTI!A$2:G$506,7,0)</f>
        <v>0</v>
      </c>
      <c r="D350">
        <f>VLOOKUP(A350,NYSEARCAVEU!A$2:G$506,7,0)</f>
        <v>0</v>
      </c>
      <c r="E350">
        <f>VLOOKUP(A350,NYSEARCAVWO!A$2:G$506,7,0)</f>
        <v>0</v>
      </c>
      <c r="F350">
        <f>VLOOKUP(A350,NYSEARCABND!A$2:G$506,7,0)</f>
        <v>0</v>
      </c>
      <c r="G350">
        <f>VLOOKUP(A350,NYSEARCATIP!A$2:G$506,7,0)</f>
        <v>0</v>
      </c>
      <c r="H350">
        <f>VLOOKUP(A350,NYSEARCAMUB!A$2:G$506,7,0)</f>
        <v>0</v>
      </c>
      <c r="I350">
        <f>VLOOKUP(A350,NYSEARCAVNQ!A$2:G$506,7,0)</f>
        <v>0</v>
      </c>
      <c r="J350">
        <f>VLOOKUP(A350,NYSEARCARWX!A$2:G$506,7,0)</f>
        <v>0</v>
      </c>
      <c r="K350">
        <f>VLOOKUP(A350,NYSEARCADBC!A$2:G$506,7,0)</f>
        <v>0</v>
      </c>
      <c r="L350">
        <f>VLOOKUP(A350,NYSEARCAGSG!A$2:G$506,7,0)</f>
        <v>0</v>
      </c>
      <c r="M350">
        <f>VLOOKUP(A350,NYSEARCAGLD!A$2:G$506,7,0)</f>
        <v>0</v>
      </c>
      <c r="N350">
        <f>VLOOKUP(A350,NYSEBP!A$2:G$506,7,0)</f>
        <v>0</v>
      </c>
      <c r="O350">
        <f>VLOOKUP(A350,NASDAQYHOO!A$2:G$506,7,0)</f>
        <v>0</v>
      </c>
    </row>
    <row r="351" spans="1:15">
      <c r="A351" s="39">
        <v>42650</v>
      </c>
      <c r="C351">
        <f>VLOOKUP(A351,NYSEARCAVTI!A$2:G$506,7,0)</f>
        <v>0</v>
      </c>
      <c r="D351">
        <f>VLOOKUP(A351,NYSEARCAVEU!A$2:G$506,7,0)</f>
        <v>0</v>
      </c>
      <c r="E351">
        <f>VLOOKUP(A351,NYSEARCAVWO!A$2:G$506,7,0)</f>
        <v>0</v>
      </c>
      <c r="F351">
        <f>VLOOKUP(A351,NYSEARCABND!A$2:G$506,7,0)</f>
        <v>0</v>
      </c>
      <c r="G351">
        <f>VLOOKUP(A351,NYSEARCATIP!A$2:G$506,7,0)</f>
        <v>0</v>
      </c>
      <c r="H351">
        <f>VLOOKUP(A351,NYSEARCAMUB!A$2:G$506,7,0)</f>
        <v>0</v>
      </c>
      <c r="I351">
        <f>VLOOKUP(A351,NYSEARCAVNQ!A$2:G$506,7,0)</f>
        <v>0</v>
      </c>
      <c r="J351">
        <f>VLOOKUP(A351,NYSEARCARWX!A$2:G$506,7,0)</f>
        <v>0</v>
      </c>
      <c r="K351">
        <f>VLOOKUP(A351,NYSEARCADBC!A$2:G$506,7,0)</f>
        <v>0</v>
      </c>
      <c r="L351">
        <f>VLOOKUP(A351,NYSEARCAGSG!A$2:G$506,7,0)</f>
        <v>0</v>
      </c>
      <c r="M351">
        <f>VLOOKUP(A351,NYSEARCAGLD!A$2:G$506,7,0)</f>
        <v>0</v>
      </c>
      <c r="N351">
        <f>VLOOKUP(A351,NYSEBP!A$2:G$506,7,0)</f>
        <v>0</v>
      </c>
      <c r="O351">
        <f>VLOOKUP(A351,NASDAQYHOO!A$2:G$506,7,0)</f>
        <v>0</v>
      </c>
    </row>
    <row r="352" spans="1:15">
      <c r="A352" s="39">
        <v>42653</v>
      </c>
      <c r="C352">
        <f>VLOOKUP(A352,NYSEARCAVTI!A$2:G$506,7,0)</f>
        <v>0</v>
      </c>
      <c r="D352">
        <f>VLOOKUP(A352,NYSEARCAVEU!A$2:G$506,7,0)</f>
        <v>0</v>
      </c>
      <c r="E352">
        <f>VLOOKUP(A352,NYSEARCAVWO!A$2:G$506,7,0)</f>
        <v>0</v>
      </c>
      <c r="F352">
        <f>VLOOKUP(A352,NYSEARCABND!A$2:G$506,7,0)</f>
        <v>0</v>
      </c>
      <c r="G352">
        <f>VLOOKUP(A352,NYSEARCATIP!A$2:G$506,7,0)</f>
        <v>0</v>
      </c>
      <c r="H352">
        <f>VLOOKUP(A352,NYSEARCAMUB!A$2:G$506,7,0)</f>
        <v>0</v>
      </c>
      <c r="I352">
        <f>VLOOKUP(A352,NYSEARCAVNQ!A$2:G$506,7,0)</f>
        <v>0</v>
      </c>
      <c r="J352">
        <f>VLOOKUP(A352,NYSEARCARWX!A$2:G$506,7,0)</f>
        <v>0</v>
      </c>
      <c r="K352">
        <f>VLOOKUP(A352,NYSEARCADBC!A$2:G$506,7,0)</f>
        <v>0</v>
      </c>
      <c r="L352">
        <f>VLOOKUP(A352,NYSEARCAGSG!A$2:G$506,7,0)</f>
        <v>0</v>
      </c>
      <c r="M352">
        <f>VLOOKUP(A352,NYSEARCAGLD!A$2:G$506,7,0)</f>
        <v>0</v>
      </c>
      <c r="N352">
        <f>VLOOKUP(A352,NYSEBP!A$2:G$506,7,0)</f>
        <v>0</v>
      </c>
      <c r="O352">
        <f>VLOOKUP(A352,NASDAQYHOO!A$2:G$506,7,0)</f>
        <v>0</v>
      </c>
    </row>
    <row r="353" spans="1:15">
      <c r="A353" s="39">
        <v>42654</v>
      </c>
      <c r="C353">
        <f>VLOOKUP(A353,NYSEARCAVTI!A$2:G$506,7,0)</f>
        <v>0</v>
      </c>
      <c r="D353">
        <f>VLOOKUP(A353,NYSEARCAVEU!A$2:G$506,7,0)</f>
        <v>0</v>
      </c>
      <c r="E353">
        <f>VLOOKUP(A353,NYSEARCAVWO!A$2:G$506,7,0)</f>
        <v>0</v>
      </c>
      <c r="F353">
        <f>VLOOKUP(A353,NYSEARCABND!A$2:G$506,7,0)</f>
        <v>0</v>
      </c>
      <c r="G353">
        <f>VLOOKUP(A353,NYSEARCATIP!A$2:G$506,7,0)</f>
        <v>0</v>
      </c>
      <c r="H353">
        <f>VLOOKUP(A353,NYSEARCAMUB!A$2:G$506,7,0)</f>
        <v>0</v>
      </c>
      <c r="I353">
        <f>VLOOKUP(A353,NYSEARCAVNQ!A$2:G$506,7,0)</f>
        <v>0</v>
      </c>
      <c r="J353">
        <f>VLOOKUP(A353,NYSEARCARWX!A$2:G$506,7,0)</f>
        <v>0</v>
      </c>
      <c r="K353">
        <f>VLOOKUP(A353,NYSEARCADBC!A$2:G$506,7,0)</f>
        <v>0</v>
      </c>
      <c r="L353">
        <f>VLOOKUP(A353,NYSEARCAGSG!A$2:G$506,7,0)</f>
        <v>0</v>
      </c>
      <c r="M353">
        <f>VLOOKUP(A353,NYSEARCAGLD!A$2:G$506,7,0)</f>
        <v>0</v>
      </c>
      <c r="N353">
        <f>VLOOKUP(A353,NYSEBP!A$2:G$506,7,0)</f>
        <v>0</v>
      </c>
      <c r="O353">
        <f>VLOOKUP(A353,NASDAQYHOO!A$2:G$506,7,0)</f>
        <v>0</v>
      </c>
    </row>
    <row r="354" spans="1:15">
      <c r="A354" s="39">
        <v>42655</v>
      </c>
      <c r="C354">
        <f>VLOOKUP(A354,NYSEARCAVTI!A$2:G$506,7,0)</f>
        <v>0</v>
      </c>
      <c r="D354">
        <f>VLOOKUP(A354,NYSEARCAVEU!A$2:G$506,7,0)</f>
        <v>0</v>
      </c>
      <c r="E354">
        <f>VLOOKUP(A354,NYSEARCAVWO!A$2:G$506,7,0)</f>
        <v>0</v>
      </c>
      <c r="F354">
        <f>VLOOKUP(A354,NYSEARCABND!A$2:G$506,7,0)</f>
        <v>0</v>
      </c>
      <c r="G354">
        <f>VLOOKUP(A354,NYSEARCATIP!A$2:G$506,7,0)</f>
        <v>0</v>
      </c>
      <c r="H354">
        <f>VLOOKUP(A354,NYSEARCAMUB!A$2:G$506,7,0)</f>
        <v>0</v>
      </c>
      <c r="I354">
        <f>VLOOKUP(A354,NYSEARCAVNQ!A$2:G$506,7,0)</f>
        <v>0</v>
      </c>
      <c r="J354">
        <f>VLOOKUP(A354,NYSEARCARWX!A$2:G$506,7,0)</f>
        <v>0</v>
      </c>
      <c r="K354">
        <f>VLOOKUP(A354,NYSEARCADBC!A$2:G$506,7,0)</f>
        <v>0</v>
      </c>
      <c r="L354">
        <f>VLOOKUP(A354,NYSEARCAGSG!A$2:G$506,7,0)</f>
        <v>0</v>
      </c>
      <c r="M354">
        <f>VLOOKUP(A354,NYSEARCAGLD!A$2:G$506,7,0)</f>
        <v>0</v>
      </c>
      <c r="N354">
        <f>VLOOKUP(A354,NYSEBP!A$2:G$506,7,0)</f>
        <v>0</v>
      </c>
      <c r="O354">
        <f>VLOOKUP(A354,NASDAQYHOO!A$2:G$506,7,0)</f>
        <v>0</v>
      </c>
    </row>
    <row r="355" spans="1:15">
      <c r="A355" s="39">
        <v>42656</v>
      </c>
      <c r="C355">
        <f>VLOOKUP(A355,NYSEARCAVTI!A$2:G$506,7,0)</f>
        <v>0</v>
      </c>
      <c r="D355">
        <f>VLOOKUP(A355,NYSEARCAVEU!A$2:G$506,7,0)</f>
        <v>0</v>
      </c>
      <c r="E355">
        <f>VLOOKUP(A355,NYSEARCAVWO!A$2:G$506,7,0)</f>
        <v>0</v>
      </c>
      <c r="F355">
        <f>VLOOKUP(A355,NYSEARCABND!A$2:G$506,7,0)</f>
        <v>0</v>
      </c>
      <c r="G355">
        <f>VLOOKUP(A355,NYSEARCATIP!A$2:G$506,7,0)</f>
        <v>0</v>
      </c>
      <c r="H355">
        <f>VLOOKUP(A355,NYSEARCAMUB!A$2:G$506,7,0)</f>
        <v>0</v>
      </c>
      <c r="I355">
        <f>VLOOKUP(A355,NYSEARCAVNQ!A$2:G$506,7,0)</f>
        <v>0</v>
      </c>
      <c r="J355">
        <f>VLOOKUP(A355,NYSEARCARWX!A$2:G$506,7,0)</f>
        <v>0</v>
      </c>
      <c r="K355">
        <f>VLOOKUP(A355,NYSEARCADBC!A$2:G$506,7,0)</f>
        <v>0</v>
      </c>
      <c r="L355">
        <f>VLOOKUP(A355,NYSEARCAGSG!A$2:G$506,7,0)</f>
        <v>0</v>
      </c>
      <c r="M355">
        <f>VLOOKUP(A355,NYSEARCAGLD!A$2:G$506,7,0)</f>
        <v>0</v>
      </c>
      <c r="N355">
        <f>VLOOKUP(A355,NYSEBP!A$2:G$506,7,0)</f>
        <v>0</v>
      </c>
      <c r="O355">
        <f>VLOOKUP(A355,NASDAQYHOO!A$2:G$506,7,0)</f>
        <v>0</v>
      </c>
    </row>
    <row r="356" spans="1:15">
      <c r="A356" s="39">
        <v>42657</v>
      </c>
      <c r="C356">
        <f>VLOOKUP(A356,NYSEARCAVTI!A$2:G$506,7,0)</f>
        <v>0</v>
      </c>
      <c r="D356">
        <f>VLOOKUP(A356,NYSEARCAVEU!A$2:G$506,7,0)</f>
        <v>0</v>
      </c>
      <c r="E356">
        <f>VLOOKUP(A356,NYSEARCAVWO!A$2:G$506,7,0)</f>
        <v>0</v>
      </c>
      <c r="F356">
        <f>VLOOKUP(A356,NYSEARCABND!A$2:G$506,7,0)</f>
        <v>0</v>
      </c>
      <c r="G356">
        <f>VLOOKUP(A356,NYSEARCATIP!A$2:G$506,7,0)</f>
        <v>0</v>
      </c>
      <c r="H356">
        <f>VLOOKUP(A356,NYSEARCAMUB!A$2:G$506,7,0)</f>
        <v>0</v>
      </c>
      <c r="I356">
        <f>VLOOKUP(A356,NYSEARCAVNQ!A$2:G$506,7,0)</f>
        <v>0</v>
      </c>
      <c r="J356">
        <f>VLOOKUP(A356,NYSEARCARWX!A$2:G$506,7,0)</f>
        <v>0</v>
      </c>
      <c r="K356">
        <f>VLOOKUP(A356,NYSEARCADBC!A$2:G$506,7,0)</f>
        <v>0</v>
      </c>
      <c r="L356">
        <f>VLOOKUP(A356,NYSEARCAGSG!A$2:G$506,7,0)</f>
        <v>0</v>
      </c>
      <c r="M356">
        <f>VLOOKUP(A356,NYSEARCAGLD!A$2:G$506,7,0)</f>
        <v>0</v>
      </c>
      <c r="N356">
        <f>VLOOKUP(A356,NYSEBP!A$2:G$506,7,0)</f>
        <v>0</v>
      </c>
      <c r="O356">
        <f>VLOOKUP(A356,NASDAQYHOO!A$2:G$506,7,0)</f>
        <v>0</v>
      </c>
    </row>
    <row r="357" spans="1:15">
      <c r="A357" s="39">
        <v>42660</v>
      </c>
      <c r="C357">
        <f>VLOOKUP(A357,NYSEARCAVTI!A$2:G$506,7,0)</f>
        <v>0</v>
      </c>
      <c r="D357">
        <f>VLOOKUP(A357,NYSEARCAVEU!A$2:G$506,7,0)</f>
        <v>0</v>
      </c>
      <c r="E357">
        <f>VLOOKUP(A357,NYSEARCAVWO!A$2:G$506,7,0)</f>
        <v>0</v>
      </c>
      <c r="F357">
        <f>VLOOKUP(A357,NYSEARCABND!A$2:G$506,7,0)</f>
        <v>0</v>
      </c>
      <c r="G357">
        <f>VLOOKUP(A357,NYSEARCATIP!A$2:G$506,7,0)</f>
        <v>0</v>
      </c>
      <c r="H357">
        <f>VLOOKUP(A357,NYSEARCAMUB!A$2:G$506,7,0)</f>
        <v>0</v>
      </c>
      <c r="I357">
        <f>VLOOKUP(A357,NYSEARCAVNQ!A$2:G$506,7,0)</f>
        <v>0</v>
      </c>
      <c r="J357">
        <f>VLOOKUP(A357,NYSEARCARWX!A$2:G$506,7,0)</f>
        <v>0</v>
      </c>
      <c r="K357">
        <f>VLOOKUP(A357,NYSEARCADBC!A$2:G$506,7,0)</f>
        <v>0</v>
      </c>
      <c r="L357">
        <f>VLOOKUP(A357,NYSEARCAGSG!A$2:G$506,7,0)</f>
        <v>0</v>
      </c>
      <c r="M357">
        <f>VLOOKUP(A357,NYSEARCAGLD!A$2:G$506,7,0)</f>
        <v>0</v>
      </c>
      <c r="N357">
        <f>VLOOKUP(A357,NYSEBP!A$2:G$506,7,0)</f>
        <v>0</v>
      </c>
      <c r="O357">
        <f>VLOOKUP(A357,NASDAQYHOO!A$2:G$506,7,0)</f>
        <v>0</v>
      </c>
    </row>
    <row r="358" spans="1:15">
      <c r="A358" s="39">
        <v>42661</v>
      </c>
      <c r="C358">
        <f>VLOOKUP(A358,NYSEARCAVTI!A$2:G$506,7,0)</f>
        <v>0</v>
      </c>
      <c r="D358">
        <f>VLOOKUP(A358,NYSEARCAVEU!A$2:G$506,7,0)</f>
        <v>0</v>
      </c>
      <c r="E358">
        <f>VLOOKUP(A358,NYSEARCAVWO!A$2:G$506,7,0)</f>
        <v>0</v>
      </c>
      <c r="F358">
        <f>VLOOKUP(A358,NYSEARCABND!A$2:G$506,7,0)</f>
        <v>0</v>
      </c>
      <c r="G358">
        <f>VLOOKUP(A358,NYSEARCATIP!A$2:G$506,7,0)</f>
        <v>0</v>
      </c>
      <c r="H358">
        <f>VLOOKUP(A358,NYSEARCAMUB!A$2:G$506,7,0)</f>
        <v>0</v>
      </c>
      <c r="I358">
        <f>VLOOKUP(A358,NYSEARCAVNQ!A$2:G$506,7,0)</f>
        <v>0</v>
      </c>
      <c r="J358">
        <f>VLOOKUP(A358,NYSEARCARWX!A$2:G$506,7,0)</f>
        <v>0</v>
      </c>
      <c r="K358">
        <f>VLOOKUP(A358,NYSEARCADBC!A$2:G$506,7,0)</f>
        <v>0</v>
      </c>
      <c r="L358">
        <f>VLOOKUP(A358,NYSEARCAGSG!A$2:G$506,7,0)</f>
        <v>0</v>
      </c>
      <c r="M358">
        <f>VLOOKUP(A358,NYSEARCAGLD!A$2:G$506,7,0)</f>
        <v>0</v>
      </c>
      <c r="N358">
        <f>VLOOKUP(A358,NYSEBP!A$2:G$506,7,0)</f>
        <v>0</v>
      </c>
      <c r="O358">
        <f>VLOOKUP(A358,NASDAQYHOO!A$2:G$506,7,0)</f>
        <v>0</v>
      </c>
    </row>
    <row r="359" spans="1:15">
      <c r="A359" s="39">
        <v>42662</v>
      </c>
      <c r="C359">
        <f>VLOOKUP(A359,NYSEARCAVTI!A$2:G$506,7,0)</f>
        <v>0</v>
      </c>
      <c r="D359">
        <f>VLOOKUP(A359,NYSEARCAVEU!A$2:G$506,7,0)</f>
        <v>0</v>
      </c>
      <c r="E359">
        <f>VLOOKUP(A359,NYSEARCAVWO!A$2:G$506,7,0)</f>
        <v>0</v>
      </c>
      <c r="F359">
        <f>VLOOKUP(A359,NYSEARCABND!A$2:G$506,7,0)</f>
        <v>0</v>
      </c>
      <c r="G359">
        <f>VLOOKUP(A359,NYSEARCATIP!A$2:G$506,7,0)</f>
        <v>0</v>
      </c>
      <c r="H359">
        <f>VLOOKUP(A359,NYSEARCAMUB!A$2:G$506,7,0)</f>
        <v>0</v>
      </c>
      <c r="I359">
        <f>VLOOKUP(A359,NYSEARCAVNQ!A$2:G$506,7,0)</f>
        <v>0</v>
      </c>
      <c r="J359">
        <f>VLOOKUP(A359,NYSEARCARWX!A$2:G$506,7,0)</f>
        <v>0</v>
      </c>
      <c r="K359">
        <f>VLOOKUP(A359,NYSEARCADBC!A$2:G$506,7,0)</f>
        <v>0</v>
      </c>
      <c r="L359">
        <f>VLOOKUP(A359,NYSEARCAGSG!A$2:G$506,7,0)</f>
        <v>0</v>
      </c>
      <c r="M359">
        <f>VLOOKUP(A359,NYSEARCAGLD!A$2:G$506,7,0)</f>
        <v>0</v>
      </c>
      <c r="N359">
        <f>VLOOKUP(A359,NYSEBP!A$2:G$506,7,0)</f>
        <v>0</v>
      </c>
      <c r="O359">
        <f>VLOOKUP(A359,NASDAQYHOO!A$2:G$506,7,0)</f>
        <v>0</v>
      </c>
    </row>
    <row r="360" spans="1:15">
      <c r="A360" s="39">
        <v>42663</v>
      </c>
      <c r="C360">
        <f>VLOOKUP(A360,NYSEARCAVTI!A$2:G$506,7,0)</f>
        <v>0</v>
      </c>
      <c r="D360">
        <f>VLOOKUP(A360,NYSEARCAVEU!A$2:G$506,7,0)</f>
        <v>0</v>
      </c>
      <c r="E360">
        <f>VLOOKUP(A360,NYSEARCAVWO!A$2:G$506,7,0)</f>
        <v>0</v>
      </c>
      <c r="F360">
        <f>VLOOKUP(A360,NYSEARCABND!A$2:G$506,7,0)</f>
        <v>0</v>
      </c>
      <c r="G360">
        <f>VLOOKUP(A360,NYSEARCATIP!A$2:G$506,7,0)</f>
        <v>0</v>
      </c>
      <c r="H360">
        <f>VLOOKUP(A360,NYSEARCAMUB!A$2:G$506,7,0)</f>
        <v>0</v>
      </c>
      <c r="I360">
        <f>VLOOKUP(A360,NYSEARCAVNQ!A$2:G$506,7,0)</f>
        <v>0</v>
      </c>
      <c r="J360">
        <f>VLOOKUP(A360,NYSEARCARWX!A$2:G$506,7,0)</f>
        <v>0</v>
      </c>
      <c r="K360">
        <f>VLOOKUP(A360,NYSEARCADBC!A$2:G$506,7,0)</f>
        <v>0</v>
      </c>
      <c r="L360">
        <f>VLOOKUP(A360,NYSEARCAGSG!A$2:G$506,7,0)</f>
        <v>0</v>
      </c>
      <c r="M360">
        <f>VLOOKUP(A360,NYSEARCAGLD!A$2:G$506,7,0)</f>
        <v>0</v>
      </c>
      <c r="N360">
        <f>VLOOKUP(A360,NYSEBP!A$2:G$506,7,0)</f>
        <v>0</v>
      </c>
      <c r="O360">
        <f>VLOOKUP(A360,NASDAQYHOO!A$2:G$506,7,0)</f>
        <v>0</v>
      </c>
    </row>
    <row r="361" spans="1:15">
      <c r="A361" s="39">
        <v>42664</v>
      </c>
      <c r="C361">
        <f>VLOOKUP(A361,NYSEARCAVTI!A$2:G$506,7,0)</f>
        <v>0</v>
      </c>
      <c r="D361">
        <f>VLOOKUP(A361,NYSEARCAVEU!A$2:G$506,7,0)</f>
        <v>0</v>
      </c>
      <c r="E361">
        <f>VLOOKUP(A361,NYSEARCAVWO!A$2:G$506,7,0)</f>
        <v>0</v>
      </c>
      <c r="F361">
        <f>VLOOKUP(A361,NYSEARCABND!A$2:G$506,7,0)</f>
        <v>0</v>
      </c>
      <c r="G361">
        <f>VLOOKUP(A361,NYSEARCATIP!A$2:G$506,7,0)</f>
        <v>0</v>
      </c>
      <c r="H361">
        <f>VLOOKUP(A361,NYSEARCAMUB!A$2:G$506,7,0)</f>
        <v>0</v>
      </c>
      <c r="I361">
        <f>VLOOKUP(A361,NYSEARCAVNQ!A$2:G$506,7,0)</f>
        <v>0</v>
      </c>
      <c r="J361">
        <f>VLOOKUP(A361,NYSEARCARWX!A$2:G$506,7,0)</f>
        <v>0</v>
      </c>
      <c r="K361">
        <f>VLOOKUP(A361,NYSEARCADBC!A$2:G$506,7,0)</f>
        <v>0</v>
      </c>
      <c r="L361">
        <f>VLOOKUP(A361,NYSEARCAGSG!A$2:G$506,7,0)</f>
        <v>0</v>
      </c>
      <c r="M361">
        <f>VLOOKUP(A361,NYSEARCAGLD!A$2:G$506,7,0)</f>
        <v>0</v>
      </c>
      <c r="N361">
        <f>VLOOKUP(A361,NYSEBP!A$2:G$506,7,0)</f>
        <v>0</v>
      </c>
      <c r="O361">
        <f>VLOOKUP(A361,NASDAQYHOO!A$2:G$506,7,0)</f>
        <v>0</v>
      </c>
    </row>
    <row r="362" spans="1:15">
      <c r="A362" s="39">
        <v>42667</v>
      </c>
      <c r="C362">
        <f>VLOOKUP(A362,NYSEARCAVTI!A$2:G$506,7,0)</f>
        <v>0</v>
      </c>
      <c r="D362">
        <f>VLOOKUP(A362,NYSEARCAVEU!A$2:G$506,7,0)</f>
        <v>0</v>
      </c>
      <c r="E362">
        <f>VLOOKUP(A362,NYSEARCAVWO!A$2:G$506,7,0)</f>
        <v>0</v>
      </c>
      <c r="F362">
        <f>VLOOKUP(A362,NYSEARCABND!A$2:G$506,7,0)</f>
        <v>0</v>
      </c>
      <c r="G362">
        <f>VLOOKUP(A362,NYSEARCATIP!A$2:G$506,7,0)</f>
        <v>0</v>
      </c>
      <c r="H362">
        <f>VLOOKUP(A362,NYSEARCAMUB!A$2:G$506,7,0)</f>
        <v>0</v>
      </c>
      <c r="I362">
        <f>VLOOKUP(A362,NYSEARCAVNQ!A$2:G$506,7,0)</f>
        <v>0</v>
      </c>
      <c r="J362">
        <f>VLOOKUP(A362,NYSEARCARWX!A$2:G$506,7,0)</f>
        <v>0</v>
      </c>
      <c r="K362">
        <f>VLOOKUP(A362,NYSEARCADBC!A$2:G$506,7,0)</f>
        <v>0</v>
      </c>
      <c r="L362">
        <f>VLOOKUP(A362,NYSEARCAGSG!A$2:G$506,7,0)</f>
        <v>0</v>
      </c>
      <c r="M362">
        <f>VLOOKUP(A362,NYSEARCAGLD!A$2:G$506,7,0)</f>
        <v>0</v>
      </c>
      <c r="N362">
        <f>VLOOKUP(A362,NYSEBP!A$2:G$506,7,0)</f>
        <v>0</v>
      </c>
      <c r="O362">
        <f>VLOOKUP(A362,NASDAQYHOO!A$2:G$506,7,0)</f>
        <v>0</v>
      </c>
    </row>
    <row r="363" spans="1:15">
      <c r="A363" s="39">
        <v>42668</v>
      </c>
      <c r="C363">
        <f>VLOOKUP(A363,NYSEARCAVTI!A$2:G$506,7,0)</f>
        <v>0</v>
      </c>
      <c r="D363">
        <f>VLOOKUP(A363,NYSEARCAVEU!A$2:G$506,7,0)</f>
        <v>0</v>
      </c>
      <c r="E363">
        <f>VLOOKUP(A363,NYSEARCAVWO!A$2:G$506,7,0)</f>
        <v>0</v>
      </c>
      <c r="F363">
        <f>VLOOKUP(A363,NYSEARCABND!A$2:G$506,7,0)</f>
        <v>0</v>
      </c>
      <c r="G363">
        <f>VLOOKUP(A363,NYSEARCATIP!A$2:G$506,7,0)</f>
        <v>0</v>
      </c>
      <c r="H363">
        <f>VLOOKUP(A363,NYSEARCAMUB!A$2:G$506,7,0)</f>
        <v>0</v>
      </c>
      <c r="I363">
        <f>VLOOKUP(A363,NYSEARCAVNQ!A$2:G$506,7,0)</f>
        <v>0</v>
      </c>
      <c r="J363">
        <f>VLOOKUP(A363,NYSEARCARWX!A$2:G$506,7,0)</f>
        <v>0</v>
      </c>
      <c r="K363">
        <f>VLOOKUP(A363,NYSEARCADBC!A$2:G$506,7,0)</f>
        <v>0</v>
      </c>
      <c r="L363">
        <f>VLOOKUP(A363,NYSEARCAGSG!A$2:G$506,7,0)</f>
        <v>0</v>
      </c>
      <c r="M363">
        <f>VLOOKUP(A363,NYSEARCAGLD!A$2:G$506,7,0)</f>
        <v>0</v>
      </c>
      <c r="N363">
        <f>VLOOKUP(A363,NYSEBP!A$2:G$506,7,0)</f>
        <v>0</v>
      </c>
      <c r="O363">
        <f>VLOOKUP(A363,NASDAQYHOO!A$2:G$506,7,0)</f>
        <v>0</v>
      </c>
    </row>
    <row r="364" spans="1:15">
      <c r="A364" s="39">
        <v>42669</v>
      </c>
      <c r="C364">
        <f>VLOOKUP(A364,NYSEARCAVTI!A$2:G$506,7,0)</f>
        <v>0</v>
      </c>
      <c r="D364">
        <f>VLOOKUP(A364,NYSEARCAVEU!A$2:G$506,7,0)</f>
        <v>0</v>
      </c>
      <c r="E364">
        <f>VLOOKUP(A364,NYSEARCAVWO!A$2:G$506,7,0)</f>
        <v>0</v>
      </c>
      <c r="F364">
        <f>VLOOKUP(A364,NYSEARCABND!A$2:G$506,7,0)</f>
        <v>0</v>
      </c>
      <c r="G364">
        <f>VLOOKUP(A364,NYSEARCATIP!A$2:G$506,7,0)</f>
        <v>0</v>
      </c>
      <c r="H364">
        <f>VLOOKUP(A364,NYSEARCAMUB!A$2:G$506,7,0)</f>
        <v>0</v>
      </c>
      <c r="I364">
        <f>VLOOKUP(A364,NYSEARCAVNQ!A$2:G$506,7,0)</f>
        <v>0</v>
      </c>
      <c r="J364">
        <f>VLOOKUP(A364,NYSEARCARWX!A$2:G$506,7,0)</f>
        <v>0</v>
      </c>
      <c r="K364">
        <f>VLOOKUP(A364,NYSEARCADBC!A$2:G$506,7,0)</f>
        <v>0</v>
      </c>
      <c r="L364">
        <f>VLOOKUP(A364,NYSEARCAGSG!A$2:G$506,7,0)</f>
        <v>0</v>
      </c>
      <c r="M364">
        <f>VLOOKUP(A364,NYSEARCAGLD!A$2:G$506,7,0)</f>
        <v>0</v>
      </c>
      <c r="N364">
        <f>VLOOKUP(A364,NYSEBP!A$2:G$506,7,0)</f>
        <v>0</v>
      </c>
      <c r="O364">
        <f>VLOOKUP(A364,NASDAQYHOO!A$2:G$506,7,0)</f>
        <v>0</v>
      </c>
    </row>
    <row r="365" spans="1:15">
      <c r="A365" s="39">
        <v>42670</v>
      </c>
      <c r="C365">
        <f>VLOOKUP(A365,NYSEARCAVTI!A$2:G$506,7,0)</f>
        <v>0</v>
      </c>
      <c r="D365">
        <f>VLOOKUP(A365,NYSEARCAVEU!A$2:G$506,7,0)</f>
        <v>0</v>
      </c>
      <c r="E365">
        <f>VLOOKUP(A365,NYSEARCAVWO!A$2:G$506,7,0)</f>
        <v>0</v>
      </c>
      <c r="F365">
        <f>VLOOKUP(A365,NYSEARCABND!A$2:G$506,7,0)</f>
        <v>0</v>
      </c>
      <c r="G365">
        <f>VLOOKUP(A365,NYSEARCATIP!A$2:G$506,7,0)</f>
        <v>0</v>
      </c>
      <c r="H365">
        <f>VLOOKUP(A365,NYSEARCAMUB!A$2:G$506,7,0)</f>
        <v>0</v>
      </c>
      <c r="I365">
        <f>VLOOKUP(A365,NYSEARCAVNQ!A$2:G$506,7,0)</f>
        <v>0</v>
      </c>
      <c r="J365">
        <f>VLOOKUP(A365,NYSEARCARWX!A$2:G$506,7,0)</f>
        <v>0</v>
      </c>
      <c r="K365">
        <f>VLOOKUP(A365,NYSEARCADBC!A$2:G$506,7,0)</f>
        <v>0</v>
      </c>
      <c r="L365">
        <f>VLOOKUP(A365,NYSEARCAGSG!A$2:G$506,7,0)</f>
        <v>0</v>
      </c>
      <c r="M365">
        <f>VLOOKUP(A365,NYSEARCAGLD!A$2:G$506,7,0)</f>
        <v>0</v>
      </c>
      <c r="N365">
        <f>VLOOKUP(A365,NYSEBP!A$2:G$506,7,0)</f>
        <v>0</v>
      </c>
      <c r="O365">
        <f>VLOOKUP(A365,NASDAQYHOO!A$2:G$506,7,0)</f>
        <v>0</v>
      </c>
    </row>
    <row r="366" spans="1:15">
      <c r="A366" s="39">
        <v>42671</v>
      </c>
      <c r="C366">
        <f>VLOOKUP(A366,NYSEARCAVTI!A$2:G$506,7,0)</f>
        <v>0</v>
      </c>
      <c r="D366">
        <f>VLOOKUP(A366,NYSEARCAVEU!A$2:G$506,7,0)</f>
        <v>0</v>
      </c>
      <c r="E366">
        <f>VLOOKUP(A366,NYSEARCAVWO!A$2:G$506,7,0)</f>
        <v>0</v>
      </c>
      <c r="F366">
        <f>VLOOKUP(A366,NYSEARCABND!A$2:G$506,7,0)</f>
        <v>0</v>
      </c>
      <c r="G366">
        <f>VLOOKUP(A366,NYSEARCATIP!A$2:G$506,7,0)</f>
        <v>0</v>
      </c>
      <c r="H366">
        <f>VLOOKUP(A366,NYSEARCAMUB!A$2:G$506,7,0)</f>
        <v>0</v>
      </c>
      <c r="I366">
        <f>VLOOKUP(A366,NYSEARCAVNQ!A$2:G$506,7,0)</f>
        <v>0</v>
      </c>
      <c r="J366">
        <f>VLOOKUP(A366,NYSEARCARWX!A$2:G$506,7,0)</f>
        <v>0</v>
      </c>
      <c r="K366">
        <f>VLOOKUP(A366,NYSEARCADBC!A$2:G$506,7,0)</f>
        <v>0</v>
      </c>
      <c r="L366">
        <f>VLOOKUP(A366,NYSEARCAGSG!A$2:G$506,7,0)</f>
        <v>0</v>
      </c>
      <c r="M366">
        <f>VLOOKUP(A366,NYSEARCAGLD!A$2:G$506,7,0)</f>
        <v>0</v>
      </c>
      <c r="N366">
        <f>VLOOKUP(A366,NYSEBP!A$2:G$506,7,0)</f>
        <v>0</v>
      </c>
      <c r="O366">
        <f>VLOOKUP(A366,NASDAQYHOO!A$2:G$506,7,0)</f>
        <v>0</v>
      </c>
    </row>
    <row r="367" spans="1:15">
      <c r="A367" s="39">
        <v>42674</v>
      </c>
      <c r="C367">
        <f>VLOOKUP(A367,NYSEARCAVTI!A$2:G$506,7,0)</f>
        <v>0</v>
      </c>
      <c r="D367">
        <f>VLOOKUP(A367,NYSEARCAVEU!A$2:G$506,7,0)</f>
        <v>0</v>
      </c>
      <c r="E367">
        <f>VLOOKUP(A367,NYSEARCAVWO!A$2:G$506,7,0)</f>
        <v>0</v>
      </c>
      <c r="F367">
        <f>VLOOKUP(A367,NYSEARCABND!A$2:G$506,7,0)</f>
        <v>0</v>
      </c>
      <c r="G367">
        <f>VLOOKUP(A367,NYSEARCATIP!A$2:G$506,7,0)</f>
        <v>0</v>
      </c>
      <c r="H367">
        <f>VLOOKUP(A367,NYSEARCAMUB!A$2:G$506,7,0)</f>
        <v>0</v>
      </c>
      <c r="I367">
        <f>VLOOKUP(A367,NYSEARCAVNQ!A$2:G$506,7,0)</f>
        <v>0</v>
      </c>
      <c r="J367">
        <f>VLOOKUP(A367,NYSEARCARWX!A$2:G$506,7,0)</f>
        <v>0</v>
      </c>
      <c r="K367">
        <f>VLOOKUP(A367,NYSEARCADBC!A$2:G$506,7,0)</f>
        <v>0</v>
      </c>
      <c r="L367">
        <f>VLOOKUP(A367,NYSEARCAGSG!A$2:G$506,7,0)</f>
        <v>0</v>
      </c>
      <c r="M367">
        <f>VLOOKUP(A367,NYSEARCAGLD!A$2:G$506,7,0)</f>
        <v>0</v>
      </c>
      <c r="N367">
        <f>VLOOKUP(A367,NYSEBP!A$2:G$506,7,0)</f>
        <v>0</v>
      </c>
      <c r="O367">
        <f>VLOOKUP(A367,NASDAQYHOO!A$2:G$506,7,0)</f>
        <v>0</v>
      </c>
    </row>
    <row r="368" spans="1:15">
      <c r="A368" s="39">
        <v>42675</v>
      </c>
      <c r="C368">
        <f>VLOOKUP(A368,NYSEARCAVTI!A$2:G$506,7,0)</f>
        <v>0</v>
      </c>
      <c r="D368">
        <f>VLOOKUP(A368,NYSEARCAVEU!A$2:G$506,7,0)</f>
        <v>0</v>
      </c>
      <c r="E368">
        <f>VLOOKUP(A368,NYSEARCAVWO!A$2:G$506,7,0)</f>
        <v>0</v>
      </c>
      <c r="F368">
        <f>VLOOKUP(A368,NYSEARCABND!A$2:G$506,7,0)</f>
        <v>0</v>
      </c>
      <c r="G368">
        <f>VLOOKUP(A368,NYSEARCATIP!A$2:G$506,7,0)</f>
        <v>0</v>
      </c>
      <c r="H368">
        <f>VLOOKUP(A368,NYSEARCAMUB!A$2:G$506,7,0)</f>
        <v>0</v>
      </c>
      <c r="I368">
        <f>VLOOKUP(A368,NYSEARCAVNQ!A$2:G$506,7,0)</f>
        <v>0</v>
      </c>
      <c r="J368">
        <f>VLOOKUP(A368,NYSEARCARWX!A$2:G$506,7,0)</f>
        <v>0</v>
      </c>
      <c r="K368">
        <f>VLOOKUP(A368,NYSEARCADBC!A$2:G$506,7,0)</f>
        <v>0</v>
      </c>
      <c r="L368">
        <f>VLOOKUP(A368,NYSEARCAGSG!A$2:G$506,7,0)</f>
        <v>0</v>
      </c>
      <c r="M368">
        <f>VLOOKUP(A368,NYSEARCAGLD!A$2:G$506,7,0)</f>
        <v>0</v>
      </c>
      <c r="N368">
        <f>VLOOKUP(A368,NYSEBP!A$2:G$506,7,0)</f>
        <v>0</v>
      </c>
      <c r="O368">
        <f>VLOOKUP(A368,NASDAQYHOO!A$2:G$506,7,0)</f>
        <v>0</v>
      </c>
    </row>
    <row r="369" spans="1:15">
      <c r="A369" s="39">
        <v>42676</v>
      </c>
      <c r="C369">
        <f>VLOOKUP(A369,NYSEARCAVTI!A$2:G$506,7,0)</f>
        <v>0</v>
      </c>
      <c r="D369">
        <f>VLOOKUP(A369,NYSEARCAVEU!A$2:G$506,7,0)</f>
        <v>0</v>
      </c>
      <c r="E369">
        <f>VLOOKUP(A369,NYSEARCAVWO!A$2:G$506,7,0)</f>
        <v>0</v>
      </c>
      <c r="F369">
        <f>VLOOKUP(A369,NYSEARCABND!A$2:G$506,7,0)</f>
        <v>0</v>
      </c>
      <c r="G369">
        <f>VLOOKUP(A369,NYSEARCATIP!A$2:G$506,7,0)</f>
        <v>0</v>
      </c>
      <c r="H369">
        <f>VLOOKUP(A369,NYSEARCAMUB!A$2:G$506,7,0)</f>
        <v>0</v>
      </c>
      <c r="I369">
        <f>VLOOKUP(A369,NYSEARCAVNQ!A$2:G$506,7,0)</f>
        <v>0</v>
      </c>
      <c r="J369">
        <f>VLOOKUP(A369,NYSEARCARWX!A$2:G$506,7,0)</f>
        <v>0</v>
      </c>
      <c r="K369">
        <f>VLOOKUP(A369,NYSEARCADBC!A$2:G$506,7,0)</f>
        <v>0</v>
      </c>
      <c r="L369">
        <f>VLOOKUP(A369,NYSEARCAGSG!A$2:G$506,7,0)</f>
        <v>0</v>
      </c>
      <c r="M369">
        <f>VLOOKUP(A369,NYSEARCAGLD!A$2:G$506,7,0)</f>
        <v>0</v>
      </c>
      <c r="N369">
        <f>VLOOKUP(A369,NYSEBP!A$2:G$506,7,0)</f>
        <v>0</v>
      </c>
      <c r="O369">
        <f>VLOOKUP(A369,NASDAQYHOO!A$2:G$506,7,0)</f>
        <v>0</v>
      </c>
    </row>
    <row r="370" spans="1:15">
      <c r="A370" s="39">
        <v>42677</v>
      </c>
      <c r="C370">
        <f>VLOOKUP(A370,NYSEARCAVTI!A$2:G$506,7,0)</f>
        <v>0</v>
      </c>
      <c r="D370">
        <f>VLOOKUP(A370,NYSEARCAVEU!A$2:G$506,7,0)</f>
        <v>0</v>
      </c>
      <c r="E370">
        <f>VLOOKUP(A370,NYSEARCAVWO!A$2:G$506,7,0)</f>
        <v>0</v>
      </c>
      <c r="F370">
        <f>VLOOKUP(A370,NYSEARCABND!A$2:G$506,7,0)</f>
        <v>0</v>
      </c>
      <c r="G370">
        <f>VLOOKUP(A370,NYSEARCATIP!A$2:G$506,7,0)</f>
        <v>0</v>
      </c>
      <c r="H370">
        <f>VLOOKUP(A370,NYSEARCAMUB!A$2:G$506,7,0)</f>
        <v>0</v>
      </c>
      <c r="I370">
        <f>VLOOKUP(A370,NYSEARCAVNQ!A$2:G$506,7,0)</f>
        <v>0</v>
      </c>
      <c r="J370">
        <f>VLOOKUP(A370,NYSEARCARWX!A$2:G$506,7,0)</f>
        <v>0</v>
      </c>
      <c r="K370">
        <f>VLOOKUP(A370,NYSEARCADBC!A$2:G$506,7,0)</f>
        <v>0</v>
      </c>
      <c r="L370">
        <f>VLOOKUP(A370,NYSEARCAGSG!A$2:G$506,7,0)</f>
        <v>0</v>
      </c>
      <c r="M370">
        <f>VLOOKUP(A370,NYSEARCAGLD!A$2:G$506,7,0)</f>
        <v>0</v>
      </c>
      <c r="N370">
        <f>VLOOKUP(A370,NYSEBP!A$2:G$506,7,0)</f>
        <v>0</v>
      </c>
      <c r="O370">
        <f>VLOOKUP(A370,NASDAQYHOO!A$2:G$506,7,0)</f>
        <v>0</v>
      </c>
    </row>
    <row r="371" spans="1:15">
      <c r="A371" s="39">
        <v>42678</v>
      </c>
      <c r="C371">
        <f>VLOOKUP(A371,NYSEARCAVTI!A$2:G$506,7,0)</f>
        <v>0</v>
      </c>
      <c r="D371">
        <f>VLOOKUP(A371,NYSEARCAVEU!A$2:G$506,7,0)</f>
        <v>0</v>
      </c>
      <c r="E371">
        <f>VLOOKUP(A371,NYSEARCAVWO!A$2:G$506,7,0)</f>
        <v>0</v>
      </c>
      <c r="F371">
        <f>VLOOKUP(A371,NYSEARCABND!A$2:G$506,7,0)</f>
        <v>0</v>
      </c>
      <c r="G371">
        <f>VLOOKUP(A371,NYSEARCATIP!A$2:G$506,7,0)</f>
        <v>0</v>
      </c>
      <c r="H371">
        <f>VLOOKUP(A371,NYSEARCAMUB!A$2:G$506,7,0)</f>
        <v>0</v>
      </c>
      <c r="I371">
        <f>VLOOKUP(A371,NYSEARCAVNQ!A$2:G$506,7,0)</f>
        <v>0</v>
      </c>
      <c r="J371">
        <f>VLOOKUP(A371,NYSEARCARWX!A$2:G$506,7,0)</f>
        <v>0</v>
      </c>
      <c r="K371">
        <f>VLOOKUP(A371,NYSEARCADBC!A$2:G$506,7,0)</f>
        <v>0</v>
      </c>
      <c r="L371">
        <f>VLOOKUP(A371,NYSEARCAGSG!A$2:G$506,7,0)</f>
        <v>0</v>
      </c>
      <c r="M371">
        <f>VLOOKUP(A371,NYSEARCAGLD!A$2:G$506,7,0)</f>
        <v>0</v>
      </c>
      <c r="N371">
        <f>VLOOKUP(A371,NYSEBP!A$2:G$506,7,0)</f>
        <v>0</v>
      </c>
      <c r="O371">
        <f>VLOOKUP(A371,NASDAQYHOO!A$2:G$506,7,0)</f>
        <v>0</v>
      </c>
    </row>
    <row r="372" spans="1:15">
      <c r="A372" s="39">
        <v>42681</v>
      </c>
      <c r="C372">
        <f>VLOOKUP(A372,NYSEARCAVTI!A$2:G$506,7,0)</f>
        <v>0</v>
      </c>
      <c r="D372">
        <f>VLOOKUP(A372,NYSEARCAVEU!A$2:G$506,7,0)</f>
        <v>0</v>
      </c>
      <c r="E372">
        <f>VLOOKUP(A372,NYSEARCAVWO!A$2:G$506,7,0)</f>
        <v>0</v>
      </c>
      <c r="F372">
        <f>VLOOKUP(A372,NYSEARCABND!A$2:G$506,7,0)</f>
        <v>0</v>
      </c>
      <c r="G372">
        <f>VLOOKUP(A372,NYSEARCATIP!A$2:G$506,7,0)</f>
        <v>0</v>
      </c>
      <c r="H372">
        <f>VLOOKUP(A372,NYSEARCAMUB!A$2:G$506,7,0)</f>
        <v>0</v>
      </c>
      <c r="I372">
        <f>VLOOKUP(A372,NYSEARCAVNQ!A$2:G$506,7,0)</f>
        <v>0</v>
      </c>
      <c r="J372">
        <f>VLOOKUP(A372,NYSEARCARWX!A$2:G$506,7,0)</f>
        <v>0</v>
      </c>
      <c r="K372">
        <f>VLOOKUP(A372,NYSEARCADBC!A$2:G$506,7,0)</f>
        <v>0</v>
      </c>
      <c r="L372">
        <f>VLOOKUP(A372,NYSEARCAGSG!A$2:G$506,7,0)</f>
        <v>0</v>
      </c>
      <c r="M372">
        <f>VLOOKUP(A372,NYSEARCAGLD!A$2:G$506,7,0)</f>
        <v>0</v>
      </c>
      <c r="N372">
        <f>VLOOKUP(A372,NYSEBP!A$2:G$506,7,0)</f>
        <v>0</v>
      </c>
      <c r="O372">
        <f>VLOOKUP(A372,NASDAQYHOO!A$2:G$506,7,0)</f>
        <v>0</v>
      </c>
    </row>
    <row r="373" spans="1:15">
      <c r="A373" s="39">
        <v>42682</v>
      </c>
      <c r="C373">
        <f>VLOOKUP(A373,NYSEARCAVTI!A$2:G$506,7,0)</f>
        <v>0</v>
      </c>
      <c r="D373">
        <f>VLOOKUP(A373,NYSEARCAVEU!A$2:G$506,7,0)</f>
        <v>0</v>
      </c>
      <c r="E373">
        <f>VLOOKUP(A373,NYSEARCAVWO!A$2:G$506,7,0)</f>
        <v>0</v>
      </c>
      <c r="F373">
        <f>VLOOKUP(A373,NYSEARCABND!A$2:G$506,7,0)</f>
        <v>0</v>
      </c>
      <c r="G373">
        <f>VLOOKUP(A373,NYSEARCATIP!A$2:G$506,7,0)</f>
        <v>0</v>
      </c>
      <c r="H373">
        <f>VLOOKUP(A373,NYSEARCAMUB!A$2:G$506,7,0)</f>
        <v>0</v>
      </c>
      <c r="I373">
        <f>VLOOKUP(A373,NYSEARCAVNQ!A$2:G$506,7,0)</f>
        <v>0</v>
      </c>
      <c r="J373">
        <f>VLOOKUP(A373,NYSEARCARWX!A$2:G$506,7,0)</f>
        <v>0</v>
      </c>
      <c r="K373">
        <f>VLOOKUP(A373,NYSEARCADBC!A$2:G$506,7,0)</f>
        <v>0</v>
      </c>
      <c r="L373">
        <f>VLOOKUP(A373,NYSEARCAGSG!A$2:G$506,7,0)</f>
        <v>0</v>
      </c>
      <c r="M373">
        <f>VLOOKUP(A373,NYSEARCAGLD!A$2:G$506,7,0)</f>
        <v>0</v>
      </c>
      <c r="N373">
        <f>VLOOKUP(A373,NYSEBP!A$2:G$506,7,0)</f>
        <v>0</v>
      </c>
      <c r="O373">
        <f>VLOOKUP(A373,NASDAQYHOO!A$2:G$506,7,0)</f>
        <v>0</v>
      </c>
    </row>
    <row r="374" spans="1:15">
      <c r="A374" s="39">
        <v>42683</v>
      </c>
      <c r="C374">
        <f>VLOOKUP(A374,NYSEARCAVTI!A$2:G$506,7,0)</f>
        <v>0</v>
      </c>
      <c r="D374">
        <f>VLOOKUP(A374,NYSEARCAVEU!A$2:G$506,7,0)</f>
        <v>0</v>
      </c>
      <c r="E374">
        <f>VLOOKUP(A374,NYSEARCAVWO!A$2:G$506,7,0)</f>
        <v>0</v>
      </c>
      <c r="F374">
        <f>VLOOKUP(A374,NYSEARCABND!A$2:G$506,7,0)</f>
        <v>0</v>
      </c>
      <c r="G374">
        <f>VLOOKUP(A374,NYSEARCATIP!A$2:G$506,7,0)</f>
        <v>0</v>
      </c>
      <c r="H374">
        <f>VLOOKUP(A374,NYSEARCAMUB!A$2:G$506,7,0)</f>
        <v>0</v>
      </c>
      <c r="I374">
        <f>VLOOKUP(A374,NYSEARCAVNQ!A$2:G$506,7,0)</f>
        <v>0</v>
      </c>
      <c r="J374">
        <f>VLOOKUP(A374,NYSEARCARWX!A$2:G$506,7,0)</f>
        <v>0</v>
      </c>
      <c r="K374">
        <f>VLOOKUP(A374,NYSEARCADBC!A$2:G$506,7,0)</f>
        <v>0</v>
      </c>
      <c r="L374">
        <f>VLOOKUP(A374,NYSEARCAGSG!A$2:G$506,7,0)</f>
        <v>0</v>
      </c>
      <c r="M374">
        <f>VLOOKUP(A374,NYSEARCAGLD!A$2:G$506,7,0)</f>
        <v>0</v>
      </c>
      <c r="N374">
        <f>VLOOKUP(A374,NYSEBP!A$2:G$506,7,0)</f>
        <v>0</v>
      </c>
      <c r="O374">
        <f>VLOOKUP(A374,NASDAQYHOO!A$2:G$506,7,0)</f>
        <v>0</v>
      </c>
    </row>
    <row r="375" spans="1:15">
      <c r="A375" s="39">
        <v>42684</v>
      </c>
      <c r="C375">
        <f>VLOOKUP(A375,NYSEARCAVTI!A$2:G$506,7,0)</f>
        <v>0</v>
      </c>
      <c r="D375">
        <f>VLOOKUP(A375,NYSEARCAVEU!A$2:G$506,7,0)</f>
        <v>0</v>
      </c>
      <c r="E375">
        <f>VLOOKUP(A375,NYSEARCAVWO!A$2:G$506,7,0)</f>
        <v>0</v>
      </c>
      <c r="F375">
        <f>VLOOKUP(A375,NYSEARCABND!A$2:G$506,7,0)</f>
        <v>0</v>
      </c>
      <c r="G375">
        <f>VLOOKUP(A375,NYSEARCATIP!A$2:G$506,7,0)</f>
        <v>0</v>
      </c>
      <c r="H375">
        <f>VLOOKUP(A375,NYSEARCAMUB!A$2:G$506,7,0)</f>
        <v>0</v>
      </c>
      <c r="I375">
        <f>VLOOKUP(A375,NYSEARCAVNQ!A$2:G$506,7,0)</f>
        <v>0</v>
      </c>
      <c r="J375">
        <f>VLOOKUP(A375,NYSEARCARWX!A$2:G$506,7,0)</f>
        <v>0</v>
      </c>
      <c r="K375">
        <f>VLOOKUP(A375,NYSEARCADBC!A$2:G$506,7,0)</f>
        <v>0</v>
      </c>
      <c r="L375">
        <f>VLOOKUP(A375,NYSEARCAGSG!A$2:G$506,7,0)</f>
        <v>0</v>
      </c>
      <c r="M375">
        <f>VLOOKUP(A375,NYSEARCAGLD!A$2:G$506,7,0)</f>
        <v>0</v>
      </c>
      <c r="N375">
        <f>VLOOKUP(A375,NYSEBP!A$2:G$506,7,0)</f>
        <v>0</v>
      </c>
      <c r="O375">
        <f>VLOOKUP(A375,NASDAQYHOO!A$2:G$506,7,0)</f>
        <v>0</v>
      </c>
    </row>
    <row r="376" spans="1:15">
      <c r="A376" s="39">
        <v>42685</v>
      </c>
      <c r="C376">
        <f>VLOOKUP(A376,NYSEARCAVTI!A$2:G$506,7,0)</f>
        <v>0</v>
      </c>
      <c r="D376">
        <f>VLOOKUP(A376,NYSEARCAVEU!A$2:G$506,7,0)</f>
        <v>0</v>
      </c>
      <c r="E376">
        <f>VLOOKUP(A376,NYSEARCAVWO!A$2:G$506,7,0)</f>
        <v>0</v>
      </c>
      <c r="F376">
        <f>VLOOKUP(A376,NYSEARCABND!A$2:G$506,7,0)</f>
        <v>0</v>
      </c>
      <c r="G376">
        <f>VLOOKUP(A376,NYSEARCATIP!A$2:G$506,7,0)</f>
        <v>0</v>
      </c>
      <c r="H376">
        <f>VLOOKUP(A376,NYSEARCAMUB!A$2:G$506,7,0)</f>
        <v>0</v>
      </c>
      <c r="I376">
        <f>VLOOKUP(A376,NYSEARCAVNQ!A$2:G$506,7,0)</f>
        <v>0</v>
      </c>
      <c r="J376">
        <f>VLOOKUP(A376,NYSEARCARWX!A$2:G$506,7,0)</f>
        <v>0</v>
      </c>
      <c r="K376">
        <f>VLOOKUP(A376,NYSEARCADBC!A$2:G$506,7,0)</f>
        <v>0</v>
      </c>
      <c r="L376">
        <f>VLOOKUP(A376,NYSEARCAGSG!A$2:G$506,7,0)</f>
        <v>0</v>
      </c>
      <c r="M376">
        <f>VLOOKUP(A376,NYSEARCAGLD!A$2:G$506,7,0)</f>
        <v>0</v>
      </c>
      <c r="N376">
        <f>VLOOKUP(A376,NYSEBP!A$2:G$506,7,0)</f>
        <v>0</v>
      </c>
      <c r="O376">
        <f>VLOOKUP(A376,NASDAQYHOO!A$2:G$506,7,0)</f>
        <v>0</v>
      </c>
    </row>
    <row r="377" spans="1:15">
      <c r="A377" s="39">
        <v>42688</v>
      </c>
      <c r="C377">
        <f>VLOOKUP(A377,NYSEARCAVTI!A$2:G$506,7,0)</f>
        <v>0</v>
      </c>
      <c r="D377">
        <f>VLOOKUP(A377,NYSEARCAVEU!A$2:G$506,7,0)</f>
        <v>0</v>
      </c>
      <c r="E377">
        <f>VLOOKUP(A377,NYSEARCAVWO!A$2:G$506,7,0)</f>
        <v>0</v>
      </c>
      <c r="F377">
        <f>VLOOKUP(A377,NYSEARCABND!A$2:G$506,7,0)</f>
        <v>0</v>
      </c>
      <c r="G377">
        <f>VLOOKUP(A377,NYSEARCATIP!A$2:G$506,7,0)</f>
        <v>0</v>
      </c>
      <c r="H377">
        <f>VLOOKUP(A377,NYSEARCAMUB!A$2:G$506,7,0)</f>
        <v>0</v>
      </c>
      <c r="I377">
        <f>VLOOKUP(A377,NYSEARCAVNQ!A$2:G$506,7,0)</f>
        <v>0</v>
      </c>
      <c r="J377">
        <f>VLOOKUP(A377,NYSEARCARWX!A$2:G$506,7,0)</f>
        <v>0</v>
      </c>
      <c r="K377">
        <f>VLOOKUP(A377,NYSEARCADBC!A$2:G$506,7,0)</f>
        <v>0</v>
      </c>
      <c r="L377">
        <f>VLOOKUP(A377,NYSEARCAGSG!A$2:G$506,7,0)</f>
        <v>0</v>
      </c>
      <c r="M377">
        <f>VLOOKUP(A377,NYSEARCAGLD!A$2:G$506,7,0)</f>
        <v>0</v>
      </c>
      <c r="N377">
        <f>VLOOKUP(A377,NYSEBP!A$2:G$506,7,0)</f>
        <v>0</v>
      </c>
      <c r="O377">
        <f>VLOOKUP(A377,NASDAQYHOO!A$2:G$506,7,0)</f>
        <v>0</v>
      </c>
    </row>
    <row r="378" spans="1:15">
      <c r="A378" s="39">
        <v>42689</v>
      </c>
      <c r="C378">
        <f>VLOOKUP(A378,NYSEARCAVTI!A$2:G$506,7,0)</f>
        <v>0</v>
      </c>
      <c r="D378">
        <f>VLOOKUP(A378,NYSEARCAVEU!A$2:G$506,7,0)</f>
        <v>0</v>
      </c>
      <c r="E378">
        <f>VLOOKUP(A378,NYSEARCAVWO!A$2:G$506,7,0)</f>
        <v>0</v>
      </c>
      <c r="F378">
        <f>VLOOKUP(A378,NYSEARCABND!A$2:G$506,7,0)</f>
        <v>0</v>
      </c>
      <c r="G378">
        <f>VLOOKUP(A378,NYSEARCATIP!A$2:G$506,7,0)</f>
        <v>0</v>
      </c>
      <c r="H378">
        <f>VLOOKUP(A378,NYSEARCAMUB!A$2:G$506,7,0)</f>
        <v>0</v>
      </c>
      <c r="I378">
        <f>VLOOKUP(A378,NYSEARCAVNQ!A$2:G$506,7,0)</f>
        <v>0</v>
      </c>
      <c r="J378">
        <f>VLOOKUP(A378,NYSEARCARWX!A$2:G$506,7,0)</f>
        <v>0</v>
      </c>
      <c r="K378">
        <f>VLOOKUP(A378,NYSEARCADBC!A$2:G$506,7,0)</f>
        <v>0</v>
      </c>
      <c r="L378">
        <f>VLOOKUP(A378,NYSEARCAGSG!A$2:G$506,7,0)</f>
        <v>0</v>
      </c>
      <c r="M378">
        <f>VLOOKUP(A378,NYSEARCAGLD!A$2:G$506,7,0)</f>
        <v>0</v>
      </c>
      <c r="N378">
        <f>VLOOKUP(A378,NYSEBP!A$2:G$506,7,0)</f>
        <v>0</v>
      </c>
      <c r="O378">
        <f>VLOOKUP(A378,NASDAQYHOO!A$2:G$506,7,0)</f>
        <v>0</v>
      </c>
    </row>
    <row r="379" spans="1:15">
      <c r="A379" s="39">
        <v>42690</v>
      </c>
      <c r="C379">
        <f>VLOOKUP(A379,NYSEARCAVTI!A$2:G$506,7,0)</f>
        <v>0</v>
      </c>
      <c r="D379">
        <f>VLOOKUP(A379,NYSEARCAVEU!A$2:G$506,7,0)</f>
        <v>0</v>
      </c>
      <c r="E379">
        <f>VLOOKUP(A379,NYSEARCAVWO!A$2:G$506,7,0)</f>
        <v>0</v>
      </c>
      <c r="F379">
        <f>VLOOKUP(A379,NYSEARCABND!A$2:G$506,7,0)</f>
        <v>0</v>
      </c>
      <c r="G379">
        <f>VLOOKUP(A379,NYSEARCATIP!A$2:G$506,7,0)</f>
        <v>0</v>
      </c>
      <c r="H379">
        <f>VLOOKUP(A379,NYSEARCAMUB!A$2:G$506,7,0)</f>
        <v>0</v>
      </c>
      <c r="I379">
        <f>VLOOKUP(A379,NYSEARCAVNQ!A$2:G$506,7,0)</f>
        <v>0</v>
      </c>
      <c r="J379">
        <f>VLOOKUP(A379,NYSEARCARWX!A$2:G$506,7,0)</f>
        <v>0</v>
      </c>
      <c r="K379">
        <f>VLOOKUP(A379,NYSEARCADBC!A$2:G$506,7,0)</f>
        <v>0</v>
      </c>
      <c r="L379">
        <f>VLOOKUP(A379,NYSEARCAGSG!A$2:G$506,7,0)</f>
        <v>0</v>
      </c>
      <c r="M379">
        <f>VLOOKUP(A379,NYSEARCAGLD!A$2:G$506,7,0)</f>
        <v>0</v>
      </c>
      <c r="N379">
        <f>VLOOKUP(A379,NYSEBP!A$2:G$506,7,0)</f>
        <v>0</v>
      </c>
      <c r="O379">
        <f>VLOOKUP(A379,NASDAQYHOO!A$2:G$506,7,0)</f>
        <v>0</v>
      </c>
    </row>
    <row r="380" spans="1:15">
      <c r="A380" s="39">
        <v>42691</v>
      </c>
      <c r="C380">
        <f>VLOOKUP(A380,NYSEARCAVTI!A$2:G$506,7,0)</f>
        <v>0</v>
      </c>
      <c r="D380">
        <f>VLOOKUP(A380,NYSEARCAVEU!A$2:G$506,7,0)</f>
        <v>0</v>
      </c>
      <c r="E380">
        <f>VLOOKUP(A380,NYSEARCAVWO!A$2:G$506,7,0)</f>
        <v>0</v>
      </c>
      <c r="F380">
        <f>VLOOKUP(A380,NYSEARCABND!A$2:G$506,7,0)</f>
        <v>0</v>
      </c>
      <c r="G380">
        <f>VLOOKUP(A380,NYSEARCATIP!A$2:G$506,7,0)</f>
        <v>0</v>
      </c>
      <c r="H380">
        <f>VLOOKUP(A380,NYSEARCAMUB!A$2:G$506,7,0)</f>
        <v>0</v>
      </c>
      <c r="I380">
        <f>VLOOKUP(A380,NYSEARCAVNQ!A$2:G$506,7,0)</f>
        <v>0</v>
      </c>
      <c r="J380">
        <f>VLOOKUP(A380,NYSEARCARWX!A$2:G$506,7,0)</f>
        <v>0</v>
      </c>
      <c r="K380">
        <f>VLOOKUP(A380,NYSEARCADBC!A$2:G$506,7,0)</f>
        <v>0</v>
      </c>
      <c r="L380">
        <f>VLOOKUP(A380,NYSEARCAGSG!A$2:G$506,7,0)</f>
        <v>0</v>
      </c>
      <c r="M380">
        <f>VLOOKUP(A380,NYSEARCAGLD!A$2:G$506,7,0)</f>
        <v>0</v>
      </c>
      <c r="N380">
        <f>VLOOKUP(A380,NYSEBP!A$2:G$506,7,0)</f>
        <v>0</v>
      </c>
      <c r="O380">
        <f>VLOOKUP(A380,NASDAQYHOO!A$2:G$506,7,0)</f>
        <v>0</v>
      </c>
    </row>
    <row r="381" spans="1:15">
      <c r="A381" s="39">
        <v>42692</v>
      </c>
      <c r="C381">
        <f>VLOOKUP(A381,NYSEARCAVTI!A$2:G$506,7,0)</f>
        <v>0</v>
      </c>
      <c r="D381">
        <f>VLOOKUP(A381,NYSEARCAVEU!A$2:G$506,7,0)</f>
        <v>0</v>
      </c>
      <c r="E381">
        <f>VLOOKUP(A381,NYSEARCAVWO!A$2:G$506,7,0)</f>
        <v>0</v>
      </c>
      <c r="F381">
        <f>VLOOKUP(A381,NYSEARCABND!A$2:G$506,7,0)</f>
        <v>0</v>
      </c>
      <c r="G381">
        <f>VLOOKUP(A381,NYSEARCATIP!A$2:G$506,7,0)</f>
        <v>0</v>
      </c>
      <c r="H381">
        <f>VLOOKUP(A381,NYSEARCAMUB!A$2:G$506,7,0)</f>
        <v>0</v>
      </c>
      <c r="I381">
        <f>VLOOKUP(A381,NYSEARCAVNQ!A$2:G$506,7,0)</f>
        <v>0</v>
      </c>
      <c r="J381">
        <f>VLOOKUP(A381,NYSEARCARWX!A$2:G$506,7,0)</f>
        <v>0</v>
      </c>
      <c r="K381">
        <f>VLOOKUP(A381,NYSEARCADBC!A$2:G$506,7,0)</f>
        <v>0</v>
      </c>
      <c r="L381">
        <f>VLOOKUP(A381,NYSEARCAGSG!A$2:G$506,7,0)</f>
        <v>0</v>
      </c>
      <c r="M381">
        <f>VLOOKUP(A381,NYSEARCAGLD!A$2:G$506,7,0)</f>
        <v>0</v>
      </c>
      <c r="N381">
        <f>VLOOKUP(A381,NYSEBP!A$2:G$506,7,0)</f>
        <v>0</v>
      </c>
      <c r="O381">
        <f>VLOOKUP(A381,NASDAQYHOO!A$2:G$506,7,0)</f>
        <v>0</v>
      </c>
    </row>
    <row r="382" spans="1:15">
      <c r="A382" s="39">
        <v>42695</v>
      </c>
      <c r="C382">
        <f>VLOOKUP(A382,NYSEARCAVTI!A$2:G$506,7,0)</f>
        <v>0</v>
      </c>
      <c r="D382">
        <f>VLOOKUP(A382,NYSEARCAVEU!A$2:G$506,7,0)</f>
        <v>0</v>
      </c>
      <c r="E382">
        <f>VLOOKUP(A382,NYSEARCAVWO!A$2:G$506,7,0)</f>
        <v>0</v>
      </c>
      <c r="F382">
        <f>VLOOKUP(A382,NYSEARCABND!A$2:G$506,7,0)</f>
        <v>0</v>
      </c>
      <c r="G382">
        <f>VLOOKUP(A382,NYSEARCATIP!A$2:G$506,7,0)</f>
        <v>0</v>
      </c>
      <c r="H382">
        <f>VLOOKUP(A382,NYSEARCAMUB!A$2:G$506,7,0)</f>
        <v>0</v>
      </c>
      <c r="I382">
        <f>VLOOKUP(A382,NYSEARCAVNQ!A$2:G$506,7,0)</f>
        <v>0</v>
      </c>
      <c r="J382">
        <f>VLOOKUP(A382,NYSEARCARWX!A$2:G$506,7,0)</f>
        <v>0</v>
      </c>
      <c r="K382">
        <f>VLOOKUP(A382,NYSEARCADBC!A$2:G$506,7,0)</f>
        <v>0</v>
      </c>
      <c r="L382">
        <f>VLOOKUP(A382,NYSEARCAGSG!A$2:G$506,7,0)</f>
        <v>0</v>
      </c>
      <c r="M382">
        <f>VLOOKUP(A382,NYSEARCAGLD!A$2:G$506,7,0)</f>
        <v>0</v>
      </c>
      <c r="N382">
        <f>VLOOKUP(A382,NYSEBP!A$2:G$506,7,0)</f>
        <v>0</v>
      </c>
      <c r="O382">
        <f>VLOOKUP(A382,NASDAQYHOO!A$2:G$506,7,0)</f>
        <v>0</v>
      </c>
    </row>
    <row r="383" spans="1:15">
      <c r="A383" s="39">
        <v>42696</v>
      </c>
      <c r="C383">
        <f>VLOOKUP(A383,NYSEARCAVTI!A$2:G$506,7,0)</f>
        <v>0</v>
      </c>
      <c r="D383">
        <f>VLOOKUP(A383,NYSEARCAVEU!A$2:G$506,7,0)</f>
        <v>0</v>
      </c>
      <c r="E383">
        <f>VLOOKUP(A383,NYSEARCAVWO!A$2:G$506,7,0)</f>
        <v>0</v>
      </c>
      <c r="F383">
        <f>VLOOKUP(A383,NYSEARCABND!A$2:G$506,7,0)</f>
        <v>0</v>
      </c>
      <c r="G383">
        <f>VLOOKUP(A383,NYSEARCATIP!A$2:G$506,7,0)</f>
        <v>0</v>
      </c>
      <c r="H383">
        <f>VLOOKUP(A383,NYSEARCAMUB!A$2:G$506,7,0)</f>
        <v>0</v>
      </c>
      <c r="I383">
        <f>VLOOKUP(A383,NYSEARCAVNQ!A$2:G$506,7,0)</f>
        <v>0</v>
      </c>
      <c r="J383">
        <f>VLOOKUP(A383,NYSEARCARWX!A$2:G$506,7,0)</f>
        <v>0</v>
      </c>
      <c r="K383">
        <f>VLOOKUP(A383,NYSEARCADBC!A$2:G$506,7,0)</f>
        <v>0</v>
      </c>
      <c r="L383">
        <f>VLOOKUP(A383,NYSEARCAGSG!A$2:G$506,7,0)</f>
        <v>0</v>
      </c>
      <c r="M383">
        <f>VLOOKUP(A383,NYSEARCAGLD!A$2:G$506,7,0)</f>
        <v>0</v>
      </c>
      <c r="N383">
        <f>VLOOKUP(A383,NYSEBP!A$2:G$506,7,0)</f>
        <v>0</v>
      </c>
      <c r="O383">
        <f>VLOOKUP(A383,NASDAQYHOO!A$2:G$506,7,0)</f>
        <v>0</v>
      </c>
    </row>
    <row r="384" spans="1:15">
      <c r="A384" s="39">
        <v>42697</v>
      </c>
      <c r="C384">
        <f>VLOOKUP(A384,NYSEARCAVTI!A$2:G$506,7,0)</f>
        <v>0</v>
      </c>
      <c r="D384">
        <f>VLOOKUP(A384,NYSEARCAVEU!A$2:G$506,7,0)</f>
        <v>0</v>
      </c>
      <c r="E384">
        <f>VLOOKUP(A384,NYSEARCAVWO!A$2:G$506,7,0)</f>
        <v>0</v>
      </c>
      <c r="F384">
        <f>VLOOKUP(A384,NYSEARCABND!A$2:G$506,7,0)</f>
        <v>0</v>
      </c>
      <c r="G384">
        <f>VLOOKUP(A384,NYSEARCATIP!A$2:G$506,7,0)</f>
        <v>0</v>
      </c>
      <c r="H384">
        <f>VLOOKUP(A384,NYSEARCAMUB!A$2:G$506,7,0)</f>
        <v>0</v>
      </c>
      <c r="I384">
        <f>VLOOKUP(A384,NYSEARCAVNQ!A$2:G$506,7,0)</f>
        <v>0</v>
      </c>
      <c r="J384">
        <f>VLOOKUP(A384,NYSEARCARWX!A$2:G$506,7,0)</f>
        <v>0</v>
      </c>
      <c r="K384">
        <f>VLOOKUP(A384,NYSEARCADBC!A$2:G$506,7,0)</f>
        <v>0</v>
      </c>
      <c r="L384">
        <f>VLOOKUP(A384,NYSEARCAGSG!A$2:G$506,7,0)</f>
        <v>0</v>
      </c>
      <c r="M384">
        <f>VLOOKUP(A384,NYSEARCAGLD!A$2:G$506,7,0)</f>
        <v>0</v>
      </c>
      <c r="N384">
        <f>VLOOKUP(A384,NYSEBP!A$2:G$506,7,0)</f>
        <v>0</v>
      </c>
      <c r="O384">
        <f>VLOOKUP(A384,NASDAQYHOO!A$2:G$506,7,0)</f>
        <v>0</v>
      </c>
    </row>
    <row r="385" spans="1:15">
      <c r="A385" s="39">
        <v>42699</v>
      </c>
      <c r="C385">
        <f>VLOOKUP(A385,NYSEARCAVTI!A$2:G$506,7,0)</f>
        <v>0</v>
      </c>
      <c r="D385">
        <f>VLOOKUP(A385,NYSEARCAVEU!A$2:G$506,7,0)</f>
        <v>0</v>
      </c>
      <c r="E385">
        <f>VLOOKUP(A385,NYSEARCAVWO!A$2:G$506,7,0)</f>
        <v>0</v>
      </c>
      <c r="F385">
        <f>VLOOKUP(A385,NYSEARCABND!A$2:G$506,7,0)</f>
        <v>0</v>
      </c>
      <c r="G385">
        <f>VLOOKUP(A385,NYSEARCATIP!A$2:G$506,7,0)</f>
        <v>0</v>
      </c>
      <c r="H385">
        <f>VLOOKUP(A385,NYSEARCAMUB!A$2:G$506,7,0)</f>
        <v>0</v>
      </c>
      <c r="I385">
        <f>VLOOKUP(A385,NYSEARCAVNQ!A$2:G$506,7,0)</f>
        <v>0</v>
      </c>
      <c r="J385">
        <f>VLOOKUP(A385,NYSEARCARWX!A$2:G$506,7,0)</f>
        <v>0</v>
      </c>
      <c r="K385">
        <f>VLOOKUP(A385,NYSEARCADBC!A$2:G$506,7,0)</f>
        <v>0</v>
      </c>
      <c r="L385">
        <f>VLOOKUP(A385,NYSEARCAGSG!A$2:G$506,7,0)</f>
        <v>0</v>
      </c>
      <c r="M385">
        <f>VLOOKUP(A385,NYSEARCAGLD!A$2:G$506,7,0)</f>
        <v>0</v>
      </c>
      <c r="N385">
        <f>VLOOKUP(A385,NYSEBP!A$2:G$506,7,0)</f>
        <v>0</v>
      </c>
      <c r="O385">
        <f>VLOOKUP(A385,NASDAQYHOO!A$2:G$506,7,0)</f>
        <v>0</v>
      </c>
    </row>
    <row r="386" spans="1:15">
      <c r="A386" s="39">
        <v>42702</v>
      </c>
      <c r="C386">
        <f>VLOOKUP(A386,NYSEARCAVTI!A$2:G$506,7,0)</f>
        <v>0</v>
      </c>
      <c r="D386">
        <f>VLOOKUP(A386,NYSEARCAVEU!A$2:G$506,7,0)</f>
        <v>0</v>
      </c>
      <c r="E386">
        <f>VLOOKUP(A386,NYSEARCAVWO!A$2:G$506,7,0)</f>
        <v>0</v>
      </c>
      <c r="F386">
        <f>VLOOKUP(A386,NYSEARCABND!A$2:G$506,7,0)</f>
        <v>0</v>
      </c>
      <c r="G386">
        <f>VLOOKUP(A386,NYSEARCATIP!A$2:G$506,7,0)</f>
        <v>0</v>
      </c>
      <c r="H386">
        <f>VLOOKUP(A386,NYSEARCAMUB!A$2:G$506,7,0)</f>
        <v>0</v>
      </c>
      <c r="I386">
        <f>VLOOKUP(A386,NYSEARCAVNQ!A$2:G$506,7,0)</f>
        <v>0</v>
      </c>
      <c r="J386">
        <f>VLOOKUP(A386,NYSEARCARWX!A$2:G$506,7,0)</f>
        <v>0</v>
      </c>
      <c r="K386">
        <f>VLOOKUP(A386,NYSEARCADBC!A$2:G$506,7,0)</f>
        <v>0</v>
      </c>
      <c r="L386">
        <f>VLOOKUP(A386,NYSEARCAGSG!A$2:G$506,7,0)</f>
        <v>0</v>
      </c>
      <c r="M386">
        <f>VLOOKUP(A386,NYSEARCAGLD!A$2:G$506,7,0)</f>
        <v>0</v>
      </c>
      <c r="N386">
        <f>VLOOKUP(A386,NYSEBP!A$2:G$506,7,0)</f>
        <v>0</v>
      </c>
      <c r="O386">
        <f>VLOOKUP(A386,NASDAQYHOO!A$2:G$506,7,0)</f>
        <v>0</v>
      </c>
    </row>
    <row r="387" spans="1:15">
      <c r="A387" s="39">
        <v>42703</v>
      </c>
      <c r="C387">
        <f>VLOOKUP(A387,NYSEARCAVTI!A$2:G$506,7,0)</f>
        <v>0</v>
      </c>
      <c r="D387">
        <f>VLOOKUP(A387,NYSEARCAVEU!A$2:G$506,7,0)</f>
        <v>0</v>
      </c>
      <c r="E387">
        <f>VLOOKUP(A387,NYSEARCAVWO!A$2:G$506,7,0)</f>
        <v>0</v>
      </c>
      <c r="F387">
        <f>VLOOKUP(A387,NYSEARCABND!A$2:G$506,7,0)</f>
        <v>0</v>
      </c>
      <c r="G387">
        <f>VLOOKUP(A387,NYSEARCATIP!A$2:G$506,7,0)</f>
        <v>0</v>
      </c>
      <c r="H387">
        <f>VLOOKUP(A387,NYSEARCAMUB!A$2:G$506,7,0)</f>
        <v>0</v>
      </c>
      <c r="I387">
        <f>VLOOKUP(A387,NYSEARCAVNQ!A$2:G$506,7,0)</f>
        <v>0</v>
      </c>
      <c r="J387">
        <f>VLOOKUP(A387,NYSEARCARWX!A$2:G$506,7,0)</f>
        <v>0</v>
      </c>
      <c r="K387">
        <f>VLOOKUP(A387,NYSEARCADBC!A$2:G$506,7,0)</f>
        <v>0</v>
      </c>
      <c r="L387">
        <f>VLOOKUP(A387,NYSEARCAGSG!A$2:G$506,7,0)</f>
        <v>0</v>
      </c>
      <c r="M387">
        <f>VLOOKUP(A387,NYSEARCAGLD!A$2:G$506,7,0)</f>
        <v>0</v>
      </c>
      <c r="N387">
        <f>VLOOKUP(A387,NYSEBP!A$2:G$506,7,0)</f>
        <v>0</v>
      </c>
      <c r="O387">
        <f>VLOOKUP(A387,NASDAQYHOO!A$2:G$506,7,0)</f>
        <v>0</v>
      </c>
    </row>
    <row r="388" spans="1:15">
      <c r="A388" s="39">
        <v>42704</v>
      </c>
      <c r="C388">
        <f>VLOOKUP(A388,NYSEARCAVTI!A$2:G$506,7,0)</f>
        <v>0</v>
      </c>
      <c r="D388">
        <f>VLOOKUP(A388,NYSEARCAVEU!A$2:G$506,7,0)</f>
        <v>0</v>
      </c>
      <c r="E388">
        <f>VLOOKUP(A388,NYSEARCAVWO!A$2:G$506,7,0)</f>
        <v>0</v>
      </c>
      <c r="F388">
        <f>VLOOKUP(A388,NYSEARCABND!A$2:G$506,7,0)</f>
        <v>0</v>
      </c>
      <c r="G388">
        <f>VLOOKUP(A388,NYSEARCATIP!A$2:G$506,7,0)</f>
        <v>0</v>
      </c>
      <c r="H388">
        <f>VLOOKUP(A388,NYSEARCAMUB!A$2:G$506,7,0)</f>
        <v>0</v>
      </c>
      <c r="I388">
        <f>VLOOKUP(A388,NYSEARCAVNQ!A$2:G$506,7,0)</f>
        <v>0</v>
      </c>
      <c r="J388">
        <f>VLOOKUP(A388,NYSEARCARWX!A$2:G$506,7,0)</f>
        <v>0</v>
      </c>
      <c r="K388">
        <f>VLOOKUP(A388,NYSEARCADBC!A$2:G$506,7,0)</f>
        <v>0</v>
      </c>
      <c r="L388">
        <f>VLOOKUP(A388,NYSEARCAGSG!A$2:G$506,7,0)</f>
        <v>0</v>
      </c>
      <c r="M388">
        <f>VLOOKUP(A388,NYSEARCAGLD!A$2:G$506,7,0)</f>
        <v>0</v>
      </c>
      <c r="N388">
        <f>VLOOKUP(A388,NYSEBP!A$2:G$506,7,0)</f>
        <v>0</v>
      </c>
      <c r="O388">
        <f>VLOOKUP(A388,NASDAQYHOO!A$2:G$506,7,0)</f>
        <v>0</v>
      </c>
    </row>
    <row r="389" spans="1:15">
      <c r="A389" s="39">
        <v>42705</v>
      </c>
      <c r="C389">
        <f>VLOOKUP(A389,NYSEARCAVTI!A$2:G$506,7,0)</f>
        <v>0</v>
      </c>
      <c r="D389">
        <f>VLOOKUP(A389,NYSEARCAVEU!A$2:G$506,7,0)</f>
        <v>0</v>
      </c>
      <c r="E389">
        <f>VLOOKUP(A389,NYSEARCAVWO!A$2:G$506,7,0)</f>
        <v>0</v>
      </c>
      <c r="F389">
        <f>VLOOKUP(A389,NYSEARCABND!A$2:G$506,7,0)</f>
        <v>0</v>
      </c>
      <c r="G389">
        <f>VLOOKUP(A389,NYSEARCATIP!A$2:G$506,7,0)</f>
        <v>0</v>
      </c>
      <c r="H389">
        <f>VLOOKUP(A389,NYSEARCAMUB!A$2:G$506,7,0)</f>
        <v>0</v>
      </c>
      <c r="I389">
        <f>VLOOKUP(A389,NYSEARCAVNQ!A$2:G$506,7,0)</f>
        <v>0</v>
      </c>
      <c r="J389">
        <f>VLOOKUP(A389,NYSEARCARWX!A$2:G$506,7,0)</f>
        <v>0</v>
      </c>
      <c r="K389">
        <f>VLOOKUP(A389,NYSEARCADBC!A$2:G$506,7,0)</f>
        <v>0</v>
      </c>
      <c r="L389">
        <f>VLOOKUP(A389,NYSEARCAGSG!A$2:G$506,7,0)</f>
        <v>0</v>
      </c>
      <c r="M389">
        <f>VLOOKUP(A389,NYSEARCAGLD!A$2:G$506,7,0)</f>
        <v>0</v>
      </c>
      <c r="N389">
        <f>VLOOKUP(A389,NYSEBP!A$2:G$506,7,0)</f>
        <v>0</v>
      </c>
      <c r="O389">
        <f>VLOOKUP(A389,NASDAQYHOO!A$2:G$506,7,0)</f>
        <v>0</v>
      </c>
    </row>
    <row r="390" spans="1:15">
      <c r="A390" s="39">
        <v>42706</v>
      </c>
      <c r="C390">
        <f>VLOOKUP(A390,NYSEARCAVTI!A$2:G$506,7,0)</f>
        <v>0</v>
      </c>
      <c r="D390">
        <f>VLOOKUP(A390,NYSEARCAVEU!A$2:G$506,7,0)</f>
        <v>0</v>
      </c>
      <c r="E390">
        <f>VLOOKUP(A390,NYSEARCAVWO!A$2:G$506,7,0)</f>
        <v>0</v>
      </c>
      <c r="F390">
        <f>VLOOKUP(A390,NYSEARCABND!A$2:G$506,7,0)</f>
        <v>0</v>
      </c>
      <c r="G390">
        <f>VLOOKUP(A390,NYSEARCATIP!A$2:G$506,7,0)</f>
        <v>0</v>
      </c>
      <c r="H390">
        <f>VLOOKUP(A390,NYSEARCAMUB!A$2:G$506,7,0)</f>
        <v>0</v>
      </c>
      <c r="I390">
        <f>VLOOKUP(A390,NYSEARCAVNQ!A$2:G$506,7,0)</f>
        <v>0</v>
      </c>
      <c r="J390">
        <f>VLOOKUP(A390,NYSEARCARWX!A$2:G$506,7,0)</f>
        <v>0</v>
      </c>
      <c r="K390">
        <f>VLOOKUP(A390,NYSEARCADBC!A$2:G$506,7,0)</f>
        <v>0</v>
      </c>
      <c r="L390">
        <f>VLOOKUP(A390,NYSEARCAGSG!A$2:G$506,7,0)</f>
        <v>0</v>
      </c>
      <c r="M390">
        <f>VLOOKUP(A390,NYSEARCAGLD!A$2:G$506,7,0)</f>
        <v>0</v>
      </c>
      <c r="N390">
        <f>VLOOKUP(A390,NYSEBP!A$2:G$506,7,0)</f>
        <v>0</v>
      </c>
      <c r="O390">
        <f>VLOOKUP(A390,NASDAQYHOO!A$2:G$506,7,0)</f>
        <v>0</v>
      </c>
    </row>
    <row r="391" spans="1:15">
      <c r="A391" s="39">
        <v>42709</v>
      </c>
      <c r="C391">
        <f>VLOOKUP(A391,NYSEARCAVTI!A$2:G$506,7,0)</f>
        <v>0</v>
      </c>
      <c r="D391">
        <f>VLOOKUP(A391,NYSEARCAVEU!A$2:G$506,7,0)</f>
        <v>0</v>
      </c>
      <c r="E391">
        <f>VLOOKUP(A391,NYSEARCAVWO!A$2:G$506,7,0)</f>
        <v>0</v>
      </c>
      <c r="F391">
        <f>VLOOKUP(A391,NYSEARCABND!A$2:G$506,7,0)</f>
        <v>0</v>
      </c>
      <c r="G391">
        <f>VLOOKUP(A391,NYSEARCATIP!A$2:G$506,7,0)</f>
        <v>0</v>
      </c>
      <c r="H391">
        <f>VLOOKUP(A391,NYSEARCAMUB!A$2:G$506,7,0)</f>
        <v>0</v>
      </c>
      <c r="I391">
        <f>VLOOKUP(A391,NYSEARCAVNQ!A$2:G$506,7,0)</f>
        <v>0</v>
      </c>
      <c r="J391">
        <f>VLOOKUP(A391,NYSEARCARWX!A$2:G$506,7,0)</f>
        <v>0</v>
      </c>
      <c r="K391">
        <f>VLOOKUP(A391,NYSEARCADBC!A$2:G$506,7,0)</f>
        <v>0</v>
      </c>
      <c r="L391">
        <f>VLOOKUP(A391,NYSEARCAGSG!A$2:G$506,7,0)</f>
        <v>0</v>
      </c>
      <c r="M391">
        <f>VLOOKUP(A391,NYSEARCAGLD!A$2:G$506,7,0)</f>
        <v>0</v>
      </c>
      <c r="N391">
        <f>VLOOKUP(A391,NYSEBP!A$2:G$506,7,0)</f>
        <v>0</v>
      </c>
      <c r="O391">
        <f>VLOOKUP(A391,NASDAQYHOO!A$2:G$506,7,0)</f>
        <v>0</v>
      </c>
    </row>
    <row r="392" spans="1:15">
      <c r="A392" s="39">
        <v>42710</v>
      </c>
      <c r="C392">
        <f>VLOOKUP(A392,NYSEARCAVTI!A$2:G$506,7,0)</f>
        <v>0</v>
      </c>
      <c r="D392">
        <f>VLOOKUP(A392,NYSEARCAVEU!A$2:G$506,7,0)</f>
        <v>0</v>
      </c>
      <c r="E392">
        <f>VLOOKUP(A392,NYSEARCAVWO!A$2:G$506,7,0)</f>
        <v>0</v>
      </c>
      <c r="F392">
        <f>VLOOKUP(A392,NYSEARCABND!A$2:G$506,7,0)</f>
        <v>0</v>
      </c>
      <c r="G392">
        <f>VLOOKUP(A392,NYSEARCATIP!A$2:G$506,7,0)</f>
        <v>0</v>
      </c>
      <c r="H392">
        <f>VLOOKUP(A392,NYSEARCAMUB!A$2:G$506,7,0)</f>
        <v>0</v>
      </c>
      <c r="I392">
        <f>VLOOKUP(A392,NYSEARCAVNQ!A$2:G$506,7,0)</f>
        <v>0</v>
      </c>
      <c r="J392">
        <f>VLOOKUP(A392,NYSEARCARWX!A$2:G$506,7,0)</f>
        <v>0</v>
      </c>
      <c r="K392">
        <f>VLOOKUP(A392,NYSEARCADBC!A$2:G$506,7,0)</f>
        <v>0</v>
      </c>
      <c r="L392">
        <f>VLOOKUP(A392,NYSEARCAGSG!A$2:G$506,7,0)</f>
        <v>0</v>
      </c>
      <c r="M392">
        <f>VLOOKUP(A392,NYSEARCAGLD!A$2:G$506,7,0)</f>
        <v>0</v>
      </c>
      <c r="N392">
        <f>VLOOKUP(A392,NYSEBP!A$2:G$506,7,0)</f>
        <v>0</v>
      </c>
      <c r="O392">
        <f>VLOOKUP(A392,NASDAQYHOO!A$2:G$506,7,0)</f>
        <v>0</v>
      </c>
    </row>
    <row r="393" spans="1:15">
      <c r="A393" s="39">
        <v>42711</v>
      </c>
      <c r="C393">
        <f>VLOOKUP(A393,NYSEARCAVTI!A$2:G$506,7,0)</f>
        <v>0</v>
      </c>
      <c r="D393">
        <f>VLOOKUP(A393,NYSEARCAVEU!A$2:G$506,7,0)</f>
        <v>0</v>
      </c>
      <c r="E393">
        <f>VLOOKUP(A393,NYSEARCAVWO!A$2:G$506,7,0)</f>
        <v>0</v>
      </c>
      <c r="F393">
        <f>VLOOKUP(A393,NYSEARCABND!A$2:G$506,7,0)</f>
        <v>0</v>
      </c>
      <c r="G393">
        <f>VLOOKUP(A393,NYSEARCATIP!A$2:G$506,7,0)</f>
        <v>0</v>
      </c>
      <c r="H393">
        <f>VLOOKUP(A393,NYSEARCAMUB!A$2:G$506,7,0)</f>
        <v>0</v>
      </c>
      <c r="I393">
        <f>VLOOKUP(A393,NYSEARCAVNQ!A$2:G$506,7,0)</f>
        <v>0</v>
      </c>
      <c r="J393">
        <f>VLOOKUP(A393,NYSEARCARWX!A$2:G$506,7,0)</f>
        <v>0</v>
      </c>
      <c r="K393">
        <f>VLOOKUP(A393,NYSEARCADBC!A$2:G$506,7,0)</f>
        <v>0</v>
      </c>
      <c r="L393">
        <f>VLOOKUP(A393,NYSEARCAGSG!A$2:G$506,7,0)</f>
        <v>0</v>
      </c>
      <c r="M393">
        <f>VLOOKUP(A393,NYSEARCAGLD!A$2:G$506,7,0)</f>
        <v>0</v>
      </c>
      <c r="N393">
        <f>VLOOKUP(A393,NYSEBP!A$2:G$506,7,0)</f>
        <v>0</v>
      </c>
      <c r="O393">
        <f>VLOOKUP(A393,NASDAQYHOO!A$2:G$506,7,0)</f>
        <v>0</v>
      </c>
    </row>
    <row r="394" spans="1:15">
      <c r="A394" s="39">
        <v>42712</v>
      </c>
      <c r="C394">
        <f>VLOOKUP(A394,NYSEARCAVTI!A$2:G$506,7,0)</f>
        <v>0</v>
      </c>
      <c r="D394">
        <f>VLOOKUP(A394,NYSEARCAVEU!A$2:G$506,7,0)</f>
        <v>0</v>
      </c>
      <c r="E394">
        <f>VLOOKUP(A394,NYSEARCAVWO!A$2:G$506,7,0)</f>
        <v>0</v>
      </c>
      <c r="F394">
        <f>VLOOKUP(A394,NYSEARCABND!A$2:G$506,7,0)</f>
        <v>0</v>
      </c>
      <c r="G394">
        <f>VLOOKUP(A394,NYSEARCATIP!A$2:G$506,7,0)</f>
        <v>0</v>
      </c>
      <c r="H394">
        <f>VLOOKUP(A394,NYSEARCAMUB!A$2:G$506,7,0)</f>
        <v>0</v>
      </c>
      <c r="I394">
        <f>VLOOKUP(A394,NYSEARCAVNQ!A$2:G$506,7,0)</f>
        <v>0</v>
      </c>
      <c r="J394">
        <f>VLOOKUP(A394,NYSEARCARWX!A$2:G$506,7,0)</f>
        <v>0</v>
      </c>
      <c r="K394">
        <f>VLOOKUP(A394,NYSEARCADBC!A$2:G$506,7,0)</f>
        <v>0</v>
      </c>
      <c r="L394">
        <f>VLOOKUP(A394,NYSEARCAGSG!A$2:G$506,7,0)</f>
        <v>0</v>
      </c>
      <c r="M394">
        <f>VLOOKUP(A394,NYSEARCAGLD!A$2:G$506,7,0)</f>
        <v>0</v>
      </c>
      <c r="N394">
        <f>VLOOKUP(A394,NYSEBP!A$2:G$506,7,0)</f>
        <v>0</v>
      </c>
      <c r="O394">
        <f>VLOOKUP(A394,NASDAQYHOO!A$2:G$506,7,0)</f>
        <v>0</v>
      </c>
    </row>
    <row r="395" spans="1:15">
      <c r="A395" s="39">
        <v>42713</v>
      </c>
      <c r="C395">
        <f>VLOOKUP(A395,NYSEARCAVTI!A$2:G$506,7,0)</f>
        <v>0</v>
      </c>
      <c r="D395">
        <f>VLOOKUP(A395,NYSEARCAVEU!A$2:G$506,7,0)</f>
        <v>0</v>
      </c>
      <c r="E395">
        <f>VLOOKUP(A395,NYSEARCAVWO!A$2:G$506,7,0)</f>
        <v>0</v>
      </c>
      <c r="F395">
        <f>VLOOKUP(A395,NYSEARCABND!A$2:G$506,7,0)</f>
        <v>0</v>
      </c>
      <c r="G395">
        <f>VLOOKUP(A395,NYSEARCATIP!A$2:G$506,7,0)</f>
        <v>0</v>
      </c>
      <c r="H395">
        <f>VLOOKUP(A395,NYSEARCAMUB!A$2:G$506,7,0)</f>
        <v>0</v>
      </c>
      <c r="I395">
        <f>VLOOKUP(A395,NYSEARCAVNQ!A$2:G$506,7,0)</f>
        <v>0</v>
      </c>
      <c r="J395">
        <f>VLOOKUP(A395,NYSEARCARWX!A$2:G$506,7,0)</f>
        <v>0</v>
      </c>
      <c r="K395">
        <f>VLOOKUP(A395,NYSEARCADBC!A$2:G$506,7,0)</f>
        <v>0</v>
      </c>
      <c r="L395">
        <f>VLOOKUP(A395,NYSEARCAGSG!A$2:G$506,7,0)</f>
        <v>0</v>
      </c>
      <c r="M395">
        <f>VLOOKUP(A395,NYSEARCAGLD!A$2:G$506,7,0)</f>
        <v>0</v>
      </c>
      <c r="N395">
        <f>VLOOKUP(A395,NYSEBP!A$2:G$506,7,0)</f>
        <v>0</v>
      </c>
      <c r="O395">
        <f>VLOOKUP(A395,NASDAQYHOO!A$2:G$506,7,0)</f>
        <v>0</v>
      </c>
    </row>
    <row r="396" spans="1:15">
      <c r="A396" s="39">
        <v>42716</v>
      </c>
      <c r="C396">
        <f>VLOOKUP(A396,NYSEARCAVTI!A$2:G$506,7,0)</f>
        <v>0</v>
      </c>
      <c r="D396">
        <f>VLOOKUP(A396,NYSEARCAVEU!A$2:G$506,7,0)</f>
        <v>0</v>
      </c>
      <c r="E396">
        <f>VLOOKUP(A396,NYSEARCAVWO!A$2:G$506,7,0)</f>
        <v>0</v>
      </c>
      <c r="F396">
        <f>VLOOKUP(A396,NYSEARCABND!A$2:G$506,7,0)</f>
        <v>0</v>
      </c>
      <c r="G396">
        <f>VLOOKUP(A396,NYSEARCATIP!A$2:G$506,7,0)</f>
        <v>0</v>
      </c>
      <c r="H396">
        <f>VLOOKUP(A396,NYSEARCAMUB!A$2:G$506,7,0)</f>
        <v>0</v>
      </c>
      <c r="I396">
        <f>VLOOKUP(A396,NYSEARCAVNQ!A$2:G$506,7,0)</f>
        <v>0</v>
      </c>
      <c r="J396">
        <f>VLOOKUP(A396,NYSEARCARWX!A$2:G$506,7,0)</f>
        <v>0</v>
      </c>
      <c r="K396">
        <f>VLOOKUP(A396,NYSEARCADBC!A$2:G$506,7,0)</f>
        <v>0</v>
      </c>
      <c r="L396">
        <f>VLOOKUP(A396,NYSEARCAGSG!A$2:G$506,7,0)</f>
        <v>0</v>
      </c>
      <c r="M396">
        <f>VLOOKUP(A396,NYSEARCAGLD!A$2:G$506,7,0)</f>
        <v>0</v>
      </c>
      <c r="N396">
        <f>VLOOKUP(A396,NYSEBP!A$2:G$506,7,0)</f>
        <v>0</v>
      </c>
      <c r="O396">
        <f>VLOOKUP(A396,NASDAQYHOO!A$2:G$506,7,0)</f>
        <v>0</v>
      </c>
    </row>
    <row r="397" spans="1:15">
      <c r="A397" s="39">
        <v>42717</v>
      </c>
      <c r="C397">
        <f>VLOOKUP(A397,NYSEARCAVTI!A$2:G$506,7,0)</f>
        <v>0</v>
      </c>
      <c r="D397">
        <f>VLOOKUP(A397,NYSEARCAVEU!A$2:G$506,7,0)</f>
        <v>0</v>
      </c>
      <c r="E397">
        <f>VLOOKUP(A397,NYSEARCAVWO!A$2:G$506,7,0)</f>
        <v>0</v>
      </c>
      <c r="F397">
        <f>VLOOKUP(A397,NYSEARCABND!A$2:G$506,7,0)</f>
        <v>0</v>
      </c>
      <c r="G397">
        <f>VLOOKUP(A397,NYSEARCATIP!A$2:G$506,7,0)</f>
        <v>0</v>
      </c>
      <c r="H397">
        <f>VLOOKUP(A397,NYSEARCAMUB!A$2:G$506,7,0)</f>
        <v>0</v>
      </c>
      <c r="I397">
        <f>VLOOKUP(A397,NYSEARCAVNQ!A$2:G$506,7,0)</f>
        <v>0</v>
      </c>
      <c r="J397">
        <f>VLOOKUP(A397,NYSEARCARWX!A$2:G$506,7,0)</f>
        <v>0</v>
      </c>
      <c r="K397">
        <f>VLOOKUP(A397,NYSEARCADBC!A$2:G$506,7,0)</f>
        <v>0</v>
      </c>
      <c r="L397">
        <f>VLOOKUP(A397,NYSEARCAGSG!A$2:G$506,7,0)</f>
        <v>0</v>
      </c>
      <c r="M397">
        <f>VLOOKUP(A397,NYSEARCAGLD!A$2:G$506,7,0)</f>
        <v>0</v>
      </c>
      <c r="N397">
        <f>VLOOKUP(A397,NYSEBP!A$2:G$506,7,0)</f>
        <v>0</v>
      </c>
      <c r="O397">
        <f>VLOOKUP(A397,NASDAQYHOO!A$2:G$506,7,0)</f>
        <v>0</v>
      </c>
    </row>
    <row r="398" spans="1:15">
      <c r="A398" s="39">
        <v>42718</v>
      </c>
      <c r="C398">
        <f>VLOOKUP(A398,NYSEARCAVTI!A$2:G$506,7,0)</f>
        <v>0</v>
      </c>
      <c r="D398">
        <f>VLOOKUP(A398,NYSEARCAVEU!A$2:G$506,7,0)</f>
        <v>0</v>
      </c>
      <c r="E398">
        <f>VLOOKUP(A398,NYSEARCAVWO!A$2:G$506,7,0)</f>
        <v>0</v>
      </c>
      <c r="F398">
        <f>VLOOKUP(A398,NYSEARCABND!A$2:G$506,7,0)</f>
        <v>0</v>
      </c>
      <c r="G398">
        <f>VLOOKUP(A398,NYSEARCATIP!A$2:G$506,7,0)</f>
        <v>0</v>
      </c>
      <c r="H398">
        <f>VLOOKUP(A398,NYSEARCAMUB!A$2:G$506,7,0)</f>
        <v>0</v>
      </c>
      <c r="I398">
        <f>VLOOKUP(A398,NYSEARCAVNQ!A$2:G$506,7,0)</f>
        <v>0</v>
      </c>
      <c r="J398">
        <f>VLOOKUP(A398,NYSEARCARWX!A$2:G$506,7,0)</f>
        <v>0</v>
      </c>
      <c r="K398">
        <f>VLOOKUP(A398,NYSEARCADBC!A$2:G$506,7,0)</f>
        <v>0</v>
      </c>
      <c r="L398">
        <f>VLOOKUP(A398,NYSEARCAGSG!A$2:G$506,7,0)</f>
        <v>0</v>
      </c>
      <c r="M398">
        <f>VLOOKUP(A398,NYSEARCAGLD!A$2:G$506,7,0)</f>
        <v>0</v>
      </c>
      <c r="N398">
        <f>VLOOKUP(A398,NYSEBP!A$2:G$506,7,0)</f>
        <v>0</v>
      </c>
      <c r="O398">
        <f>VLOOKUP(A398,NASDAQYHOO!A$2:G$506,7,0)</f>
        <v>0</v>
      </c>
    </row>
    <row r="399" spans="1:15">
      <c r="A399" s="39">
        <v>42719</v>
      </c>
      <c r="C399">
        <f>VLOOKUP(A399,NYSEARCAVTI!A$2:G$506,7,0)</f>
        <v>0</v>
      </c>
      <c r="D399">
        <f>VLOOKUP(A399,NYSEARCAVEU!A$2:G$506,7,0)</f>
        <v>0</v>
      </c>
      <c r="E399">
        <f>VLOOKUP(A399,NYSEARCAVWO!A$2:G$506,7,0)</f>
        <v>0</v>
      </c>
      <c r="F399">
        <f>VLOOKUP(A399,NYSEARCABND!A$2:G$506,7,0)</f>
        <v>0</v>
      </c>
      <c r="G399">
        <f>VLOOKUP(A399,NYSEARCATIP!A$2:G$506,7,0)</f>
        <v>0</v>
      </c>
      <c r="H399">
        <f>VLOOKUP(A399,NYSEARCAMUB!A$2:G$506,7,0)</f>
        <v>0</v>
      </c>
      <c r="I399">
        <f>VLOOKUP(A399,NYSEARCAVNQ!A$2:G$506,7,0)</f>
        <v>0</v>
      </c>
      <c r="J399">
        <f>VLOOKUP(A399,NYSEARCARWX!A$2:G$506,7,0)</f>
        <v>0</v>
      </c>
      <c r="K399">
        <f>VLOOKUP(A399,NYSEARCADBC!A$2:G$506,7,0)</f>
        <v>0</v>
      </c>
      <c r="L399">
        <f>VLOOKUP(A399,NYSEARCAGSG!A$2:G$506,7,0)</f>
        <v>0</v>
      </c>
      <c r="M399">
        <f>VLOOKUP(A399,NYSEARCAGLD!A$2:G$506,7,0)</f>
        <v>0</v>
      </c>
      <c r="N399">
        <f>VLOOKUP(A399,NYSEBP!A$2:G$506,7,0)</f>
        <v>0</v>
      </c>
      <c r="O399">
        <f>VLOOKUP(A399,NASDAQYHOO!A$2:G$506,7,0)</f>
        <v>0</v>
      </c>
    </row>
    <row r="400" spans="1:15">
      <c r="A400" s="39">
        <v>42720</v>
      </c>
      <c r="C400">
        <f>VLOOKUP(A400,NYSEARCAVTI!A$2:G$506,7,0)</f>
        <v>0</v>
      </c>
      <c r="D400">
        <f>VLOOKUP(A400,NYSEARCAVEU!A$2:G$506,7,0)</f>
        <v>0</v>
      </c>
      <c r="E400">
        <f>VLOOKUP(A400,NYSEARCAVWO!A$2:G$506,7,0)</f>
        <v>0</v>
      </c>
      <c r="F400">
        <f>VLOOKUP(A400,NYSEARCABND!A$2:G$506,7,0)</f>
        <v>0</v>
      </c>
      <c r="G400">
        <f>VLOOKUP(A400,NYSEARCATIP!A$2:G$506,7,0)</f>
        <v>0</v>
      </c>
      <c r="H400">
        <f>VLOOKUP(A400,NYSEARCAMUB!A$2:G$506,7,0)</f>
        <v>0</v>
      </c>
      <c r="I400">
        <f>VLOOKUP(A400,NYSEARCAVNQ!A$2:G$506,7,0)</f>
        <v>0</v>
      </c>
      <c r="J400">
        <f>VLOOKUP(A400,NYSEARCARWX!A$2:G$506,7,0)</f>
        <v>0</v>
      </c>
      <c r="K400">
        <f>VLOOKUP(A400,NYSEARCADBC!A$2:G$506,7,0)</f>
        <v>0</v>
      </c>
      <c r="L400">
        <f>VLOOKUP(A400,NYSEARCAGSG!A$2:G$506,7,0)</f>
        <v>0</v>
      </c>
      <c r="M400">
        <f>VLOOKUP(A400,NYSEARCAGLD!A$2:G$506,7,0)</f>
        <v>0</v>
      </c>
      <c r="N400">
        <f>VLOOKUP(A400,NYSEBP!A$2:G$506,7,0)</f>
        <v>0</v>
      </c>
      <c r="O400">
        <f>VLOOKUP(A400,NASDAQYHOO!A$2:G$506,7,0)</f>
        <v>0</v>
      </c>
    </row>
    <row r="401" spans="1:15">
      <c r="A401" s="39">
        <v>42723</v>
      </c>
      <c r="C401">
        <f>VLOOKUP(A401,NYSEARCAVTI!A$2:G$506,7,0)</f>
        <v>0</v>
      </c>
      <c r="D401">
        <f>VLOOKUP(A401,NYSEARCAVEU!A$2:G$506,7,0)</f>
        <v>0</v>
      </c>
      <c r="E401">
        <f>VLOOKUP(A401,NYSEARCAVWO!A$2:G$506,7,0)</f>
        <v>0</v>
      </c>
      <c r="F401">
        <f>VLOOKUP(A401,NYSEARCABND!A$2:G$506,7,0)</f>
        <v>0</v>
      </c>
      <c r="G401">
        <f>VLOOKUP(A401,NYSEARCATIP!A$2:G$506,7,0)</f>
        <v>0</v>
      </c>
      <c r="H401">
        <f>VLOOKUP(A401,NYSEARCAMUB!A$2:G$506,7,0)</f>
        <v>0</v>
      </c>
      <c r="I401">
        <f>VLOOKUP(A401,NYSEARCAVNQ!A$2:G$506,7,0)</f>
        <v>0</v>
      </c>
      <c r="J401">
        <f>VLOOKUP(A401,NYSEARCARWX!A$2:G$506,7,0)</f>
        <v>0</v>
      </c>
      <c r="K401">
        <f>VLOOKUP(A401,NYSEARCADBC!A$2:G$506,7,0)</f>
        <v>0</v>
      </c>
      <c r="L401">
        <f>VLOOKUP(A401,NYSEARCAGSG!A$2:G$506,7,0)</f>
        <v>0</v>
      </c>
      <c r="M401">
        <f>VLOOKUP(A401,NYSEARCAGLD!A$2:G$506,7,0)</f>
        <v>0</v>
      </c>
      <c r="N401">
        <f>VLOOKUP(A401,NYSEBP!A$2:G$506,7,0)</f>
        <v>0</v>
      </c>
      <c r="O401">
        <f>VLOOKUP(A401,NASDAQYHOO!A$2:G$506,7,0)</f>
        <v>0</v>
      </c>
    </row>
    <row r="402" spans="1:15">
      <c r="A402" s="39">
        <v>42724</v>
      </c>
      <c r="C402">
        <f>VLOOKUP(A402,NYSEARCAVTI!A$2:G$506,7,0)</f>
        <v>0</v>
      </c>
      <c r="D402">
        <f>VLOOKUP(A402,NYSEARCAVEU!A$2:G$506,7,0)</f>
        <v>0</v>
      </c>
      <c r="E402">
        <f>VLOOKUP(A402,NYSEARCAVWO!A$2:G$506,7,0)</f>
        <v>0</v>
      </c>
      <c r="F402">
        <f>VLOOKUP(A402,NYSEARCABND!A$2:G$506,7,0)</f>
        <v>0</v>
      </c>
      <c r="G402">
        <f>VLOOKUP(A402,NYSEARCATIP!A$2:G$506,7,0)</f>
        <v>0</v>
      </c>
      <c r="H402">
        <f>VLOOKUP(A402,NYSEARCAMUB!A$2:G$506,7,0)</f>
        <v>0</v>
      </c>
      <c r="I402">
        <f>VLOOKUP(A402,NYSEARCAVNQ!A$2:G$506,7,0)</f>
        <v>0</v>
      </c>
      <c r="J402">
        <f>VLOOKUP(A402,NYSEARCARWX!A$2:G$506,7,0)</f>
        <v>0</v>
      </c>
      <c r="K402">
        <f>VLOOKUP(A402,NYSEARCADBC!A$2:G$506,7,0)</f>
        <v>0</v>
      </c>
      <c r="L402">
        <f>VLOOKUP(A402,NYSEARCAGSG!A$2:G$506,7,0)</f>
        <v>0</v>
      </c>
      <c r="M402">
        <f>VLOOKUP(A402,NYSEARCAGLD!A$2:G$506,7,0)</f>
        <v>0</v>
      </c>
      <c r="N402">
        <f>VLOOKUP(A402,NYSEBP!A$2:G$506,7,0)</f>
        <v>0</v>
      </c>
      <c r="O402">
        <f>VLOOKUP(A402,NASDAQYHOO!A$2:G$506,7,0)</f>
        <v>0</v>
      </c>
    </row>
    <row r="403" spans="1:15">
      <c r="A403" s="39">
        <v>42725</v>
      </c>
      <c r="C403">
        <f>VLOOKUP(A403,NYSEARCAVTI!A$2:G$506,7,0)</f>
        <v>0</v>
      </c>
      <c r="D403">
        <f>VLOOKUP(A403,NYSEARCAVEU!A$2:G$506,7,0)</f>
        <v>0</v>
      </c>
      <c r="E403">
        <f>VLOOKUP(A403,NYSEARCAVWO!A$2:G$506,7,0)</f>
        <v>0</v>
      </c>
      <c r="F403">
        <f>VLOOKUP(A403,NYSEARCABND!A$2:G$506,7,0)</f>
        <v>0</v>
      </c>
      <c r="G403">
        <f>VLOOKUP(A403,NYSEARCATIP!A$2:G$506,7,0)</f>
        <v>0</v>
      </c>
      <c r="H403">
        <f>VLOOKUP(A403,NYSEARCAMUB!A$2:G$506,7,0)</f>
        <v>0</v>
      </c>
      <c r="I403">
        <f>VLOOKUP(A403,NYSEARCAVNQ!A$2:G$506,7,0)</f>
        <v>0</v>
      </c>
      <c r="J403">
        <f>VLOOKUP(A403,NYSEARCARWX!A$2:G$506,7,0)</f>
        <v>0</v>
      </c>
      <c r="K403">
        <f>VLOOKUP(A403,NYSEARCADBC!A$2:G$506,7,0)</f>
        <v>0</v>
      </c>
      <c r="L403">
        <f>VLOOKUP(A403,NYSEARCAGSG!A$2:G$506,7,0)</f>
        <v>0</v>
      </c>
      <c r="M403">
        <f>VLOOKUP(A403,NYSEARCAGLD!A$2:G$506,7,0)</f>
        <v>0</v>
      </c>
      <c r="N403">
        <f>VLOOKUP(A403,NYSEBP!A$2:G$506,7,0)</f>
        <v>0</v>
      </c>
      <c r="O403">
        <f>VLOOKUP(A403,NASDAQYHOO!A$2:G$506,7,0)</f>
        <v>0</v>
      </c>
    </row>
    <row r="404" spans="1:15">
      <c r="A404" s="39">
        <v>42726</v>
      </c>
      <c r="C404">
        <f>VLOOKUP(A404,NYSEARCAVTI!A$2:G$506,7,0)</f>
        <v>0</v>
      </c>
      <c r="D404">
        <f>VLOOKUP(A404,NYSEARCAVEU!A$2:G$506,7,0)</f>
        <v>0</v>
      </c>
      <c r="E404">
        <f>VLOOKUP(A404,NYSEARCAVWO!A$2:G$506,7,0)</f>
        <v>0</v>
      </c>
      <c r="F404">
        <f>VLOOKUP(A404,NYSEARCABND!A$2:G$506,7,0)</f>
        <v>0</v>
      </c>
      <c r="G404">
        <f>VLOOKUP(A404,NYSEARCATIP!A$2:G$506,7,0)</f>
        <v>0</v>
      </c>
      <c r="H404">
        <f>VLOOKUP(A404,NYSEARCAMUB!A$2:G$506,7,0)</f>
        <v>0</v>
      </c>
      <c r="I404">
        <f>VLOOKUP(A404,NYSEARCAVNQ!A$2:G$506,7,0)</f>
        <v>0</v>
      </c>
      <c r="J404">
        <f>VLOOKUP(A404,NYSEARCARWX!A$2:G$506,7,0)</f>
        <v>0</v>
      </c>
      <c r="K404">
        <f>VLOOKUP(A404,NYSEARCADBC!A$2:G$506,7,0)</f>
        <v>0</v>
      </c>
      <c r="L404">
        <f>VLOOKUP(A404,NYSEARCAGSG!A$2:G$506,7,0)</f>
        <v>0</v>
      </c>
      <c r="M404">
        <f>VLOOKUP(A404,NYSEARCAGLD!A$2:G$506,7,0)</f>
        <v>0</v>
      </c>
      <c r="N404">
        <f>VLOOKUP(A404,NYSEBP!A$2:G$506,7,0)</f>
        <v>0</v>
      </c>
      <c r="O404">
        <f>VLOOKUP(A404,NASDAQYHOO!A$2:G$506,7,0)</f>
        <v>0</v>
      </c>
    </row>
    <row r="405" spans="1:15">
      <c r="A405" s="39">
        <v>42727</v>
      </c>
      <c r="C405">
        <f>VLOOKUP(A405,NYSEARCAVTI!A$2:G$506,7,0)</f>
        <v>0</v>
      </c>
      <c r="D405">
        <f>VLOOKUP(A405,NYSEARCAVEU!A$2:G$506,7,0)</f>
        <v>0</v>
      </c>
      <c r="E405">
        <f>VLOOKUP(A405,NYSEARCAVWO!A$2:G$506,7,0)</f>
        <v>0</v>
      </c>
      <c r="F405">
        <f>VLOOKUP(A405,NYSEARCABND!A$2:G$506,7,0)</f>
        <v>0</v>
      </c>
      <c r="G405">
        <f>VLOOKUP(A405,NYSEARCATIP!A$2:G$506,7,0)</f>
        <v>0</v>
      </c>
      <c r="H405">
        <f>VLOOKUP(A405,NYSEARCAMUB!A$2:G$506,7,0)</f>
        <v>0</v>
      </c>
      <c r="I405">
        <f>VLOOKUP(A405,NYSEARCAVNQ!A$2:G$506,7,0)</f>
        <v>0</v>
      </c>
      <c r="J405">
        <f>VLOOKUP(A405,NYSEARCARWX!A$2:G$506,7,0)</f>
        <v>0</v>
      </c>
      <c r="K405">
        <f>VLOOKUP(A405,NYSEARCADBC!A$2:G$506,7,0)</f>
        <v>0</v>
      </c>
      <c r="L405">
        <f>VLOOKUP(A405,NYSEARCAGSG!A$2:G$506,7,0)</f>
        <v>0</v>
      </c>
      <c r="M405">
        <f>VLOOKUP(A405,NYSEARCAGLD!A$2:G$506,7,0)</f>
        <v>0</v>
      </c>
      <c r="N405">
        <f>VLOOKUP(A405,NYSEBP!A$2:G$506,7,0)</f>
        <v>0</v>
      </c>
      <c r="O405">
        <f>VLOOKUP(A405,NASDAQYHOO!A$2:G$506,7,0)</f>
        <v>0</v>
      </c>
    </row>
    <row r="406" spans="1:15">
      <c r="A406" s="39">
        <v>42731</v>
      </c>
      <c r="C406">
        <f>VLOOKUP(A406,NYSEARCAVTI!A$2:G$506,7,0)</f>
        <v>0</v>
      </c>
      <c r="D406">
        <f>VLOOKUP(A406,NYSEARCAVEU!A$2:G$506,7,0)</f>
        <v>0</v>
      </c>
      <c r="E406">
        <f>VLOOKUP(A406,NYSEARCAVWO!A$2:G$506,7,0)</f>
        <v>0</v>
      </c>
      <c r="F406">
        <f>VLOOKUP(A406,NYSEARCABND!A$2:G$506,7,0)</f>
        <v>0</v>
      </c>
      <c r="G406">
        <f>VLOOKUP(A406,NYSEARCATIP!A$2:G$506,7,0)</f>
        <v>0</v>
      </c>
      <c r="H406">
        <f>VLOOKUP(A406,NYSEARCAMUB!A$2:G$506,7,0)</f>
        <v>0</v>
      </c>
      <c r="I406">
        <f>VLOOKUP(A406,NYSEARCAVNQ!A$2:G$506,7,0)</f>
        <v>0</v>
      </c>
      <c r="J406">
        <f>VLOOKUP(A406,NYSEARCARWX!A$2:G$506,7,0)</f>
        <v>0</v>
      </c>
      <c r="K406">
        <f>VLOOKUP(A406,NYSEARCADBC!A$2:G$506,7,0)</f>
        <v>0</v>
      </c>
      <c r="L406">
        <f>VLOOKUP(A406,NYSEARCAGSG!A$2:G$506,7,0)</f>
        <v>0</v>
      </c>
      <c r="M406">
        <f>VLOOKUP(A406,NYSEARCAGLD!A$2:G$506,7,0)</f>
        <v>0</v>
      </c>
      <c r="N406">
        <f>VLOOKUP(A406,NYSEBP!A$2:G$506,7,0)</f>
        <v>0</v>
      </c>
      <c r="O406">
        <f>VLOOKUP(A406,NASDAQYHOO!A$2:G$506,7,0)</f>
        <v>0</v>
      </c>
    </row>
    <row r="407" spans="1:15">
      <c r="A407" s="39">
        <v>42732</v>
      </c>
      <c r="C407">
        <f>VLOOKUP(A407,NYSEARCAVTI!A$2:G$506,7,0)</f>
        <v>0</v>
      </c>
      <c r="D407">
        <f>VLOOKUP(A407,NYSEARCAVEU!A$2:G$506,7,0)</f>
        <v>0</v>
      </c>
      <c r="E407">
        <f>VLOOKUP(A407,NYSEARCAVWO!A$2:G$506,7,0)</f>
        <v>0</v>
      </c>
      <c r="F407">
        <f>VLOOKUP(A407,NYSEARCABND!A$2:G$506,7,0)</f>
        <v>0</v>
      </c>
      <c r="G407">
        <f>VLOOKUP(A407,NYSEARCATIP!A$2:G$506,7,0)</f>
        <v>0</v>
      </c>
      <c r="H407">
        <f>VLOOKUP(A407,NYSEARCAMUB!A$2:G$506,7,0)</f>
        <v>0</v>
      </c>
      <c r="I407">
        <f>VLOOKUP(A407,NYSEARCAVNQ!A$2:G$506,7,0)</f>
        <v>0</v>
      </c>
      <c r="J407">
        <f>VLOOKUP(A407,NYSEARCARWX!A$2:G$506,7,0)</f>
        <v>0</v>
      </c>
      <c r="K407">
        <f>VLOOKUP(A407,NYSEARCADBC!A$2:G$506,7,0)</f>
        <v>0</v>
      </c>
      <c r="L407">
        <f>VLOOKUP(A407,NYSEARCAGSG!A$2:G$506,7,0)</f>
        <v>0</v>
      </c>
      <c r="M407">
        <f>VLOOKUP(A407,NYSEARCAGLD!A$2:G$506,7,0)</f>
        <v>0</v>
      </c>
      <c r="N407">
        <f>VLOOKUP(A407,NYSEBP!A$2:G$506,7,0)</f>
        <v>0</v>
      </c>
      <c r="O407">
        <f>VLOOKUP(A407,NASDAQYHOO!A$2:G$506,7,0)</f>
        <v>0</v>
      </c>
    </row>
    <row r="408" spans="1:15">
      <c r="A408" s="39">
        <v>42733</v>
      </c>
      <c r="C408">
        <f>VLOOKUP(A408,NYSEARCAVTI!A$2:G$506,7,0)</f>
        <v>0</v>
      </c>
      <c r="D408">
        <f>VLOOKUP(A408,NYSEARCAVEU!A$2:G$506,7,0)</f>
        <v>0</v>
      </c>
      <c r="E408">
        <f>VLOOKUP(A408,NYSEARCAVWO!A$2:G$506,7,0)</f>
        <v>0</v>
      </c>
      <c r="F408">
        <f>VLOOKUP(A408,NYSEARCABND!A$2:G$506,7,0)</f>
        <v>0</v>
      </c>
      <c r="G408">
        <f>VLOOKUP(A408,NYSEARCATIP!A$2:G$506,7,0)</f>
        <v>0</v>
      </c>
      <c r="H408">
        <f>VLOOKUP(A408,NYSEARCAMUB!A$2:G$506,7,0)</f>
        <v>0</v>
      </c>
      <c r="I408">
        <f>VLOOKUP(A408,NYSEARCAVNQ!A$2:G$506,7,0)</f>
        <v>0</v>
      </c>
      <c r="J408">
        <f>VLOOKUP(A408,NYSEARCARWX!A$2:G$506,7,0)</f>
        <v>0</v>
      </c>
      <c r="K408">
        <f>VLOOKUP(A408,NYSEARCADBC!A$2:G$506,7,0)</f>
        <v>0</v>
      </c>
      <c r="L408">
        <f>VLOOKUP(A408,NYSEARCAGSG!A$2:G$506,7,0)</f>
        <v>0</v>
      </c>
      <c r="M408">
        <f>VLOOKUP(A408,NYSEARCAGLD!A$2:G$506,7,0)</f>
        <v>0</v>
      </c>
      <c r="N408">
        <f>VLOOKUP(A408,NYSEBP!A$2:G$506,7,0)</f>
        <v>0</v>
      </c>
      <c r="O408">
        <f>VLOOKUP(A408,NASDAQYHOO!A$2:G$506,7,0)</f>
        <v>0</v>
      </c>
    </row>
    <row r="409" spans="1:15">
      <c r="A409" s="39">
        <v>42734</v>
      </c>
      <c r="C409">
        <f>VLOOKUP(A409,NYSEARCAVTI!A$2:G$506,7,0)</f>
        <v>0</v>
      </c>
      <c r="D409">
        <f>VLOOKUP(A409,NYSEARCAVEU!A$2:G$506,7,0)</f>
        <v>0</v>
      </c>
      <c r="E409">
        <f>VLOOKUP(A409,NYSEARCAVWO!A$2:G$506,7,0)</f>
        <v>0</v>
      </c>
      <c r="F409">
        <f>VLOOKUP(A409,NYSEARCABND!A$2:G$506,7,0)</f>
        <v>0</v>
      </c>
      <c r="G409">
        <f>VLOOKUP(A409,NYSEARCATIP!A$2:G$506,7,0)</f>
        <v>0</v>
      </c>
      <c r="H409">
        <f>VLOOKUP(A409,NYSEARCAMUB!A$2:G$506,7,0)</f>
        <v>0</v>
      </c>
      <c r="I409">
        <f>VLOOKUP(A409,NYSEARCAVNQ!A$2:G$506,7,0)</f>
        <v>0</v>
      </c>
      <c r="J409">
        <f>VLOOKUP(A409,NYSEARCARWX!A$2:G$506,7,0)</f>
        <v>0</v>
      </c>
      <c r="K409">
        <f>VLOOKUP(A409,NYSEARCADBC!A$2:G$506,7,0)</f>
        <v>0</v>
      </c>
      <c r="L409">
        <f>VLOOKUP(A409,NYSEARCAGSG!A$2:G$506,7,0)</f>
        <v>0</v>
      </c>
      <c r="M409">
        <f>VLOOKUP(A409,NYSEARCAGLD!A$2:G$506,7,0)</f>
        <v>0</v>
      </c>
      <c r="N409">
        <f>VLOOKUP(A409,NYSEBP!A$2:G$506,7,0)</f>
        <v>0</v>
      </c>
      <c r="O409">
        <f>VLOOKUP(A409,NASDAQYHOO!A$2:G$506,7,0)</f>
        <v>0</v>
      </c>
    </row>
    <row r="410" spans="1:15">
      <c r="A410" s="39">
        <v>42738</v>
      </c>
      <c r="C410">
        <f>VLOOKUP(A410,NYSEARCAVTI!A$2:G$506,7,0)</f>
        <v>0</v>
      </c>
      <c r="D410">
        <f>VLOOKUP(A410,NYSEARCAVEU!A$2:G$506,7,0)</f>
        <v>0</v>
      </c>
      <c r="E410">
        <f>VLOOKUP(A410,NYSEARCAVWO!A$2:G$506,7,0)</f>
        <v>0</v>
      </c>
      <c r="F410">
        <f>VLOOKUP(A410,NYSEARCABND!A$2:G$506,7,0)</f>
        <v>0</v>
      </c>
      <c r="G410">
        <f>VLOOKUP(A410,NYSEARCATIP!A$2:G$506,7,0)</f>
        <v>0</v>
      </c>
      <c r="H410">
        <f>VLOOKUP(A410,NYSEARCAMUB!A$2:G$506,7,0)</f>
        <v>0</v>
      </c>
      <c r="I410">
        <f>VLOOKUP(A410,NYSEARCAVNQ!A$2:G$506,7,0)</f>
        <v>0</v>
      </c>
      <c r="J410">
        <f>VLOOKUP(A410,NYSEARCARWX!A$2:G$506,7,0)</f>
        <v>0</v>
      </c>
      <c r="K410">
        <f>VLOOKUP(A410,NYSEARCADBC!A$2:G$506,7,0)</f>
        <v>0</v>
      </c>
      <c r="L410">
        <f>VLOOKUP(A410,NYSEARCAGSG!A$2:G$506,7,0)</f>
        <v>0</v>
      </c>
      <c r="M410">
        <f>VLOOKUP(A410,NYSEARCAGLD!A$2:G$506,7,0)</f>
        <v>0</v>
      </c>
      <c r="N410">
        <f>VLOOKUP(A410,NYSEBP!A$2:G$506,7,0)</f>
        <v>0</v>
      </c>
      <c r="O410">
        <f>VLOOKUP(A410,NASDAQYHOO!A$2:G$506,7,0)</f>
        <v>0</v>
      </c>
    </row>
    <row r="411" spans="1:15">
      <c r="A411" s="39">
        <v>42739</v>
      </c>
      <c r="C411">
        <f>VLOOKUP(A411,NYSEARCAVTI!A$2:G$506,7,0)</f>
        <v>0</v>
      </c>
      <c r="D411">
        <f>VLOOKUP(A411,NYSEARCAVEU!A$2:G$506,7,0)</f>
        <v>0</v>
      </c>
      <c r="E411">
        <f>VLOOKUP(A411,NYSEARCAVWO!A$2:G$506,7,0)</f>
        <v>0</v>
      </c>
      <c r="F411">
        <f>VLOOKUP(A411,NYSEARCABND!A$2:G$506,7,0)</f>
        <v>0</v>
      </c>
      <c r="G411">
        <f>VLOOKUP(A411,NYSEARCATIP!A$2:G$506,7,0)</f>
        <v>0</v>
      </c>
      <c r="H411">
        <f>VLOOKUP(A411,NYSEARCAMUB!A$2:G$506,7,0)</f>
        <v>0</v>
      </c>
      <c r="I411">
        <f>VLOOKUP(A411,NYSEARCAVNQ!A$2:G$506,7,0)</f>
        <v>0</v>
      </c>
      <c r="J411">
        <f>VLOOKUP(A411,NYSEARCARWX!A$2:G$506,7,0)</f>
        <v>0</v>
      </c>
      <c r="K411">
        <f>VLOOKUP(A411,NYSEARCADBC!A$2:G$506,7,0)</f>
        <v>0</v>
      </c>
      <c r="L411">
        <f>VLOOKUP(A411,NYSEARCAGSG!A$2:G$506,7,0)</f>
        <v>0</v>
      </c>
      <c r="M411">
        <f>VLOOKUP(A411,NYSEARCAGLD!A$2:G$506,7,0)</f>
        <v>0</v>
      </c>
      <c r="N411">
        <f>VLOOKUP(A411,NYSEBP!A$2:G$506,7,0)</f>
        <v>0</v>
      </c>
      <c r="O411">
        <f>VLOOKUP(A411,NASDAQYHOO!A$2:G$506,7,0)</f>
        <v>0</v>
      </c>
    </row>
    <row r="412" spans="1:15">
      <c r="A412" s="39">
        <v>42740</v>
      </c>
      <c r="C412">
        <f>VLOOKUP(A412,NYSEARCAVTI!A$2:G$506,7,0)</f>
        <v>0</v>
      </c>
      <c r="D412">
        <f>VLOOKUP(A412,NYSEARCAVEU!A$2:G$506,7,0)</f>
        <v>0</v>
      </c>
      <c r="E412">
        <f>VLOOKUP(A412,NYSEARCAVWO!A$2:G$506,7,0)</f>
        <v>0</v>
      </c>
      <c r="F412">
        <f>VLOOKUP(A412,NYSEARCABND!A$2:G$506,7,0)</f>
        <v>0</v>
      </c>
      <c r="G412">
        <f>VLOOKUP(A412,NYSEARCATIP!A$2:G$506,7,0)</f>
        <v>0</v>
      </c>
      <c r="H412">
        <f>VLOOKUP(A412,NYSEARCAMUB!A$2:G$506,7,0)</f>
        <v>0</v>
      </c>
      <c r="I412">
        <f>VLOOKUP(A412,NYSEARCAVNQ!A$2:G$506,7,0)</f>
        <v>0</v>
      </c>
      <c r="J412">
        <f>VLOOKUP(A412,NYSEARCARWX!A$2:G$506,7,0)</f>
        <v>0</v>
      </c>
      <c r="K412">
        <f>VLOOKUP(A412,NYSEARCADBC!A$2:G$506,7,0)</f>
        <v>0</v>
      </c>
      <c r="L412">
        <f>VLOOKUP(A412,NYSEARCAGSG!A$2:G$506,7,0)</f>
        <v>0</v>
      </c>
      <c r="M412">
        <f>VLOOKUP(A412,NYSEARCAGLD!A$2:G$506,7,0)</f>
        <v>0</v>
      </c>
      <c r="N412">
        <f>VLOOKUP(A412,NYSEBP!A$2:G$506,7,0)</f>
        <v>0</v>
      </c>
      <c r="O412">
        <f>VLOOKUP(A412,NASDAQYHOO!A$2:G$506,7,0)</f>
        <v>0</v>
      </c>
    </row>
    <row r="413" spans="1:15">
      <c r="A413" s="39">
        <v>42741</v>
      </c>
      <c r="C413">
        <f>VLOOKUP(A413,NYSEARCAVTI!A$2:G$506,7,0)</f>
        <v>0</v>
      </c>
      <c r="D413">
        <f>VLOOKUP(A413,NYSEARCAVEU!A$2:G$506,7,0)</f>
        <v>0</v>
      </c>
      <c r="E413">
        <f>VLOOKUP(A413,NYSEARCAVWO!A$2:G$506,7,0)</f>
        <v>0</v>
      </c>
      <c r="F413">
        <f>VLOOKUP(A413,NYSEARCABND!A$2:G$506,7,0)</f>
        <v>0</v>
      </c>
      <c r="G413">
        <f>VLOOKUP(A413,NYSEARCATIP!A$2:G$506,7,0)</f>
        <v>0</v>
      </c>
      <c r="H413">
        <f>VLOOKUP(A413,NYSEARCAMUB!A$2:G$506,7,0)</f>
        <v>0</v>
      </c>
      <c r="I413">
        <f>VLOOKUP(A413,NYSEARCAVNQ!A$2:G$506,7,0)</f>
        <v>0</v>
      </c>
      <c r="J413">
        <f>VLOOKUP(A413,NYSEARCARWX!A$2:G$506,7,0)</f>
        <v>0</v>
      </c>
      <c r="K413">
        <f>VLOOKUP(A413,NYSEARCADBC!A$2:G$506,7,0)</f>
        <v>0</v>
      </c>
      <c r="L413">
        <f>VLOOKUP(A413,NYSEARCAGSG!A$2:G$506,7,0)</f>
        <v>0</v>
      </c>
      <c r="M413">
        <f>VLOOKUP(A413,NYSEARCAGLD!A$2:G$506,7,0)</f>
        <v>0</v>
      </c>
      <c r="N413">
        <f>VLOOKUP(A413,NYSEBP!A$2:G$506,7,0)</f>
        <v>0</v>
      </c>
      <c r="O413">
        <f>VLOOKUP(A413,NASDAQYHOO!A$2:G$506,7,0)</f>
        <v>0</v>
      </c>
    </row>
    <row r="414" spans="1:15">
      <c r="A414" s="39">
        <v>42744</v>
      </c>
      <c r="C414">
        <f>VLOOKUP(A414,NYSEARCAVTI!A$2:G$506,7,0)</f>
        <v>0</v>
      </c>
      <c r="D414">
        <f>VLOOKUP(A414,NYSEARCAVEU!A$2:G$506,7,0)</f>
        <v>0</v>
      </c>
      <c r="E414">
        <f>VLOOKUP(A414,NYSEARCAVWO!A$2:G$506,7,0)</f>
        <v>0</v>
      </c>
      <c r="F414">
        <f>VLOOKUP(A414,NYSEARCABND!A$2:G$506,7,0)</f>
        <v>0</v>
      </c>
      <c r="G414">
        <f>VLOOKUP(A414,NYSEARCATIP!A$2:G$506,7,0)</f>
        <v>0</v>
      </c>
      <c r="H414">
        <f>VLOOKUP(A414,NYSEARCAMUB!A$2:G$506,7,0)</f>
        <v>0</v>
      </c>
      <c r="I414">
        <f>VLOOKUP(A414,NYSEARCAVNQ!A$2:G$506,7,0)</f>
        <v>0</v>
      </c>
      <c r="J414">
        <f>VLOOKUP(A414,NYSEARCARWX!A$2:G$506,7,0)</f>
        <v>0</v>
      </c>
      <c r="K414">
        <f>VLOOKUP(A414,NYSEARCADBC!A$2:G$506,7,0)</f>
        <v>0</v>
      </c>
      <c r="L414">
        <f>VLOOKUP(A414,NYSEARCAGSG!A$2:G$506,7,0)</f>
        <v>0</v>
      </c>
      <c r="M414">
        <f>VLOOKUP(A414,NYSEARCAGLD!A$2:G$506,7,0)</f>
        <v>0</v>
      </c>
      <c r="N414">
        <f>VLOOKUP(A414,NYSEBP!A$2:G$506,7,0)</f>
        <v>0</v>
      </c>
      <c r="O414">
        <f>VLOOKUP(A414,NASDAQYHOO!A$2:G$506,7,0)</f>
        <v>0</v>
      </c>
    </row>
    <row r="415" spans="1:15">
      <c r="A415" s="39">
        <v>42745</v>
      </c>
      <c r="C415">
        <f>VLOOKUP(A415,NYSEARCAVTI!A$2:G$506,7,0)</f>
        <v>0</v>
      </c>
      <c r="D415">
        <f>VLOOKUP(A415,NYSEARCAVEU!A$2:G$506,7,0)</f>
        <v>0</v>
      </c>
      <c r="E415">
        <f>VLOOKUP(A415,NYSEARCAVWO!A$2:G$506,7,0)</f>
        <v>0</v>
      </c>
      <c r="F415">
        <f>VLOOKUP(A415,NYSEARCABND!A$2:G$506,7,0)</f>
        <v>0</v>
      </c>
      <c r="G415">
        <f>VLOOKUP(A415,NYSEARCATIP!A$2:G$506,7,0)</f>
        <v>0</v>
      </c>
      <c r="H415">
        <f>VLOOKUP(A415,NYSEARCAMUB!A$2:G$506,7,0)</f>
        <v>0</v>
      </c>
      <c r="I415">
        <f>VLOOKUP(A415,NYSEARCAVNQ!A$2:G$506,7,0)</f>
        <v>0</v>
      </c>
      <c r="J415">
        <f>VLOOKUP(A415,NYSEARCARWX!A$2:G$506,7,0)</f>
        <v>0</v>
      </c>
      <c r="K415">
        <f>VLOOKUP(A415,NYSEARCADBC!A$2:G$506,7,0)</f>
        <v>0</v>
      </c>
      <c r="L415">
        <f>VLOOKUP(A415,NYSEARCAGSG!A$2:G$506,7,0)</f>
        <v>0</v>
      </c>
      <c r="M415">
        <f>VLOOKUP(A415,NYSEARCAGLD!A$2:G$506,7,0)</f>
        <v>0</v>
      </c>
      <c r="N415">
        <f>VLOOKUP(A415,NYSEBP!A$2:G$506,7,0)</f>
        <v>0</v>
      </c>
      <c r="O415">
        <f>VLOOKUP(A415,NASDAQYHOO!A$2:G$506,7,0)</f>
        <v>0</v>
      </c>
    </row>
    <row r="416" spans="1:15">
      <c r="A416" s="39">
        <v>42746</v>
      </c>
      <c r="C416">
        <f>VLOOKUP(A416,NYSEARCAVTI!A$2:G$506,7,0)</f>
        <v>0</v>
      </c>
      <c r="D416">
        <f>VLOOKUP(A416,NYSEARCAVEU!A$2:G$506,7,0)</f>
        <v>0</v>
      </c>
      <c r="E416">
        <f>VLOOKUP(A416,NYSEARCAVWO!A$2:G$506,7,0)</f>
        <v>0</v>
      </c>
      <c r="F416">
        <f>VLOOKUP(A416,NYSEARCABND!A$2:G$506,7,0)</f>
        <v>0</v>
      </c>
      <c r="G416">
        <f>VLOOKUP(A416,NYSEARCATIP!A$2:G$506,7,0)</f>
        <v>0</v>
      </c>
      <c r="H416">
        <f>VLOOKUP(A416,NYSEARCAMUB!A$2:G$506,7,0)</f>
        <v>0</v>
      </c>
      <c r="I416">
        <f>VLOOKUP(A416,NYSEARCAVNQ!A$2:G$506,7,0)</f>
        <v>0</v>
      </c>
      <c r="J416">
        <f>VLOOKUP(A416,NYSEARCARWX!A$2:G$506,7,0)</f>
        <v>0</v>
      </c>
      <c r="K416">
        <f>VLOOKUP(A416,NYSEARCADBC!A$2:G$506,7,0)</f>
        <v>0</v>
      </c>
      <c r="L416">
        <f>VLOOKUP(A416,NYSEARCAGSG!A$2:G$506,7,0)</f>
        <v>0</v>
      </c>
      <c r="M416">
        <f>VLOOKUP(A416,NYSEARCAGLD!A$2:G$506,7,0)</f>
        <v>0</v>
      </c>
      <c r="N416">
        <f>VLOOKUP(A416,NYSEBP!A$2:G$506,7,0)</f>
        <v>0</v>
      </c>
      <c r="O416">
        <f>VLOOKUP(A416,NASDAQYHOO!A$2:G$506,7,0)</f>
        <v>0</v>
      </c>
    </row>
    <row r="417" spans="1:15">
      <c r="A417" s="39">
        <v>42747</v>
      </c>
      <c r="C417">
        <f>VLOOKUP(A417,NYSEARCAVTI!A$2:G$506,7,0)</f>
        <v>0</v>
      </c>
      <c r="D417">
        <f>VLOOKUP(A417,NYSEARCAVEU!A$2:G$506,7,0)</f>
        <v>0</v>
      </c>
      <c r="E417">
        <f>VLOOKUP(A417,NYSEARCAVWO!A$2:G$506,7,0)</f>
        <v>0</v>
      </c>
      <c r="F417">
        <f>VLOOKUP(A417,NYSEARCABND!A$2:G$506,7,0)</f>
        <v>0</v>
      </c>
      <c r="G417">
        <f>VLOOKUP(A417,NYSEARCATIP!A$2:G$506,7,0)</f>
        <v>0</v>
      </c>
      <c r="H417">
        <f>VLOOKUP(A417,NYSEARCAMUB!A$2:G$506,7,0)</f>
        <v>0</v>
      </c>
      <c r="I417">
        <f>VLOOKUP(A417,NYSEARCAVNQ!A$2:G$506,7,0)</f>
        <v>0</v>
      </c>
      <c r="J417">
        <f>VLOOKUP(A417,NYSEARCARWX!A$2:G$506,7,0)</f>
        <v>0</v>
      </c>
      <c r="K417">
        <f>VLOOKUP(A417,NYSEARCADBC!A$2:G$506,7,0)</f>
        <v>0</v>
      </c>
      <c r="L417">
        <f>VLOOKUP(A417,NYSEARCAGSG!A$2:G$506,7,0)</f>
        <v>0</v>
      </c>
      <c r="M417">
        <f>VLOOKUP(A417,NYSEARCAGLD!A$2:G$506,7,0)</f>
        <v>0</v>
      </c>
      <c r="N417">
        <f>VLOOKUP(A417,NYSEBP!A$2:G$506,7,0)</f>
        <v>0</v>
      </c>
      <c r="O417">
        <f>VLOOKUP(A417,NASDAQYHOO!A$2:G$506,7,0)</f>
        <v>0</v>
      </c>
    </row>
    <row r="418" spans="1:15">
      <c r="A418" s="39">
        <v>42748</v>
      </c>
      <c r="C418">
        <f>VLOOKUP(A418,NYSEARCAVTI!A$2:G$506,7,0)</f>
        <v>0</v>
      </c>
      <c r="D418">
        <f>VLOOKUP(A418,NYSEARCAVEU!A$2:G$506,7,0)</f>
        <v>0</v>
      </c>
      <c r="E418">
        <f>VLOOKUP(A418,NYSEARCAVWO!A$2:G$506,7,0)</f>
        <v>0</v>
      </c>
      <c r="F418">
        <f>VLOOKUP(A418,NYSEARCABND!A$2:G$506,7,0)</f>
        <v>0</v>
      </c>
      <c r="G418">
        <f>VLOOKUP(A418,NYSEARCATIP!A$2:G$506,7,0)</f>
        <v>0</v>
      </c>
      <c r="H418">
        <f>VLOOKUP(A418,NYSEARCAMUB!A$2:G$506,7,0)</f>
        <v>0</v>
      </c>
      <c r="I418">
        <f>VLOOKUP(A418,NYSEARCAVNQ!A$2:G$506,7,0)</f>
        <v>0</v>
      </c>
      <c r="J418">
        <f>VLOOKUP(A418,NYSEARCARWX!A$2:G$506,7,0)</f>
        <v>0</v>
      </c>
      <c r="K418">
        <f>VLOOKUP(A418,NYSEARCADBC!A$2:G$506,7,0)</f>
        <v>0</v>
      </c>
      <c r="L418">
        <f>VLOOKUP(A418,NYSEARCAGSG!A$2:G$506,7,0)</f>
        <v>0</v>
      </c>
      <c r="M418">
        <f>VLOOKUP(A418,NYSEARCAGLD!A$2:G$506,7,0)</f>
        <v>0</v>
      </c>
      <c r="N418">
        <f>VLOOKUP(A418,NYSEBP!A$2:G$506,7,0)</f>
        <v>0</v>
      </c>
      <c r="O418">
        <f>VLOOKUP(A418,NASDAQYHOO!A$2:G$506,7,0)</f>
        <v>0</v>
      </c>
    </row>
    <row r="419" spans="1:15">
      <c r="A419" s="39">
        <v>42752</v>
      </c>
      <c r="C419">
        <f>VLOOKUP(A419,NYSEARCAVTI!A$2:G$506,7,0)</f>
        <v>0</v>
      </c>
      <c r="D419">
        <f>VLOOKUP(A419,NYSEARCAVEU!A$2:G$506,7,0)</f>
        <v>0</v>
      </c>
      <c r="E419">
        <f>VLOOKUP(A419,NYSEARCAVWO!A$2:G$506,7,0)</f>
        <v>0</v>
      </c>
      <c r="F419">
        <f>VLOOKUP(A419,NYSEARCABND!A$2:G$506,7,0)</f>
        <v>0</v>
      </c>
      <c r="G419">
        <f>VLOOKUP(A419,NYSEARCATIP!A$2:G$506,7,0)</f>
        <v>0</v>
      </c>
      <c r="H419">
        <f>VLOOKUP(A419,NYSEARCAMUB!A$2:G$506,7,0)</f>
        <v>0</v>
      </c>
      <c r="I419">
        <f>VLOOKUP(A419,NYSEARCAVNQ!A$2:G$506,7,0)</f>
        <v>0</v>
      </c>
      <c r="J419">
        <f>VLOOKUP(A419,NYSEARCARWX!A$2:G$506,7,0)</f>
        <v>0</v>
      </c>
      <c r="K419">
        <f>VLOOKUP(A419,NYSEARCADBC!A$2:G$506,7,0)</f>
        <v>0</v>
      </c>
      <c r="L419">
        <f>VLOOKUP(A419,NYSEARCAGSG!A$2:G$506,7,0)</f>
        <v>0</v>
      </c>
      <c r="M419">
        <f>VLOOKUP(A419,NYSEARCAGLD!A$2:G$506,7,0)</f>
        <v>0</v>
      </c>
      <c r="N419">
        <f>VLOOKUP(A419,NYSEBP!A$2:G$506,7,0)</f>
        <v>0</v>
      </c>
      <c r="O419">
        <f>VLOOKUP(A419,NASDAQYHOO!A$2:G$506,7,0)</f>
        <v>0</v>
      </c>
    </row>
    <row r="420" spans="1:15">
      <c r="A420" s="39">
        <v>42753</v>
      </c>
      <c r="C420">
        <f>VLOOKUP(A420,NYSEARCAVTI!A$2:G$506,7,0)</f>
        <v>0</v>
      </c>
      <c r="D420">
        <f>VLOOKUP(A420,NYSEARCAVEU!A$2:G$506,7,0)</f>
        <v>0</v>
      </c>
      <c r="E420">
        <f>VLOOKUP(A420,NYSEARCAVWO!A$2:G$506,7,0)</f>
        <v>0</v>
      </c>
      <c r="F420">
        <f>VLOOKUP(A420,NYSEARCABND!A$2:G$506,7,0)</f>
        <v>0</v>
      </c>
      <c r="G420">
        <f>VLOOKUP(A420,NYSEARCATIP!A$2:G$506,7,0)</f>
        <v>0</v>
      </c>
      <c r="H420">
        <f>VLOOKUP(A420,NYSEARCAMUB!A$2:G$506,7,0)</f>
        <v>0</v>
      </c>
      <c r="I420">
        <f>VLOOKUP(A420,NYSEARCAVNQ!A$2:G$506,7,0)</f>
        <v>0</v>
      </c>
      <c r="J420">
        <f>VLOOKUP(A420,NYSEARCARWX!A$2:G$506,7,0)</f>
        <v>0</v>
      </c>
      <c r="K420">
        <f>VLOOKUP(A420,NYSEARCADBC!A$2:G$506,7,0)</f>
        <v>0</v>
      </c>
      <c r="L420">
        <f>VLOOKUP(A420,NYSEARCAGSG!A$2:G$506,7,0)</f>
        <v>0</v>
      </c>
      <c r="M420">
        <f>VLOOKUP(A420,NYSEARCAGLD!A$2:G$506,7,0)</f>
        <v>0</v>
      </c>
      <c r="N420">
        <f>VLOOKUP(A420,NYSEBP!A$2:G$506,7,0)</f>
        <v>0</v>
      </c>
      <c r="O420">
        <f>VLOOKUP(A420,NASDAQYHOO!A$2:G$506,7,0)</f>
        <v>0</v>
      </c>
    </row>
    <row r="421" spans="1:15">
      <c r="A421" s="39">
        <v>42754</v>
      </c>
      <c r="C421">
        <f>VLOOKUP(A421,NYSEARCAVTI!A$2:G$506,7,0)</f>
        <v>0</v>
      </c>
      <c r="D421">
        <f>VLOOKUP(A421,NYSEARCAVEU!A$2:G$506,7,0)</f>
        <v>0</v>
      </c>
      <c r="E421">
        <f>VLOOKUP(A421,NYSEARCAVWO!A$2:G$506,7,0)</f>
        <v>0</v>
      </c>
      <c r="F421">
        <f>VLOOKUP(A421,NYSEARCABND!A$2:G$506,7,0)</f>
        <v>0</v>
      </c>
      <c r="G421">
        <f>VLOOKUP(A421,NYSEARCATIP!A$2:G$506,7,0)</f>
        <v>0</v>
      </c>
      <c r="H421">
        <f>VLOOKUP(A421,NYSEARCAMUB!A$2:G$506,7,0)</f>
        <v>0</v>
      </c>
      <c r="I421">
        <f>VLOOKUP(A421,NYSEARCAVNQ!A$2:G$506,7,0)</f>
        <v>0</v>
      </c>
      <c r="J421">
        <f>VLOOKUP(A421,NYSEARCARWX!A$2:G$506,7,0)</f>
        <v>0</v>
      </c>
      <c r="K421">
        <f>VLOOKUP(A421,NYSEARCADBC!A$2:G$506,7,0)</f>
        <v>0</v>
      </c>
      <c r="L421">
        <f>VLOOKUP(A421,NYSEARCAGSG!A$2:G$506,7,0)</f>
        <v>0</v>
      </c>
      <c r="M421">
        <f>VLOOKUP(A421,NYSEARCAGLD!A$2:G$506,7,0)</f>
        <v>0</v>
      </c>
      <c r="N421">
        <f>VLOOKUP(A421,NYSEBP!A$2:G$506,7,0)</f>
        <v>0</v>
      </c>
      <c r="O421">
        <f>VLOOKUP(A421,NASDAQYHOO!A$2:G$506,7,0)</f>
        <v>0</v>
      </c>
    </row>
    <row r="422" spans="1:15">
      <c r="A422" s="39">
        <v>42755</v>
      </c>
      <c r="C422">
        <f>VLOOKUP(A422,NYSEARCAVTI!A$2:G$506,7,0)</f>
        <v>0</v>
      </c>
      <c r="D422">
        <f>VLOOKUP(A422,NYSEARCAVEU!A$2:G$506,7,0)</f>
        <v>0</v>
      </c>
      <c r="E422">
        <f>VLOOKUP(A422,NYSEARCAVWO!A$2:G$506,7,0)</f>
        <v>0</v>
      </c>
      <c r="F422">
        <f>VLOOKUP(A422,NYSEARCABND!A$2:G$506,7,0)</f>
        <v>0</v>
      </c>
      <c r="G422">
        <f>VLOOKUP(A422,NYSEARCATIP!A$2:G$506,7,0)</f>
        <v>0</v>
      </c>
      <c r="H422">
        <f>VLOOKUP(A422,NYSEARCAMUB!A$2:G$506,7,0)</f>
        <v>0</v>
      </c>
      <c r="I422">
        <f>VLOOKUP(A422,NYSEARCAVNQ!A$2:G$506,7,0)</f>
        <v>0</v>
      </c>
      <c r="J422">
        <f>VLOOKUP(A422,NYSEARCARWX!A$2:G$506,7,0)</f>
        <v>0</v>
      </c>
      <c r="K422">
        <f>VLOOKUP(A422,NYSEARCADBC!A$2:G$506,7,0)</f>
        <v>0</v>
      </c>
      <c r="L422">
        <f>VLOOKUP(A422,NYSEARCAGSG!A$2:G$506,7,0)</f>
        <v>0</v>
      </c>
      <c r="M422">
        <f>VLOOKUP(A422,NYSEARCAGLD!A$2:G$506,7,0)</f>
        <v>0</v>
      </c>
      <c r="N422">
        <f>VLOOKUP(A422,NYSEBP!A$2:G$506,7,0)</f>
        <v>0</v>
      </c>
      <c r="O422">
        <f>VLOOKUP(A422,NASDAQYHOO!A$2:G$506,7,0)</f>
        <v>0</v>
      </c>
    </row>
    <row r="423" spans="1:15">
      <c r="A423" s="39">
        <v>42758</v>
      </c>
      <c r="C423">
        <f>VLOOKUP(A423,NYSEARCAVTI!A$2:G$506,7,0)</f>
        <v>0</v>
      </c>
      <c r="D423">
        <f>VLOOKUP(A423,NYSEARCAVEU!A$2:G$506,7,0)</f>
        <v>0</v>
      </c>
      <c r="E423">
        <f>VLOOKUP(A423,NYSEARCAVWO!A$2:G$506,7,0)</f>
        <v>0</v>
      </c>
      <c r="F423">
        <f>VLOOKUP(A423,NYSEARCABND!A$2:G$506,7,0)</f>
        <v>0</v>
      </c>
      <c r="G423">
        <f>VLOOKUP(A423,NYSEARCATIP!A$2:G$506,7,0)</f>
        <v>0</v>
      </c>
      <c r="H423">
        <f>VLOOKUP(A423,NYSEARCAMUB!A$2:G$506,7,0)</f>
        <v>0</v>
      </c>
      <c r="I423">
        <f>VLOOKUP(A423,NYSEARCAVNQ!A$2:G$506,7,0)</f>
        <v>0</v>
      </c>
      <c r="J423">
        <f>VLOOKUP(A423,NYSEARCARWX!A$2:G$506,7,0)</f>
        <v>0</v>
      </c>
      <c r="K423">
        <f>VLOOKUP(A423,NYSEARCADBC!A$2:G$506,7,0)</f>
        <v>0</v>
      </c>
      <c r="L423">
        <f>VLOOKUP(A423,NYSEARCAGSG!A$2:G$506,7,0)</f>
        <v>0</v>
      </c>
      <c r="M423">
        <f>VLOOKUP(A423,NYSEARCAGLD!A$2:G$506,7,0)</f>
        <v>0</v>
      </c>
      <c r="N423">
        <f>VLOOKUP(A423,NYSEBP!A$2:G$506,7,0)</f>
        <v>0</v>
      </c>
      <c r="O423">
        <f>VLOOKUP(A423,NASDAQYHOO!A$2:G$506,7,0)</f>
        <v>0</v>
      </c>
    </row>
    <row r="424" spans="1:15">
      <c r="A424" s="39">
        <v>42759</v>
      </c>
      <c r="C424">
        <f>VLOOKUP(A424,NYSEARCAVTI!A$2:G$506,7,0)</f>
        <v>0</v>
      </c>
      <c r="D424">
        <f>VLOOKUP(A424,NYSEARCAVEU!A$2:G$506,7,0)</f>
        <v>0</v>
      </c>
      <c r="E424">
        <f>VLOOKUP(A424,NYSEARCAVWO!A$2:G$506,7,0)</f>
        <v>0</v>
      </c>
      <c r="F424">
        <f>VLOOKUP(A424,NYSEARCABND!A$2:G$506,7,0)</f>
        <v>0</v>
      </c>
      <c r="G424">
        <f>VLOOKUP(A424,NYSEARCATIP!A$2:G$506,7,0)</f>
        <v>0</v>
      </c>
      <c r="H424">
        <f>VLOOKUP(A424,NYSEARCAMUB!A$2:G$506,7,0)</f>
        <v>0</v>
      </c>
      <c r="I424">
        <f>VLOOKUP(A424,NYSEARCAVNQ!A$2:G$506,7,0)</f>
        <v>0</v>
      </c>
      <c r="J424">
        <f>VLOOKUP(A424,NYSEARCARWX!A$2:G$506,7,0)</f>
        <v>0</v>
      </c>
      <c r="K424">
        <f>VLOOKUP(A424,NYSEARCADBC!A$2:G$506,7,0)</f>
        <v>0</v>
      </c>
      <c r="L424">
        <f>VLOOKUP(A424,NYSEARCAGSG!A$2:G$506,7,0)</f>
        <v>0</v>
      </c>
      <c r="M424">
        <f>VLOOKUP(A424,NYSEARCAGLD!A$2:G$506,7,0)</f>
        <v>0</v>
      </c>
      <c r="N424">
        <f>VLOOKUP(A424,NYSEBP!A$2:G$506,7,0)</f>
        <v>0</v>
      </c>
      <c r="O424">
        <f>VLOOKUP(A424,NASDAQYHOO!A$2:G$506,7,0)</f>
        <v>0</v>
      </c>
    </row>
    <row r="425" spans="1:15">
      <c r="A425" s="39">
        <v>42760</v>
      </c>
      <c r="C425">
        <f>VLOOKUP(A425,NYSEARCAVTI!A$2:G$506,7,0)</f>
        <v>0</v>
      </c>
      <c r="D425">
        <f>VLOOKUP(A425,NYSEARCAVEU!A$2:G$506,7,0)</f>
        <v>0</v>
      </c>
      <c r="E425">
        <f>VLOOKUP(A425,NYSEARCAVWO!A$2:G$506,7,0)</f>
        <v>0</v>
      </c>
      <c r="F425">
        <f>VLOOKUP(A425,NYSEARCABND!A$2:G$506,7,0)</f>
        <v>0</v>
      </c>
      <c r="G425">
        <f>VLOOKUP(A425,NYSEARCATIP!A$2:G$506,7,0)</f>
        <v>0</v>
      </c>
      <c r="H425">
        <f>VLOOKUP(A425,NYSEARCAMUB!A$2:G$506,7,0)</f>
        <v>0</v>
      </c>
      <c r="I425">
        <f>VLOOKUP(A425,NYSEARCAVNQ!A$2:G$506,7,0)</f>
        <v>0</v>
      </c>
      <c r="J425">
        <f>VLOOKUP(A425,NYSEARCARWX!A$2:G$506,7,0)</f>
        <v>0</v>
      </c>
      <c r="K425">
        <f>VLOOKUP(A425,NYSEARCADBC!A$2:G$506,7,0)</f>
        <v>0</v>
      </c>
      <c r="L425">
        <f>VLOOKUP(A425,NYSEARCAGSG!A$2:G$506,7,0)</f>
        <v>0</v>
      </c>
      <c r="M425">
        <f>VLOOKUP(A425,NYSEARCAGLD!A$2:G$506,7,0)</f>
        <v>0</v>
      </c>
      <c r="N425">
        <f>VLOOKUP(A425,NYSEBP!A$2:G$506,7,0)</f>
        <v>0</v>
      </c>
      <c r="O425">
        <f>VLOOKUP(A425,NASDAQYHOO!A$2:G$506,7,0)</f>
        <v>0</v>
      </c>
    </row>
    <row r="426" spans="1:15">
      <c r="A426" s="39">
        <v>42761</v>
      </c>
      <c r="C426">
        <f>VLOOKUP(A426,NYSEARCAVTI!A$2:G$506,7,0)</f>
        <v>0</v>
      </c>
      <c r="D426">
        <f>VLOOKUP(A426,NYSEARCAVEU!A$2:G$506,7,0)</f>
        <v>0</v>
      </c>
      <c r="E426">
        <f>VLOOKUP(A426,NYSEARCAVWO!A$2:G$506,7,0)</f>
        <v>0</v>
      </c>
      <c r="F426">
        <f>VLOOKUP(A426,NYSEARCABND!A$2:G$506,7,0)</f>
        <v>0</v>
      </c>
      <c r="G426">
        <f>VLOOKUP(A426,NYSEARCATIP!A$2:G$506,7,0)</f>
        <v>0</v>
      </c>
      <c r="H426">
        <f>VLOOKUP(A426,NYSEARCAMUB!A$2:G$506,7,0)</f>
        <v>0</v>
      </c>
      <c r="I426">
        <f>VLOOKUP(A426,NYSEARCAVNQ!A$2:G$506,7,0)</f>
        <v>0</v>
      </c>
      <c r="J426">
        <f>VLOOKUP(A426,NYSEARCARWX!A$2:G$506,7,0)</f>
        <v>0</v>
      </c>
      <c r="K426">
        <f>VLOOKUP(A426,NYSEARCADBC!A$2:G$506,7,0)</f>
        <v>0</v>
      </c>
      <c r="L426">
        <f>VLOOKUP(A426,NYSEARCAGSG!A$2:G$506,7,0)</f>
        <v>0</v>
      </c>
      <c r="M426">
        <f>VLOOKUP(A426,NYSEARCAGLD!A$2:G$506,7,0)</f>
        <v>0</v>
      </c>
      <c r="N426">
        <f>VLOOKUP(A426,NYSEBP!A$2:G$506,7,0)</f>
        <v>0</v>
      </c>
      <c r="O426">
        <f>VLOOKUP(A426,NASDAQYHOO!A$2:G$506,7,0)</f>
        <v>0</v>
      </c>
    </row>
    <row r="427" spans="1:15">
      <c r="A427" s="39">
        <v>42762</v>
      </c>
      <c r="C427">
        <f>VLOOKUP(A427,NYSEARCAVTI!A$2:G$506,7,0)</f>
        <v>0</v>
      </c>
      <c r="D427">
        <f>VLOOKUP(A427,NYSEARCAVEU!A$2:G$506,7,0)</f>
        <v>0</v>
      </c>
      <c r="E427">
        <f>VLOOKUP(A427,NYSEARCAVWO!A$2:G$506,7,0)</f>
        <v>0</v>
      </c>
      <c r="F427">
        <f>VLOOKUP(A427,NYSEARCABND!A$2:G$506,7,0)</f>
        <v>0</v>
      </c>
      <c r="G427">
        <f>VLOOKUP(A427,NYSEARCATIP!A$2:G$506,7,0)</f>
        <v>0</v>
      </c>
      <c r="H427">
        <f>VLOOKUP(A427,NYSEARCAMUB!A$2:G$506,7,0)</f>
        <v>0</v>
      </c>
      <c r="I427">
        <f>VLOOKUP(A427,NYSEARCAVNQ!A$2:G$506,7,0)</f>
        <v>0</v>
      </c>
      <c r="J427">
        <f>VLOOKUP(A427,NYSEARCARWX!A$2:G$506,7,0)</f>
        <v>0</v>
      </c>
      <c r="K427">
        <f>VLOOKUP(A427,NYSEARCADBC!A$2:G$506,7,0)</f>
        <v>0</v>
      </c>
      <c r="L427">
        <f>VLOOKUP(A427,NYSEARCAGSG!A$2:G$506,7,0)</f>
        <v>0</v>
      </c>
      <c r="M427">
        <f>VLOOKUP(A427,NYSEARCAGLD!A$2:G$506,7,0)</f>
        <v>0</v>
      </c>
      <c r="N427">
        <f>VLOOKUP(A427,NYSEBP!A$2:G$506,7,0)</f>
        <v>0</v>
      </c>
      <c r="O427">
        <f>VLOOKUP(A427,NASDAQYHOO!A$2:G$506,7,0)</f>
        <v>0</v>
      </c>
    </row>
    <row r="428" spans="1:15">
      <c r="A428" s="39">
        <v>42765</v>
      </c>
      <c r="C428">
        <f>VLOOKUP(A428,NYSEARCAVTI!A$2:G$506,7,0)</f>
        <v>0</v>
      </c>
      <c r="D428">
        <f>VLOOKUP(A428,NYSEARCAVEU!A$2:G$506,7,0)</f>
        <v>0</v>
      </c>
      <c r="E428">
        <f>VLOOKUP(A428,NYSEARCAVWO!A$2:G$506,7,0)</f>
        <v>0</v>
      </c>
      <c r="F428">
        <f>VLOOKUP(A428,NYSEARCABND!A$2:G$506,7,0)</f>
        <v>0</v>
      </c>
      <c r="G428">
        <f>VLOOKUP(A428,NYSEARCATIP!A$2:G$506,7,0)</f>
        <v>0</v>
      </c>
      <c r="H428">
        <f>VLOOKUP(A428,NYSEARCAMUB!A$2:G$506,7,0)</f>
        <v>0</v>
      </c>
      <c r="I428">
        <f>VLOOKUP(A428,NYSEARCAVNQ!A$2:G$506,7,0)</f>
        <v>0</v>
      </c>
      <c r="J428">
        <f>VLOOKUP(A428,NYSEARCARWX!A$2:G$506,7,0)</f>
        <v>0</v>
      </c>
      <c r="K428">
        <f>VLOOKUP(A428,NYSEARCADBC!A$2:G$506,7,0)</f>
        <v>0</v>
      </c>
      <c r="L428">
        <f>VLOOKUP(A428,NYSEARCAGSG!A$2:G$506,7,0)</f>
        <v>0</v>
      </c>
      <c r="M428">
        <f>VLOOKUP(A428,NYSEARCAGLD!A$2:G$506,7,0)</f>
        <v>0</v>
      </c>
      <c r="N428">
        <f>VLOOKUP(A428,NYSEBP!A$2:G$506,7,0)</f>
        <v>0</v>
      </c>
      <c r="O428">
        <f>VLOOKUP(A428,NASDAQYHOO!A$2:G$506,7,0)</f>
        <v>0</v>
      </c>
    </row>
    <row r="429" spans="1:15">
      <c r="A429" s="39">
        <v>42766</v>
      </c>
      <c r="C429">
        <f>VLOOKUP(A429,NYSEARCAVTI!A$2:G$506,7,0)</f>
        <v>0</v>
      </c>
      <c r="D429">
        <f>VLOOKUP(A429,NYSEARCAVEU!A$2:G$506,7,0)</f>
        <v>0</v>
      </c>
      <c r="E429">
        <f>VLOOKUP(A429,NYSEARCAVWO!A$2:G$506,7,0)</f>
        <v>0</v>
      </c>
      <c r="F429">
        <f>VLOOKUP(A429,NYSEARCABND!A$2:G$506,7,0)</f>
        <v>0</v>
      </c>
      <c r="G429">
        <f>VLOOKUP(A429,NYSEARCATIP!A$2:G$506,7,0)</f>
        <v>0</v>
      </c>
      <c r="H429">
        <f>VLOOKUP(A429,NYSEARCAMUB!A$2:G$506,7,0)</f>
        <v>0</v>
      </c>
      <c r="I429">
        <f>VLOOKUP(A429,NYSEARCAVNQ!A$2:G$506,7,0)</f>
        <v>0</v>
      </c>
      <c r="J429">
        <f>VLOOKUP(A429,NYSEARCARWX!A$2:G$506,7,0)</f>
        <v>0</v>
      </c>
      <c r="K429">
        <f>VLOOKUP(A429,NYSEARCADBC!A$2:G$506,7,0)</f>
        <v>0</v>
      </c>
      <c r="L429">
        <f>VLOOKUP(A429,NYSEARCAGSG!A$2:G$506,7,0)</f>
        <v>0</v>
      </c>
      <c r="M429">
        <f>VLOOKUP(A429,NYSEARCAGLD!A$2:G$506,7,0)</f>
        <v>0</v>
      </c>
      <c r="N429">
        <f>VLOOKUP(A429,NYSEBP!A$2:G$506,7,0)</f>
        <v>0</v>
      </c>
      <c r="O429">
        <f>VLOOKUP(A429,NASDAQYHOO!A$2:G$506,7,0)</f>
        <v>0</v>
      </c>
    </row>
    <row r="430" spans="1:15">
      <c r="A430" s="39">
        <v>42767</v>
      </c>
      <c r="C430">
        <f>VLOOKUP(A430,NYSEARCAVTI!A$2:G$506,7,0)</f>
        <v>0</v>
      </c>
      <c r="D430">
        <f>VLOOKUP(A430,NYSEARCAVEU!A$2:G$506,7,0)</f>
        <v>0</v>
      </c>
      <c r="E430">
        <f>VLOOKUP(A430,NYSEARCAVWO!A$2:G$506,7,0)</f>
        <v>0</v>
      </c>
      <c r="F430">
        <f>VLOOKUP(A430,NYSEARCABND!A$2:G$506,7,0)</f>
        <v>0</v>
      </c>
      <c r="G430">
        <f>VLOOKUP(A430,NYSEARCATIP!A$2:G$506,7,0)</f>
        <v>0</v>
      </c>
      <c r="H430">
        <f>VLOOKUP(A430,NYSEARCAMUB!A$2:G$506,7,0)</f>
        <v>0</v>
      </c>
      <c r="I430">
        <f>VLOOKUP(A430,NYSEARCAVNQ!A$2:G$506,7,0)</f>
        <v>0</v>
      </c>
      <c r="J430">
        <f>VLOOKUP(A430,NYSEARCARWX!A$2:G$506,7,0)</f>
        <v>0</v>
      </c>
      <c r="K430">
        <f>VLOOKUP(A430,NYSEARCADBC!A$2:G$506,7,0)</f>
        <v>0</v>
      </c>
      <c r="L430">
        <f>VLOOKUP(A430,NYSEARCAGSG!A$2:G$506,7,0)</f>
        <v>0</v>
      </c>
      <c r="M430">
        <f>VLOOKUP(A430,NYSEARCAGLD!A$2:G$506,7,0)</f>
        <v>0</v>
      </c>
      <c r="N430">
        <f>VLOOKUP(A430,NYSEBP!A$2:G$506,7,0)</f>
        <v>0</v>
      </c>
      <c r="O430">
        <f>VLOOKUP(A430,NASDAQYHOO!A$2:G$506,7,0)</f>
        <v>0</v>
      </c>
    </row>
    <row r="431" spans="1:15">
      <c r="A431" s="39">
        <v>42768</v>
      </c>
      <c r="C431">
        <f>VLOOKUP(A431,NYSEARCAVTI!A$2:G$506,7,0)</f>
        <v>0</v>
      </c>
      <c r="D431">
        <f>VLOOKUP(A431,NYSEARCAVEU!A$2:G$506,7,0)</f>
        <v>0</v>
      </c>
      <c r="E431">
        <f>VLOOKUP(A431,NYSEARCAVWO!A$2:G$506,7,0)</f>
        <v>0</v>
      </c>
      <c r="F431">
        <f>VLOOKUP(A431,NYSEARCABND!A$2:G$506,7,0)</f>
        <v>0</v>
      </c>
      <c r="G431">
        <f>VLOOKUP(A431,NYSEARCATIP!A$2:G$506,7,0)</f>
        <v>0</v>
      </c>
      <c r="H431">
        <f>VLOOKUP(A431,NYSEARCAMUB!A$2:G$506,7,0)</f>
        <v>0</v>
      </c>
      <c r="I431">
        <f>VLOOKUP(A431,NYSEARCAVNQ!A$2:G$506,7,0)</f>
        <v>0</v>
      </c>
      <c r="J431">
        <f>VLOOKUP(A431,NYSEARCARWX!A$2:G$506,7,0)</f>
        <v>0</v>
      </c>
      <c r="K431">
        <f>VLOOKUP(A431,NYSEARCADBC!A$2:G$506,7,0)</f>
        <v>0</v>
      </c>
      <c r="L431">
        <f>VLOOKUP(A431,NYSEARCAGSG!A$2:G$506,7,0)</f>
        <v>0</v>
      </c>
      <c r="M431">
        <f>VLOOKUP(A431,NYSEARCAGLD!A$2:G$506,7,0)</f>
        <v>0</v>
      </c>
      <c r="N431">
        <f>VLOOKUP(A431,NYSEBP!A$2:G$506,7,0)</f>
        <v>0</v>
      </c>
      <c r="O431">
        <f>VLOOKUP(A431,NASDAQYHOO!A$2:G$506,7,0)</f>
        <v>0</v>
      </c>
    </row>
    <row r="432" spans="1:15">
      <c r="A432" s="39">
        <v>42769</v>
      </c>
      <c r="C432">
        <f>VLOOKUP(A432,NYSEARCAVTI!A$2:G$506,7,0)</f>
        <v>0</v>
      </c>
      <c r="D432">
        <f>VLOOKUP(A432,NYSEARCAVEU!A$2:G$506,7,0)</f>
        <v>0</v>
      </c>
      <c r="E432">
        <f>VLOOKUP(A432,NYSEARCAVWO!A$2:G$506,7,0)</f>
        <v>0</v>
      </c>
      <c r="F432">
        <f>VLOOKUP(A432,NYSEARCABND!A$2:G$506,7,0)</f>
        <v>0</v>
      </c>
      <c r="G432">
        <f>VLOOKUP(A432,NYSEARCATIP!A$2:G$506,7,0)</f>
        <v>0</v>
      </c>
      <c r="H432">
        <f>VLOOKUP(A432,NYSEARCAMUB!A$2:G$506,7,0)</f>
        <v>0</v>
      </c>
      <c r="I432">
        <f>VLOOKUP(A432,NYSEARCAVNQ!A$2:G$506,7,0)</f>
        <v>0</v>
      </c>
      <c r="J432">
        <f>VLOOKUP(A432,NYSEARCARWX!A$2:G$506,7,0)</f>
        <v>0</v>
      </c>
      <c r="K432">
        <f>VLOOKUP(A432,NYSEARCADBC!A$2:G$506,7,0)</f>
        <v>0</v>
      </c>
      <c r="L432">
        <f>VLOOKUP(A432,NYSEARCAGSG!A$2:G$506,7,0)</f>
        <v>0</v>
      </c>
      <c r="M432">
        <f>VLOOKUP(A432,NYSEARCAGLD!A$2:G$506,7,0)</f>
        <v>0</v>
      </c>
      <c r="N432">
        <f>VLOOKUP(A432,NYSEBP!A$2:G$506,7,0)</f>
        <v>0</v>
      </c>
      <c r="O432">
        <f>VLOOKUP(A432,NASDAQYHOO!A$2:G$506,7,0)</f>
        <v>0</v>
      </c>
    </row>
    <row r="433" spans="1:15">
      <c r="A433" s="39">
        <v>42772</v>
      </c>
      <c r="C433">
        <f>VLOOKUP(A433,NYSEARCAVTI!A$2:G$506,7,0)</f>
        <v>0</v>
      </c>
      <c r="D433">
        <f>VLOOKUP(A433,NYSEARCAVEU!A$2:G$506,7,0)</f>
        <v>0</v>
      </c>
      <c r="E433">
        <f>VLOOKUP(A433,NYSEARCAVWO!A$2:G$506,7,0)</f>
        <v>0</v>
      </c>
      <c r="F433">
        <f>VLOOKUP(A433,NYSEARCABND!A$2:G$506,7,0)</f>
        <v>0</v>
      </c>
      <c r="G433">
        <f>VLOOKUP(A433,NYSEARCATIP!A$2:G$506,7,0)</f>
        <v>0</v>
      </c>
      <c r="H433">
        <f>VLOOKUP(A433,NYSEARCAMUB!A$2:G$506,7,0)</f>
        <v>0</v>
      </c>
      <c r="I433">
        <f>VLOOKUP(A433,NYSEARCAVNQ!A$2:G$506,7,0)</f>
        <v>0</v>
      </c>
      <c r="J433">
        <f>VLOOKUP(A433,NYSEARCARWX!A$2:G$506,7,0)</f>
        <v>0</v>
      </c>
      <c r="K433">
        <f>VLOOKUP(A433,NYSEARCADBC!A$2:G$506,7,0)</f>
        <v>0</v>
      </c>
      <c r="L433">
        <f>VLOOKUP(A433,NYSEARCAGSG!A$2:G$506,7,0)</f>
        <v>0</v>
      </c>
      <c r="M433">
        <f>VLOOKUP(A433,NYSEARCAGLD!A$2:G$506,7,0)</f>
        <v>0</v>
      </c>
      <c r="N433">
        <f>VLOOKUP(A433,NYSEBP!A$2:G$506,7,0)</f>
        <v>0</v>
      </c>
      <c r="O433">
        <f>VLOOKUP(A433,NASDAQYHOO!A$2:G$506,7,0)</f>
        <v>0</v>
      </c>
    </row>
    <row r="434" spans="1:15">
      <c r="A434" s="39">
        <v>42773</v>
      </c>
      <c r="C434">
        <f>VLOOKUP(A434,NYSEARCAVTI!A$2:G$506,7,0)</f>
        <v>0</v>
      </c>
      <c r="D434">
        <f>VLOOKUP(A434,NYSEARCAVEU!A$2:G$506,7,0)</f>
        <v>0</v>
      </c>
      <c r="E434">
        <f>VLOOKUP(A434,NYSEARCAVWO!A$2:G$506,7,0)</f>
        <v>0</v>
      </c>
      <c r="F434">
        <f>VLOOKUP(A434,NYSEARCABND!A$2:G$506,7,0)</f>
        <v>0</v>
      </c>
      <c r="G434">
        <f>VLOOKUP(A434,NYSEARCATIP!A$2:G$506,7,0)</f>
        <v>0</v>
      </c>
      <c r="H434">
        <f>VLOOKUP(A434,NYSEARCAMUB!A$2:G$506,7,0)</f>
        <v>0</v>
      </c>
      <c r="I434">
        <f>VLOOKUP(A434,NYSEARCAVNQ!A$2:G$506,7,0)</f>
        <v>0</v>
      </c>
      <c r="J434">
        <f>VLOOKUP(A434,NYSEARCARWX!A$2:G$506,7,0)</f>
        <v>0</v>
      </c>
      <c r="K434">
        <f>VLOOKUP(A434,NYSEARCADBC!A$2:G$506,7,0)</f>
        <v>0</v>
      </c>
      <c r="L434">
        <f>VLOOKUP(A434,NYSEARCAGSG!A$2:G$506,7,0)</f>
        <v>0</v>
      </c>
      <c r="M434">
        <f>VLOOKUP(A434,NYSEARCAGLD!A$2:G$506,7,0)</f>
        <v>0</v>
      </c>
      <c r="N434">
        <f>VLOOKUP(A434,NYSEBP!A$2:G$506,7,0)</f>
        <v>0</v>
      </c>
      <c r="O434">
        <f>VLOOKUP(A434,NASDAQYHOO!A$2:G$506,7,0)</f>
        <v>0</v>
      </c>
    </row>
    <row r="435" spans="1:15">
      <c r="A435" s="39">
        <v>42774</v>
      </c>
      <c r="C435">
        <f>VLOOKUP(A435,NYSEARCAVTI!A$2:G$506,7,0)</f>
        <v>0</v>
      </c>
      <c r="D435">
        <f>VLOOKUP(A435,NYSEARCAVEU!A$2:G$506,7,0)</f>
        <v>0</v>
      </c>
      <c r="E435">
        <f>VLOOKUP(A435,NYSEARCAVWO!A$2:G$506,7,0)</f>
        <v>0</v>
      </c>
      <c r="F435">
        <f>VLOOKUP(A435,NYSEARCABND!A$2:G$506,7,0)</f>
        <v>0</v>
      </c>
      <c r="G435">
        <f>VLOOKUP(A435,NYSEARCATIP!A$2:G$506,7,0)</f>
        <v>0</v>
      </c>
      <c r="H435">
        <f>VLOOKUP(A435,NYSEARCAMUB!A$2:G$506,7,0)</f>
        <v>0</v>
      </c>
      <c r="I435">
        <f>VLOOKUP(A435,NYSEARCAVNQ!A$2:G$506,7,0)</f>
        <v>0</v>
      </c>
      <c r="J435">
        <f>VLOOKUP(A435,NYSEARCARWX!A$2:G$506,7,0)</f>
        <v>0</v>
      </c>
      <c r="K435">
        <f>VLOOKUP(A435,NYSEARCADBC!A$2:G$506,7,0)</f>
        <v>0</v>
      </c>
      <c r="L435">
        <f>VLOOKUP(A435,NYSEARCAGSG!A$2:G$506,7,0)</f>
        <v>0</v>
      </c>
      <c r="M435">
        <f>VLOOKUP(A435,NYSEARCAGLD!A$2:G$506,7,0)</f>
        <v>0</v>
      </c>
      <c r="N435">
        <f>VLOOKUP(A435,NYSEBP!A$2:G$506,7,0)</f>
        <v>0</v>
      </c>
      <c r="O435">
        <f>VLOOKUP(A435,NASDAQYHOO!A$2:G$506,7,0)</f>
        <v>0</v>
      </c>
    </row>
    <row r="436" spans="1:15">
      <c r="A436" s="39">
        <v>42775</v>
      </c>
      <c r="C436">
        <f>VLOOKUP(A436,NYSEARCAVTI!A$2:G$506,7,0)</f>
        <v>0</v>
      </c>
      <c r="D436">
        <f>VLOOKUP(A436,NYSEARCAVEU!A$2:G$506,7,0)</f>
        <v>0</v>
      </c>
      <c r="E436">
        <f>VLOOKUP(A436,NYSEARCAVWO!A$2:G$506,7,0)</f>
        <v>0</v>
      </c>
      <c r="F436">
        <f>VLOOKUP(A436,NYSEARCABND!A$2:G$506,7,0)</f>
        <v>0</v>
      </c>
      <c r="G436">
        <f>VLOOKUP(A436,NYSEARCATIP!A$2:G$506,7,0)</f>
        <v>0</v>
      </c>
      <c r="H436">
        <f>VLOOKUP(A436,NYSEARCAMUB!A$2:G$506,7,0)</f>
        <v>0</v>
      </c>
      <c r="I436">
        <f>VLOOKUP(A436,NYSEARCAVNQ!A$2:G$506,7,0)</f>
        <v>0</v>
      </c>
      <c r="J436">
        <f>VLOOKUP(A436,NYSEARCARWX!A$2:G$506,7,0)</f>
        <v>0</v>
      </c>
      <c r="K436">
        <f>VLOOKUP(A436,NYSEARCADBC!A$2:G$506,7,0)</f>
        <v>0</v>
      </c>
      <c r="L436">
        <f>VLOOKUP(A436,NYSEARCAGSG!A$2:G$506,7,0)</f>
        <v>0</v>
      </c>
      <c r="M436">
        <f>VLOOKUP(A436,NYSEARCAGLD!A$2:G$506,7,0)</f>
        <v>0</v>
      </c>
      <c r="N436">
        <f>VLOOKUP(A436,NYSEBP!A$2:G$506,7,0)</f>
        <v>0</v>
      </c>
      <c r="O436">
        <f>VLOOKUP(A436,NASDAQYHOO!A$2:G$506,7,0)</f>
        <v>0</v>
      </c>
    </row>
    <row r="437" spans="1:15">
      <c r="A437" s="39">
        <v>42776</v>
      </c>
      <c r="C437">
        <f>VLOOKUP(A437,NYSEARCAVTI!A$2:G$506,7,0)</f>
        <v>0</v>
      </c>
      <c r="D437">
        <f>VLOOKUP(A437,NYSEARCAVEU!A$2:G$506,7,0)</f>
        <v>0</v>
      </c>
      <c r="E437">
        <f>VLOOKUP(A437,NYSEARCAVWO!A$2:G$506,7,0)</f>
        <v>0</v>
      </c>
      <c r="F437">
        <f>VLOOKUP(A437,NYSEARCABND!A$2:G$506,7,0)</f>
        <v>0</v>
      </c>
      <c r="G437">
        <f>VLOOKUP(A437,NYSEARCATIP!A$2:G$506,7,0)</f>
        <v>0</v>
      </c>
      <c r="H437">
        <f>VLOOKUP(A437,NYSEARCAMUB!A$2:G$506,7,0)</f>
        <v>0</v>
      </c>
      <c r="I437">
        <f>VLOOKUP(A437,NYSEARCAVNQ!A$2:G$506,7,0)</f>
        <v>0</v>
      </c>
      <c r="J437">
        <f>VLOOKUP(A437,NYSEARCARWX!A$2:G$506,7,0)</f>
        <v>0</v>
      </c>
      <c r="K437">
        <f>VLOOKUP(A437,NYSEARCADBC!A$2:G$506,7,0)</f>
        <v>0</v>
      </c>
      <c r="L437">
        <f>VLOOKUP(A437,NYSEARCAGSG!A$2:G$506,7,0)</f>
        <v>0</v>
      </c>
      <c r="M437">
        <f>VLOOKUP(A437,NYSEARCAGLD!A$2:G$506,7,0)</f>
        <v>0</v>
      </c>
      <c r="N437">
        <f>VLOOKUP(A437,NYSEBP!A$2:G$506,7,0)</f>
        <v>0</v>
      </c>
      <c r="O437">
        <f>VLOOKUP(A437,NASDAQYHOO!A$2:G$506,7,0)</f>
        <v>0</v>
      </c>
    </row>
    <row r="438" spans="1:15">
      <c r="A438" s="39">
        <v>42779</v>
      </c>
      <c r="C438">
        <f>VLOOKUP(A438,NYSEARCAVTI!A$2:G$506,7,0)</f>
        <v>0</v>
      </c>
      <c r="D438">
        <f>VLOOKUP(A438,NYSEARCAVEU!A$2:G$506,7,0)</f>
        <v>0</v>
      </c>
      <c r="E438">
        <f>VLOOKUP(A438,NYSEARCAVWO!A$2:G$506,7,0)</f>
        <v>0</v>
      </c>
      <c r="F438">
        <f>VLOOKUP(A438,NYSEARCABND!A$2:G$506,7,0)</f>
        <v>0</v>
      </c>
      <c r="G438">
        <f>VLOOKUP(A438,NYSEARCATIP!A$2:G$506,7,0)</f>
        <v>0</v>
      </c>
      <c r="H438">
        <f>VLOOKUP(A438,NYSEARCAMUB!A$2:G$506,7,0)</f>
        <v>0</v>
      </c>
      <c r="I438">
        <f>VLOOKUP(A438,NYSEARCAVNQ!A$2:G$506,7,0)</f>
        <v>0</v>
      </c>
      <c r="J438">
        <f>VLOOKUP(A438,NYSEARCARWX!A$2:G$506,7,0)</f>
        <v>0</v>
      </c>
      <c r="K438">
        <f>VLOOKUP(A438,NYSEARCADBC!A$2:G$506,7,0)</f>
        <v>0</v>
      </c>
      <c r="L438">
        <f>VLOOKUP(A438,NYSEARCAGSG!A$2:G$506,7,0)</f>
        <v>0</v>
      </c>
      <c r="M438">
        <f>VLOOKUP(A438,NYSEARCAGLD!A$2:G$506,7,0)</f>
        <v>0</v>
      </c>
      <c r="N438">
        <f>VLOOKUP(A438,NYSEBP!A$2:G$506,7,0)</f>
        <v>0</v>
      </c>
      <c r="O438">
        <f>VLOOKUP(A438,NASDAQYHOO!A$2:G$506,7,0)</f>
        <v>0</v>
      </c>
    </row>
    <row r="439" spans="1:15">
      <c r="A439" s="39">
        <v>42780</v>
      </c>
      <c r="C439">
        <f>VLOOKUP(A439,NYSEARCAVTI!A$2:G$506,7,0)</f>
        <v>0</v>
      </c>
      <c r="D439">
        <f>VLOOKUP(A439,NYSEARCAVEU!A$2:G$506,7,0)</f>
        <v>0</v>
      </c>
      <c r="E439">
        <f>VLOOKUP(A439,NYSEARCAVWO!A$2:G$506,7,0)</f>
        <v>0</v>
      </c>
      <c r="F439">
        <f>VLOOKUP(A439,NYSEARCABND!A$2:G$506,7,0)</f>
        <v>0</v>
      </c>
      <c r="G439">
        <f>VLOOKUP(A439,NYSEARCATIP!A$2:G$506,7,0)</f>
        <v>0</v>
      </c>
      <c r="H439">
        <f>VLOOKUP(A439,NYSEARCAMUB!A$2:G$506,7,0)</f>
        <v>0</v>
      </c>
      <c r="I439">
        <f>VLOOKUP(A439,NYSEARCAVNQ!A$2:G$506,7,0)</f>
        <v>0</v>
      </c>
      <c r="J439">
        <f>VLOOKUP(A439,NYSEARCARWX!A$2:G$506,7,0)</f>
        <v>0</v>
      </c>
      <c r="K439">
        <f>VLOOKUP(A439,NYSEARCADBC!A$2:G$506,7,0)</f>
        <v>0</v>
      </c>
      <c r="L439">
        <f>VLOOKUP(A439,NYSEARCAGSG!A$2:G$506,7,0)</f>
        <v>0</v>
      </c>
      <c r="M439">
        <f>VLOOKUP(A439,NYSEARCAGLD!A$2:G$506,7,0)</f>
        <v>0</v>
      </c>
      <c r="N439">
        <f>VLOOKUP(A439,NYSEBP!A$2:G$506,7,0)</f>
        <v>0</v>
      </c>
      <c r="O439">
        <f>VLOOKUP(A439,NASDAQYHOO!A$2:G$506,7,0)</f>
        <v>0</v>
      </c>
    </row>
    <row r="440" spans="1:15">
      <c r="A440" s="39">
        <v>42781</v>
      </c>
      <c r="C440">
        <f>VLOOKUP(A440,NYSEARCAVTI!A$2:G$506,7,0)</f>
        <v>0</v>
      </c>
      <c r="D440">
        <f>VLOOKUP(A440,NYSEARCAVEU!A$2:G$506,7,0)</f>
        <v>0</v>
      </c>
      <c r="E440">
        <f>VLOOKUP(A440,NYSEARCAVWO!A$2:G$506,7,0)</f>
        <v>0</v>
      </c>
      <c r="F440">
        <f>VLOOKUP(A440,NYSEARCABND!A$2:G$506,7,0)</f>
        <v>0</v>
      </c>
      <c r="G440">
        <f>VLOOKUP(A440,NYSEARCATIP!A$2:G$506,7,0)</f>
        <v>0</v>
      </c>
      <c r="H440">
        <f>VLOOKUP(A440,NYSEARCAMUB!A$2:G$506,7,0)</f>
        <v>0</v>
      </c>
      <c r="I440">
        <f>VLOOKUP(A440,NYSEARCAVNQ!A$2:G$506,7,0)</f>
        <v>0</v>
      </c>
      <c r="J440">
        <f>VLOOKUP(A440,NYSEARCARWX!A$2:G$506,7,0)</f>
        <v>0</v>
      </c>
      <c r="K440">
        <f>VLOOKUP(A440,NYSEARCADBC!A$2:G$506,7,0)</f>
        <v>0</v>
      </c>
      <c r="L440">
        <f>VLOOKUP(A440,NYSEARCAGSG!A$2:G$506,7,0)</f>
        <v>0</v>
      </c>
      <c r="M440">
        <f>VLOOKUP(A440,NYSEARCAGLD!A$2:G$506,7,0)</f>
        <v>0</v>
      </c>
      <c r="N440">
        <f>VLOOKUP(A440,NYSEBP!A$2:G$506,7,0)</f>
        <v>0</v>
      </c>
      <c r="O440">
        <f>VLOOKUP(A440,NASDAQYHOO!A$2:G$506,7,0)</f>
        <v>0</v>
      </c>
    </row>
    <row r="441" spans="1:15">
      <c r="A441" s="39">
        <v>42782</v>
      </c>
      <c r="C441">
        <f>VLOOKUP(A441,NYSEARCAVTI!A$2:G$506,7,0)</f>
        <v>0</v>
      </c>
      <c r="D441">
        <f>VLOOKUP(A441,NYSEARCAVEU!A$2:G$506,7,0)</f>
        <v>0</v>
      </c>
      <c r="E441">
        <f>VLOOKUP(A441,NYSEARCAVWO!A$2:G$506,7,0)</f>
        <v>0</v>
      </c>
      <c r="F441">
        <f>VLOOKUP(A441,NYSEARCABND!A$2:G$506,7,0)</f>
        <v>0</v>
      </c>
      <c r="G441">
        <f>VLOOKUP(A441,NYSEARCATIP!A$2:G$506,7,0)</f>
        <v>0</v>
      </c>
      <c r="H441">
        <f>VLOOKUP(A441,NYSEARCAMUB!A$2:G$506,7,0)</f>
        <v>0</v>
      </c>
      <c r="I441">
        <f>VLOOKUP(A441,NYSEARCAVNQ!A$2:G$506,7,0)</f>
        <v>0</v>
      </c>
      <c r="J441">
        <f>VLOOKUP(A441,NYSEARCARWX!A$2:G$506,7,0)</f>
        <v>0</v>
      </c>
      <c r="K441">
        <f>VLOOKUP(A441,NYSEARCADBC!A$2:G$506,7,0)</f>
        <v>0</v>
      </c>
      <c r="L441">
        <f>VLOOKUP(A441,NYSEARCAGSG!A$2:G$506,7,0)</f>
        <v>0</v>
      </c>
      <c r="M441">
        <f>VLOOKUP(A441,NYSEARCAGLD!A$2:G$506,7,0)</f>
        <v>0</v>
      </c>
      <c r="N441">
        <f>VLOOKUP(A441,NYSEBP!A$2:G$506,7,0)</f>
        <v>0</v>
      </c>
      <c r="O441">
        <f>VLOOKUP(A441,NASDAQYHOO!A$2:G$506,7,0)</f>
        <v>0</v>
      </c>
    </row>
    <row r="442" spans="1:15">
      <c r="A442" s="39">
        <v>42783</v>
      </c>
      <c r="C442">
        <f>VLOOKUP(A442,NYSEARCAVTI!A$2:G$506,7,0)</f>
        <v>0</v>
      </c>
      <c r="D442">
        <f>VLOOKUP(A442,NYSEARCAVEU!A$2:G$506,7,0)</f>
        <v>0</v>
      </c>
      <c r="E442">
        <f>VLOOKUP(A442,NYSEARCAVWO!A$2:G$506,7,0)</f>
        <v>0</v>
      </c>
      <c r="F442">
        <f>VLOOKUP(A442,NYSEARCABND!A$2:G$506,7,0)</f>
        <v>0</v>
      </c>
      <c r="G442">
        <f>VLOOKUP(A442,NYSEARCATIP!A$2:G$506,7,0)</f>
        <v>0</v>
      </c>
      <c r="H442">
        <f>VLOOKUP(A442,NYSEARCAMUB!A$2:G$506,7,0)</f>
        <v>0</v>
      </c>
      <c r="I442">
        <f>VLOOKUP(A442,NYSEARCAVNQ!A$2:G$506,7,0)</f>
        <v>0</v>
      </c>
      <c r="J442">
        <f>VLOOKUP(A442,NYSEARCARWX!A$2:G$506,7,0)</f>
        <v>0</v>
      </c>
      <c r="K442">
        <f>VLOOKUP(A442,NYSEARCADBC!A$2:G$506,7,0)</f>
        <v>0</v>
      </c>
      <c r="L442">
        <f>VLOOKUP(A442,NYSEARCAGSG!A$2:G$506,7,0)</f>
        <v>0</v>
      </c>
      <c r="M442">
        <f>VLOOKUP(A442,NYSEARCAGLD!A$2:G$506,7,0)</f>
        <v>0</v>
      </c>
      <c r="N442">
        <f>VLOOKUP(A442,NYSEBP!A$2:G$506,7,0)</f>
        <v>0</v>
      </c>
      <c r="O442">
        <f>VLOOKUP(A442,NASDAQYHOO!A$2:G$506,7,0)</f>
        <v>0</v>
      </c>
    </row>
    <row r="443" spans="1:15">
      <c r="A443" s="39">
        <v>42787</v>
      </c>
      <c r="C443">
        <f>VLOOKUP(A443,NYSEARCAVTI!A$2:G$506,7,0)</f>
        <v>0</v>
      </c>
      <c r="D443">
        <f>VLOOKUP(A443,NYSEARCAVEU!A$2:G$506,7,0)</f>
        <v>0</v>
      </c>
      <c r="E443">
        <f>VLOOKUP(A443,NYSEARCAVWO!A$2:G$506,7,0)</f>
        <v>0</v>
      </c>
      <c r="F443">
        <f>VLOOKUP(A443,NYSEARCABND!A$2:G$506,7,0)</f>
        <v>0</v>
      </c>
      <c r="G443">
        <f>VLOOKUP(A443,NYSEARCATIP!A$2:G$506,7,0)</f>
        <v>0</v>
      </c>
      <c r="H443">
        <f>VLOOKUP(A443,NYSEARCAMUB!A$2:G$506,7,0)</f>
        <v>0</v>
      </c>
      <c r="I443">
        <f>VLOOKUP(A443,NYSEARCAVNQ!A$2:G$506,7,0)</f>
        <v>0</v>
      </c>
      <c r="J443">
        <f>VLOOKUP(A443,NYSEARCARWX!A$2:G$506,7,0)</f>
        <v>0</v>
      </c>
      <c r="K443">
        <f>VLOOKUP(A443,NYSEARCADBC!A$2:G$506,7,0)</f>
        <v>0</v>
      </c>
      <c r="L443">
        <f>VLOOKUP(A443,NYSEARCAGSG!A$2:G$506,7,0)</f>
        <v>0</v>
      </c>
      <c r="M443">
        <f>VLOOKUP(A443,NYSEARCAGLD!A$2:G$506,7,0)</f>
        <v>0</v>
      </c>
      <c r="N443">
        <f>VLOOKUP(A443,NYSEBP!A$2:G$506,7,0)</f>
        <v>0</v>
      </c>
      <c r="O443">
        <f>VLOOKUP(A443,NASDAQYHOO!A$2:G$506,7,0)</f>
        <v>0</v>
      </c>
    </row>
    <row r="444" spans="1:15">
      <c r="A444" s="39">
        <v>42788</v>
      </c>
      <c r="C444">
        <f>VLOOKUP(A444,NYSEARCAVTI!A$2:G$506,7,0)</f>
        <v>0</v>
      </c>
      <c r="D444">
        <f>VLOOKUP(A444,NYSEARCAVEU!A$2:G$506,7,0)</f>
        <v>0</v>
      </c>
      <c r="E444">
        <f>VLOOKUP(A444,NYSEARCAVWO!A$2:G$506,7,0)</f>
        <v>0</v>
      </c>
      <c r="F444">
        <f>VLOOKUP(A444,NYSEARCABND!A$2:G$506,7,0)</f>
        <v>0</v>
      </c>
      <c r="G444">
        <f>VLOOKUP(A444,NYSEARCATIP!A$2:G$506,7,0)</f>
        <v>0</v>
      </c>
      <c r="H444">
        <f>VLOOKUP(A444,NYSEARCAMUB!A$2:G$506,7,0)</f>
        <v>0</v>
      </c>
      <c r="I444">
        <f>VLOOKUP(A444,NYSEARCAVNQ!A$2:G$506,7,0)</f>
        <v>0</v>
      </c>
      <c r="J444">
        <f>VLOOKUP(A444,NYSEARCARWX!A$2:G$506,7,0)</f>
        <v>0</v>
      </c>
      <c r="K444">
        <f>VLOOKUP(A444,NYSEARCADBC!A$2:G$506,7,0)</f>
        <v>0</v>
      </c>
      <c r="L444">
        <f>VLOOKUP(A444,NYSEARCAGSG!A$2:G$506,7,0)</f>
        <v>0</v>
      </c>
      <c r="M444">
        <f>VLOOKUP(A444,NYSEARCAGLD!A$2:G$506,7,0)</f>
        <v>0</v>
      </c>
      <c r="N444">
        <f>VLOOKUP(A444,NYSEBP!A$2:G$506,7,0)</f>
        <v>0</v>
      </c>
      <c r="O444">
        <f>VLOOKUP(A444,NASDAQYHOO!A$2:G$506,7,0)</f>
        <v>0</v>
      </c>
    </row>
    <row r="445" spans="1:15">
      <c r="A445" s="39">
        <v>42789</v>
      </c>
      <c r="C445">
        <f>VLOOKUP(A445,NYSEARCAVTI!A$2:G$506,7,0)</f>
        <v>0</v>
      </c>
      <c r="D445">
        <f>VLOOKUP(A445,NYSEARCAVEU!A$2:G$506,7,0)</f>
        <v>0</v>
      </c>
      <c r="E445">
        <f>VLOOKUP(A445,NYSEARCAVWO!A$2:G$506,7,0)</f>
        <v>0</v>
      </c>
      <c r="F445">
        <f>VLOOKUP(A445,NYSEARCABND!A$2:G$506,7,0)</f>
        <v>0</v>
      </c>
      <c r="G445">
        <f>VLOOKUP(A445,NYSEARCATIP!A$2:G$506,7,0)</f>
        <v>0</v>
      </c>
      <c r="H445">
        <f>VLOOKUP(A445,NYSEARCAMUB!A$2:G$506,7,0)</f>
        <v>0</v>
      </c>
      <c r="I445">
        <f>VLOOKUP(A445,NYSEARCAVNQ!A$2:G$506,7,0)</f>
        <v>0</v>
      </c>
      <c r="J445">
        <f>VLOOKUP(A445,NYSEARCARWX!A$2:G$506,7,0)</f>
        <v>0</v>
      </c>
      <c r="K445">
        <f>VLOOKUP(A445,NYSEARCADBC!A$2:G$506,7,0)</f>
        <v>0</v>
      </c>
      <c r="L445">
        <f>VLOOKUP(A445,NYSEARCAGSG!A$2:G$506,7,0)</f>
        <v>0</v>
      </c>
      <c r="M445">
        <f>VLOOKUP(A445,NYSEARCAGLD!A$2:G$506,7,0)</f>
        <v>0</v>
      </c>
      <c r="N445">
        <f>VLOOKUP(A445,NYSEBP!A$2:G$506,7,0)</f>
        <v>0</v>
      </c>
      <c r="O445">
        <f>VLOOKUP(A445,NASDAQYHOO!A$2:G$506,7,0)</f>
        <v>0</v>
      </c>
    </row>
    <row r="446" spans="1:15">
      <c r="A446" s="39">
        <v>42790</v>
      </c>
      <c r="C446">
        <f>VLOOKUP(A446,NYSEARCAVTI!A$2:G$506,7,0)</f>
        <v>0</v>
      </c>
      <c r="D446">
        <f>VLOOKUP(A446,NYSEARCAVEU!A$2:G$506,7,0)</f>
        <v>0</v>
      </c>
      <c r="E446">
        <f>VLOOKUP(A446,NYSEARCAVWO!A$2:G$506,7,0)</f>
        <v>0</v>
      </c>
      <c r="F446">
        <f>VLOOKUP(A446,NYSEARCABND!A$2:G$506,7,0)</f>
        <v>0</v>
      </c>
      <c r="G446">
        <f>VLOOKUP(A446,NYSEARCATIP!A$2:G$506,7,0)</f>
        <v>0</v>
      </c>
      <c r="H446">
        <f>VLOOKUP(A446,NYSEARCAMUB!A$2:G$506,7,0)</f>
        <v>0</v>
      </c>
      <c r="I446">
        <f>VLOOKUP(A446,NYSEARCAVNQ!A$2:G$506,7,0)</f>
        <v>0</v>
      </c>
      <c r="J446">
        <f>VLOOKUP(A446,NYSEARCARWX!A$2:G$506,7,0)</f>
        <v>0</v>
      </c>
      <c r="K446">
        <f>VLOOKUP(A446,NYSEARCADBC!A$2:G$506,7,0)</f>
        <v>0</v>
      </c>
      <c r="L446">
        <f>VLOOKUP(A446,NYSEARCAGSG!A$2:G$506,7,0)</f>
        <v>0</v>
      </c>
      <c r="M446">
        <f>VLOOKUP(A446,NYSEARCAGLD!A$2:G$506,7,0)</f>
        <v>0</v>
      </c>
      <c r="N446">
        <f>VLOOKUP(A446,NYSEBP!A$2:G$506,7,0)</f>
        <v>0</v>
      </c>
      <c r="O446">
        <f>VLOOKUP(A446,NASDAQYHOO!A$2:G$506,7,0)</f>
        <v>0</v>
      </c>
    </row>
    <row r="447" spans="1:15">
      <c r="A447" s="39">
        <v>42793</v>
      </c>
      <c r="C447">
        <f>VLOOKUP(A447,NYSEARCAVTI!A$2:G$506,7,0)</f>
        <v>0</v>
      </c>
      <c r="D447">
        <f>VLOOKUP(A447,NYSEARCAVEU!A$2:G$506,7,0)</f>
        <v>0</v>
      </c>
      <c r="E447">
        <f>VLOOKUP(A447,NYSEARCAVWO!A$2:G$506,7,0)</f>
        <v>0</v>
      </c>
      <c r="F447">
        <f>VLOOKUP(A447,NYSEARCABND!A$2:G$506,7,0)</f>
        <v>0</v>
      </c>
      <c r="G447">
        <f>VLOOKUP(A447,NYSEARCATIP!A$2:G$506,7,0)</f>
        <v>0</v>
      </c>
      <c r="H447">
        <f>VLOOKUP(A447,NYSEARCAMUB!A$2:G$506,7,0)</f>
        <v>0</v>
      </c>
      <c r="I447">
        <f>VLOOKUP(A447,NYSEARCAVNQ!A$2:G$506,7,0)</f>
        <v>0</v>
      </c>
      <c r="J447">
        <f>VLOOKUP(A447,NYSEARCARWX!A$2:G$506,7,0)</f>
        <v>0</v>
      </c>
      <c r="K447">
        <f>VLOOKUP(A447,NYSEARCADBC!A$2:G$506,7,0)</f>
        <v>0</v>
      </c>
      <c r="L447">
        <f>VLOOKUP(A447,NYSEARCAGSG!A$2:G$506,7,0)</f>
        <v>0</v>
      </c>
      <c r="M447">
        <f>VLOOKUP(A447,NYSEARCAGLD!A$2:G$506,7,0)</f>
        <v>0</v>
      </c>
      <c r="N447">
        <f>VLOOKUP(A447,NYSEBP!A$2:G$506,7,0)</f>
        <v>0</v>
      </c>
      <c r="O447">
        <f>VLOOKUP(A447,NASDAQYHOO!A$2:G$506,7,0)</f>
        <v>0</v>
      </c>
    </row>
    <row r="448" spans="1:15">
      <c r="A448" s="39">
        <v>42794</v>
      </c>
      <c r="C448">
        <f>VLOOKUP(A448,NYSEARCAVTI!A$2:G$506,7,0)</f>
        <v>0</v>
      </c>
      <c r="D448">
        <f>VLOOKUP(A448,NYSEARCAVEU!A$2:G$506,7,0)</f>
        <v>0</v>
      </c>
      <c r="E448">
        <f>VLOOKUP(A448,NYSEARCAVWO!A$2:G$506,7,0)</f>
        <v>0</v>
      </c>
      <c r="F448">
        <f>VLOOKUP(A448,NYSEARCABND!A$2:G$506,7,0)</f>
        <v>0</v>
      </c>
      <c r="G448">
        <f>VLOOKUP(A448,NYSEARCATIP!A$2:G$506,7,0)</f>
        <v>0</v>
      </c>
      <c r="H448">
        <f>VLOOKUP(A448,NYSEARCAMUB!A$2:G$506,7,0)</f>
        <v>0</v>
      </c>
      <c r="I448">
        <f>VLOOKUP(A448,NYSEARCAVNQ!A$2:G$506,7,0)</f>
        <v>0</v>
      </c>
      <c r="J448">
        <f>VLOOKUP(A448,NYSEARCARWX!A$2:G$506,7,0)</f>
        <v>0</v>
      </c>
      <c r="K448">
        <f>VLOOKUP(A448,NYSEARCADBC!A$2:G$506,7,0)</f>
        <v>0</v>
      </c>
      <c r="L448">
        <f>VLOOKUP(A448,NYSEARCAGSG!A$2:G$506,7,0)</f>
        <v>0</v>
      </c>
      <c r="M448">
        <f>VLOOKUP(A448,NYSEARCAGLD!A$2:G$506,7,0)</f>
        <v>0</v>
      </c>
      <c r="N448">
        <f>VLOOKUP(A448,NYSEBP!A$2:G$506,7,0)</f>
        <v>0</v>
      </c>
      <c r="O448">
        <f>VLOOKUP(A448,NASDAQYHOO!A$2:G$506,7,0)</f>
        <v>0</v>
      </c>
    </row>
    <row r="449" spans="1:15">
      <c r="A449" s="39">
        <v>42795</v>
      </c>
      <c r="C449">
        <f>VLOOKUP(A449,NYSEARCAVTI!A$2:G$506,7,0)</f>
        <v>0</v>
      </c>
      <c r="D449">
        <f>VLOOKUP(A449,NYSEARCAVEU!A$2:G$506,7,0)</f>
        <v>0</v>
      </c>
      <c r="E449">
        <f>VLOOKUP(A449,NYSEARCAVWO!A$2:G$506,7,0)</f>
        <v>0</v>
      </c>
      <c r="F449">
        <f>VLOOKUP(A449,NYSEARCABND!A$2:G$506,7,0)</f>
        <v>0</v>
      </c>
      <c r="G449">
        <f>VLOOKUP(A449,NYSEARCATIP!A$2:G$506,7,0)</f>
        <v>0</v>
      </c>
      <c r="H449">
        <f>VLOOKUP(A449,NYSEARCAMUB!A$2:G$506,7,0)</f>
        <v>0</v>
      </c>
      <c r="I449">
        <f>VLOOKUP(A449,NYSEARCAVNQ!A$2:G$506,7,0)</f>
        <v>0</v>
      </c>
      <c r="J449">
        <f>VLOOKUP(A449,NYSEARCARWX!A$2:G$506,7,0)</f>
        <v>0</v>
      </c>
      <c r="K449">
        <f>VLOOKUP(A449,NYSEARCADBC!A$2:G$506,7,0)</f>
        <v>0</v>
      </c>
      <c r="L449">
        <f>VLOOKUP(A449,NYSEARCAGSG!A$2:G$506,7,0)</f>
        <v>0</v>
      </c>
      <c r="M449">
        <f>VLOOKUP(A449,NYSEARCAGLD!A$2:G$506,7,0)</f>
        <v>0</v>
      </c>
      <c r="N449">
        <f>VLOOKUP(A449,NYSEBP!A$2:G$506,7,0)</f>
        <v>0</v>
      </c>
      <c r="O449">
        <f>VLOOKUP(A449,NASDAQYHOO!A$2:G$506,7,0)</f>
        <v>0</v>
      </c>
    </row>
    <row r="450" spans="1:15">
      <c r="A450" s="39">
        <v>42796</v>
      </c>
      <c r="C450">
        <f>VLOOKUP(A450,NYSEARCAVTI!A$2:G$506,7,0)</f>
        <v>0</v>
      </c>
      <c r="D450">
        <f>VLOOKUP(A450,NYSEARCAVEU!A$2:G$506,7,0)</f>
        <v>0</v>
      </c>
      <c r="E450">
        <f>VLOOKUP(A450,NYSEARCAVWO!A$2:G$506,7,0)</f>
        <v>0</v>
      </c>
      <c r="F450">
        <f>VLOOKUP(A450,NYSEARCABND!A$2:G$506,7,0)</f>
        <v>0</v>
      </c>
      <c r="G450">
        <f>VLOOKUP(A450,NYSEARCATIP!A$2:G$506,7,0)</f>
        <v>0</v>
      </c>
      <c r="H450">
        <f>VLOOKUP(A450,NYSEARCAMUB!A$2:G$506,7,0)</f>
        <v>0</v>
      </c>
      <c r="I450">
        <f>VLOOKUP(A450,NYSEARCAVNQ!A$2:G$506,7,0)</f>
        <v>0</v>
      </c>
      <c r="J450">
        <f>VLOOKUP(A450,NYSEARCARWX!A$2:G$506,7,0)</f>
        <v>0</v>
      </c>
      <c r="K450">
        <f>VLOOKUP(A450,NYSEARCADBC!A$2:G$506,7,0)</f>
        <v>0</v>
      </c>
      <c r="L450">
        <f>VLOOKUP(A450,NYSEARCAGSG!A$2:G$506,7,0)</f>
        <v>0</v>
      </c>
      <c r="M450">
        <f>VLOOKUP(A450,NYSEARCAGLD!A$2:G$506,7,0)</f>
        <v>0</v>
      </c>
      <c r="N450">
        <f>VLOOKUP(A450,NYSEBP!A$2:G$506,7,0)</f>
        <v>0</v>
      </c>
      <c r="O450">
        <f>VLOOKUP(A450,NASDAQYHOO!A$2:G$506,7,0)</f>
        <v>0</v>
      </c>
    </row>
    <row r="451" spans="1:15">
      <c r="A451" s="39">
        <v>42797</v>
      </c>
      <c r="C451">
        <f>VLOOKUP(A451,NYSEARCAVTI!A$2:G$506,7,0)</f>
        <v>0</v>
      </c>
      <c r="D451">
        <f>VLOOKUP(A451,NYSEARCAVEU!A$2:G$506,7,0)</f>
        <v>0</v>
      </c>
      <c r="E451">
        <f>VLOOKUP(A451,NYSEARCAVWO!A$2:G$506,7,0)</f>
        <v>0</v>
      </c>
      <c r="F451">
        <f>VLOOKUP(A451,NYSEARCABND!A$2:G$506,7,0)</f>
        <v>0</v>
      </c>
      <c r="G451">
        <f>VLOOKUP(A451,NYSEARCATIP!A$2:G$506,7,0)</f>
        <v>0</v>
      </c>
      <c r="H451">
        <f>VLOOKUP(A451,NYSEARCAMUB!A$2:G$506,7,0)</f>
        <v>0</v>
      </c>
      <c r="I451">
        <f>VLOOKUP(A451,NYSEARCAVNQ!A$2:G$506,7,0)</f>
        <v>0</v>
      </c>
      <c r="J451">
        <f>VLOOKUP(A451,NYSEARCARWX!A$2:G$506,7,0)</f>
        <v>0</v>
      </c>
      <c r="K451">
        <f>VLOOKUP(A451,NYSEARCADBC!A$2:G$506,7,0)</f>
        <v>0</v>
      </c>
      <c r="L451">
        <f>VLOOKUP(A451,NYSEARCAGSG!A$2:G$506,7,0)</f>
        <v>0</v>
      </c>
      <c r="M451">
        <f>VLOOKUP(A451,NYSEARCAGLD!A$2:G$506,7,0)</f>
        <v>0</v>
      </c>
      <c r="N451">
        <f>VLOOKUP(A451,NYSEBP!A$2:G$506,7,0)</f>
        <v>0</v>
      </c>
      <c r="O451">
        <f>VLOOKUP(A451,NASDAQYHOO!A$2:G$506,7,0)</f>
        <v>0</v>
      </c>
    </row>
    <row r="452" spans="1:15">
      <c r="A452" s="39">
        <v>42800</v>
      </c>
      <c r="C452">
        <f>VLOOKUP(A452,NYSEARCAVTI!A$2:G$506,7,0)</f>
        <v>0</v>
      </c>
      <c r="D452">
        <f>VLOOKUP(A452,NYSEARCAVEU!A$2:G$506,7,0)</f>
        <v>0</v>
      </c>
      <c r="E452">
        <f>VLOOKUP(A452,NYSEARCAVWO!A$2:G$506,7,0)</f>
        <v>0</v>
      </c>
      <c r="F452">
        <f>VLOOKUP(A452,NYSEARCABND!A$2:G$506,7,0)</f>
        <v>0</v>
      </c>
      <c r="G452">
        <f>VLOOKUP(A452,NYSEARCATIP!A$2:G$506,7,0)</f>
        <v>0</v>
      </c>
      <c r="H452">
        <f>VLOOKUP(A452,NYSEARCAMUB!A$2:G$506,7,0)</f>
        <v>0</v>
      </c>
      <c r="I452">
        <f>VLOOKUP(A452,NYSEARCAVNQ!A$2:G$506,7,0)</f>
        <v>0</v>
      </c>
      <c r="J452">
        <f>VLOOKUP(A452,NYSEARCARWX!A$2:G$506,7,0)</f>
        <v>0</v>
      </c>
      <c r="K452">
        <f>VLOOKUP(A452,NYSEARCADBC!A$2:G$506,7,0)</f>
        <v>0</v>
      </c>
      <c r="L452">
        <f>VLOOKUP(A452,NYSEARCAGSG!A$2:G$506,7,0)</f>
        <v>0</v>
      </c>
      <c r="M452">
        <f>VLOOKUP(A452,NYSEARCAGLD!A$2:G$506,7,0)</f>
        <v>0</v>
      </c>
      <c r="N452">
        <f>VLOOKUP(A452,NYSEBP!A$2:G$506,7,0)</f>
        <v>0</v>
      </c>
      <c r="O452">
        <f>VLOOKUP(A452,NASDAQYHOO!A$2:G$506,7,0)</f>
        <v>0</v>
      </c>
    </row>
    <row r="453" spans="1:15">
      <c r="A453" s="39">
        <v>42801</v>
      </c>
      <c r="C453">
        <f>VLOOKUP(A453,NYSEARCAVTI!A$2:G$506,7,0)</f>
        <v>0</v>
      </c>
      <c r="D453">
        <f>VLOOKUP(A453,NYSEARCAVEU!A$2:G$506,7,0)</f>
        <v>0</v>
      </c>
      <c r="E453">
        <f>VLOOKUP(A453,NYSEARCAVWO!A$2:G$506,7,0)</f>
        <v>0</v>
      </c>
      <c r="F453">
        <f>VLOOKUP(A453,NYSEARCABND!A$2:G$506,7,0)</f>
        <v>0</v>
      </c>
      <c r="G453">
        <f>VLOOKUP(A453,NYSEARCATIP!A$2:G$506,7,0)</f>
        <v>0</v>
      </c>
      <c r="H453">
        <f>VLOOKUP(A453,NYSEARCAMUB!A$2:G$506,7,0)</f>
        <v>0</v>
      </c>
      <c r="I453">
        <f>VLOOKUP(A453,NYSEARCAVNQ!A$2:G$506,7,0)</f>
        <v>0</v>
      </c>
      <c r="J453">
        <f>VLOOKUP(A453,NYSEARCARWX!A$2:G$506,7,0)</f>
        <v>0</v>
      </c>
      <c r="K453">
        <f>VLOOKUP(A453,NYSEARCADBC!A$2:G$506,7,0)</f>
        <v>0</v>
      </c>
      <c r="L453">
        <f>VLOOKUP(A453,NYSEARCAGSG!A$2:G$506,7,0)</f>
        <v>0</v>
      </c>
      <c r="M453">
        <f>VLOOKUP(A453,NYSEARCAGLD!A$2:G$506,7,0)</f>
        <v>0</v>
      </c>
      <c r="N453">
        <f>VLOOKUP(A453,NYSEBP!A$2:G$506,7,0)</f>
        <v>0</v>
      </c>
      <c r="O453">
        <f>VLOOKUP(A453,NASDAQYHOO!A$2:G$506,7,0)</f>
        <v>0</v>
      </c>
    </row>
    <row r="454" spans="1:15">
      <c r="A454" s="39">
        <v>42802</v>
      </c>
      <c r="C454">
        <f>VLOOKUP(A454,NYSEARCAVTI!A$2:G$506,7,0)</f>
        <v>0</v>
      </c>
      <c r="D454">
        <f>VLOOKUP(A454,NYSEARCAVEU!A$2:G$506,7,0)</f>
        <v>0</v>
      </c>
      <c r="E454">
        <f>VLOOKUP(A454,NYSEARCAVWO!A$2:G$506,7,0)</f>
        <v>0</v>
      </c>
      <c r="F454">
        <f>VLOOKUP(A454,NYSEARCABND!A$2:G$506,7,0)</f>
        <v>0</v>
      </c>
      <c r="G454">
        <f>VLOOKUP(A454,NYSEARCATIP!A$2:G$506,7,0)</f>
        <v>0</v>
      </c>
      <c r="H454">
        <f>VLOOKUP(A454,NYSEARCAMUB!A$2:G$506,7,0)</f>
        <v>0</v>
      </c>
      <c r="I454">
        <f>VLOOKUP(A454,NYSEARCAVNQ!A$2:G$506,7,0)</f>
        <v>0</v>
      </c>
      <c r="J454">
        <f>VLOOKUP(A454,NYSEARCARWX!A$2:G$506,7,0)</f>
        <v>0</v>
      </c>
      <c r="K454">
        <f>VLOOKUP(A454,NYSEARCADBC!A$2:G$506,7,0)</f>
        <v>0</v>
      </c>
      <c r="L454">
        <f>VLOOKUP(A454,NYSEARCAGSG!A$2:G$506,7,0)</f>
        <v>0</v>
      </c>
      <c r="M454">
        <f>VLOOKUP(A454,NYSEARCAGLD!A$2:G$506,7,0)</f>
        <v>0</v>
      </c>
      <c r="N454">
        <f>VLOOKUP(A454,NYSEBP!A$2:G$506,7,0)</f>
        <v>0</v>
      </c>
      <c r="O454">
        <f>VLOOKUP(A454,NASDAQYHOO!A$2:G$506,7,0)</f>
        <v>0</v>
      </c>
    </row>
    <row r="455" spans="1:15">
      <c r="A455" s="39">
        <v>42803</v>
      </c>
      <c r="C455">
        <f>VLOOKUP(A455,NYSEARCAVTI!A$2:G$506,7,0)</f>
        <v>0</v>
      </c>
      <c r="D455">
        <f>VLOOKUP(A455,NYSEARCAVEU!A$2:G$506,7,0)</f>
        <v>0</v>
      </c>
      <c r="E455">
        <f>VLOOKUP(A455,NYSEARCAVWO!A$2:G$506,7,0)</f>
        <v>0</v>
      </c>
      <c r="F455">
        <f>VLOOKUP(A455,NYSEARCABND!A$2:G$506,7,0)</f>
        <v>0</v>
      </c>
      <c r="G455">
        <f>VLOOKUP(A455,NYSEARCATIP!A$2:G$506,7,0)</f>
        <v>0</v>
      </c>
      <c r="H455">
        <f>VLOOKUP(A455,NYSEARCAMUB!A$2:G$506,7,0)</f>
        <v>0</v>
      </c>
      <c r="I455">
        <f>VLOOKUP(A455,NYSEARCAVNQ!A$2:G$506,7,0)</f>
        <v>0</v>
      </c>
      <c r="J455">
        <f>VLOOKUP(A455,NYSEARCARWX!A$2:G$506,7,0)</f>
        <v>0</v>
      </c>
      <c r="K455">
        <f>VLOOKUP(A455,NYSEARCADBC!A$2:G$506,7,0)</f>
        <v>0</v>
      </c>
      <c r="L455">
        <f>VLOOKUP(A455,NYSEARCAGSG!A$2:G$506,7,0)</f>
        <v>0</v>
      </c>
      <c r="M455">
        <f>VLOOKUP(A455,NYSEARCAGLD!A$2:G$506,7,0)</f>
        <v>0</v>
      </c>
      <c r="N455">
        <f>VLOOKUP(A455,NYSEBP!A$2:G$506,7,0)</f>
        <v>0</v>
      </c>
      <c r="O455">
        <f>VLOOKUP(A455,NASDAQYHOO!A$2:G$506,7,0)</f>
        <v>0</v>
      </c>
    </row>
    <row r="456" spans="1:15">
      <c r="A456" s="39">
        <v>42804</v>
      </c>
      <c r="C456">
        <f>VLOOKUP(A456,NYSEARCAVTI!A$2:G$506,7,0)</f>
        <v>0</v>
      </c>
      <c r="D456">
        <f>VLOOKUP(A456,NYSEARCAVEU!A$2:G$506,7,0)</f>
        <v>0</v>
      </c>
      <c r="E456">
        <f>VLOOKUP(A456,NYSEARCAVWO!A$2:G$506,7,0)</f>
        <v>0</v>
      </c>
      <c r="F456">
        <f>VLOOKUP(A456,NYSEARCABND!A$2:G$506,7,0)</f>
        <v>0</v>
      </c>
      <c r="G456">
        <f>VLOOKUP(A456,NYSEARCATIP!A$2:G$506,7,0)</f>
        <v>0</v>
      </c>
      <c r="H456">
        <f>VLOOKUP(A456,NYSEARCAMUB!A$2:G$506,7,0)</f>
        <v>0</v>
      </c>
      <c r="I456">
        <f>VLOOKUP(A456,NYSEARCAVNQ!A$2:G$506,7,0)</f>
        <v>0</v>
      </c>
      <c r="J456">
        <f>VLOOKUP(A456,NYSEARCARWX!A$2:G$506,7,0)</f>
        <v>0</v>
      </c>
      <c r="K456">
        <f>VLOOKUP(A456,NYSEARCADBC!A$2:G$506,7,0)</f>
        <v>0</v>
      </c>
      <c r="L456">
        <f>VLOOKUP(A456,NYSEARCAGSG!A$2:G$506,7,0)</f>
        <v>0</v>
      </c>
      <c r="M456">
        <f>VLOOKUP(A456,NYSEARCAGLD!A$2:G$506,7,0)</f>
        <v>0</v>
      </c>
      <c r="N456">
        <f>VLOOKUP(A456,NYSEBP!A$2:G$506,7,0)</f>
        <v>0</v>
      </c>
      <c r="O456">
        <f>VLOOKUP(A456,NASDAQYHOO!A$2:G$506,7,0)</f>
        <v>0</v>
      </c>
    </row>
    <row r="457" spans="1:15">
      <c r="A457" s="39">
        <v>42807</v>
      </c>
      <c r="C457">
        <f>VLOOKUP(A457,NYSEARCAVTI!A$2:G$506,7,0)</f>
        <v>0</v>
      </c>
      <c r="D457">
        <f>VLOOKUP(A457,NYSEARCAVEU!A$2:G$506,7,0)</f>
        <v>0</v>
      </c>
      <c r="E457">
        <f>VLOOKUP(A457,NYSEARCAVWO!A$2:G$506,7,0)</f>
        <v>0</v>
      </c>
      <c r="F457">
        <f>VLOOKUP(A457,NYSEARCABND!A$2:G$506,7,0)</f>
        <v>0</v>
      </c>
      <c r="G457">
        <f>VLOOKUP(A457,NYSEARCATIP!A$2:G$506,7,0)</f>
        <v>0</v>
      </c>
      <c r="H457">
        <f>VLOOKUP(A457,NYSEARCAMUB!A$2:G$506,7,0)</f>
        <v>0</v>
      </c>
      <c r="I457">
        <f>VLOOKUP(A457,NYSEARCAVNQ!A$2:G$506,7,0)</f>
        <v>0</v>
      </c>
      <c r="J457">
        <f>VLOOKUP(A457,NYSEARCARWX!A$2:G$506,7,0)</f>
        <v>0</v>
      </c>
      <c r="K457">
        <f>VLOOKUP(A457,NYSEARCADBC!A$2:G$506,7,0)</f>
        <v>0</v>
      </c>
      <c r="L457">
        <f>VLOOKUP(A457,NYSEARCAGSG!A$2:G$506,7,0)</f>
        <v>0</v>
      </c>
      <c r="M457">
        <f>VLOOKUP(A457,NYSEARCAGLD!A$2:G$506,7,0)</f>
        <v>0</v>
      </c>
      <c r="N457">
        <f>VLOOKUP(A457,NYSEBP!A$2:G$506,7,0)</f>
        <v>0</v>
      </c>
      <c r="O457">
        <f>VLOOKUP(A457,NASDAQYHOO!A$2:G$506,7,0)</f>
        <v>0</v>
      </c>
    </row>
    <row r="458" spans="1:15">
      <c r="A458" s="39">
        <v>42808</v>
      </c>
      <c r="C458">
        <f>VLOOKUP(A458,NYSEARCAVTI!A$2:G$506,7,0)</f>
        <v>0</v>
      </c>
      <c r="D458">
        <f>VLOOKUP(A458,NYSEARCAVEU!A$2:G$506,7,0)</f>
        <v>0</v>
      </c>
      <c r="E458">
        <f>VLOOKUP(A458,NYSEARCAVWO!A$2:G$506,7,0)</f>
        <v>0</v>
      </c>
      <c r="F458">
        <f>VLOOKUP(A458,NYSEARCABND!A$2:G$506,7,0)</f>
        <v>0</v>
      </c>
      <c r="G458">
        <f>VLOOKUP(A458,NYSEARCATIP!A$2:G$506,7,0)</f>
        <v>0</v>
      </c>
      <c r="H458">
        <f>VLOOKUP(A458,NYSEARCAMUB!A$2:G$506,7,0)</f>
        <v>0</v>
      </c>
      <c r="I458">
        <f>VLOOKUP(A458,NYSEARCAVNQ!A$2:G$506,7,0)</f>
        <v>0</v>
      </c>
      <c r="J458">
        <f>VLOOKUP(A458,NYSEARCARWX!A$2:G$506,7,0)</f>
        <v>0</v>
      </c>
      <c r="K458">
        <f>VLOOKUP(A458,NYSEARCADBC!A$2:G$506,7,0)</f>
        <v>0</v>
      </c>
      <c r="L458">
        <f>VLOOKUP(A458,NYSEARCAGSG!A$2:G$506,7,0)</f>
        <v>0</v>
      </c>
      <c r="M458">
        <f>VLOOKUP(A458,NYSEARCAGLD!A$2:G$506,7,0)</f>
        <v>0</v>
      </c>
      <c r="N458">
        <f>VLOOKUP(A458,NYSEBP!A$2:G$506,7,0)</f>
        <v>0</v>
      </c>
      <c r="O458">
        <f>VLOOKUP(A458,NASDAQYHOO!A$2:G$506,7,0)</f>
        <v>0</v>
      </c>
    </row>
    <row r="459" spans="1:15">
      <c r="A459" s="39">
        <v>42809</v>
      </c>
      <c r="C459">
        <f>VLOOKUP(A459,NYSEARCAVTI!A$2:G$506,7,0)</f>
        <v>0</v>
      </c>
      <c r="D459">
        <f>VLOOKUP(A459,NYSEARCAVEU!A$2:G$506,7,0)</f>
        <v>0</v>
      </c>
      <c r="E459">
        <f>VLOOKUP(A459,NYSEARCAVWO!A$2:G$506,7,0)</f>
        <v>0</v>
      </c>
      <c r="F459">
        <f>VLOOKUP(A459,NYSEARCABND!A$2:G$506,7,0)</f>
        <v>0</v>
      </c>
      <c r="G459">
        <f>VLOOKUP(A459,NYSEARCATIP!A$2:G$506,7,0)</f>
        <v>0</v>
      </c>
      <c r="H459">
        <f>VLOOKUP(A459,NYSEARCAMUB!A$2:G$506,7,0)</f>
        <v>0</v>
      </c>
      <c r="I459">
        <f>VLOOKUP(A459,NYSEARCAVNQ!A$2:G$506,7,0)</f>
        <v>0</v>
      </c>
      <c r="J459">
        <f>VLOOKUP(A459,NYSEARCARWX!A$2:G$506,7,0)</f>
        <v>0</v>
      </c>
      <c r="K459">
        <f>VLOOKUP(A459,NYSEARCADBC!A$2:G$506,7,0)</f>
        <v>0</v>
      </c>
      <c r="L459">
        <f>VLOOKUP(A459,NYSEARCAGSG!A$2:G$506,7,0)</f>
        <v>0</v>
      </c>
      <c r="M459">
        <f>VLOOKUP(A459,NYSEARCAGLD!A$2:G$506,7,0)</f>
        <v>0</v>
      </c>
      <c r="N459">
        <f>VLOOKUP(A459,NYSEBP!A$2:G$506,7,0)</f>
        <v>0</v>
      </c>
      <c r="O459">
        <f>VLOOKUP(A459,NASDAQYHOO!A$2:G$506,7,0)</f>
        <v>0</v>
      </c>
    </row>
    <row r="460" spans="1:15">
      <c r="A460" s="39">
        <v>42810</v>
      </c>
      <c r="C460">
        <f>VLOOKUP(A460,NYSEARCAVTI!A$2:G$506,7,0)</f>
        <v>0</v>
      </c>
      <c r="D460">
        <f>VLOOKUP(A460,NYSEARCAVEU!A$2:G$506,7,0)</f>
        <v>0</v>
      </c>
      <c r="E460">
        <f>VLOOKUP(A460,NYSEARCAVWO!A$2:G$506,7,0)</f>
        <v>0</v>
      </c>
      <c r="F460">
        <f>VLOOKUP(A460,NYSEARCABND!A$2:G$506,7,0)</f>
        <v>0</v>
      </c>
      <c r="G460">
        <f>VLOOKUP(A460,NYSEARCATIP!A$2:G$506,7,0)</f>
        <v>0</v>
      </c>
      <c r="H460">
        <f>VLOOKUP(A460,NYSEARCAMUB!A$2:G$506,7,0)</f>
        <v>0</v>
      </c>
      <c r="I460">
        <f>VLOOKUP(A460,NYSEARCAVNQ!A$2:G$506,7,0)</f>
        <v>0</v>
      </c>
      <c r="J460">
        <f>VLOOKUP(A460,NYSEARCARWX!A$2:G$506,7,0)</f>
        <v>0</v>
      </c>
      <c r="K460">
        <f>VLOOKUP(A460,NYSEARCADBC!A$2:G$506,7,0)</f>
        <v>0</v>
      </c>
      <c r="L460">
        <f>VLOOKUP(A460,NYSEARCAGSG!A$2:G$506,7,0)</f>
        <v>0</v>
      </c>
      <c r="M460">
        <f>VLOOKUP(A460,NYSEARCAGLD!A$2:G$506,7,0)</f>
        <v>0</v>
      </c>
      <c r="N460">
        <f>VLOOKUP(A460,NYSEBP!A$2:G$506,7,0)</f>
        <v>0</v>
      </c>
      <c r="O460">
        <f>VLOOKUP(A460,NASDAQYHOO!A$2:G$506,7,0)</f>
        <v>0</v>
      </c>
    </row>
    <row r="461" spans="1:15">
      <c r="A461" s="39">
        <v>42811</v>
      </c>
      <c r="C461">
        <f>VLOOKUP(A461,NYSEARCAVTI!A$2:G$506,7,0)</f>
        <v>0</v>
      </c>
      <c r="D461">
        <f>VLOOKUP(A461,NYSEARCAVEU!A$2:G$506,7,0)</f>
        <v>0</v>
      </c>
      <c r="E461">
        <f>VLOOKUP(A461,NYSEARCAVWO!A$2:G$506,7,0)</f>
        <v>0</v>
      </c>
      <c r="F461">
        <f>VLOOKUP(A461,NYSEARCABND!A$2:G$506,7,0)</f>
        <v>0</v>
      </c>
      <c r="G461">
        <f>VLOOKUP(A461,NYSEARCATIP!A$2:G$506,7,0)</f>
        <v>0</v>
      </c>
      <c r="H461">
        <f>VLOOKUP(A461,NYSEARCAMUB!A$2:G$506,7,0)</f>
        <v>0</v>
      </c>
      <c r="I461">
        <f>VLOOKUP(A461,NYSEARCAVNQ!A$2:G$506,7,0)</f>
        <v>0</v>
      </c>
      <c r="J461">
        <f>VLOOKUP(A461,NYSEARCARWX!A$2:G$506,7,0)</f>
        <v>0</v>
      </c>
      <c r="K461">
        <f>VLOOKUP(A461,NYSEARCADBC!A$2:G$506,7,0)</f>
        <v>0</v>
      </c>
      <c r="L461">
        <f>VLOOKUP(A461,NYSEARCAGSG!A$2:G$506,7,0)</f>
        <v>0</v>
      </c>
      <c r="M461">
        <f>VLOOKUP(A461,NYSEARCAGLD!A$2:G$506,7,0)</f>
        <v>0</v>
      </c>
      <c r="N461">
        <f>VLOOKUP(A461,NYSEBP!A$2:G$506,7,0)</f>
        <v>0</v>
      </c>
      <c r="O461">
        <f>VLOOKUP(A461,NASDAQYHOO!A$2:G$506,7,0)</f>
        <v>0</v>
      </c>
    </row>
    <row r="462" spans="1:15">
      <c r="A462" s="39">
        <v>42814</v>
      </c>
      <c r="C462">
        <f>VLOOKUP(A462,NYSEARCAVTI!A$2:G$506,7,0)</f>
        <v>0</v>
      </c>
      <c r="D462">
        <f>VLOOKUP(A462,NYSEARCAVEU!A$2:G$506,7,0)</f>
        <v>0</v>
      </c>
      <c r="E462">
        <f>VLOOKUP(A462,NYSEARCAVWO!A$2:G$506,7,0)</f>
        <v>0</v>
      </c>
      <c r="F462">
        <f>VLOOKUP(A462,NYSEARCABND!A$2:G$506,7,0)</f>
        <v>0</v>
      </c>
      <c r="G462">
        <f>VLOOKUP(A462,NYSEARCATIP!A$2:G$506,7,0)</f>
        <v>0</v>
      </c>
      <c r="H462">
        <f>VLOOKUP(A462,NYSEARCAMUB!A$2:G$506,7,0)</f>
        <v>0</v>
      </c>
      <c r="I462">
        <f>VLOOKUP(A462,NYSEARCAVNQ!A$2:G$506,7,0)</f>
        <v>0</v>
      </c>
      <c r="J462">
        <f>VLOOKUP(A462,NYSEARCARWX!A$2:G$506,7,0)</f>
        <v>0</v>
      </c>
      <c r="K462">
        <f>VLOOKUP(A462,NYSEARCADBC!A$2:G$506,7,0)</f>
        <v>0</v>
      </c>
      <c r="L462">
        <f>VLOOKUP(A462,NYSEARCAGSG!A$2:G$506,7,0)</f>
        <v>0</v>
      </c>
      <c r="M462">
        <f>VLOOKUP(A462,NYSEARCAGLD!A$2:G$506,7,0)</f>
        <v>0</v>
      </c>
      <c r="N462">
        <f>VLOOKUP(A462,NYSEBP!A$2:G$506,7,0)</f>
        <v>0</v>
      </c>
      <c r="O462">
        <f>VLOOKUP(A462,NASDAQYHOO!A$2:G$506,7,0)</f>
        <v>0</v>
      </c>
    </row>
    <row r="463" spans="1:15">
      <c r="A463" s="39">
        <v>42815</v>
      </c>
      <c r="C463">
        <f>VLOOKUP(A463,NYSEARCAVTI!A$2:G$506,7,0)</f>
        <v>0</v>
      </c>
      <c r="D463">
        <f>VLOOKUP(A463,NYSEARCAVEU!A$2:G$506,7,0)</f>
        <v>0</v>
      </c>
      <c r="E463">
        <f>VLOOKUP(A463,NYSEARCAVWO!A$2:G$506,7,0)</f>
        <v>0</v>
      </c>
      <c r="F463">
        <f>VLOOKUP(A463,NYSEARCABND!A$2:G$506,7,0)</f>
        <v>0</v>
      </c>
      <c r="G463">
        <f>VLOOKUP(A463,NYSEARCATIP!A$2:G$506,7,0)</f>
        <v>0</v>
      </c>
      <c r="H463">
        <f>VLOOKUP(A463,NYSEARCAMUB!A$2:G$506,7,0)</f>
        <v>0</v>
      </c>
      <c r="I463">
        <f>VLOOKUP(A463,NYSEARCAVNQ!A$2:G$506,7,0)</f>
        <v>0</v>
      </c>
      <c r="J463">
        <f>VLOOKUP(A463,NYSEARCARWX!A$2:G$506,7,0)</f>
        <v>0</v>
      </c>
      <c r="K463">
        <f>VLOOKUP(A463,NYSEARCADBC!A$2:G$506,7,0)</f>
        <v>0</v>
      </c>
      <c r="L463">
        <f>VLOOKUP(A463,NYSEARCAGSG!A$2:G$506,7,0)</f>
        <v>0</v>
      </c>
      <c r="M463">
        <f>VLOOKUP(A463,NYSEARCAGLD!A$2:G$506,7,0)</f>
        <v>0</v>
      </c>
      <c r="N463">
        <f>VLOOKUP(A463,NYSEBP!A$2:G$506,7,0)</f>
        <v>0</v>
      </c>
      <c r="O463">
        <f>VLOOKUP(A463,NASDAQYHOO!A$2:G$506,7,0)</f>
        <v>0</v>
      </c>
    </row>
    <row r="464" spans="1:15">
      <c r="A464" s="39">
        <v>42816</v>
      </c>
      <c r="C464">
        <f>VLOOKUP(A464,NYSEARCAVTI!A$2:G$506,7,0)</f>
        <v>0</v>
      </c>
      <c r="D464">
        <f>VLOOKUP(A464,NYSEARCAVEU!A$2:G$506,7,0)</f>
        <v>0</v>
      </c>
      <c r="E464">
        <f>VLOOKUP(A464,NYSEARCAVWO!A$2:G$506,7,0)</f>
        <v>0</v>
      </c>
      <c r="F464">
        <f>VLOOKUP(A464,NYSEARCABND!A$2:G$506,7,0)</f>
        <v>0</v>
      </c>
      <c r="G464">
        <f>VLOOKUP(A464,NYSEARCATIP!A$2:G$506,7,0)</f>
        <v>0</v>
      </c>
      <c r="H464">
        <f>VLOOKUP(A464,NYSEARCAMUB!A$2:G$506,7,0)</f>
        <v>0</v>
      </c>
      <c r="I464">
        <f>VLOOKUP(A464,NYSEARCAVNQ!A$2:G$506,7,0)</f>
        <v>0</v>
      </c>
      <c r="J464">
        <f>VLOOKUP(A464,NYSEARCARWX!A$2:G$506,7,0)</f>
        <v>0</v>
      </c>
      <c r="K464">
        <f>VLOOKUP(A464,NYSEARCADBC!A$2:G$506,7,0)</f>
        <v>0</v>
      </c>
      <c r="L464">
        <f>VLOOKUP(A464,NYSEARCAGSG!A$2:G$506,7,0)</f>
        <v>0</v>
      </c>
      <c r="M464">
        <f>VLOOKUP(A464,NYSEARCAGLD!A$2:G$506,7,0)</f>
        <v>0</v>
      </c>
      <c r="N464">
        <f>VLOOKUP(A464,NYSEBP!A$2:G$506,7,0)</f>
        <v>0</v>
      </c>
      <c r="O464">
        <f>VLOOKUP(A464,NASDAQYHOO!A$2:G$506,7,0)</f>
        <v>0</v>
      </c>
    </row>
    <row r="465" spans="1:15">
      <c r="A465" s="39">
        <v>42817</v>
      </c>
      <c r="C465">
        <f>VLOOKUP(A465,NYSEARCAVTI!A$2:G$506,7,0)</f>
        <v>0</v>
      </c>
      <c r="D465">
        <f>VLOOKUP(A465,NYSEARCAVEU!A$2:G$506,7,0)</f>
        <v>0</v>
      </c>
      <c r="E465">
        <f>VLOOKUP(A465,NYSEARCAVWO!A$2:G$506,7,0)</f>
        <v>0</v>
      </c>
      <c r="F465">
        <f>VLOOKUP(A465,NYSEARCABND!A$2:G$506,7,0)</f>
        <v>0</v>
      </c>
      <c r="G465">
        <f>VLOOKUP(A465,NYSEARCATIP!A$2:G$506,7,0)</f>
        <v>0</v>
      </c>
      <c r="H465">
        <f>VLOOKUP(A465,NYSEARCAMUB!A$2:G$506,7,0)</f>
        <v>0</v>
      </c>
      <c r="I465">
        <f>VLOOKUP(A465,NYSEARCAVNQ!A$2:G$506,7,0)</f>
        <v>0</v>
      </c>
      <c r="J465">
        <f>VLOOKUP(A465,NYSEARCARWX!A$2:G$506,7,0)</f>
        <v>0</v>
      </c>
      <c r="K465">
        <f>VLOOKUP(A465,NYSEARCADBC!A$2:G$506,7,0)</f>
        <v>0</v>
      </c>
      <c r="L465">
        <f>VLOOKUP(A465,NYSEARCAGSG!A$2:G$506,7,0)</f>
        <v>0</v>
      </c>
      <c r="M465">
        <f>VLOOKUP(A465,NYSEARCAGLD!A$2:G$506,7,0)</f>
        <v>0</v>
      </c>
      <c r="N465">
        <f>VLOOKUP(A465,NYSEBP!A$2:G$506,7,0)</f>
        <v>0</v>
      </c>
      <c r="O465">
        <f>VLOOKUP(A465,NASDAQYHOO!A$2:G$506,7,0)</f>
        <v>0</v>
      </c>
    </row>
    <row r="466" spans="1:15">
      <c r="A466" s="39">
        <v>42818</v>
      </c>
      <c r="C466">
        <f>VLOOKUP(A466,NYSEARCAVTI!A$2:G$506,7,0)</f>
        <v>0</v>
      </c>
      <c r="D466">
        <f>VLOOKUP(A466,NYSEARCAVEU!A$2:G$506,7,0)</f>
        <v>0</v>
      </c>
      <c r="E466">
        <f>VLOOKUP(A466,NYSEARCAVWO!A$2:G$506,7,0)</f>
        <v>0</v>
      </c>
      <c r="F466">
        <f>VLOOKUP(A466,NYSEARCABND!A$2:G$506,7,0)</f>
        <v>0</v>
      </c>
      <c r="G466">
        <f>VLOOKUP(A466,NYSEARCATIP!A$2:G$506,7,0)</f>
        <v>0</v>
      </c>
      <c r="H466">
        <f>VLOOKUP(A466,NYSEARCAMUB!A$2:G$506,7,0)</f>
        <v>0</v>
      </c>
      <c r="I466">
        <f>VLOOKUP(A466,NYSEARCAVNQ!A$2:G$506,7,0)</f>
        <v>0</v>
      </c>
      <c r="J466">
        <f>VLOOKUP(A466,NYSEARCARWX!A$2:G$506,7,0)</f>
        <v>0</v>
      </c>
      <c r="K466">
        <f>VLOOKUP(A466,NYSEARCADBC!A$2:G$506,7,0)</f>
        <v>0</v>
      </c>
      <c r="L466">
        <f>VLOOKUP(A466,NYSEARCAGSG!A$2:G$506,7,0)</f>
        <v>0</v>
      </c>
      <c r="M466">
        <f>VLOOKUP(A466,NYSEARCAGLD!A$2:G$506,7,0)</f>
        <v>0</v>
      </c>
      <c r="N466">
        <f>VLOOKUP(A466,NYSEBP!A$2:G$506,7,0)</f>
        <v>0</v>
      </c>
      <c r="O466">
        <f>VLOOKUP(A466,NASDAQYHOO!A$2:G$506,7,0)</f>
        <v>0</v>
      </c>
    </row>
    <row r="467" spans="1:15">
      <c r="A467" s="39">
        <v>42821</v>
      </c>
      <c r="C467">
        <f>VLOOKUP(A467,NYSEARCAVTI!A$2:G$506,7,0)</f>
        <v>0</v>
      </c>
      <c r="D467">
        <f>VLOOKUP(A467,NYSEARCAVEU!A$2:G$506,7,0)</f>
        <v>0</v>
      </c>
      <c r="E467">
        <f>VLOOKUP(A467,NYSEARCAVWO!A$2:G$506,7,0)</f>
        <v>0</v>
      </c>
      <c r="F467">
        <f>VLOOKUP(A467,NYSEARCABND!A$2:G$506,7,0)</f>
        <v>0</v>
      </c>
      <c r="G467">
        <f>VLOOKUP(A467,NYSEARCATIP!A$2:G$506,7,0)</f>
        <v>0</v>
      </c>
      <c r="H467">
        <f>VLOOKUP(A467,NYSEARCAMUB!A$2:G$506,7,0)</f>
        <v>0</v>
      </c>
      <c r="I467">
        <f>VLOOKUP(A467,NYSEARCAVNQ!A$2:G$506,7,0)</f>
        <v>0</v>
      </c>
      <c r="J467">
        <f>VLOOKUP(A467,NYSEARCARWX!A$2:G$506,7,0)</f>
        <v>0</v>
      </c>
      <c r="K467">
        <f>VLOOKUP(A467,NYSEARCADBC!A$2:G$506,7,0)</f>
        <v>0</v>
      </c>
      <c r="L467">
        <f>VLOOKUP(A467,NYSEARCAGSG!A$2:G$506,7,0)</f>
        <v>0</v>
      </c>
      <c r="M467">
        <f>VLOOKUP(A467,NYSEARCAGLD!A$2:G$506,7,0)</f>
        <v>0</v>
      </c>
      <c r="N467">
        <f>VLOOKUP(A467,NYSEBP!A$2:G$506,7,0)</f>
        <v>0</v>
      </c>
      <c r="O467">
        <f>VLOOKUP(A467,NASDAQYHOO!A$2:G$506,7,0)</f>
        <v>0</v>
      </c>
    </row>
    <row r="468" spans="1:15">
      <c r="A468" s="39">
        <v>42822</v>
      </c>
      <c r="C468">
        <f>VLOOKUP(A468,NYSEARCAVTI!A$2:G$506,7,0)</f>
        <v>0</v>
      </c>
      <c r="D468">
        <f>VLOOKUP(A468,NYSEARCAVEU!A$2:G$506,7,0)</f>
        <v>0</v>
      </c>
      <c r="E468">
        <f>VLOOKUP(A468,NYSEARCAVWO!A$2:G$506,7,0)</f>
        <v>0</v>
      </c>
      <c r="F468">
        <f>VLOOKUP(A468,NYSEARCABND!A$2:G$506,7,0)</f>
        <v>0</v>
      </c>
      <c r="G468">
        <f>VLOOKUP(A468,NYSEARCATIP!A$2:G$506,7,0)</f>
        <v>0</v>
      </c>
      <c r="H468">
        <f>VLOOKUP(A468,NYSEARCAMUB!A$2:G$506,7,0)</f>
        <v>0</v>
      </c>
      <c r="I468">
        <f>VLOOKUP(A468,NYSEARCAVNQ!A$2:G$506,7,0)</f>
        <v>0</v>
      </c>
      <c r="J468">
        <f>VLOOKUP(A468,NYSEARCARWX!A$2:G$506,7,0)</f>
        <v>0</v>
      </c>
      <c r="K468">
        <f>VLOOKUP(A468,NYSEARCADBC!A$2:G$506,7,0)</f>
        <v>0</v>
      </c>
      <c r="L468">
        <f>VLOOKUP(A468,NYSEARCAGSG!A$2:G$506,7,0)</f>
        <v>0</v>
      </c>
      <c r="M468">
        <f>VLOOKUP(A468,NYSEARCAGLD!A$2:G$506,7,0)</f>
        <v>0</v>
      </c>
      <c r="N468">
        <f>VLOOKUP(A468,NYSEBP!A$2:G$506,7,0)</f>
        <v>0</v>
      </c>
      <c r="O468">
        <f>VLOOKUP(A468,NASDAQYHOO!A$2:G$506,7,0)</f>
        <v>0</v>
      </c>
    </row>
    <row r="469" spans="1:15">
      <c r="A469" s="39">
        <v>42823</v>
      </c>
      <c r="C469">
        <f>VLOOKUP(A469,NYSEARCAVTI!A$2:G$506,7,0)</f>
        <v>0</v>
      </c>
      <c r="D469">
        <f>VLOOKUP(A469,NYSEARCAVEU!A$2:G$506,7,0)</f>
        <v>0</v>
      </c>
      <c r="E469">
        <f>VLOOKUP(A469,NYSEARCAVWO!A$2:G$506,7,0)</f>
        <v>0</v>
      </c>
      <c r="F469">
        <f>VLOOKUP(A469,NYSEARCABND!A$2:G$506,7,0)</f>
        <v>0</v>
      </c>
      <c r="G469">
        <f>VLOOKUP(A469,NYSEARCATIP!A$2:G$506,7,0)</f>
        <v>0</v>
      </c>
      <c r="H469">
        <f>VLOOKUP(A469,NYSEARCAMUB!A$2:G$506,7,0)</f>
        <v>0</v>
      </c>
      <c r="I469">
        <f>VLOOKUP(A469,NYSEARCAVNQ!A$2:G$506,7,0)</f>
        <v>0</v>
      </c>
      <c r="J469">
        <f>VLOOKUP(A469,NYSEARCARWX!A$2:G$506,7,0)</f>
        <v>0</v>
      </c>
      <c r="K469">
        <f>VLOOKUP(A469,NYSEARCADBC!A$2:G$506,7,0)</f>
        <v>0</v>
      </c>
      <c r="L469">
        <f>VLOOKUP(A469,NYSEARCAGSG!A$2:G$506,7,0)</f>
        <v>0</v>
      </c>
      <c r="M469">
        <f>VLOOKUP(A469,NYSEARCAGLD!A$2:G$506,7,0)</f>
        <v>0</v>
      </c>
      <c r="N469">
        <f>VLOOKUP(A469,NYSEBP!A$2:G$506,7,0)</f>
        <v>0</v>
      </c>
      <c r="O469">
        <f>VLOOKUP(A469,NASDAQYHOO!A$2:G$506,7,0)</f>
        <v>0</v>
      </c>
    </row>
    <row r="470" spans="1:15">
      <c r="A470" s="39">
        <v>42824</v>
      </c>
      <c r="C470">
        <f>VLOOKUP(A470,NYSEARCAVTI!A$2:G$506,7,0)</f>
        <v>0</v>
      </c>
      <c r="D470">
        <f>VLOOKUP(A470,NYSEARCAVEU!A$2:G$506,7,0)</f>
        <v>0</v>
      </c>
      <c r="E470">
        <f>VLOOKUP(A470,NYSEARCAVWO!A$2:G$506,7,0)</f>
        <v>0</v>
      </c>
      <c r="F470">
        <f>VLOOKUP(A470,NYSEARCABND!A$2:G$506,7,0)</f>
        <v>0</v>
      </c>
      <c r="G470">
        <f>VLOOKUP(A470,NYSEARCATIP!A$2:G$506,7,0)</f>
        <v>0</v>
      </c>
      <c r="H470">
        <f>VLOOKUP(A470,NYSEARCAMUB!A$2:G$506,7,0)</f>
        <v>0</v>
      </c>
      <c r="I470">
        <f>VLOOKUP(A470,NYSEARCAVNQ!A$2:G$506,7,0)</f>
        <v>0</v>
      </c>
      <c r="J470">
        <f>VLOOKUP(A470,NYSEARCARWX!A$2:G$506,7,0)</f>
        <v>0</v>
      </c>
      <c r="K470">
        <f>VLOOKUP(A470,NYSEARCADBC!A$2:G$506,7,0)</f>
        <v>0</v>
      </c>
      <c r="L470">
        <f>VLOOKUP(A470,NYSEARCAGSG!A$2:G$506,7,0)</f>
        <v>0</v>
      </c>
      <c r="M470">
        <f>VLOOKUP(A470,NYSEARCAGLD!A$2:G$506,7,0)</f>
        <v>0</v>
      </c>
      <c r="N470">
        <f>VLOOKUP(A470,NYSEBP!A$2:G$506,7,0)</f>
        <v>0</v>
      </c>
      <c r="O470">
        <f>VLOOKUP(A470,NASDAQYHOO!A$2:G$506,7,0)</f>
        <v>0</v>
      </c>
    </row>
    <row r="471" spans="1:15">
      <c r="A471" s="39">
        <v>42825</v>
      </c>
      <c r="C471">
        <f>VLOOKUP(A471,NYSEARCAVTI!A$2:G$506,7,0)</f>
        <v>0</v>
      </c>
      <c r="D471">
        <f>VLOOKUP(A471,NYSEARCAVEU!A$2:G$506,7,0)</f>
        <v>0</v>
      </c>
      <c r="E471">
        <f>VLOOKUP(A471,NYSEARCAVWO!A$2:G$506,7,0)</f>
        <v>0</v>
      </c>
      <c r="F471">
        <f>VLOOKUP(A471,NYSEARCABND!A$2:G$506,7,0)</f>
        <v>0</v>
      </c>
      <c r="G471">
        <f>VLOOKUP(A471,NYSEARCATIP!A$2:G$506,7,0)</f>
        <v>0</v>
      </c>
      <c r="H471">
        <f>VLOOKUP(A471,NYSEARCAMUB!A$2:G$506,7,0)</f>
        <v>0</v>
      </c>
      <c r="I471">
        <f>VLOOKUP(A471,NYSEARCAVNQ!A$2:G$506,7,0)</f>
        <v>0</v>
      </c>
      <c r="J471">
        <f>VLOOKUP(A471,NYSEARCARWX!A$2:G$506,7,0)</f>
        <v>0</v>
      </c>
      <c r="K471">
        <f>VLOOKUP(A471,NYSEARCADBC!A$2:G$506,7,0)</f>
        <v>0</v>
      </c>
      <c r="L471">
        <f>VLOOKUP(A471,NYSEARCAGSG!A$2:G$506,7,0)</f>
        <v>0</v>
      </c>
      <c r="M471">
        <f>VLOOKUP(A471,NYSEARCAGLD!A$2:G$506,7,0)</f>
        <v>0</v>
      </c>
      <c r="N471">
        <f>VLOOKUP(A471,NYSEBP!A$2:G$506,7,0)</f>
        <v>0</v>
      </c>
      <c r="O471">
        <f>VLOOKUP(A471,NASDAQYHOO!A$2:G$506,7,0)</f>
        <v>0</v>
      </c>
    </row>
    <row r="472" spans="1:15">
      <c r="A472" s="39">
        <v>42828</v>
      </c>
      <c r="C472">
        <f>VLOOKUP(A472,NYSEARCAVTI!A$2:G$506,7,0)</f>
        <v>0</v>
      </c>
      <c r="D472">
        <f>VLOOKUP(A472,NYSEARCAVEU!A$2:G$506,7,0)</f>
        <v>0</v>
      </c>
      <c r="E472">
        <f>VLOOKUP(A472,NYSEARCAVWO!A$2:G$506,7,0)</f>
        <v>0</v>
      </c>
      <c r="F472">
        <f>VLOOKUP(A472,NYSEARCABND!A$2:G$506,7,0)</f>
        <v>0</v>
      </c>
      <c r="G472">
        <f>VLOOKUP(A472,NYSEARCATIP!A$2:G$506,7,0)</f>
        <v>0</v>
      </c>
      <c r="H472">
        <f>VLOOKUP(A472,NYSEARCAMUB!A$2:G$506,7,0)</f>
        <v>0</v>
      </c>
      <c r="I472">
        <f>VLOOKUP(A472,NYSEARCAVNQ!A$2:G$506,7,0)</f>
        <v>0</v>
      </c>
      <c r="J472">
        <f>VLOOKUP(A472,NYSEARCARWX!A$2:G$506,7,0)</f>
        <v>0</v>
      </c>
      <c r="K472">
        <f>VLOOKUP(A472,NYSEARCADBC!A$2:G$506,7,0)</f>
        <v>0</v>
      </c>
      <c r="L472">
        <f>VLOOKUP(A472,NYSEARCAGSG!A$2:G$506,7,0)</f>
        <v>0</v>
      </c>
      <c r="M472">
        <f>VLOOKUP(A472,NYSEARCAGLD!A$2:G$506,7,0)</f>
        <v>0</v>
      </c>
      <c r="N472">
        <f>VLOOKUP(A472,NYSEBP!A$2:G$506,7,0)</f>
        <v>0</v>
      </c>
      <c r="O472">
        <f>VLOOKUP(A472,NASDAQYHOO!A$2:G$506,7,0)</f>
        <v>0</v>
      </c>
    </row>
    <row r="473" spans="1:15">
      <c r="A473" s="39">
        <v>42829</v>
      </c>
      <c r="C473">
        <f>VLOOKUP(A473,NYSEARCAVTI!A$2:G$506,7,0)</f>
        <v>0</v>
      </c>
      <c r="D473">
        <f>VLOOKUP(A473,NYSEARCAVEU!A$2:G$506,7,0)</f>
        <v>0</v>
      </c>
      <c r="E473">
        <f>VLOOKUP(A473,NYSEARCAVWO!A$2:G$506,7,0)</f>
        <v>0</v>
      </c>
      <c r="F473">
        <f>VLOOKUP(A473,NYSEARCABND!A$2:G$506,7,0)</f>
        <v>0</v>
      </c>
      <c r="G473">
        <f>VLOOKUP(A473,NYSEARCATIP!A$2:G$506,7,0)</f>
        <v>0</v>
      </c>
      <c r="H473">
        <f>VLOOKUP(A473,NYSEARCAMUB!A$2:G$506,7,0)</f>
        <v>0</v>
      </c>
      <c r="I473">
        <f>VLOOKUP(A473,NYSEARCAVNQ!A$2:G$506,7,0)</f>
        <v>0</v>
      </c>
      <c r="J473">
        <f>VLOOKUP(A473,NYSEARCARWX!A$2:G$506,7,0)</f>
        <v>0</v>
      </c>
      <c r="K473">
        <f>VLOOKUP(A473,NYSEARCADBC!A$2:G$506,7,0)</f>
        <v>0</v>
      </c>
      <c r="L473">
        <f>VLOOKUP(A473,NYSEARCAGSG!A$2:G$506,7,0)</f>
        <v>0</v>
      </c>
      <c r="M473">
        <f>VLOOKUP(A473,NYSEARCAGLD!A$2:G$506,7,0)</f>
        <v>0</v>
      </c>
      <c r="N473">
        <f>VLOOKUP(A473,NYSEBP!A$2:G$506,7,0)</f>
        <v>0</v>
      </c>
      <c r="O473">
        <f>VLOOKUP(A473,NASDAQYHOO!A$2:G$506,7,0)</f>
        <v>0</v>
      </c>
    </row>
    <row r="474" spans="1:15">
      <c r="A474" s="39">
        <v>42830</v>
      </c>
      <c r="C474">
        <f>VLOOKUP(A474,NYSEARCAVTI!A$2:G$506,7,0)</f>
        <v>0</v>
      </c>
      <c r="D474">
        <f>VLOOKUP(A474,NYSEARCAVEU!A$2:G$506,7,0)</f>
        <v>0</v>
      </c>
      <c r="E474">
        <f>VLOOKUP(A474,NYSEARCAVWO!A$2:G$506,7,0)</f>
        <v>0</v>
      </c>
      <c r="F474">
        <f>VLOOKUP(A474,NYSEARCABND!A$2:G$506,7,0)</f>
        <v>0</v>
      </c>
      <c r="G474">
        <f>VLOOKUP(A474,NYSEARCATIP!A$2:G$506,7,0)</f>
        <v>0</v>
      </c>
      <c r="H474">
        <f>VLOOKUP(A474,NYSEARCAMUB!A$2:G$506,7,0)</f>
        <v>0</v>
      </c>
      <c r="I474">
        <f>VLOOKUP(A474,NYSEARCAVNQ!A$2:G$506,7,0)</f>
        <v>0</v>
      </c>
      <c r="J474">
        <f>VLOOKUP(A474,NYSEARCARWX!A$2:G$506,7,0)</f>
        <v>0</v>
      </c>
      <c r="K474">
        <f>VLOOKUP(A474,NYSEARCADBC!A$2:G$506,7,0)</f>
        <v>0</v>
      </c>
      <c r="L474">
        <f>VLOOKUP(A474,NYSEARCAGSG!A$2:G$506,7,0)</f>
        <v>0</v>
      </c>
      <c r="M474">
        <f>VLOOKUP(A474,NYSEARCAGLD!A$2:G$506,7,0)</f>
        <v>0</v>
      </c>
      <c r="N474">
        <f>VLOOKUP(A474,NYSEBP!A$2:G$506,7,0)</f>
        <v>0</v>
      </c>
      <c r="O474">
        <f>VLOOKUP(A474,NASDAQYHOO!A$2:G$506,7,0)</f>
        <v>0</v>
      </c>
    </row>
    <row r="475" spans="1:15">
      <c r="A475" s="39">
        <v>42831</v>
      </c>
      <c r="C475">
        <f>VLOOKUP(A475,NYSEARCAVTI!A$2:G$506,7,0)</f>
        <v>0</v>
      </c>
      <c r="D475">
        <f>VLOOKUP(A475,NYSEARCAVEU!A$2:G$506,7,0)</f>
        <v>0</v>
      </c>
      <c r="E475">
        <f>VLOOKUP(A475,NYSEARCAVWO!A$2:G$506,7,0)</f>
        <v>0</v>
      </c>
      <c r="F475">
        <f>VLOOKUP(A475,NYSEARCABND!A$2:G$506,7,0)</f>
        <v>0</v>
      </c>
      <c r="G475">
        <f>VLOOKUP(A475,NYSEARCATIP!A$2:G$506,7,0)</f>
        <v>0</v>
      </c>
      <c r="H475">
        <f>VLOOKUP(A475,NYSEARCAMUB!A$2:G$506,7,0)</f>
        <v>0</v>
      </c>
      <c r="I475">
        <f>VLOOKUP(A475,NYSEARCAVNQ!A$2:G$506,7,0)</f>
        <v>0</v>
      </c>
      <c r="J475">
        <f>VLOOKUP(A475,NYSEARCARWX!A$2:G$506,7,0)</f>
        <v>0</v>
      </c>
      <c r="K475">
        <f>VLOOKUP(A475,NYSEARCADBC!A$2:G$506,7,0)</f>
        <v>0</v>
      </c>
      <c r="L475">
        <f>VLOOKUP(A475,NYSEARCAGSG!A$2:G$506,7,0)</f>
        <v>0</v>
      </c>
      <c r="M475">
        <f>VLOOKUP(A475,NYSEARCAGLD!A$2:G$506,7,0)</f>
        <v>0</v>
      </c>
      <c r="N475">
        <f>VLOOKUP(A475,NYSEBP!A$2:G$506,7,0)</f>
        <v>0</v>
      </c>
      <c r="O475">
        <f>VLOOKUP(A475,NASDAQYHOO!A$2:G$506,7,0)</f>
        <v>0</v>
      </c>
    </row>
    <row r="476" spans="1:15">
      <c r="A476" s="39">
        <v>42832</v>
      </c>
      <c r="C476">
        <f>VLOOKUP(A476,NYSEARCAVTI!A$2:G$506,7,0)</f>
        <v>0</v>
      </c>
      <c r="D476">
        <f>VLOOKUP(A476,NYSEARCAVEU!A$2:G$506,7,0)</f>
        <v>0</v>
      </c>
      <c r="E476">
        <f>VLOOKUP(A476,NYSEARCAVWO!A$2:G$506,7,0)</f>
        <v>0</v>
      </c>
      <c r="F476">
        <f>VLOOKUP(A476,NYSEARCABND!A$2:G$506,7,0)</f>
        <v>0</v>
      </c>
      <c r="G476">
        <f>VLOOKUP(A476,NYSEARCATIP!A$2:G$506,7,0)</f>
        <v>0</v>
      </c>
      <c r="H476">
        <f>VLOOKUP(A476,NYSEARCAMUB!A$2:G$506,7,0)</f>
        <v>0</v>
      </c>
      <c r="I476">
        <f>VLOOKUP(A476,NYSEARCAVNQ!A$2:G$506,7,0)</f>
        <v>0</v>
      </c>
      <c r="J476">
        <f>VLOOKUP(A476,NYSEARCARWX!A$2:G$506,7,0)</f>
        <v>0</v>
      </c>
      <c r="K476">
        <f>VLOOKUP(A476,NYSEARCADBC!A$2:G$506,7,0)</f>
        <v>0</v>
      </c>
      <c r="L476">
        <f>VLOOKUP(A476,NYSEARCAGSG!A$2:G$506,7,0)</f>
        <v>0</v>
      </c>
      <c r="M476">
        <f>VLOOKUP(A476,NYSEARCAGLD!A$2:G$506,7,0)</f>
        <v>0</v>
      </c>
      <c r="N476">
        <f>VLOOKUP(A476,NYSEBP!A$2:G$506,7,0)</f>
        <v>0</v>
      </c>
      <c r="O476">
        <f>VLOOKUP(A476,NASDAQYHOO!A$2:G$506,7,0)</f>
        <v>0</v>
      </c>
    </row>
    <row r="477" spans="1:15">
      <c r="A477" s="39">
        <v>42835</v>
      </c>
      <c r="C477">
        <f>VLOOKUP(A477,NYSEARCAVTI!A$2:G$506,7,0)</f>
        <v>0</v>
      </c>
      <c r="D477">
        <f>VLOOKUP(A477,NYSEARCAVEU!A$2:G$506,7,0)</f>
        <v>0</v>
      </c>
      <c r="E477">
        <f>VLOOKUP(A477,NYSEARCAVWO!A$2:G$506,7,0)</f>
        <v>0</v>
      </c>
      <c r="F477">
        <f>VLOOKUP(A477,NYSEARCABND!A$2:G$506,7,0)</f>
        <v>0</v>
      </c>
      <c r="G477">
        <f>VLOOKUP(A477,NYSEARCATIP!A$2:G$506,7,0)</f>
        <v>0</v>
      </c>
      <c r="H477">
        <f>VLOOKUP(A477,NYSEARCAMUB!A$2:G$506,7,0)</f>
        <v>0</v>
      </c>
      <c r="I477">
        <f>VLOOKUP(A477,NYSEARCAVNQ!A$2:G$506,7,0)</f>
        <v>0</v>
      </c>
      <c r="J477">
        <f>VLOOKUP(A477,NYSEARCARWX!A$2:G$506,7,0)</f>
        <v>0</v>
      </c>
      <c r="K477">
        <f>VLOOKUP(A477,NYSEARCADBC!A$2:G$506,7,0)</f>
        <v>0</v>
      </c>
      <c r="L477">
        <f>VLOOKUP(A477,NYSEARCAGSG!A$2:G$506,7,0)</f>
        <v>0</v>
      </c>
      <c r="M477">
        <f>VLOOKUP(A477,NYSEARCAGLD!A$2:G$506,7,0)</f>
        <v>0</v>
      </c>
      <c r="N477">
        <f>VLOOKUP(A477,NYSEBP!A$2:G$506,7,0)</f>
        <v>0</v>
      </c>
      <c r="O477">
        <f>VLOOKUP(A477,NASDAQYHOO!A$2:G$506,7,0)</f>
        <v>0</v>
      </c>
    </row>
    <row r="478" spans="1:15">
      <c r="A478" s="39">
        <v>42836</v>
      </c>
      <c r="C478">
        <f>VLOOKUP(A478,NYSEARCAVTI!A$2:G$506,7,0)</f>
        <v>0</v>
      </c>
      <c r="D478">
        <f>VLOOKUP(A478,NYSEARCAVEU!A$2:G$506,7,0)</f>
        <v>0</v>
      </c>
      <c r="E478">
        <f>VLOOKUP(A478,NYSEARCAVWO!A$2:G$506,7,0)</f>
        <v>0</v>
      </c>
      <c r="F478">
        <f>VLOOKUP(A478,NYSEARCABND!A$2:G$506,7,0)</f>
        <v>0</v>
      </c>
      <c r="G478">
        <f>VLOOKUP(A478,NYSEARCATIP!A$2:G$506,7,0)</f>
        <v>0</v>
      </c>
      <c r="H478">
        <f>VLOOKUP(A478,NYSEARCAMUB!A$2:G$506,7,0)</f>
        <v>0</v>
      </c>
      <c r="I478">
        <f>VLOOKUP(A478,NYSEARCAVNQ!A$2:G$506,7,0)</f>
        <v>0</v>
      </c>
      <c r="J478">
        <f>VLOOKUP(A478,NYSEARCARWX!A$2:G$506,7,0)</f>
        <v>0</v>
      </c>
      <c r="K478">
        <f>VLOOKUP(A478,NYSEARCADBC!A$2:G$506,7,0)</f>
        <v>0</v>
      </c>
      <c r="L478">
        <f>VLOOKUP(A478,NYSEARCAGSG!A$2:G$506,7,0)</f>
        <v>0</v>
      </c>
      <c r="M478">
        <f>VLOOKUP(A478,NYSEARCAGLD!A$2:G$506,7,0)</f>
        <v>0</v>
      </c>
      <c r="N478">
        <f>VLOOKUP(A478,NYSEBP!A$2:G$506,7,0)</f>
        <v>0</v>
      </c>
      <c r="O478">
        <f>VLOOKUP(A478,NASDAQYHOO!A$2:G$506,7,0)</f>
        <v>0</v>
      </c>
    </row>
    <row r="479" spans="1:15">
      <c r="A479" s="39">
        <v>42837</v>
      </c>
      <c r="C479">
        <f>VLOOKUP(A479,NYSEARCAVTI!A$2:G$506,7,0)</f>
        <v>0</v>
      </c>
      <c r="D479">
        <f>VLOOKUP(A479,NYSEARCAVEU!A$2:G$506,7,0)</f>
        <v>0</v>
      </c>
      <c r="E479">
        <f>VLOOKUP(A479,NYSEARCAVWO!A$2:G$506,7,0)</f>
        <v>0</v>
      </c>
      <c r="F479">
        <f>VLOOKUP(A479,NYSEARCABND!A$2:G$506,7,0)</f>
        <v>0</v>
      </c>
      <c r="G479">
        <f>VLOOKUP(A479,NYSEARCATIP!A$2:G$506,7,0)</f>
        <v>0</v>
      </c>
      <c r="H479">
        <f>VLOOKUP(A479,NYSEARCAMUB!A$2:G$506,7,0)</f>
        <v>0</v>
      </c>
      <c r="I479">
        <f>VLOOKUP(A479,NYSEARCAVNQ!A$2:G$506,7,0)</f>
        <v>0</v>
      </c>
      <c r="J479">
        <f>VLOOKUP(A479,NYSEARCARWX!A$2:G$506,7,0)</f>
        <v>0</v>
      </c>
      <c r="K479">
        <f>VLOOKUP(A479,NYSEARCADBC!A$2:G$506,7,0)</f>
        <v>0</v>
      </c>
      <c r="L479">
        <f>VLOOKUP(A479,NYSEARCAGSG!A$2:G$506,7,0)</f>
        <v>0</v>
      </c>
      <c r="M479">
        <f>VLOOKUP(A479,NYSEARCAGLD!A$2:G$506,7,0)</f>
        <v>0</v>
      </c>
      <c r="N479">
        <f>VLOOKUP(A479,NYSEBP!A$2:G$506,7,0)</f>
        <v>0</v>
      </c>
      <c r="O479">
        <f>VLOOKUP(A479,NASDAQYHOO!A$2:G$506,7,0)</f>
        <v>0</v>
      </c>
    </row>
    <row r="480" spans="1:15">
      <c r="A480" s="39">
        <v>42838</v>
      </c>
      <c r="C480">
        <f>VLOOKUP(A480,NYSEARCAVTI!A$2:G$506,7,0)</f>
        <v>0</v>
      </c>
      <c r="D480">
        <f>VLOOKUP(A480,NYSEARCAVEU!A$2:G$506,7,0)</f>
        <v>0</v>
      </c>
      <c r="E480">
        <f>VLOOKUP(A480,NYSEARCAVWO!A$2:G$506,7,0)</f>
        <v>0</v>
      </c>
      <c r="F480">
        <f>VLOOKUP(A480,NYSEARCABND!A$2:G$506,7,0)</f>
        <v>0</v>
      </c>
      <c r="G480">
        <f>VLOOKUP(A480,NYSEARCATIP!A$2:G$506,7,0)</f>
        <v>0</v>
      </c>
      <c r="H480">
        <f>VLOOKUP(A480,NYSEARCAMUB!A$2:G$506,7,0)</f>
        <v>0</v>
      </c>
      <c r="I480">
        <f>VLOOKUP(A480,NYSEARCAVNQ!A$2:G$506,7,0)</f>
        <v>0</v>
      </c>
      <c r="J480">
        <f>VLOOKUP(A480,NYSEARCARWX!A$2:G$506,7,0)</f>
        <v>0</v>
      </c>
      <c r="K480">
        <f>VLOOKUP(A480,NYSEARCADBC!A$2:G$506,7,0)</f>
        <v>0</v>
      </c>
      <c r="L480">
        <f>VLOOKUP(A480,NYSEARCAGSG!A$2:G$506,7,0)</f>
        <v>0</v>
      </c>
      <c r="M480">
        <f>VLOOKUP(A480,NYSEARCAGLD!A$2:G$506,7,0)</f>
        <v>0</v>
      </c>
      <c r="N480">
        <f>VLOOKUP(A480,NYSEBP!A$2:G$506,7,0)</f>
        <v>0</v>
      </c>
      <c r="O480">
        <f>VLOOKUP(A480,NASDAQYHOO!A$2:G$506,7,0)</f>
        <v>0</v>
      </c>
    </row>
    <row r="481" spans="1:15">
      <c r="A481" s="39">
        <v>42842</v>
      </c>
      <c r="C481">
        <f>VLOOKUP(A481,NYSEARCAVTI!A$2:G$506,7,0)</f>
        <v>0</v>
      </c>
      <c r="D481">
        <f>VLOOKUP(A481,NYSEARCAVEU!A$2:G$506,7,0)</f>
        <v>0</v>
      </c>
      <c r="E481">
        <f>VLOOKUP(A481,NYSEARCAVWO!A$2:G$506,7,0)</f>
        <v>0</v>
      </c>
      <c r="F481">
        <f>VLOOKUP(A481,NYSEARCABND!A$2:G$506,7,0)</f>
        <v>0</v>
      </c>
      <c r="G481">
        <f>VLOOKUP(A481,NYSEARCATIP!A$2:G$506,7,0)</f>
        <v>0</v>
      </c>
      <c r="H481">
        <f>VLOOKUP(A481,NYSEARCAMUB!A$2:G$506,7,0)</f>
        <v>0</v>
      </c>
      <c r="I481">
        <f>VLOOKUP(A481,NYSEARCAVNQ!A$2:G$506,7,0)</f>
        <v>0</v>
      </c>
      <c r="J481">
        <f>VLOOKUP(A481,NYSEARCARWX!A$2:G$506,7,0)</f>
        <v>0</v>
      </c>
      <c r="K481">
        <f>VLOOKUP(A481,NYSEARCADBC!A$2:G$506,7,0)</f>
        <v>0</v>
      </c>
      <c r="L481">
        <f>VLOOKUP(A481,NYSEARCAGSG!A$2:G$506,7,0)</f>
        <v>0</v>
      </c>
      <c r="M481">
        <f>VLOOKUP(A481,NYSEARCAGLD!A$2:G$506,7,0)</f>
        <v>0</v>
      </c>
      <c r="N481">
        <f>VLOOKUP(A481,NYSEBP!A$2:G$506,7,0)</f>
        <v>0</v>
      </c>
      <c r="O481">
        <f>VLOOKUP(A481,NASDAQYHOO!A$2:G$506,7,0)</f>
        <v>0</v>
      </c>
    </row>
    <row r="482" spans="1:15">
      <c r="A482" s="39">
        <v>42843</v>
      </c>
      <c r="C482">
        <f>VLOOKUP(A482,NYSEARCAVTI!A$2:G$506,7,0)</f>
        <v>0</v>
      </c>
      <c r="D482">
        <f>VLOOKUP(A482,NYSEARCAVEU!A$2:G$506,7,0)</f>
        <v>0</v>
      </c>
      <c r="E482">
        <f>VLOOKUP(A482,NYSEARCAVWO!A$2:G$506,7,0)</f>
        <v>0</v>
      </c>
      <c r="F482">
        <f>VLOOKUP(A482,NYSEARCABND!A$2:G$506,7,0)</f>
        <v>0</v>
      </c>
      <c r="G482">
        <f>VLOOKUP(A482,NYSEARCATIP!A$2:G$506,7,0)</f>
        <v>0</v>
      </c>
      <c r="H482">
        <f>VLOOKUP(A482,NYSEARCAMUB!A$2:G$506,7,0)</f>
        <v>0</v>
      </c>
      <c r="I482">
        <f>VLOOKUP(A482,NYSEARCAVNQ!A$2:G$506,7,0)</f>
        <v>0</v>
      </c>
      <c r="J482">
        <f>VLOOKUP(A482,NYSEARCARWX!A$2:G$506,7,0)</f>
        <v>0</v>
      </c>
      <c r="K482">
        <f>VLOOKUP(A482,NYSEARCADBC!A$2:G$506,7,0)</f>
        <v>0</v>
      </c>
      <c r="L482">
        <f>VLOOKUP(A482,NYSEARCAGSG!A$2:G$506,7,0)</f>
        <v>0</v>
      </c>
      <c r="M482">
        <f>VLOOKUP(A482,NYSEARCAGLD!A$2:G$506,7,0)</f>
        <v>0</v>
      </c>
      <c r="N482">
        <f>VLOOKUP(A482,NYSEBP!A$2:G$506,7,0)</f>
        <v>0</v>
      </c>
      <c r="O482">
        <f>VLOOKUP(A482,NASDAQYHOO!A$2:G$506,7,0)</f>
        <v>0</v>
      </c>
    </row>
    <row r="483" spans="1:15">
      <c r="A483" s="39">
        <v>42844</v>
      </c>
      <c r="C483">
        <f>VLOOKUP(A483,NYSEARCAVTI!A$2:G$506,7,0)</f>
        <v>0</v>
      </c>
      <c r="D483">
        <f>VLOOKUP(A483,NYSEARCAVEU!A$2:G$506,7,0)</f>
        <v>0</v>
      </c>
      <c r="E483">
        <f>VLOOKUP(A483,NYSEARCAVWO!A$2:G$506,7,0)</f>
        <v>0</v>
      </c>
      <c r="F483">
        <f>VLOOKUP(A483,NYSEARCABND!A$2:G$506,7,0)</f>
        <v>0</v>
      </c>
      <c r="G483">
        <f>VLOOKUP(A483,NYSEARCATIP!A$2:G$506,7,0)</f>
        <v>0</v>
      </c>
      <c r="H483">
        <f>VLOOKUP(A483,NYSEARCAMUB!A$2:G$506,7,0)</f>
        <v>0</v>
      </c>
      <c r="I483">
        <f>VLOOKUP(A483,NYSEARCAVNQ!A$2:G$506,7,0)</f>
        <v>0</v>
      </c>
      <c r="J483">
        <f>VLOOKUP(A483,NYSEARCARWX!A$2:G$506,7,0)</f>
        <v>0</v>
      </c>
      <c r="K483">
        <f>VLOOKUP(A483,NYSEARCADBC!A$2:G$506,7,0)</f>
        <v>0</v>
      </c>
      <c r="L483">
        <f>VLOOKUP(A483,NYSEARCAGSG!A$2:G$506,7,0)</f>
        <v>0</v>
      </c>
      <c r="M483">
        <f>VLOOKUP(A483,NYSEARCAGLD!A$2:G$506,7,0)</f>
        <v>0</v>
      </c>
      <c r="N483">
        <f>VLOOKUP(A483,NYSEBP!A$2:G$506,7,0)</f>
        <v>0</v>
      </c>
      <c r="O483">
        <f>VLOOKUP(A483,NASDAQYHOO!A$2:G$506,7,0)</f>
        <v>0</v>
      </c>
    </row>
    <row r="484" spans="1:15">
      <c r="A484" s="39">
        <v>42845</v>
      </c>
      <c r="C484">
        <f>VLOOKUP(A484,NYSEARCAVTI!A$2:G$506,7,0)</f>
        <v>0</v>
      </c>
      <c r="D484">
        <f>VLOOKUP(A484,NYSEARCAVEU!A$2:G$506,7,0)</f>
        <v>0</v>
      </c>
      <c r="E484">
        <f>VLOOKUP(A484,NYSEARCAVWO!A$2:G$506,7,0)</f>
        <v>0</v>
      </c>
      <c r="F484">
        <f>VLOOKUP(A484,NYSEARCABND!A$2:G$506,7,0)</f>
        <v>0</v>
      </c>
      <c r="G484">
        <f>VLOOKUP(A484,NYSEARCATIP!A$2:G$506,7,0)</f>
        <v>0</v>
      </c>
      <c r="H484">
        <f>VLOOKUP(A484,NYSEARCAMUB!A$2:G$506,7,0)</f>
        <v>0</v>
      </c>
      <c r="I484">
        <f>VLOOKUP(A484,NYSEARCAVNQ!A$2:G$506,7,0)</f>
        <v>0</v>
      </c>
      <c r="J484">
        <f>VLOOKUP(A484,NYSEARCARWX!A$2:G$506,7,0)</f>
        <v>0</v>
      </c>
      <c r="K484">
        <f>VLOOKUP(A484,NYSEARCADBC!A$2:G$506,7,0)</f>
        <v>0</v>
      </c>
      <c r="L484">
        <f>VLOOKUP(A484,NYSEARCAGSG!A$2:G$506,7,0)</f>
        <v>0</v>
      </c>
      <c r="M484">
        <f>VLOOKUP(A484,NYSEARCAGLD!A$2:G$506,7,0)</f>
        <v>0</v>
      </c>
      <c r="N484">
        <f>VLOOKUP(A484,NYSEBP!A$2:G$506,7,0)</f>
        <v>0</v>
      </c>
      <c r="O484">
        <f>VLOOKUP(A484,NASDAQYHOO!A$2:G$506,7,0)</f>
        <v>0</v>
      </c>
    </row>
    <row r="485" spans="1:15">
      <c r="A485" s="39">
        <v>42846</v>
      </c>
      <c r="C485">
        <f>VLOOKUP(A485,NYSEARCAVTI!A$2:G$506,7,0)</f>
        <v>0</v>
      </c>
      <c r="D485">
        <f>VLOOKUP(A485,NYSEARCAVEU!A$2:G$506,7,0)</f>
        <v>0</v>
      </c>
      <c r="E485">
        <f>VLOOKUP(A485,NYSEARCAVWO!A$2:G$506,7,0)</f>
        <v>0</v>
      </c>
      <c r="F485">
        <f>VLOOKUP(A485,NYSEARCABND!A$2:G$506,7,0)</f>
        <v>0</v>
      </c>
      <c r="G485">
        <f>VLOOKUP(A485,NYSEARCATIP!A$2:G$506,7,0)</f>
        <v>0</v>
      </c>
      <c r="H485">
        <f>VLOOKUP(A485,NYSEARCAMUB!A$2:G$506,7,0)</f>
        <v>0</v>
      </c>
      <c r="I485">
        <f>VLOOKUP(A485,NYSEARCAVNQ!A$2:G$506,7,0)</f>
        <v>0</v>
      </c>
      <c r="J485">
        <f>VLOOKUP(A485,NYSEARCARWX!A$2:G$506,7,0)</f>
        <v>0</v>
      </c>
      <c r="K485">
        <f>VLOOKUP(A485,NYSEARCADBC!A$2:G$506,7,0)</f>
        <v>0</v>
      </c>
      <c r="L485">
        <f>VLOOKUP(A485,NYSEARCAGSG!A$2:G$506,7,0)</f>
        <v>0</v>
      </c>
      <c r="M485">
        <f>VLOOKUP(A485,NYSEARCAGLD!A$2:G$506,7,0)</f>
        <v>0</v>
      </c>
      <c r="N485">
        <f>VLOOKUP(A485,NYSEBP!A$2:G$506,7,0)</f>
        <v>0</v>
      </c>
      <c r="O485">
        <f>VLOOKUP(A485,NASDAQYHOO!A$2:G$506,7,0)</f>
        <v>0</v>
      </c>
    </row>
    <row r="486" spans="1:15">
      <c r="A486" s="39">
        <v>42849</v>
      </c>
      <c r="C486">
        <f>VLOOKUP(A486,NYSEARCAVTI!A$2:G$506,7,0)</f>
        <v>0</v>
      </c>
      <c r="D486">
        <f>VLOOKUP(A486,NYSEARCAVEU!A$2:G$506,7,0)</f>
        <v>0</v>
      </c>
      <c r="E486">
        <f>VLOOKUP(A486,NYSEARCAVWO!A$2:G$506,7,0)</f>
        <v>0</v>
      </c>
      <c r="F486">
        <f>VLOOKUP(A486,NYSEARCABND!A$2:G$506,7,0)</f>
        <v>0</v>
      </c>
      <c r="G486">
        <f>VLOOKUP(A486,NYSEARCATIP!A$2:G$506,7,0)</f>
        <v>0</v>
      </c>
      <c r="H486">
        <f>VLOOKUP(A486,NYSEARCAMUB!A$2:G$506,7,0)</f>
        <v>0</v>
      </c>
      <c r="I486">
        <f>VLOOKUP(A486,NYSEARCAVNQ!A$2:G$506,7,0)</f>
        <v>0</v>
      </c>
      <c r="J486">
        <f>VLOOKUP(A486,NYSEARCARWX!A$2:G$506,7,0)</f>
        <v>0</v>
      </c>
      <c r="K486">
        <f>VLOOKUP(A486,NYSEARCADBC!A$2:G$506,7,0)</f>
        <v>0</v>
      </c>
      <c r="L486">
        <f>VLOOKUP(A486,NYSEARCAGSG!A$2:G$506,7,0)</f>
        <v>0</v>
      </c>
      <c r="M486">
        <f>VLOOKUP(A486,NYSEARCAGLD!A$2:G$506,7,0)</f>
        <v>0</v>
      </c>
      <c r="N486">
        <f>VLOOKUP(A486,NYSEBP!A$2:G$506,7,0)</f>
        <v>0</v>
      </c>
      <c r="O486">
        <f>VLOOKUP(A486,NASDAQYHOO!A$2:G$506,7,0)</f>
        <v>0</v>
      </c>
    </row>
    <row r="487" spans="1:15">
      <c r="A487" s="39">
        <v>42850</v>
      </c>
      <c r="C487">
        <f>VLOOKUP(A487,NYSEARCAVTI!A$2:G$506,7,0)</f>
        <v>0</v>
      </c>
      <c r="D487">
        <f>VLOOKUP(A487,NYSEARCAVEU!A$2:G$506,7,0)</f>
        <v>0</v>
      </c>
      <c r="E487">
        <f>VLOOKUP(A487,NYSEARCAVWO!A$2:G$506,7,0)</f>
        <v>0</v>
      </c>
      <c r="F487">
        <f>VLOOKUP(A487,NYSEARCABND!A$2:G$506,7,0)</f>
        <v>0</v>
      </c>
      <c r="G487">
        <f>VLOOKUP(A487,NYSEARCATIP!A$2:G$506,7,0)</f>
        <v>0</v>
      </c>
      <c r="H487">
        <f>VLOOKUP(A487,NYSEARCAMUB!A$2:G$506,7,0)</f>
        <v>0</v>
      </c>
      <c r="I487">
        <f>VLOOKUP(A487,NYSEARCAVNQ!A$2:G$506,7,0)</f>
        <v>0</v>
      </c>
      <c r="J487">
        <f>VLOOKUP(A487,NYSEARCARWX!A$2:G$506,7,0)</f>
        <v>0</v>
      </c>
      <c r="K487">
        <f>VLOOKUP(A487,NYSEARCADBC!A$2:G$506,7,0)</f>
        <v>0</v>
      </c>
      <c r="L487">
        <f>VLOOKUP(A487,NYSEARCAGSG!A$2:G$506,7,0)</f>
        <v>0</v>
      </c>
      <c r="M487">
        <f>VLOOKUP(A487,NYSEARCAGLD!A$2:G$506,7,0)</f>
        <v>0</v>
      </c>
      <c r="N487">
        <f>VLOOKUP(A487,NYSEBP!A$2:G$506,7,0)</f>
        <v>0</v>
      </c>
      <c r="O487">
        <f>VLOOKUP(A487,NASDAQYHOO!A$2:G$506,7,0)</f>
        <v>0</v>
      </c>
    </row>
    <row r="488" spans="1:15">
      <c r="A488" s="39">
        <v>42851</v>
      </c>
      <c r="C488">
        <f>VLOOKUP(A488,NYSEARCAVTI!A$2:G$506,7,0)</f>
        <v>0</v>
      </c>
      <c r="D488">
        <f>VLOOKUP(A488,NYSEARCAVEU!A$2:G$506,7,0)</f>
        <v>0</v>
      </c>
      <c r="E488">
        <f>VLOOKUP(A488,NYSEARCAVWO!A$2:G$506,7,0)</f>
        <v>0</v>
      </c>
      <c r="F488">
        <f>VLOOKUP(A488,NYSEARCABND!A$2:G$506,7,0)</f>
        <v>0</v>
      </c>
      <c r="G488">
        <f>VLOOKUP(A488,NYSEARCATIP!A$2:G$506,7,0)</f>
        <v>0</v>
      </c>
      <c r="H488">
        <f>VLOOKUP(A488,NYSEARCAMUB!A$2:G$506,7,0)</f>
        <v>0</v>
      </c>
      <c r="I488">
        <f>VLOOKUP(A488,NYSEARCAVNQ!A$2:G$506,7,0)</f>
        <v>0</v>
      </c>
      <c r="J488">
        <f>VLOOKUP(A488,NYSEARCARWX!A$2:G$506,7,0)</f>
        <v>0</v>
      </c>
      <c r="K488">
        <f>VLOOKUP(A488,NYSEARCADBC!A$2:G$506,7,0)</f>
        <v>0</v>
      </c>
      <c r="L488">
        <f>VLOOKUP(A488,NYSEARCAGSG!A$2:G$506,7,0)</f>
        <v>0</v>
      </c>
      <c r="M488">
        <f>VLOOKUP(A488,NYSEARCAGLD!A$2:G$506,7,0)</f>
        <v>0</v>
      </c>
      <c r="N488">
        <f>VLOOKUP(A488,NYSEBP!A$2:G$506,7,0)</f>
        <v>0</v>
      </c>
      <c r="O488">
        <f>VLOOKUP(A488,NASDAQYHOO!A$2:G$506,7,0)</f>
        <v>0</v>
      </c>
    </row>
    <row r="489" spans="1:15">
      <c r="A489" s="39">
        <v>42852</v>
      </c>
      <c r="C489">
        <f>VLOOKUP(A489,NYSEARCAVTI!A$2:G$506,7,0)</f>
        <v>0</v>
      </c>
      <c r="D489">
        <f>VLOOKUP(A489,NYSEARCAVEU!A$2:G$506,7,0)</f>
        <v>0</v>
      </c>
      <c r="E489">
        <f>VLOOKUP(A489,NYSEARCAVWO!A$2:G$506,7,0)</f>
        <v>0</v>
      </c>
      <c r="F489">
        <f>VLOOKUP(A489,NYSEARCABND!A$2:G$506,7,0)</f>
        <v>0</v>
      </c>
      <c r="G489">
        <f>VLOOKUP(A489,NYSEARCATIP!A$2:G$506,7,0)</f>
        <v>0</v>
      </c>
      <c r="H489">
        <f>VLOOKUP(A489,NYSEARCAMUB!A$2:G$506,7,0)</f>
        <v>0</v>
      </c>
      <c r="I489">
        <f>VLOOKUP(A489,NYSEARCAVNQ!A$2:G$506,7,0)</f>
        <v>0</v>
      </c>
      <c r="J489">
        <f>VLOOKUP(A489,NYSEARCARWX!A$2:G$506,7,0)</f>
        <v>0</v>
      </c>
      <c r="K489">
        <f>VLOOKUP(A489,NYSEARCADBC!A$2:G$506,7,0)</f>
        <v>0</v>
      </c>
      <c r="L489">
        <f>VLOOKUP(A489,NYSEARCAGSG!A$2:G$506,7,0)</f>
        <v>0</v>
      </c>
      <c r="M489">
        <f>VLOOKUP(A489,NYSEARCAGLD!A$2:G$506,7,0)</f>
        <v>0</v>
      </c>
      <c r="N489">
        <f>VLOOKUP(A489,NYSEBP!A$2:G$506,7,0)</f>
        <v>0</v>
      </c>
      <c r="O489">
        <f>VLOOKUP(A489,NASDAQYHOO!A$2:G$506,7,0)</f>
        <v>0</v>
      </c>
    </row>
    <row r="490" spans="1:15">
      <c r="A490" s="39">
        <v>42853</v>
      </c>
      <c r="C490">
        <f>VLOOKUP(A490,NYSEARCAVTI!A$2:G$506,7,0)</f>
        <v>0</v>
      </c>
      <c r="D490">
        <f>VLOOKUP(A490,NYSEARCAVEU!A$2:G$506,7,0)</f>
        <v>0</v>
      </c>
      <c r="E490">
        <f>VLOOKUP(A490,NYSEARCAVWO!A$2:G$506,7,0)</f>
        <v>0</v>
      </c>
      <c r="F490">
        <f>VLOOKUP(A490,NYSEARCABND!A$2:G$506,7,0)</f>
        <v>0</v>
      </c>
      <c r="G490">
        <f>VLOOKUP(A490,NYSEARCATIP!A$2:G$506,7,0)</f>
        <v>0</v>
      </c>
      <c r="H490">
        <f>VLOOKUP(A490,NYSEARCAMUB!A$2:G$506,7,0)</f>
        <v>0</v>
      </c>
      <c r="I490">
        <f>VLOOKUP(A490,NYSEARCAVNQ!A$2:G$506,7,0)</f>
        <v>0</v>
      </c>
      <c r="J490">
        <f>VLOOKUP(A490,NYSEARCARWX!A$2:G$506,7,0)</f>
        <v>0</v>
      </c>
      <c r="K490">
        <f>VLOOKUP(A490,NYSEARCADBC!A$2:G$506,7,0)</f>
        <v>0</v>
      </c>
      <c r="L490">
        <f>VLOOKUP(A490,NYSEARCAGSG!A$2:G$506,7,0)</f>
        <v>0</v>
      </c>
      <c r="M490">
        <f>VLOOKUP(A490,NYSEARCAGLD!A$2:G$506,7,0)</f>
        <v>0</v>
      </c>
      <c r="N490">
        <f>VLOOKUP(A490,NYSEBP!A$2:G$506,7,0)</f>
        <v>0</v>
      </c>
      <c r="O490">
        <f>VLOOKUP(A490,NASDAQYHOO!A$2:G$506,7,0)</f>
        <v>0</v>
      </c>
    </row>
    <row r="491" spans="1:15">
      <c r="A491" s="39">
        <v>42856</v>
      </c>
      <c r="C491">
        <f>VLOOKUP(A491,NYSEARCAVTI!A$2:G$506,7,0)</f>
        <v>0</v>
      </c>
      <c r="D491">
        <f>VLOOKUP(A491,NYSEARCAVEU!A$2:G$506,7,0)</f>
        <v>0</v>
      </c>
      <c r="E491">
        <f>VLOOKUP(A491,NYSEARCAVWO!A$2:G$506,7,0)</f>
        <v>0</v>
      </c>
      <c r="F491">
        <f>VLOOKUP(A491,NYSEARCABND!A$2:G$506,7,0)</f>
        <v>0</v>
      </c>
      <c r="G491">
        <f>VLOOKUP(A491,NYSEARCATIP!A$2:G$506,7,0)</f>
        <v>0</v>
      </c>
      <c r="H491">
        <f>VLOOKUP(A491,NYSEARCAMUB!A$2:G$506,7,0)</f>
        <v>0</v>
      </c>
      <c r="I491">
        <f>VLOOKUP(A491,NYSEARCAVNQ!A$2:G$506,7,0)</f>
        <v>0</v>
      </c>
      <c r="J491">
        <f>VLOOKUP(A491,NYSEARCARWX!A$2:G$506,7,0)</f>
        <v>0</v>
      </c>
      <c r="K491">
        <f>VLOOKUP(A491,NYSEARCADBC!A$2:G$506,7,0)</f>
        <v>0</v>
      </c>
      <c r="L491">
        <f>VLOOKUP(A491,NYSEARCAGSG!A$2:G$506,7,0)</f>
        <v>0</v>
      </c>
      <c r="M491">
        <f>VLOOKUP(A491,NYSEARCAGLD!A$2:G$506,7,0)</f>
        <v>0</v>
      </c>
      <c r="N491">
        <f>VLOOKUP(A491,NYSEBP!A$2:G$506,7,0)</f>
        <v>0</v>
      </c>
      <c r="O491">
        <f>VLOOKUP(A491,NASDAQYHOO!A$2:G$506,7,0)</f>
        <v>0</v>
      </c>
    </row>
    <row r="492" spans="1:15">
      <c r="A492" s="39">
        <v>42857</v>
      </c>
      <c r="C492">
        <f>VLOOKUP(A492,NYSEARCAVTI!A$2:G$506,7,0)</f>
        <v>0</v>
      </c>
      <c r="D492">
        <f>VLOOKUP(A492,NYSEARCAVEU!A$2:G$506,7,0)</f>
        <v>0</v>
      </c>
      <c r="E492">
        <f>VLOOKUP(A492,NYSEARCAVWO!A$2:G$506,7,0)</f>
        <v>0</v>
      </c>
      <c r="F492">
        <f>VLOOKUP(A492,NYSEARCABND!A$2:G$506,7,0)</f>
        <v>0</v>
      </c>
      <c r="G492">
        <f>VLOOKUP(A492,NYSEARCATIP!A$2:G$506,7,0)</f>
        <v>0</v>
      </c>
      <c r="H492">
        <f>VLOOKUP(A492,NYSEARCAMUB!A$2:G$506,7,0)</f>
        <v>0</v>
      </c>
      <c r="I492">
        <f>VLOOKUP(A492,NYSEARCAVNQ!A$2:G$506,7,0)</f>
        <v>0</v>
      </c>
      <c r="J492">
        <f>VLOOKUP(A492,NYSEARCARWX!A$2:G$506,7,0)</f>
        <v>0</v>
      </c>
      <c r="K492">
        <f>VLOOKUP(A492,NYSEARCADBC!A$2:G$506,7,0)</f>
        <v>0</v>
      </c>
      <c r="L492">
        <f>VLOOKUP(A492,NYSEARCAGSG!A$2:G$506,7,0)</f>
        <v>0</v>
      </c>
      <c r="M492">
        <f>VLOOKUP(A492,NYSEARCAGLD!A$2:G$506,7,0)</f>
        <v>0</v>
      </c>
      <c r="N492">
        <f>VLOOKUP(A492,NYSEBP!A$2:G$506,7,0)</f>
        <v>0</v>
      </c>
      <c r="O492">
        <f>VLOOKUP(A492,NASDAQYHOO!A$2:G$506,7,0)</f>
        <v>0</v>
      </c>
    </row>
    <row r="493" spans="1:15">
      <c r="A493" s="39">
        <v>42858</v>
      </c>
      <c r="C493">
        <f>VLOOKUP(A493,NYSEARCAVTI!A$2:G$506,7,0)</f>
        <v>0</v>
      </c>
      <c r="D493">
        <f>VLOOKUP(A493,NYSEARCAVEU!A$2:G$506,7,0)</f>
        <v>0</v>
      </c>
      <c r="E493">
        <f>VLOOKUP(A493,NYSEARCAVWO!A$2:G$506,7,0)</f>
        <v>0</v>
      </c>
      <c r="F493">
        <f>VLOOKUP(A493,NYSEARCABND!A$2:G$506,7,0)</f>
        <v>0</v>
      </c>
      <c r="G493">
        <f>VLOOKUP(A493,NYSEARCATIP!A$2:G$506,7,0)</f>
        <v>0</v>
      </c>
      <c r="H493">
        <f>VLOOKUP(A493,NYSEARCAMUB!A$2:G$506,7,0)</f>
        <v>0</v>
      </c>
      <c r="I493">
        <f>VLOOKUP(A493,NYSEARCAVNQ!A$2:G$506,7,0)</f>
        <v>0</v>
      </c>
      <c r="J493">
        <f>VLOOKUP(A493,NYSEARCARWX!A$2:G$506,7,0)</f>
        <v>0</v>
      </c>
      <c r="K493">
        <f>VLOOKUP(A493,NYSEARCADBC!A$2:G$506,7,0)</f>
        <v>0</v>
      </c>
      <c r="L493">
        <f>VLOOKUP(A493,NYSEARCAGSG!A$2:G$506,7,0)</f>
        <v>0</v>
      </c>
      <c r="M493">
        <f>VLOOKUP(A493,NYSEARCAGLD!A$2:G$506,7,0)</f>
        <v>0</v>
      </c>
      <c r="N493">
        <f>VLOOKUP(A493,NYSEBP!A$2:G$506,7,0)</f>
        <v>0</v>
      </c>
      <c r="O493">
        <f>VLOOKUP(A493,NASDAQYHOO!A$2:G$506,7,0)</f>
        <v>0</v>
      </c>
    </row>
    <row r="494" spans="1:15">
      <c r="A494" s="39">
        <v>42859</v>
      </c>
      <c r="C494">
        <f>VLOOKUP(A494,NYSEARCAVTI!A$2:G$506,7,0)</f>
        <v>0</v>
      </c>
      <c r="D494">
        <f>VLOOKUP(A494,NYSEARCAVEU!A$2:G$506,7,0)</f>
        <v>0</v>
      </c>
      <c r="E494">
        <f>VLOOKUP(A494,NYSEARCAVWO!A$2:G$506,7,0)</f>
        <v>0</v>
      </c>
      <c r="F494">
        <f>VLOOKUP(A494,NYSEARCABND!A$2:G$506,7,0)</f>
        <v>0</v>
      </c>
      <c r="G494">
        <f>VLOOKUP(A494,NYSEARCATIP!A$2:G$506,7,0)</f>
        <v>0</v>
      </c>
      <c r="H494">
        <f>VLOOKUP(A494,NYSEARCAMUB!A$2:G$506,7,0)</f>
        <v>0</v>
      </c>
      <c r="I494">
        <f>VLOOKUP(A494,NYSEARCAVNQ!A$2:G$506,7,0)</f>
        <v>0</v>
      </c>
      <c r="J494">
        <f>VLOOKUP(A494,NYSEARCARWX!A$2:G$506,7,0)</f>
        <v>0</v>
      </c>
      <c r="K494">
        <f>VLOOKUP(A494,NYSEARCADBC!A$2:G$506,7,0)</f>
        <v>0</v>
      </c>
      <c r="L494">
        <f>VLOOKUP(A494,NYSEARCAGSG!A$2:G$506,7,0)</f>
        <v>0</v>
      </c>
      <c r="M494">
        <f>VLOOKUP(A494,NYSEARCAGLD!A$2:G$506,7,0)</f>
        <v>0</v>
      </c>
      <c r="N494">
        <f>VLOOKUP(A494,NYSEBP!A$2:G$506,7,0)</f>
        <v>0</v>
      </c>
      <c r="O494">
        <f>VLOOKUP(A494,NASDAQYHOO!A$2:G$506,7,0)</f>
        <v>0</v>
      </c>
    </row>
    <row r="495" spans="1:15">
      <c r="A495" s="39">
        <v>42860</v>
      </c>
      <c r="C495">
        <f>VLOOKUP(A495,NYSEARCAVTI!A$2:G$506,7,0)</f>
        <v>0</v>
      </c>
      <c r="D495">
        <f>VLOOKUP(A495,NYSEARCAVEU!A$2:G$506,7,0)</f>
        <v>0</v>
      </c>
      <c r="E495">
        <f>VLOOKUP(A495,NYSEARCAVWO!A$2:G$506,7,0)</f>
        <v>0</v>
      </c>
      <c r="F495">
        <f>VLOOKUP(A495,NYSEARCABND!A$2:G$506,7,0)</f>
        <v>0</v>
      </c>
      <c r="G495">
        <f>VLOOKUP(A495,NYSEARCATIP!A$2:G$506,7,0)</f>
        <v>0</v>
      </c>
      <c r="H495">
        <f>VLOOKUP(A495,NYSEARCAMUB!A$2:G$506,7,0)</f>
        <v>0</v>
      </c>
      <c r="I495">
        <f>VLOOKUP(A495,NYSEARCAVNQ!A$2:G$506,7,0)</f>
        <v>0</v>
      </c>
      <c r="J495">
        <f>VLOOKUP(A495,NYSEARCARWX!A$2:G$506,7,0)</f>
        <v>0</v>
      </c>
      <c r="K495">
        <f>VLOOKUP(A495,NYSEARCADBC!A$2:G$506,7,0)</f>
        <v>0</v>
      </c>
      <c r="L495">
        <f>VLOOKUP(A495,NYSEARCAGSG!A$2:G$506,7,0)</f>
        <v>0</v>
      </c>
      <c r="M495">
        <f>VLOOKUP(A495,NYSEARCAGLD!A$2:G$506,7,0)</f>
        <v>0</v>
      </c>
      <c r="N495">
        <f>VLOOKUP(A495,NYSEBP!A$2:G$506,7,0)</f>
        <v>0</v>
      </c>
      <c r="O495">
        <f>VLOOKUP(A495,NASDAQYHOO!A$2:G$506,7,0)</f>
        <v>0</v>
      </c>
    </row>
    <row r="496" spans="1:15">
      <c r="A496" s="39">
        <v>42863</v>
      </c>
      <c r="C496">
        <f>VLOOKUP(A496,NYSEARCAVTI!A$2:G$506,7,0)</f>
        <v>0</v>
      </c>
      <c r="D496">
        <f>VLOOKUP(A496,NYSEARCAVEU!A$2:G$506,7,0)</f>
        <v>0</v>
      </c>
      <c r="E496">
        <f>VLOOKUP(A496,NYSEARCAVWO!A$2:G$506,7,0)</f>
        <v>0</v>
      </c>
      <c r="F496">
        <f>VLOOKUP(A496,NYSEARCABND!A$2:G$506,7,0)</f>
        <v>0</v>
      </c>
      <c r="G496">
        <f>VLOOKUP(A496,NYSEARCATIP!A$2:G$506,7,0)</f>
        <v>0</v>
      </c>
      <c r="H496">
        <f>VLOOKUP(A496,NYSEARCAMUB!A$2:G$506,7,0)</f>
        <v>0</v>
      </c>
      <c r="I496">
        <f>VLOOKUP(A496,NYSEARCAVNQ!A$2:G$506,7,0)</f>
        <v>0</v>
      </c>
      <c r="J496">
        <f>VLOOKUP(A496,NYSEARCARWX!A$2:G$506,7,0)</f>
        <v>0</v>
      </c>
      <c r="K496">
        <f>VLOOKUP(A496,NYSEARCADBC!A$2:G$506,7,0)</f>
        <v>0</v>
      </c>
      <c r="L496">
        <f>VLOOKUP(A496,NYSEARCAGSG!A$2:G$506,7,0)</f>
        <v>0</v>
      </c>
      <c r="M496">
        <f>VLOOKUP(A496,NYSEARCAGLD!A$2:G$506,7,0)</f>
        <v>0</v>
      </c>
      <c r="N496">
        <f>VLOOKUP(A496,NYSEBP!A$2:G$506,7,0)</f>
        <v>0</v>
      </c>
      <c r="O496">
        <f>VLOOKUP(A496,NASDAQYHOO!A$2:G$506,7,0)</f>
        <v>0</v>
      </c>
    </row>
    <row r="497" spans="1:15">
      <c r="A497" s="39">
        <v>42864</v>
      </c>
      <c r="C497">
        <f>VLOOKUP(A497,NYSEARCAVTI!A$2:G$506,7,0)</f>
        <v>0</v>
      </c>
      <c r="D497">
        <f>VLOOKUP(A497,NYSEARCAVEU!A$2:G$506,7,0)</f>
        <v>0</v>
      </c>
      <c r="E497">
        <f>VLOOKUP(A497,NYSEARCAVWO!A$2:G$506,7,0)</f>
        <v>0</v>
      </c>
      <c r="F497">
        <f>VLOOKUP(A497,NYSEARCABND!A$2:G$506,7,0)</f>
        <v>0</v>
      </c>
      <c r="G497">
        <f>VLOOKUP(A497,NYSEARCATIP!A$2:G$506,7,0)</f>
        <v>0</v>
      </c>
      <c r="H497">
        <f>VLOOKUP(A497,NYSEARCAMUB!A$2:G$506,7,0)</f>
        <v>0</v>
      </c>
      <c r="I497">
        <f>VLOOKUP(A497,NYSEARCAVNQ!A$2:G$506,7,0)</f>
        <v>0</v>
      </c>
      <c r="J497">
        <f>VLOOKUP(A497,NYSEARCARWX!A$2:G$506,7,0)</f>
        <v>0</v>
      </c>
      <c r="K497">
        <f>VLOOKUP(A497,NYSEARCADBC!A$2:G$506,7,0)</f>
        <v>0</v>
      </c>
      <c r="L497">
        <f>VLOOKUP(A497,NYSEARCAGSG!A$2:G$506,7,0)</f>
        <v>0</v>
      </c>
      <c r="M497">
        <f>VLOOKUP(A497,NYSEARCAGLD!A$2:G$506,7,0)</f>
        <v>0</v>
      </c>
      <c r="N497">
        <f>VLOOKUP(A497,NYSEBP!A$2:G$506,7,0)</f>
        <v>0</v>
      </c>
      <c r="O497">
        <f>VLOOKUP(A497,NASDAQYHOO!A$2:G$506,7,0)</f>
        <v>0</v>
      </c>
    </row>
    <row r="498" spans="1:15">
      <c r="A498" s="39">
        <v>42865</v>
      </c>
      <c r="C498">
        <f>VLOOKUP(A498,NYSEARCAVTI!A$2:G$506,7,0)</f>
        <v>0</v>
      </c>
      <c r="D498">
        <f>VLOOKUP(A498,NYSEARCAVEU!A$2:G$506,7,0)</f>
        <v>0</v>
      </c>
      <c r="E498">
        <f>VLOOKUP(A498,NYSEARCAVWO!A$2:G$506,7,0)</f>
        <v>0</v>
      </c>
      <c r="F498">
        <f>VLOOKUP(A498,NYSEARCABND!A$2:G$506,7,0)</f>
        <v>0</v>
      </c>
      <c r="G498">
        <f>VLOOKUP(A498,NYSEARCATIP!A$2:G$506,7,0)</f>
        <v>0</v>
      </c>
      <c r="H498">
        <f>VLOOKUP(A498,NYSEARCAMUB!A$2:G$506,7,0)</f>
        <v>0</v>
      </c>
      <c r="I498">
        <f>VLOOKUP(A498,NYSEARCAVNQ!A$2:G$506,7,0)</f>
        <v>0</v>
      </c>
      <c r="J498">
        <f>VLOOKUP(A498,NYSEARCARWX!A$2:G$506,7,0)</f>
        <v>0</v>
      </c>
      <c r="K498">
        <f>VLOOKUP(A498,NYSEARCADBC!A$2:G$506,7,0)</f>
        <v>0</v>
      </c>
      <c r="L498">
        <f>VLOOKUP(A498,NYSEARCAGSG!A$2:G$506,7,0)</f>
        <v>0</v>
      </c>
      <c r="M498">
        <f>VLOOKUP(A498,NYSEARCAGLD!A$2:G$506,7,0)</f>
        <v>0</v>
      </c>
      <c r="N498">
        <f>VLOOKUP(A498,NYSEBP!A$2:G$506,7,0)</f>
        <v>0</v>
      </c>
      <c r="O498">
        <f>VLOOKUP(A498,NASDAQYHOO!A$2:G$506,7,0)</f>
        <v>0</v>
      </c>
    </row>
    <row r="499" spans="1:15">
      <c r="A499" s="39">
        <v>42866</v>
      </c>
      <c r="C499">
        <f>VLOOKUP(A499,NYSEARCAVTI!A$2:G$506,7,0)</f>
        <v>0</v>
      </c>
      <c r="D499">
        <f>VLOOKUP(A499,NYSEARCAVEU!A$2:G$506,7,0)</f>
        <v>0</v>
      </c>
      <c r="E499">
        <f>VLOOKUP(A499,NYSEARCAVWO!A$2:G$506,7,0)</f>
        <v>0</v>
      </c>
      <c r="F499">
        <f>VLOOKUP(A499,NYSEARCABND!A$2:G$506,7,0)</f>
        <v>0</v>
      </c>
      <c r="G499">
        <f>VLOOKUP(A499,NYSEARCATIP!A$2:G$506,7,0)</f>
        <v>0</v>
      </c>
      <c r="H499">
        <f>VLOOKUP(A499,NYSEARCAMUB!A$2:G$506,7,0)</f>
        <v>0</v>
      </c>
      <c r="I499">
        <f>VLOOKUP(A499,NYSEARCAVNQ!A$2:G$506,7,0)</f>
        <v>0</v>
      </c>
      <c r="J499">
        <f>VLOOKUP(A499,NYSEARCARWX!A$2:G$506,7,0)</f>
        <v>0</v>
      </c>
      <c r="K499">
        <f>VLOOKUP(A499,NYSEARCADBC!A$2:G$506,7,0)</f>
        <v>0</v>
      </c>
      <c r="L499">
        <f>VLOOKUP(A499,NYSEARCAGSG!A$2:G$506,7,0)</f>
        <v>0</v>
      </c>
      <c r="M499">
        <f>VLOOKUP(A499,NYSEARCAGLD!A$2:G$506,7,0)</f>
        <v>0</v>
      </c>
      <c r="N499">
        <f>VLOOKUP(A499,NYSEBP!A$2:G$506,7,0)</f>
        <v>0</v>
      </c>
      <c r="O499">
        <f>VLOOKUP(A499,NASDAQYHOO!A$2:G$506,7,0)</f>
        <v>0</v>
      </c>
    </row>
    <row r="500" spans="1:15">
      <c r="A500" s="39">
        <v>42867</v>
      </c>
      <c r="C500">
        <f>VLOOKUP(A500,NYSEARCAVTI!A$2:G$506,7,0)</f>
        <v>0</v>
      </c>
      <c r="D500">
        <f>VLOOKUP(A500,NYSEARCAVEU!A$2:G$506,7,0)</f>
        <v>0</v>
      </c>
      <c r="E500">
        <f>VLOOKUP(A500,NYSEARCAVWO!A$2:G$506,7,0)</f>
        <v>0</v>
      </c>
      <c r="F500">
        <f>VLOOKUP(A500,NYSEARCABND!A$2:G$506,7,0)</f>
        <v>0</v>
      </c>
      <c r="G500">
        <f>VLOOKUP(A500,NYSEARCATIP!A$2:G$506,7,0)</f>
        <v>0</v>
      </c>
      <c r="H500">
        <f>VLOOKUP(A500,NYSEARCAMUB!A$2:G$506,7,0)</f>
        <v>0</v>
      </c>
      <c r="I500">
        <f>VLOOKUP(A500,NYSEARCAVNQ!A$2:G$506,7,0)</f>
        <v>0</v>
      </c>
      <c r="J500">
        <f>VLOOKUP(A500,NYSEARCARWX!A$2:G$506,7,0)</f>
        <v>0</v>
      </c>
      <c r="K500">
        <f>VLOOKUP(A500,NYSEARCADBC!A$2:G$506,7,0)</f>
        <v>0</v>
      </c>
      <c r="L500">
        <f>VLOOKUP(A500,NYSEARCAGSG!A$2:G$506,7,0)</f>
        <v>0</v>
      </c>
      <c r="M500">
        <f>VLOOKUP(A500,NYSEARCAGLD!A$2:G$506,7,0)</f>
        <v>0</v>
      </c>
      <c r="N500">
        <f>VLOOKUP(A500,NYSEBP!A$2:G$506,7,0)</f>
        <v>0</v>
      </c>
      <c r="O500">
        <f>VLOOKUP(A500,NASDAQYHOO!A$2:G$506,7,0)</f>
        <v>0</v>
      </c>
    </row>
    <row r="501" spans="1:15">
      <c r="A501" s="39">
        <v>42870</v>
      </c>
      <c r="C501">
        <f>VLOOKUP(A501,NYSEARCAVTI!A$2:G$506,7,0)</f>
        <v>0</v>
      </c>
      <c r="D501">
        <f>VLOOKUP(A501,NYSEARCAVEU!A$2:G$506,7,0)</f>
        <v>0</v>
      </c>
      <c r="E501">
        <f>VLOOKUP(A501,NYSEARCAVWO!A$2:G$506,7,0)</f>
        <v>0</v>
      </c>
      <c r="F501">
        <f>VLOOKUP(A501,NYSEARCABND!A$2:G$506,7,0)</f>
        <v>0</v>
      </c>
      <c r="G501">
        <f>VLOOKUP(A501,NYSEARCATIP!A$2:G$506,7,0)</f>
        <v>0</v>
      </c>
      <c r="H501">
        <f>VLOOKUP(A501,NYSEARCAMUB!A$2:G$506,7,0)</f>
        <v>0</v>
      </c>
      <c r="I501">
        <f>VLOOKUP(A501,NYSEARCAVNQ!A$2:G$506,7,0)</f>
        <v>0</v>
      </c>
      <c r="J501">
        <f>VLOOKUP(A501,NYSEARCARWX!A$2:G$506,7,0)</f>
        <v>0</v>
      </c>
      <c r="K501">
        <f>VLOOKUP(A501,NYSEARCADBC!A$2:G$506,7,0)</f>
        <v>0</v>
      </c>
      <c r="L501">
        <f>VLOOKUP(A501,NYSEARCAGSG!A$2:G$506,7,0)</f>
        <v>0</v>
      </c>
      <c r="M501">
        <f>VLOOKUP(A501,NYSEARCAGLD!A$2:G$506,7,0)</f>
        <v>0</v>
      </c>
      <c r="N501">
        <f>VLOOKUP(A501,NYSEBP!A$2:G$506,7,0)</f>
        <v>0</v>
      </c>
      <c r="O501">
        <f>VLOOKUP(A501,NASDAQYHOO!A$2:G$506,7,0)</f>
        <v>0</v>
      </c>
    </row>
    <row r="502" spans="1:15">
      <c r="A502" s="39">
        <v>42871</v>
      </c>
      <c r="C502">
        <f>VLOOKUP(A502,NYSEARCAVTI!A$2:G$506,7,0)</f>
        <v>0</v>
      </c>
      <c r="D502">
        <f>VLOOKUP(A502,NYSEARCAVEU!A$2:G$506,7,0)</f>
        <v>0</v>
      </c>
      <c r="E502">
        <f>VLOOKUP(A502,NYSEARCAVWO!A$2:G$506,7,0)</f>
        <v>0</v>
      </c>
      <c r="F502">
        <f>VLOOKUP(A502,NYSEARCABND!A$2:G$506,7,0)</f>
        <v>0</v>
      </c>
      <c r="G502">
        <f>VLOOKUP(A502,NYSEARCATIP!A$2:G$506,7,0)</f>
        <v>0</v>
      </c>
      <c r="H502">
        <f>VLOOKUP(A502,NYSEARCAMUB!A$2:G$506,7,0)</f>
        <v>0</v>
      </c>
      <c r="I502">
        <f>VLOOKUP(A502,NYSEARCAVNQ!A$2:G$506,7,0)</f>
        <v>0</v>
      </c>
      <c r="J502">
        <f>VLOOKUP(A502,NYSEARCARWX!A$2:G$506,7,0)</f>
        <v>0</v>
      </c>
      <c r="K502">
        <f>VLOOKUP(A502,NYSEARCADBC!A$2:G$506,7,0)</f>
        <v>0</v>
      </c>
      <c r="L502">
        <f>VLOOKUP(A502,NYSEARCAGSG!A$2:G$506,7,0)</f>
        <v>0</v>
      </c>
      <c r="M502">
        <f>VLOOKUP(A502,NYSEARCAGLD!A$2:G$506,7,0)</f>
        <v>0</v>
      </c>
      <c r="N502">
        <f>VLOOKUP(A502,NYSEBP!A$2:G$506,7,0)</f>
        <v>0</v>
      </c>
      <c r="O502">
        <f>VLOOKUP(A502,NASDAQYHOO!A$2:G$506,7,0)</f>
        <v>0</v>
      </c>
    </row>
    <row r="503" spans="1:15">
      <c r="A503" s="39">
        <v>42872</v>
      </c>
      <c r="C503">
        <f>VLOOKUP(A503,NYSEARCAVTI!A$2:G$506,7,0)</f>
        <v>0</v>
      </c>
      <c r="D503">
        <f>VLOOKUP(A503,NYSEARCAVEU!A$2:G$506,7,0)</f>
        <v>0</v>
      </c>
      <c r="E503">
        <f>VLOOKUP(A503,NYSEARCAVWO!A$2:G$506,7,0)</f>
        <v>0</v>
      </c>
      <c r="F503">
        <f>VLOOKUP(A503,NYSEARCABND!A$2:G$506,7,0)</f>
        <v>0</v>
      </c>
      <c r="G503">
        <f>VLOOKUP(A503,NYSEARCATIP!A$2:G$506,7,0)</f>
        <v>0</v>
      </c>
      <c r="H503">
        <f>VLOOKUP(A503,NYSEARCAMUB!A$2:G$506,7,0)</f>
        <v>0</v>
      </c>
      <c r="I503">
        <f>VLOOKUP(A503,NYSEARCAVNQ!A$2:G$506,7,0)</f>
        <v>0</v>
      </c>
      <c r="J503">
        <f>VLOOKUP(A503,NYSEARCARWX!A$2:G$506,7,0)</f>
        <v>0</v>
      </c>
      <c r="K503">
        <f>VLOOKUP(A503,NYSEARCADBC!A$2:G$506,7,0)</f>
        <v>0</v>
      </c>
      <c r="L503">
        <f>VLOOKUP(A503,NYSEARCAGSG!A$2:G$506,7,0)</f>
        <v>0</v>
      </c>
      <c r="M503">
        <f>VLOOKUP(A503,NYSEARCAGLD!A$2:G$506,7,0)</f>
        <v>0</v>
      </c>
      <c r="N503">
        <f>VLOOKUP(A503,NYSEBP!A$2:G$506,7,0)</f>
        <v>0</v>
      </c>
      <c r="O503">
        <f>VLOOKUP(A503,NASDAQYHOO!A$2:G$506,7,0)</f>
        <v>0</v>
      </c>
    </row>
    <row r="504" spans="1:15">
      <c r="A504" s="39">
        <v>42873</v>
      </c>
      <c r="C504">
        <f>VLOOKUP(A504,NYSEARCAVTI!A$2:G$506,7,0)</f>
        <v>0</v>
      </c>
      <c r="D504">
        <f>VLOOKUP(A504,NYSEARCAVEU!A$2:G$506,7,0)</f>
        <v>0</v>
      </c>
      <c r="E504">
        <f>VLOOKUP(A504,NYSEARCAVWO!A$2:G$506,7,0)</f>
        <v>0</v>
      </c>
      <c r="F504">
        <f>VLOOKUP(A504,NYSEARCABND!A$2:G$506,7,0)</f>
        <v>0</v>
      </c>
      <c r="G504">
        <f>VLOOKUP(A504,NYSEARCATIP!A$2:G$506,7,0)</f>
        <v>0</v>
      </c>
      <c r="H504">
        <f>VLOOKUP(A504,NYSEARCAMUB!A$2:G$506,7,0)</f>
        <v>0</v>
      </c>
      <c r="I504">
        <f>VLOOKUP(A504,NYSEARCAVNQ!A$2:G$506,7,0)</f>
        <v>0</v>
      </c>
      <c r="J504">
        <f>VLOOKUP(A504,NYSEARCARWX!A$2:G$506,7,0)</f>
        <v>0</v>
      </c>
      <c r="K504">
        <f>VLOOKUP(A504,NYSEARCADBC!A$2:G$506,7,0)</f>
        <v>0</v>
      </c>
      <c r="L504">
        <f>VLOOKUP(A504,NYSEARCAGSG!A$2:G$506,7,0)</f>
        <v>0</v>
      </c>
      <c r="M504">
        <f>VLOOKUP(A504,NYSEARCAGLD!A$2:G$506,7,0)</f>
        <v>0</v>
      </c>
      <c r="N504">
        <f>VLOOKUP(A504,NYSEBP!A$2:G$506,7,0)</f>
        <v>0</v>
      </c>
      <c r="O504">
        <f>VLOOKUP(A504,NASDAQYHOO!A$2:G$506,7,0)</f>
        <v>0</v>
      </c>
    </row>
    <row r="505" spans="1:15">
      <c r="A505" s="39">
        <v>42874</v>
      </c>
      <c r="C505">
        <f>VLOOKUP(A505,NYSEARCAVTI!A$2:G$506,7,0)</f>
        <v>0</v>
      </c>
      <c r="D505">
        <f>VLOOKUP(A505,NYSEARCAVEU!A$2:G$506,7,0)</f>
        <v>0</v>
      </c>
      <c r="E505">
        <f>VLOOKUP(A505,NYSEARCAVWO!A$2:G$506,7,0)</f>
        <v>0</v>
      </c>
      <c r="F505">
        <f>VLOOKUP(A505,NYSEARCABND!A$2:G$506,7,0)</f>
        <v>0</v>
      </c>
      <c r="G505">
        <f>VLOOKUP(A505,NYSEARCATIP!A$2:G$506,7,0)</f>
        <v>0</v>
      </c>
      <c r="H505">
        <f>VLOOKUP(A505,NYSEARCAMUB!A$2:G$506,7,0)</f>
        <v>0</v>
      </c>
      <c r="I505">
        <f>VLOOKUP(A505,NYSEARCAVNQ!A$2:G$506,7,0)</f>
        <v>0</v>
      </c>
      <c r="J505">
        <f>VLOOKUP(A505,NYSEARCARWX!A$2:G$506,7,0)</f>
        <v>0</v>
      </c>
      <c r="K505">
        <f>VLOOKUP(A505,NYSEARCADBC!A$2:G$506,7,0)</f>
        <v>0</v>
      </c>
      <c r="L505">
        <f>VLOOKUP(A505,NYSEARCAGSG!A$2:G$506,7,0)</f>
        <v>0</v>
      </c>
      <c r="M505">
        <f>VLOOKUP(A505,NYSEARCAGLD!A$2:G$506,7,0)</f>
        <v>0</v>
      </c>
      <c r="N505">
        <f>VLOOKUP(A505,NYSEBP!A$2:G$506,7,0)</f>
        <v>0</v>
      </c>
      <c r="O505">
        <f>VLOOKUP(A505,NASDAQYHOO!A$2:G$506,7,0)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22</vt:i4>
      </vt:variant>
    </vt:vector>
  </HeadingPairs>
  <TitlesOfParts>
    <vt:vector size="43" baseType="lpstr">
      <vt:lpstr>Parameters</vt:lpstr>
      <vt:lpstr>NYSEWMT</vt:lpstr>
      <vt:lpstr>NYSEARCAVTI</vt:lpstr>
      <vt:lpstr>NYSEARCAVEU</vt:lpstr>
      <vt:lpstr>NYSEARCAVWO</vt:lpstr>
      <vt:lpstr>NYSEARCABND</vt:lpstr>
      <vt:lpstr>NYSEARCATIP</vt:lpstr>
      <vt:lpstr>NYSEARCAMUB</vt:lpstr>
      <vt:lpstr>NYSEARCAVNQ</vt:lpstr>
      <vt:lpstr>NYSEARCARWX</vt:lpstr>
      <vt:lpstr>NYSEARCADBC</vt:lpstr>
      <vt:lpstr>NYSEARCAGSG</vt:lpstr>
      <vt:lpstr>NYSEARCAGLD</vt:lpstr>
      <vt:lpstr>NYSEBP</vt:lpstr>
      <vt:lpstr>NASDAQYHOO</vt:lpstr>
      <vt:lpstr>Open</vt:lpstr>
      <vt:lpstr>High</vt:lpstr>
      <vt:lpstr>Low</vt:lpstr>
      <vt:lpstr>Close</vt:lpstr>
      <vt:lpstr>Volume</vt:lpstr>
      <vt:lpstr>Adjusted Close</vt:lpstr>
      <vt:lpstr>collateData</vt:lpstr>
      <vt:lpstr>exportToCSV</vt:lpstr>
      <vt:lpstr>'Adjusted Close'!ExternalData_1</vt:lpstr>
      <vt:lpstr>Close!ExternalData_1</vt:lpstr>
      <vt:lpstr>High!ExternalData_1</vt:lpstr>
      <vt:lpstr>Low!ExternalData_1</vt:lpstr>
      <vt:lpstr>NASDAQYHOO!ExternalData_1</vt:lpstr>
      <vt:lpstr>NYSEARCABND!ExternalData_1</vt:lpstr>
      <vt:lpstr>NYSEARCADBC!ExternalData_1</vt:lpstr>
      <vt:lpstr>NYSEARCAGLD!ExternalData_1</vt:lpstr>
      <vt:lpstr>NYSEARCAGSG!ExternalData_1</vt:lpstr>
      <vt:lpstr>NYSEARCAMUB!ExternalData_1</vt:lpstr>
      <vt:lpstr>NYSEARCARWX!ExternalData_1</vt:lpstr>
      <vt:lpstr>NYSEARCATIP!ExternalData_1</vt:lpstr>
      <vt:lpstr>NYSEARCAVEU!ExternalData_1</vt:lpstr>
      <vt:lpstr>NYSEARCAVNQ!ExternalData_1</vt:lpstr>
      <vt:lpstr>NYSEARCAVTI!ExternalData_1</vt:lpstr>
      <vt:lpstr>NYSEARCAVWO!ExternalData_1</vt:lpstr>
      <vt:lpstr>NYSEBP!ExternalData_1</vt:lpstr>
      <vt:lpstr>NYSEWMT!ExternalData_1</vt:lpstr>
      <vt:lpstr>Open!ExternalData_1</vt:lpstr>
      <vt:lpstr>Volume!ExternalData_1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Samir Khan</cp:lastModifiedBy>
  <cp:lastPrinted>2009-11-20T02:20:32Z</cp:lastPrinted>
  <dcterms:created xsi:type="dcterms:W3CDTF">2008-09-08T11:06:36Z</dcterms:created>
  <dcterms:modified xsi:type="dcterms:W3CDTF">2017-05-21T01:53:59Z</dcterms:modified>
</cp:coreProperties>
</file>